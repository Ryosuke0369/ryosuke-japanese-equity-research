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yosuke0923\ryosuke-japanese-equity-research\models\"/>
    </mc:Choice>
  </mc:AlternateContent>
  <xr:revisionPtr revIDLastSave="0" documentId="13_ncr:1_{B9620C32-5C9F-45DB-BBA1-D6179C4BE38E}" xr6:coauthVersionLast="47" xr6:coauthVersionMax="47" xr10:uidLastSave="{00000000-0000-0000-0000-000000000000}"/>
  <bookViews>
    <workbookView xWindow="9720" yWindow="5480" windowWidth="4820" windowHeight="4600" xr2:uid="{00000000-000D-0000-FFFF-FFFF00000000}"/>
  </bookViews>
  <sheets>
    <sheet name="Executive Summary" sheetId="1" r:id="rId1"/>
    <sheet name="Financial Statements" sheetId="2" r:id="rId2"/>
    <sheet name="DCF Model" sheetId="3" r:id="rId3"/>
    <sheet name="Reverse DCF" sheetId="4" r:id="rId4"/>
    <sheet name="NWC Schedule" sheetId="5" r:id="rId5"/>
    <sheet name="Comps Analysis" sheetId="6" r:id="rId6"/>
    <sheet name="Sensitivity Analysis" sheetId="7" r:id="rId7"/>
    <sheet name="Adjustments Log" sheetId="8" r:id="rId8"/>
  </sheets>
  <calcPr calcId="181029"/>
</workbook>
</file>

<file path=xl/calcChain.xml><?xml version="1.0" encoding="utf-8"?>
<calcChain xmlns="http://schemas.openxmlformats.org/spreadsheetml/2006/main">
  <c r="I3" i="7" l="1"/>
  <c r="I17" i="7" s="1"/>
  <c r="F3" i="7"/>
  <c r="H6" i="7" s="1"/>
  <c r="G15" i="6"/>
  <c r="O10" i="6"/>
  <c r="N10" i="6"/>
  <c r="M10" i="6"/>
  <c r="L10" i="6"/>
  <c r="K10" i="6"/>
  <c r="J10" i="6"/>
  <c r="O9" i="6"/>
  <c r="N9" i="6"/>
  <c r="M9" i="6"/>
  <c r="L9" i="6"/>
  <c r="K9" i="6"/>
  <c r="J9" i="6"/>
  <c r="O8" i="6"/>
  <c r="N8" i="6"/>
  <c r="M8" i="6"/>
  <c r="L8" i="6"/>
  <c r="K8" i="6"/>
  <c r="J8" i="6"/>
  <c r="O7" i="6"/>
  <c r="N7" i="6"/>
  <c r="M7" i="6"/>
  <c r="L7" i="6"/>
  <c r="K7" i="6"/>
  <c r="J7" i="6"/>
  <c r="O6" i="6"/>
  <c r="N6" i="6"/>
  <c r="M6" i="6"/>
  <c r="L6" i="6"/>
  <c r="K6" i="6"/>
  <c r="J6" i="6"/>
  <c r="O5" i="6"/>
  <c r="N5" i="6"/>
  <c r="D5" i="6"/>
  <c r="M5" i="6" s="1"/>
  <c r="C16" i="5"/>
  <c r="C14" i="5"/>
  <c r="C18" i="5" s="1"/>
  <c r="C7" i="5"/>
  <c r="C6" i="5"/>
  <c r="C5" i="5"/>
  <c r="C13" i="4"/>
  <c r="C12" i="4"/>
  <c r="C9" i="4"/>
  <c r="C7" i="4"/>
  <c r="C6" i="4"/>
  <c r="C8" i="4" s="1"/>
  <c r="C10" i="4" s="1"/>
  <c r="D27" i="3"/>
  <c r="G5" i="5" s="1"/>
  <c r="C25" i="3"/>
  <c r="C24" i="3"/>
  <c r="C23" i="3"/>
  <c r="F28" i="2"/>
  <c r="E28" i="2"/>
  <c r="D28" i="2"/>
  <c r="C28" i="2"/>
  <c r="F16" i="2"/>
  <c r="E16" i="2"/>
  <c r="D16" i="2"/>
  <c r="F15" i="2"/>
  <c r="E15" i="2"/>
  <c r="D15" i="2"/>
  <c r="F14" i="2"/>
  <c r="E14" i="2"/>
  <c r="D14" i="2"/>
  <c r="C14" i="2"/>
  <c r="F13" i="2"/>
  <c r="E13" i="2"/>
  <c r="D13" i="2"/>
  <c r="C13" i="2"/>
  <c r="D9" i="2"/>
  <c r="C9" i="2"/>
  <c r="F8" i="2"/>
  <c r="F9" i="2" s="1"/>
  <c r="E8" i="2"/>
  <c r="E9" i="2" s="1"/>
  <c r="D8" i="2"/>
  <c r="C8" i="2"/>
  <c r="E15" i="6" l="1"/>
  <c r="I16" i="6"/>
  <c r="C26" i="3"/>
  <c r="D17" i="6"/>
  <c r="F15" i="6"/>
  <c r="G16" i="6"/>
  <c r="H15" i="6"/>
  <c r="E5" i="6"/>
  <c r="J5" i="6" s="1"/>
  <c r="I17" i="6"/>
  <c r="C3" i="7"/>
  <c r="G36" i="4"/>
  <c r="C11" i="4"/>
  <c r="C24" i="4" s="1"/>
  <c r="C25" i="4" s="1"/>
  <c r="G46" i="3"/>
  <c r="F36" i="4"/>
  <c r="E36" i="4"/>
  <c r="D36" i="4"/>
  <c r="D46" i="3"/>
  <c r="C46" i="3"/>
  <c r="F46" i="3"/>
  <c r="E46" i="3"/>
  <c r="H36" i="4"/>
  <c r="C71" i="4"/>
  <c r="C70" i="4"/>
  <c r="C30" i="3"/>
  <c r="C33" i="3" s="1"/>
  <c r="F31" i="3"/>
  <c r="H5" i="5"/>
  <c r="D7" i="5"/>
  <c r="I15" i="6"/>
  <c r="E17" i="6"/>
  <c r="I6" i="7"/>
  <c r="G32" i="3"/>
  <c r="D30" i="3"/>
  <c r="G31" i="3"/>
  <c r="E7" i="5"/>
  <c r="L5" i="6"/>
  <c r="D16" i="6"/>
  <c r="F17" i="6"/>
  <c r="C17" i="7"/>
  <c r="F5" i="5"/>
  <c r="E30" i="3"/>
  <c r="C32" i="3"/>
  <c r="D6" i="5"/>
  <c r="F7" i="5"/>
  <c r="E16" i="6"/>
  <c r="G17" i="6"/>
  <c r="C6" i="7"/>
  <c r="D17" i="7"/>
  <c r="C31" i="3"/>
  <c r="F30" i="3"/>
  <c r="D32" i="3"/>
  <c r="E6" i="5"/>
  <c r="G7" i="5"/>
  <c r="D15" i="6"/>
  <c r="F16" i="6"/>
  <c r="C28" i="6" s="1"/>
  <c r="C19" i="1" s="1"/>
  <c r="D19" i="1" s="1"/>
  <c r="H17" i="6"/>
  <c r="D6" i="7"/>
  <c r="E17" i="7"/>
  <c r="G30" i="3"/>
  <c r="E32" i="3"/>
  <c r="D5" i="5"/>
  <c r="F6" i="5"/>
  <c r="H7" i="5"/>
  <c r="E6" i="7"/>
  <c r="F17" i="7"/>
  <c r="E5" i="5"/>
  <c r="G6" i="5"/>
  <c r="H16" i="6"/>
  <c r="F6" i="7"/>
  <c r="G17" i="7"/>
  <c r="F32" i="3"/>
  <c r="D31" i="3"/>
  <c r="H6" i="5"/>
  <c r="G6" i="7"/>
  <c r="H17" i="7"/>
  <c r="E31" i="3"/>
  <c r="K5" i="6" l="1"/>
  <c r="C29" i="4"/>
  <c r="C27" i="4"/>
  <c r="C26" i="4"/>
  <c r="G46" i="4"/>
  <c r="G44" i="4"/>
  <c r="G38" i="4"/>
  <c r="G41" i="4"/>
  <c r="G40" i="4"/>
  <c r="G45" i="4"/>
  <c r="G39" i="4"/>
  <c r="G43" i="4"/>
  <c r="B13" i="7"/>
  <c r="B12" i="7"/>
  <c r="B11" i="7"/>
  <c r="B10" i="7"/>
  <c r="B9" i="7"/>
  <c r="B8" i="7"/>
  <c r="B7" i="7"/>
  <c r="B24" i="7"/>
  <c r="B23" i="7"/>
  <c r="B22" i="7"/>
  <c r="B21" i="7"/>
  <c r="B20" i="7"/>
  <c r="B19" i="7"/>
  <c r="B18" i="7"/>
  <c r="D9" i="5"/>
  <c r="D12" i="5" s="1"/>
  <c r="C42" i="3"/>
  <c r="C34" i="3"/>
  <c r="D10" i="5" s="1"/>
  <c r="C37" i="3"/>
  <c r="D33" i="3"/>
  <c r="D45" i="4"/>
  <c r="D43" i="4"/>
  <c r="D46" i="4"/>
  <c r="D40" i="4"/>
  <c r="D44" i="4"/>
  <c r="D39" i="4"/>
  <c r="D38" i="4"/>
  <c r="D41" i="4"/>
  <c r="D51" i="4" s="1"/>
  <c r="D56" i="4" s="1"/>
  <c r="E39" i="4"/>
  <c r="E46" i="4"/>
  <c r="E40" i="4"/>
  <c r="E44" i="4"/>
  <c r="E38" i="4"/>
  <c r="E41" i="4"/>
  <c r="E43" i="4"/>
  <c r="E45" i="4"/>
  <c r="C27" i="6"/>
  <c r="C18" i="1" s="1"/>
  <c r="D18" i="1" s="1"/>
  <c r="C74" i="4"/>
  <c r="F43" i="4"/>
  <c r="F40" i="4"/>
  <c r="F44" i="4"/>
  <c r="F38" i="4"/>
  <c r="F46" i="4"/>
  <c r="F41" i="4"/>
  <c r="F51" i="4" s="1"/>
  <c r="F56" i="4" s="1"/>
  <c r="F45" i="4"/>
  <c r="F39" i="4"/>
  <c r="H40" i="4"/>
  <c r="H44" i="4"/>
  <c r="H38" i="4"/>
  <c r="H41" i="4"/>
  <c r="H45" i="4"/>
  <c r="H39" i="4"/>
  <c r="H49" i="4" s="1"/>
  <c r="H54" i="4" s="1"/>
  <c r="H43" i="4"/>
  <c r="H46" i="4"/>
  <c r="D48" i="4" l="1"/>
  <c r="D53" i="4" s="1"/>
  <c r="H48" i="4"/>
  <c r="H53" i="4" s="1"/>
  <c r="E48" i="4"/>
  <c r="E53" i="4" s="1"/>
  <c r="E51" i="4"/>
  <c r="E56" i="4" s="1"/>
  <c r="F50" i="4"/>
  <c r="F55" i="4" s="1"/>
  <c r="D50" i="4"/>
  <c r="D55" i="4" s="1"/>
  <c r="G49" i="4"/>
  <c r="G54" i="4" s="1"/>
  <c r="H51" i="4"/>
  <c r="H56" i="4" s="1"/>
  <c r="C35" i="3"/>
  <c r="G48" i="4"/>
  <c r="G53" i="4" s="1"/>
  <c r="F48" i="4"/>
  <c r="F53" i="4" s="1"/>
  <c r="D49" i="4"/>
  <c r="D54" i="4" s="1"/>
  <c r="D15" i="5"/>
  <c r="D16" i="5" s="1"/>
  <c r="D13" i="5"/>
  <c r="D14" i="5" s="1"/>
  <c r="D18" i="5" s="1"/>
  <c r="D19" i="5" s="1"/>
  <c r="C44" i="3" s="1"/>
  <c r="H50" i="4"/>
  <c r="H55" i="4" s="1"/>
  <c r="E50" i="4"/>
  <c r="E55" i="4" s="1"/>
  <c r="F49" i="4"/>
  <c r="E49" i="4"/>
  <c r="E54" i="4" s="1"/>
  <c r="G50" i="4"/>
  <c r="G55" i="4" s="1"/>
  <c r="D42" i="3"/>
  <c r="D37" i="3"/>
  <c r="E33" i="3"/>
  <c r="E9" i="5"/>
  <c r="E12" i="5" s="1"/>
  <c r="D34" i="3"/>
  <c r="E10" i="5" s="1"/>
  <c r="G51" i="4"/>
  <c r="G56" i="4" s="1"/>
  <c r="E13" i="5" l="1"/>
  <c r="E15" i="5"/>
  <c r="E16" i="5" s="1"/>
  <c r="D35" i="3"/>
  <c r="F54" i="4"/>
  <c r="C60" i="4"/>
  <c r="B78" i="4"/>
  <c r="C39" i="3"/>
  <c r="C36" i="3"/>
  <c r="C38" i="3"/>
  <c r="E14" i="5"/>
  <c r="E18" i="5" s="1"/>
  <c r="E19" i="5" s="1"/>
  <c r="D44" i="3" s="1"/>
  <c r="F9" i="5"/>
  <c r="F12" i="5" s="1"/>
  <c r="E42" i="3"/>
  <c r="E34" i="3"/>
  <c r="F10" i="5" s="1"/>
  <c r="F33" i="3"/>
  <c r="E37" i="3"/>
  <c r="C40" i="3" l="1"/>
  <c r="C41" i="3" s="1"/>
  <c r="C45" i="3" s="1"/>
  <c r="E35" i="3"/>
  <c r="C64" i="4"/>
  <c r="D64" i="4" s="1"/>
  <c r="C67" i="4"/>
  <c r="D67" i="4" s="1"/>
  <c r="C63" i="4"/>
  <c r="D63" i="4" s="1"/>
  <c r="C65" i="4"/>
  <c r="D65" i="4" s="1"/>
  <c r="C66" i="4"/>
  <c r="D66" i="4" s="1"/>
  <c r="D36" i="3"/>
  <c r="D38" i="3"/>
  <c r="D39" i="3"/>
  <c r="F42" i="3"/>
  <c r="F34" i="3"/>
  <c r="G10" i="5" s="1"/>
  <c r="F37" i="3"/>
  <c r="F35" i="3"/>
  <c r="G33" i="3"/>
  <c r="G9" i="5"/>
  <c r="G12" i="5" s="1"/>
  <c r="F13" i="5"/>
  <c r="F15" i="5"/>
  <c r="F16" i="5" s="1"/>
  <c r="F14" i="5"/>
  <c r="F18" i="5" s="1"/>
  <c r="F19" i="5" s="1"/>
  <c r="E44" i="3" s="1"/>
  <c r="C47" i="3" l="1"/>
  <c r="F38" i="3"/>
  <c r="F36" i="3"/>
  <c r="F39" i="3"/>
  <c r="G13" i="5"/>
  <c r="G14" i="5" s="1"/>
  <c r="G15" i="5"/>
  <c r="G16" i="5" s="1"/>
  <c r="D40" i="3"/>
  <c r="D41" i="3" s="1"/>
  <c r="D45" i="3" s="1"/>
  <c r="E39" i="3"/>
  <c r="E38" i="3"/>
  <c r="E36" i="3"/>
  <c r="G37" i="3"/>
  <c r="C16" i="4"/>
  <c r="C28" i="4" s="1"/>
  <c r="H9" i="5"/>
  <c r="H12" i="5" s="1"/>
  <c r="G42" i="3"/>
  <c r="G34" i="3"/>
  <c r="H10" i="5" s="1"/>
  <c r="G18" i="5" l="1"/>
  <c r="G19" i="5" s="1"/>
  <c r="F44" i="3" s="1"/>
  <c r="G35" i="3"/>
  <c r="G36" i="3" s="1"/>
  <c r="D47" i="3"/>
  <c r="F40" i="3"/>
  <c r="F41" i="3" s="1"/>
  <c r="F45" i="3" s="1"/>
  <c r="F47" i="3" s="1"/>
  <c r="H15" i="5"/>
  <c r="H16" i="5" s="1"/>
  <c r="H13" i="5"/>
  <c r="H14" i="5" s="1"/>
  <c r="H18" i="5" s="1"/>
  <c r="H19" i="5" s="1"/>
  <c r="G44" i="3" s="1"/>
  <c r="G38" i="3"/>
  <c r="G39" i="3"/>
  <c r="C72" i="4"/>
  <c r="C73" i="4"/>
  <c r="E40" i="3"/>
  <c r="E41" i="3" s="1"/>
  <c r="E45" i="3" s="1"/>
  <c r="E47" i="3" s="1"/>
  <c r="C59" i="3" l="1"/>
  <c r="C60" i="3" s="1"/>
  <c r="C61" i="3" s="1"/>
  <c r="G40" i="3"/>
  <c r="G41" i="3" s="1"/>
  <c r="G45" i="3" s="1"/>
  <c r="G47" i="3" l="1"/>
  <c r="C50" i="3" s="1"/>
  <c r="C51" i="3"/>
  <c r="C52" i="3" s="1"/>
  <c r="H8" i="7"/>
  <c r="F9" i="7"/>
  <c r="I20" i="7"/>
  <c r="D19" i="7"/>
  <c r="G18" i="7"/>
  <c r="C23" i="7"/>
  <c r="C18" i="7"/>
  <c r="D24" i="7"/>
  <c r="D12" i="7"/>
  <c r="E20" i="7"/>
  <c r="H20" i="7"/>
  <c r="H19" i="7"/>
  <c r="F7" i="7"/>
  <c r="H12" i="7"/>
  <c r="G20" i="7"/>
  <c r="D11" i="7"/>
  <c r="C7" i="7"/>
  <c r="C12" i="7"/>
  <c r="E21" i="7"/>
  <c r="I23" i="7"/>
  <c r="E11" i="7"/>
  <c r="H18" i="7"/>
  <c r="I7" i="7"/>
  <c r="D13" i="7"/>
  <c r="G8" i="7"/>
  <c r="E22" i="7"/>
  <c r="I24" i="7"/>
  <c r="H21" i="7"/>
  <c r="D20" i="7"/>
  <c r="H10" i="7"/>
  <c r="D21" i="7"/>
  <c r="H23" i="7"/>
  <c r="E7" i="7"/>
  <c r="I11" i="7"/>
  <c r="G7" i="7"/>
  <c r="H9" i="7"/>
  <c r="D23" i="7"/>
  <c r="C24" i="7"/>
  <c r="G11" i="7"/>
  <c r="D18" i="7"/>
  <c r="G19" i="7"/>
  <c r="F10" i="7"/>
  <c r="C19" i="7"/>
  <c r="F19" i="7"/>
  <c r="E9" i="7"/>
  <c r="C22" i="7"/>
  <c r="G12" i="7"/>
  <c r="E13" i="7"/>
  <c r="E10" i="7"/>
  <c r="I9" i="7"/>
  <c r="F13" i="7"/>
  <c r="F18" i="7"/>
  <c r="E12" i="7"/>
  <c r="C11" i="7"/>
  <c r="F24" i="7"/>
  <c r="F20" i="7"/>
  <c r="C10" i="7"/>
  <c r="C13" i="7"/>
  <c r="G9" i="7"/>
  <c r="G22" i="7"/>
  <c r="I22" i="7"/>
  <c r="H24" i="7"/>
  <c r="D7" i="7"/>
  <c r="G10" i="7"/>
  <c r="F11" i="7"/>
  <c r="I18" i="7"/>
  <c r="H13" i="7"/>
  <c r="E8" i="7"/>
  <c r="I12" i="7"/>
  <c r="G13" i="7"/>
  <c r="H22" i="7"/>
  <c r="H7" i="7"/>
  <c r="D22" i="7"/>
  <c r="I19" i="7"/>
  <c r="D9" i="7"/>
  <c r="I10" i="7"/>
  <c r="E19" i="7"/>
  <c r="H11" i="7"/>
  <c r="I21" i="7"/>
  <c r="C21" i="7"/>
  <c r="I13" i="7"/>
  <c r="E24" i="7"/>
  <c r="F21" i="7"/>
  <c r="E23" i="7"/>
  <c r="I8" i="7"/>
  <c r="G23" i="7"/>
  <c r="C20" i="7"/>
  <c r="F23" i="7"/>
  <c r="D10" i="7"/>
  <c r="G21" i="7"/>
  <c r="G24" i="7"/>
  <c r="C8" i="7"/>
  <c r="F8" i="7"/>
  <c r="F22" i="7"/>
  <c r="F12" i="7"/>
  <c r="E18" i="7"/>
  <c r="D8" i="7"/>
  <c r="C9" i="7"/>
  <c r="C58" i="3" l="1"/>
  <c r="C62" i="3" s="1"/>
  <c r="C53" i="3"/>
  <c r="C17" i="4" l="1"/>
  <c r="C54" i="3"/>
  <c r="C55" i="3" s="1"/>
  <c r="C16" i="1" s="1"/>
  <c r="C63" i="3"/>
  <c r="C64" i="3" s="1"/>
  <c r="C17" i="1" s="1"/>
  <c r="D17" i="1" s="1"/>
  <c r="C19" i="4" l="1"/>
  <c r="C20" i="4" s="1"/>
  <c r="B79" i="4" s="1"/>
  <c r="D16" i="1"/>
  <c r="C10" i="1"/>
  <c r="C12" i="1" s="1"/>
  <c r="C11" i="1" s="1"/>
  <c r="C21" i="1"/>
</calcChain>
</file>

<file path=xl/sharedStrings.xml><?xml version="1.0" encoding="utf-8"?>
<sst xmlns="http://schemas.openxmlformats.org/spreadsheetml/2006/main" count="513" uniqueCount="395">
  <si>
    <t>DISCLAIMER: This is a sample analysis for demonstration purposes only. It does not constitute investment advice.</t>
  </si>
  <si>
    <t>キヤノン (7751.T)</t>
  </si>
  <si>
    <t>Equity Research Report</t>
  </si>
  <si>
    <t>Company</t>
  </si>
  <si>
    <t>キヤノン</t>
  </si>
  <si>
    <t>Ticker</t>
  </si>
  <si>
    <t>7751.T (TSE Prime)</t>
  </si>
  <si>
    <t>Sector</t>
  </si>
  <si>
    <t>電気機器</t>
  </si>
  <si>
    <t>Current Price</t>
  </si>
  <si>
    <t>Target Price (DCF Mid)</t>
  </si>
  <si>
    <t>Recommendation</t>
  </si>
  <si>
    <t>Upside / Downside</t>
  </si>
  <si>
    <t>Valuation Summary</t>
  </si>
  <si>
    <t>Methodology</t>
  </si>
  <si>
    <t>Implied Value (JPY)</t>
  </si>
  <si>
    <t>vs Current Price</t>
  </si>
  <si>
    <t>DCF - Perpetuity Growth</t>
  </si>
  <si>
    <t>DCF - Exit Multiple</t>
  </si>
  <si>
    <t>Comps - EV/EBITDA Median [参考・Target不算入]</t>
  </si>
  <si>
    <t>Comps - PER Median [参考・Target不算入]</t>
  </si>
  <si>
    <t>Note: Target Mid は DCF 2法（PGM / Exit）の平均のみ。Comps 2法は [参考] で Target 不算入（EV&lt;ネットデットで株式価値が負になる手法は INVALID として平均から除外）</t>
  </si>
  <si>
    <t>DCF Valuation Range (PGM - Exit)</t>
  </si>
  <si>
    <t>Key Investment Thesis</t>
  </si>
  <si>
    <t>1. [Edit] Describe key competitive advantage</t>
  </si>
  <si>
    <t>2. [Edit] Describe growth driver</t>
  </si>
  <si>
    <t>3. [Edit] Describe margin expansion opportunity</t>
  </si>
  <si>
    <t>Key Risks</t>
  </si>
  <si>
    <t>1. [Edit] Describe primary risk factor</t>
  </si>
  <si>
    <t>2. [Edit] Describe secondary risk factor</t>
  </si>
  <si>
    <t>3. [Edit] Describe tertiary risk factor</t>
  </si>
  <si>
    <t>キヤノン - Historical Financials (JPY mn)</t>
  </si>
  <si>
    <t>FY2022</t>
  </si>
  <si>
    <t>FY2023</t>
  </si>
  <si>
    <t>FY2024</t>
  </si>
  <si>
    <t>FY2025</t>
  </si>
  <si>
    <t>Income Statement</t>
  </si>
  <si>
    <t>Revenue</t>
  </si>
  <si>
    <t>COGS</t>
  </si>
  <si>
    <t>Gross Profit</t>
  </si>
  <si>
    <t>Gross Margin</t>
  </si>
  <si>
    <t>SGA</t>
  </si>
  <si>
    <t>Operating Income</t>
  </si>
  <si>
    <t>Net Income</t>
  </si>
  <si>
    <t>Operating Margin</t>
  </si>
  <si>
    <t>Net Margin</t>
  </si>
  <si>
    <t>Revenue Growth (YoY)</t>
  </si>
  <si>
    <t>n/a</t>
  </si>
  <si>
    <t>Operating Income Growth (YoY)</t>
  </si>
  <si>
    <t>Cash Flow Statement</t>
  </si>
  <si>
    <t>Operating Cash Flow</t>
  </si>
  <si>
    <t>Capex</t>
  </si>
  <si>
    <t>Free Cash Flow</t>
  </si>
  <si>
    <t>FCF Margin</t>
  </si>
  <si>
    <t>Capex / Revenue</t>
  </si>
  <si>
    <t>Balance Sheet Highlights</t>
  </si>
  <si>
    <t>Cash &amp; Deposits</t>
  </si>
  <si>
    <t>Total Interest-bearing Debt (short + long)</t>
  </si>
  <si>
    <t>Net Debt (Cash)</t>
  </si>
  <si>
    <t>Note: OCF / Cash / Debt coverage OCF 0/4, Cash 4/4, Debt 4/4 — blank cells are years with no year-key match in the source data (verify against 決算短信 or set hist_ocf / hist_cash / hist_debt in overrides).</t>
  </si>
  <si>
    <t>DCF Valuation Model - キヤノン</t>
  </si>
  <si>
    <t>Assumptions</t>
  </si>
  <si>
    <t>Capex / Revenue (fallback)</t>
  </si>
  <si>
    <t>Effective Tax Rate</t>
  </si>
  <si>
    <t>Risk-Free Rate</t>
  </si>
  <si>
    <t>Beta</t>
  </si>
  <si>
    <t>Equity Risk Premium</t>
  </si>
  <si>
    <t>Size Premium</t>
  </si>
  <si>
    <t>After-tax Cost of Debt</t>
  </si>
  <si>
    <t>D/E Ratio</t>
  </si>
  <si>
    <t>Terminal Growth Rate</t>
  </si>
  <si>
    <t>Exit Multiple (EV/EBITDA)</t>
  </si>
  <si>
    <t>Fully Diluted Shares</t>
  </si>
  <si>
    <t>Net Debt (JPY mn)</t>
  </si>
  <si>
    <t>Base Year Revenue (JPY mn)</t>
  </si>
  <si>
    <t>D&amp;A / Revenue</t>
  </si>
  <si>
    <t>Stub Fraction (yr remaining)</t>
  </si>
  <si>
    <t>LTM Revenue (JPY mn)</t>
  </si>
  <si>
    <t>WACC Calculation</t>
  </si>
  <si>
    <t>Cost of Equity (Ke)</t>
  </si>
  <si>
    <t>Weight of Equity</t>
  </si>
  <si>
    <t>Weight of Debt</t>
  </si>
  <si>
    <t>WACC</t>
  </si>
  <si>
    <t>Active Scenario</t>
  </si>
  <si>
    <t>Base</t>
  </si>
  <si>
    <t>Projected Free Cash Flow</t>
  </si>
  <si>
    <t>FY2026(E)</t>
  </si>
  <si>
    <t>FY2027(E)</t>
  </si>
  <si>
    <t>FY2028(E)</t>
  </si>
  <si>
    <t>FY2029(E)</t>
  </si>
  <si>
    <t>FY2030(E)</t>
  </si>
  <si>
    <t>COGS % of Revenue</t>
  </si>
  <si>
    <t>SGA % of Revenue</t>
  </si>
  <si>
    <t>SGA Expense</t>
  </si>
  <si>
    <t>Implied Operating Margin</t>
  </si>
  <si>
    <t>Operating Income (EBIT)</t>
  </si>
  <si>
    <t>Less: Tax</t>
  </si>
  <si>
    <t>NOPAT</t>
  </si>
  <si>
    <t>Plus: D&amp;A</t>
  </si>
  <si>
    <t>Less: Capex</t>
  </si>
  <si>
    <t>Change in NWC</t>
  </si>
  <si>
    <t>Unlevered Free Cash Flow</t>
  </si>
  <si>
    <t>Discount Factor</t>
  </si>
  <si>
    <t>PV of FCF</t>
  </si>
  <si>
    <t>Valuation - Perpetuity Growth Method</t>
  </si>
  <si>
    <t>Sum of PV of FCFs</t>
  </si>
  <si>
    <t>Terminal Value (PGM)</t>
  </si>
  <si>
    <t>PV of Terminal Value</t>
  </si>
  <si>
    <t>Enterprise Value</t>
  </si>
  <si>
    <t>Equity Value</t>
  </si>
  <si>
    <t>Implied Share Price (PGM)</t>
  </si>
  <si>
    <t>Valuation - Exit Multiple Method</t>
  </si>
  <si>
    <t>Year 5 EBITDA</t>
  </si>
  <si>
    <t>Terminal Value (Exit Multiple)</t>
  </si>
  <si>
    <t>Implied Share Price (Exit Multiple)</t>
  </si>
  <si>
    <t>Scenario Input Matrix</t>
  </si>
  <si>
    <t>Year 1</t>
  </si>
  <si>
    <t>Year 2</t>
  </si>
  <si>
    <t>Year 3</t>
  </si>
  <si>
    <t>Year 4</t>
  </si>
  <si>
    <t>Year 5</t>
  </si>
  <si>
    <t>Upside</t>
  </si>
  <si>
    <t>Management</t>
  </si>
  <si>
    <t>Downside 1</t>
  </si>
  <si>
    <t>Downside 2</t>
  </si>
  <si>
    <t>Reverse DCF - キヤノン (7751.T)</t>
  </si>
  <si>
    <t>What is the current share price already assuming? Every value below is a live formula off the other sheets.</t>
  </si>
  <si>
    <t>Block 0: Market-implied enterprise value (live)</t>
  </si>
  <si>
    <t>Current Share Price (JPY)</t>
  </si>
  <si>
    <t>Market Capitalisation (JPY mn)</t>
  </si>
  <si>
    <t>Enterprise Value (JPY mn)</t>
  </si>
  <si>
    <t>WACC (w)</t>
  </si>
  <si>
    <t>Terminal Growth (g)</t>
  </si>
  <si>
    <t>Effective Tax Rate (t)</t>
  </si>
  <si>
    <t>Starting Operating Profit OP0 (FY2025 actual)</t>
  </si>
  <si>
    <t>Cycle-peak Operating Profit (FY2025 actual)</t>
  </si>
  <si>
    <t>Terminal-year Revenue, active scenario (JPY mn)</t>
  </si>
  <si>
    <t>Base-case DCF Enterprise Value, PGM (JPY mn)</t>
  </si>
  <si>
    <t>Cycle-peak Operating Margin (FY2025 actual)</t>
  </si>
  <si>
    <t>Gap: market EV less base-case DCF EV (JPY mn)</t>
  </si>
  <si>
    <t>Gap per share (JPY) - the part of the price the base case does not explain</t>
  </si>
  <si>
    <t>Block A: Required steady-state operating profit, reached IMMEDIATELY (no ramp)</t>
  </si>
  <si>
    <t>The lowest bar the price can clear: today's EV read as a perpetuity of one steady-state profit, capex = D&amp;A, no NWC build.</t>
  </si>
  <si>
    <t>Required steady-state NOPAT (JPY mn)</t>
  </si>
  <si>
    <t>Required steady-state Operating Profit (JPY mn)</t>
  </si>
  <si>
    <t>... as a multiple of the FY2025 peak</t>
  </si>
  <si>
    <t>... as a multiple of FY2025 actual</t>
  </si>
  <si>
    <t>... implied OPM on terminal-year revenue</t>
  </si>
  <si>
    <t>... revenue needed if margins only reach the cycle peak</t>
  </si>
  <si>
    <t>Block B: Required steady-state operating profit by YEARS-TO-REACH (linear ramp) x WACC</t>
  </si>
  <si>
    <t>Operating profit ramps linearly from OP0 (C14) to OP* over N years, then grows at g for ever. Column F is the model WACC.</t>
  </si>
  <si>
    <t>OP* = ( EV/(1-t) - OP0*(A-B) ) / ( B + TVF ). A longer ramp needs a HIGHER steady state, because more years are spent below it.</t>
  </si>
  <si>
    <t>Years to steady state (N)   \   WACC</t>
  </si>
  <si>
    <t>N</t>
  </si>
  <si>
    <t>B-1  PV weight on the RAMP from OP0   (A - B)</t>
  </si>
  <si>
    <t>N = 3 years</t>
  </si>
  <si>
    <t>N = 5 years</t>
  </si>
  <si>
    <t>N = 7 years</t>
  </si>
  <si>
    <t>N = 10 years</t>
  </si>
  <si>
    <t>B-2  PV weight on the STEADY STATE OP*   (B + terminal factor)</t>
  </si>
  <si>
    <t>B-3  REQUIRED steady-state Operating Profit (JPY mn)</t>
  </si>
  <si>
    <t>B-4  ... as a multiple of the FY2025 peak operating profit</t>
  </si>
  <si>
    <t>Block C: Decomposing the required profit into revenue x margin (N = 5 years, model WACC)</t>
  </si>
  <si>
    <t>The revenue the company must run at, for a given steady-state operating margin, to earn the Block B-3 profit.</t>
  </si>
  <si>
    <t>Required steady-state Operating Profit (N=5, model WACC)</t>
  </si>
  <si>
    <t>Assumed steady-state OPM</t>
  </si>
  <si>
    <t>Required Revenue</t>
  </si>
  <si>
    <t>x base-year revenue</t>
  </si>
  <si>
    <t>cycle-peak OPM (FY2025)</t>
  </si>
  <si>
    <t>Block D: The same question expressed as multiples</t>
  </si>
  <si>
    <t>Current EV / latest-FY EBITDA (actual)</t>
  </si>
  <si>
    <t>Current EV / latest-FY Revenue (actual)</t>
  </si>
  <si>
    <t>EV / EBITDA if the Block A profit were already earned</t>
  </si>
  <si>
    <t>EV / EBITDA if the Block B-3 (N=5) profit were already earned</t>
  </si>
  <si>
    <t>Peer median EV / EBITDA (statistics rows)</t>
  </si>
  <si>
    <t>Rows 3-4 answer: what multiple would today's EV be paying IF the company already earned the profit the price requires?</t>
  </si>
  <si>
    <t>Block F: The one-line answer</t>
  </si>
  <si>
    <t>NWC Schedule - キヤノン</t>
  </si>
  <si>
    <t>Working Capital Drivers (Days)</t>
  </si>
  <si>
    <t>Base Year</t>
  </si>
  <si>
    <t>DSO (Days Sales Outstanding)</t>
  </si>
  <si>
    <t>DIH (Days Inventory Held)</t>
  </si>
  <si>
    <t>DPO (Days Payable Outstanding)</t>
  </si>
  <si>
    <t>P&amp;L Reference (JPY mn)</t>
  </si>
  <si>
    <t>Working Capital Items (JPY mn)</t>
  </si>
  <si>
    <t>Accounts Receivable</t>
  </si>
  <si>
    <t>Inventory</t>
  </si>
  <si>
    <t>Current Assets (AR + Inv)</t>
  </si>
  <si>
    <t>Accounts Payable</t>
  </si>
  <si>
    <t>Current Liabilities (AP)</t>
  </si>
  <si>
    <t>Net Working Capital (JPY mn)</t>
  </si>
  <si>
    <t>Net Working Capital</t>
  </si>
  <si>
    <t>Scenario Input Matrix (Working Capital Days)</t>
  </si>
  <si>
    <t>DSO (Days)</t>
  </si>
  <si>
    <t>DIH (Days)</t>
  </si>
  <si>
    <t>DPO (Days)</t>
  </si>
  <si>
    <t>Comparable Company Analysis</t>
  </si>
  <si>
    <t>Peer prices as of 2026-09-05 (Mkt Cap / EV of peer rows are static CSV values; the subject row is live-linked to Executive Summary)</t>
  </si>
  <si>
    <t>Mkt Cap
(JPY mn)</t>
  </si>
  <si>
    <t>EV
(JPY mn)</t>
  </si>
  <si>
    <t>Revenue
(JPY mn)</t>
  </si>
  <si>
    <t>EBITDA
(JPY mn)</t>
  </si>
  <si>
    <t>Op Income
(JPY mn)</t>
  </si>
  <si>
    <t>Net Income
(JPY mn)</t>
  </si>
  <si>
    <t>EV/EBITDA</t>
  </si>
  <si>
    <t>EV/Revenue</t>
  </si>
  <si>
    <t>PER</t>
  </si>
  <si>
    <t>PBR</t>
  </si>
  <si>
    <t>Op Margin</t>
  </si>
  <si>
    <t>ROE</t>
  </si>
  <si>
    <t>Book Value
(JPY mn)</t>
  </si>
  <si>
    <t>Note</t>
  </si>
  <si>
    <t>Canon Inc.</t>
  </si>
  <si>
    <t>7751.T</t>
  </si>
  <si>
    <t>Seiko Epson Corporation</t>
  </si>
  <si>
    <t>6724.T</t>
  </si>
  <si>
    <t>Konica Minolta, Inc.</t>
  </si>
  <si>
    <t>4902.T</t>
  </si>
  <si>
    <t>Brother Industries, Ltd.</t>
  </si>
  <si>
    <t>6448.T</t>
  </si>
  <si>
    <t>FUJIFILM Holdings Corporation</t>
  </si>
  <si>
    <t>4901.T</t>
  </si>
  <si>
    <t>Kyocera Corporation</t>
  </si>
  <si>
    <t>6971.T</t>
  </si>
  <si>
    <t>Statistics</t>
  </si>
  <si>
    <t>25th Percentile</t>
  </si>
  <si>
    <t>Median (50th)</t>
  </si>
  <si>
    <t>75th Percentile</t>
  </si>
  <si>
    <t>Implied Valuation for キヤノン</t>
  </si>
  <si>
    <t>キヤノン Financials</t>
  </si>
  <si>
    <t>EBITDA (JPY mn)</t>
  </si>
  <si>
    <t>Net Income (JPY mn)</t>
  </si>
  <si>
    <t>Shares Outstanding</t>
  </si>
  <si>
    <t>Implied Share Price (Median Multiples)</t>
  </si>
  <si>
    <t>Via EV/EBITDA (Median)</t>
  </si>
  <si>
    <t>Via PER (Median)</t>
  </si>
  <si>
    <t>Sensitivity Analysis</t>
  </si>
  <si>
    <t>Current WACC:</t>
  </si>
  <si>
    <t>Terminal g:</t>
  </si>
  <si>
    <t>Exit Multiple:</t>
  </si>
  <si>
    <t>Table 1: WACC vs Terminal Growth Rate (PGM - Implied Share Price, JPY)</t>
  </si>
  <si>
    <t>WACC \ Terminal g</t>
  </si>
  <si>
    <t>Table 2: WACC vs Exit Multiple (Exit Multiple - Implied Share Price, JPY)</t>
  </si>
  <si>
    <t>WACC \ Exit Multiple</t>
  </si>
  <si>
    <t>All values dynamically linked to DCF Model. Headers auto-center on current WACC / Terminal g / Exit Multiple.</t>
  </si>
  <si>
    <t>Adjustments Log - キヤノン</t>
  </si>
  <si>
    <t>日付</t>
  </si>
  <si>
    <t>セル</t>
  </si>
  <si>
    <t>変更内容</t>
  </si>
  <si>
    <t>理由</t>
  </si>
  <si>
    <t>元の値</t>
  </si>
  <si>
    <t>状態</t>
  </si>
  <si>
    <t>2026-09-05</t>
  </si>
  <si>
    <t>-</t>
  </si>
  <si>
    <t>Generated by pipeline on 2026-09-05 22:18, template rev c9b5dd9</t>
  </si>
  <si>
    <t>初期生成（手修正なし）</t>
  </si>
  <si>
    <t>generated</t>
  </si>
  <si>
    <t>DCF Model!C7</t>
  </si>
  <si>
    <t>Risk-Free Rate = 2.97%</t>
  </si>
  <si>
    <t>財務省 国債金利情報 jgbcm.csv 10年物 R8.9.3(2026-09-03) 2.966% を四捨五入。バッチ全銘柄共通の一次ソース。yfinance は日本国債利回りを返さないため使用しない。</t>
  </si>
  <si>
    <t>テンプレ既定 2.2%</t>
  </si>
  <si>
    <t>確定</t>
  </si>
  <si>
    <t>DCF Model!C9</t>
  </si>
  <si>
    <t>Equity Risk Premium = 6.5%</t>
  </si>
  <si>
    <t>バッチ共通の固定前提(v2 §1-3)。銘柄固有の調整はしていない。</t>
  </si>
  <si>
    <t>テンプレ既定 6.5%(同値)</t>
  </si>
  <si>
    <t>設計判断</t>
  </si>
  <si>
    <t>DCF Model!C10</t>
  </si>
  <si>
    <t>Size Premium = 1.0%</t>
  </si>
  <si>
    <t>時価総額バンドによる機械決定(&gt;3,000億円 -&gt; 1.0%)。当社時価総額 3,894,843百万円。■テンプレートの自動規則(&gt;=1兆円 -&gt; 0.0%、&gt;=1,000億円 -&gt; 1.5%)とは異なる値であり、明示指定で上書きしている。</t>
  </si>
  <si>
    <t>テンプレ自動値</t>
  </si>
  <si>
    <t>DCF Model!C8</t>
  </si>
  <si>
    <t>Beta = 0.60</t>
  </si>
  <si>
    <t>yfinance実測 **0.256** はテンプレのクランプ下限 0.60 を**下回る**ため、追補1 §A の規則 max(0.6, min(1.75, 実測)) により **0.60 を明示指定**した。■**テンプレの無言の 1.0 置換は起きていない**。</t>
  </si>
  <si>
    <t>yfinance実測 0.256</t>
  </si>
  <si>
    <t>設計判断(クランプ下限を採用)</t>
  </si>
  <si>
    <t>DCF Model!C6</t>
  </si>
  <si>
    <t>Effective Tax Rate = 25%</t>
  </si>
  <si>
    <t>バッチ共通の既定値(v2 §1-3)。当社の実績税負担率を個別に検証したものではない。</t>
  </si>
  <si>
    <t>テンプレ既定 30%</t>
  </si>
  <si>
    <t>推定</t>
  </si>
  <si>
    <t>DCF Model!C11</t>
  </si>
  <si>
    <t>After-tax Cost of Debt = 0.68%(実績ベース)</t>
  </si>
  <si>
    <t>支払利息 7,305百万円 ÷ 平均有利子負債 ((663,500 + 946,159)/2 = 804,830) = 0.91%(税引前)、× (1 − 25%) = 0.68%（validate チェック17 PASS）。■**税引前 0.91% は本バッチで最も低い水準**で、円建て低利調達の比率が高いことを示す。出所は yfinance で EDINET 有報と未突合。</t>
  </si>
  <si>
    <t>テンプレ既定(推定値)</t>
  </si>
  <si>
    <t>推定(出所が二次ソース・要確認)</t>
  </si>
  <si>
    <t>DCF Model!C13</t>
  </si>
  <si>
    <t>Terminal Growth = 1.0%</t>
  </si>
  <si>
    <t>バッチ共通の固定前提(v2 §1-3)。</t>
  </si>
  <si>
    <t>テンプレ既定 2.0%</t>
  </si>
  <si>
    <t>DCF Model!C14</t>
  </si>
  <si>
    <t>Exit Multiple (EV/EBITDA) = 7.8x</t>
  </si>
  <si>
    <t>Peer 5社の実測EV/EBITDA中央値 7.82x。 自社の現在倍率 6.13x は算式に入れていない(市場価格への循環参照回避)。■マージン品質調整式はバッチ全体で棄却済み(EV/EBITDA が既に資本集約度を織り込むため、営業利益率による上方調整は資本集約型で逆方向に働く)。</t>
  </si>
  <si>
    <t>テンプレ既定 10.0x</t>
  </si>
  <si>
    <t>全体(型判定・プレスクリーン)</t>
  </si>
  <si>
    <t>型A（通常の事業会社）として処理</t>
  </si>
  <si>
    <t>追補1 §B に従い、型判定の前に batch/prescreen.py で EDINET有報XBRL の金融事業専用科目(ForFinancialBusiness / Banking / Deposits / CallLoan / InstallmentReceivable 系)を機械チェックした。検出結果: **CLEAN**（金融事業専用科目は1件も検出されず）。銀行・captive finance なし。プレスクリーン CLEAN。赤字年なし。利益率が極めて安定しており追補5 §U 非該当。</t>
  </si>
  <si>
    <t>DCF Model シナリオ5本</t>
  </si>
  <si>
    <t>実績OPM分布からの導出（min 8.77 / p25 8.93 / med 9.41 / p75 9.85 / max 9.86 %）</t>
  </si>
  <si>
    <t>**観測窓の変動が 1.1pt しかなく、本バッチで最も利益率が安定した銘柄の1つ**。直近 9.85% &gt; 中央値 9.41% のため Base 到達OPM = (直近 9.85 + p75 9.85)/2 = **9.85%**（p75 と直近が一致するため直近水準の維持、パスは全年 9.85%）。■Upside = max(p75 9.85, 直近+1.0pt = 10.85) = **10.85%**。■Downside 1 = min(p25 8.93, 直近 9.85) = **8.93%**。■Downside 2 は FY2022 の実績トラフ **8.77%** が直近と別年で機能するため、売上 −8% + OPM 7.5〜7.9%。■COGS% は直近実績 **53.3%** 固定・SGA% 逆算。他銘柄からの流用なし。■**決算期は12月**（本バッチの大半の3月期と基準年が異なる。base year は FY2025/12）。</t>
  </si>
  <si>
    <t>テンプレ自動生成シナリオ</t>
  </si>
  <si>
    <t>DCF Model Management シナリオ</t>
  </si>
  <si>
    <t>Management = Base と同一</t>
  </si>
  <si>
    <t>EDINET XBRL・TDnet短信のいずれからも会社業績予想を取得できなかった(生成ログ Step 3: 'No guidance data found')。v2 §7-2 に従い Management=Base で続行。■本バッチではここまで生成した全銘柄で同じ結果になっており、銘柄固有ではなくパイプラインの構造的な取得失敗である。</t>
  </si>
  <si>
    <t>フォールバック使用(会社予想未取得)</t>
  </si>
  <si>
    <t>DCF Model NWC(dso/dih/dpo)</t>
  </si>
  <si>
    <t>Base: DSO 57 / DIH 130 / DPO 53 日</t>
  </si>
  <si>
    <t>実績4期の平均（DSO 57 / DIH 130 / DPO 53）。本バッチの製造業としては標準的な水準。</t>
  </si>
  <si>
    <t>Comps Analysis</t>
  </si>
  <si>
    <t>Peer 5社 = 6724 セイコーエプソン / 4902 コニカミノルタ / 6448 ブラザー工業 / 4901 富士フイルムHD / 6971 京セラ</t>
  </si>
  <si>
    <t>■**Peer 群を作り直した**。当初は総合エレクトロニクス（京セラ / 富士通 / 日立 / 三菱電機 / オムロン）で組んだが中央値 **14.58x** となり、自社倍率 6.13x と **2.4倍**も開いた。**イメージング・オフィス機器という事業の比較可能性を優先して組み直した**ところ、エプソン 7.72x / コニカミノルタ 5.65x / ブラザー 7.82x / 富士フイルム 9.22x と自社 6.13x に整合し、中央値は **7.82x** になった。**当初の Peer 群は事業比較可能性の基準（v2 §5）を満たしていなかった**。■**7752 リコーは D&amp;A が取得できないため除外**（yfinance のCF計算書に該当行がない。v2 §5）。■京セラ(17.19x)のみ倍率が高いが、事業構成（電子部品＋機器）の重なりから残した。</t>
  </si>
  <si>
    <t>Executive Summary!C10 / Target</t>
  </si>
  <si>
    <t>Target Price = 5,960円 = PGM 5,735円 と Exit 6,184円 の2本平均。Comps 2本(EV/EBITDA 6,009円 / PER 5,546円)は [参考・Target不算入]</t>
  </si>
  <si>
    <t>メモ§2 の規約どおり。validate チェック14 PASS(C10 が C16:C17 のみを平均)。</t>
  </si>
  <si>
    <t>全体(納品状態)</t>
  </si>
  <si>
    <t>本ファイルは DRAFT。_FINAL は付けない</t>
  </si>
  <si>
    <t>バッチモードでの機械生成物であり人間の検証を経ていない。FINAL化は手順書v2 §6 に従い検証後に行う。</t>
  </si>
  <si>
    <t>DRAFT</t>
  </si>
  <si>
    <t>全体(未解決)</t>
  </si>
  <si>
    <t>**本セッションで唯一、2本の脚が一致した銘柄（PGM 5,735 / Exit 6,184、乖離 1.10倍）**</t>
  </si>
  <si>
    <t>**これは偶然ではない**。PGM逆算のターミナル倍率 **7.11x** と仮定Exit **7.80x** がほぼ一致しているため、2本の DCF が同じ世界観を描いている。■**他の5銘柄で乖離が 2〜4.6倍に開いたのは、Peer 中央値が 13〜18x と高く、PGM逆算の 3.8〜6.4x と両立しないため**であり、**Peer 倍率の水準そのものが乖離の主因**であることが本銘柄との対比で確認できる（バッチレポート §13 の構造的発見を裏づける実例）。■**したがって本銘柄の Target は、本バッチの中で相対的に信頼度が高い**。</t>
  </si>
  <si>
    <t>未解決</t>
  </si>
  <si>
    <t>それでも beta 0.256 → 0.60 のクランプが効いている</t>
  </si>
  <si>
    <t>実測 beta をそのまま使えば WACC は約 4% となり Target はさらに上振れる。追補1 §A の下限 0.60 は保守側の設計判断。</t>
  </si>
  <si>
    <t>決算期が12月で他銘柄と基準年がずれている</t>
  </si>
  <si>
    <t>base year は FY2025/12 であり、3月期の銘柄（base year FY2026/3）とは 3か月分の景気局面のずれがある。横比較の際は留意すること。</t>
  </si>
  <si>
    <t>Pipeline Metadata (do not edit — read by scripts/validate_output.py)</t>
  </si>
  <si>
    <t>key</t>
  </si>
  <si>
    <t>value</t>
  </si>
  <si>
    <t>auto_log_entries</t>
  </si>
  <si>
    <t>1</t>
  </si>
  <si>
    <t>capex_pct_basis</t>
  </si>
  <si>
    <t>assumption</t>
  </si>
  <si>
    <t>capex_pct_c5</t>
  </si>
  <si>
    <t>0.0546</t>
  </si>
  <si>
    <t>capex_pct_hist3yr</t>
  </si>
  <si>
    <t>company_name</t>
  </si>
  <si>
    <t>comps_asof</t>
  </si>
  <si>
    <t>comps_da_missing</t>
  </si>
  <si>
    <t>none</t>
  </si>
  <si>
    <t>comps_ev_ebitda_invalid</t>
  </si>
  <si>
    <t>no</t>
  </si>
  <si>
    <t>comps_ev_ebitda_rows</t>
  </si>
  <si>
    <t>6,7,8,9,10</t>
  </si>
  <si>
    <t>comps_impl_mult_row</t>
  </si>
  <si>
    <t>27</t>
  </si>
  <si>
    <t>comps_impl_per_row</t>
  </si>
  <si>
    <t>28</t>
  </si>
  <si>
    <t>comps_peer_rows</t>
  </si>
  <si>
    <t>comps_stale_excluded</t>
  </si>
  <si>
    <t>comps_stat_median_row</t>
  </si>
  <si>
    <t>16</t>
  </si>
  <si>
    <t>comps_subject_row</t>
  </si>
  <si>
    <t>5</t>
  </si>
  <si>
    <t>cost_of_debt_actual</t>
  </si>
  <si>
    <t>interest 7,305 (expense 7,305 + fees 0) / avg debt 804,830 (debt_beginning/debt_ending) = 0.009076 pre-tax -&gt; 0.006800 after-tax</t>
  </si>
  <si>
    <t>cost_of_debt_at_c11</t>
  </si>
  <si>
    <t>0.0068</t>
  </si>
  <si>
    <t>cost_of_debt_avg_debt</t>
  </si>
  <si>
    <t>804829.5</t>
  </si>
  <si>
    <t>cost_of_debt_basis</t>
  </si>
  <si>
    <t>actual</t>
  </si>
  <si>
    <t>cost_of_debt_interest</t>
  </si>
  <si>
    <t>7305.0</t>
  </si>
  <si>
    <t>cost_of_debt_pretax</t>
  </si>
  <si>
    <t>0.00907645656626652</t>
  </si>
  <si>
    <t>da_pct_basis</t>
  </si>
  <si>
    <t>da_pct_c18</t>
  </si>
  <si>
    <t>0.052</t>
  </si>
  <si>
    <t>da_pct_hist3yr</t>
  </si>
  <si>
    <t>0.003409</t>
  </si>
  <si>
    <t>fs_year_coverage</t>
  </si>
  <si>
    <t>OCF 0/4, Cash 4/4, Debt 4/4</t>
  </si>
  <si>
    <t>fs_year_map</t>
  </si>
  <si>
    <t>FY2022&lt;-FY2022[cash+debt]; FY2023&lt;-FY2023[cash+debt]; FY2024&lt;-FY2024[cash+debt]; FY2025&lt;-FY2025[cash+debt]</t>
  </si>
  <si>
    <t>fs_year_sources</t>
  </si>
  <si>
    <t>overrides: none | EDINET year-key match: hist_ocf, hist_cash, hist_debt, hist_capex, hist_depreciation</t>
  </si>
  <si>
    <t>fx_sensitivity</t>
  </si>
  <si>
    <t>not enabled</t>
  </si>
  <si>
    <t>generated_at</t>
  </si>
  <si>
    <t>2026-09-05 22:18:21</t>
  </si>
  <si>
    <t>ltm_revenue_c20</t>
  </si>
  <si>
    <t>1837606.0</t>
  </si>
  <si>
    <t>ltm_revenue_source</t>
  </si>
  <si>
    <t>latest FY (no LTM)</t>
  </si>
  <si>
    <t>narrative_tokens_used</t>
  </si>
  <si>
    <t>reverse_dcf_sheet</t>
  </si>
  <si>
    <t>op0=455,390(FY2025) peak=455,390(FY2025) peak_opm=0.0985 N=3/5/7/10</t>
  </si>
  <si>
    <t>scenario_index_range</t>
  </si>
  <si>
    <t>B69:B73</t>
  </si>
  <si>
    <t>tax_rate_c6</t>
  </si>
  <si>
    <t>0.25</t>
  </si>
  <si>
    <t>template_rev</t>
  </si>
  <si>
    <t>c9b5dd9</t>
  </si>
  <si>
    <t>ticker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</si>
</sst>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;\(#,##0\)"/>
    <numFmt numFmtId="177" formatCode="0.0%;\(0.0%\)"/>
    <numFmt numFmtId="178" formatCode="0.000"/>
    <numFmt numFmtId="179" formatCode="0.00&quot;x&quot;"/>
    <numFmt numFmtId="180" formatCode="0.00%;\(0.00%\)"/>
    <numFmt numFmtId="181" formatCode="0.0000"/>
  </numFmts>
  <fonts count="10" x14ac:knownFonts="1">
    <font>
      <sz val="11"/>
      <color theme="1"/>
      <name val="ＭＳ Ｐゴシック"/>
      <family val="2"/>
      <scheme val="minor"/>
    </font>
    <font>
      <i/>
      <sz val="9"/>
      <color rgb="FF808080"/>
      <name val="Arial"/>
    </font>
    <font>
      <b/>
      <sz val="14"/>
      <name val="Arial"/>
    </font>
    <font>
      <b/>
      <sz val="11"/>
      <name val="Arial"/>
    </font>
    <font>
      <b/>
      <sz val="10"/>
      <name val="Arial"/>
    </font>
    <font>
      <sz val="10"/>
      <color rgb="FF000000"/>
      <name val="Arial"/>
    </font>
    <font>
      <b/>
      <sz val="11"/>
      <color rgb="FFFFFFFF"/>
      <name val="Arial"/>
    </font>
    <font>
      <sz val="10"/>
      <color rgb="FF006600"/>
      <name val="Arial"/>
    </font>
    <font>
      <sz val="6"/>
      <name val="ＭＳ Ｐゴシック"/>
      <family val="3"/>
      <charset val="128"/>
      <scheme val="minor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000080"/>
        <bgColor rgb="FF000080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hair">
        <color rgb="FFB0B0B0"/>
      </left>
      <right style="hair">
        <color rgb="FFB0B0B0"/>
      </right>
      <top style="hair">
        <color rgb="FFB0B0B0"/>
      </top>
      <bottom style="hair">
        <color rgb="FFB0B0B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76" fontId="5" fillId="0" borderId="0" xfId="0" applyNumberFormat="1" applyFont="1"/>
    <xf numFmtId="0" fontId="5" fillId="0" borderId="0" xfId="0" applyFont="1"/>
    <xf numFmtId="177" fontId="5" fillId="0" borderId="0" xfId="0" applyNumberFormat="1" applyFont="1"/>
    <xf numFmtId="0" fontId="3" fillId="2" borderId="0" xfId="0" applyFont="1" applyFill="1"/>
    <xf numFmtId="0" fontId="0" fillId="2" borderId="0" xfId="0" applyFill="1"/>
    <xf numFmtId="0" fontId="6" fillId="3" borderId="1" xfId="0" applyFont="1" applyFill="1" applyBorder="1" applyAlignment="1">
      <alignment horizontal="center" wrapText="1"/>
    </xf>
    <xf numFmtId="176" fontId="7" fillId="0" borderId="0" xfId="0" applyNumberFormat="1" applyFont="1"/>
    <xf numFmtId="2" fontId="5" fillId="0" borderId="0" xfId="0" applyNumberFormat="1" applyFont="1"/>
    <xf numFmtId="178" fontId="5" fillId="0" borderId="0" xfId="0" applyNumberFormat="1" applyFont="1"/>
    <xf numFmtId="179" fontId="5" fillId="0" borderId="0" xfId="0" applyNumberFormat="1" applyFont="1"/>
    <xf numFmtId="3" fontId="5" fillId="0" borderId="0" xfId="0" applyNumberFormat="1" applyFont="1"/>
    <xf numFmtId="180" fontId="5" fillId="0" borderId="0" xfId="0" applyNumberFormat="1" applyFont="1"/>
    <xf numFmtId="0" fontId="5" fillId="0" borderId="2" xfId="0" applyFont="1" applyBorder="1"/>
    <xf numFmtId="177" fontId="5" fillId="2" borderId="0" xfId="0" applyNumberFormat="1" applyFont="1" applyFill="1"/>
    <xf numFmtId="176" fontId="5" fillId="0" borderId="3" xfId="0" applyNumberFormat="1" applyFont="1" applyBorder="1"/>
    <xf numFmtId="176" fontId="5" fillId="4" borderId="3" xfId="0" applyNumberFormat="1" applyFont="1" applyFill="1" applyBorder="1"/>
    <xf numFmtId="181" fontId="5" fillId="0" borderId="0" xfId="0" applyNumberFormat="1" applyFont="1"/>
    <xf numFmtId="0" fontId="3" fillId="5" borderId="0" xfId="0" applyFont="1" applyFill="1"/>
    <xf numFmtId="0" fontId="0" fillId="5" borderId="0" xfId="0" applyFill="1"/>
    <xf numFmtId="176" fontId="5" fillId="0" borderId="4" xfId="0" applyNumberFormat="1" applyFont="1" applyBorder="1"/>
    <xf numFmtId="0" fontId="6" fillId="3" borderId="0" xfId="0" applyFont="1" applyFill="1" applyAlignment="1">
      <alignment horizontal="center"/>
    </xf>
    <xf numFmtId="177" fontId="5" fillId="0" borderId="2" xfId="0" applyNumberFormat="1" applyFont="1" applyBorder="1"/>
    <xf numFmtId="176" fontId="5" fillId="0" borderId="2" xfId="0" applyNumberFormat="1" applyFont="1" applyBorder="1"/>
    <xf numFmtId="0" fontId="6" fillId="3" borderId="0" xfId="0" applyFont="1" applyFill="1"/>
    <xf numFmtId="180" fontId="6" fillId="3" borderId="0" xfId="0" applyNumberFormat="1" applyFont="1" applyFill="1" applyAlignment="1">
      <alignment horizontal="center"/>
    </xf>
    <xf numFmtId="3" fontId="5" fillId="0" borderId="2" xfId="0" applyNumberFormat="1" applyFont="1" applyBorder="1"/>
    <xf numFmtId="177" fontId="4" fillId="0" borderId="2" xfId="0" applyNumberFormat="1" applyFont="1" applyBorder="1"/>
    <xf numFmtId="0" fontId="6" fillId="2" borderId="1" xfId="0" applyFont="1" applyFill="1" applyBorder="1" applyAlignment="1">
      <alignment horizontal="center" wrapText="1"/>
    </xf>
    <xf numFmtId="0" fontId="4" fillId="0" borderId="5" xfId="0" applyFont="1" applyBorder="1"/>
    <xf numFmtId="3" fontId="5" fillId="0" borderId="5" xfId="0" applyNumberFormat="1" applyFont="1" applyBorder="1"/>
    <xf numFmtId="176" fontId="5" fillId="0" borderId="5" xfId="0" applyNumberFormat="1" applyFont="1" applyBorder="1"/>
    <xf numFmtId="0" fontId="5" fillId="0" borderId="5" xfId="0" applyFont="1" applyBorder="1"/>
    <xf numFmtId="176" fontId="5" fillId="0" borderId="6" xfId="0" applyNumberFormat="1" applyFont="1" applyBorder="1"/>
    <xf numFmtId="179" fontId="5" fillId="0" borderId="6" xfId="0" applyNumberFormat="1" applyFont="1" applyBorder="1"/>
    <xf numFmtId="177" fontId="5" fillId="0" borderId="6" xfId="0" applyNumberFormat="1" applyFont="1" applyBorder="1"/>
    <xf numFmtId="0" fontId="6" fillId="3" borderId="6" xfId="0" applyFont="1" applyFill="1" applyBorder="1" applyAlignment="1">
      <alignment horizontal="center" wrapText="1"/>
    </xf>
    <xf numFmtId="177" fontId="6" fillId="3" borderId="6" xfId="0" applyNumberFormat="1" applyFont="1" applyFill="1" applyBorder="1" applyAlignment="1">
      <alignment horizontal="center"/>
    </xf>
    <xf numFmtId="179" fontId="6" fillId="3" borderId="6" xfId="0" applyNumberFormat="1" applyFont="1" applyFill="1" applyBorder="1" applyAlignment="1">
      <alignment horizontal="center"/>
    </xf>
    <xf numFmtId="0" fontId="9" fillId="0" borderId="0" xfId="0" applyFont="1"/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3366"/>
  </sheetPr>
  <dimension ref="B1:E31"/>
  <sheetViews>
    <sheetView tabSelected="1" workbookViewId="0"/>
  </sheetViews>
  <sheetFormatPr defaultRowHeight="13" x14ac:dyDescent="0.2"/>
  <cols>
    <col min="1" max="1" width="3" customWidth="1"/>
    <col min="2" max="2" width="30" customWidth="1"/>
    <col min="3" max="5" width="22" customWidth="1"/>
  </cols>
  <sheetData>
    <row r="1" spans="2:5" ht="14" customHeight="1" x14ac:dyDescent="0.3">
      <c r="B1" s="46" t="s">
        <v>0</v>
      </c>
      <c r="C1" s="45"/>
      <c r="D1" s="45"/>
      <c r="E1" s="45"/>
    </row>
    <row r="3" spans="2:5" ht="18" customHeight="1" x14ac:dyDescent="0.4">
      <c r="B3" s="44" t="s">
        <v>1</v>
      </c>
      <c r="C3" s="45"/>
      <c r="D3" s="45"/>
    </row>
    <row r="4" spans="2:5" ht="14" customHeight="1" x14ac:dyDescent="0.3">
      <c r="B4" s="3" t="s">
        <v>2</v>
      </c>
    </row>
    <row r="6" spans="2:5" ht="14" customHeight="1" x14ac:dyDescent="0.3">
      <c r="B6" s="4" t="s">
        <v>3</v>
      </c>
      <c r="C6" t="s">
        <v>4</v>
      </c>
    </row>
    <row r="7" spans="2:5" ht="14" customHeight="1" x14ac:dyDescent="0.3">
      <c r="B7" s="4" t="s">
        <v>5</v>
      </c>
      <c r="C7" t="s">
        <v>6</v>
      </c>
    </row>
    <row r="8" spans="2:5" ht="14" customHeight="1" x14ac:dyDescent="0.3">
      <c r="B8" s="4" t="s">
        <v>7</v>
      </c>
      <c r="C8" t="s">
        <v>8</v>
      </c>
    </row>
    <row r="9" spans="2:5" ht="14" customHeight="1" x14ac:dyDescent="0.3">
      <c r="B9" s="4" t="s">
        <v>9</v>
      </c>
      <c r="C9" s="5">
        <v>4615</v>
      </c>
    </row>
    <row r="10" spans="2:5" ht="14" customHeight="1" x14ac:dyDescent="0.3">
      <c r="B10" s="4" t="s">
        <v>10</v>
      </c>
      <c r="C10" s="5">
        <f>IF(COUNT(C16:C17)=0,"N/A",ROUND(AVERAGE(C16:C17),0))</f>
        <v>5960</v>
      </c>
    </row>
    <row r="11" spans="2:5" ht="14" customHeight="1" x14ac:dyDescent="0.3">
      <c r="B11" s="4" t="s">
        <v>11</v>
      </c>
      <c r="C11" s="6" t="str">
        <f>IF(NOT(ISNUMBER(C12)),"N/A",IF(C12&gt;0.15,"BUY",IF(C12&gt;0.05,"HOLD","SELL")))</f>
        <v>BUY</v>
      </c>
    </row>
    <row r="12" spans="2:5" ht="14" customHeight="1" x14ac:dyDescent="0.3">
      <c r="B12" s="4" t="s">
        <v>12</v>
      </c>
      <c r="C12" s="7">
        <f>IF(ISNUMBER(C10),(C10-C9)/C9,"N/A")</f>
        <v>0.29144095341278442</v>
      </c>
    </row>
    <row r="14" spans="2:5" ht="14" customHeight="1" x14ac:dyDescent="0.3">
      <c r="B14" s="8" t="s">
        <v>13</v>
      </c>
      <c r="C14" s="9"/>
      <c r="D14" s="9"/>
    </row>
    <row r="15" spans="2:5" ht="14" customHeight="1" x14ac:dyDescent="0.3">
      <c r="B15" s="10" t="s">
        <v>14</v>
      </c>
      <c r="C15" s="10" t="s">
        <v>15</v>
      </c>
      <c r="D15" s="10" t="s">
        <v>16</v>
      </c>
    </row>
    <row r="16" spans="2:5" ht="13.5" customHeight="1" x14ac:dyDescent="0.25">
      <c r="B16" t="s">
        <v>17</v>
      </c>
      <c r="C16" s="11">
        <f>IF('DCF Model'!C53&lt;'DCF Model'!C16,"INVALID (EV &lt; net debt)",'DCF Model'!C55)</f>
        <v>5735</v>
      </c>
      <c r="D16" s="7">
        <f>IF(ISNUMBER(C16),(C16-C9)/C9,"N/A")</f>
        <v>0.24268689057421453</v>
      </c>
    </row>
    <row r="17" spans="2:5" ht="13.5" customHeight="1" x14ac:dyDescent="0.25">
      <c r="B17" t="s">
        <v>18</v>
      </c>
      <c r="C17" s="11">
        <f>IF('DCF Model'!C62&lt;'DCF Model'!C16,"INVALID (EV &lt; net debt)",'DCF Model'!C64)</f>
        <v>6184</v>
      </c>
      <c r="D17" s="7">
        <f>IF(ISNUMBER(C17),(C17-C9)/C9,"N/A")</f>
        <v>0.3399783315276273</v>
      </c>
    </row>
    <row r="18" spans="2:5" ht="13.5" customHeight="1" x14ac:dyDescent="0.25">
      <c r="B18" t="s">
        <v>19</v>
      </c>
      <c r="C18" s="11">
        <f>'Comps Analysis'!C27</f>
        <v>6009</v>
      </c>
      <c r="D18" s="7">
        <f>IF(ISNUMBER(C18),(C18-C9)/C9,"N/A")</f>
        <v>0.30205850487540631</v>
      </c>
    </row>
    <row r="19" spans="2:5" ht="13.5" customHeight="1" x14ac:dyDescent="0.25">
      <c r="B19" t="s">
        <v>20</v>
      </c>
      <c r="C19" s="11">
        <f>'Comps Analysis'!C28</f>
        <v>5546</v>
      </c>
      <c r="D19" s="7">
        <f>IF(ISNUMBER(C19),(C19-C9)/C9,"N/A")</f>
        <v>0.20173347778981582</v>
      </c>
    </row>
    <row r="20" spans="2:5" ht="14" customHeight="1" x14ac:dyDescent="0.3">
      <c r="B20" s="46" t="s">
        <v>21</v>
      </c>
      <c r="C20" s="45"/>
      <c r="D20" s="45"/>
      <c r="E20" s="45"/>
    </row>
    <row r="21" spans="2:5" ht="14" customHeight="1" x14ac:dyDescent="0.3">
      <c r="B21" s="4" t="s">
        <v>22</v>
      </c>
      <c r="C21" s="6" t="str">
        <f>IF(COUNT(C16:C17)=0,"N/A",MIN(C16:C17)&amp;" - "&amp;MAX(C16:C17))</f>
        <v>5735 - 6184</v>
      </c>
    </row>
    <row r="23" spans="2:5" ht="14" customHeight="1" x14ac:dyDescent="0.3">
      <c r="B23" s="8" t="s">
        <v>23</v>
      </c>
      <c r="C23" s="9"/>
      <c r="D23" s="9"/>
    </row>
    <row r="24" spans="2:5" x14ac:dyDescent="0.2">
      <c r="B24" t="s">
        <v>24</v>
      </c>
    </row>
    <row r="25" spans="2:5" x14ac:dyDescent="0.2">
      <c r="B25" t="s">
        <v>25</v>
      </c>
    </row>
    <row r="26" spans="2:5" x14ac:dyDescent="0.2">
      <c r="B26" t="s">
        <v>26</v>
      </c>
    </row>
    <row r="28" spans="2:5" ht="14" customHeight="1" x14ac:dyDescent="0.3">
      <c r="B28" s="8" t="s">
        <v>27</v>
      </c>
      <c r="C28" s="9"/>
      <c r="D28" s="9"/>
    </row>
    <row r="29" spans="2:5" x14ac:dyDescent="0.2">
      <c r="B29" t="s">
        <v>28</v>
      </c>
    </row>
    <row r="30" spans="2:5" x14ac:dyDescent="0.2">
      <c r="B30" t="s">
        <v>29</v>
      </c>
    </row>
    <row r="31" spans="2:5" x14ac:dyDescent="0.2">
      <c r="B31" t="s">
        <v>30</v>
      </c>
    </row>
  </sheetData>
  <mergeCells count="3">
    <mergeCell ref="B3:D3"/>
    <mergeCell ref="B1:E1"/>
    <mergeCell ref="B20:E20"/>
  </mergeCells>
  <phoneticPr fontId="8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3366"/>
  </sheetPr>
  <dimension ref="B2:F30"/>
  <sheetViews>
    <sheetView workbookViewId="0"/>
  </sheetViews>
  <sheetFormatPr defaultRowHeight="13" x14ac:dyDescent="0.2"/>
  <cols>
    <col min="1" max="1" width="3" customWidth="1"/>
    <col min="2" max="2" width="32" customWidth="1"/>
    <col min="3" max="6" width="18" customWidth="1"/>
  </cols>
  <sheetData>
    <row r="2" spans="2:6" ht="18" customHeight="1" x14ac:dyDescent="0.4">
      <c r="B2" s="2" t="s">
        <v>31</v>
      </c>
    </row>
    <row r="4" spans="2:6" ht="14" customHeight="1" x14ac:dyDescent="0.3">
      <c r="C4" s="10" t="s">
        <v>32</v>
      </c>
      <c r="D4" s="10" t="s">
        <v>33</v>
      </c>
      <c r="E4" s="10" t="s">
        <v>34</v>
      </c>
      <c r="F4" s="10" t="s">
        <v>35</v>
      </c>
    </row>
    <row r="5" spans="2:6" ht="14" customHeight="1" x14ac:dyDescent="0.3">
      <c r="B5" s="3" t="s">
        <v>36</v>
      </c>
    </row>
    <row r="6" spans="2:6" ht="14" customHeight="1" x14ac:dyDescent="0.3">
      <c r="B6" s="4" t="s">
        <v>37</v>
      </c>
      <c r="C6" s="5">
        <v>4031414</v>
      </c>
      <c r="D6" s="5">
        <v>4180972</v>
      </c>
      <c r="E6" s="5">
        <v>4509821</v>
      </c>
      <c r="F6" s="5">
        <v>4624727</v>
      </c>
    </row>
    <row r="7" spans="2:6" ht="14" customHeight="1" x14ac:dyDescent="0.3">
      <c r="B7" s="4" t="s">
        <v>38</v>
      </c>
      <c r="C7" s="5">
        <v>2203612</v>
      </c>
      <c r="D7" s="5">
        <v>2212062</v>
      </c>
      <c r="E7" s="5">
        <v>2366726</v>
      </c>
      <c r="F7" s="5">
        <v>2462772</v>
      </c>
    </row>
    <row r="8" spans="2:6" ht="14" customHeight="1" x14ac:dyDescent="0.3">
      <c r="B8" s="4" t="s">
        <v>39</v>
      </c>
      <c r="C8" s="5">
        <f>C6-C7</f>
        <v>1827802</v>
      </c>
      <c r="D8" s="5">
        <f>D6-D7</f>
        <v>1968910</v>
      </c>
      <c r="E8" s="5">
        <f>E6-E7</f>
        <v>2143095</v>
      </c>
      <c r="F8" s="5">
        <f>F6-F7</f>
        <v>2161955</v>
      </c>
    </row>
    <row r="9" spans="2:6" ht="13.5" customHeight="1" x14ac:dyDescent="0.25">
      <c r="B9" t="s">
        <v>40</v>
      </c>
      <c r="C9" s="7">
        <f>C8/C6</f>
        <v>0.4533898031807202</v>
      </c>
      <c r="D9" s="7">
        <f>D8/D6</f>
        <v>0.47092159430869185</v>
      </c>
      <c r="E9" s="7">
        <f>E8/E6</f>
        <v>0.47520622215382829</v>
      </c>
      <c r="F9" s="7">
        <f>F8/F6</f>
        <v>0.46747732352634003</v>
      </c>
    </row>
    <row r="10" spans="2:6" ht="14" customHeight="1" x14ac:dyDescent="0.3">
      <c r="B10" s="4" t="s">
        <v>41</v>
      </c>
      <c r="C10" s="5">
        <v>1474403</v>
      </c>
      <c r="D10" s="5">
        <v>1593544</v>
      </c>
      <c r="E10" s="5">
        <v>1698241</v>
      </c>
      <c r="F10" s="5">
        <v>1706565</v>
      </c>
    </row>
    <row r="11" spans="2:6" ht="14" customHeight="1" x14ac:dyDescent="0.3">
      <c r="B11" s="4" t="s">
        <v>42</v>
      </c>
      <c r="C11" s="5">
        <v>353399</v>
      </c>
      <c r="D11" s="5">
        <v>375366</v>
      </c>
      <c r="E11" s="5">
        <v>444854</v>
      </c>
      <c r="F11" s="5">
        <v>455390</v>
      </c>
    </row>
    <row r="12" spans="2:6" ht="14" customHeight="1" x14ac:dyDescent="0.3">
      <c r="B12" s="4" t="s">
        <v>43</v>
      </c>
      <c r="C12" s="5">
        <v>243961</v>
      </c>
      <c r="D12" s="5">
        <v>264513</v>
      </c>
      <c r="E12" s="5">
        <v>160025</v>
      </c>
      <c r="F12" s="5">
        <v>332053</v>
      </c>
    </row>
    <row r="13" spans="2:6" ht="13.5" customHeight="1" x14ac:dyDescent="0.25">
      <c r="B13" t="s">
        <v>44</v>
      </c>
      <c r="C13" s="7">
        <f>C11/C6</f>
        <v>8.7661301965017729E-2</v>
      </c>
      <c r="D13" s="7">
        <f>D11/D6</f>
        <v>8.9779601489797106E-2</v>
      </c>
      <c r="E13" s="7">
        <f>E11/E6</f>
        <v>9.8641165580629478E-2</v>
      </c>
      <c r="F13" s="7">
        <f>F11/F6</f>
        <v>9.846851500639929E-2</v>
      </c>
    </row>
    <row r="14" spans="2:6" ht="13.5" customHeight="1" x14ac:dyDescent="0.25">
      <c r="B14" t="s">
        <v>45</v>
      </c>
      <c r="C14" s="7">
        <f>C12/C6</f>
        <v>6.0514995482974461E-2</v>
      </c>
      <c r="D14" s="7">
        <f>D12/D6</f>
        <v>6.3265910415090082E-2</v>
      </c>
      <c r="E14" s="7">
        <f>E12/E6</f>
        <v>3.5483669972710671E-2</v>
      </c>
      <c r="F14" s="7">
        <f>F12/F6</f>
        <v>7.1799481353169603E-2</v>
      </c>
    </row>
    <row r="15" spans="2:6" ht="13.5" customHeight="1" x14ac:dyDescent="0.25">
      <c r="B15" t="s">
        <v>46</v>
      </c>
      <c r="C15" t="s">
        <v>47</v>
      </c>
      <c r="D15" s="7">
        <f>(D6-C6)/C6</f>
        <v>3.7098149681476525E-2</v>
      </c>
      <c r="E15" s="7">
        <f>(E6-D6)/D6</f>
        <v>7.8653719757032572E-2</v>
      </c>
      <c r="F15" s="7">
        <f>(F6-E6)/E6</f>
        <v>2.5479060033646569E-2</v>
      </c>
    </row>
    <row r="16" spans="2:6" ht="13.5" customHeight="1" x14ac:dyDescent="0.25">
      <c r="B16" t="s">
        <v>48</v>
      </c>
      <c r="C16" t="s">
        <v>47</v>
      </c>
      <c r="D16" s="7">
        <f>(D11-C11)/C11</f>
        <v>6.2159202487839522E-2</v>
      </c>
      <c r="E16" s="7">
        <f>(E11-D11)/D11</f>
        <v>0.18512065557349361</v>
      </c>
      <c r="F16" s="7">
        <f>(F11-E11)/E11</f>
        <v>2.3684175032707359E-2</v>
      </c>
    </row>
    <row r="18" spans="2:6" ht="14" customHeight="1" x14ac:dyDescent="0.3">
      <c r="B18" s="3" t="s">
        <v>49</v>
      </c>
    </row>
    <row r="19" spans="2:6" ht="14" customHeight="1" x14ac:dyDescent="0.3">
      <c r="B19" s="4" t="s">
        <v>50</v>
      </c>
      <c r="C19" s="5"/>
      <c r="D19" s="5"/>
      <c r="E19" s="5"/>
      <c r="F19" s="5"/>
    </row>
    <row r="20" spans="2:6" ht="14" customHeight="1" x14ac:dyDescent="0.3">
      <c r="B20" s="4" t="s">
        <v>51</v>
      </c>
      <c r="C20" s="5"/>
      <c r="D20" s="5"/>
      <c r="E20" s="5"/>
      <c r="F20" s="5"/>
    </row>
    <row r="21" spans="2:6" ht="14" customHeight="1" x14ac:dyDescent="0.3">
      <c r="B21" s="4" t="s">
        <v>52</v>
      </c>
    </row>
    <row r="22" spans="2:6" x14ac:dyDescent="0.2">
      <c r="B22" t="s">
        <v>53</v>
      </c>
    </row>
    <row r="23" spans="2:6" x14ac:dyDescent="0.2">
      <c r="B23" t="s">
        <v>54</v>
      </c>
    </row>
    <row r="25" spans="2:6" ht="14" customHeight="1" x14ac:dyDescent="0.3">
      <c r="B25" s="3" t="s">
        <v>55</v>
      </c>
    </row>
    <row r="26" spans="2:6" ht="14" customHeight="1" x14ac:dyDescent="0.3">
      <c r="B26" s="4" t="s">
        <v>56</v>
      </c>
      <c r="C26" s="5">
        <v>33159</v>
      </c>
      <c r="D26" s="5">
        <v>43845</v>
      </c>
      <c r="E26" s="5">
        <v>44670</v>
      </c>
      <c r="F26" s="5">
        <v>20517</v>
      </c>
    </row>
    <row r="27" spans="2:6" ht="14" customHeight="1" x14ac:dyDescent="0.3">
      <c r="B27" s="4" t="s">
        <v>57</v>
      </c>
      <c r="C27" s="5">
        <v>1066655</v>
      </c>
      <c r="D27" s="5">
        <v>883620</v>
      </c>
      <c r="E27" s="5">
        <v>740545</v>
      </c>
      <c r="F27" s="5">
        <v>927399</v>
      </c>
    </row>
    <row r="28" spans="2:6" ht="14" customHeight="1" x14ac:dyDescent="0.3">
      <c r="B28" s="4" t="s">
        <v>58</v>
      </c>
      <c r="C28" s="5">
        <f>C27-C26</f>
        <v>1033496</v>
      </c>
      <c r="D28" s="5">
        <f>D27-D26</f>
        <v>839775</v>
      </c>
      <c r="E28" s="5">
        <f>E27-E26</f>
        <v>695875</v>
      </c>
      <c r="F28" s="5">
        <f>F27-F26</f>
        <v>906882</v>
      </c>
    </row>
    <row r="30" spans="2:6" ht="14" customHeight="1" x14ac:dyDescent="0.3">
      <c r="B30" s="1" t="s">
        <v>59</v>
      </c>
    </row>
  </sheetData>
  <phoneticPr fontId="8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6600"/>
  </sheetPr>
  <dimension ref="B2:G87"/>
  <sheetViews>
    <sheetView workbookViewId="0"/>
  </sheetViews>
  <sheetFormatPr defaultRowHeight="13" x14ac:dyDescent="0.2"/>
  <cols>
    <col min="1" max="1" width="3" customWidth="1"/>
    <col min="2" max="2" width="32" customWidth="1"/>
    <col min="3" max="7" width="16" customWidth="1"/>
  </cols>
  <sheetData>
    <row r="2" spans="2:7" ht="18" customHeight="1" x14ac:dyDescent="0.4">
      <c r="B2" s="2" t="s">
        <v>60</v>
      </c>
    </row>
    <row r="4" spans="2:7" ht="14" customHeight="1" x14ac:dyDescent="0.3">
      <c r="B4" s="8" t="s">
        <v>61</v>
      </c>
      <c r="C4" s="9"/>
      <c r="D4" s="9"/>
      <c r="E4" s="9"/>
      <c r="F4" s="9"/>
      <c r="G4" s="9"/>
    </row>
    <row r="5" spans="2:7" ht="14" customHeight="1" x14ac:dyDescent="0.3">
      <c r="B5" s="4" t="s">
        <v>62</v>
      </c>
      <c r="C5" s="7">
        <v>5.4600000000000003E-2</v>
      </c>
    </row>
    <row r="6" spans="2:7" ht="14" customHeight="1" x14ac:dyDescent="0.3">
      <c r="B6" s="4" t="s">
        <v>63</v>
      </c>
      <c r="C6" s="7">
        <v>0.25</v>
      </c>
    </row>
    <row r="7" spans="2:7" ht="14" customHeight="1" x14ac:dyDescent="0.3">
      <c r="B7" s="4" t="s">
        <v>64</v>
      </c>
      <c r="C7" s="7">
        <v>2.9700000000000001E-2</v>
      </c>
    </row>
    <row r="8" spans="2:7" ht="14" customHeight="1" x14ac:dyDescent="0.3">
      <c r="B8" s="4" t="s">
        <v>65</v>
      </c>
      <c r="C8" s="12">
        <v>0.6</v>
      </c>
    </row>
    <row r="9" spans="2:7" ht="14" customHeight="1" x14ac:dyDescent="0.3">
      <c r="B9" s="4" t="s">
        <v>66</v>
      </c>
      <c r="C9" s="7">
        <v>6.5000000000000002E-2</v>
      </c>
    </row>
    <row r="10" spans="2:7" ht="14" customHeight="1" x14ac:dyDescent="0.3">
      <c r="B10" s="4" t="s">
        <v>67</v>
      </c>
      <c r="C10" s="7">
        <v>0.01</v>
      </c>
    </row>
    <row r="11" spans="2:7" ht="14" customHeight="1" x14ac:dyDescent="0.3">
      <c r="B11" s="4" t="s">
        <v>68</v>
      </c>
      <c r="C11" s="7">
        <v>6.7999999999999996E-3</v>
      </c>
    </row>
    <row r="12" spans="2:7" ht="14" customHeight="1" x14ac:dyDescent="0.3">
      <c r="B12" s="4" t="s">
        <v>69</v>
      </c>
      <c r="C12" s="13">
        <v>9.2499999999999999E-2</v>
      </c>
    </row>
    <row r="13" spans="2:7" ht="14" customHeight="1" x14ac:dyDescent="0.3">
      <c r="B13" s="4" t="s">
        <v>70</v>
      </c>
      <c r="C13" s="7">
        <v>0.01</v>
      </c>
    </row>
    <row r="14" spans="2:7" ht="14" customHeight="1" x14ac:dyDescent="0.3">
      <c r="B14" s="4" t="s">
        <v>71</v>
      </c>
      <c r="C14" s="14">
        <v>7.8</v>
      </c>
    </row>
    <row r="15" spans="2:7" ht="14" customHeight="1" x14ac:dyDescent="0.3">
      <c r="B15" s="4" t="s">
        <v>72</v>
      </c>
      <c r="C15" s="15">
        <v>843953156</v>
      </c>
    </row>
    <row r="16" spans="2:7" ht="14" customHeight="1" x14ac:dyDescent="0.3">
      <c r="B16" s="4" t="s">
        <v>73</v>
      </c>
      <c r="C16" s="5">
        <v>360178</v>
      </c>
    </row>
    <row r="17" spans="2:7" ht="14" customHeight="1" x14ac:dyDescent="0.3">
      <c r="B17" s="4" t="s">
        <v>74</v>
      </c>
      <c r="C17" s="5">
        <v>4624727</v>
      </c>
    </row>
    <row r="18" spans="2:7" ht="14" customHeight="1" x14ac:dyDescent="0.3">
      <c r="B18" s="4" t="s">
        <v>75</v>
      </c>
      <c r="C18" s="7">
        <v>5.1999999999999998E-2</v>
      </c>
    </row>
    <row r="19" spans="2:7" ht="14" customHeight="1" x14ac:dyDescent="0.3">
      <c r="B19" s="4" t="s">
        <v>76</v>
      </c>
      <c r="C19" s="12">
        <v>1</v>
      </c>
    </row>
    <row r="20" spans="2:7" ht="14" customHeight="1" x14ac:dyDescent="0.3">
      <c r="B20" s="4" t="s">
        <v>77</v>
      </c>
      <c r="C20" s="5">
        <v>1837606</v>
      </c>
    </row>
    <row r="22" spans="2:7" ht="14" customHeight="1" x14ac:dyDescent="0.3">
      <c r="B22" s="8" t="s">
        <v>78</v>
      </c>
      <c r="C22" s="9"/>
      <c r="D22" s="9"/>
      <c r="E22" s="9"/>
      <c r="F22" s="9"/>
      <c r="G22" s="9"/>
    </row>
    <row r="23" spans="2:7" ht="14" customHeight="1" x14ac:dyDescent="0.3">
      <c r="B23" s="4" t="s">
        <v>79</v>
      </c>
      <c r="C23" s="16">
        <f>C7+C8*C9+C10</f>
        <v>7.8699999999999992E-2</v>
      </c>
    </row>
    <row r="24" spans="2:7" ht="14" customHeight="1" x14ac:dyDescent="0.3">
      <c r="B24" s="4" t="s">
        <v>80</v>
      </c>
      <c r="C24" s="16">
        <f>1/(1+C12)</f>
        <v>0.91533180778032031</v>
      </c>
    </row>
    <row r="25" spans="2:7" ht="14" customHeight="1" x14ac:dyDescent="0.3">
      <c r="B25" s="4" t="s">
        <v>81</v>
      </c>
      <c r="C25" s="16">
        <f>C12/(1+C12)</f>
        <v>8.4668192219679625E-2</v>
      </c>
    </row>
    <row r="26" spans="2:7" ht="14" customHeight="1" x14ac:dyDescent="0.3">
      <c r="B26" s="4" t="s">
        <v>82</v>
      </c>
      <c r="C26" s="16">
        <f>C23*C24+C11*C25</f>
        <v>7.2612356979405018E-2</v>
      </c>
    </row>
    <row r="27" spans="2:7" ht="14" customHeight="1" x14ac:dyDescent="0.3">
      <c r="B27" s="4" t="s">
        <v>83</v>
      </c>
      <c r="C27" s="17" t="s">
        <v>84</v>
      </c>
      <c r="D27" s="6">
        <f>MATCH(C27,B69:B73,0)</f>
        <v>1</v>
      </c>
    </row>
    <row r="28" spans="2:7" ht="14" customHeight="1" x14ac:dyDescent="0.3">
      <c r="B28" s="8" t="s">
        <v>85</v>
      </c>
      <c r="C28" s="9"/>
      <c r="D28" s="9"/>
      <c r="E28" s="9"/>
      <c r="F28" s="9"/>
      <c r="G28" s="9"/>
    </row>
    <row r="29" spans="2:7" ht="14" customHeight="1" x14ac:dyDescent="0.3">
      <c r="C29" s="10" t="s">
        <v>86</v>
      </c>
      <c r="D29" s="10" t="s">
        <v>87</v>
      </c>
      <c r="E29" s="10" t="s">
        <v>88</v>
      </c>
      <c r="F29" s="10" t="s">
        <v>89</v>
      </c>
      <c r="G29" s="10" t="s">
        <v>90</v>
      </c>
    </row>
    <row r="30" spans="2:7" ht="14" customHeight="1" x14ac:dyDescent="0.3">
      <c r="B30" s="4" t="s">
        <v>46</v>
      </c>
      <c r="C30" s="18">
        <f>CHOOSE($D$27,C69,C70,C71,C72,C73)</f>
        <v>2.5000000000000001E-2</v>
      </c>
      <c r="D30" s="18">
        <f>CHOOSE($D$27,D69,D70,D71,D72,D73)</f>
        <v>2.5000000000000001E-2</v>
      </c>
      <c r="E30" s="18">
        <f>CHOOSE($D$27,E69,E70,E71,E72,E73)</f>
        <v>0.02</v>
      </c>
      <c r="F30" s="18">
        <f>CHOOSE($D$27,F69,F70,F71,F72,F73)</f>
        <v>0.02</v>
      </c>
      <c r="G30" s="18">
        <f>CHOOSE($D$27,G69,G70,G71,G72,G73)</f>
        <v>0.02</v>
      </c>
    </row>
    <row r="31" spans="2:7" ht="14" customHeight="1" x14ac:dyDescent="0.3">
      <c r="B31" s="4" t="s">
        <v>91</v>
      </c>
      <c r="C31" s="18">
        <f>CHOOSE($D$27,C76,C77,C78,C79,C80)</f>
        <v>0.53300000000000003</v>
      </c>
      <c r="D31" s="18">
        <f>CHOOSE($D$27,D76,D77,D78,D79,D80)</f>
        <v>0.53300000000000003</v>
      </c>
      <c r="E31" s="18">
        <f>CHOOSE($D$27,E76,E77,E78,E79,E80)</f>
        <v>0.53300000000000003</v>
      </c>
      <c r="F31" s="18">
        <f>CHOOSE($D$27,F76,F77,F78,F79,F80)</f>
        <v>0.53300000000000003</v>
      </c>
      <c r="G31" s="18">
        <f>CHOOSE($D$27,G76,G77,G78,G79,G80)</f>
        <v>0.53300000000000003</v>
      </c>
    </row>
    <row r="32" spans="2:7" ht="14" customHeight="1" x14ac:dyDescent="0.3">
      <c r="B32" s="4" t="s">
        <v>92</v>
      </c>
      <c r="C32" s="18">
        <f>CHOOSE($D$27,C83,C84,C85,C86,C87)</f>
        <v>0.36849999999999999</v>
      </c>
      <c r="D32" s="18">
        <f>CHOOSE($D$27,D83,D84,D85,D86,D87)</f>
        <v>0.36849999999999999</v>
      </c>
      <c r="E32" s="18">
        <f>CHOOSE($D$27,E83,E84,E85,E86,E87)</f>
        <v>0.36849999999999999</v>
      </c>
      <c r="F32" s="18">
        <f>CHOOSE($D$27,F83,F84,F85,F86,F87)</f>
        <v>0.36849999999999999</v>
      </c>
      <c r="G32" s="18">
        <f>CHOOSE($D$27,G83,G84,G85,G86,G87)</f>
        <v>0.36849999999999999</v>
      </c>
    </row>
    <row r="33" spans="2:7" ht="14" customHeight="1" x14ac:dyDescent="0.3">
      <c r="B33" s="4" t="s">
        <v>37</v>
      </c>
      <c r="C33" s="5">
        <f>C17*(1+C30)</f>
        <v>4740345.1749999998</v>
      </c>
      <c r="D33" s="5">
        <f>C33*(1+D30)</f>
        <v>4858853.8043749994</v>
      </c>
      <c r="E33" s="5">
        <f>D33*(1+E30)</f>
        <v>4956030.8804624993</v>
      </c>
      <c r="F33" s="5">
        <f>E33*(1+F30)</f>
        <v>5055151.4980717497</v>
      </c>
      <c r="G33" s="5">
        <f>F33*(1+G30)</f>
        <v>5156254.5280331848</v>
      </c>
    </row>
    <row r="34" spans="2:7" ht="14" customHeight="1" x14ac:dyDescent="0.3">
      <c r="B34" s="4" t="s">
        <v>38</v>
      </c>
      <c r="C34" s="5">
        <f>C33*C31</f>
        <v>2526603.9782750001</v>
      </c>
      <c r="D34" s="5">
        <f>D33*D31</f>
        <v>2589769.0777318748</v>
      </c>
      <c r="E34" s="5">
        <f>E33*E31</f>
        <v>2641564.4592865123</v>
      </c>
      <c r="F34" s="5">
        <f>F33*F31</f>
        <v>2694395.7484722426</v>
      </c>
      <c r="G34" s="5">
        <f>G33*G31</f>
        <v>2748283.6634416878</v>
      </c>
    </row>
    <row r="35" spans="2:7" ht="14" customHeight="1" x14ac:dyDescent="0.3">
      <c r="B35" s="4" t="s">
        <v>39</v>
      </c>
      <c r="C35" s="19">
        <f>C33-C34</f>
        <v>2213741.1967249997</v>
      </c>
      <c r="D35" s="19">
        <f>D33-D34</f>
        <v>2269084.7266431246</v>
      </c>
      <c r="E35" s="19">
        <f>E33-E34</f>
        <v>2314466.421175987</v>
      </c>
      <c r="F35" s="19">
        <f>F33-F34</f>
        <v>2360755.7495995071</v>
      </c>
      <c r="G35" s="19">
        <f>G33-G34</f>
        <v>2407970.864591497</v>
      </c>
    </row>
    <row r="36" spans="2:7" ht="14" customHeight="1" x14ac:dyDescent="0.3">
      <c r="B36" s="4" t="s">
        <v>40</v>
      </c>
      <c r="C36" s="7">
        <f>C35/C33</f>
        <v>0.46699999999999997</v>
      </c>
      <c r="D36" s="7">
        <f>D35/D33</f>
        <v>0.46699999999999997</v>
      </c>
      <c r="E36" s="7">
        <f>E35/E33</f>
        <v>0.46699999999999997</v>
      </c>
      <c r="F36" s="7">
        <f>F35/F33</f>
        <v>0.46699999999999997</v>
      </c>
      <c r="G36" s="7">
        <f>G35/G33</f>
        <v>0.46699999999999992</v>
      </c>
    </row>
    <row r="37" spans="2:7" ht="14" customHeight="1" x14ac:dyDescent="0.3">
      <c r="B37" s="4" t="s">
        <v>93</v>
      </c>
      <c r="C37" s="5">
        <f>C33*C32</f>
        <v>1746817.1969874999</v>
      </c>
      <c r="D37" s="5">
        <f>D33*D32</f>
        <v>1790487.6269121873</v>
      </c>
      <c r="E37" s="5">
        <f>E33*E32</f>
        <v>1826297.3794504309</v>
      </c>
      <c r="F37" s="5">
        <f>F33*F32</f>
        <v>1862823.3270394397</v>
      </c>
      <c r="G37" s="5">
        <f>G33*G32</f>
        <v>1900079.7935802285</v>
      </c>
    </row>
    <row r="38" spans="2:7" ht="14" customHeight="1" x14ac:dyDescent="0.3">
      <c r="B38" s="4" t="s">
        <v>94</v>
      </c>
      <c r="C38" s="7">
        <f>(C35-C37)/C33</f>
        <v>9.8499999999999949E-2</v>
      </c>
      <c r="D38" s="7">
        <f>(D35-D37)/D33</f>
        <v>9.8499999999999963E-2</v>
      </c>
      <c r="E38" s="7">
        <f>(E35-E37)/E33</f>
        <v>9.849999999999999E-2</v>
      </c>
      <c r="F38" s="7">
        <f>(F35-F37)/F33</f>
        <v>9.8500000000000004E-2</v>
      </c>
      <c r="G38" s="7">
        <f>(G35-G37)/G33</f>
        <v>9.8499999999999963E-2</v>
      </c>
    </row>
    <row r="39" spans="2:7" ht="14" customHeight="1" x14ac:dyDescent="0.3">
      <c r="B39" s="4" t="s">
        <v>95</v>
      </c>
      <c r="C39" s="19">
        <f>C35-C37</f>
        <v>466923.99973749975</v>
      </c>
      <c r="D39" s="19">
        <f>D35-D37</f>
        <v>478597.09973093728</v>
      </c>
      <c r="E39" s="19">
        <f>E35-E37</f>
        <v>488169.04172555613</v>
      </c>
      <c r="F39" s="19">
        <f>F35-F37</f>
        <v>497932.42256006738</v>
      </c>
      <c r="G39" s="19">
        <f>G35-G37</f>
        <v>507891.07101126853</v>
      </c>
    </row>
    <row r="40" spans="2:7" ht="14" customHeight="1" x14ac:dyDescent="0.3">
      <c r="B40" s="4" t="s">
        <v>96</v>
      </c>
      <c r="C40" s="5">
        <f>MAX(0,C39*C6)</f>
        <v>116730.99993437494</v>
      </c>
      <c r="D40" s="5">
        <f>MAX(0,D39*C6)</f>
        <v>119649.27493273432</v>
      </c>
      <c r="E40" s="5">
        <f>MAX(0,E39*C6)</f>
        <v>122042.26043138903</v>
      </c>
      <c r="F40" s="5">
        <f>MAX(0,F39*C6)</f>
        <v>124483.10564001685</v>
      </c>
      <c r="G40" s="5">
        <f>MAX(0,G39*C6)</f>
        <v>126972.76775281713</v>
      </c>
    </row>
    <row r="41" spans="2:7" ht="14" customHeight="1" x14ac:dyDescent="0.3">
      <c r="B41" s="4" t="s">
        <v>97</v>
      </c>
      <c r="C41" s="19">
        <f>C39-C40</f>
        <v>350192.99980312481</v>
      </c>
      <c r="D41" s="19">
        <f>D39-D40</f>
        <v>358947.82479820296</v>
      </c>
      <c r="E41" s="19">
        <f>E39-E40</f>
        <v>366126.7812941671</v>
      </c>
      <c r="F41" s="19">
        <f>F39-F40</f>
        <v>373449.31692005054</v>
      </c>
      <c r="G41" s="19">
        <f>G39-G40</f>
        <v>380918.3032584514</v>
      </c>
    </row>
    <row r="42" spans="2:7" ht="14" customHeight="1" x14ac:dyDescent="0.3">
      <c r="B42" s="4" t="s">
        <v>98</v>
      </c>
      <c r="C42" s="5">
        <f>C33*C18</f>
        <v>246497.94909999997</v>
      </c>
      <c r="D42" s="5">
        <f>D33*C18</f>
        <v>252660.39782749995</v>
      </c>
      <c r="E42" s="5">
        <f>E33*C18</f>
        <v>257713.60578404996</v>
      </c>
      <c r="F42" s="5">
        <f>F33*C18</f>
        <v>262867.87789973099</v>
      </c>
      <c r="G42" s="5">
        <f>G33*C18</f>
        <v>268125.23545772559</v>
      </c>
    </row>
    <row r="43" spans="2:7" ht="14" customHeight="1" x14ac:dyDescent="0.3">
      <c r="B43" s="4" t="s">
        <v>99</v>
      </c>
      <c r="C43" s="5">
        <v>270000</v>
      </c>
      <c r="D43" s="5">
        <v>272000</v>
      </c>
      <c r="E43" s="5">
        <v>275000</v>
      </c>
      <c r="F43" s="5">
        <v>278000</v>
      </c>
      <c r="G43" s="5">
        <v>280000</v>
      </c>
    </row>
    <row r="44" spans="2:7" ht="14" customHeight="1" x14ac:dyDescent="0.3">
      <c r="B44" s="4" t="s">
        <v>100</v>
      </c>
      <c r="C44" s="5">
        <f>'NWC Schedule'!D19</f>
        <v>9860.6884991093539</v>
      </c>
      <c r="D44" s="5">
        <f>'NWC Schedule'!E19</f>
        <v>31832.067212477792</v>
      </c>
      <c r="E44" s="5">
        <f>'NWC Schedule'!F19</f>
        <v>26102.295114231762</v>
      </c>
      <c r="F44" s="5">
        <f>'NWC Schedule'!G19</f>
        <v>26624.341016516555</v>
      </c>
      <c r="G44" s="5">
        <f>'NWC Schedule'!H19</f>
        <v>27156.8278368467</v>
      </c>
    </row>
    <row r="45" spans="2:7" ht="14" customHeight="1" x14ac:dyDescent="0.3">
      <c r="B45" s="4" t="s">
        <v>101</v>
      </c>
      <c r="C45" s="20">
        <f>C41+C42-C43-C44</f>
        <v>316830.26040401543</v>
      </c>
      <c r="D45" s="20">
        <f>D41+D42-D43-D44</f>
        <v>307776.15541322506</v>
      </c>
      <c r="E45" s="20">
        <f>E41+E42-E43-E44</f>
        <v>322738.09196398524</v>
      </c>
      <c r="F45" s="20">
        <f>F41+F42-F43-F44</f>
        <v>331692.85380326491</v>
      </c>
      <c r="G45" s="20">
        <f>G41+G42-G43-G44</f>
        <v>341886.71087933029</v>
      </c>
    </row>
    <row r="46" spans="2:7" ht="14" customHeight="1" x14ac:dyDescent="0.3">
      <c r="B46" s="4" t="s">
        <v>102</v>
      </c>
      <c r="C46" s="21">
        <f>1/(1+C26)^(C19+0)</f>
        <v>0.93230326267740427</v>
      </c>
      <c r="D46" s="21">
        <f>1/(1+C26)^(C19+1)</f>
        <v>0.86918937359893311</v>
      </c>
      <c r="E46" s="21">
        <f>1/(1+C26)^(C19+2)</f>
        <v>0.81034808889081467</v>
      </c>
      <c r="F46" s="21">
        <f>1/(1+C26)^(C19+3)</f>
        <v>0.75549016717730577</v>
      </c>
      <c r="G46" s="21">
        <f>1/(1+C26)^(C19+4)</f>
        <v>0.70434594778009973</v>
      </c>
    </row>
    <row r="47" spans="2:7" ht="14" customHeight="1" x14ac:dyDescent="0.3">
      <c r="B47" s="4" t="s">
        <v>103</v>
      </c>
      <c r="C47" s="19">
        <f>C45*C46</f>
        <v>295381.88548959518</v>
      </c>
      <c r="D47" s="19">
        <f>D45*D46</f>
        <v>267515.76373230899</v>
      </c>
      <c r="E47" s="19">
        <f>E45*E46</f>
        <v>261530.19603528341</v>
      </c>
      <c r="F47" s="19">
        <f>F45*F46</f>
        <v>250590.68957134624</v>
      </c>
      <c r="G47" s="19">
        <f>G45*G46</f>
        <v>240806.51940772284</v>
      </c>
    </row>
    <row r="49" spans="2:7" ht="14" customHeight="1" x14ac:dyDescent="0.3">
      <c r="B49" s="22" t="s">
        <v>104</v>
      </c>
      <c r="C49" s="23"/>
      <c r="D49" s="23"/>
      <c r="E49" s="23"/>
      <c r="F49" s="23"/>
      <c r="G49" s="23"/>
    </row>
    <row r="50" spans="2:7" ht="14" customHeight="1" x14ac:dyDescent="0.3">
      <c r="B50" s="4" t="s">
        <v>105</v>
      </c>
      <c r="C50" s="5">
        <f>SUM(C47:G47)</f>
        <v>1315825.0542362565</v>
      </c>
    </row>
    <row r="51" spans="2:7" ht="14" customHeight="1" x14ac:dyDescent="0.3">
      <c r="B51" s="4" t="s">
        <v>106</v>
      </c>
      <c r="C51" s="5">
        <f>G45*(1+C13)/(C26-C13)</f>
        <v>5514974.913046387</v>
      </c>
    </row>
    <row r="52" spans="2:7" ht="14" customHeight="1" x14ac:dyDescent="0.3">
      <c r="B52" s="4" t="s">
        <v>107</v>
      </c>
      <c r="C52" s="5">
        <f>C51*G46</f>
        <v>3884450.2321131304</v>
      </c>
    </row>
    <row r="53" spans="2:7" ht="14" customHeight="1" x14ac:dyDescent="0.3">
      <c r="B53" s="4" t="s">
        <v>108</v>
      </c>
      <c r="C53" s="5">
        <f>C50+C52</f>
        <v>5200275.2863493869</v>
      </c>
    </row>
    <row r="54" spans="2:7" ht="14" customHeight="1" x14ac:dyDescent="0.3">
      <c r="B54" s="4" t="s">
        <v>109</v>
      </c>
      <c r="C54" s="5">
        <f>C53-C16</f>
        <v>4840097.2863493869</v>
      </c>
    </row>
    <row r="55" spans="2:7" ht="14" customHeight="1" x14ac:dyDescent="0.3">
      <c r="B55" s="4" t="s">
        <v>110</v>
      </c>
      <c r="C55" s="24">
        <f>ROUND(C54*1000000/C15,0)</f>
        <v>5735</v>
      </c>
    </row>
    <row r="57" spans="2:7" ht="14" customHeight="1" x14ac:dyDescent="0.3">
      <c r="B57" s="22" t="s">
        <v>111</v>
      </c>
      <c r="C57" s="23"/>
      <c r="D57" s="23"/>
      <c r="E57" s="23"/>
      <c r="F57" s="23"/>
      <c r="G57" s="23"/>
    </row>
    <row r="58" spans="2:7" ht="14" customHeight="1" x14ac:dyDescent="0.3">
      <c r="B58" s="4" t="s">
        <v>105</v>
      </c>
      <c r="C58" s="5">
        <f>C50</f>
        <v>1315825.0542362565</v>
      </c>
    </row>
    <row r="59" spans="2:7" ht="14" customHeight="1" x14ac:dyDescent="0.3">
      <c r="B59" s="4" t="s">
        <v>112</v>
      </c>
      <c r="C59" s="5">
        <f>G39+G42</f>
        <v>776016.30646899412</v>
      </c>
    </row>
    <row r="60" spans="2:7" ht="14" customHeight="1" x14ac:dyDescent="0.3">
      <c r="B60" s="4" t="s">
        <v>113</v>
      </c>
      <c r="C60" s="5">
        <f>C59*C14</f>
        <v>6052927.1904581543</v>
      </c>
    </row>
    <row r="61" spans="2:7" ht="14" customHeight="1" x14ac:dyDescent="0.3">
      <c r="B61" s="4" t="s">
        <v>107</v>
      </c>
      <c r="C61" s="5">
        <f>C60*G46</f>
        <v>4263354.7388071846</v>
      </c>
    </row>
    <row r="62" spans="2:7" ht="14" customHeight="1" x14ac:dyDescent="0.3">
      <c r="B62" s="4" t="s">
        <v>108</v>
      </c>
      <c r="C62" s="5">
        <f>C58+C61</f>
        <v>5579179.7930434411</v>
      </c>
    </row>
    <row r="63" spans="2:7" ht="14" customHeight="1" x14ac:dyDescent="0.3">
      <c r="B63" s="4" t="s">
        <v>109</v>
      </c>
      <c r="C63" s="5">
        <f>C62-C16</f>
        <v>5219001.7930434411</v>
      </c>
    </row>
    <row r="64" spans="2:7" ht="14" customHeight="1" x14ac:dyDescent="0.3">
      <c r="B64" s="4" t="s">
        <v>114</v>
      </c>
      <c r="C64" s="24">
        <f>ROUND(C63*1000000/C15,0)</f>
        <v>6184</v>
      </c>
    </row>
    <row r="66" spans="2:7" ht="14" customHeight="1" x14ac:dyDescent="0.3">
      <c r="B66" s="22" t="s">
        <v>115</v>
      </c>
      <c r="C66" s="23"/>
      <c r="D66" s="23"/>
      <c r="E66" s="23"/>
      <c r="F66" s="23"/>
      <c r="G66" s="23"/>
    </row>
    <row r="67" spans="2:7" ht="14" customHeight="1" x14ac:dyDescent="0.3">
      <c r="C67" s="25" t="s">
        <v>116</v>
      </c>
      <c r="D67" s="25" t="s">
        <v>117</v>
      </c>
      <c r="E67" s="25" t="s">
        <v>118</v>
      </c>
      <c r="F67" s="25" t="s">
        <v>119</v>
      </c>
      <c r="G67" s="25" t="s">
        <v>120</v>
      </c>
    </row>
    <row r="68" spans="2:7" ht="14" customHeight="1" x14ac:dyDescent="0.3">
      <c r="B68" s="3" t="s">
        <v>46</v>
      </c>
    </row>
    <row r="69" spans="2:7" ht="14" customHeight="1" x14ac:dyDescent="0.3">
      <c r="B69" s="4" t="s">
        <v>84</v>
      </c>
      <c r="C69" s="26">
        <v>2.5000000000000001E-2</v>
      </c>
      <c r="D69" s="26">
        <v>2.5000000000000001E-2</v>
      </c>
      <c r="E69" s="26">
        <v>0.02</v>
      </c>
      <c r="F69" s="26">
        <v>0.02</v>
      </c>
      <c r="G69" s="26">
        <v>0.02</v>
      </c>
    </row>
    <row r="70" spans="2:7" ht="14" customHeight="1" x14ac:dyDescent="0.3">
      <c r="B70" s="4" t="s">
        <v>121</v>
      </c>
      <c r="C70" s="26">
        <v>0.04</v>
      </c>
      <c r="D70" s="26">
        <v>3.5000000000000003E-2</v>
      </c>
      <c r="E70" s="26">
        <v>0.03</v>
      </c>
      <c r="F70" s="26">
        <v>0.03</v>
      </c>
      <c r="G70" s="26">
        <v>2.5000000000000001E-2</v>
      </c>
    </row>
    <row r="71" spans="2:7" ht="14" customHeight="1" x14ac:dyDescent="0.3">
      <c r="B71" s="4" t="s">
        <v>122</v>
      </c>
      <c r="C71" s="26">
        <v>2.5000000000000001E-2</v>
      </c>
      <c r="D71" s="26">
        <v>2.5000000000000001E-2</v>
      </c>
      <c r="E71" s="26">
        <v>0.02</v>
      </c>
      <c r="F71" s="26">
        <v>0.02</v>
      </c>
      <c r="G71" s="26">
        <v>0.02</v>
      </c>
    </row>
    <row r="72" spans="2:7" ht="14" customHeight="1" x14ac:dyDescent="0.3">
      <c r="B72" s="4" t="s">
        <v>123</v>
      </c>
      <c r="C72" s="26">
        <v>0</v>
      </c>
      <c r="D72" s="26">
        <v>0.01</v>
      </c>
      <c r="E72" s="26">
        <v>1.4999999999999999E-2</v>
      </c>
      <c r="F72" s="26">
        <v>1.4999999999999999E-2</v>
      </c>
      <c r="G72" s="26">
        <v>1.4999999999999999E-2</v>
      </c>
    </row>
    <row r="73" spans="2:7" ht="14" customHeight="1" x14ac:dyDescent="0.3">
      <c r="B73" s="4" t="s">
        <v>124</v>
      </c>
      <c r="C73" s="26">
        <v>-0.08</v>
      </c>
      <c r="D73" s="26">
        <v>-0.01</v>
      </c>
      <c r="E73" s="26">
        <v>0.01</v>
      </c>
      <c r="F73" s="26">
        <v>1.4999999999999999E-2</v>
      </c>
      <c r="G73" s="26">
        <v>1.4999999999999999E-2</v>
      </c>
    </row>
    <row r="75" spans="2:7" ht="14" customHeight="1" x14ac:dyDescent="0.3">
      <c r="B75" s="3" t="s">
        <v>91</v>
      </c>
    </row>
    <row r="76" spans="2:7" ht="14" customHeight="1" x14ac:dyDescent="0.3">
      <c r="B76" s="4" t="s">
        <v>84</v>
      </c>
      <c r="C76" s="26">
        <v>0.53300000000000003</v>
      </c>
      <c r="D76" s="26">
        <v>0.53300000000000003</v>
      </c>
      <c r="E76" s="26">
        <v>0.53300000000000003</v>
      </c>
      <c r="F76" s="26">
        <v>0.53300000000000003</v>
      </c>
      <c r="G76" s="26">
        <v>0.53300000000000003</v>
      </c>
    </row>
    <row r="77" spans="2:7" ht="14" customHeight="1" x14ac:dyDescent="0.3">
      <c r="B77" s="4" t="s">
        <v>121</v>
      </c>
      <c r="C77" s="26">
        <v>0.52500000000000002</v>
      </c>
      <c r="D77" s="26">
        <v>0.52500000000000002</v>
      </c>
      <c r="E77" s="26">
        <v>0.52500000000000002</v>
      </c>
      <c r="F77" s="26">
        <v>0.52500000000000002</v>
      </c>
      <c r="G77" s="26">
        <v>0.52500000000000002</v>
      </c>
    </row>
    <row r="78" spans="2:7" ht="14" customHeight="1" x14ac:dyDescent="0.3">
      <c r="B78" s="4" t="s">
        <v>122</v>
      </c>
      <c r="C78" s="26">
        <v>0.53300000000000003</v>
      </c>
      <c r="D78" s="26">
        <v>0.53300000000000003</v>
      </c>
      <c r="E78" s="26">
        <v>0.53300000000000003</v>
      </c>
      <c r="F78" s="26">
        <v>0.53300000000000003</v>
      </c>
      <c r="G78" s="26">
        <v>0.53300000000000003</v>
      </c>
    </row>
    <row r="79" spans="2:7" ht="14" customHeight="1" x14ac:dyDescent="0.3">
      <c r="B79" s="4" t="s">
        <v>123</v>
      </c>
      <c r="C79" s="26">
        <v>0.54300000000000004</v>
      </c>
      <c r="D79" s="26">
        <v>0.54300000000000004</v>
      </c>
      <c r="E79" s="26">
        <v>0.54300000000000004</v>
      </c>
      <c r="F79" s="26">
        <v>0.54300000000000004</v>
      </c>
      <c r="G79" s="26">
        <v>0.54300000000000004</v>
      </c>
    </row>
    <row r="80" spans="2:7" ht="14" customHeight="1" x14ac:dyDescent="0.3">
      <c r="B80" s="4" t="s">
        <v>124</v>
      </c>
      <c r="C80" s="26">
        <v>0.56000000000000005</v>
      </c>
      <c r="D80" s="26">
        <v>0.56000000000000005</v>
      </c>
      <c r="E80" s="26">
        <v>0.56000000000000005</v>
      </c>
      <c r="F80" s="26">
        <v>0.56000000000000005</v>
      </c>
      <c r="G80" s="26">
        <v>0.56000000000000005</v>
      </c>
    </row>
    <row r="82" spans="2:7" ht="14" customHeight="1" x14ac:dyDescent="0.3">
      <c r="B82" s="3" t="s">
        <v>92</v>
      </c>
    </row>
    <row r="83" spans="2:7" ht="14" customHeight="1" x14ac:dyDescent="0.3">
      <c r="B83" s="4" t="s">
        <v>84</v>
      </c>
      <c r="C83" s="26">
        <v>0.36849999999999999</v>
      </c>
      <c r="D83" s="26">
        <v>0.36849999999999999</v>
      </c>
      <c r="E83" s="26">
        <v>0.36849999999999999</v>
      </c>
      <c r="F83" s="26">
        <v>0.36849999999999999</v>
      </c>
      <c r="G83" s="26">
        <v>0.36849999999999999</v>
      </c>
    </row>
    <row r="84" spans="2:7" ht="14" customHeight="1" x14ac:dyDescent="0.3">
      <c r="B84" s="4" t="s">
        <v>121</v>
      </c>
      <c r="C84" s="26">
        <v>0.373</v>
      </c>
      <c r="D84" s="26">
        <v>0.371</v>
      </c>
      <c r="E84" s="26">
        <v>0.36899999999999999</v>
      </c>
      <c r="F84" s="26">
        <v>0.36749999999999999</v>
      </c>
      <c r="G84" s="26">
        <v>0.36649999999999999</v>
      </c>
    </row>
    <row r="85" spans="2:7" ht="14" customHeight="1" x14ac:dyDescent="0.3">
      <c r="B85" s="4" t="s">
        <v>122</v>
      </c>
      <c r="C85" s="26">
        <v>0.36849999999999999</v>
      </c>
      <c r="D85" s="26">
        <v>0.36849999999999999</v>
      </c>
      <c r="E85" s="26">
        <v>0.36849999999999999</v>
      </c>
      <c r="F85" s="26">
        <v>0.36849999999999999</v>
      </c>
      <c r="G85" s="26">
        <v>0.36849999999999999</v>
      </c>
    </row>
    <row r="86" spans="2:7" ht="14" customHeight="1" x14ac:dyDescent="0.3">
      <c r="B86" s="4" t="s">
        <v>123</v>
      </c>
      <c r="C86" s="26">
        <v>0.36199999999999999</v>
      </c>
      <c r="D86" s="26">
        <v>0.36449999999999999</v>
      </c>
      <c r="E86" s="26">
        <v>0.36599999999999999</v>
      </c>
      <c r="F86" s="26">
        <v>0.36699999999999999</v>
      </c>
      <c r="G86" s="26">
        <v>0.36770000000000003</v>
      </c>
    </row>
    <row r="87" spans="2:7" ht="14" customHeight="1" x14ac:dyDescent="0.3">
      <c r="B87" s="4" t="s">
        <v>124</v>
      </c>
      <c r="C87" s="26">
        <v>0.36099999999999999</v>
      </c>
      <c r="D87" s="26">
        <v>0.36399999999999999</v>
      </c>
      <c r="E87" s="26">
        <v>0.36499999999999999</v>
      </c>
      <c r="F87" s="26">
        <v>0.36499999999999999</v>
      </c>
      <c r="G87" s="26">
        <v>0.36499999999999999</v>
      </c>
    </row>
  </sheetData>
  <phoneticPr fontId="8"/>
  <dataValidations count="1">
    <dataValidation type="list" sqref="C27" xr:uid="{00000000-0002-0000-0200-000000000000}">
      <formula1>"Base,Upside,Management,Downside 1,Downside 2"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B2:I79"/>
  <sheetViews>
    <sheetView workbookViewId="0"/>
  </sheetViews>
  <sheetFormatPr defaultRowHeight="13" x14ac:dyDescent="0.2"/>
  <cols>
    <col min="1" max="1" width="3" customWidth="1"/>
    <col min="2" max="2" width="52" customWidth="1"/>
    <col min="3" max="9" width="15" customWidth="1"/>
  </cols>
  <sheetData>
    <row r="2" spans="2:9" ht="18" customHeight="1" x14ac:dyDescent="0.4">
      <c r="B2" s="2" t="s">
        <v>125</v>
      </c>
    </row>
    <row r="3" spans="2:9" ht="14" customHeight="1" x14ac:dyDescent="0.3">
      <c r="B3" s="1" t="s">
        <v>126</v>
      </c>
    </row>
    <row r="5" spans="2:9" ht="14" customHeight="1" x14ac:dyDescent="0.3">
      <c r="B5" s="8" t="s">
        <v>127</v>
      </c>
      <c r="C5" s="9"/>
      <c r="D5" s="9"/>
      <c r="E5" s="9"/>
      <c r="F5" s="9"/>
      <c r="G5" s="9"/>
      <c r="H5" s="9"/>
      <c r="I5" s="9"/>
    </row>
    <row r="6" spans="2:9" ht="14" customHeight="1" x14ac:dyDescent="0.3">
      <c r="B6" s="4" t="s">
        <v>128</v>
      </c>
      <c r="C6" s="15">
        <f>'Executive Summary'!C9</f>
        <v>4615</v>
      </c>
    </row>
    <row r="7" spans="2:9" ht="14" customHeight="1" x14ac:dyDescent="0.3">
      <c r="B7" s="4" t="s">
        <v>72</v>
      </c>
      <c r="C7" s="15">
        <f>'DCF Model'!C15</f>
        <v>843953156</v>
      </c>
    </row>
    <row r="8" spans="2:9" ht="14" customHeight="1" x14ac:dyDescent="0.3">
      <c r="B8" s="4" t="s">
        <v>129</v>
      </c>
      <c r="C8" s="5">
        <f>C6*C7/1000000</f>
        <v>3894843.81494</v>
      </c>
    </row>
    <row r="9" spans="2:9" ht="14" customHeight="1" x14ac:dyDescent="0.3">
      <c r="B9" s="4" t="s">
        <v>73</v>
      </c>
      <c r="C9" s="5">
        <f>'DCF Model'!C16</f>
        <v>360178</v>
      </c>
    </row>
    <row r="10" spans="2:9" ht="14" customHeight="1" x14ac:dyDescent="0.3">
      <c r="B10" s="4" t="s">
        <v>130</v>
      </c>
      <c r="C10" s="5">
        <f>C8+C9</f>
        <v>4255021.81494</v>
      </c>
    </row>
    <row r="11" spans="2:9" ht="14" customHeight="1" x14ac:dyDescent="0.3">
      <c r="B11" s="4" t="s">
        <v>131</v>
      </c>
      <c r="C11" s="16">
        <f>'DCF Model'!C26</f>
        <v>7.2612356979405018E-2</v>
      </c>
    </row>
    <row r="12" spans="2:9" ht="14" customHeight="1" x14ac:dyDescent="0.3">
      <c r="B12" s="4" t="s">
        <v>132</v>
      </c>
      <c r="C12" s="16">
        <f>'DCF Model'!C13</f>
        <v>0.01</v>
      </c>
    </row>
    <row r="13" spans="2:9" ht="14" customHeight="1" x14ac:dyDescent="0.3">
      <c r="B13" s="4" t="s">
        <v>133</v>
      </c>
      <c r="C13" s="16">
        <f>'DCF Model'!C6</f>
        <v>0.25</v>
      </c>
    </row>
    <row r="14" spans="2:9" ht="14" customHeight="1" x14ac:dyDescent="0.3">
      <c r="B14" s="4" t="s">
        <v>134</v>
      </c>
      <c r="C14" s="27">
        <v>455390</v>
      </c>
    </row>
    <row r="15" spans="2:9" ht="14" customHeight="1" x14ac:dyDescent="0.3">
      <c r="B15" s="4" t="s">
        <v>135</v>
      </c>
      <c r="C15" s="27">
        <v>455390</v>
      </c>
    </row>
    <row r="16" spans="2:9" ht="14" customHeight="1" x14ac:dyDescent="0.3">
      <c r="B16" s="4" t="s">
        <v>136</v>
      </c>
      <c r="C16" s="5">
        <f>'DCF Model'!G33</f>
        <v>5156254.5280331848</v>
      </c>
    </row>
    <row r="17" spans="2:9" ht="14" customHeight="1" x14ac:dyDescent="0.3">
      <c r="B17" s="4" t="s">
        <v>137</v>
      </c>
      <c r="C17" s="5">
        <f>'DCF Model'!C53</f>
        <v>5200275.2863493869</v>
      </c>
    </row>
    <row r="18" spans="2:9" ht="14" customHeight="1" x14ac:dyDescent="0.3">
      <c r="B18" s="4" t="s">
        <v>138</v>
      </c>
      <c r="C18" s="26">
        <v>9.846851500639929E-2</v>
      </c>
    </row>
    <row r="19" spans="2:9" ht="14" customHeight="1" x14ac:dyDescent="0.3">
      <c r="B19" s="4" t="s">
        <v>139</v>
      </c>
      <c r="C19" s="5">
        <f>C10-C17</f>
        <v>-945253.47140938696</v>
      </c>
    </row>
    <row r="20" spans="2:9" ht="14" customHeight="1" x14ac:dyDescent="0.3">
      <c r="B20" s="4" t="s">
        <v>140</v>
      </c>
      <c r="C20" s="15">
        <f>IFERROR(ROUND(C19*1000000/C7,0),"N/A")</f>
        <v>-1120</v>
      </c>
    </row>
    <row r="22" spans="2:9" ht="14" customHeight="1" x14ac:dyDescent="0.3">
      <c r="B22" s="8" t="s">
        <v>141</v>
      </c>
      <c r="C22" s="9"/>
      <c r="D22" s="9"/>
      <c r="E22" s="9"/>
      <c r="F22" s="9"/>
      <c r="G22" s="9"/>
      <c r="H22" s="9"/>
      <c r="I22" s="9"/>
    </row>
    <row r="23" spans="2:9" ht="14" customHeight="1" x14ac:dyDescent="0.3">
      <c r="B23" s="1" t="s">
        <v>142</v>
      </c>
    </row>
    <row r="24" spans="2:9" ht="14" customHeight="1" x14ac:dyDescent="0.3">
      <c r="B24" s="4" t="s">
        <v>143</v>
      </c>
      <c r="C24" s="5">
        <f>C10*(C11-C12)</f>
        <v>266416.94483217911</v>
      </c>
    </row>
    <row r="25" spans="2:9" ht="14" customHeight="1" x14ac:dyDescent="0.3">
      <c r="B25" s="4" t="s">
        <v>144</v>
      </c>
      <c r="C25" s="5">
        <f>IFERROR(C24/(1-C13),"N/A")</f>
        <v>355222.59310957213</v>
      </c>
    </row>
    <row r="26" spans="2:9" ht="13.5" customHeight="1" x14ac:dyDescent="0.25">
      <c r="B26" s="6" t="s">
        <v>145</v>
      </c>
      <c r="C26" s="14">
        <f>IFERROR(C25/C15,"N/A")</f>
        <v>0.78004038979681622</v>
      </c>
    </row>
    <row r="27" spans="2:9" ht="13.5" customHeight="1" x14ac:dyDescent="0.25">
      <c r="B27" s="6" t="s">
        <v>146</v>
      </c>
      <c r="C27" s="14">
        <f>IFERROR(C25/C14,"N/A")</f>
        <v>0.78004038979681622</v>
      </c>
    </row>
    <row r="28" spans="2:9" ht="13.5" customHeight="1" x14ac:dyDescent="0.25">
      <c r="B28" s="6" t="s">
        <v>147</v>
      </c>
      <c r="C28" s="7">
        <f>IFERROR(C25/C16,"N/A")</f>
        <v>6.8891593923131864E-2</v>
      </c>
    </row>
    <row r="29" spans="2:9" ht="13.5" customHeight="1" x14ac:dyDescent="0.25">
      <c r="B29" s="6" t="s">
        <v>148</v>
      </c>
      <c r="C29" s="5">
        <f>IFERROR(C25/C18,"N/A")</f>
        <v>3607473.8517838605</v>
      </c>
    </row>
    <row r="32" spans="2:9" ht="14" customHeight="1" x14ac:dyDescent="0.3">
      <c r="B32" s="8" t="s">
        <v>149</v>
      </c>
      <c r="C32" s="9"/>
      <c r="D32" s="9"/>
      <c r="E32" s="9"/>
      <c r="F32" s="9"/>
      <c r="G32" s="9"/>
      <c r="H32" s="9"/>
      <c r="I32" s="9"/>
    </row>
    <row r="33" spans="2:9" ht="14" customHeight="1" x14ac:dyDescent="0.3">
      <c r="B33" s="1" t="s">
        <v>150</v>
      </c>
    </row>
    <row r="34" spans="2:9" ht="14" customHeight="1" x14ac:dyDescent="0.3">
      <c r="B34" s="1" t="s">
        <v>151</v>
      </c>
    </row>
    <row r="36" spans="2:9" ht="14" customHeight="1" x14ac:dyDescent="0.3">
      <c r="B36" s="28" t="s">
        <v>152</v>
      </c>
      <c r="C36" s="28" t="s">
        <v>153</v>
      </c>
      <c r="D36" s="29">
        <f>'DCF Model'!C26-0.02</f>
        <v>5.2612356979405014E-2</v>
      </c>
      <c r="E36" s="29">
        <f>'DCF Model'!C26-0.01</f>
        <v>6.2612356979405023E-2</v>
      </c>
      <c r="F36" s="29">
        <f>'DCF Model'!C26</f>
        <v>7.2612356979405018E-2</v>
      </c>
      <c r="G36" s="29">
        <f>'DCF Model'!C26+0.01</f>
        <v>8.2612356979405013E-2</v>
      </c>
      <c r="H36" s="29">
        <f>'DCF Model'!C26+0.02</f>
        <v>9.2612356979405022E-2</v>
      </c>
    </row>
    <row r="37" spans="2:9" ht="14" customHeight="1" x14ac:dyDescent="0.3">
      <c r="B37" s="3" t="s">
        <v>154</v>
      </c>
    </row>
    <row r="38" spans="2:9" ht="14" customHeight="1" x14ac:dyDescent="0.3">
      <c r="B38" s="4" t="s">
        <v>155</v>
      </c>
      <c r="C38" s="30">
        <v>3</v>
      </c>
      <c r="D38" s="13">
        <f t="shared" ref="D38:H41" si="0">IFERROR((1-(1+D$36)^(-$C38))/D$36-(1+D$36)/(D$36^2*$C38)*(1-($C38+1)/(1+D$36)^$C38+$C38/(1+D$36)^($C38+1)),"N/A")</f>
        <v>0.93418921935270438</v>
      </c>
      <c r="E38" s="13">
        <f t="shared" si="0"/>
        <v>0.92259324688650546</v>
      </c>
      <c r="F38" s="13">
        <f t="shared" si="0"/>
        <v>0.91126529965124514</v>
      </c>
      <c r="G38" s="13">
        <f t="shared" si="0"/>
        <v>0.90019652814479212</v>
      </c>
      <c r="H38" s="13">
        <f t="shared" si="0"/>
        <v>0.88937845843498553</v>
      </c>
    </row>
    <row r="39" spans="2:9" ht="14" customHeight="1" x14ac:dyDescent="0.3">
      <c r="B39" s="4" t="s">
        <v>156</v>
      </c>
      <c r="C39" s="30">
        <v>5</v>
      </c>
      <c r="D39" s="13">
        <f t="shared" si="0"/>
        <v>1.8074155933767551</v>
      </c>
      <c r="E39" s="13">
        <f t="shared" si="0"/>
        <v>1.7744805105518231</v>
      </c>
      <c r="F39" s="13">
        <f t="shared" si="0"/>
        <v>1.7425935032930626</v>
      </c>
      <c r="G39" s="13">
        <f t="shared" si="0"/>
        <v>1.7117090839298532</v>
      </c>
      <c r="H39" s="13">
        <f t="shared" si="0"/>
        <v>1.6817842153553006</v>
      </c>
    </row>
    <row r="40" spans="2:9" ht="14" customHeight="1" x14ac:dyDescent="0.3">
      <c r="B40" s="4" t="s">
        <v>157</v>
      </c>
      <c r="C40" s="30">
        <v>7</v>
      </c>
      <c r="D40" s="13">
        <f t="shared" si="0"/>
        <v>2.6241470915627447</v>
      </c>
      <c r="E40" s="13">
        <f t="shared" si="0"/>
        <v>2.5617456842347259</v>
      </c>
      <c r="F40" s="13">
        <f t="shared" si="0"/>
        <v>2.5018550316976462</v>
      </c>
      <c r="G40" s="13">
        <f t="shared" si="0"/>
        <v>2.4443408498872889</v>
      </c>
      <c r="H40" s="13">
        <f t="shared" si="0"/>
        <v>2.3890775843444541</v>
      </c>
    </row>
    <row r="41" spans="2:9" ht="14" customHeight="1" x14ac:dyDescent="0.3">
      <c r="B41" s="4" t="s">
        <v>158</v>
      </c>
      <c r="C41" s="30">
        <v>10</v>
      </c>
      <c r="D41" s="13">
        <f t="shared" si="0"/>
        <v>3.7522383223404603</v>
      </c>
      <c r="E41" s="13">
        <f t="shared" si="0"/>
        <v>3.6334259899302705</v>
      </c>
      <c r="F41" s="13">
        <f t="shared" si="0"/>
        <v>3.5208295080450207</v>
      </c>
      <c r="G41" s="13">
        <f t="shared" si="0"/>
        <v>3.414025857272788</v>
      </c>
      <c r="H41" s="13">
        <f t="shared" si="0"/>
        <v>3.3126263520225621</v>
      </c>
    </row>
    <row r="42" spans="2:9" ht="14" customHeight="1" x14ac:dyDescent="0.3">
      <c r="B42" s="3" t="s">
        <v>159</v>
      </c>
    </row>
    <row r="43" spans="2:9" ht="14" customHeight="1" x14ac:dyDescent="0.3">
      <c r="B43" s="4" t="s">
        <v>155</v>
      </c>
      <c r="C43" s="30">
        <v>3</v>
      </c>
      <c r="D43" s="13">
        <f t="shared" ref="D43:H46" si="1">IFERROR((1+D$36)/(D$36^2*$C43)*(1-($C43+1)/(1+D$36)^$C43+$C43/(1+D$36)^($C43+1))+(1+$C$12)/((D$36-$C$12)*(1+D$36)^$C43),"N/A")</f>
        <v>22.09843714710723</v>
      </c>
      <c r="E43" s="13">
        <f t="shared" si="1"/>
        <v>17.73714808566627</v>
      </c>
      <c r="F43" s="13">
        <f t="shared" si="1"/>
        <v>14.772301347747755</v>
      </c>
      <c r="G43" s="13">
        <f t="shared" si="1"/>
        <v>12.626853984574838</v>
      </c>
      <c r="H43" s="13">
        <f t="shared" si="1"/>
        <v>11.003164727367086</v>
      </c>
    </row>
    <row r="44" spans="2:9" ht="14" customHeight="1" x14ac:dyDescent="0.3">
      <c r="B44" s="4" t="s">
        <v>156</v>
      </c>
      <c r="C44" s="30">
        <v>5</v>
      </c>
      <c r="D44" s="13">
        <f t="shared" si="1"/>
        <v>20.832839208457365</v>
      </c>
      <c r="E44" s="13">
        <f t="shared" si="1"/>
        <v>16.577771237776947</v>
      </c>
      <c r="F44" s="13">
        <f t="shared" si="1"/>
        <v>13.69088860303313</v>
      </c>
      <c r="G44" s="13">
        <f t="shared" si="1"/>
        <v>11.606553210855791</v>
      </c>
      <c r="H44" s="13">
        <f t="shared" si="1"/>
        <v>10.033021358428375</v>
      </c>
    </row>
    <row r="45" spans="2:9" ht="14" customHeight="1" x14ac:dyDescent="0.3">
      <c r="B45" s="4" t="s">
        <v>157</v>
      </c>
      <c r="C45" s="30">
        <v>7</v>
      </c>
      <c r="D45" s="13">
        <f t="shared" si="1"/>
        <v>19.661979439934356</v>
      </c>
      <c r="E45" s="13">
        <f t="shared" si="1"/>
        <v>15.518185344922149</v>
      </c>
      <c r="F45" s="13">
        <f t="shared" si="1"/>
        <v>12.7142562490267</v>
      </c>
      <c r="G45" s="13">
        <f t="shared" si="1"/>
        <v>10.695782027428713</v>
      </c>
      <c r="H45" s="13">
        <f t="shared" si="1"/>
        <v>9.1768442990451717</v>
      </c>
    </row>
    <row r="46" spans="2:9" ht="14" customHeight="1" x14ac:dyDescent="0.3">
      <c r="B46" s="4" t="s">
        <v>158</v>
      </c>
      <c r="C46" s="30">
        <v>10</v>
      </c>
      <c r="D46" s="13">
        <f t="shared" si="1"/>
        <v>18.066348494108851</v>
      </c>
      <c r="E46" s="13">
        <f t="shared" si="1"/>
        <v>14.095293840642968</v>
      </c>
      <c r="F46" s="13">
        <f t="shared" si="1"/>
        <v>11.42135791380707</v>
      </c>
      <c r="G46" s="13">
        <f t="shared" si="1"/>
        <v>9.5066960599608858</v>
      </c>
      <c r="H46" s="13">
        <f t="shared" si="1"/>
        <v>8.0740359805846253</v>
      </c>
    </row>
    <row r="47" spans="2:9" ht="14" customHeight="1" x14ac:dyDescent="0.3">
      <c r="B47" s="22" t="s">
        <v>160</v>
      </c>
      <c r="C47" s="23"/>
      <c r="D47" s="23"/>
      <c r="E47" s="23"/>
      <c r="F47" s="23"/>
      <c r="G47" s="23"/>
      <c r="H47" s="23"/>
      <c r="I47" s="23"/>
    </row>
    <row r="48" spans="2:9" ht="14" customHeight="1" x14ac:dyDescent="0.3">
      <c r="B48" s="4" t="s">
        <v>155</v>
      </c>
      <c r="C48" s="30">
        <v>3</v>
      </c>
      <c r="D48" s="5">
        <f t="shared" ref="D48:H51" si="2">IFERROR(($C$10/(1-$C$13)-$C$14*D38)/D43,"N/A")</f>
        <v>237480.23248811273</v>
      </c>
      <c r="E48" s="5">
        <f t="shared" si="2"/>
        <v>296170.6501997119</v>
      </c>
      <c r="F48" s="5">
        <f t="shared" si="2"/>
        <v>355962.22899376025</v>
      </c>
      <c r="G48" s="5">
        <f t="shared" si="2"/>
        <v>416843.49319300137</v>
      </c>
      <c r="H48" s="5">
        <f t="shared" si="2"/>
        <v>478803.00752290379</v>
      </c>
    </row>
    <row r="49" spans="2:9" ht="14" customHeight="1" x14ac:dyDescent="0.3">
      <c r="B49" s="4" t="s">
        <v>156</v>
      </c>
      <c r="C49" s="30">
        <v>5</v>
      </c>
      <c r="D49" s="5">
        <f t="shared" si="2"/>
        <v>232819.12677956655</v>
      </c>
      <c r="E49" s="5">
        <f t="shared" si="2"/>
        <v>293482.25828650245</v>
      </c>
      <c r="F49" s="5">
        <f t="shared" si="2"/>
        <v>356427.03011799272</v>
      </c>
      <c r="G49" s="5">
        <f t="shared" si="2"/>
        <v>421646.90337281814</v>
      </c>
      <c r="H49" s="5">
        <f t="shared" si="2"/>
        <v>489134.2827618664</v>
      </c>
    </row>
    <row r="50" spans="2:9" ht="14" customHeight="1" x14ac:dyDescent="0.3">
      <c r="B50" s="4" t="s">
        <v>157</v>
      </c>
      <c r="C50" s="30">
        <v>7</v>
      </c>
      <c r="D50" s="5">
        <f t="shared" si="2"/>
        <v>227767.10196316804</v>
      </c>
      <c r="E50" s="5">
        <f t="shared" si="2"/>
        <v>290418.56071470689</v>
      </c>
      <c r="F50" s="5">
        <f t="shared" si="2"/>
        <v>356610.92306380864</v>
      </c>
      <c r="G50" s="5">
        <f t="shared" si="2"/>
        <v>426358.16891138692</v>
      </c>
      <c r="H50" s="5">
        <f t="shared" si="2"/>
        <v>499670.71788092545</v>
      </c>
    </row>
    <row r="51" spans="2:9" ht="14" customHeight="1" x14ac:dyDescent="0.3">
      <c r="B51" s="4" t="s">
        <v>158</v>
      </c>
      <c r="C51" s="30">
        <v>10</v>
      </c>
      <c r="D51" s="5">
        <f t="shared" si="2"/>
        <v>219448.36343670561</v>
      </c>
      <c r="E51" s="5">
        <f t="shared" si="2"/>
        <v>285111.93904861057</v>
      </c>
      <c r="F51" s="5">
        <f t="shared" si="2"/>
        <v>356350.96115245769</v>
      </c>
      <c r="G51" s="5">
        <f t="shared" si="2"/>
        <v>433236.65328093927</v>
      </c>
      <c r="H51" s="5">
        <f t="shared" si="2"/>
        <v>515829.44582950434</v>
      </c>
    </row>
    <row r="52" spans="2:9" ht="14" customHeight="1" x14ac:dyDescent="0.3">
      <c r="B52" s="22" t="s">
        <v>161</v>
      </c>
      <c r="C52" s="23"/>
      <c r="D52" s="23"/>
      <c r="E52" s="23"/>
      <c r="F52" s="23"/>
      <c r="G52" s="23"/>
      <c r="H52" s="23"/>
      <c r="I52" s="23"/>
    </row>
    <row r="53" spans="2:9" ht="14" customHeight="1" x14ac:dyDescent="0.3">
      <c r="B53" s="4" t="s">
        <v>155</v>
      </c>
      <c r="C53" s="30">
        <v>3</v>
      </c>
      <c r="D53" s="14">
        <f t="shared" ref="D53:H56" si="3">IFERROR(D48/$C$15,"N/A")</f>
        <v>0.52148758753620572</v>
      </c>
      <c r="E53" s="14">
        <f t="shared" si="3"/>
        <v>0.65036704846332138</v>
      </c>
      <c r="F53" s="14">
        <f t="shared" si="3"/>
        <v>0.78166457101332976</v>
      </c>
      <c r="G53" s="14">
        <f t="shared" si="3"/>
        <v>0.91535495551725199</v>
      </c>
      <c r="H53" s="14">
        <f t="shared" si="3"/>
        <v>1.0514130910272597</v>
      </c>
    </row>
    <row r="54" spans="2:9" ht="14" customHeight="1" x14ac:dyDescent="0.3">
      <c r="B54" s="4" t="s">
        <v>156</v>
      </c>
      <c r="C54" s="30">
        <v>5</v>
      </c>
      <c r="D54" s="14">
        <f t="shared" si="3"/>
        <v>0.51125217237876663</v>
      </c>
      <c r="E54" s="14">
        <f t="shared" si="3"/>
        <v>0.64446355494521712</v>
      </c>
      <c r="F54" s="14">
        <f t="shared" si="3"/>
        <v>0.78268523708907245</v>
      </c>
      <c r="G54" s="14">
        <f t="shared" si="3"/>
        <v>0.92590285990649368</v>
      </c>
      <c r="H54" s="14">
        <f t="shared" si="3"/>
        <v>1.07409974475036</v>
      </c>
    </row>
    <row r="55" spans="2:9" ht="14" customHeight="1" x14ac:dyDescent="0.3">
      <c r="B55" s="4" t="s">
        <v>157</v>
      </c>
      <c r="C55" s="30">
        <v>7</v>
      </c>
      <c r="D55" s="14">
        <f t="shared" si="3"/>
        <v>0.50015833014156663</v>
      </c>
      <c r="E55" s="14">
        <f t="shared" si="3"/>
        <v>0.63773592023256309</v>
      </c>
      <c r="F55" s="14">
        <f t="shared" si="3"/>
        <v>0.78308905128309503</v>
      </c>
      <c r="G55" s="14">
        <f t="shared" si="3"/>
        <v>0.93624842203690661</v>
      </c>
      <c r="H55" s="14">
        <f t="shared" si="3"/>
        <v>1.097236913153397</v>
      </c>
    </row>
    <row r="56" spans="2:9" ht="14" customHeight="1" x14ac:dyDescent="0.3">
      <c r="B56" s="4" t="s">
        <v>158</v>
      </c>
      <c r="C56" s="30">
        <v>10</v>
      </c>
      <c r="D56" s="14">
        <f t="shared" si="3"/>
        <v>0.48189104599728938</v>
      </c>
      <c r="E56" s="14">
        <f t="shared" si="3"/>
        <v>0.62608300368609449</v>
      </c>
      <c r="F56" s="14">
        <f t="shared" si="3"/>
        <v>0.78251819572774473</v>
      </c>
      <c r="G56" s="14">
        <f t="shared" si="3"/>
        <v>0.95135302330077354</v>
      </c>
      <c r="H56" s="14">
        <f t="shared" si="3"/>
        <v>1.1327201867179875</v>
      </c>
    </row>
    <row r="58" spans="2:9" ht="14" customHeight="1" x14ac:dyDescent="0.3">
      <c r="B58" s="8" t="s">
        <v>162</v>
      </c>
      <c r="C58" s="9"/>
      <c r="D58" s="9"/>
      <c r="E58" s="9"/>
      <c r="F58" s="9"/>
      <c r="G58" s="9"/>
      <c r="H58" s="9"/>
      <c r="I58" s="9"/>
    </row>
    <row r="59" spans="2:9" ht="14" customHeight="1" x14ac:dyDescent="0.3">
      <c r="B59" s="1" t="s">
        <v>163</v>
      </c>
    </row>
    <row r="60" spans="2:9" ht="14" customHeight="1" x14ac:dyDescent="0.3">
      <c r="B60" s="4" t="s">
        <v>164</v>
      </c>
      <c r="C60" s="5">
        <f>F49</f>
        <v>356427.03011799272</v>
      </c>
    </row>
    <row r="62" spans="2:9" ht="14" customHeight="1" x14ac:dyDescent="0.3">
      <c r="B62" s="28" t="s">
        <v>165</v>
      </c>
      <c r="C62" s="28" t="s">
        <v>166</v>
      </c>
      <c r="D62" s="28" t="s">
        <v>167</v>
      </c>
    </row>
    <row r="63" spans="2:9" ht="14" customHeight="1" x14ac:dyDescent="0.3">
      <c r="B63" s="31">
        <v>4.9200000000000001E-2</v>
      </c>
      <c r="C63" s="5">
        <f>IFERROR($C$60/B63,"N/A")</f>
        <v>7244451.8316665189</v>
      </c>
      <c r="D63" s="14">
        <f>IFERROR(C63/'DCF Model'!C17,"N/A")</f>
        <v>1.5664604271055391</v>
      </c>
    </row>
    <row r="64" spans="2:9" ht="14" customHeight="1" x14ac:dyDescent="0.3">
      <c r="B64" s="31">
        <v>7.3899999999999993E-2</v>
      </c>
      <c r="C64" s="5">
        <f>IFERROR($C$60/B64,"N/A")</f>
        <v>4823099.1896886704</v>
      </c>
      <c r="D64" s="14">
        <f>IFERROR(C64/'DCF Model'!C17,"N/A")</f>
        <v>1.0428938161514552</v>
      </c>
    </row>
    <row r="65" spans="2:9" ht="14" customHeight="1" x14ac:dyDescent="0.3">
      <c r="B65" s="4" t="s">
        <v>168</v>
      </c>
      <c r="C65" s="5">
        <f>IFERROR($C$60/$C$18,"N/A")</f>
        <v>3619705.5484672352</v>
      </c>
      <c r="D65" s="14">
        <f>IFERROR(C65/'DCF Model'!C17,"N/A")</f>
        <v>0.78268523708907256</v>
      </c>
    </row>
    <row r="66" spans="2:9" ht="14" customHeight="1" x14ac:dyDescent="0.3">
      <c r="B66" s="31">
        <v>0.1231</v>
      </c>
      <c r="C66" s="5">
        <f>IFERROR($C$60/B66,"N/A")</f>
        <v>2895426.7271973412</v>
      </c>
      <c r="D66" s="14">
        <f>IFERROR(C66/'DCF Model'!C17,"N/A")</f>
        <v>0.62607516664169394</v>
      </c>
    </row>
    <row r="67" spans="2:9" ht="14" customHeight="1" x14ac:dyDescent="0.3">
      <c r="B67" s="31">
        <v>0.1477</v>
      </c>
      <c r="C67" s="5">
        <f>IFERROR($C$60/B67,"N/A")</f>
        <v>2413182.3298442299</v>
      </c>
      <c r="D67" s="14">
        <f>IFERROR(C67/'DCF Model'!C17,"N/A")</f>
        <v>0.52179995269866308</v>
      </c>
    </row>
    <row r="69" spans="2:9" ht="14" customHeight="1" x14ac:dyDescent="0.3">
      <c r="B69" s="8" t="s">
        <v>169</v>
      </c>
      <c r="C69" s="9"/>
      <c r="D69" s="9"/>
      <c r="E69" s="9"/>
      <c r="F69" s="9"/>
      <c r="G69" s="9"/>
      <c r="H69" s="9"/>
      <c r="I69" s="9"/>
    </row>
    <row r="70" spans="2:9" ht="13.5" customHeight="1" x14ac:dyDescent="0.25">
      <c r="B70" s="6" t="s">
        <v>170</v>
      </c>
      <c r="C70" s="14">
        <f>IFERROR(C10/'Comps Analysis'!G5,"N/A")</f>
        <v>6.125629928825008</v>
      </c>
    </row>
    <row r="71" spans="2:9" ht="13.5" customHeight="1" x14ac:dyDescent="0.25">
      <c r="B71" s="6" t="s">
        <v>171</v>
      </c>
      <c r="C71" s="14">
        <f>IFERROR(C10/'Comps Analysis'!F5,"N/A")</f>
        <v>0.92005902509272441</v>
      </c>
    </row>
    <row r="72" spans="2:9" ht="14" customHeight="1" x14ac:dyDescent="0.3">
      <c r="B72" s="4" t="s">
        <v>172</v>
      </c>
      <c r="C72" s="14">
        <f>IFERROR(C10/(C25+'DCF Model'!G42),"N/A")</f>
        <v>6.8260794694989793</v>
      </c>
    </row>
    <row r="73" spans="2:9" ht="14" customHeight="1" x14ac:dyDescent="0.3">
      <c r="B73" s="4" t="s">
        <v>173</v>
      </c>
      <c r="C73" s="14">
        <f>IFERROR(C10/(C60+'DCF Model'!G42),"N/A")</f>
        <v>6.8129155067873777</v>
      </c>
    </row>
    <row r="74" spans="2:9" ht="14" customHeight="1" x14ac:dyDescent="0.3">
      <c r="B74" s="4" t="s">
        <v>174</v>
      </c>
      <c r="C74" s="14">
        <f>IFERROR('Comps Analysis'!D16,"N/A")</f>
        <v>7.819779267887113</v>
      </c>
    </row>
    <row r="75" spans="2:9" ht="14" customHeight="1" x14ac:dyDescent="0.3">
      <c r="B75" s="1" t="s">
        <v>175</v>
      </c>
    </row>
    <row r="77" spans="2:9" ht="14" customHeight="1" x14ac:dyDescent="0.3">
      <c r="B77" s="22" t="s">
        <v>176</v>
      </c>
      <c r="C77" s="23"/>
      <c r="D77" s="23"/>
      <c r="E77" s="23"/>
      <c r="F77" s="23"/>
      <c r="G77" s="23"/>
      <c r="H77" s="23"/>
      <c r="I77" s="23"/>
    </row>
    <row r="78" spans="2:9" ht="14" customHeight="1" x14ac:dyDescent="0.3">
      <c r="B78" s="4" t="str">
        <f>"At "&amp;TEXT(C6,"#,##0")&amp;" yen the market is paying for a steady-state operating profit of "&amp;TEXT(F49,"#,##0")&amp;" mn JPY - "&amp;TEXT(F54,"0.00")&amp;"x the FY2025 cycle peak of "&amp;TEXT(C15,"#,##0")&amp;" mn - reached in 5 years and sustained for ever, against "&amp;TEXT(C14,"#,##0")&amp;" mn actually earned in FY2025."</f>
        <v>At 4,615 yen the market is paying for a steady-state operating profit of 356,427 mn JPY - 0.78x the FY2025 cycle peak of 455,390 mn - reached in 5 years and sustained for ever, against 455,390 mn actually earned in FY2025.</v>
      </c>
    </row>
    <row r="79" spans="2:9" ht="14" customHeight="1" x14ac:dyDescent="0.3">
      <c r="B79" s="4" t="str">
        <f>"Even with no ramp at all (Block A) the price needs "&amp;TEXT(C25,"#,##0")&amp;" mn, or "&amp;TEXT(C26,"0.00")&amp;"x the peak. The base case supports an EV of only "&amp;TEXT(C17,"#,##0")&amp;" mn, leaving "&amp;TEXT(C20,"#,##0")&amp;" yen per share of the current price unexplained by mid-cycle economics."</f>
        <v>Even with no ramp at all (Block A) the price needs 355,223 mn, or 0.78x the peak. The base case supports an EV of only 5,200,275 mn, leaving -1,120 yen per share of the current price unexplained by mid-cycle economics.</v>
      </c>
    </row>
  </sheetData>
  <phoneticPr fontId="8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C6600"/>
  </sheetPr>
  <dimension ref="B2:H43"/>
  <sheetViews>
    <sheetView workbookViewId="0"/>
  </sheetViews>
  <sheetFormatPr defaultRowHeight="13" x14ac:dyDescent="0.2"/>
  <cols>
    <col min="1" max="1" width="3" customWidth="1"/>
    <col min="2" max="2" width="28" customWidth="1"/>
    <col min="3" max="8" width="16" customWidth="1"/>
  </cols>
  <sheetData>
    <row r="2" spans="2:8" ht="18" customHeight="1" x14ac:dyDescent="0.4">
      <c r="B2" s="2" t="s">
        <v>177</v>
      </c>
    </row>
    <row r="4" spans="2:8" ht="14" customHeight="1" x14ac:dyDescent="0.3">
      <c r="B4" s="8" t="s">
        <v>178</v>
      </c>
      <c r="C4" s="32" t="s">
        <v>179</v>
      </c>
      <c r="D4" s="32" t="s">
        <v>86</v>
      </c>
      <c r="E4" s="32" t="s">
        <v>87</v>
      </c>
      <c r="F4" s="32" t="s">
        <v>88</v>
      </c>
      <c r="G4" s="32" t="s">
        <v>89</v>
      </c>
      <c r="H4" s="32" t="s">
        <v>90</v>
      </c>
    </row>
    <row r="5" spans="2:8" ht="14" customHeight="1" x14ac:dyDescent="0.3">
      <c r="B5" s="33" t="s">
        <v>180</v>
      </c>
      <c r="C5" s="34">
        <f>C12/C9*365</f>
        <v>57.914831513297969</v>
      </c>
      <c r="D5" s="34">
        <f>CHOOSE('DCF Model'!$D$27,D25,D26,D27,D28,D29)</f>
        <v>57</v>
      </c>
      <c r="E5" s="34">
        <f>CHOOSE('DCF Model'!$D$27,E25,E26,E27,E28,E29)</f>
        <v>57</v>
      </c>
      <c r="F5" s="34">
        <f>CHOOSE('DCF Model'!$D$27,F25,F26,F27,F28,F29)</f>
        <v>57</v>
      </c>
      <c r="G5" s="34">
        <f>CHOOSE('DCF Model'!$D$27,G25,G26,G27,G28,G29)</f>
        <v>57</v>
      </c>
      <c r="H5" s="34">
        <f>CHOOSE('DCF Model'!$D$27,H25,H26,H27,H28,H29)</f>
        <v>57</v>
      </c>
    </row>
    <row r="6" spans="2:8" ht="14" customHeight="1" x14ac:dyDescent="0.3">
      <c r="B6" s="33" t="s">
        <v>181</v>
      </c>
      <c r="C6" s="34">
        <f>C13/C10*365</f>
        <v>124.55981511889853</v>
      </c>
      <c r="D6" s="34">
        <f>CHOOSE('DCF Model'!$D$27,D32,D33,D34,D35,D36)</f>
        <v>130</v>
      </c>
      <c r="E6" s="34">
        <f>CHOOSE('DCF Model'!$D$27,E32,E33,E34,E35,E36)</f>
        <v>130</v>
      </c>
      <c r="F6" s="34">
        <f>CHOOSE('DCF Model'!$D$27,F32,F33,F34,F35,F36)</f>
        <v>130</v>
      </c>
      <c r="G6" s="34">
        <f>CHOOSE('DCF Model'!$D$27,G32,G33,G34,G35,G36)</f>
        <v>130</v>
      </c>
      <c r="H6" s="34">
        <f>CHOOSE('DCF Model'!$D$27,H32,H33,H34,H35,H36)</f>
        <v>130</v>
      </c>
    </row>
    <row r="7" spans="2:8" ht="14" customHeight="1" x14ac:dyDescent="0.3">
      <c r="B7" s="33" t="s">
        <v>182</v>
      </c>
      <c r="C7" s="34">
        <f>C15/C10*365</f>
        <v>46.06747193812501</v>
      </c>
      <c r="D7" s="34">
        <f>CHOOSE('DCF Model'!$D$27,D39,D40,D41,D42,D43)</f>
        <v>53</v>
      </c>
      <c r="E7" s="34">
        <f>CHOOSE('DCF Model'!$D$27,E39,E40,E41,E42,E43)</f>
        <v>53</v>
      </c>
      <c r="F7" s="34">
        <f>CHOOSE('DCF Model'!$D$27,F39,F40,F41,F42,F43)</f>
        <v>53</v>
      </c>
      <c r="G7" s="34">
        <f>CHOOSE('DCF Model'!$D$27,G39,G40,G41,G42,G43)</f>
        <v>53</v>
      </c>
      <c r="H7" s="34">
        <f>CHOOSE('DCF Model'!$D$27,H39,H40,H41,H42,H43)</f>
        <v>53</v>
      </c>
    </row>
    <row r="8" spans="2:8" ht="14" customHeight="1" x14ac:dyDescent="0.3">
      <c r="B8" s="8" t="s">
        <v>183</v>
      </c>
      <c r="C8" s="9"/>
      <c r="D8" s="9"/>
      <c r="E8" s="9"/>
      <c r="F8" s="9"/>
      <c r="G8" s="9"/>
      <c r="H8" s="9"/>
    </row>
    <row r="9" spans="2:8" ht="14" customHeight="1" x14ac:dyDescent="0.3">
      <c r="B9" s="33" t="s">
        <v>37</v>
      </c>
      <c r="C9" s="35">
        <v>4624727</v>
      </c>
      <c r="D9" s="35">
        <f>'DCF Model'!C33</f>
        <v>4740345.1749999998</v>
      </c>
      <c r="E9" s="35">
        <f>'DCF Model'!D33</f>
        <v>4858853.8043749994</v>
      </c>
      <c r="F9" s="35">
        <f>'DCF Model'!E33</f>
        <v>4956030.8804624993</v>
      </c>
      <c r="G9" s="35">
        <f>'DCF Model'!F33</f>
        <v>5055151.4980717497</v>
      </c>
      <c r="H9" s="35">
        <f>'DCF Model'!G33</f>
        <v>5156254.5280331848</v>
      </c>
    </row>
    <row r="10" spans="2:8" ht="14" customHeight="1" x14ac:dyDescent="0.3">
      <c r="B10" s="33" t="s">
        <v>38</v>
      </c>
      <c r="C10" s="35">
        <v>2462772</v>
      </c>
      <c r="D10" s="35">
        <f>'DCF Model'!C34</f>
        <v>2526603.9782750001</v>
      </c>
      <c r="E10" s="35">
        <f>'DCF Model'!D34</f>
        <v>2589769.0777318748</v>
      </c>
      <c r="F10" s="35">
        <f>'DCF Model'!E34</f>
        <v>2641564.4592865123</v>
      </c>
      <c r="G10" s="35">
        <f>'DCF Model'!F34</f>
        <v>2694395.7484722426</v>
      </c>
      <c r="H10" s="35">
        <f>'DCF Model'!G34</f>
        <v>2748283.6634416878</v>
      </c>
    </row>
    <row r="11" spans="2:8" ht="14" customHeight="1" x14ac:dyDescent="0.3">
      <c r="B11" s="8" t="s">
        <v>184</v>
      </c>
      <c r="C11" s="9"/>
      <c r="D11" s="9"/>
      <c r="E11" s="9"/>
      <c r="F11" s="9"/>
      <c r="G11" s="9"/>
      <c r="H11" s="9"/>
    </row>
    <row r="12" spans="2:8" ht="14" customHeight="1" x14ac:dyDescent="0.3">
      <c r="B12" s="33" t="s">
        <v>185</v>
      </c>
      <c r="C12" s="35">
        <v>733809</v>
      </c>
      <c r="D12" s="35">
        <f t="shared" ref="D12:H13" si="0">D9*D5/365</f>
        <v>740273.0821232876</v>
      </c>
      <c r="E12" s="35">
        <f t="shared" si="0"/>
        <v>758779.90917636978</v>
      </c>
      <c r="F12" s="35">
        <f t="shared" si="0"/>
        <v>773955.50735989714</v>
      </c>
      <c r="G12" s="35">
        <f t="shared" si="0"/>
        <v>789434.61750709522</v>
      </c>
      <c r="H12" s="35">
        <f t="shared" si="0"/>
        <v>805223.30985723704</v>
      </c>
    </row>
    <row r="13" spans="2:8" ht="14" customHeight="1" x14ac:dyDescent="0.3">
      <c r="B13" s="33" t="s">
        <v>186</v>
      </c>
      <c r="C13" s="35">
        <v>840445</v>
      </c>
      <c r="D13" s="35">
        <f t="shared" si="0"/>
        <v>899886.34842671233</v>
      </c>
      <c r="E13" s="35">
        <f t="shared" si="0"/>
        <v>922383.50713738007</v>
      </c>
      <c r="F13" s="35">
        <f t="shared" si="0"/>
        <v>940831.17728012765</v>
      </c>
      <c r="G13" s="35">
        <f t="shared" si="0"/>
        <v>959647.8008257302</v>
      </c>
      <c r="H13" s="35">
        <f t="shared" si="0"/>
        <v>978840.756842245</v>
      </c>
    </row>
    <row r="14" spans="2:8" ht="14" customHeight="1" x14ac:dyDescent="0.3">
      <c r="B14" s="33" t="s">
        <v>187</v>
      </c>
      <c r="C14" s="35">
        <f t="shared" ref="C14:H14" si="1">C12+C13</f>
        <v>1574254</v>
      </c>
      <c r="D14" s="35">
        <f t="shared" si="1"/>
        <v>1640159.4305499999</v>
      </c>
      <c r="E14" s="35">
        <f t="shared" si="1"/>
        <v>1681163.4163137497</v>
      </c>
      <c r="F14" s="35">
        <f t="shared" si="1"/>
        <v>1714786.6846400248</v>
      </c>
      <c r="G14" s="35">
        <f t="shared" si="1"/>
        <v>1749082.4183328254</v>
      </c>
      <c r="H14" s="35">
        <f t="shared" si="1"/>
        <v>1784064.066699482</v>
      </c>
    </row>
    <row r="15" spans="2:8" ht="14" customHeight="1" x14ac:dyDescent="0.3">
      <c r="B15" s="33" t="s">
        <v>188</v>
      </c>
      <c r="C15" s="35">
        <v>310832</v>
      </c>
      <c r="D15" s="35">
        <f>D10*D7/365</f>
        <v>366876.74205089046</v>
      </c>
      <c r="E15" s="35">
        <f>E10*E7/365</f>
        <v>376048.66060216265</v>
      </c>
      <c r="F15" s="35">
        <f>F10*F7/365</f>
        <v>383569.63381420588</v>
      </c>
      <c r="G15" s="35">
        <f>G10*G7/365</f>
        <v>391241.02649049001</v>
      </c>
      <c r="H15" s="35">
        <f>H10*H7/365</f>
        <v>399065.84702029987</v>
      </c>
    </row>
    <row r="16" spans="2:8" ht="14" customHeight="1" x14ac:dyDescent="0.3">
      <c r="B16" s="33" t="s">
        <v>189</v>
      </c>
      <c r="C16" s="35">
        <f t="shared" ref="C16:H16" si="2">C15</f>
        <v>310832</v>
      </c>
      <c r="D16" s="35">
        <f t="shared" si="2"/>
        <v>366876.74205089046</v>
      </c>
      <c r="E16" s="35">
        <f t="shared" si="2"/>
        <v>376048.66060216265</v>
      </c>
      <c r="F16" s="35">
        <f t="shared" si="2"/>
        <v>383569.63381420588</v>
      </c>
      <c r="G16" s="35">
        <f t="shared" si="2"/>
        <v>391241.02649049001</v>
      </c>
      <c r="H16" s="35">
        <f t="shared" si="2"/>
        <v>399065.84702029987</v>
      </c>
    </row>
    <row r="17" spans="2:8" ht="14" customHeight="1" x14ac:dyDescent="0.3">
      <c r="B17" s="22" t="s">
        <v>190</v>
      </c>
      <c r="C17" s="23"/>
      <c r="D17" s="23"/>
      <c r="E17" s="23"/>
      <c r="F17" s="23"/>
      <c r="G17" s="23"/>
      <c r="H17" s="23"/>
    </row>
    <row r="18" spans="2:8" ht="14" customHeight="1" x14ac:dyDescent="0.3">
      <c r="B18" s="33" t="s">
        <v>191</v>
      </c>
      <c r="C18" s="20">
        <f t="shared" ref="C18:H18" si="3">C14-C16</f>
        <v>1263422</v>
      </c>
      <c r="D18" s="20">
        <f t="shared" si="3"/>
        <v>1273282.6884991094</v>
      </c>
      <c r="E18" s="20">
        <f t="shared" si="3"/>
        <v>1305114.7557115871</v>
      </c>
      <c r="F18" s="20">
        <f t="shared" si="3"/>
        <v>1331217.0508258189</v>
      </c>
      <c r="G18" s="20">
        <f t="shared" si="3"/>
        <v>1357841.3918423355</v>
      </c>
      <c r="H18" s="20">
        <f t="shared" si="3"/>
        <v>1384998.2196791822</v>
      </c>
    </row>
    <row r="19" spans="2:8" ht="14" customHeight="1" x14ac:dyDescent="0.3">
      <c r="B19" s="33" t="s">
        <v>100</v>
      </c>
      <c r="C19" s="36" t="s">
        <v>47</v>
      </c>
      <c r="D19" s="24">
        <f>D18-C18</f>
        <v>9860.6884991093539</v>
      </c>
      <c r="E19" s="24">
        <f>E18-D18</f>
        <v>31832.067212477792</v>
      </c>
      <c r="F19" s="24">
        <f>F18-E18</f>
        <v>26102.295114231762</v>
      </c>
      <c r="G19" s="24">
        <f>G18-F18</f>
        <v>26624.341016516555</v>
      </c>
      <c r="H19" s="24">
        <f>H18-G18</f>
        <v>27156.8278368467</v>
      </c>
    </row>
    <row r="22" spans="2:8" ht="14" customHeight="1" x14ac:dyDescent="0.3">
      <c r="B22" s="22" t="s">
        <v>192</v>
      </c>
      <c r="C22" s="23"/>
      <c r="D22" s="23"/>
      <c r="E22" s="23"/>
      <c r="F22" s="23"/>
      <c r="G22" s="23"/>
      <c r="H22" s="23"/>
    </row>
    <row r="23" spans="2:8" ht="14" customHeight="1" x14ac:dyDescent="0.3">
      <c r="D23" s="25" t="s">
        <v>86</v>
      </c>
      <c r="E23" s="25" t="s">
        <v>87</v>
      </c>
      <c r="F23" s="25" t="s">
        <v>88</v>
      </c>
      <c r="G23" s="25" t="s">
        <v>89</v>
      </c>
      <c r="H23" s="25" t="s">
        <v>90</v>
      </c>
    </row>
    <row r="24" spans="2:8" ht="14" customHeight="1" x14ac:dyDescent="0.3">
      <c r="B24" s="3" t="s">
        <v>193</v>
      </c>
    </row>
    <row r="25" spans="2:8" ht="14" customHeight="1" x14ac:dyDescent="0.3">
      <c r="B25" s="4" t="s">
        <v>84</v>
      </c>
      <c r="D25" s="30">
        <v>57</v>
      </c>
      <c r="E25" s="30">
        <v>57</v>
      </c>
      <c r="F25" s="30">
        <v>57</v>
      </c>
      <c r="G25" s="30">
        <v>57</v>
      </c>
      <c r="H25" s="30">
        <v>57</v>
      </c>
    </row>
    <row r="26" spans="2:8" ht="14" customHeight="1" x14ac:dyDescent="0.3">
      <c r="B26" s="4" t="s">
        <v>121</v>
      </c>
      <c r="D26" s="30">
        <v>55</v>
      </c>
      <c r="E26" s="30">
        <v>55</v>
      </c>
      <c r="F26" s="30">
        <v>55</v>
      </c>
      <c r="G26" s="30">
        <v>55</v>
      </c>
      <c r="H26" s="30">
        <v>55</v>
      </c>
    </row>
    <row r="27" spans="2:8" ht="14" customHeight="1" x14ac:dyDescent="0.3">
      <c r="B27" s="4" t="s">
        <v>122</v>
      </c>
      <c r="D27" s="30">
        <v>57</v>
      </c>
      <c r="E27" s="30">
        <v>57</v>
      </c>
      <c r="F27" s="30">
        <v>57</v>
      </c>
      <c r="G27" s="30">
        <v>57</v>
      </c>
      <c r="H27" s="30">
        <v>57</v>
      </c>
    </row>
    <row r="28" spans="2:8" ht="14" customHeight="1" x14ac:dyDescent="0.3">
      <c r="B28" s="4" t="s">
        <v>123</v>
      </c>
      <c r="D28" s="30">
        <v>60</v>
      </c>
      <c r="E28" s="30">
        <v>60</v>
      </c>
      <c r="F28" s="30">
        <v>60</v>
      </c>
      <c r="G28" s="30">
        <v>60</v>
      </c>
      <c r="H28" s="30">
        <v>60</v>
      </c>
    </row>
    <row r="29" spans="2:8" ht="14" customHeight="1" x14ac:dyDescent="0.3">
      <c r="B29" s="4" t="s">
        <v>124</v>
      </c>
      <c r="D29" s="30">
        <v>64</v>
      </c>
      <c r="E29" s="30">
        <v>64</v>
      </c>
      <c r="F29" s="30">
        <v>64</v>
      </c>
      <c r="G29" s="30">
        <v>64</v>
      </c>
      <c r="H29" s="30">
        <v>64</v>
      </c>
    </row>
    <row r="31" spans="2:8" ht="14" customHeight="1" x14ac:dyDescent="0.3">
      <c r="B31" s="3" t="s">
        <v>194</v>
      </c>
    </row>
    <row r="32" spans="2:8" ht="14" customHeight="1" x14ac:dyDescent="0.3">
      <c r="B32" s="4" t="s">
        <v>84</v>
      </c>
      <c r="D32" s="30">
        <v>130</v>
      </c>
      <c r="E32" s="30">
        <v>130</v>
      </c>
      <c r="F32" s="30">
        <v>130</v>
      </c>
      <c r="G32" s="30">
        <v>130</v>
      </c>
      <c r="H32" s="30">
        <v>130</v>
      </c>
    </row>
    <row r="33" spans="2:8" ht="14" customHeight="1" x14ac:dyDescent="0.3">
      <c r="B33" s="4" t="s">
        <v>121</v>
      </c>
      <c r="D33" s="30">
        <v>124</v>
      </c>
      <c r="E33" s="30">
        <v>124</v>
      </c>
      <c r="F33" s="30">
        <v>124</v>
      </c>
      <c r="G33" s="30">
        <v>124</v>
      </c>
      <c r="H33" s="30">
        <v>124</v>
      </c>
    </row>
    <row r="34" spans="2:8" ht="14" customHeight="1" x14ac:dyDescent="0.3">
      <c r="B34" s="4" t="s">
        <v>122</v>
      </c>
      <c r="D34" s="30">
        <v>130</v>
      </c>
      <c r="E34" s="30">
        <v>130</v>
      </c>
      <c r="F34" s="30">
        <v>130</v>
      </c>
      <c r="G34" s="30">
        <v>130</v>
      </c>
      <c r="H34" s="30">
        <v>130</v>
      </c>
    </row>
    <row r="35" spans="2:8" ht="14" customHeight="1" x14ac:dyDescent="0.3">
      <c r="B35" s="4" t="s">
        <v>123</v>
      </c>
      <c r="D35" s="30">
        <v>136</v>
      </c>
      <c r="E35" s="30">
        <v>136</v>
      </c>
      <c r="F35" s="30">
        <v>136</v>
      </c>
      <c r="G35" s="30">
        <v>136</v>
      </c>
      <c r="H35" s="30">
        <v>136</v>
      </c>
    </row>
    <row r="36" spans="2:8" ht="14" customHeight="1" x14ac:dyDescent="0.3">
      <c r="B36" s="4" t="s">
        <v>124</v>
      </c>
      <c r="D36" s="30">
        <v>145</v>
      </c>
      <c r="E36" s="30">
        <v>145</v>
      </c>
      <c r="F36" s="30">
        <v>145</v>
      </c>
      <c r="G36" s="30">
        <v>145</v>
      </c>
      <c r="H36" s="30">
        <v>145</v>
      </c>
    </row>
    <row r="38" spans="2:8" ht="14" customHeight="1" x14ac:dyDescent="0.3">
      <c r="B38" s="3" t="s">
        <v>195</v>
      </c>
    </row>
    <row r="39" spans="2:8" ht="14" customHeight="1" x14ac:dyDescent="0.3">
      <c r="B39" s="4" t="s">
        <v>84</v>
      </c>
      <c r="D39" s="30">
        <v>53</v>
      </c>
      <c r="E39" s="30">
        <v>53</v>
      </c>
      <c r="F39" s="30">
        <v>53</v>
      </c>
      <c r="G39" s="30">
        <v>53</v>
      </c>
      <c r="H39" s="30">
        <v>53</v>
      </c>
    </row>
    <row r="40" spans="2:8" ht="14" customHeight="1" x14ac:dyDescent="0.3">
      <c r="B40" s="4" t="s">
        <v>121</v>
      </c>
      <c r="D40" s="30">
        <v>55</v>
      </c>
      <c r="E40" s="30">
        <v>55</v>
      </c>
      <c r="F40" s="30">
        <v>55</v>
      </c>
      <c r="G40" s="30">
        <v>55</v>
      </c>
      <c r="H40" s="30">
        <v>55</v>
      </c>
    </row>
    <row r="41" spans="2:8" ht="14" customHeight="1" x14ac:dyDescent="0.3">
      <c r="B41" s="4" t="s">
        <v>122</v>
      </c>
      <c r="D41" s="30">
        <v>53</v>
      </c>
      <c r="E41" s="30">
        <v>53</v>
      </c>
      <c r="F41" s="30">
        <v>53</v>
      </c>
      <c r="G41" s="30">
        <v>53</v>
      </c>
      <c r="H41" s="30">
        <v>53</v>
      </c>
    </row>
    <row r="42" spans="2:8" ht="14" customHeight="1" x14ac:dyDescent="0.3">
      <c r="B42" s="4" t="s">
        <v>123</v>
      </c>
      <c r="D42" s="30">
        <v>51</v>
      </c>
      <c r="E42" s="30">
        <v>51</v>
      </c>
      <c r="F42" s="30">
        <v>51</v>
      </c>
      <c r="G42" s="30">
        <v>51</v>
      </c>
      <c r="H42" s="30">
        <v>51</v>
      </c>
    </row>
    <row r="43" spans="2:8" ht="14" customHeight="1" x14ac:dyDescent="0.3">
      <c r="B43" s="4" t="s">
        <v>124</v>
      </c>
      <c r="D43" s="30">
        <v>48</v>
      </c>
      <c r="E43" s="30">
        <v>48</v>
      </c>
      <c r="F43" s="30">
        <v>48</v>
      </c>
      <c r="G43" s="30">
        <v>48</v>
      </c>
      <c r="H43" s="30">
        <v>48</v>
      </c>
    </row>
  </sheetData>
  <phoneticPr fontId="8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6600"/>
  </sheetPr>
  <dimension ref="B2:Q28"/>
  <sheetViews>
    <sheetView workbookViewId="0"/>
  </sheetViews>
  <sheetFormatPr defaultRowHeight="13" x14ac:dyDescent="0.2"/>
  <cols>
    <col min="1" max="1" width="3" customWidth="1"/>
    <col min="2" max="2" width="16" customWidth="1"/>
    <col min="3" max="3" width="10" customWidth="1"/>
    <col min="4" max="16" width="12" customWidth="1"/>
    <col min="17" max="17" width="26" customWidth="1"/>
  </cols>
  <sheetData>
    <row r="2" spans="2:17" ht="18" customHeight="1" x14ac:dyDescent="0.4">
      <c r="B2" s="2" t="s">
        <v>196</v>
      </c>
    </row>
    <row r="3" spans="2:17" ht="14" customHeight="1" x14ac:dyDescent="0.3">
      <c r="B3" s="1" t="s">
        <v>197</v>
      </c>
    </row>
    <row r="4" spans="2:17" ht="28" customHeight="1" x14ac:dyDescent="0.3">
      <c r="B4" s="10" t="s">
        <v>3</v>
      </c>
      <c r="C4" s="10" t="s">
        <v>5</v>
      </c>
      <c r="D4" s="10" t="s">
        <v>198</v>
      </c>
      <c r="E4" s="10" t="s">
        <v>199</v>
      </c>
      <c r="F4" s="10" t="s">
        <v>200</v>
      </c>
      <c r="G4" s="10" t="s">
        <v>201</v>
      </c>
      <c r="H4" s="10" t="s">
        <v>202</v>
      </c>
      <c r="I4" s="10" t="s">
        <v>203</v>
      </c>
      <c r="J4" s="10" t="s">
        <v>204</v>
      </c>
      <c r="K4" s="10" t="s">
        <v>205</v>
      </c>
      <c r="L4" s="10" t="s">
        <v>206</v>
      </c>
      <c r="M4" s="10" t="s">
        <v>207</v>
      </c>
      <c r="N4" s="10" t="s">
        <v>208</v>
      </c>
      <c r="O4" s="10" t="s">
        <v>209</v>
      </c>
      <c r="P4" s="10" t="s">
        <v>210</v>
      </c>
      <c r="Q4" s="10" t="s">
        <v>211</v>
      </c>
    </row>
    <row r="5" spans="2:17" ht="14" customHeight="1" x14ac:dyDescent="0.3">
      <c r="B5" s="4" t="s">
        <v>212</v>
      </c>
      <c r="C5" t="s">
        <v>213</v>
      </c>
      <c r="D5" s="37">
        <f>'Executive Summary'!C9*C23/1000000</f>
        <v>3894843.81494</v>
      </c>
      <c r="E5" s="37">
        <f>D5+C24</f>
        <v>4255021.81494</v>
      </c>
      <c r="F5" s="37">
        <v>4624727</v>
      </c>
      <c r="G5" s="37">
        <v>694626</v>
      </c>
      <c r="H5" s="37">
        <v>455390</v>
      </c>
      <c r="I5" s="37">
        <v>332053</v>
      </c>
      <c r="J5" s="38">
        <f t="shared" ref="J5:J10" si="0">IFERROR(E5/G5,"")</f>
        <v>6.125629928825008</v>
      </c>
      <c r="K5" s="38">
        <f t="shared" ref="K5:K10" si="1">IFERROR(E5/F5,"")</f>
        <v>0.92005902509272441</v>
      </c>
      <c r="L5" s="38">
        <f t="shared" ref="L5:L10" si="2">IFERROR(D5/I5,"")</f>
        <v>11.729584779959826</v>
      </c>
      <c r="M5" s="38">
        <f t="shared" ref="M5:M10" si="3">IFERROR(D5/P5,"")</f>
        <v>1.1154232463354228</v>
      </c>
      <c r="N5" s="39">
        <f t="shared" ref="N5:N10" si="4">IFERROR(H5/F5,"")</f>
        <v>9.846851500639929E-2</v>
      </c>
      <c r="O5" s="39">
        <f t="shared" ref="O5:O10" si="5">IFERROR(I5/P5,"")</f>
        <v>9.5094862031360264E-2</v>
      </c>
      <c r="P5" s="37">
        <v>3491808</v>
      </c>
    </row>
    <row r="6" spans="2:17" ht="14" customHeight="1" x14ac:dyDescent="0.3">
      <c r="B6" s="4" t="s">
        <v>214</v>
      </c>
      <c r="C6" t="s">
        <v>215</v>
      </c>
      <c r="D6" s="37">
        <v>1037225</v>
      </c>
      <c r="E6" s="37">
        <v>980101</v>
      </c>
      <c r="F6" s="37">
        <v>1413251</v>
      </c>
      <c r="G6" s="37">
        <v>126975</v>
      </c>
      <c r="H6" s="37">
        <v>49558</v>
      </c>
      <c r="I6" s="37">
        <v>18201</v>
      </c>
      <c r="J6" s="38">
        <f t="shared" si="0"/>
        <v>7.7188501673557788</v>
      </c>
      <c r="K6" s="38">
        <f t="shared" si="1"/>
        <v>0.69350808879668224</v>
      </c>
      <c r="L6" s="38">
        <f t="shared" si="2"/>
        <v>56.987253447612765</v>
      </c>
      <c r="M6" s="38">
        <f t="shared" si="3"/>
        <v>1.2152564197196729</v>
      </c>
      <c r="N6" s="39">
        <f t="shared" si="4"/>
        <v>3.5066665440180125E-2</v>
      </c>
      <c r="O6" s="39">
        <f t="shared" si="5"/>
        <v>2.1325056853930213E-2</v>
      </c>
      <c r="P6" s="37">
        <v>853503</v>
      </c>
    </row>
    <row r="7" spans="2:17" ht="14" customHeight="1" x14ac:dyDescent="0.3">
      <c r="B7" s="4" t="s">
        <v>216</v>
      </c>
      <c r="C7" t="s">
        <v>217</v>
      </c>
      <c r="D7" s="37">
        <v>325420</v>
      </c>
      <c r="E7" s="37">
        <v>612968</v>
      </c>
      <c r="F7" s="37">
        <v>1087738</v>
      </c>
      <c r="G7" s="37">
        <v>108552</v>
      </c>
      <c r="H7" s="37">
        <v>49869</v>
      </c>
      <c r="I7" s="37">
        <v>30268</v>
      </c>
      <c r="J7" s="38">
        <f t="shared" si="0"/>
        <v>5.6467683690765718</v>
      </c>
      <c r="K7" s="38">
        <f t="shared" si="1"/>
        <v>0.56352540777282767</v>
      </c>
      <c r="L7" s="38">
        <f t="shared" si="2"/>
        <v>10.751288489493854</v>
      </c>
      <c r="M7" s="38">
        <f t="shared" si="3"/>
        <v>0.60655539090968402</v>
      </c>
      <c r="N7" s="39">
        <f t="shared" si="4"/>
        <v>4.5846518187284073E-2</v>
      </c>
      <c r="O7" s="39">
        <f t="shared" si="5"/>
        <v>5.6416995181778361E-2</v>
      </c>
      <c r="P7" s="37">
        <v>536505</v>
      </c>
    </row>
    <row r="8" spans="2:17" ht="14" customHeight="1" x14ac:dyDescent="0.3">
      <c r="B8" s="4" t="s">
        <v>218</v>
      </c>
      <c r="C8" t="s">
        <v>219</v>
      </c>
      <c r="D8" s="37">
        <v>1207757</v>
      </c>
      <c r="E8" s="37">
        <v>1011074</v>
      </c>
      <c r="F8" s="37">
        <v>893464</v>
      </c>
      <c r="G8" s="37">
        <v>129297</v>
      </c>
      <c r="H8" s="37">
        <v>77868</v>
      </c>
      <c r="I8" s="37">
        <v>67624</v>
      </c>
      <c r="J8" s="38">
        <f t="shared" si="0"/>
        <v>7.819779267887113</v>
      </c>
      <c r="K8" s="38">
        <f t="shared" si="1"/>
        <v>1.1316337311855877</v>
      </c>
      <c r="L8" s="38">
        <f t="shared" si="2"/>
        <v>17.859887022358926</v>
      </c>
      <c r="M8" s="38">
        <f t="shared" si="3"/>
        <v>1.582331185139864</v>
      </c>
      <c r="N8" s="39">
        <f t="shared" si="4"/>
        <v>8.7152923900683188E-2</v>
      </c>
      <c r="O8" s="39">
        <f t="shared" si="5"/>
        <v>8.8596931389259725E-2</v>
      </c>
      <c r="P8" s="37">
        <v>763277</v>
      </c>
    </row>
    <row r="9" spans="2:17" ht="14" customHeight="1" x14ac:dyDescent="0.3">
      <c r="B9" s="4" t="s">
        <v>220</v>
      </c>
      <c r="C9" t="s">
        <v>221</v>
      </c>
      <c r="D9" s="37">
        <v>3962306</v>
      </c>
      <c r="E9" s="37">
        <v>4818766</v>
      </c>
      <c r="F9" s="37">
        <v>3356969</v>
      </c>
      <c r="G9" s="37">
        <v>522581</v>
      </c>
      <c r="H9" s="37">
        <v>350210</v>
      </c>
      <c r="I9" s="37">
        <v>276415</v>
      </c>
      <c r="J9" s="38">
        <f t="shared" si="0"/>
        <v>9.2210891708653779</v>
      </c>
      <c r="K9" s="38">
        <f t="shared" si="1"/>
        <v>1.4354514444428887</v>
      </c>
      <c r="L9" s="38">
        <f t="shared" si="2"/>
        <v>14.334627281442758</v>
      </c>
      <c r="M9" s="38">
        <f t="shared" si="3"/>
        <v>1.0319714549882149</v>
      </c>
      <c r="N9" s="39">
        <f t="shared" si="4"/>
        <v>0.10432327495428168</v>
      </c>
      <c r="O9" s="39">
        <f t="shared" si="5"/>
        <v>7.1991509421677022E-2</v>
      </c>
      <c r="P9" s="37">
        <v>3839550</v>
      </c>
    </row>
    <row r="10" spans="2:17" ht="14" customHeight="1" x14ac:dyDescent="0.3">
      <c r="B10" s="4" t="s">
        <v>222</v>
      </c>
      <c r="C10" t="s">
        <v>223</v>
      </c>
      <c r="D10" s="37">
        <v>4475178</v>
      </c>
      <c r="E10" s="37">
        <v>4352015</v>
      </c>
      <c r="F10" s="37">
        <v>2070203</v>
      </c>
      <c r="G10" s="37">
        <v>253210</v>
      </c>
      <c r="H10" s="37">
        <v>95021</v>
      </c>
      <c r="I10" s="37">
        <v>140969</v>
      </c>
      <c r="J10" s="38">
        <f t="shared" si="0"/>
        <v>17.187374116346117</v>
      </c>
      <c r="K10" s="38">
        <f t="shared" si="1"/>
        <v>2.1022165459136133</v>
      </c>
      <c r="L10" s="38">
        <f t="shared" si="2"/>
        <v>31.745830643616681</v>
      </c>
      <c r="M10" s="38">
        <f t="shared" si="3"/>
        <v>1.3401019515001209</v>
      </c>
      <c r="N10" s="39">
        <f t="shared" si="4"/>
        <v>4.5899363492372489E-2</v>
      </c>
      <c r="O10" s="39">
        <f t="shared" si="5"/>
        <v>4.2213478883079185E-2</v>
      </c>
      <c r="P10" s="37">
        <v>3339431</v>
      </c>
    </row>
    <row r="14" spans="2:17" ht="14" customHeight="1" x14ac:dyDescent="0.3">
      <c r="B14" s="3" t="s">
        <v>224</v>
      </c>
    </row>
    <row r="15" spans="2:17" ht="14" customHeight="1" x14ac:dyDescent="0.3">
      <c r="B15" s="4" t="s">
        <v>225</v>
      </c>
      <c r="D15" s="38">
        <f t="shared" ref="D15:I15" si="6">PERCENTILE(J6:J10,0.25)</f>
        <v>7.7188501673557788</v>
      </c>
      <c r="E15" s="38">
        <f t="shared" si="6"/>
        <v>0.69350808879668224</v>
      </c>
      <c r="F15" s="38">
        <f t="shared" si="6"/>
        <v>14.334627281442758</v>
      </c>
      <c r="G15" s="38">
        <f t="shared" si="6"/>
        <v>1.0319714549882149</v>
      </c>
      <c r="H15" s="39">
        <f t="shared" si="6"/>
        <v>4.5846518187284073E-2</v>
      </c>
      <c r="I15" s="39">
        <f t="shared" si="6"/>
        <v>4.2213478883079185E-2</v>
      </c>
    </row>
    <row r="16" spans="2:17" ht="14" customHeight="1" x14ac:dyDescent="0.3">
      <c r="B16" s="4" t="s">
        <v>226</v>
      </c>
      <c r="D16" s="38">
        <f t="shared" ref="D16:I16" si="7">MEDIAN(J6:J10)</f>
        <v>7.819779267887113</v>
      </c>
      <c r="E16" s="38">
        <f t="shared" si="7"/>
        <v>1.1316337311855877</v>
      </c>
      <c r="F16" s="38">
        <f t="shared" si="7"/>
        <v>17.859887022358926</v>
      </c>
      <c r="G16" s="38">
        <f t="shared" si="7"/>
        <v>1.2152564197196729</v>
      </c>
      <c r="H16" s="39">
        <f t="shared" si="7"/>
        <v>4.5899363492372489E-2</v>
      </c>
      <c r="I16" s="39">
        <f t="shared" si="7"/>
        <v>5.6416995181778361E-2</v>
      </c>
    </row>
    <row r="17" spans="2:9" ht="14" customHeight="1" x14ac:dyDescent="0.3">
      <c r="B17" s="4" t="s">
        <v>227</v>
      </c>
      <c r="D17" s="38">
        <f t="shared" ref="D17:I17" si="8">PERCENTILE(J6:J10,0.75)</f>
        <v>9.2210891708653779</v>
      </c>
      <c r="E17" s="38">
        <f t="shared" si="8"/>
        <v>1.4354514444428887</v>
      </c>
      <c r="F17" s="38">
        <f t="shared" si="8"/>
        <v>31.745830643616681</v>
      </c>
      <c r="G17" s="38">
        <f t="shared" si="8"/>
        <v>1.3401019515001209</v>
      </c>
      <c r="H17" s="39">
        <f t="shared" si="8"/>
        <v>8.7152923900683188E-2</v>
      </c>
      <c r="I17" s="39">
        <f t="shared" si="8"/>
        <v>7.1991509421677022E-2</v>
      </c>
    </row>
    <row r="19" spans="2:9" ht="14" customHeight="1" x14ac:dyDescent="0.3">
      <c r="B19" s="22" t="s">
        <v>228</v>
      </c>
      <c r="C19" s="23"/>
      <c r="D19" s="23"/>
      <c r="E19" s="23"/>
      <c r="F19" s="23"/>
      <c r="G19" s="23"/>
      <c r="H19" s="23"/>
      <c r="I19" s="23"/>
    </row>
    <row r="20" spans="2:9" ht="14" customHeight="1" x14ac:dyDescent="0.3">
      <c r="B20" s="3" t="s">
        <v>229</v>
      </c>
    </row>
    <row r="21" spans="2:9" ht="14" customHeight="1" x14ac:dyDescent="0.3">
      <c r="B21" s="4" t="s">
        <v>230</v>
      </c>
      <c r="C21" s="5">
        <v>694626</v>
      </c>
    </row>
    <row r="22" spans="2:9" ht="14" customHeight="1" x14ac:dyDescent="0.3">
      <c r="B22" s="4" t="s">
        <v>231</v>
      </c>
      <c r="C22" s="5">
        <v>262055</v>
      </c>
    </row>
    <row r="23" spans="2:9" ht="14" customHeight="1" x14ac:dyDescent="0.3">
      <c r="B23" s="4" t="s">
        <v>232</v>
      </c>
      <c r="C23" s="15">
        <v>843953156</v>
      </c>
    </row>
    <row r="24" spans="2:9" ht="14" customHeight="1" x14ac:dyDescent="0.3">
      <c r="B24" s="4" t="s">
        <v>73</v>
      </c>
      <c r="C24" s="5">
        <v>360178</v>
      </c>
    </row>
    <row r="26" spans="2:9" ht="14" customHeight="1" x14ac:dyDescent="0.3">
      <c r="B26" s="3" t="s">
        <v>233</v>
      </c>
    </row>
    <row r="27" spans="2:9" ht="14" customHeight="1" x14ac:dyDescent="0.3">
      <c r="B27" s="4" t="s">
        <v>234</v>
      </c>
      <c r="C27" s="24">
        <f>ROUND((C21*D16-C24)*1000000/C23,0)</f>
        <v>6009</v>
      </c>
    </row>
    <row r="28" spans="2:9" ht="14" customHeight="1" x14ac:dyDescent="0.3">
      <c r="B28" s="4" t="s">
        <v>235</v>
      </c>
      <c r="C28" s="24">
        <f>ROUND(C22*F16*1000000/C23,0)</f>
        <v>5546</v>
      </c>
    </row>
  </sheetData>
  <phoneticPr fontId="8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96600"/>
  </sheetPr>
  <dimension ref="B2:I26"/>
  <sheetViews>
    <sheetView workbookViewId="0"/>
  </sheetViews>
  <sheetFormatPr defaultRowHeight="13" x14ac:dyDescent="0.2"/>
  <cols>
    <col min="1" max="1" width="3" customWidth="1"/>
    <col min="2" max="2" width="24" customWidth="1"/>
    <col min="3" max="9" width="14" customWidth="1"/>
  </cols>
  <sheetData>
    <row r="2" spans="2:9" ht="18" customHeight="1" x14ac:dyDescent="0.4">
      <c r="B2" s="2" t="s">
        <v>236</v>
      </c>
    </row>
    <row r="3" spans="2:9" ht="14" customHeight="1" x14ac:dyDescent="0.3">
      <c r="B3" s="4" t="s">
        <v>237</v>
      </c>
      <c r="C3" s="16">
        <f>'DCF Model'!C26</f>
        <v>7.2612356979405018E-2</v>
      </c>
      <c r="E3" s="4" t="s">
        <v>238</v>
      </c>
      <c r="F3" s="16">
        <f>'DCF Model'!C13</f>
        <v>0.01</v>
      </c>
      <c r="H3" s="4" t="s">
        <v>239</v>
      </c>
      <c r="I3" s="14">
        <f>'DCF Model'!C14</f>
        <v>7.8</v>
      </c>
    </row>
    <row r="5" spans="2:9" ht="14" customHeight="1" x14ac:dyDescent="0.3">
      <c r="B5" s="3" t="s">
        <v>240</v>
      </c>
    </row>
    <row r="6" spans="2:9" ht="14" customHeight="1" x14ac:dyDescent="0.3">
      <c r="B6" s="40" t="s">
        <v>241</v>
      </c>
      <c r="C6" s="41">
        <f>$F$3-0.0075</f>
        <v>2.5000000000000005E-3</v>
      </c>
      <c r="D6" s="41">
        <f>$F$3-0.005</f>
        <v>5.0000000000000001E-3</v>
      </c>
      <c r="E6" s="41">
        <f>$F$3-0.0025</f>
        <v>7.4999999999999997E-3</v>
      </c>
      <c r="F6" s="41">
        <f>$F$3</f>
        <v>0.01</v>
      </c>
      <c r="G6" s="41">
        <f>$F$3+0.0025</f>
        <v>1.2500000000000001E-2</v>
      </c>
      <c r="H6" s="41">
        <f>$F$3+0.005</f>
        <v>1.4999999999999999E-2</v>
      </c>
      <c r="I6" s="41">
        <f>$F$3+0.0075</f>
        <v>1.7500000000000002E-2</v>
      </c>
    </row>
    <row r="7" spans="2:9" ht="13.5" customHeight="1" x14ac:dyDescent="0.25">
      <c r="B7" s="39">
        <f>$C$3-0.015</f>
        <v>5.7612356979405019E-2</v>
      </c>
      <c r="C7" s="37">
        <f>IFERROR(ROUND(('DCF Model'!C45/(1+$B7)^('DCF Model'!C19+0)+'DCF Model'!D45/(1+$B7)^('DCF Model'!C19+1)+'DCF Model'!E45/(1+$B7)^('DCF Model'!C19+2)+'DCF Model'!F45/(1+$B7)^('DCF Model'!C19+3)+'DCF Model'!G45/(1+$B7)^('DCF Model'!C19+4)+'DCF Model'!G45*(1+C$6)/($B7-C$6)/(1+$B7)^('DCF Model'!C19+4)-'DCF Model'!C16)*1000000/'DCF Model'!C15,0),"")</f>
        <v>6767</v>
      </c>
      <c r="D7" s="37">
        <f>IFERROR(ROUND(('DCF Model'!C45/(1+$B7)^('DCF Model'!C19+0)+'DCF Model'!D45/(1+$B7)^('DCF Model'!C19+1)+'DCF Model'!E45/(1+$B7)^('DCF Model'!C19+2)+'DCF Model'!F45/(1+$B7)^('DCF Model'!C19+3)+'DCF Model'!G45/(1+$B7)^('DCF Model'!C19+4)+'DCF Model'!G45*(1+D$6)/($B7-D$6)/(1+$B7)^('DCF Model'!C19+4)-'DCF Model'!C16)*1000000/'DCF Model'!C15,0),"")</f>
        <v>7046</v>
      </c>
      <c r="E7" s="37">
        <f>IFERROR(ROUND(('DCF Model'!C45/(1+$B7)^('DCF Model'!C19+0)+'DCF Model'!D45/(1+$B7)^('DCF Model'!C19+1)+'DCF Model'!E45/(1+$B7)^('DCF Model'!C19+2)+'DCF Model'!F45/(1+$B7)^('DCF Model'!C19+3)+'DCF Model'!G45/(1+$B7)^('DCF Model'!C19+4)+'DCF Model'!G45*(1+E$6)/($B7-E$6)/(1+$B7)^('DCF Model'!C19+4)-'DCF Model'!C16)*1000000/'DCF Model'!C15,0),"")</f>
        <v>7353</v>
      </c>
      <c r="F7" s="37">
        <f>IFERROR(ROUND(('DCF Model'!C45/(1+$B7)^('DCF Model'!C19+0)+'DCF Model'!D45/(1+$B7)^('DCF Model'!C19+1)+'DCF Model'!E45/(1+$B7)^('DCF Model'!C19+2)+'DCF Model'!F45/(1+$B7)^('DCF Model'!C19+3)+'DCF Model'!G45/(1+$B7)^('DCF Model'!C19+4)+'DCF Model'!G45*(1+F$6)/($B7-F$6)/(1+$B7)^('DCF Model'!C19+4)-'DCF Model'!C16)*1000000/'DCF Model'!C15,0),"")</f>
        <v>7692</v>
      </c>
      <c r="G7" s="37">
        <f>IFERROR(ROUND(('DCF Model'!C45/(1+$B7)^('DCF Model'!C19+0)+'DCF Model'!D45/(1+$B7)^('DCF Model'!C19+1)+'DCF Model'!E45/(1+$B7)^('DCF Model'!C19+2)+'DCF Model'!F45/(1+$B7)^('DCF Model'!C19+3)+'DCF Model'!G45/(1+$B7)^('DCF Model'!C19+4)+'DCF Model'!G45*(1+G$6)/($B7-G$6)/(1+$B7)^('DCF Model'!C19+4)-'DCF Model'!C16)*1000000/'DCF Model'!C15,0),"")</f>
        <v>8069</v>
      </c>
      <c r="H7" s="37">
        <f>IFERROR(ROUND(('DCF Model'!C45/(1+$B7)^('DCF Model'!C19+0)+'DCF Model'!D45/(1+$B7)^('DCF Model'!C19+1)+'DCF Model'!E45/(1+$B7)^('DCF Model'!C19+2)+'DCF Model'!F45/(1+$B7)^('DCF Model'!C19+3)+'DCF Model'!G45/(1+$B7)^('DCF Model'!C19+4)+'DCF Model'!G45*(1+H$6)/($B7-H$6)/(1+$B7)^('DCF Model'!C19+4)-'DCF Model'!C16)*1000000/'DCF Model'!C15,0),"")</f>
        <v>8490</v>
      </c>
      <c r="I7" s="37">
        <f>IFERROR(ROUND(('DCF Model'!C45/(1+$B7)^('DCF Model'!C19+0)+'DCF Model'!D45/(1+$B7)^('DCF Model'!C19+1)+'DCF Model'!E45/(1+$B7)^('DCF Model'!C19+2)+'DCF Model'!F45/(1+$B7)^('DCF Model'!C19+3)+'DCF Model'!G45/(1+$B7)^('DCF Model'!C19+4)+'DCF Model'!G45*(1+I$6)/($B7-I$6)/(1+$B7)^('DCF Model'!C19+4)-'DCF Model'!C16)*1000000/'DCF Model'!C15,0),"")</f>
        <v>8964</v>
      </c>
    </row>
    <row r="8" spans="2:9" ht="13.5" customHeight="1" x14ac:dyDescent="0.25">
      <c r="B8" s="39">
        <f>$C$3-0.01</f>
        <v>6.2612356979405023E-2</v>
      </c>
      <c r="C8" s="37">
        <f>IFERROR(ROUND(('DCF Model'!C45/(1+$B8)^('DCF Model'!C19+0)+'DCF Model'!D45/(1+$B8)^('DCF Model'!C19+1)+'DCF Model'!E45/(1+$B8)^('DCF Model'!C19+2)+'DCF Model'!F45/(1+$B8)^('DCF Model'!C19+3)+'DCF Model'!G45/(1+$B8)^('DCF Model'!C19+4)+'DCF Model'!G45*(1+C$6)/($B8-C$6)/(1+$B8)^('DCF Model'!C19+4)-'DCF Model'!C16)*1000000/'DCF Model'!C15,0),"")</f>
        <v>6162</v>
      </c>
      <c r="D8" s="37">
        <f>IFERROR(ROUND(('DCF Model'!C45/(1+$B8)^('DCF Model'!C19+0)+'DCF Model'!D45/(1+$B8)^('DCF Model'!C19+1)+'DCF Model'!E45/(1+$B8)^('DCF Model'!C19+2)+'DCF Model'!F45/(1+$B8)^('DCF Model'!C19+3)+'DCF Model'!G45/(1+$B8)^('DCF Model'!C19+4)+'DCF Model'!G45*(1+D$6)/($B8-D$6)/(1+$B8)^('DCF Model'!C19+4)-'DCF Model'!C16)*1000000/'DCF Model'!C15,0),"")</f>
        <v>6392</v>
      </c>
      <c r="E8" s="37">
        <f>IFERROR(ROUND(('DCF Model'!C45/(1+$B8)^('DCF Model'!C19+0)+'DCF Model'!D45/(1+$B8)^('DCF Model'!C19+1)+'DCF Model'!E45/(1+$B8)^('DCF Model'!C19+2)+'DCF Model'!F45/(1+$B8)^('DCF Model'!C19+3)+'DCF Model'!G45/(1+$B8)^('DCF Model'!C19+4)+'DCF Model'!G45*(1+E$6)/($B8-E$6)/(1+$B8)^('DCF Model'!C19+4)-'DCF Model'!C16)*1000000/'DCF Model'!C15,0),"")</f>
        <v>6642</v>
      </c>
      <c r="F8" s="37">
        <f>IFERROR(ROUND(('DCF Model'!C45/(1+$B8)^('DCF Model'!C19+0)+'DCF Model'!D45/(1+$B8)^('DCF Model'!C19+1)+'DCF Model'!E45/(1+$B8)^('DCF Model'!C19+2)+'DCF Model'!F45/(1+$B8)^('DCF Model'!C19+3)+'DCF Model'!G45/(1+$B8)^('DCF Model'!C19+4)+'DCF Model'!G45*(1+F$6)/($B8-F$6)/(1+$B8)^('DCF Model'!C19+4)-'DCF Model'!C16)*1000000/'DCF Model'!C15,0),"")</f>
        <v>6916</v>
      </c>
      <c r="G8" s="37">
        <f>IFERROR(ROUND(('DCF Model'!C45/(1+$B8)^('DCF Model'!C19+0)+'DCF Model'!D45/(1+$B8)^('DCF Model'!C19+1)+'DCF Model'!E45/(1+$B8)^('DCF Model'!C19+2)+'DCF Model'!F45/(1+$B8)^('DCF Model'!C19+3)+'DCF Model'!G45/(1+$B8)^('DCF Model'!C19+4)+'DCF Model'!G45*(1+G$6)/($B8-G$6)/(1+$B8)^('DCF Model'!C19+4)-'DCF Model'!C16)*1000000/'DCF Model'!C15,0),"")</f>
        <v>7217</v>
      </c>
      <c r="H8" s="37">
        <f>IFERROR(ROUND(('DCF Model'!C45/(1+$B8)^('DCF Model'!C19+0)+'DCF Model'!D45/(1+$B8)^('DCF Model'!C19+1)+'DCF Model'!E45/(1+$B8)^('DCF Model'!C19+2)+'DCF Model'!F45/(1+$B8)^('DCF Model'!C19+3)+'DCF Model'!G45/(1+$B8)^('DCF Model'!C19+4)+'DCF Model'!G45*(1+H$6)/($B8-H$6)/(1+$B8)^('DCF Model'!C19+4)-'DCF Model'!C16)*1000000/'DCF Model'!C15,0),"")</f>
        <v>7550</v>
      </c>
      <c r="I8" s="37">
        <f>IFERROR(ROUND(('DCF Model'!C45/(1+$B8)^('DCF Model'!C19+0)+'DCF Model'!D45/(1+$B8)^('DCF Model'!C19+1)+'DCF Model'!E45/(1+$B8)^('DCF Model'!C19+2)+'DCF Model'!F45/(1+$B8)^('DCF Model'!C19+3)+'DCF Model'!G45/(1+$B8)^('DCF Model'!C19+4)+'DCF Model'!G45*(1+I$6)/($B8-I$6)/(1+$B8)^('DCF Model'!C19+4)-'DCF Model'!C16)*1000000/'DCF Model'!C15,0),"")</f>
        <v>7920</v>
      </c>
    </row>
    <row r="9" spans="2:9" ht="13.5" customHeight="1" x14ac:dyDescent="0.25">
      <c r="B9" s="39">
        <f>$C$3-0.005</f>
        <v>6.7612356979405014E-2</v>
      </c>
      <c r="C9" s="37">
        <f>IFERROR(ROUND(('DCF Model'!C45/(1+$B9)^('DCF Model'!C19+0)+'DCF Model'!D45/(1+$B9)^('DCF Model'!C19+1)+'DCF Model'!E45/(1+$B9)^('DCF Model'!C19+2)+'DCF Model'!F45/(1+$B9)^('DCF Model'!C19+3)+'DCF Model'!G45/(1+$B9)^('DCF Model'!C19+4)+'DCF Model'!G45*(1+C$6)/($B9-C$6)/(1+$B9)^('DCF Model'!C19+4)-'DCF Model'!C16)*1000000/'DCF Model'!C15,0),"")</f>
        <v>5651</v>
      </c>
      <c r="D9" s="37">
        <f>IFERROR(ROUND(('DCF Model'!C45/(1+$B9)^('DCF Model'!C19+0)+'DCF Model'!D45/(1+$B9)^('DCF Model'!C19+1)+'DCF Model'!E45/(1+$B9)^('DCF Model'!C19+2)+'DCF Model'!F45/(1+$B9)^('DCF Model'!C19+3)+'DCF Model'!G45/(1+$B9)^('DCF Model'!C19+4)+'DCF Model'!G45*(1+D$6)/($B9-D$6)/(1+$B9)^('DCF Model'!C19+4)-'DCF Model'!C16)*1000000/'DCF Model'!C15,0),"")</f>
        <v>5842</v>
      </c>
      <c r="E9" s="37">
        <f>IFERROR(ROUND(('DCF Model'!C45/(1+$B9)^('DCF Model'!C19+0)+'DCF Model'!D45/(1+$B9)^('DCF Model'!C19+1)+'DCF Model'!E45/(1+$B9)^('DCF Model'!C19+2)+'DCF Model'!F45/(1+$B9)^('DCF Model'!C19+3)+'DCF Model'!G45/(1+$B9)^('DCF Model'!C19+4)+'DCF Model'!G45*(1+E$6)/($B9-E$6)/(1+$B9)^('DCF Model'!C19+4)-'DCF Model'!C16)*1000000/'DCF Model'!C15,0),"")</f>
        <v>6049</v>
      </c>
      <c r="F9" s="37">
        <f>IFERROR(ROUND(('DCF Model'!C45/(1+$B9)^('DCF Model'!C19+0)+'DCF Model'!D45/(1+$B9)^('DCF Model'!C19+1)+'DCF Model'!E45/(1+$B9)^('DCF Model'!C19+2)+'DCF Model'!F45/(1+$B9)^('DCF Model'!C19+3)+'DCF Model'!G45/(1+$B9)^('DCF Model'!C19+4)+'DCF Model'!G45*(1+F$6)/($B9-F$6)/(1+$B9)^('DCF Model'!C19+4)-'DCF Model'!C16)*1000000/'DCF Model'!C15,0),"")</f>
        <v>6274</v>
      </c>
      <c r="G9" s="37">
        <f>IFERROR(ROUND(('DCF Model'!C45/(1+$B9)^('DCF Model'!C19+0)+'DCF Model'!D45/(1+$B9)^('DCF Model'!C19+1)+'DCF Model'!E45/(1+$B9)^('DCF Model'!C19+2)+'DCF Model'!F45/(1+$B9)^('DCF Model'!C19+3)+'DCF Model'!G45/(1+$B9)^('DCF Model'!C19+4)+'DCF Model'!G45*(1+G$6)/($B9-G$6)/(1+$B9)^('DCF Model'!C19+4)-'DCF Model'!C16)*1000000/'DCF Model'!C15,0),"")</f>
        <v>6520</v>
      </c>
      <c r="H9" s="37">
        <f>IFERROR(ROUND(('DCF Model'!C45/(1+$B9)^('DCF Model'!C19+0)+'DCF Model'!D45/(1+$B9)^('DCF Model'!C19+1)+'DCF Model'!E45/(1+$B9)^('DCF Model'!C19+2)+'DCF Model'!F45/(1+$B9)^('DCF Model'!C19+3)+'DCF Model'!G45/(1+$B9)^('DCF Model'!C19+4)+'DCF Model'!G45*(1+H$6)/($B9-H$6)/(1+$B9)^('DCF Model'!C19+4)-'DCF Model'!C16)*1000000/'DCF Model'!C15,0),"")</f>
        <v>6788</v>
      </c>
      <c r="I9" s="37">
        <f>IFERROR(ROUND(('DCF Model'!C45/(1+$B9)^('DCF Model'!C19+0)+'DCF Model'!D45/(1+$B9)^('DCF Model'!C19+1)+'DCF Model'!E45/(1+$B9)^('DCF Model'!C19+2)+'DCF Model'!F45/(1+$B9)^('DCF Model'!C19+3)+'DCF Model'!G45/(1+$B9)^('DCF Model'!C19+4)+'DCF Model'!G45*(1+I$6)/($B9-I$6)/(1+$B9)^('DCF Model'!C19+4)-'DCF Model'!C16)*1000000/'DCF Model'!C15,0),"")</f>
        <v>7084</v>
      </c>
    </row>
    <row r="10" spans="2:9" ht="13.5" customHeight="1" x14ac:dyDescent="0.25">
      <c r="B10" s="39">
        <f>$C$3</f>
        <v>7.2612356979405018E-2</v>
      </c>
      <c r="C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Model'!G45*(1+C$6)/($B10-C$6)/(1+$B10)^('DCF Model'!C19+4)-'DCF Model'!C16)*1000000/'DCF Model'!C15,0),"")</f>
        <v>5212</v>
      </c>
      <c r="D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Model'!G45*(1+D$6)/($B10-D$6)/(1+$B10)^('DCF Model'!C19+4)-'DCF Model'!C16)*1000000/'DCF Model'!C15,0),"")</f>
        <v>5374</v>
      </c>
      <c r="E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Model'!G45*(1+E$6)/($B10-E$6)/(1+$B10)^('DCF Model'!C19+4)-'DCF Model'!C16)*1000000/'DCF Model'!C15,0),"")</f>
        <v>5547</v>
      </c>
      <c r="F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Model'!G45*(1+F$6)/($B10-F$6)/(1+$B10)^('DCF Model'!C19+4)-'DCF Model'!C16)*1000000/'DCF Model'!C15,0),"")</f>
        <v>5735</v>
      </c>
      <c r="G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Model'!G45*(1+G$6)/($B10-G$6)/(1+$B10)^('DCF Model'!C19+4)-'DCF Model'!C16)*1000000/'DCF Model'!C15,0),"")</f>
        <v>5938</v>
      </c>
      <c r="H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Model'!G45*(1+H$6)/($B10-H$6)/(1+$B10)^('DCF Model'!C19+4)-'DCF Model'!C16)*1000000/'DCF Model'!C15,0),"")</f>
        <v>6159</v>
      </c>
      <c r="I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Model'!G45*(1+I$6)/($B10-I$6)/(1+$B10)^('DCF Model'!C19+4)-'DCF Model'!C16)*1000000/'DCF Model'!C15,0),"")</f>
        <v>6400</v>
      </c>
    </row>
    <row r="11" spans="2:9" ht="13.5" customHeight="1" x14ac:dyDescent="0.25">
      <c r="B11" s="39">
        <f>$C$3+0.005</f>
        <v>7.7612356979405023E-2</v>
      </c>
      <c r="C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Model'!G45*(1+C$6)/($B11-C$6)/(1+$B11)^('DCF Model'!C19+4)-'DCF Model'!C16)*1000000/'DCF Model'!C15,0),"")</f>
        <v>4832</v>
      </c>
      <c r="D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Model'!G45*(1+D$6)/($B11-D$6)/(1+$B11)^('DCF Model'!C19+4)-'DCF Model'!C16)*1000000/'DCF Model'!C15,0),"")</f>
        <v>4970</v>
      </c>
      <c r="E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Model'!G45*(1+E$6)/($B11-E$6)/(1+$B11)^('DCF Model'!C19+4)-'DCF Model'!C16)*1000000/'DCF Model'!C15,0),"")</f>
        <v>5117</v>
      </c>
      <c r="F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Model'!G45*(1+F$6)/($B11-F$6)/(1+$B11)^('DCF Model'!C19+4)-'DCF Model'!C16)*1000000/'DCF Model'!C15,0),"")</f>
        <v>5276</v>
      </c>
      <c r="G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Model'!G45*(1+G$6)/($B11-G$6)/(1+$B11)^('DCF Model'!C19+4)-'DCF Model'!C16)*1000000/'DCF Model'!C15,0),"")</f>
        <v>5446</v>
      </c>
      <c r="H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Model'!G45*(1+H$6)/($B11-H$6)/(1+$B11)^('DCF Model'!C19+4)-'DCF Model'!C16)*1000000/'DCF Model'!C15,0),"")</f>
        <v>5631</v>
      </c>
      <c r="I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Model'!G45*(1+I$6)/($B11-I$6)/(1+$B11)^('DCF Model'!C19+4)-'DCF Model'!C16)*1000000/'DCF Model'!C15,0),"")</f>
        <v>5830</v>
      </c>
    </row>
    <row r="12" spans="2:9" ht="13.5" customHeight="1" x14ac:dyDescent="0.25">
      <c r="B12" s="39">
        <f>$C$3+0.01</f>
        <v>8.2612356979405013E-2</v>
      </c>
      <c r="C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Model'!G45*(1+C$6)/($B12-C$6)/(1+$B12)^('DCF Model'!C19+4)-'DCF Model'!C16)*1000000/'DCF Model'!C15,0),"")</f>
        <v>4500</v>
      </c>
      <c r="D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Model'!G45*(1+D$6)/($B12-D$6)/(1+$B12)^('DCF Model'!C19+4)-'DCF Model'!C16)*1000000/'DCF Model'!C15,0),"")</f>
        <v>4618</v>
      </c>
      <c r="E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Model'!G45*(1+E$6)/($B12-E$6)/(1+$B12)^('DCF Model'!C19+4)-'DCF Model'!C16)*1000000/'DCF Model'!C15,0),"")</f>
        <v>4745</v>
      </c>
      <c r="F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Model'!G45*(1+F$6)/($B12-F$6)/(1+$B12)^('DCF Model'!C19+4)-'DCF Model'!C16)*1000000/'DCF Model'!C15,0),"")</f>
        <v>4880</v>
      </c>
      <c r="G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Model'!G45*(1+G$6)/($B12-G$6)/(1+$B12)^('DCF Model'!C19+4)-'DCF Model'!C16)*1000000/'DCF Model'!C15,0),"")</f>
        <v>5025</v>
      </c>
      <c r="H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Model'!G45*(1+H$6)/($B12-H$6)/(1+$B12)^('DCF Model'!C19+4)-'DCF Model'!C16)*1000000/'DCF Model'!C15,0),"")</f>
        <v>5180</v>
      </c>
      <c r="I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Model'!G45*(1+I$6)/($B12-I$6)/(1+$B12)^('DCF Model'!C19+4)-'DCF Model'!C16)*1000000/'DCF Model'!C15,0),"")</f>
        <v>5348</v>
      </c>
    </row>
    <row r="13" spans="2:9" ht="13.5" customHeight="1" x14ac:dyDescent="0.25">
      <c r="B13" s="39">
        <f>$C$3+0.015</f>
        <v>8.7612356979405018E-2</v>
      </c>
      <c r="C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Model'!G45*(1+C$6)/($B13-C$6)/(1+$B13)^('DCF Model'!C19+4)-'DCF Model'!C16)*1000000/'DCF Model'!C15,0),"")</f>
        <v>4206</v>
      </c>
      <c r="D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Model'!G45*(1+D$6)/($B13-D$6)/(1+$B13)^('DCF Model'!C19+4)-'DCF Model'!C16)*1000000/'DCF Model'!C15,0),"")</f>
        <v>4309</v>
      </c>
      <c r="E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Model'!G45*(1+E$6)/($B13-E$6)/(1+$B13)^('DCF Model'!C19+4)-'DCF Model'!C16)*1000000/'DCF Model'!C15,0),"")</f>
        <v>4419</v>
      </c>
      <c r="F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Model'!G45*(1+F$6)/($B13-F$6)/(1+$B13)^('DCF Model'!C19+4)-'DCF Model'!C16)*1000000/'DCF Model'!C15,0),"")</f>
        <v>4535</v>
      </c>
      <c r="G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Model'!G45*(1+G$6)/($B13-G$6)/(1+$B13)^('DCF Model'!C19+4)-'DCF Model'!C16)*1000000/'DCF Model'!C15,0),"")</f>
        <v>4659</v>
      </c>
      <c r="H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Model'!G45*(1+H$6)/($B13-H$6)/(1+$B13)^('DCF Model'!C19+4)-'DCF Model'!C16)*1000000/'DCF Model'!C15,0),"")</f>
        <v>4792</v>
      </c>
      <c r="I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Model'!G45*(1+I$6)/($B13-I$6)/(1+$B13)^('DCF Model'!C19+4)-'DCF Model'!C16)*1000000/'DCF Model'!C15,0),"")</f>
        <v>4934</v>
      </c>
    </row>
    <row r="16" spans="2:9" ht="14" customHeight="1" x14ac:dyDescent="0.3">
      <c r="B16" s="3" t="s">
        <v>242</v>
      </c>
    </row>
    <row r="17" spans="2:9" ht="14" customHeight="1" x14ac:dyDescent="0.3">
      <c r="B17" s="40" t="s">
        <v>243</v>
      </c>
      <c r="C17" s="42">
        <f>$I$3-3</f>
        <v>4.8</v>
      </c>
      <c r="D17" s="42">
        <f>$I$3-2</f>
        <v>5.8</v>
      </c>
      <c r="E17" s="42">
        <f>$I$3-1</f>
        <v>6.8</v>
      </c>
      <c r="F17" s="42">
        <f>$I$3</f>
        <v>7.8</v>
      </c>
      <c r="G17" s="42">
        <f>$I$3+1</f>
        <v>8.8000000000000007</v>
      </c>
      <c r="H17" s="42">
        <f>$I$3+2</f>
        <v>9.8000000000000007</v>
      </c>
      <c r="I17" s="42">
        <f>$I$3+3</f>
        <v>10.8</v>
      </c>
    </row>
    <row r="18" spans="2:9" ht="13.5" customHeight="1" x14ac:dyDescent="0.25">
      <c r="B18" s="39">
        <f>$C$3-0.015</f>
        <v>5.7612356979405019E-2</v>
      </c>
      <c r="C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Model'!G42)*C$17/(1+$B18)^('DCF Model'!C19+4)-'DCF Model'!C16)*1000000/'DCF Model'!C15,0),"")</f>
        <v>4533</v>
      </c>
      <c r="D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Model'!G42)*D$17/(1+$B18)^('DCF Model'!C19+4)-'DCF Model'!C16)*1000000/'DCF Model'!C15,0),"")</f>
        <v>5228</v>
      </c>
      <c r="E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Model'!G42)*E$17/(1+$B18)^('DCF Model'!C19+4)-'DCF Model'!C16)*1000000/'DCF Model'!C15,0),"")</f>
        <v>5923</v>
      </c>
      <c r="F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Model'!G42)*F$17/(1+$B18)^('DCF Model'!C19+4)-'DCF Model'!C16)*1000000/'DCF Model'!C15,0),"")</f>
        <v>6618</v>
      </c>
      <c r="G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Model'!G42)*G$17/(1+$B18)^('DCF Model'!C19+4)-'DCF Model'!C16)*1000000/'DCF Model'!C15,0),"")</f>
        <v>7313</v>
      </c>
      <c r="H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Model'!G42)*H$17/(1+$B18)^('DCF Model'!C19+4)-'DCF Model'!C16)*1000000/'DCF Model'!C15,0),"")</f>
        <v>8008</v>
      </c>
      <c r="I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Model'!G42)*I$17/(1+$B18)^('DCF Model'!C19+4)-'DCF Model'!C16)*1000000/'DCF Model'!C15,0),"")</f>
        <v>8703</v>
      </c>
    </row>
    <row r="19" spans="2:9" ht="13.5" customHeight="1" x14ac:dyDescent="0.25">
      <c r="B19" s="39">
        <f>$C$3-0.01</f>
        <v>6.2612356979405023E-2</v>
      </c>
      <c r="C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Model'!G42)*C$17/(1+$B19)^('DCF Model'!C19+4)-'DCF Model'!C16)*1000000/'DCF Model'!C15,0),"")</f>
        <v>4433</v>
      </c>
      <c r="D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Model'!G42)*D$17/(1+$B19)^('DCF Model'!C19+4)-'DCF Model'!C16)*1000000/'DCF Model'!C15,0),"")</f>
        <v>5112</v>
      </c>
      <c r="E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Model'!G42)*E$17/(1+$B19)^('DCF Model'!C19+4)-'DCF Model'!C16)*1000000/'DCF Model'!C15,0),"")</f>
        <v>5791</v>
      </c>
      <c r="F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Model'!G42)*F$17/(1+$B19)^('DCF Model'!C19+4)-'DCF Model'!C16)*1000000/'DCF Model'!C15,0),"")</f>
        <v>6469</v>
      </c>
      <c r="G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Model'!G42)*G$17/(1+$B19)^('DCF Model'!C19+4)-'DCF Model'!C16)*1000000/'DCF Model'!C15,0),"")</f>
        <v>7148</v>
      </c>
      <c r="H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Model'!G42)*H$17/(1+$B19)^('DCF Model'!C19+4)-'DCF Model'!C16)*1000000/'DCF Model'!C15,0),"")</f>
        <v>7827</v>
      </c>
      <c r="I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Model'!G42)*I$17/(1+$B19)^('DCF Model'!C19+4)-'DCF Model'!C16)*1000000/'DCF Model'!C15,0),"")</f>
        <v>8505</v>
      </c>
    </row>
    <row r="20" spans="2:9" ht="13.5" customHeight="1" x14ac:dyDescent="0.25">
      <c r="B20" s="39">
        <f>$C$3-0.005</f>
        <v>6.7612356979405014E-2</v>
      </c>
      <c r="C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Model'!G42)*C$17/(1+$B20)^('DCF Model'!C19+4)-'DCF Model'!C16)*1000000/'DCF Model'!C15,0),"")</f>
        <v>4336</v>
      </c>
      <c r="D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Model'!G42)*D$17/(1+$B20)^('DCF Model'!C19+4)-'DCF Model'!C16)*1000000/'DCF Model'!C15,0),"")</f>
        <v>4999</v>
      </c>
      <c r="E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Model'!G42)*E$17/(1+$B20)^('DCF Model'!C19+4)-'DCF Model'!C16)*1000000/'DCF Model'!C15,0),"")</f>
        <v>5662</v>
      </c>
      <c r="F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Model'!G42)*F$17/(1+$B20)^('DCF Model'!C19+4)-'DCF Model'!C16)*1000000/'DCF Model'!C15,0),"")</f>
        <v>6325</v>
      </c>
      <c r="G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Model'!G42)*G$17/(1+$B20)^('DCF Model'!C19+4)-'DCF Model'!C16)*1000000/'DCF Model'!C15,0),"")</f>
        <v>6988</v>
      </c>
      <c r="H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Model'!G42)*H$17/(1+$B20)^('DCF Model'!C19+4)-'DCF Model'!C16)*1000000/'DCF Model'!C15,0),"")</f>
        <v>7651</v>
      </c>
      <c r="I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Model'!G42)*I$17/(1+$B20)^('DCF Model'!C19+4)-'DCF Model'!C16)*1000000/'DCF Model'!C15,0),"")</f>
        <v>8314</v>
      </c>
    </row>
    <row r="21" spans="2:9" ht="13.5" customHeight="1" x14ac:dyDescent="0.25">
      <c r="B21" s="39">
        <f>$C$3</f>
        <v>7.2612356979405018E-2</v>
      </c>
      <c r="C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Model'!G42)*C$17/(1+$B21)^('DCF Model'!C19+4)-'DCF Model'!C16)*1000000/'DCF Model'!C15,0),"")</f>
        <v>4241</v>
      </c>
      <c r="D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Model'!G42)*D$17/(1+$B21)^('DCF Model'!C19+4)-'DCF Model'!C16)*1000000/'DCF Model'!C15,0),"")</f>
        <v>4889</v>
      </c>
      <c r="E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Model'!G42)*E$17/(1+$B21)^('DCF Model'!C19+4)-'DCF Model'!C16)*1000000/'DCF Model'!C15,0),"")</f>
        <v>5536</v>
      </c>
      <c r="F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Model'!G42)*F$17/(1+$B21)^('DCF Model'!C19+4)-'DCF Model'!C16)*1000000/'DCF Model'!C15,0),"")</f>
        <v>6184</v>
      </c>
      <c r="G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Model'!G42)*G$17/(1+$B21)^('DCF Model'!C19+4)-'DCF Model'!C16)*1000000/'DCF Model'!C15,0),"")</f>
        <v>6832</v>
      </c>
      <c r="H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Model'!G42)*H$17/(1+$B21)^('DCF Model'!C19+4)-'DCF Model'!C16)*1000000/'DCF Model'!C15,0),"")</f>
        <v>7479</v>
      </c>
      <c r="I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Model'!G42)*I$17/(1+$B21)^('DCF Model'!C19+4)-'DCF Model'!C16)*1000000/'DCF Model'!C15,0),"")</f>
        <v>8127</v>
      </c>
    </row>
    <row r="22" spans="2:9" ht="13.5" customHeight="1" x14ac:dyDescent="0.25">
      <c r="B22" s="39">
        <f>$C$3+0.005</f>
        <v>7.7612356979405023E-2</v>
      </c>
      <c r="C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Model'!G42)*C$17/(1+$B22)^('DCF Model'!C19+4)-'DCF Model'!C16)*1000000/'DCF Model'!C15,0),"")</f>
        <v>4149</v>
      </c>
      <c r="D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Model'!G42)*D$17/(1+$B22)^('DCF Model'!C19+4)-'DCF Model'!C16)*1000000/'DCF Model'!C15,0),"")</f>
        <v>4781</v>
      </c>
      <c r="E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Model'!G42)*E$17/(1+$B22)^('DCF Model'!C19+4)-'DCF Model'!C16)*1000000/'DCF Model'!C15,0),"")</f>
        <v>5414</v>
      </c>
      <c r="F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Model'!G42)*F$17/(1+$B22)^('DCF Model'!C19+4)-'DCF Model'!C16)*1000000/'DCF Model'!C15,0),"")</f>
        <v>6047</v>
      </c>
      <c r="G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Model'!G42)*G$17/(1+$B22)^('DCF Model'!C19+4)-'DCF Model'!C16)*1000000/'DCF Model'!C15,0),"")</f>
        <v>6680</v>
      </c>
      <c r="H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Model'!G42)*H$17/(1+$B22)^('DCF Model'!C19+4)-'DCF Model'!C16)*1000000/'DCF Model'!C15,0),"")</f>
        <v>7313</v>
      </c>
      <c r="I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Model'!G42)*I$17/(1+$B22)^('DCF Model'!C19+4)-'DCF Model'!C16)*1000000/'DCF Model'!C15,0),"")</f>
        <v>7945</v>
      </c>
    </row>
    <row r="23" spans="2:9" ht="13.5" customHeight="1" x14ac:dyDescent="0.25">
      <c r="B23" s="39">
        <f>$C$3+0.01</f>
        <v>8.2612356979405013E-2</v>
      </c>
      <c r="C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Model'!G42)*C$17/(1+$B23)^('DCF Model'!C19+4)-'DCF Model'!C16)*1000000/'DCF Model'!C15,0),"")</f>
        <v>4059</v>
      </c>
      <c r="D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Model'!G42)*D$17/(1+$B23)^('DCF Model'!C19+4)-'DCF Model'!C16)*1000000/'DCF Model'!C15,0),"")</f>
        <v>4677</v>
      </c>
      <c r="E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Model'!G42)*E$17/(1+$B23)^('DCF Model'!C19+4)-'DCF Model'!C16)*1000000/'DCF Model'!C15,0),"")</f>
        <v>5295</v>
      </c>
      <c r="F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Model'!G42)*F$17/(1+$B23)^('DCF Model'!C19+4)-'DCF Model'!C16)*1000000/'DCF Model'!C15,0),"")</f>
        <v>5914</v>
      </c>
      <c r="G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Model'!G42)*G$17/(1+$B23)^('DCF Model'!C19+4)-'DCF Model'!C16)*1000000/'DCF Model'!C15,0),"")</f>
        <v>6532</v>
      </c>
      <c r="H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Model'!G42)*H$17/(1+$B23)^('DCF Model'!C19+4)-'DCF Model'!C16)*1000000/'DCF Model'!C15,0),"")</f>
        <v>7150</v>
      </c>
      <c r="I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Model'!G42)*I$17/(1+$B23)^('DCF Model'!C19+4)-'DCF Model'!C16)*1000000/'DCF Model'!C15,0),"")</f>
        <v>7768</v>
      </c>
    </row>
    <row r="24" spans="2:9" ht="13.5" customHeight="1" x14ac:dyDescent="0.25">
      <c r="B24" s="39">
        <f>$C$3+0.015</f>
        <v>8.7612356979405018E-2</v>
      </c>
      <c r="C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Model'!G42)*C$17/(1+$B24)^('DCF Model'!C19+4)-'DCF Model'!C16)*1000000/'DCF Model'!C15,0),"")</f>
        <v>3971</v>
      </c>
      <c r="D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Model'!G42)*D$17/(1+$B24)^('DCF Model'!C19+4)-'DCF Model'!C16)*1000000/'DCF Model'!C15,0),"")</f>
        <v>4575</v>
      </c>
      <c r="E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Model'!G42)*E$17/(1+$B24)^('DCF Model'!C19+4)-'DCF Model'!C16)*1000000/'DCF Model'!C15,0),"")</f>
        <v>5180</v>
      </c>
      <c r="F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Model'!G42)*F$17/(1+$B24)^('DCF Model'!C19+4)-'DCF Model'!C16)*1000000/'DCF Model'!C15,0),"")</f>
        <v>5784</v>
      </c>
      <c r="G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Model'!G42)*G$17/(1+$B24)^('DCF Model'!C19+4)-'DCF Model'!C16)*1000000/'DCF Model'!C15,0),"")</f>
        <v>6388</v>
      </c>
      <c r="H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Model'!G42)*H$17/(1+$B24)^('DCF Model'!C19+4)-'DCF Model'!C16)*1000000/'DCF Model'!C15,0),"")</f>
        <v>6992</v>
      </c>
      <c r="I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Model'!G42)*I$17/(1+$B24)^('DCF Model'!C19+4)-'DCF Model'!C16)*1000000/'DCF Model'!C15,0),"")</f>
        <v>7596</v>
      </c>
    </row>
    <row r="26" spans="2:9" ht="14" customHeight="1" x14ac:dyDescent="0.3">
      <c r="B26" s="46" t="s">
        <v>244</v>
      </c>
      <c r="C26" s="45"/>
      <c r="D26" s="45"/>
      <c r="E26" s="45"/>
      <c r="F26" s="45"/>
      <c r="G26" s="45"/>
      <c r="H26" s="45"/>
      <c r="I26" s="45"/>
    </row>
  </sheetData>
  <mergeCells count="1">
    <mergeCell ref="B26:I26"/>
  </mergeCells>
  <phoneticPr fontId="8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808080"/>
  </sheetPr>
  <dimension ref="B2:G63"/>
  <sheetViews>
    <sheetView workbookViewId="0"/>
  </sheetViews>
  <sheetFormatPr defaultRowHeight="13" x14ac:dyDescent="0.2"/>
  <cols>
    <col min="1" max="1" width="3" customWidth="1"/>
    <col min="2" max="2" width="14" customWidth="1"/>
    <col min="3" max="3" width="16" customWidth="1"/>
    <col min="4" max="5" width="46" customWidth="1"/>
    <col min="6" max="6" width="20" customWidth="1"/>
    <col min="7" max="7" width="12" customWidth="1"/>
  </cols>
  <sheetData>
    <row r="2" spans="2:7" ht="18" customHeight="1" x14ac:dyDescent="0.4">
      <c r="B2" s="2" t="s">
        <v>245</v>
      </c>
    </row>
    <row r="4" spans="2:7" ht="14" customHeight="1" x14ac:dyDescent="0.3">
      <c r="B4" s="10" t="s">
        <v>246</v>
      </c>
      <c r="C4" s="10" t="s">
        <v>247</v>
      </c>
      <c r="D4" s="10" t="s">
        <v>248</v>
      </c>
      <c r="E4" s="10" t="s">
        <v>249</v>
      </c>
      <c r="F4" s="10" t="s">
        <v>250</v>
      </c>
      <c r="G4" s="10" t="s">
        <v>251</v>
      </c>
    </row>
    <row r="5" spans="2:7" x14ac:dyDescent="0.2">
      <c r="B5" t="s">
        <v>252</v>
      </c>
      <c r="C5" t="s">
        <v>253</v>
      </c>
      <c r="D5" t="s">
        <v>254</v>
      </c>
      <c r="E5" t="s">
        <v>255</v>
      </c>
      <c r="F5" t="s">
        <v>253</v>
      </c>
      <c r="G5" t="s">
        <v>256</v>
      </c>
    </row>
    <row r="6" spans="2:7" ht="30" customHeight="1" x14ac:dyDescent="0.3">
      <c r="B6" s="43" t="s">
        <v>252</v>
      </c>
      <c r="C6" s="4" t="s">
        <v>257</v>
      </c>
      <c r="D6" s="43" t="s">
        <v>258</v>
      </c>
      <c r="E6" s="43" t="s">
        <v>259</v>
      </c>
      <c r="F6" s="43" t="s">
        <v>260</v>
      </c>
      <c r="G6" s="43" t="s">
        <v>261</v>
      </c>
    </row>
    <row r="7" spans="2:7" ht="30" customHeight="1" x14ac:dyDescent="0.3">
      <c r="B7" s="43" t="s">
        <v>252</v>
      </c>
      <c r="C7" s="4" t="s">
        <v>262</v>
      </c>
      <c r="D7" s="43" t="s">
        <v>263</v>
      </c>
      <c r="E7" s="43" t="s">
        <v>264</v>
      </c>
      <c r="F7" s="43" t="s">
        <v>265</v>
      </c>
      <c r="G7" s="43" t="s">
        <v>266</v>
      </c>
    </row>
    <row r="8" spans="2:7" ht="30" customHeight="1" x14ac:dyDescent="0.3">
      <c r="B8" s="43" t="s">
        <v>252</v>
      </c>
      <c r="C8" s="4" t="s">
        <v>267</v>
      </c>
      <c r="D8" s="43" t="s">
        <v>268</v>
      </c>
      <c r="E8" s="43" t="s">
        <v>269</v>
      </c>
      <c r="F8" s="43" t="s">
        <v>270</v>
      </c>
      <c r="G8" s="43" t="s">
        <v>266</v>
      </c>
    </row>
    <row r="9" spans="2:7" ht="30" customHeight="1" x14ac:dyDescent="0.3">
      <c r="B9" s="43" t="s">
        <v>252</v>
      </c>
      <c r="C9" s="4" t="s">
        <v>271</v>
      </c>
      <c r="D9" s="43" t="s">
        <v>272</v>
      </c>
      <c r="E9" s="43" t="s">
        <v>273</v>
      </c>
      <c r="F9" s="43" t="s">
        <v>274</v>
      </c>
      <c r="G9" s="43" t="s">
        <v>275</v>
      </c>
    </row>
    <row r="10" spans="2:7" ht="30" customHeight="1" x14ac:dyDescent="0.3">
      <c r="B10" s="43" t="s">
        <v>252</v>
      </c>
      <c r="C10" s="4" t="s">
        <v>276</v>
      </c>
      <c r="D10" s="43" t="s">
        <v>277</v>
      </c>
      <c r="E10" s="43" t="s">
        <v>278</v>
      </c>
      <c r="F10" s="43" t="s">
        <v>279</v>
      </c>
      <c r="G10" s="43" t="s">
        <v>280</v>
      </c>
    </row>
    <row r="11" spans="2:7" ht="30" customHeight="1" x14ac:dyDescent="0.3">
      <c r="B11" s="43" t="s">
        <v>252</v>
      </c>
      <c r="C11" s="4" t="s">
        <v>281</v>
      </c>
      <c r="D11" s="43" t="s">
        <v>282</v>
      </c>
      <c r="E11" s="43" t="s">
        <v>283</v>
      </c>
      <c r="F11" s="43" t="s">
        <v>284</v>
      </c>
      <c r="G11" s="43" t="s">
        <v>285</v>
      </c>
    </row>
    <row r="12" spans="2:7" ht="30" customHeight="1" x14ac:dyDescent="0.3">
      <c r="B12" s="43" t="s">
        <v>252</v>
      </c>
      <c r="C12" s="4" t="s">
        <v>286</v>
      </c>
      <c r="D12" s="43" t="s">
        <v>287</v>
      </c>
      <c r="E12" s="43" t="s">
        <v>288</v>
      </c>
      <c r="F12" s="43" t="s">
        <v>289</v>
      </c>
      <c r="G12" s="43" t="s">
        <v>266</v>
      </c>
    </row>
    <row r="13" spans="2:7" ht="30" customHeight="1" x14ac:dyDescent="0.3">
      <c r="B13" s="43" t="s">
        <v>252</v>
      </c>
      <c r="C13" s="4" t="s">
        <v>290</v>
      </c>
      <c r="D13" s="43" t="s">
        <v>291</v>
      </c>
      <c r="E13" s="43" t="s">
        <v>292</v>
      </c>
      <c r="F13" s="43" t="s">
        <v>293</v>
      </c>
      <c r="G13" s="43" t="s">
        <v>266</v>
      </c>
    </row>
    <row r="14" spans="2:7" ht="30" customHeight="1" x14ac:dyDescent="0.3">
      <c r="B14" s="43" t="s">
        <v>252</v>
      </c>
      <c r="C14" s="4" t="s">
        <v>294</v>
      </c>
      <c r="D14" s="43" t="s">
        <v>295</v>
      </c>
      <c r="E14" s="43" t="s">
        <v>296</v>
      </c>
      <c r="F14" s="43" t="s">
        <v>253</v>
      </c>
      <c r="G14" s="43" t="s">
        <v>266</v>
      </c>
    </row>
    <row r="15" spans="2:7" ht="30" customHeight="1" x14ac:dyDescent="0.3">
      <c r="B15" s="43" t="s">
        <v>252</v>
      </c>
      <c r="C15" s="4" t="s">
        <v>297</v>
      </c>
      <c r="D15" s="43" t="s">
        <v>298</v>
      </c>
      <c r="E15" s="43" t="s">
        <v>299</v>
      </c>
      <c r="F15" s="43" t="s">
        <v>300</v>
      </c>
      <c r="G15" s="43" t="s">
        <v>266</v>
      </c>
    </row>
    <row r="16" spans="2:7" ht="30" customHeight="1" x14ac:dyDescent="0.3">
      <c r="B16" s="43" t="s">
        <v>252</v>
      </c>
      <c r="C16" s="4" t="s">
        <v>301</v>
      </c>
      <c r="D16" s="43" t="s">
        <v>302</v>
      </c>
      <c r="E16" s="43" t="s">
        <v>303</v>
      </c>
      <c r="F16" s="43" t="s">
        <v>253</v>
      </c>
      <c r="G16" s="43" t="s">
        <v>304</v>
      </c>
    </row>
    <row r="17" spans="2:7" ht="30" customHeight="1" x14ac:dyDescent="0.3">
      <c r="B17" s="43" t="s">
        <v>252</v>
      </c>
      <c r="C17" s="4" t="s">
        <v>305</v>
      </c>
      <c r="D17" s="43" t="s">
        <v>306</v>
      </c>
      <c r="E17" s="43" t="s">
        <v>307</v>
      </c>
      <c r="F17" s="43" t="s">
        <v>270</v>
      </c>
      <c r="G17" s="43" t="s">
        <v>266</v>
      </c>
    </row>
    <row r="18" spans="2:7" ht="30" customHeight="1" x14ac:dyDescent="0.3">
      <c r="B18" s="43" t="s">
        <v>252</v>
      </c>
      <c r="C18" s="4" t="s">
        <v>308</v>
      </c>
      <c r="D18" s="43" t="s">
        <v>309</v>
      </c>
      <c r="E18" s="43" t="s">
        <v>310</v>
      </c>
      <c r="F18" s="43" t="s">
        <v>253</v>
      </c>
      <c r="G18" s="43" t="s">
        <v>266</v>
      </c>
    </row>
    <row r="19" spans="2:7" ht="30" customHeight="1" x14ac:dyDescent="0.3">
      <c r="B19" s="43" t="s">
        <v>252</v>
      </c>
      <c r="C19" s="4" t="s">
        <v>311</v>
      </c>
      <c r="D19" s="43" t="s">
        <v>312</v>
      </c>
      <c r="E19" s="43" t="s">
        <v>313</v>
      </c>
      <c r="F19" s="43" t="s">
        <v>253</v>
      </c>
      <c r="G19" s="43" t="s">
        <v>261</v>
      </c>
    </row>
    <row r="20" spans="2:7" ht="30" customHeight="1" x14ac:dyDescent="0.3">
      <c r="B20" s="43" t="s">
        <v>252</v>
      </c>
      <c r="C20" s="4" t="s">
        <v>314</v>
      </c>
      <c r="D20" s="43" t="s">
        <v>315</v>
      </c>
      <c r="E20" s="43" t="s">
        <v>316</v>
      </c>
      <c r="F20" s="43" t="s">
        <v>253</v>
      </c>
      <c r="G20" s="43" t="s">
        <v>317</v>
      </c>
    </row>
    <row r="21" spans="2:7" ht="30" customHeight="1" x14ac:dyDescent="0.3">
      <c r="B21" s="43" t="s">
        <v>252</v>
      </c>
      <c r="C21" s="4" t="s">
        <v>318</v>
      </c>
      <c r="D21" s="43" t="s">
        <v>319</v>
      </c>
      <c r="E21" s="43" t="s">
        <v>320</v>
      </c>
      <c r="F21" s="43" t="s">
        <v>253</v>
      </c>
      <c r="G21" s="43" t="s">
        <v>321</v>
      </c>
    </row>
    <row r="22" spans="2:7" ht="30" customHeight="1" x14ac:dyDescent="0.3">
      <c r="B22" s="43" t="s">
        <v>252</v>
      </c>
      <c r="C22" s="4" t="s">
        <v>318</v>
      </c>
      <c r="D22" s="43" t="s">
        <v>322</v>
      </c>
      <c r="E22" s="43" t="s">
        <v>323</v>
      </c>
      <c r="F22" s="43" t="s">
        <v>253</v>
      </c>
      <c r="G22" s="43" t="s">
        <v>321</v>
      </c>
    </row>
    <row r="23" spans="2:7" ht="30" customHeight="1" x14ac:dyDescent="0.3">
      <c r="B23" s="43" t="s">
        <v>252</v>
      </c>
      <c r="C23" s="4" t="s">
        <v>318</v>
      </c>
      <c r="D23" s="43" t="s">
        <v>324</v>
      </c>
      <c r="E23" s="43" t="s">
        <v>325</v>
      </c>
      <c r="F23" s="43" t="s">
        <v>253</v>
      </c>
      <c r="G23" s="43" t="s">
        <v>321</v>
      </c>
    </row>
    <row r="24" spans="2:7" ht="14" customHeight="1" x14ac:dyDescent="0.2"/>
    <row r="25" spans="2:7" ht="14" customHeight="1" x14ac:dyDescent="0.3">
      <c r="B25" s="8" t="s">
        <v>326</v>
      </c>
    </row>
    <row r="26" spans="2:7" ht="14" customHeight="1" x14ac:dyDescent="0.3">
      <c r="B26" s="10" t="s">
        <v>327</v>
      </c>
      <c r="C26" s="10" t="s">
        <v>328</v>
      </c>
    </row>
    <row r="27" spans="2:7" ht="14" customHeight="1" x14ac:dyDescent="0.3">
      <c r="B27" s="4" t="s">
        <v>329</v>
      </c>
      <c r="C27" t="s">
        <v>330</v>
      </c>
    </row>
    <row r="28" spans="2:7" ht="14" customHeight="1" x14ac:dyDescent="0.3">
      <c r="B28" s="4" t="s">
        <v>331</v>
      </c>
      <c r="C28" t="s">
        <v>332</v>
      </c>
    </row>
    <row r="29" spans="2:7" ht="14" customHeight="1" x14ac:dyDescent="0.3">
      <c r="B29" s="4" t="s">
        <v>333</v>
      </c>
      <c r="C29" t="s">
        <v>334</v>
      </c>
    </row>
    <row r="30" spans="2:7" ht="14" customHeight="1" x14ac:dyDescent="0.3">
      <c r="B30" s="4" t="s">
        <v>335</v>
      </c>
      <c r="C30" t="s">
        <v>47</v>
      </c>
    </row>
    <row r="31" spans="2:7" ht="14" customHeight="1" x14ac:dyDescent="0.3">
      <c r="B31" s="4" t="s">
        <v>336</v>
      </c>
      <c r="C31" t="s">
        <v>4</v>
      </c>
    </row>
    <row r="32" spans="2:7" ht="14" customHeight="1" x14ac:dyDescent="0.3">
      <c r="B32" s="4" t="s">
        <v>337</v>
      </c>
      <c r="C32" t="s">
        <v>252</v>
      </c>
    </row>
    <row r="33" spans="2:3" ht="14" customHeight="1" x14ac:dyDescent="0.3">
      <c r="B33" s="4" t="s">
        <v>338</v>
      </c>
      <c r="C33" t="s">
        <v>339</v>
      </c>
    </row>
    <row r="34" spans="2:3" ht="14" customHeight="1" x14ac:dyDescent="0.3">
      <c r="B34" s="4" t="s">
        <v>340</v>
      </c>
      <c r="C34" t="s">
        <v>341</v>
      </c>
    </row>
    <row r="35" spans="2:3" ht="14" customHeight="1" x14ac:dyDescent="0.3">
      <c r="B35" s="4" t="s">
        <v>342</v>
      </c>
      <c r="C35" t="s">
        <v>343</v>
      </c>
    </row>
    <row r="36" spans="2:3" ht="14" customHeight="1" x14ac:dyDescent="0.3">
      <c r="B36" s="4" t="s">
        <v>344</v>
      </c>
      <c r="C36" t="s">
        <v>345</v>
      </c>
    </row>
    <row r="37" spans="2:3" ht="14" customHeight="1" x14ac:dyDescent="0.3">
      <c r="B37" s="4" t="s">
        <v>346</v>
      </c>
      <c r="C37" t="s">
        <v>347</v>
      </c>
    </row>
    <row r="38" spans="2:3" ht="14" customHeight="1" x14ac:dyDescent="0.3">
      <c r="B38" s="4" t="s">
        <v>348</v>
      </c>
      <c r="C38" t="s">
        <v>343</v>
      </c>
    </row>
    <row r="39" spans="2:3" ht="14" customHeight="1" x14ac:dyDescent="0.3">
      <c r="B39" s="4" t="s">
        <v>349</v>
      </c>
      <c r="C39" t="s">
        <v>339</v>
      </c>
    </row>
    <row r="40" spans="2:3" ht="14" customHeight="1" x14ac:dyDescent="0.3">
      <c r="B40" s="4" t="s">
        <v>350</v>
      </c>
      <c r="C40" t="s">
        <v>351</v>
      </c>
    </row>
    <row r="41" spans="2:3" ht="14" customHeight="1" x14ac:dyDescent="0.3">
      <c r="B41" s="4" t="s">
        <v>352</v>
      </c>
      <c r="C41" t="s">
        <v>353</v>
      </c>
    </row>
    <row r="42" spans="2:3" ht="14" customHeight="1" x14ac:dyDescent="0.3">
      <c r="B42" s="4" t="s">
        <v>354</v>
      </c>
      <c r="C42" t="s">
        <v>355</v>
      </c>
    </row>
    <row r="43" spans="2:3" ht="14" customHeight="1" x14ac:dyDescent="0.3">
      <c r="B43" s="4" t="s">
        <v>356</v>
      </c>
      <c r="C43" t="s">
        <v>357</v>
      </c>
    </row>
    <row r="44" spans="2:3" ht="14" customHeight="1" x14ac:dyDescent="0.3">
      <c r="B44" s="4" t="s">
        <v>358</v>
      </c>
      <c r="C44" t="s">
        <v>359</v>
      </c>
    </row>
    <row r="45" spans="2:3" ht="14" customHeight="1" x14ac:dyDescent="0.3">
      <c r="B45" s="4" t="s">
        <v>360</v>
      </c>
      <c r="C45" t="s">
        <v>361</v>
      </c>
    </row>
    <row r="46" spans="2:3" ht="14" customHeight="1" x14ac:dyDescent="0.3">
      <c r="B46" s="4" t="s">
        <v>362</v>
      </c>
      <c r="C46" t="s">
        <v>363</v>
      </c>
    </row>
    <row r="47" spans="2:3" ht="14" customHeight="1" x14ac:dyDescent="0.3">
      <c r="B47" s="4" t="s">
        <v>364</v>
      </c>
      <c r="C47" t="s">
        <v>365</v>
      </c>
    </row>
    <row r="48" spans="2:3" ht="14" customHeight="1" x14ac:dyDescent="0.3">
      <c r="B48" s="4" t="s">
        <v>366</v>
      </c>
      <c r="C48" t="s">
        <v>332</v>
      </c>
    </row>
    <row r="49" spans="2:3" ht="14" customHeight="1" x14ac:dyDescent="0.3">
      <c r="B49" s="4" t="s">
        <v>367</v>
      </c>
      <c r="C49" t="s">
        <v>368</v>
      </c>
    </row>
    <row r="50" spans="2:3" ht="14" customHeight="1" x14ac:dyDescent="0.3">
      <c r="B50" s="4" t="s">
        <v>369</v>
      </c>
      <c r="C50" t="s">
        <v>370</v>
      </c>
    </row>
    <row r="51" spans="2:3" ht="14" x14ac:dyDescent="0.3">
      <c r="B51" s="4" t="s">
        <v>371</v>
      </c>
      <c r="C51" t="s">
        <v>372</v>
      </c>
    </row>
    <row r="52" spans="2:3" ht="14" x14ac:dyDescent="0.3">
      <c r="B52" s="4" t="s">
        <v>373</v>
      </c>
      <c r="C52" t="s">
        <v>374</v>
      </c>
    </row>
    <row r="53" spans="2:3" ht="14" x14ac:dyDescent="0.3">
      <c r="B53" s="4" t="s">
        <v>375</v>
      </c>
      <c r="C53" t="s">
        <v>376</v>
      </c>
    </row>
    <row r="54" spans="2:3" ht="14" x14ac:dyDescent="0.3">
      <c r="B54" s="4" t="s">
        <v>377</v>
      </c>
      <c r="C54" t="s">
        <v>378</v>
      </c>
    </row>
    <row r="55" spans="2:3" ht="14" x14ac:dyDescent="0.3">
      <c r="B55" s="4" t="s">
        <v>379</v>
      </c>
      <c r="C55" t="s">
        <v>380</v>
      </c>
    </row>
    <row r="56" spans="2:3" ht="14" x14ac:dyDescent="0.3">
      <c r="B56" s="4" t="s">
        <v>381</v>
      </c>
      <c r="C56" t="s">
        <v>382</v>
      </c>
    </row>
    <row r="57" spans="2:3" ht="14" x14ac:dyDescent="0.3">
      <c r="B57" s="4" t="s">
        <v>383</v>
      </c>
      <c r="C57" t="s">
        <v>384</v>
      </c>
    </row>
    <row r="58" spans="2:3" ht="14" x14ac:dyDescent="0.3">
      <c r="B58" s="4" t="s">
        <v>385</v>
      </c>
      <c r="C58" t="s">
        <v>339</v>
      </c>
    </row>
    <row r="59" spans="2:3" ht="14" x14ac:dyDescent="0.3">
      <c r="B59" s="4" t="s">
        <v>386</v>
      </c>
      <c r="C59" t="s">
        <v>387</v>
      </c>
    </row>
    <row r="60" spans="2:3" ht="14" x14ac:dyDescent="0.3">
      <c r="B60" s="4" t="s">
        <v>388</v>
      </c>
      <c r="C60" t="s">
        <v>389</v>
      </c>
    </row>
    <row r="61" spans="2:3" ht="14" x14ac:dyDescent="0.3">
      <c r="B61" s="4" t="s">
        <v>390</v>
      </c>
      <c r="C61" t="s">
        <v>391</v>
      </c>
    </row>
    <row r="62" spans="2:3" ht="14" x14ac:dyDescent="0.3">
      <c r="B62" s="4" t="s">
        <v>392</v>
      </c>
      <c r="C62" t="s">
        <v>393</v>
      </c>
    </row>
    <row r="63" spans="2:3" ht="14" x14ac:dyDescent="0.3">
      <c r="B63" s="4" t="s">
        <v>394</v>
      </c>
      <c r="C63" t="s">
        <v>213</v>
      </c>
    </row>
  </sheetData>
  <phoneticPr fontId="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Executive Summary</vt:lpstr>
      <vt:lpstr>Financial Statements</vt:lpstr>
      <vt:lpstr>DCF Model</vt:lpstr>
      <vt:lpstr>Reverse DCF</vt:lpstr>
      <vt:lpstr>NWC Schedule</vt:lpstr>
      <vt:lpstr>Comps Analysis</vt:lpstr>
      <vt:lpstr>Sensitivity Analysis</vt:lpstr>
      <vt:lpstr>Adjustments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良亮 佐藤</cp:lastModifiedBy>
  <dcterms:created xsi:type="dcterms:W3CDTF">2026-09-05T13:18:21Z</dcterms:created>
  <dcterms:modified xsi:type="dcterms:W3CDTF">2026-09-05T13:31:34Z</dcterms:modified>
</cp:coreProperties>
</file>