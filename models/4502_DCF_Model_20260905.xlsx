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B623DDAE-4E34-403B-8207-6A2A88E937FF}"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9" i="6"/>
  <c r="N9" i="6"/>
  <c r="M9" i="6"/>
  <c r="L9" i="6"/>
  <c r="K9" i="6"/>
  <c r="J9" i="6"/>
  <c r="O8" i="6"/>
  <c r="N8" i="6"/>
  <c r="M8" i="6"/>
  <c r="L8" i="6"/>
  <c r="K8" i="6"/>
  <c r="J8" i="6"/>
  <c r="O7" i="6"/>
  <c r="N7" i="6"/>
  <c r="M7" i="6"/>
  <c r="L7" i="6"/>
  <c r="K7" i="6"/>
  <c r="J7" i="6"/>
  <c r="O6" i="6"/>
  <c r="N6" i="6"/>
  <c r="M6" i="6"/>
  <c r="G15" i="6" s="1"/>
  <c r="L6" i="6"/>
  <c r="K6" i="6"/>
  <c r="J6" i="6"/>
  <c r="D15" i="6" s="1"/>
  <c r="O5" i="6"/>
  <c r="N5" i="6"/>
  <c r="E5" i="6"/>
  <c r="J5" i="6" s="1"/>
  <c r="D5" i="6"/>
  <c r="M5" i="6" s="1"/>
  <c r="B24" i="1" s="1"/>
  <c r="C16" i="5"/>
  <c r="C14" i="5"/>
  <c r="C7" i="5"/>
  <c r="C6" i="5"/>
  <c r="C5" i="5"/>
  <c r="C13" i="4"/>
  <c r="C12" i="4"/>
  <c r="C9" i="4"/>
  <c r="C7" i="4"/>
  <c r="C6" i="4"/>
  <c r="D27" i="3"/>
  <c r="G5" i="5" s="1"/>
  <c r="C25" i="3"/>
  <c r="C26" i="3" s="1"/>
  <c r="C24" i="3"/>
  <c r="C23" i="3"/>
  <c r="F28" i="2"/>
  <c r="E28" i="2"/>
  <c r="F23" i="2"/>
  <c r="E23" i="2"/>
  <c r="D23" i="2"/>
  <c r="C23" i="2"/>
  <c r="F21" i="2"/>
  <c r="F22" i="2" s="1"/>
  <c r="E21" i="2"/>
  <c r="E22" i="2" s="1"/>
  <c r="F16" i="2"/>
  <c r="E16" i="2"/>
  <c r="D16" i="2"/>
  <c r="F15" i="2"/>
  <c r="E15" i="2"/>
  <c r="D15" i="2"/>
  <c r="F14" i="2"/>
  <c r="E14" i="2"/>
  <c r="D14" i="2"/>
  <c r="C14" i="2"/>
  <c r="F13" i="2"/>
  <c r="E13" i="2"/>
  <c r="D13" i="2"/>
  <c r="C13" i="2"/>
  <c r="F8" i="2"/>
  <c r="F9" i="2" s="1"/>
  <c r="E8" i="2"/>
  <c r="E9" i="2" s="1"/>
  <c r="D8" i="2"/>
  <c r="D9" i="2" s="1"/>
  <c r="C8" i="2"/>
  <c r="C9" i="2" s="1"/>
  <c r="B29" i="1"/>
  <c r="C19" i="1"/>
  <c r="D19" i="1" s="1"/>
  <c r="I16" i="6" l="1"/>
  <c r="E15" i="6"/>
  <c r="C8" i="4"/>
  <c r="C10" i="4" s="1"/>
  <c r="C24" i="4" s="1"/>
  <c r="C25" i="4" s="1"/>
  <c r="C72" i="4" s="1"/>
  <c r="C18" i="5"/>
  <c r="F15" i="6"/>
  <c r="H16" i="6"/>
  <c r="C6" i="7"/>
  <c r="F6" i="7"/>
  <c r="H17" i="6"/>
  <c r="G6" i="7"/>
  <c r="C3" i="7"/>
  <c r="G36" i="4"/>
  <c r="C11" i="4"/>
  <c r="G46" i="3"/>
  <c r="F36" i="4"/>
  <c r="F46" i="3"/>
  <c r="B25" i="1"/>
  <c r="E36" i="4"/>
  <c r="D36" i="4"/>
  <c r="D46" i="3"/>
  <c r="C46" i="3"/>
  <c r="E46" i="3"/>
  <c r="B30" i="1"/>
  <c r="H36" i="4"/>
  <c r="C71" i="4"/>
  <c r="C70" i="4"/>
  <c r="C30" i="3"/>
  <c r="C33" i="3" s="1"/>
  <c r="F31" i="3"/>
  <c r="H5" i="5"/>
  <c r="D7" i="5"/>
  <c r="K5" i="6"/>
  <c r="H15" i="6"/>
  <c r="D17" i="6"/>
  <c r="I6" i="7"/>
  <c r="D30" i="3"/>
  <c r="G31" i="3"/>
  <c r="E7" i="5"/>
  <c r="I15" i="6"/>
  <c r="E17" i="6"/>
  <c r="C17" i="7"/>
  <c r="E30" i="3"/>
  <c r="C32" i="3"/>
  <c r="D6" i="5"/>
  <c r="F7" i="5"/>
  <c r="D16" i="6"/>
  <c r="F17" i="6"/>
  <c r="D17" i="7"/>
  <c r="F32" i="3"/>
  <c r="F30" i="3"/>
  <c r="D32" i="3"/>
  <c r="E6" i="5"/>
  <c r="G7" i="5"/>
  <c r="E16" i="6"/>
  <c r="G17" i="6"/>
  <c r="D6" i="7"/>
  <c r="E17" i="7"/>
  <c r="G30" i="3"/>
  <c r="E32" i="3"/>
  <c r="D5" i="5"/>
  <c r="F6" i="5"/>
  <c r="H7" i="5"/>
  <c r="F16" i="6"/>
  <c r="E6" i="7"/>
  <c r="F17" i="7"/>
  <c r="E5" i="5"/>
  <c r="G6" i="5"/>
  <c r="G16" i="6"/>
  <c r="I17" i="6"/>
  <c r="G17" i="7"/>
  <c r="C31" i="3"/>
  <c r="D31" i="3"/>
  <c r="G32" i="3"/>
  <c r="F5" i="5"/>
  <c r="H6" i="5"/>
  <c r="H17" i="7"/>
  <c r="E31" i="3"/>
  <c r="E39" i="4" l="1"/>
  <c r="E49" i="4" s="1"/>
  <c r="E54" i="4" s="1"/>
  <c r="E43" i="4"/>
  <c r="E46" i="4"/>
  <c r="E40" i="4"/>
  <c r="E44" i="4"/>
  <c r="E38" i="4"/>
  <c r="E41" i="4"/>
  <c r="E51" i="4" s="1"/>
  <c r="E56" i="4" s="1"/>
  <c r="E45" i="4"/>
  <c r="H40" i="4"/>
  <c r="H50" i="4" s="1"/>
  <c r="H55" i="4" s="1"/>
  <c r="H44" i="4"/>
  <c r="H38" i="4"/>
  <c r="H41" i="4"/>
  <c r="H45" i="4"/>
  <c r="H39" i="4"/>
  <c r="H43" i="4"/>
  <c r="H46" i="4"/>
  <c r="F43" i="4"/>
  <c r="F46" i="4"/>
  <c r="F40" i="4"/>
  <c r="F44" i="4"/>
  <c r="F38" i="4"/>
  <c r="F41" i="4"/>
  <c r="F45" i="4"/>
  <c r="F39" i="4"/>
  <c r="F49" i="4" s="1"/>
  <c r="C27" i="6"/>
  <c r="C18" i="1" s="1"/>
  <c r="D18" i="1" s="1"/>
  <c r="C74" i="4"/>
  <c r="C29" i="4"/>
  <c r="C27" i="4"/>
  <c r="C26" i="4"/>
  <c r="G46" i="4"/>
  <c r="G40" i="4"/>
  <c r="G50" i="4" s="1"/>
  <c r="G55" i="4" s="1"/>
  <c r="G44" i="4"/>
  <c r="G38" i="4"/>
  <c r="G48" i="4" s="1"/>
  <c r="G53" i="4" s="1"/>
  <c r="G41" i="4"/>
  <c r="G45" i="4"/>
  <c r="G39" i="4"/>
  <c r="G43" i="4"/>
  <c r="D9" i="5"/>
  <c r="D12" i="5" s="1"/>
  <c r="C43" i="3"/>
  <c r="C34" i="3"/>
  <c r="D10" i="5" s="1"/>
  <c r="C37" i="3"/>
  <c r="D33" i="3"/>
  <c r="D45" i="4"/>
  <c r="D39" i="4"/>
  <c r="D43" i="4"/>
  <c r="D46" i="4"/>
  <c r="D40" i="4"/>
  <c r="D50" i="4" s="1"/>
  <c r="D55" i="4" s="1"/>
  <c r="D44" i="4"/>
  <c r="D38" i="4"/>
  <c r="D41" i="4"/>
  <c r="B13" i="7"/>
  <c r="B12" i="7"/>
  <c r="B11" i="7"/>
  <c r="B10" i="7"/>
  <c r="B9" i="7"/>
  <c r="B8" i="7"/>
  <c r="B7" i="7"/>
  <c r="B24" i="7"/>
  <c r="B23" i="7"/>
  <c r="B22" i="7"/>
  <c r="B21" i="7"/>
  <c r="B20" i="7"/>
  <c r="B19" i="7"/>
  <c r="B18" i="7"/>
  <c r="F50" i="4" l="1"/>
  <c r="F55" i="4" s="1"/>
  <c r="H48" i="4"/>
  <c r="H53" i="4" s="1"/>
  <c r="F54" i="4"/>
  <c r="C60" i="4"/>
  <c r="B78" i="4"/>
  <c r="D49" i="4"/>
  <c r="D54" i="4" s="1"/>
  <c r="G49" i="4"/>
  <c r="G54" i="4" s="1"/>
  <c r="H49" i="4"/>
  <c r="H54" i="4" s="1"/>
  <c r="D51" i="4"/>
  <c r="D56" i="4" s="1"/>
  <c r="E9" i="5"/>
  <c r="E12" i="5" s="1"/>
  <c r="D34" i="3"/>
  <c r="E10" i="5" s="1"/>
  <c r="D37" i="3"/>
  <c r="D35" i="3"/>
  <c r="D43" i="3"/>
  <c r="E33" i="3"/>
  <c r="F51" i="4"/>
  <c r="F56" i="4" s="1"/>
  <c r="E48" i="4"/>
  <c r="E53" i="4" s="1"/>
  <c r="F48" i="4"/>
  <c r="F53" i="4" s="1"/>
  <c r="D48" i="4"/>
  <c r="D53" i="4" s="1"/>
  <c r="C35" i="3"/>
  <c r="G51" i="4"/>
  <c r="G56" i="4" s="1"/>
  <c r="H51" i="4"/>
  <c r="H56" i="4" s="1"/>
  <c r="E50" i="4"/>
  <c r="E55" i="4" s="1"/>
  <c r="D15" i="5"/>
  <c r="D16" i="5" s="1"/>
  <c r="D13" i="5"/>
  <c r="D14" i="5" s="1"/>
  <c r="D18" i="5" s="1"/>
  <c r="D19" i="5" s="1"/>
  <c r="C44" i="3" s="1"/>
  <c r="D36" i="3" l="1"/>
  <c r="D39" i="3"/>
  <c r="D38" i="3"/>
  <c r="C65" i="4"/>
  <c r="D65" i="4" s="1"/>
  <c r="C64" i="4"/>
  <c r="D64" i="4" s="1"/>
  <c r="C67" i="4"/>
  <c r="D67" i="4" s="1"/>
  <c r="C63" i="4"/>
  <c r="D63" i="4" s="1"/>
  <c r="C66" i="4"/>
  <c r="D66" i="4" s="1"/>
  <c r="C73" i="4"/>
  <c r="F9" i="5"/>
  <c r="F12" i="5" s="1"/>
  <c r="E43" i="3"/>
  <c r="E34" i="3"/>
  <c r="F10" i="5" s="1"/>
  <c r="E37" i="3"/>
  <c r="E35" i="3"/>
  <c r="F33" i="3"/>
  <c r="E13" i="5"/>
  <c r="E14" i="5" s="1"/>
  <c r="E15" i="5"/>
  <c r="E16" i="5" s="1"/>
  <c r="C36" i="3"/>
  <c r="C39" i="3"/>
  <c r="C38" i="3"/>
  <c r="E18" i="5" l="1"/>
  <c r="E19" i="5" s="1"/>
  <c r="D44" i="3" s="1"/>
  <c r="E39" i="3"/>
  <c r="E38" i="3"/>
  <c r="E36" i="3"/>
  <c r="F43" i="3"/>
  <c r="F34" i="3"/>
  <c r="G10" i="5" s="1"/>
  <c r="F37" i="3"/>
  <c r="F35" i="3"/>
  <c r="G33" i="3"/>
  <c r="G9" i="5"/>
  <c r="G12" i="5" s="1"/>
  <c r="F13" i="5"/>
  <c r="F15" i="5"/>
  <c r="F16" i="5" s="1"/>
  <c r="C40" i="3"/>
  <c r="C41" i="3" s="1"/>
  <c r="C45" i="3" s="1"/>
  <c r="F14" i="5"/>
  <c r="F18" i="5" s="1"/>
  <c r="F19" i="5" s="1"/>
  <c r="E44" i="3" s="1"/>
  <c r="D40" i="3"/>
  <c r="D41" i="3" s="1"/>
  <c r="D45" i="3" s="1"/>
  <c r="D47" i="3" s="1"/>
  <c r="C47" i="3" l="1"/>
  <c r="E40" i="3"/>
  <c r="E41" i="3"/>
  <c r="E45" i="3" s="1"/>
  <c r="E47" i="3" s="1"/>
  <c r="G37" i="3"/>
  <c r="C16" i="4"/>
  <c r="C28" i="4" s="1"/>
  <c r="G35" i="3"/>
  <c r="H9" i="5"/>
  <c r="H12" i="5" s="1"/>
  <c r="G43" i="3"/>
  <c r="G34" i="3"/>
  <c r="H10" i="5" s="1"/>
  <c r="F38" i="3"/>
  <c r="F36" i="3"/>
  <c r="F39" i="3"/>
  <c r="G13" i="5"/>
  <c r="G14" i="5" s="1"/>
  <c r="G15" i="5"/>
  <c r="G16" i="5" s="1"/>
  <c r="G18" i="5" l="1"/>
  <c r="G19" i="5" s="1"/>
  <c r="F44" i="3" s="1"/>
  <c r="G38" i="3"/>
  <c r="G36" i="3"/>
  <c r="G39" i="3"/>
  <c r="F40" i="3"/>
  <c r="F41" i="3" s="1"/>
  <c r="H15" i="5"/>
  <c r="H16" i="5" s="1"/>
  <c r="H13" i="5"/>
  <c r="H14" i="5" s="1"/>
  <c r="H18" i="5" l="1"/>
  <c r="H19" i="5" s="1"/>
  <c r="G44" i="3" s="1"/>
  <c r="F45" i="3"/>
  <c r="F47" i="3" s="1"/>
  <c r="G40" i="3"/>
  <c r="C59" i="3"/>
  <c r="C60" i="3" s="1"/>
  <c r="C61" i="3" s="1"/>
  <c r="G41" i="3"/>
  <c r="G45" i="3" s="1"/>
  <c r="E22" i="7" s="1"/>
  <c r="F7" i="7" l="1"/>
  <c r="E13" i="7"/>
  <c r="F9" i="7"/>
  <c r="G23" i="7"/>
  <c r="I13" i="7"/>
  <c r="H21" i="7"/>
  <c r="H8" i="7"/>
  <c r="G21" i="7"/>
  <c r="H13" i="7"/>
  <c r="G18" i="7"/>
  <c r="F10" i="7"/>
  <c r="I18" i="7"/>
  <c r="I24" i="7"/>
  <c r="C9" i="7"/>
  <c r="D18" i="7"/>
  <c r="E10" i="7"/>
  <c r="D23" i="7"/>
  <c r="G8" i="7"/>
  <c r="I10" i="7"/>
  <c r="C18" i="7"/>
  <c r="D12" i="7"/>
  <c r="I23" i="7"/>
  <c r="E11" i="7"/>
  <c r="D19" i="7"/>
  <c r="F21" i="7"/>
  <c r="F23" i="7"/>
  <c r="G20" i="7"/>
  <c r="H10" i="7"/>
  <c r="C12" i="7"/>
  <c r="D20" i="7"/>
  <c r="G24" i="7"/>
  <c r="F12" i="7"/>
  <c r="I19" i="7"/>
  <c r="H12" i="7"/>
  <c r="I20" i="7"/>
  <c r="G7" i="7"/>
  <c r="D13" i="7"/>
  <c r="I21" i="7"/>
  <c r="I8" i="7"/>
  <c r="I22" i="7"/>
  <c r="E18" i="7"/>
  <c r="C51" i="3"/>
  <c r="C52" i="3" s="1"/>
  <c r="G47" i="3"/>
  <c r="F19" i="7"/>
  <c r="E24" i="7"/>
  <c r="D7" i="7"/>
  <c r="D22" i="7"/>
  <c r="G10" i="7"/>
  <c r="D9" i="7"/>
  <c r="G19" i="7"/>
  <c r="I7" i="7"/>
  <c r="F20" i="7"/>
  <c r="F24" i="7"/>
  <c r="I11" i="7"/>
  <c r="H19" i="7"/>
  <c r="D8" i="7"/>
  <c r="E19" i="7"/>
  <c r="G11" i="7"/>
  <c r="I12" i="7"/>
  <c r="C13" i="7"/>
  <c r="H11" i="7"/>
  <c r="F11" i="7"/>
  <c r="C23" i="7"/>
  <c r="C20" i="7"/>
  <c r="H18" i="7"/>
  <c r="C8" i="7"/>
  <c r="C22" i="7"/>
  <c r="G22" i="7"/>
  <c r="H20" i="7"/>
  <c r="D11" i="7"/>
  <c r="E23" i="7"/>
  <c r="I9" i="7"/>
  <c r="C11" i="7"/>
  <c r="C21" i="7"/>
  <c r="F22" i="7"/>
  <c r="G13" i="7"/>
  <c r="D21" i="7"/>
  <c r="E7" i="7"/>
  <c r="H22" i="7"/>
  <c r="G9" i="7"/>
  <c r="C24" i="7"/>
  <c r="D10" i="7"/>
  <c r="D24" i="7"/>
  <c r="G12" i="7"/>
  <c r="C19" i="7"/>
  <c r="C7" i="7"/>
  <c r="H7" i="7"/>
  <c r="F8" i="7"/>
  <c r="F18" i="7"/>
  <c r="F13" i="7"/>
  <c r="E20" i="7"/>
  <c r="H9" i="7"/>
  <c r="C10" i="7"/>
  <c r="E21" i="7"/>
  <c r="H23" i="7"/>
  <c r="E9" i="7"/>
  <c r="E12" i="7"/>
  <c r="E8" i="7"/>
  <c r="H24" i="7"/>
  <c r="C50" i="3"/>
  <c r="C58" i="3" l="1"/>
  <c r="C62" i="3" s="1"/>
  <c r="C53" i="3"/>
  <c r="C17" i="4" l="1"/>
  <c r="C54" i="3"/>
  <c r="C55" i="3" s="1"/>
  <c r="C16" i="1" s="1"/>
  <c r="C63" i="3"/>
  <c r="C64" i="3" s="1"/>
  <c r="C17" i="1" s="1"/>
  <c r="D17" i="1" s="1"/>
  <c r="D16" i="1" l="1"/>
  <c r="C21" i="1"/>
  <c r="C10" i="1"/>
  <c r="C19" i="4"/>
  <c r="C20" i="4" s="1"/>
  <c r="B79" i="4"/>
  <c r="C12" i="1" l="1"/>
  <c r="C11" i="1" s="1"/>
  <c r="B26" i="1"/>
  <c r="B31" i="1"/>
</calcChain>
</file>

<file path=xl/sharedStrings.xml><?xml version="1.0" encoding="utf-8"?>
<sst xmlns="http://schemas.openxmlformats.org/spreadsheetml/2006/main" count="534" uniqueCount="407">
  <si>
    <t>DISCLAIMER: This is a sample analysis for demonstration purposes only. It does not constitute investment advice.</t>
  </si>
  <si>
    <t>武田薬品工業 (4502.T)</t>
  </si>
  <si>
    <t>Equity Research Report</t>
  </si>
  <si>
    <t>Company</t>
  </si>
  <si>
    <t>武田薬品工業</t>
  </si>
  <si>
    <t>Ticker</t>
  </si>
  <si>
    <t>4502.T (TSE Prime)</t>
  </si>
  <si>
    <t>Sector</t>
  </si>
  <si>
    <t>医薬品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</si>
  <si>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</si>
  <si>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</si>
  <si>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</si>
  <si>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</si>
  <si>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</si>
  <si>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</si>
  <si>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</si>
  <si>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</si>
  <si>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</si>
  <si>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</si>
  <si>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</si>
  <si>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</si>
  <si>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不算入；PER法は赤字（純利益≦0）のため除外（EV&lt;ネットデットで株式価値が負になる手法は INVALID として平均から除外）</t>
  </si>
  <si>
    <t>DCF Valuation Range (PGM - Exit)</t>
  </si>
  <si>
    <t>Key Investment Thesis</t>
  </si>
  <si>
    <t>Key Risks</t>
  </si>
  <si>
    <t>武田薬品工業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</si>
  <si>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</si>
  <si>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</si>
  <si>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</si>
  <si>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</si>
  <si>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</si>
  <si>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</si>
  <si>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</si>
  <si>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</si>
  <si>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</si>
  <si>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</si>
  <si>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</si>
  <si>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</si>
  <si>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</si>
  <si>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</si>
  <si>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</si>
  <si>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</si>
  <si>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</si>
  <si>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</si>
  <si>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</si>
  <si>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</si>
  <si>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</si>
  <si>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</si>
  <si>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</si>
  <si>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</si>
  <si>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</si>
  <si>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</si>
  <si>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</si>
  <si>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2/4, Cash 3/4, Debt 2/4 — blank cells are years with no year-key match in the source data (verify against 決算短信 or set hist_ocf / hist_cash / hist_debt in overrides).</t>
  </si>
  <si>
    <t>DCF Valuation Model - 武田薬品工業</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</si>
  <si>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</si>
  <si>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</si>
  <si>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</si>
  <si>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</si>
  <si>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</si>
  <si>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</si>
  <si>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</si>
  <si>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</si>
  <si>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</si>
  <si>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</si>
  <si>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</si>
  <si>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</si>
  <si>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</si>
  <si>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 (hist 3yr avg, fallback)</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</si>
  <si>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</si>
  <si>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</si>
  <si>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</si>
  <si>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</si>
  <si>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</si>
  <si>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</si>
  <si>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</si>
  <si>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</si>
  <si>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</si>
  <si>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</si>
  <si>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</si>
  <si>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</si>
  <si>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</si>
  <si>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</si>
  <si>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</si>
  <si>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</si>
  <si>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</si>
  <si>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</si>
  <si>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</si>
  <si>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</si>
  <si>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</si>
  <si>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</si>
  <si>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</si>
  <si>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</si>
  <si>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</si>
  <si>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</si>
  <si>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</si>
  <si>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</si>
  <si>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</si>
  <si>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</si>
  <si>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</si>
  <si>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</si>
  <si>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</si>
  <si>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</si>
  <si>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</si>
  <si>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</si>
  <si>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</si>
  <si>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</si>
  <si>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</si>
  <si>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</si>
  <si>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</si>
  <si>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</si>
  <si>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</si>
  <si>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</si>
  <si>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</si>
  <si>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</si>
  <si>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</si>
  <si>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</si>
  <si>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</si>
  <si>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武田薬品工業 (4502.T)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</si>
  <si>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</si>
  <si>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</si>
  <si>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</si>
  <si>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</si>
  <si>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</si>
  <si>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</si>
  <si>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</si>
  <si>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</si>
  <si>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</si>
  <si>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</si>
  <si>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</si>
  <si>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</si>
  <si>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</si>
  <si>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</si>
  <si>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</si>
  <si>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</si>
  <si>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</si>
  <si>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</si>
  <si>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</si>
  <si>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</si>
  <si>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</si>
  <si>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</si>
  <si>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</si>
  <si>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</si>
  <si>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</si>
  <si>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</si>
  <si>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</si>
  <si>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</si>
  <si>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</si>
  <si>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</si>
  <si>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</si>
  <si>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</si>
  <si>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</si>
  <si>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</si>
  <si>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</si>
  <si>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</si>
  <si>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</si>
  <si>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</si>
  <si>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</si>
  <si>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</si>
  <si>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</si>
  <si>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</si>
  <si>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</si>
  <si>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</si>
  <si>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</si>
  <si>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</si>
  <si>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</si>
  <si>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</si>
  <si>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</si>
  <si>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</si>
  <si>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</si>
  <si>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武田薬品工業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</si>
  <si>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</si>
  <si>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</si>
  <si>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</si>
  <si>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</si>
  <si>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</si>
  <si>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</si>
  <si>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</si>
  <si>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</si>
  <si>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</si>
  <si>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</si>
  <si>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</si>
  <si>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</si>
  <si>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</si>
  <si>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</si>
  <si>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</si>
  <si>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</si>
  <si>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</si>
  <si>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</si>
  <si>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</si>
  <si>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</si>
  <si>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</si>
  <si>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</si>
  <si>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</si>
  <si>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</si>
  <si>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</si>
  <si>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</si>
  <si>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</si>
  <si>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</si>
  <si>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</si>
  <si>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</si>
  <si>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</si>
  <si>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</si>
  <si>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</si>
  <si>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</si>
  <si>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Takeda Pharmaceutical Company Limited</t>
  </si>
  <si>
    <t>4502.T</t>
  </si>
  <si>
    <t>N/A</t>
  </si>
  <si>
    <t>Daiichi Sankyo Company, Limited</t>
  </si>
  <si>
    <t>4568.T</t>
  </si>
  <si>
    <t>Astellas Pharma Inc.</t>
  </si>
  <si>
    <t>4503.T</t>
  </si>
  <si>
    <t>Otsuka Holdings Co., Ltd.</t>
  </si>
  <si>
    <t>4578.T</t>
  </si>
  <si>
    <t>Shionogi &amp; Co., Ltd.</t>
  </si>
  <si>
    <t>4507.T</t>
  </si>
  <si>
    <t>Statistics</t>
  </si>
  <si>
    <t>25th Percentile</t>
  </si>
  <si>
    <t>Median (50th)</t>
  </si>
  <si>
    <t>75th Percentile</t>
  </si>
  <si>
    <t>Implied Valuation for 武田薬品工業</t>
  </si>
  <si>
    <t>武田薬品工業 Financials</t>
  </si>
  <si>
    <t>EBITDA (JPY mn)</t>
  </si>
  <si>
    <t>Net Income (JPY mn)</t>
  </si>
  <si>
    <t>Shares Outstanding</t>
  </si>
  <si>
    <t>Implied Share Price (Median Multiples)</t>
  </si>
  <si>
    <t>Via EV/EBITDA (Median)</t>
  </si>
  <si>
    <t>Via PER (Median)</t>
  </si>
  <si>
    <t>Net income &lt;= 0 — PER not meaningful</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</si>
  <si>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</si>
  <si>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</si>
  <si>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</si>
  <si>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</si>
  <si>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</si>
  <si>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</si>
  <si>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</si>
  <si>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</si>
  <si>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</si>
  <si>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武田薬品工業</t>
  </si>
  <si>
    <t>日付</t>
  </si>
  <si>
    <t>セル</t>
  </si>
  <si>
    <t>変更内容</t>
  </si>
  <si>
    <t>理由</t>
  </si>
  <si>
    <t>元の値</t>
  </si>
  <si>
    <t>状態</t>
  </si>
  <si>
    <t>2026-09-05</t>
  </si>
  <si>
    <t>-</t>
  </si>
  <si>
    <t>Generated by pipeline on 2026-09-05 15:30,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</si>
  <si>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</si>
  <si>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</si>
  <si>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</si>
  <si>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</si>
  <si>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</si>
  <si>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</si>
  <si>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</si>
  <si>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</si>
  <si>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</si>
  <si>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</si>
  <si>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</si>
  <si>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</si>
  <si>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</si>
  <si>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</si>
  <si>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9,186,100百万円。■テンプレートの自動規則(&gt;=1兆円 -&gt; 0.0%、&gt;=1,000億円 -&gt; 1.5%)とは異なる値であり、明示指定で上書きしている。</t>
  </si>
  <si>
    <t>テンプレ自動値</t>
  </si>
  <si>
    <t>DCF Model!C8</t>
  </si>
  <si>
    <t>Beta = 0.60</t>
  </si>
  <si>
    <t>yfinance実測 0.10 はテンプレのクランプ域 [0.6, 1.75] の下限を大きく下回り、そのまま渡すと【無言で 1.0 に置換】される。追補1 §A に従い max(0.6, min(1.75, 実測)) = 0.60 を明示指定した。**0.60 は実測値ではなくテンプレが受け付ける最小値**であることに注意。</t>
  </si>
  <si>
    <t>yfinance実測 0.10</t>
  </si>
  <si>
    <t>DCF Model!C6</t>
  </si>
  <si>
    <t>Effective Tax Rate = 25%</t>
  </si>
  <si>
    <t>バッチ共通の既定値(v2 §1-3)。当社の実績税負担率を個別に検証したものではない。</t>
  </si>
  <si>
    <t>テンプレ既定 30%</t>
  </si>
  <si>
    <t>推定</t>
  </si>
  <si>
    <t>DCF Model!C11</t>
  </si>
  <si>
    <t>After-tax Cost of Debt = 2.36%(実績ベース)</t>
  </si>
  <si>
    <t>支払利息 148,123百万円 ÷ 平均有利子負債 ((4,515,265 + 4,881,838)/2 = 4,698,552) = 3.15%(税引前)、× (1 − 25%) = 2.36%(validate チェック17 PASS)。■Shire 買収に伴う米ドル・ユーロ建て社債が中心で、3.15% は国内発行体の水準より高いが当社の資本構成として妥当。■D/E 0.49 のため Kd が WACC を Ke 7.87% から 6.06% へ 1.8pt 押し下げている。■マージナルコスト注記: 既存借入の平均コストであり新規調達の限界コストではない。■出所は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</si>
  <si>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</si>
  <si>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</si>
  <si>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</si>
  <si>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</si>
  <si>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</si>
  <si>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</si>
  <si>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</si>
  <si>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11.4x</t>
  </si>
  <si>
    <t>Peer 4社の実測EV/EBITDA中央値 11.43x（4568 16.10 / 4503 7.84 / 4578 10.22 / 4507 12.64）。 自社の現在倍率 11.53x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</si>
  <si>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</si>
  <si>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</si>
  <si>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</si>
  <si>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**CLEAN**（docID S100YB5L。金融事業専用科目は1件も検出されず）。銀行・captive finance なし。Debt/Revenue 1.08 は Shire 買収の借入によるもので金融債権見合いではない。OPMレンジ7.3pt・営業赤字年なしで型Bにも該当しない。</t>
  </si>
  <si>
    <t>Financial Statements / hist_* 系列</t>
  </si>
  <si>
    <t>hist_years を FY2023-FY2026 の4期に置換し P/L 5系列を yfinance連結財務諸表から供給（予防的）</t>
  </si>
  <si>
    <t>【予防的な EDINET 補完・§3-2 / 追補1 §D】本バッチでは EDINET が古い年度の営業利益を 0 で抽出し、Financial Statements の『営業利益YoY成長率』が 0 除算になって validate FAIL 1(#DIV/0!)を起こす事象が多発した(生成19銘柄中8銘柄)。根本原因は scripts/generate_dcf.py:66 の _val(data_dict, key, default=0) が【欠損値を None ではなく 0 に落とす】こと(バッチ中はパイプラインを変更しない方針のため未修正)。当社では発生を待たず予防的に対処し、hist_years を直近4期に置換して hist_revenue / hist_operating_income / hist_net_income / hist_cogs / hist_sga を yfinance連結財務諸表から供給した(配列長は全て4で hist_years と一致、契約遵守)。**結果として #DIV/0! は発生していない**。■hist_sga = 売上 - COGS - 営業利益 で逆算。■当社は EDINET の抽出品質が特に低く（OCF 2/4・Cash 3/4・Debt 2/4）、hist_depreciation / hist_capex も yfinance から供給した（下記 core_ebitda の項参照）。</t>
  </si>
  <si>
    <t>EDINET自動抽出値</t>
  </si>
  <si>
    <t>Comps Analysis / core_ebitda</t>
  </si>
  <si>
    <t>core_ebitda = 1,185,578百万円 を明示指定（営業利益 464,451 + D&amp;A 721,127）</t>
  </si>
  <si>
    <t>【core_ebitda の明示指定 — validate では検出されない不整合の是正】Comps Analysis の『自社 Financials』ブロックの EBITDA(および Via EV/EBITDA (Median) 参考株価)は comps CSV の自社行ではなく config の core_ebitda を使う。core_ebitda は EDINET 由来の hist_operating_income[-1] + hist_depreciation[-1] で自動計算されるが、EDINET の減価償却費の抽出は銘柄により信頼できない。当社では EDINET 由来の core_ebitda が **6,217百万円** という明らかに破綻した値になっており、その結果 Comps の『Via EV/EBITDA (Median)』参考株価が **−2,761円（負値）** と表示されていた。 Peer と同一定義(EBITDA = 営業利益 + CF計算書の減価償却費)に揃えるため core_ebitda = 1,185,578 を明示指定して再生成した。■この不整合は validate では検出されない(FAIL 0 / WARN 0 のまま)。batch/check_core_ebitda.py を新設し全銘柄を機械照合する運用にした。■Comps は Target 不算入([参考])のため Target Price は変わっていない。参考値は −2,761円 → **5,684円** に是正。あわせて hist_depreciation / hist_capex も yfinance連結キャッシュフロー計算書から供給し、Financial Statements の D&amp;A・capex 行の表示も Peer と同じ定義に揃えた。</t>
  </si>
  <si>
    <t>EDINET由来の自動計算値 6,217（破綻）</t>
  </si>
  <si>
    <t>DCF Model!C18 / da_direct</t>
  </si>
  <si>
    <t>da_method=direct、D&amp;A投影 [700,000 / 640,000 / 580,000 / 510,000 / 470,000]百万円</t>
  </si>
  <si>
    <t>【本モデル最大の設計判断】当社の D&amp;A は売上比 **16.0%**（721,127百万円）で capex 9.2%（414,659百万円）の **1.74倍**。差は Shire 買収に伴う無形資産償却であり、恒久的な現金支出ではない。§4-2 のターミナル収束要件（capex/D&amp;A 0.90-1.15）を **capex を D&amp;A まで引き上げて**満たすことは事業実態に反する（当社が年7,200億円の設備投資をすることはない）。したがって逆に **D&amp;A を5年かけて逓減させる**明示パスを置いた（Shire 無形資産の償却が期間の経過とともに剥落する経済実態を反映）。ターミナル年 capex（Y5売上4,896,617 × 9.2% = 450,489）÷ D&amp;A 470,000 = **0.958x** でレンジ内（validate チェック9 PASS）。■**留保: 無形資産の償却スケジュールは会社開示で確認しておらず、逓減率は推定である**。償却の剥落が遅ければ税シールドが長く残り、FCF は本モデルより高くなる（Target は上振れる）。</t>
  </si>
  <si>
    <t>テンプレ自動値(revenue_pct)</t>
  </si>
  <si>
    <t>推定(償却スケジュール未確認)</t>
  </si>
  <si>
    <t>DCF Model シナリオ5本</t>
  </si>
  <si>
    <t>実績OPM分布からの導出(min 7.27 / p25 9.45 / med 10.24 / p75 11.38 / max 14.60%、直近 10.31%)</t>
  </si>
  <si>
    <t>直近が中央値を僅かに上回るため Base 到達OPM = (直近実績 + p75)/2 = 10.85%(Y1 10.4% -&gt; Y5 10.85%)。Upside は max(p75 11.38, 直近+1.0pt = 11.31) = 11.38%。Downside 1 は min(p25 9.45, 直近 10.31) = 9.45%。Downside 2 は実績トラフ 7.27%(FY2024/3 実績、直近実績と乖離した実在の谷)を起点に売上-5%を重ねた。■製薬の恒等式: 売上 - COGS - SGA が営業利益にならない(研究開発費・無形資産償却が yfinance の SG&amp;A に含まれない)ため、COGS% を実績 34.9% 基準に置き SGA% = 100% - COGS% - 目標OPM で逆算した。既存銘柄からの流用なし。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</si>
  <si>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</si>
  <si>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</si>
  <si>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</si>
  <si>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</si>
  <si>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</si>
  <si>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</si>
  <si>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66 / DIH **301** / DPO 80 日</t>
  </si>
  <si>
    <t>実績4期平均。DIH 301日は医薬品の製造リードタイムと在庫方針を反映しており、運転資本の資金拘束が非常に大きい。</t>
  </si>
  <si>
    <t>Comps Analysis</t>
  </si>
  <si>
    <t>Peer 4社 = 4568 第一三共 / 4503 アステラス製薬 / 4578 大塚HD / 4507 塩野義製薬</t>
  </si>
  <si>
    <t>■選定理由: TSE33業種『医薬品』の大型株。■時価総額バンド: v2 §5 の 0.3〜3倍は 2.76〜27.6兆円で、4568(5.08兆)・4503(4.22兆)・4578(6.32兆) がバンド内、4507(2.48兆) は僅かにバンド外だが統計安定のため採用した。■**除外: 4519 中外製薬**（11.18兆円でバンド内だが、yfinance が FY2025/12 の減価償却費を収録しておらず EBITDA を算出できない。v2 §5『D&amp;Aが取れない社はCSVに入れない』に従い comps から除外）。結果として **Peer 4社構成**（EV/EBITDA 統計は n≥3 で有効、INVALID 化していない）。■海外Peer（Pfizer / Novartis / AstraZeneca 等）は当社の真の比較対象だが v2 §5 により不使用。■D&amp;A取得状況: 採用5社すべてで減価償却費を取得でき統一。**D&amp;A欠損による除外はゼロ**（validate チェック12 PASS）。</t>
  </si>
  <si>
    <t>Executive Summary!C10 / Target</t>
  </si>
  <si>
    <t>Target Price = 3,195円 = PGM 2,286円 と Exit 4,103円 の2本平均。Comps 2本(EV/EBITDA 5,684円 / PER N/A円)は [参考・Target不算入]</t>
  </si>
  <si>
    <t>メモ§2 の規約どおり。validate チェック14 PASS(C10 が C16:C17 のみを平均)。EV&lt;net_debt による INVALID 化は発生していない（チェック10・15 とも PASS）。■**Comps の PER は N/A**（注記: Net income &lt;= 0 — PER not meaningful）。FY2026/3 は純損失 −152,390百万円 のため分母が負になり、テンプレのガードが正しく除外した。メモ§2『分母が歪んだ指標は削除でなく残置＋除外＋理由記録』に合致する挙動。</t>
  </si>
  <si>
    <t>全体(納品状態)</t>
  </si>
  <si>
    <t>本ファイルは DRAFT。_FINAL は付けない</t>
  </si>
  <si>
    <t>バッチモードでの機械生成物であり人間の検証を経ていない。FINAL化は手順書v2 §6 に従い検証後に行う。</t>
  </si>
  <si>
    <t>DRAFT</t>
  </si>
  <si>
    <t>全体(未解決)</t>
  </si>
  <si>
    <t>**Shire 無形資産の償却スケジュールが推定である**</t>
  </si>
  <si>
    <t>D&amp;A を Y1 700,000 → Y5 470,000 と逓減させる仮定が本モデルの FCF を支配している。会社開示で償却スケジュールを確認する必要がある。剥落が遅ければ税シールドが長く残り Target は上振れる。</t>
  </si>
  <si>
    <t>未解決</t>
  </si>
  <si>
    <t>純損失（−152,390）と営業利益（464,451）の乖離</t>
  </si>
  <si>
    <t>NonOp/OP −130.7%。Comps の PER は N/A になっており、当社の earnings base は年度間で比較可能ではない。減損の内訳と再発可能性の確認が必要。</t>
  </si>
  <si>
    <t>**EDINET の抽出品質が本バッチで最も低い銘柄**</t>
  </si>
  <si>
    <t>OCF 2/4・Cash 3/4・Debt 2/4、core_ebitda は 6,217 と破綻。net_debt も EDINET と yfinance で 192,202百万円（1株120円）食い違っており、再確認の対象とすべきである。</t>
  </si>
  <si>
    <t>Target 3,195円 と現値 5,753円 の乖離（−44.5%）</t>
  </si>
  <si>
    <t>逆算DCF は現値がサイクルピークの 1.57倍 の定常営業利益を織り込むことを示す。Vyvanse の独占期間終了を後期パイプラインが埋められるかどうかが判断の分かれ目。</t>
  </si>
  <si>
    <t>Pipeline Metadata (do not edit — read by scripts/validate_output.py)</t>
  </si>
  <si>
    <t>key</t>
  </si>
  <si>
    <t>value</t>
  </si>
  <si>
    <t>auto_log_entries</t>
  </si>
  <si>
    <t>1</t>
  </si>
  <si>
    <t>capex_pct_basis</t>
  </si>
  <si>
    <t>assumption</t>
  </si>
  <si>
    <t>capex_pct_c5</t>
  </si>
  <si>
    <t>0.092</t>
  </si>
  <si>
    <t>capex_pct_hist3yr</t>
  </si>
  <si>
    <t>0.095879</t>
  </si>
  <si>
    <t>company_name</t>
  </si>
  <si>
    <t>comps_asof</t>
  </si>
  <si>
    <t>comps_da_missing</t>
  </si>
  <si>
    <t>none</t>
  </si>
  <si>
    <t>comps_ev_ebitda_invalid</t>
  </si>
  <si>
    <t>no</t>
  </si>
  <si>
    <t>comps_ev_ebitda_rows</t>
  </si>
  <si>
    <t>6,7,8,9</t>
  </si>
  <si>
    <t>comps_impl_mult_row</t>
  </si>
  <si>
    <t>27</t>
  </si>
  <si>
    <t>comps_impl_per_row</t>
  </si>
  <si>
    <t>28</t>
  </si>
  <si>
    <t>comps_peer_rows</t>
  </si>
  <si>
    <t>comps_stale_excluded</t>
  </si>
  <si>
    <t>comps_stat_median_row</t>
  </si>
  <si>
    <t>16</t>
  </si>
  <si>
    <t>comps_subject_row</t>
  </si>
  <si>
    <t>5</t>
  </si>
  <si>
    <t>cost_of_debt_actual</t>
  </si>
  <si>
    <t>interest 148,123 (expense 148,123 + fees 0) / avg debt 4,698,552 (debt_beginning/debt_ending) = 0.031525 pre-tax -&gt; 0.023600 after-tax</t>
  </si>
  <si>
    <t>cost_of_debt_at_c11</t>
  </si>
  <si>
    <t>0.0236</t>
  </si>
  <si>
    <t>cost_of_debt_avg_debt</t>
  </si>
  <si>
    <t>4698551.5</t>
  </si>
  <si>
    <t>cost_of_debt_basis</t>
  </si>
  <si>
    <t>actual</t>
  </si>
  <si>
    <t>cost_of_debt_interest</t>
  </si>
  <si>
    <t>148123.0</t>
  </si>
  <si>
    <t>cost_of_debt_pretax</t>
  </si>
  <si>
    <t>0.031525247727943385</t>
  </si>
  <si>
    <t>da_pct_basis</t>
  </si>
  <si>
    <t>hist_3yr_avg</t>
  </si>
  <si>
    <t>da_pct_c18</t>
  </si>
  <si>
    <t>0.1657</t>
  </si>
  <si>
    <t>da_pct_hist3yr</t>
  </si>
  <si>
    <t>0.165659</t>
  </si>
  <si>
    <t>fs_year_coverage</t>
  </si>
  <si>
    <t>OCF 2/4, Cash 3/4, Debt 2/4</t>
  </si>
  <si>
    <t>fs_year_map</t>
  </si>
  <si>
    <t>FY2023&lt;-FY2023[]; FY2024&lt;-FY2024[cash]; FY2025&lt;-FY2025[ocf+cash+debt]; FY2026&lt;-FY2026[ocf+cash+debt]</t>
  </si>
  <si>
    <t>fs_year_sources</t>
  </si>
  <si>
    <t>overrides: hist_capex, hist_depreciation | EDINET year-key match: hist_ocf, hist_cash, hist_debt</t>
  </si>
  <si>
    <t>fx_sensitivity</t>
  </si>
  <si>
    <t>not enabled</t>
  </si>
  <si>
    <t>generated_at</t>
  </si>
  <si>
    <t>2026-09-05 15:30:02</t>
  </si>
  <si>
    <t>ltm_revenue_c20</t>
  </si>
  <si>
    <t>4618935.0</t>
  </si>
  <si>
    <t>ltm_revenue_components</t>
  </si>
  <si>
    <t>fy_key=FY2026; fy_revenue_mn=4505720.0; prior_cum_revenue_mn=1106685.0; current_cum_revenue_mn=1219900.0; quarters_used=1; latest_quarter_end=2026-06-30; result_mn=4618935.0</t>
  </si>
  <si>
    <t>ltm_revenue_source</t>
  </si>
  <si>
    <t>hybrid LTM (FY - prior cum + current cum)</t>
  </si>
  <si>
    <t>narrative_tokens_used</t>
  </si>
  <si>
    <t>pb,per,price,target_price,upside_pct,wacc</t>
  </si>
  <si>
    <t>reverse_dcf_sheet</t>
  </si>
  <si>
    <t>op0=464,451(FY2026) peak=587,812(FY2023) peak_opm=0.1460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</si>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</sst>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0" fontId="5" fillId="0" borderId="6" xfId="0" applyFont="1" applyBorder="1" applyAlignment="1">
      <alignment horizontal="right"/>
    </xf>
    <xf numFmtId="177" fontId="5" fillId="0" borderId="6" xfId="0" applyNumberFormat="1" applyFont="1" applyBorder="1"/>
    <xf numFmtId="0" fontId="5" fillId="0" borderId="4"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8" t="s">
        <v>0</v>
      </c>
      <c r="C1" s="47"/>
      <c r="D1" s="47"/>
      <c r="E1" s="47"/>
    </row>
    <row r="3" spans="2:5" ht="18" customHeight="1" x14ac:dyDescent="0.4">
      <c r="B3" s="46" t="s">
        <v>1</v>
      </c>
      <c r="C3" s="47"/>
      <c r="D3" s="47"/>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5753</v>
      </c>
    </row>
    <row r="10" spans="2:5" ht="14" customHeight="1" x14ac:dyDescent="0.3">
      <c r="B10" s="4" t="s">
        <v>10</v>
      </c>
      <c r="C10" s="5">
        <f>IF(COUNT(C16:C17)=0,"N/A",ROUND(AVERAGE(C16:C17),0))</f>
        <v>3195</v>
      </c>
    </row>
    <row r="11" spans="2:5" ht="14" customHeight="1" x14ac:dyDescent="0.3">
      <c r="B11" s="4" t="s">
        <v>11</v>
      </c>
      <c r="C11" s="6" t="str">
        <f>IF(NOT(ISNUMBER(C12)),"N/A",IF(C12&gt;0.15,"BUY",IF(C12&gt;0.05,"HOLD","SELL")))</f>
        <v>SELL</v>
      </c>
    </row>
    <row r="12" spans="2:5" ht="14" customHeight="1" x14ac:dyDescent="0.3">
      <c r="B12" s="4" t="s">
        <v>12</v>
      </c>
      <c r="C12" s="7">
        <f>IF(ISNUMBER(C10),(C10-C9)/C9,"N/A")</f>
        <v>-0.44463758039283852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2286</v>
      </c>
      <c r="D16" s="7">
        <f>IF(ISNUMBER(C16),(C16-C9)/C9,"N/A")</f>
        <v>-0.60264209977403094</v>
      </c>
    </row>
    <row r="17" spans="2:5" ht="13.5" customHeight="1" x14ac:dyDescent="0.25">
      <c r="B17" t="s">
        <v>18</v>
      </c>
      <c r="C17" s="11">
        <f>IF('DCF Model'!C62&lt;'DCF Model'!C16,"INVALID (EV &lt; net debt)",'DCF Model'!C64)</f>
        <v>4103</v>
      </c>
      <c r="D17" s="7">
        <f>IF(ISNUMBER(C17),(C17-C9)/C9,"N/A")</f>
        <v>-0.28680688336520077</v>
      </c>
    </row>
    <row r="18" spans="2:5" ht="13.5" customHeight="1" x14ac:dyDescent="0.25">
      <c r="B18" t="s">
        <v>19</v>
      </c>
      <c r="C18" s="11">
        <f>'Comps Analysis'!C27</f>
        <v>5684</v>
      </c>
      <c r="D18" s="7">
        <f>IF(ISNUMBER(C18),(C18-C9)/C9,"N/A")</f>
        <v>-1.1993742395272032E-2</v>
      </c>
    </row>
    <row r="19" spans="2:5" ht="13.5" customHeight="1" x14ac:dyDescent="0.25">
      <c r="B19" t="s">
        <v>20</v>
      </c>
      <c r="C19" s="11" t="str">
        <f>'Comps Analysis'!C28</f>
        <v>N/A</v>
      </c>
      <c r="D19" s="7" t="str">
        <f>IF(ISNUMBER(C19),(C19-C9)/C9,"N/A")</f>
        <v>N/A</v>
      </c>
    </row>
    <row r="20" spans="2:5" ht="14" customHeight="1" x14ac:dyDescent="0.3">
      <c r="B20" s="48" t="s">
        <v>21</v>
      </c>
      <c r="C20" s="47"/>
      <c r="D20" s="47"/>
      <c r="E20" s="47"/>
    </row>
    <row r="21" spans="2:5" ht="14" customHeight="1" x14ac:dyDescent="0.3">
      <c r="B21" s="4" t="s">
        <v>22</v>
      </c>
      <c r="C21" s="6" t="str">
        <f>IF(COUNT(C16:C17)=0,"N/A",MIN(C16:C17)&amp;" - "&amp;MAX(C16:C17))</f>
        <v>2286 - 4103</v>
      </c>
    </row>
    <row r="23" spans="2:5" ht="14" customHeight="1" x14ac:dyDescent="0.3">
      <c r="B23" s="8" t="s">
        <v>23</v>
      </c>
      <c r="C23" s="9"/>
      <c r="D23" s="9"/>
    </row>
    <row r="24" spans="2:5" x14ac:dyDescent="0.2">
      <c r="B24" t="str">
        <f>"Takeda is working through the loss of exclusivity on Vyvanse while a late-stage pipeline reaches the market, and the operating margin has stabilised near its four-year median; the shares trade at "&amp;TEXT('Comps Analysis'!L5,"0.0""x""")&amp;" earnings and "&amp;TEXT('Comps Analysis'!M5,"0.00""x""")&amp;" book."</f>
        <v>Takeda is working through the loss of exclusivity on Vyvanse while a late-stage pipeline reaches the market, and the operating margin has stabilised near its four-year median; the shares trade at N/A earnings and 1.24x book.</v>
      </c>
    </row>
    <row r="25" spans="2:5" x14ac:dyDescent="0.2">
      <c r="B25" t="str">
        <f>"Reported depreciation and amortisation runs at nearly twice capital expenditure because of Shire acquisition intangibles, so operating cash flow is far above reported earnings and the "&amp;TEXT('DCF Model'!C26,"0.00%")&amp;" discounting works off cash rather than accounting profit."</f>
        <v>Reported depreciation and amortisation runs at nearly twice capital expenditure because of Shire acquisition intangibles, so operating cash flow is far above reported earnings and the 6.06% discounting works off cash rather than accounting profit.</v>
      </c>
    </row>
    <row r="26" spans="2:5" x14ac:dyDescent="0.2">
      <c r="B26" t="str">
        <f>"At "&amp;TEXT(C9,"#,##0")&amp;" the market is valuing the company on a net loss caused by impairments; on operating economics the base case supports "&amp;TEXT(C10,"#,##0")&amp;", or "&amp;TEXT(C12,"+0.0%;-0.0%")&amp;" from here."</f>
        <v>At 5,753 the market is valuing the company on a net loss caused by impairments; on operating economics the base case supports 3,195, or -44.5% from here.</v>
      </c>
    </row>
    <row r="28" spans="2:5" ht="14" customHeight="1" x14ac:dyDescent="0.3">
      <c r="B28" s="8" t="s">
        <v>24</v>
      </c>
      <c r="C28" s="9"/>
      <c r="D28" s="9"/>
    </row>
    <row r="29" spans="2:5" x14ac:dyDescent="0.2">
      <c r="B29" t="str">
        <f>"The company reported a net loss in the latest year on impairments, so the "&amp;TEXT('Comps Analysis'!L5,"0.0""x""")&amp;" the market pays is measured against an earnings base that is not comparable across years and may not have stopped falling."</f>
        <v>The company reported a net loss in the latest year on impairments, so the N/A the market pays is measured against an earnings base that is not comparable across years and may not have stopped falling.</v>
      </c>
    </row>
    <row r="30" spans="2:5" x14ac:dyDescent="0.2">
      <c r="B30" t="str">
        <f>"Net debt is large in absolute terms and dollar-denominated, so a refinancing at wider spreads raises the realised cost of debt embedded in "&amp;TEXT('DCF Model'!C26,"0.00%")&amp;"."</f>
        <v>Net debt is large in absolute terms and dollar-denominated, so a refinancing at wider spreads raises the realised cost of debt embedded in 6.06%.</v>
      </c>
    </row>
    <row r="31" spans="2:5" x14ac:dyDescent="0.2">
      <c r="B31" t="str">
        <f>"The base case assumes Shire intangible amortisation runs off over the projection window; that schedule is an estimate rather than a disclosed figure, and a slower run-off lowers the free cash flow behind "&amp;TEXT(C10,"#,##0")&amp;"."</f>
        <v>The base case assumes Shire intangible amortisation runs off over the projection window; that schedule is an estimate rather than a disclosed figure, and a slower run-off lowers the free cash flow behind 3,195.</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4027478</v>
      </c>
      <c r="D6" s="5">
        <v>4263762</v>
      </c>
      <c r="E6" s="5">
        <v>4581551</v>
      </c>
      <c r="F6" s="5">
        <v>4505720</v>
      </c>
    </row>
    <row r="7" spans="2:6" ht="14" customHeight="1" x14ac:dyDescent="0.3">
      <c r="B7" s="4" t="s">
        <v>32</v>
      </c>
      <c r="C7" s="5">
        <v>1244072</v>
      </c>
      <c r="D7" s="5">
        <v>1426678</v>
      </c>
      <c r="E7" s="5">
        <v>1580217</v>
      </c>
      <c r="F7" s="5">
        <v>1571588</v>
      </c>
    </row>
    <row r="8" spans="2:6" ht="14" customHeight="1" x14ac:dyDescent="0.3">
      <c r="B8" s="4" t="s">
        <v>33</v>
      </c>
      <c r="C8" s="5">
        <f>C6-C7</f>
        <v>2783406</v>
      </c>
      <c r="D8" s="5">
        <f>D6-D7</f>
        <v>2837084</v>
      </c>
      <c r="E8" s="5">
        <f>E6-E7</f>
        <v>3001334</v>
      </c>
      <c r="F8" s="5">
        <f>F6-F7</f>
        <v>2934132</v>
      </c>
    </row>
    <row r="9" spans="2:6" ht="13.5" customHeight="1" x14ac:dyDescent="0.25">
      <c r="B9" t="s">
        <v>34</v>
      </c>
      <c r="C9" s="7">
        <f>C8/C6</f>
        <v>0.69110396133759144</v>
      </c>
      <c r="D9" s="7">
        <f>D8/D6</f>
        <v>0.66539455063392372</v>
      </c>
      <c r="E9" s="7">
        <f>E8/E6</f>
        <v>0.65509125621432562</v>
      </c>
      <c r="F9" s="7">
        <f>F8/F6</f>
        <v>0.65120158376463699</v>
      </c>
    </row>
    <row r="10" spans="2:6" ht="14" customHeight="1" x14ac:dyDescent="0.3">
      <c r="B10" s="4" t="s">
        <v>35</v>
      </c>
      <c r="C10" s="5">
        <v>2195594</v>
      </c>
      <c r="D10" s="5">
        <v>2527183</v>
      </c>
      <c r="E10" s="5">
        <v>2534964</v>
      </c>
      <c r="F10" s="5">
        <v>2469681</v>
      </c>
    </row>
    <row r="11" spans="2:6" ht="14" customHeight="1" x14ac:dyDescent="0.3">
      <c r="B11" s="4" t="s">
        <v>36</v>
      </c>
      <c r="C11" s="5">
        <v>587812</v>
      </c>
      <c r="D11" s="5">
        <v>309901</v>
      </c>
      <c r="E11" s="5">
        <v>466370</v>
      </c>
      <c r="F11" s="5">
        <v>464451</v>
      </c>
    </row>
    <row r="12" spans="2:6" ht="14" customHeight="1" x14ac:dyDescent="0.3">
      <c r="B12" s="4" t="s">
        <v>37</v>
      </c>
      <c r="C12" s="5">
        <v>317017</v>
      </c>
      <c r="D12" s="5">
        <v>144067</v>
      </c>
      <c r="E12" s="5">
        <v>107928</v>
      </c>
      <c r="F12" s="5">
        <v>-152390</v>
      </c>
    </row>
    <row r="13" spans="2:6" ht="13.5" customHeight="1" x14ac:dyDescent="0.25">
      <c r="B13" t="s">
        <v>38</v>
      </c>
      <c r="C13" s="7">
        <f>C11/C6</f>
        <v>0.14595039376999699</v>
      </c>
      <c r="D13" s="7">
        <f>D11/D6</f>
        <v>7.2682527777113259E-2</v>
      </c>
      <c r="E13" s="7">
        <f>E11/E6</f>
        <v>0.10179303908217981</v>
      </c>
      <c r="F13" s="7">
        <f>F11/F6</f>
        <v>0.10308030681001039</v>
      </c>
    </row>
    <row r="14" spans="2:6" ht="13.5" customHeight="1" x14ac:dyDescent="0.25">
      <c r="B14" t="s">
        <v>39</v>
      </c>
      <c r="C14" s="7">
        <f>C12/C6</f>
        <v>7.8713527423365195E-2</v>
      </c>
      <c r="D14" s="7">
        <f>D12/D6</f>
        <v>3.3788705842399271E-2</v>
      </c>
      <c r="E14" s="7">
        <f>E12/E6</f>
        <v>2.3557087981777351E-2</v>
      </c>
      <c r="F14" s="7">
        <f>F12/F6</f>
        <v>-3.3821453618955458E-2</v>
      </c>
    </row>
    <row r="15" spans="2:6" ht="13.5" customHeight="1" x14ac:dyDescent="0.25">
      <c r="B15" t="s">
        <v>40</v>
      </c>
      <c r="C15" t="s">
        <v>41</v>
      </c>
      <c r="D15" s="7">
        <f>(D6-C6)/C6</f>
        <v>5.8667980309265504E-2</v>
      </c>
      <c r="E15" s="7">
        <f>(E6-D6)/D6</f>
        <v>7.4532537228860329E-2</v>
      </c>
      <c r="F15" s="7">
        <f>(F6-E6)/E6</f>
        <v>-1.6551381835539974E-2</v>
      </c>
    </row>
    <row r="16" spans="2:6" ht="13.5" customHeight="1" x14ac:dyDescent="0.25">
      <c r="B16" t="s">
        <v>42</v>
      </c>
      <c r="C16" t="s">
        <v>41</v>
      </c>
      <c r="D16" s="7">
        <f>(D11-C11)/C11</f>
        <v>-0.4727889189060448</v>
      </c>
      <c r="E16" s="7">
        <f>(E11-D11)/D11</f>
        <v>0.50489995192012938</v>
      </c>
      <c r="F16" s="7">
        <f>(F11-E11)/E11</f>
        <v>-4.1147586680103784E-3</v>
      </c>
    </row>
    <row r="18" spans="2:6" ht="14" customHeight="1" x14ac:dyDescent="0.3">
      <c r="B18" s="3" t="s">
        <v>43</v>
      </c>
    </row>
    <row r="19" spans="2:6" ht="14" customHeight="1" x14ac:dyDescent="0.3">
      <c r="B19" s="4" t="s">
        <v>44</v>
      </c>
      <c r="C19" s="5"/>
      <c r="D19" s="5"/>
      <c r="E19" s="5">
        <v>1057182</v>
      </c>
      <c r="F19" s="5">
        <v>1041431</v>
      </c>
    </row>
    <row r="20" spans="2:6" ht="14" customHeight="1" x14ac:dyDescent="0.3">
      <c r="B20" s="4" t="s">
        <v>45</v>
      </c>
      <c r="C20" s="5">
        <v>633689</v>
      </c>
      <c r="D20" s="5">
        <v>480730</v>
      </c>
      <c r="E20" s="5">
        <v>379625</v>
      </c>
      <c r="F20" s="5">
        <v>414659</v>
      </c>
    </row>
    <row r="21" spans="2:6" ht="14" customHeight="1" x14ac:dyDescent="0.3">
      <c r="B21" s="4" t="s">
        <v>46</v>
      </c>
      <c r="E21" s="5">
        <f>E19-E20</f>
        <v>677557</v>
      </c>
      <c r="F21" s="5">
        <f>F19-F20</f>
        <v>626772</v>
      </c>
    </row>
    <row r="22" spans="2:6" ht="13.5" customHeight="1" x14ac:dyDescent="0.25">
      <c r="B22" t="s">
        <v>47</v>
      </c>
      <c r="E22" s="7">
        <f>E21/E6</f>
        <v>0.14788812784142313</v>
      </c>
      <c r="F22" s="7">
        <f>F21/F6</f>
        <v>0.13910584767806256</v>
      </c>
    </row>
    <row r="23" spans="2:6" ht="13.5" customHeight="1" x14ac:dyDescent="0.25">
      <c r="B23" t="s">
        <v>48</v>
      </c>
      <c r="C23" s="7">
        <f>C20/C6</f>
        <v>0.15734139329873434</v>
      </c>
      <c r="D23" s="7">
        <f>D20/D6</f>
        <v>0.11274785037251141</v>
      </c>
      <c r="E23" s="7">
        <f>E20/E6</f>
        <v>8.2859494524889055E-2</v>
      </c>
      <c r="F23" s="7">
        <f>F20/F6</f>
        <v>9.2029464769226674E-2</v>
      </c>
    </row>
    <row r="25" spans="2:6" ht="14" customHeight="1" x14ac:dyDescent="0.3">
      <c r="B25" s="3" t="s">
        <v>49</v>
      </c>
    </row>
    <row r="26" spans="2:6" ht="14" customHeight="1" x14ac:dyDescent="0.3">
      <c r="B26" s="4" t="s">
        <v>50</v>
      </c>
      <c r="C26" s="5"/>
      <c r="D26" s="5">
        <v>457800</v>
      </c>
      <c r="E26" s="5">
        <v>385113</v>
      </c>
      <c r="F26" s="5">
        <v>595054</v>
      </c>
    </row>
    <row r="27" spans="2:6" ht="14" customHeight="1" x14ac:dyDescent="0.3">
      <c r="B27" s="4" t="s">
        <v>51</v>
      </c>
      <c r="C27" s="5"/>
      <c r="D27" s="5"/>
      <c r="E27" s="5">
        <v>4515265</v>
      </c>
      <c r="F27" s="5">
        <v>4881838</v>
      </c>
    </row>
    <row r="28" spans="2:6" ht="14" customHeight="1" x14ac:dyDescent="0.3">
      <c r="B28" s="4" t="s">
        <v>52</v>
      </c>
      <c r="E28" s="5">
        <f>E27-E26</f>
        <v>4130152</v>
      </c>
      <c r="F28" s="5">
        <f>F27-F26</f>
        <v>4286784</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48</v>
      </c>
      <c r="C5" s="7">
        <v>9.1999999999999998E-2</v>
      </c>
    </row>
    <row r="6" spans="2:7" ht="14" customHeight="1" x14ac:dyDescent="0.3">
      <c r="B6" s="4" t="s">
        <v>56</v>
      </c>
      <c r="C6" s="7">
        <v>0.25</v>
      </c>
    </row>
    <row r="7" spans="2:7" ht="14" customHeight="1" x14ac:dyDescent="0.3">
      <c r="B7" s="4" t="s">
        <v>57</v>
      </c>
      <c r="C7" s="7">
        <v>2.9700000000000001E-2</v>
      </c>
    </row>
    <row r="8" spans="2:7" ht="14" customHeight="1" x14ac:dyDescent="0.3">
      <c r="B8" s="4" t="s">
        <v>58</v>
      </c>
      <c r="C8" s="12">
        <v>0.6</v>
      </c>
    </row>
    <row r="9" spans="2:7" ht="14" customHeight="1" x14ac:dyDescent="0.3">
      <c r="B9" s="4" t="s">
        <v>59</v>
      </c>
      <c r="C9" s="7">
        <v>6.5000000000000002E-2</v>
      </c>
    </row>
    <row r="10" spans="2:7" ht="14" customHeight="1" x14ac:dyDescent="0.3">
      <c r="B10" s="4" t="s">
        <v>60</v>
      </c>
      <c r="C10" s="7">
        <v>0.01</v>
      </c>
    </row>
    <row r="11" spans="2:7" ht="14" customHeight="1" x14ac:dyDescent="0.3">
      <c r="B11" s="4" t="s">
        <v>61</v>
      </c>
      <c r="C11" s="7">
        <v>2.3599999999999999E-2</v>
      </c>
    </row>
    <row r="12" spans="2:7" ht="14" customHeight="1" x14ac:dyDescent="0.3">
      <c r="B12" s="4" t="s">
        <v>62</v>
      </c>
      <c r="C12" s="13">
        <v>0.48759999999999998</v>
      </c>
    </row>
    <row r="13" spans="2:7" ht="14" customHeight="1" x14ac:dyDescent="0.3">
      <c r="B13" s="4" t="s">
        <v>63</v>
      </c>
      <c r="C13" s="7">
        <v>0.01</v>
      </c>
    </row>
    <row r="14" spans="2:7" ht="14" customHeight="1" x14ac:dyDescent="0.3">
      <c r="B14" s="4" t="s">
        <v>64</v>
      </c>
      <c r="C14" s="14">
        <v>11.4</v>
      </c>
    </row>
    <row r="15" spans="2:7" ht="14" customHeight="1" x14ac:dyDescent="0.3">
      <c r="B15" s="4" t="s">
        <v>65</v>
      </c>
      <c r="C15" s="15">
        <v>1596751439</v>
      </c>
    </row>
    <row r="16" spans="2:7" ht="14" customHeight="1" x14ac:dyDescent="0.3">
      <c r="B16" s="4" t="s">
        <v>66</v>
      </c>
      <c r="C16" s="5">
        <v>4478986</v>
      </c>
    </row>
    <row r="17" spans="2:7" ht="14" customHeight="1" x14ac:dyDescent="0.3">
      <c r="B17" s="4" t="s">
        <v>67</v>
      </c>
      <c r="C17" s="5">
        <v>4505720</v>
      </c>
    </row>
    <row r="18" spans="2:7" ht="14" customHeight="1" x14ac:dyDescent="0.3">
      <c r="B18" s="4" t="s">
        <v>68</v>
      </c>
      <c r="C18" s="7">
        <v>0.16569999999999999</v>
      </c>
    </row>
    <row r="19" spans="2:7" ht="14" customHeight="1" x14ac:dyDescent="0.3">
      <c r="B19" s="4" t="s">
        <v>69</v>
      </c>
      <c r="C19" s="12">
        <v>0.75</v>
      </c>
    </row>
    <row r="20" spans="2:7" ht="14" customHeight="1" x14ac:dyDescent="0.3">
      <c r="B20" s="4" t="s">
        <v>70</v>
      </c>
      <c r="C20" s="5">
        <v>4618935</v>
      </c>
    </row>
    <row r="22" spans="2:7" ht="14" customHeight="1" x14ac:dyDescent="0.3">
      <c r="B22" s="8" t="s">
        <v>71</v>
      </c>
      <c r="C22" s="9"/>
      <c r="D22" s="9"/>
      <c r="E22" s="9"/>
      <c r="F22" s="9"/>
      <c r="G22" s="9"/>
    </row>
    <row r="23" spans="2:7" ht="14" customHeight="1" x14ac:dyDescent="0.3">
      <c r="B23" s="4" t="s">
        <v>72</v>
      </c>
      <c r="C23" s="16">
        <f>C7+C8*C9+C10</f>
        <v>7.8699999999999992E-2</v>
      </c>
    </row>
    <row r="24" spans="2:7" ht="14" customHeight="1" x14ac:dyDescent="0.3">
      <c r="B24" s="4" t="s">
        <v>73</v>
      </c>
      <c r="C24" s="16">
        <f>1/(1+C12)</f>
        <v>0.67222371605270237</v>
      </c>
    </row>
    <row r="25" spans="2:7" ht="14" customHeight="1" x14ac:dyDescent="0.3">
      <c r="B25" s="4" t="s">
        <v>74</v>
      </c>
      <c r="C25" s="16">
        <f>C12/(1+C12)</f>
        <v>0.32777628394729763</v>
      </c>
    </row>
    <row r="26" spans="2:7" ht="14" customHeight="1" x14ac:dyDescent="0.3">
      <c r="B26" s="4" t="s">
        <v>75</v>
      </c>
      <c r="C26" s="16">
        <f>C23*C24+C11*C25</f>
        <v>6.0639526754503889E-2</v>
      </c>
    </row>
    <row r="27" spans="2:7" ht="14" customHeight="1" x14ac:dyDescent="0.3">
      <c r="B27" s="4" t="s">
        <v>76</v>
      </c>
      <c r="C27" s="17" t="s">
        <v>77</v>
      </c>
      <c r="D27" s="6">
        <f>MATCH(C27,B69:B73,0)</f>
        <v>1</v>
      </c>
    </row>
    <row r="28" spans="2:7" ht="14" customHeight="1" x14ac:dyDescent="0.3">
      <c r="B28" s="8" t="s">
        <v>78</v>
      </c>
      <c r="C28" s="9"/>
      <c r="D28" s="9"/>
      <c r="E28" s="9"/>
      <c r="F28" s="9"/>
      <c r="G28" s="9"/>
    </row>
    <row r="29" spans="2:7" ht="14" customHeight="1" x14ac:dyDescent="0.3">
      <c r="C29" s="10" t="s">
        <v>79</v>
      </c>
      <c r="D29" s="10" t="s">
        <v>80</v>
      </c>
      <c r="E29" s="10" t="s">
        <v>81</v>
      </c>
      <c r="F29" s="10" t="s">
        <v>82</v>
      </c>
      <c r="G29" s="10" t="s">
        <v>83</v>
      </c>
    </row>
    <row r="30" spans="2:7" ht="14" customHeight="1" x14ac:dyDescent="0.3">
      <c r="B30" s="4" t="s">
        <v>40</v>
      </c>
      <c r="C30" s="18">
        <f>CHOOSE($D$27,C69,C70,C71,C72,C73)</f>
        <v>0.01</v>
      </c>
      <c r="D30" s="18">
        <f>CHOOSE($D$27,D69,D70,D71,D72,D73)</f>
        <v>1.4999999999999999E-2</v>
      </c>
      <c r="E30" s="18">
        <f>CHOOSE($D$27,E69,E70,E71,E72,E73)</f>
        <v>0.02</v>
      </c>
      <c r="F30" s="18">
        <f>CHOOSE($D$27,F69,F70,F71,F72,F73)</f>
        <v>0.02</v>
      </c>
      <c r="G30" s="18">
        <f>CHOOSE($D$27,G69,G70,G71,G72,G73)</f>
        <v>0.02</v>
      </c>
    </row>
    <row r="31" spans="2:7" ht="14" customHeight="1" x14ac:dyDescent="0.3">
      <c r="B31" s="4" t="s">
        <v>84</v>
      </c>
      <c r="C31" s="18">
        <f>CHOOSE($D$27,C76,C77,C78,C79,C80)</f>
        <v>0.34899999999999998</v>
      </c>
      <c r="D31" s="18">
        <f>CHOOSE($D$27,D76,D77,D78,D79,D80)</f>
        <v>0.34899999999999998</v>
      </c>
      <c r="E31" s="18">
        <f>CHOOSE($D$27,E76,E77,E78,E79,E80)</f>
        <v>0.34899999999999998</v>
      </c>
      <c r="F31" s="18">
        <f>CHOOSE($D$27,F76,F77,F78,F79,F80)</f>
        <v>0.34899999999999998</v>
      </c>
      <c r="G31" s="18">
        <f>CHOOSE($D$27,G76,G77,G78,G79,G80)</f>
        <v>0.34899999999999998</v>
      </c>
    </row>
    <row r="32" spans="2:7" ht="14" customHeight="1" x14ac:dyDescent="0.3">
      <c r="B32" s="4" t="s">
        <v>85</v>
      </c>
      <c r="C32" s="18">
        <f>CHOOSE($D$27,C83,C84,C85,C86,C87)</f>
        <v>0.54700000000000004</v>
      </c>
      <c r="D32" s="18">
        <f>CHOOSE($D$27,D83,D84,D85,D86,D87)</f>
        <v>0.54600000000000004</v>
      </c>
      <c r="E32" s="18">
        <f>CHOOSE($D$27,E83,E84,E85,E86,E87)</f>
        <v>0.54500000000000004</v>
      </c>
      <c r="F32" s="18">
        <f>CHOOSE($D$27,F83,F84,F85,F86,F87)</f>
        <v>0.54349999999999998</v>
      </c>
      <c r="G32" s="18">
        <f>CHOOSE($D$27,G83,G84,G85,G86,G87)</f>
        <v>0.54249999999999998</v>
      </c>
    </row>
    <row r="33" spans="2:7" ht="14" customHeight="1" x14ac:dyDescent="0.3">
      <c r="B33" s="4" t="s">
        <v>31</v>
      </c>
      <c r="C33" s="5">
        <f>C17*(1+C30)</f>
        <v>4550777.2</v>
      </c>
      <c r="D33" s="5">
        <f>C33*(1+D30)</f>
        <v>4619038.858</v>
      </c>
      <c r="E33" s="5">
        <f>D33*(1+E30)</f>
        <v>4711419.6351600001</v>
      </c>
      <c r="F33" s="5">
        <f>E33*(1+F30)</f>
        <v>4805648.0278631998</v>
      </c>
      <c r="G33" s="5">
        <f>F33*(1+G30)</f>
        <v>4901760.9884204641</v>
      </c>
    </row>
    <row r="34" spans="2:7" ht="14" customHeight="1" x14ac:dyDescent="0.3">
      <c r="B34" s="4" t="s">
        <v>32</v>
      </c>
      <c r="C34" s="5">
        <f>C33*C31</f>
        <v>1588221.2427999999</v>
      </c>
      <c r="D34" s="5">
        <f>D33*D31</f>
        <v>1612044.5614419999</v>
      </c>
      <c r="E34" s="5">
        <f>E33*E31</f>
        <v>1644285.4526708398</v>
      </c>
      <c r="F34" s="5">
        <f>F33*F31</f>
        <v>1677171.1617242566</v>
      </c>
      <c r="G34" s="5">
        <f>G33*G31</f>
        <v>1710714.5849587419</v>
      </c>
    </row>
    <row r="35" spans="2:7" ht="14" customHeight="1" x14ac:dyDescent="0.3">
      <c r="B35" s="4" t="s">
        <v>33</v>
      </c>
      <c r="C35" s="19">
        <f>C33-C34</f>
        <v>2962555.9572000001</v>
      </c>
      <c r="D35" s="19">
        <f>D33-D34</f>
        <v>3006994.2965580001</v>
      </c>
      <c r="E35" s="19">
        <f>E33-E34</f>
        <v>3067134.1824891604</v>
      </c>
      <c r="F35" s="19">
        <f>F33-F34</f>
        <v>3128476.8661389435</v>
      </c>
      <c r="G35" s="19">
        <f>G33-G34</f>
        <v>3191046.4034617222</v>
      </c>
    </row>
    <row r="36" spans="2:7" ht="14" customHeight="1" x14ac:dyDescent="0.3">
      <c r="B36" s="4" t="s">
        <v>34</v>
      </c>
      <c r="C36" s="7">
        <f>C35/C33</f>
        <v>0.65100000000000002</v>
      </c>
      <c r="D36" s="7">
        <f>D35/D33</f>
        <v>0.65100000000000002</v>
      </c>
      <c r="E36" s="7">
        <f>E35/E33</f>
        <v>0.65100000000000013</v>
      </c>
      <c r="F36" s="7">
        <f>F35/F33</f>
        <v>0.65100000000000013</v>
      </c>
      <c r="G36" s="7">
        <f>G35/G33</f>
        <v>0.65100000000000002</v>
      </c>
    </row>
    <row r="37" spans="2:7" ht="14" customHeight="1" x14ac:dyDescent="0.3">
      <c r="B37" s="4" t="s">
        <v>86</v>
      </c>
      <c r="C37" s="5">
        <f>C33*C32</f>
        <v>2489275.1284000003</v>
      </c>
      <c r="D37" s="5">
        <f>D33*D32</f>
        <v>2521995.2164680003</v>
      </c>
      <c r="E37" s="5">
        <f>E33*E32</f>
        <v>2567723.7011622004</v>
      </c>
      <c r="F37" s="5">
        <f>F33*F32</f>
        <v>2611869.7031436488</v>
      </c>
      <c r="G37" s="5">
        <f>G33*G32</f>
        <v>2659205.3362181019</v>
      </c>
    </row>
    <row r="38" spans="2:7" ht="14" customHeight="1" x14ac:dyDescent="0.3">
      <c r="B38" s="4" t="s">
        <v>87</v>
      </c>
      <c r="C38" s="7">
        <f>(C35-C37)/C33</f>
        <v>0.10399999999999995</v>
      </c>
      <c r="D38" s="7">
        <f>(D35-D37)/D33</f>
        <v>0.10499999999999997</v>
      </c>
      <c r="E38" s="7">
        <f>(E35-E37)/E33</f>
        <v>0.10600000000000001</v>
      </c>
      <c r="F38" s="7">
        <f>(F35-F37)/F33</f>
        <v>0.10750000000000014</v>
      </c>
      <c r="G38" s="7">
        <f>(G35-G37)/G33</f>
        <v>0.10849999999999999</v>
      </c>
    </row>
    <row r="39" spans="2:7" ht="14" customHeight="1" x14ac:dyDescent="0.3">
      <c r="B39" s="4" t="s">
        <v>88</v>
      </c>
      <c r="C39" s="19">
        <f>C35-C37</f>
        <v>473280.82879999978</v>
      </c>
      <c r="D39" s="19">
        <f>D35-D37</f>
        <v>484999.08008999983</v>
      </c>
      <c r="E39" s="19">
        <f>E35-E37</f>
        <v>499410.48132696003</v>
      </c>
      <c r="F39" s="19">
        <f>F35-F37</f>
        <v>516607.16299529467</v>
      </c>
      <c r="G39" s="19">
        <f>G35-G37</f>
        <v>531841.06724362029</v>
      </c>
    </row>
    <row r="40" spans="2:7" ht="14" customHeight="1" x14ac:dyDescent="0.3">
      <c r="B40" s="4" t="s">
        <v>89</v>
      </c>
      <c r="C40" s="5">
        <f>MAX(0,C39*C6)</f>
        <v>118320.20719999995</v>
      </c>
      <c r="D40" s="5">
        <f>MAX(0,D39*C6)</f>
        <v>121249.77002249996</v>
      </c>
      <c r="E40" s="5">
        <f>MAX(0,E39*C6)</f>
        <v>124852.62033174001</v>
      </c>
      <c r="F40" s="5">
        <f>MAX(0,F39*C6)</f>
        <v>129151.79074882367</v>
      </c>
      <c r="G40" s="5">
        <f>MAX(0,G39*C6)</f>
        <v>132960.26681090507</v>
      </c>
    </row>
    <row r="41" spans="2:7" ht="14" customHeight="1" x14ac:dyDescent="0.3">
      <c r="B41" s="4" t="s">
        <v>90</v>
      </c>
      <c r="C41" s="19">
        <f>C39-C40</f>
        <v>354960.62159999984</v>
      </c>
      <c r="D41" s="19">
        <f>D39-D40</f>
        <v>363749.31006749987</v>
      </c>
      <c r="E41" s="19">
        <f>E39-E40</f>
        <v>374557.86099522002</v>
      </c>
      <c r="F41" s="19">
        <f>F39-F40</f>
        <v>387455.372246471</v>
      </c>
      <c r="G41" s="19">
        <f>G39-G40</f>
        <v>398880.80043271522</v>
      </c>
    </row>
    <row r="42" spans="2:7" ht="14" customHeight="1" x14ac:dyDescent="0.3">
      <c r="B42" s="4" t="s">
        <v>91</v>
      </c>
      <c r="C42" s="5">
        <v>700000</v>
      </c>
      <c r="D42" s="5">
        <v>640000</v>
      </c>
      <c r="E42" s="5">
        <v>580000</v>
      </c>
      <c r="F42" s="5">
        <v>510000</v>
      </c>
      <c r="G42" s="5">
        <v>470000</v>
      </c>
    </row>
    <row r="43" spans="2:7" ht="14" customHeight="1" x14ac:dyDescent="0.3">
      <c r="B43" s="4" t="s">
        <v>92</v>
      </c>
      <c r="C43" s="5">
        <f>C33*C5</f>
        <v>418671.5024</v>
      </c>
      <c r="D43" s="5">
        <f>D33*C5</f>
        <v>424951.57493599999</v>
      </c>
      <c r="E43" s="5">
        <f>E33*C5</f>
        <v>433450.60643471999</v>
      </c>
      <c r="F43" s="5">
        <f>F33*C5</f>
        <v>442119.61856341438</v>
      </c>
      <c r="G43" s="5">
        <f>G33*C5</f>
        <v>450962.01093468268</v>
      </c>
    </row>
    <row r="44" spans="2:7" ht="14" customHeight="1" x14ac:dyDescent="0.3">
      <c r="B44" s="4" t="s">
        <v>93</v>
      </c>
      <c r="C44" s="5">
        <f>'NWC Schedule'!D19</f>
        <v>-265091.41134575335</v>
      </c>
      <c r="D44" s="5">
        <f>'NWC Schedule'!E19</f>
        <v>26767.733829813777</v>
      </c>
      <c r="E44" s="5">
        <f>'NWC Schedule'!F19</f>
        <v>36225.666449680924</v>
      </c>
      <c r="F44" s="5">
        <f>'NWC Schedule'!G19</f>
        <v>36950.17977867485</v>
      </c>
      <c r="G44" s="5">
        <f>'NWC Schedule'!H19</f>
        <v>37689.183374248445</v>
      </c>
    </row>
    <row r="45" spans="2:7" ht="14" customHeight="1" x14ac:dyDescent="0.3">
      <c r="B45" s="4" t="s">
        <v>94</v>
      </c>
      <c r="C45" s="20">
        <f>C41+C42-C43-C44</f>
        <v>901380.53054575308</v>
      </c>
      <c r="D45" s="20">
        <f>D41+D42-D43-D44</f>
        <v>552030.00130168605</v>
      </c>
      <c r="E45" s="20">
        <f>E41+E42-E43-E44</f>
        <v>484881.58811081911</v>
      </c>
      <c r="F45" s="20">
        <f>F41+F42-F43-F44</f>
        <v>418385.57390438177</v>
      </c>
      <c r="G45" s="20">
        <f>G41+G42-G43-G44</f>
        <v>380229.60612378409</v>
      </c>
    </row>
    <row r="46" spans="2:7" ht="14" customHeight="1" x14ac:dyDescent="0.3">
      <c r="B46" s="4" t="s">
        <v>95</v>
      </c>
      <c r="C46" s="21">
        <f>1/(1+C26)^(C19+0)</f>
        <v>0.95680655964628059</v>
      </c>
      <c r="D46" s="21">
        <f>1/(1+C26)^(C19+1)</f>
        <v>0.902103434306332</v>
      </c>
      <c r="E46" s="21">
        <f>1/(1+C26)^(C19+2)</f>
        <v>0.85052782924912917</v>
      </c>
      <c r="F46" s="21">
        <f>1/(1+C26)^(C19+3)</f>
        <v>0.80190093598689038</v>
      </c>
      <c r="G46" s="21">
        <f>1/(1+C26)^(C19+4)</f>
        <v>0.75605416897922062</v>
      </c>
    </row>
    <row r="47" spans="2:7" ht="14" customHeight="1" x14ac:dyDescent="0.3">
      <c r="B47" s="4" t="s">
        <v>96</v>
      </c>
      <c r="C47" s="19">
        <f>C45*C46</f>
        <v>862446.80436362117</v>
      </c>
      <c r="D47" s="19">
        <f>D45*D46</f>
        <v>497988.16001437989</v>
      </c>
      <c r="E47" s="19">
        <f>E45*E46</f>
        <v>412405.28457876534</v>
      </c>
      <c r="F47" s="19">
        <f>F45*F46</f>
        <v>335503.78331733606</v>
      </c>
      <c r="G47" s="19">
        <f>G45*G46</f>
        <v>287474.17887921399</v>
      </c>
    </row>
    <row r="49" spans="2:7" ht="14" customHeight="1" x14ac:dyDescent="0.3">
      <c r="B49" s="22" t="s">
        <v>97</v>
      </c>
      <c r="C49" s="23"/>
      <c r="D49" s="23"/>
      <c r="E49" s="23"/>
      <c r="F49" s="23"/>
      <c r="G49" s="23"/>
    </row>
    <row r="50" spans="2:7" ht="14" customHeight="1" x14ac:dyDescent="0.3">
      <c r="B50" s="4" t="s">
        <v>98</v>
      </c>
      <c r="C50" s="5">
        <f>SUM(C47:G47)</f>
        <v>2395818.2111533163</v>
      </c>
    </row>
    <row r="51" spans="2:7" ht="14" customHeight="1" x14ac:dyDescent="0.3">
      <c r="B51" s="4" t="s">
        <v>99</v>
      </c>
      <c r="C51" s="5">
        <f>G45*(1+C13)/(C26-C13)</f>
        <v>7583639.2398921084</v>
      </c>
    </row>
    <row r="52" spans="2:7" ht="14" customHeight="1" x14ac:dyDescent="0.3">
      <c r="B52" s="4" t="s">
        <v>100</v>
      </c>
      <c r="C52" s="5">
        <f>C51*G46</f>
        <v>5733642.0633548368</v>
      </c>
    </row>
    <row r="53" spans="2:7" ht="14" customHeight="1" x14ac:dyDescent="0.3">
      <c r="B53" s="4" t="s">
        <v>101</v>
      </c>
      <c r="C53" s="5">
        <f>C50+C52</f>
        <v>8129460.2745081531</v>
      </c>
    </row>
    <row r="54" spans="2:7" ht="14" customHeight="1" x14ac:dyDescent="0.3">
      <c r="B54" s="4" t="s">
        <v>102</v>
      </c>
      <c r="C54" s="5">
        <f>C53-C16</f>
        <v>3650474.2745081531</v>
      </c>
    </row>
    <row r="55" spans="2:7" ht="14" customHeight="1" x14ac:dyDescent="0.3">
      <c r="B55" s="4" t="s">
        <v>103</v>
      </c>
      <c r="C55" s="24">
        <f>ROUND(C54*1000000/C15,0)</f>
        <v>2286</v>
      </c>
    </row>
    <row r="57" spans="2:7" ht="14" customHeight="1" x14ac:dyDescent="0.3">
      <c r="B57" s="22" t="s">
        <v>104</v>
      </c>
      <c r="C57" s="23"/>
      <c r="D57" s="23"/>
      <c r="E57" s="23"/>
      <c r="F57" s="23"/>
      <c r="G57" s="23"/>
    </row>
    <row r="58" spans="2:7" ht="14" customHeight="1" x14ac:dyDescent="0.3">
      <c r="B58" s="4" t="s">
        <v>98</v>
      </c>
      <c r="C58" s="5">
        <f>C50</f>
        <v>2395818.2111533163</v>
      </c>
    </row>
    <row r="59" spans="2:7" ht="14" customHeight="1" x14ac:dyDescent="0.3">
      <c r="B59" s="4" t="s">
        <v>105</v>
      </c>
      <c r="C59" s="5">
        <f>G39+G42</f>
        <v>1001841.0672436203</v>
      </c>
    </row>
    <row r="60" spans="2:7" ht="14" customHeight="1" x14ac:dyDescent="0.3">
      <c r="B60" s="4" t="s">
        <v>106</v>
      </c>
      <c r="C60" s="5">
        <f>C59*C14</f>
        <v>11420988.166577272</v>
      </c>
    </row>
    <row r="61" spans="2:7" ht="14" customHeight="1" x14ac:dyDescent="0.3">
      <c r="B61" s="4" t="s">
        <v>100</v>
      </c>
      <c r="C61" s="5">
        <f>C60*G46</f>
        <v>8634885.7172030918</v>
      </c>
    </row>
    <row r="62" spans="2:7" ht="14" customHeight="1" x14ac:dyDescent="0.3">
      <c r="B62" s="4" t="s">
        <v>101</v>
      </c>
      <c r="C62" s="5">
        <f>C58+C61</f>
        <v>11030703.928356409</v>
      </c>
    </row>
    <row r="63" spans="2:7" ht="14" customHeight="1" x14ac:dyDescent="0.3">
      <c r="B63" s="4" t="s">
        <v>102</v>
      </c>
      <c r="C63" s="5">
        <f>C62-C16</f>
        <v>6551717.9283564091</v>
      </c>
    </row>
    <row r="64" spans="2:7" ht="14" customHeight="1" x14ac:dyDescent="0.3">
      <c r="B64" s="4" t="s">
        <v>107</v>
      </c>
      <c r="C64" s="24">
        <f>ROUND(C63*1000000/C15,0)</f>
        <v>4103</v>
      </c>
    </row>
    <row r="66" spans="2:7" ht="14" customHeight="1" x14ac:dyDescent="0.3">
      <c r="B66" s="22" t="s">
        <v>108</v>
      </c>
      <c r="C66" s="23"/>
      <c r="D66" s="23"/>
      <c r="E66" s="23"/>
      <c r="F66" s="23"/>
      <c r="G66" s="23"/>
    </row>
    <row r="67" spans="2:7" ht="14" customHeight="1" x14ac:dyDescent="0.3">
      <c r="C67" s="25" t="s">
        <v>109</v>
      </c>
      <c r="D67" s="25" t="s">
        <v>110</v>
      </c>
      <c r="E67" s="25" t="s">
        <v>111</v>
      </c>
      <c r="F67" s="25" t="s">
        <v>112</v>
      </c>
      <c r="G67" s="25" t="s">
        <v>113</v>
      </c>
    </row>
    <row r="68" spans="2:7" ht="14" customHeight="1" x14ac:dyDescent="0.3">
      <c r="B68" s="3" t="s">
        <v>40</v>
      </c>
    </row>
    <row r="69" spans="2:7" ht="14" customHeight="1" x14ac:dyDescent="0.3">
      <c r="B69" s="4" t="s">
        <v>77</v>
      </c>
      <c r="C69" s="26">
        <v>0.01</v>
      </c>
      <c r="D69" s="26">
        <v>1.4999999999999999E-2</v>
      </c>
      <c r="E69" s="26">
        <v>0.02</v>
      </c>
      <c r="F69" s="26">
        <v>0.02</v>
      </c>
      <c r="G69" s="26">
        <v>0.02</v>
      </c>
    </row>
    <row r="70" spans="2:7" ht="14" customHeight="1" x14ac:dyDescent="0.3">
      <c r="B70" s="4" t="s">
        <v>114</v>
      </c>
      <c r="C70" s="26">
        <v>2.5000000000000001E-2</v>
      </c>
      <c r="D70" s="26">
        <v>0.03</v>
      </c>
      <c r="E70" s="26">
        <v>0.03</v>
      </c>
      <c r="F70" s="26">
        <v>0.03</v>
      </c>
      <c r="G70" s="26">
        <v>0.03</v>
      </c>
    </row>
    <row r="71" spans="2:7" ht="14" customHeight="1" x14ac:dyDescent="0.3">
      <c r="B71" s="4" t="s">
        <v>115</v>
      </c>
      <c r="C71" s="26">
        <v>0.01</v>
      </c>
      <c r="D71" s="26">
        <v>1.4999999999999999E-2</v>
      </c>
      <c r="E71" s="26">
        <v>0.02</v>
      </c>
      <c r="F71" s="26">
        <v>0.02</v>
      </c>
      <c r="G71" s="26">
        <v>0.02</v>
      </c>
    </row>
    <row r="72" spans="2:7" ht="14" customHeight="1" x14ac:dyDescent="0.3">
      <c r="B72" s="4" t="s">
        <v>116</v>
      </c>
      <c r="C72" s="26">
        <v>0</v>
      </c>
      <c r="D72" s="26">
        <v>5.0000000000000001E-3</v>
      </c>
      <c r="E72" s="26">
        <v>5.0000000000000001E-3</v>
      </c>
      <c r="F72" s="26">
        <v>5.0000000000000001E-3</v>
      </c>
      <c r="G72" s="26">
        <v>5.0000000000000001E-3</v>
      </c>
    </row>
    <row r="73" spans="2:7" ht="14" customHeight="1" x14ac:dyDescent="0.3">
      <c r="B73" s="4" t="s">
        <v>117</v>
      </c>
      <c r="C73" s="26">
        <v>-0.05</v>
      </c>
      <c r="D73" s="26">
        <v>-0.01</v>
      </c>
      <c r="E73" s="26">
        <v>5.0000000000000001E-3</v>
      </c>
      <c r="F73" s="26">
        <v>0.01</v>
      </c>
      <c r="G73" s="26">
        <v>1.4999999999999999E-2</v>
      </c>
    </row>
    <row r="75" spans="2:7" ht="14" customHeight="1" x14ac:dyDescent="0.3">
      <c r="B75" s="3" t="s">
        <v>84</v>
      </c>
    </row>
    <row r="76" spans="2:7" ht="14" customHeight="1" x14ac:dyDescent="0.3">
      <c r="B76" s="4" t="s">
        <v>77</v>
      </c>
      <c r="C76" s="26">
        <v>0.34899999999999998</v>
      </c>
      <c r="D76" s="26">
        <v>0.34899999999999998</v>
      </c>
      <c r="E76" s="26">
        <v>0.34899999999999998</v>
      </c>
      <c r="F76" s="26">
        <v>0.34899999999999998</v>
      </c>
      <c r="G76" s="26">
        <v>0.34899999999999998</v>
      </c>
    </row>
    <row r="77" spans="2:7" ht="14" customHeight="1" x14ac:dyDescent="0.3">
      <c r="B77" s="4" t="s">
        <v>114</v>
      </c>
      <c r="C77" s="26">
        <v>0.34499999999999997</v>
      </c>
      <c r="D77" s="26">
        <v>0.34499999999999997</v>
      </c>
      <c r="E77" s="26">
        <v>0.34499999999999997</v>
      </c>
      <c r="F77" s="26">
        <v>0.34499999999999997</v>
      </c>
      <c r="G77" s="26">
        <v>0.34499999999999997</v>
      </c>
    </row>
    <row r="78" spans="2:7" ht="14" customHeight="1" x14ac:dyDescent="0.3">
      <c r="B78" s="4" t="s">
        <v>115</v>
      </c>
      <c r="C78" s="26">
        <v>0.34899999999999998</v>
      </c>
      <c r="D78" s="26">
        <v>0.34899999999999998</v>
      </c>
      <c r="E78" s="26">
        <v>0.34899999999999998</v>
      </c>
      <c r="F78" s="26">
        <v>0.34899999999999998</v>
      </c>
      <c r="G78" s="26">
        <v>0.34899999999999998</v>
      </c>
    </row>
    <row r="79" spans="2:7" ht="14" customHeight="1" x14ac:dyDescent="0.3">
      <c r="B79" s="4" t="s">
        <v>116</v>
      </c>
      <c r="C79" s="26">
        <v>0.35299999999999998</v>
      </c>
      <c r="D79" s="26">
        <v>0.35299999999999998</v>
      </c>
      <c r="E79" s="26">
        <v>0.35299999999999998</v>
      </c>
      <c r="F79" s="26">
        <v>0.35299999999999998</v>
      </c>
      <c r="G79" s="26">
        <v>0.35299999999999998</v>
      </c>
    </row>
    <row r="80" spans="2:7" ht="14" customHeight="1" x14ac:dyDescent="0.3">
      <c r="B80" s="4" t="s">
        <v>117</v>
      </c>
      <c r="C80" s="26">
        <v>0.36</v>
      </c>
      <c r="D80" s="26">
        <v>0.36</v>
      </c>
      <c r="E80" s="26">
        <v>0.36</v>
      </c>
      <c r="F80" s="26">
        <v>0.36</v>
      </c>
      <c r="G80" s="26">
        <v>0.36</v>
      </c>
    </row>
    <row r="82" spans="2:7" ht="14" customHeight="1" x14ac:dyDescent="0.3">
      <c r="B82" s="3" t="s">
        <v>85</v>
      </c>
    </row>
    <row r="83" spans="2:7" ht="14" customHeight="1" x14ac:dyDescent="0.3">
      <c r="B83" s="4" t="s">
        <v>77</v>
      </c>
      <c r="C83" s="26">
        <v>0.54700000000000004</v>
      </c>
      <c r="D83" s="26">
        <v>0.54600000000000004</v>
      </c>
      <c r="E83" s="26">
        <v>0.54500000000000004</v>
      </c>
      <c r="F83" s="26">
        <v>0.54349999999999998</v>
      </c>
      <c r="G83" s="26">
        <v>0.54249999999999998</v>
      </c>
    </row>
    <row r="84" spans="2:7" ht="14" customHeight="1" x14ac:dyDescent="0.3">
      <c r="B84" s="4" t="s">
        <v>114</v>
      </c>
      <c r="C84" s="26">
        <v>0.54700000000000004</v>
      </c>
      <c r="D84" s="26">
        <v>0.54500000000000004</v>
      </c>
      <c r="E84" s="26">
        <v>0.54300000000000004</v>
      </c>
      <c r="F84" s="26">
        <v>0.54149999999999998</v>
      </c>
      <c r="G84" s="26">
        <v>0.54120000000000001</v>
      </c>
    </row>
    <row r="85" spans="2:7" ht="14" customHeight="1" x14ac:dyDescent="0.3">
      <c r="B85" s="4" t="s">
        <v>115</v>
      </c>
      <c r="C85" s="26">
        <v>0.54700000000000004</v>
      </c>
      <c r="D85" s="26">
        <v>0.54600000000000004</v>
      </c>
      <c r="E85" s="26">
        <v>0.54500000000000004</v>
      </c>
      <c r="F85" s="26">
        <v>0.54349999999999998</v>
      </c>
      <c r="G85" s="26">
        <v>0.54249999999999998</v>
      </c>
    </row>
    <row r="86" spans="2:7" ht="14" customHeight="1" x14ac:dyDescent="0.3">
      <c r="B86" s="4" t="s">
        <v>116</v>
      </c>
      <c r="C86" s="26">
        <v>0.54700000000000004</v>
      </c>
      <c r="D86" s="26">
        <v>0.54900000000000004</v>
      </c>
      <c r="E86" s="26">
        <v>0.55100000000000005</v>
      </c>
      <c r="F86" s="26">
        <v>0.55200000000000005</v>
      </c>
      <c r="G86" s="26">
        <v>0.55249999999999999</v>
      </c>
    </row>
    <row r="87" spans="2:7" ht="14" customHeight="1" x14ac:dyDescent="0.3">
      <c r="B87" s="4" t="s">
        <v>117</v>
      </c>
      <c r="C87" s="26">
        <v>0.56000000000000005</v>
      </c>
      <c r="D87" s="26">
        <v>0.56699999999999995</v>
      </c>
      <c r="E87" s="26">
        <v>0.56699999999999995</v>
      </c>
      <c r="F87" s="26">
        <v>0.56499999999999995</v>
      </c>
      <c r="G87" s="26">
        <v>0.56200000000000006</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118</v>
      </c>
    </row>
    <row r="3" spans="2:9" ht="14" customHeight="1" x14ac:dyDescent="0.3">
      <c r="B3" s="1" t="s">
        <v>119</v>
      </c>
    </row>
    <row r="5" spans="2:9" ht="14" customHeight="1" x14ac:dyDescent="0.3">
      <c r="B5" s="8" t="s">
        <v>120</v>
      </c>
      <c r="C5" s="9"/>
      <c r="D5" s="9"/>
      <c r="E5" s="9"/>
      <c r="F5" s="9"/>
      <c r="G5" s="9"/>
      <c r="H5" s="9"/>
      <c r="I5" s="9"/>
    </row>
    <row r="6" spans="2:9" ht="14" customHeight="1" x14ac:dyDescent="0.3">
      <c r="B6" s="4" t="s">
        <v>121</v>
      </c>
      <c r="C6" s="15">
        <f>'Executive Summary'!C9</f>
        <v>5753</v>
      </c>
    </row>
    <row r="7" spans="2:9" ht="14" customHeight="1" x14ac:dyDescent="0.3">
      <c r="B7" s="4" t="s">
        <v>65</v>
      </c>
      <c r="C7" s="15">
        <f>'DCF Model'!C15</f>
        <v>1596751439</v>
      </c>
    </row>
    <row r="8" spans="2:9" ht="14" customHeight="1" x14ac:dyDescent="0.3">
      <c r="B8" s="4" t="s">
        <v>122</v>
      </c>
      <c r="C8" s="5">
        <f>C6*C7/1000000</f>
        <v>9186111.0285669994</v>
      </c>
    </row>
    <row r="9" spans="2:9" ht="14" customHeight="1" x14ac:dyDescent="0.3">
      <c r="B9" s="4" t="s">
        <v>66</v>
      </c>
      <c r="C9" s="5">
        <f>'DCF Model'!C16</f>
        <v>4478986</v>
      </c>
    </row>
    <row r="10" spans="2:9" ht="14" customHeight="1" x14ac:dyDescent="0.3">
      <c r="B10" s="4" t="s">
        <v>123</v>
      </c>
      <c r="C10" s="5">
        <f>C8+C9</f>
        <v>13665097.028566999</v>
      </c>
    </row>
    <row r="11" spans="2:9" ht="14" customHeight="1" x14ac:dyDescent="0.3">
      <c r="B11" s="4" t="s">
        <v>124</v>
      </c>
      <c r="C11" s="16">
        <f>'DCF Model'!C26</f>
        <v>6.0639526754503889E-2</v>
      </c>
    </row>
    <row r="12" spans="2:9" ht="14" customHeight="1" x14ac:dyDescent="0.3">
      <c r="B12" s="4" t="s">
        <v>125</v>
      </c>
      <c r="C12" s="16">
        <f>'DCF Model'!C13</f>
        <v>0.01</v>
      </c>
    </row>
    <row r="13" spans="2:9" ht="14" customHeight="1" x14ac:dyDescent="0.3">
      <c r="B13" s="4" t="s">
        <v>126</v>
      </c>
      <c r="C13" s="16">
        <f>'DCF Model'!C6</f>
        <v>0.25</v>
      </c>
    </row>
    <row r="14" spans="2:9" ht="14" customHeight="1" x14ac:dyDescent="0.3">
      <c r="B14" s="4" t="s">
        <v>127</v>
      </c>
      <c r="C14" s="27">
        <v>464451</v>
      </c>
    </row>
    <row r="15" spans="2:9" ht="14" customHeight="1" x14ac:dyDescent="0.3">
      <c r="B15" s="4" t="s">
        <v>128</v>
      </c>
      <c r="C15" s="27">
        <v>587812</v>
      </c>
    </row>
    <row r="16" spans="2:9" ht="14" customHeight="1" x14ac:dyDescent="0.3">
      <c r="B16" s="4" t="s">
        <v>129</v>
      </c>
      <c r="C16" s="5">
        <f>'DCF Model'!G33</f>
        <v>4901760.9884204641</v>
      </c>
    </row>
    <row r="17" spans="2:9" ht="14" customHeight="1" x14ac:dyDescent="0.3">
      <c r="B17" s="4" t="s">
        <v>130</v>
      </c>
      <c r="C17" s="5">
        <f>'DCF Model'!C53</f>
        <v>8129460.2745081531</v>
      </c>
    </row>
    <row r="18" spans="2:9" ht="14" customHeight="1" x14ac:dyDescent="0.3">
      <c r="B18" s="4" t="s">
        <v>131</v>
      </c>
      <c r="C18" s="26">
        <v>0.14595039376999699</v>
      </c>
    </row>
    <row r="19" spans="2:9" ht="14" customHeight="1" x14ac:dyDescent="0.3">
      <c r="B19" s="4" t="s">
        <v>132</v>
      </c>
      <c r="C19" s="5">
        <f>C10-C17</f>
        <v>5535636.7540588463</v>
      </c>
    </row>
    <row r="20" spans="2:9" ht="14" customHeight="1" x14ac:dyDescent="0.3">
      <c r="B20" s="4" t="s">
        <v>133</v>
      </c>
      <c r="C20" s="15">
        <f>IFERROR(ROUND(C19*1000000/C7,0),"N/A")</f>
        <v>3467</v>
      </c>
    </row>
    <row r="22" spans="2:9" ht="14" customHeight="1" x14ac:dyDescent="0.3">
      <c r="B22" s="8" t="s">
        <v>134</v>
      </c>
      <c r="C22" s="9"/>
      <c r="D22" s="9"/>
      <c r="E22" s="9"/>
      <c r="F22" s="9"/>
      <c r="G22" s="9"/>
      <c r="H22" s="9"/>
      <c r="I22" s="9"/>
    </row>
    <row r="23" spans="2:9" ht="14" customHeight="1" x14ac:dyDescent="0.3">
      <c r="B23" s="1" t="s">
        <v>135</v>
      </c>
    </row>
    <row r="24" spans="2:9" ht="14" customHeight="1" x14ac:dyDescent="0.3">
      <c r="B24" s="4" t="s">
        <v>136</v>
      </c>
      <c r="C24" s="5">
        <f>C10*(C11-C12)</f>
        <v>691994.0465810101</v>
      </c>
    </row>
    <row r="25" spans="2:9" ht="14" customHeight="1" x14ac:dyDescent="0.3">
      <c r="B25" s="4" t="s">
        <v>137</v>
      </c>
      <c r="C25" s="5">
        <f>IFERROR(C24/(1-C13),"N/A")</f>
        <v>922658.72877468017</v>
      </c>
    </row>
    <row r="26" spans="2:9" ht="13.5" customHeight="1" x14ac:dyDescent="0.25">
      <c r="B26" s="6" t="s">
        <v>138</v>
      </c>
      <c r="C26" s="14">
        <f>IFERROR(C25/C15,"N/A")</f>
        <v>1.5696493585954014</v>
      </c>
    </row>
    <row r="27" spans="2:9" ht="13.5" customHeight="1" x14ac:dyDescent="0.25">
      <c r="B27" s="6" t="s">
        <v>139</v>
      </c>
      <c r="C27" s="14">
        <f>IFERROR(C25/C14,"N/A")</f>
        <v>1.9865577397285832</v>
      </c>
    </row>
    <row r="28" spans="2:9" ht="13.5" customHeight="1" x14ac:dyDescent="0.25">
      <c r="B28" s="6" t="s">
        <v>140</v>
      </c>
      <c r="C28" s="7">
        <f>IFERROR(C25/C16,"N/A")</f>
        <v>0.18823005261870107</v>
      </c>
    </row>
    <row r="29" spans="2:9" ht="13.5" customHeight="1" x14ac:dyDescent="0.25">
      <c r="B29" s="6" t="s">
        <v>141</v>
      </c>
      <c r="C29" s="5">
        <f>IFERROR(C25/C18,"N/A")</f>
        <v>6321728.2594570909</v>
      </c>
    </row>
    <row r="32" spans="2:9" ht="14" customHeight="1" x14ac:dyDescent="0.3">
      <c r="B32" s="8" t="s">
        <v>142</v>
      </c>
      <c r="C32" s="9"/>
      <c r="D32" s="9"/>
      <c r="E32" s="9"/>
      <c r="F32" s="9"/>
      <c r="G32" s="9"/>
      <c r="H32" s="9"/>
      <c r="I32" s="9"/>
    </row>
    <row r="33" spans="2:9" ht="14" customHeight="1" x14ac:dyDescent="0.3">
      <c r="B33" s="1" t="s">
        <v>143</v>
      </c>
    </row>
    <row r="34" spans="2:9" ht="14" customHeight="1" x14ac:dyDescent="0.3">
      <c r="B34" s="1" t="s">
        <v>144</v>
      </c>
    </row>
    <row r="36" spans="2:9" ht="14" customHeight="1" x14ac:dyDescent="0.3">
      <c r="B36" s="28" t="s">
        <v>145</v>
      </c>
      <c r="C36" s="28" t="s">
        <v>146</v>
      </c>
      <c r="D36" s="29">
        <f>'DCF Model'!C26-0.02</f>
        <v>4.0639526754503885E-2</v>
      </c>
      <c r="E36" s="29">
        <f>'DCF Model'!C26-0.01</f>
        <v>5.0639526754503887E-2</v>
      </c>
      <c r="F36" s="29">
        <f>'DCF Model'!C26</f>
        <v>6.0639526754503889E-2</v>
      </c>
      <c r="G36" s="29">
        <f>'DCF Model'!C26+0.01</f>
        <v>7.0639526754503884E-2</v>
      </c>
      <c r="H36" s="29">
        <f>'DCF Model'!C26+0.02</f>
        <v>8.0639526754503893E-2</v>
      </c>
    </row>
    <row r="37" spans="2:9" ht="14" customHeight="1" x14ac:dyDescent="0.3">
      <c r="B37" s="3" t="s">
        <v>147</v>
      </c>
    </row>
    <row r="38" spans="2:9" ht="14" customHeight="1" x14ac:dyDescent="0.3">
      <c r="B38" s="4" t="s">
        <v>148</v>
      </c>
      <c r="C38" s="30">
        <v>3</v>
      </c>
      <c r="D38" s="13">
        <f t="shared" ref="D38:H41" si="0">IFERROR((1-(1+D$36)^(-$C38))/D$36-(1+D$36)/(D$36^2*$C38)*(1-($C38+1)/(1+D$36)^$C38+$C38/(1+D$36)^($C38+1)),"N/A")</f>
        <v>0.94843842667580147</v>
      </c>
      <c r="E38" s="13">
        <f t="shared" si="0"/>
        <v>0.93650935475788244</v>
      </c>
      <c r="F38" s="13">
        <f t="shared" si="0"/>
        <v>0.92485942642474805</v>
      </c>
      <c r="G38" s="13">
        <f t="shared" si="0"/>
        <v>0.91347931529394777</v>
      </c>
      <c r="H38" s="13">
        <f t="shared" si="0"/>
        <v>0.90236009537774908</v>
      </c>
    </row>
    <row r="39" spans="2:9" ht="14" customHeight="1" x14ac:dyDescent="0.3">
      <c r="B39" s="4" t="s">
        <v>149</v>
      </c>
      <c r="C39" s="30">
        <v>5</v>
      </c>
      <c r="D39" s="13">
        <f t="shared" si="0"/>
        <v>1.8482944630615847</v>
      </c>
      <c r="E39" s="13">
        <f t="shared" si="0"/>
        <v>1.8140410195170595</v>
      </c>
      <c r="F39" s="13">
        <f t="shared" si="0"/>
        <v>1.7808935735297076</v>
      </c>
      <c r="G39" s="13">
        <f t="shared" si="0"/>
        <v>1.748803480805583</v>
      </c>
      <c r="H39" s="13">
        <f t="shared" si="0"/>
        <v>1.7177247507465507</v>
      </c>
    </row>
    <row r="40" spans="2:9" ht="14" customHeight="1" x14ac:dyDescent="0.3">
      <c r="B40" s="4" t="s">
        <v>150</v>
      </c>
      <c r="C40" s="30">
        <v>7</v>
      </c>
      <c r="D40" s="13">
        <f t="shared" si="0"/>
        <v>2.7023640440722461</v>
      </c>
      <c r="E40" s="13">
        <f t="shared" si="0"/>
        <v>2.6367666151025508</v>
      </c>
      <c r="F40" s="13">
        <f t="shared" si="0"/>
        <v>2.5738532150631155</v>
      </c>
      <c r="G40" s="13">
        <f t="shared" si="0"/>
        <v>2.513478153974777</v>
      </c>
      <c r="H40" s="13">
        <f t="shared" si="0"/>
        <v>2.4555053425000226</v>
      </c>
    </row>
    <row r="41" spans="2:9" ht="14" customHeight="1" x14ac:dyDescent="0.3">
      <c r="B41" s="4" t="s">
        <v>151</v>
      </c>
      <c r="C41" s="30">
        <v>10</v>
      </c>
      <c r="D41" s="13">
        <f t="shared" si="0"/>
        <v>3.9033155300101834</v>
      </c>
      <c r="E41" s="13">
        <f t="shared" si="0"/>
        <v>3.7764512501399961</v>
      </c>
      <c r="F41" s="13">
        <f t="shared" si="0"/>
        <v>3.6563594655282721</v>
      </c>
      <c r="G41" s="13">
        <f t="shared" si="0"/>
        <v>3.5425713412280091</v>
      </c>
      <c r="H41" s="13">
        <f t="shared" si="0"/>
        <v>3.4346566772920908</v>
      </c>
    </row>
    <row r="42" spans="2:9" ht="14" customHeight="1" x14ac:dyDescent="0.3">
      <c r="B42" s="3" t="s">
        <v>152</v>
      </c>
    </row>
    <row r="43" spans="2:9" ht="14" customHeight="1" x14ac:dyDescent="0.3">
      <c r="B43" s="4" t="s">
        <v>148</v>
      </c>
      <c r="C43" s="30">
        <v>3</v>
      </c>
      <c r="D43" s="13">
        <f t="shared" ref="D43:H46" si="1">IFERROR((1+D$36)/(D$36^2*$C43)*(1-($C43+1)/(1+D$36)^$C43+$C43/(1+D$36)^($C43+1))+(1+$C$12)/((D$36-$C$12)*(1+D$36)^$C43),"N/A")</f>
        <v>31.074129367072871</v>
      </c>
      <c r="E43" s="13">
        <f t="shared" si="1"/>
        <v>23.212953252038268</v>
      </c>
      <c r="F43" s="13">
        <f t="shared" si="1"/>
        <v>18.460836966377229</v>
      </c>
      <c r="G43" s="13">
        <f t="shared" si="1"/>
        <v>15.279520283322487</v>
      </c>
      <c r="H43" s="13">
        <f t="shared" si="1"/>
        <v>13.001795578612231</v>
      </c>
    </row>
    <row r="44" spans="2:9" ht="14" customHeight="1" x14ac:dyDescent="0.3">
      <c r="B44" s="4" t="s">
        <v>149</v>
      </c>
      <c r="C44" s="30">
        <v>5</v>
      </c>
      <c r="D44" s="13">
        <f t="shared" si="1"/>
        <v>29.606358813279304</v>
      </c>
      <c r="E44" s="13">
        <f t="shared" si="1"/>
        <v>21.92130203120335</v>
      </c>
      <c r="F44" s="13">
        <f t="shared" si="1"/>
        <v>17.283258266891789</v>
      </c>
      <c r="G44" s="13">
        <f t="shared" si="1"/>
        <v>14.184314474172123</v>
      </c>
      <c r="H44" s="13">
        <f t="shared" si="1"/>
        <v>11.97044488988719</v>
      </c>
    </row>
    <row r="45" spans="2:9" ht="14" customHeight="1" x14ac:dyDescent="0.3">
      <c r="B45" s="4" t="s">
        <v>150</v>
      </c>
      <c r="C45" s="30">
        <v>7</v>
      </c>
      <c r="D45" s="13">
        <f t="shared" si="1"/>
        <v>28.227865502360213</v>
      </c>
      <c r="E45" s="13">
        <f t="shared" si="1"/>
        <v>20.7234149313853</v>
      </c>
      <c r="F45" s="13">
        <f t="shared" si="1"/>
        <v>16.204470118659856</v>
      </c>
      <c r="G45" s="13">
        <f t="shared" si="1"/>
        <v>13.192920205088594</v>
      </c>
      <c r="H45" s="13">
        <f t="shared" si="1"/>
        <v>11.047710194721112</v>
      </c>
    </row>
    <row r="46" spans="2:9" ht="14" customHeight="1" x14ac:dyDescent="0.3">
      <c r="B46" s="4" t="s">
        <v>151</v>
      </c>
      <c r="C46" s="30">
        <v>10</v>
      </c>
      <c r="D46" s="13">
        <f t="shared" si="1"/>
        <v>26.314608428466553</v>
      </c>
      <c r="E46" s="13">
        <f t="shared" si="1"/>
        <v>19.086112480597443</v>
      </c>
      <c r="F46" s="13">
        <f t="shared" si="1"/>
        <v>14.751632285312702</v>
      </c>
      <c r="G46" s="13">
        <f t="shared" si="1"/>
        <v>11.876819382074338</v>
      </c>
      <c r="H46" s="13">
        <f t="shared" si="1"/>
        <v>9.8397373055684536</v>
      </c>
    </row>
    <row r="47" spans="2:9" ht="14" customHeight="1" x14ac:dyDescent="0.3">
      <c r="B47" s="22" t="s">
        <v>153</v>
      </c>
      <c r="C47" s="23"/>
      <c r="D47" s="23"/>
      <c r="E47" s="23"/>
      <c r="F47" s="23"/>
      <c r="G47" s="23"/>
      <c r="H47" s="23"/>
      <c r="I47" s="23"/>
    </row>
    <row r="48" spans="2:9" ht="14" customHeight="1" x14ac:dyDescent="0.3">
      <c r="B48" s="4" t="s">
        <v>148</v>
      </c>
      <c r="C48" s="30">
        <v>3</v>
      </c>
      <c r="D48" s="5">
        <f t="shared" ref="D48:H51" si="2">IFERROR(($C$10/(1-$C$13)-$C$14*D38)/D43,"N/A")</f>
        <v>572168.12048657157</v>
      </c>
      <c r="E48" s="5">
        <f t="shared" si="2"/>
        <v>766174.23349759891</v>
      </c>
      <c r="F48" s="5">
        <f t="shared" si="2"/>
        <v>963692.89855938242</v>
      </c>
      <c r="G48" s="5">
        <f t="shared" si="2"/>
        <v>1164687.2846773316</v>
      </c>
      <c r="H48" s="5">
        <f t="shared" si="2"/>
        <v>1369120.6891490289</v>
      </c>
    </row>
    <row r="49" spans="2:9" ht="14" customHeight="1" x14ac:dyDescent="0.3">
      <c r="B49" s="4" t="s">
        <v>149</v>
      </c>
      <c r="C49" s="30">
        <v>5</v>
      </c>
      <c r="D49" s="5">
        <f t="shared" si="2"/>
        <v>586417.50811896648</v>
      </c>
      <c r="E49" s="5">
        <f t="shared" si="2"/>
        <v>792726.46219331434</v>
      </c>
      <c r="F49" s="5">
        <f t="shared" si="2"/>
        <v>1006349.1097405886</v>
      </c>
      <c r="G49" s="5">
        <f t="shared" si="2"/>
        <v>1227263.8115614718</v>
      </c>
      <c r="H49" s="5">
        <f t="shared" si="2"/>
        <v>1455445.5204862372</v>
      </c>
    </row>
    <row r="50" spans="2:9" ht="14" customHeight="1" x14ac:dyDescent="0.3">
      <c r="B50" s="4" t="s">
        <v>150</v>
      </c>
      <c r="C50" s="30">
        <v>7</v>
      </c>
      <c r="D50" s="5">
        <f t="shared" si="2"/>
        <v>601002.35660293803</v>
      </c>
      <c r="E50" s="5">
        <f t="shared" si="2"/>
        <v>820110.03189113736</v>
      </c>
      <c r="F50" s="5">
        <f t="shared" si="2"/>
        <v>1050617.5485632829</v>
      </c>
      <c r="G50" s="5">
        <f t="shared" si="2"/>
        <v>1292567.6547906031</v>
      </c>
      <c r="H50" s="5">
        <f t="shared" si="2"/>
        <v>1545991.6270933957</v>
      </c>
    </row>
    <row r="51" spans="2:9" ht="14" customHeight="1" x14ac:dyDescent="0.3">
      <c r="B51" s="4" t="s">
        <v>151</v>
      </c>
      <c r="C51" s="30">
        <v>10</v>
      </c>
      <c r="D51" s="5">
        <f t="shared" si="2"/>
        <v>623502.74429487367</v>
      </c>
      <c r="E51" s="5">
        <f t="shared" si="2"/>
        <v>862729.52800540475</v>
      </c>
      <c r="F51" s="5">
        <f t="shared" si="2"/>
        <v>1120006.8739341118</v>
      </c>
      <c r="G51" s="5">
        <f t="shared" si="2"/>
        <v>1395557.012042657</v>
      </c>
      <c r="H51" s="5">
        <f t="shared" si="2"/>
        <v>1689567.4271293199</v>
      </c>
    </row>
    <row r="52" spans="2:9" ht="14" customHeight="1" x14ac:dyDescent="0.3">
      <c r="B52" s="22" t="s">
        <v>154</v>
      </c>
      <c r="C52" s="23"/>
      <c r="D52" s="23"/>
      <c r="E52" s="23"/>
      <c r="F52" s="23"/>
      <c r="G52" s="23"/>
      <c r="H52" s="23"/>
      <c r="I52" s="23"/>
    </row>
    <row r="53" spans="2:9" ht="14" customHeight="1" x14ac:dyDescent="0.3">
      <c r="B53" s="4" t="s">
        <v>148</v>
      </c>
      <c r="C53" s="30">
        <v>3</v>
      </c>
      <c r="D53" s="14">
        <f t="shared" ref="D53:H56" si="3">IFERROR(D48/$C$15,"N/A")</f>
        <v>0.97338625357524444</v>
      </c>
      <c r="E53" s="14">
        <f t="shared" si="3"/>
        <v>1.3034341481589333</v>
      </c>
      <c r="F53" s="14">
        <f t="shared" si="3"/>
        <v>1.6394576812984125</v>
      </c>
      <c r="G53" s="14">
        <f t="shared" si="3"/>
        <v>1.9813941952143399</v>
      </c>
      <c r="H53" s="14">
        <f t="shared" si="3"/>
        <v>2.3291812503811231</v>
      </c>
    </row>
    <row r="54" spans="2:9" ht="14" customHeight="1" x14ac:dyDescent="0.3">
      <c r="B54" s="4" t="s">
        <v>149</v>
      </c>
      <c r="C54" s="30">
        <v>5</v>
      </c>
      <c r="D54" s="14">
        <f t="shared" si="3"/>
        <v>0.99762765666397846</v>
      </c>
      <c r="E54" s="14">
        <f t="shared" si="3"/>
        <v>1.348605442204845</v>
      </c>
      <c r="F54" s="14">
        <f t="shared" si="3"/>
        <v>1.7120254600800742</v>
      </c>
      <c r="G54" s="14">
        <f t="shared" si="3"/>
        <v>2.0878508971600986</v>
      </c>
      <c r="H54" s="14">
        <f t="shared" si="3"/>
        <v>2.4760391425936139</v>
      </c>
    </row>
    <row r="55" spans="2:9" ht="14" customHeight="1" x14ac:dyDescent="0.3">
      <c r="B55" s="4" t="s">
        <v>150</v>
      </c>
      <c r="C55" s="30">
        <v>7</v>
      </c>
      <c r="D55" s="14">
        <f t="shared" si="3"/>
        <v>1.0224397538718808</v>
      </c>
      <c r="E55" s="14">
        <f t="shared" si="3"/>
        <v>1.3951910336827715</v>
      </c>
      <c r="F55" s="14">
        <f t="shared" si="3"/>
        <v>1.7873359995428519</v>
      </c>
      <c r="G55" s="14">
        <f t="shared" si="3"/>
        <v>2.1989473756755613</v>
      </c>
      <c r="H55" s="14">
        <f t="shared" si="3"/>
        <v>2.6300783704541515</v>
      </c>
    </row>
    <row r="56" spans="2:9" ht="14" customHeight="1" x14ac:dyDescent="0.3">
      <c r="B56" s="4" t="s">
        <v>151</v>
      </c>
      <c r="C56" s="30">
        <v>10</v>
      </c>
      <c r="D56" s="14">
        <f t="shared" si="3"/>
        <v>1.0607179579438215</v>
      </c>
      <c r="E56" s="14">
        <f t="shared" si="3"/>
        <v>1.4676963519040183</v>
      </c>
      <c r="F56" s="14">
        <f t="shared" si="3"/>
        <v>1.9053827991502585</v>
      </c>
      <c r="G56" s="14">
        <f t="shared" si="3"/>
        <v>2.3741553626714955</v>
      </c>
      <c r="H56" s="14">
        <f t="shared" si="3"/>
        <v>2.8743329961438691</v>
      </c>
    </row>
    <row r="58" spans="2:9" ht="14" customHeight="1" x14ac:dyDescent="0.3">
      <c r="B58" s="8" t="s">
        <v>155</v>
      </c>
      <c r="C58" s="9"/>
      <c r="D58" s="9"/>
      <c r="E58" s="9"/>
      <c r="F58" s="9"/>
      <c r="G58" s="9"/>
      <c r="H58" s="9"/>
      <c r="I58" s="9"/>
    </row>
    <row r="59" spans="2:9" ht="14" customHeight="1" x14ac:dyDescent="0.3">
      <c r="B59" s="1" t="s">
        <v>156</v>
      </c>
    </row>
    <row r="60" spans="2:9" ht="14" customHeight="1" x14ac:dyDescent="0.3">
      <c r="B60" s="4" t="s">
        <v>157</v>
      </c>
      <c r="C60" s="5">
        <f>F49</f>
        <v>1006349.1097405886</v>
      </c>
    </row>
    <row r="62" spans="2:9" ht="14" customHeight="1" x14ac:dyDescent="0.3">
      <c r="B62" s="28" t="s">
        <v>158</v>
      </c>
      <c r="C62" s="28" t="s">
        <v>159</v>
      </c>
      <c r="D62" s="28" t="s">
        <v>160</v>
      </c>
    </row>
    <row r="63" spans="2:9" ht="14" customHeight="1" x14ac:dyDescent="0.3">
      <c r="B63" s="31">
        <v>7.2999999999999995E-2</v>
      </c>
      <c r="C63" s="5">
        <f>IFERROR($C$60/B63,"N/A")</f>
        <v>13785604.243021762</v>
      </c>
      <c r="D63" s="14">
        <f>IFERROR(C63/'DCF Model'!C17,"N/A")</f>
        <v>3.0595785452761737</v>
      </c>
    </row>
    <row r="64" spans="2:9" ht="14" customHeight="1" x14ac:dyDescent="0.3">
      <c r="B64" s="31">
        <v>0.1095</v>
      </c>
      <c r="C64" s="5">
        <f>IFERROR($C$60/B64,"N/A")</f>
        <v>9190402.8286811747</v>
      </c>
      <c r="D64" s="14">
        <f>IFERROR(C64/'DCF Model'!C17,"N/A")</f>
        <v>2.0397190301841159</v>
      </c>
    </row>
    <row r="65" spans="2:9" ht="14" customHeight="1" x14ac:dyDescent="0.3">
      <c r="B65" s="4" t="s">
        <v>161</v>
      </c>
      <c r="C65" s="5">
        <f>IFERROR($C$60/$C$18,"N/A")</f>
        <v>6895144.8759123776</v>
      </c>
      <c r="D65" s="14">
        <f>IFERROR(C65/'DCF Model'!C17,"N/A")</f>
        <v>1.5303092238115945</v>
      </c>
    </row>
    <row r="66" spans="2:9" ht="14" customHeight="1" x14ac:dyDescent="0.3">
      <c r="B66" s="31">
        <v>0.18240000000000001</v>
      </c>
      <c r="C66" s="5">
        <f>IFERROR($C$60/B66,"N/A")</f>
        <v>5517264.8560339287</v>
      </c>
      <c r="D66" s="14">
        <f>IFERROR(C66/'DCF Model'!C17,"N/A")</f>
        <v>1.2245023783177669</v>
      </c>
    </row>
    <row r="67" spans="2:9" ht="14" customHeight="1" x14ac:dyDescent="0.3">
      <c r="B67" s="31">
        <v>0.21890000000000001</v>
      </c>
      <c r="C67" s="5">
        <f>IFERROR($C$60/B67,"N/A")</f>
        <v>4597300.6383763747</v>
      </c>
      <c r="D67" s="14">
        <f>IFERROR(C67/'DCF Model'!C17,"N/A")</f>
        <v>1.0203254171090026</v>
      </c>
    </row>
    <row r="69" spans="2:9" ht="14" customHeight="1" x14ac:dyDescent="0.3">
      <c r="B69" s="8" t="s">
        <v>162</v>
      </c>
      <c r="C69" s="9"/>
      <c r="D69" s="9"/>
      <c r="E69" s="9"/>
      <c r="F69" s="9"/>
      <c r="G69" s="9"/>
      <c r="H69" s="9"/>
      <c r="I69" s="9"/>
    </row>
    <row r="70" spans="2:9" ht="13.5" customHeight="1" x14ac:dyDescent="0.25">
      <c r="B70" s="6" t="s">
        <v>163</v>
      </c>
      <c r="C70" s="14">
        <f>IFERROR(C10/'Comps Analysis'!G5,"N/A")</f>
        <v>11.526105434283531</v>
      </c>
    </row>
    <row r="71" spans="2:9" ht="13.5" customHeight="1" x14ac:dyDescent="0.25">
      <c r="B71" s="6" t="s">
        <v>164</v>
      </c>
      <c r="C71" s="14">
        <f>IFERROR(C10/'Comps Analysis'!F5,"N/A")</f>
        <v>3.0328331606418062</v>
      </c>
    </row>
    <row r="72" spans="2:9" ht="14" customHeight="1" x14ac:dyDescent="0.3">
      <c r="B72" s="4" t="s">
        <v>165</v>
      </c>
      <c r="C72" s="14">
        <f>IFERROR(C10/(C25+'DCF Model'!G42),"N/A")</f>
        <v>9.8122366565641865</v>
      </c>
    </row>
    <row r="73" spans="2:9" ht="14" customHeight="1" x14ac:dyDescent="0.3">
      <c r="B73" s="4" t="s">
        <v>166</v>
      </c>
      <c r="C73" s="14">
        <f>IFERROR(C10/(C60+'DCF Model'!G42),"N/A")</f>
        <v>9.2560065491339731</v>
      </c>
    </row>
    <row r="74" spans="2:9" ht="14" customHeight="1" x14ac:dyDescent="0.3">
      <c r="B74" s="4" t="s">
        <v>167</v>
      </c>
      <c r="C74" s="14">
        <f>IFERROR('Comps Analysis'!D16,"N/A")</f>
        <v>11.433453957103882</v>
      </c>
    </row>
    <row r="75" spans="2:9" ht="14" customHeight="1" x14ac:dyDescent="0.3">
      <c r="B75" s="1" t="s">
        <v>168</v>
      </c>
    </row>
    <row r="77" spans="2:9" ht="14" customHeight="1" x14ac:dyDescent="0.3">
      <c r="B77" s="22" t="s">
        <v>169</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5,753 yen the market is paying for a steady-state operating profit of 1,006,349 mn JPY - 1.71x the FY2023 cycle peak of 587,812 mn - reached in 5 years and sustained for ever, against 464,451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922,659 mn, or 1.57x the peak. The base case supports an EV of only 8,129,460 mn, leaving 3,467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170</v>
      </c>
    </row>
    <row r="4" spans="2:8" ht="14" customHeight="1" x14ac:dyDescent="0.3">
      <c r="B4" s="8" t="s">
        <v>171</v>
      </c>
      <c r="C4" s="32" t="s">
        <v>172</v>
      </c>
      <c r="D4" s="32" t="s">
        <v>79</v>
      </c>
      <c r="E4" s="32" t="s">
        <v>80</v>
      </c>
      <c r="F4" s="32" t="s">
        <v>81</v>
      </c>
      <c r="G4" s="32" t="s">
        <v>82</v>
      </c>
      <c r="H4" s="32" t="s">
        <v>83</v>
      </c>
    </row>
    <row r="5" spans="2:8" ht="14" customHeight="1" x14ac:dyDescent="0.3">
      <c r="B5" s="33" t="s">
        <v>173</v>
      </c>
      <c r="C5" s="34">
        <f>C12/C9*365</f>
        <v>79.17371141571158</v>
      </c>
      <c r="D5" s="34">
        <f>CHOOSE('DCF Model'!$D$27,D25,D26,D27,D28,D29)</f>
        <v>66</v>
      </c>
      <c r="E5" s="34">
        <f>CHOOSE('DCF Model'!$D$27,E25,E26,E27,E28,E29)</f>
        <v>66</v>
      </c>
      <c r="F5" s="34">
        <f>CHOOSE('DCF Model'!$D$27,F25,F26,F27,F28,F29)</f>
        <v>66</v>
      </c>
      <c r="G5" s="34">
        <f>CHOOSE('DCF Model'!$D$27,G25,G26,G27,G28,G29)</f>
        <v>66</v>
      </c>
      <c r="H5" s="34">
        <f>CHOOSE('DCF Model'!$D$27,H25,H26,H27,H28,H29)</f>
        <v>66</v>
      </c>
    </row>
    <row r="6" spans="2:8" ht="14" customHeight="1" x14ac:dyDescent="0.3">
      <c r="B6" s="33" t="s">
        <v>174</v>
      </c>
      <c r="C6" s="34">
        <f>C13/C10*365</f>
        <v>324.36382817888659</v>
      </c>
      <c r="D6" s="34">
        <f>CHOOSE('DCF Model'!$D$27,D32,D33,D34,D35,D36)</f>
        <v>301</v>
      </c>
      <c r="E6" s="34">
        <f>CHOOSE('DCF Model'!$D$27,E32,E33,E34,E35,E36)</f>
        <v>301</v>
      </c>
      <c r="F6" s="34">
        <f>CHOOSE('DCF Model'!$D$27,F32,F33,F34,F35,F36)</f>
        <v>301</v>
      </c>
      <c r="G6" s="34">
        <f>CHOOSE('DCF Model'!$D$27,G32,G33,G34,G35,G36)</f>
        <v>301</v>
      </c>
      <c r="H6" s="34">
        <f>CHOOSE('DCF Model'!$D$27,H32,H33,H34,H35,H36)</f>
        <v>301</v>
      </c>
    </row>
    <row r="7" spans="2:8" ht="14" customHeight="1" x14ac:dyDescent="0.3">
      <c r="B7" s="33" t="s">
        <v>175</v>
      </c>
      <c r="C7" s="34">
        <f>C15/C10*365</f>
        <v>75.334197003285851</v>
      </c>
      <c r="D7" s="34">
        <f>CHOOSE('DCF Model'!$D$27,D39,D40,D41,D42,D43)</f>
        <v>80</v>
      </c>
      <c r="E7" s="34">
        <f>CHOOSE('DCF Model'!$D$27,E39,E40,E41,E42,E43)</f>
        <v>80</v>
      </c>
      <c r="F7" s="34">
        <f>CHOOSE('DCF Model'!$D$27,F39,F40,F41,F42,F43)</f>
        <v>80</v>
      </c>
      <c r="G7" s="34">
        <f>CHOOSE('DCF Model'!$D$27,G39,G40,G41,G42,G43)</f>
        <v>80</v>
      </c>
      <c r="H7" s="34">
        <f>CHOOSE('DCF Model'!$D$27,H39,H40,H41,H42,H43)</f>
        <v>80</v>
      </c>
    </row>
    <row r="8" spans="2:8" ht="14" customHeight="1" x14ac:dyDescent="0.3">
      <c r="B8" s="8" t="s">
        <v>176</v>
      </c>
      <c r="C8" s="9"/>
      <c r="D8" s="9"/>
      <c r="E8" s="9"/>
      <c r="F8" s="9"/>
      <c r="G8" s="9"/>
      <c r="H8" s="9"/>
    </row>
    <row r="9" spans="2:8" ht="14" customHeight="1" x14ac:dyDescent="0.3">
      <c r="B9" s="33" t="s">
        <v>31</v>
      </c>
      <c r="C9" s="35">
        <v>4505720</v>
      </c>
      <c r="D9" s="35">
        <f>'DCF Model'!C33</f>
        <v>4550777.2</v>
      </c>
      <c r="E9" s="35">
        <f>'DCF Model'!D33</f>
        <v>4619038.858</v>
      </c>
      <c r="F9" s="35">
        <f>'DCF Model'!E33</f>
        <v>4711419.6351600001</v>
      </c>
      <c r="G9" s="35">
        <f>'DCF Model'!F33</f>
        <v>4805648.0278631998</v>
      </c>
      <c r="H9" s="35">
        <f>'DCF Model'!G33</f>
        <v>4901760.9884204641</v>
      </c>
    </row>
    <row r="10" spans="2:8" ht="14" customHeight="1" x14ac:dyDescent="0.3">
      <c r="B10" s="33" t="s">
        <v>32</v>
      </c>
      <c r="C10" s="35">
        <v>1571588</v>
      </c>
      <c r="D10" s="35">
        <f>'DCF Model'!C34</f>
        <v>1588221.2427999999</v>
      </c>
      <c r="E10" s="35">
        <f>'DCF Model'!D34</f>
        <v>1612044.5614419999</v>
      </c>
      <c r="F10" s="35">
        <f>'DCF Model'!E34</f>
        <v>1644285.4526708398</v>
      </c>
      <c r="G10" s="35">
        <f>'DCF Model'!F34</f>
        <v>1677171.1617242566</v>
      </c>
      <c r="H10" s="35">
        <f>'DCF Model'!G34</f>
        <v>1710714.5849587419</v>
      </c>
    </row>
    <row r="11" spans="2:8" ht="14" customHeight="1" x14ac:dyDescent="0.3">
      <c r="B11" s="8" t="s">
        <v>177</v>
      </c>
      <c r="C11" s="9"/>
      <c r="D11" s="9"/>
      <c r="E11" s="9"/>
      <c r="F11" s="9"/>
      <c r="G11" s="9"/>
      <c r="H11" s="9"/>
    </row>
    <row r="12" spans="2:8" ht="14" customHeight="1" x14ac:dyDescent="0.3">
      <c r="B12" s="33" t="s">
        <v>178</v>
      </c>
      <c r="C12" s="35">
        <v>977355</v>
      </c>
      <c r="D12" s="35">
        <f t="shared" ref="D12:H13" si="0">D9*D5/365</f>
        <v>822880.26082191779</v>
      </c>
      <c r="E12" s="35">
        <f t="shared" si="0"/>
        <v>835223.46473424661</v>
      </c>
      <c r="F12" s="35">
        <f t="shared" si="0"/>
        <v>851927.93402893154</v>
      </c>
      <c r="G12" s="35">
        <f t="shared" si="0"/>
        <v>868966.49270951014</v>
      </c>
      <c r="H12" s="35">
        <f t="shared" si="0"/>
        <v>886345.82256370026</v>
      </c>
    </row>
    <row r="13" spans="2:8" ht="14" customHeight="1" x14ac:dyDescent="0.3">
      <c r="B13" s="33" t="s">
        <v>179</v>
      </c>
      <c r="C13" s="35">
        <v>1396620</v>
      </c>
      <c r="D13" s="35">
        <f t="shared" si="0"/>
        <v>1309738.6139254794</v>
      </c>
      <c r="E13" s="35">
        <f t="shared" si="0"/>
        <v>1329384.6931343616</v>
      </c>
      <c r="F13" s="35">
        <f t="shared" si="0"/>
        <v>1355972.3869970487</v>
      </c>
      <c r="G13" s="35">
        <f t="shared" si="0"/>
        <v>1383091.8347369896</v>
      </c>
      <c r="H13" s="35">
        <f t="shared" si="0"/>
        <v>1410753.6714317296</v>
      </c>
    </row>
    <row r="14" spans="2:8" ht="14" customHeight="1" x14ac:dyDescent="0.3">
      <c r="B14" s="33" t="s">
        <v>180</v>
      </c>
      <c r="C14" s="35">
        <f t="shared" ref="C14:H14" si="1">C12+C13</f>
        <v>2373975</v>
      </c>
      <c r="D14" s="35">
        <f t="shared" si="1"/>
        <v>2132618.8747473974</v>
      </c>
      <c r="E14" s="35">
        <f t="shared" si="1"/>
        <v>2164608.1578686084</v>
      </c>
      <c r="F14" s="35">
        <f t="shared" si="1"/>
        <v>2207900.3210259802</v>
      </c>
      <c r="G14" s="35">
        <f t="shared" si="1"/>
        <v>2252058.3274464998</v>
      </c>
      <c r="H14" s="35">
        <f t="shared" si="1"/>
        <v>2297099.4939954299</v>
      </c>
    </row>
    <row r="15" spans="2:8" ht="14" customHeight="1" x14ac:dyDescent="0.3">
      <c r="B15" s="33" t="s">
        <v>181</v>
      </c>
      <c r="C15" s="35">
        <v>324368</v>
      </c>
      <c r="D15" s="35">
        <f>D10*D7/365</f>
        <v>348103.28609315067</v>
      </c>
      <c r="E15" s="35">
        <f>E10*E7/365</f>
        <v>353324.83538454794</v>
      </c>
      <c r="F15" s="35">
        <f>F10*F7/365</f>
        <v>360391.33209223888</v>
      </c>
      <c r="G15" s="35">
        <f>G10*G7/365</f>
        <v>367599.15873408364</v>
      </c>
      <c r="H15" s="35">
        <f>H10*H7/365</f>
        <v>374951.1419087653</v>
      </c>
    </row>
    <row r="16" spans="2:8" ht="14" customHeight="1" x14ac:dyDescent="0.3">
      <c r="B16" s="33" t="s">
        <v>182</v>
      </c>
      <c r="C16" s="35">
        <f t="shared" ref="C16:H16" si="2">C15</f>
        <v>324368</v>
      </c>
      <c r="D16" s="35">
        <f t="shared" si="2"/>
        <v>348103.28609315067</v>
      </c>
      <c r="E16" s="35">
        <f t="shared" si="2"/>
        <v>353324.83538454794</v>
      </c>
      <c r="F16" s="35">
        <f t="shared" si="2"/>
        <v>360391.33209223888</v>
      </c>
      <c r="G16" s="35">
        <f t="shared" si="2"/>
        <v>367599.15873408364</v>
      </c>
      <c r="H16" s="35">
        <f t="shared" si="2"/>
        <v>374951.1419087653</v>
      </c>
    </row>
    <row r="17" spans="2:8" ht="14" customHeight="1" x14ac:dyDescent="0.3">
      <c r="B17" s="22" t="s">
        <v>183</v>
      </c>
      <c r="C17" s="23"/>
      <c r="D17" s="23"/>
      <c r="E17" s="23"/>
      <c r="F17" s="23"/>
      <c r="G17" s="23"/>
      <c r="H17" s="23"/>
    </row>
    <row r="18" spans="2:8" ht="14" customHeight="1" x14ac:dyDescent="0.3">
      <c r="B18" s="33" t="s">
        <v>184</v>
      </c>
      <c r="C18" s="20">
        <f t="shared" ref="C18:H18" si="3">C14-C16</f>
        <v>2049607</v>
      </c>
      <c r="D18" s="20">
        <f t="shared" si="3"/>
        <v>1784515.5886542466</v>
      </c>
      <c r="E18" s="20">
        <f t="shared" si="3"/>
        <v>1811283.3224840604</v>
      </c>
      <c r="F18" s="20">
        <f t="shared" si="3"/>
        <v>1847508.9889337413</v>
      </c>
      <c r="G18" s="20">
        <f t="shared" si="3"/>
        <v>1884459.1687124162</v>
      </c>
      <c r="H18" s="20">
        <f t="shared" si="3"/>
        <v>1922148.3520866646</v>
      </c>
    </row>
    <row r="19" spans="2:8" ht="14" customHeight="1" x14ac:dyDescent="0.3">
      <c r="B19" s="33" t="s">
        <v>93</v>
      </c>
      <c r="C19" s="36" t="s">
        <v>41</v>
      </c>
      <c r="D19" s="24">
        <f>D18-C18</f>
        <v>-265091.41134575335</v>
      </c>
      <c r="E19" s="24">
        <f>E18-D18</f>
        <v>26767.733829813777</v>
      </c>
      <c r="F19" s="24">
        <f>F18-E18</f>
        <v>36225.666449680924</v>
      </c>
      <c r="G19" s="24">
        <f>G18-F18</f>
        <v>36950.17977867485</v>
      </c>
      <c r="H19" s="24">
        <f>H18-G18</f>
        <v>37689.183374248445</v>
      </c>
    </row>
    <row r="22" spans="2:8" ht="14" customHeight="1" x14ac:dyDescent="0.3">
      <c r="B22" s="22" t="s">
        <v>185</v>
      </c>
      <c r="C22" s="23"/>
      <c r="D22" s="23"/>
      <c r="E22" s="23"/>
      <c r="F22" s="23"/>
      <c r="G22" s="23"/>
      <c r="H22" s="23"/>
    </row>
    <row r="23" spans="2:8" ht="14" customHeight="1" x14ac:dyDescent="0.3">
      <c r="D23" s="25" t="s">
        <v>79</v>
      </c>
      <c r="E23" s="25" t="s">
        <v>80</v>
      </c>
      <c r="F23" s="25" t="s">
        <v>81</v>
      </c>
      <c r="G23" s="25" t="s">
        <v>82</v>
      </c>
      <c r="H23" s="25" t="s">
        <v>83</v>
      </c>
    </row>
    <row r="24" spans="2:8" ht="14" customHeight="1" x14ac:dyDescent="0.3">
      <c r="B24" s="3" t="s">
        <v>186</v>
      </c>
    </row>
    <row r="25" spans="2:8" ht="14" customHeight="1" x14ac:dyDescent="0.3">
      <c r="B25" s="4" t="s">
        <v>77</v>
      </c>
      <c r="D25" s="30">
        <v>66</v>
      </c>
      <c r="E25" s="30">
        <v>66</v>
      </c>
      <c r="F25" s="30">
        <v>66</v>
      </c>
      <c r="G25" s="30">
        <v>66</v>
      </c>
      <c r="H25" s="30">
        <v>66</v>
      </c>
    </row>
    <row r="26" spans="2:8" ht="14" customHeight="1" x14ac:dyDescent="0.3">
      <c r="B26" s="4" t="s">
        <v>114</v>
      </c>
      <c r="D26" s="30">
        <v>63</v>
      </c>
      <c r="E26" s="30">
        <v>63</v>
      </c>
      <c r="F26" s="30">
        <v>63</v>
      </c>
      <c r="G26" s="30">
        <v>63</v>
      </c>
      <c r="H26" s="30">
        <v>63</v>
      </c>
    </row>
    <row r="27" spans="2:8" ht="14" customHeight="1" x14ac:dyDescent="0.3">
      <c r="B27" s="4" t="s">
        <v>115</v>
      </c>
      <c r="D27" s="30">
        <v>66</v>
      </c>
      <c r="E27" s="30">
        <v>66</v>
      </c>
      <c r="F27" s="30">
        <v>66</v>
      </c>
      <c r="G27" s="30">
        <v>66</v>
      </c>
      <c r="H27" s="30">
        <v>66</v>
      </c>
    </row>
    <row r="28" spans="2:8" ht="14" customHeight="1" x14ac:dyDescent="0.3">
      <c r="B28" s="4" t="s">
        <v>116</v>
      </c>
      <c r="D28" s="30">
        <v>70</v>
      </c>
      <c r="E28" s="30">
        <v>70</v>
      </c>
      <c r="F28" s="30">
        <v>70</v>
      </c>
      <c r="G28" s="30">
        <v>70</v>
      </c>
      <c r="H28" s="30">
        <v>70</v>
      </c>
    </row>
    <row r="29" spans="2:8" ht="14" customHeight="1" x14ac:dyDescent="0.3">
      <c r="B29" s="4" t="s">
        <v>117</v>
      </c>
      <c r="D29" s="30">
        <v>73</v>
      </c>
      <c r="E29" s="30">
        <v>73</v>
      </c>
      <c r="F29" s="30">
        <v>73</v>
      </c>
      <c r="G29" s="30">
        <v>73</v>
      </c>
      <c r="H29" s="30">
        <v>73</v>
      </c>
    </row>
    <row r="31" spans="2:8" ht="14" customHeight="1" x14ac:dyDescent="0.3">
      <c r="B31" s="3" t="s">
        <v>187</v>
      </c>
    </row>
    <row r="32" spans="2:8" ht="14" customHeight="1" x14ac:dyDescent="0.3">
      <c r="B32" s="4" t="s">
        <v>77</v>
      </c>
      <c r="D32" s="30">
        <v>301</v>
      </c>
      <c r="E32" s="30">
        <v>301</v>
      </c>
      <c r="F32" s="30">
        <v>301</v>
      </c>
      <c r="G32" s="30">
        <v>301</v>
      </c>
      <c r="H32" s="30">
        <v>301</v>
      </c>
    </row>
    <row r="33" spans="2:8" ht="14" customHeight="1" x14ac:dyDescent="0.3">
      <c r="B33" s="4" t="s">
        <v>114</v>
      </c>
      <c r="D33" s="30">
        <v>288</v>
      </c>
      <c r="E33" s="30">
        <v>288</v>
      </c>
      <c r="F33" s="30">
        <v>288</v>
      </c>
      <c r="G33" s="30">
        <v>288</v>
      </c>
      <c r="H33" s="30">
        <v>288</v>
      </c>
    </row>
    <row r="34" spans="2:8" ht="14" customHeight="1" x14ac:dyDescent="0.3">
      <c r="B34" s="4" t="s">
        <v>115</v>
      </c>
      <c r="D34" s="30">
        <v>301</v>
      </c>
      <c r="E34" s="30">
        <v>301</v>
      </c>
      <c r="F34" s="30">
        <v>301</v>
      </c>
      <c r="G34" s="30">
        <v>301</v>
      </c>
      <c r="H34" s="30">
        <v>301</v>
      </c>
    </row>
    <row r="35" spans="2:8" ht="14" customHeight="1" x14ac:dyDescent="0.3">
      <c r="B35" s="4" t="s">
        <v>116</v>
      </c>
      <c r="D35" s="30">
        <v>316</v>
      </c>
      <c r="E35" s="30">
        <v>316</v>
      </c>
      <c r="F35" s="30">
        <v>316</v>
      </c>
      <c r="G35" s="30">
        <v>316</v>
      </c>
      <c r="H35" s="30">
        <v>316</v>
      </c>
    </row>
    <row r="36" spans="2:8" ht="14" customHeight="1" x14ac:dyDescent="0.3">
      <c r="B36" s="4" t="s">
        <v>117</v>
      </c>
      <c r="D36" s="30">
        <v>331</v>
      </c>
      <c r="E36" s="30">
        <v>331</v>
      </c>
      <c r="F36" s="30">
        <v>331</v>
      </c>
      <c r="G36" s="30">
        <v>331</v>
      </c>
      <c r="H36" s="30">
        <v>331</v>
      </c>
    </row>
    <row r="38" spans="2:8" ht="14" customHeight="1" x14ac:dyDescent="0.3">
      <c r="B38" s="3" t="s">
        <v>188</v>
      </c>
    </row>
    <row r="39" spans="2:8" ht="14" customHeight="1" x14ac:dyDescent="0.3">
      <c r="B39" s="4" t="s">
        <v>77</v>
      </c>
      <c r="D39" s="30">
        <v>80</v>
      </c>
      <c r="E39" s="30">
        <v>80</v>
      </c>
      <c r="F39" s="30">
        <v>80</v>
      </c>
      <c r="G39" s="30">
        <v>80</v>
      </c>
      <c r="H39" s="30">
        <v>80</v>
      </c>
    </row>
    <row r="40" spans="2:8" ht="14" customHeight="1" x14ac:dyDescent="0.3">
      <c r="B40" s="4" t="s">
        <v>114</v>
      </c>
      <c r="D40" s="30">
        <v>83</v>
      </c>
      <c r="E40" s="30">
        <v>83</v>
      </c>
      <c r="F40" s="30">
        <v>83</v>
      </c>
      <c r="G40" s="30">
        <v>83</v>
      </c>
      <c r="H40" s="30">
        <v>83</v>
      </c>
    </row>
    <row r="41" spans="2:8" ht="14" customHeight="1" x14ac:dyDescent="0.3">
      <c r="B41" s="4" t="s">
        <v>115</v>
      </c>
      <c r="D41" s="30">
        <v>80</v>
      </c>
      <c r="E41" s="30">
        <v>80</v>
      </c>
      <c r="F41" s="30">
        <v>80</v>
      </c>
      <c r="G41" s="30">
        <v>80</v>
      </c>
      <c r="H41" s="30">
        <v>80</v>
      </c>
    </row>
    <row r="42" spans="2:8" ht="14" customHeight="1" x14ac:dyDescent="0.3">
      <c r="B42" s="4" t="s">
        <v>116</v>
      </c>
      <c r="D42" s="30">
        <v>76</v>
      </c>
      <c r="E42" s="30">
        <v>76</v>
      </c>
      <c r="F42" s="30">
        <v>76</v>
      </c>
      <c r="G42" s="30">
        <v>76</v>
      </c>
      <c r="H42" s="30">
        <v>76</v>
      </c>
    </row>
    <row r="43" spans="2:8" ht="14" customHeight="1" x14ac:dyDescent="0.3">
      <c r="B43" s="4" t="s">
        <v>117</v>
      </c>
      <c r="D43" s="30">
        <v>72</v>
      </c>
      <c r="E43" s="30">
        <v>72</v>
      </c>
      <c r="F43" s="30">
        <v>72</v>
      </c>
      <c r="G43" s="30">
        <v>72</v>
      </c>
      <c r="H43" s="30">
        <v>72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189</v>
      </c>
    </row>
    <row r="3" spans="2:17" ht="14" customHeight="1" x14ac:dyDescent="0.3">
      <c r="B3" s="1" t="s">
        <v>190</v>
      </c>
    </row>
    <row r="4" spans="2:17" ht="28" customHeight="1"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customHeight="1" x14ac:dyDescent="0.3">
      <c r="B5" s="4" t="s">
        <v>205</v>
      </c>
      <c r="C5" t="s">
        <v>206</v>
      </c>
      <c r="D5" s="37">
        <f>'Executive Summary'!C9*C23/1000000</f>
        <v>9186111.0285669994</v>
      </c>
      <c r="E5" s="37">
        <f>D5+C24</f>
        <v>13665097.028566999</v>
      </c>
      <c r="F5" s="37">
        <v>4505720</v>
      </c>
      <c r="G5" s="37">
        <v>1185578</v>
      </c>
      <c r="H5" s="37">
        <v>464451</v>
      </c>
      <c r="I5" s="37">
        <v>-152390</v>
      </c>
      <c r="J5" s="38">
        <f>IFERROR(E5/G5,"")</f>
        <v>11.526105434283531</v>
      </c>
      <c r="K5" s="38">
        <f>IFERROR(E5/F5,"")</f>
        <v>3.0328331606418062</v>
      </c>
      <c r="L5" s="39" t="s">
        <v>207</v>
      </c>
      <c r="M5" s="38">
        <f>IFERROR(D5/P5,"")</f>
        <v>1.2364471335820555</v>
      </c>
      <c r="N5" s="40">
        <f>IFERROR(H5/F5,"")</f>
        <v>0.10308030681001039</v>
      </c>
      <c r="O5" s="40">
        <f>IFERROR(I5/P5,"")</f>
        <v>-2.0511637416597023E-2</v>
      </c>
      <c r="P5" s="37">
        <v>7429441</v>
      </c>
    </row>
    <row r="6" spans="2:17" ht="14" customHeight="1" x14ac:dyDescent="0.3">
      <c r="B6" s="4" t="s">
        <v>208</v>
      </c>
      <c r="C6" t="s">
        <v>209</v>
      </c>
      <c r="D6" s="37">
        <v>5084111</v>
      </c>
      <c r="E6" s="37">
        <v>4934785</v>
      </c>
      <c r="F6" s="37">
        <v>2123045</v>
      </c>
      <c r="G6" s="37">
        <v>306549</v>
      </c>
      <c r="H6" s="37">
        <v>229089</v>
      </c>
      <c r="I6" s="37">
        <v>259874</v>
      </c>
      <c r="J6" s="38">
        <f>IFERROR(E6/G6,"")</f>
        <v>16.097866898929698</v>
      </c>
      <c r="K6" s="38">
        <f>IFERROR(E6/F6,"")</f>
        <v>2.3243902036932802</v>
      </c>
      <c r="L6" s="38">
        <f>IFERROR(D6/I6,"")</f>
        <v>19.563753973079262</v>
      </c>
      <c r="M6" s="38">
        <f>IFERROR(D6/P6,"")</f>
        <v>3.0550265326025627</v>
      </c>
      <c r="N6" s="40">
        <f>IFERROR(H6/F6,"")</f>
        <v>0.10790586162799187</v>
      </c>
      <c r="O6" s="40">
        <f>IFERROR(I6/P6,"")</f>
        <v>0.1561574806556266</v>
      </c>
      <c r="P6" s="37">
        <v>1664179</v>
      </c>
    </row>
    <row r="7" spans="2:17" ht="14" customHeight="1" x14ac:dyDescent="0.3">
      <c r="B7" s="4" t="s">
        <v>210</v>
      </c>
      <c r="C7" t="s">
        <v>211</v>
      </c>
      <c r="D7" s="37">
        <v>4223444</v>
      </c>
      <c r="E7" s="37">
        <v>4507791</v>
      </c>
      <c r="F7" s="37">
        <v>2139245</v>
      </c>
      <c r="G7" s="37">
        <v>574653</v>
      </c>
      <c r="H7" s="37">
        <v>380059</v>
      </c>
      <c r="I7" s="37">
        <v>291535</v>
      </c>
      <c r="J7" s="38">
        <f>IFERROR(E7/G7,"")</f>
        <v>7.8443704287630966</v>
      </c>
      <c r="K7" s="38">
        <f>IFERROR(E7/F7,"")</f>
        <v>2.1071878162622792</v>
      </c>
      <c r="L7" s="38">
        <f>IFERROR(D7/I7,"")</f>
        <v>14.486919237827362</v>
      </c>
      <c r="M7" s="38">
        <f>IFERROR(D7/P7,"")</f>
        <v>2.3090991796807514</v>
      </c>
      <c r="N7" s="40">
        <f>IFERROR(H7/F7,"")</f>
        <v>0.17766034278448706</v>
      </c>
      <c r="O7" s="40">
        <f>IFERROR(I7/P7,"")</f>
        <v>0.15939201025235042</v>
      </c>
      <c r="P7" s="37">
        <v>1829044</v>
      </c>
    </row>
    <row r="8" spans="2:17" ht="14" customHeight="1" x14ac:dyDescent="0.3">
      <c r="B8" s="4" t="s">
        <v>212</v>
      </c>
      <c r="C8" t="s">
        <v>213</v>
      </c>
      <c r="D8" s="37">
        <v>6320483</v>
      </c>
      <c r="E8" s="37">
        <v>6013813</v>
      </c>
      <c r="F8" s="37">
        <v>2468892</v>
      </c>
      <c r="G8" s="37">
        <v>588273</v>
      </c>
      <c r="H8" s="37">
        <v>472106</v>
      </c>
      <c r="I8" s="37">
        <v>363150</v>
      </c>
      <c r="J8" s="38">
        <f>IFERROR(E8/G8,"")</f>
        <v>10.222826816801042</v>
      </c>
      <c r="K8" s="38">
        <f>IFERROR(E8/F8,"")</f>
        <v>2.4358347793261106</v>
      </c>
      <c r="L8" s="38">
        <f>IFERROR(D8/I8,"")</f>
        <v>17.404606911744459</v>
      </c>
      <c r="M8" s="38">
        <f>IFERROR(D8/P8,"")</f>
        <v>2.0835996972418149</v>
      </c>
      <c r="N8" s="40">
        <f>IFERROR(H8/F8,"")</f>
        <v>0.191221811241642</v>
      </c>
      <c r="O8" s="40">
        <f>IFERROR(I8/P8,"")</f>
        <v>0.119715412580552</v>
      </c>
      <c r="P8" s="37">
        <v>3033444</v>
      </c>
    </row>
    <row r="9" spans="2:17" ht="14" customHeight="1" x14ac:dyDescent="0.3">
      <c r="B9" s="4" t="s">
        <v>214</v>
      </c>
      <c r="C9" t="s">
        <v>215</v>
      </c>
      <c r="D9" s="37">
        <v>2476073</v>
      </c>
      <c r="E9" s="37">
        <v>2449070</v>
      </c>
      <c r="F9" s="37">
        <v>499677</v>
      </c>
      <c r="G9" s="37">
        <v>193693</v>
      </c>
      <c r="H9" s="37">
        <v>166725</v>
      </c>
      <c r="I9" s="37">
        <v>205159</v>
      </c>
      <c r="J9" s="38">
        <f>IFERROR(E9/G9,"")</f>
        <v>12.644081097406721</v>
      </c>
      <c r="K9" s="38">
        <f>IFERROR(E9/F9,"")</f>
        <v>4.9013062438335169</v>
      </c>
      <c r="L9" s="38">
        <f>IFERROR(D9/I9,"")</f>
        <v>12.069044009768033</v>
      </c>
      <c r="M9" s="38">
        <f>IFERROR(D9/P9,"")</f>
        <v>1.4692920487890269</v>
      </c>
      <c r="N9" s="40">
        <f>IFERROR(H9/F9,"")</f>
        <v>0.3336655479439718</v>
      </c>
      <c r="O9" s="40">
        <f>IFERROR(I9/P9,"")</f>
        <v>0.12174054942544422</v>
      </c>
      <c r="P9" s="37">
        <v>1685215</v>
      </c>
    </row>
    <row r="14" spans="2:17" ht="14" customHeight="1" x14ac:dyDescent="0.3">
      <c r="B14" s="3" t="s">
        <v>216</v>
      </c>
    </row>
    <row r="15" spans="2:17" ht="14" customHeight="1" x14ac:dyDescent="0.3">
      <c r="B15" s="4" t="s">
        <v>217</v>
      </c>
      <c r="D15" s="38">
        <f t="shared" ref="D15:I15" si="0">PERCENTILE(J6:J9,0.25)</f>
        <v>9.6282127197915557</v>
      </c>
      <c r="E15" s="38">
        <f t="shared" si="0"/>
        <v>2.2700896068355298</v>
      </c>
      <c r="F15" s="38">
        <f t="shared" si="0"/>
        <v>13.882450430812529</v>
      </c>
      <c r="G15" s="38">
        <f t="shared" si="0"/>
        <v>1.9300227851286178</v>
      </c>
      <c r="H15" s="40">
        <f t="shared" si="0"/>
        <v>0.16022172249536326</v>
      </c>
      <c r="I15" s="40">
        <f t="shared" si="0"/>
        <v>0.12123426521422118</v>
      </c>
    </row>
    <row r="16" spans="2:17" ht="14" customHeight="1" x14ac:dyDescent="0.3">
      <c r="B16" s="4" t="s">
        <v>218</v>
      </c>
      <c r="D16" s="38">
        <f t="shared" ref="D16:I16" si="1">MEDIAN(J6:J9)</f>
        <v>11.433453957103882</v>
      </c>
      <c r="E16" s="38">
        <f t="shared" si="1"/>
        <v>2.3801124915096956</v>
      </c>
      <c r="F16" s="38">
        <f t="shared" si="1"/>
        <v>15.94576307478591</v>
      </c>
      <c r="G16" s="38">
        <f t="shared" si="1"/>
        <v>2.1963494384612829</v>
      </c>
      <c r="H16" s="40">
        <f t="shared" si="1"/>
        <v>0.18444107701306453</v>
      </c>
      <c r="I16" s="40">
        <f t="shared" si="1"/>
        <v>0.13894901504053542</v>
      </c>
    </row>
    <row r="17" spans="2:9" ht="14" customHeight="1" x14ac:dyDescent="0.3">
      <c r="B17" s="4" t="s">
        <v>219</v>
      </c>
      <c r="D17" s="38">
        <f t="shared" ref="D17:I17" si="2">PERCENTILE(J6:J9,0.75)</f>
        <v>13.507527547787465</v>
      </c>
      <c r="E17" s="38">
        <f t="shared" si="2"/>
        <v>3.052202645452962</v>
      </c>
      <c r="F17" s="38">
        <f t="shared" si="2"/>
        <v>17.94439367707816</v>
      </c>
      <c r="G17" s="38">
        <f t="shared" si="2"/>
        <v>2.4955810179112041</v>
      </c>
      <c r="H17" s="40">
        <f t="shared" si="2"/>
        <v>0.22683274541722445</v>
      </c>
      <c r="I17" s="40">
        <f t="shared" si="2"/>
        <v>0.15696611305480757</v>
      </c>
    </row>
    <row r="19" spans="2:9" ht="14" customHeight="1" x14ac:dyDescent="0.3">
      <c r="B19" s="22" t="s">
        <v>220</v>
      </c>
      <c r="C19" s="23"/>
      <c r="D19" s="23"/>
      <c r="E19" s="23"/>
      <c r="F19" s="23"/>
      <c r="G19" s="23"/>
      <c r="H19" s="23"/>
      <c r="I19" s="23"/>
    </row>
    <row r="20" spans="2:9" ht="14" customHeight="1" x14ac:dyDescent="0.3">
      <c r="B20" s="3" t="s">
        <v>221</v>
      </c>
    </row>
    <row r="21" spans="2:9" ht="14" customHeight="1" x14ac:dyDescent="0.3">
      <c r="B21" s="4" t="s">
        <v>222</v>
      </c>
      <c r="C21" s="5">
        <v>1185578</v>
      </c>
    </row>
    <row r="22" spans="2:9" ht="14" customHeight="1" x14ac:dyDescent="0.3">
      <c r="B22" s="4" t="s">
        <v>223</v>
      </c>
      <c r="C22" s="5">
        <v>-152390</v>
      </c>
    </row>
    <row r="23" spans="2:9" ht="14" customHeight="1" x14ac:dyDescent="0.3">
      <c r="B23" s="4" t="s">
        <v>224</v>
      </c>
      <c r="C23" s="15">
        <v>1596751439</v>
      </c>
    </row>
    <row r="24" spans="2:9" ht="14" customHeight="1" x14ac:dyDescent="0.3">
      <c r="B24" s="4" t="s">
        <v>66</v>
      </c>
      <c r="C24" s="5">
        <v>4478986</v>
      </c>
    </row>
    <row r="26" spans="2:9" ht="14" customHeight="1" x14ac:dyDescent="0.3">
      <c r="B26" s="3" t="s">
        <v>225</v>
      </c>
    </row>
    <row r="27" spans="2:9" ht="14" customHeight="1" x14ac:dyDescent="0.3">
      <c r="B27" s="4" t="s">
        <v>226</v>
      </c>
      <c r="C27" s="24">
        <f>ROUND((C21*D16-C24)*1000000/C23,0)</f>
        <v>5684</v>
      </c>
    </row>
    <row r="28" spans="2:9" ht="14" customHeight="1" x14ac:dyDescent="0.3">
      <c r="B28" s="4" t="s">
        <v>227</v>
      </c>
      <c r="C28" s="41" t="s">
        <v>207</v>
      </c>
      <c r="D28" s="1" t="s">
        <v>228</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6.0639526754503889E-2</v>
      </c>
      <c r="E3" s="4" t="s">
        <v>231</v>
      </c>
      <c r="F3" s="16">
        <f>'DCF Model'!C13</f>
        <v>0.01</v>
      </c>
      <c r="H3" s="4" t="s">
        <v>232</v>
      </c>
      <c r="I3" s="14">
        <f>'DCF Model'!C14</f>
        <v>11.4</v>
      </c>
    </row>
    <row r="5" spans="2:9" ht="14" customHeight="1" x14ac:dyDescent="0.3">
      <c r="B5" s="3" t="s">
        <v>233</v>
      </c>
    </row>
    <row r="6" spans="2:9" ht="14" customHeight="1" x14ac:dyDescent="0.3">
      <c r="B6" s="42" t="s">
        <v>234</v>
      </c>
      <c r="C6" s="43">
        <f>$F$3-0.0075</f>
        <v>2.5000000000000005E-3</v>
      </c>
      <c r="D6" s="43">
        <f>$F$3-0.005</f>
        <v>5.0000000000000001E-3</v>
      </c>
      <c r="E6" s="43">
        <f>$F$3-0.0025</f>
        <v>7.4999999999999997E-3</v>
      </c>
      <c r="F6" s="43">
        <f>$F$3</f>
        <v>0.01</v>
      </c>
      <c r="G6" s="43">
        <f>$F$3+0.0025</f>
        <v>1.2500000000000001E-2</v>
      </c>
      <c r="H6" s="43">
        <f>$F$3+0.005</f>
        <v>1.4999999999999999E-2</v>
      </c>
      <c r="I6" s="43">
        <f>$F$3+0.0075</f>
        <v>1.7500000000000002E-2</v>
      </c>
    </row>
    <row r="7" spans="2:9" ht="13.5" customHeight="1" x14ac:dyDescent="0.25">
      <c r="B7" s="40">
        <f>$C$3-0.015</f>
        <v>4.563952675450389E-2</v>
      </c>
      <c r="C7" s="37">
        <f>IFERROR(ROUND(('DCF Model'!C45/(1+$B7)^('DCF Model'!C19+0)+'DCF Model'!D45/(1+$B7)^('DCF Model'!C19+1)+'DCF Model'!E45/(1+$B7)^('DCF Model'!C19+2)+'DCF Model'!F45/(1+$B7)^('DCF Model'!C19+3)+'DCF Model'!G45/(1+$B7)^('DCF Model'!C19+4)+'DCF Model'!G45*(1+C$6)/($B7-C$6)/(1+$B7)^('DCF Model'!C19+4)-'DCF Model'!C16)*1000000/'DCF Model'!C15,0),"")</f>
        <v>3220</v>
      </c>
      <c r="D7" s="37">
        <f>IFERROR(ROUND(('DCF Model'!C45/(1+$B7)^('DCF Model'!C19+0)+'DCF Model'!D45/(1+$B7)^('DCF Model'!C19+1)+'DCF Model'!E45/(1+$B7)^('DCF Model'!C19+2)+'DCF Model'!F45/(1+$B7)^('DCF Model'!C19+3)+'DCF Model'!G45/(1+$B7)^('DCF Model'!C19+4)+'DCF Model'!G45*(1+D$6)/($B7-D$6)/(1+$B7)^('DCF Model'!C19+4)-'DCF Model'!C16)*1000000/'DCF Model'!C15,0),"")</f>
        <v>3507</v>
      </c>
      <c r="E7" s="37">
        <f>IFERROR(ROUND(('DCF Model'!C45/(1+$B7)^('DCF Model'!C19+0)+'DCF Model'!D45/(1+$B7)^('DCF Model'!C19+1)+'DCF Model'!E45/(1+$B7)^('DCF Model'!C19+2)+'DCF Model'!F45/(1+$B7)^('DCF Model'!C19+3)+'DCF Model'!G45/(1+$B7)^('DCF Model'!C19+4)+'DCF Model'!G45*(1+E$6)/($B7-E$6)/(1+$B7)^('DCF Model'!C19+4)-'DCF Model'!C16)*1000000/'DCF Model'!C15,0),"")</f>
        <v>3832</v>
      </c>
      <c r="F7" s="37">
        <f>IFERROR(ROUND(('DCF Model'!C45/(1+$B7)^('DCF Model'!C19+0)+'DCF Model'!D45/(1+$B7)^('DCF Model'!C19+1)+'DCF Model'!E45/(1+$B7)^('DCF Model'!C19+2)+'DCF Model'!F45/(1+$B7)^('DCF Model'!C19+3)+'DCF Model'!G45/(1+$B7)^('DCF Model'!C19+4)+'DCF Model'!G45*(1+F$6)/($B7-F$6)/(1+$B7)^('DCF Model'!C19+4)-'DCF Model'!C16)*1000000/'DCF Model'!C15,0),"")</f>
        <v>4203</v>
      </c>
      <c r="G7" s="37">
        <f>IFERROR(ROUND(('DCF Model'!C45/(1+$B7)^('DCF Model'!C19+0)+'DCF Model'!D45/(1+$B7)^('DCF Model'!C19+1)+'DCF Model'!E45/(1+$B7)^('DCF Model'!C19+2)+'DCF Model'!F45/(1+$B7)^('DCF Model'!C19+3)+'DCF Model'!G45/(1+$B7)^('DCF Model'!C19+4)+'DCF Model'!G45*(1+G$6)/($B7-G$6)/(1+$B7)^('DCF Model'!C19+4)-'DCF Model'!C16)*1000000/'DCF Model'!C15,0),"")</f>
        <v>4629</v>
      </c>
      <c r="H7" s="37">
        <f>IFERROR(ROUND(('DCF Model'!C45/(1+$B7)^('DCF Model'!C19+0)+'DCF Model'!D45/(1+$B7)^('DCF Model'!C19+1)+'DCF Model'!E45/(1+$B7)^('DCF Model'!C19+2)+'DCF Model'!F45/(1+$B7)^('DCF Model'!C19+3)+'DCF Model'!G45/(1+$B7)^('DCF Model'!C19+4)+'DCF Model'!G45*(1+H$6)/($B7-H$6)/(1+$B7)^('DCF Model'!C19+4)-'DCF Model'!C16)*1000000/'DCF Model'!C15,0),"")</f>
        <v>5125</v>
      </c>
      <c r="I7" s="37">
        <f>IFERROR(ROUND(('DCF Model'!C45/(1+$B7)^('DCF Model'!C19+0)+'DCF Model'!D45/(1+$B7)^('DCF Model'!C19+1)+'DCF Model'!E45/(1+$B7)^('DCF Model'!C19+2)+'DCF Model'!F45/(1+$B7)^('DCF Model'!C19+3)+'DCF Model'!G45/(1+$B7)^('DCF Model'!C19+4)+'DCF Model'!G45*(1+I$6)/($B7-I$6)/(1+$B7)^('DCF Model'!C19+4)-'DCF Model'!C16)*1000000/'DCF Model'!C15,0),"")</f>
        <v>5709</v>
      </c>
    </row>
    <row r="8" spans="2:9" ht="13.5" customHeight="1" x14ac:dyDescent="0.25">
      <c r="B8" s="40">
        <f>$C$3-0.01</f>
        <v>5.0639526754503887E-2</v>
      </c>
      <c r="C8" s="37">
        <f>IFERROR(ROUND(('DCF Model'!C45/(1+$B8)^('DCF Model'!C19+0)+'DCF Model'!D45/(1+$B8)^('DCF Model'!C19+1)+'DCF Model'!E45/(1+$B8)^('DCF Model'!C19+2)+'DCF Model'!F45/(1+$B8)^('DCF Model'!C19+3)+'DCF Model'!G45/(1+$B8)^('DCF Model'!C19+4)+'DCF Model'!G45*(1+C$6)/($B8-C$6)/(1+$B8)^('DCF Model'!C19+4)-'DCF Model'!C16)*1000000/'DCF Model'!C15,0),"")</f>
        <v>2649</v>
      </c>
      <c r="D8" s="37">
        <f>IFERROR(ROUND(('DCF Model'!C45/(1+$B8)^('DCF Model'!C19+0)+'DCF Model'!D45/(1+$B8)^('DCF Model'!C19+1)+'DCF Model'!E45/(1+$B8)^('DCF Model'!C19+2)+'DCF Model'!F45/(1+$B8)^('DCF Model'!C19+3)+'DCF Model'!G45/(1+$B8)^('DCF Model'!C19+4)+'DCF Model'!G45*(1+D$6)/($B8-D$6)/(1+$B8)^('DCF Model'!C19+4)-'DCF Model'!C16)*1000000/'DCF Model'!C15,0),"")</f>
        <v>2874</v>
      </c>
      <c r="E8" s="37">
        <f>IFERROR(ROUND(('DCF Model'!C45/(1+$B8)^('DCF Model'!C19+0)+'DCF Model'!D45/(1+$B8)^('DCF Model'!C19+1)+'DCF Model'!E45/(1+$B8)^('DCF Model'!C19+2)+'DCF Model'!F45/(1+$B8)^('DCF Model'!C19+3)+'DCF Model'!G45/(1+$B8)^('DCF Model'!C19+4)+'DCF Model'!G45*(1+E$6)/($B8-E$6)/(1+$B8)^('DCF Model'!C19+4)-'DCF Model'!C16)*1000000/'DCF Model'!C15,0),"")</f>
        <v>3125</v>
      </c>
      <c r="F8" s="37">
        <f>IFERROR(ROUND(('DCF Model'!C45/(1+$B8)^('DCF Model'!C19+0)+'DCF Model'!D45/(1+$B8)^('DCF Model'!C19+1)+'DCF Model'!E45/(1+$B8)^('DCF Model'!C19+2)+'DCF Model'!F45/(1+$B8)^('DCF Model'!C19+3)+'DCF Model'!G45/(1+$B8)^('DCF Model'!C19+4)+'DCF Model'!G45*(1+F$6)/($B8-F$6)/(1+$B8)^('DCF Model'!C19+4)-'DCF Model'!C16)*1000000/'DCF Model'!C15,0),"")</f>
        <v>3407</v>
      </c>
      <c r="G8" s="37">
        <f>IFERROR(ROUND(('DCF Model'!C45/(1+$B8)^('DCF Model'!C19+0)+'DCF Model'!D45/(1+$B8)^('DCF Model'!C19+1)+'DCF Model'!E45/(1+$B8)^('DCF Model'!C19+2)+'DCF Model'!F45/(1+$B8)^('DCF Model'!C19+3)+'DCF Model'!G45/(1+$B8)^('DCF Model'!C19+4)+'DCF Model'!G45*(1+G$6)/($B8-G$6)/(1+$B8)^('DCF Model'!C19+4)-'DCF Model'!C16)*1000000/'DCF Model'!C15,0),"")</f>
        <v>3727</v>
      </c>
      <c r="H8" s="37">
        <f>IFERROR(ROUND(('DCF Model'!C45/(1+$B8)^('DCF Model'!C19+0)+'DCF Model'!D45/(1+$B8)^('DCF Model'!C19+1)+'DCF Model'!E45/(1+$B8)^('DCF Model'!C19+2)+'DCF Model'!F45/(1+$B8)^('DCF Model'!C19+3)+'DCF Model'!G45/(1+$B8)^('DCF Model'!C19+4)+'DCF Model'!G45*(1+H$6)/($B8-H$6)/(1+$B8)^('DCF Model'!C19+4)-'DCF Model'!C16)*1000000/'DCF Model'!C15,0),"")</f>
        <v>4091</v>
      </c>
      <c r="I8" s="37">
        <f>IFERROR(ROUND(('DCF Model'!C45/(1+$B8)^('DCF Model'!C19+0)+'DCF Model'!D45/(1+$B8)^('DCF Model'!C19+1)+'DCF Model'!E45/(1+$B8)^('DCF Model'!C19+2)+'DCF Model'!F45/(1+$B8)^('DCF Model'!C19+3)+'DCF Model'!G45/(1+$B8)^('DCF Model'!C19+4)+'DCF Model'!G45*(1+I$6)/($B8-I$6)/(1+$B8)^('DCF Model'!C19+4)-'DCF Model'!C16)*1000000/'DCF Model'!C15,0),"")</f>
        <v>4509</v>
      </c>
    </row>
    <row r="9" spans="2:9" ht="13.5" customHeight="1" x14ac:dyDescent="0.25">
      <c r="B9" s="40">
        <f>$C$3-0.005</f>
        <v>5.5639526754503892E-2</v>
      </c>
      <c r="C9" s="37">
        <f>IFERROR(ROUND(('DCF Model'!C45/(1+$B9)^('DCF Model'!C19+0)+'DCF Model'!D45/(1+$B9)^('DCF Model'!C19+1)+'DCF Model'!E45/(1+$B9)^('DCF Model'!C19+2)+'DCF Model'!F45/(1+$B9)^('DCF Model'!C19+3)+'DCF Model'!G45/(1+$B9)^('DCF Model'!C19+4)+'DCF Model'!G45*(1+C$6)/($B9-C$6)/(1+$B9)^('DCF Model'!C19+4)-'DCF Model'!C16)*1000000/'DCF Model'!C15,0),"")</f>
        <v>2185</v>
      </c>
      <c r="D9" s="37">
        <f>IFERROR(ROUND(('DCF Model'!C45/(1+$B9)^('DCF Model'!C19+0)+'DCF Model'!D45/(1+$B9)^('DCF Model'!C19+1)+'DCF Model'!E45/(1+$B9)^('DCF Model'!C19+2)+'DCF Model'!F45/(1+$B9)^('DCF Model'!C19+3)+'DCF Model'!G45/(1+$B9)^('DCF Model'!C19+4)+'DCF Model'!G45*(1+D$6)/($B9-D$6)/(1+$B9)^('DCF Model'!C19+4)-'DCF Model'!C16)*1000000/'DCF Model'!C15,0),"")</f>
        <v>2365</v>
      </c>
      <c r="E9" s="37">
        <f>IFERROR(ROUND(('DCF Model'!C45/(1+$B9)^('DCF Model'!C19+0)+'DCF Model'!D45/(1+$B9)^('DCF Model'!C19+1)+'DCF Model'!E45/(1+$B9)^('DCF Model'!C19+2)+'DCF Model'!F45/(1+$B9)^('DCF Model'!C19+3)+'DCF Model'!G45/(1+$B9)^('DCF Model'!C19+4)+'DCF Model'!G45*(1+E$6)/($B9-E$6)/(1+$B9)^('DCF Model'!C19+4)-'DCF Model'!C16)*1000000/'DCF Model'!C15,0),"")</f>
        <v>2565</v>
      </c>
      <c r="F9" s="37">
        <f>IFERROR(ROUND(('DCF Model'!C45/(1+$B9)^('DCF Model'!C19+0)+'DCF Model'!D45/(1+$B9)^('DCF Model'!C19+1)+'DCF Model'!E45/(1+$B9)^('DCF Model'!C19+2)+'DCF Model'!F45/(1+$B9)^('DCF Model'!C19+3)+'DCF Model'!G45/(1+$B9)^('DCF Model'!C19+4)+'DCF Model'!G45*(1+F$6)/($B9-F$6)/(1+$B9)^('DCF Model'!C19+4)-'DCF Model'!C16)*1000000/'DCF Model'!C15,0),"")</f>
        <v>2786</v>
      </c>
      <c r="G9" s="37">
        <f>IFERROR(ROUND(('DCF Model'!C45/(1+$B9)^('DCF Model'!C19+0)+'DCF Model'!D45/(1+$B9)^('DCF Model'!C19+1)+'DCF Model'!E45/(1+$B9)^('DCF Model'!C19+2)+'DCF Model'!F45/(1+$B9)^('DCF Model'!C19+3)+'DCF Model'!G45/(1+$B9)^('DCF Model'!C19+4)+'DCF Model'!G45*(1+G$6)/($B9-G$6)/(1+$B9)^('DCF Model'!C19+4)-'DCF Model'!C16)*1000000/'DCF Model'!C15,0),"")</f>
        <v>3033</v>
      </c>
      <c r="H9" s="37">
        <f>IFERROR(ROUND(('DCF Model'!C45/(1+$B9)^('DCF Model'!C19+0)+'DCF Model'!D45/(1+$B9)^('DCF Model'!C19+1)+'DCF Model'!E45/(1+$B9)^('DCF Model'!C19+2)+'DCF Model'!F45/(1+$B9)^('DCF Model'!C19+3)+'DCF Model'!G45/(1+$B9)^('DCF Model'!C19+4)+'DCF Model'!G45*(1+H$6)/($B9-H$6)/(1+$B9)^('DCF Model'!C19+4)-'DCF Model'!C16)*1000000/'DCF Model'!C15,0),"")</f>
        <v>3310</v>
      </c>
      <c r="I9" s="37">
        <f>IFERROR(ROUND(('DCF Model'!C45/(1+$B9)^('DCF Model'!C19+0)+'DCF Model'!D45/(1+$B9)^('DCF Model'!C19+1)+'DCF Model'!E45/(1+$B9)^('DCF Model'!C19+2)+'DCF Model'!F45/(1+$B9)^('DCF Model'!C19+3)+'DCF Model'!G45/(1+$B9)^('DCF Model'!C19+4)+'DCF Model'!G45*(1+I$6)/($B9-I$6)/(1+$B9)^('DCF Model'!C19+4)-'DCF Model'!C16)*1000000/'DCF Model'!C15,0),"")</f>
        <v>3623</v>
      </c>
    </row>
    <row r="10" spans="2:9" ht="13.5" customHeight="1" x14ac:dyDescent="0.25">
      <c r="B10" s="40">
        <f>$C$3</f>
        <v>6.0639526754503889E-2</v>
      </c>
      <c r="C10" s="37">
        <f>IFERROR(ROUND(('DCF Model'!C45/(1+$B10)^('DCF Model'!C19+0)+'DCF Model'!D45/(1+$B10)^('DCF Model'!C19+1)+'DCF Model'!E45/(1+$B10)^('DCF Model'!C19+2)+'DCF Model'!F45/(1+$B10)^('DCF Model'!C19+3)+'DCF Model'!G45/(1+$B10)^('DCF Model'!C19+4)+'DCF Model'!G45*(1+C$6)/($B10-C$6)/(1+$B10)^('DCF Model'!C19+4)-'DCF Model'!C16)*1000000/'DCF Model'!C15,0),"")</f>
        <v>1800</v>
      </c>
      <c r="D10" s="37">
        <f>IFERROR(ROUND(('DCF Model'!C45/(1+$B10)^('DCF Model'!C19+0)+'DCF Model'!D45/(1+$B10)^('DCF Model'!C19+1)+'DCF Model'!E45/(1+$B10)^('DCF Model'!C19+2)+'DCF Model'!F45/(1+$B10)^('DCF Model'!C19+3)+'DCF Model'!G45/(1+$B10)^('DCF Model'!C19+4)+'DCF Model'!G45*(1+D$6)/($B10-D$6)/(1+$B10)^('DCF Model'!C19+4)-'DCF Model'!C16)*1000000/'DCF Model'!C15,0),"")</f>
        <v>1947</v>
      </c>
      <c r="E10" s="37">
        <f>IFERROR(ROUND(('DCF Model'!C45/(1+$B10)^('DCF Model'!C19+0)+'DCF Model'!D45/(1+$B10)^('DCF Model'!C19+1)+'DCF Model'!E45/(1+$B10)^('DCF Model'!C19+2)+'DCF Model'!F45/(1+$B10)^('DCF Model'!C19+3)+'DCF Model'!G45/(1+$B10)^('DCF Model'!C19+4)+'DCF Model'!G45*(1+E$6)/($B10-E$6)/(1+$B10)^('DCF Model'!C19+4)-'DCF Model'!C16)*1000000/'DCF Model'!C15,0),"")</f>
        <v>2109</v>
      </c>
      <c r="F10" s="37">
        <f>IFERROR(ROUND(('DCF Model'!C45/(1+$B10)^('DCF Model'!C19+0)+'DCF Model'!D45/(1+$B10)^('DCF Model'!C19+1)+'DCF Model'!E45/(1+$B10)^('DCF Model'!C19+2)+'DCF Model'!F45/(1+$B10)^('DCF Model'!C19+3)+'DCF Model'!G45/(1+$B10)^('DCF Model'!C19+4)+'DCF Model'!G45*(1+F$6)/($B10-F$6)/(1+$B10)^('DCF Model'!C19+4)-'DCF Model'!C16)*1000000/'DCF Model'!C15,0),"")</f>
        <v>2286</v>
      </c>
      <c r="G10" s="37">
        <f>IFERROR(ROUND(('DCF Model'!C45/(1+$B10)^('DCF Model'!C19+0)+'DCF Model'!D45/(1+$B10)^('DCF Model'!C19+1)+'DCF Model'!E45/(1+$B10)^('DCF Model'!C19+2)+'DCF Model'!F45/(1+$B10)^('DCF Model'!C19+3)+'DCF Model'!G45/(1+$B10)^('DCF Model'!C19+4)+'DCF Model'!G45*(1+G$6)/($B10-G$6)/(1+$B10)^('DCF Model'!C19+4)-'DCF Model'!C16)*1000000/'DCF Model'!C15,0),"")</f>
        <v>2482</v>
      </c>
      <c r="H10" s="37">
        <f>IFERROR(ROUND(('DCF Model'!C45/(1+$B10)^('DCF Model'!C19+0)+'DCF Model'!D45/(1+$B10)^('DCF Model'!C19+1)+'DCF Model'!E45/(1+$B10)^('DCF Model'!C19+2)+'DCF Model'!F45/(1+$B10)^('DCF Model'!C19+3)+'DCF Model'!G45/(1+$B10)^('DCF Model'!C19+4)+'DCF Model'!G45*(1+H$6)/($B10-H$6)/(1+$B10)^('DCF Model'!C19+4)-'DCF Model'!C16)*1000000/'DCF Model'!C15,0),"")</f>
        <v>2699</v>
      </c>
      <c r="I10" s="37">
        <f>IFERROR(ROUND(('DCF Model'!C45/(1+$B10)^('DCF Model'!C19+0)+'DCF Model'!D45/(1+$B10)^('DCF Model'!C19+1)+'DCF Model'!E45/(1+$B10)^('DCF Model'!C19+2)+'DCF Model'!F45/(1+$B10)^('DCF Model'!C19+3)+'DCF Model'!G45/(1+$B10)^('DCF Model'!C19+4)+'DCF Model'!G45*(1+I$6)/($B10-I$6)/(1+$B10)^('DCF Model'!C19+4)-'DCF Model'!C16)*1000000/'DCF Model'!C15,0),"")</f>
        <v>2942</v>
      </c>
    </row>
    <row r="11" spans="2:9" ht="13.5" customHeight="1" x14ac:dyDescent="0.25">
      <c r="B11" s="40">
        <f>$C$3+0.005</f>
        <v>6.5639526754503894E-2</v>
      </c>
      <c r="C11" s="37">
        <f>IFERROR(ROUND(('DCF Model'!C45/(1+$B11)^('DCF Model'!C19+0)+'DCF Model'!D45/(1+$B11)^('DCF Model'!C19+1)+'DCF Model'!E45/(1+$B11)^('DCF Model'!C19+2)+'DCF Model'!F45/(1+$B11)^('DCF Model'!C19+3)+'DCF Model'!G45/(1+$B11)^('DCF Model'!C19+4)+'DCF Model'!G45*(1+C$6)/($B11-C$6)/(1+$B11)^('DCF Model'!C19+4)-'DCF Model'!C16)*1000000/'DCF Model'!C15,0),"")</f>
        <v>1475</v>
      </c>
      <c r="D11" s="37">
        <f>IFERROR(ROUND(('DCF Model'!C45/(1+$B11)^('DCF Model'!C19+0)+'DCF Model'!D45/(1+$B11)^('DCF Model'!C19+1)+'DCF Model'!E45/(1+$B11)^('DCF Model'!C19+2)+'DCF Model'!F45/(1+$B11)^('DCF Model'!C19+3)+'DCF Model'!G45/(1+$B11)^('DCF Model'!C19+4)+'DCF Model'!G45*(1+D$6)/($B11-D$6)/(1+$B11)^('DCF Model'!C19+4)-'DCF Model'!C16)*1000000/'DCF Model'!C15,0),"")</f>
        <v>1598</v>
      </c>
      <c r="E11" s="37">
        <f>IFERROR(ROUND(('DCF Model'!C45/(1+$B11)^('DCF Model'!C19+0)+'DCF Model'!D45/(1+$B11)^('DCF Model'!C19+1)+'DCF Model'!E45/(1+$B11)^('DCF Model'!C19+2)+'DCF Model'!F45/(1+$B11)^('DCF Model'!C19+3)+'DCF Model'!G45/(1+$B11)^('DCF Model'!C19+4)+'DCF Model'!G45*(1+E$6)/($B11-E$6)/(1+$B11)^('DCF Model'!C19+4)-'DCF Model'!C16)*1000000/'DCF Model'!C15,0),"")</f>
        <v>1731</v>
      </c>
      <c r="F11" s="37">
        <f>IFERROR(ROUND(('DCF Model'!C45/(1+$B11)^('DCF Model'!C19+0)+'DCF Model'!D45/(1+$B11)^('DCF Model'!C19+1)+'DCF Model'!E45/(1+$B11)^('DCF Model'!C19+2)+'DCF Model'!F45/(1+$B11)^('DCF Model'!C19+3)+'DCF Model'!G45/(1+$B11)^('DCF Model'!C19+4)+'DCF Model'!G45*(1+F$6)/($B11-F$6)/(1+$B11)^('DCF Model'!C19+4)-'DCF Model'!C16)*1000000/'DCF Model'!C15,0),"")</f>
        <v>1876</v>
      </c>
      <c r="G11" s="37">
        <f>IFERROR(ROUND(('DCF Model'!C45/(1+$B11)^('DCF Model'!C19+0)+'DCF Model'!D45/(1+$B11)^('DCF Model'!C19+1)+'DCF Model'!E45/(1+$B11)^('DCF Model'!C19+2)+'DCF Model'!F45/(1+$B11)^('DCF Model'!C19+3)+'DCF Model'!G45/(1+$B11)^('DCF Model'!C19+4)+'DCF Model'!G45*(1+G$6)/($B11-G$6)/(1+$B11)^('DCF Model'!C19+4)-'DCF Model'!C16)*1000000/'DCF Model'!C15,0),"")</f>
        <v>2035</v>
      </c>
      <c r="H11" s="37">
        <f>IFERROR(ROUND(('DCF Model'!C45/(1+$B11)^('DCF Model'!C19+0)+'DCF Model'!D45/(1+$B11)^('DCF Model'!C19+1)+'DCF Model'!E45/(1+$B11)^('DCF Model'!C19+2)+'DCF Model'!F45/(1+$B11)^('DCF Model'!C19+3)+'DCF Model'!G45/(1+$B11)^('DCF Model'!C19+4)+'DCF Model'!G45*(1+H$6)/($B11-H$6)/(1+$B11)^('DCF Model'!C19+4)-'DCF Model'!C16)*1000000/'DCF Model'!C15,0),"")</f>
        <v>2209</v>
      </c>
      <c r="I11" s="37">
        <f>IFERROR(ROUND(('DCF Model'!C45/(1+$B11)^('DCF Model'!C19+0)+'DCF Model'!D45/(1+$B11)^('DCF Model'!C19+1)+'DCF Model'!E45/(1+$B11)^('DCF Model'!C19+2)+'DCF Model'!F45/(1+$B11)^('DCF Model'!C19+3)+'DCF Model'!G45/(1+$B11)^('DCF Model'!C19+4)+'DCF Model'!G45*(1+I$6)/($B11-I$6)/(1+$B11)^('DCF Model'!C19+4)-'DCF Model'!C16)*1000000/'DCF Model'!C15,0),"")</f>
        <v>2401</v>
      </c>
    </row>
    <row r="12" spans="2:9" ht="13.5" customHeight="1" x14ac:dyDescent="0.25">
      <c r="B12" s="40">
        <f>$C$3+0.01</f>
        <v>7.0639526754503884E-2</v>
      </c>
      <c r="C12" s="37">
        <f>IFERROR(ROUND(('DCF Model'!C45/(1+$B12)^('DCF Model'!C19+0)+'DCF Model'!D45/(1+$B12)^('DCF Model'!C19+1)+'DCF Model'!E45/(1+$B12)^('DCF Model'!C19+2)+'DCF Model'!F45/(1+$B12)^('DCF Model'!C19+3)+'DCF Model'!G45/(1+$B12)^('DCF Model'!C19+4)+'DCF Model'!G45*(1+C$6)/($B12-C$6)/(1+$B12)^('DCF Model'!C19+4)-'DCF Model'!C16)*1000000/'DCF Model'!C15,0),"")</f>
        <v>1198</v>
      </c>
      <c r="D12" s="37">
        <f>IFERROR(ROUND(('DCF Model'!C45/(1+$B12)^('DCF Model'!C19+0)+'DCF Model'!D45/(1+$B12)^('DCF Model'!C19+1)+'DCF Model'!E45/(1+$B12)^('DCF Model'!C19+2)+'DCF Model'!F45/(1+$B12)^('DCF Model'!C19+3)+'DCF Model'!G45/(1+$B12)^('DCF Model'!C19+4)+'DCF Model'!G45*(1+D$6)/($B12-D$6)/(1+$B12)^('DCF Model'!C19+4)-'DCF Model'!C16)*1000000/'DCF Model'!C15,0),"")</f>
        <v>1301</v>
      </c>
      <c r="E12" s="37">
        <f>IFERROR(ROUND(('DCF Model'!C45/(1+$B12)^('DCF Model'!C19+0)+'DCF Model'!D45/(1+$B12)^('DCF Model'!C19+1)+'DCF Model'!E45/(1+$B12)^('DCF Model'!C19+2)+'DCF Model'!F45/(1+$B12)^('DCF Model'!C19+3)+'DCF Model'!G45/(1+$B12)^('DCF Model'!C19+4)+'DCF Model'!G45*(1+E$6)/($B12-E$6)/(1+$B12)^('DCF Model'!C19+4)-'DCF Model'!C16)*1000000/'DCF Model'!C15,0),"")</f>
        <v>1412</v>
      </c>
      <c r="F12" s="37">
        <f>IFERROR(ROUND(('DCF Model'!C45/(1+$B12)^('DCF Model'!C19+0)+'DCF Model'!D45/(1+$B12)^('DCF Model'!C19+1)+'DCF Model'!E45/(1+$B12)^('DCF Model'!C19+2)+'DCF Model'!F45/(1+$B12)^('DCF Model'!C19+3)+'DCF Model'!G45/(1+$B12)^('DCF Model'!C19+4)+'DCF Model'!G45*(1+F$6)/($B12-F$6)/(1+$B12)^('DCF Model'!C19+4)-'DCF Model'!C16)*1000000/'DCF Model'!C15,0),"")</f>
        <v>1533</v>
      </c>
      <c r="G12" s="37">
        <f>IFERROR(ROUND(('DCF Model'!C45/(1+$B12)^('DCF Model'!C19+0)+'DCF Model'!D45/(1+$B12)^('DCF Model'!C19+1)+'DCF Model'!E45/(1+$B12)^('DCF Model'!C19+2)+'DCF Model'!F45/(1+$B12)^('DCF Model'!C19+3)+'DCF Model'!G45/(1+$B12)^('DCF Model'!C19+4)+'DCF Model'!G45*(1+G$6)/($B12-G$6)/(1+$B12)^('DCF Model'!C19+4)-'DCF Model'!C16)*1000000/'DCF Model'!C15,0),"")</f>
        <v>1663</v>
      </c>
      <c r="H12" s="37">
        <f>IFERROR(ROUND(('DCF Model'!C45/(1+$B12)^('DCF Model'!C19+0)+'DCF Model'!D45/(1+$B12)^('DCF Model'!C19+1)+'DCF Model'!E45/(1+$B12)^('DCF Model'!C19+2)+'DCF Model'!F45/(1+$B12)^('DCF Model'!C19+3)+'DCF Model'!G45/(1+$B12)^('DCF Model'!C19+4)+'DCF Model'!G45*(1+H$6)/($B12-H$6)/(1+$B12)^('DCF Model'!C19+4)-'DCF Model'!C16)*1000000/'DCF Model'!C15,0),"")</f>
        <v>1806</v>
      </c>
      <c r="I12" s="37">
        <f>IFERROR(ROUND(('DCF Model'!C45/(1+$B12)^('DCF Model'!C19+0)+'DCF Model'!D45/(1+$B12)^('DCF Model'!C19+1)+'DCF Model'!E45/(1+$B12)^('DCF Model'!C19+2)+'DCF Model'!F45/(1+$B12)^('DCF Model'!C19+3)+'DCF Model'!G45/(1+$B12)^('DCF Model'!C19+4)+'DCF Model'!G45*(1+I$6)/($B12-I$6)/(1+$B12)^('DCF Model'!C19+4)-'DCF Model'!C16)*1000000/'DCF Model'!C15,0),"")</f>
        <v>1962</v>
      </c>
    </row>
    <row r="13" spans="2:9" ht="13.5" customHeight="1" x14ac:dyDescent="0.25">
      <c r="B13" s="40">
        <f>$C$3+0.015</f>
        <v>7.5639526754503889E-2</v>
      </c>
      <c r="C13" s="37">
        <f>IFERROR(ROUND(('DCF Model'!C45/(1+$B13)^('DCF Model'!C19+0)+'DCF Model'!D45/(1+$B13)^('DCF Model'!C19+1)+'DCF Model'!E45/(1+$B13)^('DCF Model'!C19+2)+'DCF Model'!F45/(1+$B13)^('DCF Model'!C19+3)+'DCF Model'!G45/(1+$B13)^('DCF Model'!C19+4)+'DCF Model'!G45*(1+C$6)/($B13-C$6)/(1+$B13)^('DCF Model'!C19+4)-'DCF Model'!C16)*1000000/'DCF Model'!C15,0),"")</f>
        <v>958</v>
      </c>
      <c r="D13" s="37">
        <f>IFERROR(ROUND(('DCF Model'!C45/(1+$B13)^('DCF Model'!C19+0)+'DCF Model'!D45/(1+$B13)^('DCF Model'!C19+1)+'DCF Model'!E45/(1+$B13)^('DCF Model'!C19+2)+'DCF Model'!F45/(1+$B13)^('DCF Model'!C19+3)+'DCF Model'!G45/(1+$B13)^('DCF Model'!C19+4)+'DCF Model'!G45*(1+D$6)/($B13-D$6)/(1+$B13)^('DCF Model'!C19+4)-'DCF Model'!C16)*1000000/'DCF Model'!C15,0),"")</f>
        <v>1046</v>
      </c>
      <c r="E13" s="37">
        <f>IFERROR(ROUND(('DCF Model'!C45/(1+$B13)^('DCF Model'!C19+0)+'DCF Model'!D45/(1+$B13)^('DCF Model'!C19+1)+'DCF Model'!E45/(1+$B13)^('DCF Model'!C19+2)+'DCF Model'!F45/(1+$B13)^('DCF Model'!C19+3)+'DCF Model'!G45/(1+$B13)^('DCF Model'!C19+4)+'DCF Model'!G45*(1+E$6)/($B13-E$6)/(1+$B13)^('DCF Model'!C19+4)-'DCF Model'!C16)*1000000/'DCF Model'!C15,0),"")</f>
        <v>1140</v>
      </c>
      <c r="F13" s="37">
        <f>IFERROR(ROUND(('DCF Model'!C45/(1+$B13)^('DCF Model'!C19+0)+'DCF Model'!D45/(1+$B13)^('DCF Model'!C19+1)+'DCF Model'!E45/(1+$B13)^('DCF Model'!C19+2)+'DCF Model'!F45/(1+$B13)^('DCF Model'!C19+3)+'DCF Model'!G45/(1+$B13)^('DCF Model'!C19+4)+'DCF Model'!G45*(1+F$6)/($B13-F$6)/(1+$B13)^('DCF Model'!C19+4)-'DCF Model'!C16)*1000000/'DCF Model'!C15,0),"")</f>
        <v>1241</v>
      </c>
      <c r="G13" s="37">
        <f>IFERROR(ROUND(('DCF Model'!C45/(1+$B13)^('DCF Model'!C19+0)+'DCF Model'!D45/(1+$B13)^('DCF Model'!C19+1)+'DCF Model'!E45/(1+$B13)^('DCF Model'!C19+2)+'DCF Model'!F45/(1+$B13)^('DCF Model'!C19+3)+'DCF Model'!G45/(1+$B13)^('DCF Model'!C19+4)+'DCF Model'!G45*(1+G$6)/($B13-G$6)/(1+$B13)^('DCF Model'!C19+4)-'DCF Model'!C16)*1000000/'DCF Model'!C15,0),"")</f>
        <v>1351</v>
      </c>
      <c r="H13" s="37">
        <f>IFERROR(ROUND(('DCF Model'!C45/(1+$B13)^('DCF Model'!C19+0)+'DCF Model'!D45/(1+$B13)^('DCF Model'!C19+1)+'DCF Model'!E45/(1+$B13)^('DCF Model'!C19+2)+'DCF Model'!F45/(1+$B13)^('DCF Model'!C19+3)+'DCF Model'!G45/(1+$B13)^('DCF Model'!C19+4)+'DCF Model'!G45*(1+H$6)/($B13-H$6)/(1+$B13)^('DCF Model'!C19+4)-'DCF Model'!C16)*1000000/'DCF Model'!C15,0),"")</f>
        <v>1469</v>
      </c>
      <c r="I13" s="37">
        <f>IFERROR(ROUND(('DCF Model'!C45/(1+$B13)^('DCF Model'!C19+0)+'DCF Model'!D45/(1+$B13)^('DCF Model'!C19+1)+'DCF Model'!E45/(1+$B13)^('DCF Model'!C19+2)+'DCF Model'!F45/(1+$B13)^('DCF Model'!C19+3)+'DCF Model'!G45/(1+$B13)^('DCF Model'!C19+4)+'DCF Model'!G45*(1+I$6)/($B13-I$6)/(1+$B13)^('DCF Model'!C19+4)-'DCF Model'!C16)*1000000/'DCF Model'!C15,0),"")</f>
        <v>1597</v>
      </c>
    </row>
    <row r="16" spans="2:9" ht="14" customHeight="1" x14ac:dyDescent="0.3">
      <c r="B16" s="3" t="s">
        <v>235</v>
      </c>
    </row>
    <row r="17" spans="2:9" ht="14" customHeight="1" x14ac:dyDescent="0.3">
      <c r="B17" s="42" t="s">
        <v>236</v>
      </c>
      <c r="C17" s="44">
        <f>$I$3-3</f>
        <v>8.4</v>
      </c>
      <c r="D17" s="44">
        <f>$I$3-2</f>
        <v>9.4</v>
      </c>
      <c r="E17" s="44">
        <f>$I$3-1</f>
        <v>10.4</v>
      </c>
      <c r="F17" s="44">
        <f>$I$3</f>
        <v>11.4</v>
      </c>
      <c r="G17" s="44">
        <f>$I$3+1</f>
        <v>12.4</v>
      </c>
      <c r="H17" s="44">
        <f>$I$3+2</f>
        <v>13.4</v>
      </c>
      <c r="I17" s="44">
        <f>$I$3+3</f>
        <v>14.4</v>
      </c>
    </row>
    <row r="18" spans="2:9" ht="13.5" customHeight="1" x14ac:dyDescent="0.25">
      <c r="B18" s="40">
        <f>$C$3-0.015</f>
        <v>4.563952675450389E-2</v>
      </c>
      <c r="C18" s="37">
        <f>IFERROR(ROUND(('DCF Model'!C45/(1+$B18)^('DCF Model'!C19+0)+'DCF Model'!D45/(1+$B18)^('DCF Model'!C19+1)+'DCF Model'!E45/(1+$B18)^('DCF Model'!C19+2)+'DCF Model'!F45/(1+$B18)^('DCF Model'!C19+3)+'DCF Model'!G45/(1+$B18)^('DCF Model'!C19+4)+('DCF Model'!G39+'DCF Model'!G42)*C$17/(1+$B18)^('DCF Model'!C19+4)-'DCF Model'!C16)*1000000/'DCF Model'!C15,0),"")</f>
        <v>3007</v>
      </c>
      <c r="D18" s="37">
        <f>IFERROR(ROUND(('DCF Model'!C45/(1+$B18)^('DCF Model'!C19+0)+'DCF Model'!D45/(1+$B18)^('DCF Model'!C19+1)+'DCF Model'!E45/(1+$B18)^('DCF Model'!C19+2)+'DCF Model'!F45/(1+$B18)^('DCF Model'!C19+3)+'DCF Model'!G45/(1+$B18)^('DCF Model'!C19+4)+('DCF Model'!G39+'DCF Model'!G42)*D$17/(1+$B18)^('DCF Model'!C19+4)-'DCF Model'!C16)*1000000/'DCF Model'!C15,0),"")</f>
        <v>3515</v>
      </c>
      <c r="E18" s="37">
        <f>IFERROR(ROUND(('DCF Model'!C45/(1+$B18)^('DCF Model'!C19+0)+'DCF Model'!D45/(1+$B18)^('DCF Model'!C19+1)+'DCF Model'!E45/(1+$B18)^('DCF Model'!C19+2)+'DCF Model'!F45/(1+$B18)^('DCF Model'!C19+3)+'DCF Model'!G45/(1+$B18)^('DCF Model'!C19+4)+('DCF Model'!G39+'DCF Model'!G42)*E$17/(1+$B18)^('DCF Model'!C19+4)-'DCF Model'!C16)*1000000/'DCF Model'!C15,0),"")</f>
        <v>4022</v>
      </c>
      <c r="F18" s="37">
        <f>IFERROR(ROUND(('DCF Model'!C45/(1+$B18)^('DCF Model'!C19+0)+'DCF Model'!D45/(1+$B18)^('DCF Model'!C19+1)+'DCF Model'!E45/(1+$B18)^('DCF Model'!C19+2)+'DCF Model'!F45/(1+$B18)^('DCF Model'!C19+3)+'DCF Model'!G45/(1+$B18)^('DCF Model'!C19+4)+('DCF Model'!G39+'DCF Model'!G42)*F$17/(1+$B18)^('DCF Model'!C19+4)-'DCF Model'!C16)*1000000/'DCF Model'!C15,0),"")</f>
        <v>4530</v>
      </c>
      <c r="G18" s="37">
        <f>IFERROR(ROUND(('DCF Model'!C45/(1+$B18)^('DCF Model'!C19+0)+'DCF Model'!D45/(1+$B18)^('DCF Model'!C19+1)+'DCF Model'!E45/(1+$B18)^('DCF Model'!C19+2)+'DCF Model'!F45/(1+$B18)^('DCF Model'!C19+3)+'DCF Model'!G45/(1+$B18)^('DCF Model'!C19+4)+('DCF Model'!G39+'DCF Model'!G42)*G$17/(1+$B18)^('DCF Model'!C19+4)-'DCF Model'!C16)*1000000/'DCF Model'!C15,0),"")</f>
        <v>5037</v>
      </c>
      <c r="H18" s="37">
        <f>IFERROR(ROUND(('DCF Model'!C45/(1+$B18)^('DCF Model'!C19+0)+'DCF Model'!D45/(1+$B18)^('DCF Model'!C19+1)+'DCF Model'!E45/(1+$B18)^('DCF Model'!C19+2)+'DCF Model'!F45/(1+$B18)^('DCF Model'!C19+3)+'DCF Model'!G45/(1+$B18)^('DCF Model'!C19+4)+('DCF Model'!G39+'DCF Model'!G42)*H$17/(1+$B18)^('DCF Model'!C19+4)-'DCF Model'!C16)*1000000/'DCF Model'!C15,0),"")</f>
        <v>5545</v>
      </c>
      <c r="I18" s="37">
        <f>IFERROR(ROUND(('DCF Model'!C45/(1+$B18)^('DCF Model'!C19+0)+'DCF Model'!D45/(1+$B18)^('DCF Model'!C19+1)+'DCF Model'!E45/(1+$B18)^('DCF Model'!C19+2)+'DCF Model'!F45/(1+$B18)^('DCF Model'!C19+3)+'DCF Model'!G45/(1+$B18)^('DCF Model'!C19+4)+('DCF Model'!G39+'DCF Model'!G42)*I$17/(1+$B18)^('DCF Model'!C19+4)-'DCF Model'!C16)*1000000/'DCF Model'!C15,0),"")</f>
        <v>6053</v>
      </c>
    </row>
    <row r="19" spans="2:9" ht="13.5" customHeight="1" x14ac:dyDescent="0.25">
      <c r="B19" s="40">
        <f>$C$3-0.01</f>
        <v>5.0639526754503887E-2</v>
      </c>
      <c r="C19" s="37">
        <f>IFERROR(ROUND(('DCF Model'!C45/(1+$B19)^('DCF Model'!C19+0)+'DCF Model'!D45/(1+$B19)^('DCF Model'!C19+1)+'DCF Model'!E45/(1+$B19)^('DCF Model'!C19+2)+'DCF Model'!F45/(1+$B19)^('DCF Model'!C19+3)+'DCF Model'!G45/(1+$B19)^('DCF Model'!C19+4)+('DCF Model'!G39+'DCF Model'!G42)*C$17/(1+$B19)^('DCF Model'!C19+4)-'DCF Model'!C16)*1000000/'DCF Model'!C15,0),"")</f>
        <v>2895</v>
      </c>
      <c r="D19" s="37">
        <f>IFERROR(ROUND(('DCF Model'!C45/(1+$B19)^('DCF Model'!C19+0)+'DCF Model'!D45/(1+$B19)^('DCF Model'!C19+1)+'DCF Model'!E45/(1+$B19)^('DCF Model'!C19+2)+'DCF Model'!F45/(1+$B19)^('DCF Model'!C19+3)+'DCF Model'!G45/(1+$B19)^('DCF Model'!C19+4)+('DCF Model'!G39+'DCF Model'!G42)*D$17/(1+$B19)^('DCF Model'!C19+4)-'DCF Model'!C16)*1000000/'DCF Model'!C15,0),"")</f>
        <v>3391</v>
      </c>
      <c r="E19" s="37">
        <f>IFERROR(ROUND(('DCF Model'!C45/(1+$B19)^('DCF Model'!C19+0)+'DCF Model'!D45/(1+$B19)^('DCF Model'!C19+1)+'DCF Model'!E45/(1+$B19)^('DCF Model'!C19+2)+'DCF Model'!F45/(1+$B19)^('DCF Model'!C19+3)+'DCF Model'!G45/(1+$B19)^('DCF Model'!C19+4)+('DCF Model'!G39+'DCF Model'!G42)*E$17/(1+$B19)^('DCF Model'!C19+4)-'DCF Model'!C16)*1000000/'DCF Model'!C15,0),"")</f>
        <v>3888</v>
      </c>
      <c r="F19" s="37">
        <f>IFERROR(ROUND(('DCF Model'!C45/(1+$B19)^('DCF Model'!C19+0)+'DCF Model'!D45/(1+$B19)^('DCF Model'!C19+1)+'DCF Model'!E45/(1+$B19)^('DCF Model'!C19+2)+'DCF Model'!F45/(1+$B19)^('DCF Model'!C19+3)+'DCF Model'!G45/(1+$B19)^('DCF Model'!C19+4)+('DCF Model'!G39+'DCF Model'!G42)*F$17/(1+$B19)^('DCF Model'!C19+4)-'DCF Model'!C16)*1000000/'DCF Model'!C15,0),"")</f>
        <v>4384</v>
      </c>
      <c r="G19" s="37">
        <f>IFERROR(ROUND(('DCF Model'!C45/(1+$B19)^('DCF Model'!C19+0)+'DCF Model'!D45/(1+$B19)^('DCF Model'!C19+1)+'DCF Model'!E45/(1+$B19)^('DCF Model'!C19+2)+'DCF Model'!F45/(1+$B19)^('DCF Model'!C19+3)+'DCF Model'!G45/(1+$B19)^('DCF Model'!C19+4)+('DCF Model'!G39+'DCF Model'!G42)*G$17/(1+$B19)^('DCF Model'!C19+4)-'DCF Model'!C16)*1000000/'DCF Model'!C15,0),"")</f>
        <v>4880</v>
      </c>
      <c r="H19" s="37">
        <f>IFERROR(ROUND(('DCF Model'!C45/(1+$B19)^('DCF Model'!C19+0)+'DCF Model'!D45/(1+$B19)^('DCF Model'!C19+1)+'DCF Model'!E45/(1+$B19)^('DCF Model'!C19+2)+'DCF Model'!F45/(1+$B19)^('DCF Model'!C19+3)+'DCF Model'!G45/(1+$B19)^('DCF Model'!C19+4)+('DCF Model'!G39+'DCF Model'!G42)*H$17/(1+$B19)^('DCF Model'!C19+4)-'DCF Model'!C16)*1000000/'DCF Model'!C15,0),"")</f>
        <v>5376</v>
      </c>
      <c r="I19" s="37">
        <f>IFERROR(ROUND(('DCF Model'!C45/(1+$B19)^('DCF Model'!C19+0)+'DCF Model'!D45/(1+$B19)^('DCF Model'!C19+1)+'DCF Model'!E45/(1+$B19)^('DCF Model'!C19+2)+'DCF Model'!F45/(1+$B19)^('DCF Model'!C19+3)+'DCF Model'!G45/(1+$B19)^('DCF Model'!C19+4)+('DCF Model'!G39+'DCF Model'!G42)*I$17/(1+$B19)^('DCF Model'!C19+4)-'DCF Model'!C16)*1000000/'DCF Model'!C15,0),"")</f>
        <v>5872</v>
      </c>
    </row>
    <row r="20" spans="2:9" ht="13.5" customHeight="1" x14ac:dyDescent="0.25">
      <c r="B20" s="40">
        <f>$C$3-0.005</f>
        <v>5.5639526754503892E-2</v>
      </c>
      <c r="C20" s="37">
        <f>IFERROR(ROUND(('DCF Model'!C45/(1+$B20)^('DCF Model'!C19+0)+'DCF Model'!D45/(1+$B20)^('DCF Model'!C19+1)+'DCF Model'!E45/(1+$B20)^('DCF Model'!C19+2)+'DCF Model'!F45/(1+$B20)^('DCF Model'!C19+3)+'DCF Model'!G45/(1+$B20)^('DCF Model'!C19+4)+('DCF Model'!G39+'DCF Model'!G42)*C$17/(1+$B20)^('DCF Model'!C19+4)-'DCF Model'!C16)*1000000/'DCF Model'!C15,0),"")</f>
        <v>2786</v>
      </c>
      <c r="D20" s="37">
        <f>IFERROR(ROUND(('DCF Model'!C45/(1+$B20)^('DCF Model'!C19+0)+'DCF Model'!D45/(1+$B20)^('DCF Model'!C19+1)+'DCF Model'!E45/(1+$B20)^('DCF Model'!C19+2)+'DCF Model'!F45/(1+$B20)^('DCF Model'!C19+3)+'DCF Model'!G45/(1+$B20)^('DCF Model'!C19+4)+('DCF Model'!G39+'DCF Model'!G42)*D$17/(1+$B20)^('DCF Model'!C19+4)-'DCF Model'!C16)*1000000/'DCF Model'!C15,0),"")</f>
        <v>3271</v>
      </c>
      <c r="E20" s="37">
        <f>IFERROR(ROUND(('DCF Model'!C45/(1+$B20)^('DCF Model'!C19+0)+'DCF Model'!D45/(1+$B20)^('DCF Model'!C19+1)+'DCF Model'!E45/(1+$B20)^('DCF Model'!C19+2)+'DCF Model'!F45/(1+$B20)^('DCF Model'!C19+3)+'DCF Model'!G45/(1+$B20)^('DCF Model'!C19+4)+('DCF Model'!G39+'DCF Model'!G42)*E$17/(1+$B20)^('DCF Model'!C19+4)-'DCF Model'!C16)*1000000/'DCF Model'!C15,0),"")</f>
        <v>3756</v>
      </c>
      <c r="F20" s="37">
        <f>IFERROR(ROUND(('DCF Model'!C45/(1+$B20)^('DCF Model'!C19+0)+'DCF Model'!D45/(1+$B20)^('DCF Model'!C19+1)+'DCF Model'!E45/(1+$B20)^('DCF Model'!C19+2)+'DCF Model'!F45/(1+$B20)^('DCF Model'!C19+3)+'DCF Model'!G45/(1+$B20)^('DCF Model'!C19+4)+('DCF Model'!G39+'DCF Model'!G42)*F$17/(1+$B20)^('DCF Model'!C19+4)-'DCF Model'!C16)*1000000/'DCF Model'!C15,0),"")</f>
        <v>4242</v>
      </c>
      <c r="G20" s="37">
        <f>IFERROR(ROUND(('DCF Model'!C45/(1+$B20)^('DCF Model'!C19+0)+'DCF Model'!D45/(1+$B20)^('DCF Model'!C19+1)+'DCF Model'!E45/(1+$B20)^('DCF Model'!C19+2)+'DCF Model'!F45/(1+$B20)^('DCF Model'!C19+3)+'DCF Model'!G45/(1+$B20)^('DCF Model'!C19+4)+('DCF Model'!G39+'DCF Model'!G42)*G$17/(1+$B20)^('DCF Model'!C19+4)-'DCF Model'!C16)*1000000/'DCF Model'!C15,0),"")</f>
        <v>4727</v>
      </c>
      <c r="H20" s="37">
        <f>IFERROR(ROUND(('DCF Model'!C45/(1+$B20)^('DCF Model'!C19+0)+'DCF Model'!D45/(1+$B20)^('DCF Model'!C19+1)+'DCF Model'!E45/(1+$B20)^('DCF Model'!C19+2)+'DCF Model'!F45/(1+$B20)^('DCF Model'!C19+3)+'DCF Model'!G45/(1+$B20)^('DCF Model'!C19+4)+('DCF Model'!G39+'DCF Model'!G42)*H$17/(1+$B20)^('DCF Model'!C19+4)-'DCF Model'!C16)*1000000/'DCF Model'!C15,0),"")</f>
        <v>5212</v>
      </c>
      <c r="I20" s="37">
        <f>IFERROR(ROUND(('DCF Model'!C45/(1+$B20)^('DCF Model'!C19+0)+'DCF Model'!D45/(1+$B20)^('DCF Model'!C19+1)+'DCF Model'!E45/(1+$B20)^('DCF Model'!C19+2)+'DCF Model'!F45/(1+$B20)^('DCF Model'!C19+3)+'DCF Model'!G45/(1+$B20)^('DCF Model'!C19+4)+('DCF Model'!G39+'DCF Model'!G42)*I$17/(1+$B20)^('DCF Model'!C19+4)-'DCF Model'!C16)*1000000/'DCF Model'!C15,0),"")</f>
        <v>5697</v>
      </c>
    </row>
    <row r="21" spans="2:9" ht="13.5" customHeight="1" x14ac:dyDescent="0.25">
      <c r="B21" s="40">
        <f>$C$3</f>
        <v>6.0639526754503889E-2</v>
      </c>
      <c r="C21" s="37">
        <f>IFERROR(ROUND(('DCF Model'!C45/(1+$B21)^('DCF Model'!C19+0)+'DCF Model'!D45/(1+$B21)^('DCF Model'!C19+1)+'DCF Model'!E45/(1+$B21)^('DCF Model'!C19+2)+'DCF Model'!F45/(1+$B21)^('DCF Model'!C19+3)+'DCF Model'!G45/(1+$B21)^('DCF Model'!C19+4)+('DCF Model'!G39+'DCF Model'!G42)*C$17/(1+$B21)^('DCF Model'!C19+4)-'DCF Model'!C16)*1000000/'DCF Model'!C15,0),"")</f>
        <v>2680</v>
      </c>
      <c r="D21" s="37">
        <f>IFERROR(ROUND(('DCF Model'!C45/(1+$B21)^('DCF Model'!C19+0)+'DCF Model'!D45/(1+$B21)^('DCF Model'!C19+1)+'DCF Model'!E45/(1+$B21)^('DCF Model'!C19+2)+'DCF Model'!F45/(1+$B21)^('DCF Model'!C19+3)+'DCF Model'!G45/(1+$B21)^('DCF Model'!C19+4)+('DCF Model'!G39+'DCF Model'!G42)*D$17/(1+$B21)^('DCF Model'!C19+4)-'DCF Model'!C16)*1000000/'DCF Model'!C15,0),"")</f>
        <v>3154</v>
      </c>
      <c r="E21" s="37">
        <f>IFERROR(ROUND(('DCF Model'!C45/(1+$B21)^('DCF Model'!C19+0)+'DCF Model'!D45/(1+$B21)^('DCF Model'!C19+1)+'DCF Model'!E45/(1+$B21)^('DCF Model'!C19+2)+'DCF Model'!F45/(1+$B21)^('DCF Model'!C19+3)+'DCF Model'!G45/(1+$B21)^('DCF Model'!C19+4)+('DCF Model'!G39+'DCF Model'!G42)*E$17/(1+$B21)^('DCF Model'!C19+4)-'DCF Model'!C16)*1000000/'DCF Model'!C15,0),"")</f>
        <v>3629</v>
      </c>
      <c r="F21" s="37">
        <f>IFERROR(ROUND(('DCF Model'!C45/(1+$B21)^('DCF Model'!C19+0)+'DCF Model'!D45/(1+$B21)^('DCF Model'!C19+1)+'DCF Model'!E45/(1+$B21)^('DCF Model'!C19+2)+'DCF Model'!F45/(1+$B21)^('DCF Model'!C19+3)+'DCF Model'!G45/(1+$B21)^('DCF Model'!C19+4)+('DCF Model'!G39+'DCF Model'!G42)*F$17/(1+$B21)^('DCF Model'!C19+4)-'DCF Model'!C16)*1000000/'DCF Model'!C15,0),"")</f>
        <v>4103</v>
      </c>
      <c r="G21" s="37">
        <f>IFERROR(ROUND(('DCF Model'!C45/(1+$B21)^('DCF Model'!C19+0)+'DCF Model'!D45/(1+$B21)^('DCF Model'!C19+1)+'DCF Model'!E45/(1+$B21)^('DCF Model'!C19+2)+'DCF Model'!F45/(1+$B21)^('DCF Model'!C19+3)+'DCF Model'!G45/(1+$B21)^('DCF Model'!C19+4)+('DCF Model'!G39+'DCF Model'!G42)*G$17/(1+$B21)^('DCF Model'!C19+4)-'DCF Model'!C16)*1000000/'DCF Model'!C15,0),"")</f>
        <v>4578</v>
      </c>
      <c r="H21" s="37">
        <f>IFERROR(ROUND(('DCF Model'!C45/(1+$B21)^('DCF Model'!C19+0)+'DCF Model'!D45/(1+$B21)^('DCF Model'!C19+1)+'DCF Model'!E45/(1+$B21)^('DCF Model'!C19+2)+'DCF Model'!F45/(1+$B21)^('DCF Model'!C19+3)+'DCF Model'!G45/(1+$B21)^('DCF Model'!C19+4)+('DCF Model'!G39+'DCF Model'!G42)*H$17/(1+$B21)^('DCF Model'!C19+4)-'DCF Model'!C16)*1000000/'DCF Model'!C15,0),"")</f>
        <v>5052</v>
      </c>
      <c r="I21" s="37">
        <f>IFERROR(ROUND(('DCF Model'!C45/(1+$B21)^('DCF Model'!C19+0)+'DCF Model'!D45/(1+$B21)^('DCF Model'!C19+1)+'DCF Model'!E45/(1+$B21)^('DCF Model'!C19+2)+'DCF Model'!F45/(1+$B21)^('DCF Model'!C19+3)+'DCF Model'!G45/(1+$B21)^('DCF Model'!C19+4)+('DCF Model'!G39+'DCF Model'!G42)*I$17/(1+$B21)^('DCF Model'!C19+4)-'DCF Model'!C16)*1000000/'DCF Model'!C15,0),"")</f>
        <v>5526</v>
      </c>
    </row>
    <row r="22" spans="2:9" ht="13.5" customHeight="1" x14ac:dyDescent="0.25">
      <c r="B22" s="40">
        <f>$C$3+0.005</f>
        <v>6.5639526754503894E-2</v>
      </c>
      <c r="C22" s="37">
        <f>IFERROR(ROUND(('DCF Model'!C45/(1+$B22)^('DCF Model'!C19+0)+'DCF Model'!D45/(1+$B22)^('DCF Model'!C19+1)+'DCF Model'!E45/(1+$B22)^('DCF Model'!C19+2)+'DCF Model'!F45/(1+$B22)^('DCF Model'!C19+3)+'DCF Model'!G45/(1+$B22)^('DCF Model'!C19+4)+('DCF Model'!G39+'DCF Model'!G42)*C$17/(1+$B22)^('DCF Model'!C19+4)-'DCF Model'!C16)*1000000/'DCF Model'!C15,0),"")</f>
        <v>2577</v>
      </c>
      <c r="D22" s="37">
        <f>IFERROR(ROUND(('DCF Model'!C45/(1+$B22)^('DCF Model'!C19+0)+'DCF Model'!D45/(1+$B22)^('DCF Model'!C19+1)+'DCF Model'!E45/(1+$B22)^('DCF Model'!C19+2)+'DCF Model'!F45/(1+$B22)^('DCF Model'!C19+3)+'DCF Model'!G45/(1+$B22)^('DCF Model'!C19+4)+('DCF Model'!G39+'DCF Model'!G42)*D$17/(1+$B22)^('DCF Model'!C19+4)-'DCF Model'!C16)*1000000/'DCF Model'!C15,0),"")</f>
        <v>3040</v>
      </c>
      <c r="E22" s="37">
        <f>IFERROR(ROUND(('DCF Model'!C45/(1+$B22)^('DCF Model'!C19+0)+'DCF Model'!D45/(1+$B22)^('DCF Model'!C19+1)+'DCF Model'!E45/(1+$B22)^('DCF Model'!C19+2)+'DCF Model'!F45/(1+$B22)^('DCF Model'!C19+3)+'DCF Model'!G45/(1+$B22)^('DCF Model'!C19+4)+('DCF Model'!G39+'DCF Model'!G42)*E$17/(1+$B22)^('DCF Model'!C19+4)-'DCF Model'!C16)*1000000/'DCF Model'!C15,0),"")</f>
        <v>3504</v>
      </c>
      <c r="F22" s="37">
        <f>IFERROR(ROUND(('DCF Model'!C45/(1+$B22)^('DCF Model'!C19+0)+'DCF Model'!D45/(1+$B22)^('DCF Model'!C19+1)+'DCF Model'!E45/(1+$B22)^('DCF Model'!C19+2)+'DCF Model'!F45/(1+$B22)^('DCF Model'!C19+3)+'DCF Model'!G45/(1+$B22)^('DCF Model'!C19+4)+('DCF Model'!G39+'DCF Model'!G42)*F$17/(1+$B22)^('DCF Model'!C19+4)-'DCF Model'!C16)*1000000/'DCF Model'!C15,0),"")</f>
        <v>3968</v>
      </c>
      <c r="G22" s="37">
        <f>IFERROR(ROUND(('DCF Model'!C45/(1+$B22)^('DCF Model'!C19+0)+'DCF Model'!D45/(1+$B22)^('DCF Model'!C19+1)+'DCF Model'!E45/(1+$B22)^('DCF Model'!C19+2)+'DCF Model'!F45/(1+$B22)^('DCF Model'!C19+3)+'DCF Model'!G45/(1+$B22)^('DCF Model'!C19+4)+('DCF Model'!G39+'DCF Model'!G42)*G$17/(1+$B22)^('DCF Model'!C19+4)-'DCF Model'!C16)*1000000/'DCF Model'!C15,0),"")</f>
        <v>4432</v>
      </c>
      <c r="H22" s="37">
        <f>IFERROR(ROUND(('DCF Model'!C45/(1+$B22)^('DCF Model'!C19+0)+'DCF Model'!D45/(1+$B22)^('DCF Model'!C19+1)+'DCF Model'!E45/(1+$B22)^('DCF Model'!C19+2)+'DCF Model'!F45/(1+$B22)^('DCF Model'!C19+3)+'DCF Model'!G45/(1+$B22)^('DCF Model'!C19+4)+('DCF Model'!G39+'DCF Model'!G42)*H$17/(1+$B22)^('DCF Model'!C19+4)-'DCF Model'!C16)*1000000/'DCF Model'!C15,0),"")</f>
        <v>4896</v>
      </c>
      <c r="I22" s="37">
        <f>IFERROR(ROUND(('DCF Model'!C45/(1+$B22)^('DCF Model'!C19+0)+'DCF Model'!D45/(1+$B22)^('DCF Model'!C19+1)+'DCF Model'!E45/(1+$B22)^('DCF Model'!C19+2)+'DCF Model'!F45/(1+$B22)^('DCF Model'!C19+3)+'DCF Model'!G45/(1+$B22)^('DCF Model'!C19+4)+('DCF Model'!G39+'DCF Model'!G42)*I$17/(1+$B22)^('DCF Model'!C19+4)-'DCF Model'!C16)*1000000/'DCF Model'!C15,0),"")</f>
        <v>5360</v>
      </c>
    </row>
    <row r="23" spans="2:9" ht="13.5" customHeight="1" x14ac:dyDescent="0.25">
      <c r="B23" s="40">
        <f>$C$3+0.01</f>
        <v>7.0639526754503884E-2</v>
      </c>
      <c r="C23" s="37">
        <f>IFERROR(ROUND(('DCF Model'!C45/(1+$B23)^('DCF Model'!C19+0)+'DCF Model'!D45/(1+$B23)^('DCF Model'!C19+1)+'DCF Model'!E45/(1+$B23)^('DCF Model'!C19+2)+'DCF Model'!F45/(1+$B23)^('DCF Model'!C19+3)+'DCF Model'!G45/(1+$B23)^('DCF Model'!C19+4)+('DCF Model'!G39+'DCF Model'!G42)*C$17/(1+$B23)^('DCF Model'!C19+4)-'DCF Model'!C16)*1000000/'DCF Model'!C15,0),"")</f>
        <v>2476</v>
      </c>
      <c r="D23" s="37">
        <f>IFERROR(ROUND(('DCF Model'!C45/(1+$B23)^('DCF Model'!C19+0)+'DCF Model'!D45/(1+$B23)^('DCF Model'!C19+1)+'DCF Model'!E45/(1+$B23)^('DCF Model'!C19+2)+'DCF Model'!F45/(1+$B23)^('DCF Model'!C19+3)+'DCF Model'!G45/(1+$B23)^('DCF Model'!C19+4)+('DCF Model'!G39+'DCF Model'!G42)*D$17/(1+$B23)^('DCF Model'!C19+4)-'DCF Model'!C16)*1000000/'DCF Model'!C15,0),"")</f>
        <v>2929</v>
      </c>
      <c r="E23" s="37">
        <f>IFERROR(ROUND(('DCF Model'!C45/(1+$B23)^('DCF Model'!C19+0)+'DCF Model'!D45/(1+$B23)^('DCF Model'!C19+1)+'DCF Model'!E45/(1+$B23)^('DCF Model'!C19+2)+'DCF Model'!F45/(1+$B23)^('DCF Model'!C19+3)+'DCF Model'!G45/(1+$B23)^('DCF Model'!C19+4)+('DCF Model'!G39+'DCF Model'!G42)*E$17/(1+$B23)^('DCF Model'!C19+4)-'DCF Model'!C16)*1000000/'DCF Model'!C15,0),"")</f>
        <v>3383</v>
      </c>
      <c r="F23" s="37">
        <f>IFERROR(ROUND(('DCF Model'!C45/(1+$B23)^('DCF Model'!C19+0)+'DCF Model'!D45/(1+$B23)^('DCF Model'!C19+1)+'DCF Model'!E45/(1+$B23)^('DCF Model'!C19+2)+'DCF Model'!F45/(1+$B23)^('DCF Model'!C19+3)+'DCF Model'!G45/(1+$B23)^('DCF Model'!C19+4)+('DCF Model'!G39+'DCF Model'!G42)*F$17/(1+$B23)^('DCF Model'!C19+4)-'DCF Model'!C16)*1000000/'DCF Model'!C15,0),"")</f>
        <v>3837</v>
      </c>
      <c r="G23" s="37">
        <f>IFERROR(ROUND(('DCF Model'!C45/(1+$B23)^('DCF Model'!C19+0)+'DCF Model'!D45/(1+$B23)^('DCF Model'!C19+1)+'DCF Model'!E45/(1+$B23)^('DCF Model'!C19+2)+'DCF Model'!F45/(1+$B23)^('DCF Model'!C19+3)+'DCF Model'!G45/(1+$B23)^('DCF Model'!C19+4)+('DCF Model'!G39+'DCF Model'!G42)*G$17/(1+$B23)^('DCF Model'!C19+4)-'DCF Model'!C16)*1000000/'DCF Model'!C15,0),"")</f>
        <v>4291</v>
      </c>
      <c r="H23" s="37">
        <f>IFERROR(ROUND(('DCF Model'!C45/(1+$B23)^('DCF Model'!C19+0)+'DCF Model'!D45/(1+$B23)^('DCF Model'!C19+1)+'DCF Model'!E45/(1+$B23)^('DCF Model'!C19+2)+'DCF Model'!F45/(1+$B23)^('DCF Model'!C19+3)+'DCF Model'!G45/(1+$B23)^('DCF Model'!C19+4)+('DCF Model'!G39+'DCF Model'!G42)*H$17/(1+$B23)^('DCF Model'!C19+4)-'DCF Model'!C16)*1000000/'DCF Model'!C15,0),"")</f>
        <v>4744</v>
      </c>
      <c r="I23" s="37">
        <f>IFERROR(ROUND(('DCF Model'!C45/(1+$B23)^('DCF Model'!C19+0)+'DCF Model'!D45/(1+$B23)^('DCF Model'!C19+1)+'DCF Model'!E45/(1+$B23)^('DCF Model'!C19+2)+'DCF Model'!F45/(1+$B23)^('DCF Model'!C19+3)+'DCF Model'!G45/(1+$B23)^('DCF Model'!C19+4)+('DCF Model'!G39+'DCF Model'!G42)*I$17/(1+$B23)^('DCF Model'!C19+4)-'DCF Model'!C16)*1000000/'DCF Model'!C15,0),"")</f>
        <v>5198</v>
      </c>
    </row>
    <row r="24" spans="2:9" ht="13.5" customHeight="1" x14ac:dyDescent="0.25">
      <c r="B24" s="40">
        <f>$C$3+0.015</f>
        <v>7.5639526754503889E-2</v>
      </c>
      <c r="C24" s="37">
        <f>IFERROR(ROUND(('DCF Model'!C45/(1+$B24)^('DCF Model'!C19+0)+'DCF Model'!D45/(1+$B24)^('DCF Model'!C19+1)+'DCF Model'!E45/(1+$B24)^('DCF Model'!C19+2)+'DCF Model'!F45/(1+$B24)^('DCF Model'!C19+3)+'DCF Model'!G45/(1+$B24)^('DCF Model'!C19+4)+('DCF Model'!G39+'DCF Model'!G42)*C$17/(1+$B24)^('DCF Model'!C19+4)-'DCF Model'!C16)*1000000/'DCF Model'!C15,0),"")</f>
        <v>2378</v>
      </c>
      <c r="D24" s="37">
        <f>IFERROR(ROUND(('DCF Model'!C45/(1+$B24)^('DCF Model'!C19+0)+'DCF Model'!D45/(1+$B24)^('DCF Model'!C19+1)+'DCF Model'!E45/(1+$B24)^('DCF Model'!C19+2)+'DCF Model'!F45/(1+$B24)^('DCF Model'!C19+3)+'DCF Model'!G45/(1+$B24)^('DCF Model'!C19+4)+('DCF Model'!G39+'DCF Model'!G42)*D$17/(1+$B24)^('DCF Model'!C19+4)-'DCF Model'!C16)*1000000/'DCF Model'!C15,0),"")</f>
        <v>2821</v>
      </c>
      <c r="E24" s="37">
        <f>IFERROR(ROUND(('DCF Model'!C45/(1+$B24)^('DCF Model'!C19+0)+'DCF Model'!D45/(1+$B24)^('DCF Model'!C19+1)+'DCF Model'!E45/(1+$B24)^('DCF Model'!C19+2)+'DCF Model'!F45/(1+$B24)^('DCF Model'!C19+3)+'DCF Model'!G45/(1+$B24)^('DCF Model'!C19+4)+('DCF Model'!G39+'DCF Model'!G42)*E$17/(1+$B24)^('DCF Model'!C19+4)-'DCF Model'!C16)*1000000/'DCF Model'!C15,0),"")</f>
        <v>3265</v>
      </c>
      <c r="F24" s="37">
        <f>IFERROR(ROUND(('DCF Model'!C45/(1+$B24)^('DCF Model'!C19+0)+'DCF Model'!D45/(1+$B24)^('DCF Model'!C19+1)+'DCF Model'!E45/(1+$B24)^('DCF Model'!C19+2)+'DCF Model'!F45/(1+$B24)^('DCF Model'!C19+3)+'DCF Model'!G45/(1+$B24)^('DCF Model'!C19+4)+('DCF Model'!G39+'DCF Model'!G42)*F$17/(1+$B24)^('DCF Model'!C19+4)-'DCF Model'!C16)*1000000/'DCF Model'!C15,0),"")</f>
        <v>3709</v>
      </c>
      <c r="G24" s="37">
        <f>IFERROR(ROUND(('DCF Model'!C45/(1+$B24)^('DCF Model'!C19+0)+'DCF Model'!D45/(1+$B24)^('DCF Model'!C19+1)+'DCF Model'!E45/(1+$B24)^('DCF Model'!C19+2)+'DCF Model'!F45/(1+$B24)^('DCF Model'!C19+3)+'DCF Model'!G45/(1+$B24)^('DCF Model'!C19+4)+('DCF Model'!G39+'DCF Model'!G42)*G$17/(1+$B24)^('DCF Model'!C19+4)-'DCF Model'!C16)*1000000/'DCF Model'!C15,0),"")</f>
        <v>4153</v>
      </c>
      <c r="H24" s="37">
        <f>IFERROR(ROUND(('DCF Model'!C45/(1+$B24)^('DCF Model'!C19+0)+'DCF Model'!D45/(1+$B24)^('DCF Model'!C19+1)+'DCF Model'!E45/(1+$B24)^('DCF Model'!C19+2)+'DCF Model'!F45/(1+$B24)^('DCF Model'!C19+3)+'DCF Model'!G45/(1+$B24)^('DCF Model'!C19+4)+('DCF Model'!G39+'DCF Model'!G42)*H$17/(1+$B24)^('DCF Model'!C19+4)-'DCF Model'!C16)*1000000/'DCF Model'!C15,0),"")</f>
        <v>4596</v>
      </c>
      <c r="I24" s="37">
        <f>IFERROR(ROUND(('DCF Model'!C45/(1+$B24)^('DCF Model'!C19+0)+'DCF Model'!D45/(1+$B24)^('DCF Model'!C19+1)+'DCF Model'!E45/(1+$B24)^('DCF Model'!C19+2)+'DCF Model'!F45/(1+$B24)^('DCF Model'!C19+3)+'DCF Model'!G45/(1+$B24)^('DCF Model'!C19+4)+('DCF Model'!G39+'DCF Model'!G42)*I$17/(1+$B24)^('DCF Model'!C19+4)-'DCF Model'!C16)*1000000/'DCF Model'!C15,0),"")</f>
        <v>5040</v>
      </c>
    </row>
    <row r="26" spans="2:9" ht="14" customHeight="1" x14ac:dyDescent="0.3">
      <c r="B26" s="48" t="s">
        <v>237</v>
      </c>
      <c r="C26" s="47"/>
      <c r="D26" s="47"/>
      <c r="E26" s="47"/>
      <c r="F26" s="47"/>
      <c r="G26" s="47"/>
      <c r="H26" s="47"/>
      <c r="I26" s="47"/>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8"/>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s="45" t="s">
        <v>245</v>
      </c>
      <c r="C6" s="4" t="s">
        <v>250</v>
      </c>
      <c r="D6" s="45" t="s">
        <v>251</v>
      </c>
      <c r="E6" s="45" t="s">
        <v>252</v>
      </c>
      <c r="F6" s="45" t="s">
        <v>253</v>
      </c>
      <c r="G6" s="45" t="s">
        <v>254</v>
      </c>
    </row>
    <row r="7" spans="2:7" ht="30" customHeight="1" x14ac:dyDescent="0.3">
      <c r="B7" s="45" t="s">
        <v>245</v>
      </c>
      <c r="C7" s="4" t="s">
        <v>255</v>
      </c>
      <c r="D7" s="45" t="s">
        <v>256</v>
      </c>
      <c r="E7" s="45" t="s">
        <v>257</v>
      </c>
      <c r="F7" s="45" t="s">
        <v>258</v>
      </c>
      <c r="G7" s="45" t="s">
        <v>259</v>
      </c>
    </row>
    <row r="8" spans="2:7" ht="30" customHeight="1" x14ac:dyDescent="0.3">
      <c r="B8" s="45" t="s">
        <v>245</v>
      </c>
      <c r="C8" s="4" t="s">
        <v>260</v>
      </c>
      <c r="D8" s="45" t="s">
        <v>261</v>
      </c>
      <c r="E8" s="45" t="s">
        <v>262</v>
      </c>
      <c r="F8" s="45" t="s">
        <v>263</v>
      </c>
      <c r="G8" s="45" t="s">
        <v>259</v>
      </c>
    </row>
    <row r="9" spans="2:7" ht="30" customHeight="1" x14ac:dyDescent="0.3">
      <c r="B9" s="45" t="s">
        <v>245</v>
      </c>
      <c r="C9" s="4" t="s">
        <v>264</v>
      </c>
      <c r="D9" s="45" t="s">
        <v>265</v>
      </c>
      <c r="E9" s="45" t="s">
        <v>266</v>
      </c>
      <c r="F9" s="45" t="s">
        <v>267</v>
      </c>
      <c r="G9" s="45" t="s">
        <v>259</v>
      </c>
    </row>
    <row r="10" spans="2:7" ht="30" customHeight="1" x14ac:dyDescent="0.3">
      <c r="B10" s="45" t="s">
        <v>245</v>
      </c>
      <c r="C10" s="4" t="s">
        <v>268</v>
      </c>
      <c r="D10" s="45" t="s">
        <v>269</v>
      </c>
      <c r="E10" s="45" t="s">
        <v>270</v>
      </c>
      <c r="F10" s="45" t="s">
        <v>271</v>
      </c>
      <c r="G10" s="45" t="s">
        <v>272</v>
      </c>
    </row>
    <row r="11" spans="2:7" ht="30" customHeight="1" x14ac:dyDescent="0.3">
      <c r="B11" s="45" t="s">
        <v>245</v>
      </c>
      <c r="C11" s="4" t="s">
        <v>273</v>
      </c>
      <c r="D11" s="45" t="s">
        <v>274</v>
      </c>
      <c r="E11" s="45" t="s">
        <v>275</v>
      </c>
      <c r="F11" s="45" t="s">
        <v>276</v>
      </c>
      <c r="G11" s="45" t="s">
        <v>277</v>
      </c>
    </row>
    <row r="12" spans="2:7" ht="30" customHeight="1" x14ac:dyDescent="0.3">
      <c r="B12" s="45" t="s">
        <v>245</v>
      </c>
      <c r="C12" s="4" t="s">
        <v>278</v>
      </c>
      <c r="D12" s="45" t="s">
        <v>279</v>
      </c>
      <c r="E12" s="45" t="s">
        <v>280</v>
      </c>
      <c r="F12" s="45" t="s">
        <v>281</v>
      </c>
      <c r="G12" s="45" t="s">
        <v>259</v>
      </c>
    </row>
    <row r="13" spans="2:7" ht="30" customHeight="1" x14ac:dyDescent="0.3">
      <c r="B13" s="45" t="s">
        <v>245</v>
      </c>
      <c r="C13" s="4" t="s">
        <v>282</v>
      </c>
      <c r="D13" s="45" t="s">
        <v>283</v>
      </c>
      <c r="E13" s="45" t="s">
        <v>284</v>
      </c>
      <c r="F13" s="45" t="s">
        <v>285</v>
      </c>
      <c r="G13" s="45" t="s">
        <v>259</v>
      </c>
    </row>
    <row r="14" spans="2:7" ht="30" customHeight="1" x14ac:dyDescent="0.3">
      <c r="B14" s="45" t="s">
        <v>245</v>
      </c>
      <c r="C14" s="4" t="s">
        <v>286</v>
      </c>
      <c r="D14" s="45" t="s">
        <v>287</v>
      </c>
      <c r="E14" s="45" t="s">
        <v>288</v>
      </c>
      <c r="F14" s="45" t="s">
        <v>246</v>
      </c>
      <c r="G14" s="45" t="s">
        <v>259</v>
      </c>
    </row>
    <row r="15" spans="2:7" ht="30" customHeight="1" x14ac:dyDescent="0.3">
      <c r="B15" s="45" t="s">
        <v>245</v>
      </c>
      <c r="C15" s="4" t="s">
        <v>289</v>
      </c>
      <c r="D15" s="45" t="s">
        <v>290</v>
      </c>
      <c r="E15" s="45" t="s">
        <v>291</v>
      </c>
      <c r="F15" s="45" t="s">
        <v>292</v>
      </c>
      <c r="G15" s="45" t="s">
        <v>259</v>
      </c>
    </row>
    <row r="16" spans="2:7" ht="30" customHeight="1" x14ac:dyDescent="0.3">
      <c r="B16" s="45" t="s">
        <v>245</v>
      </c>
      <c r="C16" s="4" t="s">
        <v>293</v>
      </c>
      <c r="D16" s="45" t="s">
        <v>294</v>
      </c>
      <c r="E16" s="45" t="s">
        <v>295</v>
      </c>
      <c r="F16" s="45" t="s">
        <v>296</v>
      </c>
      <c r="G16" s="45" t="s">
        <v>259</v>
      </c>
    </row>
    <row r="17" spans="2:7" ht="30" customHeight="1" x14ac:dyDescent="0.3">
      <c r="B17" s="45" t="s">
        <v>245</v>
      </c>
      <c r="C17" s="4" t="s">
        <v>297</v>
      </c>
      <c r="D17" s="45" t="s">
        <v>298</v>
      </c>
      <c r="E17" s="45" t="s">
        <v>299</v>
      </c>
      <c r="F17" s="45" t="s">
        <v>300</v>
      </c>
      <c r="G17" s="45" t="s">
        <v>301</v>
      </c>
    </row>
    <row r="18" spans="2:7" ht="30" customHeight="1" x14ac:dyDescent="0.3">
      <c r="B18" s="45" t="s">
        <v>245</v>
      </c>
      <c r="C18" s="4" t="s">
        <v>302</v>
      </c>
      <c r="D18" s="45" t="s">
        <v>303</v>
      </c>
      <c r="E18" s="45" t="s">
        <v>304</v>
      </c>
      <c r="F18" s="45" t="s">
        <v>305</v>
      </c>
      <c r="G18" s="45" t="s">
        <v>259</v>
      </c>
    </row>
    <row r="19" spans="2:7" ht="30" customHeight="1" x14ac:dyDescent="0.3">
      <c r="B19" s="45" t="s">
        <v>245</v>
      </c>
      <c r="C19" s="4" t="s">
        <v>306</v>
      </c>
      <c r="D19" s="45" t="s">
        <v>307</v>
      </c>
      <c r="E19" s="45" t="s">
        <v>308</v>
      </c>
      <c r="F19" s="45" t="s">
        <v>246</v>
      </c>
      <c r="G19" s="45" t="s">
        <v>309</v>
      </c>
    </row>
    <row r="20" spans="2:7" ht="30" customHeight="1" x14ac:dyDescent="0.3">
      <c r="B20" s="45" t="s">
        <v>245</v>
      </c>
      <c r="C20" s="4" t="s">
        <v>310</v>
      </c>
      <c r="D20" s="45" t="s">
        <v>311</v>
      </c>
      <c r="E20" s="45" t="s">
        <v>312</v>
      </c>
      <c r="F20" s="45" t="s">
        <v>263</v>
      </c>
      <c r="G20" s="45" t="s">
        <v>259</v>
      </c>
    </row>
    <row r="21" spans="2:7" ht="30" customHeight="1" x14ac:dyDescent="0.3">
      <c r="B21" s="45" t="s">
        <v>245</v>
      </c>
      <c r="C21" s="4" t="s">
        <v>313</v>
      </c>
      <c r="D21" s="45" t="s">
        <v>314</v>
      </c>
      <c r="E21" s="45" t="s">
        <v>315</v>
      </c>
      <c r="F21" s="45" t="s">
        <v>246</v>
      </c>
      <c r="G21" s="45" t="s">
        <v>259</v>
      </c>
    </row>
    <row r="22" spans="2:7" ht="30" customHeight="1" x14ac:dyDescent="0.3">
      <c r="B22" s="45" t="s">
        <v>245</v>
      </c>
      <c r="C22" s="4" t="s">
        <v>316</v>
      </c>
      <c r="D22" s="45" t="s">
        <v>317</v>
      </c>
      <c r="E22" s="45" t="s">
        <v>318</v>
      </c>
      <c r="F22" s="45" t="s">
        <v>246</v>
      </c>
      <c r="G22" s="45" t="s">
        <v>254</v>
      </c>
    </row>
    <row r="23" spans="2:7" ht="30" customHeight="1" x14ac:dyDescent="0.3">
      <c r="B23" s="45" t="s">
        <v>245</v>
      </c>
      <c r="C23" s="4" t="s">
        <v>319</v>
      </c>
      <c r="D23" s="45" t="s">
        <v>320</v>
      </c>
      <c r="E23" s="45" t="s">
        <v>321</v>
      </c>
      <c r="F23" s="45" t="s">
        <v>246</v>
      </c>
      <c r="G23" s="45" t="s">
        <v>322</v>
      </c>
    </row>
    <row r="24" spans="2:7" ht="30" customHeight="1" x14ac:dyDescent="0.3">
      <c r="B24" s="45" t="s">
        <v>245</v>
      </c>
      <c r="C24" s="4" t="s">
        <v>323</v>
      </c>
      <c r="D24" s="45" t="s">
        <v>324</v>
      </c>
      <c r="E24" s="45" t="s">
        <v>325</v>
      </c>
      <c r="F24" s="45" t="s">
        <v>246</v>
      </c>
      <c r="G24" s="45" t="s">
        <v>326</v>
      </c>
    </row>
    <row r="25" spans="2:7" ht="30" customHeight="1" x14ac:dyDescent="0.3">
      <c r="B25" s="45" t="s">
        <v>245</v>
      </c>
      <c r="C25" s="4" t="s">
        <v>323</v>
      </c>
      <c r="D25" s="45" t="s">
        <v>327</v>
      </c>
      <c r="E25" s="45" t="s">
        <v>328</v>
      </c>
      <c r="F25" s="45" t="s">
        <v>246</v>
      </c>
      <c r="G25" s="45" t="s">
        <v>326</v>
      </c>
    </row>
    <row r="26" spans="2:7" ht="30" customHeight="1" x14ac:dyDescent="0.3">
      <c r="B26" s="45" t="s">
        <v>245</v>
      </c>
      <c r="C26" s="4" t="s">
        <v>323</v>
      </c>
      <c r="D26" s="45" t="s">
        <v>329</v>
      </c>
      <c r="E26" s="45" t="s">
        <v>330</v>
      </c>
      <c r="F26" s="45" t="s">
        <v>246</v>
      </c>
      <c r="G26" s="45" t="s">
        <v>326</v>
      </c>
    </row>
    <row r="27" spans="2:7" ht="30" customHeight="1" x14ac:dyDescent="0.3">
      <c r="B27" s="45" t="s">
        <v>245</v>
      </c>
      <c r="C27" s="4" t="s">
        <v>323</v>
      </c>
      <c r="D27" s="45" t="s">
        <v>331</v>
      </c>
      <c r="E27" s="45" t="s">
        <v>332</v>
      </c>
      <c r="F27" s="45" t="s">
        <v>246</v>
      </c>
      <c r="G27" s="45" t="s">
        <v>326</v>
      </c>
    </row>
    <row r="28" spans="2:7" ht="14" customHeight="1" x14ac:dyDescent="0.2"/>
    <row r="29" spans="2:7" ht="14" customHeight="1" x14ac:dyDescent="0.3">
      <c r="B29" s="8" t="s">
        <v>333</v>
      </c>
    </row>
    <row r="30" spans="2:7" ht="14" customHeight="1" x14ac:dyDescent="0.3">
      <c r="B30" s="10" t="s">
        <v>334</v>
      </c>
      <c r="C30" s="10" t="s">
        <v>335</v>
      </c>
    </row>
    <row r="31" spans="2:7" ht="14" customHeight="1" x14ac:dyDescent="0.3">
      <c r="B31" s="4" t="s">
        <v>336</v>
      </c>
      <c r="C31" t="s">
        <v>337</v>
      </c>
    </row>
    <row r="32" spans="2:7" ht="14" customHeight="1" x14ac:dyDescent="0.3">
      <c r="B32" s="4" t="s">
        <v>338</v>
      </c>
      <c r="C32" t="s">
        <v>339</v>
      </c>
    </row>
    <row r="33" spans="2:3" ht="14" customHeight="1" x14ac:dyDescent="0.3">
      <c r="B33" s="4" t="s">
        <v>340</v>
      </c>
      <c r="C33" t="s">
        <v>341</v>
      </c>
    </row>
    <row r="34" spans="2:3" ht="14" customHeight="1" x14ac:dyDescent="0.3">
      <c r="B34" s="4" t="s">
        <v>342</v>
      </c>
      <c r="C34" t="s">
        <v>343</v>
      </c>
    </row>
    <row r="35" spans="2:3" ht="14" customHeight="1" x14ac:dyDescent="0.3">
      <c r="B35" s="4" t="s">
        <v>344</v>
      </c>
      <c r="C35" t="s">
        <v>4</v>
      </c>
    </row>
    <row r="36" spans="2:3" ht="14" customHeight="1" x14ac:dyDescent="0.3">
      <c r="B36" s="4" t="s">
        <v>345</v>
      </c>
      <c r="C36" t="s">
        <v>245</v>
      </c>
    </row>
    <row r="37" spans="2:3" ht="14" customHeight="1" x14ac:dyDescent="0.3">
      <c r="B37" s="4" t="s">
        <v>346</v>
      </c>
      <c r="C37" t="s">
        <v>347</v>
      </c>
    </row>
    <row r="38" spans="2:3" ht="14" customHeight="1" x14ac:dyDescent="0.3">
      <c r="B38" s="4" t="s">
        <v>348</v>
      </c>
      <c r="C38" t="s">
        <v>349</v>
      </c>
    </row>
    <row r="39" spans="2:3" ht="14" customHeight="1" x14ac:dyDescent="0.3">
      <c r="B39" s="4" t="s">
        <v>350</v>
      </c>
      <c r="C39" t="s">
        <v>351</v>
      </c>
    </row>
    <row r="40" spans="2:3" ht="14" customHeight="1" x14ac:dyDescent="0.3">
      <c r="B40" s="4" t="s">
        <v>352</v>
      </c>
      <c r="C40" t="s">
        <v>353</v>
      </c>
    </row>
    <row r="41" spans="2:3" ht="14" customHeight="1" x14ac:dyDescent="0.3">
      <c r="B41" s="4" t="s">
        <v>354</v>
      </c>
      <c r="C41" t="s">
        <v>355</v>
      </c>
    </row>
    <row r="42" spans="2:3" ht="14" customHeight="1" x14ac:dyDescent="0.3">
      <c r="B42" s="4" t="s">
        <v>356</v>
      </c>
      <c r="C42" t="s">
        <v>351</v>
      </c>
    </row>
    <row r="43" spans="2:3" ht="14" customHeight="1" x14ac:dyDescent="0.3">
      <c r="B43" s="4" t="s">
        <v>357</v>
      </c>
      <c r="C43" t="s">
        <v>347</v>
      </c>
    </row>
    <row r="44" spans="2:3" ht="14" customHeight="1" x14ac:dyDescent="0.3">
      <c r="B44" s="4" t="s">
        <v>358</v>
      </c>
      <c r="C44" t="s">
        <v>359</v>
      </c>
    </row>
    <row r="45" spans="2:3" ht="14" customHeight="1" x14ac:dyDescent="0.3">
      <c r="B45" s="4" t="s">
        <v>360</v>
      </c>
      <c r="C45" t="s">
        <v>361</v>
      </c>
    </row>
    <row r="46" spans="2:3" ht="14" customHeight="1" x14ac:dyDescent="0.3">
      <c r="B46" s="4" t="s">
        <v>362</v>
      </c>
      <c r="C46" t="s">
        <v>363</v>
      </c>
    </row>
    <row r="47" spans="2:3" ht="14" customHeight="1" x14ac:dyDescent="0.3">
      <c r="B47" s="4" t="s">
        <v>364</v>
      </c>
      <c r="C47" t="s">
        <v>365</v>
      </c>
    </row>
    <row r="48" spans="2:3" ht="14" customHeight="1" x14ac:dyDescent="0.3">
      <c r="B48" s="4" t="s">
        <v>366</v>
      </c>
      <c r="C48" t="s">
        <v>367</v>
      </c>
    </row>
    <row r="49" spans="2:3" ht="14" customHeight="1" x14ac:dyDescent="0.3">
      <c r="B49" s="4" t="s">
        <v>368</v>
      </c>
      <c r="C49" t="s">
        <v>369</v>
      </c>
    </row>
    <row r="50" spans="2:3" ht="14" customHeight="1" x14ac:dyDescent="0.3">
      <c r="B50" s="4" t="s">
        <v>370</v>
      </c>
      <c r="C50" t="s">
        <v>371</v>
      </c>
    </row>
    <row r="51" spans="2:3" ht="14" customHeight="1" x14ac:dyDescent="0.3">
      <c r="B51" s="4" t="s">
        <v>372</v>
      </c>
      <c r="C51" t="s">
        <v>373</v>
      </c>
    </row>
    <row r="52" spans="2:3" ht="14" x14ac:dyDescent="0.3">
      <c r="B52" s="4" t="s">
        <v>374</v>
      </c>
      <c r="C52" t="s">
        <v>375</v>
      </c>
    </row>
    <row r="53" spans="2:3" ht="14" x14ac:dyDescent="0.3">
      <c r="B53" s="4" t="s">
        <v>376</v>
      </c>
      <c r="C53" t="s">
        <v>377</v>
      </c>
    </row>
    <row r="54" spans="2:3" ht="14" x14ac:dyDescent="0.3">
      <c r="B54" s="4" t="s">
        <v>378</v>
      </c>
      <c r="C54" t="s">
        <v>379</v>
      </c>
    </row>
    <row r="55" spans="2:3" ht="14" x14ac:dyDescent="0.3">
      <c r="B55" s="4" t="s">
        <v>380</v>
      </c>
      <c r="C55" t="s">
        <v>381</v>
      </c>
    </row>
    <row r="56" spans="2:3" ht="14" x14ac:dyDescent="0.3">
      <c r="B56" s="4" t="s">
        <v>382</v>
      </c>
      <c r="C56" t="s">
        <v>383</v>
      </c>
    </row>
    <row r="57" spans="2:3" ht="14" x14ac:dyDescent="0.3">
      <c r="B57" s="4" t="s">
        <v>384</v>
      </c>
      <c r="C57" t="s">
        <v>385</v>
      </c>
    </row>
    <row r="58" spans="2:3" ht="14" x14ac:dyDescent="0.3">
      <c r="B58" s="4" t="s">
        <v>386</v>
      </c>
      <c r="C58" t="s">
        <v>387</v>
      </c>
    </row>
    <row r="59" spans="2:3" ht="14" x14ac:dyDescent="0.3">
      <c r="B59" s="4" t="s">
        <v>388</v>
      </c>
      <c r="C59" t="s">
        <v>389</v>
      </c>
    </row>
    <row r="60" spans="2:3" ht="14" x14ac:dyDescent="0.3">
      <c r="B60" s="4" t="s">
        <v>390</v>
      </c>
      <c r="C60" t="s">
        <v>391</v>
      </c>
    </row>
    <row r="61" spans="2:3" ht="14" x14ac:dyDescent="0.3">
      <c r="B61" s="4" t="s">
        <v>392</v>
      </c>
      <c r="C61" t="s">
        <v>393</v>
      </c>
    </row>
    <row r="62" spans="2:3" ht="14" x14ac:dyDescent="0.3">
      <c r="B62" s="4" t="s">
        <v>394</v>
      </c>
      <c r="C62" t="s">
        <v>395</v>
      </c>
    </row>
    <row r="63" spans="2:3" ht="14" x14ac:dyDescent="0.3">
      <c r="B63" s="4" t="s">
        <v>396</v>
      </c>
      <c r="C63" t="s">
        <v>397</v>
      </c>
    </row>
    <row r="64" spans="2:3" ht="14" x14ac:dyDescent="0.3">
      <c r="B64" s="4" t="s">
        <v>398</v>
      </c>
      <c r="C64" t="s">
        <v>399</v>
      </c>
    </row>
    <row r="65" spans="2:3" ht="14" x14ac:dyDescent="0.3">
      <c r="B65" s="4" t="s">
        <v>400</v>
      </c>
      <c r="C65" t="s">
        <v>401</v>
      </c>
    </row>
    <row r="66" spans="2:3" ht="14" x14ac:dyDescent="0.3">
      <c r="B66" s="4" t="s">
        <v>402</v>
      </c>
      <c r="C66" t="s">
        <v>403</v>
      </c>
    </row>
    <row r="67" spans="2:3" ht="14" x14ac:dyDescent="0.3">
      <c r="B67" s="4" t="s">
        <v>404</v>
      </c>
      <c r="C67" t="s">
        <v>405</v>
      </c>
    </row>
    <row r="68" spans="2:3" ht="14" x14ac:dyDescent="0.3">
      <c r="B68" s="4" t="s">
        <v>406</v>
      </c>
      <c r="C68"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2026-09-05T06:30:02Z</dcterms:created>
  <dcterms:modified xsi:type="dcterms:W3CDTF">2026-09-05T06:40:22Z</dcterms:modified>
</cp:coreProperties>
</file>