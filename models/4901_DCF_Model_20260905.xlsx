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BA96DE93-9943-4F60-AC2A-FC30F405E120}"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I16" i="6" s="1"/>
  <c r="N6" i="6"/>
  <c r="M6" i="6"/>
  <c r="G16" i="6" s="1"/>
  <c r="L6" i="6"/>
  <c r="F16" i="6" s="1"/>
  <c r="C28" i="6" s="1"/>
  <c r="C19" i="1" s="1"/>
  <c r="D19" i="1" s="1"/>
  <c r="K6" i="6"/>
  <c r="J6" i="6"/>
  <c r="O5" i="6"/>
  <c r="N5" i="6"/>
  <c r="D5" i="6"/>
  <c r="E5" i="6" s="1"/>
  <c r="C16" i="5"/>
  <c r="C14" i="5"/>
  <c r="C18" i="5" s="1"/>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F8" i="2"/>
  <c r="F9" i="2" s="1"/>
  <c r="E8" i="2"/>
  <c r="E9" i="2" s="1"/>
  <c r="D8" i="2"/>
  <c r="D9" i="2" s="1"/>
  <c r="C8" i="2"/>
  <c r="C9" i="2" s="1"/>
  <c r="H15" i="6" l="1"/>
  <c r="F15" i="6"/>
  <c r="G15" i="6"/>
  <c r="C31" i="3"/>
  <c r="D17" i="6"/>
  <c r="C26" i="3"/>
  <c r="D36" i="4" s="1"/>
  <c r="F32" i="3"/>
  <c r="E15" i="6"/>
  <c r="C70" i="4"/>
  <c r="C71" i="4"/>
  <c r="J5" i="6"/>
  <c r="K5" i="6"/>
  <c r="G46" i="3"/>
  <c r="H36" i="4"/>
  <c r="C30" i="3"/>
  <c r="C33" i="3" s="1"/>
  <c r="F31" i="3"/>
  <c r="H5" i="5"/>
  <c r="D7" i="5"/>
  <c r="I15" i="6"/>
  <c r="E17" i="6"/>
  <c r="I6" i="7"/>
  <c r="D30" i="3"/>
  <c r="G31" i="3"/>
  <c r="E7" i="5"/>
  <c r="L5" i="6"/>
  <c r="D16" i="6"/>
  <c r="F17" i="6"/>
  <c r="C17" i="7"/>
  <c r="G6" i="5"/>
  <c r="D31" i="3"/>
  <c r="H6" i="5"/>
  <c r="C32" i="3"/>
  <c r="M5" i="6"/>
  <c r="E16" i="6"/>
  <c r="G17" i="6"/>
  <c r="C6" i="7"/>
  <c r="D17" i="7"/>
  <c r="F5" i="5"/>
  <c r="E30" i="3"/>
  <c r="F7" i="5"/>
  <c r="F30" i="3"/>
  <c r="D32" i="3"/>
  <c r="E6" i="5"/>
  <c r="G7" i="5"/>
  <c r="D15" i="6"/>
  <c r="H17" i="6"/>
  <c r="D6" i="7"/>
  <c r="E17" i="7"/>
  <c r="E5" i="5"/>
  <c r="G32" i="3"/>
  <c r="D6" i="5"/>
  <c r="G30" i="3"/>
  <c r="E32" i="3"/>
  <c r="D5" i="5"/>
  <c r="F6" i="5"/>
  <c r="H7" i="5"/>
  <c r="I17" i="6"/>
  <c r="E6" i="7"/>
  <c r="F17" i="7"/>
  <c r="H16" i="6"/>
  <c r="F6" i="7"/>
  <c r="G17" i="7"/>
  <c r="G6" i="7"/>
  <c r="H17" i="7"/>
  <c r="E31" i="3"/>
  <c r="E36" i="4" l="1"/>
  <c r="C11" i="4"/>
  <c r="C24" i="4" s="1"/>
  <c r="C25" i="4" s="1"/>
  <c r="C27" i="4" s="1"/>
  <c r="F36" i="4"/>
  <c r="C46" i="3"/>
  <c r="C3" i="7"/>
  <c r="B11" i="7" s="1"/>
  <c r="G36" i="4"/>
  <c r="G41" i="4" s="1"/>
  <c r="E46" i="3"/>
  <c r="F46" i="3"/>
  <c r="D46" i="3"/>
  <c r="C29" i="4"/>
  <c r="C26" i="4"/>
  <c r="E39" i="4"/>
  <c r="E40" i="4"/>
  <c r="E50" i="4" s="1"/>
  <c r="E55" i="4" s="1"/>
  <c r="E38" i="4"/>
  <c r="E48" i="4" s="1"/>
  <c r="E53" i="4" s="1"/>
  <c r="E44" i="4"/>
  <c r="E41" i="4"/>
  <c r="E43" i="4"/>
  <c r="E46" i="4"/>
  <c r="E45" i="4"/>
  <c r="G38" i="4"/>
  <c r="G44" i="4"/>
  <c r="C27" i="6"/>
  <c r="C18" i="1" s="1"/>
  <c r="D18" i="1" s="1"/>
  <c r="C74" i="4"/>
  <c r="B13" i="7"/>
  <c r="B12" i="7"/>
  <c r="B8" i="7"/>
  <c r="B7" i="7"/>
  <c r="B24" i="7"/>
  <c r="B23" i="7"/>
  <c r="B22" i="7"/>
  <c r="B20" i="7"/>
  <c r="B18" i="7"/>
  <c r="H40" i="4"/>
  <c r="H41" i="4"/>
  <c r="H51" i="4" s="1"/>
  <c r="H56" i="4" s="1"/>
  <c r="H44" i="4"/>
  <c r="H38" i="4"/>
  <c r="H45" i="4"/>
  <c r="H39" i="4"/>
  <c r="H43" i="4"/>
  <c r="H46" i="4"/>
  <c r="F43" i="4"/>
  <c r="F44" i="4"/>
  <c r="F41" i="4"/>
  <c r="F38" i="4"/>
  <c r="F46" i="4"/>
  <c r="F45" i="4"/>
  <c r="F40" i="4"/>
  <c r="F50" i="4" s="1"/>
  <c r="F55" i="4" s="1"/>
  <c r="F39" i="4"/>
  <c r="C42" i="3"/>
  <c r="C34" i="3"/>
  <c r="D10" i="5" s="1"/>
  <c r="C37" i="3"/>
  <c r="D9" i="5"/>
  <c r="D12" i="5" s="1"/>
  <c r="D33" i="3"/>
  <c r="D45" i="4"/>
  <c r="D46" i="4"/>
  <c r="D39" i="4"/>
  <c r="D40" i="4"/>
  <c r="D50" i="4" s="1"/>
  <c r="D55" i="4" s="1"/>
  <c r="D44" i="4"/>
  <c r="D43" i="4"/>
  <c r="D38" i="4"/>
  <c r="D48" i="4" s="1"/>
  <c r="D53" i="4" s="1"/>
  <c r="D41" i="4"/>
  <c r="G45" i="4" l="1"/>
  <c r="G46" i="4"/>
  <c r="G51" i="4" s="1"/>
  <c r="G56" i="4" s="1"/>
  <c r="E49" i="4"/>
  <c r="E54" i="4" s="1"/>
  <c r="G43" i="4"/>
  <c r="G48" i="4" s="1"/>
  <c r="G53" i="4" s="1"/>
  <c r="B19" i="7"/>
  <c r="B9" i="7"/>
  <c r="G39" i="4"/>
  <c r="G49" i="4" s="1"/>
  <c r="G54" i="4" s="1"/>
  <c r="B10" i="7"/>
  <c r="G40" i="4"/>
  <c r="G50" i="4" s="1"/>
  <c r="G55" i="4" s="1"/>
  <c r="B21" i="7"/>
  <c r="E51" i="4"/>
  <c r="E56" i="4" s="1"/>
  <c r="D49" i="4"/>
  <c r="D54" i="4" s="1"/>
  <c r="H50" i="4"/>
  <c r="H55" i="4" s="1"/>
  <c r="F49" i="4"/>
  <c r="D15" i="5"/>
  <c r="D16" i="5" s="1"/>
  <c r="D13" i="5"/>
  <c r="D51" i="4"/>
  <c r="D56" i="4" s="1"/>
  <c r="D37" i="3"/>
  <c r="D35" i="3"/>
  <c r="E9" i="5"/>
  <c r="E12" i="5" s="1"/>
  <c r="E33" i="3"/>
  <c r="D42" i="3"/>
  <c r="D34" i="3"/>
  <c r="E10" i="5" s="1"/>
  <c r="H49" i="4"/>
  <c r="H54" i="4" s="1"/>
  <c r="D14" i="5"/>
  <c r="D18" i="5" s="1"/>
  <c r="D19" i="5" s="1"/>
  <c r="C44" i="3" s="1"/>
  <c r="C35" i="3"/>
  <c r="F48" i="4"/>
  <c r="F53" i="4" s="1"/>
  <c r="H48" i="4"/>
  <c r="H53" i="4" s="1"/>
  <c r="F51" i="4"/>
  <c r="F56" i="4" s="1"/>
  <c r="C36" i="3" l="1"/>
  <c r="C38" i="3"/>
  <c r="C39" i="3"/>
  <c r="E13" i="5"/>
  <c r="E14" i="5" s="1"/>
  <c r="E15" i="5"/>
  <c r="E16" i="5" s="1"/>
  <c r="F54" i="4"/>
  <c r="C60" i="4"/>
  <c r="B78" i="4"/>
  <c r="D36" i="3"/>
  <c r="D39" i="3"/>
  <c r="D38" i="3"/>
  <c r="F9" i="5"/>
  <c r="F12" i="5" s="1"/>
  <c r="E42" i="3"/>
  <c r="F33" i="3"/>
  <c r="E34" i="3"/>
  <c r="F10" i="5" s="1"/>
  <c r="E37" i="3"/>
  <c r="E18" i="5" l="1"/>
  <c r="E19" i="5" s="1"/>
  <c r="D44" i="3" s="1"/>
  <c r="F42" i="3"/>
  <c r="F34" i="3"/>
  <c r="G10" i="5" s="1"/>
  <c r="F37" i="3"/>
  <c r="G33" i="3"/>
  <c r="G9" i="5"/>
  <c r="G12" i="5" s="1"/>
  <c r="C64" i="4"/>
  <c r="D64" i="4" s="1"/>
  <c r="C67" i="4"/>
  <c r="D67" i="4" s="1"/>
  <c r="C63" i="4"/>
  <c r="D63" i="4" s="1"/>
  <c r="C65" i="4"/>
  <c r="D65" i="4" s="1"/>
  <c r="C66" i="4"/>
  <c r="D66" i="4" s="1"/>
  <c r="E35" i="3"/>
  <c r="F13" i="5"/>
  <c r="F14" i="5" s="1"/>
  <c r="F15" i="5"/>
  <c r="F16" i="5" s="1"/>
  <c r="C40" i="3"/>
  <c r="C41" i="3" s="1"/>
  <c r="C45" i="3" s="1"/>
  <c r="D40" i="3"/>
  <c r="D41" i="3" s="1"/>
  <c r="D45" i="3" s="1"/>
  <c r="D47" i="3" s="1"/>
  <c r="F18" i="5" l="1"/>
  <c r="F19" i="5" s="1"/>
  <c r="E44" i="3" s="1"/>
  <c r="C47" i="3"/>
  <c r="F35" i="3"/>
  <c r="G37" i="3"/>
  <c r="C16" i="4"/>
  <c r="C28" i="4" s="1"/>
  <c r="H9" i="5"/>
  <c r="H12" i="5" s="1"/>
  <c r="G42" i="3"/>
  <c r="G34" i="3"/>
  <c r="H10" i="5" s="1"/>
  <c r="E39" i="3"/>
  <c r="E38" i="3"/>
  <c r="E36" i="3"/>
  <c r="G13" i="5"/>
  <c r="G14" i="5" s="1"/>
  <c r="G18" i="5" s="1"/>
  <c r="G19" i="5" s="1"/>
  <c r="F44" i="3" s="1"/>
  <c r="G15" i="5"/>
  <c r="G16" i="5" s="1"/>
  <c r="C72" i="4" l="1"/>
  <c r="C73" i="4"/>
  <c r="H15" i="5"/>
  <c r="H16" i="5" s="1"/>
  <c r="H13" i="5"/>
  <c r="H14" i="5" s="1"/>
  <c r="H18" i="5" s="1"/>
  <c r="H19" i="5" s="1"/>
  <c r="G44" i="3" s="1"/>
  <c r="E40" i="3"/>
  <c r="E41" i="3" s="1"/>
  <c r="E45" i="3" s="1"/>
  <c r="F38" i="3"/>
  <c r="F36" i="3"/>
  <c r="F39" i="3"/>
  <c r="G35" i="3"/>
  <c r="F40" i="3" l="1"/>
  <c r="F41" i="3" s="1"/>
  <c r="F45" i="3" s="1"/>
  <c r="E47" i="3"/>
  <c r="G38" i="3"/>
  <c r="G36" i="3"/>
  <c r="G39" i="3"/>
  <c r="F47" i="3" l="1"/>
  <c r="C59" i="3"/>
  <c r="C60" i="3" s="1"/>
  <c r="C61" i="3" s="1"/>
  <c r="G40" i="3"/>
  <c r="G41" i="3" s="1"/>
  <c r="G45" i="3" s="1"/>
  <c r="G47" i="3" l="1"/>
  <c r="C50" i="3" s="1"/>
  <c r="C51" i="3"/>
  <c r="C52" i="3" s="1"/>
  <c r="E11" i="7"/>
  <c r="D20" i="7"/>
  <c r="D13" i="7"/>
  <c r="I12" i="7"/>
  <c r="C9" i="7"/>
  <c r="C11" i="7"/>
  <c r="E7" i="7"/>
  <c r="G19" i="7"/>
  <c r="G12" i="7"/>
  <c r="G24" i="7"/>
  <c r="H10" i="7"/>
  <c r="D8" i="7"/>
  <c r="F9" i="7"/>
  <c r="E20" i="7"/>
  <c r="E21" i="7"/>
  <c r="E24" i="7"/>
  <c r="E9" i="7"/>
  <c r="F24" i="7"/>
  <c r="G9" i="7"/>
  <c r="D19" i="7"/>
  <c r="C22" i="7"/>
  <c r="F11" i="7"/>
  <c r="F23" i="7"/>
  <c r="H12" i="7"/>
  <c r="C24" i="7"/>
  <c r="H11" i="7"/>
  <c r="D12" i="7"/>
  <c r="H9" i="7"/>
  <c r="C19" i="7"/>
  <c r="D24" i="7"/>
  <c r="E22" i="7"/>
  <c r="G21" i="7"/>
  <c r="G13" i="7"/>
  <c r="E10" i="7"/>
  <c r="F20" i="7"/>
  <c r="I23" i="7"/>
  <c r="D23" i="7"/>
  <c r="C12" i="7"/>
  <c r="F19" i="7"/>
  <c r="C8" i="7"/>
  <c r="F22" i="7"/>
  <c r="F8" i="7"/>
  <c r="D18" i="7"/>
  <c r="D21" i="7"/>
  <c r="E18" i="7"/>
  <c r="I20" i="7"/>
  <c r="E12" i="7"/>
  <c r="H8" i="7"/>
  <c r="G7" i="7"/>
  <c r="I9" i="7"/>
  <c r="C23" i="7"/>
  <c r="G23" i="7"/>
  <c r="G20" i="7"/>
  <c r="I19" i="7"/>
  <c r="I22" i="7"/>
  <c r="I11" i="7"/>
  <c r="F18" i="7"/>
  <c r="F21" i="7"/>
  <c r="G18" i="7"/>
  <c r="H13" i="7"/>
  <c r="D22" i="7"/>
  <c r="C7" i="7"/>
  <c r="D7" i="7"/>
  <c r="I13" i="7"/>
  <c r="F7" i="7"/>
  <c r="G22" i="7"/>
  <c r="F10" i="7"/>
  <c r="G10" i="7"/>
  <c r="I21" i="7"/>
  <c r="E19" i="7"/>
  <c r="H18" i="7"/>
  <c r="I10" i="7"/>
  <c r="H22" i="7"/>
  <c r="D11" i="7"/>
  <c r="E8" i="7"/>
  <c r="D9" i="7"/>
  <c r="I8" i="7"/>
  <c r="I18" i="7"/>
  <c r="H24" i="7"/>
  <c r="H19" i="7"/>
  <c r="H7" i="7"/>
  <c r="D10" i="7"/>
  <c r="I24" i="7"/>
  <c r="E23" i="7"/>
  <c r="H20" i="7"/>
  <c r="G8" i="7"/>
  <c r="C10" i="7"/>
  <c r="C20" i="7"/>
  <c r="H21" i="7"/>
  <c r="H23" i="7"/>
  <c r="G11" i="7"/>
  <c r="C21" i="7"/>
  <c r="C13" i="7"/>
  <c r="F13" i="7"/>
  <c r="E13" i="7"/>
  <c r="C18" i="7"/>
  <c r="I7" i="7"/>
  <c r="F12" i="7"/>
  <c r="C58" i="3" l="1"/>
  <c r="C62" i="3" s="1"/>
  <c r="C53" i="3"/>
  <c r="C17" i="4" l="1"/>
  <c r="C54" i="3"/>
  <c r="C55" i="3" s="1"/>
  <c r="C16" i="1"/>
  <c r="C17" i="1"/>
  <c r="D17" i="1" s="1"/>
  <c r="C63" i="3"/>
  <c r="C64" i="3" s="1"/>
  <c r="C19" i="4" l="1"/>
  <c r="C20" i="4" s="1"/>
  <c r="B79" i="4" s="1"/>
  <c r="D16" i="1"/>
  <c r="C21" i="1"/>
  <c r="C10" i="1"/>
  <c r="C12" i="1" s="1"/>
  <c r="C11" i="1" s="1"/>
</calcChain>
</file>

<file path=xl/sharedStrings.xml><?xml version="1.0" encoding="utf-8"?>
<sst xmlns="http://schemas.openxmlformats.org/spreadsheetml/2006/main" count="411" uniqueCount="331">
  <si>
    <t>DISCLAIMER: This is a sample analysis for demonstration purposes only. It does not constitute investment advice.</t>
  </si>
  <si>
    <t>富士フイルムホールディングス (4901.T)</t>
  </si>
  <si>
    <t>Equity Research Report</t>
  </si>
  <si>
    <t>Company</t>
  </si>
  <si>
    <t>富士フイルムホールディングス</t>
  </si>
  <si>
    <t>Ticker</t>
  </si>
  <si>
    <t>4901.T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</si>
  <si>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</si>
  <si>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</si>
  <si>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</si>
  <si>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</si>
  <si>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</si>
  <si>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</si>
  <si>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</si>
  <si>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</si>
  <si>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</si>
  <si>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</si>
  <si>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</si>
  <si>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</si>
  <si>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</si>
  <si>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</si>
  <si>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</si>
  <si>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</si>
  <si>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</si>
  <si>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</si>
  <si>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</si>
  <si>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</si>
  <si>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</si>
  <si>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</si>
  <si>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</si>
  <si>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</si>
  <si>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富士フイルムホールディングス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</si>
  <si>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</si>
  <si>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</si>
  <si>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</si>
  <si>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</si>
  <si>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</si>
  <si>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</si>
  <si>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</si>
  <si>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</si>
  <si>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</si>
  <si>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</si>
  <si>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</si>
  <si>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</si>
  <si>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</si>
  <si>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</si>
  <si>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</si>
  <si>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</si>
  <si>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</si>
  <si>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</si>
  <si>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</si>
  <si>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</si>
  <si>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</si>
  <si>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</si>
  <si>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</si>
  <si>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</si>
  <si>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</si>
  <si>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</si>
  <si>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</si>
  <si>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0/4, Cash 4/4, Debt 4/4 — blank cells are years with no year-key match in the source data (verify against 決算短信 or set hist_ocf / hist_cash / hist_debt in overrides).</t>
  </si>
  <si>
    <t>DCF Valuation Model - 富士フイルムホールディングス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</si>
  <si>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</si>
  <si>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</si>
  <si>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</si>
  <si>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</si>
  <si>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</si>
  <si>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</si>
  <si>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</si>
  <si>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</si>
  <si>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</si>
  <si>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</si>
  <si>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</si>
  <si>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</si>
  <si>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</si>
  <si>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</si>
  <si>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</si>
  <si>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</si>
  <si>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</si>
  <si>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</si>
  <si>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</si>
  <si>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</si>
  <si>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</si>
  <si>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</si>
  <si>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</si>
  <si>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</si>
  <si>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</si>
  <si>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</si>
  <si>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</si>
  <si>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</si>
  <si>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</si>
  <si>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</si>
  <si>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</si>
  <si>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</si>
  <si>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</si>
  <si>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</si>
  <si>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</si>
  <si>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</si>
  <si>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</si>
  <si>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</si>
  <si>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</si>
  <si>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</si>
  <si>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</si>
  <si>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</si>
  <si>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</si>
  <si>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</si>
  <si>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</si>
  <si>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</si>
  <si>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</si>
  <si>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</si>
  <si>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</si>
  <si>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</si>
  <si>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</si>
  <si>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</si>
  <si>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</si>
  <si>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</si>
  <si>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</si>
  <si>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</si>
  <si>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</si>
  <si>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</si>
  <si>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</si>
  <si>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</si>
  <si>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</si>
  <si>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</si>
  <si>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</si>
  <si>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</si>
  <si>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富士フイルムホールディングス (4901.T)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</si>
  <si>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</si>
  <si>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</si>
  <si>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</si>
  <si>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</si>
  <si>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</si>
  <si>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</si>
  <si>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</si>
  <si>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</si>
  <si>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</si>
  <si>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</si>
  <si>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</si>
  <si>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</si>
  <si>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</si>
  <si>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</si>
  <si>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</si>
  <si>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</si>
  <si>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</si>
  <si>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</si>
  <si>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</si>
  <si>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</si>
  <si>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</si>
  <si>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</si>
  <si>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</si>
  <si>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</si>
  <si>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</si>
  <si>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</si>
  <si>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</si>
  <si>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</si>
  <si>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</si>
  <si>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</si>
  <si>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</si>
  <si>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</si>
  <si>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</si>
  <si>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</si>
  <si>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</si>
  <si>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</si>
  <si>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</si>
  <si>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</si>
  <si>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</si>
  <si>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</si>
  <si>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</si>
  <si>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</si>
  <si>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</si>
  <si>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</si>
  <si>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</si>
  <si>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</si>
  <si>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</si>
  <si>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</si>
  <si>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</si>
  <si>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</si>
  <si>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</si>
  <si>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富士フイルムホールディングス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</si>
  <si>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</si>
  <si>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</si>
  <si>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</si>
  <si>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</si>
  <si>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</si>
  <si>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</si>
  <si>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</si>
  <si>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</si>
  <si>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</si>
  <si>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</si>
  <si>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</si>
  <si>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</si>
  <si>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</si>
  <si>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</si>
  <si>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</si>
  <si>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</si>
  <si>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</si>
  <si>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</si>
  <si>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</si>
  <si>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</si>
  <si>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</si>
  <si>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</si>
  <si>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</si>
  <si>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</si>
  <si>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</si>
  <si>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</si>
  <si>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</si>
  <si>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</si>
  <si>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</si>
  <si>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</si>
  <si>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</si>
  <si>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</si>
  <si>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</si>
  <si>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</si>
  <si>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FUJIFILM Holdings Corporation</t>
  </si>
  <si>
    <t>4901.T</t>
  </si>
  <si>
    <t>Canon Inc.</t>
  </si>
  <si>
    <t>7751.T</t>
  </si>
  <si>
    <t>Seiko Epson Corporation</t>
  </si>
  <si>
    <t>6724.T</t>
  </si>
  <si>
    <t>Konica Minolta, Inc.</t>
  </si>
  <si>
    <t>4902.T</t>
  </si>
  <si>
    <t>Brother Industries, Ltd.</t>
  </si>
  <si>
    <t>6448.T</t>
  </si>
  <si>
    <t>Terumo Corporation</t>
  </si>
  <si>
    <t>4543.T</t>
  </si>
  <si>
    <t>Statistics</t>
  </si>
  <si>
    <t>25th Percentile</t>
  </si>
  <si>
    <t>Median (50th)</t>
  </si>
  <si>
    <t>75th Percentile</t>
  </si>
  <si>
    <t>Implied Valuation for 富士フイルムホールディングス</t>
  </si>
  <si>
    <t>富士フイルムホールディングス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</si>
  <si>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</si>
  <si>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</si>
  <si>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</si>
  <si>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</si>
  <si>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</si>
  <si>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</si>
  <si>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</si>
  <si>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</si>
  <si>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</si>
  <si>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</si>
  <si>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</si>
  <si>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</si>
  <si>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</si>
  <si>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</si>
  <si>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</si>
  <si>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富士フイルムホールディングス</t>
  </si>
  <si>
    <t>日付</t>
  </si>
  <si>
    <t>セル</t>
  </si>
  <si>
    <t>変更内容</t>
  </si>
  <si>
    <t>理由</t>
  </si>
  <si>
    <t>元の値</t>
  </si>
  <si>
    <t>状態</t>
  </si>
  <si>
    <t>2026-09-06</t>
  </si>
  <si>
    <t>-</t>
  </si>
  <si>
    <t>Generated by pipeline on 2026-09-06 02:17, template rev c9b5dd9</t>
  </si>
  <si>
    <t>初期生成（手修正なし）</t>
  </si>
  <si>
    <t>generated</t>
  </si>
  <si>
    <t>DCF Model!C11</t>
  </si>
  <si>
    <t>After-tax Cost of Debt = 0.41% (実績ベース)</t>
  </si>
  <si>
    <t>実績Kd = 支払利息4,993 ÷ 平均有利子負債914,649(期首802,285/期末1,027,013、debt_beginning/debt_ending) = 税引前0.55% × (1−25.0%) = 0.41%。【マージナルコスト注記】これは既存借入の実績平均コストであり、新規調達の限界コストではない。テンプレ既定(税引前2.8%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</si>
  <si>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</si>
  <si>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</si>
  <si>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Pipeline Metadata (do not edit — read by scripts/validate_output.py)</t>
  </si>
  <si>
    <t>key</t>
  </si>
  <si>
    <t>value</t>
  </si>
  <si>
    <t>auto_log_entries</t>
  </si>
  <si>
    <t>1</t>
  </si>
  <si>
    <t>capex_pct_basis</t>
  </si>
  <si>
    <t>assumption</t>
  </si>
  <si>
    <t>capex_pct_c5</t>
  </si>
  <si>
    <t>0.053865</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</si>
  <si>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</si>
  <si>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</si>
  <si>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</si>
  <si>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</si>
  <si>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</si>
  <si>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</si>
  <si>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</si>
  <si>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</si>
  <si>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</si>
  <si>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</si>
  <si>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</si>
  <si>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</si>
  <si>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</si>
  <si>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</si>
  <si>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</si>
  <si>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</si>
  <si>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</si>
  <si>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</si>
  <si>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</si>
  <si>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</si>
  <si>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4,993 (expense 4,993 + fees 0) / avg debt 914,649 (debt_beginning/debt_ending) = 0.005459 pre-tax -&gt; 0.004100 after-tax</t>
  </si>
  <si>
    <t>cost_of_debt_at_c11</t>
  </si>
  <si>
    <t>0.0041</t>
  </si>
  <si>
    <t>cost_of_debt_avg_debt</t>
  </si>
  <si>
    <t>914649.0</t>
  </si>
  <si>
    <t>cost_of_debt_basis</t>
  </si>
  <si>
    <t>actual</t>
  </si>
  <si>
    <t>cost_of_debt_interest</t>
  </si>
  <si>
    <t>4993.0</t>
  </si>
  <si>
    <t>cost_of_debt_pretax</t>
  </si>
  <si>
    <t>0.005458924680396523</t>
  </si>
  <si>
    <t>da_pct_basis</t>
  </si>
  <si>
    <t>da_pct_c18</t>
  </si>
  <si>
    <t>0.0513</t>
  </si>
  <si>
    <t>da_pct_hist3yr</t>
  </si>
  <si>
    <t>0.000418</t>
  </si>
  <si>
    <t>fs_year_coverage</t>
  </si>
  <si>
    <t>OCF 0/4, Cash 4/4, Debt 4/4</t>
  </si>
  <si>
    <t>fs_year_map</t>
  </si>
  <si>
    <t>FY2023&lt;-FY2023[cash+debt]; FY2024&lt;-FY2024[cash+debt]; FY2025&lt;-FY2025[cash+debt]; FY2026&lt;-FY2026[cash+debt]</t>
  </si>
  <si>
    <t>fs_year_sources</t>
  </si>
  <si>
    <t>overrides: none | EDINET year-key match: hist_ocf, hist_cash, hist_debt, hist_capex, hist_depreciation</t>
  </si>
  <si>
    <t>fx_sensitivity</t>
  </si>
  <si>
    <t>not enabled</t>
  </si>
  <si>
    <t>generated_at</t>
  </si>
  <si>
    <t>2026-09-06 02:17:41</t>
  </si>
  <si>
    <t>ltm_revenue_c20</t>
  </si>
  <si>
    <t>46064.0</t>
  </si>
  <si>
    <t>ltm_revenue_source</t>
  </si>
  <si>
    <t>latest FY (no LTM)</t>
  </si>
  <si>
    <t>narrative_tokens_used</t>
  </si>
  <si>
    <t>reverse_dcf_sheet</t>
  </si>
  <si>
    <t>op0=350,210(FY2026) peak=350,210(FY2026) peak_opm=0.1043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</si>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</sst>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3313</v>
      </c>
    </row>
    <row r="10" spans="2:5" ht="14" x14ac:dyDescent="0.3">
      <c r="B10" s="4" t="s">
        <v>10</v>
      </c>
      <c r="C10" s="5">
        <f>IF(COUNT(C16:C17)=0,"N/A",ROUND(AVERAGE(C16:C17),0))</f>
        <v>2434</v>
      </c>
    </row>
    <row r="11" spans="2:5" ht="14" x14ac:dyDescent="0.3">
      <c r="B11" s="4" t="s">
        <v>11</v>
      </c>
      <c r="C11" s="6" t="str">
        <f>IF(NOT(ISNUMBER(C12)),"N/A",IF(C12&gt;0.15,"BUY",IF(C12&gt;0.05,"HOLD","SELL")))</f>
        <v>SELL</v>
      </c>
    </row>
    <row r="12" spans="2:5" ht="14" x14ac:dyDescent="0.3">
      <c r="B12" s="4" t="s">
        <v>12</v>
      </c>
      <c r="C12" s="7">
        <f>IF(ISNUMBER(C10),(C10-C9)/C9,"N/A")</f>
        <v>-0.26531844249924541</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2479</v>
      </c>
      <c r="D16" s="7">
        <f>IF(ISNUMBER(C16),(C16-C9)/C9,"N/A")</f>
        <v>-0.25173558708119531</v>
      </c>
    </row>
    <row r="17" spans="2:5" ht="13.5" x14ac:dyDescent="0.25">
      <c r="B17" t="s">
        <v>18</v>
      </c>
      <c r="C17" s="11">
        <f>IF('DCF Model'!C62&lt;'DCF Model'!C16,"INVALID (EV &lt; net debt)",'DCF Model'!C64)</f>
        <v>2388</v>
      </c>
      <c r="D17" s="7">
        <f>IF(ISNUMBER(C17),(C17-C9)/C9,"N/A")</f>
        <v>-0.27920313914880773</v>
      </c>
    </row>
    <row r="18" spans="2:5" ht="13.5" x14ac:dyDescent="0.25">
      <c r="B18" t="s">
        <v>19</v>
      </c>
      <c r="C18" s="11">
        <f>'Comps Analysis'!C27</f>
        <v>2657</v>
      </c>
      <c r="D18" s="7">
        <f>IF(ISNUMBER(C18),(C18-C9)/C9,"N/A")</f>
        <v>-0.1980078478720193</v>
      </c>
    </row>
    <row r="19" spans="2:5" ht="13.5" x14ac:dyDescent="0.25">
      <c r="B19" t="s">
        <v>20</v>
      </c>
      <c r="C19" s="11">
        <f>'Comps Analysis'!C28</f>
        <v>211</v>
      </c>
      <c r="D19" s="7">
        <f>IF(ISNUMBER(C19),(C19-C9)/C9,"N/A")</f>
        <v>-0.93631150015092057</v>
      </c>
    </row>
    <row r="20" spans="2:5" ht="14" x14ac:dyDescent="0.3">
      <c r="B20" s="45" t="s">
        <v>21</v>
      </c>
      <c r="C20" s="44"/>
      <c r="D20" s="44"/>
      <c r="E20" s="44"/>
    </row>
    <row r="21" spans="2:5" ht="14" x14ac:dyDescent="0.3">
      <c r="B21" s="4" t="s">
        <v>22</v>
      </c>
      <c r="C21" s="6" t="str">
        <f>IF(COUNT(C16:C17)=0,"N/A",MIN(C16:C17)&amp;" - "&amp;MAX(C16:C17))</f>
        <v>2388 - 2479</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2859041</v>
      </c>
      <c r="D6" s="5">
        <v>2960916</v>
      </c>
      <c r="E6" s="5">
        <v>3195828</v>
      </c>
      <c r="F6" s="5">
        <v>3356969</v>
      </c>
    </row>
    <row r="7" spans="2:6" ht="14" x14ac:dyDescent="0.3">
      <c r="B7" s="4" t="s">
        <v>38</v>
      </c>
      <c r="C7" s="5">
        <v>1721113</v>
      </c>
      <c r="D7" s="5">
        <v>1774656</v>
      </c>
      <c r="E7" s="5">
        <v>1895749</v>
      </c>
      <c r="F7" s="5">
        <v>1987457</v>
      </c>
    </row>
    <row r="8" spans="2:6" ht="14" x14ac:dyDescent="0.3">
      <c r="B8" s="4" t="s">
        <v>39</v>
      </c>
      <c r="C8" s="5">
        <f>C6-C7</f>
        <v>1137928</v>
      </c>
      <c r="D8" s="5">
        <f>D6-D7</f>
        <v>1186260</v>
      </c>
      <c r="E8" s="5">
        <f>E6-E7</f>
        <v>1300079</v>
      </c>
      <c r="F8" s="5">
        <f>F6-F7</f>
        <v>1369512</v>
      </c>
    </row>
    <row r="9" spans="2:6" ht="13.5" x14ac:dyDescent="0.25">
      <c r="B9" t="s">
        <v>40</v>
      </c>
      <c r="C9" s="7">
        <f>C8/C6</f>
        <v>0.39801038180284926</v>
      </c>
      <c r="D9" s="7">
        <f>D8/D6</f>
        <v>0.40063953182055823</v>
      </c>
      <c r="E9" s="7">
        <f>E8/E6</f>
        <v>0.40680505959644886</v>
      </c>
      <c r="F9" s="7">
        <f>F8/F6</f>
        <v>0.40796087184600155</v>
      </c>
    </row>
    <row r="10" spans="2:6" ht="14" x14ac:dyDescent="0.3">
      <c r="B10" s="4" t="s">
        <v>41</v>
      </c>
      <c r="C10" s="5">
        <v>864849</v>
      </c>
      <c r="D10" s="5">
        <v>909535</v>
      </c>
      <c r="E10" s="5">
        <v>969924</v>
      </c>
      <c r="F10" s="5">
        <v>1019302</v>
      </c>
    </row>
    <row r="11" spans="2:6" ht="14" x14ac:dyDescent="0.3">
      <c r="B11" s="4" t="s">
        <v>42</v>
      </c>
      <c r="C11" s="5">
        <v>273079</v>
      </c>
      <c r="D11" s="5">
        <v>276725</v>
      </c>
      <c r="E11" s="5">
        <v>330155</v>
      </c>
      <c r="F11" s="5">
        <v>350210</v>
      </c>
    </row>
    <row r="12" spans="2:6" ht="14" x14ac:dyDescent="0.3">
      <c r="B12" s="4" t="s">
        <v>43</v>
      </c>
      <c r="C12" s="5">
        <v>219422</v>
      </c>
      <c r="D12" s="5">
        <v>243509</v>
      </c>
      <c r="E12" s="5">
        <v>260720</v>
      </c>
      <c r="F12" s="5">
        <v>276415</v>
      </c>
    </row>
    <row r="13" spans="2:6" ht="13.5" x14ac:dyDescent="0.25">
      <c r="B13" t="s">
        <v>44</v>
      </c>
      <c r="C13" s="7">
        <f>C11/C6</f>
        <v>9.5514195144455777E-2</v>
      </c>
      <c r="D13" s="7">
        <f>D11/D6</f>
        <v>9.3459253825505351E-2</v>
      </c>
      <c r="E13" s="7">
        <f>E11/E6</f>
        <v>0.10330812546857966</v>
      </c>
      <c r="F13" s="7">
        <f>F11/F6</f>
        <v>0.10432327495428168</v>
      </c>
    </row>
    <row r="14" spans="2:6" ht="13.5" x14ac:dyDescent="0.25">
      <c r="B14" t="s">
        <v>45</v>
      </c>
      <c r="C14" s="7">
        <f>C12/C6</f>
        <v>7.6746713321005189E-2</v>
      </c>
      <c r="D14" s="7">
        <f>D12/D6</f>
        <v>8.2241103766537108E-2</v>
      </c>
      <c r="E14" s="7">
        <f>E12/E6</f>
        <v>8.1581361700316782E-2</v>
      </c>
      <c r="F14" s="7">
        <f>F12/F6</f>
        <v>8.2340647173089768E-2</v>
      </c>
    </row>
    <row r="15" spans="2:6" ht="13.5" x14ac:dyDescent="0.25">
      <c r="B15" t="s">
        <v>46</v>
      </c>
      <c r="C15" t="s">
        <v>47</v>
      </c>
      <c r="D15" s="7">
        <f>(D6-C6)/C6</f>
        <v>3.5632577497139772E-2</v>
      </c>
      <c r="E15" s="7">
        <f>(E6-D6)/D6</f>
        <v>7.9337610388136651E-2</v>
      </c>
      <c r="F15" s="7">
        <f>(F6-E6)/E6</f>
        <v>5.0422300574373836E-2</v>
      </c>
    </row>
    <row r="16" spans="2:6" ht="13.5" x14ac:dyDescent="0.25">
      <c r="B16" t="s">
        <v>48</v>
      </c>
      <c r="C16" t="s">
        <v>47</v>
      </c>
      <c r="D16" s="7">
        <f>(D11-C11)/C11</f>
        <v>1.3351447749552327E-2</v>
      </c>
      <c r="E16" s="7">
        <f>(E11-D11)/D11</f>
        <v>0.19307977233715784</v>
      </c>
      <c r="F16" s="7">
        <f>(F11-E11)/E11</f>
        <v>6.0744195907982614E-2</v>
      </c>
    </row>
    <row r="18" spans="2:6" ht="14" x14ac:dyDescent="0.3">
      <c r="B18" s="3" t="s">
        <v>49</v>
      </c>
    </row>
    <row r="19" spans="2:6" ht="14" x14ac:dyDescent="0.3">
      <c r="B19" s="4" t="s">
        <v>50</v>
      </c>
      <c r="C19" s="5"/>
      <c r="D19" s="5"/>
      <c r="E19" s="5"/>
      <c r="F19" s="5"/>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19516</v>
      </c>
      <c r="D26" s="5">
        <v>3370</v>
      </c>
      <c r="E26" s="5">
        <v>2611</v>
      </c>
      <c r="F26" s="5">
        <v>556</v>
      </c>
    </row>
    <row r="27" spans="2:6" ht="14" x14ac:dyDescent="0.3">
      <c r="B27" s="4" t="s">
        <v>57</v>
      </c>
      <c r="C27" s="5">
        <v>372029</v>
      </c>
      <c r="D27" s="5">
        <v>633007</v>
      </c>
      <c r="E27" s="5">
        <v>790686</v>
      </c>
      <c r="F27" s="5">
        <v>1100956</v>
      </c>
    </row>
    <row r="28" spans="2:6" ht="14" x14ac:dyDescent="0.3">
      <c r="B28" s="4" t="s">
        <v>58</v>
      </c>
      <c r="C28" s="5">
        <f>C27-C26</f>
        <v>352513</v>
      </c>
      <c r="D28" s="5">
        <f>D27-D26</f>
        <v>629637</v>
      </c>
      <c r="E28" s="5">
        <f>E27-E26</f>
        <v>788075</v>
      </c>
      <c r="F28" s="5">
        <f>F27-F26</f>
        <v>1100400</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5.3865000000000003E-2</v>
      </c>
    </row>
    <row r="6" spans="2:7" ht="14" x14ac:dyDescent="0.3">
      <c r="B6" s="4" t="s">
        <v>63</v>
      </c>
      <c r="C6" s="7">
        <v>0.25</v>
      </c>
    </row>
    <row r="7" spans="2:7" ht="14" x14ac:dyDescent="0.3">
      <c r="B7" s="4" t="s">
        <v>64</v>
      </c>
      <c r="C7" s="7">
        <v>2.9700000000000001E-2</v>
      </c>
    </row>
    <row r="8" spans="2:7" ht="14" x14ac:dyDescent="0.3">
      <c r="B8" s="4" t="s">
        <v>65</v>
      </c>
      <c r="C8" s="12">
        <v>0.6</v>
      </c>
    </row>
    <row r="9" spans="2:7" ht="14" x14ac:dyDescent="0.3">
      <c r="B9" s="4" t="s">
        <v>66</v>
      </c>
      <c r="C9" s="7">
        <v>6.5000000000000002E-2</v>
      </c>
    </row>
    <row r="10" spans="2:7" ht="14" x14ac:dyDescent="0.3">
      <c r="B10" s="4" t="s">
        <v>67</v>
      </c>
      <c r="C10" s="7">
        <v>0.01</v>
      </c>
    </row>
    <row r="11" spans="2:7" ht="14" x14ac:dyDescent="0.3">
      <c r="B11" s="4" t="s">
        <v>68</v>
      </c>
      <c r="C11" s="7">
        <v>4.1000000000000003E-3</v>
      </c>
    </row>
    <row r="12" spans="2:7" ht="14" x14ac:dyDescent="0.3">
      <c r="B12" s="4" t="s">
        <v>69</v>
      </c>
      <c r="C12" s="13">
        <v>0.2162</v>
      </c>
    </row>
    <row r="13" spans="2:7" ht="14" x14ac:dyDescent="0.3">
      <c r="B13" s="4" t="s">
        <v>70</v>
      </c>
      <c r="C13" s="7">
        <v>0.01</v>
      </c>
    </row>
    <row r="14" spans="2:7" ht="14" x14ac:dyDescent="0.3">
      <c r="B14" s="4" t="s">
        <v>71</v>
      </c>
      <c r="C14" s="14">
        <v>7.7</v>
      </c>
    </row>
    <row r="15" spans="2:7" ht="14" x14ac:dyDescent="0.3">
      <c r="B15" s="4" t="s">
        <v>72</v>
      </c>
      <c r="C15" s="15">
        <v>1195987347</v>
      </c>
    </row>
    <row r="16" spans="2:7" ht="14" x14ac:dyDescent="0.3">
      <c r="B16" s="4" t="s">
        <v>73</v>
      </c>
      <c r="C16" s="5">
        <v>856460</v>
      </c>
    </row>
    <row r="17" spans="2:7" ht="14" x14ac:dyDescent="0.3">
      <c r="B17" s="4" t="s">
        <v>74</v>
      </c>
      <c r="C17" s="5">
        <v>3356969</v>
      </c>
    </row>
    <row r="18" spans="2:7" ht="14" x14ac:dyDescent="0.3">
      <c r="B18" s="4" t="s">
        <v>75</v>
      </c>
      <c r="C18" s="7">
        <v>5.1299999999999998E-2</v>
      </c>
    </row>
    <row r="19" spans="2:7" ht="14" x14ac:dyDescent="0.3">
      <c r="B19" s="4" t="s">
        <v>76</v>
      </c>
      <c r="C19" s="12">
        <v>1</v>
      </c>
    </row>
    <row r="20" spans="2:7" ht="14" x14ac:dyDescent="0.3">
      <c r="B20" s="4" t="s">
        <v>77</v>
      </c>
      <c r="C20" s="5">
        <v>46064</v>
      </c>
    </row>
    <row r="22" spans="2:7" ht="14" x14ac:dyDescent="0.3">
      <c r="B22" s="8" t="s">
        <v>78</v>
      </c>
      <c r="C22" s="9"/>
      <c r="D22" s="9"/>
      <c r="E22" s="9"/>
      <c r="F22" s="9"/>
      <c r="G22" s="9"/>
    </row>
    <row r="23" spans="2:7" ht="14" x14ac:dyDescent="0.3">
      <c r="B23" s="4" t="s">
        <v>79</v>
      </c>
      <c r="C23" s="16">
        <f>C7+C8*C9+C10</f>
        <v>7.8699999999999992E-2</v>
      </c>
    </row>
    <row r="24" spans="2:7" ht="14" x14ac:dyDescent="0.3">
      <c r="B24" s="4" t="s">
        <v>80</v>
      </c>
      <c r="C24" s="16">
        <f>1/(1+C12)</f>
        <v>0.82223318533136003</v>
      </c>
    </row>
    <row r="25" spans="2:7" ht="14" x14ac:dyDescent="0.3">
      <c r="B25" s="4" t="s">
        <v>81</v>
      </c>
      <c r="C25" s="16">
        <f>C12/(1+C12)</f>
        <v>0.17776681466864003</v>
      </c>
    </row>
    <row r="26" spans="2:7" ht="14" x14ac:dyDescent="0.3">
      <c r="B26" s="4" t="s">
        <v>82</v>
      </c>
      <c r="C26" s="16">
        <f>C23*C24+C11*C25</f>
        <v>6.5438595625719465E-2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x14ac:dyDescent="0.3">
      <c r="B31" s="4" t="s">
        <v>91</v>
      </c>
      <c r="C31" s="18">
        <f>CHOOSE($D$27,C76,C77,C78,C79,C80)</f>
        <v>0.59199999999999997</v>
      </c>
      <c r="D31" s="18">
        <f>CHOOSE($D$27,D76,D77,D78,D79,D80)</f>
        <v>0.59199999999999997</v>
      </c>
      <c r="E31" s="18">
        <f>CHOOSE($D$27,E76,E77,E78,E79,E80)</f>
        <v>0.59199999999999997</v>
      </c>
      <c r="F31" s="18">
        <f>CHOOSE($D$27,F76,F77,F78,F79,F80)</f>
        <v>0.59199999999999997</v>
      </c>
      <c r="G31" s="18">
        <f>CHOOSE($D$27,G76,G77,G78,G79,G80)</f>
        <v>0.59199999999999997</v>
      </c>
    </row>
    <row r="32" spans="2:7" ht="14" x14ac:dyDescent="0.3">
      <c r="B32" s="4" t="s">
        <v>92</v>
      </c>
      <c r="C32" s="18">
        <f>CHOOSE($D$27,C83,C84,C85,C86,C87)</f>
        <v>0.309</v>
      </c>
      <c r="D32" s="18">
        <f>CHOOSE($D$27,D83,D84,D85,D86,D87)</f>
        <v>0.3075</v>
      </c>
      <c r="E32" s="18">
        <f>CHOOSE($D$27,E83,E84,E85,E86,E87)</f>
        <v>0.30599999999999999</v>
      </c>
      <c r="F32" s="18">
        <f>CHOOSE($D$27,F83,F84,F85,F86,F87)</f>
        <v>0.30499999999999999</v>
      </c>
      <c r="G32" s="18">
        <f>CHOOSE($D$27,G83,G84,G85,G86,G87)</f>
        <v>0.30409999999999998</v>
      </c>
    </row>
    <row r="33" spans="2:7" ht="14" x14ac:dyDescent="0.3">
      <c r="B33" s="4" t="s">
        <v>37</v>
      </c>
      <c r="C33" s="5">
        <f>C17*(1+C30)</f>
        <v>3491247.7600000002</v>
      </c>
      <c r="D33" s="5">
        <f>C33*(1+D30)</f>
        <v>3613441.4315999998</v>
      </c>
      <c r="E33" s="5">
        <f>D33*(1+E30)</f>
        <v>3721844.6745480001</v>
      </c>
      <c r="F33" s="5">
        <f>E33*(1+F30)</f>
        <v>3833500.0147844404</v>
      </c>
      <c r="G33" s="5">
        <f>F33*(1+G30)</f>
        <v>3929337.5151540511</v>
      </c>
    </row>
    <row r="34" spans="2:7" ht="14" x14ac:dyDescent="0.3">
      <c r="B34" s="4" t="s">
        <v>38</v>
      </c>
      <c r="C34" s="5">
        <f>C33*C31</f>
        <v>2066818.67392</v>
      </c>
      <c r="D34" s="5">
        <f>D33*D31</f>
        <v>2139157.3275071997</v>
      </c>
      <c r="E34" s="5">
        <f>E33*E31</f>
        <v>2203332.0473324158</v>
      </c>
      <c r="F34" s="5">
        <f>F33*F31</f>
        <v>2269432.0087523884</v>
      </c>
      <c r="G34" s="5">
        <f>G33*G31</f>
        <v>2326167.8089711983</v>
      </c>
    </row>
    <row r="35" spans="2:7" ht="14" x14ac:dyDescent="0.3">
      <c r="B35" s="4" t="s">
        <v>39</v>
      </c>
      <c r="C35" s="19">
        <f>C33-C34</f>
        <v>1424429.0860800003</v>
      </c>
      <c r="D35" s="19">
        <f>D33-D34</f>
        <v>1474284.1040928001</v>
      </c>
      <c r="E35" s="19">
        <f>E33-E34</f>
        <v>1518512.6272155843</v>
      </c>
      <c r="F35" s="19">
        <f>F33-F34</f>
        <v>1564068.006032052</v>
      </c>
      <c r="G35" s="19">
        <f>G33-G34</f>
        <v>1603169.7061828529</v>
      </c>
    </row>
    <row r="36" spans="2:7" ht="14" x14ac:dyDescent="0.3">
      <c r="B36" s="4" t="s">
        <v>40</v>
      </c>
      <c r="C36" s="7">
        <f>C35/C33</f>
        <v>0.40800000000000003</v>
      </c>
      <c r="D36" s="7">
        <f>D35/D33</f>
        <v>0.40800000000000003</v>
      </c>
      <c r="E36" s="7">
        <f>E35/E33</f>
        <v>0.40800000000000008</v>
      </c>
      <c r="F36" s="7">
        <f>F35/F33</f>
        <v>0.40800000000000008</v>
      </c>
      <c r="G36" s="7">
        <f>G35/G33</f>
        <v>0.40799999999999997</v>
      </c>
    </row>
    <row r="37" spans="2:7" ht="14" x14ac:dyDescent="0.3">
      <c r="B37" s="4" t="s">
        <v>93</v>
      </c>
      <c r="C37" s="5">
        <f>C33*C32</f>
        <v>1078795.5578400001</v>
      </c>
      <c r="D37" s="5">
        <f>D33*D32</f>
        <v>1111133.240217</v>
      </c>
      <c r="E37" s="5">
        <f>E33*E32</f>
        <v>1138884.4704116881</v>
      </c>
      <c r="F37" s="5">
        <f>F33*F32</f>
        <v>1169217.5045092544</v>
      </c>
      <c r="G37" s="5">
        <f>G33*G32</f>
        <v>1194911.5383583468</v>
      </c>
    </row>
    <row r="38" spans="2:7" ht="14" x14ac:dyDescent="0.3">
      <c r="B38" s="4" t="s">
        <v>94</v>
      </c>
      <c r="C38" s="7">
        <f>(C35-C37)/C33</f>
        <v>9.9000000000000032E-2</v>
      </c>
      <c r="D38" s="7">
        <f>(D35-D37)/D33</f>
        <v>0.10050000000000002</v>
      </c>
      <c r="E38" s="7">
        <f>(E35-E37)/E33</f>
        <v>0.10200000000000005</v>
      </c>
      <c r="F38" s="7">
        <f>(F35-F37)/F33</f>
        <v>0.10300000000000006</v>
      </c>
      <c r="G38" s="7">
        <f>(G35-G37)/G33</f>
        <v>0.10390000000000003</v>
      </c>
    </row>
    <row r="39" spans="2:7" ht="14" x14ac:dyDescent="0.3">
      <c r="B39" s="4" t="s">
        <v>95</v>
      </c>
      <c r="C39" s="19">
        <f>C35-C37</f>
        <v>345633.52824000013</v>
      </c>
      <c r="D39" s="19">
        <f>D35-D37</f>
        <v>363150.86387580005</v>
      </c>
      <c r="E39" s="19">
        <f>E35-E37</f>
        <v>379628.15680389619</v>
      </c>
      <c r="F39" s="19">
        <f>F35-F37</f>
        <v>394850.50152279763</v>
      </c>
      <c r="G39" s="19">
        <f>G35-G37</f>
        <v>408258.16782450606</v>
      </c>
    </row>
    <row r="40" spans="2:7" ht="14" x14ac:dyDescent="0.3">
      <c r="B40" s="4" t="s">
        <v>96</v>
      </c>
      <c r="C40" s="5">
        <f>MAX(0,C39*C6)</f>
        <v>86408.382060000033</v>
      </c>
      <c r="D40" s="5">
        <f>MAX(0,D39*C6)</f>
        <v>90787.715968950011</v>
      </c>
      <c r="E40" s="5">
        <f>MAX(0,E39*C6)</f>
        <v>94907.039200974046</v>
      </c>
      <c r="F40" s="5">
        <f>MAX(0,F39*C6)</f>
        <v>98712.625380699406</v>
      </c>
      <c r="G40" s="5">
        <f>MAX(0,G39*C6)</f>
        <v>102064.54195612652</v>
      </c>
    </row>
    <row r="41" spans="2:7" ht="14" x14ac:dyDescent="0.3">
      <c r="B41" s="4" t="s">
        <v>97</v>
      </c>
      <c r="C41" s="19">
        <f>C39-C40</f>
        <v>259225.1461800001</v>
      </c>
      <c r="D41" s="19">
        <f>D39-D40</f>
        <v>272363.14790685003</v>
      </c>
      <c r="E41" s="19">
        <f>E39-E40</f>
        <v>284721.11760292214</v>
      </c>
      <c r="F41" s="19">
        <f>F39-F40</f>
        <v>296137.87614209822</v>
      </c>
      <c r="G41" s="19">
        <f>G39-G40</f>
        <v>306193.62586837955</v>
      </c>
    </row>
    <row r="42" spans="2:7" ht="14" x14ac:dyDescent="0.3">
      <c r="B42" s="4" t="s">
        <v>98</v>
      </c>
      <c r="C42" s="5">
        <f>C33*C18</f>
        <v>179101.01008800001</v>
      </c>
      <c r="D42" s="5">
        <f>D33*C18</f>
        <v>185369.54544107997</v>
      </c>
      <c r="E42" s="5">
        <f>E33*C18</f>
        <v>190930.6318043124</v>
      </c>
      <c r="F42" s="5">
        <f>F33*C18</f>
        <v>196658.55075844179</v>
      </c>
      <c r="G42" s="5">
        <f>G33*C18</f>
        <v>201575.01452740282</v>
      </c>
    </row>
    <row r="43" spans="2:7" ht="14" x14ac:dyDescent="0.3">
      <c r="B43" s="4" t="s">
        <v>99</v>
      </c>
      <c r="C43" s="5">
        <v>498800</v>
      </c>
      <c r="D43" s="5">
        <v>427000</v>
      </c>
      <c r="E43" s="5">
        <v>355200</v>
      </c>
      <c r="F43" s="5">
        <v>283500</v>
      </c>
      <c r="G43" s="5">
        <v>211700</v>
      </c>
    </row>
    <row r="44" spans="2:7" ht="14" x14ac:dyDescent="0.3">
      <c r="B44" s="4" t="s">
        <v>100</v>
      </c>
      <c r="C44" s="5">
        <f>'NWC Schedule'!D19</f>
        <v>47072.486469260184</v>
      </c>
      <c r="D44" s="5">
        <f>'NWC Schedule'!E19</f>
        <v>38475.272026424296</v>
      </c>
      <c r="E44" s="5">
        <f>'NWC Schedule'!F19</f>
        <v>34133.062754870392</v>
      </c>
      <c r="F44" s="5">
        <f>'NWC Schedule'!G19</f>
        <v>35157.054637516616</v>
      </c>
      <c r="G44" s="5">
        <f>'NWC Schedule'!H19</f>
        <v>30176.471897201845</v>
      </c>
    </row>
    <row r="45" spans="2:7" ht="14" x14ac:dyDescent="0.3">
      <c r="B45" s="4" t="s">
        <v>101</v>
      </c>
      <c r="C45" s="20">
        <f>C41+C42-C43-C44</f>
        <v>-107546.33020126005</v>
      </c>
      <c r="D45" s="20">
        <f>D41+D42-D43-D44</f>
        <v>-7742.5786784943193</v>
      </c>
      <c r="E45" s="20">
        <f>E41+E42-E43-E44</f>
        <v>86318.686652364151</v>
      </c>
      <c r="F45" s="20">
        <f>F41+F42-F43-F44</f>
        <v>174139.3722630234</v>
      </c>
      <c r="G45" s="20">
        <f>G41+G42-G43-G44</f>
        <v>265892.16849858052</v>
      </c>
    </row>
    <row r="46" spans="2:7" ht="14" x14ac:dyDescent="0.3">
      <c r="B46" s="4" t="s">
        <v>102</v>
      </c>
      <c r="C46" s="21">
        <f>1/(1+C26)^(C19+0)</f>
        <v>0.93858060343000038</v>
      </c>
      <c r="D46" s="21">
        <f>1/(1+C26)^(C19+1)</f>
        <v>0.88093354913502364</v>
      </c>
      <c r="E46" s="21">
        <f>1/(1+C26)^(C19+2)</f>
        <v>0.82682714212888231</v>
      </c>
      <c r="F46" s="21">
        <f>1/(1+C26)^(C19+3)</f>
        <v>0.7760439179916292</v>
      </c>
      <c r="G46" s="21">
        <f>1/(1+C26)^(C19+4)</f>
        <v>0.72837976883676514</v>
      </c>
    </row>
    <row r="47" spans="2:7" ht="14" x14ac:dyDescent="0.3">
      <c r="B47" s="4" t="s">
        <v>103</v>
      </c>
      <c r="C47" s="19">
        <f>C45*C46</f>
        <v>-100940.89949698072</v>
      </c>
      <c r="D47" s="19">
        <f>D45*D46</f>
        <v>-6820.6973147031622</v>
      </c>
      <c r="E47" s="19">
        <f>E45*E46</f>
        <v>71370.632997092747</v>
      </c>
      <c r="F47" s="19">
        <f>F45*F46</f>
        <v>135139.8007275995</v>
      </c>
      <c r="G47" s="19">
        <f>G45*G46</f>
        <v>193670.47622650227</v>
      </c>
    </row>
    <row r="49" spans="2:7" ht="14" x14ac:dyDescent="0.3">
      <c r="B49" s="22" t="s">
        <v>104</v>
      </c>
      <c r="C49" s="23"/>
      <c r="D49" s="23"/>
      <c r="E49" s="23"/>
      <c r="F49" s="23"/>
      <c r="G49" s="23"/>
    </row>
    <row r="50" spans="2:7" ht="14" x14ac:dyDescent="0.3">
      <c r="B50" s="4" t="s">
        <v>105</v>
      </c>
      <c r="C50" s="5">
        <f>SUM(C47:G47)</f>
        <v>292419.31313951063</v>
      </c>
    </row>
    <row r="51" spans="2:7" ht="14" x14ac:dyDescent="0.3">
      <c r="B51" s="4" t="s">
        <v>106</v>
      </c>
      <c r="C51" s="5">
        <f>G45*(1+C13)/(C26-C13)</f>
        <v>4844117.8415958686</v>
      </c>
    </row>
    <row r="52" spans="2:7" ht="14" x14ac:dyDescent="0.3">
      <c r="B52" s="4" t="s">
        <v>107</v>
      </c>
      <c r="C52" s="5">
        <f>C51*G46</f>
        <v>3528357.4336796487</v>
      </c>
    </row>
    <row r="53" spans="2:7" ht="14" x14ac:dyDescent="0.3">
      <c r="B53" s="4" t="s">
        <v>108</v>
      </c>
      <c r="C53" s="5">
        <f>C50+C52</f>
        <v>3820776.7468191595</v>
      </c>
    </row>
    <row r="54" spans="2:7" ht="14" x14ac:dyDescent="0.3">
      <c r="B54" s="4" t="s">
        <v>109</v>
      </c>
      <c r="C54" s="5">
        <f>C53-C16</f>
        <v>2964316.7468191595</v>
      </c>
    </row>
    <row r="55" spans="2:7" ht="14" x14ac:dyDescent="0.3">
      <c r="B55" s="4" t="s">
        <v>110</v>
      </c>
      <c r="C55" s="24">
        <f>ROUND(C54*1000000/C15,0)</f>
        <v>2479</v>
      </c>
    </row>
    <row r="57" spans="2:7" ht="14" x14ac:dyDescent="0.3">
      <c r="B57" s="22" t="s">
        <v>111</v>
      </c>
      <c r="C57" s="23"/>
      <c r="D57" s="23"/>
      <c r="E57" s="23"/>
      <c r="F57" s="23"/>
      <c r="G57" s="23"/>
    </row>
    <row r="58" spans="2:7" ht="14" x14ac:dyDescent="0.3">
      <c r="B58" s="4" t="s">
        <v>105</v>
      </c>
      <c r="C58" s="5">
        <f>C50</f>
        <v>292419.31313951063</v>
      </c>
    </row>
    <row r="59" spans="2:7" ht="14" x14ac:dyDescent="0.3">
      <c r="B59" s="4" t="s">
        <v>112</v>
      </c>
      <c r="C59" s="5">
        <f>G39+G42</f>
        <v>609833.18235190888</v>
      </c>
    </row>
    <row r="60" spans="2:7" ht="14" x14ac:dyDescent="0.3">
      <c r="B60" s="4" t="s">
        <v>113</v>
      </c>
      <c r="C60" s="5">
        <f>C59*C14</f>
        <v>4695715.5041096983</v>
      </c>
    </row>
    <row r="61" spans="2:7" ht="14" x14ac:dyDescent="0.3">
      <c r="B61" s="4" t="s">
        <v>107</v>
      </c>
      <c r="C61" s="5">
        <f>C60*G46</f>
        <v>3420264.1734066363</v>
      </c>
    </row>
    <row r="62" spans="2:7" ht="14" x14ac:dyDescent="0.3">
      <c r="B62" s="4" t="s">
        <v>108</v>
      </c>
      <c r="C62" s="5">
        <f>C58+C61</f>
        <v>3712683.4865461471</v>
      </c>
    </row>
    <row r="63" spans="2:7" ht="14" x14ac:dyDescent="0.3">
      <c r="B63" s="4" t="s">
        <v>109</v>
      </c>
      <c r="C63" s="5">
        <f>C62-C16</f>
        <v>2856223.4865461471</v>
      </c>
    </row>
    <row r="64" spans="2:7" ht="14" x14ac:dyDescent="0.3">
      <c r="B64" s="4" t="s">
        <v>114</v>
      </c>
      <c r="C64" s="24">
        <f>ROUND(C63*1000000/C15,0)</f>
        <v>2388</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0.04</v>
      </c>
      <c r="D69" s="26">
        <v>3.5000000000000003E-2</v>
      </c>
      <c r="E69" s="26">
        <v>0.03</v>
      </c>
      <c r="F69" s="26">
        <v>0.03</v>
      </c>
      <c r="G69" s="26">
        <v>2.5000000000000001E-2</v>
      </c>
    </row>
    <row r="70" spans="2:7" ht="14" x14ac:dyDescent="0.3">
      <c r="B70" s="4" t="s">
        <v>121</v>
      </c>
      <c r="C70" s="26">
        <v>0.06</v>
      </c>
      <c r="D70" s="26">
        <v>0.05</v>
      </c>
      <c r="E70" s="26">
        <v>4.4999999999999998E-2</v>
      </c>
      <c r="F70" s="26">
        <v>0.04</v>
      </c>
      <c r="G70" s="26">
        <v>3.5000000000000003E-2</v>
      </c>
    </row>
    <row r="71" spans="2:7" ht="14" x14ac:dyDescent="0.3">
      <c r="B71" s="4" t="s">
        <v>122</v>
      </c>
      <c r="C71" s="26">
        <v>0.04</v>
      </c>
      <c r="D71" s="26">
        <v>3.5000000000000003E-2</v>
      </c>
      <c r="E71" s="26">
        <v>0.03</v>
      </c>
      <c r="F71" s="26">
        <v>0.03</v>
      </c>
      <c r="G71" s="26">
        <v>2.5000000000000001E-2</v>
      </c>
    </row>
    <row r="72" spans="2:7" ht="14" x14ac:dyDescent="0.3">
      <c r="B72" s="4" t="s">
        <v>123</v>
      </c>
      <c r="C72" s="26">
        <v>0.01</v>
      </c>
      <c r="D72" s="26">
        <v>1.4999999999999999E-2</v>
      </c>
      <c r="E72" s="26">
        <v>0.02</v>
      </c>
      <c r="F72" s="26">
        <v>0.02</v>
      </c>
      <c r="G72" s="26">
        <v>0.02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0.59199999999999997</v>
      </c>
      <c r="D76" s="26">
        <v>0.59199999999999997</v>
      </c>
      <c r="E76" s="26">
        <v>0.59199999999999997</v>
      </c>
      <c r="F76" s="26">
        <v>0.59199999999999997</v>
      </c>
      <c r="G76" s="26">
        <v>0.59199999999999997</v>
      </c>
    </row>
    <row r="77" spans="2:7" ht="14" x14ac:dyDescent="0.3">
      <c r="B77" s="4" t="s">
        <v>121</v>
      </c>
      <c r="C77" s="26">
        <v>0.58399999999999996</v>
      </c>
      <c r="D77" s="26">
        <v>0.58399999999999996</v>
      </c>
      <c r="E77" s="26">
        <v>0.58399999999999996</v>
      </c>
      <c r="F77" s="26">
        <v>0.58399999999999996</v>
      </c>
      <c r="G77" s="26">
        <v>0.58399999999999996</v>
      </c>
    </row>
    <row r="78" spans="2:7" ht="14" x14ac:dyDescent="0.3">
      <c r="B78" s="4" t="s">
        <v>122</v>
      </c>
      <c r="C78" s="26">
        <v>0.59199999999999997</v>
      </c>
      <c r="D78" s="26">
        <v>0.59199999999999997</v>
      </c>
      <c r="E78" s="26">
        <v>0.59199999999999997</v>
      </c>
      <c r="F78" s="26">
        <v>0.59199999999999997</v>
      </c>
      <c r="G78" s="26">
        <v>0.59199999999999997</v>
      </c>
    </row>
    <row r="79" spans="2:7" ht="14" x14ac:dyDescent="0.3">
      <c r="B79" s="4" t="s">
        <v>123</v>
      </c>
      <c r="C79" s="26">
        <v>0.6</v>
      </c>
      <c r="D79" s="26">
        <v>0.6</v>
      </c>
      <c r="E79" s="26">
        <v>0.6</v>
      </c>
      <c r="F79" s="26">
        <v>0.6</v>
      </c>
      <c r="G79" s="26">
        <v>0.6</v>
      </c>
    </row>
    <row r="80" spans="2:7" ht="14" x14ac:dyDescent="0.3">
      <c r="B80" s="4" t="s">
        <v>124</v>
      </c>
      <c r="C80" s="26">
        <v>0.61499999999999999</v>
      </c>
      <c r="D80" s="26">
        <v>0.61499999999999999</v>
      </c>
      <c r="E80" s="26">
        <v>0.61499999999999999</v>
      </c>
      <c r="F80" s="26">
        <v>0.61499999999999999</v>
      </c>
      <c r="G80" s="26">
        <v>0.61499999999999999</v>
      </c>
    </row>
    <row r="82" spans="2:7" ht="14" x14ac:dyDescent="0.3">
      <c r="B82" s="3" t="s">
        <v>92</v>
      </c>
    </row>
    <row r="83" spans="2:7" ht="14" x14ac:dyDescent="0.3">
      <c r="B83" s="4" t="s">
        <v>84</v>
      </c>
      <c r="C83" s="26">
        <v>0.309</v>
      </c>
      <c r="D83" s="26">
        <v>0.3075</v>
      </c>
      <c r="E83" s="26">
        <v>0.30599999999999999</v>
      </c>
      <c r="F83" s="26">
        <v>0.30499999999999999</v>
      </c>
      <c r="G83" s="26">
        <v>0.30409999999999998</v>
      </c>
    </row>
    <row r="84" spans="2:7" ht="14" x14ac:dyDescent="0.3">
      <c r="B84" s="4" t="s">
        <v>121</v>
      </c>
      <c r="C84" s="26">
        <v>0.31</v>
      </c>
      <c r="D84" s="26">
        <v>0.3075</v>
      </c>
      <c r="E84" s="26">
        <v>0.30499999999999999</v>
      </c>
      <c r="F84" s="26">
        <v>0.30320000000000003</v>
      </c>
      <c r="G84" s="26">
        <v>0.30170000000000002</v>
      </c>
    </row>
    <row r="85" spans="2:7" ht="14" x14ac:dyDescent="0.3">
      <c r="B85" s="4" t="s">
        <v>122</v>
      </c>
      <c r="C85" s="26">
        <v>0.309</v>
      </c>
      <c r="D85" s="26">
        <v>0.3075</v>
      </c>
      <c r="E85" s="26">
        <v>0.30599999999999999</v>
      </c>
      <c r="F85" s="26">
        <v>0.30499999999999999</v>
      </c>
      <c r="G85" s="26">
        <v>0.30409999999999998</v>
      </c>
    </row>
    <row r="86" spans="2:7" ht="14" x14ac:dyDescent="0.3">
      <c r="B86" s="4" t="s">
        <v>123</v>
      </c>
      <c r="C86" s="26">
        <v>0.3</v>
      </c>
      <c r="D86" s="26">
        <v>0.30199999999999999</v>
      </c>
      <c r="E86" s="26">
        <v>0.30349999999999999</v>
      </c>
      <c r="F86" s="26">
        <v>0.30449999999999999</v>
      </c>
      <c r="G86" s="26">
        <v>0.30499999999999999</v>
      </c>
    </row>
    <row r="87" spans="2:7" ht="14" x14ac:dyDescent="0.3">
      <c r="B87" s="4" t="s">
        <v>124</v>
      </c>
      <c r="C87" s="26">
        <v>0.29899999999999999</v>
      </c>
      <c r="D87" s="26">
        <v>0.30399999999999999</v>
      </c>
      <c r="E87" s="26">
        <v>0.307</v>
      </c>
      <c r="F87" s="26">
        <v>0.3085</v>
      </c>
      <c r="G87" s="26">
        <v>0.31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3313</v>
      </c>
    </row>
    <row r="7" spans="2:9" ht="14" x14ac:dyDescent="0.3">
      <c r="B7" s="4" t="s">
        <v>72</v>
      </c>
      <c r="C7" s="15">
        <f>'DCF Model'!C15</f>
        <v>1195987347</v>
      </c>
    </row>
    <row r="8" spans="2:9" ht="14" x14ac:dyDescent="0.3">
      <c r="B8" s="4" t="s">
        <v>129</v>
      </c>
      <c r="C8" s="5">
        <f>C6*C7/1000000</f>
        <v>3962306.0806109998</v>
      </c>
    </row>
    <row r="9" spans="2:9" ht="14" x14ac:dyDescent="0.3">
      <c r="B9" s="4" t="s">
        <v>73</v>
      </c>
      <c r="C9" s="5">
        <f>'DCF Model'!C16</f>
        <v>856460</v>
      </c>
    </row>
    <row r="10" spans="2:9" ht="14" x14ac:dyDescent="0.3">
      <c r="B10" s="4" t="s">
        <v>130</v>
      </c>
      <c r="C10" s="5">
        <f>C8+C9</f>
        <v>4818766.0806109998</v>
      </c>
    </row>
    <row r="11" spans="2:9" ht="14" x14ac:dyDescent="0.3">
      <c r="B11" s="4" t="s">
        <v>131</v>
      </c>
      <c r="C11" s="16">
        <f>'DCF Model'!C26</f>
        <v>6.5438595625719465E-2</v>
      </c>
    </row>
    <row r="12" spans="2:9" ht="14" x14ac:dyDescent="0.3">
      <c r="B12" s="4" t="s">
        <v>132</v>
      </c>
      <c r="C12" s="16">
        <f>'DCF Model'!C13</f>
        <v>0.01</v>
      </c>
    </row>
    <row r="13" spans="2:9" ht="14" x14ac:dyDescent="0.3">
      <c r="B13" s="4" t="s">
        <v>133</v>
      </c>
      <c r="C13" s="16">
        <f>'DCF Model'!C6</f>
        <v>0.25</v>
      </c>
    </row>
    <row r="14" spans="2:9" ht="14" x14ac:dyDescent="0.3">
      <c r="B14" s="4" t="s">
        <v>134</v>
      </c>
      <c r="C14" s="27">
        <v>350210</v>
      </c>
    </row>
    <row r="15" spans="2:9" ht="14" x14ac:dyDescent="0.3">
      <c r="B15" s="4" t="s">
        <v>135</v>
      </c>
      <c r="C15" s="27">
        <v>350210</v>
      </c>
    </row>
    <row r="16" spans="2:9" ht="14" x14ac:dyDescent="0.3">
      <c r="B16" s="4" t="s">
        <v>136</v>
      </c>
      <c r="C16" s="5">
        <f>'DCF Model'!G33</f>
        <v>3929337.5151540511</v>
      </c>
    </row>
    <row r="17" spans="2:9" ht="14" x14ac:dyDescent="0.3">
      <c r="B17" s="4" t="s">
        <v>137</v>
      </c>
      <c r="C17" s="5">
        <f>'DCF Model'!C53</f>
        <v>3820776.7468191595</v>
      </c>
    </row>
    <row r="18" spans="2:9" ht="14" x14ac:dyDescent="0.3">
      <c r="B18" s="4" t="s">
        <v>138</v>
      </c>
      <c r="C18" s="26">
        <v>0.1043232749542817</v>
      </c>
    </row>
    <row r="19" spans="2:9" ht="14" x14ac:dyDescent="0.3">
      <c r="B19" s="4" t="s">
        <v>139</v>
      </c>
      <c r="C19" s="5">
        <f>C10-C17</f>
        <v>997989.33379184036</v>
      </c>
    </row>
    <row r="20" spans="2:9" ht="14" x14ac:dyDescent="0.3">
      <c r="B20" s="4" t="s">
        <v>140</v>
      </c>
      <c r="C20" s="15">
        <f>IFERROR(ROUND(C19*1000000/C7,0),"N/A")</f>
        <v>834</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267145.6241579263</v>
      </c>
    </row>
    <row r="25" spans="2:9" ht="14" x14ac:dyDescent="0.3">
      <c r="B25" s="4" t="s">
        <v>144</v>
      </c>
      <c r="C25" s="5">
        <f>IFERROR(C24/(1-C13),"N/A")</f>
        <v>356194.16554390173</v>
      </c>
    </row>
    <row r="26" spans="2:9" ht="13.5" x14ac:dyDescent="0.25">
      <c r="B26" s="6" t="s">
        <v>145</v>
      </c>
      <c r="C26" s="14">
        <f>IFERROR(C25/C15,"N/A")</f>
        <v>1.0170873634216662</v>
      </c>
    </row>
    <row r="27" spans="2:9" ht="13.5" x14ac:dyDescent="0.25">
      <c r="B27" s="6" t="s">
        <v>146</v>
      </c>
      <c r="C27" s="14">
        <f>IFERROR(C25/C14,"N/A")</f>
        <v>1.0170873634216662</v>
      </c>
    </row>
    <row r="28" spans="2:9" ht="13.5" x14ac:dyDescent="0.25">
      <c r="B28" s="6" t="s">
        <v>147</v>
      </c>
      <c r="C28" s="7">
        <f>IFERROR(C25/C16,"N/A")</f>
        <v>9.0649928689044423E-2</v>
      </c>
    </row>
    <row r="29" spans="2:9" ht="13.5" x14ac:dyDescent="0.25">
      <c r="B29" s="6" t="s">
        <v>148</v>
      </c>
      <c r="C29" s="5">
        <f>IFERROR(C25/C18,"N/A")</f>
        <v>3414330.7492982666</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4.5438595625719461E-2</v>
      </c>
      <c r="E36" s="29">
        <f>'DCF Model'!C26-0.01</f>
        <v>5.5438595625719463E-2</v>
      </c>
      <c r="F36" s="29">
        <f>'DCF Model'!C26</f>
        <v>6.5438595625719465E-2</v>
      </c>
      <c r="G36" s="29">
        <f>'DCF Model'!C26+0.01</f>
        <v>7.543859562571946E-2</v>
      </c>
      <c r="H36" s="29">
        <f>'DCF Model'!C26+0.02</f>
        <v>8.5438595625719468E-2</v>
      </c>
    </row>
    <row r="37" spans="2:9" ht="14" x14ac:dyDescent="0.3">
      <c r="B37" s="3" t="s">
        <v>154</v>
      </c>
    </row>
    <row r="38" spans="2:9" ht="14" x14ac:dyDescent="0.3">
      <c r="B38" s="4" t="s">
        <v>155</v>
      </c>
      <c r="C38" s="30">
        <v>3</v>
      </c>
      <c r="D38" s="13">
        <f t="shared" ref="D38:H41" si="0">IFERROR((1-(1+D$36)^(-$C38))/D$36-(1+D$36)/(D$36^2*$C38)*(1-($C38+1)/(1+D$36)^$C38+$C38/(1+D$36)^($C38+1)),"N/A")</f>
        <v>0.94267813998896477</v>
      </c>
      <c r="E38" s="13">
        <f t="shared" si="0"/>
        <v>0.93088422110264779</v>
      </c>
      <c r="F38" s="13">
        <f t="shared" si="0"/>
        <v>0.91936491866494596</v>
      </c>
      <c r="G38" s="13">
        <f t="shared" si="0"/>
        <v>0.90811110113338644</v>
      </c>
      <c r="H38" s="13">
        <f t="shared" si="0"/>
        <v>0.89711402718342637</v>
      </c>
    </row>
    <row r="39" spans="2:9" ht="14" x14ac:dyDescent="0.3">
      <c r="B39" s="4" t="s">
        <v>156</v>
      </c>
      <c r="C39" s="30">
        <v>5</v>
      </c>
      <c r="D39" s="13">
        <f t="shared" si="0"/>
        <v>1.8317147863464123</v>
      </c>
      <c r="E39" s="13">
        <f t="shared" si="0"/>
        <v>1.7979983643574173</v>
      </c>
      <c r="F39" s="13">
        <f t="shared" si="0"/>
        <v>1.7653642526749054</v>
      </c>
      <c r="G39" s="13">
        <f t="shared" si="0"/>
        <v>1.7337651027057124</v>
      </c>
      <c r="H39" s="13">
        <f t="shared" si="0"/>
        <v>1.703156135876795</v>
      </c>
    </row>
    <row r="40" spans="2:9" ht="14" x14ac:dyDescent="0.3">
      <c r="B40" s="4" t="s">
        <v>157</v>
      </c>
      <c r="C40" s="30">
        <v>7</v>
      </c>
      <c r="D40" s="13">
        <f t="shared" si="0"/>
        <v>2.6705388071188527</v>
      </c>
      <c r="E40" s="13">
        <f t="shared" si="0"/>
        <v>2.60624828220578</v>
      </c>
      <c r="F40" s="13">
        <f t="shared" si="0"/>
        <v>2.5445706213399895</v>
      </c>
      <c r="G40" s="13">
        <f t="shared" si="0"/>
        <v>2.4853648378129183</v>
      </c>
      <c r="H40" s="13">
        <f t="shared" si="0"/>
        <v>2.4284991850307325</v>
      </c>
    </row>
    <row r="41" spans="2:9" ht="14" x14ac:dyDescent="0.3">
      <c r="B41" s="4" t="s">
        <v>158</v>
      </c>
      <c r="C41" s="30">
        <v>10</v>
      </c>
      <c r="D41" s="13">
        <f t="shared" si="0"/>
        <v>3.8415559969954938</v>
      </c>
      <c r="E41" s="13">
        <f t="shared" si="0"/>
        <v>3.7180029933709475</v>
      </c>
      <c r="F41" s="13">
        <f t="shared" si="0"/>
        <v>3.6009924202366403</v>
      </c>
      <c r="G41" s="13">
        <f t="shared" si="0"/>
        <v>3.490074462891807</v>
      </c>
      <c r="H41" s="13">
        <f t="shared" si="0"/>
        <v>3.3848361487146024</v>
      </c>
    </row>
    <row r="42" spans="2:9" ht="14" x14ac:dyDescent="0.3">
      <c r="B42" s="3" t="s">
        <v>159</v>
      </c>
    </row>
    <row r="43" spans="2:9" ht="14" x14ac:dyDescent="0.3">
      <c r="B43" s="4" t="s">
        <v>155</v>
      </c>
      <c r="C43" s="30">
        <v>3</v>
      </c>
      <c r="D43" s="13">
        <f t="shared" ref="D43:H46" si="1">IFERROR((1+D$36)/(D$36^2*$C43)*(1-($C43+1)/(1+D$36)^$C43+$C43/(1+D$36)^($C43+1))+(1+$C$12)/((D$36-$C$12)*(1+D$36)^$C43),"N/A")</f>
        <v>26.74704832344008</v>
      </c>
      <c r="E43" s="13">
        <f t="shared" si="1"/>
        <v>20.67075627637918</v>
      </c>
      <c r="F43" s="13">
        <f t="shared" si="1"/>
        <v>16.79040653916152</v>
      </c>
      <c r="G43" s="13">
        <f t="shared" si="1"/>
        <v>14.099166934006318</v>
      </c>
      <c r="H43" s="13">
        <f t="shared" si="1"/>
        <v>12.124064810125981</v>
      </c>
    </row>
    <row r="44" spans="2:9" ht="14" x14ac:dyDescent="0.3">
      <c r="B44" s="4" t="s">
        <v>156</v>
      </c>
      <c r="C44" s="30">
        <v>5</v>
      </c>
      <c r="D44" s="13">
        <f t="shared" si="1"/>
        <v>25.374824026782651</v>
      </c>
      <c r="E44" s="13">
        <f t="shared" si="1"/>
        <v>19.439100008169287</v>
      </c>
      <c r="F44" s="13">
        <f t="shared" si="1"/>
        <v>15.655281724603331</v>
      </c>
      <c r="G44" s="13">
        <f t="shared" si="1"/>
        <v>13.036411900371185</v>
      </c>
      <c r="H44" s="13">
        <f t="shared" si="1"/>
        <v>11.11887157283172</v>
      </c>
    </row>
    <row r="45" spans="2:9" ht="14" x14ac:dyDescent="0.3">
      <c r="B45" s="4" t="s">
        <v>157</v>
      </c>
      <c r="C45" s="30">
        <v>7</v>
      </c>
      <c r="D45" s="13">
        <f t="shared" si="1"/>
        <v>24.093901785408342</v>
      </c>
      <c r="E45" s="13">
        <f t="shared" si="1"/>
        <v>18.303598490994894</v>
      </c>
      <c r="F45" s="13">
        <f t="shared" si="1"/>
        <v>14.621375020213527</v>
      </c>
      <c r="G45" s="13">
        <f t="shared" si="1"/>
        <v>12.079808225499919</v>
      </c>
      <c r="H45" s="13">
        <f t="shared" si="1"/>
        <v>10.224495230786278</v>
      </c>
    </row>
    <row r="46" spans="2:9" ht="14" x14ac:dyDescent="0.3">
      <c r="B46" s="4" t="s">
        <v>158</v>
      </c>
      <c r="C46" s="30">
        <v>10</v>
      </c>
      <c r="D46" s="13">
        <f t="shared" si="1"/>
        <v>22.329218396756314</v>
      </c>
      <c r="E46" s="13">
        <f t="shared" si="1"/>
        <v>16.762649492326016</v>
      </c>
      <c r="F46" s="13">
        <f t="shared" si="1"/>
        <v>13.238618651202707</v>
      </c>
      <c r="G46" s="13">
        <f t="shared" si="1"/>
        <v>10.818432965451711</v>
      </c>
      <c r="H46" s="13">
        <f t="shared" si="1"/>
        <v>9.0613070609931121</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227871.35446522554</v>
      </c>
      <c r="E48" s="5">
        <f t="shared" si="2"/>
        <v>295055.31370962737</v>
      </c>
      <c r="F48" s="5">
        <f t="shared" si="2"/>
        <v>363484.38844612933</v>
      </c>
      <c r="G48" s="5">
        <f t="shared" si="2"/>
        <v>433145.58091776737</v>
      </c>
      <c r="H48" s="5">
        <f t="shared" si="2"/>
        <v>504025.93792232138</v>
      </c>
    </row>
    <row r="49" spans="2:9" ht="14" x14ac:dyDescent="0.3">
      <c r="B49" s="4" t="s">
        <v>156</v>
      </c>
      <c r="C49" s="30">
        <v>5</v>
      </c>
      <c r="D49" s="5">
        <f t="shared" si="2"/>
        <v>227924.20547956805</v>
      </c>
      <c r="E49" s="5">
        <f t="shared" si="2"/>
        <v>298128.22770588967</v>
      </c>
      <c r="F49" s="5">
        <f t="shared" si="2"/>
        <v>370914.6426128922</v>
      </c>
      <c r="G49" s="5">
        <f t="shared" si="2"/>
        <v>446276.1386076216</v>
      </c>
      <c r="H49" s="5">
        <f t="shared" si="2"/>
        <v>524204.19574869273</v>
      </c>
    </row>
    <row r="50" spans="2:9" ht="14" x14ac:dyDescent="0.3">
      <c r="B50" s="4" t="s">
        <v>157</v>
      </c>
      <c r="C50" s="30">
        <v>7</v>
      </c>
      <c r="D50" s="5">
        <f t="shared" si="2"/>
        <v>227849.02561934857</v>
      </c>
      <c r="E50" s="5">
        <f t="shared" si="2"/>
        <v>301158.66192188091</v>
      </c>
      <c r="F50" s="5">
        <f t="shared" si="2"/>
        <v>378479.27133151208</v>
      </c>
      <c r="G50" s="5">
        <f t="shared" si="2"/>
        <v>459826.98709062726</v>
      </c>
      <c r="H50" s="5">
        <f t="shared" si="2"/>
        <v>545213.88248487294</v>
      </c>
    </row>
    <row r="51" spans="2:9" ht="14" x14ac:dyDescent="0.3">
      <c r="B51" s="4" t="s">
        <v>158</v>
      </c>
      <c r="C51" s="30">
        <v>10</v>
      </c>
      <c r="D51" s="5">
        <f t="shared" si="2"/>
        <v>227489.83080593546</v>
      </c>
      <c r="E51" s="5">
        <f t="shared" si="2"/>
        <v>305616.34154860314</v>
      </c>
      <c r="F51" s="5">
        <f t="shared" si="2"/>
        <v>390064.70549360971</v>
      </c>
      <c r="G51" s="5">
        <f t="shared" si="2"/>
        <v>480916.4580286413</v>
      </c>
      <c r="H51" s="5">
        <f t="shared" si="2"/>
        <v>578240.85839985521</v>
      </c>
    </row>
    <row r="52" spans="2:9" ht="14" x14ac:dyDescent="0.3">
      <c r="B52" s="22" t="s">
        <v>161</v>
      </c>
      <c r="C52" s="23"/>
      <c r="D52" s="23"/>
      <c r="E52" s="23"/>
      <c r="F52" s="23"/>
      <c r="G52" s="23"/>
      <c r="H52" s="23"/>
      <c r="I52" s="23"/>
    </row>
    <row r="53" spans="2:9" ht="14" x14ac:dyDescent="0.3">
      <c r="B53" s="4" t="s">
        <v>155</v>
      </c>
      <c r="C53" s="30">
        <v>3</v>
      </c>
      <c r="D53" s="14">
        <f t="shared" ref="D53:H56" si="3">IFERROR(D48/$C$15,"N/A")</f>
        <v>0.65067061039155227</v>
      </c>
      <c r="E53" s="14">
        <f t="shared" si="3"/>
        <v>0.84250967622177375</v>
      </c>
      <c r="F53" s="14">
        <f t="shared" si="3"/>
        <v>1.0379040816827885</v>
      </c>
      <c r="G53" s="14">
        <f t="shared" si="3"/>
        <v>1.2368167125946357</v>
      </c>
      <c r="H53" s="14">
        <f t="shared" si="3"/>
        <v>1.4392105820002894</v>
      </c>
    </row>
    <row r="54" spans="2:9" ht="14" x14ac:dyDescent="0.3">
      <c r="B54" s="4" t="s">
        <v>156</v>
      </c>
      <c r="C54" s="30">
        <v>5</v>
      </c>
      <c r="D54" s="14">
        <f t="shared" si="3"/>
        <v>0.65082152274226335</v>
      </c>
      <c r="E54" s="14">
        <f t="shared" si="3"/>
        <v>0.8512841658030601</v>
      </c>
      <c r="F54" s="14">
        <f t="shared" si="3"/>
        <v>1.0591206493615037</v>
      </c>
      <c r="G54" s="14">
        <f t="shared" si="3"/>
        <v>1.2743100956786546</v>
      </c>
      <c r="H54" s="14">
        <f t="shared" si="3"/>
        <v>1.4968281766616964</v>
      </c>
    </row>
    <row r="55" spans="2:9" ht="14" x14ac:dyDescent="0.3">
      <c r="B55" s="4" t="s">
        <v>157</v>
      </c>
      <c r="C55" s="30">
        <v>7</v>
      </c>
      <c r="D55" s="14">
        <f t="shared" si="3"/>
        <v>0.65060685194411516</v>
      </c>
      <c r="E55" s="14">
        <f t="shared" si="3"/>
        <v>0.85993735736238519</v>
      </c>
      <c r="F55" s="14">
        <f t="shared" si="3"/>
        <v>1.0807209141129952</v>
      </c>
      <c r="G55" s="14">
        <f t="shared" si="3"/>
        <v>1.3130035895337862</v>
      </c>
      <c r="H55" s="14">
        <f t="shared" si="3"/>
        <v>1.5568198580419546</v>
      </c>
    </row>
    <row r="56" spans="2:9" ht="14" x14ac:dyDescent="0.3">
      <c r="B56" s="4" t="s">
        <v>158</v>
      </c>
      <c r="C56" s="30">
        <v>10</v>
      </c>
      <c r="D56" s="14">
        <f t="shared" si="3"/>
        <v>0.64958119644195045</v>
      </c>
      <c r="E56" s="14">
        <f t="shared" si="3"/>
        <v>0.87266594771309536</v>
      </c>
      <c r="F56" s="14">
        <f t="shared" si="3"/>
        <v>1.1138023057411546</v>
      </c>
      <c r="G56" s="14">
        <f t="shared" si="3"/>
        <v>1.3732230890855239</v>
      </c>
      <c r="H56" s="14">
        <f t="shared" si="3"/>
        <v>1.651126062647712</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370914.6426128922</v>
      </c>
    </row>
    <row r="62" spans="2:9" ht="14" x14ac:dyDescent="0.3">
      <c r="B62" s="28" t="s">
        <v>165</v>
      </c>
      <c r="C62" s="28" t="s">
        <v>166</v>
      </c>
      <c r="D62" s="28" t="s">
        <v>167</v>
      </c>
    </row>
    <row r="63" spans="2:9" ht="14" x14ac:dyDescent="0.3">
      <c r="B63" s="31">
        <v>5.2200000000000003E-2</v>
      </c>
      <c r="C63" s="5">
        <f>IFERROR($C$60/B63,"N/A")</f>
        <v>7105644.4944998501</v>
      </c>
      <c r="D63" s="14">
        <f>IFERROR(C63/'DCF Model'!C17,"N/A")</f>
        <v>2.1166845730478445</v>
      </c>
    </row>
    <row r="64" spans="2:9" ht="14" x14ac:dyDescent="0.3">
      <c r="B64" s="31">
        <v>7.8200000000000006E-2</v>
      </c>
      <c r="C64" s="5">
        <f>IFERROR($C$60/B64,"N/A")</f>
        <v>4743153.9976073168</v>
      </c>
      <c r="D64" s="14">
        <f>IFERROR(C64/'DCF Model'!C17,"N/A")</f>
        <v>1.4129275538759269</v>
      </c>
    </row>
    <row r="65" spans="2:9" ht="14" x14ac:dyDescent="0.3">
      <c r="B65" s="4" t="s">
        <v>168</v>
      </c>
      <c r="C65" s="5">
        <f>IFERROR($C$60/$C$18,"N/A")</f>
        <v>3555435.1871664366</v>
      </c>
      <c r="D65" s="14">
        <f>IFERROR(C65/'DCF Model'!C17,"N/A")</f>
        <v>1.0591206493615033</v>
      </c>
    </row>
    <row r="66" spans="2:9" ht="14" x14ac:dyDescent="0.3">
      <c r="B66" s="31">
        <v>0.13039999999999999</v>
      </c>
      <c r="C66" s="5">
        <f>IFERROR($C$60/B66,"N/A")</f>
        <v>2844437.4433504008</v>
      </c>
      <c r="D66" s="14">
        <f>IFERROR(C66/'DCF Model'!C17,"N/A")</f>
        <v>0.84732311896547174</v>
      </c>
    </row>
    <row r="67" spans="2:9" ht="14" x14ac:dyDescent="0.3">
      <c r="B67" s="31">
        <v>0.1565</v>
      </c>
      <c r="C67" s="5">
        <f>IFERROR($C$60/B67,"N/A")</f>
        <v>2370061.6141398861</v>
      </c>
      <c r="D67" s="14">
        <f>IFERROR(C67/'DCF Model'!C17,"N/A")</f>
        <v>0.70601236238400955</v>
      </c>
    </row>
    <row r="69" spans="2:9" ht="14" x14ac:dyDescent="0.3">
      <c r="B69" s="8" t="s">
        <v>169</v>
      </c>
      <c r="C69" s="9"/>
      <c r="D69" s="9"/>
      <c r="E69" s="9"/>
      <c r="F69" s="9"/>
      <c r="G69" s="9"/>
      <c r="H69" s="9"/>
      <c r="I69" s="9"/>
    </row>
    <row r="70" spans="2:9" ht="13.5" x14ac:dyDescent="0.25">
      <c r="B70" s="6" t="s">
        <v>170</v>
      </c>
      <c r="C70" s="14">
        <f>IFERROR(C10/'Comps Analysis'!G5,"N/A")</f>
        <v>9.2210893251208894</v>
      </c>
    </row>
    <row r="71" spans="2:9" ht="13.5" x14ac:dyDescent="0.25">
      <c r="B71" s="6" t="s">
        <v>171</v>
      </c>
      <c r="C71" s="14">
        <f>IFERROR(C10/'Comps Analysis'!F5,"N/A")</f>
        <v>1.4354514684559196</v>
      </c>
    </row>
    <row r="72" spans="2:9" ht="14" x14ac:dyDescent="0.3">
      <c r="B72" s="4" t="s">
        <v>172</v>
      </c>
      <c r="C72" s="14">
        <f>IFERROR(C10/(C25+'DCF Model'!G42),"N/A")</f>
        <v>8.6393552257494299</v>
      </c>
    </row>
    <row r="73" spans="2:9" ht="14" x14ac:dyDescent="0.3">
      <c r="B73" s="4" t="s">
        <v>173</v>
      </c>
      <c r="C73" s="14">
        <f>IFERROR(C10/(C60+'DCF Model'!G42),"N/A")</f>
        <v>8.4172107225163497</v>
      </c>
    </row>
    <row r="74" spans="2:9" ht="14" x14ac:dyDescent="0.3">
      <c r="B74" s="4" t="s">
        <v>174</v>
      </c>
      <c r="C74" s="14">
        <f>IFERROR('Comps Analysis'!D16,"N/A")</f>
        <v>7.7188501673557788</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3,313 yen the market is paying for a steady-state operating profit of 370,915 mn JPY - 1.06x the FY2026 cycle peak of 350,210 mn - reached in 5 years and sustained for ever, against 350,210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356,194 mn, or 1.02x the peak. The base case supports an EV of only 3,820,777 mn, leaving 834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80.755337627484792</v>
      </c>
      <c r="D5" s="34">
        <f>CHOOSE('DCF Model'!$D$27,D25,D26,D27,D28,D29)</f>
        <v>80</v>
      </c>
      <c r="E5" s="34">
        <f>CHOOSE('DCF Model'!$D$27,E25,E26,E27,E28,E29)</f>
        <v>80</v>
      </c>
      <c r="F5" s="34">
        <f>CHOOSE('DCF Model'!$D$27,F25,F26,F27,F28,F29)</f>
        <v>80</v>
      </c>
      <c r="G5" s="34">
        <f>CHOOSE('DCF Model'!$D$27,G25,G26,G27,G28,G29)</f>
        <v>80</v>
      </c>
      <c r="H5" s="34">
        <f>CHOOSE('DCF Model'!$D$27,H25,H26,H27,H28,H29)</f>
        <v>80</v>
      </c>
    </row>
    <row r="6" spans="2:8" ht="14" x14ac:dyDescent="0.3">
      <c r="B6" s="33" t="s">
        <v>181</v>
      </c>
      <c r="C6" s="34">
        <f>C13/C10*365</f>
        <v>110.33725006377497</v>
      </c>
      <c r="D6" s="34">
        <f>CHOOSE('DCF Model'!$D$27,D32,D33,D34,D35,D36)</f>
        <v>112</v>
      </c>
      <c r="E6" s="34">
        <f>CHOOSE('DCF Model'!$D$27,E32,E33,E34,E35,E36)</f>
        <v>112</v>
      </c>
      <c r="F6" s="34">
        <f>CHOOSE('DCF Model'!$D$27,F32,F33,F34,F35,F36)</f>
        <v>112</v>
      </c>
      <c r="G6" s="34">
        <f>CHOOSE('DCF Model'!$D$27,G32,G33,G34,G35,G36)</f>
        <v>112</v>
      </c>
      <c r="H6" s="34">
        <f>CHOOSE('DCF Model'!$D$27,H32,H33,H34,H35,H36)</f>
        <v>112</v>
      </c>
    </row>
    <row r="7" spans="2:8" ht="14" x14ac:dyDescent="0.3">
      <c r="B7" s="33" t="s">
        <v>182</v>
      </c>
      <c r="C7" s="34">
        <f>C15/C10*365</f>
        <v>53.497026602336561</v>
      </c>
      <c r="D7" s="34">
        <f>CHOOSE('DCF Model'!$D$27,D39,D40,D41,D42,D43)</f>
        <v>53</v>
      </c>
      <c r="E7" s="34">
        <f>CHOOSE('DCF Model'!$D$27,E39,E40,E41,E42,E43)</f>
        <v>53</v>
      </c>
      <c r="F7" s="34">
        <f>CHOOSE('DCF Model'!$D$27,F39,F40,F41,F42,F43)</f>
        <v>53</v>
      </c>
      <c r="G7" s="34">
        <f>CHOOSE('DCF Model'!$D$27,G39,G40,G41,G42,G43)</f>
        <v>53</v>
      </c>
      <c r="H7" s="34">
        <f>CHOOSE('DCF Model'!$D$27,H39,H40,H41,H42,H43)</f>
        <v>53</v>
      </c>
    </row>
    <row r="8" spans="2:8" ht="14" x14ac:dyDescent="0.3">
      <c r="B8" s="8" t="s">
        <v>183</v>
      </c>
      <c r="C8" s="9"/>
      <c r="D8" s="9"/>
      <c r="E8" s="9"/>
      <c r="F8" s="9"/>
      <c r="G8" s="9"/>
      <c r="H8" s="9"/>
    </row>
    <row r="9" spans="2:8" ht="14" x14ac:dyDescent="0.3">
      <c r="B9" s="33" t="s">
        <v>37</v>
      </c>
      <c r="C9" s="35">
        <v>3356969</v>
      </c>
      <c r="D9" s="35">
        <f>'DCF Model'!C33</f>
        <v>3491247.7600000002</v>
      </c>
      <c r="E9" s="35">
        <f>'DCF Model'!D33</f>
        <v>3613441.4315999998</v>
      </c>
      <c r="F9" s="35">
        <f>'DCF Model'!E33</f>
        <v>3721844.6745480001</v>
      </c>
      <c r="G9" s="35">
        <f>'DCF Model'!F33</f>
        <v>3833500.0147844404</v>
      </c>
      <c r="H9" s="35">
        <f>'DCF Model'!G33</f>
        <v>3929337.5151540511</v>
      </c>
    </row>
    <row r="10" spans="2:8" ht="14" x14ac:dyDescent="0.3">
      <c r="B10" s="33" t="s">
        <v>38</v>
      </c>
      <c r="C10" s="35">
        <v>1987457</v>
      </c>
      <c r="D10" s="35">
        <f>'DCF Model'!C34</f>
        <v>2066818.67392</v>
      </c>
      <c r="E10" s="35">
        <f>'DCF Model'!D34</f>
        <v>2139157.3275071997</v>
      </c>
      <c r="F10" s="35">
        <f>'DCF Model'!E34</f>
        <v>2203332.0473324158</v>
      </c>
      <c r="G10" s="35">
        <f>'DCF Model'!F34</f>
        <v>2269432.0087523884</v>
      </c>
      <c r="H10" s="35">
        <f>'DCF Model'!G34</f>
        <v>2326167.8089711983</v>
      </c>
    </row>
    <row r="11" spans="2:8" ht="14" x14ac:dyDescent="0.3">
      <c r="B11" s="8" t="s">
        <v>184</v>
      </c>
      <c r="C11" s="9"/>
      <c r="D11" s="9"/>
      <c r="E11" s="9"/>
      <c r="F11" s="9"/>
      <c r="G11" s="9"/>
      <c r="H11" s="9"/>
    </row>
    <row r="12" spans="2:8" ht="14" x14ac:dyDescent="0.3">
      <c r="B12" s="33" t="s">
        <v>185</v>
      </c>
      <c r="C12" s="35">
        <v>742721</v>
      </c>
      <c r="D12" s="35">
        <f t="shared" ref="D12:H13" si="0">D9*D5/365</f>
        <v>765204.98849315068</v>
      </c>
      <c r="E12" s="35">
        <f t="shared" si="0"/>
        <v>791987.16309041099</v>
      </c>
      <c r="F12" s="35">
        <f t="shared" si="0"/>
        <v>815746.77798312332</v>
      </c>
      <c r="G12" s="35">
        <f t="shared" si="0"/>
        <v>840219.18132261711</v>
      </c>
      <c r="H12" s="35">
        <f t="shared" si="0"/>
        <v>861224.66085568245</v>
      </c>
    </row>
    <row r="13" spans="2:8" ht="14" x14ac:dyDescent="0.3">
      <c r="B13" s="33" t="s">
        <v>186</v>
      </c>
      <c r="C13" s="35">
        <v>600796</v>
      </c>
      <c r="D13" s="35">
        <f t="shared" si="0"/>
        <v>634201.89446312329</v>
      </c>
      <c r="E13" s="35">
        <f t="shared" si="0"/>
        <v>656398.96076933248</v>
      </c>
      <c r="F13" s="35">
        <f t="shared" si="0"/>
        <v>676090.92959241255</v>
      </c>
      <c r="G13" s="35">
        <f t="shared" si="0"/>
        <v>696373.65748018492</v>
      </c>
      <c r="H13" s="35">
        <f t="shared" si="0"/>
        <v>713782.99891718966</v>
      </c>
    </row>
    <row r="14" spans="2:8" ht="14" x14ac:dyDescent="0.3">
      <c r="B14" s="33" t="s">
        <v>187</v>
      </c>
      <c r="C14" s="35">
        <f t="shared" ref="C14:H14" si="1">C12+C13</f>
        <v>1343517</v>
      </c>
      <c r="D14" s="35">
        <f t="shared" si="1"/>
        <v>1399406.8829562739</v>
      </c>
      <c r="E14" s="35">
        <f t="shared" si="1"/>
        <v>1448386.1238597436</v>
      </c>
      <c r="F14" s="35">
        <f t="shared" si="1"/>
        <v>1491837.7075755359</v>
      </c>
      <c r="G14" s="35">
        <f t="shared" si="1"/>
        <v>1536592.8388028019</v>
      </c>
      <c r="H14" s="35">
        <f t="shared" si="1"/>
        <v>1575007.659772872</v>
      </c>
    </row>
    <row r="15" spans="2:8" ht="14" x14ac:dyDescent="0.3">
      <c r="B15" s="33" t="s">
        <v>188</v>
      </c>
      <c r="C15" s="35">
        <v>291296</v>
      </c>
      <c r="D15" s="35">
        <f>D10*D7/365</f>
        <v>300113.39648701367</v>
      </c>
      <c r="E15" s="35">
        <f>E10*E7/365</f>
        <v>310617.36536405917</v>
      </c>
      <c r="F15" s="35">
        <f>F10*F7/365</f>
        <v>319935.88632498094</v>
      </c>
      <c r="G15" s="35">
        <f>G10*G7/365</f>
        <v>329533.96291473036</v>
      </c>
      <c r="H15" s="35">
        <f>H10*H7/365</f>
        <v>337772.31198759866</v>
      </c>
    </row>
    <row r="16" spans="2:8" ht="14" x14ac:dyDescent="0.3">
      <c r="B16" s="33" t="s">
        <v>189</v>
      </c>
      <c r="C16" s="35">
        <f t="shared" ref="C16:H16" si="2">C15</f>
        <v>291296</v>
      </c>
      <c r="D16" s="35">
        <f t="shared" si="2"/>
        <v>300113.39648701367</v>
      </c>
      <c r="E16" s="35">
        <f t="shared" si="2"/>
        <v>310617.36536405917</v>
      </c>
      <c r="F16" s="35">
        <f t="shared" si="2"/>
        <v>319935.88632498094</v>
      </c>
      <c r="G16" s="35">
        <f t="shared" si="2"/>
        <v>329533.96291473036</v>
      </c>
      <c r="H16" s="35">
        <f t="shared" si="2"/>
        <v>337772.31198759866</v>
      </c>
    </row>
    <row r="17" spans="2:8" ht="14" x14ac:dyDescent="0.3">
      <c r="B17" s="22" t="s">
        <v>190</v>
      </c>
      <c r="C17" s="23"/>
      <c r="D17" s="23"/>
      <c r="E17" s="23"/>
      <c r="F17" s="23"/>
      <c r="G17" s="23"/>
      <c r="H17" s="23"/>
    </row>
    <row r="18" spans="2:8" ht="14" x14ac:dyDescent="0.3">
      <c r="B18" s="33" t="s">
        <v>191</v>
      </c>
      <c r="C18" s="20">
        <f t="shared" ref="C18:H18" si="3">C14-C16</f>
        <v>1052221</v>
      </c>
      <c r="D18" s="20">
        <f t="shared" si="3"/>
        <v>1099293.4864692602</v>
      </c>
      <c r="E18" s="20">
        <f t="shared" si="3"/>
        <v>1137768.7584956845</v>
      </c>
      <c r="F18" s="20">
        <f t="shared" si="3"/>
        <v>1171901.8212505549</v>
      </c>
      <c r="G18" s="20">
        <f t="shared" si="3"/>
        <v>1207058.8758880715</v>
      </c>
      <c r="H18" s="20">
        <f t="shared" si="3"/>
        <v>1237235.3477852733</v>
      </c>
    </row>
    <row r="19" spans="2:8" ht="14" x14ac:dyDescent="0.3">
      <c r="B19" s="33" t="s">
        <v>100</v>
      </c>
      <c r="C19" s="36" t="s">
        <v>47</v>
      </c>
      <c r="D19" s="24">
        <f>D18-C18</f>
        <v>47072.486469260184</v>
      </c>
      <c r="E19" s="24">
        <f>E18-D18</f>
        <v>38475.272026424296</v>
      </c>
      <c r="F19" s="24">
        <f>F18-E18</f>
        <v>34133.062754870392</v>
      </c>
      <c r="G19" s="24">
        <f>G18-F18</f>
        <v>35157.054637516616</v>
      </c>
      <c r="H19" s="24">
        <f>H18-G18</f>
        <v>30176.471897201845</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80</v>
      </c>
      <c r="E25" s="30">
        <v>80</v>
      </c>
      <c r="F25" s="30">
        <v>80</v>
      </c>
      <c r="G25" s="30">
        <v>80</v>
      </c>
      <c r="H25" s="30">
        <v>80</v>
      </c>
    </row>
    <row r="26" spans="2:8" ht="14" x14ac:dyDescent="0.3">
      <c r="B26" s="4" t="s">
        <v>121</v>
      </c>
      <c r="D26" s="30">
        <v>77</v>
      </c>
      <c r="E26" s="30">
        <v>77</v>
      </c>
      <c r="F26" s="30">
        <v>77</v>
      </c>
      <c r="G26" s="30">
        <v>77</v>
      </c>
      <c r="H26" s="30">
        <v>77</v>
      </c>
    </row>
    <row r="27" spans="2:8" ht="14" x14ac:dyDescent="0.3">
      <c r="B27" s="4" t="s">
        <v>122</v>
      </c>
      <c r="D27" s="30">
        <v>80</v>
      </c>
      <c r="E27" s="30">
        <v>80</v>
      </c>
      <c r="F27" s="30">
        <v>80</v>
      </c>
      <c r="G27" s="30">
        <v>80</v>
      </c>
      <c r="H27" s="30">
        <v>80</v>
      </c>
    </row>
    <row r="28" spans="2:8" ht="14" x14ac:dyDescent="0.3">
      <c r="B28" s="4" t="s">
        <v>123</v>
      </c>
      <c r="D28" s="30">
        <v>84</v>
      </c>
      <c r="E28" s="30">
        <v>84</v>
      </c>
      <c r="F28" s="30">
        <v>84</v>
      </c>
      <c r="G28" s="30">
        <v>84</v>
      </c>
      <c r="H28" s="30">
        <v>84</v>
      </c>
    </row>
    <row r="29" spans="2:8" ht="14" x14ac:dyDescent="0.3">
      <c r="B29" s="4" t="s">
        <v>124</v>
      </c>
      <c r="D29" s="30">
        <v>88</v>
      </c>
      <c r="E29" s="30">
        <v>88</v>
      </c>
      <c r="F29" s="30">
        <v>88</v>
      </c>
      <c r="G29" s="30">
        <v>88</v>
      </c>
      <c r="H29" s="30">
        <v>88</v>
      </c>
    </row>
    <row r="31" spans="2:8" ht="14" x14ac:dyDescent="0.3">
      <c r="B31" s="3" t="s">
        <v>194</v>
      </c>
    </row>
    <row r="32" spans="2:8" ht="14" x14ac:dyDescent="0.3">
      <c r="B32" s="4" t="s">
        <v>84</v>
      </c>
      <c r="D32" s="30">
        <v>112</v>
      </c>
      <c r="E32" s="30">
        <v>112</v>
      </c>
      <c r="F32" s="30">
        <v>112</v>
      </c>
      <c r="G32" s="30">
        <v>112</v>
      </c>
      <c r="H32" s="30">
        <v>112</v>
      </c>
    </row>
    <row r="33" spans="2:8" ht="14" x14ac:dyDescent="0.3">
      <c r="B33" s="4" t="s">
        <v>121</v>
      </c>
      <c r="D33" s="30">
        <v>106</v>
      </c>
      <c r="E33" s="30">
        <v>106</v>
      </c>
      <c r="F33" s="30">
        <v>106</v>
      </c>
      <c r="G33" s="30">
        <v>106</v>
      </c>
      <c r="H33" s="30">
        <v>106</v>
      </c>
    </row>
    <row r="34" spans="2:8" ht="14" x14ac:dyDescent="0.3">
      <c r="B34" s="4" t="s">
        <v>122</v>
      </c>
      <c r="D34" s="30">
        <v>112</v>
      </c>
      <c r="E34" s="30">
        <v>112</v>
      </c>
      <c r="F34" s="30">
        <v>112</v>
      </c>
      <c r="G34" s="30">
        <v>112</v>
      </c>
      <c r="H34" s="30">
        <v>112</v>
      </c>
    </row>
    <row r="35" spans="2:8" ht="14" x14ac:dyDescent="0.3">
      <c r="B35" s="4" t="s">
        <v>123</v>
      </c>
      <c r="D35" s="30">
        <v>119</v>
      </c>
      <c r="E35" s="30">
        <v>119</v>
      </c>
      <c r="F35" s="30">
        <v>119</v>
      </c>
      <c r="G35" s="30">
        <v>119</v>
      </c>
      <c r="H35" s="30">
        <v>119</v>
      </c>
    </row>
    <row r="36" spans="2:8" ht="14" x14ac:dyDescent="0.3">
      <c r="B36" s="4" t="s">
        <v>124</v>
      </c>
      <c r="D36" s="30">
        <v>126</v>
      </c>
      <c r="E36" s="30">
        <v>126</v>
      </c>
      <c r="F36" s="30">
        <v>126</v>
      </c>
      <c r="G36" s="30">
        <v>126</v>
      </c>
      <c r="H36" s="30">
        <v>126</v>
      </c>
    </row>
    <row r="38" spans="2:8" ht="14" x14ac:dyDescent="0.3">
      <c r="B38" s="3" t="s">
        <v>195</v>
      </c>
    </row>
    <row r="39" spans="2:8" ht="14" x14ac:dyDescent="0.3">
      <c r="B39" s="4" t="s">
        <v>84</v>
      </c>
      <c r="D39" s="30">
        <v>53</v>
      </c>
      <c r="E39" s="30">
        <v>53</v>
      </c>
      <c r="F39" s="30">
        <v>53</v>
      </c>
      <c r="G39" s="30">
        <v>53</v>
      </c>
      <c r="H39" s="30">
        <v>53</v>
      </c>
    </row>
    <row r="40" spans="2:8" ht="14" x14ac:dyDescent="0.3">
      <c r="B40" s="4" t="s">
        <v>121</v>
      </c>
      <c r="D40" s="30">
        <v>55</v>
      </c>
      <c r="E40" s="30">
        <v>55</v>
      </c>
      <c r="F40" s="30">
        <v>55</v>
      </c>
      <c r="G40" s="30">
        <v>55</v>
      </c>
      <c r="H40" s="30">
        <v>55</v>
      </c>
    </row>
    <row r="41" spans="2:8" ht="14" x14ac:dyDescent="0.3">
      <c r="B41" s="4" t="s">
        <v>122</v>
      </c>
      <c r="D41" s="30">
        <v>53</v>
      </c>
      <c r="E41" s="30">
        <v>53</v>
      </c>
      <c r="F41" s="30">
        <v>53</v>
      </c>
      <c r="G41" s="30">
        <v>53</v>
      </c>
      <c r="H41" s="30">
        <v>53</v>
      </c>
    </row>
    <row r="42" spans="2:8" ht="14" x14ac:dyDescent="0.3">
      <c r="B42" s="4" t="s">
        <v>123</v>
      </c>
      <c r="D42" s="30">
        <v>50</v>
      </c>
      <c r="E42" s="30">
        <v>50</v>
      </c>
      <c r="F42" s="30">
        <v>50</v>
      </c>
      <c r="G42" s="30">
        <v>50</v>
      </c>
      <c r="H42" s="30">
        <v>50</v>
      </c>
    </row>
    <row r="43" spans="2:8" ht="14" x14ac:dyDescent="0.3">
      <c r="B43" s="4" t="s">
        <v>124</v>
      </c>
      <c r="D43" s="30">
        <v>47</v>
      </c>
      <c r="E43" s="30">
        <v>47</v>
      </c>
      <c r="F43" s="30">
        <v>47</v>
      </c>
      <c r="G43" s="30">
        <v>47</v>
      </c>
      <c r="H43" s="30">
        <v>47</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3962306.0806109998</v>
      </c>
      <c r="E5" s="37">
        <f>D5+C24</f>
        <v>4818766.0806109998</v>
      </c>
      <c r="F5" s="37">
        <v>3356969</v>
      </c>
      <c r="G5" s="37">
        <v>522581</v>
      </c>
      <c r="H5" s="37">
        <v>350210</v>
      </c>
      <c r="I5" s="37">
        <v>276415</v>
      </c>
      <c r="J5" s="38">
        <f t="shared" ref="J5:J10" si="0">IFERROR(E5/G5,"")</f>
        <v>9.2210893251208894</v>
      </c>
      <c r="K5" s="38">
        <f t="shared" ref="K5:K10" si="1">IFERROR(E5/F5,"")</f>
        <v>1.4354514684559196</v>
      </c>
      <c r="L5" s="38">
        <f t="shared" ref="L5:L10" si="2">IFERROR(D5/I5,"")</f>
        <v>14.334627573073096</v>
      </c>
      <c r="M5" s="38">
        <f t="shared" ref="M5:M10" si="3">IFERROR(D5/P5,"")</f>
        <v>1.0319714759831229</v>
      </c>
      <c r="N5" s="39">
        <f t="shared" ref="N5:N10" si="4">IFERROR(H5/F5,"")</f>
        <v>0.10432327495428168</v>
      </c>
      <c r="O5" s="39">
        <f t="shared" ref="O5:O10" si="5">IFERROR(I5/P5,"")</f>
        <v>7.1991509421677022E-2</v>
      </c>
      <c r="P5" s="37">
        <v>3839550</v>
      </c>
    </row>
    <row r="6" spans="2:17" ht="14" x14ac:dyDescent="0.3">
      <c r="B6" s="4" t="s">
        <v>214</v>
      </c>
      <c r="C6" t="s">
        <v>215</v>
      </c>
      <c r="D6" s="37">
        <v>3894844</v>
      </c>
      <c r="E6" s="37">
        <v>4255022</v>
      </c>
      <c r="F6" s="37">
        <v>4624727</v>
      </c>
      <c r="G6" s="37">
        <v>694626</v>
      </c>
      <c r="H6" s="37">
        <v>455390</v>
      </c>
      <c r="I6" s="37">
        <v>332053</v>
      </c>
      <c r="J6" s="38">
        <f t="shared" si="0"/>
        <v>6.1256301952417562</v>
      </c>
      <c r="K6" s="38">
        <f t="shared" si="1"/>
        <v>0.92005906510805935</v>
      </c>
      <c r="L6" s="38">
        <f t="shared" si="2"/>
        <v>11.729585337280495</v>
      </c>
      <c r="M6" s="38">
        <f t="shared" si="3"/>
        <v>1.1154232993337549</v>
      </c>
      <c r="N6" s="39">
        <f t="shared" si="4"/>
        <v>9.846851500639929E-2</v>
      </c>
      <c r="O6" s="39">
        <f t="shared" si="5"/>
        <v>9.5094862031360264E-2</v>
      </c>
      <c r="P6" s="37">
        <v>3491808</v>
      </c>
    </row>
    <row r="7" spans="2:17" ht="14" x14ac:dyDescent="0.3">
      <c r="B7" s="4" t="s">
        <v>216</v>
      </c>
      <c r="C7" t="s">
        <v>217</v>
      </c>
      <c r="D7" s="37">
        <v>1037225</v>
      </c>
      <c r="E7" s="37">
        <v>980101</v>
      </c>
      <c r="F7" s="37">
        <v>1413251</v>
      </c>
      <c r="G7" s="37">
        <v>126975</v>
      </c>
      <c r="H7" s="37">
        <v>49558</v>
      </c>
      <c r="I7" s="37">
        <v>18201</v>
      </c>
      <c r="J7" s="38">
        <f t="shared" si="0"/>
        <v>7.7188501673557788</v>
      </c>
      <c r="K7" s="38">
        <f t="shared" si="1"/>
        <v>0.69350808879668224</v>
      </c>
      <c r="L7" s="38">
        <f t="shared" si="2"/>
        <v>56.987253447612765</v>
      </c>
      <c r="M7" s="38">
        <f t="shared" si="3"/>
        <v>1.2152564197196729</v>
      </c>
      <c r="N7" s="39">
        <f t="shared" si="4"/>
        <v>3.5066665440180125E-2</v>
      </c>
      <c r="O7" s="39">
        <f t="shared" si="5"/>
        <v>2.1325056853930213E-2</v>
      </c>
      <c r="P7" s="37">
        <v>853503</v>
      </c>
    </row>
    <row r="8" spans="2:17" ht="14" x14ac:dyDescent="0.3">
      <c r="B8" s="4" t="s">
        <v>218</v>
      </c>
      <c r="C8" t="s">
        <v>219</v>
      </c>
      <c r="D8" s="37">
        <v>325420</v>
      </c>
      <c r="E8" s="37">
        <v>612968</v>
      </c>
      <c r="F8" s="37">
        <v>1087738</v>
      </c>
      <c r="G8" s="37">
        <v>108552</v>
      </c>
      <c r="H8" s="37">
        <v>49869</v>
      </c>
      <c r="I8" s="37">
        <v>30268</v>
      </c>
      <c r="J8" s="38">
        <f t="shared" si="0"/>
        <v>5.6467683690765718</v>
      </c>
      <c r="K8" s="38">
        <f t="shared" si="1"/>
        <v>0.56352540777282767</v>
      </c>
      <c r="L8" s="38">
        <f t="shared" si="2"/>
        <v>10.751288489493854</v>
      </c>
      <c r="M8" s="38">
        <f t="shared" si="3"/>
        <v>0.60655539090968402</v>
      </c>
      <c r="N8" s="39">
        <f t="shared" si="4"/>
        <v>4.5846518187284073E-2</v>
      </c>
      <c r="O8" s="39">
        <f t="shared" si="5"/>
        <v>5.6416995181778361E-2</v>
      </c>
      <c r="P8" s="37">
        <v>536505</v>
      </c>
    </row>
    <row r="9" spans="2:17" ht="14" x14ac:dyDescent="0.3">
      <c r="B9" s="4" t="s">
        <v>220</v>
      </c>
      <c r="C9" t="s">
        <v>221</v>
      </c>
      <c r="D9" s="37">
        <v>1207757</v>
      </c>
      <c r="E9" s="37">
        <v>1011074</v>
      </c>
      <c r="F9" s="37">
        <v>893464</v>
      </c>
      <c r="G9" s="37">
        <v>129297</v>
      </c>
      <c r="H9" s="37">
        <v>77868</v>
      </c>
      <c r="I9" s="37">
        <v>67624</v>
      </c>
      <c r="J9" s="38">
        <f t="shared" si="0"/>
        <v>7.819779267887113</v>
      </c>
      <c r="K9" s="38">
        <f t="shared" si="1"/>
        <v>1.1316337311855877</v>
      </c>
      <c r="L9" s="38">
        <f t="shared" si="2"/>
        <v>17.859887022358926</v>
      </c>
      <c r="M9" s="38">
        <f t="shared" si="3"/>
        <v>1.582331185139864</v>
      </c>
      <c r="N9" s="39">
        <f t="shared" si="4"/>
        <v>8.7152923900683188E-2</v>
      </c>
      <c r="O9" s="39">
        <f t="shared" si="5"/>
        <v>8.8596931389259725E-2</v>
      </c>
      <c r="P9" s="37">
        <v>763277</v>
      </c>
    </row>
    <row r="10" spans="2:17" ht="14" x14ac:dyDescent="0.3">
      <c r="B10" s="4" t="s">
        <v>222</v>
      </c>
      <c r="C10" t="s">
        <v>223</v>
      </c>
      <c r="D10" s="37">
        <v>3587447</v>
      </c>
      <c r="E10" s="37">
        <v>3686749</v>
      </c>
      <c r="F10" s="37">
        <v>1131877</v>
      </c>
      <c r="G10" s="37">
        <v>271700</v>
      </c>
      <c r="H10" s="37">
        <v>176321</v>
      </c>
      <c r="I10" s="37">
        <v>135914</v>
      </c>
      <c r="J10" s="38">
        <f t="shared" si="0"/>
        <v>13.569190283400809</v>
      </c>
      <c r="K10" s="38">
        <f t="shared" si="1"/>
        <v>3.257199324661602</v>
      </c>
      <c r="L10" s="38">
        <f t="shared" si="2"/>
        <v>26.39497770649087</v>
      </c>
      <c r="M10" s="38">
        <f t="shared" si="3"/>
        <v>2.2640748648319446</v>
      </c>
      <c r="N10" s="39">
        <f t="shared" si="4"/>
        <v>0.15577752706345302</v>
      </c>
      <c r="O10" s="39">
        <f t="shared" si="5"/>
        <v>8.5776729573640798E-2</v>
      </c>
      <c r="P10" s="37">
        <v>1584509</v>
      </c>
    </row>
    <row r="14" spans="2:17" ht="14" x14ac:dyDescent="0.3">
      <c r="B14" s="3" t="s">
        <v>224</v>
      </c>
    </row>
    <row r="15" spans="2:17" ht="14" x14ac:dyDescent="0.3">
      <c r="B15" s="4" t="s">
        <v>225</v>
      </c>
      <c r="D15" s="38">
        <f t="shared" ref="D15:I15" si="6">PERCENTILE(J6:J10,0.25)</f>
        <v>6.1256301952417562</v>
      </c>
      <c r="E15" s="38">
        <f t="shared" si="6"/>
        <v>0.69350808879668224</v>
      </c>
      <c r="F15" s="38">
        <f t="shared" si="6"/>
        <v>11.729585337280495</v>
      </c>
      <c r="G15" s="38">
        <f t="shared" si="6"/>
        <v>1.1154232993337549</v>
      </c>
      <c r="H15" s="39">
        <f t="shared" si="6"/>
        <v>4.5846518187284073E-2</v>
      </c>
      <c r="I15" s="39">
        <f t="shared" si="6"/>
        <v>5.6416995181778361E-2</v>
      </c>
    </row>
    <row r="16" spans="2:17" ht="14" x14ac:dyDescent="0.3">
      <c r="B16" s="4" t="s">
        <v>226</v>
      </c>
      <c r="D16" s="38">
        <f t="shared" ref="D16:I16" si="7">MEDIAN(J6:J10)</f>
        <v>7.7188501673557788</v>
      </c>
      <c r="E16" s="38">
        <f t="shared" si="7"/>
        <v>0.92005906510805935</v>
      </c>
      <c r="F16" s="38">
        <f t="shared" si="7"/>
        <v>17.859887022358926</v>
      </c>
      <c r="G16" s="38">
        <f t="shared" si="7"/>
        <v>1.2152564197196729</v>
      </c>
      <c r="H16" s="39">
        <f t="shared" si="7"/>
        <v>8.7152923900683188E-2</v>
      </c>
      <c r="I16" s="39">
        <f t="shared" si="7"/>
        <v>8.5776729573640798E-2</v>
      </c>
    </row>
    <row r="17" spans="2:9" ht="14" x14ac:dyDescent="0.3">
      <c r="B17" s="4" t="s">
        <v>227</v>
      </c>
      <c r="D17" s="38">
        <f t="shared" ref="D17:I17" si="8">PERCENTILE(J6:J10,0.75)</f>
        <v>7.819779267887113</v>
      </c>
      <c r="E17" s="38">
        <f t="shared" si="8"/>
        <v>1.1316337311855877</v>
      </c>
      <c r="F17" s="38">
        <f t="shared" si="8"/>
        <v>26.39497770649087</v>
      </c>
      <c r="G17" s="38">
        <f t="shared" si="8"/>
        <v>1.582331185139864</v>
      </c>
      <c r="H17" s="39">
        <f t="shared" si="8"/>
        <v>9.846851500639929E-2</v>
      </c>
      <c r="I17" s="39">
        <f t="shared" si="8"/>
        <v>8.8596931389259725E-2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522581</v>
      </c>
    </row>
    <row r="22" spans="2:9" ht="14" x14ac:dyDescent="0.3">
      <c r="B22" s="4" t="s">
        <v>231</v>
      </c>
      <c r="C22" s="5">
        <v>14119</v>
      </c>
    </row>
    <row r="23" spans="2:9" ht="14" x14ac:dyDescent="0.3">
      <c r="B23" s="4" t="s">
        <v>232</v>
      </c>
      <c r="C23" s="15">
        <v>1195987347</v>
      </c>
    </row>
    <row r="24" spans="2:9" ht="14" x14ac:dyDescent="0.3">
      <c r="B24" s="4" t="s">
        <v>73</v>
      </c>
      <c r="C24" s="5">
        <v>856460</v>
      </c>
    </row>
    <row r="26" spans="2:9" ht="14" x14ac:dyDescent="0.3">
      <c r="B26" s="3" t="s">
        <v>233</v>
      </c>
    </row>
    <row r="27" spans="2:9" ht="14" x14ac:dyDescent="0.3">
      <c r="B27" s="4" t="s">
        <v>234</v>
      </c>
      <c r="C27" s="24">
        <f>ROUND((C21*D16-C24)*1000000/C23,0)</f>
        <v>2657</v>
      </c>
    </row>
    <row r="28" spans="2:9" ht="14" x14ac:dyDescent="0.3">
      <c r="B28" s="4" t="s">
        <v>235</v>
      </c>
      <c r="C28" s="24">
        <f>ROUND(C22*F16*1000000/C23,0)</f>
        <v>211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6.5438595625719465E-2</v>
      </c>
      <c r="E3" s="4" t="s">
        <v>238</v>
      </c>
      <c r="F3" s="16">
        <f>'DCF Model'!C13</f>
        <v>0.01</v>
      </c>
      <c r="H3" s="4" t="s">
        <v>239</v>
      </c>
      <c r="I3" s="14">
        <f>'DCF Model'!C14</f>
        <v>7.7</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5.0438595625719465E-2</v>
      </c>
      <c r="C7" s="37">
        <f>IFERROR(ROUND(('DCF Model'!C45/(1+$B7)^('DCF Model'!C19+0)+'DCF Model'!D45/(1+$B7)^('DCF Model'!C19+1)+'DCF Model'!E45/(1+$B7)^('DCF Model'!C19+2)+'DCF Model'!F45/(1+$B7)^('DCF Model'!C19+3)+'DCF Model'!G45/(1+$B7)^('DCF Model'!C19+4)+'DCF Model'!G45*(1+C$6)/($B7-C$6)/(1+$B7)^('DCF Model'!C19+4)-'DCF Model'!C16)*1000000/'DCF Model'!C15,0),"")</f>
        <v>3183</v>
      </c>
      <c r="D7" s="37">
        <f>IFERROR(ROUND(('DCF Model'!C45/(1+$B7)^('DCF Model'!C19+0)+'DCF Model'!D45/(1+$B7)^('DCF Model'!C19+1)+'DCF Model'!E45/(1+$B7)^('DCF Model'!C19+2)+'DCF Model'!F45/(1+$B7)^('DCF Model'!C19+3)+'DCF Model'!G45/(1+$B7)^('DCF Model'!C19+4)+'DCF Model'!G45*(1+D$6)/($B7-D$6)/(1+$B7)^('DCF Model'!C19+4)-'DCF Model'!C16)*1000000/'DCF Model'!C15,0),"")</f>
        <v>3393</v>
      </c>
      <c r="E7" s="37">
        <f>IFERROR(ROUND(('DCF Model'!C45/(1+$B7)^('DCF Model'!C19+0)+'DCF Model'!D45/(1+$B7)^('DCF Model'!C19+1)+'DCF Model'!E45/(1+$B7)^('DCF Model'!C19+2)+'DCF Model'!F45/(1+$B7)^('DCF Model'!C19+3)+'DCF Model'!G45/(1+$B7)^('DCF Model'!C19+4)+'DCF Model'!G45*(1+E$6)/($B7-E$6)/(1+$B7)^('DCF Model'!C19+4)-'DCF Model'!C16)*1000000/'DCF Model'!C15,0),"")</f>
        <v>3627</v>
      </c>
      <c r="F7" s="37">
        <f>IFERROR(ROUND(('DCF Model'!C45/(1+$B7)^('DCF Model'!C19+0)+'DCF Model'!D45/(1+$B7)^('DCF Model'!C19+1)+'DCF Model'!E45/(1+$B7)^('DCF Model'!C19+2)+'DCF Model'!F45/(1+$B7)^('DCF Model'!C19+3)+'DCF Model'!G45/(1+$B7)^('DCF Model'!C19+4)+'DCF Model'!G45*(1+F$6)/($B7-F$6)/(1+$B7)^('DCF Model'!C19+4)-'DCF Model'!C16)*1000000/'DCF Model'!C15,0),"")</f>
        <v>3890</v>
      </c>
      <c r="G7" s="37">
        <f>IFERROR(ROUND(('DCF Model'!C45/(1+$B7)^('DCF Model'!C19+0)+'DCF Model'!D45/(1+$B7)^('DCF Model'!C19+1)+'DCF Model'!E45/(1+$B7)^('DCF Model'!C19+2)+'DCF Model'!F45/(1+$B7)^('DCF Model'!C19+3)+'DCF Model'!G45/(1+$B7)^('DCF Model'!C19+4)+'DCF Model'!G45*(1+G$6)/($B7-G$6)/(1+$B7)^('DCF Model'!C19+4)-'DCF Model'!C16)*1000000/'DCF Model'!C15,0),"")</f>
        <v>4187</v>
      </c>
      <c r="H7" s="37">
        <f>IFERROR(ROUND(('DCF Model'!C45/(1+$B7)^('DCF Model'!C19+0)+'DCF Model'!D45/(1+$B7)^('DCF Model'!C19+1)+'DCF Model'!E45/(1+$B7)^('DCF Model'!C19+2)+'DCF Model'!F45/(1+$B7)^('DCF Model'!C19+3)+'DCF Model'!G45/(1+$B7)^('DCF Model'!C19+4)+'DCF Model'!G45*(1+H$6)/($B7-H$6)/(1+$B7)^('DCF Model'!C19+4)-'DCF Model'!C16)*1000000/'DCF Model'!C15,0),"")</f>
        <v>4527</v>
      </c>
      <c r="I7" s="37">
        <f>IFERROR(ROUND(('DCF Model'!C45/(1+$B7)^('DCF Model'!C19+0)+'DCF Model'!D45/(1+$B7)^('DCF Model'!C19+1)+'DCF Model'!E45/(1+$B7)^('DCF Model'!C19+2)+'DCF Model'!F45/(1+$B7)^('DCF Model'!C19+3)+'DCF Model'!G45/(1+$B7)^('DCF Model'!C19+4)+'DCF Model'!G45*(1+I$6)/($B7-I$6)/(1+$B7)^('DCF Model'!C19+4)-'DCF Model'!C16)*1000000/'DCF Model'!C15,0),"")</f>
        <v>4918</v>
      </c>
    </row>
    <row r="8" spans="2:9" ht="13.5" x14ac:dyDescent="0.25">
      <c r="B8" s="39">
        <f>$C$3-0.01</f>
        <v>5.5438595625719463E-2</v>
      </c>
      <c r="C8" s="37">
        <f>IFERROR(ROUND(('DCF Model'!C45/(1+$B8)^('DCF Model'!C19+0)+'DCF Model'!D45/(1+$B8)^('DCF Model'!C19+1)+'DCF Model'!E45/(1+$B8)^('DCF Model'!C19+2)+'DCF Model'!F45/(1+$B8)^('DCF Model'!C19+3)+'DCF Model'!G45/(1+$B8)^('DCF Model'!C19+4)+'DCF Model'!G45*(1+C$6)/($B8-C$6)/(1+$B8)^('DCF Model'!C19+4)-'DCF Model'!C16)*1000000/'DCF Model'!C15,0),"")</f>
        <v>2756</v>
      </c>
      <c r="D8" s="37">
        <f>IFERROR(ROUND(('DCF Model'!C45/(1+$B8)^('DCF Model'!C19+0)+'DCF Model'!D45/(1+$B8)^('DCF Model'!C19+1)+'DCF Model'!E45/(1+$B8)^('DCF Model'!C19+2)+'DCF Model'!F45/(1+$B8)^('DCF Model'!C19+3)+'DCF Model'!G45/(1+$B8)^('DCF Model'!C19+4)+'DCF Model'!G45*(1+D$6)/($B8-D$6)/(1+$B8)^('DCF Model'!C19+4)-'DCF Model'!C16)*1000000/'DCF Model'!C15,0),"")</f>
        <v>2924</v>
      </c>
      <c r="E8" s="37">
        <f>IFERROR(ROUND(('DCF Model'!C45/(1+$B8)^('DCF Model'!C19+0)+'DCF Model'!D45/(1+$B8)^('DCF Model'!C19+1)+'DCF Model'!E45/(1+$B8)^('DCF Model'!C19+2)+'DCF Model'!F45/(1+$B8)^('DCF Model'!C19+3)+'DCF Model'!G45/(1+$B8)^('DCF Model'!C19+4)+'DCF Model'!G45*(1+E$6)/($B8-E$6)/(1+$B8)^('DCF Model'!C19+4)-'DCF Model'!C16)*1000000/'DCF Model'!C15,0),"")</f>
        <v>3109</v>
      </c>
      <c r="F8" s="37">
        <f>IFERROR(ROUND(('DCF Model'!C45/(1+$B8)^('DCF Model'!C19+0)+'DCF Model'!D45/(1+$B8)^('DCF Model'!C19+1)+'DCF Model'!E45/(1+$B8)^('DCF Model'!C19+2)+'DCF Model'!F45/(1+$B8)^('DCF Model'!C19+3)+'DCF Model'!G45/(1+$B8)^('DCF Model'!C19+4)+'DCF Model'!G45*(1+F$6)/($B8-F$6)/(1+$B8)^('DCF Model'!C19+4)-'DCF Model'!C16)*1000000/'DCF Model'!C15,0),"")</f>
        <v>3315</v>
      </c>
      <c r="G8" s="37">
        <f>IFERROR(ROUND(('DCF Model'!C45/(1+$B8)^('DCF Model'!C19+0)+'DCF Model'!D45/(1+$B8)^('DCF Model'!C19+1)+'DCF Model'!E45/(1+$B8)^('DCF Model'!C19+2)+'DCF Model'!F45/(1+$B8)^('DCF Model'!C19+3)+'DCF Model'!G45/(1+$B8)^('DCF Model'!C19+4)+'DCF Model'!G45*(1+G$6)/($B8-G$6)/(1+$B8)^('DCF Model'!C19+4)-'DCF Model'!C16)*1000000/'DCF Model'!C15,0),"")</f>
        <v>3544</v>
      </c>
      <c r="H8" s="37">
        <f>IFERROR(ROUND(('DCF Model'!C45/(1+$B8)^('DCF Model'!C19+0)+'DCF Model'!D45/(1+$B8)^('DCF Model'!C19+1)+'DCF Model'!E45/(1+$B8)^('DCF Model'!C19+2)+'DCF Model'!F45/(1+$B8)^('DCF Model'!C19+3)+'DCF Model'!G45/(1+$B8)^('DCF Model'!C19+4)+'DCF Model'!G45*(1+H$6)/($B8-H$6)/(1+$B8)^('DCF Model'!C19+4)-'DCF Model'!C16)*1000000/'DCF Model'!C15,0),"")</f>
        <v>3802</v>
      </c>
      <c r="I8" s="37">
        <f>IFERROR(ROUND(('DCF Model'!C45/(1+$B8)^('DCF Model'!C19+0)+'DCF Model'!D45/(1+$B8)^('DCF Model'!C19+1)+'DCF Model'!E45/(1+$B8)^('DCF Model'!C19+2)+'DCF Model'!F45/(1+$B8)^('DCF Model'!C19+3)+'DCF Model'!G45/(1+$B8)^('DCF Model'!C19+4)+'DCF Model'!G45*(1+I$6)/($B8-I$6)/(1+$B8)^('DCF Model'!C19+4)-'DCF Model'!C16)*1000000/'DCF Model'!C15,0),"")</f>
        <v>4094</v>
      </c>
    </row>
    <row r="9" spans="2:9" ht="13.5" x14ac:dyDescent="0.25">
      <c r="B9" s="39">
        <f>$C$3-0.005</f>
        <v>6.0438595625719467E-2</v>
      </c>
      <c r="C9" s="37">
        <f>IFERROR(ROUND(('DCF Model'!C45/(1+$B9)^('DCF Model'!C19+0)+'DCF Model'!D45/(1+$B9)^('DCF Model'!C19+1)+'DCF Model'!E45/(1+$B9)^('DCF Model'!C19+2)+'DCF Model'!F45/(1+$B9)^('DCF Model'!C19+3)+'DCF Model'!G45/(1+$B9)^('DCF Model'!C19+4)+'DCF Model'!G45*(1+C$6)/($B9-C$6)/(1+$B9)^('DCF Model'!C19+4)-'DCF Model'!C16)*1000000/'DCF Model'!C15,0),"")</f>
        <v>2403</v>
      </c>
      <c r="D9" s="37">
        <f>IFERROR(ROUND(('DCF Model'!C45/(1+$B9)^('DCF Model'!C19+0)+'DCF Model'!D45/(1+$B9)^('DCF Model'!C19+1)+'DCF Model'!E45/(1+$B9)^('DCF Model'!C19+2)+'DCF Model'!F45/(1+$B9)^('DCF Model'!C19+3)+'DCF Model'!G45/(1+$B9)^('DCF Model'!C19+4)+'DCF Model'!G45*(1+D$6)/($B9-D$6)/(1+$B9)^('DCF Model'!C19+4)-'DCF Model'!C16)*1000000/'DCF Model'!C15,0),"")</f>
        <v>2540</v>
      </c>
      <c r="E9" s="37">
        <f>IFERROR(ROUND(('DCF Model'!C45/(1+$B9)^('DCF Model'!C19+0)+'DCF Model'!D45/(1+$B9)^('DCF Model'!C19+1)+'DCF Model'!E45/(1+$B9)^('DCF Model'!C19+2)+'DCF Model'!F45/(1+$B9)^('DCF Model'!C19+3)+'DCF Model'!G45/(1+$B9)^('DCF Model'!C19+4)+'DCF Model'!G45*(1+E$6)/($B9-E$6)/(1+$B9)^('DCF Model'!C19+4)-'DCF Model'!C16)*1000000/'DCF Model'!C15,0),"")</f>
        <v>2690</v>
      </c>
      <c r="F9" s="37">
        <f>IFERROR(ROUND(('DCF Model'!C45/(1+$B9)^('DCF Model'!C19+0)+'DCF Model'!D45/(1+$B9)^('DCF Model'!C19+1)+'DCF Model'!E45/(1+$B9)^('DCF Model'!C19+2)+'DCF Model'!F45/(1+$B9)^('DCF Model'!C19+3)+'DCF Model'!G45/(1+$B9)^('DCF Model'!C19+4)+'DCF Model'!G45*(1+F$6)/($B9-F$6)/(1+$B9)^('DCF Model'!C19+4)-'DCF Model'!C16)*1000000/'DCF Model'!C15,0),"")</f>
        <v>2855</v>
      </c>
      <c r="G9" s="37">
        <f>IFERROR(ROUND(('DCF Model'!C45/(1+$B9)^('DCF Model'!C19+0)+'DCF Model'!D45/(1+$B9)^('DCF Model'!C19+1)+'DCF Model'!E45/(1+$B9)^('DCF Model'!C19+2)+'DCF Model'!F45/(1+$B9)^('DCF Model'!C19+3)+'DCF Model'!G45/(1+$B9)^('DCF Model'!C19+4)+'DCF Model'!G45*(1+G$6)/($B9-G$6)/(1+$B9)^('DCF Model'!C19+4)-'DCF Model'!C16)*1000000/'DCF Model'!C15,0),"")</f>
        <v>3036</v>
      </c>
      <c r="H9" s="37">
        <f>IFERROR(ROUND(('DCF Model'!C45/(1+$B9)^('DCF Model'!C19+0)+'DCF Model'!D45/(1+$B9)^('DCF Model'!C19+1)+'DCF Model'!E45/(1+$B9)^('DCF Model'!C19+2)+'DCF Model'!F45/(1+$B9)^('DCF Model'!C19+3)+'DCF Model'!G45/(1+$B9)^('DCF Model'!C19+4)+'DCF Model'!G45*(1+H$6)/($B9-H$6)/(1+$B9)^('DCF Model'!C19+4)-'DCF Model'!C16)*1000000/'DCF Model'!C15,0),"")</f>
        <v>3238</v>
      </c>
      <c r="I9" s="37">
        <f>IFERROR(ROUND(('DCF Model'!C45/(1+$B9)^('DCF Model'!C19+0)+'DCF Model'!D45/(1+$B9)^('DCF Model'!C19+1)+'DCF Model'!E45/(1+$B9)^('DCF Model'!C19+2)+'DCF Model'!F45/(1+$B9)^('DCF Model'!C19+3)+'DCF Model'!G45/(1+$B9)^('DCF Model'!C19+4)+'DCF Model'!G45*(1+I$6)/($B9-I$6)/(1+$B9)^('DCF Model'!C19+4)-'DCF Model'!C16)*1000000/'DCF Model'!C15,0),"")</f>
        <v>3463</v>
      </c>
    </row>
    <row r="10" spans="2:9" ht="13.5" x14ac:dyDescent="0.25">
      <c r="B10" s="39">
        <f>$C$3</f>
        <v>6.5438595625719465E-2</v>
      </c>
      <c r="C10" s="37">
        <f>IFERROR(ROUND(('DCF Model'!C45/(1+$B10)^('DCF Model'!C19+0)+'DCF Model'!D45/(1+$B10)^('DCF Model'!C19+1)+'DCF Model'!E45/(1+$B10)^('DCF Model'!C19+2)+'DCF Model'!F45/(1+$B10)^('DCF Model'!C19+3)+'DCF Model'!G45/(1+$B10)^('DCF Model'!C19+4)+'DCF Model'!G45*(1+C$6)/($B10-C$6)/(1+$B10)^('DCF Model'!C19+4)-'DCF Model'!C16)*1000000/'DCF Model'!C15,0),"")</f>
        <v>2108</v>
      </c>
      <c r="D10" s="37">
        <f>IFERROR(ROUND(('DCF Model'!C45/(1+$B10)^('DCF Model'!C19+0)+'DCF Model'!D45/(1+$B10)^('DCF Model'!C19+1)+'DCF Model'!E45/(1+$B10)^('DCF Model'!C19+2)+'DCF Model'!F45/(1+$B10)^('DCF Model'!C19+3)+'DCF Model'!G45/(1+$B10)^('DCF Model'!C19+4)+'DCF Model'!G45*(1+D$6)/($B10-D$6)/(1+$B10)^('DCF Model'!C19+4)-'DCF Model'!C16)*1000000/'DCF Model'!C15,0),"")</f>
        <v>2221</v>
      </c>
      <c r="E10" s="37">
        <f>IFERROR(ROUND(('DCF Model'!C45/(1+$B10)^('DCF Model'!C19+0)+'DCF Model'!D45/(1+$B10)^('DCF Model'!C19+1)+'DCF Model'!E45/(1+$B10)^('DCF Model'!C19+2)+'DCF Model'!F45/(1+$B10)^('DCF Model'!C19+3)+'DCF Model'!G45/(1+$B10)^('DCF Model'!C19+4)+'DCF Model'!G45*(1+E$6)/($B10-E$6)/(1+$B10)^('DCF Model'!C19+4)-'DCF Model'!C16)*1000000/'DCF Model'!C15,0),"")</f>
        <v>2344</v>
      </c>
      <c r="F10" s="37">
        <f>IFERROR(ROUND(('DCF Model'!C45/(1+$B10)^('DCF Model'!C19+0)+'DCF Model'!D45/(1+$B10)^('DCF Model'!C19+1)+'DCF Model'!E45/(1+$B10)^('DCF Model'!C19+2)+'DCF Model'!F45/(1+$B10)^('DCF Model'!C19+3)+'DCF Model'!G45/(1+$B10)^('DCF Model'!C19+4)+'DCF Model'!G45*(1+F$6)/($B10-F$6)/(1+$B10)^('DCF Model'!C19+4)-'DCF Model'!C16)*1000000/'DCF Model'!C15,0),"")</f>
        <v>2479</v>
      </c>
      <c r="G10" s="37">
        <f>IFERROR(ROUND(('DCF Model'!C45/(1+$B10)^('DCF Model'!C19+0)+'DCF Model'!D45/(1+$B10)^('DCF Model'!C19+1)+'DCF Model'!E45/(1+$B10)^('DCF Model'!C19+2)+'DCF Model'!F45/(1+$B10)^('DCF Model'!C19+3)+'DCF Model'!G45/(1+$B10)^('DCF Model'!C19+4)+'DCF Model'!G45*(1+G$6)/($B10-G$6)/(1+$B10)^('DCF Model'!C19+4)-'DCF Model'!C16)*1000000/'DCF Model'!C15,0),"")</f>
        <v>2626</v>
      </c>
      <c r="H10" s="37">
        <f>IFERROR(ROUND(('DCF Model'!C45/(1+$B10)^('DCF Model'!C19+0)+'DCF Model'!D45/(1+$B10)^('DCF Model'!C19+1)+'DCF Model'!E45/(1+$B10)^('DCF Model'!C19+2)+'DCF Model'!F45/(1+$B10)^('DCF Model'!C19+3)+'DCF Model'!G45/(1+$B10)^('DCF Model'!C19+4)+'DCF Model'!G45*(1+H$6)/($B10-H$6)/(1+$B10)^('DCF Model'!C19+4)-'DCF Model'!C16)*1000000/'DCF Model'!C15,0),"")</f>
        <v>2787</v>
      </c>
      <c r="I10" s="37">
        <f>IFERROR(ROUND(('DCF Model'!C45/(1+$B10)^('DCF Model'!C19+0)+'DCF Model'!D45/(1+$B10)^('DCF Model'!C19+1)+'DCF Model'!E45/(1+$B10)^('DCF Model'!C19+2)+'DCF Model'!F45/(1+$B10)^('DCF Model'!C19+3)+'DCF Model'!G45/(1+$B10)^('DCF Model'!C19+4)+'DCF Model'!G45*(1+I$6)/($B10-I$6)/(1+$B10)^('DCF Model'!C19+4)-'DCF Model'!C16)*1000000/'DCF Model'!C15,0),"")</f>
        <v>2965</v>
      </c>
    </row>
    <row r="11" spans="2:9" ht="13.5" x14ac:dyDescent="0.25">
      <c r="B11" s="39">
        <f>$C$3+0.005</f>
        <v>7.0438595625719469E-2</v>
      </c>
      <c r="C11" s="37">
        <f>IFERROR(ROUND(('DCF Model'!C45/(1+$B11)^('DCF Model'!C19+0)+'DCF Model'!D45/(1+$B11)^('DCF Model'!C19+1)+'DCF Model'!E45/(1+$B11)^('DCF Model'!C19+2)+'DCF Model'!F45/(1+$B11)^('DCF Model'!C19+3)+'DCF Model'!G45/(1+$B11)^('DCF Model'!C19+4)+'DCF Model'!G45*(1+C$6)/($B11-C$6)/(1+$B11)^('DCF Model'!C19+4)-'DCF Model'!C16)*1000000/'DCF Model'!C15,0),"")</f>
        <v>1856</v>
      </c>
      <c r="D11" s="37">
        <f>IFERROR(ROUND(('DCF Model'!C45/(1+$B11)^('DCF Model'!C19+0)+'DCF Model'!D45/(1+$B11)^('DCF Model'!C19+1)+'DCF Model'!E45/(1+$B11)^('DCF Model'!C19+2)+'DCF Model'!F45/(1+$B11)^('DCF Model'!C19+3)+'DCF Model'!G45/(1+$B11)^('DCF Model'!C19+4)+'DCF Model'!G45*(1+D$6)/($B11-D$6)/(1+$B11)^('DCF Model'!C19+4)-'DCF Model'!C16)*1000000/'DCF Model'!C15,0),"")</f>
        <v>1952</v>
      </c>
      <c r="E11" s="37">
        <f>IFERROR(ROUND(('DCF Model'!C45/(1+$B11)^('DCF Model'!C19+0)+'DCF Model'!D45/(1+$B11)^('DCF Model'!C19+1)+'DCF Model'!E45/(1+$B11)^('DCF Model'!C19+2)+'DCF Model'!F45/(1+$B11)^('DCF Model'!C19+3)+'DCF Model'!G45/(1+$B11)^('DCF Model'!C19+4)+'DCF Model'!G45*(1+E$6)/($B11-E$6)/(1+$B11)^('DCF Model'!C19+4)-'DCF Model'!C16)*1000000/'DCF Model'!C15,0),"")</f>
        <v>2054</v>
      </c>
      <c r="F11" s="37">
        <f>IFERROR(ROUND(('DCF Model'!C45/(1+$B11)^('DCF Model'!C19+0)+'DCF Model'!D45/(1+$B11)^('DCF Model'!C19+1)+'DCF Model'!E45/(1+$B11)^('DCF Model'!C19+2)+'DCF Model'!F45/(1+$B11)^('DCF Model'!C19+3)+'DCF Model'!G45/(1+$B11)^('DCF Model'!C19+4)+'DCF Model'!G45*(1+F$6)/($B11-F$6)/(1+$B11)^('DCF Model'!C19+4)-'DCF Model'!C16)*1000000/'DCF Model'!C15,0),"")</f>
        <v>2166</v>
      </c>
      <c r="G11" s="37">
        <f>IFERROR(ROUND(('DCF Model'!C45/(1+$B11)^('DCF Model'!C19+0)+'DCF Model'!D45/(1+$B11)^('DCF Model'!C19+1)+'DCF Model'!E45/(1+$B11)^('DCF Model'!C19+2)+'DCF Model'!F45/(1+$B11)^('DCF Model'!C19+3)+'DCF Model'!G45/(1+$B11)^('DCF Model'!C19+4)+'DCF Model'!G45*(1+G$6)/($B11-G$6)/(1+$B11)^('DCF Model'!C19+4)-'DCF Model'!C16)*1000000/'DCF Model'!C15,0),"")</f>
        <v>2287</v>
      </c>
      <c r="H11" s="37">
        <f>IFERROR(ROUND(('DCF Model'!C45/(1+$B11)^('DCF Model'!C19+0)+'DCF Model'!D45/(1+$B11)^('DCF Model'!C19+1)+'DCF Model'!E45/(1+$B11)^('DCF Model'!C19+2)+'DCF Model'!F45/(1+$B11)^('DCF Model'!C19+3)+'DCF Model'!G45/(1+$B11)^('DCF Model'!C19+4)+'DCF Model'!G45*(1+H$6)/($B11-H$6)/(1+$B11)^('DCF Model'!C19+4)-'DCF Model'!C16)*1000000/'DCF Model'!C15,0),"")</f>
        <v>2418</v>
      </c>
      <c r="I11" s="37">
        <f>IFERROR(ROUND(('DCF Model'!C45/(1+$B11)^('DCF Model'!C19+0)+'DCF Model'!D45/(1+$B11)^('DCF Model'!C19+1)+'DCF Model'!E45/(1+$B11)^('DCF Model'!C19+2)+'DCF Model'!F45/(1+$B11)^('DCF Model'!C19+3)+'DCF Model'!G45/(1+$B11)^('DCF Model'!C19+4)+'DCF Model'!G45*(1+I$6)/($B11-I$6)/(1+$B11)^('DCF Model'!C19+4)-'DCF Model'!C16)*1000000/'DCF Model'!C15,0),"")</f>
        <v>2563</v>
      </c>
    </row>
    <row r="12" spans="2:9" ht="13.5" x14ac:dyDescent="0.25">
      <c r="B12" s="39">
        <f>$C$3+0.01</f>
        <v>7.543859562571946E-2</v>
      </c>
      <c r="C12" s="37">
        <f>IFERROR(ROUND(('DCF Model'!C45/(1+$B12)^('DCF Model'!C19+0)+'DCF Model'!D45/(1+$B12)^('DCF Model'!C19+1)+'DCF Model'!E45/(1+$B12)^('DCF Model'!C19+2)+'DCF Model'!F45/(1+$B12)^('DCF Model'!C19+3)+'DCF Model'!G45/(1+$B12)^('DCF Model'!C19+4)+'DCF Model'!G45*(1+C$6)/($B12-C$6)/(1+$B12)^('DCF Model'!C19+4)-'DCF Model'!C16)*1000000/'DCF Model'!C15,0),"")</f>
        <v>1640</v>
      </c>
      <c r="D12" s="37">
        <f>IFERROR(ROUND(('DCF Model'!C45/(1+$B12)^('DCF Model'!C19+0)+'DCF Model'!D45/(1+$B12)^('DCF Model'!C19+1)+'DCF Model'!E45/(1+$B12)^('DCF Model'!C19+2)+'DCF Model'!F45/(1+$B12)^('DCF Model'!C19+3)+'DCF Model'!G45/(1+$B12)^('DCF Model'!C19+4)+'DCF Model'!G45*(1+D$6)/($B12-D$6)/(1+$B12)^('DCF Model'!C19+4)-'DCF Model'!C16)*1000000/'DCF Model'!C15,0),"")</f>
        <v>1721</v>
      </c>
      <c r="E12" s="37">
        <f>IFERROR(ROUND(('DCF Model'!C45/(1+$B12)^('DCF Model'!C19+0)+'DCF Model'!D45/(1+$B12)^('DCF Model'!C19+1)+'DCF Model'!E45/(1+$B12)^('DCF Model'!C19+2)+'DCF Model'!F45/(1+$B12)^('DCF Model'!C19+3)+'DCF Model'!G45/(1+$B12)^('DCF Model'!C19+4)+'DCF Model'!G45*(1+E$6)/($B12-E$6)/(1+$B12)^('DCF Model'!C19+4)-'DCF Model'!C16)*1000000/'DCF Model'!C15,0),"")</f>
        <v>1808</v>
      </c>
      <c r="F12" s="37">
        <f>IFERROR(ROUND(('DCF Model'!C45/(1+$B12)^('DCF Model'!C19+0)+'DCF Model'!D45/(1+$B12)^('DCF Model'!C19+1)+'DCF Model'!E45/(1+$B12)^('DCF Model'!C19+2)+'DCF Model'!F45/(1+$B12)^('DCF Model'!C19+3)+'DCF Model'!G45/(1+$B12)^('DCF Model'!C19+4)+'DCF Model'!G45*(1+F$6)/($B12-F$6)/(1+$B12)^('DCF Model'!C19+4)-'DCF Model'!C16)*1000000/'DCF Model'!C15,0),"")</f>
        <v>1901</v>
      </c>
      <c r="G12" s="37">
        <f>IFERROR(ROUND(('DCF Model'!C45/(1+$B12)^('DCF Model'!C19+0)+'DCF Model'!D45/(1+$B12)^('DCF Model'!C19+1)+'DCF Model'!E45/(1+$B12)^('DCF Model'!C19+2)+'DCF Model'!F45/(1+$B12)^('DCF Model'!C19+3)+'DCF Model'!G45/(1+$B12)^('DCF Model'!C19+4)+'DCF Model'!G45*(1+G$6)/($B12-G$6)/(1+$B12)^('DCF Model'!C19+4)-'DCF Model'!C16)*1000000/'DCF Model'!C15,0),"")</f>
        <v>2002</v>
      </c>
      <c r="H12" s="37">
        <f>IFERROR(ROUND(('DCF Model'!C45/(1+$B12)^('DCF Model'!C19+0)+'DCF Model'!D45/(1+$B12)^('DCF Model'!C19+1)+'DCF Model'!E45/(1+$B12)^('DCF Model'!C19+2)+'DCF Model'!F45/(1+$B12)^('DCF Model'!C19+3)+'DCF Model'!G45/(1+$B12)^('DCF Model'!C19+4)+'DCF Model'!G45*(1+H$6)/($B12-H$6)/(1+$B12)^('DCF Model'!C19+4)-'DCF Model'!C16)*1000000/'DCF Model'!C15,0),"")</f>
        <v>2111</v>
      </c>
      <c r="I12" s="37">
        <f>IFERROR(ROUND(('DCF Model'!C45/(1+$B12)^('DCF Model'!C19+0)+'DCF Model'!D45/(1+$B12)^('DCF Model'!C19+1)+'DCF Model'!E45/(1+$B12)^('DCF Model'!C19+2)+'DCF Model'!F45/(1+$B12)^('DCF Model'!C19+3)+'DCF Model'!G45/(1+$B12)^('DCF Model'!C19+4)+'DCF Model'!G45*(1+I$6)/($B12-I$6)/(1+$B12)^('DCF Model'!C19+4)-'DCF Model'!C16)*1000000/'DCF Model'!C15,0),"")</f>
        <v>2230</v>
      </c>
    </row>
    <row r="13" spans="2:9" ht="13.5" x14ac:dyDescent="0.25">
      <c r="B13" s="39">
        <f>$C$3+0.015</f>
        <v>8.0438595625719464E-2</v>
      </c>
      <c r="C13" s="37">
        <f>IFERROR(ROUND(('DCF Model'!C45/(1+$B13)^('DCF Model'!C19+0)+'DCF Model'!D45/(1+$B13)^('DCF Model'!C19+1)+'DCF Model'!E45/(1+$B13)^('DCF Model'!C19+2)+'DCF Model'!F45/(1+$B13)^('DCF Model'!C19+3)+'DCF Model'!G45/(1+$B13)^('DCF Model'!C19+4)+'DCF Model'!G45*(1+C$6)/($B13-C$6)/(1+$B13)^('DCF Model'!C19+4)-'DCF Model'!C16)*1000000/'DCF Model'!C15,0),"")</f>
        <v>1452</v>
      </c>
      <c r="D13" s="37">
        <f>IFERROR(ROUND(('DCF Model'!C45/(1+$B13)^('DCF Model'!C19+0)+'DCF Model'!D45/(1+$B13)^('DCF Model'!C19+1)+'DCF Model'!E45/(1+$B13)^('DCF Model'!C19+2)+'DCF Model'!F45/(1+$B13)^('DCF Model'!C19+3)+'DCF Model'!G45/(1+$B13)^('DCF Model'!C19+4)+'DCF Model'!G45*(1+D$6)/($B13-D$6)/(1+$B13)^('DCF Model'!C19+4)-'DCF Model'!C16)*1000000/'DCF Model'!C15,0),"")</f>
        <v>1522</v>
      </c>
      <c r="E13" s="37">
        <f>IFERROR(ROUND(('DCF Model'!C45/(1+$B13)^('DCF Model'!C19+0)+'DCF Model'!D45/(1+$B13)^('DCF Model'!C19+1)+'DCF Model'!E45/(1+$B13)^('DCF Model'!C19+2)+'DCF Model'!F45/(1+$B13)^('DCF Model'!C19+3)+'DCF Model'!G45/(1+$B13)^('DCF Model'!C19+4)+'DCF Model'!G45*(1+E$6)/($B13-E$6)/(1+$B13)^('DCF Model'!C19+4)-'DCF Model'!C16)*1000000/'DCF Model'!C15,0),"")</f>
        <v>1596</v>
      </c>
      <c r="F13" s="37">
        <f>IFERROR(ROUND(('DCF Model'!C45/(1+$B13)^('DCF Model'!C19+0)+'DCF Model'!D45/(1+$B13)^('DCF Model'!C19+1)+'DCF Model'!E45/(1+$B13)^('DCF Model'!C19+2)+'DCF Model'!F45/(1+$B13)^('DCF Model'!C19+3)+'DCF Model'!G45/(1+$B13)^('DCF Model'!C19+4)+'DCF Model'!G45*(1+F$6)/($B13-F$6)/(1+$B13)^('DCF Model'!C19+4)-'DCF Model'!C16)*1000000/'DCF Model'!C15,0),"")</f>
        <v>1675</v>
      </c>
      <c r="G13" s="37">
        <f>IFERROR(ROUND(('DCF Model'!C45/(1+$B13)^('DCF Model'!C19+0)+'DCF Model'!D45/(1+$B13)^('DCF Model'!C19+1)+'DCF Model'!E45/(1+$B13)^('DCF Model'!C19+2)+'DCF Model'!F45/(1+$B13)^('DCF Model'!C19+3)+'DCF Model'!G45/(1+$B13)^('DCF Model'!C19+4)+'DCF Model'!G45*(1+G$6)/($B13-G$6)/(1+$B13)^('DCF Model'!C19+4)-'DCF Model'!C16)*1000000/'DCF Model'!C15,0),"")</f>
        <v>1761</v>
      </c>
      <c r="H13" s="37">
        <f>IFERROR(ROUND(('DCF Model'!C45/(1+$B13)^('DCF Model'!C19+0)+'DCF Model'!D45/(1+$B13)^('DCF Model'!C19+1)+'DCF Model'!E45/(1+$B13)^('DCF Model'!C19+2)+'DCF Model'!F45/(1+$B13)^('DCF Model'!C19+3)+'DCF Model'!G45/(1+$B13)^('DCF Model'!C19+4)+'DCF Model'!G45*(1+H$6)/($B13-H$6)/(1+$B13)^('DCF Model'!C19+4)-'DCF Model'!C16)*1000000/'DCF Model'!C15,0),"")</f>
        <v>1852</v>
      </c>
      <c r="I13" s="37">
        <f>IFERROR(ROUND(('DCF Model'!C45/(1+$B13)^('DCF Model'!C19+0)+'DCF Model'!D45/(1+$B13)^('DCF Model'!C19+1)+'DCF Model'!E45/(1+$B13)^('DCF Model'!C19+2)+'DCF Model'!F45/(1+$B13)^('DCF Model'!C19+3)+'DCF Model'!G45/(1+$B13)^('DCF Model'!C19+4)+'DCF Model'!G45*(1+I$6)/($B13-I$6)/(1+$B13)^('DCF Model'!C19+4)-'DCF Model'!C16)*1000000/'DCF Model'!C15,0),"")</f>
        <v>1951</v>
      </c>
    </row>
    <row r="16" spans="2:9" ht="14" x14ac:dyDescent="0.3">
      <c r="B16" s="3" t="s">
        <v>242</v>
      </c>
    </row>
    <row r="17" spans="2:9" ht="14" x14ac:dyDescent="0.3">
      <c r="B17" s="40" t="s">
        <v>243</v>
      </c>
      <c r="C17" s="42">
        <f>$I$3-3</f>
        <v>4.7</v>
      </c>
      <c r="D17" s="42">
        <f>$I$3-2</f>
        <v>5.7</v>
      </c>
      <c r="E17" s="42">
        <f>$I$3-1</f>
        <v>6.7</v>
      </c>
      <c r="F17" s="42">
        <f>$I$3</f>
        <v>7.7</v>
      </c>
      <c r="G17" s="42">
        <f>$I$3+1</f>
        <v>8.6999999999999993</v>
      </c>
      <c r="H17" s="42">
        <f>$I$3+2</f>
        <v>9.6999999999999993</v>
      </c>
      <c r="I17" s="42">
        <f>$I$3+3</f>
        <v>10.7</v>
      </c>
    </row>
    <row r="18" spans="2:9" ht="13.5" x14ac:dyDescent="0.25">
      <c r="B18" s="39">
        <f>$C$3-0.015</f>
        <v>5.0438595625719465E-2</v>
      </c>
      <c r="C18" s="37">
        <f>IFERROR(ROUND(('DCF Model'!C45/(1+$B18)^('DCF Model'!C19+0)+'DCF Model'!D45/(1+$B18)^('DCF Model'!C19+1)+'DCF Model'!E45/(1+$B18)^('DCF Model'!C19+2)+'DCF Model'!F45/(1+$B18)^('DCF Model'!C19+3)+'DCF Model'!G45/(1+$B18)^('DCF Model'!C19+4)+('DCF Model'!G39+'DCF Model'!G42)*C$17/(1+$B18)^('DCF Model'!C19+4)-'DCF Model'!C16)*1000000/'DCF Model'!C15,0),"")</f>
        <v>1422</v>
      </c>
      <c r="D18" s="37">
        <f>IFERROR(ROUND(('DCF Model'!C45/(1+$B18)^('DCF Model'!C19+0)+'DCF Model'!D45/(1+$B18)^('DCF Model'!C19+1)+'DCF Model'!E45/(1+$B18)^('DCF Model'!C19+2)+'DCF Model'!F45/(1+$B18)^('DCF Model'!C19+3)+'DCF Model'!G45/(1+$B18)^('DCF Model'!C19+4)+('DCF Model'!G39+'DCF Model'!G42)*D$17/(1+$B18)^('DCF Model'!C19+4)-'DCF Model'!C16)*1000000/'DCF Model'!C15,0),"")</f>
        <v>1821</v>
      </c>
      <c r="E18" s="37">
        <f>IFERROR(ROUND(('DCF Model'!C45/(1+$B18)^('DCF Model'!C19+0)+'DCF Model'!D45/(1+$B18)^('DCF Model'!C19+1)+'DCF Model'!E45/(1+$B18)^('DCF Model'!C19+2)+'DCF Model'!F45/(1+$B18)^('DCF Model'!C19+3)+'DCF Model'!G45/(1+$B18)^('DCF Model'!C19+4)+('DCF Model'!G39+'DCF Model'!G42)*E$17/(1+$B18)^('DCF Model'!C19+4)-'DCF Model'!C16)*1000000/'DCF Model'!C15,0),"")</f>
        <v>2219</v>
      </c>
      <c r="F18" s="37">
        <f>IFERROR(ROUND(('DCF Model'!C45/(1+$B18)^('DCF Model'!C19+0)+'DCF Model'!D45/(1+$B18)^('DCF Model'!C19+1)+'DCF Model'!E45/(1+$B18)^('DCF Model'!C19+2)+'DCF Model'!F45/(1+$B18)^('DCF Model'!C19+3)+'DCF Model'!G45/(1+$B18)^('DCF Model'!C19+4)+('DCF Model'!G39+'DCF Model'!G42)*F$17/(1+$B18)^('DCF Model'!C19+4)-'DCF Model'!C16)*1000000/'DCF Model'!C15,0),"")</f>
        <v>2618</v>
      </c>
      <c r="G18" s="37">
        <f>IFERROR(ROUND(('DCF Model'!C45/(1+$B18)^('DCF Model'!C19+0)+'DCF Model'!D45/(1+$B18)^('DCF Model'!C19+1)+'DCF Model'!E45/(1+$B18)^('DCF Model'!C19+2)+'DCF Model'!F45/(1+$B18)^('DCF Model'!C19+3)+'DCF Model'!G45/(1+$B18)^('DCF Model'!C19+4)+('DCF Model'!G39+'DCF Model'!G42)*G$17/(1+$B18)^('DCF Model'!C19+4)-'DCF Model'!C16)*1000000/'DCF Model'!C15,0),"")</f>
        <v>3017</v>
      </c>
      <c r="H18" s="37">
        <f>IFERROR(ROUND(('DCF Model'!C45/(1+$B18)^('DCF Model'!C19+0)+'DCF Model'!D45/(1+$B18)^('DCF Model'!C19+1)+'DCF Model'!E45/(1+$B18)^('DCF Model'!C19+2)+'DCF Model'!F45/(1+$B18)^('DCF Model'!C19+3)+'DCF Model'!G45/(1+$B18)^('DCF Model'!C19+4)+('DCF Model'!G39+'DCF Model'!G42)*H$17/(1+$B18)^('DCF Model'!C19+4)-'DCF Model'!C16)*1000000/'DCF Model'!C15,0),"")</f>
        <v>3415</v>
      </c>
      <c r="I18" s="37">
        <f>IFERROR(ROUND(('DCF Model'!C45/(1+$B18)^('DCF Model'!C19+0)+'DCF Model'!D45/(1+$B18)^('DCF Model'!C19+1)+'DCF Model'!E45/(1+$B18)^('DCF Model'!C19+2)+'DCF Model'!F45/(1+$B18)^('DCF Model'!C19+3)+'DCF Model'!G45/(1+$B18)^('DCF Model'!C19+4)+('DCF Model'!G39+'DCF Model'!G42)*I$17/(1+$B18)^('DCF Model'!C19+4)-'DCF Model'!C16)*1000000/'DCF Model'!C15,0),"")</f>
        <v>3814</v>
      </c>
    </row>
    <row r="19" spans="2:9" ht="13.5" x14ac:dyDescent="0.25">
      <c r="B19" s="39">
        <f>$C$3-0.01</f>
        <v>5.5438595625719463E-2</v>
      </c>
      <c r="C19" s="37">
        <f>IFERROR(ROUND(('DCF Model'!C45/(1+$B19)^('DCF Model'!C19+0)+'DCF Model'!D45/(1+$B19)^('DCF Model'!C19+1)+'DCF Model'!E45/(1+$B19)^('DCF Model'!C19+2)+'DCF Model'!F45/(1+$B19)^('DCF Model'!C19+3)+'DCF Model'!G45/(1+$B19)^('DCF Model'!C19+4)+('DCF Model'!G39+'DCF Model'!G42)*C$17/(1+$B19)^('DCF Model'!C19+4)-'DCF Model'!C16)*1000000/'DCF Model'!C15,0),"")</f>
        <v>1371</v>
      </c>
      <c r="D19" s="37">
        <f>IFERROR(ROUND(('DCF Model'!C45/(1+$B19)^('DCF Model'!C19+0)+'DCF Model'!D45/(1+$B19)^('DCF Model'!C19+1)+'DCF Model'!E45/(1+$B19)^('DCF Model'!C19+2)+'DCF Model'!F45/(1+$B19)^('DCF Model'!C19+3)+'DCF Model'!G45/(1+$B19)^('DCF Model'!C19+4)+('DCF Model'!G39+'DCF Model'!G42)*D$17/(1+$B19)^('DCF Model'!C19+4)-'DCF Model'!C16)*1000000/'DCF Model'!C15,0),"")</f>
        <v>1761</v>
      </c>
      <c r="E19" s="37">
        <f>IFERROR(ROUND(('DCF Model'!C45/(1+$B19)^('DCF Model'!C19+0)+'DCF Model'!D45/(1+$B19)^('DCF Model'!C19+1)+'DCF Model'!E45/(1+$B19)^('DCF Model'!C19+2)+'DCF Model'!F45/(1+$B19)^('DCF Model'!C19+3)+'DCF Model'!G45/(1+$B19)^('DCF Model'!C19+4)+('DCF Model'!G39+'DCF Model'!G42)*E$17/(1+$B19)^('DCF Model'!C19+4)-'DCF Model'!C16)*1000000/'DCF Model'!C15,0),"")</f>
        <v>2150</v>
      </c>
      <c r="F19" s="37">
        <f>IFERROR(ROUND(('DCF Model'!C45/(1+$B19)^('DCF Model'!C19+0)+'DCF Model'!D45/(1+$B19)^('DCF Model'!C19+1)+'DCF Model'!E45/(1+$B19)^('DCF Model'!C19+2)+'DCF Model'!F45/(1+$B19)^('DCF Model'!C19+3)+'DCF Model'!G45/(1+$B19)^('DCF Model'!C19+4)+('DCF Model'!G39+'DCF Model'!G42)*F$17/(1+$B19)^('DCF Model'!C19+4)-'DCF Model'!C16)*1000000/'DCF Model'!C15,0),"")</f>
        <v>2539</v>
      </c>
      <c r="G19" s="37">
        <f>IFERROR(ROUND(('DCF Model'!C45/(1+$B19)^('DCF Model'!C19+0)+'DCF Model'!D45/(1+$B19)^('DCF Model'!C19+1)+'DCF Model'!E45/(1+$B19)^('DCF Model'!C19+2)+'DCF Model'!F45/(1+$B19)^('DCF Model'!C19+3)+'DCF Model'!G45/(1+$B19)^('DCF Model'!C19+4)+('DCF Model'!G39+'DCF Model'!G42)*G$17/(1+$B19)^('DCF Model'!C19+4)-'DCF Model'!C16)*1000000/'DCF Model'!C15,0),"")</f>
        <v>2929</v>
      </c>
      <c r="H19" s="37">
        <f>IFERROR(ROUND(('DCF Model'!C45/(1+$B19)^('DCF Model'!C19+0)+'DCF Model'!D45/(1+$B19)^('DCF Model'!C19+1)+'DCF Model'!E45/(1+$B19)^('DCF Model'!C19+2)+'DCF Model'!F45/(1+$B19)^('DCF Model'!C19+3)+'DCF Model'!G45/(1+$B19)^('DCF Model'!C19+4)+('DCF Model'!G39+'DCF Model'!G42)*H$17/(1+$B19)^('DCF Model'!C19+4)-'DCF Model'!C16)*1000000/'DCF Model'!C15,0),"")</f>
        <v>3318</v>
      </c>
      <c r="I19" s="37">
        <f>IFERROR(ROUND(('DCF Model'!C45/(1+$B19)^('DCF Model'!C19+0)+'DCF Model'!D45/(1+$B19)^('DCF Model'!C19+1)+'DCF Model'!E45/(1+$B19)^('DCF Model'!C19+2)+'DCF Model'!F45/(1+$B19)^('DCF Model'!C19+3)+'DCF Model'!G45/(1+$B19)^('DCF Model'!C19+4)+('DCF Model'!G39+'DCF Model'!G42)*I$17/(1+$B19)^('DCF Model'!C19+4)-'DCF Model'!C16)*1000000/'DCF Model'!C15,0),"")</f>
        <v>3707</v>
      </c>
    </row>
    <row r="20" spans="2:9" ht="13.5" x14ac:dyDescent="0.25">
      <c r="B20" s="39">
        <f>$C$3-0.005</f>
        <v>6.0438595625719467E-2</v>
      </c>
      <c r="C20" s="37">
        <f>IFERROR(ROUND(('DCF Model'!C45/(1+$B20)^('DCF Model'!C19+0)+'DCF Model'!D45/(1+$B20)^('DCF Model'!C19+1)+'DCF Model'!E45/(1+$B20)^('DCF Model'!C19+2)+'DCF Model'!F45/(1+$B20)^('DCF Model'!C19+3)+'DCF Model'!G45/(1+$B20)^('DCF Model'!C19+4)+('DCF Model'!G39+'DCF Model'!G42)*C$17/(1+$B20)^('DCF Model'!C19+4)-'DCF Model'!C16)*1000000/'DCF Model'!C15,0),"")</f>
        <v>1322</v>
      </c>
      <c r="D20" s="37">
        <f>IFERROR(ROUND(('DCF Model'!C45/(1+$B20)^('DCF Model'!C19+0)+'DCF Model'!D45/(1+$B20)^('DCF Model'!C19+1)+'DCF Model'!E45/(1+$B20)^('DCF Model'!C19+2)+'DCF Model'!F45/(1+$B20)^('DCF Model'!C19+3)+'DCF Model'!G45/(1+$B20)^('DCF Model'!C19+4)+('DCF Model'!G39+'DCF Model'!G42)*D$17/(1+$B20)^('DCF Model'!C19+4)-'DCF Model'!C16)*1000000/'DCF Model'!C15,0),"")</f>
        <v>1702</v>
      </c>
      <c r="E20" s="37">
        <f>IFERROR(ROUND(('DCF Model'!C45/(1+$B20)^('DCF Model'!C19+0)+'DCF Model'!D45/(1+$B20)^('DCF Model'!C19+1)+'DCF Model'!E45/(1+$B20)^('DCF Model'!C19+2)+'DCF Model'!F45/(1+$B20)^('DCF Model'!C19+3)+'DCF Model'!G45/(1+$B20)^('DCF Model'!C19+4)+('DCF Model'!G39+'DCF Model'!G42)*E$17/(1+$B20)^('DCF Model'!C19+4)-'DCF Model'!C16)*1000000/'DCF Model'!C15,0),"")</f>
        <v>2082</v>
      </c>
      <c r="F20" s="37">
        <f>IFERROR(ROUND(('DCF Model'!C45/(1+$B20)^('DCF Model'!C19+0)+'DCF Model'!D45/(1+$B20)^('DCF Model'!C19+1)+'DCF Model'!E45/(1+$B20)^('DCF Model'!C19+2)+'DCF Model'!F45/(1+$B20)^('DCF Model'!C19+3)+'DCF Model'!G45/(1+$B20)^('DCF Model'!C19+4)+('DCF Model'!G39+'DCF Model'!G42)*F$17/(1+$B20)^('DCF Model'!C19+4)-'DCF Model'!C16)*1000000/'DCF Model'!C15,0),"")</f>
        <v>2463</v>
      </c>
      <c r="G20" s="37">
        <f>IFERROR(ROUND(('DCF Model'!C45/(1+$B20)^('DCF Model'!C19+0)+'DCF Model'!D45/(1+$B20)^('DCF Model'!C19+1)+'DCF Model'!E45/(1+$B20)^('DCF Model'!C19+2)+'DCF Model'!F45/(1+$B20)^('DCF Model'!C19+3)+'DCF Model'!G45/(1+$B20)^('DCF Model'!C19+4)+('DCF Model'!G39+'DCF Model'!G42)*G$17/(1+$B20)^('DCF Model'!C19+4)-'DCF Model'!C16)*1000000/'DCF Model'!C15,0),"")</f>
        <v>2843</v>
      </c>
      <c r="H20" s="37">
        <f>IFERROR(ROUND(('DCF Model'!C45/(1+$B20)^('DCF Model'!C19+0)+'DCF Model'!D45/(1+$B20)^('DCF Model'!C19+1)+'DCF Model'!E45/(1+$B20)^('DCF Model'!C19+2)+'DCF Model'!F45/(1+$B20)^('DCF Model'!C19+3)+'DCF Model'!G45/(1+$B20)^('DCF Model'!C19+4)+('DCF Model'!G39+'DCF Model'!G42)*H$17/(1+$B20)^('DCF Model'!C19+4)-'DCF Model'!C16)*1000000/'DCF Model'!C15,0),"")</f>
        <v>3223</v>
      </c>
      <c r="I20" s="37">
        <f>IFERROR(ROUND(('DCF Model'!C45/(1+$B20)^('DCF Model'!C19+0)+'DCF Model'!D45/(1+$B20)^('DCF Model'!C19+1)+'DCF Model'!E45/(1+$B20)^('DCF Model'!C19+2)+'DCF Model'!F45/(1+$B20)^('DCF Model'!C19+3)+'DCF Model'!G45/(1+$B20)^('DCF Model'!C19+4)+('DCF Model'!G39+'DCF Model'!G42)*I$17/(1+$B20)^('DCF Model'!C19+4)-'DCF Model'!C16)*1000000/'DCF Model'!C15,0),"")</f>
        <v>3603</v>
      </c>
    </row>
    <row r="21" spans="2:9" ht="13.5" x14ac:dyDescent="0.25">
      <c r="B21" s="39">
        <f>$C$3</f>
        <v>6.5438595625719465E-2</v>
      </c>
      <c r="C21" s="37">
        <f>IFERROR(ROUND(('DCF Model'!C45/(1+$B21)^('DCF Model'!C19+0)+'DCF Model'!D45/(1+$B21)^('DCF Model'!C19+1)+'DCF Model'!E45/(1+$B21)^('DCF Model'!C19+2)+'DCF Model'!F45/(1+$B21)^('DCF Model'!C19+3)+'DCF Model'!G45/(1+$B21)^('DCF Model'!C19+4)+('DCF Model'!G39+'DCF Model'!G42)*C$17/(1+$B21)^('DCF Model'!C19+4)-'DCF Model'!C16)*1000000/'DCF Model'!C15,0),"")</f>
        <v>1274</v>
      </c>
      <c r="D21" s="37">
        <f>IFERROR(ROUND(('DCF Model'!C45/(1+$B21)^('DCF Model'!C19+0)+'DCF Model'!D45/(1+$B21)^('DCF Model'!C19+1)+'DCF Model'!E45/(1+$B21)^('DCF Model'!C19+2)+'DCF Model'!F45/(1+$B21)^('DCF Model'!C19+3)+'DCF Model'!G45/(1+$B21)^('DCF Model'!C19+4)+('DCF Model'!G39+'DCF Model'!G42)*D$17/(1+$B21)^('DCF Model'!C19+4)-'DCF Model'!C16)*1000000/'DCF Model'!C15,0),"")</f>
        <v>1645</v>
      </c>
      <c r="E21" s="37">
        <f>IFERROR(ROUND(('DCF Model'!C45/(1+$B21)^('DCF Model'!C19+0)+'DCF Model'!D45/(1+$B21)^('DCF Model'!C19+1)+'DCF Model'!E45/(1+$B21)^('DCF Model'!C19+2)+'DCF Model'!F45/(1+$B21)^('DCF Model'!C19+3)+'DCF Model'!G45/(1+$B21)^('DCF Model'!C19+4)+('DCF Model'!G39+'DCF Model'!G42)*E$17/(1+$B21)^('DCF Model'!C19+4)-'DCF Model'!C16)*1000000/'DCF Model'!C15,0),"")</f>
        <v>2017</v>
      </c>
      <c r="F21" s="37">
        <f>IFERROR(ROUND(('DCF Model'!C45/(1+$B21)^('DCF Model'!C19+0)+'DCF Model'!D45/(1+$B21)^('DCF Model'!C19+1)+'DCF Model'!E45/(1+$B21)^('DCF Model'!C19+2)+'DCF Model'!F45/(1+$B21)^('DCF Model'!C19+3)+'DCF Model'!G45/(1+$B21)^('DCF Model'!C19+4)+('DCF Model'!G39+'DCF Model'!G42)*F$17/(1+$B21)^('DCF Model'!C19+4)-'DCF Model'!C16)*1000000/'DCF Model'!C15,0),"")</f>
        <v>2388</v>
      </c>
      <c r="G21" s="37">
        <f>IFERROR(ROUND(('DCF Model'!C45/(1+$B21)^('DCF Model'!C19+0)+'DCF Model'!D45/(1+$B21)^('DCF Model'!C19+1)+'DCF Model'!E45/(1+$B21)^('DCF Model'!C19+2)+'DCF Model'!F45/(1+$B21)^('DCF Model'!C19+3)+'DCF Model'!G45/(1+$B21)^('DCF Model'!C19+4)+('DCF Model'!G39+'DCF Model'!G42)*G$17/(1+$B21)^('DCF Model'!C19+4)-'DCF Model'!C16)*1000000/'DCF Model'!C15,0),"")</f>
        <v>2760</v>
      </c>
      <c r="H21" s="37">
        <f>IFERROR(ROUND(('DCF Model'!C45/(1+$B21)^('DCF Model'!C19+0)+'DCF Model'!D45/(1+$B21)^('DCF Model'!C19+1)+'DCF Model'!E45/(1+$B21)^('DCF Model'!C19+2)+'DCF Model'!F45/(1+$B21)^('DCF Model'!C19+3)+'DCF Model'!G45/(1+$B21)^('DCF Model'!C19+4)+('DCF Model'!G39+'DCF Model'!G42)*H$17/(1+$B21)^('DCF Model'!C19+4)-'DCF Model'!C16)*1000000/'DCF Model'!C15,0),"")</f>
        <v>3131</v>
      </c>
      <c r="I21" s="37">
        <f>IFERROR(ROUND(('DCF Model'!C45/(1+$B21)^('DCF Model'!C19+0)+'DCF Model'!D45/(1+$B21)^('DCF Model'!C19+1)+'DCF Model'!E45/(1+$B21)^('DCF Model'!C19+2)+'DCF Model'!F45/(1+$B21)^('DCF Model'!C19+3)+'DCF Model'!G45/(1+$B21)^('DCF Model'!C19+4)+('DCF Model'!G39+'DCF Model'!G42)*I$17/(1+$B21)^('DCF Model'!C19+4)-'DCF Model'!C16)*1000000/'DCF Model'!C15,0),"")</f>
        <v>3502</v>
      </c>
    </row>
    <row r="22" spans="2:9" ht="13.5" x14ac:dyDescent="0.25">
      <c r="B22" s="39">
        <f>$C$3+0.005</f>
        <v>7.0438595625719469E-2</v>
      </c>
      <c r="C22" s="37">
        <f>IFERROR(ROUND(('DCF Model'!C45/(1+$B22)^('DCF Model'!C19+0)+'DCF Model'!D45/(1+$B22)^('DCF Model'!C19+1)+'DCF Model'!E45/(1+$B22)^('DCF Model'!C19+2)+'DCF Model'!F45/(1+$B22)^('DCF Model'!C19+3)+'DCF Model'!G45/(1+$B22)^('DCF Model'!C19+4)+('DCF Model'!G39+'DCF Model'!G42)*C$17/(1+$B22)^('DCF Model'!C19+4)-'DCF Model'!C16)*1000000/'DCF Model'!C15,0),"")</f>
        <v>1227</v>
      </c>
      <c r="D22" s="37">
        <f>IFERROR(ROUND(('DCF Model'!C45/(1+$B22)^('DCF Model'!C19+0)+'DCF Model'!D45/(1+$B22)^('DCF Model'!C19+1)+'DCF Model'!E45/(1+$B22)^('DCF Model'!C19+2)+'DCF Model'!F45/(1+$B22)^('DCF Model'!C19+3)+'DCF Model'!G45/(1+$B22)^('DCF Model'!C19+4)+('DCF Model'!G39+'DCF Model'!G42)*D$17/(1+$B22)^('DCF Model'!C19+4)-'DCF Model'!C16)*1000000/'DCF Model'!C15,0),"")</f>
        <v>1590</v>
      </c>
      <c r="E22" s="37">
        <f>IFERROR(ROUND(('DCF Model'!C45/(1+$B22)^('DCF Model'!C19+0)+'DCF Model'!D45/(1+$B22)^('DCF Model'!C19+1)+'DCF Model'!E45/(1+$B22)^('DCF Model'!C19+2)+'DCF Model'!F45/(1+$B22)^('DCF Model'!C19+3)+'DCF Model'!G45/(1+$B22)^('DCF Model'!C19+4)+('DCF Model'!G39+'DCF Model'!G42)*E$17/(1+$B22)^('DCF Model'!C19+4)-'DCF Model'!C16)*1000000/'DCF Model'!C15,0),"")</f>
        <v>1953</v>
      </c>
      <c r="F22" s="37">
        <f>IFERROR(ROUND(('DCF Model'!C45/(1+$B22)^('DCF Model'!C19+0)+'DCF Model'!D45/(1+$B22)^('DCF Model'!C19+1)+'DCF Model'!E45/(1+$B22)^('DCF Model'!C19+2)+'DCF Model'!F45/(1+$B22)^('DCF Model'!C19+3)+'DCF Model'!G45/(1+$B22)^('DCF Model'!C19+4)+('DCF Model'!G39+'DCF Model'!G42)*F$17/(1+$B22)^('DCF Model'!C19+4)-'DCF Model'!C16)*1000000/'DCF Model'!C15,0),"")</f>
        <v>2316</v>
      </c>
      <c r="G22" s="37">
        <f>IFERROR(ROUND(('DCF Model'!C45/(1+$B22)^('DCF Model'!C19+0)+'DCF Model'!D45/(1+$B22)^('DCF Model'!C19+1)+'DCF Model'!E45/(1+$B22)^('DCF Model'!C19+2)+'DCF Model'!F45/(1+$B22)^('DCF Model'!C19+3)+'DCF Model'!G45/(1+$B22)^('DCF Model'!C19+4)+('DCF Model'!G39+'DCF Model'!G42)*G$17/(1+$B22)^('DCF Model'!C19+4)-'DCF Model'!C16)*1000000/'DCF Model'!C15,0),"")</f>
        <v>2679</v>
      </c>
      <c r="H22" s="37">
        <f>IFERROR(ROUND(('DCF Model'!C45/(1+$B22)^('DCF Model'!C19+0)+'DCF Model'!D45/(1+$B22)^('DCF Model'!C19+1)+'DCF Model'!E45/(1+$B22)^('DCF Model'!C19+2)+'DCF Model'!F45/(1+$B22)^('DCF Model'!C19+3)+'DCF Model'!G45/(1+$B22)^('DCF Model'!C19+4)+('DCF Model'!G39+'DCF Model'!G42)*H$17/(1+$B22)^('DCF Model'!C19+4)-'DCF Model'!C16)*1000000/'DCF Model'!C15,0),"")</f>
        <v>3041</v>
      </c>
      <c r="I22" s="37">
        <f>IFERROR(ROUND(('DCF Model'!C45/(1+$B22)^('DCF Model'!C19+0)+'DCF Model'!D45/(1+$B22)^('DCF Model'!C19+1)+'DCF Model'!E45/(1+$B22)^('DCF Model'!C19+2)+'DCF Model'!F45/(1+$B22)^('DCF Model'!C19+3)+'DCF Model'!G45/(1+$B22)^('DCF Model'!C19+4)+('DCF Model'!G39+'DCF Model'!G42)*I$17/(1+$B22)^('DCF Model'!C19+4)-'DCF Model'!C16)*1000000/'DCF Model'!C15,0),"")</f>
        <v>3404</v>
      </c>
    </row>
    <row r="23" spans="2:9" ht="13.5" x14ac:dyDescent="0.25">
      <c r="B23" s="39">
        <f>$C$3+0.01</f>
        <v>7.543859562571946E-2</v>
      </c>
      <c r="C23" s="37">
        <f>IFERROR(ROUND(('DCF Model'!C45/(1+$B23)^('DCF Model'!C19+0)+'DCF Model'!D45/(1+$B23)^('DCF Model'!C19+1)+'DCF Model'!E45/(1+$B23)^('DCF Model'!C19+2)+'DCF Model'!F45/(1+$B23)^('DCF Model'!C19+3)+'DCF Model'!G45/(1+$B23)^('DCF Model'!C19+4)+('DCF Model'!G39+'DCF Model'!G42)*C$17/(1+$B23)^('DCF Model'!C19+4)-'DCF Model'!C16)*1000000/'DCF Model'!C15,0),"")</f>
        <v>1182</v>
      </c>
      <c r="D23" s="37">
        <f>IFERROR(ROUND(('DCF Model'!C45/(1+$B23)^('DCF Model'!C19+0)+'DCF Model'!D45/(1+$B23)^('DCF Model'!C19+1)+'DCF Model'!E45/(1+$B23)^('DCF Model'!C19+2)+'DCF Model'!F45/(1+$B23)^('DCF Model'!C19+3)+'DCF Model'!G45/(1+$B23)^('DCF Model'!C19+4)+('DCF Model'!G39+'DCF Model'!G42)*D$17/(1+$B23)^('DCF Model'!C19+4)-'DCF Model'!C16)*1000000/'DCF Model'!C15,0),"")</f>
        <v>1536</v>
      </c>
      <c r="E23" s="37">
        <f>IFERROR(ROUND(('DCF Model'!C45/(1+$B23)^('DCF Model'!C19+0)+'DCF Model'!D45/(1+$B23)^('DCF Model'!C19+1)+'DCF Model'!E45/(1+$B23)^('DCF Model'!C19+2)+'DCF Model'!F45/(1+$B23)^('DCF Model'!C19+3)+'DCF Model'!G45/(1+$B23)^('DCF Model'!C19+4)+('DCF Model'!G39+'DCF Model'!G42)*E$17/(1+$B23)^('DCF Model'!C19+4)-'DCF Model'!C16)*1000000/'DCF Model'!C15,0),"")</f>
        <v>1891</v>
      </c>
      <c r="F23" s="37">
        <f>IFERROR(ROUND(('DCF Model'!C45/(1+$B23)^('DCF Model'!C19+0)+'DCF Model'!D45/(1+$B23)^('DCF Model'!C19+1)+'DCF Model'!E45/(1+$B23)^('DCF Model'!C19+2)+'DCF Model'!F45/(1+$B23)^('DCF Model'!C19+3)+'DCF Model'!G45/(1+$B23)^('DCF Model'!C19+4)+('DCF Model'!G39+'DCF Model'!G42)*F$17/(1+$B23)^('DCF Model'!C19+4)-'DCF Model'!C16)*1000000/'DCF Model'!C15,0),"")</f>
        <v>2245</v>
      </c>
      <c r="G23" s="37">
        <f>IFERROR(ROUND(('DCF Model'!C45/(1+$B23)^('DCF Model'!C19+0)+'DCF Model'!D45/(1+$B23)^('DCF Model'!C19+1)+'DCF Model'!E45/(1+$B23)^('DCF Model'!C19+2)+'DCF Model'!F45/(1+$B23)^('DCF Model'!C19+3)+'DCF Model'!G45/(1+$B23)^('DCF Model'!C19+4)+('DCF Model'!G39+'DCF Model'!G42)*G$17/(1+$B23)^('DCF Model'!C19+4)-'DCF Model'!C16)*1000000/'DCF Model'!C15,0),"")</f>
        <v>2600</v>
      </c>
      <c r="H23" s="37">
        <f>IFERROR(ROUND(('DCF Model'!C45/(1+$B23)^('DCF Model'!C19+0)+'DCF Model'!D45/(1+$B23)^('DCF Model'!C19+1)+'DCF Model'!E45/(1+$B23)^('DCF Model'!C19+2)+'DCF Model'!F45/(1+$B23)^('DCF Model'!C19+3)+'DCF Model'!G45/(1+$B23)^('DCF Model'!C19+4)+('DCF Model'!G39+'DCF Model'!G42)*H$17/(1+$B23)^('DCF Model'!C19+4)-'DCF Model'!C16)*1000000/'DCF Model'!C15,0),"")</f>
        <v>2954</v>
      </c>
      <c r="I23" s="37">
        <f>IFERROR(ROUND(('DCF Model'!C45/(1+$B23)^('DCF Model'!C19+0)+'DCF Model'!D45/(1+$B23)^('DCF Model'!C19+1)+'DCF Model'!E45/(1+$B23)^('DCF Model'!C19+2)+'DCF Model'!F45/(1+$B23)^('DCF Model'!C19+3)+'DCF Model'!G45/(1+$B23)^('DCF Model'!C19+4)+('DCF Model'!G39+'DCF Model'!G42)*I$17/(1+$B23)^('DCF Model'!C19+4)-'DCF Model'!C16)*1000000/'DCF Model'!C15,0),"")</f>
        <v>3309</v>
      </c>
    </row>
    <row r="24" spans="2:9" ht="13.5" x14ac:dyDescent="0.25">
      <c r="B24" s="39">
        <f>$C$3+0.015</f>
        <v>8.0438595625719464E-2</v>
      </c>
      <c r="C24" s="37">
        <f>IFERROR(ROUND(('DCF Model'!C45/(1+$B24)^('DCF Model'!C19+0)+'DCF Model'!D45/(1+$B24)^('DCF Model'!C19+1)+'DCF Model'!E45/(1+$B24)^('DCF Model'!C19+2)+'DCF Model'!F45/(1+$B24)^('DCF Model'!C19+3)+'DCF Model'!G45/(1+$B24)^('DCF Model'!C19+4)+('DCF Model'!G39+'DCF Model'!G42)*C$17/(1+$B24)^('DCF Model'!C19+4)-'DCF Model'!C16)*1000000/'DCF Model'!C15,0),"")</f>
        <v>1138</v>
      </c>
      <c r="D24" s="37">
        <f>IFERROR(ROUND(('DCF Model'!C45/(1+$B24)^('DCF Model'!C19+0)+'DCF Model'!D45/(1+$B24)^('DCF Model'!C19+1)+'DCF Model'!E45/(1+$B24)^('DCF Model'!C19+2)+'DCF Model'!F45/(1+$B24)^('DCF Model'!C19+3)+'DCF Model'!G45/(1+$B24)^('DCF Model'!C19+4)+('DCF Model'!G39+'DCF Model'!G42)*D$17/(1+$B24)^('DCF Model'!C19+4)-'DCF Model'!C16)*1000000/'DCF Model'!C15,0),"")</f>
        <v>1484</v>
      </c>
      <c r="E24" s="37">
        <f>IFERROR(ROUND(('DCF Model'!C45/(1+$B24)^('DCF Model'!C19+0)+'DCF Model'!D45/(1+$B24)^('DCF Model'!C19+1)+'DCF Model'!E45/(1+$B24)^('DCF Model'!C19+2)+'DCF Model'!F45/(1+$B24)^('DCF Model'!C19+3)+'DCF Model'!G45/(1+$B24)^('DCF Model'!C19+4)+('DCF Model'!G39+'DCF Model'!G42)*E$17/(1+$B24)^('DCF Model'!C19+4)-'DCF Model'!C16)*1000000/'DCF Model'!C15,0),"")</f>
        <v>1831</v>
      </c>
      <c r="F24" s="37">
        <f>IFERROR(ROUND(('DCF Model'!C45/(1+$B24)^('DCF Model'!C19+0)+'DCF Model'!D45/(1+$B24)^('DCF Model'!C19+1)+'DCF Model'!E45/(1+$B24)^('DCF Model'!C19+2)+'DCF Model'!F45/(1+$B24)^('DCF Model'!C19+3)+'DCF Model'!G45/(1+$B24)^('DCF Model'!C19+4)+('DCF Model'!G39+'DCF Model'!G42)*F$17/(1+$B24)^('DCF Model'!C19+4)-'DCF Model'!C16)*1000000/'DCF Model'!C15,0),"")</f>
        <v>2177</v>
      </c>
      <c r="G24" s="37">
        <f>IFERROR(ROUND(('DCF Model'!C45/(1+$B24)^('DCF Model'!C19+0)+'DCF Model'!D45/(1+$B24)^('DCF Model'!C19+1)+'DCF Model'!E45/(1+$B24)^('DCF Model'!C19+2)+'DCF Model'!F45/(1+$B24)^('DCF Model'!C19+3)+'DCF Model'!G45/(1+$B24)^('DCF Model'!C19+4)+('DCF Model'!G39+'DCF Model'!G42)*G$17/(1+$B24)^('DCF Model'!C19+4)-'DCF Model'!C16)*1000000/'DCF Model'!C15,0),"")</f>
        <v>2523</v>
      </c>
      <c r="H24" s="37">
        <f>IFERROR(ROUND(('DCF Model'!C45/(1+$B24)^('DCF Model'!C19+0)+'DCF Model'!D45/(1+$B24)^('DCF Model'!C19+1)+'DCF Model'!E45/(1+$B24)^('DCF Model'!C19+2)+'DCF Model'!F45/(1+$B24)^('DCF Model'!C19+3)+'DCF Model'!G45/(1+$B24)^('DCF Model'!C19+4)+('DCF Model'!G39+'DCF Model'!G42)*H$17/(1+$B24)^('DCF Model'!C19+4)-'DCF Model'!C16)*1000000/'DCF Model'!C15,0),"")</f>
        <v>2870</v>
      </c>
      <c r="I24" s="37">
        <f>IFERROR(ROUND(('DCF Model'!C45/(1+$B24)^('DCF Model'!C19+0)+'DCF Model'!D45/(1+$B24)^('DCF Model'!C19+1)+'DCF Model'!E45/(1+$B24)^('DCF Model'!C19+2)+'DCF Model'!F45/(1+$B24)^('DCF Model'!C19+3)+'DCF Model'!G45/(1+$B24)^('DCF Model'!C19+4)+('DCF Model'!G39+'DCF Model'!G42)*I$17/(1+$B24)^('DCF Model'!C19+4)-'DCF Model'!C16)*1000000/'DCF Model'!C15,0),"")</f>
        <v>3216</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5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12" spans="2:7" ht="14" x14ac:dyDescent="0.3">
      <c r="B12" s="8" t="s">
        <v>262</v>
      </c>
    </row>
    <row r="13" spans="2:7" ht="14" x14ac:dyDescent="0.3">
      <c r="B13" s="10" t="s">
        <v>263</v>
      </c>
      <c r="C13" s="10" t="s">
        <v>264</v>
      </c>
    </row>
    <row r="14" spans="2:7" ht="14" x14ac:dyDescent="0.3">
      <c r="B14" s="4" t="s">
        <v>265</v>
      </c>
      <c r="C14" t="s">
        <v>266</v>
      </c>
    </row>
    <row r="15" spans="2:7" ht="14" x14ac:dyDescent="0.3">
      <c r="B15" s="4" t="s">
        <v>267</v>
      </c>
      <c r="C15" t="s">
        <v>268</v>
      </c>
    </row>
    <row r="16" spans="2:7" ht="14" x14ac:dyDescent="0.3">
      <c r="B16" s="4" t="s">
        <v>269</v>
      </c>
      <c r="C16" t="s">
        <v>270</v>
      </c>
    </row>
    <row r="17" spans="2:3" ht="14" x14ac:dyDescent="0.3">
      <c r="B17" s="4" t="s">
        <v>271</v>
      </c>
      <c r="C17" t="s">
        <v>47</v>
      </c>
    </row>
    <row r="18" spans="2:3" ht="14" x14ac:dyDescent="0.3">
      <c r="B18" s="4" t="s">
        <v>272</v>
      </c>
      <c r="C18" t="s">
        <v>4</v>
      </c>
    </row>
    <row r="19" spans="2:3" ht="14" x14ac:dyDescent="0.3">
      <c r="B19" s="4" t="s">
        <v>273</v>
      </c>
      <c r="C19" t="s">
        <v>252</v>
      </c>
    </row>
    <row r="20" spans="2:3" ht="14" x14ac:dyDescent="0.3">
      <c r="B20" s="4" t="s">
        <v>274</v>
      </c>
      <c r="C20" t="s">
        <v>275</v>
      </c>
    </row>
    <row r="21" spans="2:3" ht="14" x14ac:dyDescent="0.3">
      <c r="B21" s="4" t="s">
        <v>276</v>
      </c>
      <c r="C21" t="s">
        <v>277</v>
      </c>
    </row>
    <row r="22" spans="2:3" ht="14" x14ac:dyDescent="0.3">
      <c r="B22" s="4" t="s">
        <v>278</v>
      </c>
      <c r="C22" t="s">
        <v>279</v>
      </c>
    </row>
    <row r="23" spans="2:3" ht="14" x14ac:dyDescent="0.3">
      <c r="B23" s="4" t="s">
        <v>280</v>
      </c>
      <c r="C23" t="s">
        <v>281</v>
      </c>
    </row>
    <row r="24" spans="2:3" ht="14" x14ac:dyDescent="0.3">
      <c r="B24" s="4" t="s">
        <v>282</v>
      </c>
      <c r="C24" t="s">
        <v>283</v>
      </c>
    </row>
    <row r="25" spans="2:3" ht="14" x14ac:dyDescent="0.3">
      <c r="B25" s="4" t="s">
        <v>284</v>
      </c>
      <c r="C25" t="s">
        <v>279</v>
      </c>
    </row>
    <row r="26" spans="2:3" ht="14" x14ac:dyDescent="0.3">
      <c r="B26" s="4" t="s">
        <v>285</v>
      </c>
      <c r="C26" t="s">
        <v>275</v>
      </c>
    </row>
    <row r="27" spans="2:3" ht="14" x14ac:dyDescent="0.3">
      <c r="B27" s="4" t="s">
        <v>286</v>
      </c>
      <c r="C27" t="s">
        <v>287</v>
      </c>
    </row>
    <row r="28" spans="2:3" ht="14" x14ac:dyDescent="0.3">
      <c r="B28" s="4" t="s">
        <v>288</v>
      </c>
      <c r="C28" t="s">
        <v>289</v>
      </c>
    </row>
    <row r="29" spans="2:3" ht="14" x14ac:dyDescent="0.3">
      <c r="B29" s="4" t="s">
        <v>290</v>
      </c>
      <c r="C29" t="s">
        <v>291</v>
      </c>
    </row>
    <row r="30" spans="2:3" ht="14" x14ac:dyDescent="0.3">
      <c r="B30" s="4" t="s">
        <v>292</v>
      </c>
      <c r="C30" t="s">
        <v>293</v>
      </c>
    </row>
    <row r="31" spans="2:3" ht="14" x14ac:dyDescent="0.3">
      <c r="B31" s="4" t="s">
        <v>294</v>
      </c>
      <c r="C31" t="s">
        <v>295</v>
      </c>
    </row>
    <row r="32" spans="2:3" ht="14" x14ac:dyDescent="0.3">
      <c r="B32" s="4" t="s">
        <v>296</v>
      </c>
      <c r="C32" t="s">
        <v>297</v>
      </c>
    </row>
    <row r="33" spans="2:3" ht="14" x14ac:dyDescent="0.3">
      <c r="B33" s="4" t="s">
        <v>298</v>
      </c>
      <c r="C33" t="s">
        <v>299</v>
      </c>
    </row>
    <row r="34" spans="2:3" ht="14" x14ac:dyDescent="0.3">
      <c r="B34" s="4" t="s">
        <v>300</v>
      </c>
      <c r="C34" t="s">
        <v>301</v>
      </c>
    </row>
    <row r="35" spans="2:3" ht="14" x14ac:dyDescent="0.3">
      <c r="B35" s="4" t="s">
        <v>302</v>
      </c>
      <c r="C35" t="s">
        <v>268</v>
      </c>
    </row>
    <row r="36" spans="2:3" ht="14" x14ac:dyDescent="0.3">
      <c r="B36" s="4" t="s">
        <v>303</v>
      </c>
      <c r="C36" t="s">
        <v>304</v>
      </c>
    </row>
    <row r="37" spans="2:3" ht="14" x14ac:dyDescent="0.3">
      <c r="B37" s="4" t="s">
        <v>305</v>
      </c>
      <c r="C37" t="s">
        <v>306</v>
      </c>
    </row>
    <row r="38" spans="2:3" ht="14" x14ac:dyDescent="0.3">
      <c r="B38" s="4" t="s">
        <v>307</v>
      </c>
      <c r="C38" t="s">
        <v>308</v>
      </c>
    </row>
    <row r="39" spans="2:3" ht="14" x14ac:dyDescent="0.3">
      <c r="B39" s="4" t="s">
        <v>309</v>
      </c>
      <c r="C39" t="s">
        <v>310</v>
      </c>
    </row>
    <row r="40" spans="2:3" ht="14" x14ac:dyDescent="0.3">
      <c r="B40" s="4" t="s">
        <v>311</v>
      </c>
      <c r="C40" t="s">
        <v>312</v>
      </c>
    </row>
    <row r="41" spans="2:3" ht="14" x14ac:dyDescent="0.3">
      <c r="B41" s="4" t="s">
        <v>313</v>
      </c>
      <c r="C41" t="s">
        <v>314</v>
      </c>
    </row>
    <row r="42" spans="2:3" ht="14" x14ac:dyDescent="0.3">
      <c r="B42" s="4" t="s">
        <v>315</v>
      </c>
      <c r="C42" t="s">
        <v>316</v>
      </c>
    </row>
    <row r="43" spans="2:3" ht="14" x14ac:dyDescent="0.3">
      <c r="B43" s="4" t="s">
        <v>317</v>
      </c>
      <c r="C43" t="s">
        <v>318</v>
      </c>
    </row>
    <row r="44" spans="2:3" ht="14" x14ac:dyDescent="0.3">
      <c r="B44" s="4" t="s">
        <v>319</v>
      </c>
      <c r="C44" t="s">
        <v>320</v>
      </c>
    </row>
    <row r="45" spans="2:3" ht="14" x14ac:dyDescent="0.3">
      <c r="B45" s="4" t="s">
        <v>321</v>
      </c>
      <c r="C45" t="s">
        <v>275</v>
      </c>
    </row>
    <row r="46" spans="2:3" ht="14" x14ac:dyDescent="0.3">
      <c r="B46" s="4" t="s">
        <v>322</v>
      </c>
      <c r="C46" t="s">
        <v>323</v>
      </c>
    </row>
    <row r="47" spans="2:3" ht="14" x14ac:dyDescent="0.3">
      <c r="B47" s="4" t="s">
        <v>324</v>
      </c>
      <c r="C47" t="s">
        <v>325</v>
      </c>
    </row>
    <row r="48" spans="2:3" ht="14" x14ac:dyDescent="0.3">
      <c r="B48" s="4" t="s">
        <v>326</v>
      </c>
      <c r="C48" t="s">
        <v>327</v>
      </c>
    </row>
    <row r="49" spans="2:3" ht="14" x14ac:dyDescent="0.3">
      <c r="B49" s="4" t="s">
        <v>328</v>
      </c>
      <c r="C49" t="s">
        <v>329</v>
      </c>
    </row>
    <row r="50" spans="2:3" ht="14" x14ac:dyDescent="0.3">
      <c r="B50" s="4" t="s">
        <v>330</v>
      </c>
      <c r="C50"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2026-09-05T17:17:41Z</dcterms:created>
  <dcterms:modified xsi:type="dcterms:W3CDTF">2026-09-05T17:17:44Z</dcterms:modified>
</cp:coreProperties>
</file>