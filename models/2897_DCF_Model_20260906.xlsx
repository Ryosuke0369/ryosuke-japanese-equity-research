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7CE3CFA-670A-42B4-862C-DEC85913C432}"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I6" i="7" s="1"/>
  <c r="O10" i="6"/>
  <c r="N10" i="6"/>
  <c r="M10" i="6"/>
  <c r="L10" i="6"/>
  <c r="K10" i="6"/>
  <c r="J10" i="6"/>
  <c r="O9" i="6"/>
  <c r="N9" i="6"/>
  <c r="M9" i="6"/>
  <c r="L9" i="6"/>
  <c r="K9" i="6"/>
  <c r="J9" i="6"/>
  <c r="O8" i="6"/>
  <c r="N8" i="6"/>
  <c r="M8" i="6"/>
  <c r="L8" i="6"/>
  <c r="K8" i="6"/>
  <c r="J8" i="6"/>
  <c r="O7" i="6"/>
  <c r="N7" i="6"/>
  <c r="M7" i="6"/>
  <c r="L7" i="6"/>
  <c r="K7" i="6"/>
  <c r="J7" i="6"/>
  <c r="O6" i="6"/>
  <c r="N6" i="6"/>
  <c r="M6" i="6"/>
  <c r="L6" i="6"/>
  <c r="F15" i="6" s="1"/>
  <c r="K6" i="6"/>
  <c r="E15" i="6" s="1"/>
  <c r="J6" i="6"/>
  <c r="O5" i="6"/>
  <c r="N5" i="6"/>
  <c r="D5" i="6"/>
  <c r="M5" i="6" s="1"/>
  <c r="C16" i="5"/>
  <c r="C14" i="5"/>
  <c r="C7" i="5"/>
  <c r="C6" i="5"/>
  <c r="C5" i="5"/>
  <c r="C13" i="4"/>
  <c r="C12" i="4"/>
  <c r="C9" i="4"/>
  <c r="C7" i="4"/>
  <c r="C6" i="4"/>
  <c r="D27" i="3"/>
  <c r="G5" i="5" s="1"/>
  <c r="C25" i="3"/>
  <c r="C24" i="3"/>
  <c r="C23" i="3"/>
  <c r="F28" i="2"/>
  <c r="E28" i="2"/>
  <c r="D28" i="2"/>
  <c r="F16" i="2"/>
  <c r="E16" i="2"/>
  <c r="D16" i="2"/>
  <c r="F15" i="2"/>
  <c r="E15" i="2"/>
  <c r="D15" i="2"/>
  <c r="F14" i="2"/>
  <c r="E14" i="2"/>
  <c r="D14" i="2"/>
  <c r="C14" i="2"/>
  <c r="F13" i="2"/>
  <c r="E13" i="2"/>
  <c r="D13" i="2"/>
  <c r="C13" i="2"/>
  <c r="C9" i="2"/>
  <c r="F8" i="2"/>
  <c r="F9" i="2" s="1"/>
  <c r="E8" i="2"/>
  <c r="E9" i="2" s="1"/>
  <c r="D8" i="2"/>
  <c r="D9" i="2" s="1"/>
  <c r="C8" i="2"/>
  <c r="C26" i="3" l="1"/>
  <c r="D16" i="6"/>
  <c r="C27" i="6" s="1"/>
  <c r="C18" i="1" s="1"/>
  <c r="D18" i="1" s="1"/>
  <c r="F31" i="3"/>
  <c r="L5" i="6"/>
  <c r="B30" i="1" s="1"/>
  <c r="H15" i="6"/>
  <c r="I16" i="6"/>
  <c r="H5" i="5"/>
  <c r="C8" i="4"/>
  <c r="C10" i="4" s="1"/>
  <c r="C70" i="4" s="1"/>
  <c r="D7" i="5"/>
  <c r="E5" i="6"/>
  <c r="E17" i="6"/>
  <c r="C30" i="3"/>
  <c r="C33" i="3" s="1"/>
  <c r="D9" i="5" s="1"/>
  <c r="F17" i="6"/>
  <c r="C18" i="5"/>
  <c r="D17" i="6"/>
  <c r="C74" i="4"/>
  <c r="B24" i="1"/>
  <c r="I17" i="6"/>
  <c r="C3" i="7"/>
  <c r="G36" i="4"/>
  <c r="C11" i="4"/>
  <c r="G46" i="3"/>
  <c r="F36" i="4"/>
  <c r="F46" i="3"/>
  <c r="E46" i="3"/>
  <c r="E36" i="4"/>
  <c r="D36" i="4"/>
  <c r="D46" i="3"/>
  <c r="C46" i="3"/>
  <c r="B31" i="1"/>
  <c r="I15" i="6"/>
  <c r="G15" i="6"/>
  <c r="G16" i="6"/>
  <c r="G17" i="6"/>
  <c r="B25" i="1"/>
  <c r="H36" i="4"/>
  <c r="H6" i="7"/>
  <c r="G6" i="7"/>
  <c r="F6" i="7"/>
  <c r="E6" i="7"/>
  <c r="D6" i="7"/>
  <c r="C6" i="7"/>
  <c r="G31" i="3"/>
  <c r="E7" i="5"/>
  <c r="C17" i="7"/>
  <c r="E30" i="3"/>
  <c r="C32" i="3"/>
  <c r="C37" i="3" s="1"/>
  <c r="D6" i="5"/>
  <c r="F7" i="5"/>
  <c r="E16" i="6"/>
  <c r="D17" i="7"/>
  <c r="F30" i="3"/>
  <c r="D32" i="3"/>
  <c r="E6" i="5"/>
  <c r="G7" i="5"/>
  <c r="D15" i="6"/>
  <c r="F16" i="6"/>
  <c r="C28" i="6" s="1"/>
  <c r="C19" i="1" s="1"/>
  <c r="D19" i="1" s="1"/>
  <c r="H17" i="6"/>
  <c r="E17" i="7"/>
  <c r="D30" i="3"/>
  <c r="G30" i="3"/>
  <c r="E32" i="3"/>
  <c r="D5" i="5"/>
  <c r="F6" i="5"/>
  <c r="H7" i="5"/>
  <c r="F17" i="7"/>
  <c r="E5" i="5"/>
  <c r="G6" i="5"/>
  <c r="H16" i="6"/>
  <c r="G17" i="7"/>
  <c r="C31" i="3"/>
  <c r="C34" i="3" s="1"/>
  <c r="F32" i="3"/>
  <c r="D31" i="3"/>
  <c r="G32" i="3"/>
  <c r="F5" i="5"/>
  <c r="H6" i="5"/>
  <c r="H17" i="7"/>
  <c r="E31" i="3"/>
  <c r="C71" i="4" l="1"/>
  <c r="C24" i="4"/>
  <c r="C25" i="4" s="1"/>
  <c r="C42" i="3"/>
  <c r="J5" i="6"/>
  <c r="K5" i="6"/>
  <c r="D33" i="3"/>
  <c r="E9" i="5" s="1"/>
  <c r="E12" i="5" s="1"/>
  <c r="D10" i="5"/>
  <c r="C35" i="3"/>
  <c r="H40" i="4"/>
  <c r="H44" i="4"/>
  <c r="H38" i="4"/>
  <c r="H41" i="4"/>
  <c r="H45" i="4"/>
  <c r="H39" i="4"/>
  <c r="H43" i="4"/>
  <c r="H46" i="4"/>
  <c r="F43" i="4"/>
  <c r="F46" i="4"/>
  <c r="F40" i="4"/>
  <c r="F44" i="4"/>
  <c r="F45" i="4"/>
  <c r="F38" i="4"/>
  <c r="F41" i="4"/>
  <c r="F39" i="4"/>
  <c r="F49" i="4" s="1"/>
  <c r="E39" i="4"/>
  <c r="E43" i="4"/>
  <c r="E46" i="4"/>
  <c r="E40" i="4"/>
  <c r="E44" i="4"/>
  <c r="E41" i="4"/>
  <c r="E51" i="4" s="1"/>
  <c r="E56" i="4" s="1"/>
  <c r="E38" i="4"/>
  <c r="E45" i="4"/>
  <c r="C27" i="4"/>
  <c r="C29" i="4"/>
  <c r="C26" i="4"/>
  <c r="G46" i="4"/>
  <c r="G40" i="4"/>
  <c r="G44" i="4"/>
  <c r="G38" i="4"/>
  <c r="G39" i="4"/>
  <c r="G41" i="4"/>
  <c r="G45" i="4"/>
  <c r="G43" i="4"/>
  <c r="D12" i="5"/>
  <c r="D45" i="4"/>
  <c r="D39" i="4"/>
  <c r="D43" i="4"/>
  <c r="D46" i="4"/>
  <c r="D40" i="4"/>
  <c r="D44" i="4"/>
  <c r="D38" i="4"/>
  <c r="D41" i="4"/>
  <c r="B12" i="7"/>
  <c r="B10" i="7"/>
  <c r="B8" i="7"/>
  <c r="B13" i="7"/>
  <c r="B11" i="7"/>
  <c r="B9" i="7"/>
  <c r="B7" i="7"/>
  <c r="B24" i="7"/>
  <c r="B23" i="7"/>
  <c r="B19" i="7"/>
  <c r="B18" i="7"/>
  <c r="B22" i="7"/>
  <c r="B21" i="7"/>
  <c r="B20" i="7"/>
  <c r="E48" i="4" l="1"/>
  <c r="E53" i="4" s="1"/>
  <c r="F51" i="4"/>
  <c r="F56" i="4" s="1"/>
  <c r="E33" i="3"/>
  <c r="F33" i="3" s="1"/>
  <c r="F48" i="4"/>
  <c r="F53" i="4" s="1"/>
  <c r="H49" i="4"/>
  <c r="H54" i="4" s="1"/>
  <c r="D37" i="3"/>
  <c r="D34" i="3"/>
  <c r="G50" i="4"/>
  <c r="G55" i="4" s="1"/>
  <c r="D42" i="3"/>
  <c r="D51" i="4"/>
  <c r="D56" i="4" s="1"/>
  <c r="D48" i="4"/>
  <c r="D53" i="4" s="1"/>
  <c r="F9" i="5"/>
  <c r="F12" i="5" s="1"/>
  <c r="E42" i="3"/>
  <c r="E34" i="3"/>
  <c r="F10" i="5" s="1"/>
  <c r="E37" i="3"/>
  <c r="E35" i="3"/>
  <c r="F54" i="4"/>
  <c r="B78" i="4"/>
  <c r="C60" i="4"/>
  <c r="E50" i="4"/>
  <c r="E55" i="4" s="1"/>
  <c r="H51" i="4"/>
  <c r="H56" i="4" s="1"/>
  <c r="G51" i="4"/>
  <c r="G56" i="4" s="1"/>
  <c r="F50" i="4"/>
  <c r="F55" i="4" s="1"/>
  <c r="H48" i="4"/>
  <c r="H53" i="4" s="1"/>
  <c r="D50" i="4"/>
  <c r="D55" i="4" s="1"/>
  <c r="G49" i="4"/>
  <c r="G54" i="4" s="1"/>
  <c r="C36" i="3"/>
  <c r="C39" i="3"/>
  <c r="C38" i="3"/>
  <c r="D14" i="5"/>
  <c r="D49" i="4"/>
  <c r="D54" i="4" s="1"/>
  <c r="G48" i="4"/>
  <c r="G53" i="4" s="1"/>
  <c r="E49" i="4"/>
  <c r="E54" i="4" s="1"/>
  <c r="H50" i="4"/>
  <c r="H55" i="4" s="1"/>
  <c r="D15" i="5"/>
  <c r="D16" i="5" s="1"/>
  <c r="D13" i="5"/>
  <c r="E10" i="5" l="1"/>
  <c r="D35" i="3"/>
  <c r="F42" i="3"/>
  <c r="F34" i="3"/>
  <c r="G10" i="5" s="1"/>
  <c r="F37" i="3"/>
  <c r="G33" i="3"/>
  <c r="G9" i="5"/>
  <c r="G12" i="5" s="1"/>
  <c r="F13" i="5"/>
  <c r="F14" i="5" s="1"/>
  <c r="F18" i="5" s="1"/>
  <c r="F15" i="5"/>
  <c r="F16" i="5" s="1"/>
  <c r="E39" i="3"/>
  <c r="E38" i="3"/>
  <c r="E36" i="3"/>
  <c r="D18" i="5"/>
  <c r="D19" i="5" s="1"/>
  <c r="C44" i="3" s="1"/>
  <c r="C65" i="4"/>
  <c r="D65" i="4" s="1"/>
  <c r="C64" i="4"/>
  <c r="D64" i="4" s="1"/>
  <c r="C67" i="4"/>
  <c r="D67" i="4" s="1"/>
  <c r="C63" i="4"/>
  <c r="D63" i="4" s="1"/>
  <c r="C66" i="4"/>
  <c r="D66" i="4" s="1"/>
  <c r="C40" i="3"/>
  <c r="C41" i="3" s="1"/>
  <c r="C45" i="3" s="1"/>
  <c r="D38" i="3" l="1"/>
  <c r="D39" i="3"/>
  <c r="D40" i="3" s="1"/>
  <c r="D41" i="3" s="1"/>
  <c r="D36" i="3"/>
  <c r="E13" i="5"/>
  <c r="E14" i="5" s="1"/>
  <c r="E15" i="5"/>
  <c r="E16" i="5" s="1"/>
  <c r="C47" i="3"/>
  <c r="F35" i="3"/>
  <c r="G37" i="3"/>
  <c r="C16" i="4"/>
  <c r="C28" i="4" s="1"/>
  <c r="H9" i="5"/>
  <c r="H12" i="5" s="1"/>
  <c r="G34" i="3"/>
  <c r="H10" i="5" s="1"/>
  <c r="G42" i="3"/>
  <c r="G13" i="5"/>
  <c r="G14" i="5" s="1"/>
  <c r="G18" i="5" s="1"/>
  <c r="G19" i="5" s="1"/>
  <c r="F44" i="3" s="1"/>
  <c r="G15" i="5"/>
  <c r="G16" i="5" s="1"/>
  <c r="E40" i="3"/>
  <c r="E41" i="3" s="1"/>
  <c r="E18" i="5" l="1"/>
  <c r="G35" i="3"/>
  <c r="G38" i="3"/>
  <c r="G39" i="3"/>
  <c r="G36" i="3"/>
  <c r="C72" i="4"/>
  <c r="C73" i="4"/>
  <c r="H15" i="5"/>
  <c r="H16" i="5" s="1"/>
  <c r="H13" i="5"/>
  <c r="F38" i="3"/>
  <c r="F36" i="3"/>
  <c r="F39" i="3"/>
  <c r="H14" i="5"/>
  <c r="H18" i="5" s="1"/>
  <c r="H19" i="5" s="1"/>
  <c r="G44" i="3" s="1"/>
  <c r="F19" i="5" l="1"/>
  <c r="E44" i="3" s="1"/>
  <c r="E45" i="3" s="1"/>
  <c r="E47" i="3" s="1"/>
  <c r="E19" i="5"/>
  <c r="D44" i="3" s="1"/>
  <c r="D45" i="3" s="1"/>
  <c r="D47" i="3" s="1"/>
  <c r="F40" i="3"/>
  <c r="F41" i="3" s="1"/>
  <c r="F45" i="3" s="1"/>
  <c r="G40" i="3"/>
  <c r="C59" i="3"/>
  <c r="C60" i="3" s="1"/>
  <c r="C61" i="3" s="1"/>
  <c r="G41" i="3"/>
  <c r="G45" i="3" s="1"/>
  <c r="C51" i="3" l="1"/>
  <c r="C52" i="3" s="1"/>
  <c r="G47" i="3"/>
  <c r="F47" i="3"/>
  <c r="C50" i="3" s="1"/>
  <c r="E19" i="7"/>
  <c r="I8" i="7"/>
  <c r="H12" i="7"/>
  <c r="C12" i="7"/>
  <c r="D8" i="7"/>
  <c r="E13" i="7"/>
  <c r="C19" i="7"/>
  <c r="H20" i="7"/>
  <c r="I12" i="7"/>
  <c r="H9" i="7"/>
  <c r="H8" i="7"/>
  <c r="G12" i="7"/>
  <c r="F10" i="7"/>
  <c r="F12" i="7"/>
  <c r="F8" i="7"/>
  <c r="E12" i="7"/>
  <c r="F9" i="7"/>
  <c r="G9" i="7"/>
  <c r="D12" i="7"/>
  <c r="D19" i="7"/>
  <c r="H13" i="7"/>
  <c r="D7" i="7"/>
  <c r="H19" i="7"/>
  <c r="H22" i="7"/>
  <c r="I9" i="7"/>
  <c r="C24" i="7"/>
  <c r="C18" i="7"/>
  <c r="D11" i="7"/>
  <c r="G8" i="7"/>
  <c r="C8" i="7"/>
  <c r="G7" i="7"/>
  <c r="H18" i="7"/>
  <c r="G21" i="7"/>
  <c r="H21" i="7"/>
  <c r="I11" i="7"/>
  <c r="F11" i="7"/>
  <c r="F20" i="7"/>
  <c r="I20" i="7"/>
  <c r="H23" i="7"/>
  <c r="C13" i="7"/>
  <c r="E23" i="7"/>
  <c r="G10" i="7"/>
  <c r="E11" i="7"/>
  <c r="I23" i="7"/>
  <c r="D13" i="7"/>
  <c r="D20" i="7"/>
  <c r="G18" i="7"/>
  <c r="G13" i="7"/>
  <c r="F23" i="7"/>
  <c r="G24" i="7"/>
  <c r="E20" i="7"/>
  <c r="I13" i="7"/>
  <c r="F21" i="7"/>
  <c r="E21" i="7"/>
  <c r="F18" i="7"/>
  <c r="E8" i="7"/>
  <c r="E10" i="7"/>
  <c r="I21" i="7"/>
  <c r="G11" i="7"/>
  <c r="C22" i="7"/>
  <c r="C9" i="7"/>
  <c r="G20" i="7"/>
  <c r="I19" i="7"/>
  <c r="H11" i="7"/>
  <c r="D23" i="7"/>
  <c r="H7" i="7"/>
  <c r="F24" i="7"/>
  <c r="D9" i="7"/>
  <c r="D21" i="7"/>
  <c r="D10" i="7"/>
  <c r="C11" i="7"/>
  <c r="H24" i="7"/>
  <c r="F22" i="7"/>
  <c r="D24" i="7"/>
  <c r="C7" i="7"/>
  <c r="C20" i="7"/>
  <c r="G23" i="7"/>
  <c r="F19" i="7"/>
  <c r="C21" i="7"/>
  <c r="E9" i="7"/>
  <c r="C23" i="7"/>
  <c r="I18" i="7"/>
  <c r="G19" i="7"/>
  <c r="I7" i="7"/>
  <c r="I22" i="7"/>
  <c r="C10" i="7"/>
  <c r="D18" i="7"/>
  <c r="I10" i="7"/>
  <c r="E22" i="7"/>
  <c r="E7" i="7"/>
  <c r="D22" i="7"/>
  <c r="E18" i="7"/>
  <c r="G22" i="7"/>
  <c r="F7" i="7"/>
  <c r="E24" i="7"/>
  <c r="H10" i="7"/>
  <c r="I24" i="7"/>
  <c r="F13" i="7"/>
  <c r="C58" i="3" l="1"/>
  <c r="C62" i="3" s="1"/>
  <c r="C53" i="3"/>
  <c r="C17" i="4" l="1"/>
  <c r="C54" i="3"/>
  <c r="C55" i="3" s="1"/>
  <c r="C16" i="1" s="1"/>
  <c r="C63" i="3"/>
  <c r="C64" i="3" s="1"/>
  <c r="C17" i="1" s="1"/>
  <c r="D17" i="1" s="1"/>
  <c r="D16" i="1" l="1"/>
  <c r="C21" i="1"/>
  <c r="C10" i="1"/>
  <c r="C19" i="4"/>
  <c r="C20" i="4" s="1"/>
  <c r="B79" i="4" s="1"/>
  <c r="C12" i="1" l="1"/>
  <c r="C11" i="1" s="1"/>
  <c r="B29" i="1"/>
  <c r="B26" i="1" l="1"/>
</calcChain>
</file>

<file path=xl/sharedStrings.xml><?xml version="1.0" encoding="utf-8"?>
<sst xmlns="http://schemas.openxmlformats.org/spreadsheetml/2006/main" count="439" uniqueCount="355">
  <si>
    <t>DISCLAIMER: This is a sample analysis for demonstration purposes only. It does not constitute investment advice.</t>
  </si>
  <si>
    <t>日清食品ホールディングス (2897.T)</t>
  </si>
  <si>
    <t>Equity Research Report</t>
  </si>
  <si>
    <t>Company</t>
  </si>
  <si>
    <t>日清食品ホールディングス</t>
  </si>
  <si>
    <t>Ticker</t>
  </si>
  <si>
    <t>2897.T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</si>
  <si>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</si>
  <si>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</si>
  <si>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</si>
  <si>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</si>
  <si>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</si>
  <si>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</si>
  <si>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</si>
  <si>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</si>
  <si>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</si>
  <si>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</si>
  <si>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</si>
  <si>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</si>
  <si>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</si>
  <si>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</si>
  <si>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</si>
  <si>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</si>
  <si>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</si>
  <si>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</si>
  <si>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日清食品ホールディングス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</si>
  <si>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</si>
  <si>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</si>
  <si>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</si>
  <si>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</si>
  <si>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</si>
  <si>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</si>
  <si>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</si>
  <si>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</si>
  <si>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</si>
  <si>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</si>
  <si>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</si>
  <si>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</si>
  <si>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</si>
  <si>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</si>
  <si>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</si>
  <si>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</si>
  <si>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</si>
  <si>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</si>
  <si>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</si>
  <si>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</si>
  <si>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</si>
  <si>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</si>
  <si>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</si>
  <si>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</si>
  <si>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</si>
  <si>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</si>
  <si>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</si>
  <si>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</si>
  <si>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日清食品ホールディングス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</si>
  <si>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</si>
  <si>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</si>
  <si>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</si>
  <si>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</si>
  <si>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</si>
  <si>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</si>
  <si>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</si>
  <si>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</si>
  <si>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</si>
  <si>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</si>
  <si>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</si>
  <si>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</si>
  <si>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</si>
  <si>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</si>
  <si>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</si>
  <si>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</si>
  <si>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</si>
  <si>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</si>
  <si>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</si>
  <si>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</si>
  <si>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</si>
  <si>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</si>
  <si>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</si>
  <si>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</si>
  <si>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</si>
  <si>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</si>
  <si>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</si>
  <si>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</si>
  <si>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</si>
  <si>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</si>
  <si>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</si>
  <si>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</si>
  <si>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</si>
  <si>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</si>
  <si>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</si>
  <si>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</si>
  <si>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</si>
  <si>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</si>
  <si>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</si>
  <si>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</si>
  <si>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</si>
  <si>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</si>
  <si>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</si>
  <si>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</si>
  <si>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</si>
  <si>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</si>
  <si>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</si>
  <si>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</si>
  <si>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</si>
  <si>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</si>
  <si>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</si>
  <si>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</si>
  <si>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</si>
  <si>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</si>
  <si>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</si>
  <si>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</si>
  <si>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</si>
  <si>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</si>
  <si>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</si>
  <si>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</si>
  <si>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</si>
  <si>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</si>
  <si>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</si>
  <si>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</si>
  <si>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日清食品ホールディングス (2897.T)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</si>
  <si>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</si>
  <si>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</si>
  <si>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</si>
  <si>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</si>
  <si>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</si>
  <si>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</si>
  <si>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</si>
  <si>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</si>
  <si>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</si>
  <si>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</si>
  <si>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</si>
  <si>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</si>
  <si>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</si>
  <si>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</si>
  <si>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</si>
  <si>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</si>
  <si>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</si>
  <si>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</si>
  <si>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</si>
  <si>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</si>
  <si>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</si>
  <si>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</si>
  <si>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</si>
  <si>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</si>
  <si>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</si>
  <si>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</si>
  <si>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</si>
  <si>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</si>
  <si>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</si>
  <si>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</si>
  <si>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</si>
  <si>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</si>
  <si>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</si>
  <si>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</si>
  <si>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</si>
  <si>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</si>
  <si>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</si>
  <si>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</si>
  <si>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</si>
  <si>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</si>
  <si>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</si>
  <si>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</si>
  <si>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</si>
  <si>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</si>
  <si>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</si>
  <si>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</si>
  <si>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</si>
  <si>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</si>
  <si>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</si>
  <si>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</si>
  <si>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</si>
  <si>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日清食品ホールディングス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</si>
  <si>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</si>
  <si>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</si>
  <si>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</si>
  <si>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</si>
  <si>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</si>
  <si>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</si>
  <si>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</si>
  <si>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</si>
  <si>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</si>
  <si>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</si>
  <si>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</si>
  <si>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</si>
  <si>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</si>
  <si>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</si>
  <si>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</si>
  <si>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</si>
  <si>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</si>
  <si>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</si>
  <si>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</si>
  <si>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</si>
  <si>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</si>
  <si>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</si>
  <si>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</si>
  <si>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</si>
  <si>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</si>
  <si>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</si>
  <si>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</si>
  <si>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</si>
  <si>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</si>
  <si>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</si>
  <si>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</si>
  <si>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</si>
  <si>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</si>
  <si>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</si>
  <si>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Nissin Foods Holdings Co.,Ltd.</t>
  </si>
  <si>
    <t>2897.T</t>
  </si>
  <si>
    <t>Kikkoman Corporation</t>
  </si>
  <si>
    <t>2801.T</t>
  </si>
  <si>
    <t>Meiji Holdings Co., Ltd.</t>
  </si>
  <si>
    <t>2269.T</t>
  </si>
  <si>
    <t>Yakult Honsha Co.,Ltd.</t>
  </si>
  <si>
    <t>2267.T</t>
  </si>
  <si>
    <t>Kirin Holdings Company, Limited</t>
  </si>
  <si>
    <t>2503.T</t>
  </si>
  <si>
    <t>Asahi Group Holdings, Ltd.</t>
  </si>
  <si>
    <t>2502.T</t>
  </si>
  <si>
    <t>Statistics</t>
  </si>
  <si>
    <t>25th Percentile</t>
  </si>
  <si>
    <t>Median (50th)</t>
  </si>
  <si>
    <t>75th Percentile</t>
  </si>
  <si>
    <t>Implied Valuation for 日清食品ホールディングス</t>
  </si>
  <si>
    <t>日清食品ホールディングス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</si>
  <si>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</si>
  <si>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</si>
  <si>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</si>
  <si>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</si>
  <si>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</si>
  <si>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</si>
  <si>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</si>
  <si>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</si>
  <si>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</si>
  <si>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</si>
  <si>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</si>
  <si>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</si>
  <si>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</si>
  <si>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</si>
  <si>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</si>
  <si>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日清食品ホールディングス</t>
  </si>
  <si>
    <t>日付</t>
  </si>
  <si>
    <t>セル</t>
  </si>
  <si>
    <t>変更内容</t>
  </si>
  <si>
    <t>理由</t>
  </si>
  <si>
    <t>元の値</t>
  </si>
  <si>
    <t>状態</t>
  </si>
  <si>
    <t>2026-09-06</t>
  </si>
  <si>
    <t>-</t>
  </si>
  <si>
    <t>Generated by pipeline on 2026-09-06 18:43, template rev 63983ab</t>
  </si>
  <si>
    <t>初期生成（手修正なし）</t>
  </si>
  <si>
    <t>generated</t>
  </si>
  <si>
    <t>DCF Model!C11</t>
  </si>
  <si>
    <t>After-tax Cost of Debt = 1.31% (実績ベース)</t>
  </si>
  <si>
    <t>実績Kd = 支払利息2,542 ÷ 平均有利子負債145,546(期首115,559/期末175,534、debt_beginning/debt_ending) = 税引前1.75% × (1−25.0%) = 1.31%。【マージナルコスト注記】これは既存借入の実績平均コストであり、新規調達の限界コストではない。テンプレ既定(税引前2.8%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</si>
  <si>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</si>
  <si>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</si>
  <si>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</si>
  <si>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0.587（採用値）</t>
  </si>
  <si>
    <t>実測β(raw) = 0.383 → Blume調整 0.67×raw + 0.33×1.00 = 0.587 → 採用 0.587。クランプ域 [0.3, 2.0] の内側。置換なし。回帰βは平均回帰するため Blume 調整を既定とする（2026-09-05 バッチで85件中57件が旧下限 0.60 に張り付き、両裾の歪みが実証された）。</t>
  </si>
  <si>
    <t>実測 0.383</t>
  </si>
  <si>
    <t>確定</t>
  </si>
  <si>
    <t>Pipeline Metadata (do not edit — read by scripts/validate_output.py)</t>
  </si>
  <si>
    <t>key</t>
  </si>
  <si>
    <t>value</t>
  </si>
  <si>
    <t>auto_log_entries</t>
  </si>
  <si>
    <t>2</t>
  </si>
  <si>
    <t>beta_adopted_c8</t>
  </si>
  <si>
    <t>0.5868</t>
  </si>
  <si>
    <t>beta_basis</t>
  </si>
  <si>
    <t>Blume: 0.67 x 0.383 + 0.33 x 1.00 = 0.587</t>
  </si>
  <si>
    <t>beta_blume_adjusted</t>
  </si>
  <si>
    <t>beta_clamped</t>
  </si>
  <si>
    <t>no</t>
  </si>
  <si>
    <t>beta_raw</t>
  </si>
  <si>
    <t>0.3833</t>
  </si>
  <si>
    <t>capex_pct_basis</t>
  </si>
  <si>
    <t>explicit_override</t>
  </si>
  <si>
    <t>capex_pct_c5</t>
  </si>
  <si>
    <t>0.0483</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</si>
  <si>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</si>
  <si>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</si>
  <si>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</si>
  <si>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</si>
  <si>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</si>
  <si>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</si>
  <si>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</si>
  <si>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</si>
  <si>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</si>
  <si>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</si>
  <si>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</si>
  <si>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</si>
  <si>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</si>
  <si>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</si>
  <si>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</si>
  <si>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</si>
  <si>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</si>
  <si>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</si>
  <si>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</si>
  <si>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</si>
  <si>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</si>
  <si>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85277</t>
  </si>
  <si>
    <t>core_net_income</t>
  </si>
  <si>
    <t>45380.0</t>
  </si>
  <si>
    <t>cost_of_debt_actual</t>
  </si>
  <si>
    <t>interest 2,542 (expense 2,542 + fees 0) / avg debt 145,546 (debt_beginning/debt_ending) = 0.017465 pre-tax -&gt; 0.013100 after-tax</t>
  </si>
  <si>
    <t>cost_of_debt_at_c11</t>
  </si>
  <si>
    <t>0.0131</t>
  </si>
  <si>
    <t>cost_of_debt_avg_debt</t>
  </si>
  <si>
    <t>145546.5</t>
  </si>
  <si>
    <t>cost_of_debt_basis</t>
  </si>
  <si>
    <t>actual</t>
  </si>
  <si>
    <t>cost_of_debt_interest</t>
  </si>
  <si>
    <t>2542.0</t>
  </si>
  <si>
    <t>cost_of_debt_pretax</t>
  </si>
  <si>
    <t>0.017465208713366518</t>
  </si>
  <si>
    <t>da_pct_basis</t>
  </si>
  <si>
    <t>da_pct_c18</t>
  </si>
  <si>
    <t>0.046</t>
  </si>
  <si>
    <t>da_pct_hist3yr</t>
  </si>
  <si>
    <t>0.043666</t>
  </si>
  <si>
    <t>fs_year_coverage</t>
  </si>
  <si>
    <t>OCF 4/4, Cash 4/4, Debt 3/4</t>
  </si>
  <si>
    <t>fs_year_map</t>
  </si>
  <si>
    <t>FY2023&lt;-FY2023[ocf+cash];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</si>
  <si>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</si>
  <si>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</si>
  <si>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</si>
  <si>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</si>
  <si>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</si>
  <si>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18:43:03</t>
  </si>
  <si>
    <t>guidance_note</t>
  </si>
  <si>
    <t>TDnet 決算短信 via screener guidance table: FY2027 disclosed 2026-08-04 (net_income=48,000mn, operating_income=69,500mn, revenue=860,000mn)</t>
  </si>
  <si>
    <t>guidance_source</t>
  </si>
  <si>
    <t>tdnet_screener_db</t>
  </si>
  <si>
    <t>latest_operating_income</t>
  </si>
  <si>
    <t>49380</t>
  </si>
  <si>
    <t>ltm_revenue_c20</t>
  </si>
  <si>
    <t>788131.0</t>
  </si>
  <si>
    <t>ltm_revenue_source</t>
  </si>
  <si>
    <t>latest FY (no LTM)</t>
  </si>
  <si>
    <t>market_data_source</t>
  </si>
  <si>
    <t>yfinance; from overrides: beta</t>
  </si>
  <si>
    <t>narrative_tokens_used</t>
  </si>
  <si>
    <t>pb,per,price,target_price,upside_pct,wacc</t>
  </si>
  <si>
    <t>net_debt_source</t>
  </si>
  <si>
    <t>EDINET net_debt</t>
  </si>
  <si>
    <t>reverse_dcf_sheet</t>
  </si>
  <si>
    <t>op0=49,380(FY2026) peak=61,151(FY2025) peak_opm=0.0787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</si>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</sst>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2980.5</v>
      </c>
    </row>
    <row r="10" spans="2:5" ht="14" x14ac:dyDescent="0.3">
      <c r="B10" s="4" t="s">
        <v>10</v>
      </c>
      <c r="C10" s="5">
        <f>IF(COUNT(C16:C17)=0,"N/A",ROUND(AVERAGE(C16:C17),0))</f>
        <v>2302</v>
      </c>
    </row>
    <row r="11" spans="2:5" ht="14" x14ac:dyDescent="0.3">
      <c r="B11" s="4" t="s">
        <v>11</v>
      </c>
      <c r="C11" s="6" t="str">
        <f>IF(NOT(ISNUMBER(C12)),"N/A",IF(C12&gt;0.15,"BUY",IF(C12&gt;0.05,"HOLD","SELL")))</f>
        <v>SELL</v>
      </c>
    </row>
    <row r="12" spans="2:5" ht="14" x14ac:dyDescent="0.3">
      <c r="B12" s="4" t="s">
        <v>12</v>
      </c>
      <c r="C12" s="7">
        <f>IF(ISNUMBER(C10),(C10-C9)/C9,"N/A")</f>
        <v>-0.2276463680590505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1864</v>
      </c>
      <c r="D16" s="7">
        <f>IF(ISNUMBER(C16),(C16-C9)/C9,"N/A")</f>
        <v>-0.37460157691662471</v>
      </c>
    </row>
    <row r="17" spans="2:5" ht="13.5" x14ac:dyDescent="0.25">
      <c r="B17" t="s">
        <v>18</v>
      </c>
      <c r="C17" s="11">
        <f>IF('DCF Model'!C62&lt;'DCF Model'!C16,"INVALID (EV &lt; net debt)",'DCF Model'!C64)</f>
        <v>2739</v>
      </c>
      <c r="D17" s="7">
        <f>IF(ISNUMBER(C17),(C17-C9)/C9,"N/A")</f>
        <v>-8.1026673376950173E-2</v>
      </c>
    </row>
    <row r="18" spans="2:5" ht="13.5" x14ac:dyDescent="0.25">
      <c r="B18" t="s">
        <v>19</v>
      </c>
      <c r="C18" s="11">
        <f>'Comps Analysis'!C27</f>
        <v>2770</v>
      </c>
      <c r="D18" s="7">
        <f>IF(ISNUMBER(C18),(C18-C9)/C9,"N/A")</f>
        <v>-7.062573393725885E-2</v>
      </c>
    </row>
    <row r="19" spans="2:5" ht="13.5" x14ac:dyDescent="0.25">
      <c r="B19" t="s">
        <v>20</v>
      </c>
      <c r="C19" s="11">
        <f>'Comps Analysis'!C28</f>
        <v>3123</v>
      </c>
      <c r="D19" s="7">
        <f>IF(ISNUMBER(C19),(C19-C9)/C9,"N/A")</f>
        <v>4.7810770005032713E-2</v>
      </c>
    </row>
    <row r="20" spans="2:5" ht="14" x14ac:dyDescent="0.3">
      <c r="B20" s="45" t="s">
        <v>21</v>
      </c>
      <c r="C20" s="44"/>
      <c r="D20" s="44"/>
      <c r="E20" s="44"/>
    </row>
    <row r="21" spans="2:5" ht="14" x14ac:dyDescent="0.3">
      <c r="B21" s="4" t="s">
        <v>22</v>
      </c>
      <c r="C21" s="6" t="str">
        <f>IF(COUNT(C16:C17)=0,"N/A",MIN(C16:C17)&amp;" - "&amp;MAX(C16:C17))</f>
        <v>1864 - 2739</v>
      </c>
    </row>
    <row r="23" spans="2:5" ht="14" x14ac:dyDescent="0.3">
      <c r="B23" s="8" t="s">
        <v>23</v>
      </c>
      <c r="C23" s="9"/>
      <c r="D23" s="9"/>
    </row>
    <row r="24" spans="2:5" x14ac:dyDescent="0.2">
      <c r="B24" t="str">
        <f>"Nissin holds the leading share of a domestic instant-noodle market with stable volumes and repeated price increases, and is spending heavily to build overseas capacity; the shares trade at "&amp;TEXT('Comps Analysis'!L5,"0.0""x""")&amp;" earnings and "&amp;TEXT('Comps Analysis'!M5,"0.00""x""")&amp;" book."</f>
        <v>Nissin holds the leading share of a domestic instant-noodle market with stable volumes and repeated price increases, and is spending heavily to build overseas capacity; the shares trade at 18.8x earnings and 1.65x book.</v>
      </c>
    </row>
    <row r="25" spans="2:5" x14ac:dyDescent="0.2">
      <c r="B25" t="str">
        <f>"The margin fell to the bottom of its four-year range in the latest year while capital expenditure ran at its highest level, so this is a business absorbing investment rather than one losing pricing power against a "&amp;TEXT('DCF Model'!C26,"0.00%")&amp;" cost of capital."</f>
        <v>The margin fell to the bottom of its four-year range in the latest year while capital expenditure ran at its highest level, so this is a business absorbing investment rather than one losing pricing power against a 7.25% cost of capital.</v>
      </c>
    </row>
    <row r="26" spans="2:5" x14ac:dyDescent="0.2">
      <c r="B26" t="str">
        <f>"At "&amp;TEXT(C9,"#,##0")&amp;" the market capitalises the depressed margin; a base case that returns to the four-year median supports "&amp;TEXT(C10,"#,##0")&amp;", or "&amp;TEXT(C12,"+0.0%;-0.0%")&amp;" from here."</f>
        <v>At 2,981 the market capitalises the depressed margin; a base case that returns to the four-year median supports 2,302, or -22.8% from here.</v>
      </c>
    </row>
    <row r="28" spans="2:5" ht="14" x14ac:dyDescent="0.3">
      <c r="B28" s="8" t="s">
        <v>24</v>
      </c>
      <c r="C28" s="9"/>
      <c r="D28" s="9"/>
    </row>
    <row r="29" spans="2:5" x14ac:dyDescent="0.2">
      <c r="B29" t="str">
        <f>"Capital expenditure reached 10.7% of revenue in the latest year against depreciation of 4.6%; if the overseas build-out does not taper as the base case assumes, the free cash flow behind "&amp;TEXT(C10,"#,##0")&amp;" does not appear."</f>
        <v>Capital expenditure reached 10.7% of revenue in the latest year against depreciation of 4.6%; if the overseas build-out does not taper as the base case assumes, the free cash flow behind 2,302 does not appear.</v>
      </c>
    </row>
    <row r="30" spans="2:5" x14ac:dyDescent="0.2">
      <c r="B30" t="str">
        <f>"Wheat, palm oil and packaging costs have compressed the margin twice in four years, and a repeat would hold earnings near the trough case rather than the "&amp;TEXT('Comps Analysis'!L5,"0.0""x""")&amp;" implied by "&amp;TEXT(C9,"#,##0")&amp;"."</f>
        <v>Wheat, palm oil and packaging costs have compressed the margin twice in four years, and a repeat would hold earnings near the trough case rather than the 18.8x implied by 2,981.</v>
      </c>
    </row>
    <row r="31" spans="2:5" x14ac:dyDescent="0.2">
      <c r="B31" t="str">
        <f>"Overseas growth is concentrated in the Americas and China, and neither the currency exposure nor that concentration is reflected in the "&amp;TEXT('DCF Model'!C26,"0.00%")&amp;" used here."</f>
        <v>Overseas growth is concentrated in the Americas and China, and neither the currency exposure nor that concentration is reflected in the 7.25%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669248</v>
      </c>
      <c r="D6" s="5">
        <v>732933</v>
      </c>
      <c r="E6" s="5">
        <v>776594</v>
      </c>
      <c r="F6" s="5">
        <v>788131</v>
      </c>
    </row>
    <row r="7" spans="2:6" ht="14" x14ac:dyDescent="0.3">
      <c r="B7" s="4" t="s">
        <v>32</v>
      </c>
      <c r="C7" s="5">
        <v>448170</v>
      </c>
      <c r="D7" s="5">
        <v>474303</v>
      </c>
      <c r="E7" s="5">
        <v>503642</v>
      </c>
      <c r="F7" s="5">
        <v>519064</v>
      </c>
    </row>
    <row r="8" spans="2:6" ht="14" x14ac:dyDescent="0.3">
      <c r="B8" s="4" t="s">
        <v>33</v>
      </c>
      <c r="C8" s="5">
        <f>C6-C7</f>
        <v>221078</v>
      </c>
      <c r="D8" s="5">
        <f>D6-D7</f>
        <v>258630</v>
      </c>
      <c r="E8" s="5">
        <f>E6-E7</f>
        <v>272952</v>
      </c>
      <c r="F8" s="5">
        <f>F6-F7</f>
        <v>269067</v>
      </c>
    </row>
    <row r="9" spans="2:6" ht="13.5" x14ac:dyDescent="0.25">
      <c r="B9" t="s">
        <v>34</v>
      </c>
      <c r="C9" s="7">
        <f>C8/C6</f>
        <v>0.33033793152911928</v>
      </c>
      <c r="D9" s="7">
        <f>D8/D6</f>
        <v>0.3528699076177495</v>
      </c>
      <c r="E9" s="7">
        <f>E8/E6</f>
        <v>0.35147322796725189</v>
      </c>
      <c r="F9" s="7">
        <f>F8/F6</f>
        <v>0.34139882836736535</v>
      </c>
    </row>
    <row r="10" spans="2:6" ht="14" x14ac:dyDescent="0.3">
      <c r="B10" s="4" t="s">
        <v>35</v>
      </c>
      <c r="C10" s="5">
        <v>173439</v>
      </c>
      <c r="D10" s="5">
        <v>198306</v>
      </c>
      <c r="E10" s="5">
        <v>211801</v>
      </c>
      <c r="F10" s="5">
        <v>219687</v>
      </c>
    </row>
    <row r="11" spans="2:6" ht="14" x14ac:dyDescent="0.3">
      <c r="B11" s="4" t="s">
        <v>36</v>
      </c>
      <c r="C11" s="5">
        <v>47639</v>
      </c>
      <c r="D11" s="5">
        <v>60324</v>
      </c>
      <c r="E11" s="5">
        <v>61151</v>
      </c>
      <c r="F11" s="5">
        <v>49380</v>
      </c>
    </row>
    <row r="12" spans="2:6" ht="14" x14ac:dyDescent="0.3">
      <c r="B12" s="4" t="s">
        <v>37</v>
      </c>
      <c r="C12" s="5">
        <v>44760</v>
      </c>
      <c r="D12" s="5">
        <v>54170</v>
      </c>
      <c r="E12" s="5">
        <v>55019</v>
      </c>
      <c r="F12" s="5">
        <v>45380</v>
      </c>
    </row>
    <row r="13" spans="2:6" ht="13.5" x14ac:dyDescent="0.25">
      <c r="B13" t="s">
        <v>38</v>
      </c>
      <c r="C13" s="7">
        <f>C11/C6</f>
        <v>7.1182879889069517E-2</v>
      </c>
      <c r="D13" s="7">
        <f>D11/D6</f>
        <v>8.2304931010065044E-2</v>
      </c>
      <c r="E13" s="7">
        <f>E11/E6</f>
        <v>7.8742560462738573E-2</v>
      </c>
      <c r="F13" s="7">
        <f>F11/F6</f>
        <v>6.2654558696460361E-2</v>
      </c>
    </row>
    <row r="14" spans="2:6" ht="13.5" x14ac:dyDescent="0.25">
      <c r="B14" t="s">
        <v>39</v>
      </c>
      <c r="C14" s="7">
        <f>C12/C6</f>
        <v>6.6881036626183415E-2</v>
      </c>
      <c r="D14" s="7">
        <f>D12/D6</f>
        <v>7.3908529156143876E-2</v>
      </c>
      <c r="E14" s="7">
        <f>E12/E6</f>
        <v>7.0846542723739817E-2</v>
      </c>
      <c r="F14" s="7">
        <f>F12/F6</f>
        <v>5.7579260300635302E-2</v>
      </c>
    </row>
    <row r="15" spans="2:6" ht="13.5" x14ac:dyDescent="0.25">
      <c r="B15" t="s">
        <v>40</v>
      </c>
      <c r="C15" t="s">
        <v>41</v>
      </c>
      <c r="D15" s="7">
        <f>(D6-C6)/C6</f>
        <v>9.5159044180931435E-2</v>
      </c>
      <c r="E15" s="7">
        <f>(E6-D6)/D6</f>
        <v>5.9570247212228131E-2</v>
      </c>
      <c r="F15" s="7">
        <f>(F6-E6)/E6</f>
        <v>1.4855896388589147E-2</v>
      </c>
    </row>
    <row r="16" spans="2:6" ht="13.5" x14ac:dyDescent="0.25">
      <c r="B16" t="s">
        <v>42</v>
      </c>
      <c r="C16" t="s">
        <v>41</v>
      </c>
      <c r="D16" s="7">
        <f>(D11-C11)/C11</f>
        <v>0.26627343143222992</v>
      </c>
      <c r="E16" s="7">
        <f>(E11-D11)/D11</f>
        <v>1.3709303096611631E-2</v>
      </c>
      <c r="F16" s="7">
        <f>(F11-E11)/E11</f>
        <v>-0.19249071969387255</v>
      </c>
    </row>
    <row r="18" spans="2:6" ht="14" x14ac:dyDescent="0.3">
      <c r="B18" s="3" t="s">
        <v>43</v>
      </c>
    </row>
    <row r="19" spans="2:6" ht="14" x14ac:dyDescent="0.3">
      <c r="B19" s="4" t="s">
        <v>44</v>
      </c>
      <c r="C19" s="5">
        <v>64809</v>
      </c>
      <c r="D19" s="5">
        <v>94123</v>
      </c>
      <c r="E19" s="5">
        <v>57058</v>
      </c>
      <c r="F19" s="5">
        <v>80431</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87388</v>
      </c>
      <c r="D26" s="5">
        <v>96659</v>
      </c>
      <c r="E26" s="5">
        <v>73036</v>
      </c>
      <c r="F26" s="5">
        <v>98334</v>
      </c>
    </row>
    <row r="27" spans="2:6" ht="14" x14ac:dyDescent="0.3">
      <c r="B27" s="4" t="s">
        <v>51</v>
      </c>
      <c r="C27" s="5"/>
      <c r="D27" s="5">
        <v>21911</v>
      </c>
      <c r="E27" s="5">
        <v>77520</v>
      </c>
      <c r="F27" s="5">
        <v>102752</v>
      </c>
    </row>
    <row r="28" spans="2:6" ht="14" x14ac:dyDescent="0.3">
      <c r="B28" s="4" t="s">
        <v>52</v>
      </c>
      <c r="D28" s="5">
        <f>D27-D26</f>
        <v>-74748</v>
      </c>
      <c r="E28" s="5">
        <f>E27-E26</f>
        <v>4484</v>
      </c>
      <c r="F28" s="5">
        <f>F27-F26</f>
        <v>4418</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56</v>
      </c>
      <c r="C5" s="7">
        <v>4.8300000000000003E-2</v>
      </c>
    </row>
    <row r="6" spans="2:7" ht="14" x14ac:dyDescent="0.3">
      <c r="B6" s="4" t="s">
        <v>57</v>
      </c>
      <c r="C6" s="7">
        <v>0.25</v>
      </c>
    </row>
    <row r="7" spans="2:7" ht="14" x14ac:dyDescent="0.3">
      <c r="B7" s="4" t="s">
        <v>58</v>
      </c>
      <c r="C7" s="7">
        <v>2.9700000000000001E-2</v>
      </c>
    </row>
    <row r="8" spans="2:7" ht="14" x14ac:dyDescent="0.3">
      <c r="B8" s="4" t="s">
        <v>59</v>
      </c>
      <c r="C8" s="12">
        <v>0.58679999999999999</v>
      </c>
    </row>
    <row r="9" spans="2:7" ht="14" x14ac:dyDescent="0.3">
      <c r="B9" s="4" t="s">
        <v>60</v>
      </c>
      <c r="C9" s="7">
        <v>6.5000000000000002E-2</v>
      </c>
    </row>
    <row r="10" spans="2:7" ht="14" x14ac:dyDescent="0.3">
      <c r="B10" s="4" t="s">
        <v>61</v>
      </c>
      <c r="C10" s="7">
        <v>0.01</v>
      </c>
    </row>
    <row r="11" spans="2:7" ht="14" x14ac:dyDescent="0.3">
      <c r="B11" s="4" t="s">
        <v>62</v>
      </c>
      <c r="C11" s="7">
        <v>1.3100000000000001E-2</v>
      </c>
    </row>
    <row r="12" spans="2:7" ht="14" x14ac:dyDescent="0.3">
      <c r="B12" s="4" t="s">
        <v>63</v>
      </c>
      <c r="C12" s="13">
        <v>9.0399999999999994E-2</v>
      </c>
    </row>
    <row r="13" spans="2:7" ht="14" x14ac:dyDescent="0.3">
      <c r="B13" s="4" t="s">
        <v>64</v>
      </c>
      <c r="C13" s="7">
        <v>0.01</v>
      </c>
    </row>
    <row r="14" spans="2:7" ht="14" x14ac:dyDescent="0.3">
      <c r="B14" s="4" t="s">
        <v>65</v>
      </c>
      <c r="C14" s="14">
        <v>10.199999999999999</v>
      </c>
    </row>
    <row r="15" spans="2:7" ht="14" x14ac:dyDescent="0.3">
      <c r="B15" s="4" t="s">
        <v>66</v>
      </c>
      <c r="C15" s="15">
        <v>286578095</v>
      </c>
    </row>
    <row r="16" spans="2:7" ht="14" x14ac:dyDescent="0.3">
      <c r="B16" s="4" t="s">
        <v>67</v>
      </c>
      <c r="C16" s="5">
        <v>77200</v>
      </c>
    </row>
    <row r="17" spans="2:7" ht="14" x14ac:dyDescent="0.3">
      <c r="B17" s="4" t="s">
        <v>68</v>
      </c>
      <c r="C17" s="5">
        <v>788131</v>
      </c>
    </row>
    <row r="18" spans="2:7" ht="14" x14ac:dyDescent="0.3">
      <c r="B18" s="4" t="s">
        <v>69</v>
      </c>
      <c r="C18" s="7">
        <v>4.5999999999999999E-2</v>
      </c>
    </row>
    <row r="19" spans="2:7" ht="14" x14ac:dyDescent="0.3">
      <c r="B19" s="4" t="s">
        <v>70</v>
      </c>
      <c r="C19" s="12">
        <v>1</v>
      </c>
    </row>
    <row r="20" spans="2:7" ht="14" x14ac:dyDescent="0.3">
      <c r="B20" s="4" t="s">
        <v>71</v>
      </c>
      <c r="C20" s="5">
        <v>788131</v>
      </c>
    </row>
    <row r="22" spans="2:7" ht="14" x14ac:dyDescent="0.3">
      <c r="B22" s="8" t="s">
        <v>72</v>
      </c>
      <c r="C22" s="9"/>
      <c r="D22" s="9"/>
      <c r="E22" s="9"/>
      <c r="F22" s="9"/>
      <c r="G22" s="9"/>
    </row>
    <row r="23" spans="2:7" ht="14" x14ac:dyDescent="0.3">
      <c r="B23" s="4" t="s">
        <v>73</v>
      </c>
      <c r="C23" s="16">
        <f>C7+C8*C9+C10</f>
        <v>7.7841999999999995E-2</v>
      </c>
    </row>
    <row r="24" spans="2:7" ht="14" x14ac:dyDescent="0.3">
      <c r="B24" s="4" t="s">
        <v>74</v>
      </c>
      <c r="C24" s="16">
        <f>1/(1+C12)</f>
        <v>0.91709464416727804</v>
      </c>
    </row>
    <row r="25" spans="2:7" ht="14" x14ac:dyDescent="0.3">
      <c r="B25" s="4" t="s">
        <v>75</v>
      </c>
      <c r="C25" s="16">
        <f>C12/(1+C12)</f>
        <v>8.2905355832721933E-2</v>
      </c>
    </row>
    <row r="26" spans="2:7" ht="14" x14ac:dyDescent="0.3">
      <c r="B26" s="4" t="s">
        <v>76</v>
      </c>
      <c r="C26" s="16">
        <f>C23*C24+C11*C25</f>
        <v>7.2474541452677912E-2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40</v>
      </c>
      <c r="C30" s="18">
        <f>CHOOSE($D$27,C69,C70,C71,C72,C73)</f>
        <v>0.03</v>
      </c>
      <c r="D30" s="18">
        <f>CHOOSE($D$27,D69,D70,D71,D72,D73)</f>
        <v>0.03</v>
      </c>
      <c r="E30" s="18">
        <f>CHOOSE($D$27,E69,E70,E71,E72,E73)</f>
        <v>2.5000000000000001E-2</v>
      </c>
      <c r="F30" s="18">
        <f>CHOOSE($D$27,F69,F70,F71,F72,F73)</f>
        <v>2.5000000000000001E-2</v>
      </c>
      <c r="G30" s="18">
        <f>CHOOSE($D$27,G69,G70,G71,G72,G73)</f>
        <v>2.5000000000000001E-2</v>
      </c>
    </row>
    <row r="31" spans="2:7" ht="14" x14ac:dyDescent="0.3">
      <c r="B31" s="4" t="s">
        <v>85</v>
      </c>
      <c r="C31" s="18">
        <f>CHOOSE($D$27,C76,C77,C78,C79,C80)</f>
        <v>0.65900000000000003</v>
      </c>
      <c r="D31" s="18">
        <f>CHOOSE($D$27,D76,D77,D78,D79,D80)</f>
        <v>0.65600000000000003</v>
      </c>
      <c r="E31" s="18">
        <f>CHOOSE($D$27,E76,E77,E78,E79,E80)</f>
        <v>0.65300000000000002</v>
      </c>
      <c r="F31" s="18">
        <f>CHOOSE($D$27,F76,F77,F78,F79,F80)</f>
        <v>0.65100000000000002</v>
      </c>
      <c r="G31" s="18">
        <f>CHOOSE($D$27,G76,G77,G78,G79,G80)</f>
        <v>0.65</v>
      </c>
    </row>
    <row r="32" spans="2:7" ht="14" x14ac:dyDescent="0.3">
      <c r="B32" s="4" t="s">
        <v>86</v>
      </c>
      <c r="C32" s="18">
        <f>CHOOSE($D$27,C83,C84,C85,C86,C87)</f>
        <v>0.27500000000000002</v>
      </c>
      <c r="D32" s="18">
        <f>CHOOSE($D$27,D83,D84,D85,D86,D87)</f>
        <v>0.27500000000000002</v>
      </c>
      <c r="E32" s="18">
        <f>CHOOSE($D$27,E83,E84,E85,E86,E87)</f>
        <v>0.27500000000000002</v>
      </c>
      <c r="F32" s="18">
        <f>CHOOSE($D$27,F83,F84,F85,F86,F87)</f>
        <v>0.27500000000000002</v>
      </c>
      <c r="G32" s="18">
        <f>CHOOSE($D$27,G83,G84,G85,G86,G87)</f>
        <v>0.27500000000000002</v>
      </c>
    </row>
    <row r="33" spans="2:7" ht="14" x14ac:dyDescent="0.3">
      <c r="B33" s="4" t="s">
        <v>31</v>
      </c>
      <c r="C33" s="5">
        <f>C17*(1+C30)</f>
        <v>811774.93</v>
      </c>
      <c r="D33" s="5">
        <f>C33*(1+D30)</f>
        <v>836128.17790000013</v>
      </c>
      <c r="E33" s="5">
        <f>D33*(1+E30)</f>
        <v>857031.38234750007</v>
      </c>
      <c r="F33" s="5">
        <f>E33*(1+F30)</f>
        <v>878457.16690618754</v>
      </c>
      <c r="G33" s="5">
        <f>F33*(1+G30)</f>
        <v>900418.59607884218</v>
      </c>
    </row>
    <row r="34" spans="2:7" ht="14" x14ac:dyDescent="0.3">
      <c r="B34" s="4" t="s">
        <v>32</v>
      </c>
      <c r="C34" s="5">
        <f>C33*C31</f>
        <v>534959.67887000006</v>
      </c>
      <c r="D34" s="5">
        <f>D33*D31</f>
        <v>548500.08470240014</v>
      </c>
      <c r="E34" s="5">
        <f>E33*E31</f>
        <v>559641.49267291755</v>
      </c>
      <c r="F34" s="5">
        <f>F33*F31</f>
        <v>571875.61565592815</v>
      </c>
      <c r="G34" s="5">
        <f>G33*G31</f>
        <v>585272.08745124738</v>
      </c>
    </row>
    <row r="35" spans="2:7" ht="14" x14ac:dyDescent="0.3">
      <c r="B35" s="4" t="s">
        <v>33</v>
      </c>
      <c r="C35" s="19">
        <f>C33-C34</f>
        <v>276815.25112999999</v>
      </c>
      <c r="D35" s="19">
        <f>D33-D34</f>
        <v>287628.09319759998</v>
      </c>
      <c r="E35" s="19">
        <f>E33-E34</f>
        <v>297389.88967458252</v>
      </c>
      <c r="F35" s="19">
        <f>F33-F34</f>
        <v>306581.55125025939</v>
      </c>
      <c r="G35" s="19">
        <f>G33-G34</f>
        <v>315146.5086275948</v>
      </c>
    </row>
    <row r="36" spans="2:7" ht="14" x14ac:dyDescent="0.3">
      <c r="B36" s="4" t="s">
        <v>34</v>
      </c>
      <c r="C36" s="7">
        <f>C35/C33</f>
        <v>0.34099999999999997</v>
      </c>
      <c r="D36" s="7">
        <f>D35/D33</f>
        <v>0.34399999999999992</v>
      </c>
      <c r="E36" s="7">
        <f>E35/E33</f>
        <v>0.34699999999999998</v>
      </c>
      <c r="F36" s="7">
        <f>F35/F33</f>
        <v>0.34899999999999992</v>
      </c>
      <c r="G36" s="7">
        <f>G35/G33</f>
        <v>0.35000000000000003</v>
      </c>
    </row>
    <row r="37" spans="2:7" ht="14" x14ac:dyDescent="0.3">
      <c r="B37" s="4" t="s">
        <v>87</v>
      </c>
      <c r="C37" s="5">
        <f>C33*C32</f>
        <v>223238.10575000005</v>
      </c>
      <c r="D37" s="5">
        <f>D33*D32</f>
        <v>229935.24892250006</v>
      </c>
      <c r="E37" s="5">
        <f>E33*E32</f>
        <v>235683.63014556255</v>
      </c>
      <c r="F37" s="5">
        <f>F33*F32</f>
        <v>241575.72089920158</v>
      </c>
      <c r="G37" s="5">
        <f>G33*G32</f>
        <v>247615.11392168162</v>
      </c>
    </row>
    <row r="38" spans="2:7" ht="14" x14ac:dyDescent="0.3">
      <c r="B38" s="4" t="s">
        <v>88</v>
      </c>
      <c r="C38" s="7">
        <f>(C35-C37)/C33</f>
        <v>6.599999999999992E-2</v>
      </c>
      <c r="D38" s="7">
        <f>(D35-D37)/D33</f>
        <v>6.8999999999999895E-2</v>
      </c>
      <c r="E38" s="7">
        <f>(E35-E37)/E33</f>
        <v>7.1999999999999953E-2</v>
      </c>
      <c r="F38" s="7">
        <f>(F35-F37)/F33</f>
        <v>7.3999999999999927E-2</v>
      </c>
      <c r="G38" s="7">
        <f>(G35-G37)/G33</f>
        <v>7.5000000000000011E-2</v>
      </c>
    </row>
    <row r="39" spans="2:7" ht="14" x14ac:dyDescent="0.3">
      <c r="B39" s="4" t="s">
        <v>89</v>
      </c>
      <c r="C39" s="19">
        <f>C35-C37</f>
        <v>53577.145379999944</v>
      </c>
      <c r="D39" s="19">
        <f>D35-D37</f>
        <v>57692.844275099924</v>
      </c>
      <c r="E39" s="19">
        <f>E35-E37</f>
        <v>61706.259529019968</v>
      </c>
      <c r="F39" s="19">
        <f>F35-F37</f>
        <v>65005.830351057812</v>
      </c>
      <c r="G39" s="19">
        <f>G35-G37</f>
        <v>67531.394705913175</v>
      </c>
    </row>
    <row r="40" spans="2:7" ht="14" x14ac:dyDescent="0.3">
      <c r="B40" s="4" t="s">
        <v>90</v>
      </c>
      <c r="C40" s="5">
        <f>MAX(0,C39*C6)</f>
        <v>13394.286344999986</v>
      </c>
      <c r="D40" s="5">
        <f>MAX(0,D39*C6)</f>
        <v>14423.211068774981</v>
      </c>
      <c r="E40" s="5">
        <f>MAX(0,E39*C6)</f>
        <v>15426.564882254992</v>
      </c>
      <c r="F40" s="5">
        <f>MAX(0,F39*C6)</f>
        <v>16251.457587764453</v>
      </c>
      <c r="G40" s="5">
        <f>MAX(0,G39*C6)</f>
        <v>16882.848676478294</v>
      </c>
    </row>
    <row r="41" spans="2:7" ht="14" x14ac:dyDescent="0.3">
      <c r="B41" s="4" t="s">
        <v>91</v>
      </c>
      <c r="C41" s="19">
        <f>C39-C40</f>
        <v>40182.859034999958</v>
      </c>
      <c r="D41" s="19">
        <f>D39-D40</f>
        <v>43269.633206324943</v>
      </c>
      <c r="E41" s="19">
        <f>E39-E40</f>
        <v>46279.694646764976</v>
      </c>
      <c r="F41" s="19">
        <f>F39-F40</f>
        <v>48754.372763293359</v>
      </c>
      <c r="G41" s="19">
        <f>G39-G40</f>
        <v>50648.546029434881</v>
      </c>
    </row>
    <row r="42" spans="2:7" ht="14" x14ac:dyDescent="0.3">
      <c r="B42" s="4" t="s">
        <v>92</v>
      </c>
      <c r="C42" s="5">
        <f>C33*C18</f>
        <v>37341.646780000003</v>
      </c>
      <c r="D42" s="5">
        <f>D33*C18</f>
        <v>38461.896183400007</v>
      </c>
      <c r="E42" s="5">
        <f>E33*C18</f>
        <v>39423.443587984999</v>
      </c>
      <c r="F42" s="5">
        <f>F33*C18</f>
        <v>40409.02967768463</v>
      </c>
      <c r="G42" s="5">
        <f>G33*C18</f>
        <v>41419.255419626737</v>
      </c>
    </row>
    <row r="43" spans="2:7" ht="14" x14ac:dyDescent="0.3">
      <c r="B43" s="4" t="s">
        <v>93</v>
      </c>
      <c r="C43" s="5">
        <v>85000</v>
      </c>
      <c r="D43" s="5">
        <v>78000</v>
      </c>
      <c r="E43" s="5">
        <v>65000</v>
      </c>
      <c r="F43" s="5">
        <v>53000</v>
      </c>
      <c r="G43" s="5">
        <v>44300</v>
      </c>
    </row>
    <row r="44" spans="2:7" ht="14" x14ac:dyDescent="0.3">
      <c r="B44" s="4" t="s">
        <v>94</v>
      </c>
      <c r="C44" s="5">
        <f>'NWC Schedule'!D19</f>
        <v>-9235.6135340821929</v>
      </c>
      <c r="D44" s="5">
        <f>'NWC Schedule'!E19</f>
        <v>1369.6533503868268</v>
      </c>
      <c r="E44" s="5">
        <f>'NWC Schedule'!F19</f>
        <v>1257.2847957271733</v>
      </c>
      <c r="F44" s="5">
        <f>'NWC Schedule'!G19</f>
        <v>1150.4178788524587</v>
      </c>
      <c r="G44" s="5">
        <f>'NWC Schedule'!H19</f>
        <v>1033.6913785923971</v>
      </c>
    </row>
    <row r="45" spans="2:7" ht="14" x14ac:dyDescent="0.3">
      <c r="B45" s="4" t="s">
        <v>95</v>
      </c>
      <c r="C45" s="20">
        <f>C41+C42-C43-C44</f>
        <v>1760.1193490821461</v>
      </c>
      <c r="D45" s="20">
        <f>D41+D42-D43-D44</f>
        <v>2361.8760393381235</v>
      </c>
      <c r="E45" s="20">
        <f>E41+E42-E43-E44</f>
        <v>19445.853439022801</v>
      </c>
      <c r="F45" s="20">
        <f>F41+F42-F43-F44</f>
        <v>35012.984562125523</v>
      </c>
      <c r="G45" s="20">
        <f>G41+G42-G43-G44</f>
        <v>46734.110070469222</v>
      </c>
    </row>
    <row r="46" spans="2:7" ht="14" x14ac:dyDescent="0.3">
      <c r="B46" s="4" t="s">
        <v>96</v>
      </c>
      <c r="C46" s="21">
        <f>1/(1+C26)^(C19+0)</f>
        <v>0.93242306586176826</v>
      </c>
      <c r="D46" s="21">
        <f>1/(1+C26)^(C19+1)</f>
        <v>0.8694127737510593</v>
      </c>
      <c r="E46" s="21">
        <f>1/(1+C26)^(C19+2)</f>
        <v>0.81066052400034649</v>
      </c>
      <c r="F46" s="21">
        <f>1/(1+C26)^(C19+3)</f>
        <v>0.75587857116151069</v>
      </c>
      <c r="G46" s="21">
        <f>1/(1+C26)^(C19+4)</f>
        <v>0.70479861474162853</v>
      </c>
    </row>
    <row r="47" spans="2:7" ht="14" x14ac:dyDescent="0.3">
      <c r="B47" s="4" t="s">
        <v>97</v>
      </c>
      <c r="C47" s="19">
        <f>C45*C46</f>
        <v>1641.1758797537946</v>
      </c>
      <c r="D47" s="19">
        <f>D45*D46</f>
        <v>2053.4451986171239</v>
      </c>
      <c r="E47" s="19">
        <f>E45*E46</f>
        <v>15763.985738512165</v>
      </c>
      <c r="F47" s="19">
        <f>F45*F46</f>
        <v>26465.564742919472</v>
      </c>
      <c r="G47" s="19">
        <f>G45*G46</f>
        <v>32938.136038849501</v>
      </c>
    </row>
    <row r="49" spans="2:7" ht="14" x14ac:dyDescent="0.3">
      <c r="B49" s="22" t="s">
        <v>98</v>
      </c>
      <c r="C49" s="23"/>
      <c r="D49" s="23"/>
      <c r="E49" s="23"/>
      <c r="F49" s="23"/>
      <c r="G49" s="23"/>
    </row>
    <row r="50" spans="2:7" ht="14" x14ac:dyDescent="0.3">
      <c r="B50" s="4" t="s">
        <v>99</v>
      </c>
      <c r="C50" s="5">
        <f>SUM(C47:G47)</f>
        <v>78862.307598652056</v>
      </c>
    </row>
    <row r="51" spans="2:7" ht="14" x14ac:dyDescent="0.3">
      <c r="B51" s="4" t="s">
        <v>100</v>
      </c>
      <c r="C51" s="5">
        <f>G45*(1+C13)/(C26-C13)</f>
        <v>755530.97427577316</v>
      </c>
    </row>
    <row r="52" spans="2:7" ht="14" x14ac:dyDescent="0.3">
      <c r="B52" s="4" t="s">
        <v>101</v>
      </c>
      <c r="C52" s="5">
        <f>C51*G46</f>
        <v>532497.18406395789</v>
      </c>
    </row>
    <row r="53" spans="2:7" ht="14" x14ac:dyDescent="0.3">
      <c r="B53" s="4" t="s">
        <v>102</v>
      </c>
      <c r="C53" s="5">
        <f>C50+C52</f>
        <v>611359.49166260997</v>
      </c>
    </row>
    <row r="54" spans="2:7" ht="14" x14ac:dyDescent="0.3">
      <c r="B54" s="4" t="s">
        <v>103</v>
      </c>
      <c r="C54" s="5">
        <f>C53-C16</f>
        <v>534159.49166260997</v>
      </c>
    </row>
    <row r="55" spans="2:7" ht="14" x14ac:dyDescent="0.3">
      <c r="B55" s="4" t="s">
        <v>104</v>
      </c>
      <c r="C55" s="24">
        <f>ROUND(C54*1000000/C15,0)</f>
        <v>1864</v>
      </c>
    </row>
    <row r="57" spans="2:7" ht="14" x14ac:dyDescent="0.3">
      <c r="B57" s="22" t="s">
        <v>105</v>
      </c>
      <c r="C57" s="23"/>
      <c r="D57" s="23"/>
      <c r="E57" s="23"/>
      <c r="F57" s="23"/>
      <c r="G57" s="23"/>
    </row>
    <row r="58" spans="2:7" ht="14" x14ac:dyDescent="0.3">
      <c r="B58" s="4" t="s">
        <v>99</v>
      </c>
      <c r="C58" s="5">
        <f>C50</f>
        <v>78862.307598652056</v>
      </c>
    </row>
    <row r="59" spans="2:7" ht="14" x14ac:dyDescent="0.3">
      <c r="B59" s="4" t="s">
        <v>106</v>
      </c>
      <c r="C59" s="5">
        <f>G39+G42</f>
        <v>108950.65012553992</v>
      </c>
    </row>
    <row r="60" spans="2:7" ht="14" x14ac:dyDescent="0.3">
      <c r="B60" s="4" t="s">
        <v>107</v>
      </c>
      <c r="C60" s="5">
        <f>C59*C14</f>
        <v>1111296.6312805072</v>
      </c>
    </row>
    <row r="61" spans="2:7" ht="14" x14ac:dyDescent="0.3">
      <c r="B61" s="4" t="s">
        <v>101</v>
      </c>
      <c r="C61" s="5">
        <f>C60*G46</f>
        <v>783240.32629353984</v>
      </c>
    </row>
    <row r="62" spans="2:7" ht="14" x14ac:dyDescent="0.3">
      <c r="B62" s="4" t="s">
        <v>102</v>
      </c>
      <c r="C62" s="5">
        <f>C58+C61</f>
        <v>862102.63389219192</v>
      </c>
    </row>
    <row r="63" spans="2:7" ht="14" x14ac:dyDescent="0.3">
      <c r="B63" s="4" t="s">
        <v>103</v>
      </c>
      <c r="C63" s="5">
        <f>C62-C16</f>
        <v>784902.63389219192</v>
      </c>
    </row>
    <row r="64" spans="2:7" ht="14" x14ac:dyDescent="0.3">
      <c r="B64" s="4" t="s">
        <v>108</v>
      </c>
      <c r="C64" s="24">
        <f>ROUND(C63*1000000/C15,0)</f>
        <v>2739</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40</v>
      </c>
    </row>
    <row r="69" spans="2:7" ht="14" x14ac:dyDescent="0.3">
      <c r="B69" s="4" t="s">
        <v>78</v>
      </c>
      <c r="C69" s="26">
        <v>0.03</v>
      </c>
      <c r="D69" s="26">
        <v>0.03</v>
      </c>
      <c r="E69" s="26">
        <v>2.5000000000000001E-2</v>
      </c>
      <c r="F69" s="26">
        <v>2.5000000000000001E-2</v>
      </c>
      <c r="G69" s="26">
        <v>2.5000000000000001E-2</v>
      </c>
    </row>
    <row r="70" spans="2:7" ht="14" x14ac:dyDescent="0.3">
      <c r="B70" s="4" t="s">
        <v>115</v>
      </c>
      <c r="C70" s="26">
        <v>4.4999999999999998E-2</v>
      </c>
      <c r="D70" s="26">
        <v>0.04</v>
      </c>
      <c r="E70" s="26">
        <v>3.5000000000000003E-2</v>
      </c>
      <c r="F70" s="26">
        <v>0.03</v>
      </c>
      <c r="G70" s="26">
        <v>0.03</v>
      </c>
    </row>
    <row r="71" spans="2:7" ht="14" x14ac:dyDescent="0.3">
      <c r="B71" s="4" t="s">
        <v>116</v>
      </c>
      <c r="C71" s="26">
        <v>0.03</v>
      </c>
      <c r="D71" s="26">
        <v>0.03</v>
      </c>
      <c r="E71" s="26">
        <v>2.5000000000000001E-2</v>
      </c>
      <c r="F71" s="26">
        <v>2.5000000000000001E-2</v>
      </c>
      <c r="G71" s="26">
        <v>2.5000000000000001E-2</v>
      </c>
    </row>
    <row r="72" spans="2:7" ht="14" x14ac:dyDescent="0.3">
      <c r="B72" s="4" t="s">
        <v>117</v>
      </c>
      <c r="C72" s="26">
        <v>5.0000000000000001E-3</v>
      </c>
      <c r="D72" s="26">
        <v>5.0000000000000001E-3</v>
      </c>
      <c r="E72" s="26">
        <v>5.0000000000000001E-3</v>
      </c>
      <c r="F72" s="26">
        <v>5.0000000000000001E-3</v>
      </c>
      <c r="G72" s="26">
        <v>5.0000000000000001E-3</v>
      </c>
    </row>
    <row r="73" spans="2:7" ht="14" x14ac:dyDescent="0.3">
      <c r="B73" s="4" t="s">
        <v>118</v>
      </c>
      <c r="C73" s="26">
        <v>-0.06</v>
      </c>
      <c r="D73" s="26">
        <v>-0.01</v>
      </c>
      <c r="E73" s="26">
        <v>5.0000000000000001E-3</v>
      </c>
      <c r="F73" s="26">
        <v>0.01</v>
      </c>
      <c r="G73" s="26">
        <v>1.4999999999999999E-2</v>
      </c>
    </row>
    <row r="75" spans="2:7" ht="14" x14ac:dyDescent="0.3">
      <c r="B75" s="3" t="s">
        <v>85</v>
      </c>
    </row>
    <row r="76" spans="2:7" ht="14" x14ac:dyDescent="0.3">
      <c r="B76" s="4" t="s">
        <v>78</v>
      </c>
      <c r="C76" s="26">
        <v>0.65900000000000003</v>
      </c>
      <c r="D76" s="26">
        <v>0.65600000000000003</v>
      </c>
      <c r="E76" s="26">
        <v>0.65300000000000002</v>
      </c>
      <c r="F76" s="26">
        <v>0.65100000000000002</v>
      </c>
      <c r="G76" s="26">
        <v>0.65</v>
      </c>
    </row>
    <row r="77" spans="2:7" ht="14" x14ac:dyDescent="0.3">
      <c r="B77" s="4" t="s">
        <v>115</v>
      </c>
      <c r="C77" s="26">
        <v>0.65800000000000003</v>
      </c>
      <c r="D77" s="26">
        <v>0.65400000000000003</v>
      </c>
      <c r="E77" s="26">
        <v>0.65100000000000002</v>
      </c>
      <c r="F77" s="26">
        <v>0.64900000000000002</v>
      </c>
      <c r="G77" s="26">
        <v>0.64839999999999998</v>
      </c>
    </row>
    <row r="78" spans="2:7" ht="14" x14ac:dyDescent="0.3">
      <c r="B78" s="4" t="s">
        <v>116</v>
      </c>
      <c r="C78" s="26">
        <v>0.65900000000000003</v>
      </c>
      <c r="D78" s="26">
        <v>0.65600000000000003</v>
      </c>
      <c r="E78" s="26">
        <v>0.65300000000000002</v>
      </c>
      <c r="F78" s="26">
        <v>0.65100000000000002</v>
      </c>
      <c r="G78" s="26">
        <v>0.65</v>
      </c>
    </row>
    <row r="79" spans="2:7" ht="14" x14ac:dyDescent="0.3">
      <c r="B79" s="4" t="s">
        <v>117</v>
      </c>
      <c r="C79" s="26">
        <v>0.65800000000000003</v>
      </c>
      <c r="D79" s="26">
        <v>0.66</v>
      </c>
      <c r="E79" s="26">
        <v>0.66200000000000003</v>
      </c>
      <c r="F79" s="26">
        <v>0.66300000000000003</v>
      </c>
      <c r="G79" s="26">
        <v>0.66300000000000003</v>
      </c>
    </row>
    <row r="80" spans="2:7" ht="14" x14ac:dyDescent="0.3">
      <c r="B80" s="4" t="s">
        <v>118</v>
      </c>
      <c r="C80" s="26">
        <v>0.67500000000000004</v>
      </c>
      <c r="D80" s="26">
        <v>0.67900000000000005</v>
      </c>
      <c r="E80" s="26">
        <v>0.67900000000000005</v>
      </c>
      <c r="F80" s="26">
        <v>0.67700000000000005</v>
      </c>
      <c r="G80" s="26">
        <v>0.67500000000000004</v>
      </c>
    </row>
    <row r="82" spans="2:7" ht="14" x14ac:dyDescent="0.3">
      <c r="B82" s="3" t="s">
        <v>86</v>
      </c>
    </row>
    <row r="83" spans="2:7" ht="14" x14ac:dyDescent="0.3">
      <c r="B83" s="4" t="s">
        <v>78</v>
      </c>
      <c r="C83" s="26">
        <v>0.27500000000000002</v>
      </c>
      <c r="D83" s="26">
        <v>0.27500000000000002</v>
      </c>
      <c r="E83" s="26">
        <v>0.27500000000000002</v>
      </c>
      <c r="F83" s="26">
        <v>0.27500000000000002</v>
      </c>
      <c r="G83" s="26">
        <v>0.27500000000000002</v>
      </c>
    </row>
    <row r="84" spans="2:7" ht="14" x14ac:dyDescent="0.3">
      <c r="B84" s="4" t="s">
        <v>115</v>
      </c>
      <c r="C84" s="26">
        <v>0.27200000000000002</v>
      </c>
      <c r="D84" s="26">
        <v>0.27200000000000002</v>
      </c>
      <c r="E84" s="26">
        <v>0.27200000000000002</v>
      </c>
      <c r="F84" s="26">
        <v>0.27200000000000002</v>
      </c>
      <c r="G84" s="26">
        <v>0.27200000000000002</v>
      </c>
    </row>
    <row r="85" spans="2:7" ht="14" x14ac:dyDescent="0.3">
      <c r="B85" s="4" t="s">
        <v>116</v>
      </c>
      <c r="C85" s="26">
        <v>0.27500000000000002</v>
      </c>
      <c r="D85" s="26">
        <v>0.27500000000000002</v>
      </c>
      <c r="E85" s="26">
        <v>0.27500000000000002</v>
      </c>
      <c r="F85" s="26">
        <v>0.27500000000000002</v>
      </c>
      <c r="G85" s="26">
        <v>0.27500000000000002</v>
      </c>
    </row>
    <row r="86" spans="2:7" ht="14" x14ac:dyDescent="0.3">
      <c r="B86" s="4" t="s">
        <v>117</v>
      </c>
      <c r="C86" s="26">
        <v>0.28199999999999997</v>
      </c>
      <c r="D86" s="26">
        <v>0.28199999999999997</v>
      </c>
      <c r="E86" s="26">
        <v>0.28199999999999997</v>
      </c>
      <c r="F86" s="26">
        <v>0.28199999999999997</v>
      </c>
      <c r="G86" s="26">
        <v>0.28199999999999997</v>
      </c>
    </row>
    <row r="87" spans="2:7" ht="14" x14ac:dyDescent="0.3">
      <c r="B87" s="4" t="s">
        <v>118</v>
      </c>
      <c r="C87" s="26">
        <v>0.28999999999999998</v>
      </c>
      <c r="D87" s="26">
        <v>0.28999999999999998</v>
      </c>
      <c r="E87" s="26">
        <v>0.28999999999999998</v>
      </c>
      <c r="F87" s="26">
        <v>0.28999999999999998</v>
      </c>
      <c r="G87" s="26">
        <v>0.28999999999999998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2980.5</v>
      </c>
    </row>
    <row r="7" spans="2:9" ht="14" x14ac:dyDescent="0.3">
      <c r="B7" s="4" t="s">
        <v>66</v>
      </c>
      <c r="C7" s="15">
        <f>'DCF Model'!C15</f>
        <v>286578095</v>
      </c>
    </row>
    <row r="8" spans="2:9" ht="14" x14ac:dyDescent="0.3">
      <c r="B8" s="4" t="s">
        <v>123</v>
      </c>
      <c r="C8" s="5">
        <f>C6*C7/1000000</f>
        <v>854146.01214749995</v>
      </c>
    </row>
    <row r="9" spans="2:9" ht="14" x14ac:dyDescent="0.3">
      <c r="B9" s="4" t="s">
        <v>67</v>
      </c>
      <c r="C9" s="5">
        <f>'DCF Model'!C16</f>
        <v>77200</v>
      </c>
    </row>
    <row r="10" spans="2:9" ht="14" x14ac:dyDescent="0.3">
      <c r="B10" s="4" t="s">
        <v>124</v>
      </c>
      <c r="C10" s="5">
        <f>C8+C9</f>
        <v>931346.01214749995</v>
      </c>
    </row>
    <row r="11" spans="2:9" ht="14" x14ac:dyDescent="0.3">
      <c r="B11" s="4" t="s">
        <v>125</v>
      </c>
      <c r="C11" s="16">
        <f>'DCF Model'!C26</f>
        <v>7.2474541452677912E-2</v>
      </c>
    </row>
    <row r="12" spans="2:9" ht="14" x14ac:dyDescent="0.3">
      <c r="B12" s="4" t="s">
        <v>126</v>
      </c>
      <c r="C12" s="16">
        <f>'DCF Model'!C13</f>
        <v>0.01</v>
      </c>
    </row>
    <row r="13" spans="2:9" ht="14" x14ac:dyDescent="0.3">
      <c r="B13" s="4" t="s">
        <v>127</v>
      </c>
      <c r="C13" s="16">
        <f>'DCF Model'!C6</f>
        <v>0.25</v>
      </c>
    </row>
    <row r="14" spans="2:9" ht="14" x14ac:dyDescent="0.3">
      <c r="B14" s="4" t="s">
        <v>128</v>
      </c>
      <c r="C14" s="27">
        <v>49380</v>
      </c>
    </row>
    <row r="15" spans="2:9" ht="14" x14ac:dyDescent="0.3">
      <c r="B15" s="4" t="s">
        <v>129</v>
      </c>
      <c r="C15" s="27">
        <v>61151</v>
      </c>
    </row>
    <row r="16" spans="2:9" ht="14" x14ac:dyDescent="0.3">
      <c r="B16" s="4" t="s">
        <v>130</v>
      </c>
      <c r="C16" s="5">
        <f>'DCF Model'!G33</f>
        <v>900418.59607884218</v>
      </c>
    </row>
    <row r="17" spans="2:9" ht="14" x14ac:dyDescent="0.3">
      <c r="B17" s="4" t="s">
        <v>131</v>
      </c>
      <c r="C17" s="5">
        <f>'DCF Model'!C53</f>
        <v>611359.49166260997</v>
      </c>
    </row>
    <row r="18" spans="2:9" ht="14" x14ac:dyDescent="0.3">
      <c r="B18" s="4" t="s">
        <v>132</v>
      </c>
      <c r="C18" s="26">
        <v>7.8742560462738573E-2</v>
      </c>
    </row>
    <row r="19" spans="2:9" ht="14" x14ac:dyDescent="0.3">
      <c r="B19" s="4" t="s">
        <v>133</v>
      </c>
      <c r="C19" s="5">
        <f>C10-C17</f>
        <v>319986.52048488997</v>
      </c>
    </row>
    <row r="20" spans="2:9" ht="14" x14ac:dyDescent="0.3">
      <c r="B20" s="4" t="s">
        <v>134</v>
      </c>
      <c r="C20" s="15">
        <f>IFERROR(ROUND(C19*1000000/C7,0),"N/A")</f>
        <v>1117</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58185.415042695247</v>
      </c>
    </row>
    <row r="25" spans="2:9" ht="14" x14ac:dyDescent="0.3">
      <c r="B25" s="4" t="s">
        <v>138</v>
      </c>
      <c r="C25" s="5">
        <f>IFERROR(C24/(1-C13),"N/A")</f>
        <v>77580.553390260335</v>
      </c>
    </row>
    <row r="26" spans="2:9" ht="13.5" x14ac:dyDescent="0.25">
      <c r="B26" s="6" t="s">
        <v>139</v>
      </c>
      <c r="C26" s="14">
        <f>IFERROR(C25/C15,"N/A")</f>
        <v>1.2686718678396156</v>
      </c>
    </row>
    <row r="27" spans="2:9" ht="13.5" x14ac:dyDescent="0.25">
      <c r="B27" s="6" t="s">
        <v>140</v>
      </c>
      <c r="C27" s="14">
        <f>IFERROR(C25/C14,"N/A")</f>
        <v>1.5710926162466654</v>
      </c>
    </row>
    <row r="28" spans="2:9" ht="13.5" x14ac:dyDescent="0.25">
      <c r="B28" s="6" t="s">
        <v>141</v>
      </c>
      <c r="C28" s="7">
        <f>IFERROR(C25/C16,"N/A")</f>
        <v>8.6160541028483209E-2</v>
      </c>
    </row>
    <row r="29" spans="2:9" ht="13.5" x14ac:dyDescent="0.25">
      <c r="B29" s="6" t="s">
        <v>142</v>
      </c>
      <c r="C29" s="5">
        <f>IFERROR(C25/C18,"N/A")</f>
        <v>985242.96053303848</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5.2474541452677909E-2</v>
      </c>
      <c r="E36" s="29">
        <f>'DCF Model'!C26-0.01</f>
        <v>6.2474541452677911E-2</v>
      </c>
      <c r="F36" s="29">
        <f>'DCF Model'!C26</f>
        <v>7.2474541452677912E-2</v>
      </c>
      <c r="G36" s="29">
        <f>'DCF Model'!C26+0.01</f>
        <v>8.2474541452677907E-2</v>
      </c>
      <c r="H36" s="29">
        <f>'DCF Model'!C26+0.02</f>
        <v>9.2474541452677916E-2</v>
      </c>
    </row>
    <row r="37" spans="2:9" ht="14" x14ac:dyDescent="0.3">
      <c r="B37" s="3" t="s">
        <v>148</v>
      </c>
    </row>
    <row r="38" spans="2:9" ht="14" x14ac:dyDescent="0.3">
      <c r="B38" s="4" t="s">
        <v>149</v>
      </c>
      <c r="C38" s="30">
        <v>3</v>
      </c>
      <c r="D38" s="13">
        <f t="shared" ref="D38:H41" si="0">IFERROR((1-(1+D$36)^(-$C38))/D$36-(1+D$36)/(D$36^2*$C38)*(1-($C38+1)/(1+D$36)^$C38+$C38/(1+D$36)^($C38+1)),"N/A")</f>
        <v>0.93435094509540484</v>
      </c>
      <c r="E38" s="13">
        <f t="shared" si="0"/>
        <v>0.92275121517206737</v>
      </c>
      <c r="F38" s="13">
        <f t="shared" si="0"/>
        <v>0.91141963515816737</v>
      </c>
      <c r="G38" s="13">
        <f t="shared" si="0"/>
        <v>0.90034735023490087</v>
      </c>
      <c r="H38" s="13">
        <f t="shared" si="0"/>
        <v>0.8895258814283169</v>
      </c>
    </row>
    <row r="39" spans="2:9" ht="14" x14ac:dyDescent="0.3">
      <c r="B39" s="4" t="s">
        <v>150</v>
      </c>
      <c r="C39" s="30">
        <v>5</v>
      </c>
      <c r="D39" s="13">
        <f t="shared" si="0"/>
        <v>1.8078770339735208</v>
      </c>
      <c r="E39" s="13">
        <f t="shared" si="0"/>
        <v>1.7749271771978816</v>
      </c>
      <c r="F39" s="13">
        <f t="shared" si="0"/>
        <v>1.7430260407724969</v>
      </c>
      <c r="G39" s="13">
        <f t="shared" si="0"/>
        <v>1.7121281021077785</v>
      </c>
      <c r="H39" s="13">
        <f t="shared" si="0"/>
        <v>1.6821902914115152</v>
      </c>
    </row>
    <row r="40" spans="2:9" ht="14" x14ac:dyDescent="0.3">
      <c r="B40" s="4" t="s">
        <v>151</v>
      </c>
      <c r="C40" s="30">
        <v>7</v>
      </c>
      <c r="D40" s="13">
        <f t="shared" si="0"/>
        <v>2.6250252818777446</v>
      </c>
      <c r="E40" s="13">
        <f t="shared" si="0"/>
        <v>2.5625882909403797</v>
      </c>
      <c r="F40" s="13">
        <f t="shared" si="0"/>
        <v>2.5026639697239181</v>
      </c>
      <c r="G40" s="13">
        <f t="shared" si="0"/>
        <v>2.4451179089705009</v>
      </c>
      <c r="H40" s="13">
        <f t="shared" si="0"/>
        <v>2.3898244385262011</v>
      </c>
    </row>
    <row r="41" spans="2:9" ht="14" x14ac:dyDescent="0.3">
      <c r="B41" s="4" t="s">
        <v>152</v>
      </c>
      <c r="C41" s="30">
        <v>10</v>
      </c>
      <c r="D41" s="13">
        <f t="shared" si="0"/>
        <v>3.7539212779224775</v>
      </c>
      <c r="E41" s="13">
        <f t="shared" si="0"/>
        <v>3.6350201530648043</v>
      </c>
      <c r="F41" s="13">
        <f t="shared" si="0"/>
        <v>3.5223409646419301</v>
      </c>
      <c r="G41" s="13">
        <f t="shared" si="0"/>
        <v>3.4154601961550104</v>
      </c>
      <c r="H41" s="13">
        <f t="shared" si="0"/>
        <v>3.3139887112644324</v>
      </c>
    </row>
    <row r="42" spans="2:9" ht="14" x14ac:dyDescent="0.3">
      <c r="B42" s="3" t="s">
        <v>153</v>
      </c>
    </row>
    <row r="43" spans="2:9" ht="14" x14ac:dyDescent="0.3">
      <c r="B43" s="4" t="s">
        <v>149</v>
      </c>
      <c r="C43" s="30">
        <v>3</v>
      </c>
      <c r="D43" s="13">
        <f t="shared" ref="D43:H46" si="1">IFERROR((1+D$36)/(D$36^2*$C43)*(1-($C43+1)/(1+D$36)^$C43+$C43/(1+D$36)^($C43+1))+(1+$C$12)/((D$36-$C$12)*(1+D$36)^$C43),"N/A")</f>
        <v>22.172923566990324</v>
      </c>
      <c r="E43" s="13">
        <f t="shared" si="1"/>
        <v>17.785929729788972</v>
      </c>
      <c r="F43" s="13">
        <f t="shared" si="1"/>
        <v>14.806689193982827</v>
      </c>
      <c r="G43" s="13">
        <f t="shared" si="1"/>
        <v>12.652379612337276</v>
      </c>
      <c r="H43" s="13">
        <f t="shared" si="1"/>
        <v>11.022850200148078</v>
      </c>
    </row>
    <row r="44" spans="2:9" ht="14" x14ac:dyDescent="0.3">
      <c r="B44" s="4" t="s">
        <v>150</v>
      </c>
      <c r="C44" s="30">
        <v>5</v>
      </c>
      <c r="D44" s="13">
        <f t="shared" si="1"/>
        <v>20.905573021582168</v>
      </c>
      <c r="E44" s="13">
        <f t="shared" si="1"/>
        <v>16.625317233629502</v>
      </c>
      <c r="F44" s="13">
        <f t="shared" si="1"/>
        <v>13.724334394104819</v>
      </c>
      <c r="G44" s="13">
        <f t="shared" si="1"/>
        <v>11.631320916302625</v>
      </c>
      <c r="H44" s="13">
        <f t="shared" si="1"/>
        <v>10.05207305513902</v>
      </c>
    </row>
    <row r="45" spans="2:9" ht="14" x14ac:dyDescent="0.3">
      <c r="B45" s="4" t="s">
        <v>151</v>
      </c>
      <c r="C45" s="30">
        <v>7</v>
      </c>
      <c r="D45" s="13">
        <f t="shared" si="1"/>
        <v>19.732892128856378</v>
      </c>
      <c r="E45" s="13">
        <f t="shared" si="1"/>
        <v>15.564425888810071</v>
      </c>
      <c r="F45" s="13">
        <f t="shared" si="1"/>
        <v>12.74669260818299</v>
      </c>
      <c r="G45" s="13">
        <f t="shared" si="1"/>
        <v>10.719728385459565</v>
      </c>
      <c r="H45" s="13">
        <f t="shared" si="1"/>
        <v>9.1952033471158146</v>
      </c>
    </row>
    <row r="46" spans="2:9" ht="14" x14ac:dyDescent="0.3">
      <c r="B46" s="4" t="s">
        <v>152</v>
      </c>
      <c r="C46" s="30">
        <v>10</v>
      </c>
      <c r="D46" s="13">
        <f t="shared" si="1"/>
        <v>18.134449919837166</v>
      </c>
      <c r="E46" s="13">
        <f t="shared" si="1"/>
        <v>14.13949670602055</v>
      </c>
      <c r="F46" s="13">
        <f t="shared" si="1"/>
        <v>11.452206793085391</v>
      </c>
      <c r="G46" s="13">
        <f t="shared" si="1"/>
        <v>9.5293454217646403</v>
      </c>
      <c r="H46" s="13">
        <f t="shared" si="1"/>
        <v>8.0913000248369364</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53924.166995034502</v>
      </c>
      <c r="E48" s="5">
        <f t="shared" si="2"/>
        <v>67257.05352667722</v>
      </c>
      <c r="F48" s="5">
        <f t="shared" si="2"/>
        <v>80827.574996683019</v>
      </c>
      <c r="G48" s="5">
        <f t="shared" si="2"/>
        <v>94633.228483060826</v>
      </c>
      <c r="H48" s="5">
        <f t="shared" si="2"/>
        <v>108671.52080342262</v>
      </c>
    </row>
    <row r="49" spans="2:9" ht="14" x14ac:dyDescent="0.3">
      <c r="B49" s="4" t="s">
        <v>150</v>
      </c>
      <c r="C49" s="30">
        <v>5</v>
      </c>
      <c r="D49" s="5">
        <f t="shared" si="2"/>
        <v>55129.879182737473</v>
      </c>
      <c r="E49" s="5">
        <f t="shared" si="2"/>
        <v>69421.15826329634</v>
      </c>
      <c r="F49" s="5">
        <f t="shared" si="2"/>
        <v>84209.843900802924</v>
      </c>
      <c r="G49" s="5">
        <f t="shared" si="2"/>
        <v>99494.271158766962</v>
      </c>
      <c r="H49" s="5">
        <f t="shared" si="2"/>
        <v>115272.55322533144</v>
      </c>
    </row>
    <row r="50" spans="2:9" ht="14" x14ac:dyDescent="0.3">
      <c r="B50" s="4" t="s">
        <v>151</v>
      </c>
      <c r="C50" s="30">
        <v>7</v>
      </c>
      <c r="D50" s="5">
        <f t="shared" si="2"/>
        <v>56361.273714045601</v>
      </c>
      <c r="E50" s="5">
        <f t="shared" si="2"/>
        <v>71654.045001332241</v>
      </c>
      <c r="F50" s="5">
        <f t="shared" si="2"/>
        <v>87725.747408430281</v>
      </c>
      <c r="G50" s="5">
        <f t="shared" si="2"/>
        <v>104578.65350758226</v>
      </c>
      <c r="H50" s="5">
        <f t="shared" si="2"/>
        <v>122214.27951796172</v>
      </c>
    </row>
    <row r="51" spans="2:9" ht="14" x14ac:dyDescent="0.3">
      <c r="B51" s="4" t="s">
        <v>152</v>
      </c>
      <c r="C51" s="30">
        <v>10</v>
      </c>
      <c r="D51" s="5">
        <f t="shared" si="2"/>
        <v>58255.202381623014</v>
      </c>
      <c r="E51" s="5">
        <f t="shared" si="2"/>
        <v>75129.787841222846</v>
      </c>
      <c r="F51" s="5">
        <f t="shared" si="2"/>
        <v>93245.040481985343</v>
      </c>
      <c r="G51" s="5">
        <f t="shared" si="2"/>
        <v>112614.16297557983</v>
      </c>
      <c r="H51" s="5">
        <f t="shared" si="2"/>
        <v>133248.0462956042</v>
      </c>
    </row>
    <row r="52" spans="2:9" ht="14" x14ac:dyDescent="0.3">
      <c r="B52" s="22" t="s">
        <v>155</v>
      </c>
      <c r="C52" s="23"/>
      <c r="D52" s="23"/>
      <c r="E52" s="23"/>
      <c r="F52" s="23"/>
      <c r="G52" s="23"/>
      <c r="H52" s="23"/>
      <c r="I52" s="23"/>
    </row>
    <row r="53" spans="2:9" ht="14" x14ac:dyDescent="0.3">
      <c r="B53" s="4" t="s">
        <v>149</v>
      </c>
      <c r="C53" s="30">
        <v>3</v>
      </c>
      <c r="D53" s="14">
        <f t="shared" ref="D53:H56" si="3">IFERROR(D48/$C$15,"N/A")</f>
        <v>0.88181987203863388</v>
      </c>
      <c r="E53" s="14">
        <f t="shared" si="3"/>
        <v>1.0998520633624507</v>
      </c>
      <c r="F53" s="14">
        <f t="shared" si="3"/>
        <v>1.3217702898837798</v>
      </c>
      <c r="G53" s="14">
        <f t="shared" si="3"/>
        <v>1.5475336214135635</v>
      </c>
      <c r="H53" s="14">
        <f t="shared" si="3"/>
        <v>1.7771012870341061</v>
      </c>
    </row>
    <row r="54" spans="2:9" ht="14" x14ac:dyDescent="0.3">
      <c r="B54" s="4" t="s">
        <v>150</v>
      </c>
      <c r="C54" s="30">
        <v>5</v>
      </c>
      <c r="D54" s="14">
        <f t="shared" si="3"/>
        <v>0.90153683803596796</v>
      </c>
      <c r="E54" s="14">
        <f t="shared" si="3"/>
        <v>1.135241586618311</v>
      </c>
      <c r="F54" s="14">
        <f t="shared" si="3"/>
        <v>1.3770804058936554</v>
      </c>
      <c r="G54" s="14">
        <f t="shared" si="3"/>
        <v>1.6270260692182787</v>
      </c>
      <c r="H54" s="14">
        <f t="shared" si="3"/>
        <v>1.8850477216289423</v>
      </c>
    </row>
    <row r="55" spans="2:9" ht="14" x14ac:dyDescent="0.3">
      <c r="B55" s="4" t="s">
        <v>151</v>
      </c>
      <c r="C55" s="30">
        <v>7</v>
      </c>
      <c r="D55" s="14">
        <f t="shared" si="3"/>
        <v>0.92167378643105757</v>
      </c>
      <c r="E55" s="14">
        <f t="shared" si="3"/>
        <v>1.17175589935295</v>
      </c>
      <c r="F55" s="14">
        <f t="shared" si="3"/>
        <v>1.4345758435418927</v>
      </c>
      <c r="G55" s="14">
        <f t="shared" si="3"/>
        <v>1.7101707822861811</v>
      </c>
      <c r="H55" s="14">
        <f t="shared" si="3"/>
        <v>1.9985655102608579</v>
      </c>
    </row>
    <row r="56" spans="2:9" ht="14" x14ac:dyDescent="0.3">
      <c r="B56" s="4" t="s">
        <v>152</v>
      </c>
      <c r="C56" s="30">
        <v>10</v>
      </c>
      <c r="D56" s="14">
        <f t="shared" si="3"/>
        <v>0.95264513060494538</v>
      </c>
      <c r="E56" s="14">
        <f t="shared" si="3"/>
        <v>1.2285945911141738</v>
      </c>
      <c r="F56" s="14">
        <f t="shared" si="3"/>
        <v>1.5248326353123471</v>
      </c>
      <c r="G56" s="14">
        <f t="shared" si="3"/>
        <v>1.8415751659920498</v>
      </c>
      <c r="H56" s="14">
        <f t="shared" si="3"/>
        <v>2.1790002828343642</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84209.843900802924</v>
      </c>
    </row>
    <row r="62" spans="2:9" ht="14" x14ac:dyDescent="0.3">
      <c r="B62" s="28" t="s">
        <v>159</v>
      </c>
      <c r="C62" s="28" t="s">
        <v>160</v>
      </c>
      <c r="D62" s="28" t="s">
        <v>161</v>
      </c>
    </row>
    <row r="63" spans="2:9" ht="14" x14ac:dyDescent="0.3">
      <c r="B63" s="31">
        <v>3.9399999999999998E-2</v>
      </c>
      <c r="C63" s="5">
        <f>IFERROR($C$60/B63,"N/A")</f>
        <v>2137305.6827614955</v>
      </c>
      <c r="D63" s="14">
        <f>IFERROR(C63/'DCF Model'!C17,"N/A")</f>
        <v>2.7118660257768004</v>
      </c>
    </row>
    <row r="64" spans="2:9" ht="14" x14ac:dyDescent="0.3">
      <c r="B64" s="31">
        <v>5.91E-2</v>
      </c>
      <c r="C64" s="5">
        <f>IFERROR($C$60/B64,"N/A")</f>
        <v>1424870.4551743304</v>
      </c>
      <c r="D64" s="14">
        <f>IFERROR(C64/'DCF Model'!C17,"N/A")</f>
        <v>1.8079106838512005</v>
      </c>
    </row>
    <row r="65" spans="2:9" ht="14" x14ac:dyDescent="0.3">
      <c r="B65" s="4" t="s">
        <v>162</v>
      </c>
      <c r="C65" s="5">
        <f>IFERROR($C$60/$C$18,"N/A")</f>
        <v>1069432.3807345775</v>
      </c>
      <c r="D65" s="14">
        <f>IFERROR(C65/'DCF Model'!C17,"N/A")</f>
        <v>1.3569221115963939</v>
      </c>
    </row>
    <row r="66" spans="2:9" ht="14" x14ac:dyDescent="0.3">
      <c r="B66" s="31">
        <v>9.8400000000000001E-2</v>
      </c>
      <c r="C66" s="5">
        <f>IFERROR($C$60/B66,"N/A")</f>
        <v>855791.09655287524</v>
      </c>
      <c r="D66" s="14">
        <f>IFERROR(C66/'DCF Model'!C17,"N/A")</f>
        <v>1.0858487948740441</v>
      </c>
    </row>
    <row r="67" spans="2:9" ht="14" x14ac:dyDescent="0.3">
      <c r="B67" s="31">
        <v>0.1181</v>
      </c>
      <c r="C67" s="5">
        <f>IFERROR($C$60/B67,"N/A")</f>
        <v>713038.47502796724</v>
      </c>
      <c r="D67" s="14">
        <f>IFERROR(C67/'DCF Model'!C17,"N/A")</f>
        <v>0.90472075711774724</v>
      </c>
    </row>
    <row r="69" spans="2:9" ht="14" x14ac:dyDescent="0.3">
      <c r="B69" s="8" t="s">
        <v>163</v>
      </c>
      <c r="C69" s="9"/>
      <c r="D69" s="9"/>
      <c r="E69" s="9"/>
      <c r="F69" s="9"/>
      <c r="G69" s="9"/>
      <c r="H69" s="9"/>
      <c r="I69" s="9"/>
    </row>
    <row r="70" spans="2:9" ht="13.5" x14ac:dyDescent="0.25">
      <c r="B70" s="6" t="s">
        <v>164</v>
      </c>
      <c r="C70" s="14">
        <f>IFERROR(C10/'Comps Analysis'!G5,"N/A")</f>
        <v>10.921420924135465</v>
      </c>
    </row>
    <row r="71" spans="2:9" ht="13.5" x14ac:dyDescent="0.25">
      <c r="B71" s="6" t="s">
        <v>165</v>
      </c>
      <c r="C71" s="14">
        <f>IFERROR(C10/'Comps Analysis'!F5,"N/A")</f>
        <v>1.1817147303525681</v>
      </c>
    </row>
    <row r="72" spans="2:9" ht="14" x14ac:dyDescent="0.3">
      <c r="B72" s="4" t="s">
        <v>166</v>
      </c>
      <c r="C72" s="14">
        <f>IFERROR(C10/(C25+'DCF Model'!G42),"N/A")</f>
        <v>7.8264496511537196</v>
      </c>
    </row>
    <row r="73" spans="2:9" ht="14" x14ac:dyDescent="0.3">
      <c r="B73" s="4" t="s">
        <v>167</v>
      </c>
      <c r="C73" s="14">
        <f>IFERROR(C10/(C60+'DCF Model'!G42),"N/A")</f>
        <v>7.4134576876334055</v>
      </c>
    </row>
    <row r="74" spans="2:9" ht="14" x14ac:dyDescent="0.3">
      <c r="B74" s="4" t="s">
        <v>168</v>
      </c>
      <c r="C74" s="14">
        <f>IFERROR('Comps Analysis'!D16,"N/A")</f>
        <v>10.212519524918216</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2,981 yen the market is paying for a steady-state operating profit of 84,210 mn JPY - 1.38x the FY2025 cycle peak of 61,151 mn - reached in 5 years and sustained for ever, against 49,380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77,581 mn, or 1.27x the peak. The base case supports an EV of only 611,359 mn, leaving 1,117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52.95232645334341</v>
      </c>
      <c r="D5" s="34">
        <f>CHOOSE('DCF Model'!$D$27,D25,D26,D27,D28,D29)</f>
        <v>55</v>
      </c>
      <c r="E5" s="34">
        <f>CHOOSE('DCF Model'!$D$27,E25,E26,E27,E28,E29)</f>
        <v>55</v>
      </c>
      <c r="F5" s="34">
        <f>CHOOSE('DCF Model'!$D$27,F25,F26,F27,F28,F29)</f>
        <v>55</v>
      </c>
      <c r="G5" s="34">
        <f>CHOOSE('DCF Model'!$D$27,G25,G26,G27,G28,G29)</f>
        <v>55</v>
      </c>
      <c r="H5" s="34">
        <f>CHOOSE('DCF Model'!$D$27,H25,H26,H27,H28,H29)</f>
        <v>55</v>
      </c>
    </row>
    <row r="6" spans="2:8" ht="14" x14ac:dyDescent="0.3">
      <c r="B6" s="33" t="s">
        <v>175</v>
      </c>
      <c r="C6" s="34">
        <f>C13/C10*365</f>
        <v>53.455007474993451</v>
      </c>
      <c r="D6" s="34">
        <f>CHOOSE('DCF Model'!$D$27,D32,D33,D34,D35,D36)</f>
        <v>50</v>
      </c>
      <c r="E6" s="34">
        <f>CHOOSE('DCF Model'!$D$27,E32,E33,E34,E35,E36)</f>
        <v>50</v>
      </c>
      <c r="F6" s="34">
        <f>CHOOSE('DCF Model'!$D$27,F32,F33,F34,F35,F36)</f>
        <v>50</v>
      </c>
      <c r="G6" s="34">
        <f>CHOOSE('DCF Model'!$D$27,G32,G33,G34,G35,G36)</f>
        <v>50</v>
      </c>
      <c r="H6" s="34">
        <f>CHOOSE('DCF Model'!$D$27,H32,H33,H34,H35,H36)</f>
        <v>50</v>
      </c>
    </row>
    <row r="7" spans="2:8" ht="14" x14ac:dyDescent="0.3">
      <c r="B7" s="33" t="s">
        <v>176</v>
      </c>
      <c r="C7" s="34">
        <f>C15/C10*365</f>
        <v>105.24486383182035</v>
      </c>
      <c r="D7" s="34">
        <f>CHOOSE('DCF Model'!$D$27,D39,D40,D41,D42,D43)</f>
        <v>112</v>
      </c>
      <c r="E7" s="34">
        <f>CHOOSE('DCF Model'!$D$27,E39,E40,E41,E42,E43)</f>
        <v>112</v>
      </c>
      <c r="F7" s="34">
        <f>CHOOSE('DCF Model'!$D$27,F39,F40,F41,F42,F43)</f>
        <v>112</v>
      </c>
      <c r="G7" s="34">
        <f>CHOOSE('DCF Model'!$D$27,G39,G40,G41,G42,G43)</f>
        <v>112</v>
      </c>
      <c r="H7" s="34">
        <f>CHOOSE('DCF Model'!$D$27,H39,H40,H41,H42,H43)</f>
        <v>112</v>
      </c>
    </row>
    <row r="8" spans="2:8" ht="14" x14ac:dyDescent="0.3">
      <c r="B8" s="8" t="s">
        <v>177</v>
      </c>
      <c r="C8" s="9"/>
      <c r="D8" s="9"/>
      <c r="E8" s="9"/>
      <c r="F8" s="9"/>
      <c r="G8" s="9"/>
      <c r="H8" s="9"/>
    </row>
    <row r="9" spans="2:8" ht="14" x14ac:dyDescent="0.3">
      <c r="B9" s="33" t="s">
        <v>31</v>
      </c>
      <c r="C9" s="35">
        <v>788131</v>
      </c>
      <c r="D9" s="35">
        <f>'DCF Model'!C33</f>
        <v>811774.93</v>
      </c>
      <c r="E9" s="35">
        <f>'DCF Model'!D33</f>
        <v>836128.17790000013</v>
      </c>
      <c r="F9" s="35">
        <f>'DCF Model'!E33</f>
        <v>857031.38234750007</v>
      </c>
      <c r="G9" s="35">
        <f>'DCF Model'!F33</f>
        <v>878457.16690618754</v>
      </c>
      <c r="H9" s="35">
        <f>'DCF Model'!G33</f>
        <v>900418.59607884218</v>
      </c>
    </row>
    <row r="10" spans="2:8" ht="14" x14ac:dyDescent="0.3">
      <c r="B10" s="33" t="s">
        <v>32</v>
      </c>
      <c r="C10" s="35">
        <v>519064</v>
      </c>
      <c r="D10" s="35">
        <f>'DCF Model'!C34</f>
        <v>534959.67887000006</v>
      </c>
      <c r="E10" s="35">
        <f>'DCF Model'!D34</f>
        <v>548500.08470240014</v>
      </c>
      <c r="F10" s="35">
        <f>'DCF Model'!E34</f>
        <v>559641.49267291755</v>
      </c>
      <c r="G10" s="35">
        <f>'DCF Model'!F34</f>
        <v>571875.61565592815</v>
      </c>
      <c r="H10" s="35">
        <f>'DCF Model'!G34</f>
        <v>585272.08745124738</v>
      </c>
    </row>
    <row r="11" spans="2:8" ht="14" x14ac:dyDescent="0.3">
      <c r="B11" s="8" t="s">
        <v>178</v>
      </c>
      <c r="C11" s="9"/>
      <c r="D11" s="9"/>
      <c r="E11" s="9"/>
      <c r="F11" s="9"/>
      <c r="G11" s="9"/>
      <c r="H11" s="9"/>
    </row>
    <row r="12" spans="2:8" ht="14" x14ac:dyDescent="0.3">
      <c r="B12" s="33" t="s">
        <v>179</v>
      </c>
      <c r="C12" s="35">
        <v>114338</v>
      </c>
      <c r="D12" s="35">
        <f t="shared" ref="D12:H13" si="0">D9*D5/365</f>
        <v>122322.24972602741</v>
      </c>
      <c r="E12" s="35">
        <f t="shared" si="0"/>
        <v>125991.91721780825</v>
      </c>
      <c r="F12" s="35">
        <f t="shared" si="0"/>
        <v>129141.71514825344</v>
      </c>
      <c r="G12" s="35">
        <f t="shared" si="0"/>
        <v>132370.25802695975</v>
      </c>
      <c r="H12" s="35">
        <f t="shared" si="0"/>
        <v>135679.51447763375</v>
      </c>
    </row>
    <row r="13" spans="2:8" ht="14" x14ac:dyDescent="0.3">
      <c r="B13" s="33" t="s">
        <v>180</v>
      </c>
      <c r="C13" s="35">
        <v>76018</v>
      </c>
      <c r="D13" s="35">
        <f t="shared" si="0"/>
        <v>73282.147790410978</v>
      </c>
      <c r="E13" s="35">
        <f t="shared" si="0"/>
        <v>75136.997904438365</v>
      </c>
      <c r="F13" s="35">
        <f t="shared" si="0"/>
        <v>76663.218174372261</v>
      </c>
      <c r="G13" s="35">
        <f t="shared" si="0"/>
        <v>78339.125432318935</v>
      </c>
      <c r="H13" s="35">
        <f t="shared" si="0"/>
        <v>80174.258554965389</v>
      </c>
    </row>
    <row r="14" spans="2:8" ht="14" x14ac:dyDescent="0.3">
      <c r="B14" s="33" t="s">
        <v>181</v>
      </c>
      <c r="C14" s="35">
        <f t="shared" ref="C14:H14" si="1">C12+C13</f>
        <v>190356</v>
      </c>
      <c r="D14" s="35">
        <f t="shared" si="1"/>
        <v>195604.39751643839</v>
      </c>
      <c r="E14" s="35">
        <f t="shared" si="1"/>
        <v>201128.9151222466</v>
      </c>
      <c r="F14" s="35">
        <f t="shared" si="1"/>
        <v>205804.9333226257</v>
      </c>
      <c r="G14" s="35">
        <f t="shared" si="1"/>
        <v>210709.38345927867</v>
      </c>
      <c r="H14" s="35">
        <f t="shared" si="1"/>
        <v>215853.77303259913</v>
      </c>
    </row>
    <row r="15" spans="2:8" ht="14" x14ac:dyDescent="0.3">
      <c r="B15" s="33" t="s">
        <v>182</v>
      </c>
      <c r="C15" s="35">
        <v>149668</v>
      </c>
      <c r="D15" s="35">
        <f>D10*D7/365</f>
        <v>164152.01105052058</v>
      </c>
      <c r="E15" s="35">
        <f>E10*E7/365</f>
        <v>168306.87530594197</v>
      </c>
      <c r="F15" s="35">
        <f>F10*F7/365</f>
        <v>171725.60871059389</v>
      </c>
      <c r="G15" s="35">
        <f>G10*G7/365</f>
        <v>175479.64096839441</v>
      </c>
      <c r="H15" s="35">
        <f>H10*H7/365</f>
        <v>179590.33916312247</v>
      </c>
    </row>
    <row r="16" spans="2:8" ht="14" x14ac:dyDescent="0.3">
      <c r="B16" s="33" t="s">
        <v>183</v>
      </c>
      <c r="C16" s="35">
        <f t="shared" ref="C16:H16" si="2">C15</f>
        <v>149668</v>
      </c>
      <c r="D16" s="35">
        <f t="shared" si="2"/>
        <v>164152.01105052058</v>
      </c>
      <c r="E16" s="35">
        <f t="shared" si="2"/>
        <v>168306.87530594197</v>
      </c>
      <c r="F16" s="35">
        <f t="shared" si="2"/>
        <v>171725.60871059389</v>
      </c>
      <c r="G16" s="35">
        <f t="shared" si="2"/>
        <v>175479.64096839441</v>
      </c>
      <c r="H16" s="35">
        <f t="shared" si="2"/>
        <v>179590.33916312247</v>
      </c>
    </row>
    <row r="17" spans="2:8" ht="14" x14ac:dyDescent="0.3">
      <c r="B17" s="22" t="s">
        <v>184</v>
      </c>
      <c r="C17" s="23"/>
      <c r="D17" s="23"/>
      <c r="E17" s="23"/>
      <c r="F17" s="23"/>
      <c r="G17" s="23"/>
      <c r="H17" s="23"/>
    </row>
    <row r="18" spans="2:8" ht="14" x14ac:dyDescent="0.3">
      <c r="B18" s="33" t="s">
        <v>185</v>
      </c>
      <c r="C18" s="20">
        <f t="shared" ref="C18:H18" si="3">C14-C16</f>
        <v>40688</v>
      </c>
      <c r="D18" s="20">
        <f t="shared" si="3"/>
        <v>31452.386465917807</v>
      </c>
      <c r="E18" s="20">
        <f t="shared" si="3"/>
        <v>32822.039816304634</v>
      </c>
      <c r="F18" s="20">
        <f t="shared" si="3"/>
        <v>34079.324612031807</v>
      </c>
      <c r="G18" s="20">
        <f t="shared" si="3"/>
        <v>35229.742490884266</v>
      </c>
      <c r="H18" s="20">
        <f t="shared" si="3"/>
        <v>36263.433869476663</v>
      </c>
    </row>
    <row r="19" spans="2:8" ht="14" x14ac:dyDescent="0.3">
      <c r="B19" s="33" t="s">
        <v>94</v>
      </c>
      <c r="C19" s="36" t="s">
        <v>41</v>
      </c>
      <c r="D19" s="24">
        <f>D18-C18</f>
        <v>-9235.6135340821929</v>
      </c>
      <c r="E19" s="24">
        <f>E18-D18</f>
        <v>1369.6533503868268</v>
      </c>
      <c r="F19" s="24">
        <f>F18-E18</f>
        <v>1257.2847957271733</v>
      </c>
      <c r="G19" s="24">
        <f>G18-F18</f>
        <v>1150.4178788524587</v>
      </c>
      <c r="H19" s="24">
        <f>H18-G18</f>
        <v>1033.6913785923971</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55</v>
      </c>
      <c r="E25" s="30">
        <v>55</v>
      </c>
      <c r="F25" s="30">
        <v>55</v>
      </c>
      <c r="G25" s="30">
        <v>55</v>
      </c>
      <c r="H25" s="30">
        <v>55</v>
      </c>
    </row>
    <row r="26" spans="2:8" ht="14" x14ac:dyDescent="0.3">
      <c r="B26" s="4" t="s">
        <v>115</v>
      </c>
      <c r="D26" s="30">
        <v>53</v>
      </c>
      <c r="E26" s="30">
        <v>53</v>
      </c>
      <c r="F26" s="30">
        <v>53</v>
      </c>
      <c r="G26" s="30">
        <v>53</v>
      </c>
      <c r="H26" s="30">
        <v>53</v>
      </c>
    </row>
    <row r="27" spans="2:8" ht="14" x14ac:dyDescent="0.3">
      <c r="B27" s="4" t="s">
        <v>116</v>
      </c>
      <c r="D27" s="30">
        <v>55</v>
      </c>
      <c r="E27" s="30">
        <v>55</v>
      </c>
      <c r="F27" s="30">
        <v>55</v>
      </c>
      <c r="G27" s="30">
        <v>55</v>
      </c>
      <c r="H27" s="30">
        <v>55</v>
      </c>
    </row>
    <row r="28" spans="2:8" ht="14" x14ac:dyDescent="0.3">
      <c r="B28" s="4" t="s">
        <v>117</v>
      </c>
      <c r="D28" s="30">
        <v>58</v>
      </c>
      <c r="E28" s="30">
        <v>58</v>
      </c>
      <c r="F28" s="30">
        <v>58</v>
      </c>
      <c r="G28" s="30">
        <v>58</v>
      </c>
      <c r="H28" s="30">
        <v>58</v>
      </c>
    </row>
    <row r="29" spans="2:8" ht="14" x14ac:dyDescent="0.3">
      <c r="B29" s="4" t="s">
        <v>118</v>
      </c>
      <c r="D29" s="30">
        <v>61</v>
      </c>
      <c r="E29" s="30">
        <v>61</v>
      </c>
      <c r="F29" s="30">
        <v>61</v>
      </c>
      <c r="G29" s="30">
        <v>61</v>
      </c>
      <c r="H29" s="30">
        <v>61</v>
      </c>
    </row>
    <row r="31" spans="2:8" ht="14" x14ac:dyDescent="0.3">
      <c r="B31" s="3" t="s">
        <v>188</v>
      </c>
    </row>
    <row r="32" spans="2:8" ht="14" x14ac:dyDescent="0.3">
      <c r="B32" s="4" t="s">
        <v>78</v>
      </c>
      <c r="D32" s="30">
        <v>50</v>
      </c>
      <c r="E32" s="30">
        <v>50</v>
      </c>
      <c r="F32" s="30">
        <v>50</v>
      </c>
      <c r="G32" s="30">
        <v>50</v>
      </c>
      <c r="H32" s="30">
        <v>50</v>
      </c>
    </row>
    <row r="33" spans="2:8" ht="14" x14ac:dyDescent="0.3">
      <c r="B33" s="4" t="s">
        <v>115</v>
      </c>
      <c r="D33" s="30">
        <v>47</v>
      </c>
      <c r="E33" s="30">
        <v>47</v>
      </c>
      <c r="F33" s="30">
        <v>47</v>
      </c>
      <c r="G33" s="30">
        <v>47</v>
      </c>
      <c r="H33" s="30">
        <v>47</v>
      </c>
    </row>
    <row r="34" spans="2:8" ht="14" x14ac:dyDescent="0.3">
      <c r="B34" s="4" t="s">
        <v>116</v>
      </c>
      <c r="D34" s="30">
        <v>50</v>
      </c>
      <c r="E34" s="30">
        <v>50</v>
      </c>
      <c r="F34" s="30">
        <v>50</v>
      </c>
      <c r="G34" s="30">
        <v>50</v>
      </c>
      <c r="H34" s="30">
        <v>50</v>
      </c>
    </row>
    <row r="35" spans="2:8" ht="14" x14ac:dyDescent="0.3">
      <c r="B35" s="4" t="s">
        <v>117</v>
      </c>
      <c r="D35" s="30">
        <v>54</v>
      </c>
      <c r="E35" s="30">
        <v>54</v>
      </c>
      <c r="F35" s="30">
        <v>54</v>
      </c>
      <c r="G35" s="30">
        <v>54</v>
      </c>
      <c r="H35" s="30">
        <v>54</v>
      </c>
    </row>
    <row r="36" spans="2:8" ht="14" x14ac:dyDescent="0.3">
      <c r="B36" s="4" t="s">
        <v>118</v>
      </c>
      <c r="D36" s="30">
        <v>58</v>
      </c>
      <c r="E36" s="30">
        <v>58</v>
      </c>
      <c r="F36" s="30">
        <v>58</v>
      </c>
      <c r="G36" s="30">
        <v>58</v>
      </c>
      <c r="H36" s="30">
        <v>58</v>
      </c>
    </row>
    <row r="38" spans="2:8" ht="14" x14ac:dyDescent="0.3">
      <c r="B38" s="3" t="s">
        <v>189</v>
      </c>
    </row>
    <row r="39" spans="2:8" ht="14" x14ac:dyDescent="0.3">
      <c r="B39" s="4" t="s">
        <v>78</v>
      </c>
      <c r="D39" s="30">
        <v>112</v>
      </c>
      <c r="E39" s="30">
        <v>112</v>
      </c>
      <c r="F39" s="30">
        <v>112</v>
      </c>
      <c r="G39" s="30">
        <v>112</v>
      </c>
      <c r="H39" s="30">
        <v>112</v>
      </c>
    </row>
    <row r="40" spans="2:8" ht="14" x14ac:dyDescent="0.3">
      <c r="B40" s="4" t="s">
        <v>115</v>
      </c>
      <c r="D40" s="30">
        <v>115</v>
      </c>
      <c r="E40" s="30">
        <v>115</v>
      </c>
      <c r="F40" s="30">
        <v>115</v>
      </c>
      <c r="G40" s="30">
        <v>115</v>
      </c>
      <c r="H40" s="30">
        <v>115</v>
      </c>
    </row>
    <row r="41" spans="2:8" ht="14" x14ac:dyDescent="0.3">
      <c r="B41" s="4" t="s">
        <v>116</v>
      </c>
      <c r="D41" s="30">
        <v>112</v>
      </c>
      <c r="E41" s="30">
        <v>112</v>
      </c>
      <c r="F41" s="30">
        <v>112</v>
      </c>
      <c r="G41" s="30">
        <v>112</v>
      </c>
      <c r="H41" s="30">
        <v>112</v>
      </c>
    </row>
    <row r="42" spans="2:8" ht="14" x14ac:dyDescent="0.3">
      <c r="B42" s="4" t="s">
        <v>117</v>
      </c>
      <c r="D42" s="30">
        <v>108</v>
      </c>
      <c r="E42" s="30">
        <v>108</v>
      </c>
      <c r="F42" s="30">
        <v>108</v>
      </c>
      <c r="G42" s="30">
        <v>108</v>
      </c>
      <c r="H42" s="30">
        <v>108</v>
      </c>
    </row>
    <row r="43" spans="2:8" ht="14" x14ac:dyDescent="0.3">
      <c r="B43" s="4" t="s">
        <v>118</v>
      </c>
      <c r="D43" s="30">
        <v>103</v>
      </c>
      <c r="E43" s="30">
        <v>103</v>
      </c>
      <c r="F43" s="30">
        <v>103</v>
      </c>
      <c r="G43" s="30">
        <v>103</v>
      </c>
      <c r="H43" s="30">
        <v>103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854146.01214749995</v>
      </c>
      <c r="E5" s="37">
        <f>D5+C24</f>
        <v>931346.01214749995</v>
      </c>
      <c r="F5" s="37">
        <v>788131</v>
      </c>
      <c r="G5" s="37">
        <v>85277</v>
      </c>
      <c r="H5" s="37">
        <v>49380</v>
      </c>
      <c r="I5" s="37">
        <v>45380</v>
      </c>
      <c r="J5" s="38">
        <f t="shared" ref="J5:J10" si="0">IFERROR(E5/G5,"")</f>
        <v>10.921420924135465</v>
      </c>
      <c r="K5" s="38">
        <f t="shared" ref="K5:K10" si="1">IFERROR(E5/F5,"")</f>
        <v>1.1817147303525681</v>
      </c>
      <c r="L5" s="38">
        <f t="shared" ref="L5:L10" si="2">IFERROR(D5/I5,"")</f>
        <v>18.822080479230937</v>
      </c>
      <c r="M5" s="38">
        <f t="shared" ref="M5:M10" si="3">IFERROR(D5/P5,"")</f>
        <v>1.6515832614305215</v>
      </c>
      <c r="N5" s="39">
        <f t="shared" ref="N5:N10" si="4">IFERROR(H5/F5,"")</f>
        <v>6.2654558696460361E-2</v>
      </c>
      <c r="O5" s="39">
        <f t="shared" ref="O5:O10" si="5">IFERROR(I5/P5,"")</f>
        <v>8.7747115057389469E-2</v>
      </c>
      <c r="P5" s="37">
        <v>517168</v>
      </c>
    </row>
    <row r="6" spans="2:17" ht="14" x14ac:dyDescent="0.3">
      <c r="B6" s="4" t="s">
        <v>208</v>
      </c>
      <c r="C6" t="s">
        <v>209</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x14ac:dyDescent="0.3">
      <c r="B7" s="4" t="s">
        <v>210</v>
      </c>
      <c r="C7" t="s">
        <v>211</v>
      </c>
      <c r="D7" s="37">
        <v>1195303</v>
      </c>
      <c r="E7" s="37">
        <v>1238638</v>
      </c>
      <c r="F7" s="37">
        <v>1173688</v>
      </c>
      <c r="G7" s="37">
        <v>148261</v>
      </c>
      <c r="H7" s="37">
        <v>93307</v>
      </c>
      <c r="I7" s="37">
        <v>35076</v>
      </c>
      <c r="J7" s="38">
        <f t="shared" si="0"/>
        <v>8.3544425034230176</v>
      </c>
      <c r="K7" s="38">
        <f t="shared" si="1"/>
        <v>1.0553383863513983</v>
      </c>
      <c r="L7" s="38">
        <f t="shared" si="2"/>
        <v>34.077517390808531</v>
      </c>
      <c r="M7" s="38">
        <f t="shared" si="3"/>
        <v>1.5471475630513147</v>
      </c>
      <c r="N7" s="39">
        <f t="shared" si="4"/>
        <v>7.9498980989837167E-2</v>
      </c>
      <c r="O7" s="39">
        <f t="shared" si="5"/>
        <v>4.5400829682170893E-2</v>
      </c>
      <c r="P7" s="37">
        <v>772585</v>
      </c>
    </row>
    <row r="8" spans="2:17" ht="14" x14ac:dyDescent="0.3">
      <c r="B8" s="4" t="s">
        <v>212</v>
      </c>
      <c r="C8" t="s">
        <v>213</v>
      </c>
      <c r="D8" s="37">
        <v>809451</v>
      </c>
      <c r="E8" s="37">
        <v>703594</v>
      </c>
      <c r="F8" s="37">
        <v>486425</v>
      </c>
      <c r="G8" s="37">
        <v>73994</v>
      </c>
      <c r="H8" s="37">
        <v>45185</v>
      </c>
      <c r="I8" s="37">
        <v>44228</v>
      </c>
      <c r="J8" s="38">
        <f t="shared" si="0"/>
        <v>9.508798010649512</v>
      </c>
      <c r="K8" s="38">
        <f t="shared" si="1"/>
        <v>1.4464593719483991</v>
      </c>
      <c r="L8" s="38">
        <f t="shared" si="2"/>
        <v>18.301777154743601</v>
      </c>
      <c r="M8" s="38">
        <f t="shared" si="3"/>
        <v>1.3352870339821841</v>
      </c>
      <c r="N8" s="39">
        <f t="shared" si="4"/>
        <v>9.2892018296756945E-2</v>
      </c>
      <c r="O8" s="39">
        <f t="shared" si="5"/>
        <v>7.295941933355328E-2</v>
      </c>
      <c r="P8" s="37">
        <v>606200</v>
      </c>
    </row>
    <row r="9" spans="2:17" ht="14" x14ac:dyDescent="0.3">
      <c r="B9" s="4" t="s">
        <v>214</v>
      </c>
      <c r="C9" t="s">
        <v>215</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x14ac:dyDescent="0.3">
      <c r="B10" s="4" t="s">
        <v>216</v>
      </c>
      <c r="C10" t="s">
        <v>217</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x14ac:dyDescent="0.3">
      <c r="B14" s="3" t="s">
        <v>218</v>
      </c>
    </row>
    <row r="15" spans="2:17" ht="14" x14ac:dyDescent="0.3">
      <c r="B15" s="4" t="s">
        <v>219</v>
      </c>
      <c r="D15" s="38">
        <f t="shared" ref="D15:I15" si="6">PERCENTILE(J6:J10,0.25)</f>
        <v>9.508798010649512</v>
      </c>
      <c r="E15" s="38">
        <f t="shared" si="6"/>
        <v>1.2816373882564993</v>
      </c>
      <c r="F15" s="38">
        <f t="shared" si="6"/>
        <v>18.301777154743601</v>
      </c>
      <c r="G15" s="38">
        <f t="shared" si="6"/>
        <v>1.3352870339821841</v>
      </c>
      <c r="H15" s="39">
        <f t="shared" si="6"/>
        <v>7.9498980989837167E-2</v>
      </c>
      <c r="I15" s="39">
        <f t="shared" si="6"/>
        <v>4.5400829682170893E-2</v>
      </c>
    </row>
    <row r="16" spans="2:17" ht="14" x14ac:dyDescent="0.3">
      <c r="B16" s="4" t="s">
        <v>220</v>
      </c>
      <c r="D16" s="38">
        <f t="shared" ref="D16:I16" si="7">MEDIAN(J6:J10)</f>
        <v>10.212519524918216</v>
      </c>
      <c r="E16" s="38">
        <f t="shared" si="7"/>
        <v>1.3421536641751961</v>
      </c>
      <c r="F16" s="38">
        <f t="shared" si="7"/>
        <v>19.718879036636125</v>
      </c>
      <c r="G16" s="38">
        <f t="shared" si="7"/>
        <v>1.5471475630513147</v>
      </c>
      <c r="H16" s="39">
        <f t="shared" si="7"/>
        <v>8.6167579600741853E-2</v>
      </c>
      <c r="I16" s="39">
        <f t="shared" si="7"/>
        <v>7.295941933355328E-2</v>
      </c>
    </row>
    <row r="17" spans="2:9" ht="14" x14ac:dyDescent="0.3">
      <c r="B17" s="4" t="s">
        <v>221</v>
      </c>
      <c r="D17" s="38">
        <f t="shared" ref="D17:I17" si="8">PERCENTILE(J6:J10,0.75)</f>
        <v>11.133463435322977</v>
      </c>
      <c r="E17" s="38">
        <f t="shared" si="8"/>
        <v>1.4464593719483991</v>
      </c>
      <c r="F17" s="38">
        <f t="shared" si="8"/>
        <v>26.869285076685873</v>
      </c>
      <c r="G17" s="38">
        <f t="shared" si="8"/>
        <v>1.803079431013892</v>
      </c>
      <c r="H17" s="39">
        <f t="shared" si="8"/>
        <v>9.2892018296756945E-2</v>
      </c>
      <c r="I17" s="39">
        <f t="shared" si="8"/>
        <v>0.10984554057234135</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85277</v>
      </c>
    </row>
    <row r="22" spans="2:9" ht="14" x14ac:dyDescent="0.3">
      <c r="B22" s="4" t="s">
        <v>225</v>
      </c>
      <c r="C22" s="5">
        <v>45380</v>
      </c>
    </row>
    <row r="23" spans="2:9" ht="14" x14ac:dyDescent="0.3">
      <c r="B23" s="4" t="s">
        <v>226</v>
      </c>
      <c r="C23" s="15">
        <v>286578095</v>
      </c>
    </row>
    <row r="24" spans="2:9" ht="14" x14ac:dyDescent="0.3">
      <c r="B24" s="4" t="s">
        <v>67</v>
      </c>
      <c r="C24" s="5">
        <v>77200</v>
      </c>
    </row>
    <row r="26" spans="2:9" ht="14" x14ac:dyDescent="0.3">
      <c r="B26" s="3" t="s">
        <v>227</v>
      </c>
    </row>
    <row r="27" spans="2:9" ht="14" x14ac:dyDescent="0.3">
      <c r="B27" s="4" t="s">
        <v>228</v>
      </c>
      <c r="C27" s="24">
        <f>ROUND((C21*D16-C24)*1000000/C23,0)</f>
        <v>2770</v>
      </c>
    </row>
    <row r="28" spans="2:9" ht="14" x14ac:dyDescent="0.3">
      <c r="B28" s="4" t="s">
        <v>229</v>
      </c>
      <c r="C28" s="24">
        <f>ROUND(C22*F16*1000000/C23,0)</f>
        <v>3123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7.2474541452677912E-2</v>
      </c>
      <c r="E3" s="4" t="s">
        <v>232</v>
      </c>
      <c r="F3" s="16">
        <f>'DCF Model'!C13</f>
        <v>0.01</v>
      </c>
      <c r="H3" s="4" t="s">
        <v>233</v>
      </c>
      <c r="I3" s="14">
        <f>'DCF Model'!C14</f>
        <v>10.199999999999999</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5.7474541452677913E-2</v>
      </c>
      <c r="C7" s="37">
        <f>IFERROR(ROUND(('DCF Model'!C45/(1+$B7)^('DCF Model'!C19+0)+'DCF Model'!D45/(1+$B7)^('DCF Model'!C19+1)+'DCF Model'!E45/(1+$B7)^('DCF Model'!C19+2)+'DCF Model'!F45/(1+$B7)^('DCF Model'!C19+3)+'DCF Model'!G45/(1+$B7)^('DCF Model'!C19+4)+'DCF Model'!G45*(1+C$6)/($B7-C$6)/(1+$B7)^('DCF Model'!C19+4)-'DCF Model'!C16)*1000000/'DCF Model'!C15,0),"")</f>
        <v>2271</v>
      </c>
      <c r="D7" s="37">
        <f>IFERROR(ROUND(('DCF Model'!C45/(1+$B7)^('DCF Model'!C19+0)+'DCF Model'!D45/(1+$B7)^('DCF Model'!C19+1)+'DCF Model'!E45/(1+$B7)^('DCF Model'!C19+2)+'DCF Model'!F45/(1+$B7)^('DCF Model'!C19+3)+'DCF Model'!G45/(1+$B7)^('DCF Model'!C19+4)+'DCF Model'!G45*(1+D$6)/($B7-D$6)/(1+$B7)^('DCF Model'!C19+4)-'DCF Model'!C16)*1000000/'DCF Model'!C15,0),"")</f>
        <v>2384</v>
      </c>
      <c r="E7" s="37">
        <f>IFERROR(ROUND(('DCF Model'!C45/(1+$B7)^('DCF Model'!C19+0)+'DCF Model'!D45/(1+$B7)^('DCF Model'!C19+1)+'DCF Model'!E45/(1+$B7)^('DCF Model'!C19+2)+'DCF Model'!F45/(1+$B7)^('DCF Model'!C19+3)+'DCF Model'!G45/(1+$B7)^('DCF Model'!C19+4)+'DCF Model'!G45*(1+E$6)/($B7-E$6)/(1+$B7)^('DCF Model'!C19+4)-'DCF Model'!C16)*1000000/'DCF Model'!C15,0),"")</f>
        <v>2508</v>
      </c>
      <c r="F7" s="37">
        <f>IFERROR(ROUND(('DCF Model'!C45/(1+$B7)^('DCF Model'!C19+0)+'DCF Model'!D45/(1+$B7)^('DCF Model'!C19+1)+'DCF Model'!E45/(1+$B7)^('DCF Model'!C19+2)+'DCF Model'!F45/(1+$B7)^('DCF Model'!C19+3)+'DCF Model'!G45/(1+$B7)^('DCF Model'!C19+4)+'DCF Model'!G45*(1+F$6)/($B7-F$6)/(1+$B7)^('DCF Model'!C19+4)-'DCF Model'!C16)*1000000/'DCF Model'!C15,0),"")</f>
        <v>2646</v>
      </c>
      <c r="G7" s="37">
        <f>IFERROR(ROUND(('DCF Model'!C45/(1+$B7)^('DCF Model'!C19+0)+'DCF Model'!D45/(1+$B7)^('DCF Model'!C19+1)+'DCF Model'!E45/(1+$B7)^('DCF Model'!C19+2)+'DCF Model'!F45/(1+$B7)^('DCF Model'!C19+3)+'DCF Model'!G45/(1+$B7)^('DCF Model'!C19+4)+'DCF Model'!G45*(1+G$6)/($B7-G$6)/(1+$B7)^('DCF Model'!C19+4)-'DCF Model'!C16)*1000000/'DCF Model'!C15,0),"")</f>
        <v>2799</v>
      </c>
      <c r="H7" s="37">
        <f>IFERROR(ROUND(('DCF Model'!C45/(1+$B7)^('DCF Model'!C19+0)+'DCF Model'!D45/(1+$B7)^('DCF Model'!C19+1)+'DCF Model'!E45/(1+$B7)^('DCF Model'!C19+2)+'DCF Model'!F45/(1+$B7)^('DCF Model'!C19+3)+'DCF Model'!G45/(1+$B7)^('DCF Model'!C19+4)+'DCF Model'!G45*(1+H$6)/($B7-H$6)/(1+$B7)^('DCF Model'!C19+4)-'DCF Model'!C16)*1000000/'DCF Model'!C15,0),"")</f>
        <v>2969</v>
      </c>
      <c r="I7" s="37">
        <f>IFERROR(ROUND(('DCF Model'!C45/(1+$B7)^('DCF Model'!C19+0)+'DCF Model'!D45/(1+$B7)^('DCF Model'!C19+1)+'DCF Model'!E45/(1+$B7)^('DCF Model'!C19+2)+'DCF Model'!F45/(1+$B7)^('DCF Model'!C19+3)+'DCF Model'!G45/(1+$B7)^('DCF Model'!C19+4)+'DCF Model'!G45*(1+I$6)/($B7-I$6)/(1+$B7)^('DCF Model'!C19+4)-'DCF Model'!C16)*1000000/'DCF Model'!C15,0),"")</f>
        <v>3161</v>
      </c>
    </row>
    <row r="8" spans="2:9" ht="13.5" x14ac:dyDescent="0.25">
      <c r="B8" s="39">
        <f>$C$3-0.01</f>
        <v>6.2474541452677911E-2</v>
      </c>
      <c r="C8" s="37">
        <f>IFERROR(ROUND(('DCF Model'!C45/(1+$B8)^('DCF Model'!C19+0)+'DCF Model'!D45/(1+$B8)^('DCF Model'!C19+1)+'DCF Model'!E45/(1+$B8)^('DCF Model'!C19+2)+'DCF Model'!F45/(1+$B8)^('DCF Model'!C19+3)+'DCF Model'!G45/(1+$B8)^('DCF Model'!C19+4)+'DCF Model'!G45*(1+C$6)/($B8-C$6)/(1+$B8)^('DCF Model'!C19+4)-'DCF Model'!C16)*1000000/'DCF Model'!C15,0),"")</f>
        <v>2030</v>
      </c>
      <c r="D8" s="37">
        <f>IFERROR(ROUND(('DCF Model'!C45/(1+$B8)^('DCF Model'!C19+0)+'DCF Model'!D45/(1+$B8)^('DCF Model'!C19+1)+'DCF Model'!E45/(1+$B8)^('DCF Model'!C19+2)+'DCF Model'!F45/(1+$B8)^('DCF Model'!C19+3)+'DCF Model'!G45/(1+$B8)^('DCF Model'!C19+4)+'DCF Model'!G45*(1+D$6)/($B8-D$6)/(1+$B8)^('DCF Model'!C19+4)-'DCF Model'!C16)*1000000/'DCF Model'!C15,0),"")</f>
        <v>2123</v>
      </c>
      <c r="E8" s="37">
        <f>IFERROR(ROUND(('DCF Model'!C45/(1+$B8)^('DCF Model'!C19+0)+'DCF Model'!D45/(1+$B8)^('DCF Model'!C19+1)+'DCF Model'!E45/(1+$B8)^('DCF Model'!C19+2)+'DCF Model'!F45/(1+$B8)^('DCF Model'!C19+3)+'DCF Model'!G45/(1+$B8)^('DCF Model'!C19+4)+'DCF Model'!G45*(1+E$6)/($B8-E$6)/(1+$B8)^('DCF Model'!C19+4)-'DCF Model'!C16)*1000000/'DCF Model'!C15,0),"")</f>
        <v>2224</v>
      </c>
      <c r="F8" s="37">
        <f>IFERROR(ROUND(('DCF Model'!C45/(1+$B8)^('DCF Model'!C19+0)+'DCF Model'!D45/(1+$B8)^('DCF Model'!C19+1)+'DCF Model'!E45/(1+$B8)^('DCF Model'!C19+2)+'DCF Model'!F45/(1+$B8)^('DCF Model'!C19+3)+'DCF Model'!G45/(1+$B8)^('DCF Model'!C19+4)+'DCF Model'!G45*(1+F$6)/($B8-F$6)/(1+$B8)^('DCF Model'!C19+4)-'DCF Model'!C16)*1000000/'DCF Model'!C15,0),"")</f>
        <v>2335</v>
      </c>
      <c r="G8" s="37">
        <f>IFERROR(ROUND(('DCF Model'!C45/(1+$B8)^('DCF Model'!C19+0)+'DCF Model'!D45/(1+$B8)^('DCF Model'!C19+1)+'DCF Model'!E45/(1+$B8)^('DCF Model'!C19+2)+'DCF Model'!F45/(1+$B8)^('DCF Model'!C19+3)+'DCF Model'!G45/(1+$B8)^('DCF Model'!C19+4)+'DCF Model'!G45*(1+G$6)/($B8-G$6)/(1+$B8)^('DCF Model'!C19+4)-'DCF Model'!C16)*1000000/'DCF Model'!C15,0),"")</f>
        <v>2457</v>
      </c>
      <c r="H8" s="37">
        <f>IFERROR(ROUND(('DCF Model'!C45/(1+$B8)^('DCF Model'!C19+0)+'DCF Model'!D45/(1+$B8)^('DCF Model'!C19+1)+'DCF Model'!E45/(1+$B8)^('DCF Model'!C19+2)+'DCF Model'!F45/(1+$B8)^('DCF Model'!C19+3)+'DCF Model'!G45/(1+$B8)^('DCF Model'!C19+4)+'DCF Model'!G45*(1+H$6)/($B8-H$6)/(1+$B8)^('DCF Model'!C19+4)-'DCF Model'!C16)*1000000/'DCF Model'!C15,0),"")</f>
        <v>2592</v>
      </c>
      <c r="I8" s="37">
        <f>IFERROR(ROUND(('DCF Model'!C45/(1+$B8)^('DCF Model'!C19+0)+'DCF Model'!D45/(1+$B8)^('DCF Model'!C19+1)+'DCF Model'!E45/(1+$B8)^('DCF Model'!C19+2)+'DCF Model'!F45/(1+$B8)^('DCF Model'!C19+3)+'DCF Model'!G45/(1+$B8)^('DCF Model'!C19+4)+'DCF Model'!G45*(1+I$6)/($B8-I$6)/(1+$B8)^('DCF Model'!C19+4)-'DCF Model'!C16)*1000000/'DCF Model'!C15,0),"")</f>
        <v>2742</v>
      </c>
    </row>
    <row r="9" spans="2:9" ht="13.5" x14ac:dyDescent="0.25">
      <c r="B9" s="39">
        <f>$C$3-0.005</f>
        <v>6.7474541452677908E-2</v>
      </c>
      <c r="C9" s="37">
        <f>IFERROR(ROUND(('DCF Model'!C45/(1+$B9)^('DCF Model'!C19+0)+'DCF Model'!D45/(1+$B9)^('DCF Model'!C19+1)+'DCF Model'!E45/(1+$B9)^('DCF Model'!C19+2)+'DCF Model'!F45/(1+$B9)^('DCF Model'!C19+3)+'DCF Model'!G45/(1+$B9)^('DCF Model'!C19+4)+'DCF Model'!G45*(1+C$6)/($B9-C$6)/(1+$B9)^('DCF Model'!C19+4)-'DCF Model'!C16)*1000000/'DCF Model'!C15,0),"")</f>
        <v>1826</v>
      </c>
      <c r="D9" s="37">
        <f>IFERROR(ROUND(('DCF Model'!C45/(1+$B9)^('DCF Model'!C19+0)+'DCF Model'!D45/(1+$B9)^('DCF Model'!C19+1)+'DCF Model'!E45/(1+$B9)^('DCF Model'!C19+2)+'DCF Model'!F45/(1+$B9)^('DCF Model'!C19+3)+'DCF Model'!G45/(1+$B9)^('DCF Model'!C19+4)+'DCF Model'!G45*(1+D$6)/($B9-D$6)/(1+$B9)^('DCF Model'!C19+4)-'DCF Model'!C16)*1000000/'DCF Model'!C15,0),"")</f>
        <v>1904</v>
      </c>
      <c r="E9" s="37">
        <f>IFERROR(ROUND(('DCF Model'!C45/(1+$B9)^('DCF Model'!C19+0)+'DCF Model'!D45/(1+$B9)^('DCF Model'!C19+1)+'DCF Model'!E45/(1+$B9)^('DCF Model'!C19+2)+'DCF Model'!F45/(1+$B9)^('DCF Model'!C19+3)+'DCF Model'!G45/(1+$B9)^('DCF Model'!C19+4)+'DCF Model'!G45*(1+E$6)/($B9-E$6)/(1+$B9)^('DCF Model'!C19+4)-'DCF Model'!C16)*1000000/'DCF Model'!C15,0),"")</f>
        <v>1988</v>
      </c>
      <c r="F9" s="37">
        <f>IFERROR(ROUND(('DCF Model'!C45/(1+$B9)^('DCF Model'!C19+0)+'DCF Model'!D45/(1+$B9)^('DCF Model'!C19+1)+'DCF Model'!E45/(1+$B9)^('DCF Model'!C19+2)+'DCF Model'!F45/(1+$B9)^('DCF Model'!C19+3)+'DCF Model'!G45/(1+$B9)^('DCF Model'!C19+4)+'DCF Model'!G45*(1+F$6)/($B9-F$6)/(1+$B9)^('DCF Model'!C19+4)-'DCF Model'!C16)*1000000/'DCF Model'!C15,0),"")</f>
        <v>2079</v>
      </c>
      <c r="G9" s="37">
        <f>IFERROR(ROUND(('DCF Model'!C45/(1+$B9)^('DCF Model'!C19+0)+'DCF Model'!D45/(1+$B9)^('DCF Model'!C19+1)+'DCF Model'!E45/(1+$B9)^('DCF Model'!C19+2)+'DCF Model'!F45/(1+$B9)^('DCF Model'!C19+3)+'DCF Model'!G45/(1+$B9)^('DCF Model'!C19+4)+'DCF Model'!G45*(1+G$6)/($B9-G$6)/(1+$B9)^('DCF Model'!C19+4)-'DCF Model'!C16)*1000000/'DCF Model'!C15,0),"")</f>
        <v>2178</v>
      </c>
      <c r="H9" s="37">
        <f>IFERROR(ROUND(('DCF Model'!C45/(1+$B9)^('DCF Model'!C19+0)+'DCF Model'!D45/(1+$B9)^('DCF Model'!C19+1)+'DCF Model'!E45/(1+$B9)^('DCF Model'!C19+2)+'DCF Model'!F45/(1+$B9)^('DCF Model'!C19+3)+'DCF Model'!G45/(1+$B9)^('DCF Model'!C19+4)+'DCF Model'!G45*(1+H$6)/($B9-H$6)/(1+$B9)^('DCF Model'!C19+4)-'DCF Model'!C16)*1000000/'DCF Model'!C15,0),"")</f>
        <v>2287</v>
      </c>
      <c r="I9" s="37">
        <f>IFERROR(ROUND(('DCF Model'!C45/(1+$B9)^('DCF Model'!C19+0)+'DCF Model'!D45/(1+$B9)^('DCF Model'!C19+1)+'DCF Model'!E45/(1+$B9)^('DCF Model'!C19+2)+'DCF Model'!F45/(1+$B9)^('DCF Model'!C19+3)+'DCF Model'!G45/(1+$B9)^('DCF Model'!C19+4)+'DCF Model'!G45*(1+I$6)/($B9-I$6)/(1+$B9)^('DCF Model'!C19+4)-'DCF Model'!C16)*1000000/'DCF Model'!C15,0),"")</f>
        <v>2407</v>
      </c>
    </row>
    <row r="10" spans="2:9" ht="13.5" x14ac:dyDescent="0.25">
      <c r="B10" s="39">
        <f>$C$3</f>
        <v>7.2474541452677912E-2</v>
      </c>
      <c r="C10" s="37">
        <f>IFERROR(ROUND(('DCF Model'!C45/(1+$B10)^('DCF Model'!C19+0)+'DCF Model'!D45/(1+$B10)^('DCF Model'!C19+1)+'DCF Model'!E45/(1+$B10)^('DCF Model'!C19+2)+'DCF Model'!F45/(1+$B10)^('DCF Model'!C19+3)+'DCF Model'!G45/(1+$B10)^('DCF Model'!C19+4)+'DCF Model'!G45*(1+C$6)/($B10-C$6)/(1+$B10)^('DCF Model'!C19+4)-'DCF Model'!C16)*1000000/'DCF Model'!C15,0),"")</f>
        <v>1652</v>
      </c>
      <c r="D10" s="37">
        <f>IFERROR(ROUND(('DCF Model'!C45/(1+$B10)^('DCF Model'!C19+0)+'DCF Model'!D45/(1+$B10)^('DCF Model'!C19+1)+'DCF Model'!E45/(1+$B10)^('DCF Model'!C19+2)+'DCF Model'!F45/(1+$B10)^('DCF Model'!C19+3)+'DCF Model'!G45/(1+$B10)^('DCF Model'!C19+4)+'DCF Model'!G45*(1+D$6)/($B10-D$6)/(1+$B10)^('DCF Model'!C19+4)-'DCF Model'!C16)*1000000/'DCF Model'!C15,0),"")</f>
        <v>1718</v>
      </c>
      <c r="E10" s="37">
        <f>IFERROR(ROUND(('DCF Model'!C45/(1+$B10)^('DCF Model'!C19+0)+'DCF Model'!D45/(1+$B10)^('DCF Model'!C19+1)+'DCF Model'!E45/(1+$B10)^('DCF Model'!C19+2)+'DCF Model'!F45/(1+$B10)^('DCF Model'!C19+3)+'DCF Model'!G45/(1+$B10)^('DCF Model'!C19+4)+'DCF Model'!G45*(1+E$6)/($B10-E$6)/(1+$B10)^('DCF Model'!C19+4)-'DCF Model'!C16)*1000000/'DCF Model'!C15,0),"")</f>
        <v>1788</v>
      </c>
      <c r="F10" s="37">
        <f>IFERROR(ROUND(('DCF Model'!C45/(1+$B10)^('DCF Model'!C19+0)+'DCF Model'!D45/(1+$B10)^('DCF Model'!C19+1)+'DCF Model'!E45/(1+$B10)^('DCF Model'!C19+2)+'DCF Model'!F45/(1+$B10)^('DCF Model'!C19+3)+'DCF Model'!G45/(1+$B10)^('DCF Model'!C19+4)+'DCF Model'!G45*(1+F$6)/($B10-F$6)/(1+$B10)^('DCF Model'!C19+4)-'DCF Model'!C16)*1000000/'DCF Model'!C15,0),"")</f>
        <v>1864</v>
      </c>
      <c r="G10" s="37">
        <f>IFERROR(ROUND(('DCF Model'!C45/(1+$B10)^('DCF Model'!C19+0)+'DCF Model'!D45/(1+$B10)^('DCF Model'!C19+1)+'DCF Model'!E45/(1+$B10)^('DCF Model'!C19+2)+'DCF Model'!F45/(1+$B10)^('DCF Model'!C19+3)+'DCF Model'!G45/(1+$B10)^('DCF Model'!C19+4)+'DCF Model'!G45*(1+G$6)/($B10-G$6)/(1+$B10)^('DCF Model'!C19+4)-'DCF Model'!C16)*1000000/'DCF Model'!C15,0),"")</f>
        <v>1946</v>
      </c>
      <c r="H10" s="37">
        <f>IFERROR(ROUND(('DCF Model'!C45/(1+$B10)^('DCF Model'!C19+0)+'DCF Model'!D45/(1+$B10)^('DCF Model'!C19+1)+'DCF Model'!E45/(1+$B10)^('DCF Model'!C19+2)+'DCF Model'!F45/(1+$B10)^('DCF Model'!C19+3)+'DCF Model'!G45/(1+$B10)^('DCF Model'!C19+4)+'DCF Model'!G45*(1+H$6)/($B10-H$6)/(1+$B10)^('DCF Model'!C19+4)-'DCF Model'!C16)*1000000/'DCF Model'!C15,0),"")</f>
        <v>2036</v>
      </c>
      <c r="I10" s="37">
        <f>IFERROR(ROUND(('DCF Model'!C45/(1+$B10)^('DCF Model'!C19+0)+'DCF Model'!D45/(1+$B10)^('DCF Model'!C19+1)+'DCF Model'!E45/(1+$B10)^('DCF Model'!C19+2)+'DCF Model'!F45/(1+$B10)^('DCF Model'!C19+3)+'DCF Model'!G45/(1+$B10)^('DCF Model'!C19+4)+'DCF Model'!G45*(1+I$6)/($B10-I$6)/(1+$B10)^('DCF Model'!C19+4)-'DCF Model'!C16)*1000000/'DCF Model'!C15,0),"")</f>
        <v>2133</v>
      </c>
    </row>
    <row r="11" spans="2:9" ht="13.5" x14ac:dyDescent="0.25">
      <c r="B11" s="39">
        <f>$C$3+0.005</f>
        <v>7.7474541452677917E-2</v>
      </c>
      <c r="C11" s="37">
        <f>IFERROR(ROUND(('DCF Model'!C45/(1+$B11)^('DCF Model'!C19+0)+'DCF Model'!D45/(1+$B11)^('DCF Model'!C19+1)+'DCF Model'!E45/(1+$B11)^('DCF Model'!C19+2)+'DCF Model'!F45/(1+$B11)^('DCF Model'!C19+3)+'DCF Model'!G45/(1+$B11)^('DCF Model'!C19+4)+'DCF Model'!G45*(1+C$6)/($B11-C$6)/(1+$B11)^('DCF Model'!C19+4)-'DCF Model'!C16)*1000000/'DCF Model'!C15,0),"")</f>
        <v>1502</v>
      </c>
      <c r="D11" s="37">
        <f>IFERROR(ROUND(('DCF Model'!C45/(1+$B11)^('DCF Model'!C19+0)+'DCF Model'!D45/(1+$B11)^('DCF Model'!C19+1)+'DCF Model'!E45/(1+$B11)^('DCF Model'!C19+2)+'DCF Model'!F45/(1+$B11)^('DCF Model'!C19+3)+'DCF Model'!G45/(1+$B11)^('DCF Model'!C19+4)+'DCF Model'!G45*(1+D$6)/($B11-D$6)/(1+$B11)^('DCF Model'!C19+4)-'DCF Model'!C16)*1000000/'DCF Model'!C15,0),"")</f>
        <v>1558</v>
      </c>
      <c r="E11" s="37">
        <f>IFERROR(ROUND(('DCF Model'!C45/(1+$B11)^('DCF Model'!C19+0)+'DCF Model'!D45/(1+$B11)^('DCF Model'!C19+1)+'DCF Model'!E45/(1+$B11)^('DCF Model'!C19+2)+'DCF Model'!F45/(1+$B11)^('DCF Model'!C19+3)+'DCF Model'!G45/(1+$B11)^('DCF Model'!C19+4)+'DCF Model'!G45*(1+E$6)/($B11-E$6)/(1+$B11)^('DCF Model'!C19+4)-'DCF Model'!C16)*1000000/'DCF Model'!C15,0),"")</f>
        <v>1617</v>
      </c>
      <c r="F11" s="37">
        <f>IFERROR(ROUND(('DCF Model'!C45/(1+$B11)^('DCF Model'!C19+0)+'DCF Model'!D45/(1+$B11)^('DCF Model'!C19+1)+'DCF Model'!E45/(1+$B11)^('DCF Model'!C19+2)+'DCF Model'!F45/(1+$B11)^('DCF Model'!C19+3)+'DCF Model'!G45/(1+$B11)^('DCF Model'!C19+4)+'DCF Model'!G45*(1+F$6)/($B11-F$6)/(1+$B11)^('DCF Model'!C19+4)-'DCF Model'!C16)*1000000/'DCF Model'!C15,0),"")</f>
        <v>1681</v>
      </c>
      <c r="G11" s="37">
        <f>IFERROR(ROUND(('DCF Model'!C45/(1+$B11)^('DCF Model'!C19+0)+'DCF Model'!D45/(1+$B11)^('DCF Model'!C19+1)+'DCF Model'!E45/(1+$B11)^('DCF Model'!C19+2)+'DCF Model'!F45/(1+$B11)^('DCF Model'!C19+3)+'DCF Model'!G45/(1+$B11)^('DCF Model'!C19+4)+'DCF Model'!G45*(1+G$6)/($B11-G$6)/(1+$B11)^('DCF Model'!C19+4)-'DCF Model'!C16)*1000000/'DCF Model'!C15,0),"")</f>
        <v>1750</v>
      </c>
      <c r="H11" s="37">
        <f>IFERROR(ROUND(('DCF Model'!C45/(1+$B11)^('DCF Model'!C19+0)+'DCF Model'!D45/(1+$B11)^('DCF Model'!C19+1)+'DCF Model'!E45/(1+$B11)^('DCF Model'!C19+2)+'DCF Model'!F45/(1+$B11)^('DCF Model'!C19+3)+'DCF Model'!G45/(1+$B11)^('DCF Model'!C19+4)+'DCF Model'!G45*(1+H$6)/($B11-H$6)/(1+$B11)^('DCF Model'!C19+4)-'DCF Model'!C16)*1000000/'DCF Model'!C15,0),"")</f>
        <v>1825</v>
      </c>
      <c r="I11" s="37">
        <f>IFERROR(ROUND(('DCF Model'!C45/(1+$B11)^('DCF Model'!C19+0)+'DCF Model'!D45/(1+$B11)^('DCF Model'!C19+1)+'DCF Model'!E45/(1+$B11)^('DCF Model'!C19+2)+'DCF Model'!F45/(1+$B11)^('DCF Model'!C19+3)+'DCF Model'!G45/(1+$B11)^('DCF Model'!C19+4)+'DCF Model'!G45*(1+I$6)/($B11-I$6)/(1+$B11)^('DCF Model'!C19+4)-'DCF Model'!C16)*1000000/'DCF Model'!C15,0),"")</f>
        <v>1906</v>
      </c>
    </row>
    <row r="12" spans="2:9" ht="13.5" x14ac:dyDescent="0.25">
      <c r="B12" s="39">
        <f>$C$3+0.01</f>
        <v>8.2474541452677907E-2</v>
      </c>
      <c r="C12" s="37">
        <f>IFERROR(ROUND(('DCF Model'!C45/(1+$B12)^('DCF Model'!C19+0)+'DCF Model'!D45/(1+$B12)^('DCF Model'!C19+1)+'DCF Model'!E45/(1+$B12)^('DCF Model'!C19+2)+'DCF Model'!F45/(1+$B12)^('DCF Model'!C19+3)+'DCF Model'!G45/(1+$B12)^('DCF Model'!C19+4)+'DCF Model'!G45*(1+C$6)/($B12-C$6)/(1+$B12)^('DCF Model'!C19+4)-'DCF Model'!C16)*1000000/'DCF Model'!C15,0),"")</f>
        <v>1371</v>
      </c>
      <c r="D12" s="37">
        <f>IFERROR(ROUND(('DCF Model'!C45/(1+$B12)^('DCF Model'!C19+0)+'DCF Model'!D45/(1+$B12)^('DCF Model'!C19+1)+'DCF Model'!E45/(1+$B12)^('DCF Model'!C19+2)+'DCF Model'!F45/(1+$B12)^('DCF Model'!C19+3)+'DCF Model'!G45/(1+$B12)^('DCF Model'!C19+4)+'DCF Model'!G45*(1+D$6)/($B12-D$6)/(1+$B12)^('DCF Model'!C19+4)-'DCF Model'!C16)*1000000/'DCF Model'!C15,0),"")</f>
        <v>1419</v>
      </c>
      <c r="E12" s="37">
        <f>IFERROR(ROUND(('DCF Model'!C45/(1+$B12)^('DCF Model'!C19+0)+'DCF Model'!D45/(1+$B12)^('DCF Model'!C19+1)+'DCF Model'!E45/(1+$B12)^('DCF Model'!C19+2)+'DCF Model'!F45/(1+$B12)^('DCF Model'!C19+3)+'DCF Model'!G45/(1+$B12)^('DCF Model'!C19+4)+'DCF Model'!G45*(1+E$6)/($B12-E$6)/(1+$B12)^('DCF Model'!C19+4)-'DCF Model'!C16)*1000000/'DCF Model'!C15,0),"")</f>
        <v>1470</v>
      </c>
      <c r="F12" s="37">
        <f>IFERROR(ROUND(('DCF Model'!C45/(1+$B12)^('DCF Model'!C19+0)+'DCF Model'!D45/(1+$B12)^('DCF Model'!C19+1)+'DCF Model'!E45/(1+$B12)^('DCF Model'!C19+2)+'DCF Model'!F45/(1+$B12)^('DCF Model'!C19+3)+'DCF Model'!G45/(1+$B12)^('DCF Model'!C19+4)+'DCF Model'!G45*(1+F$6)/($B12-F$6)/(1+$B12)^('DCF Model'!C19+4)-'DCF Model'!C16)*1000000/'DCF Model'!C15,0),"")</f>
        <v>1525</v>
      </c>
      <c r="G12" s="37">
        <f>IFERROR(ROUND(('DCF Model'!C45/(1+$B12)^('DCF Model'!C19+0)+'DCF Model'!D45/(1+$B12)^('DCF Model'!C19+1)+'DCF Model'!E45/(1+$B12)^('DCF Model'!C19+2)+'DCF Model'!F45/(1+$B12)^('DCF Model'!C19+3)+'DCF Model'!G45/(1+$B12)^('DCF Model'!C19+4)+'DCF Model'!G45*(1+G$6)/($B12-G$6)/(1+$B12)^('DCF Model'!C19+4)-'DCF Model'!C16)*1000000/'DCF Model'!C15,0),"")</f>
        <v>1583</v>
      </c>
      <c r="H12" s="37">
        <f>IFERROR(ROUND(('DCF Model'!C45/(1+$B12)^('DCF Model'!C19+0)+'DCF Model'!D45/(1+$B12)^('DCF Model'!C19+1)+'DCF Model'!E45/(1+$B12)^('DCF Model'!C19+2)+'DCF Model'!F45/(1+$B12)^('DCF Model'!C19+3)+'DCF Model'!G45/(1+$B12)^('DCF Model'!C19+4)+'DCF Model'!G45*(1+H$6)/($B12-H$6)/(1+$B12)^('DCF Model'!C19+4)-'DCF Model'!C16)*1000000/'DCF Model'!C15,0),"")</f>
        <v>1646</v>
      </c>
      <c r="I12" s="37">
        <f>IFERROR(ROUND(('DCF Model'!C45/(1+$B12)^('DCF Model'!C19+0)+'DCF Model'!D45/(1+$B12)^('DCF Model'!C19+1)+'DCF Model'!E45/(1+$B12)^('DCF Model'!C19+2)+'DCF Model'!F45/(1+$B12)^('DCF Model'!C19+3)+'DCF Model'!G45/(1+$B12)^('DCF Model'!C19+4)+'DCF Model'!G45*(1+I$6)/($B12-I$6)/(1+$B12)^('DCF Model'!C19+4)-'DCF Model'!C16)*1000000/'DCF Model'!C15,0),"")</f>
        <v>1714</v>
      </c>
    </row>
    <row r="13" spans="2:9" ht="13.5" x14ac:dyDescent="0.25">
      <c r="B13" s="39">
        <f>$C$3+0.015</f>
        <v>8.7474541452677912E-2</v>
      </c>
      <c r="C13" s="37">
        <f>IFERROR(ROUND(('DCF Model'!C45/(1+$B13)^('DCF Model'!C19+0)+'DCF Model'!D45/(1+$B13)^('DCF Model'!C19+1)+'DCF Model'!E45/(1+$B13)^('DCF Model'!C19+2)+'DCF Model'!F45/(1+$B13)^('DCF Model'!C19+3)+'DCF Model'!G45/(1+$B13)^('DCF Model'!C19+4)+'DCF Model'!G45*(1+C$6)/($B13-C$6)/(1+$B13)^('DCF Model'!C19+4)-'DCF Model'!C16)*1000000/'DCF Model'!C15,0),"")</f>
        <v>1256</v>
      </c>
      <c r="D13" s="37">
        <f>IFERROR(ROUND(('DCF Model'!C45/(1+$B13)^('DCF Model'!C19+0)+'DCF Model'!D45/(1+$B13)^('DCF Model'!C19+1)+'DCF Model'!E45/(1+$B13)^('DCF Model'!C19+2)+'DCF Model'!F45/(1+$B13)^('DCF Model'!C19+3)+'DCF Model'!G45/(1+$B13)^('DCF Model'!C19+4)+'DCF Model'!G45*(1+D$6)/($B13-D$6)/(1+$B13)^('DCF Model'!C19+4)-'DCF Model'!C16)*1000000/'DCF Model'!C15,0),"")</f>
        <v>1297</v>
      </c>
      <c r="E13" s="37">
        <f>IFERROR(ROUND(('DCF Model'!C45/(1+$B13)^('DCF Model'!C19+0)+'DCF Model'!D45/(1+$B13)^('DCF Model'!C19+1)+'DCF Model'!E45/(1+$B13)^('DCF Model'!C19+2)+'DCF Model'!F45/(1+$B13)^('DCF Model'!C19+3)+'DCF Model'!G45/(1+$B13)^('DCF Model'!C19+4)+'DCF Model'!G45*(1+E$6)/($B13-E$6)/(1+$B13)^('DCF Model'!C19+4)-'DCF Model'!C16)*1000000/'DCF Model'!C15,0),"")</f>
        <v>1341</v>
      </c>
      <c r="F13" s="37">
        <f>IFERROR(ROUND(('DCF Model'!C45/(1+$B13)^('DCF Model'!C19+0)+'DCF Model'!D45/(1+$B13)^('DCF Model'!C19+1)+'DCF Model'!E45/(1+$B13)^('DCF Model'!C19+2)+'DCF Model'!F45/(1+$B13)^('DCF Model'!C19+3)+'DCF Model'!G45/(1+$B13)^('DCF Model'!C19+4)+'DCF Model'!G45*(1+F$6)/($B13-F$6)/(1+$B13)^('DCF Model'!C19+4)-'DCF Model'!C16)*1000000/'DCF Model'!C15,0),"")</f>
        <v>1388</v>
      </c>
      <c r="G13" s="37">
        <f>IFERROR(ROUND(('DCF Model'!C45/(1+$B13)^('DCF Model'!C19+0)+'DCF Model'!D45/(1+$B13)^('DCF Model'!C19+1)+'DCF Model'!E45/(1+$B13)^('DCF Model'!C19+2)+'DCF Model'!F45/(1+$B13)^('DCF Model'!C19+3)+'DCF Model'!G45/(1+$B13)^('DCF Model'!C19+4)+'DCF Model'!G45*(1+G$6)/($B13-G$6)/(1+$B13)^('DCF Model'!C19+4)-'DCF Model'!C16)*1000000/'DCF Model'!C15,0),"")</f>
        <v>1439</v>
      </c>
      <c r="H13" s="37">
        <f>IFERROR(ROUND(('DCF Model'!C45/(1+$B13)^('DCF Model'!C19+0)+'DCF Model'!D45/(1+$B13)^('DCF Model'!C19+1)+'DCF Model'!E45/(1+$B13)^('DCF Model'!C19+2)+'DCF Model'!F45/(1+$B13)^('DCF Model'!C19+3)+'DCF Model'!G45/(1+$B13)^('DCF Model'!C19+4)+'DCF Model'!G45*(1+H$6)/($B13-H$6)/(1+$B13)^('DCF Model'!C19+4)-'DCF Model'!C16)*1000000/'DCF Model'!C15,0),"")</f>
        <v>1492</v>
      </c>
      <c r="I13" s="37">
        <f>IFERROR(ROUND(('DCF Model'!C45/(1+$B13)^('DCF Model'!C19+0)+'DCF Model'!D45/(1+$B13)^('DCF Model'!C19+1)+'DCF Model'!E45/(1+$B13)^('DCF Model'!C19+2)+'DCF Model'!F45/(1+$B13)^('DCF Model'!C19+3)+'DCF Model'!G45/(1+$B13)^('DCF Model'!C19+4)+'DCF Model'!G45*(1+I$6)/($B13-I$6)/(1+$B13)^('DCF Model'!C19+4)-'DCF Model'!C16)*1000000/'DCF Model'!C15,0),"")</f>
        <v>1550</v>
      </c>
    </row>
    <row r="16" spans="2:9" ht="14" x14ac:dyDescent="0.3">
      <c r="B16" s="3" t="s">
        <v>236</v>
      </c>
    </row>
    <row r="17" spans="2:9" ht="14" x14ac:dyDescent="0.3">
      <c r="B17" s="40" t="s">
        <v>237</v>
      </c>
      <c r="C17" s="42">
        <f>$I$3-3</f>
        <v>7.1999999999999993</v>
      </c>
      <c r="D17" s="42">
        <f>$I$3-2</f>
        <v>8.1999999999999993</v>
      </c>
      <c r="E17" s="42">
        <f>$I$3-1</f>
        <v>9.1999999999999993</v>
      </c>
      <c r="F17" s="42">
        <f>$I$3</f>
        <v>10.199999999999999</v>
      </c>
      <c r="G17" s="42">
        <f>$I$3+1</f>
        <v>11.2</v>
      </c>
      <c r="H17" s="42">
        <f>$I$3+2</f>
        <v>12.2</v>
      </c>
      <c r="I17" s="42">
        <f>$I$3+3</f>
        <v>13.2</v>
      </c>
    </row>
    <row r="18" spans="2:9" ht="13.5" x14ac:dyDescent="0.25">
      <c r="B18" s="39">
        <f>$C$3-0.015</f>
        <v>5.7474541452677913E-2</v>
      </c>
      <c r="C18" s="37">
        <f>IFERROR(ROUND(('DCF Model'!C45/(1+$B18)^('DCF Model'!C19+0)+'DCF Model'!D45/(1+$B18)^('DCF Model'!C19+1)+'DCF Model'!E45/(1+$B18)^('DCF Model'!C19+2)+'DCF Model'!F45/(1+$B18)^('DCF Model'!C19+3)+'DCF Model'!G45/(1+$B18)^('DCF Model'!C19+4)+('DCF Model'!G39+'DCF Model'!G42)*C$17/(1+$B18)^('DCF Model'!C19+4)-'DCF Model'!C16)*1000000/'DCF Model'!C15,0),"")</f>
        <v>2092</v>
      </c>
      <c r="D18" s="37">
        <f>IFERROR(ROUND(('DCF Model'!C45/(1+$B18)^('DCF Model'!C19+0)+'DCF Model'!D45/(1+$B18)^('DCF Model'!C19+1)+'DCF Model'!E45/(1+$B18)^('DCF Model'!C19+2)+'DCF Model'!F45/(1+$B18)^('DCF Model'!C19+3)+'DCF Model'!G45/(1+$B18)^('DCF Model'!C19+4)+('DCF Model'!G39+'DCF Model'!G42)*D$17/(1+$B18)^('DCF Model'!C19+4)-'DCF Model'!C16)*1000000/'DCF Model'!C15,0),"")</f>
        <v>2380</v>
      </c>
      <c r="E18" s="37">
        <f>IFERROR(ROUND(('DCF Model'!C45/(1+$B18)^('DCF Model'!C19+0)+'DCF Model'!D45/(1+$B18)^('DCF Model'!C19+1)+'DCF Model'!E45/(1+$B18)^('DCF Model'!C19+2)+'DCF Model'!F45/(1+$B18)^('DCF Model'!C19+3)+'DCF Model'!G45/(1+$B18)^('DCF Model'!C19+4)+('DCF Model'!G39+'DCF Model'!G42)*E$17/(1+$B18)^('DCF Model'!C19+4)-'DCF Model'!C16)*1000000/'DCF Model'!C15,0),"")</f>
        <v>2667</v>
      </c>
      <c r="F18" s="37">
        <f>IFERROR(ROUND(('DCF Model'!C45/(1+$B18)^('DCF Model'!C19+0)+'DCF Model'!D45/(1+$B18)^('DCF Model'!C19+1)+'DCF Model'!E45/(1+$B18)^('DCF Model'!C19+2)+'DCF Model'!F45/(1+$B18)^('DCF Model'!C19+3)+'DCF Model'!G45/(1+$B18)^('DCF Model'!C19+4)+('DCF Model'!G39+'DCF Model'!G42)*F$17/(1+$B18)^('DCF Model'!C19+4)-'DCF Model'!C16)*1000000/'DCF Model'!C15,0),"")</f>
        <v>2955</v>
      </c>
      <c r="G18" s="37">
        <f>IFERROR(ROUND(('DCF Model'!C45/(1+$B18)^('DCF Model'!C19+0)+'DCF Model'!D45/(1+$B18)^('DCF Model'!C19+1)+'DCF Model'!E45/(1+$B18)^('DCF Model'!C19+2)+'DCF Model'!F45/(1+$B18)^('DCF Model'!C19+3)+'DCF Model'!G45/(1+$B18)^('DCF Model'!C19+4)+('DCF Model'!G39+'DCF Model'!G42)*G$17/(1+$B18)^('DCF Model'!C19+4)-'DCF Model'!C16)*1000000/'DCF Model'!C15,0),"")</f>
        <v>3242</v>
      </c>
      <c r="H18" s="37">
        <f>IFERROR(ROUND(('DCF Model'!C45/(1+$B18)^('DCF Model'!C19+0)+'DCF Model'!D45/(1+$B18)^('DCF Model'!C19+1)+'DCF Model'!E45/(1+$B18)^('DCF Model'!C19+2)+'DCF Model'!F45/(1+$B18)^('DCF Model'!C19+3)+'DCF Model'!G45/(1+$B18)^('DCF Model'!C19+4)+('DCF Model'!G39+'DCF Model'!G42)*H$17/(1+$B18)^('DCF Model'!C19+4)-'DCF Model'!C16)*1000000/'DCF Model'!C15,0),"")</f>
        <v>3530</v>
      </c>
      <c r="I18" s="37">
        <f>IFERROR(ROUND(('DCF Model'!C45/(1+$B18)^('DCF Model'!C19+0)+'DCF Model'!D45/(1+$B18)^('DCF Model'!C19+1)+'DCF Model'!E45/(1+$B18)^('DCF Model'!C19+2)+'DCF Model'!F45/(1+$B18)^('DCF Model'!C19+3)+'DCF Model'!G45/(1+$B18)^('DCF Model'!C19+4)+('DCF Model'!G39+'DCF Model'!G42)*I$17/(1+$B18)^('DCF Model'!C19+4)-'DCF Model'!C16)*1000000/'DCF Model'!C15,0),"")</f>
        <v>3817</v>
      </c>
    </row>
    <row r="19" spans="2:9" ht="13.5" x14ac:dyDescent="0.25">
      <c r="B19" s="39">
        <f>$C$3-0.01</f>
        <v>6.2474541452677911E-2</v>
      </c>
      <c r="C19" s="37">
        <f>IFERROR(ROUND(('DCF Model'!C45/(1+$B19)^('DCF Model'!C19+0)+'DCF Model'!D45/(1+$B19)^('DCF Model'!C19+1)+'DCF Model'!E45/(1+$B19)^('DCF Model'!C19+2)+'DCF Model'!F45/(1+$B19)^('DCF Model'!C19+3)+'DCF Model'!G45/(1+$B19)^('DCF Model'!C19+4)+('DCF Model'!G39+'DCF Model'!G42)*C$17/(1+$B19)^('DCF Model'!C19+4)-'DCF Model'!C16)*1000000/'DCF Model'!C15,0),"")</f>
        <v>2038</v>
      </c>
      <c r="D19" s="37">
        <f>IFERROR(ROUND(('DCF Model'!C45/(1+$B19)^('DCF Model'!C19+0)+'DCF Model'!D45/(1+$B19)^('DCF Model'!C19+1)+'DCF Model'!E45/(1+$B19)^('DCF Model'!C19+2)+'DCF Model'!F45/(1+$B19)^('DCF Model'!C19+3)+'DCF Model'!G45/(1+$B19)^('DCF Model'!C19+4)+('DCF Model'!G39+'DCF Model'!G42)*D$17/(1+$B19)^('DCF Model'!C19+4)-'DCF Model'!C16)*1000000/'DCF Model'!C15,0),"")</f>
        <v>2319</v>
      </c>
      <c r="E19" s="37">
        <f>IFERROR(ROUND(('DCF Model'!C45/(1+$B19)^('DCF Model'!C19+0)+'DCF Model'!D45/(1+$B19)^('DCF Model'!C19+1)+'DCF Model'!E45/(1+$B19)^('DCF Model'!C19+2)+'DCF Model'!F45/(1+$B19)^('DCF Model'!C19+3)+'DCF Model'!G45/(1+$B19)^('DCF Model'!C19+4)+('DCF Model'!G39+'DCF Model'!G42)*E$17/(1+$B19)^('DCF Model'!C19+4)-'DCF Model'!C16)*1000000/'DCF Model'!C15,0),"")</f>
        <v>2600</v>
      </c>
      <c r="F19" s="37">
        <f>IFERROR(ROUND(('DCF Model'!C45/(1+$B19)^('DCF Model'!C19+0)+'DCF Model'!D45/(1+$B19)^('DCF Model'!C19+1)+'DCF Model'!E45/(1+$B19)^('DCF Model'!C19+2)+'DCF Model'!F45/(1+$B19)^('DCF Model'!C19+3)+'DCF Model'!G45/(1+$B19)^('DCF Model'!C19+4)+('DCF Model'!G39+'DCF Model'!G42)*F$17/(1+$B19)^('DCF Model'!C19+4)-'DCF Model'!C16)*1000000/'DCF Model'!C15,0),"")</f>
        <v>2881</v>
      </c>
      <c r="G19" s="37">
        <f>IFERROR(ROUND(('DCF Model'!C45/(1+$B19)^('DCF Model'!C19+0)+'DCF Model'!D45/(1+$B19)^('DCF Model'!C19+1)+'DCF Model'!E45/(1+$B19)^('DCF Model'!C19+2)+'DCF Model'!F45/(1+$B19)^('DCF Model'!C19+3)+'DCF Model'!G45/(1+$B19)^('DCF Model'!C19+4)+('DCF Model'!G39+'DCF Model'!G42)*G$17/(1+$B19)^('DCF Model'!C19+4)-'DCF Model'!C16)*1000000/'DCF Model'!C15,0),"")</f>
        <v>3162</v>
      </c>
      <c r="H19" s="37">
        <f>IFERROR(ROUND(('DCF Model'!C45/(1+$B19)^('DCF Model'!C19+0)+'DCF Model'!D45/(1+$B19)^('DCF Model'!C19+1)+'DCF Model'!E45/(1+$B19)^('DCF Model'!C19+2)+'DCF Model'!F45/(1+$B19)^('DCF Model'!C19+3)+'DCF Model'!G45/(1+$B19)^('DCF Model'!C19+4)+('DCF Model'!G39+'DCF Model'!G42)*H$17/(1+$B19)^('DCF Model'!C19+4)-'DCF Model'!C16)*1000000/'DCF Model'!C15,0),"")</f>
        <v>3442</v>
      </c>
      <c r="I19" s="37">
        <f>IFERROR(ROUND(('DCF Model'!C45/(1+$B19)^('DCF Model'!C19+0)+'DCF Model'!D45/(1+$B19)^('DCF Model'!C19+1)+'DCF Model'!E45/(1+$B19)^('DCF Model'!C19+2)+'DCF Model'!F45/(1+$B19)^('DCF Model'!C19+3)+'DCF Model'!G45/(1+$B19)^('DCF Model'!C19+4)+('DCF Model'!G39+'DCF Model'!G42)*I$17/(1+$B19)^('DCF Model'!C19+4)-'DCF Model'!C16)*1000000/'DCF Model'!C15,0),"")</f>
        <v>3723</v>
      </c>
    </row>
    <row r="20" spans="2:9" ht="13.5" x14ac:dyDescent="0.25">
      <c r="B20" s="39">
        <f>$C$3-0.005</f>
        <v>6.7474541452677908E-2</v>
      </c>
      <c r="C20" s="37">
        <f>IFERROR(ROUND(('DCF Model'!C45/(1+$B20)^('DCF Model'!C19+0)+'DCF Model'!D45/(1+$B20)^('DCF Model'!C19+1)+'DCF Model'!E45/(1+$B20)^('DCF Model'!C19+2)+'DCF Model'!F45/(1+$B20)^('DCF Model'!C19+3)+'DCF Model'!G45/(1+$B20)^('DCF Model'!C19+4)+('DCF Model'!G39+'DCF Model'!G42)*C$17/(1+$B20)^('DCF Model'!C19+4)-'DCF Model'!C16)*1000000/'DCF Model'!C15,0),"")</f>
        <v>1986</v>
      </c>
      <c r="D20" s="37">
        <f>IFERROR(ROUND(('DCF Model'!C45/(1+$B20)^('DCF Model'!C19+0)+'DCF Model'!D45/(1+$B20)^('DCF Model'!C19+1)+'DCF Model'!E45/(1+$B20)^('DCF Model'!C19+2)+'DCF Model'!F45/(1+$B20)^('DCF Model'!C19+3)+'DCF Model'!G45/(1+$B20)^('DCF Model'!C19+4)+('DCF Model'!G39+'DCF Model'!G42)*D$17/(1+$B20)^('DCF Model'!C19+4)-'DCF Model'!C16)*1000000/'DCF Model'!C15,0),"")</f>
        <v>2260</v>
      </c>
      <c r="E20" s="37">
        <f>IFERROR(ROUND(('DCF Model'!C45/(1+$B20)^('DCF Model'!C19+0)+'DCF Model'!D45/(1+$B20)^('DCF Model'!C19+1)+'DCF Model'!E45/(1+$B20)^('DCF Model'!C19+2)+'DCF Model'!F45/(1+$B20)^('DCF Model'!C19+3)+'DCF Model'!G45/(1+$B20)^('DCF Model'!C19+4)+('DCF Model'!G39+'DCF Model'!G42)*E$17/(1+$B20)^('DCF Model'!C19+4)-'DCF Model'!C16)*1000000/'DCF Model'!C15,0),"")</f>
        <v>2535</v>
      </c>
      <c r="F20" s="37">
        <f>IFERROR(ROUND(('DCF Model'!C45/(1+$B20)^('DCF Model'!C19+0)+'DCF Model'!D45/(1+$B20)^('DCF Model'!C19+1)+'DCF Model'!E45/(1+$B20)^('DCF Model'!C19+2)+'DCF Model'!F45/(1+$B20)^('DCF Model'!C19+3)+'DCF Model'!G45/(1+$B20)^('DCF Model'!C19+4)+('DCF Model'!G39+'DCF Model'!G42)*F$17/(1+$B20)^('DCF Model'!C19+4)-'DCF Model'!C16)*1000000/'DCF Model'!C15,0),"")</f>
        <v>2809</v>
      </c>
      <c r="G20" s="37">
        <f>IFERROR(ROUND(('DCF Model'!C45/(1+$B20)^('DCF Model'!C19+0)+'DCF Model'!D45/(1+$B20)^('DCF Model'!C19+1)+'DCF Model'!E45/(1+$B20)^('DCF Model'!C19+2)+'DCF Model'!F45/(1+$B20)^('DCF Model'!C19+3)+'DCF Model'!G45/(1+$B20)^('DCF Model'!C19+4)+('DCF Model'!G39+'DCF Model'!G42)*G$17/(1+$B20)^('DCF Model'!C19+4)-'DCF Model'!C16)*1000000/'DCF Model'!C15,0),"")</f>
        <v>3083</v>
      </c>
      <c r="H20" s="37">
        <f>IFERROR(ROUND(('DCF Model'!C45/(1+$B20)^('DCF Model'!C19+0)+'DCF Model'!D45/(1+$B20)^('DCF Model'!C19+1)+'DCF Model'!E45/(1+$B20)^('DCF Model'!C19+2)+'DCF Model'!F45/(1+$B20)^('DCF Model'!C19+3)+'DCF Model'!G45/(1+$B20)^('DCF Model'!C19+4)+('DCF Model'!G39+'DCF Model'!G42)*H$17/(1+$B20)^('DCF Model'!C19+4)-'DCF Model'!C16)*1000000/'DCF Model'!C15,0),"")</f>
        <v>3357</v>
      </c>
      <c r="I20" s="37">
        <f>IFERROR(ROUND(('DCF Model'!C45/(1+$B20)^('DCF Model'!C19+0)+'DCF Model'!D45/(1+$B20)^('DCF Model'!C19+1)+'DCF Model'!E45/(1+$B20)^('DCF Model'!C19+2)+'DCF Model'!F45/(1+$B20)^('DCF Model'!C19+3)+'DCF Model'!G45/(1+$B20)^('DCF Model'!C19+4)+('DCF Model'!G39+'DCF Model'!G42)*I$17/(1+$B20)^('DCF Model'!C19+4)-'DCF Model'!C16)*1000000/'DCF Model'!C15,0),"")</f>
        <v>3632</v>
      </c>
    </row>
    <row r="21" spans="2:9" ht="13.5" x14ac:dyDescent="0.25">
      <c r="B21" s="39">
        <f>$C$3</f>
        <v>7.2474541452677912E-2</v>
      </c>
      <c r="C21" s="37">
        <f>IFERROR(ROUND(('DCF Model'!C45/(1+$B21)^('DCF Model'!C19+0)+'DCF Model'!D45/(1+$B21)^('DCF Model'!C19+1)+'DCF Model'!E45/(1+$B21)^('DCF Model'!C19+2)+'DCF Model'!F45/(1+$B21)^('DCF Model'!C19+3)+'DCF Model'!G45/(1+$B21)^('DCF Model'!C19+4)+('DCF Model'!G39+'DCF Model'!G42)*C$17/(1+$B21)^('DCF Model'!C19+4)-'DCF Model'!C16)*1000000/'DCF Model'!C15,0),"")</f>
        <v>1935</v>
      </c>
      <c r="D21" s="37">
        <f>IFERROR(ROUND(('DCF Model'!C45/(1+$B21)^('DCF Model'!C19+0)+'DCF Model'!D45/(1+$B21)^('DCF Model'!C19+1)+'DCF Model'!E45/(1+$B21)^('DCF Model'!C19+2)+'DCF Model'!F45/(1+$B21)^('DCF Model'!C19+3)+'DCF Model'!G45/(1+$B21)^('DCF Model'!C19+4)+('DCF Model'!G39+'DCF Model'!G42)*D$17/(1+$B21)^('DCF Model'!C19+4)-'DCF Model'!C16)*1000000/'DCF Model'!C15,0),"")</f>
        <v>2203</v>
      </c>
      <c r="E21" s="37">
        <f>IFERROR(ROUND(('DCF Model'!C45/(1+$B21)^('DCF Model'!C19+0)+'DCF Model'!D45/(1+$B21)^('DCF Model'!C19+1)+'DCF Model'!E45/(1+$B21)^('DCF Model'!C19+2)+'DCF Model'!F45/(1+$B21)^('DCF Model'!C19+3)+'DCF Model'!G45/(1+$B21)^('DCF Model'!C19+4)+('DCF Model'!G39+'DCF Model'!G42)*E$17/(1+$B21)^('DCF Model'!C19+4)-'DCF Model'!C16)*1000000/'DCF Model'!C15,0),"")</f>
        <v>2471</v>
      </c>
      <c r="F21" s="37">
        <f>IFERROR(ROUND(('DCF Model'!C45/(1+$B21)^('DCF Model'!C19+0)+'DCF Model'!D45/(1+$B21)^('DCF Model'!C19+1)+'DCF Model'!E45/(1+$B21)^('DCF Model'!C19+2)+'DCF Model'!F45/(1+$B21)^('DCF Model'!C19+3)+'DCF Model'!G45/(1+$B21)^('DCF Model'!C19+4)+('DCF Model'!G39+'DCF Model'!G42)*F$17/(1+$B21)^('DCF Model'!C19+4)-'DCF Model'!C16)*1000000/'DCF Model'!C15,0),"")</f>
        <v>2739</v>
      </c>
      <c r="G21" s="37">
        <f>IFERROR(ROUND(('DCF Model'!C45/(1+$B21)^('DCF Model'!C19+0)+'DCF Model'!D45/(1+$B21)^('DCF Model'!C19+1)+'DCF Model'!E45/(1+$B21)^('DCF Model'!C19+2)+'DCF Model'!F45/(1+$B21)^('DCF Model'!C19+3)+'DCF Model'!G45/(1+$B21)^('DCF Model'!C19+4)+('DCF Model'!G39+'DCF Model'!G42)*G$17/(1+$B21)^('DCF Model'!C19+4)-'DCF Model'!C16)*1000000/'DCF Model'!C15,0),"")</f>
        <v>3007</v>
      </c>
      <c r="H21" s="37">
        <f>IFERROR(ROUND(('DCF Model'!C45/(1+$B21)^('DCF Model'!C19+0)+'DCF Model'!D45/(1+$B21)^('DCF Model'!C19+1)+'DCF Model'!E45/(1+$B21)^('DCF Model'!C19+2)+'DCF Model'!F45/(1+$B21)^('DCF Model'!C19+3)+'DCF Model'!G45/(1+$B21)^('DCF Model'!C19+4)+('DCF Model'!G39+'DCF Model'!G42)*H$17/(1+$B21)^('DCF Model'!C19+4)-'DCF Model'!C16)*1000000/'DCF Model'!C15,0),"")</f>
        <v>3275</v>
      </c>
      <c r="I21" s="37">
        <f>IFERROR(ROUND(('DCF Model'!C45/(1+$B21)^('DCF Model'!C19+0)+'DCF Model'!D45/(1+$B21)^('DCF Model'!C19+1)+'DCF Model'!E45/(1+$B21)^('DCF Model'!C19+2)+'DCF Model'!F45/(1+$B21)^('DCF Model'!C19+3)+'DCF Model'!G45/(1+$B21)^('DCF Model'!C19+4)+('DCF Model'!G39+'DCF Model'!G42)*I$17/(1+$B21)^('DCF Model'!C19+4)-'DCF Model'!C16)*1000000/'DCF Model'!C15,0),"")</f>
        <v>3543</v>
      </c>
    </row>
    <row r="22" spans="2:9" ht="13.5" x14ac:dyDescent="0.25">
      <c r="B22" s="39">
        <f>$C$3+0.005</f>
        <v>7.7474541452677917E-2</v>
      </c>
      <c r="C22" s="37">
        <f>IFERROR(ROUND(('DCF Model'!C45/(1+$B22)^('DCF Model'!C19+0)+'DCF Model'!D45/(1+$B22)^('DCF Model'!C19+1)+'DCF Model'!E45/(1+$B22)^('DCF Model'!C19+2)+'DCF Model'!F45/(1+$B22)^('DCF Model'!C19+3)+'DCF Model'!G45/(1+$B22)^('DCF Model'!C19+4)+('DCF Model'!G39+'DCF Model'!G42)*C$17/(1+$B22)^('DCF Model'!C19+4)-'DCF Model'!C16)*1000000/'DCF Model'!C15,0),"")</f>
        <v>1885</v>
      </c>
      <c r="D22" s="37">
        <f>IFERROR(ROUND(('DCF Model'!C45/(1+$B22)^('DCF Model'!C19+0)+'DCF Model'!D45/(1+$B22)^('DCF Model'!C19+1)+'DCF Model'!E45/(1+$B22)^('DCF Model'!C19+2)+'DCF Model'!F45/(1+$B22)^('DCF Model'!C19+3)+'DCF Model'!G45/(1+$B22)^('DCF Model'!C19+4)+('DCF Model'!G39+'DCF Model'!G42)*D$17/(1+$B22)^('DCF Model'!C19+4)-'DCF Model'!C16)*1000000/'DCF Model'!C15,0),"")</f>
        <v>2147</v>
      </c>
      <c r="E22" s="37">
        <f>IFERROR(ROUND(('DCF Model'!C45/(1+$B22)^('DCF Model'!C19+0)+'DCF Model'!D45/(1+$B22)^('DCF Model'!C19+1)+'DCF Model'!E45/(1+$B22)^('DCF Model'!C19+2)+'DCF Model'!F45/(1+$B22)^('DCF Model'!C19+3)+'DCF Model'!G45/(1+$B22)^('DCF Model'!C19+4)+('DCF Model'!G39+'DCF Model'!G42)*E$17/(1+$B22)^('DCF Model'!C19+4)-'DCF Model'!C16)*1000000/'DCF Model'!C15,0),"")</f>
        <v>2409</v>
      </c>
      <c r="F22" s="37">
        <f>IFERROR(ROUND(('DCF Model'!C45/(1+$B22)^('DCF Model'!C19+0)+'DCF Model'!D45/(1+$B22)^('DCF Model'!C19+1)+'DCF Model'!E45/(1+$B22)^('DCF Model'!C19+2)+'DCF Model'!F45/(1+$B22)^('DCF Model'!C19+3)+'DCF Model'!G45/(1+$B22)^('DCF Model'!C19+4)+('DCF Model'!G39+'DCF Model'!G42)*F$17/(1+$B22)^('DCF Model'!C19+4)-'DCF Model'!C16)*1000000/'DCF Model'!C15,0),"")</f>
        <v>2671</v>
      </c>
      <c r="G22" s="37">
        <f>IFERROR(ROUND(('DCF Model'!C45/(1+$B22)^('DCF Model'!C19+0)+'DCF Model'!D45/(1+$B22)^('DCF Model'!C19+1)+'DCF Model'!E45/(1+$B22)^('DCF Model'!C19+2)+'DCF Model'!F45/(1+$B22)^('DCF Model'!C19+3)+'DCF Model'!G45/(1+$B22)^('DCF Model'!C19+4)+('DCF Model'!G39+'DCF Model'!G42)*G$17/(1+$B22)^('DCF Model'!C19+4)-'DCF Model'!C16)*1000000/'DCF Model'!C15,0),"")</f>
        <v>2933</v>
      </c>
      <c r="H22" s="37">
        <f>IFERROR(ROUND(('DCF Model'!C45/(1+$B22)^('DCF Model'!C19+0)+'DCF Model'!D45/(1+$B22)^('DCF Model'!C19+1)+'DCF Model'!E45/(1+$B22)^('DCF Model'!C19+2)+'DCF Model'!F45/(1+$B22)^('DCF Model'!C19+3)+'DCF Model'!G45/(1+$B22)^('DCF Model'!C19+4)+('DCF Model'!G39+'DCF Model'!G42)*H$17/(1+$B22)^('DCF Model'!C19+4)-'DCF Model'!C16)*1000000/'DCF Model'!C15,0),"")</f>
        <v>3194</v>
      </c>
      <c r="I22" s="37">
        <f>IFERROR(ROUND(('DCF Model'!C45/(1+$B22)^('DCF Model'!C19+0)+'DCF Model'!D45/(1+$B22)^('DCF Model'!C19+1)+'DCF Model'!E45/(1+$B22)^('DCF Model'!C19+2)+'DCF Model'!F45/(1+$B22)^('DCF Model'!C19+3)+'DCF Model'!G45/(1+$B22)^('DCF Model'!C19+4)+('DCF Model'!G39+'DCF Model'!G42)*I$17/(1+$B22)^('DCF Model'!C19+4)-'DCF Model'!C16)*1000000/'DCF Model'!C15,0),"")</f>
        <v>3456</v>
      </c>
    </row>
    <row r="23" spans="2:9" ht="13.5" x14ac:dyDescent="0.25">
      <c r="B23" s="39">
        <f>$C$3+0.01</f>
        <v>8.2474541452677907E-2</v>
      </c>
      <c r="C23" s="37">
        <f>IFERROR(ROUND(('DCF Model'!C45/(1+$B23)^('DCF Model'!C19+0)+'DCF Model'!D45/(1+$B23)^('DCF Model'!C19+1)+'DCF Model'!E45/(1+$B23)^('DCF Model'!C19+2)+'DCF Model'!F45/(1+$B23)^('DCF Model'!C19+3)+'DCF Model'!G45/(1+$B23)^('DCF Model'!C19+4)+('DCF Model'!G39+'DCF Model'!G42)*C$17/(1+$B23)^('DCF Model'!C19+4)-'DCF Model'!C16)*1000000/'DCF Model'!C15,0),"")</f>
        <v>1837</v>
      </c>
      <c r="D23" s="37">
        <f>IFERROR(ROUND(('DCF Model'!C45/(1+$B23)^('DCF Model'!C19+0)+'DCF Model'!D45/(1+$B23)^('DCF Model'!C19+1)+'DCF Model'!E45/(1+$B23)^('DCF Model'!C19+2)+'DCF Model'!F45/(1+$B23)^('DCF Model'!C19+3)+'DCF Model'!G45/(1+$B23)^('DCF Model'!C19+4)+('DCF Model'!G39+'DCF Model'!G42)*D$17/(1+$B23)^('DCF Model'!C19+4)-'DCF Model'!C16)*1000000/'DCF Model'!C15,0),"")</f>
        <v>2093</v>
      </c>
      <c r="E23" s="37">
        <f>IFERROR(ROUND(('DCF Model'!C45/(1+$B23)^('DCF Model'!C19+0)+'DCF Model'!D45/(1+$B23)^('DCF Model'!C19+1)+'DCF Model'!E45/(1+$B23)^('DCF Model'!C19+2)+'DCF Model'!F45/(1+$B23)^('DCF Model'!C19+3)+'DCF Model'!G45/(1+$B23)^('DCF Model'!C19+4)+('DCF Model'!G39+'DCF Model'!G42)*E$17/(1+$B23)^('DCF Model'!C19+4)-'DCF Model'!C16)*1000000/'DCF Model'!C15,0),"")</f>
        <v>2349</v>
      </c>
      <c r="F23" s="37">
        <f>IFERROR(ROUND(('DCF Model'!C45/(1+$B23)^('DCF Model'!C19+0)+'DCF Model'!D45/(1+$B23)^('DCF Model'!C19+1)+'DCF Model'!E45/(1+$B23)^('DCF Model'!C19+2)+'DCF Model'!F45/(1+$B23)^('DCF Model'!C19+3)+'DCF Model'!G45/(1+$B23)^('DCF Model'!C19+4)+('DCF Model'!G39+'DCF Model'!G42)*F$17/(1+$B23)^('DCF Model'!C19+4)-'DCF Model'!C16)*1000000/'DCF Model'!C15,0),"")</f>
        <v>2605</v>
      </c>
      <c r="G23" s="37">
        <f>IFERROR(ROUND(('DCF Model'!C45/(1+$B23)^('DCF Model'!C19+0)+'DCF Model'!D45/(1+$B23)^('DCF Model'!C19+1)+'DCF Model'!E45/(1+$B23)^('DCF Model'!C19+2)+'DCF Model'!F45/(1+$B23)^('DCF Model'!C19+3)+'DCF Model'!G45/(1+$B23)^('DCF Model'!C19+4)+('DCF Model'!G39+'DCF Model'!G42)*G$17/(1+$B23)^('DCF Model'!C19+4)-'DCF Model'!C16)*1000000/'DCF Model'!C15,0),"")</f>
        <v>2860</v>
      </c>
      <c r="H23" s="37">
        <f>IFERROR(ROUND(('DCF Model'!C45/(1+$B23)^('DCF Model'!C19+0)+'DCF Model'!D45/(1+$B23)^('DCF Model'!C19+1)+'DCF Model'!E45/(1+$B23)^('DCF Model'!C19+2)+'DCF Model'!F45/(1+$B23)^('DCF Model'!C19+3)+'DCF Model'!G45/(1+$B23)^('DCF Model'!C19+4)+('DCF Model'!G39+'DCF Model'!G42)*H$17/(1+$B23)^('DCF Model'!C19+4)-'DCF Model'!C16)*1000000/'DCF Model'!C15,0),"")</f>
        <v>3116</v>
      </c>
      <c r="I23" s="37">
        <f>IFERROR(ROUND(('DCF Model'!C45/(1+$B23)^('DCF Model'!C19+0)+'DCF Model'!D45/(1+$B23)^('DCF Model'!C19+1)+'DCF Model'!E45/(1+$B23)^('DCF Model'!C19+2)+'DCF Model'!F45/(1+$B23)^('DCF Model'!C19+3)+'DCF Model'!G45/(1+$B23)^('DCF Model'!C19+4)+('DCF Model'!G39+'DCF Model'!G42)*I$17/(1+$B23)^('DCF Model'!C19+4)-'DCF Model'!C16)*1000000/'DCF Model'!C15,0),"")</f>
        <v>3372</v>
      </c>
    </row>
    <row r="24" spans="2:9" ht="13.5" x14ac:dyDescent="0.25">
      <c r="B24" s="39">
        <f>$C$3+0.015</f>
        <v>8.7474541452677912E-2</v>
      </c>
      <c r="C24" s="37">
        <f>IFERROR(ROUND(('DCF Model'!C45/(1+$B24)^('DCF Model'!C19+0)+'DCF Model'!D45/(1+$B24)^('DCF Model'!C19+1)+'DCF Model'!E45/(1+$B24)^('DCF Model'!C19+2)+'DCF Model'!F45/(1+$B24)^('DCF Model'!C19+3)+'DCF Model'!G45/(1+$B24)^('DCF Model'!C19+4)+('DCF Model'!G39+'DCF Model'!G42)*C$17/(1+$B24)^('DCF Model'!C19+4)-'DCF Model'!C16)*1000000/'DCF Model'!C15,0),"")</f>
        <v>1790</v>
      </c>
      <c r="D24" s="37">
        <f>IFERROR(ROUND(('DCF Model'!C45/(1+$B24)^('DCF Model'!C19+0)+'DCF Model'!D45/(1+$B24)^('DCF Model'!C19+1)+'DCF Model'!E45/(1+$B24)^('DCF Model'!C19+2)+'DCF Model'!F45/(1+$B24)^('DCF Model'!C19+3)+'DCF Model'!G45/(1+$B24)^('DCF Model'!C19+4)+('DCF Model'!G39+'DCF Model'!G42)*D$17/(1+$B24)^('DCF Model'!C19+4)-'DCF Model'!C16)*1000000/'DCF Model'!C15,0),"")</f>
        <v>2040</v>
      </c>
      <c r="E24" s="37">
        <f>IFERROR(ROUND(('DCF Model'!C45/(1+$B24)^('DCF Model'!C19+0)+'DCF Model'!D45/(1+$B24)^('DCF Model'!C19+1)+'DCF Model'!E45/(1+$B24)^('DCF Model'!C19+2)+'DCF Model'!F45/(1+$B24)^('DCF Model'!C19+3)+'DCF Model'!G45/(1+$B24)^('DCF Model'!C19+4)+('DCF Model'!G39+'DCF Model'!G42)*E$17/(1+$B24)^('DCF Model'!C19+4)-'DCF Model'!C16)*1000000/'DCF Model'!C15,0),"")</f>
        <v>2290</v>
      </c>
      <c r="F24" s="37">
        <f>IFERROR(ROUND(('DCF Model'!C45/(1+$B24)^('DCF Model'!C19+0)+'DCF Model'!D45/(1+$B24)^('DCF Model'!C19+1)+'DCF Model'!E45/(1+$B24)^('DCF Model'!C19+2)+'DCF Model'!F45/(1+$B24)^('DCF Model'!C19+3)+'DCF Model'!G45/(1+$B24)^('DCF Model'!C19+4)+('DCF Model'!G39+'DCF Model'!G42)*F$17/(1+$B24)^('DCF Model'!C19+4)-'DCF Model'!C16)*1000000/'DCF Model'!C15,0),"")</f>
        <v>2540</v>
      </c>
      <c r="G24" s="37">
        <f>IFERROR(ROUND(('DCF Model'!C45/(1+$B24)^('DCF Model'!C19+0)+'DCF Model'!D45/(1+$B24)^('DCF Model'!C19+1)+'DCF Model'!E45/(1+$B24)^('DCF Model'!C19+2)+'DCF Model'!F45/(1+$B24)^('DCF Model'!C19+3)+'DCF Model'!G45/(1+$B24)^('DCF Model'!C19+4)+('DCF Model'!G39+'DCF Model'!G42)*G$17/(1+$B24)^('DCF Model'!C19+4)-'DCF Model'!C16)*1000000/'DCF Model'!C15,0),"")</f>
        <v>2790</v>
      </c>
      <c r="H24" s="37">
        <f>IFERROR(ROUND(('DCF Model'!C45/(1+$B24)^('DCF Model'!C19+0)+'DCF Model'!D45/(1+$B24)^('DCF Model'!C19+1)+'DCF Model'!E45/(1+$B24)^('DCF Model'!C19+2)+'DCF Model'!F45/(1+$B24)^('DCF Model'!C19+3)+'DCF Model'!G45/(1+$B24)^('DCF Model'!C19+4)+('DCF Model'!G39+'DCF Model'!G42)*H$17/(1+$B24)^('DCF Model'!C19+4)-'DCF Model'!C16)*1000000/'DCF Model'!C15,0),"")</f>
        <v>3040</v>
      </c>
      <c r="I24" s="37">
        <f>IFERROR(ROUND(('DCF Model'!C45/(1+$B24)^('DCF Model'!C19+0)+'DCF Model'!D45/(1+$B24)^('DCF Model'!C19+1)+'DCF Model'!E45/(1+$B24)^('DCF Model'!C19+2)+'DCF Model'!F45/(1+$B24)^('DCF Model'!C19+3)+'DCF Model'!G45/(1+$B24)^('DCF Model'!C19+4)+('DCF Model'!G39+'DCF Model'!G42)*I$17/(1+$B24)^('DCF Model'!C19+4)-'DCF Model'!C16)*1000000/'DCF Model'!C15,0),"")</f>
        <v>3290</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7" spans="2:7" ht="30" customHeight="1" x14ac:dyDescent="0.3">
      <c r="B7" t="s">
        <v>246</v>
      </c>
      <c r="C7" s="4" t="s">
        <v>256</v>
      </c>
      <c r="D7" t="s">
        <v>257</v>
      </c>
      <c r="E7" t="s">
        <v>258</v>
      </c>
      <c r="F7" t="s">
        <v>259</v>
      </c>
      <c r="G7" t="s">
        <v>260</v>
      </c>
    </row>
    <row r="12" spans="2:7" ht="14" x14ac:dyDescent="0.3">
      <c r="B12" s="8" t="s">
        <v>261</v>
      </c>
    </row>
    <row r="13" spans="2:7" ht="14" x14ac:dyDescent="0.3">
      <c r="B13" s="10" t="s">
        <v>262</v>
      </c>
      <c r="C13" s="10" t="s">
        <v>263</v>
      </c>
    </row>
    <row r="14" spans="2:7" ht="14" x14ac:dyDescent="0.3">
      <c r="B14" s="4" t="s">
        <v>264</v>
      </c>
      <c r="C14" t="s">
        <v>265</v>
      </c>
    </row>
    <row r="15" spans="2:7" ht="14" x14ac:dyDescent="0.3">
      <c r="B15" s="4" t="s">
        <v>266</v>
      </c>
      <c r="C15" t="s">
        <v>267</v>
      </c>
    </row>
    <row r="16" spans="2:7" ht="14" x14ac:dyDescent="0.3">
      <c r="B16" s="4" t="s">
        <v>268</v>
      </c>
      <c r="C16" t="s">
        <v>269</v>
      </c>
    </row>
    <row r="17" spans="2:3" ht="14" x14ac:dyDescent="0.3">
      <c r="B17" s="4" t="s">
        <v>270</v>
      </c>
      <c r="C17" t="s">
        <v>267</v>
      </c>
    </row>
    <row r="18" spans="2:3" ht="14" x14ac:dyDescent="0.3">
      <c r="B18" s="4" t="s">
        <v>271</v>
      </c>
      <c r="C18" t="s">
        <v>272</v>
      </c>
    </row>
    <row r="19" spans="2:3" ht="14" x14ac:dyDescent="0.3">
      <c r="B19" s="4" t="s">
        <v>273</v>
      </c>
      <c r="C19" t="s">
        <v>274</v>
      </c>
    </row>
    <row r="20" spans="2:3" ht="14" x14ac:dyDescent="0.3">
      <c r="B20" s="4" t="s">
        <v>275</v>
      </c>
      <c r="C20" t="s">
        <v>276</v>
      </c>
    </row>
    <row r="21" spans="2:3" ht="14" x14ac:dyDescent="0.3">
      <c r="B21" s="4" t="s">
        <v>277</v>
      </c>
      <c r="C21" t="s">
        <v>278</v>
      </c>
    </row>
    <row r="22" spans="2:3" ht="14" x14ac:dyDescent="0.3">
      <c r="B22" s="4" t="s">
        <v>279</v>
      </c>
      <c r="C22" t="s">
        <v>41</v>
      </c>
    </row>
    <row r="23" spans="2:3" ht="14" x14ac:dyDescent="0.3">
      <c r="B23" s="4" t="s">
        <v>280</v>
      </c>
      <c r="C23" t="s">
        <v>4</v>
      </c>
    </row>
    <row r="24" spans="2:3" ht="14" x14ac:dyDescent="0.3">
      <c r="B24" s="4" t="s">
        <v>281</v>
      </c>
      <c r="C24" t="s">
        <v>246</v>
      </c>
    </row>
    <row r="25" spans="2:3" ht="14" x14ac:dyDescent="0.3">
      <c r="B25" s="4" t="s">
        <v>282</v>
      </c>
      <c r="C25" t="s">
        <v>283</v>
      </c>
    </row>
    <row r="26" spans="2:3" ht="14" x14ac:dyDescent="0.3">
      <c r="B26" s="4" t="s">
        <v>284</v>
      </c>
      <c r="C26" t="s">
        <v>272</v>
      </c>
    </row>
    <row r="27" spans="2:3" ht="14" x14ac:dyDescent="0.3">
      <c r="B27" s="4" t="s">
        <v>285</v>
      </c>
      <c r="C27" t="s">
        <v>272</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272</v>
      </c>
    </row>
    <row r="33" spans="2:3" ht="14" x14ac:dyDescent="0.3">
      <c r="B33" s="4" t="s">
        <v>294</v>
      </c>
      <c r="C33" t="s">
        <v>283</v>
      </c>
    </row>
    <row r="34" spans="2:3" ht="14" x14ac:dyDescent="0.3">
      <c r="B34" s="4" t="s">
        <v>295</v>
      </c>
      <c r="C34" t="s">
        <v>296</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276</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351</v>
      </c>
    </row>
    <row r="63" spans="2:3" ht="14" x14ac:dyDescent="0.3">
      <c r="B63" s="4" t="s">
        <v>352</v>
      </c>
      <c r="C63" t="s">
        <v>353</v>
      </c>
    </row>
    <row r="64" spans="2:3" ht="14" x14ac:dyDescent="0.3">
      <c r="B64" s="4" t="s">
        <v>354</v>
      </c>
      <c r="C64"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2026-09-06T09:43:03Z</dcterms:created>
  <dcterms:modified xsi:type="dcterms:W3CDTF">2026-09-06T09:43:06Z</dcterms:modified>
</cp:coreProperties>
</file>