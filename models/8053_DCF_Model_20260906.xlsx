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A664D40-1C48-4CDB-BEFC-6BDD8FA17184}"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19" i="1" s="1"/>
  <c r="D21" i="1" s="1"/>
  <c r="I3" i="7"/>
  <c r="D17" i="7" s="1"/>
  <c r="F3" i="7"/>
  <c r="C6" i="7" s="1"/>
  <c r="O9" i="6"/>
  <c r="N9" i="6"/>
  <c r="M9" i="6"/>
  <c r="L9" i="6"/>
  <c r="K9" i="6"/>
  <c r="J9" i="6"/>
  <c r="O8" i="6"/>
  <c r="N8" i="6"/>
  <c r="M8" i="6"/>
  <c r="L8" i="6"/>
  <c r="K8" i="6"/>
  <c r="J8" i="6"/>
  <c r="O7" i="6"/>
  <c r="I16" i="6" s="1"/>
  <c r="N7" i="6"/>
  <c r="M7" i="6"/>
  <c r="L7" i="6"/>
  <c r="K7" i="6"/>
  <c r="J7" i="6"/>
  <c r="O6" i="6"/>
  <c r="N6" i="6"/>
  <c r="M6" i="6"/>
  <c r="G17" i="6" s="1"/>
  <c r="L6" i="6"/>
  <c r="F17" i="6" s="1"/>
  <c r="K6" i="6"/>
  <c r="J6" i="6"/>
  <c r="O5" i="6"/>
  <c r="N5" i="6"/>
  <c r="D5" i="6"/>
  <c r="M5" i="6" s="1"/>
  <c r="C5" i="5"/>
  <c r="C13" i="4"/>
  <c r="C12" i="4"/>
  <c r="C9" i="4"/>
  <c r="C7" i="4"/>
  <c r="C6" i="4"/>
  <c r="C8" i="4" s="1"/>
  <c r="C10" i="4" s="1"/>
  <c r="D27" i="3"/>
  <c r="G5" i="5" s="1"/>
  <c r="C25" i="3"/>
  <c r="C24" i="3"/>
  <c r="C23" i="3"/>
  <c r="C26" i="3" s="1"/>
  <c r="D28" i="2"/>
  <c r="C28" i="2"/>
  <c r="D16" i="2"/>
  <c r="D15" i="2"/>
  <c r="D14" i="2"/>
  <c r="C14" i="2"/>
  <c r="D13" i="2"/>
  <c r="C13" i="2"/>
  <c r="H15" i="6" l="1"/>
  <c r="I15" i="6"/>
  <c r="D16" i="6"/>
  <c r="E16" i="6"/>
  <c r="G36" i="4"/>
  <c r="C11" i="4"/>
  <c r="C24" i="4" s="1"/>
  <c r="C25" i="4" s="1"/>
  <c r="G46" i="3"/>
  <c r="F36" i="4"/>
  <c r="F46" i="3"/>
  <c r="E46" i="3"/>
  <c r="E36" i="4"/>
  <c r="C3" i="7"/>
  <c r="D36" i="4"/>
  <c r="D46" i="3"/>
  <c r="C46" i="3"/>
  <c r="H36" i="4"/>
  <c r="C71" i="4"/>
  <c r="C70" i="4"/>
  <c r="C27" i="6"/>
  <c r="C74" i="4"/>
  <c r="E30" i="3"/>
  <c r="C31" i="3"/>
  <c r="F32" i="3"/>
  <c r="H5" i="5"/>
  <c r="D15" i="6"/>
  <c r="F16" i="6"/>
  <c r="C28" i="6" s="1"/>
  <c r="C21" i="1" s="1"/>
  <c r="H17" i="6"/>
  <c r="D6" i="7"/>
  <c r="E17" i="7"/>
  <c r="D31" i="3"/>
  <c r="G32" i="3"/>
  <c r="E5" i="6"/>
  <c r="E15" i="6"/>
  <c r="G16" i="6"/>
  <c r="I17" i="6"/>
  <c r="E6" i="7"/>
  <c r="F17" i="7"/>
  <c r="E31" i="3"/>
  <c r="F15" i="6"/>
  <c r="H16" i="6"/>
  <c r="F6" i="7"/>
  <c r="G17" i="7"/>
  <c r="G6" i="7"/>
  <c r="H17" i="7"/>
  <c r="F31" i="3"/>
  <c r="G15" i="6"/>
  <c r="D30" i="3"/>
  <c r="G31" i="3"/>
  <c r="D5" i="5"/>
  <c r="L5" i="6"/>
  <c r="D17" i="6"/>
  <c r="H6" i="7"/>
  <c r="I17" i="7"/>
  <c r="E5" i="5"/>
  <c r="E17" i="6"/>
  <c r="I6" i="7"/>
  <c r="C32" i="3"/>
  <c r="F30" i="3"/>
  <c r="D32" i="3"/>
  <c r="F5" i="5"/>
  <c r="C17" i="7"/>
  <c r="C30" i="3"/>
  <c r="C33" i="3" s="1"/>
  <c r="G30" i="3"/>
  <c r="E32" i="3"/>
  <c r="C42" i="3" l="1"/>
  <c r="C34" i="3"/>
  <c r="C37" i="3"/>
  <c r="C43" i="3"/>
  <c r="C35" i="3"/>
  <c r="D9" i="5"/>
  <c r="D18" i="5" s="1"/>
  <c r="D19" i="5" s="1"/>
  <c r="C44" i="3" s="1"/>
  <c r="D33" i="3"/>
  <c r="C29" i="4"/>
  <c r="C27" i="4"/>
  <c r="C26" i="4"/>
  <c r="D45" i="4"/>
  <c r="D39" i="4"/>
  <c r="D43" i="4"/>
  <c r="D46" i="4"/>
  <c r="D40" i="4"/>
  <c r="D44" i="4"/>
  <c r="D38" i="4"/>
  <c r="D41" i="4"/>
  <c r="G46" i="4"/>
  <c r="G40" i="4"/>
  <c r="G44" i="4"/>
  <c r="G38" i="4"/>
  <c r="G41" i="4"/>
  <c r="G45" i="4"/>
  <c r="G39" i="4"/>
  <c r="G43" i="4"/>
  <c r="B13" i="7"/>
  <c r="B12" i="7"/>
  <c r="B11" i="7"/>
  <c r="B10" i="7"/>
  <c r="B9" i="7"/>
  <c r="B8" i="7"/>
  <c r="B7" i="7"/>
  <c r="B24" i="7"/>
  <c r="B23" i="7"/>
  <c r="B22" i="7"/>
  <c r="B21" i="7"/>
  <c r="B20" i="7"/>
  <c r="B19" i="7"/>
  <c r="B18" i="7"/>
  <c r="E39" i="4"/>
  <c r="E49" i="4" s="1"/>
  <c r="E54" i="4" s="1"/>
  <c r="E44" i="4"/>
  <c r="E43" i="4"/>
  <c r="E46" i="4"/>
  <c r="E40" i="4"/>
  <c r="E38" i="4"/>
  <c r="E41" i="4"/>
  <c r="E45" i="4"/>
  <c r="K5" i="6"/>
  <c r="J5" i="6"/>
  <c r="H40" i="4"/>
  <c r="H44" i="4"/>
  <c r="H38" i="4"/>
  <c r="H41" i="4"/>
  <c r="H39" i="4"/>
  <c r="H43" i="4"/>
  <c r="H46" i="4"/>
  <c r="H45" i="4"/>
  <c r="F43" i="4"/>
  <c r="F46" i="4"/>
  <c r="F40" i="4"/>
  <c r="F44" i="4"/>
  <c r="F41" i="4"/>
  <c r="F45" i="4"/>
  <c r="F39" i="4"/>
  <c r="F38" i="4"/>
  <c r="F50" i="4" l="1"/>
  <c r="F55" i="4" s="1"/>
  <c r="H48" i="4"/>
  <c r="H53" i="4" s="1"/>
  <c r="D49" i="4"/>
  <c r="D54" i="4" s="1"/>
  <c r="H50" i="4"/>
  <c r="H55" i="4" s="1"/>
  <c r="G50" i="4"/>
  <c r="G55" i="4" s="1"/>
  <c r="D51" i="4"/>
  <c r="D56" i="4" s="1"/>
  <c r="F49" i="4"/>
  <c r="F54" i="4" s="1"/>
  <c r="B78" i="4" s="1"/>
  <c r="D37" i="3"/>
  <c r="E33" i="3"/>
  <c r="E9" i="5"/>
  <c r="E18" i="5" s="1"/>
  <c r="E19" i="5" s="1"/>
  <c r="D44" i="3" s="1"/>
  <c r="D42" i="3"/>
  <c r="D34" i="3"/>
  <c r="D35" i="3" s="1"/>
  <c r="D43" i="3"/>
  <c r="E50" i="4"/>
  <c r="E55" i="4" s="1"/>
  <c r="G48" i="4"/>
  <c r="G53" i="4" s="1"/>
  <c r="F48" i="4"/>
  <c r="F53" i="4" s="1"/>
  <c r="C38" i="3"/>
  <c r="C36" i="3"/>
  <c r="C39" i="3"/>
  <c r="D48" i="4"/>
  <c r="D53" i="4" s="1"/>
  <c r="F51" i="4"/>
  <c r="F56" i="4" s="1"/>
  <c r="H49" i="4"/>
  <c r="H54" i="4" s="1"/>
  <c r="E51" i="4"/>
  <c r="E56" i="4" s="1"/>
  <c r="C60" i="4"/>
  <c r="G49" i="4"/>
  <c r="G54" i="4" s="1"/>
  <c r="H51" i="4"/>
  <c r="H56" i="4" s="1"/>
  <c r="E48" i="4"/>
  <c r="E53" i="4" s="1"/>
  <c r="G51" i="4"/>
  <c r="G56" i="4" s="1"/>
  <c r="D50" i="4"/>
  <c r="D55" i="4" s="1"/>
  <c r="D38" i="3" l="1"/>
  <c r="D36" i="3"/>
  <c r="D39" i="3"/>
  <c r="C40" i="3"/>
  <c r="C41" i="3" s="1"/>
  <c r="C45" i="3" s="1"/>
  <c r="C65" i="4"/>
  <c r="D65" i="4" s="1"/>
  <c r="C64" i="4"/>
  <c r="D64" i="4" s="1"/>
  <c r="C67" i="4"/>
  <c r="D67" i="4" s="1"/>
  <c r="C63" i="4"/>
  <c r="D63" i="4" s="1"/>
  <c r="C66" i="4"/>
  <c r="D66" i="4" s="1"/>
  <c r="F33" i="3"/>
  <c r="E43" i="3"/>
  <c r="F9" i="5"/>
  <c r="F18" i="5" s="1"/>
  <c r="F19" i="5" s="1"/>
  <c r="E44" i="3" s="1"/>
  <c r="E42" i="3"/>
  <c r="E34" i="3"/>
  <c r="E35" i="3" s="1"/>
  <c r="E37" i="3"/>
  <c r="C47" i="3" l="1"/>
  <c r="E38" i="3"/>
  <c r="E36" i="3"/>
  <c r="E39" i="3"/>
  <c r="F43" i="3"/>
  <c r="G33" i="3"/>
  <c r="G9" i="5"/>
  <c r="G18" i="5" s="1"/>
  <c r="G19" i="5" s="1"/>
  <c r="F44" i="3" s="1"/>
  <c r="F42" i="3"/>
  <c r="F34" i="3"/>
  <c r="F35" i="3" s="1"/>
  <c r="F37" i="3"/>
  <c r="D40" i="3"/>
  <c r="D41" i="3" s="1"/>
  <c r="D45" i="3" s="1"/>
  <c r="D47" i="3" l="1"/>
  <c r="F38" i="3"/>
  <c r="F36" i="3"/>
  <c r="F39" i="3"/>
  <c r="G42" i="3"/>
  <c r="H9" i="5"/>
  <c r="H18" i="5" s="1"/>
  <c r="H19" i="5" s="1"/>
  <c r="G44" i="3" s="1"/>
  <c r="G34" i="3"/>
  <c r="C16" i="4"/>
  <c r="C28" i="4" s="1"/>
  <c r="G37" i="3"/>
  <c r="G43" i="3"/>
  <c r="G35" i="3"/>
  <c r="E40" i="3"/>
  <c r="E41" i="3" s="1"/>
  <c r="E45" i="3" s="1"/>
  <c r="E47" i="3" l="1"/>
  <c r="C72" i="4"/>
  <c r="C73" i="4"/>
  <c r="F40" i="3"/>
  <c r="F41" i="3" s="1"/>
  <c r="F45" i="3" s="1"/>
  <c r="G38" i="3"/>
  <c r="G36" i="3"/>
  <c r="G39" i="3"/>
  <c r="F47" i="3" l="1"/>
  <c r="C59" i="3"/>
  <c r="C60" i="3" s="1"/>
  <c r="C61" i="3" s="1"/>
  <c r="G40" i="3"/>
  <c r="G41" i="3" s="1"/>
  <c r="G45" i="3" s="1"/>
  <c r="C51" i="3" l="1"/>
  <c r="C52" i="3" s="1"/>
  <c r="G47" i="3"/>
  <c r="C50" i="3" s="1"/>
  <c r="D19" i="7"/>
  <c r="I9" i="7"/>
  <c r="I23" i="7"/>
  <c r="F7" i="7"/>
  <c r="C8" i="7"/>
  <c r="G24" i="7"/>
  <c r="E13" i="7"/>
  <c r="F20" i="7"/>
  <c r="C10" i="7"/>
  <c r="H7" i="7"/>
  <c r="G20" i="7"/>
  <c r="I13" i="7"/>
  <c r="H10" i="7"/>
  <c r="D23" i="7"/>
  <c r="H13" i="7"/>
  <c r="H9" i="7"/>
  <c r="I21" i="7"/>
  <c r="C13" i="7"/>
  <c r="D11" i="7"/>
  <c r="E24" i="7"/>
  <c r="E7" i="7"/>
  <c r="E11" i="7"/>
  <c r="C22" i="7"/>
  <c r="C11" i="7"/>
  <c r="H8" i="7"/>
  <c r="C21" i="7"/>
  <c r="C9" i="7"/>
  <c r="D10" i="7"/>
  <c r="E8" i="7"/>
  <c r="G13" i="7"/>
  <c r="D13" i="7"/>
  <c r="F8" i="7"/>
  <c r="H11" i="7"/>
  <c r="I20" i="7"/>
  <c r="F12" i="7"/>
  <c r="E23" i="7"/>
  <c r="G8" i="7"/>
  <c r="F10" i="7"/>
  <c r="G18" i="7"/>
  <c r="D21" i="7"/>
  <c r="H12" i="7"/>
  <c r="C23" i="7"/>
  <c r="F9" i="7"/>
  <c r="E10" i="7"/>
  <c r="G19" i="7"/>
  <c r="C24" i="7"/>
  <c r="E9" i="7"/>
  <c r="I22" i="7"/>
  <c r="H23" i="7"/>
  <c r="H24" i="7"/>
  <c r="G21" i="7"/>
  <c r="H18" i="7"/>
  <c r="F23" i="7"/>
  <c r="G10" i="7"/>
  <c r="G9" i="7"/>
  <c r="I12" i="7"/>
  <c r="F11" i="7"/>
  <c r="F18" i="7"/>
  <c r="I10" i="7"/>
  <c r="D12" i="7"/>
  <c r="D22" i="7"/>
  <c r="E20" i="7"/>
  <c r="I19" i="7"/>
  <c r="D18" i="7"/>
  <c r="G23" i="7"/>
  <c r="C20" i="7"/>
  <c r="F24" i="7"/>
  <c r="E22" i="7"/>
  <c r="I24" i="7"/>
  <c r="F22" i="7"/>
  <c r="I11" i="7"/>
  <c r="H22" i="7"/>
  <c r="E19" i="7"/>
  <c r="G7" i="7"/>
  <c r="H21" i="7"/>
  <c r="I18" i="7"/>
  <c r="D8" i="7"/>
  <c r="E12" i="7"/>
  <c r="E18" i="7"/>
  <c r="D9" i="7"/>
  <c r="F13" i="7"/>
  <c r="D7" i="7"/>
  <c r="I7" i="7"/>
  <c r="C18" i="7"/>
  <c r="D24" i="7"/>
  <c r="H19" i="7"/>
  <c r="F21" i="7"/>
  <c r="I8" i="7"/>
  <c r="C12" i="7"/>
  <c r="G11" i="7"/>
  <c r="D20" i="7"/>
  <c r="C7" i="7"/>
  <c r="E21" i="7"/>
  <c r="G12" i="7"/>
  <c r="C19" i="7"/>
  <c r="G22" i="7"/>
  <c r="H20" i="7"/>
  <c r="F19" i="7"/>
  <c r="C58" i="3" l="1"/>
  <c r="C62" i="3" s="1"/>
  <c r="C53" i="3"/>
  <c r="C17" i="4" l="1"/>
  <c r="C54" i="3"/>
  <c r="C55" i="3" s="1"/>
  <c r="C16" i="1"/>
  <c r="C63" i="3"/>
  <c r="C64" i="3" s="1"/>
  <c r="C17" i="1"/>
  <c r="D17" i="1" s="1"/>
  <c r="D16" i="1" l="1"/>
  <c r="C23" i="1"/>
  <c r="C18" i="1"/>
  <c r="C10" i="1" s="1"/>
  <c r="C12" i="1" s="1"/>
  <c r="C11" i="1" s="1"/>
  <c r="C19" i="4"/>
  <c r="C20" i="4" s="1"/>
  <c r="B79" i="4" s="1"/>
</calcChain>
</file>

<file path=xl/sharedStrings.xml><?xml version="1.0" encoding="utf-8"?>
<sst xmlns="http://schemas.openxmlformats.org/spreadsheetml/2006/main" count="486" uniqueCount="354">
  <si>
    <t>DISCLAIMER: This is a sample analysis for demonstration purposes only. It does not constitute investment advice.</t>
  </si>
  <si>
    <t>住友商事 (8053.T)</t>
  </si>
  <si>
    <t>Equity Research Report</t>
  </si>
  <si>
    <t>Company</t>
  </si>
  <si>
    <t>住友商事</t>
  </si>
  <si>
    <t>Ticker</t>
  </si>
  <si>
    <t>8053.T (TSE Prime)</t>
  </si>
  <si>
    <t>Sector</t>
  </si>
  <si>
    <t>卸売業</t>
  </si>
  <si>
    <t>Current Price</t>
  </si>
  <si>
    <t>Target Price (コアDCF + 持分法投資価値)</t>
  </si>
  <si>
    <t>Recommendation</t>
  </si>
  <si>
    <t>Upside / Downside</t>
  </si>
  <si>
    <t>Valuation Summary</t>
  </si>
  <si>
    <t>Methodology</t>
  </si>
  <si>
    <t>Implied Value (JPY)</t>
  </si>
  <si>
    <t>vs Current Price</t>
  </si>
  <si>
    <t>DCF - Perpetuity Growth</t>
  </si>
  <si>
    <t>DCF - Exit Multiple</t>
  </si>
  <si>
    <t>コアDCF 1株値（フロア規則: 負または不成立なら 0）</t>
  </si>
  <si>
    <t>持分法投資価値 [1株・別途加算]</t>
  </si>
  <si>
    <t>Comps - EV/EBITDA Median [参考・Target不算入]（型F: EV倍率は持分法混在で歪むため不使用）</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</si>
  <si>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</si>
  <si>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</si>
  <si>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</si>
  <si>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</si>
  <si>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</si>
  <si>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</si>
  <si>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</si>
  <si>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</si>
  <si>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</si>
  <si>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</si>
  <si>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</si>
  <si>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住友商事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</si>
  <si>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</si>
  <si>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</si>
  <si>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</si>
  <si>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</si>
  <si>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</si>
  <si>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</si>
  <si>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</si>
  <si>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</si>
  <si>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</si>
  <si>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</si>
  <si>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</si>
  <si>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</si>
  <si>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</si>
  <si>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</si>
  <si>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</si>
  <si>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</si>
  <si>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</si>
  <si>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</si>
  <si>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</si>
  <si>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</si>
  <si>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</si>
  <si>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</si>
  <si>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</si>
  <si>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</si>
  <si>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</si>
  <si>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</si>
  <si>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住友商事</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</si>
  <si>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</si>
  <si>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</si>
  <si>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</si>
  <si>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</si>
  <si>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</si>
  <si>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</si>
  <si>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</si>
  <si>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</si>
  <si>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</si>
  <si>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</si>
  <si>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</si>
  <si>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</si>
  <si>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</si>
  <si>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</si>
  <si>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</si>
  <si>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</si>
  <si>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</si>
  <si>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</si>
  <si>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</si>
  <si>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</si>
  <si>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</si>
  <si>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</si>
  <si>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</si>
  <si>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</si>
  <si>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</si>
  <si>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</si>
  <si>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</si>
  <si>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</si>
  <si>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</si>
  <si>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</si>
  <si>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</si>
  <si>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</si>
  <si>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</si>
  <si>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</si>
  <si>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</si>
  <si>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</si>
  <si>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</si>
  <si>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</si>
  <si>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</si>
  <si>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</si>
  <si>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</si>
  <si>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</si>
  <si>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</si>
  <si>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</si>
  <si>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</si>
  <si>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</si>
  <si>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</si>
  <si>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</si>
  <si>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</si>
  <si>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</si>
  <si>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</si>
  <si>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</si>
  <si>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</si>
  <si>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</si>
  <si>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</si>
  <si>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</si>
  <si>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</si>
  <si>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</si>
  <si>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</si>
  <si>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</si>
  <si>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</si>
  <si>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</si>
  <si>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</si>
  <si>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住友商事 (8053.T)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</si>
  <si>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</si>
  <si>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</si>
  <si>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</si>
  <si>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</si>
  <si>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</si>
  <si>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</si>
  <si>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</si>
  <si>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</si>
  <si>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</si>
  <si>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</si>
  <si>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</si>
  <si>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</si>
  <si>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</si>
  <si>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</si>
  <si>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</si>
  <si>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</si>
  <si>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</si>
  <si>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</si>
  <si>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</si>
  <si>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</si>
  <si>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</si>
  <si>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</si>
  <si>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</si>
  <si>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</si>
  <si>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</si>
  <si>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</si>
  <si>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</si>
  <si>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</si>
  <si>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</si>
  <si>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</si>
  <si>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</si>
  <si>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</si>
  <si>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</si>
  <si>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</si>
  <si>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</si>
  <si>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</si>
  <si>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</si>
  <si>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</si>
  <si>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</si>
  <si>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</si>
  <si>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</si>
  <si>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</si>
  <si>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</si>
  <si>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</si>
  <si>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</si>
  <si>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</si>
  <si>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</si>
  <si>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</si>
  <si>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</si>
  <si>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</si>
  <si>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</si>
  <si>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住友商事</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</si>
  <si>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</si>
  <si>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</si>
  <si>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</si>
  <si>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</si>
  <si>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</si>
  <si>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</si>
  <si>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</si>
  <si>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</si>
  <si>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</si>
  <si>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</si>
  <si>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</si>
  <si>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</si>
  <si>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</si>
  <si>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</si>
  <si>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</si>
  <si>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</si>
  <si>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</si>
  <si>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</si>
  <si>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</si>
  <si>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</si>
  <si>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</si>
  <si>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</si>
  <si>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</si>
  <si>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</si>
  <si>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</si>
  <si>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Sumitomo Corporation</t>
  </si>
  <si>
    <t>8053.T</t>
  </si>
  <si>
    <t>ITOCHU Corporation</t>
  </si>
  <si>
    <t>8001.T</t>
  </si>
  <si>
    <t>Marubeni Corporation</t>
  </si>
  <si>
    <t>8002.T</t>
  </si>
  <si>
    <t>Mitsui &amp; Co., Ltd.</t>
  </si>
  <si>
    <t>8031.T</t>
  </si>
  <si>
    <t>Mitsubishi Corporation</t>
  </si>
  <si>
    <t>8058.T</t>
  </si>
  <si>
    <t>Statistics</t>
  </si>
  <si>
    <t>25th Percentile</t>
  </si>
  <si>
    <t>Median (50th)</t>
  </si>
  <si>
    <t>75th Percentile</t>
  </si>
  <si>
    <t>Implied Valuation for 住友商事</t>
  </si>
  <si>
    <t>住友商事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</si>
  <si>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</si>
  <si>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</si>
  <si>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</si>
  <si>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</si>
  <si>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</si>
  <si>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</si>
  <si>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</si>
  <si>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</si>
  <si>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</si>
  <si>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</si>
  <si>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</si>
  <si>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</si>
  <si>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</si>
  <si>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</si>
  <si>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</si>
  <si>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住友商事</t>
  </si>
  <si>
    <t>日付</t>
  </si>
  <si>
    <t>セル</t>
  </si>
  <si>
    <t>変更内容</t>
  </si>
  <si>
    <t>理由</t>
  </si>
  <si>
    <t>元の値</t>
  </si>
  <si>
    <t>状態</t>
  </si>
  <si>
    <t>2026-09-07</t>
  </si>
  <si>
    <t>-</t>
  </si>
  <si>
    <t>Generated by pipeline on 2026-09-07 12:02, template rev 42941f3</t>
  </si>
  <si>
    <t>初期生成（手修正なし）</t>
  </si>
  <si>
    <t>generated</t>
  </si>
  <si>
    <t>DCF Model!C8</t>
  </si>
  <si>
    <t>Beta = 1.118（採用値）</t>
  </si>
  <si>
    <t>実測β(raw) = 1.176 → Blume調整 0.67×raw + 0.33×1.00 = 1.118 → 採用 1.118。クランプ域 [0.3, 2.0] の内側。置換なし。回帰βは平均回帰するため Blume 調整を既定とする（2026-09-05 バッチで85件中57件が旧下限 0.60 に張り付き、両裾の歪みが実証された）。</t>
  </si>
  <si>
    <t>実測 1.176</t>
  </si>
  <si>
    <t>確定</t>
  </si>
  <si>
    <t>Pipeline Metadata (do not edit — read by scripts/validate_output.py)</t>
  </si>
  <si>
    <t>key</t>
  </si>
  <si>
    <t>value</t>
  </si>
  <si>
    <t>annual_doc_ids</t>
  </si>
  <si>
    <t>2026-03-31=S100YARD (有価証券報告書, 2026-06-12 提出)</t>
  </si>
  <si>
    <t>auto_log_entries</t>
  </si>
  <si>
    <t>1</t>
  </si>
  <si>
    <t>beta_adopted_c8</t>
  </si>
  <si>
    <t>1.1181</t>
  </si>
  <si>
    <t>beta_basis</t>
  </si>
  <si>
    <t>Blume: 0.67 x 1.176 + 0.33 x 1.00 = 1.118</t>
  </si>
  <si>
    <t>beta_blume_adjusted</t>
  </si>
  <si>
    <t>beta_clamped</t>
  </si>
  <si>
    <t>no</t>
  </si>
  <si>
    <t>beta_raw</t>
  </si>
  <si>
    <t>1.1762</t>
  </si>
  <si>
    <t>capex_pct_basis</t>
  </si>
  <si>
    <t>explicit_override</t>
  </si>
  <si>
    <t>capex_pct_c5</t>
  </si>
  <si>
    <t>0.03102</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</si>
  <si>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</si>
  <si>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</si>
  <si>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</si>
  <si>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</si>
  <si>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</si>
  <si>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</si>
  <si>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</si>
  <si>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</si>
  <si>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</si>
  <si>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</si>
  <si>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</si>
  <si>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</si>
  <si>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</si>
  <si>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</si>
  <si>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</si>
  <si>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</si>
  <si>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</si>
  <si>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</si>
  <si>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</si>
  <si>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</si>
  <si>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</si>
  <si>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625886</t>
  </si>
  <si>
    <t>core_net_income</t>
  </si>
  <si>
    <t>600334.0</t>
  </si>
  <si>
    <t>cost_of_debt_at_c11</t>
  </si>
  <si>
    <t>0.01</t>
  </si>
  <si>
    <t>cost_of_debt_basis</t>
  </si>
  <si>
    <t>assumption</t>
  </si>
  <si>
    <t>da_pct_basis</t>
  </si>
  <si>
    <t>da_pct_c18</t>
  </si>
  <si>
    <t>da_pct_hist3yr</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</si>
  <si>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</si>
  <si>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</si>
  <si>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</si>
  <si>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</si>
  <si>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</si>
  <si>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</si>
  <si>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</si>
  <si>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</si>
  <si>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</si>
  <si>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</si>
  <si>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</si>
  <si>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12:02:07</t>
  </si>
  <si>
    <t>guidance_note</t>
  </si>
  <si>
    <t>TDnet 決算短信 via screener guidance table: FY2027 disclosed 2026-07-31 (net_income=630,000mn)</t>
  </si>
  <si>
    <t>guidance_source</t>
  </si>
  <si>
    <t>tdnet_screener_db</t>
  </si>
  <si>
    <t>latest_operating_income</t>
  </si>
  <si>
    <t>398263</t>
  </si>
  <si>
    <t>ltm_revenue_c20</t>
  </si>
  <si>
    <t>7337259.0</t>
  </si>
  <si>
    <t>ltm_revenue_source</t>
  </si>
  <si>
    <t>latest FY (no LTM)</t>
  </si>
  <si>
    <t>market_data_source</t>
  </si>
  <si>
    <t>yfinance; from overrides: beta, current_price, shares_outstanding</t>
  </si>
  <si>
    <t>narrative_tokens_used</t>
  </si>
  <si>
    <t>net_debt_source</t>
  </si>
  <si>
    <t>EDINET net_debt</t>
  </si>
  <si>
    <t>reverse_dcf_sheet</t>
  </si>
  <si>
    <t>op0=398,263(FY2026) peak=405,023(FY2025) peak_opm=0.0555 N=3/5/7/10</t>
  </si>
  <si>
    <t>scenario_index_range</t>
  </si>
  <si>
    <t>B69:B73</t>
  </si>
  <si>
    <t>tax_rate_c6</t>
  </si>
  <si>
    <t>0.25</t>
  </si>
  <si>
    <t>template_rev</t>
  </si>
  <si>
    <t>42941f3</t>
  </si>
  <si>
    <t>ticker</t>
  </si>
  <si>
    <t>equity_method_method</t>
  </si>
  <si>
    <t>book_value</t>
  </si>
  <si>
    <t>equity_method_balance_mn</t>
  </si>
  <si>
    <t>equity_method_multiple</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</si>
  <si>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</si>
  <si>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</si>
  <si>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</si>
  <si>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</si>
  <si>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</si>
  <si>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</si>
  <si>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</si>
  <si>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</si>
  <si>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</si>
  <si>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</si>
  <si>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</si>
  <si>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連結BS『持分法で会計処理されている投資』3,286,754 mn (S100YARD)を簿価 1.0 倍で評価。上場持分先の【簿価】は有報の注記から取得できず(『関係会社の状況』は資本金と議決権比率のみ)、上場分を時価に置き換えると非上場分を『BS残高 − 上場分簿価』で求められないため、設計書の指示どおり簿価×1.0 に統一した。上場持分に含み益がある分だけ保守的(過小)に出る。FY2026/3 の持分法投資損益 266,672 に対する簿価倍率は 12.3倍。</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</si>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</sst>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0" fillId="0" borderId="0" xfId="0" applyNumberFormat="1"/>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3"/>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6" t="s">
        <v>0</v>
      </c>
      <c r="C1" s="55"/>
      <c r="D1" s="55"/>
      <c r="E1" s="55"/>
    </row>
    <row r="3" spans="2:5" ht="18" customHeight="1" x14ac:dyDescent="0.4">
      <c r="B3" s="54" t="s">
        <v>1</v>
      </c>
      <c r="C3" s="55"/>
      <c r="D3" s="5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1820</v>
      </c>
    </row>
    <row r="10" spans="2:5" ht="14" customHeight="1" x14ac:dyDescent="0.3">
      <c r="B10" s="4" t="s">
        <v>10</v>
      </c>
      <c r="C10" s="5">
        <f>C18+C19</f>
        <v>767</v>
      </c>
    </row>
    <row r="11" spans="2:5" ht="14" customHeight="1" x14ac:dyDescent="0.3">
      <c r="B11" s="4" t="s">
        <v>11</v>
      </c>
      <c r="C11" s="6" t="str">
        <f>IF(NOT(ISNUMBER(C12)),"N/A",IF(C12&gt;0.15,"BUY",IF(C12&gt;0.05,"HOLD","SELL")))</f>
        <v>SELL</v>
      </c>
    </row>
    <row r="12" spans="2:5" ht="14" customHeight="1" x14ac:dyDescent="0.3">
      <c r="B12" s="4" t="s">
        <v>12</v>
      </c>
      <c r="C12" s="7">
        <f>IF(ISNUMBER(C10),(C10-C9)/C9,"N/A")</f>
        <v>-0.57857142857142863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26</v>
      </c>
      <c r="D16" s="7">
        <f>IF(ISNUMBER(C16),(C16-C9)/C9,"N/A")</f>
        <v>-0.98571428571428577</v>
      </c>
    </row>
    <row r="17" spans="2:5" ht="13.5" customHeight="1" x14ac:dyDescent="0.25">
      <c r="B17" t="s">
        <v>18</v>
      </c>
      <c r="C17" s="11">
        <f>IF('DCF Model'!C62&lt;'DCF Model'!C16,"INVALID (EV &lt; net debt)",'DCF Model'!C64)</f>
        <v>118</v>
      </c>
      <c r="D17" s="7">
        <f>IF(ISNUMBER(C17),(C17-C9)/C9,"N/A")</f>
        <v>-0.93516483516483517</v>
      </c>
    </row>
    <row r="18" spans="2:5" ht="13.5" customHeight="1" x14ac:dyDescent="0.2">
      <c r="B18" t="s">
        <v>19</v>
      </c>
      <c r="C18" s="44">
        <f>MAX(0,IFERROR((IF(COUNT(C16:C17)=0,"N/A",ROUND(AVERAGE(C16:C17),0)))*1,0))</f>
        <v>72</v>
      </c>
    </row>
    <row r="19" spans="2:5" ht="13.5" customHeight="1" x14ac:dyDescent="0.3">
      <c r="B19" s="4" t="s">
        <v>20</v>
      </c>
      <c r="C19" s="45">
        <f>'Equity Method Value'!C12</f>
        <v>695</v>
      </c>
    </row>
    <row r="20" spans="2:5" ht="14" customHeight="1" x14ac:dyDescent="0.2">
      <c r="B20" s="55" t="s">
        <v>21</v>
      </c>
      <c r="C20" s="55"/>
      <c r="D20" s="55"/>
      <c r="E20" s="55"/>
    </row>
    <row r="21" spans="2:5" ht="14" customHeight="1" x14ac:dyDescent="0.25">
      <c r="B21" t="s">
        <v>22</v>
      </c>
      <c r="C21" s="11">
        <f>'Comps Analysis'!C28</f>
        <v>2170</v>
      </c>
      <c r="D21" s="7">
        <f>IF(ISNUMBER(C19),(C19-C9)/C9,"N/A")</f>
        <v>-0.61813186813186816</v>
      </c>
    </row>
    <row r="22" spans="2:5" ht="14" x14ac:dyDescent="0.3">
      <c r="B22" s="1" t="s">
        <v>23</v>
      </c>
    </row>
    <row r="23" spans="2:5" ht="14" customHeight="1" x14ac:dyDescent="0.3">
      <c r="B23" s="4" t="s">
        <v>24</v>
      </c>
      <c r="C23" s="6" t="str">
        <f>IF(COUNT(C16:C17)=0,"N/A",MIN(C16:C17)&amp;" - "&amp;MAX(C16:C17))</f>
        <v>26 - 118</v>
      </c>
    </row>
    <row r="25" spans="2:5" ht="14" x14ac:dyDescent="0.3">
      <c r="B25" s="8" t="s">
        <v>25</v>
      </c>
      <c r="C25" s="9"/>
      <c r="D25" s="9"/>
    </row>
    <row r="26" spans="2:5" x14ac:dyDescent="0.2">
      <c r="B26" t="s">
        <v>26</v>
      </c>
    </row>
    <row r="27" spans="2:5" x14ac:dyDescent="0.2">
      <c r="B27" t="s">
        <v>27</v>
      </c>
    </row>
    <row r="28" spans="2:5" ht="14" customHeight="1" x14ac:dyDescent="0.2">
      <c r="B28" t="s">
        <v>28</v>
      </c>
    </row>
    <row r="30" spans="2:5" ht="14" x14ac:dyDescent="0.3">
      <c r="B30" s="8" t="s">
        <v>29</v>
      </c>
      <c r="C30" s="9"/>
      <c r="D30" s="9"/>
    </row>
    <row r="31" spans="2:5" x14ac:dyDescent="0.2">
      <c r="B31" t="s">
        <v>30</v>
      </c>
    </row>
    <row r="32" spans="2:5" x14ac:dyDescent="0.2">
      <c r="B32" t="s">
        <v>31</v>
      </c>
    </row>
    <row r="33" spans="2:2" x14ac:dyDescent="0.2">
      <c r="B33"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7292084</v>
      </c>
      <c r="D6" s="5">
        <v>7337259</v>
      </c>
    </row>
    <row r="7" spans="2:4" ht="14" customHeight="1" x14ac:dyDescent="0.3">
      <c r="B7" s="4" t="s">
        <v>38</v>
      </c>
      <c r="C7" s="5"/>
      <c r="D7" s="5"/>
    </row>
    <row r="8" spans="2:4" ht="14" customHeight="1" x14ac:dyDescent="0.3">
      <c r="B8" s="4" t="s">
        <v>39</v>
      </c>
    </row>
    <row r="9" spans="2:4" x14ac:dyDescent="0.2">
      <c r="B9" t="s">
        <v>40</v>
      </c>
    </row>
    <row r="10" spans="2:4" ht="14" customHeight="1" x14ac:dyDescent="0.3">
      <c r="B10" s="4" t="s">
        <v>41</v>
      </c>
      <c r="C10" s="5"/>
      <c r="D10" s="5"/>
    </row>
    <row r="11" spans="2:4" ht="14" customHeight="1" x14ac:dyDescent="0.3">
      <c r="B11" s="4" t="s">
        <v>42</v>
      </c>
      <c r="C11" s="5">
        <v>405023</v>
      </c>
      <c r="D11" s="5">
        <v>398263</v>
      </c>
    </row>
    <row r="12" spans="2:4" ht="14" customHeight="1" x14ac:dyDescent="0.3">
      <c r="B12" s="4" t="s">
        <v>43</v>
      </c>
      <c r="C12" s="5">
        <v>308521</v>
      </c>
      <c r="D12" s="5">
        <v>320523</v>
      </c>
    </row>
    <row r="13" spans="2:4" ht="13.5" customHeight="1" x14ac:dyDescent="0.25">
      <c r="B13" t="s">
        <v>44</v>
      </c>
      <c r="C13" s="7">
        <f>C11/C6</f>
        <v>5.554283247422822E-2</v>
      </c>
      <c r="D13" s="7">
        <f>D11/D6</f>
        <v>5.4279534087593201E-2</v>
      </c>
    </row>
    <row r="14" spans="2:4" ht="13.5" customHeight="1" x14ac:dyDescent="0.25">
      <c r="B14" t="s">
        <v>45</v>
      </c>
      <c r="C14" s="7">
        <f>C12/C6</f>
        <v>4.2309029901465754E-2</v>
      </c>
      <c r="D14" s="7">
        <f>D12/D6</f>
        <v>4.3684296819834219E-2</v>
      </c>
    </row>
    <row r="15" spans="2:4" ht="13.5" customHeight="1" x14ac:dyDescent="0.25">
      <c r="B15" t="s">
        <v>46</v>
      </c>
      <c r="C15" t="s">
        <v>47</v>
      </c>
      <c r="D15" s="7">
        <f>(D6-C6)/C6</f>
        <v>6.1950740007931885E-3</v>
      </c>
    </row>
    <row r="16" spans="2:4" ht="13.5" customHeight="1" x14ac:dyDescent="0.25">
      <c r="B16" t="s">
        <v>48</v>
      </c>
      <c r="C16" t="s">
        <v>47</v>
      </c>
      <c r="D16" s="7">
        <f>(D11-C11)/C11</f>
        <v>-1.669041017423702E-2</v>
      </c>
    </row>
    <row r="18" spans="2:4" ht="14" customHeight="1" x14ac:dyDescent="0.3">
      <c r="B18" s="3" t="s">
        <v>49</v>
      </c>
    </row>
    <row r="19" spans="2:4" ht="14" customHeight="1" x14ac:dyDescent="0.3">
      <c r="B19" s="4" t="s">
        <v>50</v>
      </c>
      <c r="C19" s="5">
        <v>612281</v>
      </c>
      <c r="D19" s="5">
        <v>813456</v>
      </c>
    </row>
    <row r="20" spans="2:4" ht="14" customHeight="1" x14ac:dyDescent="0.3">
      <c r="B20" s="4" t="s">
        <v>51</v>
      </c>
      <c r="C20" s="5"/>
      <c r="D20" s="5"/>
    </row>
    <row r="21" spans="2:4" ht="14" customHeight="1" x14ac:dyDescent="0.3">
      <c r="B21" s="4" t="s">
        <v>52</v>
      </c>
    </row>
    <row r="22" spans="2:4" x14ac:dyDescent="0.2">
      <c r="B22" t="s">
        <v>53</v>
      </c>
    </row>
    <row r="23" spans="2:4" x14ac:dyDescent="0.2">
      <c r="B23" t="s">
        <v>54</v>
      </c>
    </row>
    <row r="25" spans="2:4" ht="14" customHeight="1" x14ac:dyDescent="0.3">
      <c r="B25" s="3" t="s">
        <v>55</v>
      </c>
    </row>
    <row r="26" spans="2:4" ht="14" customHeight="1" x14ac:dyDescent="0.3">
      <c r="B26" s="4" t="s">
        <v>56</v>
      </c>
      <c r="C26" s="5">
        <v>570617</v>
      </c>
      <c r="D26" s="5">
        <v>1005442</v>
      </c>
    </row>
    <row r="27" spans="2:4" ht="14" customHeight="1" x14ac:dyDescent="0.3">
      <c r="B27" s="4" t="s">
        <v>57</v>
      </c>
      <c r="C27" s="5">
        <v>3254744</v>
      </c>
      <c r="D27" s="5">
        <v>4177113</v>
      </c>
    </row>
    <row r="28" spans="2:4" ht="14" customHeight="1" x14ac:dyDescent="0.3">
      <c r="B28" s="4" t="s">
        <v>58</v>
      </c>
      <c r="C28" s="5">
        <f>C27-C26</f>
        <v>2684127</v>
      </c>
      <c r="D28" s="5">
        <f>D27-D26</f>
        <v>3171671</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3.1019999999999999E-2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1.1181000000000001</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0.38109999999999999</v>
      </c>
    </row>
    <row r="13" spans="2:7" ht="14" customHeight="1" x14ac:dyDescent="0.3">
      <c r="B13" s="4" t="s">
        <v>69</v>
      </c>
      <c r="C13" s="7">
        <v>0.01</v>
      </c>
    </row>
    <row r="14" spans="2:7" ht="14" customHeight="1" x14ac:dyDescent="0.3">
      <c r="B14" s="4" t="s">
        <v>70</v>
      </c>
      <c r="C14" s="14">
        <v>7</v>
      </c>
    </row>
    <row r="15" spans="2:7" ht="14" customHeight="1" x14ac:dyDescent="0.3">
      <c r="B15" s="4" t="s">
        <v>71</v>
      </c>
      <c r="C15" s="15">
        <v>4726925815</v>
      </c>
    </row>
    <row r="16" spans="2:7" ht="14" customHeight="1" x14ac:dyDescent="0.3">
      <c r="B16" s="4" t="s">
        <v>72</v>
      </c>
      <c r="C16" s="5">
        <v>3278270</v>
      </c>
    </row>
    <row r="17" spans="2:7" ht="14" customHeight="1" x14ac:dyDescent="0.3">
      <c r="B17" s="4" t="s">
        <v>73</v>
      </c>
      <c r="C17" s="5">
        <v>7337259</v>
      </c>
    </row>
    <row r="18" spans="2:7" ht="14" customHeight="1" x14ac:dyDescent="0.3">
      <c r="B18" s="4" t="s">
        <v>74</v>
      </c>
      <c r="C18" s="7">
        <v>3.1019999999999999E-2</v>
      </c>
    </row>
    <row r="19" spans="2:7" ht="14" customHeight="1" x14ac:dyDescent="0.3">
      <c r="B19" s="4" t="s">
        <v>75</v>
      </c>
      <c r="C19" s="12">
        <v>1</v>
      </c>
    </row>
    <row r="20" spans="2:7" ht="14" customHeight="1" x14ac:dyDescent="0.3">
      <c r="B20" s="4" t="s">
        <v>76</v>
      </c>
      <c r="C20" s="5">
        <v>7337259</v>
      </c>
    </row>
    <row r="22" spans="2:7" ht="14" customHeight="1" x14ac:dyDescent="0.3">
      <c r="B22" s="8" t="s">
        <v>77</v>
      </c>
      <c r="C22" s="9"/>
      <c r="D22" s="9"/>
      <c r="E22" s="9"/>
      <c r="F22" s="9"/>
      <c r="G22" s="9"/>
    </row>
    <row r="23" spans="2:7" ht="14" customHeight="1" x14ac:dyDescent="0.3">
      <c r="B23" s="4" t="s">
        <v>78</v>
      </c>
      <c r="C23" s="16">
        <f>C7+C8*C9+C10</f>
        <v>0.1123765</v>
      </c>
    </row>
    <row r="24" spans="2:7" ht="14" customHeight="1" x14ac:dyDescent="0.3">
      <c r="B24" s="4" t="s">
        <v>79</v>
      </c>
      <c r="C24" s="16">
        <f>1/(1+C12)</f>
        <v>0.72406053146043015</v>
      </c>
    </row>
    <row r="25" spans="2:7" ht="14" customHeight="1" x14ac:dyDescent="0.3">
      <c r="B25" s="4" t="s">
        <v>80</v>
      </c>
      <c r="C25" s="16">
        <f>C12/(1+C12)</f>
        <v>0.27593946853956991</v>
      </c>
    </row>
    <row r="26" spans="2:7" ht="14" customHeight="1" x14ac:dyDescent="0.3">
      <c r="B26" s="4" t="s">
        <v>81</v>
      </c>
      <c r="C26" s="16">
        <f>C23*C24+C11*C25</f>
        <v>8.4126782999058722E-2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0.02</v>
      </c>
      <c r="D30" s="18">
        <f>CHOOSE($D$27,D69,D70,D71,D72,D73)</f>
        <v>1.4999999999999999E-2</v>
      </c>
      <c r="E30" s="18">
        <f>CHOOSE($D$27,E69,E70,E71,E72,E73)</f>
        <v>1.4999999999999999E-2</v>
      </c>
      <c r="F30" s="18">
        <f>CHOOSE($D$27,F69,F70,F71,F72,F73)</f>
        <v>0.01</v>
      </c>
      <c r="G30" s="18">
        <f>CHOOSE($D$27,G69,G70,G71,G72,G73)</f>
        <v>0.01</v>
      </c>
    </row>
    <row r="31" spans="2:7" ht="14" customHeight="1" x14ac:dyDescent="0.3">
      <c r="B31" s="4" t="s">
        <v>90</v>
      </c>
      <c r="C31" s="18">
        <f>CHOOSE($D$27,C76,C77,C78,C79,C80)</f>
        <v>0.79420000000000002</v>
      </c>
      <c r="D31" s="18">
        <f>CHOOSE($D$27,D76,D77,D78,D79,D80)</f>
        <v>0.79420000000000002</v>
      </c>
      <c r="E31" s="18">
        <f>CHOOSE($D$27,E76,E77,E78,E79,E80)</f>
        <v>0.79420000000000002</v>
      </c>
      <c r="F31" s="18">
        <f>CHOOSE($D$27,F76,F77,F78,F79,F80)</f>
        <v>0.79420000000000002</v>
      </c>
      <c r="G31" s="18">
        <f>CHOOSE($D$27,G76,G77,G78,G79,G80)</f>
        <v>0.79420000000000002</v>
      </c>
    </row>
    <row r="32" spans="2:7" ht="14" customHeight="1" x14ac:dyDescent="0.3">
      <c r="B32" s="4" t="s">
        <v>91</v>
      </c>
      <c r="C32" s="18">
        <f>CHOOSE($D$27,C83,C84,C85,C86,C87)</f>
        <v>0.1515</v>
      </c>
      <c r="D32" s="18">
        <f>CHOOSE($D$27,D83,D84,D85,D86,D87)</f>
        <v>0.1515</v>
      </c>
      <c r="E32" s="18">
        <f>CHOOSE($D$27,E83,E84,E85,E86,E87)</f>
        <v>0.1515</v>
      </c>
      <c r="F32" s="18">
        <f>CHOOSE($D$27,F83,F84,F85,F86,F87)</f>
        <v>0.1515</v>
      </c>
      <c r="G32" s="18">
        <f>CHOOSE($D$27,G83,G84,G85,G86,G87)</f>
        <v>0.1515</v>
      </c>
    </row>
    <row r="33" spans="2:7" ht="14" customHeight="1" x14ac:dyDescent="0.3">
      <c r="B33" s="4" t="s">
        <v>37</v>
      </c>
      <c r="C33" s="5">
        <f>C17*(1+C30)</f>
        <v>7484004.1799999997</v>
      </c>
      <c r="D33" s="5">
        <f>C33*(1+D30)</f>
        <v>7596264.2426999994</v>
      </c>
      <c r="E33" s="5">
        <f>D33*(1+E30)</f>
        <v>7710208.2063404983</v>
      </c>
      <c r="F33" s="5">
        <f>E33*(1+F30)</f>
        <v>7787310.2884039031</v>
      </c>
      <c r="G33" s="5">
        <f>F33*(1+G30)</f>
        <v>7865183.3912879424</v>
      </c>
    </row>
    <row r="34" spans="2:7" ht="14" customHeight="1" x14ac:dyDescent="0.3">
      <c r="B34" s="4" t="s">
        <v>38</v>
      </c>
      <c r="C34" s="5">
        <f>C33*C31</f>
        <v>5943796.1197560001</v>
      </c>
      <c r="D34" s="5">
        <f>D33*D31</f>
        <v>6032953.0615523392</v>
      </c>
      <c r="E34" s="5">
        <f>E33*E31</f>
        <v>6123447.3574756235</v>
      </c>
      <c r="F34" s="5">
        <f>F33*F31</f>
        <v>6184681.8310503801</v>
      </c>
      <c r="G34" s="5">
        <f>G33*G31</f>
        <v>6246528.649360884</v>
      </c>
    </row>
    <row r="35" spans="2:7" ht="14" customHeight="1" x14ac:dyDescent="0.3">
      <c r="B35" s="4" t="s">
        <v>39</v>
      </c>
      <c r="C35" s="19">
        <f>C33-C34</f>
        <v>1540208.0602439996</v>
      </c>
      <c r="D35" s="19">
        <f>D33-D34</f>
        <v>1563311.1811476601</v>
      </c>
      <c r="E35" s="19">
        <f>E33-E34</f>
        <v>1586760.8488648748</v>
      </c>
      <c r="F35" s="19">
        <f>F33-F34</f>
        <v>1602628.457353523</v>
      </c>
      <c r="G35" s="19">
        <f>G33-G34</f>
        <v>1618654.7419270584</v>
      </c>
    </row>
    <row r="36" spans="2:7" ht="14" customHeight="1" x14ac:dyDescent="0.3">
      <c r="B36" s="4" t="s">
        <v>40</v>
      </c>
      <c r="C36" s="7">
        <f>C35/C33</f>
        <v>0.20579999999999996</v>
      </c>
      <c r="D36" s="7">
        <f>D35/D33</f>
        <v>0.20580000000000004</v>
      </c>
      <c r="E36" s="7">
        <f>E35/E33</f>
        <v>0.20580000000000004</v>
      </c>
      <c r="F36" s="7">
        <f>F35/F33</f>
        <v>0.20579999999999996</v>
      </c>
      <c r="G36" s="7">
        <f>G35/G33</f>
        <v>0.20579999999999998</v>
      </c>
    </row>
    <row r="37" spans="2:7" ht="14" customHeight="1" x14ac:dyDescent="0.3">
      <c r="B37" s="4" t="s">
        <v>92</v>
      </c>
      <c r="C37" s="5">
        <f>C33*C32</f>
        <v>1133826.6332699999</v>
      </c>
      <c r="D37" s="5">
        <f>D33*D32</f>
        <v>1150834.03276905</v>
      </c>
      <c r="E37" s="5">
        <f>E33*E32</f>
        <v>1168096.5432605855</v>
      </c>
      <c r="F37" s="5">
        <f>F33*F32</f>
        <v>1179777.5086931912</v>
      </c>
      <c r="G37" s="5">
        <f>G33*G32</f>
        <v>1191575.2837801233</v>
      </c>
    </row>
    <row r="38" spans="2:7" ht="14" customHeight="1" x14ac:dyDescent="0.3">
      <c r="B38" s="4" t="s">
        <v>93</v>
      </c>
      <c r="C38" s="7">
        <f>(C35-C37)/C33</f>
        <v>5.4299999999999966E-2</v>
      </c>
      <c r="D38" s="7">
        <f>(D35-D37)/D33</f>
        <v>5.4300000000000022E-2</v>
      </c>
      <c r="E38" s="7">
        <f>(E35-E37)/E33</f>
        <v>5.4300000000000029E-2</v>
      </c>
      <c r="F38" s="7">
        <f>(F35-F37)/F33</f>
        <v>5.429999999999998E-2</v>
      </c>
      <c r="G38" s="7">
        <f>(G35-G37)/G33</f>
        <v>5.429999999999998E-2</v>
      </c>
    </row>
    <row r="39" spans="2:7" ht="14" customHeight="1" x14ac:dyDescent="0.3">
      <c r="B39" s="4" t="s">
        <v>94</v>
      </c>
      <c r="C39" s="19">
        <f>C35-C37</f>
        <v>406381.42697399971</v>
      </c>
      <c r="D39" s="19">
        <f>D35-D37</f>
        <v>412477.14837861015</v>
      </c>
      <c r="E39" s="19">
        <f>E35-E37</f>
        <v>418664.30560428929</v>
      </c>
      <c r="F39" s="19">
        <f>F35-F37</f>
        <v>422850.94866033178</v>
      </c>
      <c r="G39" s="19">
        <f>G35-G37</f>
        <v>427079.4581469351</v>
      </c>
    </row>
    <row r="40" spans="2:7" ht="14" customHeight="1" x14ac:dyDescent="0.3">
      <c r="B40" s="4" t="s">
        <v>95</v>
      </c>
      <c r="C40" s="5">
        <f>MAX(0,C39*C6)</f>
        <v>101595.35674349993</v>
      </c>
      <c r="D40" s="5">
        <f>MAX(0,D39*C6)</f>
        <v>103119.28709465254</v>
      </c>
      <c r="E40" s="5">
        <f>MAX(0,E39*C6)</f>
        <v>104666.07640107232</v>
      </c>
      <c r="F40" s="5">
        <f>MAX(0,F39*C6)</f>
        <v>105712.73716508294</v>
      </c>
      <c r="G40" s="5">
        <f>MAX(0,G39*C6)</f>
        <v>106769.86453673377</v>
      </c>
    </row>
    <row r="41" spans="2:7" ht="14" customHeight="1" x14ac:dyDescent="0.3">
      <c r="B41" s="4" t="s">
        <v>96</v>
      </c>
      <c r="C41" s="19">
        <f>C39-C40</f>
        <v>304786.07023049978</v>
      </c>
      <c r="D41" s="19">
        <f>D39-D40</f>
        <v>309357.86128395761</v>
      </c>
      <c r="E41" s="19">
        <f>E39-E40</f>
        <v>313998.22920321696</v>
      </c>
      <c r="F41" s="19">
        <f>F39-F40</f>
        <v>317138.21149524883</v>
      </c>
      <c r="G41" s="19">
        <f>G39-G40</f>
        <v>320309.59361020132</v>
      </c>
    </row>
    <row r="42" spans="2:7" ht="14" customHeight="1" x14ac:dyDescent="0.3">
      <c r="B42" s="4" t="s">
        <v>97</v>
      </c>
      <c r="C42" s="5">
        <f>C33*C18</f>
        <v>232153.8096636</v>
      </c>
      <c r="D42" s="5">
        <f>D33*C18</f>
        <v>235636.11680855398</v>
      </c>
      <c r="E42" s="5">
        <f>E33*C18</f>
        <v>239170.65856068226</v>
      </c>
      <c r="F42" s="5">
        <f>F33*C18</f>
        <v>241562.36514628906</v>
      </c>
      <c r="G42" s="5">
        <f>G33*C18</f>
        <v>243977.98879775195</v>
      </c>
    </row>
    <row r="43" spans="2:7" ht="14" customHeight="1" x14ac:dyDescent="0.3">
      <c r="B43" s="4" t="s">
        <v>98</v>
      </c>
      <c r="C43" s="5">
        <f>C33*C5</f>
        <v>232153.8096636</v>
      </c>
      <c r="D43" s="5">
        <f>D33*C5</f>
        <v>235636.11680855398</v>
      </c>
      <c r="E43" s="5">
        <f>E33*C5</f>
        <v>239170.65856068226</v>
      </c>
      <c r="F43" s="5">
        <f>F33*C5</f>
        <v>241562.36514628906</v>
      </c>
      <c r="G43" s="5">
        <f>G33*C5</f>
        <v>243977.98879775195</v>
      </c>
    </row>
    <row r="44" spans="2:7" ht="14" customHeight="1" x14ac:dyDescent="0.3">
      <c r="B44" s="4" t="s">
        <v>99</v>
      </c>
      <c r="C44" s="5">
        <f>'NWC Schedule'!D19</f>
        <v>488062.43853399996</v>
      </c>
      <c r="D44" s="5">
        <f>'NWC Schedule'!E19</f>
        <v>33262.656578009948</v>
      </c>
      <c r="E44" s="5">
        <f>'NWC Schedule'!F19</f>
        <v>33761.596426679753</v>
      </c>
      <c r="F44" s="5">
        <f>'NWC Schedule'!G19</f>
        <v>22845.346915387083</v>
      </c>
      <c r="G44" s="5">
        <f>'NWC Schedule'!H19</f>
        <v>23073.800384540576</v>
      </c>
    </row>
    <row r="45" spans="2:7" ht="14" customHeight="1" x14ac:dyDescent="0.3">
      <c r="B45" s="4" t="s">
        <v>100</v>
      </c>
      <c r="C45" s="20">
        <f>C41+C42-C43-C44</f>
        <v>-183276.36830350017</v>
      </c>
      <c r="D45" s="20">
        <f>D41+D42-D43-D44</f>
        <v>276095.20470594772</v>
      </c>
      <c r="E45" s="20">
        <f>E41+E42-E43-E44</f>
        <v>280236.63277653727</v>
      </c>
      <c r="F45" s="20">
        <f>F41+F42-F43-F44</f>
        <v>294292.86457986181</v>
      </c>
      <c r="G45" s="20">
        <f>G41+G42-G43-G44</f>
        <v>297235.79322566069</v>
      </c>
    </row>
    <row r="46" spans="2:7" ht="14" customHeight="1" x14ac:dyDescent="0.3">
      <c r="B46" s="4" t="s">
        <v>101</v>
      </c>
      <c r="C46" s="21">
        <f>1/(1+C26)^(C19+0)</f>
        <v>0.92240134242755656</v>
      </c>
      <c r="D46" s="21">
        <f>1/(1+C26)^(C19+1)</f>
        <v>0.85082423651215844</v>
      </c>
      <c r="E46" s="21">
        <f>1/(1+C26)^(C19+2)</f>
        <v>0.78480141792871583</v>
      </c>
      <c r="F46" s="21">
        <f>1/(1+C26)^(C19+3)</f>
        <v>0.72390188143649725</v>
      </c>
      <c r="G46" s="21">
        <f>1/(1+C26)^(C19+4)</f>
        <v>0.66772806722285893</v>
      </c>
    </row>
    <row r="47" spans="2:7" ht="14" customHeight="1" x14ac:dyDescent="0.3">
      <c r="B47" s="4" t="s">
        <v>102</v>
      </c>
      <c r="C47" s="19">
        <f>C45*C46</f>
        <v>-169054.36815839584</v>
      </c>
      <c r="D47" s="19">
        <f>D45*D46</f>
        <v>234908.49174860606</v>
      </c>
      <c r="E47" s="19">
        <f>E45*E46</f>
        <v>219930.1067585953</v>
      </c>
      <c r="F47" s="19">
        <f>F45*F46</f>
        <v>213039.15836269828</v>
      </c>
      <c r="G47" s="19">
        <f>G45*G46</f>
        <v>198472.68172002377</v>
      </c>
    </row>
    <row r="49" spans="2:7" ht="14" customHeight="1" x14ac:dyDescent="0.3">
      <c r="B49" s="22" t="s">
        <v>103</v>
      </c>
      <c r="C49" s="23"/>
      <c r="D49" s="23"/>
      <c r="E49" s="23"/>
      <c r="F49" s="23"/>
      <c r="G49" s="23"/>
    </row>
    <row r="50" spans="2:7" ht="14" customHeight="1" x14ac:dyDescent="0.3">
      <c r="B50" s="4" t="s">
        <v>104</v>
      </c>
      <c r="C50" s="5">
        <f>SUM(C47:G47)</f>
        <v>697296.07043152757</v>
      </c>
    </row>
    <row r="51" spans="2:7" ht="14" customHeight="1" x14ac:dyDescent="0.3">
      <c r="B51" s="4" t="s">
        <v>105</v>
      </c>
      <c r="C51" s="5">
        <f>G45*(1+C13)/(C26-C13)</f>
        <v>4049928.231226888</v>
      </c>
    </row>
    <row r="52" spans="2:7" ht="14" customHeight="1" x14ac:dyDescent="0.3">
      <c r="B52" s="4" t="s">
        <v>106</v>
      </c>
      <c r="C52" s="5">
        <f>C51*G46</f>
        <v>2704250.7502284218</v>
      </c>
    </row>
    <row r="53" spans="2:7" ht="14" customHeight="1" x14ac:dyDescent="0.3">
      <c r="B53" s="4" t="s">
        <v>107</v>
      </c>
      <c r="C53" s="5">
        <f>C50+C52</f>
        <v>3401546.8206599494</v>
      </c>
    </row>
    <row r="54" spans="2:7" ht="14" customHeight="1" x14ac:dyDescent="0.3">
      <c r="B54" s="4" t="s">
        <v>108</v>
      </c>
      <c r="C54" s="5">
        <f>C53-C16</f>
        <v>123276.82065994944</v>
      </c>
    </row>
    <row r="55" spans="2:7" ht="14" customHeight="1" x14ac:dyDescent="0.3">
      <c r="B55" s="4" t="s">
        <v>109</v>
      </c>
      <c r="C55" s="24">
        <f>ROUND(C54*1000000/C15,0)</f>
        <v>26</v>
      </c>
    </row>
    <row r="57" spans="2:7" ht="14" customHeight="1" x14ac:dyDescent="0.3">
      <c r="B57" s="22" t="s">
        <v>110</v>
      </c>
      <c r="C57" s="23"/>
      <c r="D57" s="23"/>
      <c r="E57" s="23"/>
      <c r="F57" s="23"/>
      <c r="G57" s="23"/>
    </row>
    <row r="58" spans="2:7" ht="14" customHeight="1" x14ac:dyDescent="0.3">
      <c r="B58" s="4" t="s">
        <v>104</v>
      </c>
      <c r="C58" s="5">
        <f>C50</f>
        <v>697296.07043152757</v>
      </c>
    </row>
    <row r="59" spans="2:7" ht="14" customHeight="1" x14ac:dyDescent="0.3">
      <c r="B59" s="4" t="s">
        <v>111</v>
      </c>
      <c r="C59" s="5">
        <f>G39+G42</f>
        <v>671057.44694468705</v>
      </c>
    </row>
    <row r="60" spans="2:7" ht="14" customHeight="1" x14ac:dyDescent="0.3">
      <c r="B60" s="4" t="s">
        <v>112</v>
      </c>
      <c r="C60" s="5">
        <f>C59*C14</f>
        <v>4697402.1286128089</v>
      </c>
    </row>
    <row r="61" spans="2:7" ht="14" customHeight="1" x14ac:dyDescent="0.3">
      <c r="B61" s="4" t="s">
        <v>106</v>
      </c>
      <c r="C61" s="5">
        <f>C60*G46</f>
        <v>3136587.2443071743</v>
      </c>
    </row>
    <row r="62" spans="2:7" ht="14" customHeight="1" x14ac:dyDescent="0.3">
      <c r="B62" s="4" t="s">
        <v>107</v>
      </c>
      <c r="C62" s="5">
        <f>C58+C61</f>
        <v>3833883.314738702</v>
      </c>
    </row>
    <row r="63" spans="2:7" ht="14" customHeight="1" x14ac:dyDescent="0.3">
      <c r="B63" s="4" t="s">
        <v>108</v>
      </c>
      <c r="C63" s="5">
        <f>C62-C16</f>
        <v>555613.31473870203</v>
      </c>
    </row>
    <row r="64" spans="2:7" ht="14" customHeight="1" x14ac:dyDescent="0.3">
      <c r="B64" s="4" t="s">
        <v>113</v>
      </c>
      <c r="C64" s="24">
        <f>ROUND(C63*1000000/C15,0)</f>
        <v>118</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0.02</v>
      </c>
      <c r="D69" s="26">
        <v>1.4999999999999999E-2</v>
      </c>
      <c r="E69" s="26">
        <v>1.4999999999999999E-2</v>
      </c>
      <c r="F69" s="26">
        <v>0.01</v>
      </c>
      <c r="G69" s="26">
        <v>0.01</v>
      </c>
    </row>
    <row r="70" spans="2:7" ht="14" customHeight="1" x14ac:dyDescent="0.3">
      <c r="B70" s="4" t="s">
        <v>120</v>
      </c>
      <c r="C70" s="26">
        <v>0.04</v>
      </c>
      <c r="D70" s="26">
        <v>0.03</v>
      </c>
      <c r="E70" s="26">
        <v>2.5000000000000001E-2</v>
      </c>
      <c r="F70" s="26">
        <v>0.02</v>
      </c>
      <c r="G70" s="26">
        <v>1.4999999999999999E-2</v>
      </c>
    </row>
    <row r="71" spans="2:7" ht="14" customHeight="1" x14ac:dyDescent="0.3">
      <c r="B71" s="4" t="s">
        <v>121</v>
      </c>
      <c r="C71" s="26">
        <v>0.02</v>
      </c>
      <c r="D71" s="26">
        <v>1.4999999999999999E-2</v>
      </c>
      <c r="E71" s="26">
        <v>1.4999999999999999E-2</v>
      </c>
      <c r="F71" s="26">
        <v>0.01</v>
      </c>
      <c r="G71" s="26">
        <v>0.01</v>
      </c>
    </row>
    <row r="72" spans="2:7" ht="14" customHeight="1" x14ac:dyDescent="0.3">
      <c r="B72" s="4" t="s">
        <v>122</v>
      </c>
      <c r="C72" s="26">
        <v>0</v>
      </c>
      <c r="D72" s="26">
        <v>0</v>
      </c>
      <c r="E72" s="26">
        <v>5.0000000000000001E-3</v>
      </c>
      <c r="F72" s="26">
        <v>5.0000000000000001E-3</v>
      </c>
      <c r="G72" s="26">
        <v>5.0000000000000001E-3</v>
      </c>
    </row>
    <row r="73" spans="2:7" ht="14" customHeight="1" x14ac:dyDescent="0.3">
      <c r="B73" s="4" t="s">
        <v>123</v>
      </c>
      <c r="C73" s="26">
        <v>-0.05</v>
      </c>
      <c r="D73" s="26">
        <v>-0.02</v>
      </c>
      <c r="E73" s="26">
        <v>0</v>
      </c>
      <c r="F73" s="26">
        <v>5.0000000000000001E-3</v>
      </c>
      <c r="G73" s="26">
        <v>5.0000000000000001E-3</v>
      </c>
    </row>
    <row r="75" spans="2:7" ht="14" customHeight="1" x14ac:dyDescent="0.3">
      <c r="B75" s="3" t="s">
        <v>90</v>
      </c>
    </row>
    <row r="76" spans="2:7" ht="14" customHeight="1" x14ac:dyDescent="0.3">
      <c r="B76" s="4" t="s">
        <v>83</v>
      </c>
      <c r="C76" s="26">
        <v>0.79420000000000002</v>
      </c>
      <c r="D76" s="26">
        <v>0.79420000000000002</v>
      </c>
      <c r="E76" s="26">
        <v>0.79420000000000002</v>
      </c>
      <c r="F76" s="26">
        <v>0.79420000000000002</v>
      </c>
      <c r="G76" s="26">
        <v>0.79420000000000002</v>
      </c>
    </row>
    <row r="77" spans="2:7" ht="14" customHeight="1" x14ac:dyDescent="0.3">
      <c r="B77" s="4" t="s">
        <v>120</v>
      </c>
      <c r="C77" s="26">
        <v>0.79420000000000002</v>
      </c>
      <c r="D77" s="26">
        <v>0.79420000000000002</v>
      </c>
      <c r="E77" s="26">
        <v>0.79420000000000002</v>
      </c>
      <c r="F77" s="26">
        <v>0.79420000000000002</v>
      </c>
      <c r="G77" s="26">
        <v>0.79420000000000002</v>
      </c>
    </row>
    <row r="78" spans="2:7" ht="14" customHeight="1" x14ac:dyDescent="0.3">
      <c r="B78" s="4" t="s">
        <v>121</v>
      </c>
      <c r="C78" s="26">
        <v>0.79420000000000002</v>
      </c>
      <c r="D78" s="26">
        <v>0.79420000000000002</v>
      </c>
      <c r="E78" s="26">
        <v>0.79420000000000002</v>
      </c>
      <c r="F78" s="26">
        <v>0.79420000000000002</v>
      </c>
      <c r="G78" s="26">
        <v>0.79420000000000002</v>
      </c>
    </row>
    <row r="79" spans="2:7" ht="14" customHeight="1" x14ac:dyDescent="0.3">
      <c r="B79" s="4" t="s">
        <v>122</v>
      </c>
      <c r="C79" s="26">
        <v>0.79420000000000002</v>
      </c>
      <c r="D79" s="26">
        <v>0.79420000000000002</v>
      </c>
      <c r="E79" s="26">
        <v>0.79420000000000002</v>
      </c>
      <c r="F79" s="26">
        <v>0.79420000000000002</v>
      </c>
      <c r="G79" s="26">
        <v>0.79420000000000002</v>
      </c>
    </row>
    <row r="80" spans="2:7" ht="14" customHeight="1" x14ac:dyDescent="0.3">
      <c r="B80" s="4" t="s">
        <v>123</v>
      </c>
      <c r="C80" s="26">
        <v>0.79420000000000002</v>
      </c>
      <c r="D80" s="26">
        <v>0.79420000000000002</v>
      </c>
      <c r="E80" s="26">
        <v>0.79420000000000002</v>
      </c>
      <c r="F80" s="26">
        <v>0.79420000000000002</v>
      </c>
      <c r="G80" s="26">
        <v>0.79420000000000002</v>
      </c>
    </row>
    <row r="82" spans="2:7" ht="14" customHeight="1" x14ac:dyDescent="0.3">
      <c r="B82" s="3" t="s">
        <v>91</v>
      </c>
    </row>
    <row r="83" spans="2:7" ht="14" customHeight="1" x14ac:dyDescent="0.3">
      <c r="B83" s="4" t="s">
        <v>83</v>
      </c>
      <c r="C83" s="26">
        <v>0.1515</v>
      </c>
      <c r="D83" s="26">
        <v>0.1515</v>
      </c>
      <c r="E83" s="26">
        <v>0.1515</v>
      </c>
      <c r="F83" s="26">
        <v>0.1515</v>
      </c>
      <c r="G83" s="26">
        <v>0.1515</v>
      </c>
    </row>
    <row r="84" spans="2:7" ht="14" customHeight="1" x14ac:dyDescent="0.3">
      <c r="B84" s="4" t="s">
        <v>120</v>
      </c>
      <c r="C84" s="26">
        <v>0.14610000000000001</v>
      </c>
      <c r="D84" s="26">
        <v>0.14610000000000001</v>
      </c>
      <c r="E84" s="26">
        <v>0.14610000000000001</v>
      </c>
      <c r="F84" s="26">
        <v>0.14610000000000001</v>
      </c>
      <c r="G84" s="26">
        <v>0.14610000000000001</v>
      </c>
    </row>
    <row r="85" spans="2:7" ht="14" customHeight="1" x14ac:dyDescent="0.3">
      <c r="B85" s="4" t="s">
        <v>121</v>
      </c>
      <c r="C85" s="26">
        <v>0.1515</v>
      </c>
      <c r="D85" s="26">
        <v>0.1515</v>
      </c>
      <c r="E85" s="26">
        <v>0.1515</v>
      </c>
      <c r="F85" s="26">
        <v>0.1515</v>
      </c>
      <c r="G85" s="26">
        <v>0.1515</v>
      </c>
    </row>
    <row r="86" spans="2:7" ht="14" customHeight="1" x14ac:dyDescent="0.3">
      <c r="B86" s="4" t="s">
        <v>122</v>
      </c>
      <c r="C86" s="26">
        <v>0.15690000000000001</v>
      </c>
      <c r="D86" s="26">
        <v>0.15690000000000001</v>
      </c>
      <c r="E86" s="26">
        <v>0.15690000000000001</v>
      </c>
      <c r="F86" s="26">
        <v>0.15690000000000001</v>
      </c>
      <c r="G86" s="26">
        <v>0.15690000000000001</v>
      </c>
    </row>
    <row r="87" spans="2:7" ht="14" customHeight="1" x14ac:dyDescent="0.3">
      <c r="B87" s="4" t="s">
        <v>123</v>
      </c>
      <c r="C87" s="26">
        <v>0.16239999999999999</v>
      </c>
      <c r="D87" s="26">
        <v>0.16239999999999999</v>
      </c>
      <c r="E87" s="26">
        <v>0.16239999999999999</v>
      </c>
      <c r="F87" s="26">
        <v>0.16239999999999999</v>
      </c>
      <c r="G87" s="26">
        <v>0.16239999999999999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1820</v>
      </c>
    </row>
    <row r="7" spans="2:9" ht="14" customHeight="1" x14ac:dyDescent="0.3">
      <c r="B7" s="4" t="s">
        <v>71</v>
      </c>
      <c r="C7" s="15">
        <f>'DCF Model'!C15</f>
        <v>4726925815</v>
      </c>
    </row>
    <row r="8" spans="2:9" ht="14" customHeight="1" x14ac:dyDescent="0.3">
      <c r="B8" s="4" t="s">
        <v>128</v>
      </c>
      <c r="C8" s="5">
        <f>C6*C7/1000000</f>
        <v>8603004.9833000004</v>
      </c>
    </row>
    <row r="9" spans="2:9" ht="14" customHeight="1" x14ac:dyDescent="0.3">
      <c r="B9" s="4" t="s">
        <v>72</v>
      </c>
      <c r="C9" s="5">
        <f>'DCF Model'!C16</f>
        <v>3278270</v>
      </c>
    </row>
    <row r="10" spans="2:9" ht="14" customHeight="1" x14ac:dyDescent="0.3">
      <c r="B10" s="4" t="s">
        <v>129</v>
      </c>
      <c r="C10" s="5">
        <f>C8+C9</f>
        <v>11881274.9833</v>
      </c>
    </row>
    <row r="11" spans="2:9" ht="14" customHeight="1" x14ac:dyDescent="0.3">
      <c r="B11" s="4" t="s">
        <v>130</v>
      </c>
      <c r="C11" s="16">
        <f>'DCF Model'!C26</f>
        <v>8.4126782999058722E-2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398263</v>
      </c>
    </row>
    <row r="15" spans="2:9" ht="14" customHeight="1" x14ac:dyDescent="0.3">
      <c r="B15" s="4" t="s">
        <v>134</v>
      </c>
      <c r="C15" s="27">
        <v>405023</v>
      </c>
    </row>
    <row r="16" spans="2:9" ht="14" customHeight="1" x14ac:dyDescent="0.3">
      <c r="B16" s="4" t="s">
        <v>135</v>
      </c>
      <c r="C16" s="5">
        <f>'DCF Model'!G33</f>
        <v>7865183.3912879424</v>
      </c>
    </row>
    <row r="17" spans="2:9" ht="14" customHeight="1" x14ac:dyDescent="0.3">
      <c r="B17" s="4" t="s">
        <v>136</v>
      </c>
      <c r="C17" s="5">
        <f>'DCF Model'!C53</f>
        <v>3401546.8206599494</v>
      </c>
    </row>
    <row r="18" spans="2:9" ht="14" customHeight="1" x14ac:dyDescent="0.3">
      <c r="B18" s="4" t="s">
        <v>137</v>
      </c>
      <c r="C18" s="26">
        <v>5.554283247422822E-2</v>
      </c>
    </row>
    <row r="19" spans="2:9" ht="14" customHeight="1" x14ac:dyDescent="0.3">
      <c r="B19" s="4" t="s">
        <v>138</v>
      </c>
      <c r="C19" s="5">
        <f>C10-C17</f>
        <v>8479728.1626400501</v>
      </c>
    </row>
    <row r="20" spans="2:9" ht="14" customHeight="1" x14ac:dyDescent="0.3">
      <c r="B20" s="4" t="s">
        <v>139</v>
      </c>
      <c r="C20" s="15">
        <f>IFERROR(ROUND(C19*1000000/C7,0),"N/A")</f>
        <v>1794</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880720.69243922422</v>
      </c>
    </row>
    <row r="25" spans="2:9" ht="14" customHeight="1" x14ac:dyDescent="0.3">
      <c r="B25" s="4" t="s">
        <v>143</v>
      </c>
      <c r="C25" s="5">
        <f>IFERROR(C24/(1-C13),"N/A")</f>
        <v>1174294.2565856322</v>
      </c>
    </row>
    <row r="26" spans="2:9" ht="13.5" customHeight="1" x14ac:dyDescent="0.25">
      <c r="B26" s="6" t="s">
        <v>144</v>
      </c>
      <c r="C26" s="14">
        <f>IFERROR(C25/C15,"N/A")</f>
        <v>2.8993273384119722</v>
      </c>
    </row>
    <row r="27" spans="2:9" ht="13.5" customHeight="1" x14ac:dyDescent="0.25">
      <c r="B27" s="6" t="s">
        <v>145</v>
      </c>
      <c r="C27" s="14">
        <f>IFERROR(C25/C14,"N/A")</f>
        <v>2.9485396750027801</v>
      </c>
    </row>
    <row r="28" spans="2:9" ht="13.5" customHeight="1" x14ac:dyDescent="0.25">
      <c r="B28" s="6" t="s">
        <v>146</v>
      </c>
      <c r="C28" s="7">
        <f>IFERROR(C25/C16,"N/A")</f>
        <v>0.14930284497706273</v>
      </c>
    </row>
    <row r="29" spans="2:9" ht="13.5" customHeight="1" x14ac:dyDescent="0.25">
      <c r="B29" s="6" t="s">
        <v>147</v>
      </c>
      <c r="C29" s="5">
        <f>IFERROR(C25/C18,"N/A")</f>
        <v>21142138.495196529</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6.4126782999058718E-2</v>
      </c>
      <c r="E36" s="29">
        <f>'DCF Model'!C26-0.01</f>
        <v>7.4126782999058727E-2</v>
      </c>
      <c r="F36" s="29">
        <f>'DCF Model'!C26</f>
        <v>8.4126782999058722E-2</v>
      </c>
      <c r="G36" s="29">
        <f>'DCF Model'!C26+0.01</f>
        <v>9.4126782999058717E-2</v>
      </c>
      <c r="H36" s="29">
        <f>'DCF Model'!C26+0.02</f>
        <v>0.10412678299905873</v>
      </c>
    </row>
    <row r="37" spans="2:9" ht="14" customHeight="1" x14ac:dyDescent="0.3">
      <c r="B37" s="3" t="s">
        <v>153</v>
      </c>
    </row>
    <row r="38" spans="2:9" ht="14" customHeight="1" x14ac:dyDescent="0.3">
      <c r="B38" s="4" t="s">
        <v>154</v>
      </c>
      <c r="C38" s="30">
        <v>3</v>
      </c>
      <c r="D38" s="13">
        <f t="shared" ref="D38:H41" si="0">IFERROR((1-(1+D$36)^(-$C38))/D$36-(1+D$36)/(D$36^2*$C38)*(1-($C38+1)/(1+D$36)^$C38+$C38/(1+D$36)^($C38+1)),"N/A")</f>
        <v>0.92086071407745962</v>
      </c>
      <c r="E38" s="13">
        <f t="shared" si="0"/>
        <v>0.90957257621311371</v>
      </c>
      <c r="F38" s="13">
        <f t="shared" si="0"/>
        <v>0.8985423071224361</v>
      </c>
      <c r="G38" s="13">
        <f t="shared" si="0"/>
        <v>0.88776148803377986</v>
      </c>
      <c r="H38" s="13">
        <f t="shared" si="0"/>
        <v>0.87722205356953165</v>
      </c>
    </row>
    <row r="39" spans="2:9" ht="14" customHeight="1" x14ac:dyDescent="0.3">
      <c r="B39" s="4" t="s">
        <v>155</v>
      </c>
      <c r="C39" s="30">
        <v>5</v>
      </c>
      <c r="D39" s="13">
        <f t="shared" si="0"/>
        <v>1.7695852670808181</v>
      </c>
      <c r="E39" s="13">
        <f t="shared" si="0"/>
        <v>1.7378529548104056</v>
      </c>
      <c r="F39" s="13">
        <f t="shared" si="0"/>
        <v>1.7071165593081408</v>
      </c>
      <c r="G39" s="13">
        <f t="shared" si="0"/>
        <v>1.6773334006971421</v>
      </c>
      <c r="H39" s="13">
        <f t="shared" si="0"/>
        <v>1.6484630710989858</v>
      </c>
    </row>
    <row r="40" spans="2:9" ht="14" customHeight="1" x14ac:dyDescent="0.3">
      <c r="B40" s="4" t="s">
        <v>156</v>
      </c>
      <c r="C40" s="30">
        <v>7</v>
      </c>
      <c r="D40" s="13">
        <f t="shared" si="0"/>
        <v>2.552517777942048</v>
      </c>
      <c r="E40" s="13">
        <f t="shared" si="0"/>
        <v>2.4929954294031345</v>
      </c>
      <c r="F40" s="13">
        <f t="shared" si="0"/>
        <v>2.4358299933113043</v>
      </c>
      <c r="G40" s="13">
        <f t="shared" si="0"/>
        <v>2.3808971783476935</v>
      </c>
      <c r="H40" s="13">
        <f t="shared" si="0"/>
        <v>2.3280806691976519</v>
      </c>
    </row>
    <row r="41" spans="2:9" ht="14" customHeight="1" x14ac:dyDescent="0.3">
      <c r="B41" s="4" t="s">
        <v>157</v>
      </c>
      <c r="C41" s="30">
        <v>10</v>
      </c>
      <c r="D41" s="13">
        <f t="shared" si="0"/>
        <v>3.6159855390531073</v>
      </c>
      <c r="E41" s="13">
        <f t="shared" si="0"/>
        <v>3.5042926339275673</v>
      </c>
      <c r="F41" s="13">
        <f t="shared" si="0"/>
        <v>3.3983315727534107</v>
      </c>
      <c r="G41" s="13">
        <f t="shared" si="0"/>
        <v>3.2977185835541283</v>
      </c>
      <c r="H41" s="13">
        <f t="shared" si="0"/>
        <v>3.2021005937893201</v>
      </c>
    </row>
    <row r="42" spans="2:9" ht="14" customHeight="1" x14ac:dyDescent="0.3">
      <c r="B42" s="3" t="s">
        <v>158</v>
      </c>
    </row>
    <row r="43" spans="2:9" ht="14" customHeight="1" x14ac:dyDescent="0.3">
      <c r="B43" s="4" t="s">
        <v>154</v>
      </c>
      <c r="C43" s="30">
        <v>3</v>
      </c>
      <c r="D43" s="13">
        <f t="shared" ref="D43:H46" si="1">IFERROR((1+D$36)/(D$36^2*$C43)*(1-($C43+1)/(1+D$36)^$C43+$C43/(1+D$36)^($C43+1))+(1+$C$12)/((D$36-$C$12)*(1+D$36)^$C43),"N/A")</f>
        <v>17.217508142475378</v>
      </c>
      <c r="E43" s="13">
        <f t="shared" si="1"/>
        <v>14.40419594206387</v>
      </c>
      <c r="F43" s="13">
        <f t="shared" si="1"/>
        <v>12.352643087272407</v>
      </c>
      <c r="G43" s="13">
        <f t="shared" si="1"/>
        <v>10.79112160915021</v>
      </c>
      <c r="H43" s="13">
        <f t="shared" si="1"/>
        <v>9.563379845278412</v>
      </c>
    </row>
    <row r="44" spans="2:9" ht="14" customHeight="1" x14ac:dyDescent="0.3">
      <c r="B44" s="4" t="s">
        <v>155</v>
      </c>
      <c r="C44" s="30">
        <v>5</v>
      </c>
      <c r="D44" s="13">
        <f t="shared" si="1"/>
        <v>16.071376951897069</v>
      </c>
      <c r="E44" s="13">
        <f t="shared" si="1"/>
        <v>13.332933809238884</v>
      </c>
      <c r="F44" s="13">
        <f t="shared" si="1"/>
        <v>11.34053871569863</v>
      </c>
      <c r="G44" s="13">
        <f t="shared" si="1"/>
        <v>9.8278503867544025</v>
      </c>
      <c r="H44" s="13">
        <f t="shared" si="1"/>
        <v>8.6417266810993887</v>
      </c>
    </row>
    <row r="45" spans="2:9" ht="14" customHeight="1" x14ac:dyDescent="0.3">
      <c r="B45" s="4" t="s">
        <v>156</v>
      </c>
      <c r="C45" s="30">
        <v>7</v>
      </c>
      <c r="D45" s="13">
        <f t="shared" si="1"/>
        <v>15.025802603150231</v>
      </c>
      <c r="E45" s="13">
        <f t="shared" si="1"/>
        <v>12.367189295579847</v>
      </c>
      <c r="F45" s="13">
        <f t="shared" si="1"/>
        <v>10.438656923259883</v>
      </c>
      <c r="G45" s="13">
        <f t="shared" si="1"/>
        <v>8.9791881520773575</v>
      </c>
      <c r="H45" s="13">
        <f t="shared" si="1"/>
        <v>7.8387290108354906</v>
      </c>
    </row>
    <row r="46" spans="2:9" ht="14" customHeight="1" x14ac:dyDescent="0.3">
      <c r="B46" s="4" t="s">
        <v>157</v>
      </c>
      <c r="C46" s="30">
        <v>10</v>
      </c>
      <c r="D46" s="13">
        <f t="shared" si="1"/>
        <v>13.624798048903482</v>
      </c>
      <c r="E46" s="13">
        <f t="shared" si="1"/>
        <v>11.09142151530355</v>
      </c>
      <c r="F46" s="13">
        <f t="shared" si="1"/>
        <v>9.2636110113447856</v>
      </c>
      <c r="G46" s="13">
        <f t="shared" si="1"/>
        <v>7.8882596578953912</v>
      </c>
      <c r="H46" s="13">
        <f t="shared" si="1"/>
        <v>6.8199400338660334</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898791.80535923096</v>
      </c>
      <c r="E48" s="5">
        <f t="shared" si="2"/>
        <v>1074648.7299307757</v>
      </c>
      <c r="F48" s="5">
        <f t="shared" si="2"/>
        <v>1253484.2716232666</v>
      </c>
      <c r="G48" s="5">
        <f t="shared" si="2"/>
        <v>1435266.6928608741</v>
      </c>
      <c r="H48" s="5">
        <f t="shared" si="2"/>
        <v>1619964.3997891997</v>
      </c>
    </row>
    <row r="49" spans="2:9" ht="14" customHeight="1" x14ac:dyDescent="0.3">
      <c r="B49" s="4" t="s">
        <v>155</v>
      </c>
      <c r="C49" s="30">
        <v>5</v>
      </c>
      <c r="D49" s="5">
        <f t="shared" si="2"/>
        <v>941857.04720983212</v>
      </c>
      <c r="E49" s="5">
        <f t="shared" si="2"/>
        <v>1136252.3554938803</v>
      </c>
      <c r="F49" s="5">
        <f t="shared" si="2"/>
        <v>1336957.5287005717</v>
      </c>
      <c r="G49" s="5">
        <f t="shared" si="2"/>
        <v>1543947.0024922225</v>
      </c>
      <c r="H49" s="5">
        <f t="shared" si="2"/>
        <v>1757192.594723026</v>
      </c>
    </row>
    <row r="50" spans="2:9" ht="14" customHeight="1" x14ac:dyDescent="0.3">
      <c r="B50" s="4" t="s">
        <v>156</v>
      </c>
      <c r="C50" s="30">
        <v>7</v>
      </c>
      <c r="D50" s="5">
        <f t="shared" si="2"/>
        <v>986644.57277168287</v>
      </c>
      <c r="E50" s="5">
        <f t="shared" si="2"/>
        <v>1200663.4477843782</v>
      </c>
      <c r="F50" s="5">
        <f t="shared" si="2"/>
        <v>1424665.9437546637</v>
      </c>
      <c r="G50" s="5">
        <f t="shared" si="2"/>
        <v>1658666.2928259727</v>
      </c>
      <c r="H50" s="5">
        <f t="shared" si="2"/>
        <v>1902669.6248282483</v>
      </c>
    </row>
    <row r="51" spans="2:9" ht="14" customHeight="1" x14ac:dyDescent="0.3">
      <c r="B51" s="4" t="s">
        <v>157</v>
      </c>
      <c r="C51" s="30">
        <v>10</v>
      </c>
      <c r="D51" s="5">
        <f t="shared" si="2"/>
        <v>1057012.8582678302</v>
      </c>
      <c r="E51" s="5">
        <f t="shared" si="2"/>
        <v>1302454.3211648087</v>
      </c>
      <c r="F51" s="5">
        <f t="shared" si="2"/>
        <v>1563998.1247950308</v>
      </c>
      <c r="G51" s="5">
        <f t="shared" si="2"/>
        <v>1841767.5522318592</v>
      </c>
      <c r="H51" s="5">
        <f t="shared" si="2"/>
        <v>2135857.7519180505</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2.2191130018770067</v>
      </c>
      <c r="E53" s="14">
        <f t="shared" si="3"/>
        <v>2.653302972746673</v>
      </c>
      <c r="F53" s="14">
        <f t="shared" si="3"/>
        <v>3.0948471361460128</v>
      </c>
      <c r="G53" s="14">
        <f t="shared" si="3"/>
        <v>3.543667132140333</v>
      </c>
      <c r="H53" s="14">
        <f t="shared" si="3"/>
        <v>3.9996849556425182</v>
      </c>
    </row>
    <row r="54" spans="2:9" ht="14" customHeight="1" x14ac:dyDescent="0.3">
      <c r="B54" s="4" t="s">
        <v>155</v>
      </c>
      <c r="C54" s="30">
        <v>5</v>
      </c>
      <c r="D54" s="14">
        <f t="shared" si="3"/>
        <v>2.3254408939981981</v>
      </c>
      <c r="E54" s="14">
        <f t="shared" si="3"/>
        <v>2.8054020524609227</v>
      </c>
      <c r="F54" s="14">
        <f t="shared" si="3"/>
        <v>3.3009422395779295</v>
      </c>
      <c r="G54" s="14">
        <f t="shared" si="3"/>
        <v>3.8119983371122688</v>
      </c>
      <c r="H54" s="14">
        <f t="shared" si="3"/>
        <v>4.3385007634702868</v>
      </c>
    </row>
    <row r="55" spans="2:9" ht="14" customHeight="1" x14ac:dyDescent="0.3">
      <c r="B55" s="4" t="s">
        <v>156</v>
      </c>
      <c r="C55" s="30">
        <v>7</v>
      </c>
      <c r="D55" s="14">
        <f t="shared" si="3"/>
        <v>2.4360210970035845</v>
      </c>
      <c r="E55" s="14">
        <f t="shared" si="3"/>
        <v>2.9644327551382963</v>
      </c>
      <c r="F55" s="14">
        <f t="shared" si="3"/>
        <v>3.5174939293686127</v>
      </c>
      <c r="G55" s="14">
        <f t="shared" si="3"/>
        <v>4.0952397587938778</v>
      </c>
      <c r="H55" s="14">
        <f t="shared" si="3"/>
        <v>4.6976829089415864</v>
      </c>
    </row>
    <row r="56" spans="2:9" ht="14" customHeight="1" x14ac:dyDescent="0.3">
      <c r="B56" s="4" t="s">
        <v>157</v>
      </c>
      <c r="C56" s="30">
        <v>10</v>
      </c>
      <c r="D56" s="14">
        <f t="shared" si="3"/>
        <v>2.6097600834220036</v>
      </c>
      <c r="E56" s="14">
        <f t="shared" si="3"/>
        <v>3.2157539724035642</v>
      </c>
      <c r="F56" s="14">
        <f t="shared" si="3"/>
        <v>3.8615044696104439</v>
      </c>
      <c r="G56" s="14">
        <f t="shared" si="3"/>
        <v>4.5473159604068387</v>
      </c>
      <c r="H56" s="14">
        <f t="shared" si="3"/>
        <v>5.273423365878112</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1336957.5287005717</v>
      </c>
    </row>
    <row r="62" spans="2:9" ht="14" customHeight="1" x14ac:dyDescent="0.3">
      <c r="B62" s="28" t="s">
        <v>164</v>
      </c>
      <c r="C62" s="28" t="s">
        <v>165</v>
      </c>
      <c r="D62" s="28" t="s">
        <v>166</v>
      </c>
    </row>
    <row r="63" spans="2:9" ht="14" customHeight="1" x14ac:dyDescent="0.3">
      <c r="B63" s="31">
        <v>2.7799999999999998E-2</v>
      </c>
      <c r="C63" s="5">
        <f>IFERROR($C$60/B63,"N/A")</f>
        <v>48091997.435272366</v>
      </c>
      <c r="D63" s="14">
        <f>IFERROR(C63/'DCF Model'!C17,"N/A")</f>
        <v>6.5544909121066004</v>
      </c>
    </row>
    <row r="64" spans="2:9" ht="14" customHeight="1" x14ac:dyDescent="0.3">
      <c r="B64" s="31">
        <v>4.1700000000000001E-2</v>
      </c>
      <c r="C64" s="5">
        <f>IFERROR($C$60/B64,"N/A")</f>
        <v>32061331.623514909</v>
      </c>
      <c r="D64" s="14">
        <f>IFERROR(C64/'DCF Model'!C17,"N/A")</f>
        <v>4.3696606080710669</v>
      </c>
    </row>
    <row r="65" spans="2:9" ht="14" customHeight="1" x14ac:dyDescent="0.3">
      <c r="B65" s="4" t="s">
        <v>167</v>
      </c>
      <c r="C65" s="5">
        <f>IFERROR($C$60/$C$18,"N/A")</f>
        <v>24070748.090150386</v>
      </c>
      <c r="D65" s="14">
        <f>IFERROR(C65/'DCF Model'!C17,"N/A")</f>
        <v>3.2806185648006139</v>
      </c>
    </row>
    <row r="66" spans="2:9" ht="14" customHeight="1" x14ac:dyDescent="0.3">
      <c r="B66" s="31">
        <v>6.9400000000000003E-2</v>
      </c>
      <c r="C66" s="5">
        <f>IFERROR($C$60/B66,"N/A")</f>
        <v>19264517.704619188</v>
      </c>
      <c r="D66" s="14">
        <f>IFERROR(C66/'DCF Model'!C17,"N/A")</f>
        <v>2.625574169402932</v>
      </c>
    </row>
    <row r="67" spans="2:9" ht="14" customHeight="1" x14ac:dyDescent="0.3">
      <c r="B67" s="31">
        <v>8.3299999999999999E-2</v>
      </c>
      <c r="C67" s="5">
        <f>IFERROR($C$60/B67,"N/A")</f>
        <v>16049910.308530273</v>
      </c>
      <c r="D67" s="14">
        <f>IFERROR(C67/'DCF Model'!C17,"N/A")</f>
        <v>2.1874531495385776</v>
      </c>
    </row>
    <row r="69" spans="2:9" ht="14" customHeight="1" x14ac:dyDescent="0.3">
      <c r="B69" s="8" t="s">
        <v>168</v>
      </c>
      <c r="C69" s="9"/>
      <c r="D69" s="9"/>
      <c r="E69" s="9"/>
      <c r="F69" s="9"/>
      <c r="G69" s="9"/>
      <c r="H69" s="9"/>
      <c r="I69" s="9"/>
    </row>
    <row r="70" spans="2:9" ht="13.5" customHeight="1" x14ac:dyDescent="0.25">
      <c r="B70" s="6" t="s">
        <v>169</v>
      </c>
      <c r="C70" s="14">
        <f>IFERROR(C10/'Comps Analysis'!G5,"N/A")</f>
        <v>18.983129488916514</v>
      </c>
    </row>
    <row r="71" spans="2:9" ht="13.5" customHeight="1" x14ac:dyDescent="0.25">
      <c r="B71" s="6" t="s">
        <v>170</v>
      </c>
      <c r="C71" s="14">
        <f>IFERROR(C10/'Comps Analysis'!F5,"N/A")</f>
        <v>1.6193070168710142</v>
      </c>
    </row>
    <row r="72" spans="2:9" ht="14" customHeight="1" x14ac:dyDescent="0.3">
      <c r="B72" s="4" t="s">
        <v>171</v>
      </c>
      <c r="C72" s="14">
        <f>IFERROR(C10/(C25+'DCF Model'!G42),"N/A")</f>
        <v>8.3772879445217381</v>
      </c>
    </row>
    <row r="73" spans="2:9" ht="14" customHeight="1" x14ac:dyDescent="0.3">
      <c r="B73" s="4" t="s">
        <v>172</v>
      </c>
      <c r="C73" s="14">
        <f>IFERROR(C10/(C60+'DCF Model'!G42),"N/A")</f>
        <v>7.515344460159235</v>
      </c>
    </row>
    <row r="74" spans="2:9" ht="14" customHeight="1" x14ac:dyDescent="0.3">
      <c r="B74" s="4" t="s">
        <v>173</v>
      </c>
      <c r="C74" s="14">
        <f>IFERROR('Comps Analysis'!D16,"N/A")</f>
        <v>23.335313691810949</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1,820 yen the market is paying for a steady-state operating profit of 1,336,958 mn JPY - 3.30x the FY2025 cycle peak of 405,023 mn - reached in 5 years and sustained for ever, against 398,263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1,174,294 mn, or 2.90x the peak. The base case supports an EV of only 3,401,547 mn, leaving 1,794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0.23570763959674859</v>
      </c>
      <c r="D5" s="34">
        <f>CHOOSE('DCF Model'!$D$27,D25,D26,D27,D28,D29)</f>
        <v>0.29630000000000001</v>
      </c>
      <c r="E5" s="34">
        <f>CHOOSE('DCF Model'!$D$27,E25,E26,E27,E28,E29)</f>
        <v>0.29630000000000001</v>
      </c>
      <c r="F5" s="34">
        <f>CHOOSE('DCF Model'!$D$27,F25,F26,F27,F28,F29)</f>
        <v>0.29630000000000001</v>
      </c>
      <c r="G5" s="34">
        <f>CHOOSE('DCF Model'!$D$27,G25,G26,G27,G28,G29)</f>
        <v>0.29630000000000001</v>
      </c>
      <c r="H5" s="34">
        <f>CHOOSE('DCF Model'!$D$27,H25,H26,H27,H28,H29)</f>
        <v>0.29630000000000001</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7337259</v>
      </c>
      <c r="D9" s="36">
        <f>'DCF Model'!C33</f>
        <v>7484004.1799999997</v>
      </c>
      <c r="E9" s="36">
        <f>'DCF Model'!D33</f>
        <v>7596264.2426999994</v>
      </c>
      <c r="F9" s="36">
        <f>'DCF Model'!E33</f>
        <v>7710208.2063404983</v>
      </c>
      <c r="G9" s="36">
        <f>'DCF Model'!F33</f>
        <v>7787310.2884039031</v>
      </c>
      <c r="H9" s="36">
        <f>'DCF Model'!G33</f>
        <v>7865183.3912879424</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1729448</v>
      </c>
      <c r="D18" s="20">
        <f>D9*D5</f>
        <v>2217510.438534</v>
      </c>
      <c r="E18" s="20">
        <f>E9*E5</f>
        <v>2250773.0951120099</v>
      </c>
      <c r="F18" s="20">
        <f>F9*F5</f>
        <v>2284534.6915386897</v>
      </c>
      <c r="G18" s="20">
        <f>G9*G5</f>
        <v>2307380.0384540767</v>
      </c>
      <c r="H18" s="20">
        <f>H9*H5</f>
        <v>2330453.8388386173</v>
      </c>
    </row>
    <row r="19" spans="2:8" ht="14" customHeight="1" x14ac:dyDescent="0.3">
      <c r="B19" s="33" t="s">
        <v>99</v>
      </c>
      <c r="C19" s="37" t="s">
        <v>47</v>
      </c>
      <c r="D19" s="24">
        <f>D18-C18</f>
        <v>488062.43853399996</v>
      </c>
      <c r="E19" s="24">
        <f>E18-D18</f>
        <v>33262.656578009948</v>
      </c>
      <c r="F19" s="24">
        <f>F18-E18</f>
        <v>33761.596426679753</v>
      </c>
      <c r="G19" s="24">
        <f>G18-F18</f>
        <v>22845.346915387083</v>
      </c>
      <c r="H19" s="24">
        <f>H18-G18</f>
        <v>23073.800384540576</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0.29630000000000001</v>
      </c>
      <c r="E25" s="26">
        <v>0.29630000000000001</v>
      </c>
      <c r="F25" s="26">
        <v>0.29630000000000001</v>
      </c>
      <c r="G25" s="26">
        <v>0.29630000000000001</v>
      </c>
      <c r="H25" s="26">
        <v>0.29630000000000001</v>
      </c>
    </row>
    <row r="26" spans="2:8" ht="14" customHeight="1" x14ac:dyDescent="0.3">
      <c r="B26" s="4" t="s">
        <v>120</v>
      </c>
      <c r="D26" s="26">
        <v>0.29630000000000001</v>
      </c>
      <c r="E26" s="26">
        <v>0.29630000000000001</v>
      </c>
      <c r="F26" s="26">
        <v>0.29630000000000001</v>
      </c>
      <c r="G26" s="26">
        <v>0.29630000000000001</v>
      </c>
      <c r="H26" s="26">
        <v>0.29630000000000001</v>
      </c>
    </row>
    <row r="27" spans="2:8" ht="14" customHeight="1" x14ac:dyDescent="0.3">
      <c r="B27" s="4" t="s">
        <v>121</v>
      </c>
      <c r="D27" s="26">
        <v>0.29630000000000001</v>
      </c>
      <c r="E27" s="26">
        <v>0.29630000000000001</v>
      </c>
      <c r="F27" s="26">
        <v>0.29630000000000001</v>
      </c>
      <c r="G27" s="26">
        <v>0.29630000000000001</v>
      </c>
      <c r="H27" s="26">
        <v>0.29630000000000001</v>
      </c>
    </row>
    <row r="28" spans="2:8" ht="14" customHeight="1" x14ac:dyDescent="0.3">
      <c r="B28" s="4" t="s">
        <v>122</v>
      </c>
      <c r="D28" s="26">
        <v>0.29630000000000001</v>
      </c>
      <c r="E28" s="26">
        <v>0.29630000000000001</v>
      </c>
      <c r="F28" s="26">
        <v>0.29630000000000001</v>
      </c>
      <c r="G28" s="26">
        <v>0.29630000000000001</v>
      </c>
      <c r="H28" s="26">
        <v>0.29630000000000001</v>
      </c>
    </row>
    <row r="29" spans="2:8" ht="14" customHeight="1" x14ac:dyDescent="0.3">
      <c r="B29" s="4" t="s">
        <v>123</v>
      </c>
      <c r="D29" s="26">
        <v>0.29630000000000001</v>
      </c>
      <c r="E29" s="26">
        <v>0.29630000000000001</v>
      </c>
      <c r="F29" s="26">
        <v>0.29630000000000001</v>
      </c>
      <c r="G29" s="26">
        <v>0.29630000000000001</v>
      </c>
      <c r="H29" s="26">
        <v>0.29630000000000001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8603004.9833000004</v>
      </c>
      <c r="E5" s="38">
        <f>D5+C24</f>
        <v>11881274.9833</v>
      </c>
      <c r="F5" s="38">
        <v>7337259</v>
      </c>
      <c r="G5" s="38">
        <v>625886</v>
      </c>
      <c r="H5" s="38">
        <v>398263</v>
      </c>
      <c r="I5" s="38">
        <v>600334</v>
      </c>
      <c r="J5" s="39">
        <f>IFERROR(E5/G5,"")</f>
        <v>18.983129488916514</v>
      </c>
      <c r="K5" s="39">
        <f>IFERROR(E5/F5,"")</f>
        <v>1.6193070168710142</v>
      </c>
      <c r="L5" s="39">
        <f>IFERROR(D5/I5,"")</f>
        <v>14.330364402649193</v>
      </c>
      <c r="M5" s="39">
        <f>IFERROR(D5/P5,"")</f>
        <v>1.8586805133135504</v>
      </c>
      <c r="N5" s="40">
        <f>IFERROR(H5/F5,"")</f>
        <v>5.4279534087593201E-2</v>
      </c>
      <c r="O5" s="40">
        <f>IFERROR(I5/P5,"")</f>
        <v>0.1297022504863829</v>
      </c>
      <c r="P5" s="38">
        <v>4628555</v>
      </c>
    </row>
    <row r="6" spans="2:17" ht="14" customHeight="1" x14ac:dyDescent="0.3">
      <c r="B6" s="4" t="s">
        <v>204</v>
      </c>
      <c r="C6" t="s">
        <v>205</v>
      </c>
      <c r="D6" s="38">
        <v>15405768</v>
      </c>
      <c r="E6" s="38">
        <v>19570071</v>
      </c>
      <c r="F6" s="38">
        <v>14823087</v>
      </c>
      <c r="G6" s="38">
        <v>1160584</v>
      </c>
      <c r="H6" s="38">
        <v>701888</v>
      </c>
      <c r="I6" s="38">
        <v>900283</v>
      </c>
      <c r="J6" s="39">
        <f>IFERROR(E6/G6,"")</f>
        <v>16.862261585546587</v>
      </c>
      <c r="K6" s="39">
        <f>IFERROR(E6/F6,"")</f>
        <v>1.320242605335852</v>
      </c>
      <c r="L6" s="39">
        <f>IFERROR(D6/I6,"")</f>
        <v>17.112139182901377</v>
      </c>
      <c r="M6" s="39">
        <f>IFERROR(D6/P6,"")</f>
        <v>2.3377613784350331</v>
      </c>
      <c r="N6" s="40">
        <f>IFERROR(H6/F6,"")</f>
        <v>4.7351000503471373E-2</v>
      </c>
      <c r="O6" s="40">
        <f>IFERROR(I6/P6,"")</f>
        <v>0.13661421014918743</v>
      </c>
      <c r="P6" s="38">
        <v>6589966</v>
      </c>
    </row>
    <row r="7" spans="2:17" ht="14" customHeight="1" x14ac:dyDescent="0.3">
      <c r="B7" s="4" t="s">
        <v>206</v>
      </c>
      <c r="C7" t="s">
        <v>207</v>
      </c>
      <c r="D7" s="38">
        <v>8253340</v>
      </c>
      <c r="E7" s="38">
        <v>10112253</v>
      </c>
      <c r="F7" s="38">
        <v>8265841</v>
      </c>
      <c r="G7" s="38">
        <v>465730</v>
      </c>
      <c r="H7" s="38">
        <v>256670</v>
      </c>
      <c r="I7" s="38">
        <v>543852</v>
      </c>
      <c r="J7" s="39">
        <f>IFERROR(E7/G7,"")</f>
        <v>21.71269405020076</v>
      </c>
      <c r="K7" s="39">
        <f>IFERROR(E7/F7,"")</f>
        <v>1.2233786011610919</v>
      </c>
      <c r="L7" s="39">
        <f>IFERROR(D7/I7,"")</f>
        <v>15.175709568044248</v>
      </c>
      <c r="M7" s="39">
        <f>IFERROR(D7/P7,"")</f>
        <v>1.8913545991389455</v>
      </c>
      <c r="N7" s="40">
        <f>IFERROR(H7/F7,"")</f>
        <v>3.1051891755478966E-2</v>
      </c>
      <c r="O7" s="40">
        <f>IFERROR(I7/P7,"")</f>
        <v>0.12463038981199294</v>
      </c>
      <c r="P7" s="38">
        <v>4363719</v>
      </c>
    </row>
    <row r="8" spans="2:17" ht="14" customHeight="1" x14ac:dyDescent="0.3">
      <c r="B8" s="4" t="s">
        <v>208</v>
      </c>
      <c r="C8" t="s">
        <v>209</v>
      </c>
      <c r="D8" s="38">
        <v>14224791</v>
      </c>
      <c r="E8" s="38">
        <v>18949835</v>
      </c>
      <c r="F8" s="38">
        <v>13995222</v>
      </c>
      <c r="G8" s="38">
        <v>759271</v>
      </c>
      <c r="H8" s="38">
        <v>426023</v>
      </c>
      <c r="I8" s="38">
        <v>833971</v>
      </c>
      <c r="J8" s="39">
        <f>IFERROR(E8/G8,"")</f>
        <v>24.957933333421138</v>
      </c>
      <c r="K8" s="39">
        <f>IFERROR(E8/F8,"")</f>
        <v>1.3540217511376382</v>
      </c>
      <c r="L8" s="39">
        <f>IFERROR(D8/I8,"")</f>
        <v>17.056697415137936</v>
      </c>
      <c r="M8" s="39">
        <f>IFERROR(D8/P8,"")</f>
        <v>1.6224003574921895</v>
      </c>
      <c r="N8" s="40">
        <f>IFERROR(H8/F8,"")</f>
        <v>3.044060322873049E-2</v>
      </c>
      <c r="O8" s="40">
        <f>IFERROR(I8/P8,"")</f>
        <v>9.5118082827235828E-2</v>
      </c>
      <c r="P8" s="38">
        <v>8767744</v>
      </c>
    </row>
    <row r="9" spans="2:17" ht="14" customHeight="1" x14ac:dyDescent="0.3">
      <c r="B9" s="4" t="s">
        <v>210</v>
      </c>
      <c r="C9" t="s">
        <v>211</v>
      </c>
      <c r="D9" s="38">
        <v>17948666</v>
      </c>
      <c r="E9" s="38">
        <v>22597385</v>
      </c>
      <c r="F9" s="38">
        <v>18915995</v>
      </c>
      <c r="G9" s="38">
        <v>816398</v>
      </c>
      <c r="H9" s="38">
        <v>418621</v>
      </c>
      <c r="I9" s="38">
        <v>800460</v>
      </c>
      <c r="J9" s="39">
        <f>IFERROR(E9/G9,"")</f>
        <v>27.679373295867947</v>
      </c>
      <c r="K9" s="39">
        <f>IFERROR(E9/F9,"")</f>
        <v>1.1946178353293073</v>
      </c>
      <c r="L9" s="39">
        <f>IFERROR(D9/I9,"")</f>
        <v>22.422939309896808</v>
      </c>
      <c r="M9" s="39">
        <f>IFERROR(D9/P9,"")</f>
        <v>1.9012275427948342</v>
      </c>
      <c r="N9" s="40">
        <f>IFERROR(H9/F9,"")</f>
        <v>2.2130530273453762E-2</v>
      </c>
      <c r="O9" s="40">
        <f>IFERROR(I9/P9,"")</f>
        <v>8.4789398772340693E-2</v>
      </c>
      <c r="P9" s="38">
        <v>9440567</v>
      </c>
    </row>
    <row r="14" spans="2:17" ht="14" customHeight="1" x14ac:dyDescent="0.3">
      <c r="B14" s="3" t="s">
        <v>212</v>
      </c>
    </row>
    <row r="15" spans="2:17" ht="14" customHeight="1" x14ac:dyDescent="0.3">
      <c r="B15" s="4" t="s">
        <v>213</v>
      </c>
      <c r="D15" s="39">
        <f t="shared" ref="D15:I15" si="0">PERCENTILE(J6:J9,0.25)</f>
        <v>20.500085934037216</v>
      </c>
      <c r="E15" s="39">
        <f t="shared" si="0"/>
        <v>1.2161884097031457</v>
      </c>
      <c r="F15" s="39">
        <f t="shared" si="0"/>
        <v>16.586450453364513</v>
      </c>
      <c r="G15" s="39">
        <f t="shared" si="0"/>
        <v>1.8241160387272566</v>
      </c>
      <c r="H15" s="40">
        <f t="shared" si="0"/>
        <v>2.8363084989911309E-2</v>
      </c>
      <c r="I15" s="40">
        <f t="shared" si="0"/>
        <v>9.2535911813512048E-2</v>
      </c>
    </row>
    <row r="16" spans="2:17" ht="14" customHeight="1" x14ac:dyDescent="0.3">
      <c r="B16" s="4" t="s">
        <v>214</v>
      </c>
      <c r="D16" s="39">
        <f t="shared" ref="D16:I16" si="1">MEDIAN(J6:J9)</f>
        <v>23.335313691810949</v>
      </c>
      <c r="E16" s="39">
        <f t="shared" si="1"/>
        <v>1.2718106032484719</v>
      </c>
      <c r="F16" s="39">
        <f t="shared" si="1"/>
        <v>17.084418299019656</v>
      </c>
      <c r="G16" s="39">
        <f t="shared" si="1"/>
        <v>1.8962910709668899</v>
      </c>
      <c r="H16" s="40">
        <f t="shared" si="1"/>
        <v>3.0746247492104729E-2</v>
      </c>
      <c r="I16" s="40">
        <f t="shared" si="1"/>
        <v>0.10987423631961438</v>
      </c>
    </row>
    <row r="17" spans="2:9" ht="14" customHeight="1" x14ac:dyDescent="0.3">
      <c r="B17" s="4" t="s">
        <v>215</v>
      </c>
      <c r="D17" s="39">
        <f t="shared" ref="D17:I17" si="2">PERCENTILE(J6:J9,0.75)</f>
        <v>25.638293324032841</v>
      </c>
      <c r="E17" s="39">
        <f t="shared" si="2"/>
        <v>1.3286873917862985</v>
      </c>
      <c r="F17" s="39">
        <f t="shared" si="2"/>
        <v>18.439839214650235</v>
      </c>
      <c r="G17" s="39">
        <f t="shared" si="2"/>
        <v>2.0103610017048839</v>
      </c>
      <c r="H17" s="40">
        <f t="shared" si="2"/>
        <v>3.5126668942477068E-2</v>
      </c>
      <c r="I17" s="40">
        <f t="shared" si="2"/>
        <v>0.12762634489629157</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625886</v>
      </c>
    </row>
    <row r="22" spans="2:9" ht="14" customHeight="1" x14ac:dyDescent="0.3">
      <c r="B22" s="4" t="s">
        <v>219</v>
      </c>
      <c r="C22" s="5">
        <v>600334</v>
      </c>
    </row>
    <row r="23" spans="2:9" ht="14" customHeight="1" x14ac:dyDescent="0.3">
      <c r="B23" s="4" t="s">
        <v>220</v>
      </c>
      <c r="C23" s="15">
        <v>4726925815</v>
      </c>
    </row>
    <row r="24" spans="2:9" ht="14" customHeight="1" x14ac:dyDescent="0.3">
      <c r="B24" s="4" t="s">
        <v>72</v>
      </c>
      <c r="C24" s="5">
        <v>3278270</v>
      </c>
    </row>
    <row r="26" spans="2:9" ht="14" customHeight="1" x14ac:dyDescent="0.3">
      <c r="B26" s="3" t="s">
        <v>221</v>
      </c>
    </row>
    <row r="27" spans="2:9" ht="14" customHeight="1" x14ac:dyDescent="0.3">
      <c r="B27" s="4" t="s">
        <v>222</v>
      </c>
      <c r="C27" s="24">
        <f>ROUND((C21*D16-C24)*1000000/C23,0)</f>
        <v>2396</v>
      </c>
    </row>
    <row r="28" spans="2:9" ht="14" customHeight="1" x14ac:dyDescent="0.3">
      <c r="B28" s="4" t="s">
        <v>223</v>
      </c>
      <c r="C28" s="24">
        <f>ROUND(C22*F16*1000000/C23,0)</f>
        <v>2170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8.4126782999058722E-2</v>
      </c>
      <c r="E3" s="4" t="s">
        <v>226</v>
      </c>
      <c r="F3" s="16">
        <f>'DCF Model'!C13</f>
        <v>0.01</v>
      </c>
      <c r="H3" s="4" t="s">
        <v>227</v>
      </c>
      <c r="I3" s="14">
        <f>'DCF Model'!C14</f>
        <v>7</v>
      </c>
    </row>
    <row r="5" spans="2:9" ht="14" customHeight="1" x14ac:dyDescent="0.3">
      <c r="B5" s="3" t="s">
        <v>228</v>
      </c>
    </row>
    <row r="6" spans="2:9" ht="14" customHeight="1" x14ac:dyDescent="0.3">
      <c r="B6" s="41" t="s">
        <v>229</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6.9126782999058722E-2</v>
      </c>
      <c r="C7" s="38">
        <f>IFERROR(ROUND(('DCF Model'!C45/(1+$B7)^('DCF Model'!C19+0)+'DCF Model'!D45/(1+$B7)^('DCF Model'!C19+1)+'DCF Model'!E45/(1+$B7)^('DCF Model'!C19+2)+'DCF Model'!F45/(1+$B7)^('DCF Model'!C19+3)+'DCF Model'!G45/(1+$B7)^('DCF Model'!C19+4)+'DCF Model'!G45*(1+C$6)/($B7-C$6)/(1+$B7)^('DCF Model'!C19+4)-'DCF Model'!C16)*1000000/'DCF Model'!C15,0),"")</f>
        <v>140</v>
      </c>
      <c r="D7" s="38">
        <f>IFERROR(ROUND(('DCF Model'!C45/(1+$B7)^('DCF Model'!C19+0)+'DCF Model'!D45/(1+$B7)^('DCF Model'!C19+1)+'DCF Model'!E45/(1+$B7)^('DCF Model'!C19+2)+'DCF Model'!F45/(1+$B7)^('DCF Model'!C19+3)+'DCF Model'!G45/(1+$B7)^('DCF Model'!C19+4)+'DCF Model'!G45*(1+D$6)/($B7-D$6)/(1+$B7)^('DCF Model'!C19+4)-'DCF Model'!C16)*1000000/'DCF Model'!C15,0),"")</f>
        <v>168</v>
      </c>
      <c r="E7" s="38">
        <f>IFERROR(ROUND(('DCF Model'!C45/(1+$B7)^('DCF Model'!C19+0)+'DCF Model'!D45/(1+$B7)^('DCF Model'!C19+1)+'DCF Model'!E45/(1+$B7)^('DCF Model'!C19+2)+'DCF Model'!F45/(1+$B7)^('DCF Model'!C19+3)+'DCF Model'!G45/(1+$B7)^('DCF Model'!C19+4)+'DCF Model'!G45*(1+E$6)/($B7-E$6)/(1+$B7)^('DCF Model'!C19+4)-'DCF Model'!C16)*1000000/'DCF Model'!C15,0),"")</f>
        <v>198</v>
      </c>
      <c r="F7" s="38">
        <f>IFERROR(ROUND(('DCF Model'!C45/(1+$B7)^('DCF Model'!C19+0)+'DCF Model'!D45/(1+$B7)^('DCF Model'!C19+1)+'DCF Model'!E45/(1+$B7)^('DCF Model'!C19+2)+'DCF Model'!F45/(1+$B7)^('DCF Model'!C19+3)+'DCF Model'!G45/(1+$B7)^('DCF Model'!C19+4)+'DCF Model'!G45*(1+F$6)/($B7-F$6)/(1+$B7)^('DCF Model'!C19+4)-'DCF Model'!C16)*1000000/'DCF Model'!C15,0),"")</f>
        <v>231</v>
      </c>
      <c r="G7" s="38">
        <f>IFERROR(ROUND(('DCF Model'!C45/(1+$B7)^('DCF Model'!C19+0)+'DCF Model'!D45/(1+$B7)^('DCF Model'!C19+1)+'DCF Model'!E45/(1+$B7)^('DCF Model'!C19+2)+'DCF Model'!F45/(1+$B7)^('DCF Model'!C19+3)+'DCF Model'!G45/(1+$B7)^('DCF Model'!C19+4)+'DCF Model'!G45*(1+G$6)/($B7-G$6)/(1+$B7)^('DCF Model'!C19+4)-'DCF Model'!C16)*1000000/'DCF Model'!C15,0),"")</f>
        <v>267</v>
      </c>
      <c r="H7" s="38">
        <f>IFERROR(ROUND(('DCF Model'!C45/(1+$B7)^('DCF Model'!C19+0)+'DCF Model'!D45/(1+$B7)^('DCF Model'!C19+1)+'DCF Model'!E45/(1+$B7)^('DCF Model'!C19+2)+'DCF Model'!F45/(1+$B7)^('DCF Model'!C19+3)+'DCF Model'!G45/(1+$B7)^('DCF Model'!C19+4)+'DCF Model'!G45*(1+H$6)/($B7-H$6)/(1+$B7)^('DCF Model'!C19+4)-'DCF Model'!C16)*1000000/'DCF Model'!C15,0),"")</f>
        <v>307</v>
      </c>
      <c r="I7" s="38">
        <f>IFERROR(ROUND(('DCF Model'!C45/(1+$B7)^('DCF Model'!C19+0)+'DCF Model'!D45/(1+$B7)^('DCF Model'!C19+1)+'DCF Model'!E45/(1+$B7)^('DCF Model'!C19+2)+'DCF Model'!F45/(1+$B7)^('DCF Model'!C19+3)+'DCF Model'!G45/(1+$B7)^('DCF Model'!C19+4)+'DCF Model'!G45*(1+I$6)/($B7-I$6)/(1+$B7)^('DCF Model'!C19+4)-'DCF Model'!C16)*1000000/'DCF Model'!C15,0),"")</f>
        <v>350</v>
      </c>
    </row>
    <row r="8" spans="2:9" ht="13.5" customHeight="1" x14ac:dyDescent="0.25">
      <c r="B8" s="40">
        <f>$C$3-0.01</f>
        <v>7.4126782999058727E-2</v>
      </c>
      <c r="C8" s="38">
        <f>IFERROR(ROUND(('DCF Model'!C45/(1+$B8)^('DCF Model'!C19+0)+'DCF Model'!D45/(1+$B8)^('DCF Model'!C19+1)+'DCF Model'!E45/(1+$B8)^('DCF Model'!C19+2)+'DCF Model'!F45/(1+$B8)^('DCF Model'!C19+3)+'DCF Model'!G45/(1+$B8)^('DCF Model'!C19+4)+'DCF Model'!G45*(1+C$6)/($B8-C$6)/(1+$B8)^('DCF Model'!C19+4)-'DCF Model'!C16)*1000000/'DCF Model'!C15,0),"")</f>
        <v>75</v>
      </c>
      <c r="D8" s="38">
        <f>IFERROR(ROUND(('DCF Model'!C45/(1+$B8)^('DCF Model'!C19+0)+'DCF Model'!D45/(1+$B8)^('DCF Model'!C19+1)+'DCF Model'!E45/(1+$B8)^('DCF Model'!C19+2)+'DCF Model'!F45/(1+$B8)^('DCF Model'!C19+3)+'DCF Model'!G45/(1+$B8)^('DCF Model'!C19+4)+'DCF Model'!G45*(1+D$6)/($B8-D$6)/(1+$B8)^('DCF Model'!C19+4)-'DCF Model'!C16)*1000000/'DCF Model'!C15,0),"")</f>
        <v>99</v>
      </c>
      <c r="E8" s="38">
        <f>IFERROR(ROUND(('DCF Model'!C45/(1+$B8)^('DCF Model'!C19+0)+'DCF Model'!D45/(1+$B8)^('DCF Model'!C19+1)+'DCF Model'!E45/(1+$B8)^('DCF Model'!C19+2)+'DCF Model'!F45/(1+$B8)^('DCF Model'!C19+3)+'DCF Model'!G45/(1+$B8)^('DCF Model'!C19+4)+'DCF Model'!G45*(1+E$6)/($B8-E$6)/(1+$B8)^('DCF Model'!C19+4)-'DCF Model'!C16)*1000000/'DCF Model'!C15,0),"")</f>
        <v>125</v>
      </c>
      <c r="F8" s="38">
        <f>IFERROR(ROUND(('DCF Model'!C45/(1+$B8)^('DCF Model'!C19+0)+'DCF Model'!D45/(1+$B8)^('DCF Model'!C19+1)+'DCF Model'!E45/(1+$B8)^('DCF Model'!C19+2)+'DCF Model'!F45/(1+$B8)^('DCF Model'!C19+3)+'DCF Model'!G45/(1+$B8)^('DCF Model'!C19+4)+'DCF Model'!G45*(1+F$6)/($B8-F$6)/(1+$B8)^('DCF Model'!C19+4)-'DCF Model'!C16)*1000000/'DCF Model'!C15,0),"")</f>
        <v>152</v>
      </c>
      <c r="G8" s="38">
        <f>IFERROR(ROUND(('DCF Model'!C45/(1+$B8)^('DCF Model'!C19+0)+'DCF Model'!D45/(1+$B8)^('DCF Model'!C19+1)+'DCF Model'!E45/(1+$B8)^('DCF Model'!C19+2)+'DCF Model'!F45/(1+$B8)^('DCF Model'!C19+3)+'DCF Model'!G45/(1+$B8)^('DCF Model'!C19+4)+'DCF Model'!G45*(1+G$6)/($B8-G$6)/(1+$B8)^('DCF Model'!C19+4)-'DCF Model'!C16)*1000000/'DCF Model'!C15,0),"")</f>
        <v>182</v>
      </c>
      <c r="H8" s="38">
        <f>IFERROR(ROUND(('DCF Model'!C45/(1+$B8)^('DCF Model'!C19+0)+'DCF Model'!D45/(1+$B8)^('DCF Model'!C19+1)+'DCF Model'!E45/(1+$B8)^('DCF Model'!C19+2)+'DCF Model'!F45/(1+$B8)^('DCF Model'!C19+3)+'DCF Model'!G45/(1+$B8)^('DCF Model'!C19+4)+'DCF Model'!G45*(1+H$6)/($B8-H$6)/(1+$B8)^('DCF Model'!C19+4)-'DCF Model'!C16)*1000000/'DCF Model'!C15,0),"")</f>
        <v>215</v>
      </c>
      <c r="I8" s="38">
        <f>IFERROR(ROUND(('DCF Model'!C45/(1+$B8)^('DCF Model'!C19+0)+'DCF Model'!D45/(1+$B8)^('DCF Model'!C19+1)+'DCF Model'!E45/(1+$B8)^('DCF Model'!C19+2)+'DCF Model'!F45/(1+$B8)^('DCF Model'!C19+3)+'DCF Model'!G45/(1+$B8)^('DCF Model'!C19+4)+'DCF Model'!G45*(1+I$6)/($B8-I$6)/(1+$B8)^('DCF Model'!C19+4)-'DCF Model'!C16)*1000000/'DCF Model'!C15,0),"")</f>
        <v>250</v>
      </c>
    </row>
    <row r="9" spans="2:9" ht="13.5" customHeight="1" x14ac:dyDescent="0.25">
      <c r="B9" s="40">
        <f>$C$3-0.005</f>
        <v>7.9126782999058717E-2</v>
      </c>
      <c r="C9" s="38">
        <f>IFERROR(ROUND(('DCF Model'!C45/(1+$B9)^('DCF Model'!C19+0)+'DCF Model'!D45/(1+$B9)^('DCF Model'!C19+1)+'DCF Model'!E45/(1+$B9)^('DCF Model'!C19+2)+'DCF Model'!F45/(1+$B9)^('DCF Model'!C19+3)+'DCF Model'!G45/(1+$B9)^('DCF Model'!C19+4)+'DCF Model'!G45*(1+C$6)/($B9-C$6)/(1+$B9)^('DCF Model'!C19+4)-'DCF Model'!C16)*1000000/'DCF Model'!C15,0),"")</f>
        <v>19</v>
      </c>
      <c r="D9" s="38">
        <f>IFERROR(ROUND(('DCF Model'!C45/(1+$B9)^('DCF Model'!C19+0)+'DCF Model'!D45/(1+$B9)^('DCF Model'!C19+1)+'DCF Model'!E45/(1+$B9)^('DCF Model'!C19+2)+'DCF Model'!F45/(1+$B9)^('DCF Model'!C19+3)+'DCF Model'!G45/(1+$B9)^('DCF Model'!C19+4)+'DCF Model'!G45*(1+D$6)/($B9-D$6)/(1+$B9)^('DCF Model'!C19+4)-'DCF Model'!C16)*1000000/'DCF Model'!C15,0),"")</f>
        <v>39</v>
      </c>
      <c r="E9" s="38">
        <f>IFERROR(ROUND(('DCF Model'!C45/(1+$B9)^('DCF Model'!C19+0)+'DCF Model'!D45/(1+$B9)^('DCF Model'!C19+1)+'DCF Model'!E45/(1+$B9)^('DCF Model'!C19+2)+'DCF Model'!F45/(1+$B9)^('DCF Model'!C19+3)+'DCF Model'!G45/(1+$B9)^('DCF Model'!C19+4)+'DCF Model'!G45*(1+E$6)/($B9-E$6)/(1+$B9)^('DCF Model'!C19+4)-'DCF Model'!C16)*1000000/'DCF Model'!C15,0),"")</f>
        <v>61</v>
      </c>
      <c r="F9" s="38">
        <f>IFERROR(ROUND(('DCF Model'!C45/(1+$B9)^('DCF Model'!C19+0)+'DCF Model'!D45/(1+$B9)^('DCF Model'!C19+1)+'DCF Model'!E45/(1+$B9)^('DCF Model'!C19+2)+'DCF Model'!F45/(1+$B9)^('DCF Model'!C19+3)+'DCF Model'!G45/(1+$B9)^('DCF Model'!C19+4)+'DCF Model'!G45*(1+F$6)/($B9-F$6)/(1+$B9)^('DCF Model'!C19+4)-'DCF Model'!C16)*1000000/'DCF Model'!C15,0),"")</f>
        <v>85</v>
      </c>
      <c r="G9" s="38">
        <f>IFERROR(ROUND(('DCF Model'!C45/(1+$B9)^('DCF Model'!C19+0)+'DCF Model'!D45/(1+$B9)^('DCF Model'!C19+1)+'DCF Model'!E45/(1+$B9)^('DCF Model'!C19+2)+'DCF Model'!F45/(1+$B9)^('DCF Model'!C19+3)+'DCF Model'!G45/(1+$B9)^('DCF Model'!C19+4)+'DCF Model'!G45*(1+G$6)/($B9-G$6)/(1+$B9)^('DCF Model'!C19+4)-'DCF Model'!C16)*1000000/'DCF Model'!C15,0),"")</f>
        <v>110</v>
      </c>
      <c r="H9" s="38">
        <f>IFERROR(ROUND(('DCF Model'!C45/(1+$B9)^('DCF Model'!C19+0)+'DCF Model'!D45/(1+$B9)^('DCF Model'!C19+1)+'DCF Model'!E45/(1+$B9)^('DCF Model'!C19+2)+'DCF Model'!F45/(1+$B9)^('DCF Model'!C19+3)+'DCF Model'!G45/(1+$B9)^('DCF Model'!C19+4)+'DCF Model'!G45*(1+H$6)/($B9-H$6)/(1+$B9)^('DCF Model'!C19+4)-'DCF Model'!C16)*1000000/'DCF Model'!C15,0),"")</f>
        <v>137</v>
      </c>
      <c r="I9" s="38">
        <f>IFERROR(ROUND(('DCF Model'!C45/(1+$B9)^('DCF Model'!C19+0)+'DCF Model'!D45/(1+$B9)^('DCF Model'!C19+1)+'DCF Model'!E45/(1+$B9)^('DCF Model'!C19+2)+'DCF Model'!F45/(1+$B9)^('DCF Model'!C19+3)+'DCF Model'!G45/(1+$B9)^('DCF Model'!C19+4)+'DCF Model'!G45*(1+I$6)/($B9-I$6)/(1+$B9)^('DCF Model'!C19+4)-'DCF Model'!C16)*1000000/'DCF Model'!C15,0),"")</f>
        <v>166</v>
      </c>
    </row>
    <row r="10" spans="2:9" ht="13.5" customHeight="1" x14ac:dyDescent="0.25">
      <c r="B10" s="40">
        <f>$C$3</f>
        <v>8.4126782999058722E-2</v>
      </c>
      <c r="C10" s="38">
        <f>IFERROR(ROUND(('DCF Model'!C45/(1+$B10)^('DCF Model'!C19+0)+'DCF Model'!D45/(1+$B10)^('DCF Model'!C19+1)+'DCF Model'!E45/(1+$B10)^('DCF Model'!C19+2)+'DCF Model'!F45/(1+$B10)^('DCF Model'!C19+3)+'DCF Model'!G45/(1+$B10)^('DCF Model'!C19+4)+'DCF Model'!G45*(1+C$6)/($B10-C$6)/(1+$B10)^('DCF Model'!C19+4)-'DCF Model'!C16)*1000000/'DCF Model'!C15,0),"")</f>
        <v>-30</v>
      </c>
      <c r="D10" s="38">
        <f>IFERROR(ROUND(('DCF Model'!C45/(1+$B10)^('DCF Model'!C19+0)+'DCF Model'!D45/(1+$B10)^('DCF Model'!C19+1)+'DCF Model'!E45/(1+$B10)^('DCF Model'!C19+2)+'DCF Model'!F45/(1+$B10)^('DCF Model'!C19+3)+'DCF Model'!G45/(1+$B10)^('DCF Model'!C19+4)+'DCF Model'!G45*(1+D$6)/($B10-D$6)/(1+$B10)^('DCF Model'!C19+4)-'DCF Model'!C16)*1000000/'DCF Model'!C15,0),"")</f>
        <v>-13</v>
      </c>
      <c r="E10" s="38">
        <f>IFERROR(ROUND(('DCF Model'!C45/(1+$B10)^('DCF Model'!C19+0)+'DCF Model'!D45/(1+$B10)^('DCF Model'!C19+1)+'DCF Model'!E45/(1+$B10)^('DCF Model'!C19+2)+'DCF Model'!F45/(1+$B10)^('DCF Model'!C19+3)+'DCF Model'!G45/(1+$B10)^('DCF Model'!C19+4)+'DCF Model'!G45*(1+E$6)/($B10-E$6)/(1+$B10)^('DCF Model'!C19+4)-'DCF Model'!C16)*1000000/'DCF Model'!C15,0),"")</f>
        <v>6</v>
      </c>
      <c r="F10" s="38">
        <f>IFERROR(ROUND(('DCF Model'!C45/(1+$B10)^('DCF Model'!C19+0)+'DCF Model'!D45/(1+$B10)^('DCF Model'!C19+1)+'DCF Model'!E45/(1+$B10)^('DCF Model'!C19+2)+'DCF Model'!F45/(1+$B10)^('DCF Model'!C19+3)+'DCF Model'!G45/(1+$B10)^('DCF Model'!C19+4)+'DCF Model'!G45*(1+F$6)/($B10-F$6)/(1+$B10)^('DCF Model'!C19+4)-'DCF Model'!C16)*1000000/'DCF Model'!C15,0),"")</f>
        <v>26</v>
      </c>
      <c r="G10" s="38">
        <f>IFERROR(ROUND(('DCF Model'!C45/(1+$B10)^('DCF Model'!C19+0)+'DCF Model'!D45/(1+$B10)^('DCF Model'!C19+1)+'DCF Model'!E45/(1+$B10)^('DCF Model'!C19+2)+'DCF Model'!F45/(1+$B10)^('DCF Model'!C19+3)+'DCF Model'!G45/(1+$B10)^('DCF Model'!C19+4)+'DCF Model'!G45*(1+G$6)/($B10-G$6)/(1+$B10)^('DCF Model'!C19+4)-'DCF Model'!C16)*1000000/'DCF Model'!C15,0),"")</f>
        <v>48</v>
      </c>
      <c r="H10" s="38">
        <f>IFERROR(ROUND(('DCF Model'!C45/(1+$B10)^('DCF Model'!C19+0)+'DCF Model'!D45/(1+$B10)^('DCF Model'!C19+1)+'DCF Model'!E45/(1+$B10)^('DCF Model'!C19+2)+'DCF Model'!F45/(1+$B10)^('DCF Model'!C19+3)+'DCF Model'!G45/(1+$B10)^('DCF Model'!C19+4)+'DCF Model'!G45*(1+H$6)/($B10-H$6)/(1+$B10)^('DCF Model'!C19+4)-'DCF Model'!C16)*1000000/'DCF Model'!C15,0),"")</f>
        <v>70</v>
      </c>
      <c r="I10" s="38">
        <f>IFERROR(ROUND(('DCF Model'!C45/(1+$B10)^('DCF Model'!C19+0)+'DCF Model'!D45/(1+$B10)^('DCF Model'!C19+1)+'DCF Model'!E45/(1+$B10)^('DCF Model'!C19+2)+'DCF Model'!F45/(1+$B10)^('DCF Model'!C19+3)+'DCF Model'!G45/(1+$B10)^('DCF Model'!C19+4)+'DCF Model'!G45*(1+I$6)/($B10-I$6)/(1+$B10)^('DCF Model'!C19+4)-'DCF Model'!C16)*1000000/'DCF Model'!C15,0),"")</f>
        <v>95</v>
      </c>
    </row>
    <row r="11" spans="2:9" ht="13.5" customHeight="1" x14ac:dyDescent="0.25">
      <c r="B11" s="40">
        <f>$C$3+0.005</f>
        <v>8.9126782999058726E-2</v>
      </c>
      <c r="C11" s="38">
        <f>IFERROR(ROUND(('DCF Model'!C45/(1+$B11)^('DCF Model'!C19+0)+'DCF Model'!D45/(1+$B11)^('DCF Model'!C19+1)+'DCF Model'!E45/(1+$B11)^('DCF Model'!C19+2)+'DCF Model'!F45/(1+$B11)^('DCF Model'!C19+3)+'DCF Model'!G45/(1+$B11)^('DCF Model'!C19+4)+'DCF Model'!G45*(1+C$6)/($B11-C$6)/(1+$B11)^('DCF Model'!C19+4)-'DCF Model'!C16)*1000000/'DCF Model'!C15,0),"")</f>
        <v>-74</v>
      </c>
      <c r="D11" s="38">
        <f>IFERROR(ROUND(('DCF Model'!C45/(1+$B11)^('DCF Model'!C19+0)+'DCF Model'!D45/(1+$B11)^('DCF Model'!C19+1)+'DCF Model'!E45/(1+$B11)^('DCF Model'!C19+2)+'DCF Model'!F45/(1+$B11)^('DCF Model'!C19+3)+'DCF Model'!G45/(1+$B11)^('DCF Model'!C19+4)+'DCF Model'!G45*(1+D$6)/($B11-D$6)/(1+$B11)^('DCF Model'!C19+4)-'DCF Model'!C16)*1000000/'DCF Model'!C15,0),"")</f>
        <v>-59</v>
      </c>
      <c r="E11" s="38">
        <f>IFERROR(ROUND(('DCF Model'!C45/(1+$B11)^('DCF Model'!C19+0)+'DCF Model'!D45/(1+$B11)^('DCF Model'!C19+1)+'DCF Model'!E45/(1+$B11)^('DCF Model'!C19+2)+'DCF Model'!F45/(1+$B11)^('DCF Model'!C19+3)+'DCF Model'!G45/(1+$B11)^('DCF Model'!C19+4)+'DCF Model'!G45*(1+E$6)/($B11-E$6)/(1+$B11)^('DCF Model'!C19+4)-'DCF Model'!C16)*1000000/'DCF Model'!C15,0),"")</f>
        <v>-42</v>
      </c>
      <c r="F11" s="38">
        <f>IFERROR(ROUND(('DCF Model'!C45/(1+$B11)^('DCF Model'!C19+0)+'DCF Model'!D45/(1+$B11)^('DCF Model'!C19+1)+'DCF Model'!E45/(1+$B11)^('DCF Model'!C19+2)+'DCF Model'!F45/(1+$B11)^('DCF Model'!C19+3)+'DCF Model'!G45/(1+$B11)^('DCF Model'!C19+4)+'DCF Model'!G45*(1+F$6)/($B11-F$6)/(1+$B11)^('DCF Model'!C19+4)-'DCF Model'!C16)*1000000/'DCF Model'!C15,0),"")</f>
        <v>-25</v>
      </c>
      <c r="G11" s="38">
        <f>IFERROR(ROUND(('DCF Model'!C45/(1+$B11)^('DCF Model'!C19+0)+'DCF Model'!D45/(1+$B11)^('DCF Model'!C19+1)+'DCF Model'!E45/(1+$B11)^('DCF Model'!C19+2)+'DCF Model'!F45/(1+$B11)^('DCF Model'!C19+3)+'DCF Model'!G45/(1+$B11)^('DCF Model'!C19+4)+'DCF Model'!G45*(1+G$6)/($B11-G$6)/(1+$B11)^('DCF Model'!C19+4)-'DCF Model'!C16)*1000000/'DCF Model'!C15,0),"")</f>
        <v>-7</v>
      </c>
      <c r="H11" s="38">
        <f>IFERROR(ROUND(('DCF Model'!C45/(1+$B11)^('DCF Model'!C19+0)+'DCF Model'!D45/(1+$B11)^('DCF Model'!C19+1)+'DCF Model'!E45/(1+$B11)^('DCF Model'!C19+2)+'DCF Model'!F45/(1+$B11)^('DCF Model'!C19+3)+'DCF Model'!G45/(1+$B11)^('DCF Model'!C19+4)+'DCF Model'!G45*(1+H$6)/($B11-H$6)/(1+$B11)^('DCF Model'!C19+4)-'DCF Model'!C16)*1000000/'DCF Model'!C15,0),"")</f>
        <v>13</v>
      </c>
      <c r="I11" s="38">
        <f>IFERROR(ROUND(('DCF Model'!C45/(1+$B11)^('DCF Model'!C19+0)+'DCF Model'!D45/(1+$B11)^('DCF Model'!C19+1)+'DCF Model'!E45/(1+$B11)^('DCF Model'!C19+2)+'DCF Model'!F45/(1+$B11)^('DCF Model'!C19+3)+'DCF Model'!G45/(1+$B11)^('DCF Model'!C19+4)+'DCF Model'!G45*(1+I$6)/($B11-I$6)/(1+$B11)^('DCF Model'!C19+4)-'DCF Model'!C16)*1000000/'DCF Model'!C15,0),"")</f>
        <v>34</v>
      </c>
    </row>
    <row r="12" spans="2:9" ht="13.5" customHeight="1" x14ac:dyDescent="0.25">
      <c r="B12" s="40">
        <f>$C$3+0.01</f>
        <v>9.4126782999058717E-2</v>
      </c>
      <c r="C12" s="38">
        <f>IFERROR(ROUND(('DCF Model'!C45/(1+$B12)^('DCF Model'!C19+0)+'DCF Model'!D45/(1+$B12)^('DCF Model'!C19+1)+'DCF Model'!E45/(1+$B12)^('DCF Model'!C19+2)+'DCF Model'!F45/(1+$B12)^('DCF Model'!C19+3)+'DCF Model'!G45/(1+$B12)^('DCF Model'!C19+4)+'DCF Model'!G45*(1+C$6)/($B12-C$6)/(1+$B12)^('DCF Model'!C19+4)-'DCF Model'!C16)*1000000/'DCF Model'!C15,0),"")</f>
        <v>-113</v>
      </c>
      <c r="D12" s="38">
        <f>IFERROR(ROUND(('DCF Model'!C45/(1+$B12)^('DCF Model'!C19+0)+'DCF Model'!D45/(1+$B12)^('DCF Model'!C19+1)+'DCF Model'!E45/(1+$B12)^('DCF Model'!C19+2)+'DCF Model'!F45/(1+$B12)^('DCF Model'!C19+3)+'DCF Model'!G45/(1+$B12)^('DCF Model'!C19+4)+'DCF Model'!G45*(1+D$6)/($B12-D$6)/(1+$B12)^('DCF Model'!C19+4)-'DCF Model'!C16)*1000000/'DCF Model'!C15,0),"")</f>
        <v>-99</v>
      </c>
      <c r="E12" s="38">
        <f>IFERROR(ROUND(('DCF Model'!C45/(1+$B12)^('DCF Model'!C19+0)+'DCF Model'!D45/(1+$B12)^('DCF Model'!C19+1)+'DCF Model'!E45/(1+$B12)^('DCF Model'!C19+2)+'DCF Model'!F45/(1+$B12)^('DCF Model'!C19+3)+'DCF Model'!G45/(1+$B12)^('DCF Model'!C19+4)+'DCF Model'!G45*(1+E$6)/($B12-E$6)/(1+$B12)^('DCF Model'!C19+4)-'DCF Model'!C16)*1000000/'DCF Model'!C15,0),"")</f>
        <v>-85</v>
      </c>
      <c r="F12" s="38">
        <f>IFERROR(ROUND(('DCF Model'!C45/(1+$B12)^('DCF Model'!C19+0)+'DCF Model'!D45/(1+$B12)^('DCF Model'!C19+1)+'DCF Model'!E45/(1+$B12)^('DCF Model'!C19+2)+'DCF Model'!F45/(1+$B12)^('DCF Model'!C19+3)+'DCF Model'!G45/(1+$B12)^('DCF Model'!C19+4)+'DCF Model'!G45*(1+F$6)/($B12-F$6)/(1+$B12)^('DCF Model'!C19+4)-'DCF Model'!C16)*1000000/'DCF Model'!C15,0),"")</f>
        <v>-70</v>
      </c>
      <c r="G12" s="38">
        <f>IFERROR(ROUND(('DCF Model'!C45/(1+$B12)^('DCF Model'!C19+0)+'DCF Model'!D45/(1+$B12)^('DCF Model'!C19+1)+'DCF Model'!E45/(1+$B12)^('DCF Model'!C19+2)+'DCF Model'!F45/(1+$B12)^('DCF Model'!C19+3)+'DCF Model'!G45/(1+$B12)^('DCF Model'!C19+4)+'DCF Model'!G45*(1+G$6)/($B12-G$6)/(1+$B12)^('DCF Model'!C19+4)-'DCF Model'!C16)*1000000/'DCF Model'!C15,0),"")</f>
        <v>-54</v>
      </c>
      <c r="H12" s="38">
        <f>IFERROR(ROUND(('DCF Model'!C45/(1+$B12)^('DCF Model'!C19+0)+'DCF Model'!D45/(1+$B12)^('DCF Model'!C19+1)+'DCF Model'!E45/(1+$B12)^('DCF Model'!C19+2)+'DCF Model'!F45/(1+$B12)^('DCF Model'!C19+3)+'DCF Model'!G45/(1+$B12)^('DCF Model'!C19+4)+'DCF Model'!G45*(1+H$6)/($B12-H$6)/(1+$B12)^('DCF Model'!C19+4)-'DCF Model'!C16)*1000000/'DCF Model'!C15,0),"")</f>
        <v>-37</v>
      </c>
      <c r="I12" s="38">
        <f>IFERROR(ROUND(('DCF Model'!C45/(1+$B12)^('DCF Model'!C19+0)+'DCF Model'!D45/(1+$B12)^('DCF Model'!C19+1)+'DCF Model'!E45/(1+$B12)^('DCF Model'!C19+2)+'DCF Model'!F45/(1+$B12)^('DCF Model'!C19+3)+'DCF Model'!G45/(1+$B12)^('DCF Model'!C19+4)+'DCF Model'!G45*(1+I$6)/($B12-I$6)/(1+$B12)^('DCF Model'!C19+4)-'DCF Model'!C16)*1000000/'DCF Model'!C15,0),"")</f>
        <v>-19</v>
      </c>
    </row>
    <row r="13" spans="2:9" ht="13.5" customHeight="1" x14ac:dyDescent="0.25">
      <c r="B13" s="40">
        <f>$C$3+0.015</f>
        <v>9.9126782999058721E-2</v>
      </c>
      <c r="C13" s="38">
        <f>IFERROR(ROUND(('DCF Model'!C45/(1+$B13)^('DCF Model'!C19+0)+'DCF Model'!D45/(1+$B13)^('DCF Model'!C19+1)+'DCF Model'!E45/(1+$B13)^('DCF Model'!C19+2)+'DCF Model'!F45/(1+$B13)^('DCF Model'!C19+3)+'DCF Model'!G45/(1+$B13)^('DCF Model'!C19+4)+'DCF Model'!G45*(1+C$6)/($B13-C$6)/(1+$B13)^('DCF Model'!C19+4)-'DCF Model'!C16)*1000000/'DCF Model'!C15,0),"")</f>
        <v>-147</v>
      </c>
      <c r="D13" s="38">
        <f>IFERROR(ROUND(('DCF Model'!C45/(1+$B13)^('DCF Model'!C19+0)+'DCF Model'!D45/(1+$B13)^('DCF Model'!C19+1)+'DCF Model'!E45/(1+$B13)^('DCF Model'!C19+2)+'DCF Model'!F45/(1+$B13)^('DCF Model'!C19+3)+'DCF Model'!G45/(1+$B13)^('DCF Model'!C19+4)+'DCF Model'!G45*(1+D$6)/($B13-D$6)/(1+$B13)^('DCF Model'!C19+4)-'DCF Model'!C16)*1000000/'DCF Model'!C15,0),"")</f>
        <v>-135</v>
      </c>
      <c r="E13" s="38">
        <f>IFERROR(ROUND(('DCF Model'!C45/(1+$B13)^('DCF Model'!C19+0)+'DCF Model'!D45/(1+$B13)^('DCF Model'!C19+1)+'DCF Model'!E45/(1+$B13)^('DCF Model'!C19+2)+'DCF Model'!F45/(1+$B13)^('DCF Model'!C19+3)+'DCF Model'!G45/(1+$B13)^('DCF Model'!C19+4)+'DCF Model'!G45*(1+E$6)/($B13-E$6)/(1+$B13)^('DCF Model'!C19+4)-'DCF Model'!C16)*1000000/'DCF Model'!C15,0),"")</f>
        <v>-123</v>
      </c>
      <c r="F13" s="38">
        <f>IFERROR(ROUND(('DCF Model'!C45/(1+$B13)^('DCF Model'!C19+0)+'DCF Model'!D45/(1+$B13)^('DCF Model'!C19+1)+'DCF Model'!E45/(1+$B13)^('DCF Model'!C19+2)+'DCF Model'!F45/(1+$B13)^('DCF Model'!C19+3)+'DCF Model'!G45/(1+$B13)^('DCF Model'!C19+4)+'DCF Model'!G45*(1+F$6)/($B13-F$6)/(1+$B13)^('DCF Model'!C19+4)-'DCF Model'!C16)*1000000/'DCF Model'!C15,0),"")</f>
        <v>-110</v>
      </c>
      <c r="G13" s="38">
        <f>IFERROR(ROUND(('DCF Model'!C45/(1+$B13)^('DCF Model'!C19+0)+'DCF Model'!D45/(1+$B13)^('DCF Model'!C19+1)+'DCF Model'!E45/(1+$B13)^('DCF Model'!C19+2)+'DCF Model'!F45/(1+$B13)^('DCF Model'!C19+3)+'DCF Model'!G45/(1+$B13)^('DCF Model'!C19+4)+'DCF Model'!G45*(1+G$6)/($B13-G$6)/(1+$B13)^('DCF Model'!C19+4)-'DCF Model'!C16)*1000000/'DCF Model'!C15,0),"")</f>
        <v>-96</v>
      </c>
      <c r="H13" s="38">
        <f>IFERROR(ROUND(('DCF Model'!C45/(1+$B13)^('DCF Model'!C19+0)+'DCF Model'!D45/(1+$B13)^('DCF Model'!C19+1)+'DCF Model'!E45/(1+$B13)^('DCF Model'!C19+2)+'DCF Model'!F45/(1+$B13)^('DCF Model'!C19+3)+'DCF Model'!G45/(1+$B13)^('DCF Model'!C19+4)+'DCF Model'!G45*(1+H$6)/($B13-H$6)/(1+$B13)^('DCF Model'!C19+4)-'DCF Model'!C16)*1000000/'DCF Model'!C15,0),"")</f>
        <v>-81</v>
      </c>
      <c r="I13" s="38">
        <f>IFERROR(ROUND(('DCF Model'!C45/(1+$B13)^('DCF Model'!C19+0)+'DCF Model'!D45/(1+$B13)^('DCF Model'!C19+1)+'DCF Model'!E45/(1+$B13)^('DCF Model'!C19+2)+'DCF Model'!F45/(1+$B13)^('DCF Model'!C19+3)+'DCF Model'!G45/(1+$B13)^('DCF Model'!C19+4)+'DCF Model'!G45*(1+I$6)/($B13-I$6)/(1+$B13)^('DCF Model'!C19+4)-'DCF Model'!C16)*1000000/'DCF Model'!C15,0),"")</f>
        <v>-65</v>
      </c>
    </row>
    <row r="16" spans="2:9" ht="14" customHeight="1" x14ac:dyDescent="0.3">
      <c r="B16" s="3" t="s">
        <v>230</v>
      </c>
    </row>
    <row r="17" spans="2:9" ht="14" customHeight="1" x14ac:dyDescent="0.3">
      <c r="B17" s="41" t="s">
        <v>231</v>
      </c>
      <c r="C17" s="43">
        <f>$I$3-3</f>
        <v>4</v>
      </c>
      <c r="D17" s="43">
        <f>$I$3-2</f>
        <v>5</v>
      </c>
      <c r="E17" s="43">
        <f>$I$3-1</f>
        <v>6</v>
      </c>
      <c r="F17" s="43">
        <f>$I$3</f>
        <v>7</v>
      </c>
      <c r="G17" s="43">
        <f>$I$3+1</f>
        <v>8</v>
      </c>
      <c r="H17" s="43">
        <f>$I$3+2</f>
        <v>9</v>
      </c>
      <c r="I17" s="43">
        <f>$I$3+3</f>
        <v>10</v>
      </c>
    </row>
    <row r="18" spans="2:9" ht="13.5" customHeight="1" x14ac:dyDescent="0.25">
      <c r="B18" s="40">
        <f>$C$3-0.015</f>
        <v>6.9126782999058722E-2</v>
      </c>
      <c r="C18" s="38">
        <f>IFERROR(ROUND(('DCF Model'!C45/(1+$B18)^('DCF Model'!C19+0)+'DCF Model'!D45/(1+$B18)^('DCF Model'!C19+1)+'DCF Model'!E45/(1+$B18)^('DCF Model'!C19+2)+'DCF Model'!F45/(1+$B18)^('DCF Model'!C19+3)+'DCF Model'!G45/(1+$B18)^('DCF Model'!C19+4)+('DCF Model'!G39+'DCF Model'!G42)*C$17/(1+$B18)^('DCF Model'!C19+4)-'DCF Model'!C16)*1000000/'DCF Model'!C15,0),"")</f>
        <v>-131</v>
      </c>
      <c r="D18" s="38">
        <f>IFERROR(ROUND(('DCF Model'!C45/(1+$B18)^('DCF Model'!C19+0)+'DCF Model'!D45/(1+$B18)^('DCF Model'!C19+1)+'DCF Model'!E45/(1+$B18)^('DCF Model'!C19+2)+'DCF Model'!F45/(1+$B18)^('DCF Model'!C19+3)+'DCF Model'!G45/(1+$B18)^('DCF Model'!C19+4)+('DCF Model'!G39+'DCF Model'!G42)*D$17/(1+$B18)^('DCF Model'!C19+4)-'DCF Model'!C16)*1000000/'DCF Model'!C15,0),"")</f>
        <v>-29</v>
      </c>
      <c r="E18" s="38">
        <f>IFERROR(ROUND(('DCF Model'!C45/(1+$B18)^('DCF Model'!C19+0)+'DCF Model'!D45/(1+$B18)^('DCF Model'!C19+1)+'DCF Model'!E45/(1+$B18)^('DCF Model'!C19+2)+'DCF Model'!F45/(1+$B18)^('DCF Model'!C19+3)+'DCF Model'!G45/(1+$B18)^('DCF Model'!C19+4)+('DCF Model'!G39+'DCF Model'!G42)*E$17/(1+$B18)^('DCF Model'!C19+4)-'DCF Model'!C16)*1000000/'DCF Model'!C15,0),"")</f>
        <v>72</v>
      </c>
      <c r="F18" s="38">
        <f>IFERROR(ROUND(('DCF Model'!C45/(1+$B18)^('DCF Model'!C19+0)+'DCF Model'!D45/(1+$B18)^('DCF Model'!C19+1)+'DCF Model'!E45/(1+$B18)^('DCF Model'!C19+2)+'DCF Model'!F45/(1+$B18)^('DCF Model'!C19+3)+'DCF Model'!G45/(1+$B18)^('DCF Model'!C19+4)+('DCF Model'!G39+'DCF Model'!G42)*F$17/(1+$B18)^('DCF Model'!C19+4)-'DCF Model'!C16)*1000000/'DCF Model'!C15,0),"")</f>
        <v>174</v>
      </c>
      <c r="G18" s="38">
        <f>IFERROR(ROUND(('DCF Model'!C45/(1+$B18)^('DCF Model'!C19+0)+'DCF Model'!D45/(1+$B18)^('DCF Model'!C19+1)+'DCF Model'!E45/(1+$B18)^('DCF Model'!C19+2)+'DCF Model'!F45/(1+$B18)^('DCF Model'!C19+3)+'DCF Model'!G45/(1+$B18)^('DCF Model'!C19+4)+('DCF Model'!G39+'DCF Model'!G42)*G$17/(1+$B18)^('DCF Model'!C19+4)-'DCF Model'!C16)*1000000/'DCF Model'!C15,0),"")</f>
        <v>276</v>
      </c>
      <c r="H18" s="38">
        <f>IFERROR(ROUND(('DCF Model'!C45/(1+$B18)^('DCF Model'!C19+0)+'DCF Model'!D45/(1+$B18)^('DCF Model'!C19+1)+'DCF Model'!E45/(1+$B18)^('DCF Model'!C19+2)+'DCF Model'!F45/(1+$B18)^('DCF Model'!C19+3)+'DCF Model'!G45/(1+$B18)^('DCF Model'!C19+4)+('DCF Model'!G39+'DCF Model'!G42)*H$17/(1+$B18)^('DCF Model'!C19+4)-'DCF Model'!C16)*1000000/'DCF Model'!C15,0),"")</f>
        <v>377</v>
      </c>
      <c r="I18" s="38">
        <f>IFERROR(ROUND(('DCF Model'!C45/(1+$B18)^('DCF Model'!C19+0)+'DCF Model'!D45/(1+$B18)^('DCF Model'!C19+1)+'DCF Model'!E45/(1+$B18)^('DCF Model'!C19+2)+'DCF Model'!F45/(1+$B18)^('DCF Model'!C19+3)+'DCF Model'!G45/(1+$B18)^('DCF Model'!C19+4)+('DCF Model'!G39+'DCF Model'!G42)*I$17/(1+$B18)^('DCF Model'!C19+4)-'DCF Model'!C16)*1000000/'DCF Model'!C15,0),"")</f>
        <v>479</v>
      </c>
    </row>
    <row r="19" spans="2:9" ht="13.5" customHeight="1" x14ac:dyDescent="0.25">
      <c r="B19" s="40">
        <f>$C$3-0.01</f>
        <v>7.4126782999058727E-2</v>
      </c>
      <c r="C19" s="38">
        <f>IFERROR(ROUND(('DCF Model'!C45/(1+$B19)^('DCF Model'!C19+0)+'DCF Model'!D45/(1+$B19)^('DCF Model'!C19+1)+'DCF Model'!E45/(1+$B19)^('DCF Model'!C19+2)+'DCF Model'!F45/(1+$B19)^('DCF Model'!C19+3)+'DCF Model'!G45/(1+$B19)^('DCF Model'!C19+4)+('DCF Model'!G39+'DCF Model'!G42)*C$17/(1+$B19)^('DCF Model'!C19+4)-'DCF Model'!C16)*1000000/'DCF Model'!C15,0),"")</f>
        <v>-143</v>
      </c>
      <c r="D19" s="38">
        <f>IFERROR(ROUND(('DCF Model'!C45/(1+$B19)^('DCF Model'!C19+0)+'DCF Model'!D45/(1+$B19)^('DCF Model'!C19+1)+'DCF Model'!E45/(1+$B19)^('DCF Model'!C19+2)+'DCF Model'!F45/(1+$B19)^('DCF Model'!C19+3)+'DCF Model'!G45/(1+$B19)^('DCF Model'!C19+4)+('DCF Model'!G39+'DCF Model'!G42)*D$17/(1+$B19)^('DCF Model'!C19+4)-'DCF Model'!C16)*1000000/'DCF Model'!C15,0),"")</f>
        <v>-44</v>
      </c>
      <c r="E19" s="38">
        <f>IFERROR(ROUND(('DCF Model'!C45/(1+$B19)^('DCF Model'!C19+0)+'DCF Model'!D45/(1+$B19)^('DCF Model'!C19+1)+'DCF Model'!E45/(1+$B19)^('DCF Model'!C19+2)+'DCF Model'!F45/(1+$B19)^('DCF Model'!C19+3)+'DCF Model'!G45/(1+$B19)^('DCF Model'!C19+4)+('DCF Model'!G39+'DCF Model'!G42)*E$17/(1+$B19)^('DCF Model'!C19+4)-'DCF Model'!C16)*1000000/'DCF Model'!C15,0),"")</f>
        <v>55</v>
      </c>
      <c r="F19" s="38">
        <f>IFERROR(ROUND(('DCF Model'!C45/(1+$B19)^('DCF Model'!C19+0)+'DCF Model'!D45/(1+$B19)^('DCF Model'!C19+1)+'DCF Model'!E45/(1+$B19)^('DCF Model'!C19+2)+'DCF Model'!F45/(1+$B19)^('DCF Model'!C19+3)+'DCF Model'!G45/(1+$B19)^('DCF Model'!C19+4)+('DCF Model'!G39+'DCF Model'!G42)*F$17/(1+$B19)^('DCF Model'!C19+4)-'DCF Model'!C16)*1000000/'DCF Model'!C15,0),"")</f>
        <v>155</v>
      </c>
      <c r="G19" s="38">
        <f>IFERROR(ROUND(('DCF Model'!C45/(1+$B19)^('DCF Model'!C19+0)+'DCF Model'!D45/(1+$B19)^('DCF Model'!C19+1)+'DCF Model'!E45/(1+$B19)^('DCF Model'!C19+2)+'DCF Model'!F45/(1+$B19)^('DCF Model'!C19+3)+'DCF Model'!G45/(1+$B19)^('DCF Model'!C19+4)+('DCF Model'!G39+'DCF Model'!G42)*G$17/(1+$B19)^('DCF Model'!C19+4)-'DCF Model'!C16)*1000000/'DCF Model'!C15,0),"")</f>
        <v>254</v>
      </c>
      <c r="H19" s="38">
        <f>IFERROR(ROUND(('DCF Model'!C45/(1+$B19)^('DCF Model'!C19+0)+'DCF Model'!D45/(1+$B19)^('DCF Model'!C19+1)+'DCF Model'!E45/(1+$B19)^('DCF Model'!C19+2)+'DCF Model'!F45/(1+$B19)^('DCF Model'!C19+3)+'DCF Model'!G45/(1+$B19)^('DCF Model'!C19+4)+('DCF Model'!G39+'DCF Model'!G42)*H$17/(1+$B19)^('DCF Model'!C19+4)-'DCF Model'!C16)*1000000/'DCF Model'!C15,0),"")</f>
        <v>353</v>
      </c>
      <c r="I19" s="38">
        <f>IFERROR(ROUND(('DCF Model'!C45/(1+$B19)^('DCF Model'!C19+0)+'DCF Model'!D45/(1+$B19)^('DCF Model'!C19+1)+'DCF Model'!E45/(1+$B19)^('DCF Model'!C19+2)+'DCF Model'!F45/(1+$B19)^('DCF Model'!C19+3)+'DCF Model'!G45/(1+$B19)^('DCF Model'!C19+4)+('DCF Model'!G39+'DCF Model'!G42)*I$17/(1+$B19)^('DCF Model'!C19+4)-'DCF Model'!C16)*1000000/'DCF Model'!C15,0),"")</f>
        <v>452</v>
      </c>
    </row>
    <row r="20" spans="2:9" ht="13.5" customHeight="1" x14ac:dyDescent="0.25">
      <c r="B20" s="40">
        <f>$C$3-0.005</f>
        <v>7.9126782999058717E-2</v>
      </c>
      <c r="C20" s="38">
        <f>IFERROR(ROUND(('DCF Model'!C45/(1+$B20)^('DCF Model'!C19+0)+'DCF Model'!D45/(1+$B20)^('DCF Model'!C19+1)+'DCF Model'!E45/(1+$B20)^('DCF Model'!C19+2)+'DCF Model'!F45/(1+$B20)^('DCF Model'!C19+3)+'DCF Model'!G45/(1+$B20)^('DCF Model'!C19+4)+('DCF Model'!G39+'DCF Model'!G42)*C$17/(1+$B20)^('DCF Model'!C19+4)-'DCF Model'!C16)*1000000/'DCF Model'!C15,0),"")</f>
        <v>-155</v>
      </c>
      <c r="D20" s="38">
        <f>IFERROR(ROUND(('DCF Model'!C45/(1+$B20)^('DCF Model'!C19+0)+'DCF Model'!D45/(1+$B20)^('DCF Model'!C19+1)+'DCF Model'!E45/(1+$B20)^('DCF Model'!C19+2)+'DCF Model'!F45/(1+$B20)^('DCF Model'!C19+3)+'DCF Model'!G45/(1+$B20)^('DCF Model'!C19+4)+('DCF Model'!G39+'DCF Model'!G42)*D$17/(1+$B20)^('DCF Model'!C19+4)-'DCF Model'!C16)*1000000/'DCF Model'!C15,0),"")</f>
        <v>-58</v>
      </c>
      <c r="E20" s="38">
        <f>IFERROR(ROUND(('DCF Model'!C45/(1+$B20)^('DCF Model'!C19+0)+'DCF Model'!D45/(1+$B20)^('DCF Model'!C19+1)+'DCF Model'!E45/(1+$B20)^('DCF Model'!C19+2)+'DCF Model'!F45/(1+$B20)^('DCF Model'!C19+3)+'DCF Model'!G45/(1+$B20)^('DCF Model'!C19+4)+('DCF Model'!G39+'DCF Model'!G42)*E$17/(1+$B20)^('DCF Model'!C19+4)-'DCF Model'!C16)*1000000/'DCF Model'!C15,0),"")</f>
        <v>39</v>
      </c>
      <c r="F20" s="38">
        <f>IFERROR(ROUND(('DCF Model'!C45/(1+$B20)^('DCF Model'!C19+0)+'DCF Model'!D45/(1+$B20)^('DCF Model'!C19+1)+'DCF Model'!E45/(1+$B20)^('DCF Model'!C19+2)+'DCF Model'!F45/(1+$B20)^('DCF Model'!C19+3)+'DCF Model'!G45/(1+$B20)^('DCF Model'!C19+4)+('DCF Model'!G39+'DCF Model'!G42)*F$17/(1+$B20)^('DCF Model'!C19+4)-'DCF Model'!C16)*1000000/'DCF Model'!C15,0),"")</f>
        <v>136</v>
      </c>
      <c r="G20" s="38">
        <f>IFERROR(ROUND(('DCF Model'!C45/(1+$B20)^('DCF Model'!C19+0)+'DCF Model'!D45/(1+$B20)^('DCF Model'!C19+1)+'DCF Model'!E45/(1+$B20)^('DCF Model'!C19+2)+'DCF Model'!F45/(1+$B20)^('DCF Model'!C19+3)+'DCF Model'!G45/(1+$B20)^('DCF Model'!C19+4)+('DCF Model'!G39+'DCF Model'!G42)*G$17/(1+$B20)^('DCF Model'!C19+4)-'DCF Model'!C16)*1000000/'DCF Model'!C15,0),"")</f>
        <v>233</v>
      </c>
      <c r="H20" s="38">
        <f>IFERROR(ROUND(('DCF Model'!C45/(1+$B20)^('DCF Model'!C19+0)+'DCF Model'!D45/(1+$B20)^('DCF Model'!C19+1)+'DCF Model'!E45/(1+$B20)^('DCF Model'!C19+2)+'DCF Model'!F45/(1+$B20)^('DCF Model'!C19+3)+'DCF Model'!G45/(1+$B20)^('DCF Model'!C19+4)+('DCF Model'!G39+'DCF Model'!G42)*H$17/(1+$B20)^('DCF Model'!C19+4)-'DCF Model'!C16)*1000000/'DCF Model'!C15,0),"")</f>
        <v>330</v>
      </c>
      <c r="I20" s="38">
        <f>IFERROR(ROUND(('DCF Model'!C45/(1+$B20)^('DCF Model'!C19+0)+'DCF Model'!D45/(1+$B20)^('DCF Model'!C19+1)+'DCF Model'!E45/(1+$B20)^('DCF Model'!C19+2)+'DCF Model'!F45/(1+$B20)^('DCF Model'!C19+3)+'DCF Model'!G45/(1+$B20)^('DCF Model'!C19+4)+('DCF Model'!G39+'DCF Model'!G42)*I$17/(1+$B20)^('DCF Model'!C19+4)-'DCF Model'!C16)*1000000/'DCF Model'!C15,0),"")</f>
        <v>427</v>
      </c>
    </row>
    <row r="21" spans="2:9" ht="13.5" customHeight="1" x14ac:dyDescent="0.25">
      <c r="B21" s="40">
        <f>$C$3</f>
        <v>8.4126782999058722E-2</v>
      </c>
      <c r="C21" s="38">
        <f>IFERROR(ROUND(('DCF Model'!C45/(1+$B21)^('DCF Model'!C19+0)+'DCF Model'!D45/(1+$B21)^('DCF Model'!C19+1)+'DCF Model'!E45/(1+$B21)^('DCF Model'!C19+2)+'DCF Model'!F45/(1+$B21)^('DCF Model'!C19+3)+'DCF Model'!G45/(1+$B21)^('DCF Model'!C19+4)+('DCF Model'!G39+'DCF Model'!G42)*C$17/(1+$B21)^('DCF Model'!C19+4)-'DCF Model'!C16)*1000000/'DCF Model'!C15,0),"")</f>
        <v>-167</v>
      </c>
      <c r="D21" s="38">
        <f>IFERROR(ROUND(('DCF Model'!C45/(1+$B21)^('DCF Model'!C19+0)+'DCF Model'!D45/(1+$B21)^('DCF Model'!C19+1)+'DCF Model'!E45/(1+$B21)^('DCF Model'!C19+2)+'DCF Model'!F45/(1+$B21)^('DCF Model'!C19+3)+'DCF Model'!G45/(1+$B21)^('DCF Model'!C19+4)+('DCF Model'!G39+'DCF Model'!G42)*D$17/(1+$B21)^('DCF Model'!C19+4)-'DCF Model'!C16)*1000000/'DCF Model'!C15,0),"")</f>
        <v>-72</v>
      </c>
      <c r="E21" s="38">
        <f>IFERROR(ROUND(('DCF Model'!C45/(1+$B21)^('DCF Model'!C19+0)+'DCF Model'!D45/(1+$B21)^('DCF Model'!C19+1)+'DCF Model'!E45/(1+$B21)^('DCF Model'!C19+2)+'DCF Model'!F45/(1+$B21)^('DCF Model'!C19+3)+'DCF Model'!G45/(1+$B21)^('DCF Model'!C19+4)+('DCF Model'!G39+'DCF Model'!G42)*E$17/(1+$B21)^('DCF Model'!C19+4)-'DCF Model'!C16)*1000000/'DCF Model'!C15,0),"")</f>
        <v>23</v>
      </c>
      <c r="F21" s="38">
        <f>IFERROR(ROUND(('DCF Model'!C45/(1+$B21)^('DCF Model'!C19+0)+'DCF Model'!D45/(1+$B21)^('DCF Model'!C19+1)+'DCF Model'!E45/(1+$B21)^('DCF Model'!C19+2)+'DCF Model'!F45/(1+$B21)^('DCF Model'!C19+3)+'DCF Model'!G45/(1+$B21)^('DCF Model'!C19+4)+('DCF Model'!G39+'DCF Model'!G42)*F$17/(1+$B21)^('DCF Model'!C19+4)-'DCF Model'!C16)*1000000/'DCF Model'!C15,0),"")</f>
        <v>118</v>
      </c>
      <c r="G21" s="38">
        <f>IFERROR(ROUND(('DCF Model'!C45/(1+$B21)^('DCF Model'!C19+0)+'DCF Model'!D45/(1+$B21)^('DCF Model'!C19+1)+'DCF Model'!E45/(1+$B21)^('DCF Model'!C19+2)+'DCF Model'!F45/(1+$B21)^('DCF Model'!C19+3)+'DCF Model'!G45/(1+$B21)^('DCF Model'!C19+4)+('DCF Model'!G39+'DCF Model'!G42)*G$17/(1+$B21)^('DCF Model'!C19+4)-'DCF Model'!C16)*1000000/'DCF Model'!C15,0),"")</f>
        <v>212</v>
      </c>
      <c r="H21" s="38">
        <f>IFERROR(ROUND(('DCF Model'!C45/(1+$B21)^('DCF Model'!C19+0)+'DCF Model'!D45/(1+$B21)^('DCF Model'!C19+1)+'DCF Model'!E45/(1+$B21)^('DCF Model'!C19+2)+'DCF Model'!F45/(1+$B21)^('DCF Model'!C19+3)+'DCF Model'!G45/(1+$B21)^('DCF Model'!C19+4)+('DCF Model'!G39+'DCF Model'!G42)*H$17/(1+$B21)^('DCF Model'!C19+4)-'DCF Model'!C16)*1000000/'DCF Model'!C15,0),"")</f>
        <v>307</v>
      </c>
      <c r="I21" s="38">
        <f>IFERROR(ROUND(('DCF Model'!C45/(1+$B21)^('DCF Model'!C19+0)+'DCF Model'!D45/(1+$B21)^('DCF Model'!C19+1)+'DCF Model'!E45/(1+$B21)^('DCF Model'!C19+2)+'DCF Model'!F45/(1+$B21)^('DCF Model'!C19+3)+'DCF Model'!G45/(1+$B21)^('DCF Model'!C19+4)+('DCF Model'!G39+'DCF Model'!G42)*I$17/(1+$B21)^('DCF Model'!C19+4)-'DCF Model'!C16)*1000000/'DCF Model'!C15,0),"")</f>
        <v>402</v>
      </c>
    </row>
    <row r="22" spans="2:9" ht="13.5" customHeight="1" x14ac:dyDescent="0.25">
      <c r="B22" s="40">
        <f>$C$3+0.005</f>
        <v>8.9126782999058726E-2</v>
      </c>
      <c r="C22" s="38">
        <f>IFERROR(ROUND(('DCF Model'!C45/(1+$B22)^('DCF Model'!C19+0)+'DCF Model'!D45/(1+$B22)^('DCF Model'!C19+1)+'DCF Model'!E45/(1+$B22)^('DCF Model'!C19+2)+'DCF Model'!F45/(1+$B22)^('DCF Model'!C19+3)+'DCF Model'!G45/(1+$B22)^('DCF Model'!C19+4)+('DCF Model'!G39+'DCF Model'!G42)*C$17/(1+$B22)^('DCF Model'!C19+4)-'DCF Model'!C16)*1000000/'DCF Model'!C15,0),"")</f>
        <v>-178</v>
      </c>
      <c r="D22" s="38">
        <f>IFERROR(ROUND(('DCF Model'!C45/(1+$B22)^('DCF Model'!C19+0)+'DCF Model'!D45/(1+$B22)^('DCF Model'!C19+1)+'DCF Model'!E45/(1+$B22)^('DCF Model'!C19+2)+'DCF Model'!F45/(1+$B22)^('DCF Model'!C19+3)+'DCF Model'!G45/(1+$B22)^('DCF Model'!C19+4)+('DCF Model'!G39+'DCF Model'!G42)*D$17/(1+$B22)^('DCF Model'!C19+4)-'DCF Model'!C16)*1000000/'DCF Model'!C15,0),"")</f>
        <v>-86</v>
      </c>
      <c r="E22" s="38">
        <f>IFERROR(ROUND(('DCF Model'!C45/(1+$B22)^('DCF Model'!C19+0)+'DCF Model'!D45/(1+$B22)^('DCF Model'!C19+1)+'DCF Model'!E45/(1+$B22)^('DCF Model'!C19+2)+'DCF Model'!F45/(1+$B22)^('DCF Model'!C19+3)+'DCF Model'!G45/(1+$B22)^('DCF Model'!C19+4)+('DCF Model'!G39+'DCF Model'!G42)*E$17/(1+$B22)^('DCF Model'!C19+4)-'DCF Model'!C16)*1000000/'DCF Model'!C15,0),"")</f>
        <v>7</v>
      </c>
      <c r="F22" s="38">
        <f>IFERROR(ROUND(('DCF Model'!C45/(1+$B22)^('DCF Model'!C19+0)+'DCF Model'!D45/(1+$B22)^('DCF Model'!C19+1)+'DCF Model'!E45/(1+$B22)^('DCF Model'!C19+2)+'DCF Model'!F45/(1+$B22)^('DCF Model'!C19+3)+'DCF Model'!G45/(1+$B22)^('DCF Model'!C19+4)+('DCF Model'!G39+'DCF Model'!G42)*F$17/(1+$B22)^('DCF Model'!C19+4)-'DCF Model'!C16)*1000000/'DCF Model'!C15,0),"")</f>
        <v>100</v>
      </c>
      <c r="G22" s="38">
        <f>IFERROR(ROUND(('DCF Model'!C45/(1+$B22)^('DCF Model'!C19+0)+'DCF Model'!D45/(1+$B22)^('DCF Model'!C19+1)+'DCF Model'!E45/(1+$B22)^('DCF Model'!C19+2)+'DCF Model'!F45/(1+$B22)^('DCF Model'!C19+3)+'DCF Model'!G45/(1+$B22)^('DCF Model'!C19+4)+('DCF Model'!G39+'DCF Model'!G42)*G$17/(1+$B22)^('DCF Model'!C19+4)-'DCF Model'!C16)*1000000/'DCF Model'!C15,0),"")</f>
        <v>192</v>
      </c>
      <c r="H22" s="38">
        <f>IFERROR(ROUND(('DCF Model'!C45/(1+$B22)^('DCF Model'!C19+0)+'DCF Model'!D45/(1+$B22)^('DCF Model'!C19+1)+'DCF Model'!E45/(1+$B22)^('DCF Model'!C19+2)+'DCF Model'!F45/(1+$B22)^('DCF Model'!C19+3)+'DCF Model'!G45/(1+$B22)^('DCF Model'!C19+4)+('DCF Model'!G39+'DCF Model'!G42)*H$17/(1+$B22)^('DCF Model'!C19+4)-'DCF Model'!C16)*1000000/'DCF Model'!C15,0),"")</f>
        <v>285</v>
      </c>
      <c r="I22" s="38">
        <f>IFERROR(ROUND(('DCF Model'!C45/(1+$B22)^('DCF Model'!C19+0)+'DCF Model'!D45/(1+$B22)^('DCF Model'!C19+1)+'DCF Model'!E45/(1+$B22)^('DCF Model'!C19+2)+'DCF Model'!F45/(1+$B22)^('DCF Model'!C19+3)+'DCF Model'!G45/(1+$B22)^('DCF Model'!C19+4)+('DCF Model'!G39+'DCF Model'!G42)*I$17/(1+$B22)^('DCF Model'!C19+4)-'DCF Model'!C16)*1000000/'DCF Model'!C15,0),"")</f>
        <v>378</v>
      </c>
    </row>
    <row r="23" spans="2:9" ht="13.5" customHeight="1" x14ac:dyDescent="0.25">
      <c r="B23" s="40">
        <f>$C$3+0.01</f>
        <v>9.4126782999058717E-2</v>
      </c>
      <c r="C23" s="38">
        <f>IFERROR(ROUND(('DCF Model'!C45/(1+$B23)^('DCF Model'!C19+0)+'DCF Model'!D45/(1+$B23)^('DCF Model'!C19+1)+'DCF Model'!E45/(1+$B23)^('DCF Model'!C19+2)+'DCF Model'!F45/(1+$B23)^('DCF Model'!C19+3)+'DCF Model'!G45/(1+$B23)^('DCF Model'!C19+4)+('DCF Model'!G39+'DCF Model'!G42)*C$17/(1+$B23)^('DCF Model'!C19+4)-'DCF Model'!C16)*1000000/'DCF Model'!C15,0),"")</f>
        <v>-189</v>
      </c>
      <c r="D23" s="38">
        <f>IFERROR(ROUND(('DCF Model'!C45/(1+$B23)^('DCF Model'!C19+0)+'DCF Model'!D45/(1+$B23)^('DCF Model'!C19+1)+'DCF Model'!E45/(1+$B23)^('DCF Model'!C19+2)+'DCF Model'!F45/(1+$B23)^('DCF Model'!C19+3)+'DCF Model'!G45/(1+$B23)^('DCF Model'!C19+4)+('DCF Model'!G39+'DCF Model'!G42)*D$17/(1+$B23)^('DCF Model'!C19+4)-'DCF Model'!C16)*1000000/'DCF Model'!C15,0),"")</f>
        <v>-99</v>
      </c>
      <c r="E23" s="38">
        <f>IFERROR(ROUND(('DCF Model'!C45/(1+$B23)^('DCF Model'!C19+0)+'DCF Model'!D45/(1+$B23)^('DCF Model'!C19+1)+'DCF Model'!E45/(1+$B23)^('DCF Model'!C19+2)+'DCF Model'!F45/(1+$B23)^('DCF Model'!C19+3)+'DCF Model'!G45/(1+$B23)^('DCF Model'!C19+4)+('DCF Model'!G39+'DCF Model'!G42)*E$17/(1+$B23)^('DCF Model'!C19+4)-'DCF Model'!C16)*1000000/'DCF Model'!C15,0),"")</f>
        <v>-8</v>
      </c>
      <c r="F23" s="38">
        <f>IFERROR(ROUND(('DCF Model'!C45/(1+$B23)^('DCF Model'!C19+0)+'DCF Model'!D45/(1+$B23)^('DCF Model'!C19+1)+'DCF Model'!E45/(1+$B23)^('DCF Model'!C19+2)+'DCF Model'!F45/(1+$B23)^('DCF Model'!C19+3)+'DCF Model'!G45/(1+$B23)^('DCF Model'!C19+4)+('DCF Model'!G39+'DCF Model'!G42)*F$17/(1+$B23)^('DCF Model'!C19+4)-'DCF Model'!C16)*1000000/'DCF Model'!C15,0),"")</f>
        <v>82</v>
      </c>
      <c r="G23" s="38">
        <f>IFERROR(ROUND(('DCF Model'!C45/(1+$B23)^('DCF Model'!C19+0)+'DCF Model'!D45/(1+$B23)^('DCF Model'!C19+1)+'DCF Model'!E45/(1+$B23)^('DCF Model'!C19+2)+'DCF Model'!F45/(1+$B23)^('DCF Model'!C19+3)+'DCF Model'!G45/(1+$B23)^('DCF Model'!C19+4)+('DCF Model'!G39+'DCF Model'!G42)*G$17/(1+$B23)^('DCF Model'!C19+4)-'DCF Model'!C16)*1000000/'DCF Model'!C15,0),"")</f>
        <v>173</v>
      </c>
      <c r="H23" s="38">
        <f>IFERROR(ROUND(('DCF Model'!C45/(1+$B23)^('DCF Model'!C19+0)+'DCF Model'!D45/(1+$B23)^('DCF Model'!C19+1)+'DCF Model'!E45/(1+$B23)^('DCF Model'!C19+2)+'DCF Model'!F45/(1+$B23)^('DCF Model'!C19+3)+'DCF Model'!G45/(1+$B23)^('DCF Model'!C19+4)+('DCF Model'!G39+'DCF Model'!G42)*H$17/(1+$B23)^('DCF Model'!C19+4)-'DCF Model'!C16)*1000000/'DCF Model'!C15,0),"")</f>
        <v>263</v>
      </c>
      <c r="I23" s="38">
        <f>IFERROR(ROUND(('DCF Model'!C45/(1+$B23)^('DCF Model'!C19+0)+'DCF Model'!D45/(1+$B23)^('DCF Model'!C19+1)+'DCF Model'!E45/(1+$B23)^('DCF Model'!C19+2)+'DCF Model'!F45/(1+$B23)^('DCF Model'!C19+3)+'DCF Model'!G45/(1+$B23)^('DCF Model'!C19+4)+('DCF Model'!G39+'DCF Model'!G42)*I$17/(1+$B23)^('DCF Model'!C19+4)-'DCF Model'!C16)*1000000/'DCF Model'!C15,0),"")</f>
        <v>354</v>
      </c>
    </row>
    <row r="24" spans="2:9" ht="13.5" customHeight="1" x14ac:dyDescent="0.25">
      <c r="B24" s="40">
        <f>$C$3+0.015</f>
        <v>9.9126782999058721E-2</v>
      </c>
      <c r="C24" s="38">
        <f>IFERROR(ROUND(('DCF Model'!C45/(1+$B24)^('DCF Model'!C19+0)+'DCF Model'!D45/(1+$B24)^('DCF Model'!C19+1)+'DCF Model'!E45/(1+$B24)^('DCF Model'!C19+2)+'DCF Model'!F45/(1+$B24)^('DCF Model'!C19+3)+'DCF Model'!G45/(1+$B24)^('DCF Model'!C19+4)+('DCF Model'!G39+'DCF Model'!G42)*C$17/(1+$B24)^('DCF Model'!C19+4)-'DCF Model'!C16)*1000000/'DCF Model'!C15,0),"")</f>
        <v>-200</v>
      </c>
      <c r="D24" s="38">
        <f>IFERROR(ROUND(('DCF Model'!C45/(1+$B24)^('DCF Model'!C19+0)+'DCF Model'!D45/(1+$B24)^('DCF Model'!C19+1)+'DCF Model'!E45/(1+$B24)^('DCF Model'!C19+2)+'DCF Model'!F45/(1+$B24)^('DCF Model'!C19+3)+'DCF Model'!G45/(1+$B24)^('DCF Model'!C19+4)+('DCF Model'!G39+'DCF Model'!G42)*D$17/(1+$B24)^('DCF Model'!C19+4)-'DCF Model'!C16)*1000000/'DCF Model'!C15,0),"")</f>
        <v>-111</v>
      </c>
      <c r="E24" s="38">
        <f>IFERROR(ROUND(('DCF Model'!C45/(1+$B24)^('DCF Model'!C19+0)+'DCF Model'!D45/(1+$B24)^('DCF Model'!C19+1)+'DCF Model'!E45/(1+$B24)^('DCF Model'!C19+2)+'DCF Model'!F45/(1+$B24)^('DCF Model'!C19+3)+'DCF Model'!G45/(1+$B24)^('DCF Model'!C19+4)+('DCF Model'!G39+'DCF Model'!G42)*E$17/(1+$B24)^('DCF Model'!C19+4)-'DCF Model'!C16)*1000000/'DCF Model'!C15,0),"")</f>
        <v>-23</v>
      </c>
      <c r="F24" s="38">
        <f>IFERROR(ROUND(('DCF Model'!C45/(1+$B24)^('DCF Model'!C19+0)+'DCF Model'!D45/(1+$B24)^('DCF Model'!C19+1)+'DCF Model'!E45/(1+$B24)^('DCF Model'!C19+2)+'DCF Model'!F45/(1+$B24)^('DCF Model'!C19+3)+'DCF Model'!G45/(1+$B24)^('DCF Model'!C19+4)+('DCF Model'!G39+'DCF Model'!G42)*F$17/(1+$B24)^('DCF Model'!C19+4)-'DCF Model'!C16)*1000000/'DCF Model'!C15,0),"")</f>
        <v>66</v>
      </c>
      <c r="G24" s="38">
        <f>IFERROR(ROUND(('DCF Model'!C45/(1+$B24)^('DCF Model'!C19+0)+'DCF Model'!D45/(1+$B24)^('DCF Model'!C19+1)+'DCF Model'!E45/(1+$B24)^('DCF Model'!C19+2)+'DCF Model'!F45/(1+$B24)^('DCF Model'!C19+3)+'DCF Model'!G45/(1+$B24)^('DCF Model'!C19+4)+('DCF Model'!G39+'DCF Model'!G42)*G$17/(1+$B24)^('DCF Model'!C19+4)-'DCF Model'!C16)*1000000/'DCF Model'!C15,0),"")</f>
        <v>154</v>
      </c>
      <c r="H24" s="38">
        <f>IFERROR(ROUND(('DCF Model'!C45/(1+$B24)^('DCF Model'!C19+0)+'DCF Model'!D45/(1+$B24)^('DCF Model'!C19+1)+'DCF Model'!E45/(1+$B24)^('DCF Model'!C19+2)+'DCF Model'!F45/(1+$B24)^('DCF Model'!C19+3)+'DCF Model'!G45/(1+$B24)^('DCF Model'!C19+4)+('DCF Model'!G39+'DCF Model'!G42)*H$17/(1+$B24)^('DCF Model'!C19+4)-'DCF Model'!C16)*1000000/'DCF Model'!C15,0),"")</f>
        <v>243</v>
      </c>
      <c r="I24" s="38">
        <f>IFERROR(ROUND(('DCF Model'!C45/(1+$B24)^('DCF Model'!C19+0)+'DCF Model'!D45/(1+$B24)^('DCF Model'!C19+1)+'DCF Model'!E45/(1+$B24)^('DCF Model'!C19+2)+'DCF Model'!F45/(1+$B24)^('DCF Model'!C19+3)+'DCF Model'!G45/(1+$B24)^('DCF Model'!C19+4)+('DCF Model'!G39+'DCF Model'!G42)*I$17/(1+$B24)^('DCF Model'!C19+4)-'DCF Model'!C16)*1000000/'DCF Model'!C15,0),"")</f>
        <v>331</v>
      </c>
    </row>
    <row r="26" spans="2:9" ht="14" customHeight="1" x14ac:dyDescent="0.3">
      <c r="B26" s="56" t="s">
        <v>232</v>
      </c>
      <c r="C26" s="55"/>
      <c r="D26" s="55"/>
      <c r="E26" s="55"/>
      <c r="F26" s="55"/>
      <c r="G26" s="55"/>
      <c r="H26" s="55"/>
      <c r="I26" s="5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47</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47</v>
      </c>
    </row>
    <row r="44" spans="2:3" ht="14" customHeight="1" x14ac:dyDescent="0.3">
      <c r="B44" s="4" t="s">
        <v>301</v>
      </c>
      <c r="C44" t="s">
        <v>302</v>
      </c>
    </row>
    <row r="45" spans="2:3" ht="14" customHeight="1" x14ac:dyDescent="0.3">
      <c r="B45" s="4" t="s">
        <v>303</v>
      </c>
      <c r="C45" t="s">
        <v>304</v>
      </c>
    </row>
    <row r="46" spans="2:3" ht="14" customHeight="1" x14ac:dyDescent="0.3">
      <c r="B46" s="4" t="s">
        <v>305</v>
      </c>
      <c r="C46" t="s">
        <v>306</v>
      </c>
    </row>
    <row r="47" spans="2:3" ht="14" customHeight="1" x14ac:dyDescent="0.3">
      <c r="B47" s="4" t="s">
        <v>307</v>
      </c>
      <c r="C47" t="s">
        <v>308</v>
      </c>
    </row>
    <row r="48" spans="2:3" ht="14" customHeight="1" x14ac:dyDescent="0.3">
      <c r="B48" s="4" t="s">
        <v>309</v>
      </c>
      <c r="C48" t="s">
        <v>310</v>
      </c>
    </row>
    <row r="49" spans="2:3" ht="14" customHeight="1" x14ac:dyDescent="0.3">
      <c r="B49" s="4" t="s">
        <v>311</v>
      </c>
      <c r="C49" t="s">
        <v>312</v>
      </c>
    </row>
    <row r="50" spans="2:3" ht="14" customHeight="1" x14ac:dyDescent="0.3">
      <c r="B50" s="4" t="s">
        <v>313</v>
      </c>
      <c r="C50" t="s">
        <v>314</v>
      </c>
    </row>
    <row r="51" spans="2:3" ht="14" customHeight="1" x14ac:dyDescent="0.3">
      <c r="B51" s="4" t="s">
        <v>315</v>
      </c>
      <c r="C51" t="s">
        <v>316</v>
      </c>
    </row>
    <row r="52" spans="2:3" ht="14" customHeight="1" x14ac:dyDescent="0.3">
      <c r="B52" s="4" t="s">
        <v>317</v>
      </c>
      <c r="C52" t="s">
        <v>318</v>
      </c>
    </row>
    <row r="53" spans="2:3" ht="14" customHeight="1" x14ac:dyDescent="0.3">
      <c r="B53" s="4" t="s">
        <v>319</v>
      </c>
      <c r="C53" t="s">
        <v>320</v>
      </c>
    </row>
    <row r="54" spans="2:3" ht="14" customHeight="1" x14ac:dyDescent="0.3">
      <c r="B54" s="4" t="s">
        <v>321</v>
      </c>
      <c r="C54" t="s">
        <v>322</v>
      </c>
    </row>
    <row r="55" spans="2:3" ht="14" customHeight="1" x14ac:dyDescent="0.3">
      <c r="B55" s="4" t="s">
        <v>323</v>
      </c>
      <c r="C55" t="s">
        <v>324</v>
      </c>
    </row>
    <row r="56" spans="2:3" ht="14" customHeight="1" x14ac:dyDescent="0.3">
      <c r="B56" s="4" t="s">
        <v>325</v>
      </c>
      <c r="C56" t="s">
        <v>274</v>
      </c>
    </row>
    <row r="57" spans="2:3" ht="14" customHeight="1" x14ac:dyDescent="0.3">
      <c r="B57" s="4" t="s">
        <v>326</v>
      </c>
      <c r="C57" t="s">
        <v>327</v>
      </c>
    </row>
    <row r="58" spans="2:3" ht="14" customHeight="1" x14ac:dyDescent="0.3">
      <c r="B58" s="4" t="s">
        <v>328</v>
      </c>
      <c r="C58" t="s">
        <v>329</v>
      </c>
    </row>
    <row r="59" spans="2:3" ht="14" customHeight="1" x14ac:dyDescent="0.3">
      <c r="B59" s="4" t="s">
        <v>330</v>
      </c>
      <c r="C59" t="s">
        <v>331</v>
      </c>
    </row>
    <row r="60" spans="2:3" ht="14" customHeight="1" x14ac:dyDescent="0.3">
      <c r="B60" s="4" t="s">
        <v>332</v>
      </c>
      <c r="C60" t="s">
        <v>333</v>
      </c>
    </row>
    <row r="61" spans="2:3" ht="14" customHeight="1" x14ac:dyDescent="0.3">
      <c r="B61" s="4" t="s">
        <v>334</v>
      </c>
      <c r="C61" t="s">
        <v>335</v>
      </c>
    </row>
    <row r="62" spans="2:3" ht="14" customHeight="1" x14ac:dyDescent="0.3">
      <c r="B62" s="4" t="s">
        <v>336</v>
      </c>
      <c r="C62" t="s">
        <v>203</v>
      </c>
    </row>
    <row r="63" spans="2:3" x14ac:dyDescent="0.2">
      <c r="B63" t="s">
        <v>337</v>
      </c>
      <c r="C63" t="s">
        <v>338</v>
      </c>
    </row>
    <row r="64" spans="2:3" x14ac:dyDescent="0.2">
      <c r="B64" t="s">
        <v>339</v>
      </c>
      <c r="C64">
        <v>3286754</v>
      </c>
    </row>
    <row r="65" spans="2:3" x14ac:dyDescent="0.2">
      <c r="B65" t="s">
        <v>340</v>
      </c>
      <c r="C65">
        <v>1</v>
      </c>
    </row>
    <row r="66" spans="2:3" x14ac:dyDescent="0.2">
      <c r="B66" t="s">
        <v>341</v>
      </c>
      <c r="C66" t="s">
        <v>342</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343</v>
      </c>
    </row>
    <row r="3" spans="2:3" ht="30" customHeight="1" x14ac:dyDescent="0.3">
      <c r="B3" s="46" t="s">
        <v>344</v>
      </c>
    </row>
    <row r="5" spans="2:3" ht="14" x14ac:dyDescent="0.3">
      <c r="B5" s="3" t="s">
        <v>345</v>
      </c>
    </row>
    <row r="6" spans="2:3" ht="13.5" x14ac:dyDescent="0.25">
      <c r="B6" s="47" t="s">
        <v>346</v>
      </c>
      <c r="C6" s="48">
        <v>3286754</v>
      </c>
    </row>
    <row r="7" spans="2:3" ht="13.5" x14ac:dyDescent="0.25">
      <c r="B7" s="47" t="s">
        <v>347</v>
      </c>
      <c r="C7" s="49">
        <v>1</v>
      </c>
    </row>
    <row r="8" spans="2:3" ht="14" x14ac:dyDescent="0.3">
      <c r="B8" s="50" t="s">
        <v>348</v>
      </c>
      <c r="C8" s="51">
        <f>C6*C7</f>
        <v>3286754</v>
      </c>
    </row>
    <row r="9" spans="2:3" ht="30" customHeight="1" x14ac:dyDescent="0.3">
      <c r="B9" s="52" t="s">
        <v>349</v>
      </c>
    </row>
    <row r="11" spans="2:3" ht="13.5" x14ac:dyDescent="0.25">
      <c r="B11" s="47" t="s">
        <v>350</v>
      </c>
      <c r="C11" s="53">
        <f>'DCF Model'!C15</f>
        <v>4726925815</v>
      </c>
    </row>
    <row r="12" spans="2:3" ht="14" x14ac:dyDescent="0.3">
      <c r="B12" s="50" t="s">
        <v>351</v>
      </c>
      <c r="C12" s="51">
        <f>ROUND(C8/C11*1000000,0)</f>
        <v>695</v>
      </c>
    </row>
    <row r="14" spans="2:3" ht="30" customHeight="1" x14ac:dyDescent="0.3">
      <c r="B14" s="46" t="s">
        <v>352</v>
      </c>
    </row>
    <row r="15" spans="2:3" ht="14" x14ac:dyDescent="0.3">
      <c r="B15" s="46" t="s">
        <v>353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2026-09-07T03:02:07Z</dcterms:created>
  <dcterms:modified xsi:type="dcterms:W3CDTF">2026-09-07T03:02:15Z</dcterms:modified>
</cp:coreProperties>
</file>