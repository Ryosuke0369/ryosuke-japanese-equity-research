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BA49AEE-E936-44D4-BB08-7BC1D0551E0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G16" i="6" s="1"/>
  <c r="L7" i="6"/>
  <c r="K7" i="6"/>
  <c r="J7" i="6"/>
  <c r="O6" i="6"/>
  <c r="N6" i="6"/>
  <c r="M6" i="6"/>
  <c r="L6" i="6"/>
  <c r="K6" i="6"/>
  <c r="E15" i="6" s="1"/>
  <c r="J6" i="6"/>
  <c r="O5" i="6"/>
  <c r="N5" i="6"/>
  <c r="D5" i="6"/>
  <c r="M5" i="6" s="1"/>
  <c r="C16" i="5"/>
  <c r="C18" i="5" s="1"/>
  <c r="C14" i="5"/>
  <c r="C7" i="5"/>
  <c r="C6" i="5"/>
  <c r="C5" i="5"/>
  <c r="C13" i="4"/>
  <c r="C12" i="4"/>
  <c r="C9" i="4"/>
  <c r="C7" i="4"/>
  <c r="C6" i="4"/>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E9" i="2"/>
  <c r="D9" i="2"/>
  <c r="F8" i="2"/>
  <c r="F9" i="2" s="1"/>
  <c r="E8" i="2"/>
  <c r="D8" i="2"/>
  <c r="C8" i="2"/>
  <c r="C9" i="2" s="1"/>
  <c r="D6" i="5" l="1"/>
  <c r="D32" i="3"/>
  <c r="E32" i="3"/>
  <c r="E6" i="5"/>
  <c r="E30" i="3"/>
  <c r="L5" i="6"/>
  <c r="H15" i="6"/>
  <c r="E5" i="6"/>
  <c r="J5" i="6" s="1"/>
  <c r="G30" i="3"/>
  <c r="E16" i="6"/>
  <c r="F32" i="3"/>
  <c r="G17" i="6"/>
  <c r="F30" i="3"/>
  <c r="F7" i="5"/>
  <c r="F16" i="6"/>
  <c r="C28" i="6" s="1"/>
  <c r="C19" i="1" s="1"/>
  <c r="D19" i="1" s="1"/>
  <c r="F15" i="6"/>
  <c r="C31" i="3"/>
  <c r="G7" i="5"/>
  <c r="D16" i="6"/>
  <c r="C26" i="3"/>
  <c r="G46" i="3" s="1"/>
  <c r="C32" i="3"/>
  <c r="C3" i="7"/>
  <c r="G36" i="4"/>
  <c r="C11" i="4"/>
  <c r="H36" i="4"/>
  <c r="F36" i="4"/>
  <c r="F46" i="3"/>
  <c r="C8" i="4"/>
  <c r="C10" i="4" s="1"/>
  <c r="I16" i="6"/>
  <c r="I17" i="6"/>
  <c r="I15" i="6"/>
  <c r="D15" i="6"/>
  <c r="C27" i="6"/>
  <c r="C18" i="1" s="1"/>
  <c r="D18" i="1" s="1"/>
  <c r="C74" i="4"/>
  <c r="D17" i="6"/>
  <c r="G32" i="3"/>
  <c r="F5" i="5"/>
  <c r="H6" i="5"/>
  <c r="G15" i="6"/>
  <c r="C30" i="3"/>
  <c r="C33" i="3" s="1"/>
  <c r="F31" i="3"/>
  <c r="H5" i="5"/>
  <c r="D7" i="5"/>
  <c r="E17" i="6"/>
  <c r="I6" i="7"/>
  <c r="D31" i="3"/>
  <c r="D30" i="3"/>
  <c r="G31" i="3"/>
  <c r="E7" i="5"/>
  <c r="F17" i="6"/>
  <c r="C17" i="7"/>
  <c r="C6" i="7"/>
  <c r="D17" i="7"/>
  <c r="H17" i="6"/>
  <c r="D6" i="7"/>
  <c r="E17" i="7"/>
  <c r="D5" i="5"/>
  <c r="F6" i="5"/>
  <c r="H7" i="5"/>
  <c r="E6" i="7"/>
  <c r="F17" i="7"/>
  <c r="E5" i="5"/>
  <c r="G6" i="5"/>
  <c r="H16" i="6"/>
  <c r="F6" i="7"/>
  <c r="G17" i="7"/>
  <c r="G6" i="7"/>
  <c r="H17" i="7"/>
  <c r="E31" i="3"/>
  <c r="E46" i="3" l="1"/>
  <c r="K5" i="6"/>
  <c r="D46" i="3"/>
  <c r="E36" i="4"/>
  <c r="E40" i="4" s="1"/>
  <c r="E50" i="4" s="1"/>
  <c r="E55" i="4" s="1"/>
  <c r="D36" i="4"/>
  <c r="D46" i="4" s="1"/>
  <c r="C46" i="3"/>
  <c r="D43" i="4"/>
  <c r="D40" i="4"/>
  <c r="D44" i="4"/>
  <c r="E39" i="4"/>
  <c r="E46" i="4"/>
  <c r="E45" i="4"/>
  <c r="E38" i="4"/>
  <c r="E44" i="4"/>
  <c r="E49" i="4" s="1"/>
  <c r="E54" i="4" s="1"/>
  <c r="H40" i="4"/>
  <c r="H38" i="4"/>
  <c r="H48" i="4" s="1"/>
  <c r="H53" i="4" s="1"/>
  <c r="H41" i="4"/>
  <c r="H43" i="4"/>
  <c r="H46" i="4"/>
  <c r="H44" i="4"/>
  <c r="H39" i="4"/>
  <c r="H45" i="4"/>
  <c r="H50" i="4" s="1"/>
  <c r="H55" i="4" s="1"/>
  <c r="C71" i="4"/>
  <c r="C70" i="4"/>
  <c r="C24" i="4"/>
  <c r="C25" i="4" s="1"/>
  <c r="G46" i="4"/>
  <c r="G44" i="4"/>
  <c r="G38" i="4"/>
  <c r="G39" i="4"/>
  <c r="G43" i="4"/>
  <c r="G48" i="4" s="1"/>
  <c r="G53" i="4" s="1"/>
  <c r="G40" i="4"/>
  <c r="G41" i="4"/>
  <c r="G45" i="4"/>
  <c r="D9" i="5"/>
  <c r="D12" i="5" s="1"/>
  <c r="D33" i="3"/>
  <c r="C42" i="3"/>
  <c r="C34" i="3"/>
  <c r="D10" i="5" s="1"/>
  <c r="C37" i="3"/>
  <c r="F43" i="4"/>
  <c r="F40" i="4"/>
  <c r="F44" i="4"/>
  <c r="F49" i="4" s="1"/>
  <c r="F45" i="4"/>
  <c r="F46" i="4"/>
  <c r="F51" i="4" s="1"/>
  <c r="F56" i="4" s="1"/>
  <c r="F39" i="4"/>
  <c r="F41" i="4"/>
  <c r="F38" i="4"/>
  <c r="B13" i="7"/>
  <c r="B12" i="7"/>
  <c r="B11" i="7"/>
  <c r="B10" i="7"/>
  <c r="B9" i="7"/>
  <c r="B8" i="7"/>
  <c r="B7" i="7"/>
  <c r="B24" i="7"/>
  <c r="B23" i="7"/>
  <c r="B22" i="7"/>
  <c r="B21" i="7"/>
  <c r="B20" i="7"/>
  <c r="B19" i="7"/>
  <c r="B18" i="7"/>
  <c r="D45" i="4" l="1"/>
  <c r="D50" i="4" s="1"/>
  <c r="D55" i="4" s="1"/>
  <c r="D49" i="4"/>
  <c r="D54" i="4" s="1"/>
  <c r="F50" i="4"/>
  <c r="F55" i="4" s="1"/>
  <c r="D41" i="4"/>
  <c r="D51" i="4" s="1"/>
  <c r="D56" i="4" s="1"/>
  <c r="G51" i="4"/>
  <c r="G56" i="4" s="1"/>
  <c r="H49" i="4"/>
  <c r="H54" i="4" s="1"/>
  <c r="E43" i="4"/>
  <c r="E48" i="4" s="1"/>
  <c r="E53" i="4" s="1"/>
  <c r="D39" i="4"/>
  <c r="F48" i="4"/>
  <c r="F53" i="4" s="1"/>
  <c r="G49" i="4"/>
  <c r="G54" i="4" s="1"/>
  <c r="E41" i="4"/>
  <c r="E51" i="4" s="1"/>
  <c r="E56" i="4" s="1"/>
  <c r="D38" i="4"/>
  <c r="D48" i="4" s="1"/>
  <c r="D53" i="4" s="1"/>
  <c r="G50" i="4"/>
  <c r="G55" i="4" s="1"/>
  <c r="H51" i="4"/>
  <c r="H56" i="4" s="1"/>
  <c r="F54" i="4"/>
  <c r="B78" i="4" s="1"/>
  <c r="C60" i="4"/>
  <c r="D15" i="5"/>
  <c r="D16" i="5" s="1"/>
  <c r="D13" i="5"/>
  <c r="D14" i="5" s="1"/>
  <c r="D18" i="5" s="1"/>
  <c r="D19" i="5" s="1"/>
  <c r="C44" i="3" s="1"/>
  <c r="E33" i="3"/>
  <c r="D42" i="3"/>
  <c r="D34" i="3"/>
  <c r="E10" i="5" s="1"/>
  <c r="E9" i="5"/>
  <c r="E12" i="5" s="1"/>
  <c r="D37" i="3"/>
  <c r="C35" i="3"/>
  <c r="C27" i="4"/>
  <c r="C26" i="4"/>
  <c r="C29" i="4"/>
  <c r="E13" i="5" l="1"/>
  <c r="E14" i="5" s="1"/>
  <c r="E15" i="5"/>
  <c r="E16" i="5" s="1"/>
  <c r="F9" i="5"/>
  <c r="F12" i="5" s="1"/>
  <c r="E34" i="3"/>
  <c r="F10" i="5" s="1"/>
  <c r="E42" i="3"/>
  <c r="E37" i="3"/>
  <c r="F33" i="3"/>
  <c r="C36" i="3"/>
  <c r="C39" i="3"/>
  <c r="C38" i="3"/>
  <c r="D35" i="3"/>
  <c r="C64" i="4"/>
  <c r="D64" i="4" s="1"/>
  <c r="C66" i="4"/>
  <c r="D66" i="4" s="1"/>
  <c r="C65" i="4"/>
  <c r="D65" i="4" s="1"/>
  <c r="C63" i="4"/>
  <c r="D63" i="4" s="1"/>
  <c r="C67" i="4"/>
  <c r="D67" i="4" s="1"/>
  <c r="E18" i="5" l="1"/>
  <c r="E19" i="5" s="1"/>
  <c r="D44" i="3" s="1"/>
  <c r="C40" i="3"/>
  <c r="C41" i="3" s="1"/>
  <c r="C45" i="3" s="1"/>
  <c r="F42" i="3"/>
  <c r="F34" i="3"/>
  <c r="G10" i="5" s="1"/>
  <c r="G9" i="5"/>
  <c r="G12" i="5" s="1"/>
  <c r="F37" i="3"/>
  <c r="G33" i="3"/>
  <c r="F35" i="3"/>
  <c r="E35" i="3"/>
  <c r="D36" i="3"/>
  <c r="D38" i="3"/>
  <c r="D39" i="3"/>
  <c r="F15" i="5"/>
  <c r="F16" i="5" s="1"/>
  <c r="F13" i="5"/>
  <c r="F14" i="5" s="1"/>
  <c r="F18" i="5" s="1"/>
  <c r="F19" i="5" s="1"/>
  <c r="E44" i="3" s="1"/>
  <c r="C47" i="3" l="1"/>
  <c r="G37" i="3"/>
  <c r="H9" i="5"/>
  <c r="H12" i="5" s="1"/>
  <c r="G42" i="3"/>
  <c r="G34" i="3"/>
  <c r="H10" i="5" s="1"/>
  <c r="C16" i="4"/>
  <c r="C28" i="4" s="1"/>
  <c r="F36" i="3"/>
  <c r="F39" i="3"/>
  <c r="F38" i="3"/>
  <c r="D40" i="3"/>
  <c r="D41" i="3" s="1"/>
  <c r="D45" i="3" s="1"/>
  <c r="G13" i="5"/>
  <c r="G14" i="5" s="1"/>
  <c r="G15" i="5"/>
  <c r="G16" i="5" s="1"/>
  <c r="E39" i="3"/>
  <c r="E36" i="3"/>
  <c r="E38" i="3"/>
  <c r="G18" i="5" l="1"/>
  <c r="G19" i="5" s="1"/>
  <c r="F44" i="3" s="1"/>
  <c r="D47" i="3"/>
  <c r="H13" i="5"/>
  <c r="H14" i="5" s="1"/>
  <c r="H15" i="5"/>
  <c r="H16" i="5" s="1"/>
  <c r="C72" i="4"/>
  <c r="C73" i="4"/>
  <c r="G35" i="3"/>
  <c r="F40" i="3"/>
  <c r="F41" i="3" s="1"/>
  <c r="F45" i="3" s="1"/>
  <c r="F47" i="3" s="1"/>
  <c r="E40" i="3"/>
  <c r="E41" i="3" s="1"/>
  <c r="E45" i="3" s="1"/>
  <c r="H18" i="5" l="1"/>
  <c r="H19" i="5" s="1"/>
  <c r="G44" i="3" s="1"/>
  <c r="E47" i="3"/>
  <c r="G39" i="3"/>
  <c r="G36" i="3"/>
  <c r="G38" i="3"/>
  <c r="C59" i="3" l="1"/>
  <c r="C60" i="3" s="1"/>
  <c r="C61" i="3" s="1"/>
  <c r="G40" i="3"/>
  <c r="G41" i="3" s="1"/>
  <c r="G45" i="3" s="1"/>
  <c r="C51" i="3" l="1"/>
  <c r="C52" i="3" s="1"/>
  <c r="G47" i="3"/>
  <c r="C50" i="3" s="1"/>
  <c r="H7" i="7"/>
  <c r="I24" i="7"/>
  <c r="C24" i="7"/>
  <c r="G7" i="7"/>
  <c r="G24" i="7"/>
  <c r="F21" i="7"/>
  <c r="D13" i="7"/>
  <c r="G9" i="7"/>
  <c r="F10" i="7"/>
  <c r="F18" i="7"/>
  <c r="H19" i="7"/>
  <c r="I10" i="7"/>
  <c r="F11" i="7"/>
  <c r="E20" i="7"/>
  <c r="D9" i="7"/>
  <c r="I9" i="7"/>
  <c r="C21" i="7"/>
  <c r="I18" i="7"/>
  <c r="E23" i="7"/>
  <c r="C13" i="7"/>
  <c r="I23" i="7"/>
  <c r="G13" i="7"/>
  <c r="D8" i="7"/>
  <c r="I12" i="7"/>
  <c r="C12" i="7"/>
  <c r="F12" i="7"/>
  <c r="C19" i="7"/>
  <c r="G19" i="7"/>
  <c r="E9" i="7"/>
  <c r="C7" i="7"/>
  <c r="I13" i="7"/>
  <c r="D20" i="7"/>
  <c r="H23" i="7"/>
  <c r="D18" i="7"/>
  <c r="D10" i="7"/>
  <c r="H20" i="7"/>
  <c r="G20" i="7"/>
  <c r="D11" i="7"/>
  <c r="C23" i="7"/>
  <c r="H11" i="7"/>
  <c r="G23" i="7"/>
  <c r="D7" i="7"/>
  <c r="C11" i="7"/>
  <c r="E12" i="7"/>
  <c r="I7" i="7"/>
  <c r="E7" i="7"/>
  <c r="D22" i="7"/>
  <c r="F9" i="7"/>
  <c r="I11" i="7"/>
  <c r="I21" i="7"/>
  <c r="I19" i="7"/>
  <c r="D19" i="7"/>
  <c r="H18" i="7"/>
  <c r="E10" i="7"/>
  <c r="C8" i="7"/>
  <c r="F20" i="7"/>
  <c r="G8" i="7"/>
  <c r="E24" i="7"/>
  <c r="D21" i="7"/>
  <c r="H21" i="7"/>
  <c r="E22" i="7"/>
  <c r="I8" i="7"/>
  <c r="H9" i="7"/>
  <c r="F7" i="7"/>
  <c r="E13" i="7"/>
  <c r="E21" i="7"/>
  <c r="F13" i="7"/>
  <c r="D23" i="7"/>
  <c r="C18" i="7"/>
  <c r="E8" i="7"/>
  <c r="G18" i="7"/>
  <c r="C9" i="7"/>
  <c r="D12" i="7"/>
  <c r="H24" i="7"/>
  <c r="H13" i="7"/>
  <c r="D24" i="7"/>
  <c r="F23" i="7"/>
  <c r="F8" i="7"/>
  <c r="H22" i="7"/>
  <c r="E18" i="7"/>
  <c r="F24" i="7"/>
  <c r="C22" i="7"/>
  <c r="E19" i="7"/>
  <c r="F19" i="7"/>
  <c r="G22" i="7"/>
  <c r="H8" i="7"/>
  <c r="H12" i="7"/>
  <c r="G11" i="7"/>
  <c r="G21" i="7"/>
  <c r="E11" i="7"/>
  <c r="C10" i="7"/>
  <c r="C20" i="7"/>
  <c r="H10" i="7"/>
  <c r="F22" i="7"/>
  <c r="G10" i="7"/>
  <c r="I22" i="7"/>
  <c r="G12" i="7"/>
  <c r="I20" i="7"/>
  <c r="C53" i="3" l="1"/>
  <c r="C58" i="3"/>
  <c r="C62" i="3" s="1"/>
  <c r="C54" i="3" l="1"/>
  <c r="C55" i="3" s="1"/>
  <c r="C16" i="1" s="1"/>
  <c r="C17" i="4"/>
  <c r="C63" i="3"/>
  <c r="C64" i="3" s="1"/>
  <c r="C17" i="1" s="1"/>
  <c r="D17" i="1" s="1"/>
  <c r="C10" i="1" l="1"/>
  <c r="C12" i="1" s="1"/>
  <c r="C11" i="1" s="1"/>
  <c r="C21" i="1"/>
  <c r="D16" i="1"/>
  <c r="C19" i="4"/>
  <c r="C20" i="4" s="1"/>
  <c r="B79" i="4" s="1"/>
</calcChain>
</file>

<file path=xl/sharedStrings.xml><?xml version="1.0" encoding="utf-8"?>
<sst xmlns="http://schemas.openxmlformats.org/spreadsheetml/2006/main" count="447" uniqueCount="363">
  <si>
    <t>DISCLAIMER: This is a sample analysis for demonstration purposes only. It does not constitute investment advice.</t>
  </si>
  <si>
    <t>ヤマトホールディングス (9064.T)</t>
  </si>
  <si>
    <t>Equity Research Report</t>
  </si>
  <si>
    <t>Company</t>
  </si>
  <si>
    <t>ヤマトホールディングス</t>
  </si>
  <si>
    <t>Ticker</t>
  </si>
  <si>
    <t>9064.T (TSE Prime)</t>
  </si>
  <si>
    <t>Sector</t>
  </si>
  <si>
    <t>陸運業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</si>
  <si>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</si>
  <si>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</si>
  <si>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</si>
  <si>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</si>
  <si>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</si>
  <si>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</si>
  <si>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</si>
  <si>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</si>
  <si>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</si>
  <si>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</si>
  <si>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</si>
  <si>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</si>
  <si>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</si>
  <si>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</si>
  <si>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</si>
  <si>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</si>
  <si>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</si>
  <si>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</si>
  <si>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</si>
  <si>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</si>
  <si>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</si>
  <si>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</si>
  <si>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ヤマトホールディングス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</si>
  <si>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</si>
  <si>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</si>
  <si>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</si>
  <si>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</si>
  <si>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</si>
  <si>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</si>
  <si>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</si>
  <si>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</si>
  <si>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</si>
  <si>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</si>
  <si>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</si>
  <si>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</si>
  <si>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</si>
  <si>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</si>
  <si>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</si>
  <si>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</si>
  <si>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</si>
  <si>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</si>
  <si>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</si>
  <si>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</si>
  <si>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</si>
  <si>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</si>
  <si>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</si>
  <si>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</si>
  <si>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</si>
  <si>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</si>
  <si>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</si>
  <si>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</si>
  <si>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ヤマトホールディングス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</si>
  <si>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</si>
  <si>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</si>
  <si>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</si>
  <si>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</si>
  <si>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</si>
  <si>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</si>
  <si>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</si>
  <si>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</si>
  <si>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</si>
  <si>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</si>
  <si>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</si>
  <si>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</si>
  <si>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</si>
  <si>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</si>
  <si>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</si>
  <si>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</si>
  <si>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</si>
  <si>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</si>
  <si>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</si>
  <si>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</si>
  <si>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</si>
  <si>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</si>
  <si>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</si>
  <si>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</si>
  <si>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</si>
  <si>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</si>
  <si>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</si>
  <si>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</si>
  <si>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</si>
  <si>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</si>
  <si>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</si>
  <si>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</si>
  <si>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</si>
  <si>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</si>
  <si>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</si>
  <si>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</si>
  <si>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</si>
  <si>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</si>
  <si>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</si>
  <si>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</si>
  <si>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</si>
  <si>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</si>
  <si>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</si>
  <si>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</si>
  <si>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</si>
  <si>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</si>
  <si>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</si>
  <si>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</si>
  <si>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</si>
  <si>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</si>
  <si>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</si>
  <si>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</si>
  <si>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</si>
  <si>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</si>
  <si>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</si>
  <si>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</si>
  <si>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</si>
  <si>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</si>
  <si>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</si>
  <si>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</si>
  <si>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</si>
  <si>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</si>
  <si>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</si>
  <si>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</si>
  <si>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ヤマトホールディングス (9064.T)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</si>
  <si>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</si>
  <si>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</si>
  <si>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</si>
  <si>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</si>
  <si>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</si>
  <si>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</si>
  <si>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</si>
  <si>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</si>
  <si>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</si>
  <si>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</si>
  <si>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</si>
  <si>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</si>
  <si>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</si>
  <si>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</si>
  <si>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</si>
  <si>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</si>
  <si>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</si>
  <si>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</si>
  <si>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</si>
  <si>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</si>
  <si>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</si>
  <si>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</si>
  <si>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</si>
  <si>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</si>
  <si>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</si>
  <si>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</si>
  <si>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</si>
  <si>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</si>
  <si>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</si>
  <si>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</si>
  <si>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</si>
  <si>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</si>
  <si>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</si>
  <si>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</si>
  <si>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</si>
  <si>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</si>
  <si>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</si>
  <si>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</si>
  <si>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</si>
  <si>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</si>
  <si>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</si>
  <si>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</si>
  <si>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</si>
  <si>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</si>
  <si>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</si>
  <si>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</si>
  <si>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</si>
  <si>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</si>
  <si>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</si>
  <si>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</si>
  <si>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</si>
  <si>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ヤマトホールディングス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</si>
  <si>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</si>
  <si>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</si>
  <si>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</si>
  <si>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</si>
  <si>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</si>
  <si>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</si>
  <si>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</si>
  <si>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</si>
  <si>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</si>
  <si>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</si>
  <si>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</si>
  <si>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</si>
  <si>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</si>
  <si>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</si>
  <si>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</si>
  <si>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</si>
  <si>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</si>
  <si>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</si>
  <si>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</si>
  <si>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</si>
  <si>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</si>
  <si>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</si>
  <si>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</si>
  <si>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</si>
  <si>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</si>
  <si>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</si>
  <si>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</si>
  <si>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</si>
  <si>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</si>
  <si>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</si>
  <si>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</si>
  <si>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</si>
  <si>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</si>
  <si>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</si>
  <si>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Yamato Holdings Co., Ltd.</t>
  </si>
  <si>
    <t>9064.T</t>
  </si>
  <si>
    <t>Nippon Express Holdings, Inc.</t>
  </si>
  <si>
    <t>9147.T</t>
  </si>
  <si>
    <t>SG Holdings Co.,Ltd.</t>
  </si>
  <si>
    <t>9143.T</t>
  </si>
  <si>
    <t>Fukuyama Transporting Co., Ltd.</t>
  </si>
  <si>
    <t>9075.T</t>
  </si>
  <si>
    <t>East Japan Railway Company</t>
  </si>
  <si>
    <t>9020.T</t>
  </si>
  <si>
    <t>West Japan Railway Company</t>
  </si>
  <si>
    <t>9021.T</t>
  </si>
  <si>
    <t>Statistics</t>
  </si>
  <si>
    <t>25th Percentile</t>
  </si>
  <si>
    <t>Median (50th)</t>
  </si>
  <si>
    <t>75th Percentile</t>
  </si>
  <si>
    <t>Implied Valuation for ヤマトホールディングス</t>
  </si>
  <si>
    <t>ヤマトホールディングス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</si>
  <si>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</si>
  <si>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</si>
  <si>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</si>
  <si>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</si>
  <si>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</si>
  <si>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</si>
  <si>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</si>
  <si>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</si>
  <si>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</si>
  <si>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</si>
  <si>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</si>
  <si>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</si>
  <si>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</si>
  <si>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</si>
  <si>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</si>
  <si>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ヤマトホールディングス</t>
  </si>
  <si>
    <t>日付</t>
  </si>
  <si>
    <t>セル</t>
  </si>
  <si>
    <t>変更内容</t>
  </si>
  <si>
    <t>理由</t>
  </si>
  <si>
    <t>元の値</t>
  </si>
  <si>
    <t>状態</t>
  </si>
  <si>
    <t>2026-09-06</t>
  </si>
  <si>
    <t>-</t>
  </si>
  <si>
    <t>Generated by pipeline on 2026-09-06 19:31, template rev 63983ab</t>
  </si>
  <si>
    <t>初期生成（手修正なし）</t>
  </si>
  <si>
    <t>generated</t>
  </si>
  <si>
    <t>DCF Model!C11</t>
  </si>
  <si>
    <t>After-tax Cost of Debt = 1.01% (実績ベース)</t>
  </si>
  <si>
    <t>実績Kd = 支払利息2,483 ÷ 平均有利子負債184,854(期首173,794/期末195,914、debt_beginning/debt_ending) = 税引前1.34% × (1−25.0%) = 1.01%。【マージナルコスト注記】これは既存借入の実績平均コストであり、新規調達の限界コストではない。テンプレ既定(税引前2.8%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</si>
  <si>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</si>
  <si>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</si>
  <si>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</si>
  <si>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0.628（採用値）</t>
  </si>
  <si>
    <t>実測β(raw) = 0.445 → Blume調整 0.67×raw + 0.33×1.00 = 0.628 → 採用 0.628。クランプ域 [0.3, 2.0] の内側。置換なし。回帰βは平均回帰するため Blume 調整を既定とする（2026-09-05 バッチで85件中57件が旧下限 0.60 に張り付き、両裾の歪みが実証された）。</t>
  </si>
  <si>
    <t>実測 0.445</t>
  </si>
  <si>
    <t>確定</t>
  </si>
  <si>
    <t>Pipeline Metadata (do not edit — read by scripts/validate_output.py)</t>
  </si>
  <si>
    <t>key</t>
  </si>
  <si>
    <t>value</t>
  </si>
  <si>
    <t>auto_log_entries</t>
  </si>
  <si>
    <t>2</t>
  </si>
  <si>
    <t>beta_adopted_c8</t>
  </si>
  <si>
    <t>0.6281</t>
  </si>
  <si>
    <t>beta_basis</t>
  </si>
  <si>
    <t>Blume: 0.67 x 0.445 + 0.33 x 1.00 = 0.628</t>
  </si>
  <si>
    <t>beta_blume_adjusted</t>
  </si>
  <si>
    <t>beta_clamped</t>
  </si>
  <si>
    <t>no</t>
  </si>
  <si>
    <t>beta_raw</t>
  </si>
  <si>
    <t>0.4449</t>
  </si>
  <si>
    <t>capex_pct_basis</t>
  </si>
  <si>
    <t>explicit_override</t>
  </si>
  <si>
    <t>capex_pct_c5</t>
  </si>
  <si>
    <t>0.03843</t>
  </si>
  <si>
    <t>capex_pct_hist3yr</t>
  </si>
  <si>
    <t>0.023174</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</si>
  <si>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</si>
  <si>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</si>
  <si>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</si>
  <si>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</si>
  <si>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</si>
  <si>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</si>
  <si>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</si>
  <si>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</si>
  <si>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</si>
  <si>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</si>
  <si>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</si>
  <si>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</si>
  <si>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</si>
  <si>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</si>
  <si>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</si>
  <si>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</si>
  <si>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</si>
  <si>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</si>
  <si>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</si>
  <si>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</si>
  <si>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96500.0</t>
  </si>
  <si>
    <t>core_net_income</t>
  </si>
  <si>
    <t>13662.0</t>
  </si>
  <si>
    <t>cost_of_debt_actual</t>
  </si>
  <si>
    <t>interest 2,483 (expense 2,483 + fees 0) / avg debt 184,854 (debt_beginning/debt_ending) = 0.013432 pre-tax -&gt; 0.010100 after-tax</t>
  </si>
  <si>
    <t>cost_of_debt_at_c11</t>
  </si>
  <si>
    <t>0.0101</t>
  </si>
  <si>
    <t>cost_of_debt_avg_debt</t>
  </si>
  <si>
    <t>184854.0</t>
  </si>
  <si>
    <t>cost_of_debt_basis</t>
  </si>
  <si>
    <t>actual</t>
  </si>
  <si>
    <t>cost_of_debt_interest</t>
  </si>
  <si>
    <t>2483.0</t>
  </si>
  <si>
    <t>cost_of_debt_pretax</t>
  </si>
  <si>
    <t>0.013432222186157725</t>
  </si>
  <si>
    <t>da_pct_basis</t>
  </si>
  <si>
    <t>da_pct_c18</t>
  </si>
  <si>
    <t>0.0366</t>
  </si>
  <si>
    <t>da_pct_hist3yr</t>
  </si>
  <si>
    <t>0.027147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</si>
  <si>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</si>
  <si>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</si>
  <si>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</si>
  <si>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</si>
  <si>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</si>
  <si>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</si>
  <si>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</si>
  <si>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</si>
  <si>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</si>
  <si>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19:31:42</t>
  </si>
  <si>
    <t>guidance_note</t>
  </si>
  <si>
    <t>TDnet 決算短信 via screener guidance table: FY2027 disclosed 2026-08-03 (net_income=16,000mn, operating_income=42,000mn, revenue=1,918,000mn)</t>
  </si>
  <si>
    <t>guidance_source</t>
  </si>
  <si>
    <t>tdnet_screener_db</t>
  </si>
  <si>
    <t>latest_operating_income</t>
  </si>
  <si>
    <t>28307.0</t>
  </si>
  <si>
    <t>ltm_revenue_c20</t>
  </si>
  <si>
    <t>1871655.0</t>
  </si>
  <si>
    <t>ltm_revenue_components</t>
  </si>
  <si>
    <t>fy_key=FY2026; fy_revenue_mn=1865675.0; prior_cum_revenue_mn=437352.0; current_cum_revenue_mn=443332.0; quarters_used=1; latest_quarter_end=2026-06-30; result_mn=1871655.0</t>
  </si>
  <si>
    <t>ltm_revenue_source</t>
  </si>
  <si>
    <t>hybrid LTM (FY - prior cum + current cum)</t>
  </si>
  <si>
    <t>market_data_source</t>
  </si>
  <si>
    <t>yfinance; from overrides: beta, current_price, shares_outstanding</t>
  </si>
  <si>
    <t>narrative_tokens_used</t>
  </si>
  <si>
    <t>net_debt_source</t>
  </si>
  <si>
    <t>EDINET net_debt</t>
  </si>
  <si>
    <t>reverse_dcf_sheet</t>
  </si>
  <si>
    <t>op0=28,307(FY2026) peak=60,087(FY2023) peak_opm=0.0334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</si>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</sst>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1965</v>
      </c>
    </row>
    <row r="10" spans="2:5" ht="14" x14ac:dyDescent="0.3">
      <c r="B10" s="4" t="s">
        <v>10</v>
      </c>
      <c r="C10" s="5">
        <f>IF(COUNT(C16:C17)=0,"N/A",ROUND(AVERAGE(C16:C17),0))</f>
        <v>1977</v>
      </c>
    </row>
    <row r="11" spans="2:5" ht="14" x14ac:dyDescent="0.3">
      <c r="B11" s="4" t="s">
        <v>11</v>
      </c>
      <c r="C11" s="6" t="str">
        <f>IF(NOT(ISNUMBER(C12)),"N/A",IF(C12&gt;0.15,"BUY",IF(C12&gt;0.05,"HOLD","SELL")))</f>
        <v>SELL</v>
      </c>
    </row>
    <row r="12" spans="2:5" ht="14" x14ac:dyDescent="0.3">
      <c r="B12" s="4" t="s">
        <v>12</v>
      </c>
      <c r="C12" s="7">
        <f>IF(ISNUMBER(C10),(C10-C9)/C9,"N/A")</f>
        <v>6.1068702290076335E-3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1325</v>
      </c>
      <c r="D16" s="7">
        <f>IF(ISNUMBER(C16),(C16-C9)/C9,"N/A")</f>
        <v>-0.32569974554707382</v>
      </c>
    </row>
    <row r="17" spans="2:5" ht="13.5" x14ac:dyDescent="0.25">
      <c r="B17" t="s">
        <v>18</v>
      </c>
      <c r="C17" s="11">
        <f>IF('DCF Model'!C62&lt;'DCF Model'!C16,"INVALID (EV &lt; net debt)",'DCF Model'!C64)</f>
        <v>2628</v>
      </c>
      <c r="D17" s="7">
        <f>IF(ISNUMBER(C17),(C17-C9)/C9,"N/A")</f>
        <v>0.33740458015267177</v>
      </c>
    </row>
    <row r="18" spans="2:5" ht="13.5" x14ac:dyDescent="0.25">
      <c r="B18" t="s">
        <v>19</v>
      </c>
      <c r="C18" s="11">
        <f>'Comps Analysis'!C27</f>
        <v>2628</v>
      </c>
      <c r="D18" s="7">
        <f>IF(ISNUMBER(C18),(C18-C9)/C9,"N/A")</f>
        <v>0.33740458015267177</v>
      </c>
    </row>
    <row r="19" spans="2:5" ht="13.5" x14ac:dyDescent="0.25">
      <c r="B19" t="s">
        <v>20</v>
      </c>
      <c r="C19" s="11">
        <f>'Comps Analysis'!C28</f>
        <v>682</v>
      </c>
      <c r="D19" s="7">
        <f>IF(ISNUMBER(C19),(C19-C9)/C9,"N/A")</f>
        <v>-0.6529262086513995</v>
      </c>
    </row>
    <row r="20" spans="2:5" ht="14" x14ac:dyDescent="0.3">
      <c r="B20" s="45" t="s">
        <v>21</v>
      </c>
      <c r="C20" s="44"/>
      <c r="D20" s="44"/>
      <c r="E20" s="44"/>
    </row>
    <row r="21" spans="2:5" ht="14" x14ac:dyDescent="0.3">
      <c r="B21" s="4" t="s">
        <v>22</v>
      </c>
      <c r="C21" s="6" t="str">
        <f>IF(COUNT(C16:C17)=0,"N/A",MIN(C16:C17)&amp;" - "&amp;MAX(C16:C17))</f>
        <v>1325 - 2628</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1800668</v>
      </c>
      <c r="D6" s="5">
        <v>1758626</v>
      </c>
      <c r="E6" s="5">
        <v>1762696</v>
      </c>
      <c r="F6" s="5">
        <v>1865675</v>
      </c>
    </row>
    <row r="7" spans="2:6" ht="14" x14ac:dyDescent="0.3">
      <c r="B7" s="4" t="s">
        <v>38</v>
      </c>
      <c r="C7" s="5">
        <v>1687241</v>
      </c>
      <c r="D7" s="5">
        <v>1664317</v>
      </c>
      <c r="E7" s="5">
        <v>1692669</v>
      </c>
      <c r="F7" s="5">
        <v>1776935</v>
      </c>
    </row>
    <row r="8" spans="2:6" ht="14" x14ac:dyDescent="0.3">
      <c r="B8" s="4" t="s">
        <v>39</v>
      </c>
      <c r="C8" s="5">
        <f>C6-C7</f>
        <v>113427</v>
      </c>
      <c r="D8" s="5">
        <f>D6-D7</f>
        <v>94309</v>
      </c>
      <c r="E8" s="5">
        <f>E6-E7</f>
        <v>70027</v>
      </c>
      <c r="F8" s="5">
        <f>F6-F7</f>
        <v>88740</v>
      </c>
    </row>
    <row r="9" spans="2:6" ht="13.5" x14ac:dyDescent="0.25">
      <c r="B9" t="s">
        <v>40</v>
      </c>
      <c r="C9" s="7">
        <f>C8/C6</f>
        <v>6.2991623108757416E-2</v>
      </c>
      <c r="D9" s="7">
        <f>D8/D6</f>
        <v>5.3626524343436295E-2</v>
      </c>
      <c r="E9" s="7">
        <f>E8/E6</f>
        <v>3.9727213314150599E-2</v>
      </c>
      <c r="F9" s="7">
        <f>F8/F6</f>
        <v>4.756455438380211E-2</v>
      </c>
    </row>
    <row r="10" spans="2:6" ht="14" x14ac:dyDescent="0.3">
      <c r="B10" s="4" t="s">
        <v>41</v>
      </c>
      <c r="C10" s="5">
        <v>53340</v>
      </c>
      <c r="D10" s="5">
        <v>54247</v>
      </c>
      <c r="E10" s="5">
        <v>55820</v>
      </c>
      <c r="F10" s="5">
        <v>60433</v>
      </c>
    </row>
    <row r="11" spans="2:6" ht="14" x14ac:dyDescent="0.3">
      <c r="B11" s="4" t="s">
        <v>42</v>
      </c>
      <c r="C11" s="5">
        <v>60087</v>
      </c>
      <c r="D11" s="5">
        <v>40062</v>
      </c>
      <c r="E11" s="5">
        <v>14207</v>
      </c>
      <c r="F11" s="5">
        <v>28307</v>
      </c>
    </row>
    <row r="12" spans="2:6" ht="14" x14ac:dyDescent="0.3">
      <c r="B12" s="4" t="s">
        <v>43</v>
      </c>
      <c r="C12" s="5">
        <v>45898</v>
      </c>
      <c r="D12" s="5">
        <v>37626</v>
      </c>
      <c r="E12" s="5">
        <v>37937</v>
      </c>
      <c r="F12" s="5">
        <v>13662</v>
      </c>
    </row>
    <row r="13" spans="2:6" ht="13.5" x14ac:dyDescent="0.25">
      <c r="B13" t="s">
        <v>44</v>
      </c>
      <c r="C13" s="7">
        <f>C11/C6</f>
        <v>3.3369282954992259E-2</v>
      </c>
      <c r="D13" s="7">
        <f>D11/D6</f>
        <v>2.278028415365177E-2</v>
      </c>
      <c r="E13" s="7">
        <f>E11/E6</f>
        <v>8.0598129229316907E-3</v>
      </c>
      <c r="F13" s="7">
        <f>F11/F6</f>
        <v>1.5172524689455558E-2</v>
      </c>
    </row>
    <row r="14" spans="2:6" ht="13.5" x14ac:dyDescent="0.25">
      <c r="B14" t="s">
        <v>45</v>
      </c>
      <c r="C14" s="7">
        <f>C12/C6</f>
        <v>2.5489429478393572E-2</v>
      </c>
      <c r="D14" s="7">
        <f>D12/D6</f>
        <v>2.139511186574064E-2</v>
      </c>
      <c r="E14" s="7">
        <f>E12/E6</f>
        <v>2.1522145622387523E-2</v>
      </c>
      <c r="F14" s="7">
        <f>F12/F6</f>
        <v>7.3228188189261257E-3</v>
      </c>
    </row>
    <row r="15" spans="2:6" ht="13.5" x14ac:dyDescent="0.25">
      <c r="B15" t="s">
        <v>46</v>
      </c>
      <c r="C15" t="s">
        <v>47</v>
      </c>
      <c r="D15" s="7">
        <f>(D6-C6)/C6</f>
        <v>-2.3348001963715687E-2</v>
      </c>
      <c r="E15" s="7">
        <f>(E6-D6)/D6</f>
        <v>2.3143067371914211E-3</v>
      </c>
      <c r="F15" s="7">
        <f>(F6-E6)/E6</f>
        <v>5.8421304637895584E-2</v>
      </c>
    </row>
    <row r="16" spans="2:6" ht="13.5" x14ac:dyDescent="0.25">
      <c r="B16" t="s">
        <v>48</v>
      </c>
      <c r="C16" t="s">
        <v>47</v>
      </c>
      <c r="D16" s="7">
        <f>(D11-C11)/C11</f>
        <v>-0.33326676319336962</v>
      </c>
      <c r="E16" s="7">
        <f>(E11-D11)/D11</f>
        <v>-0.64537466926264286</v>
      </c>
      <c r="F16" s="7">
        <f>(F11-E11)/E11</f>
        <v>0.99246850144295062</v>
      </c>
    </row>
    <row r="18" spans="2:6" ht="14" x14ac:dyDescent="0.3">
      <c r="B18" s="3" t="s">
        <v>49</v>
      </c>
    </row>
    <row r="19" spans="2:6" ht="14" x14ac:dyDescent="0.3">
      <c r="B19" s="4" t="s">
        <v>50</v>
      </c>
      <c r="C19" s="5">
        <v>89953</v>
      </c>
      <c r="D19" s="5">
        <v>64333</v>
      </c>
      <c r="E19" s="5">
        <v>47732</v>
      </c>
      <c r="F19" s="5">
        <v>72218</v>
      </c>
    </row>
    <row r="20" spans="2:6" ht="14" x14ac:dyDescent="0.3">
      <c r="B20" s="4" t="s">
        <v>51</v>
      </c>
      <c r="C20" s="5">
        <v>35435</v>
      </c>
      <c r="D20" s="5">
        <v>31956</v>
      </c>
      <c r="E20" s="5">
        <v>54992</v>
      </c>
      <c r="F20" s="5">
        <v>37598</v>
      </c>
    </row>
    <row r="21" spans="2:6" ht="14" x14ac:dyDescent="0.3">
      <c r="B21" s="4" t="s">
        <v>52</v>
      </c>
      <c r="C21" s="5">
        <f>C19-C20</f>
        <v>54518</v>
      </c>
      <c r="D21" s="5">
        <f>D19-D20</f>
        <v>32377</v>
      </c>
      <c r="E21" s="5">
        <f>E19-E20</f>
        <v>-7260</v>
      </c>
      <c r="F21" s="5">
        <f>F19-F20</f>
        <v>34620</v>
      </c>
    </row>
    <row r="22" spans="2:6" ht="13.5" x14ac:dyDescent="0.25">
      <c r="B22" t="s">
        <v>53</v>
      </c>
      <c r="C22" s="7">
        <f>C21/C6</f>
        <v>3.027654181670358E-2</v>
      </c>
      <c r="D22" s="7">
        <f>D21/D6</f>
        <v>1.8410395388217846E-2</v>
      </c>
      <c r="E22" s="7">
        <f>E21/E6</f>
        <v>-4.1186909143720758E-3</v>
      </c>
      <c r="F22" s="7">
        <f>F21/F6</f>
        <v>1.8556286598684121E-2</v>
      </c>
    </row>
    <row r="23" spans="2:6" ht="13.5" x14ac:dyDescent="0.25">
      <c r="B23" t="s">
        <v>54</v>
      </c>
      <c r="C23" s="7">
        <f>C20/C6</f>
        <v>1.9678808086776686E-2</v>
      </c>
      <c r="D23" s="7">
        <f>D20/D6</f>
        <v>1.8171003954223355E-2</v>
      </c>
      <c r="E23" s="7">
        <f>E20/E6</f>
        <v>3.1197665394373165E-2</v>
      </c>
      <c r="F23" s="7">
        <f>F20/F6</f>
        <v>2.0152491725514893E-2</v>
      </c>
    </row>
    <row r="25" spans="2:6" ht="14" x14ac:dyDescent="0.3">
      <c r="B25" s="3" t="s">
        <v>55</v>
      </c>
    </row>
    <row r="26" spans="2:6" ht="14" x14ac:dyDescent="0.3">
      <c r="B26" s="4" t="s">
        <v>56</v>
      </c>
      <c r="C26" s="5">
        <v>183225</v>
      </c>
      <c r="D26" s="5">
        <v>194702</v>
      </c>
      <c r="E26" s="5">
        <v>208654</v>
      </c>
      <c r="F26" s="5">
        <v>238812</v>
      </c>
    </row>
    <row r="27" spans="2:6" ht="14" x14ac:dyDescent="0.3">
      <c r="B27" s="4" t="s">
        <v>57</v>
      </c>
      <c r="C27" s="5">
        <v>10000</v>
      </c>
      <c r="D27" s="5">
        <v>50999</v>
      </c>
      <c r="E27" s="5">
        <v>120583</v>
      </c>
      <c r="F27" s="5">
        <v>125261</v>
      </c>
    </row>
    <row r="28" spans="2:6" ht="14" x14ac:dyDescent="0.3">
      <c r="B28" s="4" t="s">
        <v>58</v>
      </c>
      <c r="C28" s="5">
        <f>C27-C26</f>
        <v>-173225</v>
      </c>
      <c r="D28" s="5">
        <f>D27-D26</f>
        <v>-143703</v>
      </c>
      <c r="E28" s="5">
        <f>E27-E26</f>
        <v>-88071</v>
      </c>
      <c r="F28" s="5">
        <f>F27-F26</f>
        <v>-113551</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3.8429999999999999E-2</v>
      </c>
    </row>
    <row r="6" spans="2:7" ht="14" x14ac:dyDescent="0.3">
      <c r="B6" s="4" t="s">
        <v>63</v>
      </c>
      <c r="C6" s="7">
        <v>0.25</v>
      </c>
    </row>
    <row r="7" spans="2:7" ht="14" x14ac:dyDescent="0.3">
      <c r="B7" s="4" t="s">
        <v>64</v>
      </c>
      <c r="C7" s="7">
        <v>2.9700000000000001E-2</v>
      </c>
    </row>
    <row r="8" spans="2:7" ht="14" x14ac:dyDescent="0.3">
      <c r="B8" s="4" t="s">
        <v>65</v>
      </c>
      <c r="C8" s="12">
        <v>0.62809999999999999</v>
      </c>
    </row>
    <row r="9" spans="2:7" ht="14" x14ac:dyDescent="0.3">
      <c r="B9" s="4" t="s">
        <v>66</v>
      </c>
      <c r="C9" s="7">
        <v>6.5000000000000002E-2</v>
      </c>
    </row>
    <row r="10" spans="2:7" ht="14" x14ac:dyDescent="0.3">
      <c r="B10" s="4" t="s">
        <v>67</v>
      </c>
      <c r="C10" s="7">
        <v>0.01</v>
      </c>
    </row>
    <row r="11" spans="2:7" ht="14" x14ac:dyDescent="0.3">
      <c r="B11" s="4" t="s">
        <v>68</v>
      </c>
      <c r="C11" s="7">
        <v>1.01E-2</v>
      </c>
    </row>
    <row r="12" spans="2:7" ht="14" x14ac:dyDescent="0.3">
      <c r="B12" s="4" t="s">
        <v>69</v>
      </c>
      <c r="C12" s="13">
        <v>0</v>
      </c>
    </row>
    <row r="13" spans="2:7" ht="14" x14ac:dyDescent="0.3">
      <c r="B13" s="4" t="s">
        <v>70</v>
      </c>
      <c r="C13" s="7">
        <v>0.01</v>
      </c>
    </row>
    <row r="14" spans="2:7" ht="14" x14ac:dyDescent="0.3">
      <c r="B14" s="4" t="s">
        <v>71</v>
      </c>
      <c r="C14" s="14">
        <v>8.1999999999999993</v>
      </c>
    </row>
    <row r="15" spans="2:7" ht="14" x14ac:dyDescent="0.3">
      <c r="B15" s="4" t="s">
        <v>72</v>
      </c>
      <c r="C15" s="15">
        <v>316676561</v>
      </c>
    </row>
    <row r="16" spans="2:7" ht="14" x14ac:dyDescent="0.3">
      <c r="B16" s="4" t="s">
        <v>73</v>
      </c>
      <c r="C16" s="5">
        <v>-42898</v>
      </c>
    </row>
    <row r="17" spans="2:7" ht="14" x14ac:dyDescent="0.3">
      <c r="B17" s="4" t="s">
        <v>74</v>
      </c>
      <c r="C17" s="5">
        <v>1865675</v>
      </c>
    </row>
    <row r="18" spans="2:7" ht="14" x14ac:dyDescent="0.3">
      <c r="B18" s="4" t="s">
        <v>75</v>
      </c>
      <c r="C18" s="7">
        <v>3.6600000000000001E-2</v>
      </c>
    </row>
    <row r="19" spans="2:7" ht="14" x14ac:dyDescent="0.3">
      <c r="B19" s="4" t="s">
        <v>76</v>
      </c>
      <c r="C19" s="12">
        <v>0.75</v>
      </c>
    </row>
    <row r="20" spans="2:7" ht="14" x14ac:dyDescent="0.3">
      <c r="B20" s="4" t="s">
        <v>77</v>
      </c>
      <c r="C20" s="5">
        <v>1871655</v>
      </c>
    </row>
    <row r="22" spans="2:7" ht="14" x14ac:dyDescent="0.3">
      <c r="B22" s="8" t="s">
        <v>78</v>
      </c>
      <c r="C22" s="9"/>
      <c r="D22" s="9"/>
      <c r="E22" s="9"/>
      <c r="F22" s="9"/>
      <c r="G22" s="9"/>
    </row>
    <row r="23" spans="2:7" ht="14" x14ac:dyDescent="0.3">
      <c r="B23" s="4" t="s">
        <v>79</v>
      </c>
      <c r="C23" s="16">
        <f>C7+C8*C9+C10</f>
        <v>8.0526500000000001E-2</v>
      </c>
    </row>
    <row r="24" spans="2:7" ht="14" x14ac:dyDescent="0.3">
      <c r="B24" s="4" t="s">
        <v>80</v>
      </c>
      <c r="C24" s="16">
        <f>1/(1+C12)</f>
        <v>1</v>
      </c>
    </row>
    <row r="25" spans="2:7" ht="14" x14ac:dyDescent="0.3">
      <c r="B25" s="4" t="s">
        <v>81</v>
      </c>
      <c r="C25" s="16">
        <f>C12/(1+C12)</f>
        <v>0</v>
      </c>
    </row>
    <row r="26" spans="2:7" ht="14" x14ac:dyDescent="0.3">
      <c r="B26" s="4" t="s">
        <v>82</v>
      </c>
      <c r="C26" s="16">
        <f>C23*C24+C11*C25</f>
        <v>8.0526500000000001E-2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0.95199999999999996</v>
      </c>
      <c r="D31" s="18">
        <f>CHOOSE($D$27,D76,D77,D78,D79,D80)</f>
        <v>0.95199999999999996</v>
      </c>
      <c r="E31" s="18">
        <f>CHOOSE($D$27,E76,E77,E78,E79,E80)</f>
        <v>0.95199999999999996</v>
      </c>
      <c r="F31" s="18">
        <f>CHOOSE($D$27,F76,F77,F78,F79,F80)</f>
        <v>0.95199999999999996</v>
      </c>
      <c r="G31" s="18">
        <f>CHOOSE($D$27,G76,G77,G78,G79,G80)</f>
        <v>0.95199999999999996</v>
      </c>
    </row>
    <row r="32" spans="2:7" ht="14" x14ac:dyDescent="0.3">
      <c r="B32" s="4" t="s">
        <v>92</v>
      </c>
      <c r="C32" s="18">
        <f>CHOOSE($D$27,C83,C84,C85,C86,C87)</f>
        <v>3.2000000000000001E-2</v>
      </c>
      <c r="D32" s="18">
        <f>CHOOSE($D$27,D83,D84,D85,D86,D87)</f>
        <v>3.1E-2</v>
      </c>
      <c r="E32" s="18">
        <f>CHOOSE($D$27,E83,E84,E85,E86,E87)</f>
        <v>0.03</v>
      </c>
      <c r="F32" s="18">
        <f>CHOOSE($D$27,F83,F84,F85,F86,F87)</f>
        <v>2.9399999999999999E-2</v>
      </c>
      <c r="G32" s="18">
        <f>CHOOSE($D$27,G83,G84,G85,G86,G87)</f>
        <v>2.9000000000000001E-2</v>
      </c>
    </row>
    <row r="33" spans="2:7" ht="14" x14ac:dyDescent="0.3">
      <c r="B33" s="4" t="s">
        <v>37</v>
      </c>
      <c r="C33" s="5">
        <f>C17*(1+C30)</f>
        <v>1902988.5</v>
      </c>
      <c r="D33" s="5">
        <f>C33*(1+D30)</f>
        <v>1941048.27</v>
      </c>
      <c r="E33" s="5">
        <f>D33*(1+E30)</f>
        <v>1979869.2354000001</v>
      </c>
      <c r="F33" s="5">
        <f>E33*(1+F30)</f>
        <v>2019466.6201080002</v>
      </c>
      <c r="G33" s="5">
        <f>F33*(1+G30)</f>
        <v>2049758.6194096201</v>
      </c>
    </row>
    <row r="34" spans="2:7" ht="14" x14ac:dyDescent="0.3">
      <c r="B34" s="4" t="s">
        <v>38</v>
      </c>
      <c r="C34" s="5">
        <f>C33*C31</f>
        <v>1811645.0519999999</v>
      </c>
      <c r="D34" s="5">
        <f>D33*D31</f>
        <v>1847877.9530400001</v>
      </c>
      <c r="E34" s="5">
        <f>E33*E31</f>
        <v>1884835.5121007999</v>
      </c>
      <c r="F34" s="5">
        <f>F33*F31</f>
        <v>1922532.2223428162</v>
      </c>
      <c r="G34" s="5">
        <f>G33*G31</f>
        <v>1951370.2056779582</v>
      </c>
    </row>
    <row r="35" spans="2:7" ht="14" x14ac:dyDescent="0.3">
      <c r="B35" s="4" t="s">
        <v>39</v>
      </c>
      <c r="C35" s="19">
        <f>C33-C34</f>
        <v>91343.448000000091</v>
      </c>
      <c r="D35" s="19">
        <f>D33-D34</f>
        <v>93170.316959999967</v>
      </c>
      <c r="E35" s="19">
        <f>E33-E34</f>
        <v>95033.723299200181</v>
      </c>
      <c r="F35" s="19">
        <f>F33-F34</f>
        <v>96934.397765184054</v>
      </c>
      <c r="G35" s="19">
        <f>G33-G34</f>
        <v>98388.413731661858</v>
      </c>
    </row>
    <row r="36" spans="2:7" ht="14" x14ac:dyDescent="0.3">
      <c r="B36" s="4" t="s">
        <v>40</v>
      </c>
      <c r="C36" s="7">
        <f>C35/C33</f>
        <v>4.800000000000005E-2</v>
      </c>
      <c r="D36" s="7">
        <f>D35/D33</f>
        <v>4.799999999999998E-2</v>
      </c>
      <c r="E36" s="7">
        <f>E35/E33</f>
        <v>4.8000000000000091E-2</v>
      </c>
      <c r="F36" s="7">
        <f>F35/F33</f>
        <v>4.8000000000000022E-2</v>
      </c>
      <c r="G36" s="7">
        <f>G35/G33</f>
        <v>4.800000000000005E-2</v>
      </c>
    </row>
    <row r="37" spans="2:7" ht="14" x14ac:dyDescent="0.3">
      <c r="B37" s="4" t="s">
        <v>93</v>
      </c>
      <c r="C37" s="5">
        <f>C33*C32</f>
        <v>60895.631999999998</v>
      </c>
      <c r="D37" s="5">
        <f>D33*D32</f>
        <v>60172.496370000001</v>
      </c>
      <c r="E37" s="5">
        <f>E33*E32</f>
        <v>59396.077062000004</v>
      </c>
      <c r="F37" s="5">
        <f>F33*F32</f>
        <v>59372.318631175207</v>
      </c>
      <c r="G37" s="5">
        <f>G33*G32</f>
        <v>59442.999962878988</v>
      </c>
    </row>
    <row r="38" spans="2:7" ht="14" x14ac:dyDescent="0.3">
      <c r="B38" s="4" t="s">
        <v>94</v>
      </c>
      <c r="C38" s="7">
        <f>(C35-C37)/C33</f>
        <v>1.6000000000000049E-2</v>
      </c>
      <c r="D38" s="7">
        <f>(D35-D37)/D33</f>
        <v>1.6999999999999984E-2</v>
      </c>
      <c r="E38" s="7">
        <f>(E35-E37)/E33</f>
        <v>1.8000000000000089E-2</v>
      </c>
      <c r="F38" s="7">
        <f>(F35-F37)/F33</f>
        <v>1.8600000000000023E-2</v>
      </c>
      <c r="G38" s="7">
        <f>(G35-G37)/G33</f>
        <v>1.9000000000000045E-2</v>
      </c>
    </row>
    <row r="39" spans="2:7" ht="14" x14ac:dyDescent="0.3">
      <c r="B39" s="4" t="s">
        <v>95</v>
      </c>
      <c r="C39" s="19">
        <f>C35-C37</f>
        <v>30447.816000000093</v>
      </c>
      <c r="D39" s="19">
        <f>D35-D37</f>
        <v>32997.820589999967</v>
      </c>
      <c r="E39" s="19">
        <f>E35-E37</f>
        <v>35637.646237200177</v>
      </c>
      <c r="F39" s="19">
        <f>F35-F37</f>
        <v>37562.079134008847</v>
      </c>
      <c r="G39" s="19">
        <f>G35-G37</f>
        <v>38945.41376878287</v>
      </c>
    </row>
    <row r="40" spans="2:7" ht="14" x14ac:dyDescent="0.3">
      <c r="B40" s="4" t="s">
        <v>96</v>
      </c>
      <c r="C40" s="5">
        <f>MAX(0,C39*C6)</f>
        <v>7611.9540000000234</v>
      </c>
      <c r="D40" s="5">
        <f>MAX(0,D39*C6)</f>
        <v>8249.4551474999917</v>
      </c>
      <c r="E40" s="5">
        <f>MAX(0,E39*C6)</f>
        <v>8909.4115593000442</v>
      </c>
      <c r="F40" s="5">
        <f>MAX(0,F39*C6)</f>
        <v>9390.5197835022118</v>
      </c>
      <c r="G40" s="5">
        <f>MAX(0,G39*C6)</f>
        <v>9736.3534421957174</v>
      </c>
    </row>
    <row r="41" spans="2:7" ht="14" x14ac:dyDescent="0.3">
      <c r="B41" s="4" t="s">
        <v>97</v>
      </c>
      <c r="C41" s="19">
        <f>C39-C40</f>
        <v>22835.86200000007</v>
      </c>
      <c r="D41" s="19">
        <f>D39-D40</f>
        <v>24748.365442499977</v>
      </c>
      <c r="E41" s="19">
        <f>E39-E40</f>
        <v>26728.234677900131</v>
      </c>
      <c r="F41" s="19">
        <f>F39-F40</f>
        <v>28171.559350506635</v>
      </c>
      <c r="G41" s="19">
        <f>G39-G40</f>
        <v>29209.060326587154</v>
      </c>
    </row>
    <row r="42" spans="2:7" ht="14" x14ac:dyDescent="0.3">
      <c r="B42" s="4" t="s">
        <v>98</v>
      </c>
      <c r="C42" s="5">
        <f>C33*C18</f>
        <v>69649.379100000006</v>
      </c>
      <c r="D42" s="5">
        <f>D33*C18</f>
        <v>71042.366682000007</v>
      </c>
      <c r="E42" s="5">
        <f>E33*C18</f>
        <v>72463.214015640013</v>
      </c>
      <c r="F42" s="5">
        <f>F33*C18</f>
        <v>73912.478295952809</v>
      </c>
      <c r="G42" s="5">
        <f>G33*C18</f>
        <v>75021.165470392094</v>
      </c>
    </row>
    <row r="43" spans="2:7" ht="14" x14ac:dyDescent="0.3">
      <c r="B43" s="4" t="s">
        <v>99</v>
      </c>
      <c r="C43" s="5">
        <v>45800</v>
      </c>
      <c r="D43" s="5">
        <v>54100</v>
      </c>
      <c r="E43" s="5">
        <v>62300</v>
      </c>
      <c r="F43" s="5">
        <v>70600</v>
      </c>
      <c r="G43" s="5">
        <v>78800</v>
      </c>
    </row>
    <row r="44" spans="2:7" ht="14" x14ac:dyDescent="0.3">
      <c r="B44" s="4" t="s">
        <v>100</v>
      </c>
      <c r="C44" s="5">
        <f>'NWC Schedule'!D19</f>
        <v>2161.3032328767877</v>
      </c>
      <c r="D44" s="5">
        <f>'NWC Schedule'!E19</f>
        <v>2260.6460646574269</v>
      </c>
      <c r="E44" s="5">
        <f>'NWC Schedule'!F19</f>
        <v>2305.858985950792</v>
      </c>
      <c r="F44" s="5">
        <f>'NWC Schedule'!G19</f>
        <v>2351.9761656696501</v>
      </c>
      <c r="G44" s="5">
        <f>'NWC Schedule'!H19</f>
        <v>1799.261766737327</v>
      </c>
    </row>
    <row r="45" spans="2:7" ht="14" x14ac:dyDescent="0.3">
      <c r="B45" s="4" t="s">
        <v>101</v>
      </c>
      <c r="C45" s="20">
        <f>C41+C42-C43-C44</f>
        <v>44523.937867123284</v>
      </c>
      <c r="D45" s="20">
        <f>D41+D42-D43-D44</f>
        <v>39430.08605984255</v>
      </c>
      <c r="E45" s="20">
        <f>E41+E42-E43-E44</f>
        <v>34585.589707589359</v>
      </c>
      <c r="F45" s="20">
        <f>F41+F42-F43-F44</f>
        <v>29132.061480789795</v>
      </c>
      <c r="G45" s="20">
        <f>G41+G42-G43-G44</f>
        <v>23630.964030241914</v>
      </c>
    </row>
    <row r="46" spans="2:7" ht="14" x14ac:dyDescent="0.3">
      <c r="B46" s="4" t="s">
        <v>102</v>
      </c>
      <c r="C46" s="21">
        <f>1/(1+C26)^(C19+0)</f>
        <v>0.9435684981460728</v>
      </c>
      <c r="D46" s="21">
        <f>1/(1+C26)^(C19+1)</f>
        <v>0.87324882651751068</v>
      </c>
      <c r="E46" s="21">
        <f>1/(1+C26)^(C19+2)</f>
        <v>0.80816974550602017</v>
      </c>
      <c r="F46" s="21">
        <f>1/(1+C26)^(C19+3)</f>
        <v>0.74794069882230574</v>
      </c>
      <c r="G46" s="21">
        <f>1/(1+C26)^(C19+4)</f>
        <v>0.69220023647944395</v>
      </c>
    </row>
    <row r="47" spans="2:7" ht="14" x14ac:dyDescent="0.3">
      <c r="B47" s="4" t="s">
        <v>103</v>
      </c>
      <c r="C47" s="19">
        <f>C45*C46</f>
        <v>42011.385184830579</v>
      </c>
      <c r="D47" s="19">
        <f>D45*D46</f>
        <v>34432.276381241965</v>
      </c>
      <c r="E47" s="19">
        <f>E45*E46</f>
        <v>27951.027232158121</v>
      </c>
      <c r="F47" s="19">
        <f>F45*F46</f>
        <v>21789.054422076293</v>
      </c>
      <c r="G47" s="19">
        <f>G45*G46</f>
        <v>16357.358889970687</v>
      </c>
    </row>
    <row r="49" spans="2:7" ht="14" x14ac:dyDescent="0.3">
      <c r="B49" s="22" t="s">
        <v>104</v>
      </c>
      <c r="C49" s="23"/>
      <c r="D49" s="23"/>
      <c r="E49" s="23"/>
      <c r="F49" s="23"/>
      <c r="G49" s="23"/>
    </row>
    <row r="50" spans="2:7" ht="14" x14ac:dyDescent="0.3">
      <c r="B50" s="4" t="s">
        <v>105</v>
      </c>
      <c r="C50" s="5">
        <f>SUM(C47:G47)</f>
        <v>142541.10211027766</v>
      </c>
    </row>
    <row r="51" spans="2:7" ht="14" x14ac:dyDescent="0.3">
      <c r="B51" s="4" t="s">
        <v>106</v>
      </c>
      <c r="C51" s="5">
        <f>G45*(1+C13)/(C26-C13)</f>
        <v>338415.68304884451</v>
      </c>
    </row>
    <row r="52" spans="2:7" ht="14" x14ac:dyDescent="0.3">
      <c r="B52" s="4" t="s">
        <v>107</v>
      </c>
      <c r="C52" s="5">
        <f>C51*G46</f>
        <v>234251.41583476274</v>
      </c>
    </row>
    <row r="53" spans="2:7" ht="14" x14ac:dyDescent="0.3">
      <c r="B53" s="4" t="s">
        <v>108</v>
      </c>
      <c r="C53" s="5">
        <f>C50+C52</f>
        <v>376792.51794504037</v>
      </c>
    </row>
    <row r="54" spans="2:7" ht="14" x14ac:dyDescent="0.3">
      <c r="B54" s="4" t="s">
        <v>109</v>
      </c>
      <c r="C54" s="5">
        <f>C53-C16</f>
        <v>419690.51794504037</v>
      </c>
    </row>
    <row r="55" spans="2:7" ht="14" x14ac:dyDescent="0.3">
      <c r="B55" s="4" t="s">
        <v>110</v>
      </c>
      <c r="C55" s="24">
        <f>ROUND(C54*1000000/C15,0)</f>
        <v>1325</v>
      </c>
    </row>
    <row r="57" spans="2:7" ht="14" x14ac:dyDescent="0.3">
      <c r="B57" s="22" t="s">
        <v>111</v>
      </c>
      <c r="C57" s="23"/>
      <c r="D57" s="23"/>
      <c r="E57" s="23"/>
      <c r="F57" s="23"/>
      <c r="G57" s="23"/>
    </row>
    <row r="58" spans="2:7" ht="14" x14ac:dyDescent="0.3">
      <c r="B58" s="4" t="s">
        <v>105</v>
      </c>
      <c r="C58" s="5">
        <f>C50</f>
        <v>142541.10211027766</v>
      </c>
    </row>
    <row r="59" spans="2:7" ht="14" x14ac:dyDescent="0.3">
      <c r="B59" s="4" t="s">
        <v>112</v>
      </c>
      <c r="C59" s="5">
        <f>G39+G42</f>
        <v>113966.57923917496</v>
      </c>
    </row>
    <row r="60" spans="2:7" ht="14" x14ac:dyDescent="0.3">
      <c r="B60" s="4" t="s">
        <v>113</v>
      </c>
      <c r="C60" s="5">
        <f>C59*C14</f>
        <v>934525.94976123457</v>
      </c>
    </row>
    <row r="61" spans="2:7" ht="14" x14ac:dyDescent="0.3">
      <c r="B61" s="4" t="s">
        <v>107</v>
      </c>
      <c r="C61" s="5">
        <f>C60*G46</f>
        <v>646879.08342090354</v>
      </c>
    </row>
    <row r="62" spans="2:7" ht="14" x14ac:dyDescent="0.3">
      <c r="B62" s="4" t="s">
        <v>108</v>
      </c>
      <c r="C62" s="5">
        <f>C58+C61</f>
        <v>789420.18553118117</v>
      </c>
    </row>
    <row r="63" spans="2:7" ht="14" x14ac:dyDescent="0.3">
      <c r="B63" s="4" t="s">
        <v>109</v>
      </c>
      <c r="C63" s="5">
        <f>C62-C16</f>
        <v>832318.18553118117</v>
      </c>
    </row>
    <row r="64" spans="2:7" ht="14" x14ac:dyDescent="0.3">
      <c r="B64" s="4" t="s">
        <v>114</v>
      </c>
      <c r="C64" s="24">
        <f>ROUND(C63*1000000/C15,0)</f>
        <v>2628</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0.02</v>
      </c>
      <c r="E69" s="26">
        <v>0.02</v>
      </c>
      <c r="F69" s="26">
        <v>0.02</v>
      </c>
      <c r="G69" s="26">
        <v>1.4999999999999999E-2</v>
      </c>
    </row>
    <row r="70" spans="2:7" ht="14" x14ac:dyDescent="0.3">
      <c r="B70" s="4" t="s">
        <v>121</v>
      </c>
      <c r="C70" s="26">
        <v>3.5000000000000003E-2</v>
      </c>
      <c r="D70" s="26">
        <v>0.03</v>
      </c>
      <c r="E70" s="26">
        <v>0.03</v>
      </c>
      <c r="F70" s="26">
        <v>2.5000000000000001E-2</v>
      </c>
      <c r="G70" s="26">
        <v>2.5000000000000001E-2</v>
      </c>
    </row>
    <row r="71" spans="2:7" ht="14" x14ac:dyDescent="0.3">
      <c r="B71" s="4" t="s">
        <v>122</v>
      </c>
      <c r="C71" s="26">
        <v>0.02</v>
      </c>
      <c r="D71" s="26">
        <v>0.02</v>
      </c>
      <c r="E71" s="26">
        <v>0.02</v>
      </c>
      <c r="F71" s="26">
        <v>0.02</v>
      </c>
      <c r="G71" s="26">
        <v>1.4999999999999999E-2</v>
      </c>
    </row>
    <row r="72" spans="2:7" ht="14" x14ac:dyDescent="0.3">
      <c r="B72" s="4" t="s">
        <v>123</v>
      </c>
      <c r="C72" s="26">
        <v>5.0000000000000001E-3</v>
      </c>
      <c r="D72" s="26">
        <v>0.01</v>
      </c>
      <c r="E72" s="26">
        <v>1.4999999999999999E-2</v>
      </c>
      <c r="F72" s="26">
        <v>1.4999999999999999E-2</v>
      </c>
      <c r="G72" s="26">
        <v>1.4999999999999999E-2</v>
      </c>
    </row>
    <row r="73" spans="2:7" ht="14" x14ac:dyDescent="0.3">
      <c r="B73" s="4" t="s">
        <v>124</v>
      </c>
      <c r="C73" s="26">
        <v>-0.06</v>
      </c>
      <c r="D73" s="26">
        <v>-0.01</v>
      </c>
      <c r="E73" s="26">
        <v>0.01</v>
      </c>
      <c r="F73" s="26">
        <v>1.4999999999999999E-2</v>
      </c>
      <c r="G73" s="26">
        <v>1.4999999999999999E-2</v>
      </c>
    </row>
    <row r="75" spans="2:7" ht="14" x14ac:dyDescent="0.3">
      <c r="B75" s="3" t="s">
        <v>91</v>
      </c>
    </row>
    <row r="76" spans="2:7" ht="14" x14ac:dyDescent="0.3">
      <c r="B76" s="4" t="s">
        <v>84</v>
      </c>
      <c r="C76" s="26">
        <v>0.95199999999999996</v>
      </c>
      <c r="D76" s="26">
        <v>0.95199999999999996</v>
      </c>
      <c r="E76" s="26">
        <v>0.95199999999999996</v>
      </c>
      <c r="F76" s="26">
        <v>0.95199999999999996</v>
      </c>
      <c r="G76" s="26">
        <v>0.95199999999999996</v>
      </c>
    </row>
    <row r="77" spans="2:7" ht="14" x14ac:dyDescent="0.3">
      <c r="B77" s="4" t="s">
        <v>121</v>
      </c>
      <c r="C77" s="26">
        <v>0.94199999999999995</v>
      </c>
      <c r="D77" s="26">
        <v>0.94199999999999995</v>
      </c>
      <c r="E77" s="26">
        <v>0.94199999999999995</v>
      </c>
      <c r="F77" s="26">
        <v>0.94199999999999995</v>
      </c>
      <c r="G77" s="26">
        <v>0.94199999999999995</v>
      </c>
    </row>
    <row r="78" spans="2:7" ht="14" x14ac:dyDescent="0.3">
      <c r="B78" s="4" t="s">
        <v>122</v>
      </c>
      <c r="C78" s="26">
        <v>0.95199999999999996</v>
      </c>
      <c r="D78" s="26">
        <v>0.95199999999999996</v>
      </c>
      <c r="E78" s="26">
        <v>0.95199999999999996</v>
      </c>
      <c r="F78" s="26">
        <v>0.95199999999999996</v>
      </c>
      <c r="G78" s="26">
        <v>0.95199999999999996</v>
      </c>
    </row>
    <row r="79" spans="2:7" ht="14" x14ac:dyDescent="0.3">
      <c r="B79" s="4" t="s">
        <v>123</v>
      </c>
      <c r="C79" s="26">
        <v>0.96</v>
      </c>
      <c r="D79" s="26">
        <v>0.96</v>
      </c>
      <c r="E79" s="26">
        <v>0.96</v>
      </c>
      <c r="F79" s="26">
        <v>0.96</v>
      </c>
      <c r="G79" s="26">
        <v>0.96</v>
      </c>
    </row>
    <row r="80" spans="2:7" ht="14" x14ac:dyDescent="0.3">
      <c r="B80" s="4" t="s">
        <v>124</v>
      </c>
      <c r="C80" s="26">
        <v>0.97299999999999998</v>
      </c>
      <c r="D80" s="26">
        <v>0.97299999999999998</v>
      </c>
      <c r="E80" s="26">
        <v>0.97299999999999998</v>
      </c>
      <c r="F80" s="26">
        <v>0.97299999999999998</v>
      </c>
      <c r="G80" s="26">
        <v>0.97299999999999998</v>
      </c>
    </row>
    <row r="82" spans="2:7" ht="14" x14ac:dyDescent="0.3">
      <c r="B82" s="3" t="s">
        <v>92</v>
      </c>
    </row>
    <row r="83" spans="2:7" ht="14" x14ac:dyDescent="0.3">
      <c r="B83" s="4" t="s">
        <v>84</v>
      </c>
      <c r="C83" s="26">
        <v>3.2000000000000001E-2</v>
      </c>
      <c r="D83" s="26">
        <v>3.1E-2</v>
      </c>
      <c r="E83" s="26">
        <v>0.03</v>
      </c>
      <c r="F83" s="26">
        <v>2.9399999999999999E-2</v>
      </c>
      <c r="G83" s="26">
        <v>2.9000000000000001E-2</v>
      </c>
    </row>
    <row r="84" spans="2:7" ht="14" x14ac:dyDescent="0.3">
      <c r="B84" s="4" t="s">
        <v>121</v>
      </c>
      <c r="C84" s="26">
        <v>3.5999999999999997E-2</v>
      </c>
      <c r="D84" s="26">
        <v>3.2000000000000001E-2</v>
      </c>
      <c r="E84" s="26">
        <v>2.8500000000000001E-2</v>
      </c>
      <c r="F84" s="26">
        <v>2.6200000000000001E-2</v>
      </c>
      <c r="G84" s="26">
        <v>2.46E-2</v>
      </c>
    </row>
    <row r="85" spans="2:7" ht="14" x14ac:dyDescent="0.3">
      <c r="B85" s="4" t="s">
        <v>122</v>
      </c>
      <c r="C85" s="26">
        <v>3.2000000000000001E-2</v>
      </c>
      <c r="D85" s="26">
        <v>3.1E-2</v>
      </c>
      <c r="E85" s="26">
        <v>0.03</v>
      </c>
      <c r="F85" s="26">
        <v>2.9399999999999999E-2</v>
      </c>
      <c r="G85" s="26">
        <v>2.9000000000000001E-2</v>
      </c>
    </row>
    <row r="86" spans="2:7" ht="14" x14ac:dyDescent="0.3">
      <c r="B86" s="4" t="s">
        <v>123</v>
      </c>
      <c r="C86" s="26">
        <v>2.7E-2</v>
      </c>
      <c r="D86" s="26">
        <v>2.9000000000000001E-2</v>
      </c>
      <c r="E86" s="26">
        <v>3.0499999999999999E-2</v>
      </c>
      <c r="F86" s="26">
        <v>3.15E-2</v>
      </c>
      <c r="G86" s="26">
        <v>3.1899999999999998E-2</v>
      </c>
    </row>
    <row r="87" spans="2:7" ht="14" x14ac:dyDescent="0.3">
      <c r="B87" s="4" t="s">
        <v>124</v>
      </c>
      <c r="C87" s="26">
        <v>2.3E-2</v>
      </c>
      <c r="D87" s="26">
        <v>2.5999999999999999E-2</v>
      </c>
      <c r="E87" s="26">
        <v>2.5999999999999999E-2</v>
      </c>
      <c r="F87" s="26">
        <v>2.5000000000000001E-2</v>
      </c>
      <c r="G87" s="26">
        <v>2.4E-2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1965</v>
      </c>
    </row>
    <row r="7" spans="2:9" ht="14" x14ac:dyDescent="0.3">
      <c r="B7" s="4" t="s">
        <v>72</v>
      </c>
      <c r="C7" s="15">
        <f>'DCF Model'!C15</f>
        <v>316676561</v>
      </c>
    </row>
    <row r="8" spans="2:9" ht="14" x14ac:dyDescent="0.3">
      <c r="B8" s="4" t="s">
        <v>129</v>
      </c>
      <c r="C8" s="5">
        <f>C6*C7/1000000</f>
        <v>622269.44236500002</v>
      </c>
    </row>
    <row r="9" spans="2:9" ht="14" x14ac:dyDescent="0.3">
      <c r="B9" s="4" t="s">
        <v>73</v>
      </c>
      <c r="C9" s="5">
        <f>'DCF Model'!C16</f>
        <v>-42898</v>
      </c>
    </row>
    <row r="10" spans="2:9" ht="14" x14ac:dyDescent="0.3">
      <c r="B10" s="4" t="s">
        <v>130</v>
      </c>
      <c r="C10" s="5">
        <f>C8+C9</f>
        <v>579371.44236500002</v>
      </c>
    </row>
    <row r="11" spans="2:9" ht="14" x14ac:dyDescent="0.3">
      <c r="B11" s="4" t="s">
        <v>131</v>
      </c>
      <c r="C11" s="16">
        <f>'DCF Model'!C26</f>
        <v>8.0526500000000001E-2</v>
      </c>
    </row>
    <row r="12" spans="2:9" ht="14" x14ac:dyDescent="0.3">
      <c r="B12" s="4" t="s">
        <v>132</v>
      </c>
      <c r="C12" s="16">
        <f>'DCF Model'!C13</f>
        <v>0.01</v>
      </c>
    </row>
    <row r="13" spans="2:9" ht="14" x14ac:dyDescent="0.3">
      <c r="B13" s="4" t="s">
        <v>133</v>
      </c>
      <c r="C13" s="16">
        <f>'DCF Model'!C6</f>
        <v>0.25</v>
      </c>
    </row>
    <row r="14" spans="2:9" ht="14" x14ac:dyDescent="0.3">
      <c r="B14" s="4" t="s">
        <v>134</v>
      </c>
      <c r="C14" s="27">
        <v>28307</v>
      </c>
    </row>
    <row r="15" spans="2:9" ht="14" x14ac:dyDescent="0.3">
      <c r="B15" s="4" t="s">
        <v>135</v>
      </c>
      <c r="C15" s="27">
        <v>60087</v>
      </c>
    </row>
    <row r="16" spans="2:9" ht="14" x14ac:dyDescent="0.3">
      <c r="B16" s="4" t="s">
        <v>136</v>
      </c>
      <c r="C16" s="5">
        <f>'DCF Model'!G33</f>
        <v>2049758.6194096201</v>
      </c>
    </row>
    <row r="17" spans="2:9" ht="14" x14ac:dyDescent="0.3">
      <c r="B17" s="4" t="s">
        <v>137</v>
      </c>
      <c r="C17" s="5">
        <f>'DCF Model'!C53</f>
        <v>376792.51794504037</v>
      </c>
    </row>
    <row r="18" spans="2:9" ht="14" x14ac:dyDescent="0.3">
      <c r="B18" s="4" t="s">
        <v>138</v>
      </c>
      <c r="C18" s="26">
        <v>3.3369282954992259E-2</v>
      </c>
    </row>
    <row r="19" spans="2:9" ht="14" x14ac:dyDescent="0.3">
      <c r="B19" s="4" t="s">
        <v>139</v>
      </c>
      <c r="C19" s="5">
        <f>C10-C17</f>
        <v>202578.92441995966</v>
      </c>
    </row>
    <row r="20" spans="2:9" ht="14" x14ac:dyDescent="0.3">
      <c r="B20" s="4" t="s">
        <v>140</v>
      </c>
      <c r="C20" s="15">
        <f>IFERROR(ROUND(C19*1000000/C7,0),"N/A")</f>
        <v>640</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40861.040029955177</v>
      </c>
    </row>
    <row r="25" spans="2:9" ht="14" x14ac:dyDescent="0.3">
      <c r="B25" s="4" t="s">
        <v>144</v>
      </c>
      <c r="C25" s="5">
        <f>IFERROR(C24/(1-C13),"N/A")</f>
        <v>54481.3867066069</v>
      </c>
    </row>
    <row r="26" spans="2:9" ht="13.5" x14ac:dyDescent="0.25">
      <c r="B26" s="6" t="s">
        <v>145</v>
      </c>
      <c r="C26" s="14">
        <f>IFERROR(C25/C15,"N/A")</f>
        <v>0.90670838461908398</v>
      </c>
    </row>
    <row r="27" spans="2:9" ht="13.5" x14ac:dyDescent="0.25">
      <c r="B27" s="6" t="s">
        <v>146</v>
      </c>
      <c r="C27" s="14">
        <f>IFERROR(C25/C14,"N/A")</f>
        <v>1.9246612748297911</v>
      </c>
    </row>
    <row r="28" spans="2:9" ht="13.5" x14ac:dyDescent="0.25">
      <c r="B28" s="6" t="s">
        <v>147</v>
      </c>
      <c r="C28" s="7">
        <f>IFERROR(C25/C16,"N/A")</f>
        <v>2.6579415834972243E-2</v>
      </c>
    </row>
    <row r="29" spans="2:9" ht="13.5" x14ac:dyDescent="0.25">
      <c r="B29" s="6" t="s">
        <v>148</v>
      </c>
      <c r="C29" s="5">
        <f>IFERROR(C25/C18,"N/A")</f>
        <v>1632680.7735152766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6.0526499999999997E-2</v>
      </c>
      <c r="E36" s="29">
        <f>'DCF Model'!C26-0.01</f>
        <v>7.0526500000000006E-2</v>
      </c>
      <c r="F36" s="29">
        <f>'DCF Model'!C26</f>
        <v>8.0526500000000001E-2</v>
      </c>
      <c r="G36" s="29">
        <f>'DCF Model'!C26+0.01</f>
        <v>9.0526499999999996E-2</v>
      </c>
      <c r="H36" s="29">
        <f>'DCF Model'!C26+0.02</f>
        <v>0.1005265</v>
      </c>
    </row>
    <row r="37" spans="2:9" ht="14" x14ac:dyDescent="0.3">
      <c r="B37" s="3" t="s">
        <v>154</v>
      </c>
    </row>
    <row r="38" spans="2:9" ht="14" x14ac:dyDescent="0.3">
      <c r="B38" s="4" t="s">
        <v>155</v>
      </c>
      <c r="C38" s="30">
        <v>3</v>
      </c>
      <c r="D38" s="13">
        <f t="shared" ref="D38:H41" si="0">IFERROR((1-(1+D$36)^(-$C38))/D$36-(1+D$36)/(D$36^2*$C38)*(1-($C38+1)/(1+D$36)^$C38+$C38/(1+D$36)^($C38+1)),"N/A")</f>
        <v>0.92498957700668716</v>
      </c>
      <c r="E38" s="13">
        <f t="shared" si="0"/>
        <v>0.91360646682737046</v>
      </c>
      <c r="F38" s="13">
        <f t="shared" si="0"/>
        <v>0.9024843465914878</v>
      </c>
      <c r="G38" s="13">
        <f t="shared" si="0"/>
        <v>0.89161466566586411</v>
      </c>
      <c r="H38" s="13">
        <f t="shared" si="0"/>
        <v>0.88098923357457748</v>
      </c>
    </row>
    <row r="39" spans="2:9" ht="14" x14ac:dyDescent="0.3">
      <c r="B39" s="4" t="s">
        <v>156</v>
      </c>
      <c r="C39" s="30">
        <v>5</v>
      </c>
      <c r="D39" s="13">
        <f t="shared" si="0"/>
        <v>1.7812622313605839</v>
      </c>
      <c r="E39" s="13">
        <f t="shared" si="0"/>
        <v>1.7491604495197182</v>
      </c>
      <c r="F39" s="13">
        <f t="shared" si="0"/>
        <v>1.7180705359787165</v>
      </c>
      <c r="G39" s="13">
        <f t="shared" si="0"/>
        <v>1.6879489557472782</v>
      </c>
      <c r="H39" s="13">
        <f t="shared" si="0"/>
        <v>1.6587544999974515</v>
      </c>
    </row>
    <row r="40" spans="2:9" ht="14" x14ac:dyDescent="0.3">
      <c r="B40" s="4" t="s">
        <v>157</v>
      </c>
      <c r="C40" s="30">
        <v>7</v>
      </c>
      <c r="D40" s="13">
        <f t="shared" si="0"/>
        <v>2.5745498567984786</v>
      </c>
      <c r="E40" s="13">
        <f t="shared" si="0"/>
        <v>2.5141468834536984</v>
      </c>
      <c r="F40" s="13">
        <f t="shared" si="0"/>
        <v>2.4561476470330073</v>
      </c>
      <c r="G40" s="13">
        <f t="shared" si="0"/>
        <v>2.4004248285589118</v>
      </c>
      <c r="H40" s="13">
        <f t="shared" si="0"/>
        <v>2.3468593124100985</v>
      </c>
    </row>
    <row r="41" spans="2:9" ht="14" x14ac:dyDescent="0.3">
      <c r="B41" s="4" t="s">
        <v>158</v>
      </c>
      <c r="C41" s="30">
        <v>10</v>
      </c>
      <c r="D41" s="13">
        <f t="shared" si="0"/>
        <v>3.657680757084055</v>
      </c>
      <c r="E41" s="13">
        <f t="shared" si="0"/>
        <v>3.5438238575016219</v>
      </c>
      <c r="F41" s="13">
        <f t="shared" si="0"/>
        <v>3.4358450786443453</v>
      </c>
      <c r="G41" s="13">
        <f t="shared" si="0"/>
        <v>3.333348847673602</v>
      </c>
      <c r="H41" s="13">
        <f t="shared" si="0"/>
        <v>3.2359713788251283</v>
      </c>
    </row>
    <row r="42" spans="2:9" ht="14" x14ac:dyDescent="0.3">
      <c r="B42" s="3" t="s">
        <v>159</v>
      </c>
    </row>
    <row r="43" spans="2:9" ht="14" x14ac:dyDescent="0.3">
      <c r="B43" s="4" t="s">
        <v>155</v>
      </c>
      <c r="C43" s="30">
        <v>3</v>
      </c>
      <c r="D43" s="13">
        <f t="shared" ref="D43:H46" si="1">IFERROR((1+D$36)/(D$36^2*$C43)*(1-($C43+1)/(1+D$36)^$C43+$C43/(1+D$36)^($C43+1))+(1+$C$12)/((D$36-$C$12)*(1+D$36)^$C43),"N/A")</f>
        <v>18.504014835509143</v>
      </c>
      <c r="E43" s="13">
        <f t="shared" si="1"/>
        <v>15.309585093802784</v>
      </c>
      <c r="F43" s="13">
        <f t="shared" si="1"/>
        <v>13.023915193610762</v>
      </c>
      <c r="G43" s="13">
        <f t="shared" si="1"/>
        <v>11.308362269267878</v>
      </c>
      <c r="H43" s="13">
        <f t="shared" si="1"/>
        <v>9.9739193614298447</v>
      </c>
    </row>
    <row r="44" spans="2:9" ht="14" x14ac:dyDescent="0.3">
      <c r="B44" s="4" t="s">
        <v>156</v>
      </c>
      <c r="C44" s="30">
        <v>5</v>
      </c>
      <c r="D44" s="13">
        <f t="shared" si="1"/>
        <v>17.325358619526032</v>
      </c>
      <c r="E44" s="13">
        <f t="shared" si="1"/>
        <v>14.213568408454105</v>
      </c>
      <c r="F44" s="13">
        <f t="shared" si="1"/>
        <v>11.991918054845646</v>
      </c>
      <c r="G44" s="13">
        <f t="shared" si="1"/>
        <v>10.328470552825959</v>
      </c>
      <c r="H44" s="13">
        <f t="shared" si="1"/>
        <v>9.0379745153980355</v>
      </c>
    </row>
    <row r="45" spans="2:9" ht="14" x14ac:dyDescent="0.3">
      <c r="B45" s="4" t="s">
        <v>157</v>
      </c>
      <c r="C45" s="30">
        <v>7</v>
      </c>
      <c r="D45" s="13">
        <f t="shared" si="1"/>
        <v>16.245435585168135</v>
      </c>
      <c r="E45" s="13">
        <f t="shared" si="1"/>
        <v>13.221307481366882</v>
      </c>
      <c r="F45" s="13">
        <f t="shared" si="1"/>
        <v>11.068484202625154</v>
      </c>
      <c r="G45" s="13">
        <f t="shared" si="1"/>
        <v>9.4616472107943164</v>
      </c>
      <c r="H45" s="13">
        <f t="shared" si="1"/>
        <v>8.2192678292205787</v>
      </c>
    </row>
    <row r="46" spans="2:9" ht="14" x14ac:dyDescent="0.3">
      <c r="B46" s="4" t="s">
        <v>158</v>
      </c>
      <c r="C46" s="30">
        <v>10</v>
      </c>
      <c r="D46" s="13">
        <f t="shared" si="1"/>
        <v>14.790829656943529</v>
      </c>
      <c r="E46" s="13">
        <f t="shared" si="1"/>
        <v>11.903845334151764</v>
      </c>
      <c r="F46" s="13">
        <f t="shared" si="1"/>
        <v>9.8594078812011805</v>
      </c>
      <c r="G46" s="13">
        <f t="shared" si="1"/>
        <v>8.3420082142363601</v>
      </c>
      <c r="H46" s="13">
        <f t="shared" si="1"/>
        <v>7.1756770079052377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40332.413433768386</v>
      </c>
      <c r="E48" s="5">
        <f t="shared" si="2"/>
        <v>48769.041986148703</v>
      </c>
      <c r="F48" s="5">
        <f t="shared" si="2"/>
        <v>57352.080459963188</v>
      </c>
      <c r="G48" s="5">
        <f t="shared" si="2"/>
        <v>66079.977131298758</v>
      </c>
      <c r="H48" s="5">
        <f t="shared" si="2"/>
        <v>74951.186906799165</v>
      </c>
    </row>
    <row r="49" spans="2:9" ht="14" x14ac:dyDescent="0.3">
      <c r="B49" s="4" t="s">
        <v>156</v>
      </c>
      <c r="C49" s="30">
        <v>5</v>
      </c>
      <c r="D49" s="5">
        <f t="shared" si="2"/>
        <v>41677.236377072833</v>
      </c>
      <c r="E49" s="5">
        <f t="shared" si="2"/>
        <v>50865.606079053934</v>
      </c>
      <c r="F49" s="5">
        <f t="shared" si="2"/>
        <v>60362.473335299517</v>
      </c>
      <c r="G49" s="5">
        <f t="shared" si="2"/>
        <v>70166.679731496202</v>
      </c>
      <c r="H49" s="5">
        <f t="shared" si="2"/>
        <v>80276.935016704432</v>
      </c>
    </row>
    <row r="50" spans="2:9" ht="14" x14ac:dyDescent="0.3">
      <c r="B50" s="4" t="s">
        <v>157</v>
      </c>
      <c r="C50" s="30">
        <v>7</v>
      </c>
      <c r="D50" s="5">
        <f t="shared" si="2"/>
        <v>43065.479532541038</v>
      </c>
      <c r="E50" s="5">
        <f t="shared" si="2"/>
        <v>53045.230333319225</v>
      </c>
      <c r="F50" s="5">
        <f t="shared" si="2"/>
        <v>63510.872145923793</v>
      </c>
      <c r="G50" s="5">
        <f t="shared" si="2"/>
        <v>74463.401051443565</v>
      </c>
      <c r="H50" s="5">
        <f t="shared" si="2"/>
        <v>85903.358377023338</v>
      </c>
    </row>
    <row r="51" spans="2:9" ht="14" x14ac:dyDescent="0.3">
      <c r="B51" s="4" t="s">
        <v>158</v>
      </c>
      <c r="C51" s="30">
        <v>10</v>
      </c>
      <c r="D51" s="5">
        <f t="shared" si="2"/>
        <v>45227.840683152455</v>
      </c>
      <c r="E51" s="5">
        <f t="shared" si="2"/>
        <v>56467.48724329473</v>
      </c>
      <c r="F51" s="5">
        <f t="shared" si="2"/>
        <v>68486.545843482905</v>
      </c>
      <c r="G51" s="5">
        <f t="shared" si="2"/>
        <v>81291.954316020521</v>
      </c>
      <c r="H51" s="5">
        <f t="shared" si="2"/>
        <v>94889.250716851064</v>
      </c>
    </row>
    <row r="52" spans="2:9" ht="14" x14ac:dyDescent="0.3">
      <c r="B52" s="22" t="s">
        <v>161</v>
      </c>
      <c r="C52" s="23"/>
      <c r="D52" s="23"/>
      <c r="E52" s="23"/>
      <c r="F52" s="23"/>
      <c r="G52" s="23"/>
      <c r="H52" s="23"/>
      <c r="I52" s="23"/>
    </row>
    <row r="53" spans="2:9" ht="14" x14ac:dyDescent="0.3">
      <c r="B53" s="4" t="s">
        <v>155</v>
      </c>
      <c r="C53" s="30">
        <v>3</v>
      </c>
      <c r="D53" s="14">
        <f t="shared" ref="D53:H56" si="3">IFERROR(D48/$C$15,"N/A")</f>
        <v>0.67123360184013825</v>
      </c>
      <c r="E53" s="14">
        <f t="shared" si="3"/>
        <v>0.8116404877286052</v>
      </c>
      <c r="F53" s="14">
        <f t="shared" si="3"/>
        <v>0.95448400585755966</v>
      </c>
      <c r="G53" s="14">
        <f t="shared" si="3"/>
        <v>1.0997383316074818</v>
      </c>
      <c r="H53" s="14">
        <f t="shared" si="3"/>
        <v>1.2473777507081261</v>
      </c>
    </row>
    <row r="54" spans="2:9" ht="14" x14ac:dyDescent="0.3">
      <c r="B54" s="4" t="s">
        <v>156</v>
      </c>
      <c r="C54" s="30">
        <v>5</v>
      </c>
      <c r="D54" s="14">
        <f t="shared" si="3"/>
        <v>0.69361486473068767</v>
      </c>
      <c r="E54" s="14">
        <f t="shared" si="3"/>
        <v>0.84653262900550763</v>
      </c>
      <c r="F54" s="14">
        <f t="shared" si="3"/>
        <v>1.0045845746217903</v>
      </c>
      <c r="G54" s="14">
        <f t="shared" si="3"/>
        <v>1.1677514226287917</v>
      </c>
      <c r="H54" s="14">
        <f t="shared" si="3"/>
        <v>1.3360116999801028</v>
      </c>
    </row>
    <row r="55" spans="2:9" ht="14" x14ac:dyDescent="0.3">
      <c r="B55" s="4" t="s">
        <v>157</v>
      </c>
      <c r="C55" s="30">
        <v>7</v>
      </c>
      <c r="D55" s="14">
        <f t="shared" si="3"/>
        <v>0.71671875002148611</v>
      </c>
      <c r="E55" s="14">
        <f t="shared" si="3"/>
        <v>0.88280710192419698</v>
      </c>
      <c r="F55" s="14">
        <f t="shared" si="3"/>
        <v>1.0569819119930066</v>
      </c>
      <c r="G55" s="14">
        <f t="shared" si="3"/>
        <v>1.2392597575422897</v>
      </c>
      <c r="H55" s="14">
        <f t="shared" si="3"/>
        <v>1.429649647627995</v>
      </c>
    </row>
    <row r="56" spans="2:9" ht="14" x14ac:dyDescent="0.3">
      <c r="B56" s="4" t="s">
        <v>158</v>
      </c>
      <c r="C56" s="30">
        <v>10</v>
      </c>
      <c r="D56" s="14">
        <f t="shared" si="3"/>
        <v>0.75270592113356394</v>
      </c>
      <c r="E56" s="14">
        <f t="shared" si="3"/>
        <v>0.9397621322964157</v>
      </c>
      <c r="F56" s="14">
        <f t="shared" si="3"/>
        <v>1.1397897356080833</v>
      </c>
      <c r="G56" s="14">
        <f t="shared" si="3"/>
        <v>1.3529041941854398</v>
      </c>
      <c r="H56" s="14">
        <f t="shared" si="3"/>
        <v>1.5791976753183061</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60362.473335299517</v>
      </c>
    </row>
    <row r="62" spans="2:9" ht="14" x14ac:dyDescent="0.3">
      <c r="B62" s="28" t="s">
        <v>165</v>
      </c>
      <c r="C62" s="28" t="s">
        <v>166</v>
      </c>
      <c r="D62" s="28" t="s">
        <v>167</v>
      </c>
    </row>
    <row r="63" spans="2:9" ht="14" x14ac:dyDescent="0.3">
      <c r="B63" s="31">
        <v>1.67E-2</v>
      </c>
      <c r="C63" s="5">
        <f>IFERROR($C$60/B63,"N/A")</f>
        <v>3614519.3613951807</v>
      </c>
      <c r="D63" s="14">
        <f>IFERROR(C63/'DCF Model'!C17,"N/A")</f>
        <v>1.937378890425814</v>
      </c>
    </row>
    <row r="64" spans="2:9" ht="14" x14ac:dyDescent="0.3">
      <c r="B64" s="31">
        <v>2.5000000000000001E-2</v>
      </c>
      <c r="C64" s="5">
        <f>IFERROR($C$60/B64,"N/A")</f>
        <v>2414498.9334119805</v>
      </c>
      <c r="D64" s="14">
        <f>IFERROR(C64/'DCF Model'!C17,"N/A")</f>
        <v>1.2941690988044436</v>
      </c>
    </row>
    <row r="65" spans="2:9" ht="14" x14ac:dyDescent="0.3">
      <c r="B65" s="4" t="s">
        <v>168</v>
      </c>
      <c r="C65" s="5">
        <f>IFERROR($C$60/$C$18,"N/A")</f>
        <v>1808923.2968150699</v>
      </c>
      <c r="D65" s="14">
        <f>IFERROR(C65/'DCF Model'!C17,"N/A")</f>
        <v>0.96958114184682209</v>
      </c>
    </row>
    <row r="66" spans="2:9" ht="14" x14ac:dyDescent="0.3">
      <c r="B66" s="31">
        <v>4.1700000000000001E-2</v>
      </c>
      <c r="C66" s="5">
        <f>IFERROR($C$60/B66,"N/A")</f>
        <v>1447541.3269855999</v>
      </c>
      <c r="D66" s="14">
        <f>IFERROR(C66/'DCF Model'!C17,"N/A")</f>
        <v>0.77588075467892315</v>
      </c>
    </row>
    <row r="67" spans="2:9" ht="14" x14ac:dyDescent="0.3">
      <c r="B67" s="31">
        <v>5.0099999999999999E-2</v>
      </c>
      <c r="C67" s="5">
        <f>IFERROR($C$60/B67,"N/A")</f>
        <v>1204839.787131727</v>
      </c>
      <c r="D67" s="14">
        <f>IFERROR(C67/'DCF Model'!C17,"N/A")</f>
        <v>0.64579296347527138</v>
      </c>
    </row>
    <row r="69" spans="2:9" ht="14" x14ac:dyDescent="0.3">
      <c r="B69" s="8" t="s">
        <v>169</v>
      </c>
      <c r="C69" s="9"/>
      <c r="D69" s="9"/>
      <c r="E69" s="9"/>
      <c r="F69" s="9"/>
      <c r="G69" s="9"/>
      <c r="H69" s="9"/>
      <c r="I69" s="9"/>
    </row>
    <row r="70" spans="2:9" ht="13.5" x14ac:dyDescent="0.25">
      <c r="B70" s="6" t="s">
        <v>170</v>
      </c>
      <c r="C70" s="14">
        <f>IFERROR(C10/'Comps Analysis'!G5,"N/A")</f>
        <v>6.0038491436787567</v>
      </c>
    </row>
    <row r="71" spans="2:9" ht="13.5" x14ac:dyDescent="0.25">
      <c r="B71" s="6" t="s">
        <v>171</v>
      </c>
      <c r="C71" s="14">
        <f>IFERROR(C10/'Comps Analysis'!F5,"N/A")</f>
        <v>0.31054253413107857</v>
      </c>
    </row>
    <row r="72" spans="2:9" ht="14" x14ac:dyDescent="0.3">
      <c r="B72" s="4" t="s">
        <v>172</v>
      </c>
      <c r="C72" s="14">
        <f>IFERROR(C10/(C25+'DCF Model'!G42),"N/A")</f>
        <v>4.4738225820687916</v>
      </c>
    </row>
    <row r="73" spans="2:9" ht="14" x14ac:dyDescent="0.3">
      <c r="B73" s="4" t="s">
        <v>173</v>
      </c>
      <c r="C73" s="14">
        <f>IFERROR(C10/(C60+'DCF Model'!G42),"N/A")</f>
        <v>4.2794790232853668</v>
      </c>
    </row>
    <row r="74" spans="2:9" ht="14" x14ac:dyDescent="0.3">
      <c r="B74" s="4" t="s">
        <v>174</v>
      </c>
      <c r="C74" s="14">
        <f>IFERROR('Comps Analysis'!D16,"N/A")</f>
        <v>8.1810150686848715</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1,965 yen the market is paying for a steady-state operating profit of 60,362 mn JPY - 1.00x the FY2023 cycle peak of 60,087 mn - reached in 5 years and sustained for ever, against 28,307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54,481 mn, or 0.91x the peak. The base case supports an EV of only 376,793 mn, leaving 640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55.603331234003775</v>
      </c>
      <c r="D5" s="34">
        <f>CHOOSE('DCF Model'!$D$27,D25,D26,D27,D28,D29)</f>
        <v>55</v>
      </c>
      <c r="E5" s="34">
        <f>CHOOSE('DCF Model'!$D$27,E25,E26,E27,E28,E29)</f>
        <v>55</v>
      </c>
      <c r="F5" s="34">
        <f>CHOOSE('DCF Model'!$D$27,F25,F26,F27,F28,F29)</f>
        <v>55</v>
      </c>
      <c r="G5" s="34">
        <f>CHOOSE('DCF Model'!$D$27,G25,G26,G27,G28,G29)</f>
        <v>55</v>
      </c>
      <c r="H5" s="34">
        <f>CHOOSE('DCF Model'!$D$27,H25,H26,H27,H28,H29)</f>
        <v>55</v>
      </c>
    </row>
    <row r="6" spans="2:8" ht="14" x14ac:dyDescent="0.3">
      <c r="B6" s="33" t="s">
        <v>181</v>
      </c>
      <c r="C6" s="34">
        <f>C13/C10*365</f>
        <v>0.52400059653279374</v>
      </c>
      <c r="D6" s="34">
        <f>CHOOSE('DCF Model'!$D$27,D32,D33,D34,D35,D36)</f>
        <v>1</v>
      </c>
      <c r="E6" s="34">
        <f>CHOOSE('DCF Model'!$D$27,E32,E33,E34,E35,E36)</f>
        <v>1</v>
      </c>
      <c r="F6" s="34">
        <f>CHOOSE('DCF Model'!$D$27,F32,F33,F34,F35,F36)</f>
        <v>1</v>
      </c>
      <c r="G6" s="34">
        <f>CHOOSE('DCF Model'!$D$27,G32,G33,G34,G35,G36)</f>
        <v>1</v>
      </c>
      <c r="H6" s="34">
        <f>CHOOSE('DCF Model'!$D$27,H32,H33,H34,H35,H36)</f>
        <v>1</v>
      </c>
    </row>
    <row r="7" spans="2:8" ht="14" x14ac:dyDescent="0.3">
      <c r="B7" s="33" t="s">
        <v>182</v>
      </c>
      <c r="C7" s="34">
        <f>C15/C10*365</f>
        <v>36.130159516245669</v>
      </c>
      <c r="D7" s="34">
        <f>CHOOSE('DCF Model'!$D$27,D39,D40,D41,D42,D43)</f>
        <v>36</v>
      </c>
      <c r="E7" s="34">
        <f>CHOOSE('DCF Model'!$D$27,E39,E40,E41,E42,E43)</f>
        <v>36</v>
      </c>
      <c r="F7" s="34">
        <f>CHOOSE('DCF Model'!$D$27,F39,F40,F41,F42,F43)</f>
        <v>36</v>
      </c>
      <c r="G7" s="34">
        <f>CHOOSE('DCF Model'!$D$27,G39,G40,G41,G42,G43)</f>
        <v>36</v>
      </c>
      <c r="H7" s="34">
        <f>CHOOSE('DCF Model'!$D$27,H39,H40,H41,H42,H43)</f>
        <v>36</v>
      </c>
    </row>
    <row r="8" spans="2:8" ht="14" x14ac:dyDescent="0.3">
      <c r="B8" s="8" t="s">
        <v>183</v>
      </c>
      <c r="C8" s="9"/>
      <c r="D8" s="9"/>
      <c r="E8" s="9"/>
      <c r="F8" s="9"/>
      <c r="G8" s="9"/>
      <c r="H8" s="9"/>
    </row>
    <row r="9" spans="2:8" ht="14" x14ac:dyDescent="0.3">
      <c r="B9" s="33" t="s">
        <v>37</v>
      </c>
      <c r="C9" s="35">
        <v>1865675</v>
      </c>
      <c r="D9" s="35">
        <f>'DCF Model'!C33</f>
        <v>1902988.5</v>
      </c>
      <c r="E9" s="35">
        <f>'DCF Model'!D33</f>
        <v>1941048.27</v>
      </c>
      <c r="F9" s="35">
        <f>'DCF Model'!E33</f>
        <v>1979869.2354000001</v>
      </c>
      <c r="G9" s="35">
        <f>'DCF Model'!F33</f>
        <v>2019466.6201080002</v>
      </c>
      <c r="H9" s="35">
        <f>'DCF Model'!G33</f>
        <v>2049758.6194096201</v>
      </c>
    </row>
    <row r="10" spans="2:8" ht="14" x14ac:dyDescent="0.3">
      <c r="B10" s="33" t="s">
        <v>38</v>
      </c>
      <c r="C10" s="35">
        <v>1776935</v>
      </c>
      <c r="D10" s="35">
        <f>'DCF Model'!C34</f>
        <v>1811645.0519999999</v>
      </c>
      <c r="E10" s="35">
        <f>'DCF Model'!D34</f>
        <v>1847877.9530400001</v>
      </c>
      <c r="F10" s="35">
        <f>'DCF Model'!E34</f>
        <v>1884835.5121007999</v>
      </c>
      <c r="G10" s="35">
        <f>'DCF Model'!F34</f>
        <v>1922532.2223428162</v>
      </c>
      <c r="H10" s="35">
        <f>'DCF Model'!G34</f>
        <v>1951370.2056779582</v>
      </c>
    </row>
    <row r="11" spans="2:8" ht="14" x14ac:dyDescent="0.3">
      <c r="B11" s="8" t="s">
        <v>184</v>
      </c>
      <c r="C11" s="9"/>
      <c r="D11" s="9"/>
      <c r="E11" s="9"/>
      <c r="F11" s="9"/>
      <c r="G11" s="9"/>
      <c r="H11" s="9"/>
    </row>
    <row r="12" spans="2:8" ht="14" x14ac:dyDescent="0.3">
      <c r="B12" s="33" t="s">
        <v>185</v>
      </c>
      <c r="C12" s="35">
        <v>284213</v>
      </c>
      <c r="D12" s="35">
        <f t="shared" ref="D12:H13" si="0">D9*D5/365</f>
        <v>286751.69178082194</v>
      </c>
      <c r="E12" s="35">
        <f t="shared" si="0"/>
        <v>292486.72561643831</v>
      </c>
      <c r="F12" s="35">
        <f t="shared" si="0"/>
        <v>298336.46012876718</v>
      </c>
      <c r="G12" s="35">
        <f t="shared" si="0"/>
        <v>304303.18933134252</v>
      </c>
      <c r="H12" s="35">
        <f t="shared" si="0"/>
        <v>308867.73717131262</v>
      </c>
    </row>
    <row r="13" spans="2:8" ht="14" x14ac:dyDescent="0.3">
      <c r="B13" s="33" t="s">
        <v>186</v>
      </c>
      <c r="C13" s="35">
        <v>2551</v>
      </c>
      <c r="D13" s="35">
        <f t="shared" si="0"/>
        <v>4963.411101369863</v>
      </c>
      <c r="E13" s="35">
        <f t="shared" si="0"/>
        <v>5062.6793233972603</v>
      </c>
      <c r="F13" s="35">
        <f t="shared" si="0"/>
        <v>5163.9329098652051</v>
      </c>
      <c r="G13" s="35">
        <f t="shared" si="0"/>
        <v>5267.2115680625102</v>
      </c>
      <c r="H13" s="35">
        <f t="shared" si="0"/>
        <v>5346.2197415834471</v>
      </c>
    </row>
    <row r="14" spans="2:8" ht="14" x14ac:dyDescent="0.3">
      <c r="B14" s="33" t="s">
        <v>187</v>
      </c>
      <c r="C14" s="35">
        <f t="shared" ref="C14:H14" si="1">C12+C13</f>
        <v>286764</v>
      </c>
      <c r="D14" s="35">
        <f t="shared" si="1"/>
        <v>291715.10288219183</v>
      </c>
      <c r="E14" s="35">
        <f t="shared" si="1"/>
        <v>297549.4049398356</v>
      </c>
      <c r="F14" s="35">
        <f t="shared" si="1"/>
        <v>303500.39303863241</v>
      </c>
      <c r="G14" s="35">
        <f t="shared" si="1"/>
        <v>309570.40089940501</v>
      </c>
      <c r="H14" s="35">
        <f t="shared" si="1"/>
        <v>314213.95691289607</v>
      </c>
    </row>
    <row r="15" spans="2:8" ht="14" x14ac:dyDescent="0.3">
      <c r="B15" s="33" t="s">
        <v>188</v>
      </c>
      <c r="C15" s="35">
        <v>175893</v>
      </c>
      <c r="D15" s="35">
        <f>D10*D7/365</f>
        <v>178682.79964931504</v>
      </c>
      <c r="E15" s="35">
        <f>E10*E7/365</f>
        <v>182256.45564230139</v>
      </c>
      <c r="F15" s="35">
        <f>F10*F7/365</f>
        <v>185901.5847551474</v>
      </c>
      <c r="G15" s="35">
        <f>G10*G7/365</f>
        <v>189619.61645025035</v>
      </c>
      <c r="H15" s="35">
        <f>H10*H7/365</f>
        <v>192463.91069700409</v>
      </c>
    </row>
    <row r="16" spans="2:8" ht="14" x14ac:dyDescent="0.3">
      <c r="B16" s="33" t="s">
        <v>189</v>
      </c>
      <c r="C16" s="35">
        <f t="shared" ref="C16:H16" si="2">C15</f>
        <v>175893</v>
      </c>
      <c r="D16" s="35">
        <f t="shared" si="2"/>
        <v>178682.79964931504</v>
      </c>
      <c r="E16" s="35">
        <f t="shared" si="2"/>
        <v>182256.45564230139</v>
      </c>
      <c r="F16" s="35">
        <f t="shared" si="2"/>
        <v>185901.5847551474</v>
      </c>
      <c r="G16" s="35">
        <f t="shared" si="2"/>
        <v>189619.61645025035</v>
      </c>
      <c r="H16" s="35">
        <f t="shared" si="2"/>
        <v>192463.91069700409</v>
      </c>
    </row>
    <row r="17" spans="2:8" ht="14" x14ac:dyDescent="0.3">
      <c r="B17" s="22" t="s">
        <v>190</v>
      </c>
      <c r="C17" s="23"/>
      <c r="D17" s="23"/>
      <c r="E17" s="23"/>
      <c r="F17" s="23"/>
      <c r="G17" s="23"/>
      <c r="H17" s="23"/>
    </row>
    <row r="18" spans="2:8" ht="14" x14ac:dyDescent="0.3">
      <c r="B18" s="33" t="s">
        <v>191</v>
      </c>
      <c r="C18" s="20">
        <f t="shared" ref="C18:H18" si="3">C14-C16</f>
        <v>110871</v>
      </c>
      <c r="D18" s="20">
        <f t="shared" si="3"/>
        <v>113032.30323287679</v>
      </c>
      <c r="E18" s="20">
        <f t="shared" si="3"/>
        <v>115292.94929753421</v>
      </c>
      <c r="F18" s="20">
        <f t="shared" si="3"/>
        <v>117598.80828348501</v>
      </c>
      <c r="G18" s="20">
        <f t="shared" si="3"/>
        <v>119950.78444915466</v>
      </c>
      <c r="H18" s="20">
        <f t="shared" si="3"/>
        <v>121750.04621589198</v>
      </c>
    </row>
    <row r="19" spans="2:8" ht="14" x14ac:dyDescent="0.3">
      <c r="B19" s="33" t="s">
        <v>100</v>
      </c>
      <c r="C19" s="36" t="s">
        <v>47</v>
      </c>
      <c r="D19" s="24">
        <f>D18-C18</f>
        <v>2161.3032328767877</v>
      </c>
      <c r="E19" s="24">
        <f>E18-D18</f>
        <v>2260.6460646574269</v>
      </c>
      <c r="F19" s="24">
        <f>F18-E18</f>
        <v>2305.858985950792</v>
      </c>
      <c r="G19" s="24">
        <f>G18-F18</f>
        <v>2351.9761656696501</v>
      </c>
      <c r="H19" s="24">
        <f>H18-G18</f>
        <v>1799.261766737327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55</v>
      </c>
      <c r="E25" s="30">
        <v>55</v>
      </c>
      <c r="F25" s="30">
        <v>55</v>
      </c>
      <c r="G25" s="30">
        <v>55</v>
      </c>
      <c r="H25" s="30">
        <v>55</v>
      </c>
    </row>
    <row r="26" spans="2:8" ht="14" x14ac:dyDescent="0.3">
      <c r="B26" s="4" t="s">
        <v>121</v>
      </c>
      <c r="D26" s="30">
        <v>52</v>
      </c>
      <c r="E26" s="30">
        <v>52</v>
      </c>
      <c r="F26" s="30">
        <v>52</v>
      </c>
      <c r="G26" s="30">
        <v>52</v>
      </c>
      <c r="H26" s="30">
        <v>52</v>
      </c>
    </row>
    <row r="27" spans="2:8" ht="14" x14ac:dyDescent="0.3">
      <c r="B27" s="4" t="s">
        <v>122</v>
      </c>
      <c r="D27" s="30">
        <v>55</v>
      </c>
      <c r="E27" s="30">
        <v>55</v>
      </c>
      <c r="F27" s="30">
        <v>55</v>
      </c>
      <c r="G27" s="30">
        <v>55</v>
      </c>
      <c r="H27" s="30">
        <v>55</v>
      </c>
    </row>
    <row r="28" spans="2:8" ht="14" x14ac:dyDescent="0.3">
      <c r="B28" s="4" t="s">
        <v>123</v>
      </c>
      <c r="D28" s="30">
        <v>59</v>
      </c>
      <c r="E28" s="30">
        <v>59</v>
      </c>
      <c r="F28" s="30">
        <v>59</v>
      </c>
      <c r="G28" s="30">
        <v>59</v>
      </c>
      <c r="H28" s="30">
        <v>59</v>
      </c>
    </row>
    <row r="29" spans="2:8" ht="14" x14ac:dyDescent="0.3">
      <c r="B29" s="4" t="s">
        <v>124</v>
      </c>
      <c r="D29" s="30">
        <v>63</v>
      </c>
      <c r="E29" s="30">
        <v>63</v>
      </c>
      <c r="F29" s="30">
        <v>63</v>
      </c>
      <c r="G29" s="30">
        <v>63</v>
      </c>
      <c r="H29" s="30">
        <v>63</v>
      </c>
    </row>
    <row r="31" spans="2:8" ht="14" x14ac:dyDescent="0.3">
      <c r="B31" s="3" t="s">
        <v>194</v>
      </c>
    </row>
    <row r="32" spans="2:8" ht="14" x14ac:dyDescent="0.3">
      <c r="B32" s="4" t="s">
        <v>84</v>
      </c>
      <c r="D32" s="30">
        <v>1</v>
      </c>
      <c r="E32" s="30">
        <v>1</v>
      </c>
      <c r="F32" s="30">
        <v>1</v>
      </c>
      <c r="G32" s="30">
        <v>1</v>
      </c>
      <c r="H32" s="30">
        <v>1</v>
      </c>
    </row>
    <row r="33" spans="2:8" ht="14" x14ac:dyDescent="0.3">
      <c r="B33" s="4" t="s">
        <v>121</v>
      </c>
      <c r="D33" s="30">
        <v>-5</v>
      </c>
      <c r="E33" s="30">
        <v>-5</v>
      </c>
      <c r="F33" s="30">
        <v>-5</v>
      </c>
      <c r="G33" s="30">
        <v>-5</v>
      </c>
      <c r="H33" s="30">
        <v>-5</v>
      </c>
    </row>
    <row r="34" spans="2:8" ht="14" x14ac:dyDescent="0.3">
      <c r="B34" s="4" t="s">
        <v>122</v>
      </c>
      <c r="D34" s="30">
        <v>1</v>
      </c>
      <c r="E34" s="30">
        <v>1</v>
      </c>
      <c r="F34" s="30">
        <v>1</v>
      </c>
      <c r="G34" s="30">
        <v>1</v>
      </c>
      <c r="H34" s="30">
        <v>1</v>
      </c>
    </row>
    <row r="35" spans="2:8" ht="14" x14ac:dyDescent="0.3">
      <c r="B35" s="4" t="s">
        <v>123</v>
      </c>
      <c r="D35" s="30">
        <v>8</v>
      </c>
      <c r="E35" s="30">
        <v>8</v>
      </c>
      <c r="F35" s="30">
        <v>8</v>
      </c>
      <c r="G35" s="30">
        <v>8</v>
      </c>
      <c r="H35" s="30">
        <v>8</v>
      </c>
    </row>
    <row r="36" spans="2:8" ht="14" x14ac:dyDescent="0.3">
      <c r="B36" s="4" t="s">
        <v>124</v>
      </c>
      <c r="D36" s="30">
        <v>15</v>
      </c>
      <c r="E36" s="30">
        <v>15</v>
      </c>
      <c r="F36" s="30">
        <v>15</v>
      </c>
      <c r="G36" s="30">
        <v>15</v>
      </c>
      <c r="H36" s="30">
        <v>15</v>
      </c>
    </row>
    <row r="38" spans="2:8" ht="14" x14ac:dyDescent="0.3">
      <c r="B38" s="3" t="s">
        <v>195</v>
      </c>
    </row>
    <row r="39" spans="2:8" ht="14" x14ac:dyDescent="0.3">
      <c r="B39" s="4" t="s">
        <v>84</v>
      </c>
      <c r="D39" s="30">
        <v>36</v>
      </c>
      <c r="E39" s="30">
        <v>36</v>
      </c>
      <c r="F39" s="30">
        <v>36</v>
      </c>
      <c r="G39" s="30">
        <v>36</v>
      </c>
      <c r="H39" s="30">
        <v>36</v>
      </c>
    </row>
    <row r="40" spans="2:8" ht="14" x14ac:dyDescent="0.3">
      <c r="B40" s="4" t="s">
        <v>121</v>
      </c>
      <c r="D40" s="30">
        <v>38</v>
      </c>
      <c r="E40" s="30">
        <v>38</v>
      </c>
      <c r="F40" s="30">
        <v>38</v>
      </c>
      <c r="G40" s="30">
        <v>38</v>
      </c>
      <c r="H40" s="30">
        <v>38</v>
      </c>
    </row>
    <row r="41" spans="2:8" ht="14" x14ac:dyDescent="0.3">
      <c r="B41" s="4" t="s">
        <v>122</v>
      </c>
      <c r="D41" s="30">
        <v>36</v>
      </c>
      <c r="E41" s="30">
        <v>36</v>
      </c>
      <c r="F41" s="30">
        <v>36</v>
      </c>
      <c r="G41" s="30">
        <v>36</v>
      </c>
      <c r="H41" s="30">
        <v>36</v>
      </c>
    </row>
    <row r="42" spans="2:8" ht="14" x14ac:dyDescent="0.3">
      <c r="B42" s="4" t="s">
        <v>123</v>
      </c>
      <c r="D42" s="30">
        <v>33</v>
      </c>
      <c r="E42" s="30">
        <v>33</v>
      </c>
      <c r="F42" s="30">
        <v>33</v>
      </c>
      <c r="G42" s="30">
        <v>33</v>
      </c>
      <c r="H42" s="30">
        <v>33</v>
      </c>
    </row>
    <row r="43" spans="2:8" ht="14" x14ac:dyDescent="0.3">
      <c r="B43" s="4" t="s">
        <v>124</v>
      </c>
      <c r="D43" s="30">
        <v>30</v>
      </c>
      <c r="E43" s="30">
        <v>30</v>
      </c>
      <c r="F43" s="30">
        <v>30</v>
      </c>
      <c r="G43" s="30">
        <v>30</v>
      </c>
      <c r="H43" s="30">
        <v>30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622269.44236500002</v>
      </c>
      <c r="E5" s="37">
        <f>D5+C24</f>
        <v>579371.44236500002</v>
      </c>
      <c r="F5" s="37">
        <v>1865675</v>
      </c>
      <c r="G5" s="37">
        <v>96500</v>
      </c>
      <c r="H5" s="37">
        <v>28307</v>
      </c>
      <c r="I5" s="37">
        <v>13662</v>
      </c>
      <c r="J5" s="38">
        <f t="shared" ref="J5:J10" si="0">IFERROR(E5/G5,"")</f>
        <v>6.0038491436787567</v>
      </c>
      <c r="K5" s="38">
        <f t="shared" ref="K5:K10" si="1">IFERROR(E5/F5,"")</f>
        <v>0.31054253413107857</v>
      </c>
      <c r="L5" s="38">
        <f t="shared" ref="L5:L10" si="2">IFERROR(D5/I5,"")</f>
        <v>45.547463209266581</v>
      </c>
      <c r="M5" s="38">
        <f t="shared" ref="M5:M10" si="3">IFERROR(D5/P5,"")</f>
        <v>1.0897277952286386</v>
      </c>
      <c r="N5" s="39">
        <f t="shared" ref="N5:N10" si="4">IFERROR(H5/F5,"")</f>
        <v>1.5172524689455558E-2</v>
      </c>
      <c r="O5" s="39">
        <f t="shared" ref="O5:O10" si="5">IFERROR(I5/P5,"")</f>
        <v>2.3925104022191401E-2</v>
      </c>
      <c r="P5" s="37">
        <v>571032</v>
      </c>
    </row>
    <row r="6" spans="2:17" ht="14" x14ac:dyDescent="0.3">
      <c r="B6" s="4" t="s">
        <v>214</v>
      </c>
      <c r="C6" t="s">
        <v>215</v>
      </c>
      <c r="D6" s="37">
        <v>1333545</v>
      </c>
      <c r="E6" s="37">
        <v>1928977</v>
      </c>
      <c r="F6" s="37">
        <v>2574826</v>
      </c>
      <c r="G6" s="37">
        <v>235787</v>
      </c>
      <c r="H6" s="37">
        <v>52349</v>
      </c>
      <c r="I6" s="37">
        <v>2693</v>
      </c>
      <c r="J6" s="38">
        <f t="shared" si="0"/>
        <v>8.1810150686848715</v>
      </c>
      <c r="K6" s="38">
        <f t="shared" si="1"/>
        <v>0.74916790493804242</v>
      </c>
      <c r="L6" s="38">
        <f t="shared" si="2"/>
        <v>495.18937987374676</v>
      </c>
      <c r="M6" s="38">
        <f t="shared" si="3"/>
        <v>1.6076685674330009</v>
      </c>
      <c r="N6" s="39">
        <f t="shared" si="4"/>
        <v>2.0331082566355942E-2</v>
      </c>
      <c r="O6" s="39">
        <f t="shared" si="5"/>
        <v>3.2465731955780056E-3</v>
      </c>
      <c r="P6" s="37">
        <v>829490</v>
      </c>
    </row>
    <row r="7" spans="2:17" ht="14" x14ac:dyDescent="0.3">
      <c r="B7" s="4" t="s">
        <v>216</v>
      </c>
      <c r="C7" t="s">
        <v>217</v>
      </c>
      <c r="D7" s="37">
        <v>883768</v>
      </c>
      <c r="E7" s="37">
        <v>1181486</v>
      </c>
      <c r="F7" s="37">
        <v>1644762</v>
      </c>
      <c r="G7" s="37">
        <v>145986</v>
      </c>
      <c r="H7" s="37">
        <v>90248</v>
      </c>
      <c r="I7" s="37">
        <v>59066</v>
      </c>
      <c r="J7" s="38">
        <f t="shared" si="0"/>
        <v>8.0931459181017367</v>
      </c>
      <c r="K7" s="38">
        <f t="shared" si="1"/>
        <v>0.7183325003860741</v>
      </c>
      <c r="L7" s="38">
        <f t="shared" si="2"/>
        <v>14.962381065249044</v>
      </c>
      <c r="M7" s="38">
        <f t="shared" si="3"/>
        <v>1.6180448374664727</v>
      </c>
      <c r="N7" s="39">
        <f t="shared" si="4"/>
        <v>5.4869944709325727E-2</v>
      </c>
      <c r="O7" s="39">
        <f t="shared" si="5"/>
        <v>0.10814086544182938</v>
      </c>
      <c r="P7" s="37">
        <v>546195</v>
      </c>
    </row>
    <row r="8" spans="2:17" ht="14" x14ac:dyDescent="0.3">
      <c r="B8" s="4" t="s">
        <v>218</v>
      </c>
      <c r="C8" t="s">
        <v>219</v>
      </c>
      <c r="D8" s="37">
        <v>216617</v>
      </c>
      <c r="E8" s="37">
        <v>297042</v>
      </c>
      <c r="F8" s="37">
        <v>318582</v>
      </c>
      <c r="G8" s="37">
        <v>30901</v>
      </c>
      <c r="H8" s="37">
        <v>9349</v>
      </c>
      <c r="I8" s="37">
        <v>13696</v>
      </c>
      <c r="J8" s="38">
        <f t="shared" si="0"/>
        <v>9.6126986181676966</v>
      </c>
      <c r="K8" s="38">
        <f t="shared" si="1"/>
        <v>0.93238789385464338</v>
      </c>
      <c r="L8" s="38">
        <f t="shared" si="2"/>
        <v>15.816077686915888</v>
      </c>
      <c r="M8" s="38">
        <f t="shared" si="3"/>
        <v>0.76513099102472171</v>
      </c>
      <c r="N8" s="39">
        <f t="shared" si="4"/>
        <v>2.934566296903152E-2</v>
      </c>
      <c r="O8" s="39">
        <f t="shared" si="5"/>
        <v>4.8376785077231192E-2</v>
      </c>
      <c r="P8" s="37">
        <v>283111</v>
      </c>
    </row>
    <row r="9" spans="2:17" ht="14" x14ac:dyDescent="0.3">
      <c r="B9" s="4" t="s">
        <v>220</v>
      </c>
      <c r="C9" t="s">
        <v>221</v>
      </c>
      <c r="D9" s="37">
        <v>3974321</v>
      </c>
      <c r="E9" s="37">
        <v>8572154</v>
      </c>
      <c r="F9" s="37">
        <v>3084679</v>
      </c>
      <c r="G9" s="37">
        <v>842989</v>
      </c>
      <c r="H9" s="37">
        <v>414259</v>
      </c>
      <c r="I9" s="37">
        <v>247846</v>
      </c>
      <c r="J9" s="38">
        <f t="shared" si="0"/>
        <v>10.168761395463049</v>
      </c>
      <c r="K9" s="38">
        <f t="shared" si="1"/>
        <v>2.7789452322267567</v>
      </c>
      <c r="L9" s="38">
        <f t="shared" si="2"/>
        <v>16.035445397545249</v>
      </c>
      <c r="M9" s="38">
        <f t="shared" si="3"/>
        <v>1.304292791722512</v>
      </c>
      <c r="N9" s="39">
        <f t="shared" si="4"/>
        <v>0.13429565928902165</v>
      </c>
      <c r="O9" s="39">
        <f t="shared" si="5"/>
        <v>8.1338108134007728E-2</v>
      </c>
      <c r="P9" s="37">
        <v>3047108</v>
      </c>
    </row>
    <row r="10" spans="2:17" ht="14" x14ac:dyDescent="0.3">
      <c r="B10" s="4" t="s">
        <v>222</v>
      </c>
      <c r="C10" t="s">
        <v>223</v>
      </c>
      <c r="D10" s="37">
        <v>1374353</v>
      </c>
      <c r="E10" s="37">
        <v>2734845</v>
      </c>
      <c r="F10" s="37">
        <v>1845840</v>
      </c>
      <c r="G10" s="37">
        <v>375928</v>
      </c>
      <c r="H10" s="37">
        <v>198081</v>
      </c>
      <c r="I10" s="37">
        <v>127499</v>
      </c>
      <c r="J10" s="38">
        <f t="shared" si="0"/>
        <v>7.27491700538401</v>
      </c>
      <c r="K10" s="38">
        <f t="shared" si="1"/>
        <v>1.4816262514627487</v>
      </c>
      <c r="L10" s="38">
        <f t="shared" si="2"/>
        <v>10.779323759402034</v>
      </c>
      <c r="M10" s="38">
        <f t="shared" si="3"/>
        <v>1.1379873396235007</v>
      </c>
      <c r="N10" s="39">
        <f t="shared" si="4"/>
        <v>0.10731211806007021</v>
      </c>
      <c r="O10" s="39">
        <f t="shared" si="5"/>
        <v>0.10557131087475832</v>
      </c>
      <c r="P10" s="37">
        <v>1207705</v>
      </c>
    </row>
    <row r="14" spans="2:17" ht="14" x14ac:dyDescent="0.3">
      <c r="B14" s="3" t="s">
        <v>224</v>
      </c>
    </row>
    <row r="15" spans="2:17" ht="14" x14ac:dyDescent="0.3">
      <c r="B15" s="4" t="s">
        <v>225</v>
      </c>
      <c r="D15" s="38">
        <f t="shared" ref="D15:I15" si="6">PERCENTILE(J6:J10,0.25)</f>
        <v>8.0931459181017367</v>
      </c>
      <c r="E15" s="38">
        <f t="shared" si="6"/>
        <v>0.74916790493804242</v>
      </c>
      <c r="F15" s="38">
        <f t="shared" si="6"/>
        <v>14.962381065249044</v>
      </c>
      <c r="G15" s="38">
        <f t="shared" si="6"/>
        <v>1.1379873396235007</v>
      </c>
      <c r="H15" s="39">
        <f t="shared" si="6"/>
        <v>2.934566296903152E-2</v>
      </c>
      <c r="I15" s="39">
        <f t="shared" si="6"/>
        <v>4.8376785077231192E-2</v>
      </c>
    </row>
    <row r="16" spans="2:17" ht="14" x14ac:dyDescent="0.3">
      <c r="B16" s="4" t="s">
        <v>226</v>
      </c>
      <c r="D16" s="38">
        <f t="shared" ref="D16:I16" si="7">MEDIAN(J6:J10)</f>
        <v>8.1810150686848715</v>
      </c>
      <c r="E16" s="38">
        <f t="shared" si="7"/>
        <v>0.93238789385464338</v>
      </c>
      <c r="F16" s="38">
        <f t="shared" si="7"/>
        <v>15.816077686915888</v>
      </c>
      <c r="G16" s="38">
        <f t="shared" si="7"/>
        <v>1.304292791722512</v>
      </c>
      <c r="H16" s="39">
        <f t="shared" si="7"/>
        <v>5.4869944709325727E-2</v>
      </c>
      <c r="I16" s="39">
        <f t="shared" si="7"/>
        <v>8.1338108134007728E-2</v>
      </c>
    </row>
    <row r="17" spans="2:9" ht="14" x14ac:dyDescent="0.3">
      <c r="B17" s="4" t="s">
        <v>227</v>
      </c>
      <c r="D17" s="38">
        <f t="shared" ref="D17:I17" si="8">PERCENTILE(J6:J10,0.75)</f>
        <v>9.6126986181676966</v>
      </c>
      <c r="E17" s="38">
        <f t="shared" si="8"/>
        <v>1.4816262514627487</v>
      </c>
      <c r="F17" s="38">
        <f t="shared" si="8"/>
        <v>16.035445397545249</v>
      </c>
      <c r="G17" s="38">
        <f t="shared" si="8"/>
        <v>1.6076685674330009</v>
      </c>
      <c r="H17" s="39">
        <f t="shared" si="8"/>
        <v>0.10731211806007021</v>
      </c>
      <c r="I17" s="39">
        <f t="shared" si="8"/>
        <v>0.10557131087475832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96500</v>
      </c>
    </row>
    <row r="22" spans="2:9" ht="14" x14ac:dyDescent="0.3">
      <c r="B22" s="4" t="s">
        <v>231</v>
      </c>
      <c r="C22" s="5">
        <v>13662</v>
      </c>
    </row>
    <row r="23" spans="2:9" ht="14" x14ac:dyDescent="0.3">
      <c r="B23" s="4" t="s">
        <v>232</v>
      </c>
      <c r="C23" s="15">
        <v>316676561</v>
      </c>
    </row>
    <row r="24" spans="2:9" ht="14" x14ac:dyDescent="0.3">
      <c r="B24" s="4" t="s">
        <v>73</v>
      </c>
      <c r="C24" s="5">
        <v>-42898</v>
      </c>
    </row>
    <row r="26" spans="2:9" ht="14" x14ac:dyDescent="0.3">
      <c r="B26" s="3" t="s">
        <v>233</v>
      </c>
    </row>
    <row r="27" spans="2:9" ht="14" x14ac:dyDescent="0.3">
      <c r="B27" s="4" t="s">
        <v>234</v>
      </c>
      <c r="C27" s="24">
        <f>ROUND((C21*D16-C24)*1000000/C23,0)</f>
        <v>2628</v>
      </c>
    </row>
    <row r="28" spans="2:9" ht="14" x14ac:dyDescent="0.3">
      <c r="B28" s="4" t="s">
        <v>235</v>
      </c>
      <c r="C28" s="24">
        <f>ROUND(C22*F16*1000000/C23,0)</f>
        <v>682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8.0526500000000001E-2</v>
      </c>
      <c r="E3" s="4" t="s">
        <v>238</v>
      </c>
      <c r="F3" s="16">
        <f>'DCF Model'!C13</f>
        <v>0.01</v>
      </c>
      <c r="H3" s="4" t="s">
        <v>239</v>
      </c>
      <c r="I3" s="14">
        <f>'DCF Model'!C14</f>
        <v>8.1999999999999993</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6.5526500000000001E-2</v>
      </c>
      <c r="C7" s="37">
        <f>IFERROR(ROUND(('DCF Model'!C45/(1+$B7)^('DCF Model'!C19+0)+'DCF Model'!D45/(1+$B7)^('DCF Model'!C19+1)+'DCF Model'!E45/(1+$B7)^('DCF Model'!C19+2)+'DCF Model'!F45/(1+$B7)^('DCF Model'!C19+3)+'DCF Model'!G45/(1+$B7)^('DCF Model'!C19+4)+'DCF Model'!G45*(1+C$6)/($B7-C$6)/(1+$B7)^('DCF Model'!C19+4)-'DCF Model'!C16)*1000000/'DCF Model'!C15,0),"")</f>
        <v>1478</v>
      </c>
      <c r="D7" s="37">
        <f>IFERROR(ROUND(('DCF Model'!C45/(1+$B7)^('DCF Model'!C19+0)+'DCF Model'!D45/(1+$B7)^('DCF Model'!C19+1)+'DCF Model'!E45/(1+$B7)^('DCF Model'!C19+2)+'DCF Model'!F45/(1+$B7)^('DCF Model'!C19+3)+'DCF Model'!G45/(1+$B7)^('DCF Model'!C19+4)+'DCF Model'!G45*(1+D$6)/($B7-D$6)/(1+$B7)^('DCF Model'!C19+4)-'DCF Model'!C16)*1000000/'DCF Model'!C15,0),"")</f>
        <v>1517</v>
      </c>
      <c r="E7" s="37">
        <f>IFERROR(ROUND(('DCF Model'!C45/(1+$B7)^('DCF Model'!C19+0)+'DCF Model'!D45/(1+$B7)^('DCF Model'!C19+1)+'DCF Model'!E45/(1+$B7)^('DCF Model'!C19+2)+'DCF Model'!F45/(1+$B7)^('DCF Model'!C19+3)+'DCF Model'!G45/(1+$B7)^('DCF Model'!C19+4)+'DCF Model'!G45*(1+E$6)/($B7-E$6)/(1+$B7)^('DCF Model'!C19+4)-'DCF Model'!C16)*1000000/'DCF Model'!C15,0),"")</f>
        <v>1559</v>
      </c>
      <c r="F7" s="37">
        <f>IFERROR(ROUND(('DCF Model'!C45/(1+$B7)^('DCF Model'!C19+0)+'DCF Model'!D45/(1+$B7)^('DCF Model'!C19+1)+'DCF Model'!E45/(1+$B7)^('DCF Model'!C19+2)+'DCF Model'!F45/(1+$B7)^('DCF Model'!C19+3)+'DCF Model'!G45/(1+$B7)^('DCF Model'!C19+4)+'DCF Model'!G45*(1+F$6)/($B7-F$6)/(1+$B7)^('DCF Model'!C19+4)-'DCF Model'!C16)*1000000/'DCF Model'!C15,0),"")</f>
        <v>1604</v>
      </c>
      <c r="G7" s="37">
        <f>IFERROR(ROUND(('DCF Model'!C45/(1+$B7)^('DCF Model'!C19+0)+'DCF Model'!D45/(1+$B7)^('DCF Model'!C19+1)+'DCF Model'!E45/(1+$B7)^('DCF Model'!C19+2)+'DCF Model'!F45/(1+$B7)^('DCF Model'!C19+3)+'DCF Model'!G45/(1+$B7)^('DCF Model'!C19+4)+'DCF Model'!G45*(1+G$6)/($B7-G$6)/(1+$B7)^('DCF Model'!C19+4)-'DCF Model'!C16)*1000000/'DCF Model'!C15,0),"")</f>
        <v>1654</v>
      </c>
      <c r="H7" s="37">
        <f>IFERROR(ROUND(('DCF Model'!C45/(1+$B7)^('DCF Model'!C19+0)+'DCF Model'!D45/(1+$B7)^('DCF Model'!C19+1)+'DCF Model'!E45/(1+$B7)^('DCF Model'!C19+2)+'DCF Model'!F45/(1+$B7)^('DCF Model'!C19+3)+'DCF Model'!G45/(1+$B7)^('DCF Model'!C19+4)+'DCF Model'!G45*(1+H$6)/($B7-H$6)/(1+$B7)^('DCF Model'!C19+4)-'DCF Model'!C16)*1000000/'DCF Model'!C15,0),"")</f>
        <v>1709</v>
      </c>
      <c r="I7" s="37">
        <f>IFERROR(ROUND(('DCF Model'!C45/(1+$B7)^('DCF Model'!C19+0)+'DCF Model'!D45/(1+$B7)^('DCF Model'!C19+1)+'DCF Model'!E45/(1+$B7)^('DCF Model'!C19+2)+'DCF Model'!F45/(1+$B7)^('DCF Model'!C19+3)+'DCF Model'!G45/(1+$B7)^('DCF Model'!C19+4)+'DCF Model'!G45*(1+I$6)/($B7-I$6)/(1+$B7)^('DCF Model'!C19+4)-'DCF Model'!C16)*1000000/'DCF Model'!C15,0),"")</f>
        <v>1770</v>
      </c>
    </row>
    <row r="8" spans="2:9" ht="13.5" x14ac:dyDescent="0.25">
      <c r="B8" s="39">
        <f>$C$3-0.01</f>
        <v>7.0526500000000006E-2</v>
      </c>
      <c r="C8" s="37">
        <f>IFERROR(ROUND(('DCF Model'!C45/(1+$B8)^('DCF Model'!C19+0)+'DCF Model'!D45/(1+$B8)^('DCF Model'!C19+1)+'DCF Model'!E45/(1+$B8)^('DCF Model'!C19+2)+'DCF Model'!F45/(1+$B8)^('DCF Model'!C19+3)+'DCF Model'!G45/(1+$B8)^('DCF Model'!C19+4)+'DCF Model'!G45*(1+C$6)/($B8-C$6)/(1+$B8)^('DCF Model'!C19+4)-'DCF Model'!C16)*1000000/'DCF Model'!C15,0),"")</f>
        <v>1391</v>
      </c>
      <c r="D8" s="37">
        <f>IFERROR(ROUND(('DCF Model'!C45/(1+$B8)^('DCF Model'!C19+0)+'DCF Model'!D45/(1+$B8)^('DCF Model'!C19+1)+'DCF Model'!E45/(1+$B8)^('DCF Model'!C19+2)+'DCF Model'!F45/(1+$B8)^('DCF Model'!C19+3)+'DCF Model'!G45/(1+$B8)^('DCF Model'!C19+4)+'DCF Model'!G45*(1+D$6)/($B8-D$6)/(1+$B8)^('DCF Model'!C19+4)-'DCF Model'!C16)*1000000/'DCF Model'!C15,0),"")</f>
        <v>1423</v>
      </c>
      <c r="E8" s="37">
        <f>IFERROR(ROUND(('DCF Model'!C45/(1+$B8)^('DCF Model'!C19+0)+'DCF Model'!D45/(1+$B8)^('DCF Model'!C19+1)+'DCF Model'!E45/(1+$B8)^('DCF Model'!C19+2)+'DCF Model'!F45/(1+$B8)^('DCF Model'!C19+3)+'DCF Model'!G45/(1+$B8)^('DCF Model'!C19+4)+'DCF Model'!G45*(1+E$6)/($B8-E$6)/(1+$B8)^('DCF Model'!C19+4)-'DCF Model'!C16)*1000000/'DCF Model'!C15,0),"")</f>
        <v>1458</v>
      </c>
      <c r="F8" s="37">
        <f>IFERROR(ROUND(('DCF Model'!C45/(1+$B8)^('DCF Model'!C19+0)+'DCF Model'!D45/(1+$B8)^('DCF Model'!C19+1)+'DCF Model'!E45/(1+$B8)^('DCF Model'!C19+2)+'DCF Model'!F45/(1+$B8)^('DCF Model'!C19+3)+'DCF Model'!G45/(1+$B8)^('DCF Model'!C19+4)+'DCF Model'!G45*(1+F$6)/($B8-F$6)/(1+$B8)^('DCF Model'!C19+4)-'DCF Model'!C16)*1000000/'DCF Model'!C15,0),"")</f>
        <v>1496</v>
      </c>
      <c r="G8" s="37">
        <f>IFERROR(ROUND(('DCF Model'!C45/(1+$B8)^('DCF Model'!C19+0)+'DCF Model'!D45/(1+$B8)^('DCF Model'!C19+1)+'DCF Model'!E45/(1+$B8)^('DCF Model'!C19+2)+'DCF Model'!F45/(1+$B8)^('DCF Model'!C19+3)+'DCF Model'!G45/(1+$B8)^('DCF Model'!C19+4)+'DCF Model'!G45*(1+G$6)/($B8-G$6)/(1+$B8)^('DCF Model'!C19+4)-'DCF Model'!C16)*1000000/'DCF Model'!C15,0),"")</f>
        <v>1537</v>
      </c>
      <c r="H8" s="37">
        <f>IFERROR(ROUND(('DCF Model'!C45/(1+$B8)^('DCF Model'!C19+0)+'DCF Model'!D45/(1+$B8)^('DCF Model'!C19+1)+'DCF Model'!E45/(1+$B8)^('DCF Model'!C19+2)+'DCF Model'!F45/(1+$B8)^('DCF Model'!C19+3)+'DCF Model'!G45/(1+$B8)^('DCF Model'!C19+4)+'DCF Model'!G45*(1+H$6)/($B8-H$6)/(1+$B8)^('DCF Model'!C19+4)-'DCF Model'!C16)*1000000/'DCF Model'!C15,0),"")</f>
        <v>1582</v>
      </c>
      <c r="I8" s="37">
        <f>IFERROR(ROUND(('DCF Model'!C45/(1+$B8)^('DCF Model'!C19+0)+'DCF Model'!D45/(1+$B8)^('DCF Model'!C19+1)+'DCF Model'!E45/(1+$B8)^('DCF Model'!C19+2)+'DCF Model'!F45/(1+$B8)^('DCF Model'!C19+3)+'DCF Model'!G45/(1+$B8)^('DCF Model'!C19+4)+'DCF Model'!G45*(1+I$6)/($B8-I$6)/(1+$B8)^('DCF Model'!C19+4)-'DCF Model'!C16)*1000000/'DCF Model'!C15,0),"")</f>
        <v>1631</v>
      </c>
    </row>
    <row r="9" spans="2:9" ht="13.5" x14ac:dyDescent="0.25">
      <c r="B9" s="39">
        <f>$C$3-0.005</f>
        <v>7.5526499999999996E-2</v>
      </c>
      <c r="C9" s="37">
        <f>IFERROR(ROUND(('DCF Model'!C45/(1+$B9)^('DCF Model'!C19+0)+'DCF Model'!D45/(1+$B9)^('DCF Model'!C19+1)+'DCF Model'!E45/(1+$B9)^('DCF Model'!C19+2)+'DCF Model'!F45/(1+$B9)^('DCF Model'!C19+3)+'DCF Model'!G45/(1+$B9)^('DCF Model'!C19+4)+'DCF Model'!G45*(1+C$6)/($B9-C$6)/(1+$B9)^('DCF Model'!C19+4)-'DCF Model'!C16)*1000000/'DCF Model'!C15,0),"")</f>
        <v>1315</v>
      </c>
      <c r="D9" s="37">
        <f>IFERROR(ROUND(('DCF Model'!C45/(1+$B9)^('DCF Model'!C19+0)+'DCF Model'!D45/(1+$B9)^('DCF Model'!C19+1)+'DCF Model'!E45/(1+$B9)^('DCF Model'!C19+2)+'DCF Model'!F45/(1+$B9)^('DCF Model'!C19+3)+'DCF Model'!G45/(1+$B9)^('DCF Model'!C19+4)+'DCF Model'!G45*(1+D$6)/($B9-D$6)/(1+$B9)^('DCF Model'!C19+4)-'DCF Model'!C16)*1000000/'DCF Model'!C15,0),"")</f>
        <v>1343</v>
      </c>
      <c r="E9" s="37">
        <f>IFERROR(ROUND(('DCF Model'!C45/(1+$B9)^('DCF Model'!C19+0)+'DCF Model'!D45/(1+$B9)^('DCF Model'!C19+1)+'DCF Model'!E45/(1+$B9)^('DCF Model'!C19+2)+'DCF Model'!F45/(1+$B9)^('DCF Model'!C19+3)+'DCF Model'!G45/(1+$B9)^('DCF Model'!C19+4)+'DCF Model'!G45*(1+E$6)/($B9-E$6)/(1+$B9)^('DCF Model'!C19+4)-'DCF Model'!C16)*1000000/'DCF Model'!C15,0),"")</f>
        <v>1372</v>
      </c>
      <c r="F9" s="37">
        <f>IFERROR(ROUND(('DCF Model'!C45/(1+$B9)^('DCF Model'!C19+0)+'DCF Model'!D45/(1+$B9)^('DCF Model'!C19+1)+'DCF Model'!E45/(1+$B9)^('DCF Model'!C19+2)+'DCF Model'!F45/(1+$B9)^('DCF Model'!C19+3)+'DCF Model'!G45/(1+$B9)^('DCF Model'!C19+4)+'DCF Model'!G45*(1+F$6)/($B9-F$6)/(1+$B9)^('DCF Model'!C19+4)-'DCF Model'!C16)*1000000/'DCF Model'!C15,0),"")</f>
        <v>1404</v>
      </c>
      <c r="G9" s="37">
        <f>IFERROR(ROUND(('DCF Model'!C45/(1+$B9)^('DCF Model'!C19+0)+'DCF Model'!D45/(1+$B9)^('DCF Model'!C19+1)+'DCF Model'!E45/(1+$B9)^('DCF Model'!C19+2)+'DCF Model'!F45/(1+$B9)^('DCF Model'!C19+3)+'DCF Model'!G45/(1+$B9)^('DCF Model'!C19+4)+'DCF Model'!G45*(1+G$6)/($B9-G$6)/(1+$B9)^('DCF Model'!C19+4)-'DCF Model'!C16)*1000000/'DCF Model'!C15,0),"")</f>
        <v>1439</v>
      </c>
      <c r="H9" s="37">
        <f>IFERROR(ROUND(('DCF Model'!C45/(1+$B9)^('DCF Model'!C19+0)+'DCF Model'!D45/(1+$B9)^('DCF Model'!C19+1)+'DCF Model'!E45/(1+$B9)^('DCF Model'!C19+2)+'DCF Model'!F45/(1+$B9)^('DCF Model'!C19+3)+'DCF Model'!G45/(1+$B9)^('DCF Model'!C19+4)+'DCF Model'!G45*(1+H$6)/($B9-H$6)/(1+$B9)^('DCF Model'!C19+4)-'DCF Model'!C16)*1000000/'DCF Model'!C15,0),"")</f>
        <v>1476</v>
      </c>
      <c r="I9" s="37">
        <f>IFERROR(ROUND(('DCF Model'!C45/(1+$B9)^('DCF Model'!C19+0)+'DCF Model'!D45/(1+$B9)^('DCF Model'!C19+1)+'DCF Model'!E45/(1+$B9)^('DCF Model'!C19+2)+'DCF Model'!F45/(1+$B9)^('DCF Model'!C19+3)+'DCF Model'!G45/(1+$B9)^('DCF Model'!C19+4)+'DCF Model'!G45*(1+I$6)/($B9-I$6)/(1+$B9)^('DCF Model'!C19+4)-'DCF Model'!C16)*1000000/'DCF Model'!C15,0),"")</f>
        <v>1516</v>
      </c>
    </row>
    <row r="10" spans="2:9" ht="13.5" x14ac:dyDescent="0.25">
      <c r="B10" s="39">
        <f>$C$3</f>
        <v>8.0526500000000001E-2</v>
      </c>
      <c r="C10" s="37">
        <f>IFERROR(ROUND(('DCF Model'!C45/(1+$B10)^('DCF Model'!C19+0)+'DCF Model'!D45/(1+$B10)^('DCF Model'!C19+1)+'DCF Model'!E45/(1+$B10)^('DCF Model'!C19+2)+'DCF Model'!F45/(1+$B10)^('DCF Model'!C19+3)+'DCF Model'!G45/(1+$B10)^('DCF Model'!C19+4)+'DCF Model'!G45*(1+C$6)/($B10-C$6)/(1+$B10)^('DCF Model'!C19+4)-'DCF Model'!C16)*1000000/'DCF Model'!C15,0),"")</f>
        <v>1249</v>
      </c>
      <c r="D10" s="37">
        <f>IFERROR(ROUND(('DCF Model'!C45/(1+$B10)^('DCF Model'!C19+0)+'DCF Model'!D45/(1+$B10)^('DCF Model'!C19+1)+'DCF Model'!E45/(1+$B10)^('DCF Model'!C19+2)+'DCF Model'!F45/(1+$B10)^('DCF Model'!C19+3)+'DCF Model'!G45/(1+$B10)^('DCF Model'!C19+4)+'DCF Model'!G45*(1+D$6)/($B10-D$6)/(1+$B10)^('DCF Model'!C19+4)-'DCF Model'!C16)*1000000/'DCF Model'!C15,0),"")</f>
        <v>1273</v>
      </c>
      <c r="E10" s="37">
        <f>IFERROR(ROUND(('DCF Model'!C45/(1+$B10)^('DCF Model'!C19+0)+'DCF Model'!D45/(1+$B10)^('DCF Model'!C19+1)+'DCF Model'!E45/(1+$B10)^('DCF Model'!C19+2)+'DCF Model'!F45/(1+$B10)^('DCF Model'!C19+3)+'DCF Model'!G45/(1+$B10)^('DCF Model'!C19+4)+'DCF Model'!G45*(1+E$6)/($B10-E$6)/(1+$B10)^('DCF Model'!C19+4)-'DCF Model'!C16)*1000000/'DCF Model'!C15,0),"")</f>
        <v>1298</v>
      </c>
      <c r="F10" s="37">
        <f>IFERROR(ROUND(('DCF Model'!C45/(1+$B10)^('DCF Model'!C19+0)+'DCF Model'!D45/(1+$B10)^('DCF Model'!C19+1)+'DCF Model'!E45/(1+$B10)^('DCF Model'!C19+2)+'DCF Model'!F45/(1+$B10)^('DCF Model'!C19+3)+'DCF Model'!G45/(1+$B10)^('DCF Model'!C19+4)+'DCF Model'!G45*(1+F$6)/($B10-F$6)/(1+$B10)^('DCF Model'!C19+4)-'DCF Model'!C16)*1000000/'DCF Model'!C15,0),"")</f>
        <v>1325</v>
      </c>
      <c r="G10" s="37">
        <f>IFERROR(ROUND(('DCF Model'!C45/(1+$B10)^('DCF Model'!C19+0)+'DCF Model'!D45/(1+$B10)^('DCF Model'!C19+1)+'DCF Model'!E45/(1+$B10)^('DCF Model'!C19+2)+'DCF Model'!F45/(1+$B10)^('DCF Model'!C19+3)+'DCF Model'!G45/(1+$B10)^('DCF Model'!C19+4)+'DCF Model'!G45*(1+G$6)/($B10-G$6)/(1+$B10)^('DCF Model'!C19+4)-'DCF Model'!C16)*1000000/'DCF Model'!C15,0),"")</f>
        <v>1354</v>
      </c>
      <c r="H10" s="37">
        <f>IFERROR(ROUND(('DCF Model'!C45/(1+$B10)^('DCF Model'!C19+0)+'DCF Model'!D45/(1+$B10)^('DCF Model'!C19+1)+'DCF Model'!E45/(1+$B10)^('DCF Model'!C19+2)+'DCF Model'!F45/(1+$B10)^('DCF Model'!C19+3)+'DCF Model'!G45/(1+$B10)^('DCF Model'!C19+4)+'DCF Model'!G45*(1+H$6)/($B10-H$6)/(1+$B10)^('DCF Model'!C19+4)-'DCF Model'!C16)*1000000/'DCF Model'!C15,0),"")</f>
        <v>1386</v>
      </c>
      <c r="I10" s="37">
        <f>IFERROR(ROUND(('DCF Model'!C45/(1+$B10)^('DCF Model'!C19+0)+'DCF Model'!D45/(1+$B10)^('DCF Model'!C19+1)+'DCF Model'!E45/(1+$B10)^('DCF Model'!C19+2)+'DCF Model'!F45/(1+$B10)^('DCF Model'!C19+3)+'DCF Model'!G45/(1+$B10)^('DCF Model'!C19+4)+'DCF Model'!G45*(1+I$6)/($B10-I$6)/(1+$B10)^('DCF Model'!C19+4)-'DCF Model'!C16)*1000000/'DCF Model'!C15,0),"")</f>
        <v>1419</v>
      </c>
    </row>
    <row r="11" spans="2:9" ht="13.5" x14ac:dyDescent="0.25">
      <c r="B11" s="39">
        <f>$C$3+0.005</f>
        <v>8.5526500000000005E-2</v>
      </c>
      <c r="C11" s="37">
        <f>IFERROR(ROUND(('DCF Model'!C45/(1+$B11)^('DCF Model'!C19+0)+'DCF Model'!D45/(1+$B11)^('DCF Model'!C19+1)+'DCF Model'!E45/(1+$B11)^('DCF Model'!C19+2)+'DCF Model'!F45/(1+$B11)^('DCF Model'!C19+3)+'DCF Model'!G45/(1+$B11)^('DCF Model'!C19+4)+'DCF Model'!G45*(1+C$6)/($B11-C$6)/(1+$B11)^('DCF Model'!C19+4)-'DCF Model'!C16)*1000000/'DCF Model'!C15,0),"")</f>
        <v>1191</v>
      </c>
      <c r="D11" s="37">
        <f>IFERROR(ROUND(('DCF Model'!C45/(1+$B11)^('DCF Model'!C19+0)+'DCF Model'!D45/(1+$B11)^('DCF Model'!C19+1)+'DCF Model'!E45/(1+$B11)^('DCF Model'!C19+2)+'DCF Model'!F45/(1+$B11)^('DCF Model'!C19+3)+'DCF Model'!G45/(1+$B11)^('DCF Model'!C19+4)+'DCF Model'!G45*(1+D$6)/($B11-D$6)/(1+$B11)^('DCF Model'!C19+4)-'DCF Model'!C16)*1000000/'DCF Model'!C15,0),"")</f>
        <v>1211</v>
      </c>
      <c r="E11" s="37">
        <f>IFERROR(ROUND(('DCF Model'!C45/(1+$B11)^('DCF Model'!C19+0)+'DCF Model'!D45/(1+$B11)^('DCF Model'!C19+1)+'DCF Model'!E45/(1+$B11)^('DCF Model'!C19+2)+'DCF Model'!F45/(1+$B11)^('DCF Model'!C19+3)+'DCF Model'!G45/(1+$B11)^('DCF Model'!C19+4)+'DCF Model'!G45*(1+E$6)/($B11-E$6)/(1+$B11)^('DCF Model'!C19+4)-'DCF Model'!C16)*1000000/'DCF Model'!C15,0),"")</f>
        <v>1233</v>
      </c>
      <c r="F11" s="37">
        <f>IFERROR(ROUND(('DCF Model'!C45/(1+$B11)^('DCF Model'!C19+0)+'DCF Model'!D45/(1+$B11)^('DCF Model'!C19+1)+'DCF Model'!E45/(1+$B11)^('DCF Model'!C19+2)+'DCF Model'!F45/(1+$B11)^('DCF Model'!C19+3)+'DCF Model'!G45/(1+$B11)^('DCF Model'!C19+4)+'DCF Model'!G45*(1+F$6)/($B11-F$6)/(1+$B11)^('DCF Model'!C19+4)-'DCF Model'!C16)*1000000/'DCF Model'!C15,0),"")</f>
        <v>1257</v>
      </c>
      <c r="G11" s="37">
        <f>IFERROR(ROUND(('DCF Model'!C45/(1+$B11)^('DCF Model'!C19+0)+'DCF Model'!D45/(1+$B11)^('DCF Model'!C19+1)+'DCF Model'!E45/(1+$B11)^('DCF Model'!C19+2)+'DCF Model'!F45/(1+$B11)^('DCF Model'!C19+3)+'DCF Model'!G45/(1+$B11)^('DCF Model'!C19+4)+'DCF Model'!G45*(1+G$6)/($B11-G$6)/(1+$B11)^('DCF Model'!C19+4)-'DCF Model'!C16)*1000000/'DCF Model'!C15,0),"")</f>
        <v>1281</v>
      </c>
      <c r="H11" s="37">
        <f>IFERROR(ROUND(('DCF Model'!C45/(1+$B11)^('DCF Model'!C19+0)+'DCF Model'!D45/(1+$B11)^('DCF Model'!C19+1)+'DCF Model'!E45/(1+$B11)^('DCF Model'!C19+2)+'DCF Model'!F45/(1+$B11)^('DCF Model'!C19+3)+'DCF Model'!G45/(1+$B11)^('DCF Model'!C19+4)+'DCF Model'!G45*(1+H$6)/($B11-H$6)/(1+$B11)^('DCF Model'!C19+4)-'DCF Model'!C16)*1000000/'DCF Model'!C15,0),"")</f>
        <v>1308</v>
      </c>
      <c r="I11" s="37">
        <f>IFERROR(ROUND(('DCF Model'!C45/(1+$B11)^('DCF Model'!C19+0)+'DCF Model'!D45/(1+$B11)^('DCF Model'!C19+1)+'DCF Model'!E45/(1+$B11)^('DCF Model'!C19+2)+'DCF Model'!F45/(1+$B11)^('DCF Model'!C19+3)+'DCF Model'!G45/(1+$B11)^('DCF Model'!C19+4)+'DCF Model'!G45*(1+I$6)/($B11-I$6)/(1+$B11)^('DCF Model'!C19+4)-'DCF Model'!C16)*1000000/'DCF Model'!C15,0),"")</f>
        <v>1337</v>
      </c>
    </row>
    <row r="12" spans="2:9" ht="13.5" x14ac:dyDescent="0.25">
      <c r="B12" s="39">
        <f>$C$3+0.01</f>
        <v>9.0526499999999996E-2</v>
      </c>
      <c r="C12" s="37">
        <f>IFERROR(ROUND(('DCF Model'!C45/(1+$B12)^('DCF Model'!C19+0)+'DCF Model'!D45/(1+$B12)^('DCF Model'!C19+1)+'DCF Model'!E45/(1+$B12)^('DCF Model'!C19+2)+'DCF Model'!F45/(1+$B12)^('DCF Model'!C19+3)+'DCF Model'!G45/(1+$B12)^('DCF Model'!C19+4)+'DCF Model'!G45*(1+C$6)/($B12-C$6)/(1+$B12)^('DCF Model'!C19+4)-'DCF Model'!C16)*1000000/'DCF Model'!C15,0),"")</f>
        <v>1139</v>
      </c>
      <c r="D12" s="37">
        <f>IFERROR(ROUND(('DCF Model'!C45/(1+$B12)^('DCF Model'!C19+0)+'DCF Model'!D45/(1+$B12)^('DCF Model'!C19+1)+'DCF Model'!E45/(1+$B12)^('DCF Model'!C19+2)+'DCF Model'!F45/(1+$B12)^('DCF Model'!C19+3)+'DCF Model'!G45/(1+$B12)^('DCF Model'!C19+4)+'DCF Model'!G45*(1+D$6)/($B12-D$6)/(1+$B12)^('DCF Model'!C19+4)-'DCF Model'!C16)*1000000/'DCF Model'!C15,0),"")</f>
        <v>1157</v>
      </c>
      <c r="E12" s="37">
        <f>IFERROR(ROUND(('DCF Model'!C45/(1+$B12)^('DCF Model'!C19+0)+'DCF Model'!D45/(1+$B12)^('DCF Model'!C19+1)+'DCF Model'!E45/(1+$B12)^('DCF Model'!C19+2)+'DCF Model'!F45/(1+$B12)^('DCF Model'!C19+3)+'DCF Model'!G45/(1+$B12)^('DCF Model'!C19+4)+'DCF Model'!G45*(1+E$6)/($B12-E$6)/(1+$B12)^('DCF Model'!C19+4)-'DCF Model'!C16)*1000000/'DCF Model'!C15,0),"")</f>
        <v>1176</v>
      </c>
      <c r="F12" s="37">
        <f>IFERROR(ROUND(('DCF Model'!C45/(1+$B12)^('DCF Model'!C19+0)+'DCF Model'!D45/(1+$B12)^('DCF Model'!C19+1)+'DCF Model'!E45/(1+$B12)^('DCF Model'!C19+2)+'DCF Model'!F45/(1+$B12)^('DCF Model'!C19+3)+'DCF Model'!G45/(1+$B12)^('DCF Model'!C19+4)+'DCF Model'!G45*(1+F$6)/($B12-F$6)/(1+$B12)^('DCF Model'!C19+4)-'DCF Model'!C16)*1000000/'DCF Model'!C15,0),"")</f>
        <v>1196</v>
      </c>
      <c r="G12" s="37">
        <f>IFERROR(ROUND(('DCF Model'!C45/(1+$B12)^('DCF Model'!C19+0)+'DCF Model'!D45/(1+$B12)^('DCF Model'!C19+1)+'DCF Model'!E45/(1+$B12)^('DCF Model'!C19+2)+'DCF Model'!F45/(1+$B12)^('DCF Model'!C19+3)+'DCF Model'!G45/(1+$B12)^('DCF Model'!C19+4)+'DCF Model'!G45*(1+G$6)/($B12-G$6)/(1+$B12)^('DCF Model'!C19+4)-'DCF Model'!C16)*1000000/'DCF Model'!C15,0),"")</f>
        <v>1218</v>
      </c>
      <c r="H12" s="37">
        <f>IFERROR(ROUND(('DCF Model'!C45/(1+$B12)^('DCF Model'!C19+0)+'DCF Model'!D45/(1+$B12)^('DCF Model'!C19+1)+'DCF Model'!E45/(1+$B12)^('DCF Model'!C19+2)+'DCF Model'!F45/(1+$B12)^('DCF Model'!C19+3)+'DCF Model'!G45/(1+$B12)^('DCF Model'!C19+4)+'DCF Model'!G45*(1+H$6)/($B12-H$6)/(1+$B12)^('DCF Model'!C19+4)-'DCF Model'!C16)*1000000/'DCF Model'!C15,0),"")</f>
        <v>1241</v>
      </c>
      <c r="I12" s="37">
        <f>IFERROR(ROUND(('DCF Model'!C45/(1+$B12)^('DCF Model'!C19+0)+'DCF Model'!D45/(1+$B12)^('DCF Model'!C19+1)+'DCF Model'!E45/(1+$B12)^('DCF Model'!C19+2)+'DCF Model'!F45/(1+$B12)^('DCF Model'!C19+3)+'DCF Model'!G45/(1+$B12)^('DCF Model'!C19+4)+'DCF Model'!G45*(1+I$6)/($B12-I$6)/(1+$B12)^('DCF Model'!C19+4)-'DCF Model'!C16)*1000000/'DCF Model'!C15,0),"")</f>
        <v>1265</v>
      </c>
    </row>
    <row r="13" spans="2:9" ht="13.5" x14ac:dyDescent="0.25">
      <c r="B13" s="39">
        <f>$C$3+0.015</f>
        <v>9.55265E-2</v>
      </c>
      <c r="C13" s="37">
        <f>IFERROR(ROUND(('DCF Model'!C45/(1+$B13)^('DCF Model'!C19+0)+'DCF Model'!D45/(1+$B13)^('DCF Model'!C19+1)+'DCF Model'!E45/(1+$B13)^('DCF Model'!C19+2)+'DCF Model'!F45/(1+$B13)^('DCF Model'!C19+3)+'DCF Model'!G45/(1+$B13)^('DCF Model'!C19+4)+'DCF Model'!G45*(1+C$6)/($B13-C$6)/(1+$B13)^('DCF Model'!C19+4)-'DCF Model'!C16)*1000000/'DCF Model'!C15,0),"")</f>
        <v>1093</v>
      </c>
      <c r="D13" s="37">
        <f>IFERROR(ROUND(('DCF Model'!C45/(1+$B13)^('DCF Model'!C19+0)+'DCF Model'!D45/(1+$B13)^('DCF Model'!C19+1)+'DCF Model'!E45/(1+$B13)^('DCF Model'!C19+2)+'DCF Model'!F45/(1+$B13)^('DCF Model'!C19+3)+'DCF Model'!G45/(1+$B13)^('DCF Model'!C19+4)+'DCF Model'!G45*(1+D$6)/($B13-D$6)/(1+$B13)^('DCF Model'!C19+4)-'DCF Model'!C16)*1000000/'DCF Model'!C15,0),"")</f>
        <v>1109</v>
      </c>
      <c r="E13" s="37">
        <f>IFERROR(ROUND(('DCF Model'!C45/(1+$B13)^('DCF Model'!C19+0)+'DCF Model'!D45/(1+$B13)^('DCF Model'!C19+1)+'DCF Model'!E45/(1+$B13)^('DCF Model'!C19+2)+'DCF Model'!F45/(1+$B13)^('DCF Model'!C19+3)+'DCF Model'!G45/(1+$B13)^('DCF Model'!C19+4)+'DCF Model'!G45*(1+E$6)/($B13-E$6)/(1+$B13)^('DCF Model'!C19+4)-'DCF Model'!C16)*1000000/'DCF Model'!C15,0),"")</f>
        <v>1125</v>
      </c>
      <c r="F13" s="37">
        <f>IFERROR(ROUND(('DCF Model'!C45/(1+$B13)^('DCF Model'!C19+0)+'DCF Model'!D45/(1+$B13)^('DCF Model'!C19+1)+'DCF Model'!E45/(1+$B13)^('DCF Model'!C19+2)+'DCF Model'!F45/(1+$B13)^('DCF Model'!C19+3)+'DCF Model'!G45/(1+$B13)^('DCF Model'!C19+4)+'DCF Model'!G45*(1+F$6)/($B13-F$6)/(1+$B13)^('DCF Model'!C19+4)-'DCF Model'!C16)*1000000/'DCF Model'!C15,0),"")</f>
        <v>1143</v>
      </c>
      <c r="G13" s="37">
        <f>IFERROR(ROUND(('DCF Model'!C45/(1+$B13)^('DCF Model'!C19+0)+'DCF Model'!D45/(1+$B13)^('DCF Model'!C19+1)+'DCF Model'!E45/(1+$B13)^('DCF Model'!C19+2)+'DCF Model'!F45/(1+$B13)^('DCF Model'!C19+3)+'DCF Model'!G45/(1+$B13)^('DCF Model'!C19+4)+'DCF Model'!G45*(1+G$6)/($B13-G$6)/(1+$B13)^('DCF Model'!C19+4)-'DCF Model'!C16)*1000000/'DCF Model'!C15,0),"")</f>
        <v>1162</v>
      </c>
      <c r="H13" s="37">
        <f>IFERROR(ROUND(('DCF Model'!C45/(1+$B13)^('DCF Model'!C19+0)+'DCF Model'!D45/(1+$B13)^('DCF Model'!C19+1)+'DCF Model'!E45/(1+$B13)^('DCF Model'!C19+2)+'DCF Model'!F45/(1+$B13)^('DCF Model'!C19+3)+'DCF Model'!G45/(1+$B13)^('DCF Model'!C19+4)+'DCF Model'!G45*(1+H$6)/($B13-H$6)/(1+$B13)^('DCF Model'!C19+4)-'DCF Model'!C16)*1000000/'DCF Model'!C15,0),"")</f>
        <v>1181</v>
      </c>
      <c r="I13" s="37">
        <f>IFERROR(ROUND(('DCF Model'!C45/(1+$B13)^('DCF Model'!C19+0)+'DCF Model'!D45/(1+$B13)^('DCF Model'!C19+1)+'DCF Model'!E45/(1+$B13)^('DCF Model'!C19+2)+'DCF Model'!F45/(1+$B13)^('DCF Model'!C19+3)+'DCF Model'!G45/(1+$B13)^('DCF Model'!C19+4)+'DCF Model'!G45*(1+I$6)/($B13-I$6)/(1+$B13)^('DCF Model'!C19+4)-'DCF Model'!C16)*1000000/'DCF Model'!C15,0),"")</f>
        <v>1202</v>
      </c>
    </row>
    <row r="16" spans="2:9" ht="14" x14ac:dyDescent="0.3">
      <c r="B16" s="3" t="s">
        <v>242</v>
      </c>
    </row>
    <row r="17" spans="2:9" ht="14" x14ac:dyDescent="0.3">
      <c r="B17" s="40" t="s">
        <v>243</v>
      </c>
      <c r="C17" s="42">
        <f>$I$3-3</f>
        <v>5.1999999999999993</v>
      </c>
      <c r="D17" s="42">
        <f>$I$3-2</f>
        <v>6.1999999999999993</v>
      </c>
      <c r="E17" s="42">
        <f>$I$3-1</f>
        <v>7.1999999999999993</v>
      </c>
      <c r="F17" s="42">
        <f>$I$3</f>
        <v>8.1999999999999993</v>
      </c>
      <c r="G17" s="42">
        <f>$I$3+1</f>
        <v>9.1999999999999993</v>
      </c>
      <c r="H17" s="42">
        <f>$I$3+2</f>
        <v>10.199999999999999</v>
      </c>
      <c r="I17" s="42">
        <f>$I$3+3</f>
        <v>11.2</v>
      </c>
    </row>
    <row r="18" spans="2:9" ht="13.5" x14ac:dyDescent="0.25">
      <c r="B18" s="39">
        <f>$C$3-0.015</f>
        <v>6.5526500000000001E-2</v>
      </c>
      <c r="C18" s="37">
        <f>IFERROR(ROUND(('DCF Model'!C45/(1+$B18)^('DCF Model'!C19+0)+'DCF Model'!D45/(1+$B18)^('DCF Model'!C19+1)+'DCF Model'!E45/(1+$B18)^('DCF Model'!C19+2)+'DCF Model'!F45/(1+$B18)^('DCF Model'!C19+3)+'DCF Model'!G45/(1+$B18)^('DCF Model'!C19+4)+('DCF Model'!G39+'DCF Model'!G42)*C$17/(1+$B18)^('DCF Model'!C19+4)-'DCF Model'!C16)*1000000/'DCF Model'!C15,0),"")</f>
        <v>1985</v>
      </c>
      <c r="D18" s="37">
        <f>IFERROR(ROUND(('DCF Model'!C45/(1+$B18)^('DCF Model'!C19+0)+'DCF Model'!D45/(1+$B18)^('DCF Model'!C19+1)+'DCF Model'!E45/(1+$B18)^('DCF Model'!C19+2)+'DCF Model'!F45/(1+$B18)^('DCF Model'!C19+3)+'DCF Model'!G45/(1+$B18)^('DCF Model'!C19+4)+('DCF Model'!G39+'DCF Model'!G42)*D$17/(1+$B18)^('DCF Model'!C19+4)-'DCF Model'!C16)*1000000/'DCF Model'!C15,0),"")</f>
        <v>2251</v>
      </c>
      <c r="E18" s="37">
        <f>IFERROR(ROUND(('DCF Model'!C45/(1+$B18)^('DCF Model'!C19+0)+'DCF Model'!D45/(1+$B18)^('DCF Model'!C19+1)+'DCF Model'!E45/(1+$B18)^('DCF Model'!C19+2)+'DCF Model'!F45/(1+$B18)^('DCF Model'!C19+3)+'DCF Model'!G45/(1+$B18)^('DCF Model'!C19+4)+('DCF Model'!G39+'DCF Model'!G42)*E$17/(1+$B18)^('DCF Model'!C19+4)-'DCF Model'!C16)*1000000/'DCF Model'!C15,0),"")</f>
        <v>2517</v>
      </c>
      <c r="F18" s="37">
        <f>IFERROR(ROUND(('DCF Model'!C45/(1+$B18)^('DCF Model'!C19+0)+'DCF Model'!D45/(1+$B18)^('DCF Model'!C19+1)+'DCF Model'!E45/(1+$B18)^('DCF Model'!C19+2)+'DCF Model'!F45/(1+$B18)^('DCF Model'!C19+3)+'DCF Model'!G45/(1+$B18)^('DCF Model'!C19+4)+('DCF Model'!G39+'DCF Model'!G42)*F$17/(1+$B18)^('DCF Model'!C19+4)-'DCF Model'!C16)*1000000/'DCF Model'!C15,0),"")</f>
        <v>2783</v>
      </c>
      <c r="G18" s="37">
        <f>IFERROR(ROUND(('DCF Model'!C45/(1+$B18)^('DCF Model'!C19+0)+'DCF Model'!D45/(1+$B18)^('DCF Model'!C19+1)+'DCF Model'!E45/(1+$B18)^('DCF Model'!C19+2)+'DCF Model'!F45/(1+$B18)^('DCF Model'!C19+3)+'DCF Model'!G45/(1+$B18)^('DCF Model'!C19+4)+('DCF Model'!G39+'DCF Model'!G42)*G$17/(1+$B18)^('DCF Model'!C19+4)-'DCF Model'!C16)*1000000/'DCF Model'!C15,0),"")</f>
        <v>3050</v>
      </c>
      <c r="H18" s="37">
        <f>IFERROR(ROUND(('DCF Model'!C45/(1+$B18)^('DCF Model'!C19+0)+'DCF Model'!D45/(1+$B18)^('DCF Model'!C19+1)+'DCF Model'!E45/(1+$B18)^('DCF Model'!C19+2)+'DCF Model'!F45/(1+$B18)^('DCF Model'!C19+3)+'DCF Model'!G45/(1+$B18)^('DCF Model'!C19+4)+('DCF Model'!G39+'DCF Model'!G42)*H$17/(1+$B18)^('DCF Model'!C19+4)-'DCF Model'!C16)*1000000/'DCF Model'!C15,0),"")</f>
        <v>3316</v>
      </c>
      <c r="I18" s="37">
        <f>IFERROR(ROUND(('DCF Model'!C45/(1+$B18)^('DCF Model'!C19+0)+'DCF Model'!D45/(1+$B18)^('DCF Model'!C19+1)+'DCF Model'!E45/(1+$B18)^('DCF Model'!C19+2)+'DCF Model'!F45/(1+$B18)^('DCF Model'!C19+3)+'DCF Model'!G45/(1+$B18)^('DCF Model'!C19+4)+('DCF Model'!G39+'DCF Model'!G42)*I$17/(1+$B18)^('DCF Model'!C19+4)-'DCF Model'!C16)*1000000/'DCF Model'!C15,0),"")</f>
        <v>3582</v>
      </c>
    </row>
    <row r="19" spans="2:9" ht="13.5" x14ac:dyDescent="0.25">
      <c r="B19" s="39">
        <f>$C$3-0.01</f>
        <v>7.0526500000000006E-2</v>
      </c>
      <c r="C19" s="37">
        <f>IFERROR(ROUND(('DCF Model'!C45/(1+$B19)^('DCF Model'!C19+0)+'DCF Model'!D45/(1+$B19)^('DCF Model'!C19+1)+'DCF Model'!E45/(1+$B19)^('DCF Model'!C19+2)+'DCF Model'!F45/(1+$B19)^('DCF Model'!C19+3)+'DCF Model'!G45/(1+$B19)^('DCF Model'!C19+4)+('DCF Model'!G39+'DCF Model'!G42)*C$17/(1+$B19)^('DCF Model'!C19+4)-'DCF Model'!C16)*1000000/'DCF Model'!C15,0),"")</f>
        <v>1949</v>
      </c>
      <c r="D19" s="37">
        <f>IFERROR(ROUND(('DCF Model'!C45/(1+$B19)^('DCF Model'!C19+0)+'DCF Model'!D45/(1+$B19)^('DCF Model'!C19+1)+'DCF Model'!E45/(1+$B19)^('DCF Model'!C19+2)+'DCF Model'!F45/(1+$B19)^('DCF Model'!C19+3)+'DCF Model'!G45/(1+$B19)^('DCF Model'!C19+4)+('DCF Model'!G39+'DCF Model'!G42)*D$17/(1+$B19)^('DCF Model'!C19+4)-'DCF Model'!C16)*1000000/'DCF Model'!C15,0),"")</f>
        <v>2210</v>
      </c>
      <c r="E19" s="37">
        <f>IFERROR(ROUND(('DCF Model'!C45/(1+$B19)^('DCF Model'!C19+0)+'DCF Model'!D45/(1+$B19)^('DCF Model'!C19+1)+'DCF Model'!E45/(1+$B19)^('DCF Model'!C19+2)+'DCF Model'!F45/(1+$B19)^('DCF Model'!C19+3)+'DCF Model'!G45/(1+$B19)^('DCF Model'!C19+4)+('DCF Model'!G39+'DCF Model'!G42)*E$17/(1+$B19)^('DCF Model'!C19+4)-'DCF Model'!C16)*1000000/'DCF Model'!C15,0),"")</f>
        <v>2470</v>
      </c>
      <c r="F19" s="37">
        <f>IFERROR(ROUND(('DCF Model'!C45/(1+$B19)^('DCF Model'!C19+0)+'DCF Model'!D45/(1+$B19)^('DCF Model'!C19+1)+'DCF Model'!E45/(1+$B19)^('DCF Model'!C19+2)+'DCF Model'!F45/(1+$B19)^('DCF Model'!C19+3)+'DCF Model'!G45/(1+$B19)^('DCF Model'!C19+4)+('DCF Model'!G39+'DCF Model'!G42)*F$17/(1+$B19)^('DCF Model'!C19+4)-'DCF Model'!C16)*1000000/'DCF Model'!C15,0),"")</f>
        <v>2730</v>
      </c>
      <c r="G19" s="37">
        <f>IFERROR(ROUND(('DCF Model'!C45/(1+$B19)^('DCF Model'!C19+0)+'DCF Model'!D45/(1+$B19)^('DCF Model'!C19+1)+'DCF Model'!E45/(1+$B19)^('DCF Model'!C19+2)+'DCF Model'!F45/(1+$B19)^('DCF Model'!C19+3)+'DCF Model'!G45/(1+$B19)^('DCF Model'!C19+4)+('DCF Model'!G39+'DCF Model'!G42)*G$17/(1+$B19)^('DCF Model'!C19+4)-'DCF Model'!C16)*1000000/'DCF Model'!C15,0),"")</f>
        <v>2991</v>
      </c>
      <c r="H19" s="37">
        <f>IFERROR(ROUND(('DCF Model'!C45/(1+$B19)^('DCF Model'!C19+0)+'DCF Model'!D45/(1+$B19)^('DCF Model'!C19+1)+'DCF Model'!E45/(1+$B19)^('DCF Model'!C19+2)+'DCF Model'!F45/(1+$B19)^('DCF Model'!C19+3)+'DCF Model'!G45/(1+$B19)^('DCF Model'!C19+4)+('DCF Model'!G39+'DCF Model'!G42)*H$17/(1+$B19)^('DCF Model'!C19+4)-'DCF Model'!C16)*1000000/'DCF Model'!C15,0),"")</f>
        <v>3251</v>
      </c>
      <c r="I19" s="37">
        <f>IFERROR(ROUND(('DCF Model'!C45/(1+$B19)^('DCF Model'!C19+0)+'DCF Model'!D45/(1+$B19)^('DCF Model'!C19+1)+'DCF Model'!E45/(1+$B19)^('DCF Model'!C19+2)+'DCF Model'!F45/(1+$B19)^('DCF Model'!C19+3)+'DCF Model'!G45/(1+$B19)^('DCF Model'!C19+4)+('DCF Model'!G39+'DCF Model'!G42)*I$17/(1+$B19)^('DCF Model'!C19+4)-'DCF Model'!C16)*1000000/'DCF Model'!C15,0),"")</f>
        <v>3511</v>
      </c>
    </row>
    <row r="20" spans="2:9" ht="13.5" x14ac:dyDescent="0.25">
      <c r="B20" s="39">
        <f>$C$3-0.005</f>
        <v>7.5526499999999996E-2</v>
      </c>
      <c r="C20" s="37">
        <f>IFERROR(ROUND(('DCF Model'!C45/(1+$B20)^('DCF Model'!C19+0)+'DCF Model'!D45/(1+$B20)^('DCF Model'!C19+1)+'DCF Model'!E45/(1+$B20)^('DCF Model'!C19+2)+'DCF Model'!F45/(1+$B20)^('DCF Model'!C19+3)+'DCF Model'!G45/(1+$B20)^('DCF Model'!C19+4)+('DCF Model'!G39+'DCF Model'!G42)*C$17/(1+$B20)^('DCF Model'!C19+4)-'DCF Model'!C16)*1000000/'DCF Model'!C15,0),"")</f>
        <v>1915</v>
      </c>
      <c r="D20" s="37">
        <f>IFERROR(ROUND(('DCF Model'!C45/(1+$B20)^('DCF Model'!C19+0)+'DCF Model'!D45/(1+$B20)^('DCF Model'!C19+1)+'DCF Model'!E45/(1+$B20)^('DCF Model'!C19+2)+'DCF Model'!F45/(1+$B20)^('DCF Model'!C19+3)+'DCF Model'!G45/(1+$B20)^('DCF Model'!C19+4)+('DCF Model'!G39+'DCF Model'!G42)*D$17/(1+$B20)^('DCF Model'!C19+4)-'DCF Model'!C16)*1000000/'DCF Model'!C15,0),"")</f>
        <v>2169</v>
      </c>
      <c r="E20" s="37">
        <f>IFERROR(ROUND(('DCF Model'!C45/(1+$B20)^('DCF Model'!C19+0)+'DCF Model'!D45/(1+$B20)^('DCF Model'!C19+1)+'DCF Model'!E45/(1+$B20)^('DCF Model'!C19+2)+'DCF Model'!F45/(1+$B20)^('DCF Model'!C19+3)+'DCF Model'!G45/(1+$B20)^('DCF Model'!C19+4)+('DCF Model'!G39+'DCF Model'!G42)*E$17/(1+$B20)^('DCF Model'!C19+4)-'DCF Model'!C16)*1000000/'DCF Model'!C15,0),"")</f>
        <v>2424</v>
      </c>
      <c r="F20" s="37">
        <f>IFERROR(ROUND(('DCF Model'!C45/(1+$B20)^('DCF Model'!C19+0)+'DCF Model'!D45/(1+$B20)^('DCF Model'!C19+1)+'DCF Model'!E45/(1+$B20)^('DCF Model'!C19+2)+'DCF Model'!F45/(1+$B20)^('DCF Model'!C19+3)+'DCF Model'!G45/(1+$B20)^('DCF Model'!C19+4)+('DCF Model'!G39+'DCF Model'!G42)*F$17/(1+$B20)^('DCF Model'!C19+4)-'DCF Model'!C16)*1000000/'DCF Model'!C15,0),"")</f>
        <v>2679</v>
      </c>
      <c r="G20" s="37">
        <f>IFERROR(ROUND(('DCF Model'!C45/(1+$B20)^('DCF Model'!C19+0)+'DCF Model'!D45/(1+$B20)^('DCF Model'!C19+1)+'DCF Model'!E45/(1+$B20)^('DCF Model'!C19+2)+'DCF Model'!F45/(1+$B20)^('DCF Model'!C19+3)+'DCF Model'!G45/(1+$B20)^('DCF Model'!C19+4)+('DCF Model'!G39+'DCF Model'!G42)*G$17/(1+$B20)^('DCF Model'!C19+4)-'DCF Model'!C16)*1000000/'DCF Model'!C15,0),"")</f>
        <v>2933</v>
      </c>
      <c r="H20" s="37">
        <f>IFERROR(ROUND(('DCF Model'!C45/(1+$B20)^('DCF Model'!C19+0)+'DCF Model'!D45/(1+$B20)^('DCF Model'!C19+1)+'DCF Model'!E45/(1+$B20)^('DCF Model'!C19+2)+'DCF Model'!F45/(1+$B20)^('DCF Model'!C19+3)+'DCF Model'!G45/(1+$B20)^('DCF Model'!C19+4)+('DCF Model'!G39+'DCF Model'!G42)*H$17/(1+$B20)^('DCF Model'!C19+4)-'DCF Model'!C16)*1000000/'DCF Model'!C15,0),"")</f>
        <v>3188</v>
      </c>
      <c r="I20" s="37">
        <f>IFERROR(ROUND(('DCF Model'!C45/(1+$B20)^('DCF Model'!C19+0)+'DCF Model'!D45/(1+$B20)^('DCF Model'!C19+1)+'DCF Model'!E45/(1+$B20)^('DCF Model'!C19+2)+'DCF Model'!F45/(1+$B20)^('DCF Model'!C19+3)+'DCF Model'!G45/(1+$B20)^('DCF Model'!C19+4)+('DCF Model'!G39+'DCF Model'!G42)*I$17/(1+$B20)^('DCF Model'!C19+4)-'DCF Model'!C16)*1000000/'DCF Model'!C15,0),"")</f>
        <v>3443</v>
      </c>
    </row>
    <row r="21" spans="2:9" ht="13.5" x14ac:dyDescent="0.25">
      <c r="B21" s="39">
        <f>$C$3</f>
        <v>8.0526500000000001E-2</v>
      </c>
      <c r="C21" s="37">
        <f>IFERROR(ROUND(('DCF Model'!C45/(1+$B21)^('DCF Model'!C19+0)+'DCF Model'!D45/(1+$B21)^('DCF Model'!C19+1)+'DCF Model'!E45/(1+$B21)^('DCF Model'!C19+2)+'DCF Model'!F45/(1+$B21)^('DCF Model'!C19+3)+'DCF Model'!G45/(1+$B21)^('DCF Model'!C19+4)+('DCF Model'!G39+'DCF Model'!G42)*C$17/(1+$B21)^('DCF Model'!C19+4)-'DCF Model'!C16)*1000000/'DCF Model'!C15,0),"")</f>
        <v>1881</v>
      </c>
      <c r="D21" s="37">
        <f>IFERROR(ROUND(('DCF Model'!C45/(1+$B21)^('DCF Model'!C19+0)+'DCF Model'!D45/(1+$B21)^('DCF Model'!C19+1)+'DCF Model'!E45/(1+$B21)^('DCF Model'!C19+2)+'DCF Model'!F45/(1+$B21)^('DCF Model'!C19+3)+'DCF Model'!G45/(1+$B21)^('DCF Model'!C19+4)+('DCF Model'!G39+'DCF Model'!G42)*D$17/(1+$B21)^('DCF Model'!C19+4)-'DCF Model'!C16)*1000000/'DCF Model'!C15,0),"")</f>
        <v>2130</v>
      </c>
      <c r="E21" s="37">
        <f>IFERROR(ROUND(('DCF Model'!C45/(1+$B21)^('DCF Model'!C19+0)+'DCF Model'!D45/(1+$B21)^('DCF Model'!C19+1)+'DCF Model'!E45/(1+$B21)^('DCF Model'!C19+2)+'DCF Model'!F45/(1+$B21)^('DCF Model'!C19+3)+'DCF Model'!G45/(1+$B21)^('DCF Model'!C19+4)+('DCF Model'!G39+'DCF Model'!G42)*E$17/(1+$B21)^('DCF Model'!C19+4)-'DCF Model'!C16)*1000000/'DCF Model'!C15,0),"")</f>
        <v>2379</v>
      </c>
      <c r="F21" s="37">
        <f>IFERROR(ROUND(('DCF Model'!C45/(1+$B21)^('DCF Model'!C19+0)+'DCF Model'!D45/(1+$B21)^('DCF Model'!C19+1)+'DCF Model'!E45/(1+$B21)^('DCF Model'!C19+2)+'DCF Model'!F45/(1+$B21)^('DCF Model'!C19+3)+'DCF Model'!G45/(1+$B21)^('DCF Model'!C19+4)+('DCF Model'!G39+'DCF Model'!G42)*F$17/(1+$B21)^('DCF Model'!C19+4)-'DCF Model'!C16)*1000000/'DCF Model'!C15,0),"")</f>
        <v>2628</v>
      </c>
      <c r="G21" s="37">
        <f>IFERROR(ROUND(('DCF Model'!C45/(1+$B21)^('DCF Model'!C19+0)+'DCF Model'!D45/(1+$B21)^('DCF Model'!C19+1)+'DCF Model'!E45/(1+$B21)^('DCF Model'!C19+2)+'DCF Model'!F45/(1+$B21)^('DCF Model'!C19+3)+'DCF Model'!G45/(1+$B21)^('DCF Model'!C19+4)+('DCF Model'!G39+'DCF Model'!G42)*G$17/(1+$B21)^('DCF Model'!C19+4)-'DCF Model'!C16)*1000000/'DCF Model'!C15,0),"")</f>
        <v>2877</v>
      </c>
      <c r="H21" s="37">
        <f>IFERROR(ROUND(('DCF Model'!C45/(1+$B21)^('DCF Model'!C19+0)+'DCF Model'!D45/(1+$B21)^('DCF Model'!C19+1)+'DCF Model'!E45/(1+$B21)^('DCF Model'!C19+2)+'DCF Model'!F45/(1+$B21)^('DCF Model'!C19+3)+'DCF Model'!G45/(1+$B21)^('DCF Model'!C19+4)+('DCF Model'!G39+'DCF Model'!G42)*H$17/(1+$B21)^('DCF Model'!C19+4)-'DCF Model'!C16)*1000000/'DCF Model'!C15,0),"")</f>
        <v>3127</v>
      </c>
      <c r="I21" s="37">
        <f>IFERROR(ROUND(('DCF Model'!C45/(1+$B21)^('DCF Model'!C19+0)+'DCF Model'!D45/(1+$B21)^('DCF Model'!C19+1)+'DCF Model'!E45/(1+$B21)^('DCF Model'!C19+2)+'DCF Model'!F45/(1+$B21)^('DCF Model'!C19+3)+'DCF Model'!G45/(1+$B21)^('DCF Model'!C19+4)+('DCF Model'!G39+'DCF Model'!G42)*I$17/(1+$B21)^('DCF Model'!C19+4)-'DCF Model'!C16)*1000000/'DCF Model'!C15,0),"")</f>
        <v>3376</v>
      </c>
    </row>
    <row r="22" spans="2:9" ht="13.5" x14ac:dyDescent="0.25">
      <c r="B22" s="39">
        <f>$C$3+0.005</f>
        <v>8.5526500000000005E-2</v>
      </c>
      <c r="C22" s="37">
        <f>IFERROR(ROUND(('DCF Model'!C45/(1+$B22)^('DCF Model'!C19+0)+'DCF Model'!D45/(1+$B22)^('DCF Model'!C19+1)+'DCF Model'!E45/(1+$B22)^('DCF Model'!C19+2)+'DCF Model'!F45/(1+$B22)^('DCF Model'!C19+3)+'DCF Model'!G45/(1+$B22)^('DCF Model'!C19+4)+('DCF Model'!G39+'DCF Model'!G42)*C$17/(1+$B22)^('DCF Model'!C19+4)-'DCF Model'!C16)*1000000/'DCF Model'!C15,0),"")</f>
        <v>1848</v>
      </c>
      <c r="D22" s="37">
        <f>IFERROR(ROUND(('DCF Model'!C45/(1+$B22)^('DCF Model'!C19+0)+'DCF Model'!D45/(1+$B22)^('DCF Model'!C19+1)+'DCF Model'!E45/(1+$B22)^('DCF Model'!C19+2)+'DCF Model'!F45/(1+$B22)^('DCF Model'!C19+3)+'DCF Model'!G45/(1+$B22)^('DCF Model'!C19+4)+('DCF Model'!G39+'DCF Model'!G42)*D$17/(1+$B22)^('DCF Model'!C19+4)-'DCF Model'!C16)*1000000/'DCF Model'!C15,0),"")</f>
        <v>2092</v>
      </c>
      <c r="E22" s="37">
        <f>IFERROR(ROUND(('DCF Model'!C45/(1+$B22)^('DCF Model'!C19+0)+'DCF Model'!D45/(1+$B22)^('DCF Model'!C19+1)+'DCF Model'!E45/(1+$B22)^('DCF Model'!C19+2)+'DCF Model'!F45/(1+$B22)^('DCF Model'!C19+3)+'DCF Model'!G45/(1+$B22)^('DCF Model'!C19+4)+('DCF Model'!G39+'DCF Model'!G42)*E$17/(1+$B22)^('DCF Model'!C19+4)-'DCF Model'!C16)*1000000/'DCF Model'!C15,0),"")</f>
        <v>2336</v>
      </c>
      <c r="F22" s="37">
        <f>IFERROR(ROUND(('DCF Model'!C45/(1+$B22)^('DCF Model'!C19+0)+'DCF Model'!D45/(1+$B22)^('DCF Model'!C19+1)+'DCF Model'!E45/(1+$B22)^('DCF Model'!C19+2)+'DCF Model'!F45/(1+$B22)^('DCF Model'!C19+3)+'DCF Model'!G45/(1+$B22)^('DCF Model'!C19+4)+('DCF Model'!G39+'DCF Model'!G42)*F$17/(1+$B22)^('DCF Model'!C19+4)-'DCF Model'!C16)*1000000/'DCF Model'!C15,0),"")</f>
        <v>2579</v>
      </c>
      <c r="G22" s="37">
        <f>IFERROR(ROUND(('DCF Model'!C45/(1+$B22)^('DCF Model'!C19+0)+'DCF Model'!D45/(1+$B22)^('DCF Model'!C19+1)+'DCF Model'!E45/(1+$B22)^('DCF Model'!C19+2)+'DCF Model'!F45/(1+$B22)^('DCF Model'!C19+3)+'DCF Model'!G45/(1+$B22)^('DCF Model'!C19+4)+('DCF Model'!G39+'DCF Model'!G42)*G$17/(1+$B22)^('DCF Model'!C19+4)-'DCF Model'!C16)*1000000/'DCF Model'!C15,0),"")</f>
        <v>2823</v>
      </c>
      <c r="H22" s="37">
        <f>IFERROR(ROUND(('DCF Model'!C45/(1+$B22)^('DCF Model'!C19+0)+'DCF Model'!D45/(1+$B22)^('DCF Model'!C19+1)+'DCF Model'!E45/(1+$B22)^('DCF Model'!C19+2)+'DCF Model'!F45/(1+$B22)^('DCF Model'!C19+3)+'DCF Model'!G45/(1+$B22)^('DCF Model'!C19+4)+('DCF Model'!G39+'DCF Model'!G42)*H$17/(1+$B22)^('DCF Model'!C19+4)-'DCF Model'!C16)*1000000/'DCF Model'!C15,0),"")</f>
        <v>3067</v>
      </c>
      <c r="I22" s="37">
        <f>IFERROR(ROUND(('DCF Model'!C45/(1+$B22)^('DCF Model'!C19+0)+'DCF Model'!D45/(1+$B22)^('DCF Model'!C19+1)+'DCF Model'!E45/(1+$B22)^('DCF Model'!C19+2)+'DCF Model'!F45/(1+$B22)^('DCF Model'!C19+3)+'DCF Model'!G45/(1+$B22)^('DCF Model'!C19+4)+('DCF Model'!G39+'DCF Model'!G42)*I$17/(1+$B22)^('DCF Model'!C19+4)-'DCF Model'!C16)*1000000/'DCF Model'!C15,0),"")</f>
        <v>3310</v>
      </c>
    </row>
    <row r="23" spans="2:9" ht="13.5" x14ac:dyDescent="0.25">
      <c r="B23" s="39">
        <f>$C$3+0.01</f>
        <v>9.0526499999999996E-2</v>
      </c>
      <c r="C23" s="37">
        <f>IFERROR(ROUND(('DCF Model'!C45/(1+$B23)^('DCF Model'!C19+0)+'DCF Model'!D45/(1+$B23)^('DCF Model'!C19+1)+'DCF Model'!E45/(1+$B23)^('DCF Model'!C19+2)+'DCF Model'!F45/(1+$B23)^('DCF Model'!C19+3)+'DCF Model'!G45/(1+$B23)^('DCF Model'!C19+4)+('DCF Model'!G39+'DCF Model'!G42)*C$17/(1+$B23)^('DCF Model'!C19+4)-'DCF Model'!C16)*1000000/'DCF Model'!C15,0),"")</f>
        <v>1816</v>
      </c>
      <c r="D23" s="37">
        <f>IFERROR(ROUND(('DCF Model'!C45/(1+$B23)^('DCF Model'!C19+0)+'DCF Model'!D45/(1+$B23)^('DCF Model'!C19+1)+'DCF Model'!E45/(1+$B23)^('DCF Model'!C19+2)+'DCF Model'!F45/(1+$B23)^('DCF Model'!C19+3)+'DCF Model'!G45/(1+$B23)^('DCF Model'!C19+4)+('DCF Model'!G39+'DCF Model'!G42)*D$17/(1+$B23)^('DCF Model'!C19+4)-'DCF Model'!C16)*1000000/'DCF Model'!C15,0),"")</f>
        <v>2055</v>
      </c>
      <c r="E23" s="37">
        <f>IFERROR(ROUND(('DCF Model'!C45/(1+$B23)^('DCF Model'!C19+0)+'DCF Model'!D45/(1+$B23)^('DCF Model'!C19+1)+'DCF Model'!E45/(1+$B23)^('DCF Model'!C19+2)+'DCF Model'!F45/(1+$B23)^('DCF Model'!C19+3)+'DCF Model'!G45/(1+$B23)^('DCF Model'!C19+4)+('DCF Model'!G39+'DCF Model'!G42)*E$17/(1+$B23)^('DCF Model'!C19+4)-'DCF Model'!C16)*1000000/'DCF Model'!C15,0),"")</f>
        <v>2293</v>
      </c>
      <c r="F23" s="37">
        <f>IFERROR(ROUND(('DCF Model'!C45/(1+$B23)^('DCF Model'!C19+0)+'DCF Model'!D45/(1+$B23)^('DCF Model'!C19+1)+'DCF Model'!E45/(1+$B23)^('DCF Model'!C19+2)+'DCF Model'!F45/(1+$B23)^('DCF Model'!C19+3)+'DCF Model'!G45/(1+$B23)^('DCF Model'!C19+4)+('DCF Model'!G39+'DCF Model'!G42)*F$17/(1+$B23)^('DCF Model'!C19+4)-'DCF Model'!C16)*1000000/'DCF Model'!C15,0),"")</f>
        <v>2531</v>
      </c>
      <c r="G23" s="37">
        <f>IFERROR(ROUND(('DCF Model'!C45/(1+$B23)^('DCF Model'!C19+0)+'DCF Model'!D45/(1+$B23)^('DCF Model'!C19+1)+'DCF Model'!E45/(1+$B23)^('DCF Model'!C19+2)+'DCF Model'!F45/(1+$B23)^('DCF Model'!C19+3)+'DCF Model'!G45/(1+$B23)^('DCF Model'!C19+4)+('DCF Model'!G39+'DCF Model'!G42)*G$17/(1+$B23)^('DCF Model'!C19+4)-'DCF Model'!C16)*1000000/'DCF Model'!C15,0),"")</f>
        <v>2770</v>
      </c>
      <c r="H23" s="37">
        <f>IFERROR(ROUND(('DCF Model'!C45/(1+$B23)^('DCF Model'!C19+0)+'DCF Model'!D45/(1+$B23)^('DCF Model'!C19+1)+'DCF Model'!E45/(1+$B23)^('DCF Model'!C19+2)+'DCF Model'!F45/(1+$B23)^('DCF Model'!C19+3)+'DCF Model'!G45/(1+$B23)^('DCF Model'!C19+4)+('DCF Model'!G39+'DCF Model'!G42)*H$17/(1+$B23)^('DCF Model'!C19+4)-'DCF Model'!C16)*1000000/'DCF Model'!C15,0),"")</f>
        <v>3008</v>
      </c>
      <c r="I23" s="37">
        <f>IFERROR(ROUND(('DCF Model'!C45/(1+$B23)^('DCF Model'!C19+0)+'DCF Model'!D45/(1+$B23)^('DCF Model'!C19+1)+'DCF Model'!E45/(1+$B23)^('DCF Model'!C19+2)+'DCF Model'!F45/(1+$B23)^('DCF Model'!C19+3)+'DCF Model'!G45/(1+$B23)^('DCF Model'!C19+4)+('DCF Model'!G39+'DCF Model'!G42)*I$17/(1+$B23)^('DCF Model'!C19+4)-'DCF Model'!C16)*1000000/'DCF Model'!C15,0),"")</f>
        <v>3247</v>
      </c>
    </row>
    <row r="24" spans="2:9" ht="13.5" x14ac:dyDescent="0.25">
      <c r="B24" s="39">
        <f>$C$3+0.015</f>
        <v>9.55265E-2</v>
      </c>
      <c r="C24" s="37">
        <f>IFERROR(ROUND(('DCF Model'!C45/(1+$B24)^('DCF Model'!C19+0)+'DCF Model'!D45/(1+$B24)^('DCF Model'!C19+1)+'DCF Model'!E45/(1+$B24)^('DCF Model'!C19+2)+'DCF Model'!F45/(1+$B24)^('DCF Model'!C19+3)+'DCF Model'!G45/(1+$B24)^('DCF Model'!C19+4)+('DCF Model'!G39+'DCF Model'!G42)*C$17/(1+$B24)^('DCF Model'!C19+4)-'DCF Model'!C16)*1000000/'DCF Model'!C15,0),"")</f>
        <v>1785</v>
      </c>
      <c r="D24" s="37">
        <f>IFERROR(ROUND(('DCF Model'!C45/(1+$B24)^('DCF Model'!C19+0)+'DCF Model'!D45/(1+$B24)^('DCF Model'!C19+1)+'DCF Model'!E45/(1+$B24)^('DCF Model'!C19+2)+'DCF Model'!F45/(1+$B24)^('DCF Model'!C19+3)+'DCF Model'!G45/(1+$B24)^('DCF Model'!C19+4)+('DCF Model'!G39+'DCF Model'!G42)*D$17/(1+$B24)^('DCF Model'!C19+4)-'DCF Model'!C16)*1000000/'DCF Model'!C15,0),"")</f>
        <v>2018</v>
      </c>
      <c r="E24" s="37">
        <f>IFERROR(ROUND(('DCF Model'!C45/(1+$B24)^('DCF Model'!C19+0)+'DCF Model'!D45/(1+$B24)^('DCF Model'!C19+1)+'DCF Model'!E45/(1+$B24)^('DCF Model'!C19+2)+'DCF Model'!F45/(1+$B24)^('DCF Model'!C19+3)+'DCF Model'!G45/(1+$B24)^('DCF Model'!C19+4)+('DCF Model'!G39+'DCF Model'!G42)*E$17/(1+$B24)^('DCF Model'!C19+4)-'DCF Model'!C16)*1000000/'DCF Model'!C15,0),"")</f>
        <v>2252</v>
      </c>
      <c r="F24" s="37">
        <f>IFERROR(ROUND(('DCF Model'!C45/(1+$B24)^('DCF Model'!C19+0)+'DCF Model'!D45/(1+$B24)^('DCF Model'!C19+1)+'DCF Model'!E45/(1+$B24)^('DCF Model'!C19+2)+'DCF Model'!F45/(1+$B24)^('DCF Model'!C19+3)+'DCF Model'!G45/(1+$B24)^('DCF Model'!C19+4)+('DCF Model'!G39+'DCF Model'!G42)*F$17/(1+$B24)^('DCF Model'!C19+4)-'DCF Model'!C16)*1000000/'DCF Model'!C15,0),"")</f>
        <v>2485</v>
      </c>
      <c r="G24" s="37">
        <f>IFERROR(ROUND(('DCF Model'!C45/(1+$B24)^('DCF Model'!C19+0)+'DCF Model'!D45/(1+$B24)^('DCF Model'!C19+1)+'DCF Model'!E45/(1+$B24)^('DCF Model'!C19+2)+'DCF Model'!F45/(1+$B24)^('DCF Model'!C19+3)+'DCF Model'!G45/(1+$B24)^('DCF Model'!C19+4)+('DCF Model'!G39+'DCF Model'!G42)*G$17/(1+$B24)^('DCF Model'!C19+4)-'DCF Model'!C16)*1000000/'DCF Model'!C15,0),"")</f>
        <v>2718</v>
      </c>
      <c r="H24" s="37">
        <f>IFERROR(ROUND(('DCF Model'!C45/(1+$B24)^('DCF Model'!C19+0)+'DCF Model'!D45/(1+$B24)^('DCF Model'!C19+1)+'DCF Model'!E45/(1+$B24)^('DCF Model'!C19+2)+'DCF Model'!F45/(1+$B24)^('DCF Model'!C19+3)+'DCF Model'!G45/(1+$B24)^('DCF Model'!C19+4)+('DCF Model'!G39+'DCF Model'!G42)*H$17/(1+$B24)^('DCF Model'!C19+4)-'DCF Model'!C16)*1000000/'DCF Model'!C15,0),"")</f>
        <v>2951</v>
      </c>
      <c r="I24" s="37">
        <f>IFERROR(ROUND(('DCF Model'!C45/(1+$B24)^('DCF Model'!C19+0)+'DCF Model'!D45/(1+$B24)^('DCF Model'!C19+1)+'DCF Model'!E45/(1+$B24)^('DCF Model'!C19+2)+'DCF Model'!F45/(1+$B24)^('DCF Model'!C19+3)+'DCF Model'!G45/(1+$B24)^('DCF Model'!C19+4)+('DCF Model'!G39+'DCF Model'!G42)*I$17/(1+$B24)^('DCF Model'!C19+4)-'DCF Model'!C16)*1000000/'DCF Model'!C15,0),"")</f>
        <v>3185</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350</v>
      </c>
    </row>
    <row r="59" spans="2:3" ht="14" x14ac:dyDescent="0.3">
      <c r="B59" s="4" t="s">
        <v>351</v>
      </c>
      <c r="C59" t="s">
        <v>290</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361</v>
      </c>
    </row>
    <row r="65" spans="2:3" ht="14" x14ac:dyDescent="0.3">
      <c r="B65" s="4" t="s">
        <v>362</v>
      </c>
      <c r="C65"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2026-09-06T10:31:42Z</dcterms:created>
  <dcterms:modified xsi:type="dcterms:W3CDTF">2026-09-06T10:31:45Z</dcterms:modified>
</cp:coreProperties>
</file>