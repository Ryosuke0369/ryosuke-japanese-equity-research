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BF2A1CE0-9F67-48AD-8047-C1AE0EACB8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10" i="6"/>
  <c r="N10" i="6"/>
  <c r="M10" i="6"/>
  <c r="L10" i="6"/>
  <c r="K10" i="6"/>
  <c r="J10" i="6"/>
  <c r="O9" i="6"/>
  <c r="N9" i="6"/>
  <c r="M9" i="6"/>
  <c r="L9" i="6"/>
  <c r="K9" i="6"/>
  <c r="J9" i="6"/>
  <c r="O8" i="6"/>
  <c r="I16" i="6" s="1"/>
  <c r="N8" i="6"/>
  <c r="M8" i="6"/>
  <c r="L8" i="6"/>
  <c r="K8" i="6"/>
  <c r="J8" i="6"/>
  <c r="O7" i="6"/>
  <c r="N7" i="6"/>
  <c r="M7" i="6"/>
  <c r="G15" i="6" s="1"/>
  <c r="L7" i="6"/>
  <c r="K7" i="6"/>
  <c r="J7" i="6"/>
  <c r="O6" i="6"/>
  <c r="N6" i="6"/>
  <c r="M6" i="6"/>
  <c r="L6" i="6"/>
  <c r="K6" i="6"/>
  <c r="E15" i="6" s="1"/>
  <c r="J6" i="6"/>
  <c r="D17" i="6" s="1"/>
  <c r="O5" i="6"/>
  <c r="N5" i="6"/>
  <c r="D5" i="6"/>
  <c r="M5" i="6" s="1"/>
  <c r="C16" i="5"/>
  <c r="C14" i="5"/>
  <c r="C18" i="5" s="1"/>
  <c r="C7" i="5"/>
  <c r="C6" i="5"/>
  <c r="C5" i="5"/>
  <c r="C13" i="4"/>
  <c r="C12" i="4"/>
  <c r="C9" i="4"/>
  <c r="C7" i="4"/>
  <c r="C6" i="4"/>
  <c r="C8" i="4" s="1"/>
  <c r="C10" i="4" s="1"/>
  <c r="D27" i="3"/>
  <c r="G5" i="5" s="1"/>
  <c r="C25" i="3"/>
  <c r="C24" i="3"/>
  <c r="C23" i="3"/>
  <c r="G28" i="2"/>
  <c r="F28" i="2"/>
  <c r="E28" i="2"/>
  <c r="D28" i="2"/>
  <c r="C28" i="2"/>
  <c r="G23" i="2"/>
  <c r="F23" i="2"/>
  <c r="E23" i="2"/>
  <c r="D23" i="2"/>
  <c r="C23" i="2"/>
  <c r="D22" i="2"/>
  <c r="G21" i="2"/>
  <c r="G22" i="2" s="1"/>
  <c r="F21" i="2"/>
  <c r="F22" i="2" s="1"/>
  <c r="E21" i="2"/>
  <c r="E22" i="2" s="1"/>
  <c r="D21" i="2"/>
  <c r="C21" i="2"/>
  <c r="C22" i="2" s="1"/>
  <c r="G16" i="2"/>
  <c r="F16" i="2"/>
  <c r="E16" i="2"/>
  <c r="D16" i="2"/>
  <c r="G15" i="2"/>
  <c r="F15" i="2"/>
  <c r="E15" i="2"/>
  <c r="D15" i="2"/>
  <c r="G14" i="2"/>
  <c r="F14" i="2"/>
  <c r="E14" i="2"/>
  <c r="D14" i="2"/>
  <c r="C14" i="2"/>
  <c r="G13" i="2"/>
  <c r="F13" i="2"/>
  <c r="E13" i="2"/>
  <c r="D13" i="2"/>
  <c r="C13" i="2"/>
  <c r="E9" i="2"/>
  <c r="G8" i="2"/>
  <c r="G9" i="2" s="1"/>
  <c r="F8" i="2"/>
  <c r="F9" i="2" s="1"/>
  <c r="E8" i="2"/>
  <c r="D8" i="2"/>
  <c r="D9" i="2" s="1"/>
  <c r="C8" i="2"/>
  <c r="C9" i="2" s="1"/>
  <c r="F15" i="6" l="1"/>
  <c r="H15" i="6"/>
  <c r="E5" i="6"/>
  <c r="J5" i="6" s="1"/>
  <c r="G16" i="6"/>
  <c r="C26" i="3"/>
  <c r="D46" i="3" s="1"/>
  <c r="I17" i="6"/>
  <c r="C71" i="4"/>
  <c r="C70" i="4"/>
  <c r="G46" i="3"/>
  <c r="F36" i="4"/>
  <c r="E36" i="4"/>
  <c r="D36" i="4"/>
  <c r="F46" i="3"/>
  <c r="H36" i="4"/>
  <c r="C31" i="3"/>
  <c r="F32" i="3"/>
  <c r="H5" i="5"/>
  <c r="D7" i="5"/>
  <c r="K5" i="6"/>
  <c r="I15" i="6"/>
  <c r="E17" i="6"/>
  <c r="I6" i="7"/>
  <c r="C32" i="3"/>
  <c r="D32" i="3"/>
  <c r="D31" i="3"/>
  <c r="G32" i="3"/>
  <c r="E7" i="5"/>
  <c r="L5" i="6"/>
  <c r="D16" i="6"/>
  <c r="F17" i="6"/>
  <c r="C17" i="7"/>
  <c r="E31" i="3"/>
  <c r="D6" i="5"/>
  <c r="F7" i="5"/>
  <c r="E16" i="6"/>
  <c r="G17" i="6"/>
  <c r="C6" i="7"/>
  <c r="D17" i="7"/>
  <c r="E30" i="3"/>
  <c r="F30" i="3"/>
  <c r="C30" i="3"/>
  <c r="C33" i="3" s="1"/>
  <c r="F31" i="3"/>
  <c r="E6" i="5"/>
  <c r="G7" i="5"/>
  <c r="D15" i="6"/>
  <c r="F16" i="6"/>
  <c r="C28" i="6" s="1"/>
  <c r="C19" i="1" s="1"/>
  <c r="D19" i="1" s="1"/>
  <c r="H17" i="6"/>
  <c r="D6" i="7"/>
  <c r="E17" i="7"/>
  <c r="H6" i="5"/>
  <c r="D30" i="3"/>
  <c r="G31" i="3"/>
  <c r="D5" i="5"/>
  <c r="F6" i="5"/>
  <c r="H7" i="5"/>
  <c r="E6" i="7"/>
  <c r="F17" i="7"/>
  <c r="E5" i="5"/>
  <c r="G6" i="5"/>
  <c r="H16" i="6"/>
  <c r="F6" i="7"/>
  <c r="G17" i="7"/>
  <c r="G6" i="7"/>
  <c r="H17" i="7"/>
  <c r="F5" i="5"/>
  <c r="G30" i="3"/>
  <c r="E32" i="3"/>
  <c r="E46" i="3" l="1"/>
  <c r="C11" i="4"/>
  <c r="C24" i="4" s="1"/>
  <c r="C25" i="4" s="1"/>
  <c r="B25" i="1"/>
  <c r="G36" i="4"/>
  <c r="G45" i="4" s="1"/>
  <c r="C3" i="7"/>
  <c r="B8" i="7" s="1"/>
  <c r="C46" i="3"/>
  <c r="C42" i="3"/>
  <c r="C34" i="3"/>
  <c r="D10" i="5" s="1"/>
  <c r="D9" i="5"/>
  <c r="D12" i="5" s="1"/>
  <c r="C43" i="3"/>
  <c r="D33" i="3"/>
  <c r="C37" i="3"/>
  <c r="E39" i="4"/>
  <c r="E46" i="4"/>
  <c r="E40" i="4"/>
  <c r="E50" i="4" s="1"/>
  <c r="E55" i="4" s="1"/>
  <c r="E44" i="4"/>
  <c r="E38" i="4"/>
  <c r="E41" i="4"/>
  <c r="E43" i="4"/>
  <c r="E45" i="4"/>
  <c r="C27" i="6"/>
  <c r="C18" i="1" s="1"/>
  <c r="D18" i="1" s="1"/>
  <c r="C74" i="4"/>
  <c r="H40" i="4"/>
  <c r="H44" i="4"/>
  <c r="H38" i="4"/>
  <c r="H41" i="4"/>
  <c r="H45" i="4"/>
  <c r="H39" i="4"/>
  <c r="H43" i="4"/>
  <c r="H46" i="4"/>
  <c r="F43" i="4"/>
  <c r="F40" i="4"/>
  <c r="F50" i="4" s="1"/>
  <c r="F55" i="4" s="1"/>
  <c r="F44" i="4"/>
  <c r="F46" i="4"/>
  <c r="F38" i="4"/>
  <c r="F41" i="4"/>
  <c r="F45" i="4"/>
  <c r="F39" i="4"/>
  <c r="C29" i="4"/>
  <c r="C27" i="4"/>
  <c r="C26" i="4"/>
  <c r="B29" i="1"/>
  <c r="B24" i="1"/>
  <c r="G46" i="4"/>
  <c r="G44" i="4"/>
  <c r="G38" i="4"/>
  <c r="G41" i="4"/>
  <c r="G40" i="4"/>
  <c r="G39" i="4"/>
  <c r="G43" i="4"/>
  <c r="B13" i="7"/>
  <c r="B12" i="7"/>
  <c r="B11" i="7"/>
  <c r="B10" i="7"/>
  <c r="B9" i="7"/>
  <c r="B7" i="7"/>
  <c r="B24" i="7"/>
  <c r="B23" i="7"/>
  <c r="B22" i="7"/>
  <c r="B21" i="7"/>
  <c r="B20" i="7"/>
  <c r="B19" i="7"/>
  <c r="D45" i="4"/>
  <c r="D43" i="4"/>
  <c r="D46" i="4"/>
  <c r="D39" i="4"/>
  <c r="D49" i="4" s="1"/>
  <c r="D54" i="4" s="1"/>
  <c r="D40" i="4"/>
  <c r="D44" i="4"/>
  <c r="D38" i="4"/>
  <c r="D41" i="4"/>
  <c r="H50" i="4" l="1"/>
  <c r="H55" i="4" s="1"/>
  <c r="G48" i="4"/>
  <c r="G53" i="4" s="1"/>
  <c r="E49" i="4"/>
  <c r="E54" i="4" s="1"/>
  <c r="D48" i="4"/>
  <c r="D53" i="4" s="1"/>
  <c r="H51" i="4"/>
  <c r="H56" i="4" s="1"/>
  <c r="E51" i="4"/>
  <c r="E56" i="4" s="1"/>
  <c r="G49" i="4"/>
  <c r="G54" i="4" s="1"/>
  <c r="B18" i="7"/>
  <c r="F51" i="4"/>
  <c r="F56" i="4" s="1"/>
  <c r="H49" i="4"/>
  <c r="H54" i="4" s="1"/>
  <c r="D51" i="4"/>
  <c r="D56" i="4" s="1"/>
  <c r="G50" i="4"/>
  <c r="G55" i="4" s="1"/>
  <c r="F48" i="4"/>
  <c r="F53" i="4" s="1"/>
  <c r="D37" i="3"/>
  <c r="E9" i="5"/>
  <c r="E12" i="5" s="1"/>
  <c r="D35" i="3"/>
  <c r="E33" i="3"/>
  <c r="D43" i="3"/>
  <c r="D42" i="3"/>
  <c r="D34" i="3"/>
  <c r="E10" i="5" s="1"/>
  <c r="G51" i="4"/>
  <c r="G56" i="4" s="1"/>
  <c r="C35" i="3"/>
  <c r="D50" i="4"/>
  <c r="D55" i="4" s="1"/>
  <c r="H48" i="4"/>
  <c r="H53" i="4" s="1"/>
  <c r="E48" i="4"/>
  <c r="E53" i="4" s="1"/>
  <c r="D15" i="5"/>
  <c r="D16" i="5" s="1"/>
  <c r="D13" i="5"/>
  <c r="D14" i="5" s="1"/>
  <c r="D18" i="5" s="1"/>
  <c r="D19" i="5" s="1"/>
  <c r="C44" i="3" s="1"/>
  <c r="F49" i="4"/>
  <c r="D38" i="3" l="1"/>
  <c r="D36" i="3"/>
  <c r="D39" i="3"/>
  <c r="C38" i="3"/>
  <c r="C36" i="3"/>
  <c r="C39" i="3"/>
  <c r="F54" i="4"/>
  <c r="B78" i="4" s="1"/>
  <c r="C60" i="4"/>
  <c r="E13" i="5"/>
  <c r="E14" i="5" s="1"/>
  <c r="E18" i="5" s="1"/>
  <c r="E19" i="5" s="1"/>
  <c r="D44" i="3" s="1"/>
  <c r="E15" i="5"/>
  <c r="E16" i="5" s="1"/>
  <c r="F9" i="5"/>
  <c r="F12" i="5" s="1"/>
  <c r="F33" i="3"/>
  <c r="E43" i="3"/>
  <c r="E42" i="3"/>
  <c r="E34" i="3"/>
  <c r="F10" i="5" s="1"/>
  <c r="E37" i="3"/>
  <c r="E35" i="3" l="1"/>
  <c r="E39" i="3" s="1"/>
  <c r="F43" i="3"/>
  <c r="G33" i="3"/>
  <c r="F42" i="3"/>
  <c r="F34" i="3"/>
  <c r="G10" i="5" s="1"/>
  <c r="F37" i="3"/>
  <c r="G9" i="5"/>
  <c r="G12" i="5" s="1"/>
  <c r="D40" i="3"/>
  <c r="D41" i="3" s="1"/>
  <c r="D45" i="3" s="1"/>
  <c r="D47" i="3" s="1"/>
  <c r="C40" i="3"/>
  <c r="C41" i="3" s="1"/>
  <c r="C45" i="3" s="1"/>
  <c r="F13" i="5"/>
  <c r="F14" i="5" s="1"/>
  <c r="F18" i="5" s="1"/>
  <c r="F19" i="5" s="1"/>
  <c r="E44" i="3" s="1"/>
  <c r="F15" i="5"/>
  <c r="F16" i="5" s="1"/>
  <c r="C64" i="4"/>
  <c r="D64" i="4" s="1"/>
  <c r="C67" i="4"/>
  <c r="D67" i="4" s="1"/>
  <c r="C63" i="4"/>
  <c r="D63" i="4" s="1"/>
  <c r="C65" i="4"/>
  <c r="D65" i="4" s="1"/>
  <c r="C66" i="4"/>
  <c r="D66" i="4" s="1"/>
  <c r="E36" i="3" l="1"/>
  <c r="E38" i="3"/>
  <c r="F35" i="3"/>
  <c r="C47" i="3"/>
  <c r="F38" i="3"/>
  <c r="F36" i="3"/>
  <c r="F39" i="3"/>
  <c r="E40" i="3"/>
  <c r="E41" i="3" s="1"/>
  <c r="E45" i="3" s="1"/>
  <c r="E47" i="3" s="1"/>
  <c r="G42" i="3"/>
  <c r="G34" i="3"/>
  <c r="H10" i="5" s="1"/>
  <c r="C16" i="4"/>
  <c r="C28" i="4" s="1"/>
  <c r="G37" i="3"/>
  <c r="H9" i="5"/>
  <c r="H12" i="5" s="1"/>
  <c r="G43" i="3"/>
  <c r="G35" i="3"/>
  <c r="G13" i="5"/>
  <c r="G14" i="5" s="1"/>
  <c r="G18" i="5" s="1"/>
  <c r="G19" i="5" s="1"/>
  <c r="F44" i="3" s="1"/>
  <c r="G15" i="5"/>
  <c r="G16" i="5" s="1"/>
  <c r="G38" i="3" l="1"/>
  <c r="G36" i="3"/>
  <c r="G39" i="3"/>
  <c r="F40" i="3"/>
  <c r="F41" i="3" s="1"/>
  <c r="F45" i="3" s="1"/>
  <c r="H15" i="5"/>
  <c r="H16" i="5" s="1"/>
  <c r="H13" i="5"/>
  <c r="H14" i="5" s="1"/>
  <c r="H18" i="5" s="1"/>
  <c r="H19" i="5" s="1"/>
  <c r="G44" i="3" s="1"/>
  <c r="C72" i="4"/>
  <c r="C73" i="4"/>
  <c r="F47" i="3" l="1"/>
  <c r="C59" i="3"/>
  <c r="C60" i="3" s="1"/>
  <c r="C61" i="3" s="1"/>
  <c r="G40" i="3"/>
  <c r="G41" i="3" s="1"/>
  <c r="G45" i="3" s="1"/>
  <c r="C51" i="3" l="1"/>
  <c r="C52" i="3" s="1"/>
  <c r="G47" i="3"/>
  <c r="H10" i="7"/>
  <c r="E24" i="7"/>
  <c r="F23" i="7"/>
  <c r="G11" i="7"/>
  <c r="D11" i="7"/>
  <c r="C20" i="7"/>
  <c r="C11" i="7"/>
  <c r="E23" i="7"/>
  <c r="G10" i="7"/>
  <c r="I11" i="7"/>
  <c r="F24" i="7"/>
  <c r="G23" i="7"/>
  <c r="H8" i="7"/>
  <c r="I18" i="7"/>
  <c r="E18" i="7"/>
  <c r="E21" i="7"/>
  <c r="E8" i="7"/>
  <c r="I23" i="7"/>
  <c r="D13" i="7"/>
  <c r="H23" i="7"/>
  <c r="I8" i="7"/>
  <c r="C8" i="7"/>
  <c r="I7" i="7"/>
  <c r="H20" i="7"/>
  <c r="G18" i="7"/>
  <c r="D21" i="7"/>
  <c r="H18" i="7"/>
  <c r="I10" i="7"/>
  <c r="F11" i="7"/>
  <c r="H22" i="7"/>
  <c r="C7" i="7"/>
  <c r="C23" i="7"/>
  <c r="F8" i="7"/>
  <c r="I9" i="7"/>
  <c r="F20" i="7"/>
  <c r="G20" i="7"/>
  <c r="G22" i="7"/>
  <c r="E7" i="7"/>
  <c r="G19" i="7"/>
  <c r="F18" i="7"/>
  <c r="G9" i="7"/>
  <c r="D8" i="7"/>
  <c r="C12" i="7"/>
  <c r="H9" i="7"/>
  <c r="D12" i="7"/>
  <c r="C21" i="7"/>
  <c r="E13" i="7"/>
  <c r="D18" i="7"/>
  <c r="E11" i="7"/>
  <c r="G13" i="7"/>
  <c r="D10" i="7"/>
  <c r="I12" i="7"/>
  <c r="C13" i="7"/>
  <c r="H13" i="7"/>
  <c r="E19" i="7"/>
  <c r="C22" i="7"/>
  <c r="D22" i="7"/>
  <c r="F19" i="7"/>
  <c r="I24" i="7"/>
  <c r="I20" i="7"/>
  <c r="C18" i="7"/>
  <c r="D9" i="7"/>
  <c r="E20" i="7"/>
  <c r="C24" i="7"/>
  <c r="C9" i="7"/>
  <c r="I22" i="7"/>
  <c r="D19" i="7"/>
  <c r="E10" i="7"/>
  <c r="D23" i="7"/>
  <c r="C10" i="7"/>
  <c r="H7" i="7"/>
  <c r="D7" i="7"/>
  <c r="G24" i="7"/>
  <c r="G12" i="7"/>
  <c r="H12" i="7"/>
  <c r="F13" i="7"/>
  <c r="D20" i="7"/>
  <c r="F7" i="7"/>
  <c r="F21" i="7"/>
  <c r="I21" i="7"/>
  <c r="D24" i="7"/>
  <c r="I13" i="7"/>
  <c r="H19" i="7"/>
  <c r="F10" i="7"/>
  <c r="G21" i="7"/>
  <c r="F22" i="7"/>
  <c r="F12" i="7"/>
  <c r="E12" i="7"/>
  <c r="E9" i="7"/>
  <c r="C19" i="7"/>
  <c r="H24" i="7"/>
  <c r="G7" i="7"/>
  <c r="G8" i="7"/>
  <c r="I19" i="7"/>
  <c r="E22" i="7"/>
  <c r="F9" i="7"/>
  <c r="H11" i="7"/>
  <c r="H21" i="7"/>
  <c r="C50" i="3"/>
  <c r="C58" i="3" l="1"/>
  <c r="C62" i="3" s="1"/>
  <c r="C53" i="3"/>
  <c r="C17" i="4" l="1"/>
  <c r="C54" i="3"/>
  <c r="C55" i="3" s="1"/>
  <c r="C16" i="1"/>
  <c r="C63" i="3"/>
  <c r="C64" i="3" s="1"/>
  <c r="C17" i="1" s="1"/>
  <c r="D17" i="1" s="1"/>
  <c r="C19" i="4" l="1"/>
  <c r="C20" i="4" s="1"/>
  <c r="B79" i="4" s="1"/>
  <c r="C10" i="1"/>
  <c r="D16" i="1"/>
  <c r="C21" i="1"/>
  <c r="C12" i="1" l="1"/>
  <c r="C11" i="1" s="1"/>
  <c r="B26" i="1"/>
  <c r="B31" i="1"/>
</calcChain>
</file>

<file path=xl/sharedStrings.xml><?xml version="1.0" encoding="utf-8"?>
<sst xmlns="http://schemas.openxmlformats.org/spreadsheetml/2006/main" count="441" uniqueCount="357">
  <si>
    <t>DISCLAIMER: This is a sample analysis for demonstration purposes only. It does not constitute investment advice.</t>
  </si>
  <si>
    <t>クラレ (3405.T)</t>
  </si>
  <si>
    <t>Equity Research Report</t>
  </si>
  <si>
    <t>Company</t>
  </si>
  <si>
    <t>クラレ</t>
  </si>
  <si>
    <t>Ticker</t>
  </si>
  <si>
    <t>3405.T (TSE Prime)</t>
  </si>
  <si>
    <t>Sector</t>
  </si>
  <si>
    <t>化学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</si>
  <si>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</si>
  <si>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</si>
  <si>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</si>
  <si>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</si>
  <si>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</si>
  <si>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</si>
  <si>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</si>
  <si>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</si>
  <si>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</si>
  <si>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</si>
  <si>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</si>
  <si>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</si>
  <si>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</si>
  <si>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</si>
  <si>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</si>
  <si>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Key Risks</t>
  </si>
  <si>
    <t>Capital expenditure has risen to above 12% of revenue against depreciation of 10.5%, and the base case assumes the two converge rather than the spending staying elevated.</t>
  </si>
  <si>
    <t>クラレ - Historical Financials (JPY mn)</t>
  </si>
  <si>
    <t>FY2021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</si>
  <si>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</si>
  <si>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</si>
  <si>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</si>
  <si>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</si>
  <si>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</si>
  <si>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</si>
  <si>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</si>
  <si>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</si>
  <si>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</si>
  <si>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</si>
  <si>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</si>
  <si>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</si>
  <si>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</si>
  <si>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</si>
  <si>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</si>
  <si>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</si>
  <si>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</si>
  <si>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</si>
  <si>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</si>
  <si>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</si>
  <si>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</si>
  <si>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</si>
  <si>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</si>
  <si>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</si>
  <si>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</si>
  <si>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</si>
  <si>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</si>
  <si>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5/5, Cash 5/5, Debt 5/5 — blank cells are years with no year-key match in the source data (verify against 決算短信 or set hist_ocf / hist_cash / hist_debt in overrides).</t>
  </si>
  <si>
    <t>DCF Valuation Model - クラレ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</si>
  <si>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</si>
  <si>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</si>
  <si>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</si>
  <si>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</si>
  <si>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</si>
  <si>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</si>
  <si>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</si>
  <si>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</si>
  <si>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</si>
  <si>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</si>
  <si>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</si>
  <si>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</si>
  <si>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</si>
  <si>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</si>
  <si>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</si>
  <si>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</si>
  <si>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</si>
  <si>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</si>
  <si>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</si>
  <si>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</si>
  <si>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</si>
  <si>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</si>
  <si>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</si>
  <si>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</si>
  <si>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</si>
  <si>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</si>
  <si>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</si>
  <si>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</si>
  <si>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</si>
  <si>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</si>
  <si>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</si>
  <si>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</si>
  <si>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</si>
  <si>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</si>
  <si>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</si>
  <si>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</si>
  <si>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</si>
  <si>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</si>
  <si>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</si>
  <si>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</si>
  <si>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</si>
  <si>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</si>
  <si>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</si>
  <si>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</si>
  <si>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</si>
  <si>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</si>
  <si>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</si>
  <si>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</si>
  <si>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</si>
  <si>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</si>
  <si>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</si>
  <si>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</si>
  <si>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</si>
  <si>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</si>
  <si>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</si>
  <si>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</si>
  <si>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</si>
  <si>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</si>
  <si>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</si>
  <si>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</si>
  <si>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</si>
  <si>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</si>
  <si>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</si>
  <si>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クラレ (3405.T)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</si>
  <si>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</si>
  <si>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</si>
  <si>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</si>
  <si>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</si>
  <si>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</si>
  <si>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</si>
  <si>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</si>
  <si>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</si>
  <si>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(FY2025 actual)</t>
  </si>
  <si>
    <t>Cycle-peak Operating Profit (FY2022 actual)</t>
  </si>
  <si>
    <t>Terminal-year Revenue, active scenario (JPY mn)</t>
  </si>
  <si>
    <t>Base-case DCF Enterprise Value, PGM (JPY mn)</t>
  </si>
  <si>
    <t>Cycle-peak Operating Margin (FY2022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</si>
  <si>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</si>
  <si>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</si>
  <si>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</si>
  <si>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</si>
  <si>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</si>
  <si>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</si>
  <si>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FY2022 peak</t>
  </si>
  <si>
    <t>... as a multiple of FY2025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</si>
  <si>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</si>
  <si>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</si>
  <si>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</si>
  <si>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</si>
  <si>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</si>
  <si>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</si>
  <si>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</si>
  <si>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</si>
  <si>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</si>
  <si>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</si>
  <si>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</si>
  <si>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</si>
  <si>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</si>
  <si>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</si>
  <si>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FY2022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</si>
  <si>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</si>
  <si>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</si>
  <si>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</si>
  <si>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</si>
  <si>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</si>
  <si>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</si>
  <si>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(FY2022)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</si>
  <si>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</si>
  <si>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</si>
  <si>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</si>
  <si>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</si>
  <si>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</si>
  <si>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</si>
  <si>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</si>
  <si>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</si>
  <si>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クラレ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</si>
  <si>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</si>
  <si>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</si>
  <si>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</si>
  <si>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</si>
  <si>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</si>
  <si>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</si>
  <si>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</si>
  <si>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</si>
  <si>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</si>
  <si>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</si>
  <si>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</si>
  <si>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</si>
  <si>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</si>
  <si>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</si>
  <si>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</si>
  <si>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</si>
  <si>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</si>
  <si>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</si>
  <si>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</si>
  <si>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</si>
  <si>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</si>
  <si>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</si>
  <si>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</si>
  <si>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</si>
  <si>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</si>
  <si>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</si>
  <si>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</si>
  <si>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</si>
  <si>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</si>
  <si>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</si>
  <si>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</si>
  <si>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</si>
  <si>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</si>
  <si>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</si>
  <si>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Kuraray Co., Ltd.</t>
  </si>
  <si>
    <t>3405.T</t>
  </si>
  <si>
    <t>Mitsui Chemicals, Inc.</t>
  </si>
  <si>
    <t>4183.T</t>
  </si>
  <si>
    <t>Sumitomo Chemical Company, Limited</t>
  </si>
  <si>
    <t>4005.T</t>
  </si>
  <si>
    <t>Mitsubishi Chemical Group Corporation</t>
  </si>
  <si>
    <t>4188.T</t>
  </si>
  <si>
    <t>Asahi Kasei Corporation</t>
  </si>
  <si>
    <t>3407.T</t>
  </si>
  <si>
    <t>Nippon Sanso Holdings Corporation</t>
  </si>
  <si>
    <t>4091.T</t>
  </si>
  <si>
    <t>Statistics</t>
  </si>
  <si>
    <t>25th Percentile</t>
  </si>
  <si>
    <t>Median (50th)</t>
  </si>
  <si>
    <t>75th Percentile</t>
  </si>
  <si>
    <t>Implied Valuation for クラレ</t>
  </si>
  <si>
    <t>クラレ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</si>
  <si>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</si>
  <si>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</si>
  <si>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</si>
  <si>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</si>
  <si>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</si>
  <si>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</si>
  <si>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</si>
  <si>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</si>
  <si>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</si>
  <si>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</si>
  <si>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</si>
  <si>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</si>
  <si>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</si>
  <si>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</si>
  <si>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</si>
  <si>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クラレ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</si>
  <si>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</si>
  <si>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</si>
  <si>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</si>
  <si>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</si>
  <si>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</si>
  <si>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</si>
  <si>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</si>
  <si>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</si>
  <si>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18:50, template rev 63983ab</t>
  </si>
  <si>
    <t>初期生成（手修正なし）</t>
  </si>
  <si>
    <t>generated</t>
  </si>
  <si>
    <t>DCF Model!C11</t>
  </si>
  <si>
    <t>After-tax Cost of Debt = 0.80% (実績ベース)</t>
  </si>
  <si>
    <t>実績Kd = 支払利息2,807 ÷ 平均有利子負債264,600(期首244,282/期末284,919、debt_beginning/debt_ending) = 税引前1.06% × (1−25.0%) = 0.80%。【マージナルコスト注記】これは既存借入の実績平均コストであり、新規調達の限界コストではない。テンプレ既定(税引前2.8%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</si>
  <si>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</si>
  <si>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</si>
  <si>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DCF Model!C8</t>
  </si>
  <si>
    <t>Beta = 0.840（採用値）</t>
  </si>
  <si>
    <t>実測β(raw) = 0.761 → Blume調整 0.67×raw + 0.33×1.00 = 0.840 → 採用 0.840。クランプ域 [0.3, 2.0] の内側。置換なし。回帰βは平均回帰するため Blume 調整を既定とする（2026-09-05 バッチで85件中57件が旧下限 0.60 に張り付き、両裾の歪みが実証された）。</t>
  </si>
  <si>
    <t>実測 0.761</t>
  </si>
  <si>
    <t>確定</t>
  </si>
  <si>
    <t>Pipeline Metadata (do not edit — read by scripts/validate_output.py)</t>
  </si>
  <si>
    <t>key</t>
  </si>
  <si>
    <t>value</t>
  </si>
  <si>
    <t>auto_log_entries</t>
  </si>
  <si>
    <t>2</t>
  </si>
  <si>
    <t>beta_adopted_c8</t>
  </si>
  <si>
    <t>0.8401</t>
  </si>
  <si>
    <t>beta_basis</t>
  </si>
  <si>
    <t>Blume: 0.67 x 0.761 + 0.33 x 1.00 = 0.840</t>
  </si>
  <si>
    <t>beta_blume_adjusted</t>
  </si>
  <si>
    <t>beta_clamped</t>
  </si>
  <si>
    <t>no</t>
  </si>
  <si>
    <t>beta_raw</t>
  </si>
  <si>
    <t>0.7613</t>
  </si>
  <si>
    <t>capex_pct_basis</t>
  </si>
  <si>
    <t>explicit_override</t>
  </si>
  <si>
    <t>capex_pct_c5</t>
  </si>
  <si>
    <t>0.1102</t>
  </si>
  <si>
    <t>capex_pct_hist3yr</t>
  </si>
  <si>
    <t>0.106738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</si>
  <si>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</si>
  <si>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</si>
  <si>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</si>
  <si>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</si>
  <si>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</si>
  <si>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</si>
  <si>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</si>
  <si>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</si>
  <si>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</si>
  <si>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</si>
  <si>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</si>
  <si>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</si>
  <si>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</si>
  <si>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</si>
  <si>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</si>
  <si>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</si>
  <si>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</si>
  <si>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</si>
  <si>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</si>
  <si>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</si>
  <si>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143584.0</t>
  </si>
  <si>
    <t>core_net_income</t>
  </si>
  <si>
    <t>7468.0</t>
  </si>
  <si>
    <t>cost_of_debt_actual</t>
  </si>
  <si>
    <t>interest 2,807 (expense 2,807 + fees 0) / avg debt 264,600 (debt_beginning/debt_ending) = 0.010608 pre-tax -&gt; 0.008000 after-tax</t>
  </si>
  <si>
    <t>cost_of_debt_at_c11</t>
  </si>
  <si>
    <t>0.008</t>
  </si>
  <si>
    <t>cost_of_debt_avg_debt</t>
  </si>
  <si>
    <t>264600.5</t>
  </si>
  <si>
    <t>cost_of_debt_basis</t>
  </si>
  <si>
    <t>actual</t>
  </si>
  <si>
    <t>cost_of_debt_interest</t>
  </si>
  <si>
    <t>2807.0</t>
  </si>
  <si>
    <t>cost_of_debt_pretax</t>
  </si>
  <si>
    <t>0.01060844556227218</t>
  </si>
  <si>
    <t>da_pct_basis</t>
  </si>
  <si>
    <t>da_pct_c18</t>
  </si>
  <si>
    <t>0.105</t>
  </si>
  <si>
    <t>da_pct_hist3yr</t>
  </si>
  <si>
    <t>0.102229</t>
  </si>
  <si>
    <t>fs_year_coverage</t>
  </si>
  <si>
    <t>OCF 5/5, Cash 5/5, Debt 5/5</t>
  </si>
  <si>
    <t>fs_year_map</t>
  </si>
  <si>
    <t>FY2021&lt;-FY2021[ocf+cash+debt]; FY2022&lt;-FY2022[ocf+cash+debt]; FY2023&lt;-FY2023[ocf+cash+debt]; FY2024&lt;-FY2024[ocf+cash+debt]; FY2025&lt;-FY2025[ocf+cash+debt]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</si>
  <si>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</si>
  <si>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</si>
  <si>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</si>
  <si>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</si>
  <si>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</si>
  <si>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18:50:55</t>
  </si>
  <si>
    <t>guidance_note</t>
  </si>
  <si>
    <t>TDnet 決算短信 via screener guidance table: FY2026 disclosed 2026-08-07 (net_income=40,000mn, operating_income=70,000mn, revenue=880,000mn)</t>
  </si>
  <si>
    <t>guidance_source</t>
  </si>
  <si>
    <t>tdnet_screener_db</t>
  </si>
  <si>
    <t>latest_operating_income</t>
  </si>
  <si>
    <t>58882.0</t>
  </si>
  <si>
    <t>ltm_revenue_c20</t>
  </si>
  <si>
    <t>839524.0</t>
  </si>
  <si>
    <t>ltm_revenue_source</t>
  </si>
  <si>
    <t>LTM row</t>
  </si>
  <si>
    <t>market_data_source</t>
  </si>
  <si>
    <t>yfinance; from overrides: beta</t>
  </si>
  <si>
    <t>narrative_tokens_used</t>
  </si>
  <si>
    <t>pb,per,price,target_price,upside_pct,wacc</t>
  </si>
  <si>
    <t>net_debt_source</t>
  </si>
  <si>
    <t>EDINET net_debt</t>
  </si>
  <si>
    <t>reverse_dcf_sheet</t>
  </si>
  <si>
    <t>op0=58,882(FY2025) peak=87,139(FY2022) peak_opm=0.1152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</si>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</sst>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1838.5</v>
      </c>
    </row>
    <row r="10" spans="2:5" ht="14" x14ac:dyDescent="0.3">
      <c r="B10" s="4" t="s">
        <v>10</v>
      </c>
      <c r="C10" s="5">
        <f>IF(COUNT(C16:C17)=0,"N/A",ROUND(AVERAGE(C16:C17),0))</f>
        <v>2928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x14ac:dyDescent="0.3">
      <c r="B12" s="4" t="s">
        <v>12</v>
      </c>
      <c r="C12" s="7">
        <f>IF(ISNUMBER(C10),(C10-C9)/C9,"N/A")</f>
        <v>0.59260266521620886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2006</v>
      </c>
      <c r="D16" s="7">
        <f>IF(ISNUMBER(C16),(C16-C9)/C9,"N/A")</f>
        <v>9.1106880609192281E-2</v>
      </c>
    </row>
    <row r="17" spans="2:5" ht="13.5" x14ac:dyDescent="0.25">
      <c r="B17" t="s">
        <v>18</v>
      </c>
      <c r="C17" s="11">
        <f>IF('DCF Model'!C62&lt;'DCF Model'!C16,"INVALID (EV &lt; net debt)",'DCF Model'!C64)</f>
        <v>3850</v>
      </c>
      <c r="D17" s="7">
        <f>IF(ISNUMBER(C17),(C17-C9)/C9,"N/A")</f>
        <v>1.0940984498232253</v>
      </c>
    </row>
    <row r="18" spans="2:5" ht="13.5" x14ac:dyDescent="0.25">
      <c r="B18" t="s">
        <v>19</v>
      </c>
      <c r="C18" s="11">
        <f>'Comps Analysis'!C27</f>
        <v>3559</v>
      </c>
      <c r="D18" s="7">
        <f>IF(ISNUMBER(C18),(C18-C9)/C9,"N/A")</f>
        <v>0.93581724231710639</v>
      </c>
    </row>
    <row r="19" spans="2:5" ht="13.5" x14ac:dyDescent="0.25">
      <c r="B19" t="s">
        <v>20</v>
      </c>
      <c r="C19" s="11">
        <f>'Comps Analysis'!C28</f>
        <v>474</v>
      </c>
      <c r="D19" s="7">
        <f>IF(ISNUMBER(C19),(C19-C9)/C9,"N/A")</f>
        <v>-0.74218112591786778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2006 - 3850</v>
      </c>
    </row>
    <row r="23" spans="2:5" ht="14" x14ac:dyDescent="0.3">
      <c r="B23" s="8" t="s">
        <v>23</v>
      </c>
      <c r="C23" s="9"/>
      <c r="D23" s="9"/>
    </row>
    <row r="24" spans="2:5" x14ac:dyDescent="0.2">
      <c r="B24" t="str">
        <f>"Kuraray holds dominant global positions in specialty resins and optical film, and the latest year marks the bottom of the observed margin range rather than a loss of those positions; the shares trade at "&amp;TEXT('Comps Analysis'!L5,"0.0""x""")&amp;" earnings and "&amp;TEXT('Comps Analysis'!M5,"0.00""x""")&amp;" book."</f>
        <v>Kuraray holds dominant global positions in specialty resins and optical film, and the latest year marks the bottom of the observed margin range rather than a loss of those positions; the shares trade at 74.2x earnings and 0.75x book.</v>
      </c>
    </row>
    <row r="25" spans="2:5" x14ac:dyDescent="0.2">
      <c r="B25" t="str">
        <f>"The stock changes hands well below the Japanese chemical peer median on EV/EBITDA, which is where the exit leg of this model finds value against a "&amp;TEXT('DCF Model'!C26,"0.00%")&amp;" cost of capital."</f>
        <v>The stock changes hands well below the Japanese chemical peer median on EV/EBITDA, which is where the exit leg of this model finds value against a 7.33% cost of capital.</v>
      </c>
    </row>
    <row r="26" spans="2:5" x14ac:dyDescent="0.2">
      <c r="B26" t="str">
        <f>"At "&amp;TEXT(C9,"#,##0")&amp;" the market prices the trough margin as the new normal; restoring the midpoint between the observed peak and trough supports "&amp;TEXT(C10,"#,##0")&amp;", or "&amp;TEXT(C12,"+0.0%;-0.0%")&amp;" from here."</f>
        <v>At 1,839 the market prices the trough margin as the new normal; restoring the midpoint between the observed peak and trough supports 2,928, or +59.3% from here.</v>
      </c>
    </row>
    <row r="28" spans="2:5" ht="14" x14ac:dyDescent="0.3">
      <c r="B28" s="8" t="s">
        <v>24</v>
      </c>
      <c r="C28" s="9"/>
      <c r="D28" s="9"/>
    </row>
    <row r="29" spans="2:5" x14ac:dyDescent="0.2">
      <c r="B29" t="str">
        <f>"Reported net income collapsed to a fraction of the prior year while operating income fell far less, so the "&amp;TEXT('Comps Analysis'!L5,"0.0""x""")&amp;" the market pays at "&amp;TEXT(C9,"#,##0")&amp;" is measured against an earnings base distorted by one-off charges."</f>
        <v>Reported net income collapsed to a fraction of the prior year while operating income fell far less, so the 74.2x the market pays at 1,839 is measured against an earnings base distorted by one-off charges.</v>
      </c>
    </row>
    <row r="30" spans="2:5" x14ac:dyDescent="0.2">
      <c r="B30" t="s">
        <v>25</v>
      </c>
    </row>
    <row r="31" spans="2:5" x14ac:dyDescent="0.2">
      <c r="B31" t="str">
        <f>"Demand for optical film and specialty resins is tied to display and automotive cycles, and a further downturn would hold margins at the trough used in the second downside case rather than at the level "&amp;TEXT(C10,"#,##0")&amp;" assumes."</f>
        <v>Demand for optical film and specialty resins is tied to display and automotive cycles, and a further downturn would hold margins at the trough used in the second downside case rather than at the level 2,928 assumes.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G30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8" customWidth="1"/>
  </cols>
  <sheetData>
    <row r="2" spans="2:7" ht="18" x14ac:dyDescent="0.4">
      <c r="B2" s="2" t="s">
        <v>26</v>
      </c>
    </row>
    <row r="4" spans="2:7" ht="14" x14ac:dyDescent="0.3">
      <c r="C4" s="10" t="s">
        <v>27</v>
      </c>
      <c r="D4" s="10" t="s">
        <v>28</v>
      </c>
      <c r="E4" s="10" t="s">
        <v>29</v>
      </c>
      <c r="F4" s="10" t="s">
        <v>30</v>
      </c>
      <c r="G4" s="10" t="s">
        <v>31</v>
      </c>
    </row>
    <row r="5" spans="2:7" ht="14" x14ac:dyDescent="0.3">
      <c r="B5" s="3" t="s">
        <v>32</v>
      </c>
    </row>
    <row r="6" spans="2:7" ht="14" x14ac:dyDescent="0.3">
      <c r="B6" s="4" t="s">
        <v>33</v>
      </c>
      <c r="C6" s="5">
        <v>629370</v>
      </c>
      <c r="D6" s="5">
        <v>756376</v>
      </c>
      <c r="E6" s="5">
        <v>780938</v>
      </c>
      <c r="F6" s="5">
        <v>826895</v>
      </c>
      <c r="G6" s="5">
        <v>808447</v>
      </c>
    </row>
    <row r="7" spans="2:7" ht="14" x14ac:dyDescent="0.3">
      <c r="B7" s="4" t="s">
        <v>34</v>
      </c>
      <c r="C7" s="5">
        <v>425234</v>
      </c>
      <c r="D7" s="5">
        <v>514713</v>
      </c>
      <c r="E7" s="5">
        <v>540956</v>
      </c>
      <c r="F7" s="5">
        <v>559374</v>
      </c>
      <c r="G7" s="5">
        <v>561939</v>
      </c>
    </row>
    <row r="8" spans="2:7" ht="14" x14ac:dyDescent="0.3">
      <c r="B8" s="4" t="s">
        <v>35</v>
      </c>
      <c r="C8" s="5">
        <f>C6-C7</f>
        <v>204136</v>
      </c>
      <c r="D8" s="5">
        <f>D6-D7</f>
        <v>241663</v>
      </c>
      <c r="E8" s="5">
        <f>E6-E7</f>
        <v>239982</v>
      </c>
      <c r="F8" s="5">
        <f>F6-F7</f>
        <v>267521</v>
      </c>
      <c r="G8" s="5">
        <f>G6-G7</f>
        <v>246508</v>
      </c>
    </row>
    <row r="9" spans="2:7" ht="13.5" x14ac:dyDescent="0.25">
      <c r="B9" t="s">
        <v>36</v>
      </c>
      <c r="C9" s="7">
        <f>C8/C6</f>
        <v>0.3243497465719688</v>
      </c>
      <c r="D9" s="7">
        <f>D8/D6</f>
        <v>0.31950114757739539</v>
      </c>
      <c r="E9" s="7">
        <f>E8/E6</f>
        <v>0.30729968320148332</v>
      </c>
      <c r="F9" s="7">
        <f>F8/F6</f>
        <v>0.32352475223577359</v>
      </c>
      <c r="G9" s="7">
        <f>G8/G6</f>
        <v>0.30491547374163058</v>
      </c>
    </row>
    <row r="10" spans="2:7" ht="14" x14ac:dyDescent="0.3">
      <c r="B10" s="4" t="s">
        <v>37</v>
      </c>
      <c r="C10" s="5">
        <v>131879</v>
      </c>
      <c r="D10" s="5">
        <v>154524</v>
      </c>
      <c r="E10" s="5">
        <v>164506</v>
      </c>
      <c r="F10" s="5">
        <v>182439</v>
      </c>
      <c r="G10" s="5">
        <v>187625</v>
      </c>
    </row>
    <row r="11" spans="2:7" ht="14" x14ac:dyDescent="0.3">
      <c r="B11" s="4" t="s">
        <v>38</v>
      </c>
      <c r="C11" s="5">
        <v>72256</v>
      </c>
      <c r="D11" s="5">
        <v>87139</v>
      </c>
      <c r="E11" s="5">
        <v>75475</v>
      </c>
      <c r="F11" s="5">
        <v>85081</v>
      </c>
      <c r="G11" s="5">
        <v>58882</v>
      </c>
    </row>
    <row r="12" spans="2:7" ht="14" x14ac:dyDescent="0.3">
      <c r="B12" s="4" t="s">
        <v>39</v>
      </c>
      <c r="C12" s="5">
        <v>37262</v>
      </c>
      <c r="D12" s="5">
        <v>54307</v>
      </c>
      <c r="E12" s="5">
        <v>42446</v>
      </c>
      <c r="F12" s="5">
        <v>31724</v>
      </c>
      <c r="G12" s="5">
        <v>7468</v>
      </c>
    </row>
    <row r="13" spans="2:7" ht="13.5" x14ac:dyDescent="0.25">
      <c r="B13" t="s">
        <v>40</v>
      </c>
      <c r="C13" s="7">
        <f>C11/C6</f>
        <v>0.11480687036242591</v>
      </c>
      <c r="D13" s="7">
        <f>D11/D6</f>
        <v>0.11520592932615524</v>
      </c>
      <c r="E13" s="7">
        <f>E11/E6</f>
        <v>9.6646596784892014E-2</v>
      </c>
      <c r="F13" s="7">
        <f>F11/F6</f>
        <v>0.10289214471002969</v>
      </c>
      <c r="G13" s="7">
        <f>G11/G6</f>
        <v>7.2833469602831102E-2</v>
      </c>
    </row>
    <row r="14" spans="2:7" ht="13.5" x14ac:dyDescent="0.25">
      <c r="B14" t="s">
        <v>41</v>
      </c>
      <c r="C14" s="7">
        <f>C12/C6</f>
        <v>5.9205236983014761E-2</v>
      </c>
      <c r="D14" s="7">
        <f>D12/D6</f>
        <v>7.1798946555681295E-2</v>
      </c>
      <c r="E14" s="7">
        <f>E12/E6</f>
        <v>5.4352586248844335E-2</v>
      </c>
      <c r="F14" s="7">
        <f>F12/F6</f>
        <v>3.8365209609442556E-2</v>
      </c>
      <c r="G14" s="7">
        <f>G12/G6</f>
        <v>9.2374639277528394E-3</v>
      </c>
    </row>
    <row r="15" spans="2:7" ht="13.5" x14ac:dyDescent="0.25">
      <c r="B15" t="s">
        <v>42</v>
      </c>
      <c r="C15" t="s">
        <v>43</v>
      </c>
      <c r="D15" s="7">
        <f>(D6-C6)/C6</f>
        <v>0.20179862402084625</v>
      </c>
      <c r="E15" s="7">
        <f>(E6-D6)/D6</f>
        <v>3.2473267263900492E-2</v>
      </c>
      <c r="F15" s="7">
        <f>(F6-E6)/E6</f>
        <v>5.884846172167317E-2</v>
      </c>
      <c r="G15" s="7">
        <f>(G6-F6)/F6</f>
        <v>-2.2309966803524026E-2</v>
      </c>
    </row>
    <row r="16" spans="2:7" ht="13.5" x14ac:dyDescent="0.25">
      <c r="B16" t="s">
        <v>44</v>
      </c>
      <c r="C16" t="s">
        <v>43</v>
      </c>
      <c r="D16" s="7">
        <f>(D11-C11)/C11</f>
        <v>0.20597597431355183</v>
      </c>
      <c r="E16" s="7">
        <f>(E11-D11)/D11</f>
        <v>-0.13385510506202733</v>
      </c>
      <c r="F16" s="7">
        <f>(F11-E11)/E11</f>
        <v>0.12727393176548527</v>
      </c>
      <c r="G16" s="7">
        <f>(G11-F11)/F11</f>
        <v>-0.30793009014938705</v>
      </c>
    </row>
    <row r="18" spans="2:7" ht="14" x14ac:dyDescent="0.3">
      <c r="B18" s="3" t="s">
        <v>45</v>
      </c>
    </row>
    <row r="19" spans="2:7" ht="14" x14ac:dyDescent="0.3">
      <c r="B19" s="4" t="s">
        <v>46</v>
      </c>
      <c r="C19" s="5">
        <v>78221</v>
      </c>
      <c r="D19" s="5">
        <v>51727</v>
      </c>
      <c r="E19" s="5">
        <v>129298</v>
      </c>
      <c r="F19" s="5">
        <v>138294</v>
      </c>
      <c r="G19" s="5">
        <v>98591</v>
      </c>
    </row>
    <row r="20" spans="2:7" ht="14" x14ac:dyDescent="0.3">
      <c r="B20" s="4" t="s">
        <v>47</v>
      </c>
      <c r="C20" s="5">
        <v>65947</v>
      </c>
      <c r="D20" s="5">
        <v>72599</v>
      </c>
      <c r="E20" s="5">
        <v>67282</v>
      </c>
      <c r="F20" s="5">
        <v>84276</v>
      </c>
      <c r="G20" s="5">
        <v>106829</v>
      </c>
    </row>
    <row r="21" spans="2:7" ht="14" x14ac:dyDescent="0.3">
      <c r="B21" s="4" t="s">
        <v>48</v>
      </c>
      <c r="C21" s="5">
        <f>C19-C20</f>
        <v>12274</v>
      </c>
      <c r="D21" s="5">
        <f>D19-D20</f>
        <v>-20872</v>
      </c>
      <c r="E21" s="5">
        <f>E19-E20</f>
        <v>62016</v>
      </c>
      <c r="F21" s="5">
        <f>F19-F20</f>
        <v>54018</v>
      </c>
      <c r="G21" s="5">
        <f>G19-G20</f>
        <v>-8238</v>
      </c>
    </row>
    <row r="22" spans="2:7" ht="13.5" x14ac:dyDescent="0.25">
      <c r="B22" t="s">
        <v>49</v>
      </c>
      <c r="C22" s="7">
        <f>C21/C6</f>
        <v>1.9502041724263945E-2</v>
      </c>
      <c r="D22" s="7">
        <f>D21/D6</f>
        <v>-2.7594741239806656E-2</v>
      </c>
      <c r="E22" s="7">
        <f>E21/E6</f>
        <v>7.9412194053817331E-2</v>
      </c>
      <c r="F22" s="7">
        <f>F21/F6</f>
        <v>6.5326311079399443E-2</v>
      </c>
      <c r="G22" s="7">
        <f>G21/G6</f>
        <v>-1.0189907316125856E-2</v>
      </c>
    </row>
    <row r="23" spans="2:7" ht="13.5" x14ac:dyDescent="0.25">
      <c r="B23" t="s">
        <v>50</v>
      </c>
      <c r="C23" s="7">
        <f>C20/C6</f>
        <v>0.10478256033811589</v>
      </c>
      <c r="D23" s="7">
        <f>D20/D6</f>
        <v>9.5982685859942671E-2</v>
      </c>
      <c r="E23" s="7">
        <f>E20/E6</f>
        <v>8.6155367007368061E-2</v>
      </c>
      <c r="F23" s="7">
        <f>F20/F6</f>
        <v>0.10191862328348823</v>
      </c>
      <c r="G23" s="7">
        <f>G20/G6</f>
        <v>0.13214100615129995</v>
      </c>
    </row>
    <row r="25" spans="2:7" ht="14" x14ac:dyDescent="0.3">
      <c r="B25" s="3" t="s">
        <v>51</v>
      </c>
    </row>
    <row r="26" spans="2:7" ht="14" x14ac:dyDescent="0.3">
      <c r="B26" s="4" t="s">
        <v>52</v>
      </c>
      <c r="C26" s="5">
        <v>151487</v>
      </c>
      <c r="D26" s="5">
        <v>127616</v>
      </c>
      <c r="E26" s="5">
        <v>133663</v>
      </c>
      <c r="F26" s="5">
        <v>118068</v>
      </c>
      <c r="G26" s="5">
        <v>104102</v>
      </c>
    </row>
    <row r="27" spans="2:7" ht="14" x14ac:dyDescent="0.3">
      <c r="B27" s="4" t="s">
        <v>53</v>
      </c>
      <c r="C27" s="5">
        <v>307438</v>
      </c>
      <c r="D27" s="5">
        <v>304405</v>
      </c>
      <c r="E27" s="5">
        <v>282024</v>
      </c>
      <c r="F27" s="5">
        <v>234282</v>
      </c>
      <c r="G27" s="5">
        <v>273919</v>
      </c>
    </row>
    <row r="28" spans="2:7" ht="14" x14ac:dyDescent="0.3">
      <c r="B28" s="4" t="s">
        <v>54</v>
      </c>
      <c r="C28" s="5">
        <f>C27-C26</f>
        <v>155951</v>
      </c>
      <c r="D28" s="5">
        <f>D27-D26</f>
        <v>176789</v>
      </c>
      <c r="E28" s="5">
        <f>E27-E26</f>
        <v>148361</v>
      </c>
      <c r="F28" s="5">
        <f>F27-F26</f>
        <v>116214</v>
      </c>
      <c r="G28" s="5">
        <f>G27-G26</f>
        <v>169817</v>
      </c>
    </row>
    <row r="30" spans="2:7" ht="14" x14ac:dyDescent="0.3">
      <c r="B30" s="1" t="s">
        <v>55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56</v>
      </c>
    </row>
    <row r="4" spans="2:7" ht="14" x14ac:dyDescent="0.3">
      <c r="B4" s="8" t="s">
        <v>57</v>
      </c>
      <c r="C4" s="9"/>
      <c r="D4" s="9"/>
      <c r="E4" s="9"/>
      <c r="F4" s="9"/>
      <c r="G4" s="9"/>
    </row>
    <row r="5" spans="2:7" ht="14" x14ac:dyDescent="0.3">
      <c r="B5" s="4" t="s">
        <v>50</v>
      </c>
      <c r="C5" s="7">
        <v>0.11020000000000001</v>
      </c>
    </row>
    <row r="6" spans="2:7" ht="14" x14ac:dyDescent="0.3">
      <c r="B6" s="4" t="s">
        <v>58</v>
      </c>
      <c r="C6" s="7">
        <v>0.25</v>
      </c>
    </row>
    <row r="7" spans="2:7" ht="14" x14ac:dyDescent="0.3">
      <c r="B7" s="4" t="s">
        <v>59</v>
      </c>
      <c r="C7" s="7">
        <v>2.9700000000000001E-2</v>
      </c>
    </row>
    <row r="8" spans="2:7" ht="14" x14ac:dyDescent="0.3">
      <c r="B8" s="4" t="s">
        <v>60</v>
      </c>
      <c r="C8" s="12">
        <v>0.84009999999999996</v>
      </c>
    </row>
    <row r="9" spans="2:7" ht="14" x14ac:dyDescent="0.3">
      <c r="B9" s="4" t="s">
        <v>61</v>
      </c>
      <c r="C9" s="7">
        <v>6.5000000000000002E-2</v>
      </c>
    </row>
    <row r="10" spans="2:7" ht="14" x14ac:dyDescent="0.3">
      <c r="B10" s="4" t="s">
        <v>62</v>
      </c>
      <c r="C10" s="7">
        <v>0.01</v>
      </c>
    </row>
    <row r="11" spans="2:7" ht="14" x14ac:dyDescent="0.3">
      <c r="B11" s="4" t="s">
        <v>63</v>
      </c>
      <c r="C11" s="7">
        <v>8.0000000000000002E-3</v>
      </c>
    </row>
    <row r="12" spans="2:7" ht="14" x14ac:dyDescent="0.3">
      <c r="B12" s="4" t="s">
        <v>64</v>
      </c>
      <c r="C12" s="13">
        <v>0.32069999999999999</v>
      </c>
    </row>
    <row r="13" spans="2:7" ht="14" x14ac:dyDescent="0.3">
      <c r="B13" s="4" t="s">
        <v>65</v>
      </c>
      <c r="C13" s="7">
        <v>0.01</v>
      </c>
    </row>
    <row r="14" spans="2:7" ht="14" x14ac:dyDescent="0.3">
      <c r="B14" s="4" t="s">
        <v>66</v>
      </c>
      <c r="C14" s="14">
        <v>8.6999999999999993</v>
      </c>
    </row>
    <row r="15" spans="2:7" ht="14" x14ac:dyDescent="0.3">
      <c r="B15" s="4" t="s">
        <v>67</v>
      </c>
      <c r="C15" s="15">
        <v>301296860</v>
      </c>
    </row>
    <row r="16" spans="2:7" ht="14" x14ac:dyDescent="0.3">
      <c r="B16" s="4" t="s">
        <v>68</v>
      </c>
      <c r="C16" s="5">
        <v>177641</v>
      </c>
    </row>
    <row r="17" spans="2:7" ht="14" x14ac:dyDescent="0.3">
      <c r="B17" s="4" t="s">
        <v>69</v>
      </c>
      <c r="C17" s="5">
        <v>808447</v>
      </c>
    </row>
    <row r="18" spans="2:7" ht="14" x14ac:dyDescent="0.3">
      <c r="B18" s="4" t="s">
        <v>70</v>
      </c>
      <c r="C18" s="7">
        <v>0.105</v>
      </c>
    </row>
    <row r="19" spans="2:7" ht="14" x14ac:dyDescent="0.3">
      <c r="B19" s="4" t="s">
        <v>71</v>
      </c>
      <c r="C19" s="12">
        <v>0.5</v>
      </c>
    </row>
    <row r="20" spans="2:7" ht="14" x14ac:dyDescent="0.3">
      <c r="B20" s="4" t="s">
        <v>72</v>
      </c>
      <c r="C20" s="5">
        <v>839524</v>
      </c>
    </row>
    <row r="22" spans="2:7" ht="14" x14ac:dyDescent="0.3">
      <c r="B22" s="8" t="s">
        <v>73</v>
      </c>
      <c r="C22" s="9"/>
      <c r="D22" s="9"/>
      <c r="E22" s="9"/>
      <c r="F22" s="9"/>
      <c r="G22" s="9"/>
    </row>
    <row r="23" spans="2:7" ht="14" x14ac:dyDescent="0.3">
      <c r="B23" s="4" t="s">
        <v>74</v>
      </c>
      <c r="C23" s="16">
        <f>C7+C8*C9+C10</f>
        <v>9.4306500000000001E-2</v>
      </c>
    </row>
    <row r="24" spans="2:7" ht="14" x14ac:dyDescent="0.3">
      <c r="B24" s="4" t="s">
        <v>75</v>
      </c>
      <c r="C24" s="16">
        <f>1/(1+C12)</f>
        <v>0.75717422578935412</v>
      </c>
    </row>
    <row r="25" spans="2:7" ht="14" x14ac:dyDescent="0.3">
      <c r="B25" s="4" t="s">
        <v>76</v>
      </c>
      <c r="C25" s="16">
        <f>C12/(1+C12)</f>
        <v>0.24282577421064586</v>
      </c>
    </row>
    <row r="26" spans="2:7" ht="14" x14ac:dyDescent="0.3">
      <c r="B26" s="4" t="s">
        <v>77</v>
      </c>
      <c r="C26" s="16">
        <f>C23*C24+C11*C25</f>
        <v>7.3349057318088884E-2</v>
      </c>
    </row>
    <row r="27" spans="2:7" ht="14" x14ac:dyDescent="0.3">
      <c r="B27" s="4" t="s">
        <v>78</v>
      </c>
      <c r="C27" s="17" t="s">
        <v>79</v>
      </c>
      <c r="D27" s="6">
        <f>MATCH(C27,B69:B73,0)</f>
        <v>1</v>
      </c>
    </row>
    <row r="28" spans="2:7" ht="14" x14ac:dyDescent="0.3">
      <c r="B28" s="8" t="s">
        <v>80</v>
      </c>
      <c r="C28" s="9"/>
      <c r="D28" s="9"/>
      <c r="E28" s="9"/>
      <c r="F28" s="9"/>
      <c r="G28" s="9"/>
    </row>
    <row r="29" spans="2:7" ht="14" x14ac:dyDescent="0.3">
      <c r="C29" s="10" t="s">
        <v>81</v>
      </c>
      <c r="D29" s="10" t="s">
        <v>82</v>
      </c>
      <c r="E29" s="10" t="s">
        <v>83</v>
      </c>
      <c r="F29" s="10" t="s">
        <v>84</v>
      </c>
      <c r="G29" s="10" t="s">
        <v>85</v>
      </c>
    </row>
    <row r="30" spans="2:7" ht="14" x14ac:dyDescent="0.3">
      <c r="B30" s="4" t="s">
        <v>42</v>
      </c>
      <c r="C30" s="18">
        <f>CHOOSE($D$27,C69,C70,C71,C72,C73)</f>
        <v>0.01</v>
      </c>
      <c r="D30" s="18">
        <f>CHOOSE($D$27,D69,D70,D71,D72,D73)</f>
        <v>0.02</v>
      </c>
      <c r="E30" s="18">
        <f>CHOOSE($D$27,E69,E70,E71,E72,E73)</f>
        <v>2.5000000000000001E-2</v>
      </c>
      <c r="F30" s="18">
        <f>CHOOSE($D$27,F69,F70,F71,F72,F73)</f>
        <v>2.5000000000000001E-2</v>
      </c>
      <c r="G30" s="18">
        <f>CHOOSE($D$27,G69,G70,G71,G72,G73)</f>
        <v>2.5000000000000001E-2</v>
      </c>
    </row>
    <row r="31" spans="2:7" ht="14" x14ac:dyDescent="0.3">
      <c r="B31" s="4" t="s">
        <v>86</v>
      </c>
      <c r="C31" s="18">
        <f>CHOOSE($D$27,C76,C77,C78,C79,C80)</f>
        <v>0.69</v>
      </c>
      <c r="D31" s="18">
        <f>CHOOSE($D$27,D76,D77,D78,D79,D80)</f>
        <v>0.68400000000000005</v>
      </c>
      <c r="E31" s="18">
        <f>CHOOSE($D$27,E76,E77,E78,E79,E80)</f>
        <v>0.67900000000000005</v>
      </c>
      <c r="F31" s="18">
        <f>CHOOSE($D$27,F76,F77,F78,F79,F80)</f>
        <v>0.67600000000000005</v>
      </c>
      <c r="G31" s="18">
        <f>CHOOSE($D$27,G76,G77,G78,G79,G80)</f>
        <v>0.67400000000000004</v>
      </c>
    </row>
    <row r="32" spans="2:7" ht="14" x14ac:dyDescent="0.3">
      <c r="B32" s="4" t="s">
        <v>87</v>
      </c>
      <c r="C32" s="18">
        <f>CHOOSE($D$27,C83,C84,C85,C86,C87)</f>
        <v>0.23200000000000001</v>
      </c>
      <c r="D32" s="18">
        <f>CHOOSE($D$27,D83,D84,D85,D86,D87)</f>
        <v>0.23200000000000001</v>
      </c>
      <c r="E32" s="18">
        <f>CHOOSE($D$27,E83,E84,E85,E86,E87)</f>
        <v>0.23200000000000001</v>
      </c>
      <c r="F32" s="18">
        <f>CHOOSE($D$27,F83,F84,F85,F86,F87)</f>
        <v>0.23200000000000001</v>
      </c>
      <c r="G32" s="18">
        <f>CHOOSE($D$27,G83,G84,G85,G86,G87)</f>
        <v>0.23200000000000001</v>
      </c>
    </row>
    <row r="33" spans="2:7" ht="14" x14ac:dyDescent="0.3">
      <c r="B33" s="4" t="s">
        <v>33</v>
      </c>
      <c r="C33" s="5">
        <f>C17*(1+C30)</f>
        <v>816531.47</v>
      </c>
      <c r="D33" s="5">
        <f>C33*(1+D30)</f>
        <v>832862.09939999995</v>
      </c>
      <c r="E33" s="5">
        <f>D33*(1+E30)</f>
        <v>853683.65188499982</v>
      </c>
      <c r="F33" s="5">
        <f>E33*(1+F30)</f>
        <v>875025.74318212469</v>
      </c>
      <c r="G33" s="5">
        <f>F33*(1+G30)</f>
        <v>896901.38676167768</v>
      </c>
    </row>
    <row r="34" spans="2:7" ht="14" x14ac:dyDescent="0.3">
      <c r="B34" s="4" t="s">
        <v>34</v>
      </c>
      <c r="C34" s="5">
        <f>C33*C31</f>
        <v>563406.71429999999</v>
      </c>
      <c r="D34" s="5">
        <f>D33*D31</f>
        <v>569677.67598960001</v>
      </c>
      <c r="E34" s="5">
        <f>E33*E31</f>
        <v>579651.19962991495</v>
      </c>
      <c r="F34" s="5">
        <f>F33*F31</f>
        <v>591517.40239111637</v>
      </c>
      <c r="G34" s="5">
        <f>G33*G31</f>
        <v>604511.5346773708</v>
      </c>
    </row>
    <row r="35" spans="2:7" ht="14" x14ac:dyDescent="0.3">
      <c r="B35" s="4" t="s">
        <v>35</v>
      </c>
      <c r="C35" s="19">
        <f>C33-C34</f>
        <v>253124.75569999998</v>
      </c>
      <c r="D35" s="19">
        <f>D33-D34</f>
        <v>263184.42341039993</v>
      </c>
      <c r="E35" s="19">
        <f>E33-E34</f>
        <v>274032.45225508488</v>
      </c>
      <c r="F35" s="19">
        <f>F33-F34</f>
        <v>283508.34079100832</v>
      </c>
      <c r="G35" s="19">
        <f>G33-G34</f>
        <v>292389.85208430688</v>
      </c>
    </row>
    <row r="36" spans="2:7" ht="14" x14ac:dyDescent="0.3">
      <c r="B36" s="4" t="s">
        <v>36</v>
      </c>
      <c r="C36" s="7">
        <f>C35/C33</f>
        <v>0.31</v>
      </c>
      <c r="D36" s="7">
        <f>D35/D33</f>
        <v>0.31599999999999995</v>
      </c>
      <c r="E36" s="7">
        <f>E35/E33</f>
        <v>0.3209999999999999</v>
      </c>
      <c r="F36" s="7">
        <f>F35/F33</f>
        <v>0.3239999999999999</v>
      </c>
      <c r="G36" s="7">
        <f>G35/G33</f>
        <v>0.32599999999999996</v>
      </c>
    </row>
    <row r="37" spans="2:7" ht="14" x14ac:dyDescent="0.3">
      <c r="B37" s="4" t="s">
        <v>88</v>
      </c>
      <c r="C37" s="5">
        <f>C33*C32</f>
        <v>189435.30103999999</v>
      </c>
      <c r="D37" s="5">
        <f>D33*D32</f>
        <v>193224.00706080001</v>
      </c>
      <c r="E37" s="5">
        <f>E33*E32</f>
        <v>198054.60723731996</v>
      </c>
      <c r="F37" s="5">
        <f>F33*F32</f>
        <v>203005.97241825293</v>
      </c>
      <c r="G37" s="5">
        <f>G33*G32</f>
        <v>208081.12172870923</v>
      </c>
    </row>
    <row r="38" spans="2:7" ht="14" x14ac:dyDescent="0.3">
      <c r="B38" s="4" t="s">
        <v>89</v>
      </c>
      <c r="C38" s="7">
        <f>(C35-C37)/C33</f>
        <v>7.7999999999999986E-2</v>
      </c>
      <c r="D38" s="7">
        <f>(D35-D37)/D33</f>
        <v>8.3999999999999908E-2</v>
      </c>
      <c r="E38" s="7">
        <f>(E35-E37)/E33</f>
        <v>8.8999999999999926E-2</v>
      </c>
      <c r="F38" s="7">
        <f>(F35-F37)/F33</f>
        <v>9.1999999999999901E-2</v>
      </c>
      <c r="G38" s="7">
        <f>(G35-G37)/G33</f>
        <v>9.3999999999999945E-2</v>
      </c>
    </row>
    <row r="39" spans="2:7" ht="14" x14ac:dyDescent="0.3">
      <c r="B39" s="4" t="s">
        <v>90</v>
      </c>
      <c r="C39" s="19">
        <f>C35-C37</f>
        <v>63689.454659999989</v>
      </c>
      <c r="D39" s="19">
        <f>D35-D37</f>
        <v>69960.416349599924</v>
      </c>
      <c r="E39" s="19">
        <f>E35-E37</f>
        <v>75977.845017764921</v>
      </c>
      <c r="F39" s="19">
        <f>F35-F37</f>
        <v>80502.368372755387</v>
      </c>
      <c r="G39" s="19">
        <f>G35-G37</f>
        <v>84308.730355597654</v>
      </c>
    </row>
    <row r="40" spans="2:7" ht="14" x14ac:dyDescent="0.3">
      <c r="B40" s="4" t="s">
        <v>91</v>
      </c>
      <c r="C40" s="5">
        <f>MAX(0,C39*C6)</f>
        <v>15922.363664999997</v>
      </c>
      <c r="D40" s="5">
        <f>MAX(0,D39*C6)</f>
        <v>17490.104087399981</v>
      </c>
      <c r="E40" s="5">
        <f>MAX(0,E39*C6)</f>
        <v>18994.46125444123</v>
      </c>
      <c r="F40" s="5">
        <f>MAX(0,F39*C6)</f>
        <v>20125.592093188847</v>
      </c>
      <c r="G40" s="5">
        <f>MAX(0,G39*C6)</f>
        <v>21077.182588899414</v>
      </c>
    </row>
    <row r="41" spans="2:7" ht="14" x14ac:dyDescent="0.3">
      <c r="B41" s="4" t="s">
        <v>92</v>
      </c>
      <c r="C41" s="19">
        <f>C39-C40</f>
        <v>47767.090994999991</v>
      </c>
      <c r="D41" s="19">
        <f>D39-D40</f>
        <v>52470.312262199943</v>
      </c>
      <c r="E41" s="19">
        <f>E39-E40</f>
        <v>56983.383763323691</v>
      </c>
      <c r="F41" s="19">
        <f>F39-F40</f>
        <v>60376.77627956654</v>
      </c>
      <c r="G41" s="19">
        <f>G39-G40</f>
        <v>63231.547766698241</v>
      </c>
    </row>
    <row r="42" spans="2:7" ht="14" x14ac:dyDescent="0.3">
      <c r="B42" s="4" t="s">
        <v>93</v>
      </c>
      <c r="C42" s="5">
        <f>C33*C18</f>
        <v>85735.804349999991</v>
      </c>
      <c r="D42" s="5">
        <f>D33*C18</f>
        <v>87450.520436999985</v>
      </c>
      <c r="E42" s="5">
        <f>E33*C18</f>
        <v>89636.783447924972</v>
      </c>
      <c r="F42" s="5">
        <f>F33*C18</f>
        <v>91877.703034123086</v>
      </c>
      <c r="G42" s="5">
        <f>G33*C18</f>
        <v>94174.645609976156</v>
      </c>
    </row>
    <row r="43" spans="2:7" ht="14" x14ac:dyDescent="0.3">
      <c r="B43" s="4" t="s">
        <v>94</v>
      </c>
      <c r="C43" s="5">
        <f>C33*C5</f>
        <v>89981.767994000009</v>
      </c>
      <c r="D43" s="5">
        <f>D33*C5</f>
        <v>91781.403353879999</v>
      </c>
      <c r="E43" s="5">
        <f>E33*C5</f>
        <v>94075.938437726989</v>
      </c>
      <c r="F43" s="5">
        <f>F33*C5</f>
        <v>96427.836898670139</v>
      </c>
      <c r="G43" s="5">
        <f>G33*C5</f>
        <v>98838.532821136891</v>
      </c>
    </row>
    <row r="44" spans="2:7" ht="14" x14ac:dyDescent="0.3">
      <c r="B44" s="4" t="s">
        <v>95</v>
      </c>
      <c r="C44" s="5">
        <f>'NWC Schedule'!D19</f>
        <v>-18257.823462739761</v>
      </c>
      <c r="D44" s="5">
        <f>'NWC Schedule'!E19</f>
        <v>5582.3012848746148</v>
      </c>
      <c r="E44" s="5">
        <f>'NWC Schedule'!F19</f>
        <v>7805.6862772054155</v>
      </c>
      <c r="F44" s="5">
        <f>'NWC Schedule'!G19</f>
        <v>8572.6210664494429</v>
      </c>
      <c r="G44" s="5">
        <f>'NWC Schedule'!H19</f>
        <v>9076.174554521509</v>
      </c>
    </row>
    <row r="45" spans="2:7" ht="14" x14ac:dyDescent="0.3">
      <c r="B45" s="4" t="s">
        <v>96</v>
      </c>
      <c r="C45" s="20">
        <f>C41+C42-C43-C44</f>
        <v>61778.950813739721</v>
      </c>
      <c r="D45" s="20">
        <f>D41+D42-D43-D44</f>
        <v>42557.12806044532</v>
      </c>
      <c r="E45" s="20">
        <f>E41+E42-E43-E44</f>
        <v>44738.542496316251</v>
      </c>
      <c r="F45" s="20">
        <f>F41+F42-F43-F44</f>
        <v>47254.021348570051</v>
      </c>
      <c r="G45" s="20">
        <f>G41+G42-G43-G44</f>
        <v>49491.486001016005</v>
      </c>
    </row>
    <row r="46" spans="2:7" ht="14" x14ac:dyDescent="0.3">
      <c r="B46" s="4" t="s">
        <v>97</v>
      </c>
      <c r="C46" s="21">
        <f>1/(1+C26)^(C19+0)</f>
        <v>0.96522710802574208</v>
      </c>
      <c r="D46" s="21">
        <f>1/(1+C26)^(C19+1)</f>
        <v>0.89926674034399923</v>
      </c>
      <c r="E46" s="21">
        <f>1/(1+C26)^(C19+2)</f>
        <v>0.83781388189871953</v>
      </c>
      <c r="F46" s="21">
        <f>1/(1+C26)^(C19+3)</f>
        <v>0.78056050469929461</v>
      </c>
      <c r="G46" s="21">
        <f>1/(1+C26)^(C19+4)</f>
        <v>0.72721963034991899</v>
      </c>
    </row>
    <row r="47" spans="2:7" ht="14" x14ac:dyDescent="0.3">
      <c r="B47" s="4" t="s">
        <v>98</v>
      </c>
      <c r="C47" s="19">
        <f>C45*C46</f>
        <v>59630.718030810553</v>
      </c>
      <c r="D47" s="19">
        <f>D45*D46</f>
        <v>38270.209829318803</v>
      </c>
      <c r="E47" s="19">
        <f>E45*E46</f>
        <v>37482.571959329551</v>
      </c>
      <c r="F47" s="19">
        <f>F45*F46</f>
        <v>36884.622752911084</v>
      </c>
      <c r="G47" s="19">
        <f>G45*G46</f>
        <v>35991.180155127047</v>
      </c>
    </row>
    <row r="49" spans="2:7" ht="14" x14ac:dyDescent="0.3">
      <c r="B49" s="22" t="s">
        <v>99</v>
      </c>
      <c r="C49" s="23"/>
      <c r="D49" s="23"/>
      <c r="E49" s="23"/>
      <c r="F49" s="23"/>
      <c r="G49" s="23"/>
    </row>
    <row r="50" spans="2:7" ht="14" x14ac:dyDescent="0.3">
      <c r="B50" s="4" t="s">
        <v>100</v>
      </c>
      <c r="C50" s="5">
        <f>SUM(C47:G47)</f>
        <v>208259.30272749707</v>
      </c>
    </row>
    <row r="51" spans="2:7" ht="14" x14ac:dyDescent="0.3">
      <c r="B51" s="4" t="s">
        <v>101</v>
      </c>
      <c r="C51" s="5">
        <f>G45*(1+C13)/(C26-C13)</f>
        <v>789063.05756112479</v>
      </c>
    </row>
    <row r="52" spans="2:7" ht="14" x14ac:dyDescent="0.3">
      <c r="B52" s="4" t="s">
        <v>102</v>
      </c>
      <c r="C52" s="5">
        <f>C51*G46</f>
        <v>573822.14504237799</v>
      </c>
    </row>
    <row r="53" spans="2:7" ht="14" x14ac:dyDescent="0.3">
      <c r="B53" s="4" t="s">
        <v>103</v>
      </c>
      <c r="C53" s="5">
        <f>C50+C52</f>
        <v>782081.44776987506</v>
      </c>
    </row>
    <row r="54" spans="2:7" ht="14" x14ac:dyDescent="0.3">
      <c r="B54" s="4" t="s">
        <v>104</v>
      </c>
      <c r="C54" s="5">
        <f>C53-C16</f>
        <v>604440.44776987506</v>
      </c>
    </row>
    <row r="55" spans="2:7" ht="14" x14ac:dyDescent="0.3">
      <c r="B55" s="4" t="s">
        <v>105</v>
      </c>
      <c r="C55" s="24">
        <f>ROUND(C54*1000000/C15,0)</f>
        <v>2006</v>
      </c>
    </row>
    <row r="57" spans="2:7" ht="14" x14ac:dyDescent="0.3">
      <c r="B57" s="22" t="s">
        <v>106</v>
      </c>
      <c r="C57" s="23"/>
      <c r="D57" s="23"/>
      <c r="E57" s="23"/>
      <c r="F57" s="23"/>
      <c r="G57" s="23"/>
    </row>
    <row r="58" spans="2:7" ht="14" x14ac:dyDescent="0.3">
      <c r="B58" s="4" t="s">
        <v>100</v>
      </c>
      <c r="C58" s="5">
        <f>C50</f>
        <v>208259.30272749707</v>
      </c>
    </row>
    <row r="59" spans="2:7" ht="14" x14ac:dyDescent="0.3">
      <c r="B59" s="4" t="s">
        <v>107</v>
      </c>
      <c r="C59" s="5">
        <f>G39+G42</f>
        <v>178483.37596557382</v>
      </c>
    </row>
    <row r="60" spans="2:7" ht="14" x14ac:dyDescent="0.3">
      <c r="B60" s="4" t="s">
        <v>108</v>
      </c>
      <c r="C60" s="5">
        <f>C59*C14</f>
        <v>1552805.3709004922</v>
      </c>
    </row>
    <row r="61" spans="2:7" ht="14" x14ac:dyDescent="0.3">
      <c r="B61" s="4" t="s">
        <v>102</v>
      </c>
      <c r="C61" s="5">
        <f>C60*G46</f>
        <v>1129230.5478316247</v>
      </c>
    </row>
    <row r="62" spans="2:7" ht="14" x14ac:dyDescent="0.3">
      <c r="B62" s="4" t="s">
        <v>103</v>
      </c>
      <c r="C62" s="5">
        <f>C58+C61</f>
        <v>1337489.8505591219</v>
      </c>
    </row>
    <row r="63" spans="2:7" ht="14" x14ac:dyDescent="0.3">
      <c r="B63" s="4" t="s">
        <v>104</v>
      </c>
      <c r="C63" s="5">
        <f>C62-C16</f>
        <v>1159848.8505591219</v>
      </c>
    </row>
    <row r="64" spans="2:7" ht="14" x14ac:dyDescent="0.3">
      <c r="B64" s="4" t="s">
        <v>109</v>
      </c>
      <c r="C64" s="24">
        <f>ROUND(C63*1000000/C15,0)</f>
        <v>3850</v>
      </c>
    </row>
    <row r="66" spans="2:7" ht="14" x14ac:dyDescent="0.3">
      <c r="B66" s="22" t="s">
        <v>110</v>
      </c>
      <c r="C66" s="23"/>
      <c r="D66" s="23"/>
      <c r="E66" s="23"/>
      <c r="F66" s="23"/>
      <c r="G66" s="23"/>
    </row>
    <row r="67" spans="2:7" ht="14" x14ac:dyDescent="0.3">
      <c r="C67" s="25" t="s">
        <v>111</v>
      </c>
      <c r="D67" s="25" t="s">
        <v>112</v>
      </c>
      <c r="E67" s="25" t="s">
        <v>113</v>
      </c>
      <c r="F67" s="25" t="s">
        <v>114</v>
      </c>
      <c r="G67" s="25" t="s">
        <v>115</v>
      </c>
    </row>
    <row r="68" spans="2:7" ht="14" x14ac:dyDescent="0.3">
      <c r="B68" s="3" t="s">
        <v>42</v>
      </c>
    </row>
    <row r="69" spans="2:7" ht="14" x14ac:dyDescent="0.3">
      <c r="B69" s="4" t="s">
        <v>79</v>
      </c>
      <c r="C69" s="26">
        <v>0.01</v>
      </c>
      <c r="D69" s="26">
        <v>0.02</v>
      </c>
      <c r="E69" s="26">
        <v>2.5000000000000001E-2</v>
      </c>
      <c r="F69" s="26">
        <v>2.5000000000000001E-2</v>
      </c>
      <c r="G69" s="26">
        <v>2.5000000000000001E-2</v>
      </c>
    </row>
    <row r="70" spans="2:7" ht="14" x14ac:dyDescent="0.3">
      <c r="B70" s="4" t="s">
        <v>116</v>
      </c>
      <c r="C70" s="26">
        <v>0.03</v>
      </c>
      <c r="D70" s="26">
        <v>3.5000000000000003E-2</v>
      </c>
      <c r="E70" s="26">
        <v>0.03</v>
      </c>
      <c r="F70" s="26">
        <v>0.03</v>
      </c>
      <c r="G70" s="26">
        <v>0.03</v>
      </c>
    </row>
    <row r="71" spans="2:7" ht="14" x14ac:dyDescent="0.3">
      <c r="B71" s="4" t="s">
        <v>117</v>
      </c>
      <c r="C71" s="26">
        <v>0.01</v>
      </c>
      <c r="D71" s="26">
        <v>0.02</v>
      </c>
      <c r="E71" s="26">
        <v>2.5000000000000001E-2</v>
      </c>
      <c r="F71" s="26">
        <v>2.5000000000000001E-2</v>
      </c>
      <c r="G71" s="26">
        <v>2.5000000000000001E-2</v>
      </c>
    </row>
    <row r="72" spans="2:7" ht="14" x14ac:dyDescent="0.3">
      <c r="B72" s="4" t="s">
        <v>118</v>
      </c>
      <c r="C72" s="26">
        <v>0</v>
      </c>
      <c r="D72" s="26">
        <v>0</v>
      </c>
      <c r="E72" s="26">
        <v>5.0000000000000001E-3</v>
      </c>
      <c r="F72" s="26">
        <v>5.0000000000000001E-3</v>
      </c>
      <c r="G72" s="26">
        <v>5.0000000000000001E-3</v>
      </c>
    </row>
    <row r="73" spans="2:7" ht="14" x14ac:dyDescent="0.3">
      <c r="B73" s="4" t="s">
        <v>119</v>
      </c>
      <c r="C73" s="26">
        <v>-0.1</v>
      </c>
      <c r="D73" s="26">
        <v>-0.02</v>
      </c>
      <c r="E73" s="26">
        <v>5.0000000000000001E-3</v>
      </c>
      <c r="F73" s="26">
        <v>0.01</v>
      </c>
      <c r="G73" s="26">
        <v>1.4999999999999999E-2</v>
      </c>
    </row>
    <row r="75" spans="2:7" ht="14" x14ac:dyDescent="0.3">
      <c r="B75" s="3" t="s">
        <v>86</v>
      </c>
    </row>
    <row r="76" spans="2:7" ht="14" x14ac:dyDescent="0.3">
      <c r="B76" s="4" t="s">
        <v>79</v>
      </c>
      <c r="C76" s="26">
        <v>0.69</v>
      </c>
      <c r="D76" s="26">
        <v>0.68400000000000005</v>
      </c>
      <c r="E76" s="26">
        <v>0.67900000000000005</v>
      </c>
      <c r="F76" s="26">
        <v>0.67600000000000005</v>
      </c>
      <c r="G76" s="26">
        <v>0.67400000000000004</v>
      </c>
    </row>
    <row r="77" spans="2:7" ht="14" x14ac:dyDescent="0.3">
      <c r="B77" s="4" t="s">
        <v>116</v>
      </c>
      <c r="C77" s="26">
        <v>0.68400000000000005</v>
      </c>
      <c r="D77" s="26">
        <v>0.67400000000000004</v>
      </c>
      <c r="E77" s="26">
        <v>0.66600000000000004</v>
      </c>
      <c r="F77" s="26">
        <v>0.66</v>
      </c>
      <c r="G77" s="26">
        <v>0.65680000000000005</v>
      </c>
    </row>
    <row r="78" spans="2:7" ht="14" x14ac:dyDescent="0.3">
      <c r="B78" s="4" t="s">
        <v>117</v>
      </c>
      <c r="C78" s="26">
        <v>0.69</v>
      </c>
      <c r="D78" s="26">
        <v>0.68400000000000005</v>
      </c>
      <c r="E78" s="26">
        <v>0.67900000000000005</v>
      </c>
      <c r="F78" s="26">
        <v>0.67600000000000005</v>
      </c>
      <c r="G78" s="26">
        <v>0.67400000000000004</v>
      </c>
    </row>
    <row r="79" spans="2:7" ht="14" x14ac:dyDescent="0.3">
      <c r="B79" s="4" t="s">
        <v>118</v>
      </c>
      <c r="C79" s="26">
        <v>0.69399999999999995</v>
      </c>
      <c r="D79" s="26">
        <v>0.69799999999999995</v>
      </c>
      <c r="E79" s="26">
        <v>0.70199999999999996</v>
      </c>
      <c r="F79" s="26">
        <v>0.70399999999999996</v>
      </c>
      <c r="G79" s="26">
        <v>0.70399999999999996</v>
      </c>
    </row>
    <row r="80" spans="2:7" ht="14" x14ac:dyDescent="0.3">
      <c r="B80" s="4" t="s">
        <v>119</v>
      </c>
      <c r="C80" s="26">
        <v>0.71</v>
      </c>
      <c r="D80" s="26">
        <v>0.71499999999999997</v>
      </c>
      <c r="E80" s="26">
        <v>0.71399999999999997</v>
      </c>
      <c r="F80" s="26">
        <v>0.71199999999999997</v>
      </c>
      <c r="G80" s="26">
        <v>0.71</v>
      </c>
    </row>
    <row r="82" spans="2:7" ht="14" x14ac:dyDescent="0.3">
      <c r="B82" s="3" t="s">
        <v>87</v>
      </c>
    </row>
    <row r="83" spans="2:7" ht="14" x14ac:dyDescent="0.3">
      <c r="B83" s="4" t="s">
        <v>79</v>
      </c>
      <c r="C83" s="26">
        <v>0.23200000000000001</v>
      </c>
      <c r="D83" s="26">
        <v>0.23200000000000001</v>
      </c>
      <c r="E83" s="26">
        <v>0.23200000000000001</v>
      </c>
      <c r="F83" s="26">
        <v>0.23200000000000001</v>
      </c>
      <c r="G83" s="26">
        <v>0.23200000000000001</v>
      </c>
    </row>
    <row r="84" spans="2:7" ht="14" x14ac:dyDescent="0.3">
      <c r="B84" s="4" t="s">
        <v>116</v>
      </c>
      <c r="C84" s="26">
        <v>0.22800000000000001</v>
      </c>
      <c r="D84" s="26">
        <v>0.22800000000000001</v>
      </c>
      <c r="E84" s="26">
        <v>0.22800000000000001</v>
      </c>
      <c r="F84" s="26">
        <v>0.22800000000000001</v>
      </c>
      <c r="G84" s="26">
        <v>0.22800000000000001</v>
      </c>
    </row>
    <row r="85" spans="2:7" ht="14" x14ac:dyDescent="0.3">
      <c r="B85" s="4" t="s">
        <v>117</v>
      </c>
      <c r="C85" s="26">
        <v>0.23200000000000001</v>
      </c>
      <c r="D85" s="26">
        <v>0.23200000000000001</v>
      </c>
      <c r="E85" s="26">
        <v>0.23200000000000001</v>
      </c>
      <c r="F85" s="26">
        <v>0.23200000000000001</v>
      </c>
      <c r="G85" s="26">
        <v>0.23200000000000001</v>
      </c>
    </row>
    <row r="86" spans="2:7" ht="14" x14ac:dyDescent="0.3">
      <c r="B86" s="4" t="s">
        <v>118</v>
      </c>
      <c r="C86" s="26">
        <v>0.23799999999999999</v>
      </c>
      <c r="D86" s="26">
        <v>0.23799999999999999</v>
      </c>
      <c r="E86" s="26">
        <v>0.23799999999999999</v>
      </c>
      <c r="F86" s="26">
        <v>0.23799999999999999</v>
      </c>
      <c r="G86" s="26">
        <v>0.23799999999999999</v>
      </c>
    </row>
    <row r="87" spans="2:7" ht="14" x14ac:dyDescent="0.3">
      <c r="B87" s="4" t="s">
        <v>119</v>
      </c>
      <c r="C87" s="26">
        <v>0.25</v>
      </c>
      <c r="D87" s="26">
        <v>0.25</v>
      </c>
      <c r="E87" s="26">
        <v>0.25</v>
      </c>
      <c r="F87" s="26">
        <v>0.25</v>
      </c>
      <c r="G87" s="26">
        <v>0.25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120</v>
      </c>
    </row>
    <row r="3" spans="2:9" ht="14" x14ac:dyDescent="0.3">
      <c r="B3" s="1" t="s">
        <v>121</v>
      </c>
    </row>
    <row r="5" spans="2:9" ht="14" x14ac:dyDescent="0.3">
      <c r="B5" s="8" t="s">
        <v>122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123</v>
      </c>
      <c r="C6" s="15">
        <f>'Executive Summary'!C9</f>
        <v>1838.5</v>
      </c>
    </row>
    <row r="7" spans="2:9" ht="14" x14ac:dyDescent="0.3">
      <c r="B7" s="4" t="s">
        <v>67</v>
      </c>
      <c r="C7" s="15">
        <f>'DCF Model'!C15</f>
        <v>301296860</v>
      </c>
    </row>
    <row r="8" spans="2:9" ht="14" x14ac:dyDescent="0.3">
      <c r="B8" s="4" t="s">
        <v>124</v>
      </c>
      <c r="C8" s="5">
        <f>C6*C7/1000000</f>
        <v>553934.27711000002</v>
      </c>
    </row>
    <row r="9" spans="2:9" ht="14" x14ac:dyDescent="0.3">
      <c r="B9" s="4" t="s">
        <v>68</v>
      </c>
      <c r="C9" s="5">
        <f>'DCF Model'!C16</f>
        <v>177641</v>
      </c>
    </row>
    <row r="10" spans="2:9" ht="14" x14ac:dyDescent="0.3">
      <c r="B10" s="4" t="s">
        <v>125</v>
      </c>
      <c r="C10" s="5">
        <f>C8+C9</f>
        <v>731575.27711000002</v>
      </c>
    </row>
    <row r="11" spans="2:9" ht="14" x14ac:dyDescent="0.3">
      <c r="B11" s="4" t="s">
        <v>126</v>
      </c>
      <c r="C11" s="16">
        <f>'DCF Model'!C26</f>
        <v>7.3349057318088884E-2</v>
      </c>
    </row>
    <row r="12" spans="2:9" ht="14" x14ac:dyDescent="0.3">
      <c r="B12" s="4" t="s">
        <v>127</v>
      </c>
      <c r="C12" s="16">
        <f>'DCF Model'!C13</f>
        <v>0.01</v>
      </c>
    </row>
    <row r="13" spans="2:9" ht="14" x14ac:dyDescent="0.3">
      <c r="B13" s="4" t="s">
        <v>128</v>
      </c>
      <c r="C13" s="16">
        <f>'DCF Model'!C6</f>
        <v>0.25</v>
      </c>
    </row>
    <row r="14" spans="2:9" ht="14" x14ac:dyDescent="0.3">
      <c r="B14" s="4" t="s">
        <v>129</v>
      </c>
      <c r="C14" s="27">
        <v>58882</v>
      </c>
    </row>
    <row r="15" spans="2:9" ht="14" x14ac:dyDescent="0.3">
      <c r="B15" s="4" t="s">
        <v>130</v>
      </c>
      <c r="C15" s="27">
        <v>87139</v>
      </c>
    </row>
    <row r="16" spans="2:9" ht="14" x14ac:dyDescent="0.3">
      <c r="B16" s="4" t="s">
        <v>131</v>
      </c>
      <c r="C16" s="5">
        <f>'DCF Model'!G33</f>
        <v>896901.38676167768</v>
      </c>
    </row>
    <row r="17" spans="2:9" ht="14" x14ac:dyDescent="0.3">
      <c r="B17" s="4" t="s">
        <v>132</v>
      </c>
      <c r="C17" s="5">
        <f>'DCF Model'!C53</f>
        <v>782081.44776987506</v>
      </c>
    </row>
    <row r="18" spans="2:9" ht="14" x14ac:dyDescent="0.3">
      <c r="B18" s="4" t="s">
        <v>133</v>
      </c>
      <c r="C18" s="26">
        <v>0.1152059293261552</v>
      </c>
    </row>
    <row r="19" spans="2:9" ht="14" x14ac:dyDescent="0.3">
      <c r="B19" s="4" t="s">
        <v>134</v>
      </c>
      <c r="C19" s="5">
        <f>C10-C17</f>
        <v>-50506.170659875032</v>
      </c>
    </row>
    <row r="20" spans="2:9" ht="14" x14ac:dyDescent="0.3">
      <c r="B20" s="4" t="s">
        <v>135</v>
      </c>
      <c r="C20" s="15">
        <f>IFERROR(ROUND(C19*1000000/C7,0),"N/A")</f>
        <v>-168</v>
      </c>
    </row>
    <row r="22" spans="2:9" ht="14" x14ac:dyDescent="0.3">
      <c r="B22" s="8" t="s">
        <v>136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137</v>
      </c>
    </row>
    <row r="24" spans="2:9" ht="14" x14ac:dyDescent="0.3">
      <c r="B24" s="4" t="s">
        <v>138</v>
      </c>
      <c r="C24" s="5">
        <f>C10*(C11-C12)</f>
        <v>46344.604162138152</v>
      </c>
    </row>
    <row r="25" spans="2:9" ht="14" x14ac:dyDescent="0.3">
      <c r="B25" s="4" t="s">
        <v>139</v>
      </c>
      <c r="C25" s="5">
        <f>IFERROR(C24/(1-C13),"N/A")</f>
        <v>61792.805549517536</v>
      </c>
    </row>
    <row r="26" spans="2:9" ht="13.5" x14ac:dyDescent="0.25">
      <c r="B26" s="6" t="s">
        <v>140</v>
      </c>
      <c r="C26" s="14">
        <f>IFERROR(C25/C15,"N/A")</f>
        <v>0.70912915628498763</v>
      </c>
    </row>
    <row r="27" spans="2:9" ht="13.5" x14ac:dyDescent="0.25">
      <c r="B27" s="6" t="s">
        <v>141</v>
      </c>
      <c r="C27" s="14">
        <f>IFERROR(C25/C14,"N/A")</f>
        <v>1.0494345563927436</v>
      </c>
    </row>
    <row r="28" spans="2:9" ht="13.5" x14ac:dyDescent="0.25">
      <c r="B28" s="6" t="s">
        <v>142</v>
      </c>
      <c r="C28" s="7">
        <f>IFERROR(C25/C16,"N/A")</f>
        <v>6.8895874687656108E-2</v>
      </c>
    </row>
    <row r="29" spans="2:9" ht="13.5" x14ac:dyDescent="0.25">
      <c r="B29" s="6" t="s">
        <v>143</v>
      </c>
      <c r="C29" s="5">
        <f>IFERROR(C25/C18,"N/A")</f>
        <v>536368.27471421403</v>
      </c>
    </row>
    <row r="32" spans="2:9" ht="14" x14ac:dyDescent="0.3">
      <c r="B32" s="8" t="s">
        <v>144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145</v>
      </c>
    </row>
    <row r="34" spans="2:9" ht="14" x14ac:dyDescent="0.3">
      <c r="B34" s="1" t="s">
        <v>146</v>
      </c>
    </row>
    <row r="36" spans="2:9" ht="14" x14ac:dyDescent="0.3">
      <c r="B36" s="28" t="s">
        <v>147</v>
      </c>
      <c r="C36" s="28" t="s">
        <v>148</v>
      </c>
      <c r="D36" s="29">
        <f>'DCF Model'!C26-0.02</f>
        <v>5.334905731808888E-2</v>
      </c>
      <c r="E36" s="29">
        <f>'DCF Model'!C26-0.01</f>
        <v>6.3349057318088889E-2</v>
      </c>
      <c r="F36" s="29">
        <f>'DCF Model'!C26</f>
        <v>7.3349057318088884E-2</v>
      </c>
      <c r="G36" s="29">
        <f>'DCF Model'!C26+0.01</f>
        <v>8.3349057318088879E-2</v>
      </c>
      <c r="H36" s="29">
        <f>'DCF Model'!C26+0.02</f>
        <v>9.3349057318088888E-2</v>
      </c>
    </row>
    <row r="37" spans="2:9" ht="14" x14ac:dyDescent="0.3">
      <c r="B37" s="3" t="s">
        <v>149</v>
      </c>
    </row>
    <row r="38" spans="2:9" ht="14" x14ac:dyDescent="0.3">
      <c r="B38" s="4" t="s">
        <v>150</v>
      </c>
      <c r="C38" s="30">
        <v>3</v>
      </c>
      <c r="D38" s="13">
        <f t="shared" ref="D38:H41" si="0">IFERROR((1-(1+D$36)^(-$C38))/D$36-(1+D$36)/(D$36^2*$C38)*(1-($C38+1)/(1+D$36)^$C38+$C38/(1+D$36)^($C38+1)),"N/A")</f>
        <v>0.93332559811162019</v>
      </c>
      <c r="E38" s="13">
        <f t="shared" si="0"/>
        <v>0.92174968158485315</v>
      </c>
      <c r="F38" s="13">
        <f t="shared" si="0"/>
        <v>0.91044112508714403</v>
      </c>
      <c r="G38" s="13">
        <f t="shared" si="0"/>
        <v>0.89939110747191964</v>
      </c>
      <c r="H38" s="13">
        <f t="shared" si="0"/>
        <v>0.8885911816951757</v>
      </c>
    </row>
    <row r="39" spans="2:9" ht="14" x14ac:dyDescent="0.3">
      <c r="B39" s="4" t="s">
        <v>151</v>
      </c>
      <c r="C39" s="30">
        <v>5</v>
      </c>
      <c r="D39" s="13">
        <f t="shared" si="0"/>
        <v>1.8049524649357664</v>
      </c>
      <c r="E39" s="13">
        <f t="shared" si="0"/>
        <v>1.7720962023198883</v>
      </c>
      <c r="F39" s="13">
        <f t="shared" si="0"/>
        <v>1.7402845769633517</v>
      </c>
      <c r="G39" s="13">
        <f t="shared" si="0"/>
        <v>1.7094722873154224</v>
      </c>
      <c r="H39" s="13">
        <f t="shared" si="0"/>
        <v>1.6796164704896226</v>
      </c>
    </row>
    <row r="40" spans="2:9" ht="14" x14ac:dyDescent="0.3">
      <c r="B40" s="4" t="s">
        <v>152</v>
      </c>
      <c r="C40" s="30">
        <v>7</v>
      </c>
      <c r="D40" s="13">
        <f t="shared" si="0"/>
        <v>2.6194612163837796</v>
      </c>
      <c r="E40" s="13">
        <f t="shared" si="0"/>
        <v>2.5572495609941308</v>
      </c>
      <c r="F40" s="13">
        <f t="shared" si="0"/>
        <v>2.4975384544093373</v>
      </c>
      <c r="G40" s="13">
        <f t="shared" si="0"/>
        <v>2.4401942794794436</v>
      </c>
      <c r="H40" s="13">
        <f t="shared" si="0"/>
        <v>2.3850920980797556</v>
      </c>
    </row>
    <row r="41" spans="2:9" ht="14" x14ac:dyDescent="0.3">
      <c r="B41" s="4" t="s">
        <v>153</v>
      </c>
      <c r="C41" s="30">
        <v>10</v>
      </c>
      <c r="D41" s="13">
        <f t="shared" si="0"/>
        <v>3.7432634580360786</v>
      </c>
      <c r="E41" s="13">
        <f t="shared" si="0"/>
        <v>3.6249242893566116</v>
      </c>
      <c r="F41" s="13">
        <f t="shared" si="0"/>
        <v>3.5127685603328787</v>
      </c>
      <c r="G41" s="13">
        <f t="shared" si="0"/>
        <v>3.4063758973514209</v>
      </c>
      <c r="H41" s="13">
        <f t="shared" si="0"/>
        <v>3.305360014105712</v>
      </c>
    </row>
    <row r="42" spans="2:9" ht="14" x14ac:dyDescent="0.3">
      <c r="B42" s="3" t="s">
        <v>154</v>
      </c>
    </row>
    <row r="43" spans="2:9" ht="14" x14ac:dyDescent="0.3">
      <c r="B43" s="4" t="s">
        <v>150</v>
      </c>
      <c r="C43" s="30">
        <v>3</v>
      </c>
      <c r="D43" s="13">
        <f t="shared" ref="D43:H46" si="1">IFERROR((1+D$36)/(D$36^2*$C43)*(1-($C43+1)/(1+D$36)^$C43+$C43/(1+D$36)^($C43+1))+(1+$C$12)/((D$36-$C$12)*(1+D$36)^$C43),"N/A")</f>
        <v>21.708314657704072</v>
      </c>
      <c r="E43" s="13">
        <f t="shared" si="1"/>
        <v>17.48067031524366</v>
      </c>
      <c r="F43" s="13">
        <f t="shared" si="1"/>
        <v>14.591027113299072</v>
      </c>
      <c r="G43" s="13">
        <f t="shared" si="1"/>
        <v>12.492040738330488</v>
      </c>
      <c r="H43" s="13">
        <f t="shared" si="1"/>
        <v>10.899046328409538</v>
      </c>
    </row>
    <row r="44" spans="2:9" ht="14" x14ac:dyDescent="0.3">
      <c r="B44" s="4" t="s">
        <v>151</v>
      </c>
      <c r="C44" s="30">
        <v>5</v>
      </c>
      <c r="D44" s="13">
        <f t="shared" si="1"/>
        <v>20.451924277406043</v>
      </c>
      <c r="E44" s="13">
        <f t="shared" si="1"/>
        <v>16.327811832367903</v>
      </c>
      <c r="F44" s="13">
        <f t="shared" si="1"/>
        <v>13.51459769866176</v>
      </c>
      <c r="G44" s="13">
        <f t="shared" si="1"/>
        <v>11.475757087738192</v>
      </c>
      <c r="H44" s="13">
        <f t="shared" si="1"/>
        <v>9.9322668770951736</v>
      </c>
    </row>
    <row r="45" spans="2:9" ht="14" x14ac:dyDescent="0.3">
      <c r="B45" s="4" t="s">
        <v>152</v>
      </c>
      <c r="C45" s="30">
        <v>7</v>
      </c>
      <c r="D45" s="13">
        <f t="shared" si="1"/>
        <v>19.290639344533073</v>
      </c>
      <c r="E45" s="13">
        <f t="shared" si="1"/>
        <v>15.275117162167396</v>
      </c>
      <c r="F45" s="13">
        <f t="shared" si="1"/>
        <v>12.543308035269838</v>
      </c>
      <c r="G45" s="13">
        <f t="shared" si="1"/>
        <v>10.56934104914167</v>
      </c>
      <c r="H45" s="13">
        <f t="shared" si="1"/>
        <v>9.0797673457557675</v>
      </c>
    </row>
    <row r="46" spans="2:9" ht="14" x14ac:dyDescent="0.3">
      <c r="B46" s="4" t="s">
        <v>153</v>
      </c>
      <c r="C46" s="30">
        <v>10</v>
      </c>
      <c r="D46" s="13">
        <f t="shared" si="1"/>
        <v>17.709797236086228</v>
      </c>
      <c r="E46" s="13">
        <f t="shared" si="1"/>
        <v>13.862986473439225</v>
      </c>
      <c r="F46" s="13">
        <f t="shared" si="1"/>
        <v>11.258813936136285</v>
      </c>
      <c r="G46" s="13">
        <f t="shared" si="1"/>
        <v>9.387133062444164</v>
      </c>
      <c r="H46" s="13">
        <f t="shared" si="1"/>
        <v>7.9827727424620996</v>
      </c>
    </row>
    <row r="47" spans="2:9" ht="14" x14ac:dyDescent="0.3">
      <c r="B47" s="22" t="s">
        <v>155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150</v>
      </c>
      <c r="C48" s="30">
        <v>3</v>
      </c>
      <c r="D48" s="5">
        <f t="shared" ref="D48:H51" si="2">IFERROR(($C$10/(1-$C$13)-$C$14*D38)/D43,"N/A")</f>
        <v>42402.076782992284</v>
      </c>
      <c r="E48" s="5">
        <f t="shared" si="2"/>
        <v>52695.876156360893</v>
      </c>
      <c r="F48" s="5">
        <f t="shared" si="2"/>
        <v>63177.533790321693</v>
      </c>
      <c r="G48" s="5">
        <f t="shared" si="2"/>
        <v>73845.080635436432</v>
      </c>
      <c r="H48" s="5">
        <f t="shared" si="2"/>
        <v>84696.55500468587</v>
      </c>
    </row>
    <row r="49" spans="2:9" ht="14" x14ac:dyDescent="0.3">
      <c r="B49" s="4" t="s">
        <v>151</v>
      </c>
      <c r="C49" s="30">
        <v>5</v>
      </c>
      <c r="D49" s="5">
        <f t="shared" si="2"/>
        <v>42497.443271544427</v>
      </c>
      <c r="E49" s="5">
        <f t="shared" si="2"/>
        <v>53350.022842712169</v>
      </c>
      <c r="F49" s="5">
        <f t="shared" si="2"/>
        <v>64594.025350752359</v>
      </c>
      <c r="G49" s="5">
        <f t="shared" si="2"/>
        <v>76228.221711517617</v>
      </c>
      <c r="H49" s="5">
        <f t="shared" si="2"/>
        <v>88251.205555032153</v>
      </c>
    </row>
    <row r="50" spans="2:9" ht="14" x14ac:dyDescent="0.3">
      <c r="B50" s="4" t="s">
        <v>152</v>
      </c>
      <c r="C50" s="30">
        <v>7</v>
      </c>
      <c r="D50" s="5">
        <f t="shared" si="2"/>
        <v>42569.588949520665</v>
      </c>
      <c r="E50" s="5">
        <f t="shared" si="2"/>
        <v>54000.092137154999</v>
      </c>
      <c r="F50" s="5">
        <f t="shared" si="2"/>
        <v>66041.082720088234</v>
      </c>
      <c r="G50" s="5">
        <f t="shared" si="2"/>
        <v>78694.611081413706</v>
      </c>
      <c r="H50" s="5">
        <f t="shared" si="2"/>
        <v>91962.126131404671</v>
      </c>
    </row>
    <row r="51" spans="2:9" ht="14" x14ac:dyDescent="0.3">
      <c r="B51" s="4" t="s">
        <v>153</v>
      </c>
      <c r="C51" s="30">
        <v>10</v>
      </c>
      <c r="D51" s="5">
        <f t="shared" si="2"/>
        <v>42633.060887833693</v>
      </c>
      <c r="E51" s="5">
        <f t="shared" si="2"/>
        <v>54965.855464648477</v>
      </c>
      <c r="F51" s="5">
        <f t="shared" si="2"/>
        <v>68266.059711399168</v>
      </c>
      <c r="G51" s="5">
        <f t="shared" si="2"/>
        <v>82544.848578478966</v>
      </c>
      <c r="H51" s="5">
        <f t="shared" si="2"/>
        <v>97811.564935260714</v>
      </c>
    </row>
    <row r="52" spans="2:9" ht="14" x14ac:dyDescent="0.3">
      <c r="B52" s="22" t="s">
        <v>156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150</v>
      </c>
      <c r="C53" s="30">
        <v>3</v>
      </c>
      <c r="D53" s="14">
        <f t="shared" ref="D53:H56" si="3">IFERROR(D48/$C$15,"N/A")</f>
        <v>0.48660274713953894</v>
      </c>
      <c r="E53" s="14">
        <f t="shared" si="3"/>
        <v>0.60473354245929944</v>
      </c>
      <c r="F53" s="14">
        <f t="shared" si="3"/>
        <v>0.72502018373313548</v>
      </c>
      <c r="G53" s="14">
        <f t="shared" si="3"/>
        <v>0.84744007431157609</v>
      </c>
      <c r="H53" s="14">
        <f t="shared" si="3"/>
        <v>0.97197070203566571</v>
      </c>
    </row>
    <row r="54" spans="2:9" ht="14" x14ac:dyDescent="0.3">
      <c r="B54" s="4" t="s">
        <v>151</v>
      </c>
      <c r="C54" s="30">
        <v>5</v>
      </c>
      <c r="D54" s="14">
        <f t="shared" si="3"/>
        <v>0.48769716512175293</v>
      </c>
      <c r="E54" s="14">
        <f t="shared" si="3"/>
        <v>0.61224047605219445</v>
      </c>
      <c r="F54" s="14">
        <f t="shared" si="3"/>
        <v>0.74127572442594425</v>
      </c>
      <c r="G54" s="14">
        <f t="shared" si="3"/>
        <v>0.87478880537437442</v>
      </c>
      <c r="H54" s="14">
        <f t="shared" si="3"/>
        <v>1.0127635795112653</v>
      </c>
    </row>
    <row r="55" spans="2:9" ht="14" x14ac:dyDescent="0.3">
      <c r="B55" s="4" t="s">
        <v>152</v>
      </c>
      <c r="C55" s="30">
        <v>7</v>
      </c>
      <c r="D55" s="14">
        <f t="shared" si="3"/>
        <v>0.48852510299086133</v>
      </c>
      <c r="E55" s="14">
        <f t="shared" si="3"/>
        <v>0.61970061783076469</v>
      </c>
      <c r="F55" s="14">
        <f t="shared" si="3"/>
        <v>0.75788203582882785</v>
      </c>
      <c r="G55" s="14">
        <f t="shared" si="3"/>
        <v>0.90309288701286117</v>
      </c>
      <c r="H55" s="14">
        <f t="shared" si="3"/>
        <v>1.0553497989580403</v>
      </c>
    </row>
    <row r="56" spans="2:9" ht="14" x14ac:dyDescent="0.3">
      <c r="B56" s="4" t="s">
        <v>153</v>
      </c>
      <c r="C56" s="30">
        <v>10</v>
      </c>
      <c r="D56" s="14">
        <f t="shared" si="3"/>
        <v>0.48925350173669302</v>
      </c>
      <c r="E56" s="14">
        <f t="shared" si="3"/>
        <v>0.63078363837832063</v>
      </c>
      <c r="F56" s="14">
        <f t="shared" si="3"/>
        <v>0.78341568885802182</v>
      </c>
      <c r="G56" s="14">
        <f t="shared" si="3"/>
        <v>0.94727789598777778</v>
      </c>
      <c r="H56" s="14">
        <f t="shared" si="3"/>
        <v>1.1224774777684012</v>
      </c>
    </row>
    <row r="58" spans="2:9" ht="14" x14ac:dyDescent="0.3">
      <c r="B58" s="8" t="s">
        <v>157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158</v>
      </c>
    </row>
    <row r="60" spans="2:9" ht="14" x14ac:dyDescent="0.3">
      <c r="B60" s="4" t="s">
        <v>159</v>
      </c>
      <c r="C60" s="5">
        <f>F49</f>
        <v>64594.025350752359</v>
      </c>
    </row>
    <row r="62" spans="2:9" ht="14" x14ac:dyDescent="0.3">
      <c r="B62" s="28" t="s">
        <v>160</v>
      </c>
      <c r="C62" s="28" t="s">
        <v>161</v>
      </c>
      <c r="D62" s="28" t="s">
        <v>162</v>
      </c>
    </row>
    <row r="63" spans="2:9" ht="14" x14ac:dyDescent="0.3">
      <c r="B63" s="31">
        <v>5.7599999999999998E-2</v>
      </c>
      <c r="C63" s="5">
        <f>IFERROR($C$60/B63,"N/A")</f>
        <v>1121424.0512283396</v>
      </c>
      <c r="D63" s="14">
        <f>IFERROR(C63/'DCF Model'!C17,"N/A")</f>
        <v>1.3871336664349543</v>
      </c>
    </row>
    <row r="64" spans="2:9" ht="14" x14ac:dyDescent="0.3">
      <c r="B64" s="31">
        <v>8.6400000000000005E-2</v>
      </c>
      <c r="C64" s="5">
        <f>IFERROR($C$60/B64,"N/A")</f>
        <v>747616.03415222629</v>
      </c>
      <c r="D64" s="14">
        <f>IFERROR(C64/'DCF Model'!C17,"N/A")</f>
        <v>0.92475577762330285</v>
      </c>
    </row>
    <row r="65" spans="2:9" ht="14" x14ac:dyDescent="0.3">
      <c r="B65" s="4" t="s">
        <v>163</v>
      </c>
      <c r="C65" s="5">
        <f>IFERROR($C$60/$C$18,"N/A")</f>
        <v>560683.16733839829</v>
      </c>
      <c r="D65" s="14">
        <f>IFERROR(C65/'DCF Model'!C17,"N/A")</f>
        <v>0.69353113727727145</v>
      </c>
    </row>
    <row r="66" spans="2:9" ht="14" x14ac:dyDescent="0.3">
      <c r="B66" s="31">
        <v>0.14399999999999999</v>
      </c>
      <c r="C66" s="5">
        <f>IFERROR($C$60/B66,"N/A")</f>
        <v>448569.62049133587</v>
      </c>
      <c r="D66" s="14">
        <f>IFERROR(C66/'DCF Model'!C17,"N/A")</f>
        <v>0.55485346657398182</v>
      </c>
    </row>
    <row r="67" spans="2:9" ht="14" x14ac:dyDescent="0.3">
      <c r="B67" s="31">
        <v>0.17280000000000001</v>
      </c>
      <c r="C67" s="5">
        <f>IFERROR($C$60/B67,"N/A")</f>
        <v>373808.01707611314</v>
      </c>
      <c r="D67" s="14">
        <f>IFERROR(C67/'DCF Model'!C17,"N/A")</f>
        <v>0.46237788881165143</v>
      </c>
    </row>
    <row r="69" spans="2:9" ht="14" x14ac:dyDescent="0.3">
      <c r="B69" s="8" t="s">
        <v>164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165</v>
      </c>
      <c r="C70" s="14">
        <f>IFERROR(C10/'Comps Analysis'!G5,"N/A")</f>
        <v>5.095067570498311</v>
      </c>
    </row>
    <row r="71" spans="2:9" ht="13.5" x14ac:dyDescent="0.25">
      <c r="B71" s="6" t="s">
        <v>166</v>
      </c>
      <c r="C71" s="14">
        <f>IFERROR(C10/'Comps Analysis'!F5,"N/A")</f>
        <v>0.90491433218256734</v>
      </c>
    </row>
    <row r="72" spans="2:9" ht="14" x14ac:dyDescent="0.3">
      <c r="B72" s="4" t="s">
        <v>167</v>
      </c>
      <c r="C72" s="14">
        <f>IFERROR(C10/(C25+'DCF Model'!G42),"N/A")</f>
        <v>4.6905637789892749</v>
      </c>
    </row>
    <row r="73" spans="2:9" ht="14" x14ac:dyDescent="0.3">
      <c r="B73" s="4" t="s">
        <v>168</v>
      </c>
      <c r="C73" s="14">
        <f>IFERROR(C10/(C60+'DCF Model'!G42),"N/A")</f>
        <v>4.6078062673394511</v>
      </c>
    </row>
    <row r="74" spans="2:9" ht="14" x14ac:dyDescent="0.3">
      <c r="B74" s="4" t="s">
        <v>169</v>
      </c>
      <c r="C74" s="14">
        <f>IFERROR('Comps Analysis'!D16,"N/A")</f>
        <v>8.7045916735946793</v>
      </c>
    </row>
    <row r="75" spans="2:9" ht="14" x14ac:dyDescent="0.3">
      <c r="B75" s="1" t="s">
        <v>170</v>
      </c>
    </row>
    <row r="77" spans="2:9" ht="14" x14ac:dyDescent="0.3">
      <c r="B77" s="22" t="s">
        <v>171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FY2022 cycle peak of "&amp;TEXT(C15,"#,##0")&amp;" mn - reached in 5 years and sustained for ever, against "&amp;TEXT(C14,"#,##0")&amp;" mn actually earned in FY2025."</f>
        <v>At 1,839 yen the market is paying for a steady-state operating profit of 64,594 mn JPY - 0.74x the FY2022 cycle peak of 87,139 mn - reached in 5 years and sustained for ever, against 58,882 mn actually earned in FY2025.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61,793 mn, or 0.71x the peak. The base case supports an EV of only 782,081 mn, leaving -168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172</v>
      </c>
    </row>
    <row r="4" spans="2:8" ht="14" x14ac:dyDescent="0.3">
      <c r="B4" s="8" t="s">
        <v>173</v>
      </c>
      <c r="C4" s="32" t="s">
        <v>174</v>
      </c>
      <c r="D4" s="32" t="s">
        <v>81</v>
      </c>
      <c r="E4" s="32" t="s">
        <v>82</v>
      </c>
      <c r="F4" s="32" t="s">
        <v>83</v>
      </c>
      <c r="G4" s="32" t="s">
        <v>84</v>
      </c>
      <c r="H4" s="32" t="s">
        <v>85</v>
      </c>
    </row>
    <row r="5" spans="2:8" ht="14" x14ac:dyDescent="0.3">
      <c r="B5" s="33" t="s">
        <v>175</v>
      </c>
      <c r="C5" s="34">
        <f>C12/C9*365</f>
        <v>78.723268191977951</v>
      </c>
      <c r="D5" s="34">
        <f>CHOOSE('DCF Model'!$D$27,D25,D26,D27,D28,D29)</f>
        <v>76</v>
      </c>
      <c r="E5" s="34">
        <f>CHOOSE('DCF Model'!$D$27,E25,E26,E27,E28,E29)</f>
        <v>76</v>
      </c>
      <c r="F5" s="34">
        <f>CHOOSE('DCF Model'!$D$27,F25,F26,F27,F28,F29)</f>
        <v>76</v>
      </c>
      <c r="G5" s="34">
        <f>CHOOSE('DCF Model'!$D$27,G25,G26,G27,G28,G29)</f>
        <v>76</v>
      </c>
      <c r="H5" s="34">
        <f>CHOOSE('DCF Model'!$D$27,H25,H26,H27,H28,H29)</f>
        <v>76</v>
      </c>
    </row>
    <row r="6" spans="2:8" ht="14" x14ac:dyDescent="0.3">
      <c r="B6" s="33" t="s">
        <v>176</v>
      </c>
      <c r="C6" s="34">
        <f>C13/C10*365</f>
        <v>174.35773277882475</v>
      </c>
      <c r="D6" s="34">
        <f>CHOOSE('DCF Model'!$D$27,D32,D33,D34,D35,D36)</f>
        <v>164</v>
      </c>
      <c r="E6" s="34">
        <f>CHOOSE('DCF Model'!$D$27,E32,E33,E34,E35,E36)</f>
        <v>164</v>
      </c>
      <c r="F6" s="34">
        <f>CHOOSE('DCF Model'!$D$27,F32,F33,F34,F35,F36)</f>
        <v>164</v>
      </c>
      <c r="G6" s="34">
        <f>CHOOSE('DCF Model'!$D$27,G32,G33,G34,G35,G36)</f>
        <v>164</v>
      </c>
      <c r="H6" s="34">
        <f>CHOOSE('DCF Model'!$D$27,H32,H33,H34,H35,H36)</f>
        <v>164</v>
      </c>
    </row>
    <row r="7" spans="2:8" ht="14" x14ac:dyDescent="0.3">
      <c r="B7" s="33" t="s">
        <v>177</v>
      </c>
      <c r="C7" s="34">
        <f>C15/C10*365</f>
        <v>37.991401201909817</v>
      </c>
      <c r="D7" s="34">
        <f>CHOOSE('DCF Model'!$D$27,D39,D40,D41,D42,D43)</f>
        <v>37</v>
      </c>
      <c r="E7" s="34">
        <f>CHOOSE('DCF Model'!$D$27,E39,E40,E41,E42,E43)</f>
        <v>37</v>
      </c>
      <c r="F7" s="34">
        <f>CHOOSE('DCF Model'!$D$27,F39,F40,F41,F42,F43)</f>
        <v>37</v>
      </c>
      <c r="G7" s="34">
        <f>CHOOSE('DCF Model'!$D$27,G39,G40,G41,G42,G43)</f>
        <v>37</v>
      </c>
      <c r="H7" s="34">
        <f>CHOOSE('DCF Model'!$D$27,H39,H40,H41,H42,H43)</f>
        <v>37</v>
      </c>
    </row>
    <row r="8" spans="2:8" ht="14" x14ac:dyDescent="0.3">
      <c r="B8" s="8" t="s">
        <v>178</v>
      </c>
      <c r="C8" s="9"/>
      <c r="D8" s="9"/>
      <c r="E8" s="9"/>
      <c r="F8" s="9"/>
      <c r="G8" s="9"/>
      <c r="H8" s="9"/>
    </row>
    <row r="9" spans="2:8" ht="14" x14ac:dyDescent="0.3">
      <c r="B9" s="33" t="s">
        <v>33</v>
      </c>
      <c r="C9" s="35">
        <v>808447</v>
      </c>
      <c r="D9" s="35">
        <f>'DCF Model'!C33</f>
        <v>816531.47</v>
      </c>
      <c r="E9" s="35">
        <f>'DCF Model'!D33</f>
        <v>832862.09939999995</v>
      </c>
      <c r="F9" s="35">
        <f>'DCF Model'!E33</f>
        <v>853683.65188499982</v>
      </c>
      <c r="G9" s="35">
        <f>'DCF Model'!F33</f>
        <v>875025.74318212469</v>
      </c>
      <c r="H9" s="35">
        <f>'DCF Model'!G33</f>
        <v>896901.38676167768</v>
      </c>
    </row>
    <row r="10" spans="2:8" ht="14" x14ac:dyDescent="0.3">
      <c r="B10" s="33" t="s">
        <v>34</v>
      </c>
      <c r="C10" s="35">
        <v>561939</v>
      </c>
      <c r="D10" s="35">
        <f>'DCF Model'!C34</f>
        <v>563406.71429999999</v>
      </c>
      <c r="E10" s="35">
        <f>'DCF Model'!D34</f>
        <v>569677.67598960001</v>
      </c>
      <c r="F10" s="35">
        <f>'DCF Model'!E34</f>
        <v>579651.19962991495</v>
      </c>
      <c r="G10" s="35">
        <f>'DCF Model'!F34</f>
        <v>591517.40239111637</v>
      </c>
      <c r="H10" s="35">
        <f>'DCF Model'!G34</f>
        <v>604511.5346773708</v>
      </c>
    </row>
    <row r="11" spans="2:8" ht="14" x14ac:dyDescent="0.3">
      <c r="B11" s="8" t="s">
        <v>179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180</v>
      </c>
      <c r="C12" s="35">
        <v>174366</v>
      </c>
      <c r="D12" s="35">
        <f t="shared" ref="D12:H13" si="0">D9*D5/365</f>
        <v>170017.51156164383</v>
      </c>
      <c r="E12" s="35">
        <f t="shared" si="0"/>
        <v>173417.86179287671</v>
      </c>
      <c r="F12" s="35">
        <f t="shared" si="0"/>
        <v>177753.3083376986</v>
      </c>
      <c r="G12" s="35">
        <f t="shared" si="0"/>
        <v>182197.14104614101</v>
      </c>
      <c r="H12" s="35">
        <f t="shared" si="0"/>
        <v>186752.06957229454</v>
      </c>
    </row>
    <row r="13" spans="2:8" ht="14" x14ac:dyDescent="0.3">
      <c r="B13" s="33" t="s">
        <v>181</v>
      </c>
      <c r="C13" s="35">
        <v>268434</v>
      </c>
      <c r="D13" s="35">
        <f t="shared" si="0"/>
        <v>253147.12642520547</v>
      </c>
      <c r="E13" s="35">
        <f t="shared" si="0"/>
        <v>255964.76400628604</v>
      </c>
      <c r="F13" s="35">
        <f t="shared" si="0"/>
        <v>260446.01846385218</v>
      </c>
      <c r="G13" s="35">
        <f t="shared" si="0"/>
        <v>265777.68217025499</v>
      </c>
      <c r="H13" s="35">
        <f t="shared" si="0"/>
        <v>271616.14160846249</v>
      </c>
    </row>
    <row r="14" spans="2:8" ht="14" x14ac:dyDescent="0.3">
      <c r="B14" s="33" t="s">
        <v>182</v>
      </c>
      <c r="C14" s="35">
        <f t="shared" ref="C14:H14" si="1">C12+C13</f>
        <v>442800</v>
      </c>
      <c r="D14" s="35">
        <f t="shared" si="1"/>
        <v>423164.63798684929</v>
      </c>
      <c r="E14" s="35">
        <f t="shared" si="1"/>
        <v>429382.62579916278</v>
      </c>
      <c r="F14" s="35">
        <f t="shared" si="1"/>
        <v>438199.32680155081</v>
      </c>
      <c r="G14" s="35">
        <f t="shared" si="1"/>
        <v>447974.82321639603</v>
      </c>
      <c r="H14" s="35">
        <f t="shared" si="1"/>
        <v>458368.21118075703</v>
      </c>
    </row>
    <row r="15" spans="2:8" ht="14" x14ac:dyDescent="0.3">
      <c r="B15" s="33" t="s">
        <v>183</v>
      </c>
      <c r="C15" s="35">
        <v>58490</v>
      </c>
      <c r="D15" s="35">
        <f>D10*D7/365</f>
        <v>57112.461449589042</v>
      </c>
      <c r="E15" s="35">
        <f>E10*E7/365</f>
        <v>57748.147977027947</v>
      </c>
      <c r="F15" s="35">
        <f>F10*F7/365</f>
        <v>58759.162702210553</v>
      </c>
      <c r="G15" s="35">
        <f>G10*G7/365</f>
        <v>59962.038050606316</v>
      </c>
      <c r="H15" s="35">
        <f>H10*H7/365</f>
        <v>61279.251460445805</v>
      </c>
    </row>
    <row r="16" spans="2:8" ht="14" x14ac:dyDescent="0.3">
      <c r="B16" s="33" t="s">
        <v>184</v>
      </c>
      <c r="C16" s="35">
        <f t="shared" ref="C16:H16" si="2">C15</f>
        <v>58490</v>
      </c>
      <c r="D16" s="35">
        <f t="shared" si="2"/>
        <v>57112.461449589042</v>
      </c>
      <c r="E16" s="35">
        <f t="shared" si="2"/>
        <v>57748.147977027947</v>
      </c>
      <c r="F16" s="35">
        <f t="shared" si="2"/>
        <v>58759.162702210553</v>
      </c>
      <c r="G16" s="35">
        <f t="shared" si="2"/>
        <v>59962.038050606316</v>
      </c>
      <c r="H16" s="35">
        <f t="shared" si="2"/>
        <v>61279.251460445805</v>
      </c>
    </row>
    <row r="17" spans="2:8" ht="14" x14ac:dyDescent="0.3">
      <c r="B17" s="22" t="s">
        <v>185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186</v>
      </c>
      <c r="C18" s="20">
        <f t="shared" ref="C18:H18" si="3">C14-C16</f>
        <v>384310</v>
      </c>
      <c r="D18" s="20">
        <f t="shared" si="3"/>
        <v>366052.17653726024</v>
      </c>
      <c r="E18" s="20">
        <f t="shared" si="3"/>
        <v>371634.47782213485</v>
      </c>
      <c r="F18" s="20">
        <f t="shared" si="3"/>
        <v>379440.16409934027</v>
      </c>
      <c r="G18" s="20">
        <f t="shared" si="3"/>
        <v>388012.78516578971</v>
      </c>
      <c r="H18" s="20">
        <f t="shared" si="3"/>
        <v>397088.95972031122</v>
      </c>
    </row>
    <row r="19" spans="2:8" ht="14" x14ac:dyDescent="0.3">
      <c r="B19" s="33" t="s">
        <v>95</v>
      </c>
      <c r="C19" s="36" t="s">
        <v>43</v>
      </c>
      <c r="D19" s="24">
        <f>D18-C18</f>
        <v>-18257.823462739761</v>
      </c>
      <c r="E19" s="24">
        <f>E18-D18</f>
        <v>5582.3012848746148</v>
      </c>
      <c r="F19" s="24">
        <f>F18-E18</f>
        <v>7805.6862772054155</v>
      </c>
      <c r="G19" s="24">
        <f>G18-F18</f>
        <v>8572.6210664494429</v>
      </c>
      <c r="H19" s="24">
        <f>H18-G18</f>
        <v>9076.174554521509</v>
      </c>
    </row>
    <row r="22" spans="2:8" ht="14" x14ac:dyDescent="0.3">
      <c r="B22" s="22" t="s">
        <v>187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81</v>
      </c>
      <c r="E23" s="25" t="s">
        <v>82</v>
      </c>
      <c r="F23" s="25" t="s">
        <v>83</v>
      </c>
      <c r="G23" s="25" t="s">
        <v>84</v>
      </c>
      <c r="H23" s="25" t="s">
        <v>85</v>
      </c>
    </row>
    <row r="24" spans="2:8" ht="14" x14ac:dyDescent="0.3">
      <c r="B24" s="3" t="s">
        <v>188</v>
      </c>
    </row>
    <row r="25" spans="2:8" ht="14" x14ac:dyDescent="0.3">
      <c r="B25" s="4" t="s">
        <v>79</v>
      </c>
      <c r="D25" s="30">
        <v>76</v>
      </c>
      <c r="E25" s="30">
        <v>76</v>
      </c>
      <c r="F25" s="30">
        <v>76</v>
      </c>
      <c r="G25" s="30">
        <v>76</v>
      </c>
      <c r="H25" s="30">
        <v>76</v>
      </c>
    </row>
    <row r="26" spans="2:8" ht="14" x14ac:dyDescent="0.3">
      <c r="B26" s="4" t="s">
        <v>116</v>
      </c>
      <c r="D26" s="30">
        <v>73</v>
      </c>
      <c r="E26" s="30">
        <v>73</v>
      </c>
      <c r="F26" s="30">
        <v>73</v>
      </c>
      <c r="G26" s="30">
        <v>73</v>
      </c>
      <c r="H26" s="30">
        <v>73</v>
      </c>
    </row>
    <row r="27" spans="2:8" ht="14" x14ac:dyDescent="0.3">
      <c r="B27" s="4" t="s">
        <v>117</v>
      </c>
      <c r="D27" s="30">
        <v>76</v>
      </c>
      <c r="E27" s="30">
        <v>76</v>
      </c>
      <c r="F27" s="30">
        <v>76</v>
      </c>
      <c r="G27" s="30">
        <v>76</v>
      </c>
      <c r="H27" s="30">
        <v>76</v>
      </c>
    </row>
    <row r="28" spans="2:8" ht="14" x14ac:dyDescent="0.3">
      <c r="B28" s="4" t="s">
        <v>118</v>
      </c>
      <c r="D28" s="30">
        <v>80</v>
      </c>
      <c r="E28" s="30">
        <v>80</v>
      </c>
      <c r="F28" s="30">
        <v>80</v>
      </c>
      <c r="G28" s="30">
        <v>80</v>
      </c>
      <c r="H28" s="30">
        <v>80</v>
      </c>
    </row>
    <row r="29" spans="2:8" ht="14" x14ac:dyDescent="0.3">
      <c r="B29" s="4" t="s">
        <v>119</v>
      </c>
      <c r="D29" s="30">
        <v>84</v>
      </c>
      <c r="E29" s="30">
        <v>84</v>
      </c>
      <c r="F29" s="30">
        <v>84</v>
      </c>
      <c r="G29" s="30">
        <v>84</v>
      </c>
      <c r="H29" s="30">
        <v>84</v>
      </c>
    </row>
    <row r="31" spans="2:8" ht="14" x14ac:dyDescent="0.3">
      <c r="B31" s="3" t="s">
        <v>189</v>
      </c>
    </row>
    <row r="32" spans="2:8" ht="14" x14ac:dyDescent="0.3">
      <c r="B32" s="4" t="s">
        <v>79</v>
      </c>
      <c r="D32" s="30">
        <v>164</v>
      </c>
      <c r="E32" s="30">
        <v>164</v>
      </c>
      <c r="F32" s="30">
        <v>164</v>
      </c>
      <c r="G32" s="30">
        <v>164</v>
      </c>
      <c r="H32" s="30">
        <v>164</v>
      </c>
    </row>
    <row r="33" spans="2:8" ht="14" x14ac:dyDescent="0.3">
      <c r="B33" s="4" t="s">
        <v>116</v>
      </c>
      <c r="D33" s="30">
        <v>156</v>
      </c>
      <c r="E33" s="30">
        <v>156</v>
      </c>
      <c r="F33" s="30">
        <v>156</v>
      </c>
      <c r="G33" s="30">
        <v>156</v>
      </c>
      <c r="H33" s="30">
        <v>156</v>
      </c>
    </row>
    <row r="34" spans="2:8" ht="14" x14ac:dyDescent="0.3">
      <c r="B34" s="4" t="s">
        <v>117</v>
      </c>
      <c r="D34" s="30">
        <v>164</v>
      </c>
      <c r="E34" s="30">
        <v>164</v>
      </c>
      <c r="F34" s="30">
        <v>164</v>
      </c>
      <c r="G34" s="30">
        <v>164</v>
      </c>
      <c r="H34" s="30">
        <v>164</v>
      </c>
    </row>
    <row r="35" spans="2:8" ht="14" x14ac:dyDescent="0.3">
      <c r="B35" s="4" t="s">
        <v>118</v>
      </c>
      <c r="D35" s="30">
        <v>174</v>
      </c>
      <c r="E35" s="30">
        <v>174</v>
      </c>
      <c r="F35" s="30">
        <v>174</v>
      </c>
      <c r="G35" s="30">
        <v>174</v>
      </c>
      <c r="H35" s="30">
        <v>174</v>
      </c>
    </row>
    <row r="36" spans="2:8" ht="14" x14ac:dyDescent="0.3">
      <c r="B36" s="4" t="s">
        <v>119</v>
      </c>
      <c r="D36" s="30">
        <v>185</v>
      </c>
      <c r="E36" s="30">
        <v>185</v>
      </c>
      <c r="F36" s="30">
        <v>185</v>
      </c>
      <c r="G36" s="30">
        <v>185</v>
      </c>
      <c r="H36" s="30">
        <v>185</v>
      </c>
    </row>
    <row r="38" spans="2:8" ht="14" x14ac:dyDescent="0.3">
      <c r="B38" s="3" t="s">
        <v>190</v>
      </c>
    </row>
    <row r="39" spans="2:8" ht="14" x14ac:dyDescent="0.3">
      <c r="B39" s="4" t="s">
        <v>79</v>
      </c>
      <c r="D39" s="30">
        <v>37</v>
      </c>
      <c r="E39" s="30">
        <v>37</v>
      </c>
      <c r="F39" s="30">
        <v>37</v>
      </c>
      <c r="G39" s="30">
        <v>37</v>
      </c>
      <c r="H39" s="30">
        <v>37</v>
      </c>
    </row>
    <row r="40" spans="2:8" ht="14" x14ac:dyDescent="0.3">
      <c r="B40" s="4" t="s">
        <v>116</v>
      </c>
      <c r="D40" s="30">
        <v>38</v>
      </c>
      <c r="E40" s="30">
        <v>38</v>
      </c>
      <c r="F40" s="30">
        <v>38</v>
      </c>
      <c r="G40" s="30">
        <v>38</v>
      </c>
      <c r="H40" s="30">
        <v>38</v>
      </c>
    </row>
    <row r="41" spans="2:8" ht="14" x14ac:dyDescent="0.3">
      <c r="B41" s="4" t="s">
        <v>117</v>
      </c>
      <c r="D41" s="30">
        <v>37</v>
      </c>
      <c r="E41" s="30">
        <v>37</v>
      </c>
      <c r="F41" s="30">
        <v>37</v>
      </c>
      <c r="G41" s="30">
        <v>37</v>
      </c>
      <c r="H41" s="30">
        <v>37</v>
      </c>
    </row>
    <row r="42" spans="2:8" ht="14" x14ac:dyDescent="0.3">
      <c r="B42" s="4" t="s">
        <v>118</v>
      </c>
      <c r="D42" s="30">
        <v>35</v>
      </c>
      <c r="E42" s="30">
        <v>35</v>
      </c>
      <c r="F42" s="30">
        <v>35</v>
      </c>
      <c r="G42" s="30">
        <v>35</v>
      </c>
      <c r="H42" s="30">
        <v>35</v>
      </c>
    </row>
    <row r="43" spans="2:8" ht="14" x14ac:dyDescent="0.3">
      <c r="B43" s="4" t="s">
        <v>119</v>
      </c>
      <c r="D43" s="30">
        <v>33</v>
      </c>
      <c r="E43" s="30">
        <v>33</v>
      </c>
      <c r="F43" s="30">
        <v>33</v>
      </c>
      <c r="G43" s="30">
        <v>33</v>
      </c>
      <c r="H43" s="30">
        <v>33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191</v>
      </c>
    </row>
    <row r="3" spans="2:17" ht="14" x14ac:dyDescent="0.3">
      <c r="B3" s="1" t="s">
        <v>192</v>
      </c>
    </row>
    <row r="4" spans="2:17" ht="28" x14ac:dyDescent="0.3">
      <c r="B4" s="10" t="s">
        <v>3</v>
      </c>
      <c r="C4" s="10" t="s">
        <v>5</v>
      </c>
      <c r="D4" s="10" t="s">
        <v>193</v>
      </c>
      <c r="E4" s="10" t="s">
        <v>194</v>
      </c>
      <c r="F4" s="10" t="s">
        <v>195</v>
      </c>
      <c r="G4" s="10" t="s">
        <v>196</v>
      </c>
      <c r="H4" s="10" t="s">
        <v>197</v>
      </c>
      <c r="I4" s="10" t="s">
        <v>198</v>
      </c>
      <c r="J4" s="10" t="s">
        <v>199</v>
      </c>
      <c r="K4" s="10" t="s">
        <v>200</v>
      </c>
      <c r="L4" s="10" t="s">
        <v>201</v>
      </c>
      <c r="M4" s="10" t="s">
        <v>202</v>
      </c>
      <c r="N4" s="10" t="s">
        <v>203</v>
      </c>
      <c r="O4" s="10" t="s">
        <v>204</v>
      </c>
      <c r="P4" s="10" t="s">
        <v>205</v>
      </c>
      <c r="Q4" s="10" t="s">
        <v>206</v>
      </c>
    </row>
    <row r="5" spans="2:17" ht="14" x14ac:dyDescent="0.3">
      <c r="B5" s="4" t="s">
        <v>207</v>
      </c>
      <c r="C5" t="s">
        <v>208</v>
      </c>
      <c r="D5" s="37">
        <f>'Executive Summary'!C9*C23/1000000</f>
        <v>553934.27711000002</v>
      </c>
      <c r="E5" s="37">
        <f>D5+C24</f>
        <v>731575.27711000002</v>
      </c>
      <c r="F5" s="37">
        <v>808447</v>
      </c>
      <c r="G5" s="37">
        <v>143585</v>
      </c>
      <c r="H5" s="37">
        <v>58883</v>
      </c>
      <c r="I5" s="37">
        <v>7468</v>
      </c>
      <c r="J5" s="38">
        <f t="shared" ref="J5:J10" si="0">IFERROR(E5/G5,"")</f>
        <v>5.095067570498311</v>
      </c>
      <c r="K5" s="38">
        <f t="shared" ref="K5:K10" si="1">IFERROR(E5/F5,"")</f>
        <v>0.90491433218256734</v>
      </c>
      <c r="L5" s="38">
        <f t="shared" ref="L5:L10" si="2">IFERROR(D5/I5,"")</f>
        <v>74.174380973486876</v>
      </c>
      <c r="M5" s="38">
        <f t="shared" ref="M5:M10" si="3">IFERROR(D5/P5,"")</f>
        <v>0.74568993537035844</v>
      </c>
      <c r="N5" s="39">
        <f t="shared" ref="N5:N10" si="4">IFERROR(H5/F5,"")</f>
        <v>7.2834706542296526E-2</v>
      </c>
      <c r="O5" s="39">
        <f t="shared" ref="O5:O10" si="5">IFERROR(I5/P5,"")</f>
        <v>1.005320065477729E-2</v>
      </c>
      <c r="P5" s="37">
        <v>742848</v>
      </c>
    </row>
    <row r="6" spans="2:17" ht="14" x14ac:dyDescent="0.3">
      <c r="B6" s="4" t="s">
        <v>209</v>
      </c>
      <c r="C6" t="s">
        <v>210</v>
      </c>
      <c r="D6" s="37">
        <v>804059</v>
      </c>
      <c r="E6" s="37">
        <v>1361137</v>
      </c>
      <c r="F6" s="37">
        <v>1668754</v>
      </c>
      <c r="G6" s="37">
        <v>156370</v>
      </c>
      <c r="H6" s="37">
        <v>56602</v>
      </c>
      <c r="I6" s="37">
        <v>34378</v>
      </c>
      <c r="J6" s="38">
        <f t="shared" si="0"/>
        <v>8.7045916735946793</v>
      </c>
      <c r="K6" s="38">
        <f t="shared" si="1"/>
        <v>0.81566066658117375</v>
      </c>
      <c r="L6" s="38">
        <f t="shared" si="2"/>
        <v>23.388766071324685</v>
      </c>
      <c r="M6" s="38">
        <f t="shared" si="3"/>
        <v>0.92984144128725021</v>
      </c>
      <c r="N6" s="39">
        <f t="shared" si="4"/>
        <v>3.3918720194828E-2</v>
      </c>
      <c r="O6" s="39">
        <f t="shared" si="5"/>
        <v>3.9755899838908697E-2</v>
      </c>
      <c r="P6" s="37">
        <v>864727</v>
      </c>
    </row>
    <row r="7" spans="2:17" ht="14" x14ac:dyDescent="0.3">
      <c r="B7" s="4" t="s">
        <v>211</v>
      </c>
      <c r="C7" t="s">
        <v>212</v>
      </c>
      <c r="D7" s="37">
        <v>982369</v>
      </c>
      <c r="E7" s="37">
        <v>1925235</v>
      </c>
      <c r="F7" s="37">
        <v>2328515</v>
      </c>
      <c r="G7" s="37">
        <v>316084</v>
      </c>
      <c r="H7" s="37">
        <v>195015</v>
      </c>
      <c r="I7" s="37">
        <v>60947</v>
      </c>
      <c r="J7" s="38">
        <f t="shared" si="0"/>
        <v>6.090896723655737</v>
      </c>
      <c r="K7" s="38">
        <f t="shared" si="1"/>
        <v>0.82680807295636916</v>
      </c>
      <c r="L7" s="38">
        <f t="shared" si="2"/>
        <v>16.11841436001772</v>
      </c>
      <c r="M7" s="38">
        <f t="shared" si="3"/>
        <v>0.9739501746899798</v>
      </c>
      <c r="N7" s="39">
        <f t="shared" si="4"/>
        <v>8.3750802550123141E-2</v>
      </c>
      <c r="O7" s="39">
        <f t="shared" si="5"/>
        <v>6.0424688988384406E-2</v>
      </c>
      <c r="P7" s="37">
        <v>1008644</v>
      </c>
    </row>
    <row r="8" spans="2:17" ht="14" x14ac:dyDescent="0.3">
      <c r="B8" s="4" t="s">
        <v>213</v>
      </c>
      <c r="C8" t="s">
        <v>214</v>
      </c>
      <c r="D8" s="37">
        <v>1681376</v>
      </c>
      <c r="E8" s="37">
        <v>3044793</v>
      </c>
      <c r="F8" s="37">
        <v>3703988</v>
      </c>
      <c r="G8" s="37">
        <v>303490</v>
      </c>
      <c r="H8" s="37">
        <v>32333</v>
      </c>
      <c r="I8" s="37">
        <v>11829</v>
      </c>
      <c r="J8" s="38">
        <f t="shared" si="0"/>
        <v>10.032597449668852</v>
      </c>
      <c r="K8" s="38">
        <f t="shared" si="1"/>
        <v>0.8220310108996034</v>
      </c>
      <c r="L8" s="38">
        <f t="shared" si="2"/>
        <v>142.14016400371966</v>
      </c>
      <c r="M8" s="38">
        <f t="shared" si="3"/>
        <v>0.95441894787631087</v>
      </c>
      <c r="N8" s="39">
        <f t="shared" si="4"/>
        <v>8.7292399435419336E-3</v>
      </c>
      <c r="O8" s="39">
        <f t="shared" si="5"/>
        <v>6.7146323811145643E-3</v>
      </c>
      <c r="P8" s="37">
        <v>1761675</v>
      </c>
    </row>
    <row r="9" spans="2:17" ht="14" x14ac:dyDescent="0.3">
      <c r="B9" s="4" t="s">
        <v>215</v>
      </c>
      <c r="C9" t="s">
        <v>216</v>
      </c>
      <c r="D9" s="37">
        <v>2160016</v>
      </c>
      <c r="E9" s="37">
        <v>2794214</v>
      </c>
      <c r="F9" s="37">
        <v>3074505</v>
      </c>
      <c r="G9" s="37">
        <v>427544</v>
      </c>
      <c r="H9" s="37">
        <v>231200</v>
      </c>
      <c r="I9" s="37">
        <v>158794</v>
      </c>
      <c r="J9" s="38">
        <f t="shared" si="0"/>
        <v>6.5355004397208241</v>
      </c>
      <c r="K9" s="38">
        <f t="shared" si="1"/>
        <v>0.90883377974665835</v>
      </c>
      <c r="L9" s="38">
        <f t="shared" si="2"/>
        <v>13.602629822285477</v>
      </c>
      <c r="M9" s="38">
        <f t="shared" si="3"/>
        <v>1.0342630619035376</v>
      </c>
      <c r="N9" s="39">
        <f t="shared" si="4"/>
        <v>7.5199097090425937E-2</v>
      </c>
      <c r="O9" s="39">
        <f t="shared" si="5"/>
        <v>7.6034051901425884E-2</v>
      </c>
      <c r="P9" s="37">
        <v>2088459</v>
      </c>
    </row>
    <row r="10" spans="2:17" ht="14" x14ac:dyDescent="0.3">
      <c r="B10" s="4" t="s">
        <v>217</v>
      </c>
      <c r="C10" t="s">
        <v>218</v>
      </c>
      <c r="D10" s="37">
        <v>2368140</v>
      </c>
      <c r="E10" s="37">
        <v>3084852</v>
      </c>
      <c r="F10" s="37">
        <v>1359611</v>
      </c>
      <c r="G10" s="37">
        <v>320233</v>
      </c>
      <c r="H10" s="37">
        <v>193329</v>
      </c>
      <c r="I10" s="37">
        <v>123891</v>
      </c>
      <c r="J10" s="38">
        <f t="shared" si="0"/>
        <v>9.6331483638475728</v>
      </c>
      <c r="K10" s="38">
        <f t="shared" si="1"/>
        <v>2.2689225079820625</v>
      </c>
      <c r="L10" s="38">
        <f t="shared" si="2"/>
        <v>19.11470566869264</v>
      </c>
      <c r="M10" s="38">
        <f t="shared" si="3"/>
        <v>1.9453126732749719</v>
      </c>
      <c r="N10" s="39">
        <f t="shared" si="4"/>
        <v>0.14219434823637056</v>
      </c>
      <c r="O10" s="39">
        <f t="shared" si="5"/>
        <v>0.10177047488945314</v>
      </c>
      <c r="P10" s="37">
        <v>1217357</v>
      </c>
    </row>
    <row r="14" spans="2:17" ht="14" x14ac:dyDescent="0.3">
      <c r="B14" s="3" t="s">
        <v>219</v>
      </c>
    </row>
    <row r="15" spans="2:17" ht="14" x14ac:dyDescent="0.3">
      <c r="B15" s="4" t="s">
        <v>220</v>
      </c>
      <c r="D15" s="38">
        <f t="shared" ref="D15:I15" si="6">PERCENTILE(J6:J10,0.25)</f>
        <v>6.5355004397208241</v>
      </c>
      <c r="E15" s="38">
        <f t="shared" si="6"/>
        <v>0.8220310108996034</v>
      </c>
      <c r="F15" s="38">
        <f t="shared" si="6"/>
        <v>16.11841436001772</v>
      </c>
      <c r="G15" s="38">
        <f t="shared" si="6"/>
        <v>0.95441894787631087</v>
      </c>
      <c r="H15" s="39">
        <f t="shared" si="6"/>
        <v>3.3918720194828E-2</v>
      </c>
      <c r="I15" s="39">
        <f t="shared" si="6"/>
        <v>3.9755899838908697E-2</v>
      </c>
    </row>
    <row r="16" spans="2:17" ht="14" x14ac:dyDescent="0.3">
      <c r="B16" s="4" t="s">
        <v>221</v>
      </c>
      <c r="D16" s="38">
        <f t="shared" ref="D16:I16" si="7">MEDIAN(J6:J10)</f>
        <v>8.7045916735946793</v>
      </c>
      <c r="E16" s="38">
        <f t="shared" si="7"/>
        <v>0.82680807295636916</v>
      </c>
      <c r="F16" s="38">
        <f t="shared" si="7"/>
        <v>19.11470566869264</v>
      </c>
      <c r="G16" s="38">
        <f t="shared" si="7"/>
        <v>0.9739501746899798</v>
      </c>
      <c r="H16" s="39">
        <f t="shared" si="7"/>
        <v>7.5199097090425937E-2</v>
      </c>
      <c r="I16" s="39">
        <f t="shared" si="7"/>
        <v>6.0424688988384406E-2</v>
      </c>
    </row>
    <row r="17" spans="2:9" ht="14" x14ac:dyDescent="0.3">
      <c r="B17" s="4" t="s">
        <v>222</v>
      </c>
      <c r="D17" s="38">
        <f t="shared" ref="D17:I17" si="8">PERCENTILE(J6:J10,0.75)</f>
        <v>9.6331483638475728</v>
      </c>
      <c r="E17" s="38">
        <f t="shared" si="8"/>
        <v>0.90883377974665835</v>
      </c>
      <c r="F17" s="38">
        <f t="shared" si="8"/>
        <v>23.388766071324685</v>
      </c>
      <c r="G17" s="38">
        <f t="shared" si="8"/>
        <v>1.0342630619035376</v>
      </c>
      <c r="H17" s="39">
        <f t="shared" si="8"/>
        <v>8.3750802550123141E-2</v>
      </c>
      <c r="I17" s="39">
        <f t="shared" si="8"/>
        <v>7.6034051901425884E-2</v>
      </c>
    </row>
    <row r="19" spans="2:9" ht="14" x14ac:dyDescent="0.3">
      <c r="B19" s="22" t="s">
        <v>223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224</v>
      </c>
    </row>
    <row r="21" spans="2:9" ht="14" x14ac:dyDescent="0.3">
      <c r="B21" s="4" t="s">
        <v>225</v>
      </c>
      <c r="C21" s="5">
        <v>143584</v>
      </c>
    </row>
    <row r="22" spans="2:9" ht="14" x14ac:dyDescent="0.3">
      <c r="B22" s="4" t="s">
        <v>226</v>
      </c>
      <c r="C22" s="5">
        <v>7468</v>
      </c>
    </row>
    <row r="23" spans="2:9" ht="14" x14ac:dyDescent="0.3">
      <c r="B23" s="4" t="s">
        <v>227</v>
      </c>
      <c r="C23" s="15">
        <v>301296860</v>
      </c>
    </row>
    <row r="24" spans="2:9" ht="14" x14ac:dyDescent="0.3">
      <c r="B24" s="4" t="s">
        <v>68</v>
      </c>
      <c r="C24" s="5">
        <v>177641</v>
      </c>
    </row>
    <row r="26" spans="2:9" ht="14" x14ac:dyDescent="0.3">
      <c r="B26" s="3" t="s">
        <v>228</v>
      </c>
    </row>
    <row r="27" spans="2:9" ht="14" x14ac:dyDescent="0.3">
      <c r="B27" s="4" t="s">
        <v>229</v>
      </c>
      <c r="C27" s="24">
        <f>ROUND((C21*D16-C24)*1000000/C23,0)</f>
        <v>3559</v>
      </c>
    </row>
    <row r="28" spans="2:9" ht="14" x14ac:dyDescent="0.3">
      <c r="B28" s="4" t="s">
        <v>230</v>
      </c>
      <c r="C28" s="24">
        <f>ROUND(C22*F16*1000000/C23,0)</f>
        <v>474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231</v>
      </c>
    </row>
    <row r="3" spans="2:9" ht="14" x14ac:dyDescent="0.3">
      <c r="B3" s="4" t="s">
        <v>232</v>
      </c>
      <c r="C3" s="16">
        <f>'DCF Model'!C26</f>
        <v>7.3349057318088884E-2</v>
      </c>
      <c r="E3" s="4" t="s">
        <v>233</v>
      </c>
      <c r="F3" s="16">
        <f>'DCF Model'!C13</f>
        <v>0.01</v>
      </c>
      <c r="H3" s="4" t="s">
        <v>234</v>
      </c>
      <c r="I3" s="14">
        <f>'DCF Model'!C14</f>
        <v>8.6999999999999993</v>
      </c>
    </row>
    <row r="5" spans="2:9" ht="14" x14ac:dyDescent="0.3">
      <c r="B5" s="3" t="s">
        <v>235</v>
      </c>
    </row>
    <row r="6" spans="2:9" ht="14" x14ac:dyDescent="0.3">
      <c r="B6" s="40" t="s">
        <v>236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5.8349057318088884E-2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2409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2522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2646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2783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2935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3104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3294</v>
      </c>
    </row>
    <row r="8" spans="2:9" ht="13.5" x14ac:dyDescent="0.25">
      <c r="B8" s="39">
        <f>$C$3-0.01</f>
        <v>6.3349057318088889E-2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2169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2262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2364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2475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2597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2732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2882</v>
      </c>
    </row>
    <row r="9" spans="2:9" ht="13.5" x14ac:dyDescent="0.25">
      <c r="B9" s="39">
        <f>$C$3-0.005</f>
        <v>6.8349057318088879E-2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1966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2044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2129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2221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2321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2430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2550</v>
      </c>
    </row>
    <row r="10" spans="2:9" ht="13.5" x14ac:dyDescent="0.25">
      <c r="B10" s="39">
        <f>$C$3</f>
        <v>7.3349057318088884E-2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1792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1858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1929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2006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2089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2180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2278</v>
      </c>
    </row>
    <row r="11" spans="2:9" ht="13.5" x14ac:dyDescent="0.25">
      <c r="B11" s="39">
        <f>$C$3+0.005</f>
        <v>7.8349057318088888E-2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1641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1697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1758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1823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1893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1969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2051</v>
      </c>
    </row>
    <row r="12" spans="2:9" ht="13.5" x14ac:dyDescent="0.25">
      <c r="B12" s="39">
        <f>$C$3+0.01</f>
        <v>8.3349057318088879E-2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1508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1557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1609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1665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1725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1789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1858</v>
      </c>
    </row>
    <row r="13" spans="2:9" ht="13.5" x14ac:dyDescent="0.25">
      <c r="B13" s="39">
        <f>$C$3+0.015</f>
        <v>8.8349057318088883E-2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1391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1434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1479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1527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1578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1633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1692</v>
      </c>
    </row>
    <row r="16" spans="2:9" ht="14" x14ac:dyDescent="0.3">
      <c r="B16" s="3" t="s">
        <v>237</v>
      </c>
    </row>
    <row r="17" spans="2:9" ht="14" x14ac:dyDescent="0.3">
      <c r="B17" s="40" t="s">
        <v>238</v>
      </c>
      <c r="C17" s="42">
        <f>$I$3-3</f>
        <v>5.6999999999999993</v>
      </c>
      <c r="D17" s="42">
        <f>$I$3-2</f>
        <v>6.6999999999999993</v>
      </c>
      <c r="E17" s="42">
        <f>$I$3-1</f>
        <v>7.6999999999999993</v>
      </c>
      <c r="F17" s="42">
        <f>$I$3</f>
        <v>8.6999999999999993</v>
      </c>
      <c r="G17" s="42">
        <f>$I$3+1</f>
        <v>9.6999999999999993</v>
      </c>
      <c r="H17" s="42">
        <f>$I$3+2</f>
        <v>10.7</v>
      </c>
      <c r="I17" s="42">
        <f>$I$3+3</f>
        <v>11.7</v>
      </c>
    </row>
    <row r="18" spans="2:9" ht="13.5" x14ac:dyDescent="0.25">
      <c r="B18" s="39">
        <f>$C$3-0.015</f>
        <v>5.8349057318088884E-2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2740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3199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3658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4117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4576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5035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5494</v>
      </c>
    </row>
    <row r="19" spans="2:9" ht="13.5" x14ac:dyDescent="0.25">
      <c r="B19" s="39">
        <f>$C$3-0.01</f>
        <v>6.3349057318088889E-2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2678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3127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3576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4026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4475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4924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5374</v>
      </c>
    </row>
    <row r="20" spans="2:9" ht="13.5" x14ac:dyDescent="0.25">
      <c r="B20" s="39">
        <f>$C$3-0.005</f>
        <v>6.8349057318088879E-2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2617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3057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3497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3936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4376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4816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5256</v>
      </c>
    </row>
    <row r="21" spans="2:9" ht="13.5" x14ac:dyDescent="0.25">
      <c r="B21" s="39">
        <f>$C$3</f>
        <v>7.3349057318088884E-2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2557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2988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3419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3850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4280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4711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5142</v>
      </c>
    </row>
    <row r="22" spans="2:9" ht="13.5" x14ac:dyDescent="0.25">
      <c r="B22" s="39">
        <f>$C$3+0.005</f>
        <v>7.8349057318088888E-2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2499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2921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3343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3765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4187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4608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5030</v>
      </c>
    </row>
    <row r="23" spans="2:9" ht="13.5" x14ac:dyDescent="0.25">
      <c r="B23" s="39">
        <f>$C$3+0.01</f>
        <v>8.3349057318088879E-2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2442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2856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3269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3682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4095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4508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4922</v>
      </c>
    </row>
    <row r="24" spans="2:9" ht="13.5" x14ac:dyDescent="0.25">
      <c r="B24" s="39">
        <f>$C$3+0.015</f>
        <v>8.8349057318088883E-2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2387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2792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3197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3601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4006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4411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4815</v>
      </c>
    </row>
    <row r="26" spans="2:9" ht="14" x14ac:dyDescent="0.3">
      <c r="B26" s="45" t="s">
        <v>239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240</v>
      </c>
    </row>
    <row r="4" spans="2:7" ht="14" x14ac:dyDescent="0.3">
      <c r="B4" s="10" t="s">
        <v>241</v>
      </c>
      <c r="C4" s="10" t="s">
        <v>242</v>
      </c>
      <c r="D4" s="10" t="s">
        <v>243</v>
      </c>
      <c r="E4" s="10" t="s">
        <v>244</v>
      </c>
      <c r="F4" s="10" t="s">
        <v>245</v>
      </c>
      <c r="G4" s="10" t="s">
        <v>246</v>
      </c>
    </row>
    <row r="5" spans="2:7" x14ac:dyDescent="0.2">
      <c r="B5" t="s">
        <v>247</v>
      </c>
      <c r="C5" t="s">
        <v>248</v>
      </c>
      <c r="D5" t="s">
        <v>249</v>
      </c>
      <c r="E5" t="s">
        <v>250</v>
      </c>
      <c r="F5" t="s">
        <v>248</v>
      </c>
      <c r="G5" t="s">
        <v>251</v>
      </c>
    </row>
    <row r="6" spans="2:7" ht="30" customHeight="1" x14ac:dyDescent="0.3">
      <c r="B6" t="s">
        <v>247</v>
      </c>
      <c r="C6" s="4" t="s">
        <v>252</v>
      </c>
      <c r="D6" t="s">
        <v>253</v>
      </c>
      <c r="E6" t="s">
        <v>254</v>
      </c>
      <c r="F6" t="s">
        <v>255</v>
      </c>
      <c r="G6" t="s">
        <v>256</v>
      </c>
    </row>
    <row r="7" spans="2:7" ht="30" customHeight="1" x14ac:dyDescent="0.3">
      <c r="B7" t="s">
        <v>247</v>
      </c>
      <c r="C7" s="4" t="s">
        <v>257</v>
      </c>
      <c r="D7" t="s">
        <v>258</v>
      </c>
      <c r="E7" t="s">
        <v>259</v>
      </c>
      <c r="F7" t="s">
        <v>260</v>
      </c>
      <c r="G7" t="s">
        <v>261</v>
      </c>
    </row>
    <row r="12" spans="2:7" ht="14" x14ac:dyDescent="0.3">
      <c r="B12" s="8" t="s">
        <v>262</v>
      </c>
    </row>
    <row r="13" spans="2:7" ht="14" x14ac:dyDescent="0.3">
      <c r="B13" s="10" t="s">
        <v>263</v>
      </c>
      <c r="C13" s="10" t="s">
        <v>264</v>
      </c>
    </row>
    <row r="14" spans="2:7" ht="14" x14ac:dyDescent="0.3">
      <c r="B14" s="4" t="s">
        <v>265</v>
      </c>
      <c r="C14" t="s">
        <v>266</v>
      </c>
    </row>
    <row r="15" spans="2:7" ht="14" x14ac:dyDescent="0.3">
      <c r="B15" s="4" t="s">
        <v>267</v>
      </c>
      <c r="C15" t="s">
        <v>268</v>
      </c>
    </row>
    <row r="16" spans="2:7" ht="14" x14ac:dyDescent="0.3">
      <c r="B16" s="4" t="s">
        <v>269</v>
      </c>
      <c r="C16" t="s">
        <v>270</v>
      </c>
    </row>
    <row r="17" spans="2:3" ht="14" x14ac:dyDescent="0.3">
      <c r="B17" s="4" t="s">
        <v>271</v>
      </c>
      <c r="C17" t="s">
        <v>268</v>
      </c>
    </row>
    <row r="18" spans="2:3" ht="14" x14ac:dyDescent="0.3">
      <c r="B18" s="4" t="s">
        <v>272</v>
      </c>
      <c r="C18" t="s">
        <v>273</v>
      </c>
    </row>
    <row r="19" spans="2:3" ht="14" x14ac:dyDescent="0.3">
      <c r="B19" s="4" t="s">
        <v>274</v>
      </c>
      <c r="C19" t="s">
        <v>275</v>
      </c>
    </row>
    <row r="20" spans="2:3" ht="14" x14ac:dyDescent="0.3">
      <c r="B20" s="4" t="s">
        <v>276</v>
      </c>
      <c r="C20" t="s">
        <v>277</v>
      </c>
    </row>
    <row r="21" spans="2:3" ht="14" x14ac:dyDescent="0.3">
      <c r="B21" s="4" t="s">
        <v>278</v>
      </c>
      <c r="C21" t="s">
        <v>279</v>
      </c>
    </row>
    <row r="22" spans="2:3" ht="14" x14ac:dyDescent="0.3">
      <c r="B22" s="4" t="s">
        <v>280</v>
      </c>
      <c r="C22" t="s">
        <v>281</v>
      </c>
    </row>
    <row r="23" spans="2:3" ht="14" x14ac:dyDescent="0.3">
      <c r="B23" s="4" t="s">
        <v>282</v>
      </c>
      <c r="C23" t="s">
        <v>4</v>
      </c>
    </row>
    <row r="24" spans="2:3" ht="14" x14ac:dyDescent="0.3">
      <c r="B24" s="4" t="s">
        <v>283</v>
      </c>
      <c r="C24" t="s">
        <v>247</v>
      </c>
    </row>
    <row r="25" spans="2:3" ht="14" x14ac:dyDescent="0.3">
      <c r="B25" s="4" t="s">
        <v>284</v>
      </c>
      <c r="C25" t="s">
        <v>285</v>
      </c>
    </row>
    <row r="26" spans="2:3" ht="14" x14ac:dyDescent="0.3">
      <c r="B26" s="4" t="s">
        <v>286</v>
      </c>
      <c r="C26" t="s">
        <v>273</v>
      </c>
    </row>
    <row r="27" spans="2:3" ht="14" x14ac:dyDescent="0.3">
      <c r="B27" s="4" t="s">
        <v>287</v>
      </c>
      <c r="C27" t="s">
        <v>273</v>
      </c>
    </row>
    <row r="28" spans="2:3" ht="14" x14ac:dyDescent="0.3">
      <c r="B28" s="4" t="s">
        <v>288</v>
      </c>
      <c r="C28" t="s">
        <v>289</v>
      </c>
    </row>
    <row r="29" spans="2:3" ht="14" x14ac:dyDescent="0.3">
      <c r="B29" s="4" t="s">
        <v>290</v>
      </c>
      <c r="C29" t="s">
        <v>291</v>
      </c>
    </row>
    <row r="30" spans="2:3" ht="14" x14ac:dyDescent="0.3">
      <c r="B30" s="4" t="s">
        <v>292</v>
      </c>
      <c r="C30" t="s">
        <v>293</v>
      </c>
    </row>
    <row r="31" spans="2:3" ht="14" x14ac:dyDescent="0.3">
      <c r="B31" s="4" t="s">
        <v>294</v>
      </c>
      <c r="C31" t="s">
        <v>289</v>
      </c>
    </row>
    <row r="32" spans="2:3" ht="14" x14ac:dyDescent="0.3">
      <c r="B32" s="4" t="s">
        <v>295</v>
      </c>
      <c r="C32" t="s">
        <v>273</v>
      </c>
    </row>
    <row r="33" spans="2:3" ht="14" x14ac:dyDescent="0.3">
      <c r="B33" s="4" t="s">
        <v>296</v>
      </c>
      <c r="C33" t="s">
        <v>285</v>
      </c>
    </row>
    <row r="34" spans="2:3" ht="14" x14ac:dyDescent="0.3">
      <c r="B34" s="4" t="s">
        <v>297</v>
      </c>
      <c r="C34" t="s">
        <v>298</v>
      </c>
    </row>
    <row r="35" spans="2:3" ht="14" x14ac:dyDescent="0.3">
      <c r="B35" s="4" t="s">
        <v>299</v>
      </c>
      <c r="C35" t="s">
        <v>300</v>
      </c>
    </row>
    <row r="36" spans="2:3" ht="14" x14ac:dyDescent="0.3">
      <c r="B36" s="4" t="s">
        <v>301</v>
      </c>
      <c r="C36" t="s">
        <v>302</v>
      </c>
    </row>
    <row r="37" spans="2:3" ht="14" x14ac:dyDescent="0.3">
      <c r="B37" s="4" t="s">
        <v>303</v>
      </c>
      <c r="C37" t="s">
        <v>304</v>
      </c>
    </row>
    <row r="38" spans="2:3" ht="14" x14ac:dyDescent="0.3">
      <c r="B38" s="4" t="s">
        <v>305</v>
      </c>
      <c r="C38" t="s">
        <v>306</v>
      </c>
    </row>
    <row r="39" spans="2:3" ht="14" x14ac:dyDescent="0.3">
      <c r="B39" s="4" t="s">
        <v>307</v>
      </c>
      <c r="C39" t="s">
        <v>308</v>
      </c>
    </row>
    <row r="40" spans="2:3" ht="14" x14ac:dyDescent="0.3">
      <c r="B40" s="4" t="s">
        <v>309</v>
      </c>
      <c r="C40" t="s">
        <v>310</v>
      </c>
    </row>
    <row r="41" spans="2:3" ht="14" x14ac:dyDescent="0.3">
      <c r="B41" s="4" t="s">
        <v>311</v>
      </c>
      <c r="C41" t="s">
        <v>312</v>
      </c>
    </row>
    <row r="42" spans="2:3" ht="14" x14ac:dyDescent="0.3">
      <c r="B42" s="4" t="s">
        <v>313</v>
      </c>
      <c r="C42" t="s">
        <v>314</v>
      </c>
    </row>
    <row r="43" spans="2:3" ht="14" x14ac:dyDescent="0.3">
      <c r="B43" s="4" t="s">
        <v>315</v>
      </c>
      <c r="C43" t="s">
        <v>316</v>
      </c>
    </row>
    <row r="44" spans="2:3" ht="14" x14ac:dyDescent="0.3">
      <c r="B44" s="4" t="s">
        <v>317</v>
      </c>
      <c r="C44" t="s">
        <v>277</v>
      </c>
    </row>
    <row r="45" spans="2:3" ht="14" x14ac:dyDescent="0.3">
      <c r="B45" s="4" t="s">
        <v>318</v>
      </c>
      <c r="C45" t="s">
        <v>319</v>
      </c>
    </row>
    <row r="46" spans="2:3" ht="14" x14ac:dyDescent="0.3">
      <c r="B46" s="4" t="s">
        <v>320</v>
      </c>
      <c r="C46" t="s">
        <v>321</v>
      </c>
    </row>
    <row r="47" spans="2:3" ht="14" x14ac:dyDescent="0.3">
      <c r="B47" s="4" t="s">
        <v>322</v>
      </c>
      <c r="C47" t="s">
        <v>323</v>
      </c>
    </row>
    <row r="48" spans="2:3" ht="14" x14ac:dyDescent="0.3">
      <c r="B48" s="4" t="s">
        <v>324</v>
      </c>
      <c r="C48" t="s">
        <v>325</v>
      </c>
    </row>
    <row r="49" spans="2:3" ht="14" x14ac:dyDescent="0.3">
      <c r="B49" s="4" t="s">
        <v>326</v>
      </c>
      <c r="C49" t="s">
        <v>327</v>
      </c>
    </row>
    <row r="50" spans="2:3" ht="14" x14ac:dyDescent="0.3">
      <c r="B50" s="4" t="s">
        <v>328</v>
      </c>
      <c r="C50" t="s">
        <v>329</v>
      </c>
    </row>
    <row r="51" spans="2:3" ht="14" x14ac:dyDescent="0.3">
      <c r="B51" s="4" t="s">
        <v>330</v>
      </c>
      <c r="C51" t="s">
        <v>331</v>
      </c>
    </row>
    <row r="52" spans="2:3" ht="14" x14ac:dyDescent="0.3">
      <c r="B52" s="4" t="s">
        <v>332</v>
      </c>
      <c r="C52" t="s">
        <v>333</v>
      </c>
    </row>
    <row r="53" spans="2:3" ht="14" x14ac:dyDescent="0.3">
      <c r="B53" s="4" t="s">
        <v>334</v>
      </c>
      <c r="C53" t="s">
        <v>335</v>
      </c>
    </row>
    <row r="54" spans="2:3" ht="14" x14ac:dyDescent="0.3">
      <c r="B54" s="4" t="s">
        <v>336</v>
      </c>
      <c r="C54" t="s">
        <v>337</v>
      </c>
    </row>
    <row r="55" spans="2:3" ht="14" x14ac:dyDescent="0.3">
      <c r="B55" s="4" t="s">
        <v>338</v>
      </c>
      <c r="C55" t="s">
        <v>339</v>
      </c>
    </row>
    <row r="56" spans="2:3" ht="14" x14ac:dyDescent="0.3">
      <c r="B56" s="4" t="s">
        <v>340</v>
      </c>
      <c r="C56" t="s">
        <v>341</v>
      </c>
    </row>
    <row r="57" spans="2:3" ht="14" x14ac:dyDescent="0.3">
      <c r="B57" s="4" t="s">
        <v>342</v>
      </c>
      <c r="C57" t="s">
        <v>343</v>
      </c>
    </row>
    <row r="58" spans="2:3" ht="14" x14ac:dyDescent="0.3">
      <c r="B58" s="4" t="s">
        <v>344</v>
      </c>
      <c r="C58" t="s">
        <v>345</v>
      </c>
    </row>
    <row r="59" spans="2:3" ht="14" x14ac:dyDescent="0.3">
      <c r="B59" s="4" t="s">
        <v>346</v>
      </c>
      <c r="C59" t="s">
        <v>347</v>
      </c>
    </row>
    <row r="60" spans="2:3" ht="14" x14ac:dyDescent="0.3">
      <c r="B60" s="4" t="s">
        <v>348</v>
      </c>
      <c r="C60" t="s">
        <v>349</v>
      </c>
    </row>
    <row r="61" spans="2:3" ht="14" x14ac:dyDescent="0.3">
      <c r="B61" s="4" t="s">
        <v>350</v>
      </c>
      <c r="C61" t="s">
        <v>351</v>
      </c>
    </row>
    <row r="62" spans="2:3" ht="14" x14ac:dyDescent="0.3">
      <c r="B62" s="4" t="s">
        <v>352</v>
      </c>
      <c r="C62" t="s">
        <v>353</v>
      </c>
    </row>
    <row r="63" spans="2:3" ht="14" x14ac:dyDescent="0.3">
      <c r="B63" s="4" t="s">
        <v>354</v>
      </c>
      <c r="C63" t="s">
        <v>355</v>
      </c>
    </row>
    <row r="64" spans="2:3" ht="14" x14ac:dyDescent="0.3">
      <c r="B64" s="4" t="s">
        <v>356</v>
      </c>
      <c r="C64" t="s">
        <v>208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2026-09-06T09:50:55Z</dcterms:created>
  <dcterms:modified xsi:type="dcterms:W3CDTF">2026-09-06T09:50:58Z</dcterms:modified>
</cp:coreProperties>
</file>