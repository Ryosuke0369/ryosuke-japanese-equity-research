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 &amp; Thesis" sheetId="1" state="visible" r:id="rId3"/>
    <sheet name="Segment Data" sheetId="2" state="visible" r:id="rId4"/>
    <sheet name="Peer Comps" sheetId="3" state="visible" r:id="rId5"/>
    <sheet name="SOTP Valuation" sheetId="4" state="visible" r:id="rId6"/>
    <sheet name="Sensitivity" sheetId="5" state="visible" r:id="rId7"/>
    <sheet name="D&amp;A Alloc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<sst xmlns="http://schemas.openxmlformats.org/spreadsheetml/2006/main" count="201" uniqueCount="170">
  <si>
    <t xml:space="preserve">IHI Corporation (7013.T) — Sum-of-the-Parts Valuation</t>
  </si>
  <si>
    <t xml:space="preserve">Prepared by:</t>
  </si>
  <si>
    <t xml:space="preserve">Ryosuke | Independent Equity Research</t>
  </si>
  <si>
    <t xml:space="preserve">Date:</t>
  </si>
  <si>
    <t xml:space="preserve">April 2026</t>
  </si>
  <si>
    <t xml:space="preserve">Data Source:</t>
  </si>
  <si>
    <r>
      <rPr>
        <sz val="10"/>
        <rFont val="Arial"/>
        <family val="0"/>
        <charset val="1"/>
      </rPr>
      <t xml:space="preserve">FY2025/3 </t>
    </r>
    <r>
      <rPr>
        <sz val="10"/>
        <rFont val="Noto Sans CJK SC"/>
        <family val="2"/>
      </rPr>
      <t xml:space="preserve">通期決算 </t>
    </r>
    <r>
      <rPr>
        <sz val="10"/>
        <rFont val="Arial"/>
        <family val="0"/>
        <charset val="1"/>
      </rPr>
      <t xml:space="preserve">+ FY2026/3 3Q</t>
    </r>
    <r>
      <rPr>
        <sz val="10"/>
        <rFont val="Noto Sans CJK SC"/>
        <family val="2"/>
      </rPr>
      <t xml:space="preserve">決算短信</t>
    </r>
  </si>
  <si>
    <t xml:space="preserve">Investment Thesis</t>
  </si>
  <si>
    <t xml:space="preserve">IHI's consolidated valuation obscures the dramatic value concentration in its Aero Engine segment.</t>
  </si>
  <si>
    <t xml:space="preserve">SOTP analysis reveals that ~77% of enterprise value derives from the Aerospace &amp; Defense segment (OPM 22%),</t>
  </si>
  <si>
    <t xml:space="preserve">while Social Infrastructure (OPM ~0%) and Industrial Systems (OPM 5.7%) dilute the consolidated multiple.</t>
  </si>
  <si>
    <t xml:space="preserve">Key Findings</t>
  </si>
  <si>
    <t xml:space="preserve">1. Aerospace &amp; Defense segment alone justifies ¥2,400-3,200 per share (post-split)</t>
  </si>
  <si>
    <t xml:space="preserve">2. Conglomerate discount of 10-15% is appropriate given segment margin disparity</t>
  </si>
  <si>
    <t xml:space="preserve">3. SOTP fair value range: ¥2,570 - ¥3,549 (post-split, 7:1 adjusted)</t>
  </si>
  <si>
    <t xml:space="preserve">4. Cross-check: SOTP base case (¥3,122) sits between DCF-PGM (¥1,982) and DCF-Exit (¥3,463)</t>
  </si>
  <si>
    <t xml:space="preserve">Valuation Summary</t>
  </si>
  <si>
    <t xml:space="preserve">Method</t>
  </si>
  <si>
    <t xml:space="preserve">Fair Value (post-split)</t>
  </si>
  <si>
    <t xml:space="preserve">vs Current Price</t>
  </si>
  <si>
    <t xml:space="preserve">DCF — PGM</t>
  </si>
  <si>
    <t xml:space="preserve">¥1,982</t>
  </si>
  <si>
    <t xml:space="preserve">Below</t>
  </si>
  <si>
    <t xml:space="preserve">DCF — Exit Multiple (15x)</t>
  </si>
  <si>
    <t xml:space="preserve">¥3,463</t>
  </si>
  <si>
    <t xml:space="preserve">Above</t>
  </si>
  <si>
    <t xml:space="preserve">Comps — EV/EBITDA</t>
  </si>
  <si>
    <t xml:space="preserve">¥3,794</t>
  </si>
  <si>
    <t xml:space="preserve">Comps — PER</t>
  </si>
  <si>
    <t xml:space="preserve">¥4,973</t>
  </si>
  <si>
    <t xml:space="preserve">SOTP — Base Case</t>
  </si>
  <si>
    <t xml:space="preserve">¥3,122</t>
  </si>
  <si>
    <t xml:space="preserve">See Sensitivity</t>
  </si>
  <si>
    <t xml:space="preserve">SOTP — w/ 10% Discount</t>
  </si>
  <si>
    <t xml:space="preserve">¥2,846</t>
  </si>
  <si>
    <t xml:space="preserve">IHI Segment Financial Data</t>
  </si>
  <si>
    <t xml:space="preserve">FY23 Actual</t>
  </si>
  <si>
    <t xml:space="preserve">FY24 Actual</t>
  </si>
  <si>
    <t xml:space="preserve">FY25E (Guidance)</t>
  </si>
  <si>
    <t xml:space="preserve">FY25E OPM</t>
  </si>
  <si>
    <r>
      <rPr>
        <sz val="10"/>
        <color rgb="FF000000"/>
        <rFont val="Arial"/>
        <family val="0"/>
        <charset val="1"/>
      </rPr>
      <t xml:space="preserve">Revenue (</t>
    </r>
    <r>
      <rPr>
        <sz val="10"/>
        <color rgb="FF000000"/>
        <rFont val="Noto Sans CJK SC"/>
        <family val="2"/>
      </rPr>
      <t xml:space="preserve">売上収益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</si>
  <si>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Aero, Space &amp; Defense (</t>
    </r>
    <r>
      <rPr>
        <sz val="10"/>
        <color rgb="FF000000"/>
        <rFont val="Noto Sans CJK SC"/>
        <family val="2"/>
      </rPr>
      <t xml:space="preserve">航空・宇宙・防衛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</si>
  <si>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Resources, Energy &amp; Environment (</t>
    </r>
    <r>
      <rPr>
        <sz val="10"/>
        <color rgb="FF000000"/>
        <rFont val="Noto Sans CJK SC"/>
        <family val="2"/>
      </rPr>
      <t xml:space="preserve">資源・エネ・環境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</si>
  <si>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Industrial Systems &amp; General Machinery (</t>
    </r>
    <r>
      <rPr>
        <sz val="10"/>
        <color rgb="FF000000"/>
        <rFont val="Noto Sans CJK SC"/>
        <family val="2"/>
      </rPr>
      <t xml:space="preserve">産業システム・汎用機械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</si>
  <si>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Social Infrastructure (</t>
    </r>
    <r>
      <rPr>
        <sz val="10"/>
        <color rgb="FF000000"/>
        <rFont val="Noto Sans CJK SC"/>
        <family val="2"/>
      </rPr>
      <t xml:space="preserve">社会基盤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</si>
  <si>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Other / Adjustments (</t>
    </r>
    <r>
      <rPr>
        <sz val="10"/>
        <color rgb="FF000000"/>
        <rFont val="Noto Sans CJK SC"/>
        <family val="2"/>
      </rPr>
      <t xml:space="preserve">その他・調整</t>
    </r>
    <r>
      <rPr>
        <sz val="10"/>
        <color rgb="FF000000"/>
        <rFont val="Arial"/>
        <family val="0"/>
        <charset val="1"/>
      </rPr>
      <t xml:space="preserve">)</t>
    </r>
  </si>
  <si>
    <t xml:space="preserve">  Consolidated Total</t>
  </si>
  <si>
    <r>
      <rPr>
        <sz val="10"/>
        <color rgb="FF000000"/>
        <rFont val="Arial"/>
        <family val="0"/>
        <charset val="1"/>
      </rPr>
      <t xml:space="preserve">Operating Profit (</t>
    </r>
    <r>
      <rPr>
        <sz val="10"/>
        <color rgb="FF000000"/>
        <rFont val="Noto Sans CJK SC"/>
        <family val="2"/>
      </rPr>
      <t xml:space="preserve">営業利益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</si>
  <si>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t xml:space="preserve">  Aero, Space &amp; Defense</t>
  </si>
  <si>
    <t xml:space="preserve">  Resources, Energy &amp; Environment</t>
  </si>
  <si>
    <t xml:space="preserve">  Industrial Systems &amp; General Machinery</t>
  </si>
  <si>
    <t xml:space="preserve">  Social Infrastructure</t>
  </si>
  <si>
    <t xml:space="preserve">  Other / Adjustments</t>
  </si>
  <si>
    <t xml:space="preserve">Data Sources:</t>
  </si>
  <si>
    <r>
      <rPr>
        <sz val="9"/>
        <color rgb="FF666666"/>
        <rFont val="Arial"/>
        <family val="0"/>
        <charset val="1"/>
      </rPr>
      <t xml:space="preserve">FY24: 2025</t>
    </r>
    <r>
      <rPr>
        <sz val="9"/>
        <color rgb="FF666666"/>
        <rFont val="Noto Sans CJK SC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Noto Sans CJK SC"/>
        <family val="2"/>
      </rPr>
      <t xml:space="preserve">月期 決算短信 </t>
    </r>
    <r>
      <rPr>
        <sz val="9"/>
        <color rgb="FF666666"/>
        <rFont val="Arial"/>
        <family val="0"/>
        <charset val="1"/>
      </rPr>
      <t xml:space="preserve">(2025/5/8)</t>
    </r>
  </si>
  <si>
    <r>
      <rPr>
        <sz val="9"/>
        <color rgb="FF666666"/>
        <rFont val="Arial"/>
        <family val="0"/>
        <charset val="1"/>
      </rPr>
      <t xml:space="preserve">FY25E: 2026</t>
    </r>
    <r>
      <rPr>
        <sz val="9"/>
        <color rgb="FF666666"/>
        <rFont val="Noto Sans CJK SC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Noto Sans CJK SC"/>
        <family val="2"/>
      </rPr>
      <t xml:space="preserve">月期 </t>
    </r>
    <r>
      <rPr>
        <sz val="9"/>
        <color rgb="FF666666"/>
        <rFont val="Arial"/>
        <family val="0"/>
        <charset val="1"/>
      </rPr>
      <t xml:space="preserve">3Q</t>
    </r>
    <r>
      <rPr>
        <sz val="9"/>
        <color rgb="FF666666"/>
        <rFont val="Noto Sans CJK SC"/>
        <family val="2"/>
      </rPr>
      <t xml:space="preserve">決算説明資料 </t>
    </r>
    <r>
      <rPr>
        <sz val="9"/>
        <color rgb="FF666666"/>
        <rFont val="Arial"/>
        <family val="0"/>
        <charset val="1"/>
      </rPr>
      <t xml:space="preserve">(2026/2/10) — </t>
    </r>
    <r>
      <rPr>
        <sz val="9"/>
        <color rgb="FF666666"/>
        <rFont val="Noto Sans CJK SC"/>
        <family val="2"/>
      </rPr>
      <t xml:space="preserve">上方修正後</t>
    </r>
  </si>
  <si>
    <r>
      <rPr>
        <sz val="9"/>
        <color rgb="FF666666"/>
        <rFont val="Arial"/>
        <family val="0"/>
        <charset val="1"/>
      </rPr>
      <t xml:space="preserve">FY23: FY24</t>
    </r>
    <r>
      <rPr>
        <sz val="9"/>
        <color rgb="FF666666"/>
        <rFont val="Noto Sans CJK SC"/>
        <family val="2"/>
      </rPr>
      <t xml:space="preserve">決算説明資料の</t>
    </r>
    <r>
      <rPr>
        <sz val="9"/>
        <color rgb="FF666666"/>
        <rFont val="Arial"/>
        <family val="0"/>
        <charset val="1"/>
      </rPr>
      <t xml:space="preserve">Appendix (PW1100G</t>
    </r>
    <r>
      <rPr>
        <sz val="9"/>
        <color rgb="FF666666"/>
        <rFont val="Noto Sans CJK SC"/>
        <family val="2"/>
      </rPr>
      <t xml:space="preserve">特別要因除くベース</t>
    </r>
    <r>
      <rPr>
        <sz val="9"/>
        <color rgb="FF666666"/>
        <rFont val="Arial"/>
        <family val="0"/>
        <charset val="1"/>
      </rPr>
      <t xml:space="preserve">)</t>
    </r>
  </si>
  <si>
    <t xml:space="preserve">Peer Company Multiples by Segment</t>
  </si>
  <si>
    <t xml:space="preserve">Aerospace &amp; Defense Peers</t>
  </si>
  <si>
    <t xml:space="preserve">Company</t>
  </si>
  <si>
    <t xml:space="preserve">Ticker</t>
  </si>
  <si>
    <t xml:space="preserve">EV/EBITDA</t>
  </si>
  <si>
    <t xml:space="preserve">EV/Revenue</t>
  </si>
  <si>
    <t xml:space="preserve">OPM</t>
  </si>
  <si>
    <t xml:space="preserve">Market Cap ($B)</t>
  </si>
  <si>
    <t xml:space="preserve">Notes</t>
  </si>
  <si>
    <t xml:space="preserve">Safran</t>
  </si>
  <si>
    <t xml:space="preserve">SAF.PA</t>
  </si>
  <si>
    <t xml:space="preserve">CFM LEAP, MRO, Defense</t>
  </si>
  <si>
    <t xml:space="preserve">MTU Aero Engines</t>
  </si>
  <si>
    <t xml:space="preserve">MTX.DE</t>
  </si>
  <si>
    <t xml:space="preserve">V2500/PW1100G partner</t>
  </si>
  <si>
    <t xml:space="preserve">Rolls-Royce</t>
  </si>
  <si>
    <t xml:space="preserve">RR.L</t>
  </si>
  <si>
    <t xml:space="preserve">Large engine, V-shape recovery</t>
  </si>
  <si>
    <t xml:space="preserve">TransDigm</t>
  </si>
  <si>
    <t xml:space="preserve">TDG</t>
  </si>
  <si>
    <t xml:space="preserve">Aftermarket monopoly — EXCLUDED</t>
  </si>
  <si>
    <t xml:space="preserve">Median (excl. TransDigm)</t>
  </si>
  <si>
    <t xml:space="preserve">Energy / Nuclear Peers</t>
  </si>
  <si>
    <t xml:space="preserve">Siemens Energy</t>
  </si>
  <si>
    <t xml:space="preserve">ENR.DE</t>
  </si>
  <si>
    <t xml:space="preserve">Gas turbine, grid</t>
  </si>
  <si>
    <t xml:space="preserve">MHI (Energy seg.)</t>
  </si>
  <si>
    <t xml:space="preserve">7011.T</t>
  </si>
  <si>
    <t xml:space="preserve">Comparable segment</t>
  </si>
  <si>
    <t xml:space="preserve">BWX Technologies</t>
  </si>
  <si>
    <t xml:space="preserve">BWXT</t>
  </si>
  <si>
    <t xml:space="preserve">Nuclear — premium</t>
  </si>
  <si>
    <t xml:space="preserve">Selected Multiple</t>
  </si>
  <si>
    <t xml:space="preserve">Industrial Systems / Turbocharger Peers</t>
  </si>
  <si>
    <t xml:space="preserve">BorgWarner</t>
  </si>
  <si>
    <t xml:space="preserve">BWA</t>
  </si>
  <si>
    <t xml:space="preserve">Turbocharger OEM</t>
  </si>
  <si>
    <t xml:space="preserve">Garrett Motion</t>
  </si>
  <si>
    <t xml:space="preserve">GTX</t>
  </si>
  <si>
    <t xml:space="preserve">Turbocharger pure-play</t>
  </si>
  <si>
    <t xml:space="preserve">Komatsu</t>
  </si>
  <si>
    <t xml:space="preserve">6301.T</t>
  </si>
  <si>
    <t xml:space="preserve">Heavy machinery</t>
  </si>
  <si>
    <t xml:space="preserve">SMC Corporation</t>
  </si>
  <si>
    <t xml:space="preserve">6273.T</t>
  </si>
  <si>
    <t xml:space="preserve">Pneumatic — premium</t>
  </si>
  <si>
    <t xml:space="preserve">Social Infrastructure Peers</t>
  </si>
  <si>
    <t xml:space="preserve">Yokogawa Bridge (5911)</t>
  </si>
  <si>
    <t xml:space="preserve">Bridge construction — low margin</t>
  </si>
  <si>
    <t xml:space="preserve">Nippon Sharyo (7102)</t>
  </si>
  <si>
    <t xml:space="preserve">Sum-of-the-Parts Valuation</t>
  </si>
  <si>
    <r>
      <rPr>
        <sz val="10"/>
        <color rgb="FF666666"/>
        <rFont val="Arial"/>
        <family val="0"/>
        <charset val="1"/>
      </rPr>
      <t xml:space="preserve">FY2025/3E (2026</t>
    </r>
    <r>
      <rPr>
        <sz val="10"/>
        <color rgb="FF666666"/>
        <rFont val="Noto Sans CJK SC"/>
        <family val="2"/>
      </rPr>
      <t xml:space="preserve">年</t>
    </r>
    <r>
      <rPr>
        <sz val="10"/>
        <color rgb="FF666666"/>
        <rFont val="Arial"/>
        <family val="0"/>
        <charset val="1"/>
      </rPr>
      <t xml:space="preserve">3</t>
    </r>
    <r>
      <rPr>
        <sz val="10"/>
        <color rgb="FF666666"/>
        <rFont val="Noto Sans CJK SC"/>
        <family val="2"/>
      </rPr>
      <t xml:space="preserve">月期見通し</t>
    </r>
    <r>
      <rPr>
        <sz val="10"/>
        <color rgb="FF666666"/>
        <rFont val="Arial"/>
        <family val="0"/>
        <charset val="1"/>
      </rPr>
      <t xml:space="preserve">) </t>
    </r>
    <r>
      <rPr>
        <sz val="10"/>
        <color rgb="FF666666"/>
        <rFont val="Noto Sans CJK SC"/>
        <family val="2"/>
      </rPr>
      <t xml:space="preserve">ベース</t>
    </r>
  </si>
  <si>
    <t xml:space="preserve">Segment</t>
  </si>
  <si>
    <r>
      <rPr>
        <b val="true"/>
        <sz val="10"/>
        <color rgb="FFFFFFFF"/>
        <rFont val="Arial"/>
        <family val="0"/>
        <charset val="1"/>
      </rPr>
      <t xml:space="preserve">FY25E OP (</t>
    </r>
    <r>
      <rPr>
        <b val="true"/>
        <sz val="10"/>
        <color rgb="FFFFFFFF"/>
        <rFont val="Noto Sans CJK SC"/>
        <family val="2"/>
      </rPr>
      <t xml:space="preserve">億円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</si>
  <si>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D&amp;A Alloc. (</t>
    </r>
    <r>
      <rPr>
        <b val="true"/>
        <sz val="10"/>
        <color rgb="FFFFFFFF"/>
        <rFont val="Noto Sans CJK SC"/>
        <family val="2"/>
      </rPr>
      <t xml:space="preserve">億円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</si>
  <si>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EBITDA (</t>
    </r>
    <r>
      <rPr>
        <b val="true"/>
        <sz val="10"/>
        <color rgb="FFFFFFFF"/>
        <rFont val="Noto Sans CJK SC"/>
        <family val="2"/>
      </rPr>
      <t xml:space="preserve">億円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</si>
  <si>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Applied Multiple</t>
  </si>
  <si>
    <r>
      <rPr>
        <b val="true"/>
        <sz val="10"/>
        <color rgb="FFFFFFFF"/>
        <rFont val="Arial"/>
        <family val="0"/>
        <charset val="1"/>
      </rPr>
      <t xml:space="preserve">Segment EV (</t>
    </r>
    <r>
      <rPr>
        <b val="true"/>
        <sz val="10"/>
        <color rgb="FFFFFFFF"/>
        <rFont val="Noto Sans CJK SC"/>
        <family val="2"/>
      </rPr>
      <t xml:space="preserve">億円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</si>
  <si>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% of Total EV</t>
  </si>
  <si>
    <t xml:space="preserve">Aero, Space &amp; Defense</t>
  </si>
  <si>
    <t xml:space="preserve">Resources, Energy &amp; Environment</t>
  </si>
  <si>
    <t xml:space="preserve">Industrial Systems &amp; General Machinery</t>
  </si>
  <si>
    <t xml:space="preserve">Social Infrastructure</t>
  </si>
  <si>
    <t xml:space="preserve">Total Segment EV</t>
  </si>
  <si>
    <t xml:space="preserve">Equity Bridge</t>
  </si>
  <si>
    <r>
      <rPr>
        <sz val="10"/>
        <color rgb="FF0000FF"/>
        <rFont val="Arial"/>
        <family val="0"/>
        <charset val="1"/>
      </rPr>
      <t xml:space="preserve">(-) Net Debt (</t>
    </r>
    <r>
      <rPr>
        <sz val="10"/>
        <color rgb="FF0000FF"/>
        <rFont val="Noto Sans CJK SC"/>
        <family val="2"/>
      </rPr>
      <t xml:space="preserve">ネットデット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</si>
  <si>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9"/>
        <color rgb="FF666666"/>
        <rFont val="Arial"/>
        <family val="0"/>
        <charset val="1"/>
      </rPr>
      <t xml:space="preserve">Source: FY24</t>
    </r>
    <r>
      <rPr>
        <sz val="9"/>
        <color rgb="FF666666"/>
        <rFont val="Noto Sans CJK SC"/>
        <family val="2"/>
      </rPr>
      <t xml:space="preserve">末 </t>
    </r>
    <r>
      <rPr>
        <sz val="9"/>
        <color rgb="FF666666"/>
        <rFont val="Arial"/>
        <family val="0"/>
        <charset val="1"/>
      </rPr>
      <t xml:space="preserve">D/E 1.01x</t>
    </r>
  </si>
  <si>
    <r>
      <rPr>
        <sz val="10"/>
        <color rgb="FF0000FF"/>
        <rFont val="Arial"/>
        <family val="0"/>
        <charset val="1"/>
      </rPr>
      <t xml:space="preserve">(-) Minority Interest (</t>
    </r>
    <r>
      <rPr>
        <sz val="10"/>
        <color rgb="FF0000FF"/>
        <rFont val="Noto Sans CJK SC"/>
        <family val="2"/>
      </rPr>
      <t xml:space="preserve">少数株主持分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</si>
  <si>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9"/>
        <color rgb="FF666666"/>
        <rFont val="Arial"/>
        <family val="0"/>
        <charset val="1"/>
      </rPr>
      <t xml:space="preserve">Source: FY24</t>
    </r>
    <r>
      <rPr>
        <sz val="9"/>
        <color rgb="FF666666"/>
        <rFont val="Noto Sans CJK SC"/>
        <family val="2"/>
      </rPr>
      <t xml:space="preserve">末 </t>
    </r>
    <r>
      <rPr>
        <sz val="9"/>
        <color rgb="FF666666"/>
        <rFont val="Arial"/>
        <family val="0"/>
        <charset val="1"/>
      </rPr>
      <t xml:space="preserve">BS</t>
    </r>
  </si>
  <si>
    <r>
      <rPr>
        <sz val="10"/>
        <color rgb="FF0000FF"/>
        <rFont val="Arial"/>
        <family val="0"/>
        <charset val="1"/>
      </rPr>
      <t xml:space="preserve">(+) Equity Method Investments (</t>
    </r>
    <r>
      <rPr>
        <sz val="10"/>
        <color rgb="FF0000FF"/>
        <rFont val="Noto Sans CJK SC"/>
        <family val="2"/>
      </rPr>
      <t xml:space="preserve">持分法</t>
    </r>
    <r>
      <rPr>
        <sz val="10"/>
        <color rgb="FF0000FF"/>
        <rFont val="Arial"/>
        <family val="0"/>
        <charset val="1"/>
      </rPr>
      <t xml:space="preserve">)</t>
    </r>
  </si>
  <si>
    <t xml:space="preserve">OP 62B x 10x multiple</t>
  </si>
  <si>
    <r>
      <rPr>
        <b val="true"/>
        <sz val="10"/>
        <rFont val="Arial"/>
        <family val="0"/>
        <charset val="1"/>
      </rPr>
      <t xml:space="preserve">Equity Value (</t>
    </r>
    <r>
      <rPr>
        <b val="true"/>
        <sz val="10"/>
        <rFont val="Noto Sans CJK SC"/>
        <family val="2"/>
      </rPr>
      <t xml:space="preserve">株主価値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</si>
  <si>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Shares Outstanding (</t>
    </r>
    <r>
      <rPr>
        <sz val="10"/>
        <color rgb="FF0000FF"/>
        <rFont val="Noto Sans CJK SC"/>
        <family val="2"/>
      </rPr>
      <t xml:space="preserve">発行済</t>
    </r>
    <r>
      <rPr>
        <sz val="10"/>
        <color rgb="FF0000FF"/>
        <rFont val="Arial"/>
        <family val="0"/>
        <charset val="1"/>
      </rPr>
      <t xml:space="preserve">, </t>
    </r>
    <r>
      <rPr>
        <sz val="10"/>
        <color rgb="FF0000FF"/>
        <rFont val="Noto Sans CJK SC"/>
        <family val="2"/>
      </rPr>
      <t xml:space="preserve">千株</t>
    </r>
    <r>
      <rPr>
        <sz val="10"/>
        <color rgb="FF0000FF"/>
        <rFont val="Arial"/>
        <family val="0"/>
        <charset val="1"/>
      </rPr>
      <t xml:space="preserve">)</t>
    </r>
  </si>
  <si>
    <t xml:space="preserve">ex-treasury</t>
  </si>
  <si>
    <t xml:space="preserve">SOTP Fair Value (Pre-split, ¥)</t>
  </si>
  <si>
    <t xml:space="preserve">SOTP Fair Value (Post-split ÷7, ¥)</t>
  </si>
  <si>
    <t xml:space="preserve">Conglomerate Discount Adjustment</t>
  </si>
  <si>
    <t xml:space="preserve">Discount Rate (%)</t>
  </si>
  <si>
    <t xml:space="preserve">Discounted Equity Value</t>
  </si>
  <si>
    <t xml:space="preserve">Adjusted Fair Value (Post-split, ¥)</t>
  </si>
  <si>
    <t xml:space="preserve">SOTP Sensitivity Analysis</t>
  </si>
  <si>
    <t xml:space="preserve">Fixed Assumptions</t>
  </si>
  <si>
    <r>
      <rPr>
        <sz val="10"/>
        <color rgb="FF000000"/>
        <rFont val="Arial"/>
        <family val="0"/>
        <charset val="1"/>
      </rPr>
      <t xml:space="preserve">Energy EBITDA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</si>
  <si>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t xml:space="preserve">Energy Multiple</t>
  </si>
  <si>
    <r>
      <rPr>
        <sz val="10"/>
        <color rgb="FF000000"/>
        <rFont val="Arial"/>
        <family val="0"/>
        <charset val="1"/>
      </rPr>
      <t xml:space="preserve">Industrial EBITDA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</si>
  <si>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t xml:space="preserve">Industrial Multiple</t>
  </si>
  <si>
    <r>
      <rPr>
        <sz val="10"/>
        <color rgb="FF000000"/>
        <rFont val="Arial"/>
        <family val="0"/>
        <charset val="1"/>
      </rPr>
      <t xml:space="preserve">Social Infra EBITDA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</si>
  <si>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t xml:space="preserve">Social Infra Multiple</t>
  </si>
  <si>
    <r>
      <rPr>
        <sz val="10"/>
        <color rgb="FF000000"/>
        <rFont val="Arial"/>
        <family val="0"/>
        <charset val="1"/>
      </rPr>
      <t xml:space="preserve">Net Debt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</si>
  <si>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Minority Interest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</si>
  <si>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Equity Method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</si>
  <si>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Shares (</t>
    </r>
    <r>
      <rPr>
        <sz val="10"/>
        <color rgb="FF000000"/>
        <rFont val="Noto Sans CJK SC"/>
        <family val="2"/>
      </rPr>
      <t xml:space="preserve">千株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</si>
  <si>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Aero EBITDA (</t>
    </r>
    <r>
      <rPr>
        <sz val="10"/>
        <color rgb="FF000000"/>
        <rFont val="Noto Sans CJK SC"/>
        <family val="2"/>
      </rPr>
      <t xml:space="preserve">億円</t>
    </r>
    <r>
      <rPr>
        <sz val="10"/>
        <color rgb="FF000000"/>
        <rFont val="Arial"/>
        <family val="0"/>
        <charset val="1"/>
      </rPr>
      <t xml:space="preserve">)</t>
    </r>
  </si>
  <si>
    <t xml:space="preserve">Table 1: Aero Multiple × Discount → Fair Value (¥, post-split)</t>
  </si>
  <si>
    <t xml:space="preserve">Aero EV/EBITDA ↓ | Discount →</t>
  </si>
  <si>
    <t xml:space="preserve">Table 2: Industrial × Energy Multiple (Aero=18x, Disc=0%)</t>
  </si>
  <si>
    <t xml:space="preserve">Ind. EV/EBITDA ↓ | Ene →</t>
  </si>
  <si>
    <t xml:space="preserve">D&amp;A Allocation Methodology</t>
  </si>
  <si>
    <t xml:space="preserve">Consolidated D&amp;A allocated by estimated fixed asset intensity</t>
  </si>
  <si>
    <t xml:space="preserve">Est. Fixed Assets %</t>
  </si>
  <si>
    <r>
      <rPr>
        <b val="true"/>
        <sz val="10"/>
        <color rgb="FFFFFFFF"/>
        <rFont val="Arial"/>
        <family val="0"/>
        <charset val="1"/>
      </rPr>
      <t xml:space="preserve">OP (</t>
    </r>
    <r>
      <rPr>
        <b val="true"/>
        <sz val="10"/>
        <color rgb="FFFFFFFF"/>
        <rFont val="Noto Sans CJK SC"/>
        <family val="2"/>
      </rPr>
      <t xml:space="preserve">億円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</si>
  <si>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EBITDA Margin</t>
  </si>
  <si>
    <t xml:space="preserve">Industrial Systems &amp; GM</t>
  </si>
  <si>
    <t xml:space="preserve">Consolidated Total</t>
  </si>
  <si>
    <t xml:space="preserve">D&amp;A Allocation Notes:</t>
  </si>
  <si>
    <r>
      <rPr>
        <sz val="9"/>
        <color rgb="FF666666"/>
        <rFont val="Arial"/>
        <family val="0"/>
        <charset val="1"/>
      </rPr>
      <t xml:space="preserve">• Consolidated D&amp;A ~700</t>
    </r>
    <r>
      <rPr>
        <sz val="9"/>
        <color rgb="FF666666"/>
        <rFont val="Noto Sans CJK SC"/>
        <family val="2"/>
      </rPr>
      <t xml:space="preserve">億円 </t>
    </r>
    <r>
      <rPr>
        <sz val="9"/>
        <color rgb="FF666666"/>
        <rFont val="Arial"/>
        <family val="0"/>
        <charset val="1"/>
      </rPr>
      <t xml:space="preserve">(= EBITDA 2,300 - OP 1,600 from FY25E guidance)</t>
    </r>
  </si>
  <si>
    <t xml:space="preserve">• Allocation based on estimated proportion of tangible fixed assets per segment</t>
  </si>
  <si>
    <t xml:space="preserve">• Aero (31%): Large engine manufacturing plants, MRO facilities, Soma/Mizuho factories</t>
  </si>
  <si>
    <t xml:space="preserve">• Energy (30%): Boiler plants, nuclear facilities, CS equipment</t>
  </si>
  <si>
    <t xml:space="preserve">• Industrial (27%): Global turbocharger production network (China, Thailand, Italy, US)</t>
  </si>
  <si>
    <t xml:space="preserve">• Social Infra (12%): Bridge construction equipment, shield machines</t>
  </si>
  <si>
    <t xml:space="preserve">• Note: Exact segment D&amp;A is not disclosed by IHI. This is an estimate.</t>
  </si>
  <si>
    <t xml:space="preserve">• Alternative: Use EBITDA composition from 3Q earnings (67/27/5/1%) but this reflects 3Q seasonality, not full-year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</si>
</sst>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#,##0;\(#,##0\);\-"/>
    <numFmt numFmtId="167" formatCode="0.0%"/>
    <numFmt numFmtId="168" formatCode="0.0\x"/>
    <numFmt numFmtId="169" formatCode="\¥#,##0"/>
    <numFmt numFmtId="170" formatCode="0\x"/>
    <numFmt numFmtId="171" formatCode="\¥#,##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666666"/>
      <name val="Noto Sans CJK SC"/>
      <family val="2"/>
    </font>
    <font>
      <b val="true"/>
      <sz val="11"/>
      <color rgb="FF2E75B6"/>
      <name val="Arial"/>
      <family val="0"/>
      <charset val="1"/>
    </font>
    <font>
      <i val="true"/>
      <sz val="10"/>
      <color rgb="FF99999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666666"/>
      <name val="Arial"/>
      <family val="0"/>
      <charset val="1"/>
    </font>
    <font>
      <sz val="10"/>
      <color rgb="FF666666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1"/>
      <color rgb="FF1F3864"/>
      <name val="Arial"/>
      <family val="0"/>
      <charset val="1"/>
    </font>
    <font>
      <sz val="10"/>
      <color rgb="FF0000FF"/>
      <name val="Noto Sans CJK SC"/>
      <family val="2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0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1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  <c r="B3" s="3" t="s">
        <v>2</v>
      </c>
    </row>
    <row r="4" customFormat="false" ht="15" hidden="false" customHeight="true" outlineLevel="0" collapsed="false">
      <c r="A4" s="3" t="s">
        <v>3</v>
      </c>
      <c r="B4" s="3" t="s">
        <v>4</v>
      </c>
    </row>
    <row r="5" customFormat="false" ht="15" hidden="false" customHeight="true" outlineLevel="0" collapsed="false">
      <c r="A5" s="3" t="s">
        <v>5</v>
      </c>
      <c r="B5" s="3" t="s">
        <v>6</v>
      </c>
    </row>
    <row r="6" customFormat="false" ht="15" hidden="false" customHeight="true" outlineLevel="0" collapsed="false">
      <c r="A6" s="3"/>
    </row>
    <row r="7" customFormat="false" ht="15" hidden="false" customHeight="true" outlineLevel="0" collapsed="false">
      <c r="A7" s="4" t="s">
        <v>7</v>
      </c>
    </row>
    <row r="8" customFormat="false" ht="15" hidden="false" customHeight="true" outlineLevel="0" collapsed="false">
      <c r="A8" s="3" t="s">
        <v>8</v>
      </c>
    </row>
    <row r="9" customFormat="false" ht="15" hidden="false" customHeight="true" outlineLevel="0" collapsed="false">
      <c r="A9" s="3" t="s">
        <v>9</v>
      </c>
    </row>
    <row r="10" customFormat="false" ht="15" hidden="false" customHeight="true" outlineLevel="0" collapsed="false">
      <c r="A10" s="3" t="s">
        <v>10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4" t="s">
        <v>11</v>
      </c>
    </row>
    <row r="13" customFormat="false" ht="15" hidden="false" customHeight="true" outlineLevel="0" collapsed="false">
      <c r="A13" s="3" t="s">
        <v>12</v>
      </c>
    </row>
    <row r="14" customFormat="false" ht="15" hidden="false" customHeight="true" outlineLevel="0" collapsed="false">
      <c r="A14" s="3" t="s">
        <v>13</v>
      </c>
    </row>
    <row r="15" customFormat="false" ht="15" hidden="false" customHeight="true" outlineLevel="0" collapsed="false">
      <c r="A15" s="3" t="s">
        <v>14</v>
      </c>
    </row>
    <row r="16" customFormat="false" ht="15" hidden="false" customHeight="true" outlineLevel="0" collapsed="false">
      <c r="A16" s="3" t="s">
        <v>15</v>
      </c>
    </row>
    <row r="17" customFormat="false" ht="15" hidden="false" customHeight="true" outlineLevel="0" collapsed="false">
      <c r="A17" s="3"/>
    </row>
    <row r="18" customFormat="false" ht="15" hidden="false" customHeight="true" outlineLevel="0" collapsed="false">
      <c r="A18" s="4" t="s">
        <v>16</v>
      </c>
    </row>
    <row r="19" customFormat="false" ht="15" hidden="false" customHeight="true" outlineLevel="0" collapsed="false">
      <c r="A19" s="5" t="s">
        <v>17</v>
      </c>
      <c r="B19" s="5" t="s">
        <v>18</v>
      </c>
      <c r="C19" s="5" t="s">
        <v>19</v>
      </c>
    </row>
    <row r="20" customFormat="false" ht="15" hidden="false" customHeight="true" outlineLevel="0" collapsed="false">
      <c r="A20" s="6" t="s">
        <v>20</v>
      </c>
      <c r="B20" s="6" t="s">
        <v>21</v>
      </c>
      <c r="C20" s="7" t="s">
        <v>22</v>
      </c>
    </row>
    <row r="21" customFormat="false" ht="15" hidden="false" customHeight="true" outlineLevel="0" collapsed="false">
      <c r="A21" s="6" t="s">
        <v>23</v>
      </c>
      <c r="B21" s="6" t="s">
        <v>24</v>
      </c>
      <c r="C21" s="7" t="s">
        <v>25</v>
      </c>
    </row>
    <row r="22" customFormat="false" ht="15" hidden="false" customHeight="true" outlineLevel="0" collapsed="false">
      <c r="A22" s="6" t="s">
        <v>26</v>
      </c>
      <c r="B22" s="6" t="s">
        <v>27</v>
      </c>
      <c r="C22" s="7" t="s">
        <v>25</v>
      </c>
    </row>
    <row r="23" customFormat="false" ht="15" hidden="false" customHeight="true" outlineLevel="0" collapsed="false">
      <c r="A23" s="6" t="s">
        <v>28</v>
      </c>
      <c r="B23" s="6" t="s">
        <v>29</v>
      </c>
      <c r="C23" s="7" t="s">
        <v>25</v>
      </c>
    </row>
    <row r="24" customFormat="false" ht="15" hidden="false" customHeight="true" outlineLevel="0" collapsed="false">
      <c r="A24" s="8" t="s">
        <v>30</v>
      </c>
      <c r="B24" s="8" t="s">
        <v>31</v>
      </c>
      <c r="C24" s="9" t="s">
        <v>32</v>
      </c>
    </row>
    <row r="25" customFormat="false" ht="15" hidden="false" customHeight="true" outlineLevel="0" collapsed="false">
      <c r="A25" s="6" t="s">
        <v>33</v>
      </c>
      <c r="B25" s="6" t="s">
        <v>34</v>
      </c>
      <c r="C25" s="7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9" min="2" style="1" width="16"/>
  </cols>
  <sheetData>
    <row r="1" customFormat="false" ht="15" hidden="false" customHeight="true" outlineLevel="0" collapsed="false">
      <c r="A1" s="4" t="s">
        <v>35</v>
      </c>
    </row>
    <row r="3" customFormat="false" ht="15" hidden="false" customHeight="true" outlineLevel="0" collapsed="false">
      <c r="A3" s="10"/>
      <c r="B3" s="10" t="s">
        <v>36</v>
      </c>
      <c r="C3" s="10" t="s">
        <v>37</v>
      </c>
      <c r="D3" s="10" t="s">
        <v>38</v>
      </c>
      <c r="E3" s="10" t="s">
        <v>39</v>
      </c>
    </row>
    <row r="4" customFormat="false" ht="15" hidden="false" customHeight="true" outlineLevel="0" collapsed="false">
      <c r="A4" s="11" t="s">
        <v>40</v>
      </c>
      <c r="B4" s="12"/>
      <c r="C4" s="12"/>
      <c r="D4" s="12"/>
      <c r="E4" s="12"/>
    </row>
    <row r="5" customFormat="false" ht="15" hidden="false" customHeight="true" outlineLevel="0" collapsed="false">
      <c r="A5" s="7" t="s">
        <v>41</v>
      </c>
      <c r="B5" s="13" t="n">
        <v>2704</v>
      </c>
      <c r="C5" s="13" t="n">
        <v>5557</v>
      </c>
      <c r="D5" s="13" t="n">
        <v>6200</v>
      </c>
    </row>
    <row r="6" customFormat="false" ht="15" hidden="false" customHeight="true" outlineLevel="0" collapsed="false">
      <c r="A6" s="7" t="s">
        <v>42</v>
      </c>
      <c r="B6" s="13" t="n">
        <v>4049</v>
      </c>
      <c r="C6" s="13" t="n">
        <v>4114</v>
      </c>
      <c r="D6" s="13" t="n">
        <v>3700</v>
      </c>
    </row>
    <row r="7" customFormat="false" ht="15" hidden="false" customHeight="true" outlineLevel="0" collapsed="false">
      <c r="A7" s="7" t="s">
        <v>43</v>
      </c>
      <c r="B7" s="13" t="n">
        <v>4661</v>
      </c>
      <c r="C7" s="13" t="n">
        <v>4848</v>
      </c>
      <c r="D7" s="13" t="n">
        <v>4400</v>
      </c>
    </row>
    <row r="8" customFormat="false" ht="15" hidden="false" customHeight="true" outlineLevel="0" collapsed="false">
      <c r="A8" s="7" t="s">
        <v>44</v>
      </c>
      <c r="B8" s="13" t="n">
        <v>1543</v>
      </c>
      <c r="C8" s="13" t="n">
        <v>1460</v>
      </c>
      <c r="D8" s="13" t="n">
        <v>1400</v>
      </c>
    </row>
    <row r="9" customFormat="false" ht="15" hidden="false" customHeight="true" outlineLevel="0" collapsed="false">
      <c r="A9" s="7" t="s">
        <v>45</v>
      </c>
      <c r="B9" s="13" t="n">
        <v>267</v>
      </c>
      <c r="C9" s="13" t="n">
        <v>288</v>
      </c>
      <c r="D9" s="13" t="n">
        <v>700</v>
      </c>
    </row>
    <row r="10" customFormat="false" ht="15" hidden="false" customHeight="true" outlineLevel="0" collapsed="false">
      <c r="A10" s="14" t="s">
        <v>46</v>
      </c>
      <c r="B10" s="15" t="n">
        <f aca="false">SUM(B5:B9)</f>
        <v>13224</v>
      </c>
      <c r="C10" s="15" t="n">
        <f aca="false">SUM(C5:C9)</f>
        <v>16267</v>
      </c>
      <c r="D10" s="15" t="n">
        <f aca="false">SUM(D5:D9)</f>
        <v>16400</v>
      </c>
    </row>
    <row r="12" customFormat="false" ht="15" hidden="false" customHeight="true" outlineLevel="0" collapsed="false">
      <c r="A12" s="11" t="s">
        <v>47</v>
      </c>
      <c r="B12" s="12"/>
      <c r="C12" s="12"/>
      <c r="D12" s="12"/>
      <c r="E12" s="12"/>
    </row>
    <row r="13" customFormat="false" ht="15" hidden="false" customHeight="true" outlineLevel="0" collapsed="false">
      <c r="A13" s="7" t="s">
        <v>48</v>
      </c>
      <c r="B13" s="16" t="n">
        <v>-1028</v>
      </c>
      <c r="C13" s="16" t="n">
        <v>1227</v>
      </c>
      <c r="D13" s="16" t="n">
        <v>1300</v>
      </c>
      <c r="E13" s="17" t="n">
        <f aca="false">IF(D5=0,0,D13/D5)</f>
        <v>0.209677419354839</v>
      </c>
    </row>
    <row r="14" customFormat="false" ht="15" hidden="false" customHeight="true" outlineLevel="0" collapsed="false">
      <c r="A14" s="7" t="s">
        <v>49</v>
      </c>
      <c r="B14" s="16" t="n">
        <v>177</v>
      </c>
      <c r="C14" s="16" t="n">
        <v>161</v>
      </c>
      <c r="D14" s="16" t="n">
        <v>240</v>
      </c>
      <c r="E14" s="17" t="n">
        <f aca="false">IF(D6=0,0,D14/D6)</f>
        <v>0.0648648648648649</v>
      </c>
    </row>
    <row r="15" customFormat="false" ht="15" hidden="false" customHeight="true" outlineLevel="0" collapsed="false">
      <c r="A15" s="7" t="s">
        <v>50</v>
      </c>
      <c r="B15" s="16" t="n">
        <v>127</v>
      </c>
      <c r="C15" s="16" t="n">
        <v>108</v>
      </c>
      <c r="D15" s="16" t="n">
        <v>250</v>
      </c>
      <c r="E15" s="17" t="n">
        <f aca="false">IF(D7=0,0,D15/D7)</f>
        <v>0.0568181818181818</v>
      </c>
    </row>
    <row r="16" customFormat="false" ht="15" hidden="false" customHeight="true" outlineLevel="0" collapsed="false">
      <c r="A16" s="7" t="s">
        <v>51</v>
      </c>
      <c r="B16" s="16" t="n">
        <v>49</v>
      </c>
      <c r="C16" s="16" t="n">
        <v>-42</v>
      </c>
      <c r="D16" s="16" t="n">
        <v>0</v>
      </c>
      <c r="E16" s="17" t="n">
        <f aca="false">IF(D8=0,0,D16/D8)</f>
        <v>0</v>
      </c>
    </row>
    <row r="17" customFormat="false" ht="15" hidden="false" customHeight="true" outlineLevel="0" collapsed="false">
      <c r="A17" s="7" t="s">
        <v>52</v>
      </c>
      <c r="B17" s="16" t="n">
        <v>-26</v>
      </c>
      <c r="C17" s="16" t="n">
        <v>-19</v>
      </c>
      <c r="D17" s="16" t="n">
        <v>-190</v>
      </c>
      <c r="E17" s="17" t="n">
        <f aca="false">IF(D9=0,0,D17/D9)</f>
        <v>-0.271428571428571</v>
      </c>
    </row>
    <row r="18" customFormat="false" ht="15" hidden="false" customHeight="true" outlineLevel="0" collapsed="false">
      <c r="A18" s="14" t="s">
        <v>46</v>
      </c>
      <c r="B18" s="18" t="n">
        <f aca="false">SUM(B13:B17)</f>
        <v>-701</v>
      </c>
      <c r="C18" s="18" t="n">
        <f aca="false">SUM(C13:C17)</f>
        <v>1435</v>
      </c>
      <c r="D18" s="18" t="n">
        <f aca="false">SUM(D13:D17)</f>
        <v>1600</v>
      </c>
      <c r="E18" s="19" t="n">
        <f aca="false">IF(D10=0,0,D18/D10)</f>
        <v>0.0975609756097561</v>
      </c>
    </row>
    <row r="21" customFormat="false" ht="15" hidden="false" customHeight="true" outlineLevel="0" collapsed="false">
      <c r="A21" s="20" t="s">
        <v>53</v>
      </c>
    </row>
    <row r="22" customFormat="false" ht="15" hidden="false" customHeight="true" outlineLevel="0" collapsed="false">
      <c r="A22" s="21" t="s">
        <v>54</v>
      </c>
    </row>
    <row r="23" customFormat="false" ht="15" hidden="false" customHeight="true" outlineLevel="0" collapsed="false">
      <c r="A23" s="21" t="s">
        <v>55</v>
      </c>
    </row>
    <row r="24" customFormat="false" ht="15" hidden="false" customHeight="true" outlineLevel="0" collapsed="false">
      <c r="A24" s="2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8" min="2" style="1" width="14"/>
  </cols>
  <sheetData>
    <row r="1" customFormat="false" ht="15" hidden="false" customHeight="true" outlineLevel="0" collapsed="false">
      <c r="A1" s="4" t="s">
        <v>57</v>
      </c>
    </row>
    <row r="3" customFormat="false" ht="15" hidden="false" customHeight="true" outlineLevel="0" collapsed="false">
      <c r="A3" s="22" t="s">
        <v>58</v>
      </c>
    </row>
    <row r="4" customFormat="false" ht="23.25" hidden="false" customHeight="true" outlineLevel="0" collapsed="false">
      <c r="A4" s="10" t="s">
        <v>59</v>
      </c>
      <c r="B4" s="10" t="s">
        <v>60</v>
      </c>
      <c r="C4" s="10" t="s">
        <v>61</v>
      </c>
      <c r="D4" s="10" t="s">
        <v>62</v>
      </c>
      <c r="E4" s="10" t="s">
        <v>63</v>
      </c>
      <c r="F4" s="10" t="s">
        <v>64</v>
      </c>
      <c r="G4" s="10" t="s">
        <v>65</v>
      </c>
    </row>
    <row r="5" customFormat="false" ht="15" hidden="false" customHeight="true" outlineLevel="0" collapsed="false">
      <c r="A5" s="7" t="s">
        <v>66</v>
      </c>
      <c r="B5" s="7" t="s">
        <v>67</v>
      </c>
      <c r="C5" s="23" t="n">
        <v>20.5</v>
      </c>
      <c r="D5" s="23" t="n">
        <v>3.8</v>
      </c>
      <c r="E5" s="17" t="n">
        <v>0.166</v>
      </c>
      <c r="F5" s="24" t="n">
        <v>130</v>
      </c>
      <c r="G5" s="25" t="s">
        <v>68</v>
      </c>
    </row>
    <row r="6" customFormat="false" ht="15" hidden="false" customHeight="true" outlineLevel="0" collapsed="false">
      <c r="A6" s="7" t="s">
        <v>69</v>
      </c>
      <c r="B6" s="7" t="s">
        <v>70</v>
      </c>
      <c r="C6" s="23" t="n">
        <v>11.9</v>
      </c>
      <c r="D6" s="23" t="n">
        <v>2.3</v>
      </c>
      <c r="E6" s="17" t="n">
        <v>0.199</v>
      </c>
      <c r="F6" s="24" t="n">
        <v>24</v>
      </c>
      <c r="G6" s="25" t="s">
        <v>71</v>
      </c>
    </row>
    <row r="7" customFormat="false" ht="15" hidden="false" customHeight="true" outlineLevel="0" collapsed="false">
      <c r="A7" s="7" t="s">
        <v>72</v>
      </c>
      <c r="B7" s="7" t="s">
        <v>73</v>
      </c>
      <c r="C7" s="23" t="n">
        <v>18</v>
      </c>
      <c r="D7" s="23" t="n">
        <v>2.5</v>
      </c>
      <c r="E7" s="17" t="n">
        <v>0.15</v>
      </c>
      <c r="F7" s="24" t="n">
        <v>65</v>
      </c>
      <c r="G7" s="25" t="s">
        <v>74</v>
      </c>
    </row>
    <row r="8" customFormat="false" ht="15" hidden="false" customHeight="true" outlineLevel="0" collapsed="false">
      <c r="A8" s="26" t="s">
        <v>75</v>
      </c>
      <c r="B8" s="26" t="s">
        <v>76</v>
      </c>
      <c r="C8" s="27" t="n">
        <v>25</v>
      </c>
      <c r="D8" s="27" t="n">
        <v>6.5</v>
      </c>
      <c r="E8" s="28" t="n">
        <v>0.54</v>
      </c>
      <c r="F8" s="29" t="n">
        <v>75</v>
      </c>
      <c r="G8" s="26" t="s">
        <v>77</v>
      </c>
    </row>
    <row r="9" customFormat="false" ht="15" hidden="false" customHeight="true" outlineLevel="0" collapsed="false">
      <c r="A9" s="14" t="s">
        <v>78</v>
      </c>
      <c r="C9" s="30" t="n">
        <f aca="false">MEDIAN(C5:C7)</f>
        <v>18</v>
      </c>
      <c r="E9" s="19" t="n">
        <f aca="false">MEDIAN(E5:E7)</f>
        <v>0.166</v>
      </c>
    </row>
    <row r="12" customFormat="false" ht="15" hidden="false" customHeight="true" outlineLevel="0" collapsed="false">
      <c r="A12" s="22" t="s">
        <v>79</v>
      </c>
    </row>
    <row r="13" customFormat="false" ht="23.25" hidden="false" customHeight="true" outlineLevel="0" collapsed="false">
      <c r="A13" s="10" t="s">
        <v>59</v>
      </c>
      <c r="B13" s="10" t="s">
        <v>60</v>
      </c>
      <c r="C13" s="10" t="s">
        <v>61</v>
      </c>
      <c r="D13" s="10" t="s">
        <v>62</v>
      </c>
      <c r="E13" s="10" t="s">
        <v>63</v>
      </c>
      <c r="F13" s="10" t="s">
        <v>64</v>
      </c>
      <c r="G13" s="10" t="s">
        <v>65</v>
      </c>
    </row>
    <row r="14" customFormat="false" ht="15" hidden="false" customHeight="true" outlineLevel="0" collapsed="false">
      <c r="A14" s="7" t="s">
        <v>80</v>
      </c>
      <c r="B14" s="7" t="s">
        <v>81</v>
      </c>
      <c r="C14" s="23" t="n">
        <v>12</v>
      </c>
      <c r="D14" s="23" t="n">
        <v>1.2</v>
      </c>
      <c r="E14" s="17" t="n">
        <v>0.06</v>
      </c>
      <c r="F14" s="24" t="n">
        <v>50</v>
      </c>
      <c r="G14" s="25" t="s">
        <v>82</v>
      </c>
    </row>
    <row r="15" customFormat="false" ht="15" hidden="false" customHeight="true" outlineLevel="0" collapsed="false">
      <c r="A15" s="7" t="s">
        <v>83</v>
      </c>
      <c r="B15" s="7" t="s">
        <v>84</v>
      </c>
      <c r="C15" s="23" t="n">
        <v>8</v>
      </c>
      <c r="D15" s="23" t="n">
        <v>0.8</v>
      </c>
      <c r="E15" s="17" t="n">
        <v>0.05</v>
      </c>
      <c r="F15" s="24" t="n">
        <v>0</v>
      </c>
      <c r="G15" s="25" t="s">
        <v>85</v>
      </c>
    </row>
    <row r="16" customFormat="false" ht="15" hidden="false" customHeight="true" outlineLevel="0" collapsed="false">
      <c r="A16" s="7" t="s">
        <v>86</v>
      </c>
      <c r="B16" s="7" t="s">
        <v>87</v>
      </c>
      <c r="C16" s="23" t="n">
        <v>22</v>
      </c>
      <c r="D16" s="23" t="n">
        <v>4.5</v>
      </c>
      <c r="E16" s="17" t="n">
        <v>0.18</v>
      </c>
      <c r="F16" s="24" t="n">
        <v>12</v>
      </c>
      <c r="G16" s="25" t="s">
        <v>88</v>
      </c>
    </row>
    <row r="17" customFormat="false" ht="15" hidden="false" customHeight="true" outlineLevel="0" collapsed="false">
      <c r="A17" s="14" t="s">
        <v>89</v>
      </c>
      <c r="C17" s="31" t="n">
        <v>8</v>
      </c>
    </row>
    <row r="20" customFormat="false" ht="15" hidden="false" customHeight="true" outlineLevel="0" collapsed="false">
      <c r="A20" s="22" t="s">
        <v>90</v>
      </c>
    </row>
    <row r="21" customFormat="false" ht="23.25" hidden="false" customHeight="true" outlineLevel="0" collapsed="false">
      <c r="A21" s="10" t="s">
        <v>59</v>
      </c>
      <c r="B21" s="10" t="s">
        <v>60</v>
      </c>
      <c r="C21" s="10" t="s">
        <v>61</v>
      </c>
      <c r="D21" s="10" t="s">
        <v>62</v>
      </c>
      <c r="E21" s="10" t="s">
        <v>63</v>
      </c>
      <c r="F21" s="10" t="s">
        <v>64</v>
      </c>
      <c r="G21" s="10" t="s">
        <v>65</v>
      </c>
    </row>
    <row r="22" customFormat="false" ht="15" hidden="false" customHeight="true" outlineLevel="0" collapsed="false">
      <c r="A22" s="7" t="s">
        <v>91</v>
      </c>
      <c r="B22" s="7" t="s">
        <v>92</v>
      </c>
      <c r="C22" s="23" t="n">
        <v>6.5</v>
      </c>
      <c r="D22" s="23" t="n">
        <v>0.8</v>
      </c>
      <c r="E22" s="17" t="n">
        <v>0.1</v>
      </c>
      <c r="F22" s="24" t="n">
        <v>7</v>
      </c>
      <c r="G22" s="25" t="s">
        <v>93</v>
      </c>
    </row>
    <row r="23" customFormat="false" ht="15" hidden="false" customHeight="true" outlineLevel="0" collapsed="false">
      <c r="A23" s="7" t="s">
        <v>94</v>
      </c>
      <c r="B23" s="7" t="s">
        <v>95</v>
      </c>
      <c r="C23" s="23" t="n">
        <v>7</v>
      </c>
      <c r="D23" s="23" t="n">
        <v>1</v>
      </c>
      <c r="E23" s="17" t="n">
        <v>0.15</v>
      </c>
      <c r="F23" s="24" t="n">
        <v>3</v>
      </c>
      <c r="G23" s="25" t="s">
        <v>96</v>
      </c>
    </row>
    <row r="24" customFormat="false" ht="15" hidden="false" customHeight="true" outlineLevel="0" collapsed="false">
      <c r="A24" s="7" t="s">
        <v>97</v>
      </c>
      <c r="B24" s="7" t="s">
        <v>98</v>
      </c>
      <c r="C24" s="23" t="n">
        <v>7.5</v>
      </c>
      <c r="D24" s="23" t="n">
        <v>1.2</v>
      </c>
      <c r="E24" s="17" t="n">
        <v>0.14</v>
      </c>
      <c r="F24" s="24" t="n">
        <v>35</v>
      </c>
      <c r="G24" s="25" t="s">
        <v>99</v>
      </c>
    </row>
    <row r="25" customFormat="false" ht="15" hidden="false" customHeight="true" outlineLevel="0" collapsed="false">
      <c r="A25" s="7" t="s">
        <v>100</v>
      </c>
      <c r="B25" s="7" t="s">
        <v>101</v>
      </c>
      <c r="C25" s="23" t="n">
        <v>18</v>
      </c>
      <c r="D25" s="23" t="n">
        <v>5</v>
      </c>
      <c r="E25" s="17" t="n">
        <v>0.3</v>
      </c>
      <c r="F25" s="24" t="n">
        <v>50</v>
      </c>
      <c r="G25" s="25" t="s">
        <v>102</v>
      </c>
    </row>
    <row r="26" customFormat="false" ht="15" hidden="false" customHeight="true" outlineLevel="0" collapsed="false">
      <c r="A26" s="14" t="s">
        <v>89</v>
      </c>
      <c r="C26" s="31" t="n">
        <v>10</v>
      </c>
    </row>
    <row r="29" customFormat="false" ht="15" hidden="false" customHeight="true" outlineLevel="0" collapsed="false">
      <c r="A29" s="22" t="s">
        <v>103</v>
      </c>
    </row>
    <row r="30" customFormat="false" ht="15" hidden="false" customHeight="true" outlineLevel="0" collapsed="false">
      <c r="A30" s="10" t="s">
        <v>59</v>
      </c>
      <c r="B30" s="10" t="s">
        <v>60</v>
      </c>
      <c r="C30" s="10" t="s">
        <v>61</v>
      </c>
      <c r="D30" s="10"/>
      <c r="E30" s="10"/>
      <c r="F30" s="10"/>
      <c r="G30" s="10" t="s">
        <v>65</v>
      </c>
    </row>
    <row r="31" customFormat="false" ht="15" hidden="false" customHeight="true" outlineLevel="0" collapsed="false">
      <c r="A31" s="7" t="s">
        <v>104</v>
      </c>
      <c r="C31" s="23" t="n">
        <v>5.5</v>
      </c>
      <c r="G31" s="25" t="s">
        <v>105</v>
      </c>
    </row>
    <row r="32" customFormat="false" ht="15" hidden="false" customHeight="true" outlineLevel="0" collapsed="false">
      <c r="A32" s="7" t="s">
        <v>106</v>
      </c>
      <c r="C32" s="23" t="n">
        <v>7</v>
      </c>
    </row>
    <row r="33" customFormat="false" ht="15" hidden="false" customHeight="true" outlineLevel="0" collapsed="false">
      <c r="A33" s="14" t="s">
        <v>89</v>
      </c>
      <c r="C33" s="31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6"/>
  </cols>
  <sheetData>
    <row r="1" customFormat="false" ht="15" hidden="false" customHeight="true" outlineLevel="0" collapsed="false">
      <c r="A1" s="4" t="s">
        <v>107</v>
      </c>
    </row>
    <row r="2" customFormat="false" ht="15" hidden="false" customHeight="true" outlineLevel="0" collapsed="false">
      <c r="A2" s="32" t="s">
        <v>108</v>
      </c>
    </row>
    <row r="4" customFormat="false" ht="26.25" hidden="false" customHeight="true" outlineLevel="0" collapsed="false">
      <c r="A4" s="10" t="s">
        <v>109</v>
      </c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  <c r="G4" s="10" t="s">
        <v>115</v>
      </c>
    </row>
    <row r="5" customFormat="false" ht="15" hidden="false" customHeight="true" outlineLevel="0" collapsed="false">
      <c r="A5" s="7" t="s">
        <v>116</v>
      </c>
      <c r="B5" s="16" t="n">
        <v>1300</v>
      </c>
      <c r="C5" s="13" t="n">
        <v>220</v>
      </c>
      <c r="D5" s="33" t="n">
        <f aca="false">B5+C5</f>
        <v>1520</v>
      </c>
      <c r="E5" s="31" t="n">
        <v>18</v>
      </c>
      <c r="F5" s="33" t="n">
        <f aca="false">D5*E5</f>
        <v>27360</v>
      </c>
      <c r="G5" s="17" t="n">
        <f aca="false">F5/F$9</f>
        <v>0.763392857142857</v>
      </c>
    </row>
    <row r="6" customFormat="false" ht="15" hidden="false" customHeight="true" outlineLevel="0" collapsed="false">
      <c r="A6" s="7" t="s">
        <v>117</v>
      </c>
      <c r="B6" s="16" t="n">
        <v>240</v>
      </c>
      <c r="C6" s="13" t="n">
        <v>210</v>
      </c>
      <c r="D6" s="33" t="n">
        <f aca="false">B6+C6</f>
        <v>450</v>
      </c>
      <c r="E6" s="31" t="n">
        <v>8</v>
      </c>
      <c r="F6" s="33" t="n">
        <f aca="false">D6*E6</f>
        <v>3600</v>
      </c>
      <c r="G6" s="17" t="n">
        <f aca="false">F6/F$9</f>
        <v>0.100446428571429</v>
      </c>
    </row>
    <row r="7" customFormat="false" ht="15" hidden="false" customHeight="true" outlineLevel="0" collapsed="false">
      <c r="A7" s="7" t="s">
        <v>118</v>
      </c>
      <c r="B7" s="16" t="n">
        <v>250</v>
      </c>
      <c r="C7" s="13" t="n">
        <v>190</v>
      </c>
      <c r="D7" s="33" t="n">
        <f aca="false">B7+C7</f>
        <v>440</v>
      </c>
      <c r="E7" s="31" t="n">
        <v>10</v>
      </c>
      <c r="F7" s="33" t="n">
        <f aca="false">D7*E7</f>
        <v>4400</v>
      </c>
      <c r="G7" s="17" t="n">
        <f aca="false">F7/F$9</f>
        <v>0.122767857142857</v>
      </c>
    </row>
    <row r="8" customFormat="false" ht="15" hidden="false" customHeight="true" outlineLevel="0" collapsed="false">
      <c r="A8" s="7" t="s">
        <v>119</v>
      </c>
      <c r="B8" s="16" t="n">
        <v>0</v>
      </c>
      <c r="C8" s="13" t="n">
        <v>80</v>
      </c>
      <c r="D8" s="33" t="n">
        <f aca="false">B8+C8</f>
        <v>80</v>
      </c>
      <c r="E8" s="31" t="n">
        <v>6</v>
      </c>
      <c r="F8" s="33" t="n">
        <f aca="false">D8*E8</f>
        <v>480</v>
      </c>
      <c r="G8" s="17" t="n">
        <f aca="false">F8/F$9</f>
        <v>0.0133928571428571</v>
      </c>
    </row>
    <row r="9" customFormat="false" ht="15" hidden="false" customHeight="true" outlineLevel="0" collapsed="false">
      <c r="A9" s="14" t="s">
        <v>120</v>
      </c>
      <c r="B9" s="15" t="n">
        <f aca="false">SUM(B5:B8)</f>
        <v>1790</v>
      </c>
      <c r="C9" s="15" t="n">
        <f aca="false">SUM(C5:C8)</f>
        <v>700</v>
      </c>
      <c r="D9" s="15" t="n">
        <f aca="false">SUM(D5:D8)</f>
        <v>2490</v>
      </c>
      <c r="E9" s="34"/>
      <c r="F9" s="15" t="n">
        <f aca="false">SUM(F5:F8)</f>
        <v>35840</v>
      </c>
      <c r="G9" s="19" t="n">
        <v>1</v>
      </c>
    </row>
    <row r="11" customFormat="false" ht="15" hidden="false" customHeight="true" outlineLevel="0" collapsed="false">
      <c r="A11" s="35" t="s">
        <v>121</v>
      </c>
    </row>
    <row r="12" customFormat="false" ht="15" hidden="false" customHeight="true" outlineLevel="0" collapsed="false">
      <c r="A12" s="6" t="s">
        <v>120</v>
      </c>
      <c r="F12" s="33" t="n">
        <f aca="false">F9</f>
        <v>35840</v>
      </c>
    </row>
    <row r="13" customFormat="false" ht="15" hidden="false" customHeight="true" outlineLevel="0" collapsed="false">
      <c r="A13" s="36" t="s">
        <v>122</v>
      </c>
      <c r="F13" s="16" t="n">
        <v>-3600</v>
      </c>
      <c r="G13" s="21" t="s">
        <v>123</v>
      </c>
    </row>
    <row r="14" customFormat="false" ht="15" hidden="false" customHeight="true" outlineLevel="0" collapsed="false">
      <c r="A14" s="36" t="s">
        <v>124</v>
      </c>
      <c r="F14" s="16" t="n">
        <v>-270</v>
      </c>
      <c r="G14" s="21" t="s">
        <v>125</v>
      </c>
    </row>
    <row r="15" customFormat="false" ht="15" hidden="false" customHeight="true" outlineLevel="0" collapsed="false">
      <c r="A15" s="36" t="s">
        <v>126</v>
      </c>
      <c r="F15" s="13" t="n">
        <v>630</v>
      </c>
      <c r="G15" s="21" t="s">
        <v>127</v>
      </c>
    </row>
    <row r="16" customFormat="false" ht="15" hidden="false" customHeight="true" outlineLevel="0" collapsed="false">
      <c r="A16" s="37" t="s">
        <v>128</v>
      </c>
      <c r="F16" s="38" t="n">
        <f aca="false">F12+F13+F14+F15</f>
        <v>32600</v>
      </c>
    </row>
    <row r="17" customFormat="false" ht="15" hidden="false" customHeight="true" outlineLevel="0" collapsed="false">
      <c r="A17" s="7"/>
    </row>
    <row r="18" customFormat="false" ht="15" hidden="false" customHeight="true" outlineLevel="0" collapsed="false">
      <c r="A18" s="36" t="s">
        <v>129</v>
      </c>
      <c r="F18" s="13" t="n">
        <v>151364</v>
      </c>
      <c r="G18" s="21" t="s">
        <v>130</v>
      </c>
    </row>
    <row r="19" customFormat="false" ht="15" hidden="false" customHeight="true" outlineLevel="0" collapsed="false">
      <c r="A19" s="7"/>
    </row>
    <row r="20" customFormat="false" ht="15" hidden="false" customHeight="true" outlineLevel="0" collapsed="false">
      <c r="A20" s="8" t="s">
        <v>131</v>
      </c>
      <c r="F20" s="39" t="n">
        <f aca="false">F16*100000/F18</f>
        <v>21537.4857958299</v>
      </c>
    </row>
    <row r="21" customFormat="false" ht="15" hidden="false" customHeight="true" outlineLevel="0" collapsed="false">
      <c r="A21" s="8" t="s">
        <v>132</v>
      </c>
      <c r="F21" s="39" t="n">
        <f aca="false">F20/7</f>
        <v>3076.78368511856</v>
      </c>
    </row>
    <row r="24" customFormat="false" ht="15" hidden="false" customHeight="true" outlineLevel="0" collapsed="false">
      <c r="A24" s="35" t="s">
        <v>133</v>
      </c>
    </row>
    <row r="25" customFormat="false" ht="15" hidden="false" customHeight="true" outlineLevel="0" collapsed="false">
      <c r="A25" s="7" t="s">
        <v>134</v>
      </c>
      <c r="F25" s="40" t="n">
        <v>0.1</v>
      </c>
    </row>
    <row r="26" customFormat="false" ht="15" hidden="false" customHeight="true" outlineLevel="0" collapsed="false">
      <c r="A26" s="6" t="s">
        <v>135</v>
      </c>
      <c r="F26" s="41" t="n">
        <f aca="false">F9*(1-F25)+F13+F14+F15</f>
        <v>29016</v>
      </c>
    </row>
    <row r="27" customFormat="false" ht="15" hidden="false" customHeight="true" outlineLevel="0" collapsed="false">
      <c r="A27" s="8" t="s">
        <v>136</v>
      </c>
      <c r="F27" s="39" t="n">
        <f aca="false">F26*100000/F18/7</f>
        <v>2738.5262394908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4"/>
  </cols>
  <sheetData>
    <row r="1" customFormat="false" ht="15" hidden="false" customHeight="true" outlineLevel="0" collapsed="false">
      <c r="A1" s="4" t="s">
        <v>137</v>
      </c>
    </row>
    <row r="3" customFormat="false" ht="15" hidden="false" customHeight="true" outlineLevel="0" collapsed="false">
      <c r="A3" s="22" t="s">
        <v>138</v>
      </c>
    </row>
    <row r="4" customFormat="false" ht="15" hidden="false" customHeight="true" outlineLevel="0" collapsed="false">
      <c r="A4" s="7" t="s">
        <v>139</v>
      </c>
      <c r="B4" s="13" t="n">
        <v>450</v>
      </c>
    </row>
    <row r="5" customFormat="false" ht="15" hidden="false" customHeight="true" outlineLevel="0" collapsed="false">
      <c r="A5" s="7" t="s">
        <v>140</v>
      </c>
      <c r="B5" s="23" t="n">
        <v>8</v>
      </c>
    </row>
    <row r="6" customFormat="false" ht="15" hidden="false" customHeight="true" outlineLevel="0" collapsed="false">
      <c r="A6" s="7" t="s">
        <v>141</v>
      </c>
      <c r="B6" s="13" t="n">
        <v>440</v>
      </c>
    </row>
    <row r="7" customFormat="false" ht="15" hidden="false" customHeight="true" outlineLevel="0" collapsed="false">
      <c r="A7" s="7" t="s">
        <v>142</v>
      </c>
      <c r="B7" s="23" t="n">
        <v>10</v>
      </c>
    </row>
    <row r="8" customFormat="false" ht="15" hidden="false" customHeight="true" outlineLevel="0" collapsed="false">
      <c r="A8" s="7" t="s">
        <v>143</v>
      </c>
      <c r="B8" s="13" t="n">
        <v>80</v>
      </c>
    </row>
    <row r="9" customFormat="false" ht="15" hidden="false" customHeight="true" outlineLevel="0" collapsed="false">
      <c r="A9" s="7" t="s">
        <v>144</v>
      </c>
      <c r="B9" s="23" t="n">
        <v>6</v>
      </c>
    </row>
    <row r="10" customFormat="false" ht="15" hidden="false" customHeight="true" outlineLevel="0" collapsed="false">
      <c r="A10" s="7" t="s">
        <v>145</v>
      </c>
      <c r="B10" s="13" t="n">
        <v>3600</v>
      </c>
    </row>
    <row r="11" customFormat="false" ht="15" hidden="false" customHeight="true" outlineLevel="0" collapsed="false">
      <c r="A11" s="7" t="s">
        <v>146</v>
      </c>
      <c r="B11" s="13" t="n">
        <v>270</v>
      </c>
    </row>
    <row r="12" customFormat="false" ht="15" hidden="false" customHeight="true" outlineLevel="0" collapsed="false">
      <c r="A12" s="7" t="s">
        <v>147</v>
      </c>
      <c r="B12" s="13" t="n">
        <v>630</v>
      </c>
    </row>
    <row r="13" customFormat="false" ht="15" hidden="false" customHeight="true" outlineLevel="0" collapsed="false">
      <c r="A13" s="7" t="s">
        <v>148</v>
      </c>
      <c r="B13" s="13" t="n">
        <v>151364</v>
      </c>
    </row>
    <row r="14" customFormat="false" ht="15" hidden="false" customHeight="true" outlineLevel="0" collapsed="false">
      <c r="A14" s="7" t="s">
        <v>149</v>
      </c>
      <c r="B14" s="13" t="n">
        <v>1520</v>
      </c>
    </row>
    <row r="17" customFormat="false" ht="15" hidden="false" customHeight="true" outlineLevel="0" collapsed="false">
      <c r="A17" s="35" t="s">
        <v>150</v>
      </c>
    </row>
    <row r="18" customFormat="false" ht="15" hidden="false" customHeight="true" outlineLevel="0" collapsed="false">
      <c r="A18" s="5" t="s">
        <v>151</v>
      </c>
      <c r="B18" s="42" t="n">
        <v>0</v>
      </c>
      <c r="C18" s="42" t="n">
        <v>0.05</v>
      </c>
      <c r="D18" s="42" t="n">
        <v>0.1</v>
      </c>
      <c r="E18" s="42" t="n">
        <v>0.15</v>
      </c>
      <c r="F18" s="42" t="n">
        <v>0.2</v>
      </c>
    </row>
    <row r="19" customFormat="false" ht="15" hidden="false" customHeight="true" outlineLevel="0" collapsed="false">
      <c r="A19" s="43" t="n">
        <v>14</v>
      </c>
      <c r="B19" s="44" t="n">
        <v>25</v>
      </c>
      <c r="C19" s="44" t="n">
        <v>24</v>
      </c>
      <c r="D19" s="44" t="n">
        <v>23</v>
      </c>
      <c r="E19" s="44" t="n">
        <v>21</v>
      </c>
      <c r="F19" s="44" t="n">
        <v>20</v>
      </c>
    </row>
    <row r="20" customFormat="false" ht="15" hidden="false" customHeight="true" outlineLevel="0" collapsed="false">
      <c r="A20" s="43" t="n">
        <v>16</v>
      </c>
      <c r="B20" s="44" t="n">
        <v>28</v>
      </c>
      <c r="C20" s="44" t="n">
        <v>27</v>
      </c>
      <c r="D20" s="44" t="n">
        <v>25</v>
      </c>
      <c r="E20" s="44" t="n">
        <v>24</v>
      </c>
      <c r="F20" s="44" t="n">
        <v>22</v>
      </c>
    </row>
    <row r="21" customFormat="false" ht="15" hidden="false" customHeight="true" outlineLevel="0" collapsed="false">
      <c r="A21" s="43" t="n">
        <v>18</v>
      </c>
      <c r="B21" s="45" t="n">
        <v>31</v>
      </c>
      <c r="C21" s="44" t="n">
        <v>29</v>
      </c>
      <c r="D21" s="44" t="n">
        <v>28</v>
      </c>
      <c r="E21" s="44" t="n">
        <v>26</v>
      </c>
      <c r="F21" s="44" t="n">
        <v>25</v>
      </c>
    </row>
    <row r="22" customFormat="false" ht="15" hidden="false" customHeight="true" outlineLevel="0" collapsed="false">
      <c r="A22" s="43" t="n">
        <v>20</v>
      </c>
      <c r="B22" s="44" t="n">
        <v>34</v>
      </c>
      <c r="C22" s="44" t="n">
        <v>32</v>
      </c>
      <c r="D22" s="44" t="n">
        <v>30</v>
      </c>
      <c r="E22" s="44" t="n">
        <v>29</v>
      </c>
      <c r="F22" s="44" t="n">
        <v>27</v>
      </c>
    </row>
    <row r="23" customFormat="false" ht="15" hidden="false" customHeight="true" outlineLevel="0" collapsed="false">
      <c r="A23" s="43" t="n">
        <v>22</v>
      </c>
      <c r="B23" s="44" t="n">
        <v>37</v>
      </c>
      <c r="C23" s="44" t="n">
        <v>35</v>
      </c>
      <c r="D23" s="44" t="n">
        <v>33</v>
      </c>
      <c r="E23" s="44" t="n">
        <v>31</v>
      </c>
      <c r="F23" s="44" t="n">
        <v>29</v>
      </c>
    </row>
    <row r="24" customFormat="false" ht="15" hidden="false" customHeight="true" outlineLevel="0" collapsed="false">
      <c r="A24" s="43" t="n">
        <v>25</v>
      </c>
      <c r="B24" s="44" t="n">
        <v>41</v>
      </c>
      <c r="C24" s="44" t="n">
        <v>39</v>
      </c>
      <c r="D24" s="44" t="n">
        <v>37</v>
      </c>
      <c r="E24" s="44" t="n">
        <v>35</v>
      </c>
      <c r="F24" s="44" t="n">
        <v>33</v>
      </c>
    </row>
    <row r="27" customFormat="false" ht="15" hidden="false" customHeight="true" outlineLevel="0" collapsed="false">
      <c r="A27" s="35" t="s">
        <v>152</v>
      </c>
    </row>
    <row r="28" customFormat="false" ht="15" hidden="false" customHeight="true" outlineLevel="0" collapsed="false">
      <c r="A28" s="5" t="s">
        <v>153</v>
      </c>
      <c r="B28" s="46" t="n">
        <v>6</v>
      </c>
      <c r="C28" s="46" t="n">
        <v>8</v>
      </c>
      <c r="D28" s="46" t="n">
        <v>10</v>
      </c>
      <c r="E28" s="46" t="n">
        <v>12</v>
      </c>
    </row>
    <row r="29" customFormat="false" ht="15" hidden="false" customHeight="true" outlineLevel="0" collapsed="false">
      <c r="A29" s="43" t="n">
        <v>7</v>
      </c>
      <c r="B29" s="44" t="n">
        <v>29</v>
      </c>
      <c r="C29" s="44" t="n">
        <v>30</v>
      </c>
      <c r="D29" s="44" t="n">
        <v>30</v>
      </c>
      <c r="E29" s="44" t="n">
        <v>31</v>
      </c>
    </row>
    <row r="30" customFormat="false" ht="15" hidden="false" customHeight="true" outlineLevel="0" collapsed="false">
      <c r="A30" s="43" t="n">
        <v>8</v>
      </c>
      <c r="B30" s="44" t="n">
        <v>29</v>
      </c>
      <c r="C30" s="44" t="n">
        <v>30</v>
      </c>
      <c r="D30" s="44" t="n">
        <v>31</v>
      </c>
      <c r="E30" s="44" t="n">
        <v>32</v>
      </c>
    </row>
    <row r="31" customFormat="false" ht="15" hidden="false" customHeight="true" outlineLevel="0" collapsed="false">
      <c r="A31" s="43" t="n">
        <v>10</v>
      </c>
      <c r="B31" s="44" t="n">
        <v>30</v>
      </c>
      <c r="C31" s="45" t="n">
        <v>31</v>
      </c>
      <c r="D31" s="44" t="n">
        <v>32</v>
      </c>
      <c r="E31" s="44" t="n">
        <v>32</v>
      </c>
    </row>
    <row r="32" customFormat="false" ht="15" hidden="false" customHeight="true" outlineLevel="0" collapsed="false">
      <c r="A32" s="43" t="n">
        <v>12</v>
      </c>
      <c r="B32" s="44" t="n">
        <v>31</v>
      </c>
      <c r="C32" s="44" t="n">
        <v>32</v>
      </c>
      <c r="D32" s="44" t="n">
        <v>32</v>
      </c>
      <c r="E32" s="44" t="n">
        <v>33</v>
      </c>
    </row>
    <row r="33" customFormat="false" ht="15" hidden="false" customHeight="true" outlineLevel="0" collapsed="false">
      <c r="A33" s="43" t="n">
        <v>14</v>
      </c>
      <c r="B33" s="44" t="n">
        <v>32</v>
      </c>
      <c r="C33" s="44" t="n">
        <v>32</v>
      </c>
      <c r="D33" s="44" t="n">
        <v>33</v>
      </c>
      <c r="E33" s="44" t="n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6" min="2" style="1" width="16"/>
  </cols>
  <sheetData>
    <row r="1" customFormat="false" ht="15" hidden="false" customHeight="true" outlineLevel="0" collapsed="false">
      <c r="A1" s="4" t="s">
        <v>154</v>
      </c>
    </row>
    <row r="2" customFormat="false" ht="15" hidden="false" customHeight="true" outlineLevel="0" collapsed="false">
      <c r="A2" s="32" t="s">
        <v>155</v>
      </c>
    </row>
    <row r="4" customFormat="false" ht="23.25" hidden="false" customHeight="true" outlineLevel="0" collapsed="false">
      <c r="A4" s="10" t="s">
        <v>109</v>
      </c>
      <c r="B4" s="10" t="s">
        <v>156</v>
      </c>
      <c r="C4" s="10" t="s">
        <v>111</v>
      </c>
      <c r="D4" s="10" t="s">
        <v>157</v>
      </c>
      <c r="E4" s="10" t="s">
        <v>112</v>
      </c>
      <c r="F4" s="10" t="s">
        <v>158</v>
      </c>
    </row>
    <row r="5" customFormat="false" ht="15" hidden="false" customHeight="true" outlineLevel="0" collapsed="false">
      <c r="A5" s="7" t="s">
        <v>116</v>
      </c>
      <c r="B5" s="47" t="n">
        <v>0.31</v>
      </c>
      <c r="C5" s="13" t="n">
        <v>220</v>
      </c>
      <c r="D5" s="48" t="n">
        <v>1300</v>
      </c>
      <c r="E5" s="33" t="n">
        <f aca="false">C5+D5</f>
        <v>1520</v>
      </c>
      <c r="F5" s="17" t="n">
        <f aca="false">IF(E5=0,0,E5/6200)</f>
        <v>0.245161290322581</v>
      </c>
    </row>
    <row r="6" customFormat="false" ht="15" hidden="false" customHeight="true" outlineLevel="0" collapsed="false">
      <c r="A6" s="7" t="s">
        <v>117</v>
      </c>
      <c r="B6" s="47" t="n">
        <v>0.3</v>
      </c>
      <c r="C6" s="13" t="n">
        <v>210</v>
      </c>
      <c r="D6" s="48" t="n">
        <v>240</v>
      </c>
      <c r="E6" s="33" t="n">
        <f aca="false">C6+D6</f>
        <v>450</v>
      </c>
      <c r="F6" s="17" t="n">
        <f aca="false">IF(E6=0,0,E6/3700)</f>
        <v>0.121621621621622</v>
      </c>
    </row>
    <row r="7" customFormat="false" ht="15" hidden="false" customHeight="true" outlineLevel="0" collapsed="false">
      <c r="A7" s="7" t="s">
        <v>159</v>
      </c>
      <c r="B7" s="47" t="n">
        <v>0.27</v>
      </c>
      <c r="C7" s="13" t="n">
        <v>190</v>
      </c>
      <c r="D7" s="48" t="n">
        <v>250</v>
      </c>
      <c r="E7" s="33" t="n">
        <f aca="false">C7+D7</f>
        <v>440</v>
      </c>
      <c r="F7" s="17" t="n">
        <f aca="false">IF(E7=0,0,E7/4400)</f>
        <v>0.1</v>
      </c>
    </row>
    <row r="8" customFormat="false" ht="15" hidden="false" customHeight="true" outlineLevel="0" collapsed="false">
      <c r="A8" s="7" t="s">
        <v>119</v>
      </c>
      <c r="B8" s="47" t="n">
        <v>0.12</v>
      </c>
      <c r="C8" s="13" t="n">
        <v>80</v>
      </c>
      <c r="D8" s="48" t="n">
        <v>0</v>
      </c>
      <c r="E8" s="33" t="n">
        <f aca="false">C8+D8</f>
        <v>80</v>
      </c>
      <c r="F8" s="17" t="n">
        <f aca="false">IF(E8=0,0,E8/1400)</f>
        <v>0.0571428571428571</v>
      </c>
    </row>
    <row r="9" customFormat="false" ht="15" hidden="false" customHeight="true" outlineLevel="0" collapsed="false">
      <c r="A9" s="14" t="s">
        <v>160</v>
      </c>
      <c r="B9" s="19" t="n">
        <f aca="false">SUM(B5:B8)</f>
        <v>1</v>
      </c>
      <c r="C9" s="15" t="n">
        <f aca="false">SUM(C5:C8)</f>
        <v>700</v>
      </c>
      <c r="D9" s="18" t="n">
        <f aca="false">SUM(D5:D8)</f>
        <v>1790</v>
      </c>
      <c r="E9" s="15" t="n">
        <f aca="false">SUM(E5:E8)</f>
        <v>2490</v>
      </c>
    </row>
    <row r="11" customFormat="false" ht="15" hidden="false" customHeight="true" outlineLevel="0" collapsed="false">
      <c r="A11" s="21" t="s">
        <v>161</v>
      </c>
    </row>
    <row r="12" customFormat="false" ht="15" hidden="false" customHeight="true" outlineLevel="0" collapsed="false">
      <c r="A12" s="21" t="s">
        <v>162</v>
      </c>
    </row>
    <row r="13" customFormat="false" ht="15" hidden="false" customHeight="true" outlineLevel="0" collapsed="false">
      <c r="A13" s="21" t="s">
        <v>163</v>
      </c>
    </row>
    <row r="14" customFormat="false" ht="15" hidden="false" customHeight="true" outlineLevel="0" collapsed="false">
      <c r="A14" s="21" t="s">
        <v>164</v>
      </c>
    </row>
    <row r="15" customFormat="false" ht="15" hidden="false" customHeight="true" outlineLevel="0" collapsed="false">
      <c r="A15" s="21" t="s">
        <v>165</v>
      </c>
    </row>
    <row r="16" customFormat="false" ht="15" hidden="false" customHeight="true" outlineLevel="0" collapsed="false">
      <c r="A16" s="21" t="s">
        <v>166</v>
      </c>
    </row>
    <row r="17" customFormat="false" ht="15" hidden="false" customHeight="true" outlineLevel="0" collapsed="false">
      <c r="A17" s="21" t="s">
        <v>167</v>
      </c>
    </row>
    <row r="18" customFormat="false" ht="15" hidden="false" customHeight="true" outlineLevel="0" collapsed="false">
      <c r="A18" s="21" t="s">
        <v>168</v>
      </c>
    </row>
    <row r="19" customFormat="false" ht="15" hidden="false" customHeight="true" outlineLevel="0" collapsed="false">
      <c r="A19" s="21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2026-04-05T02:07:06Z</dcterms:created>
  <dc:creator>openpyxl</dc:creator>
  <dc:description/>
  <dc:language>en-US</dc:language>
  <cp:lastModifiedBy/>
  <dcterms:modified xsi:type="dcterms:W3CDTF">2026-04-05T02:08:00Z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