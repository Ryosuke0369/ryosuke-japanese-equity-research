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Thesis" sheetId="1" state="visible" r:id="rId1"/>
    <sheet xmlns:r="http://schemas.openxmlformats.org/officeDocument/2006/relationships" name="Segment Data" sheetId="2" state="visible" r:id="rId2"/>
    <sheet xmlns:r="http://schemas.openxmlformats.org/officeDocument/2006/relationships" name="Peer Comps" sheetId="3" state="visible" r:id="rId3"/>
    <sheet xmlns:r="http://schemas.openxmlformats.org/officeDocument/2006/relationships" name="SOTP Valuation" sheetId="4" state="visible" r:id="rId4"/>
    <sheet xmlns:r="http://schemas.openxmlformats.org/officeDocument/2006/relationships" name="Sensitivity" sheetId="5" state="visible" r:id="rId5"/>
    <sheet xmlns:r="http://schemas.openxmlformats.org/officeDocument/2006/relationships" name="D&amp;A Allo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¥#,##0;(¥#,##0)"/>
    <numFmt numFmtId="165" formatCode="0.0%;(0.0%)"/>
    <numFmt numFmtId="166" formatCode="#,##0;(#,##0)"/>
    <numFmt numFmtId="167" formatCode="0.00&quot;x&quot;"/>
  </numFmts>
  <fonts count="13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color rgb="00006600"/>
      <sz val="10"/>
    </font>
    <font>
      <name val="Arial"/>
      <i val="1"/>
      <color rgb="00808080"/>
      <sz val="9"/>
    </font>
    <font>
      <name val="Arial"/>
      <color rgb="000000FF"/>
      <sz val="10"/>
    </font>
    <font>
      <name val="Arial"/>
      <b val="1"/>
      <sz val="10"/>
    </font>
    <font>
      <name val="Arial"/>
      <color rgb="00808080"/>
      <sz val="10"/>
    </font>
    <font>
      <name val="Arial"/>
      <color rgb="00808080"/>
      <sz val="9"/>
    </font>
    <font>
      <name val="Arial"/>
      <i val="1"/>
      <color rgb="00808080"/>
      <sz val="10"/>
    </font>
    <font>
      <name val="Arial"/>
      <b val="1"/>
      <color rgb="00000080"/>
      <sz val="12"/>
    </font>
  </fonts>
  <fills count="7">
    <fill>
      <patternFill/>
    </fill>
    <fill>
      <patternFill patternType="gray125"/>
    </fill>
    <fill>
      <patternFill patternType="solid">
        <fgColor rgb="00000080"/>
        <bgColor rgb="00000080"/>
      </patternFill>
    </fill>
    <fill>
      <patternFill patternType="solid">
        <fgColor rgb="00F2F2F2"/>
        <bgColor rgb="00F2F2F2"/>
      </patternFill>
    </fill>
    <fill>
      <patternFill patternType="solid">
        <fgColor rgb="00DCE6F1"/>
        <bgColor rgb="00DCE6F1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bottom style="thin"/>
    </border>
    <border>
      <left style="thin"/>
      <right style="thin"/>
      <top style="thin"/>
      <bottom style="thin"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top style="thin"/>
      <bottom style="thin"/>
    </border>
    <border>
      <top style="thin"/>
      <bottom style="double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wrapText="1"/>
    </xf>
    <xf numFmtId="0" fontId="2" fillId="0" borderId="2" pivotButton="0" quotePrefix="0" xfId="0"/>
    <xf numFmtId="164" fontId="5" fillId="0" borderId="2" pivotButton="0" quotePrefix="0" xfId="0"/>
    <xf numFmtId="0" fontId="6" fillId="0" borderId="2" applyAlignment="1" pivotButton="0" quotePrefix="0" xfId="0">
      <alignment horizontal="center"/>
    </xf>
    <xf numFmtId="164" fontId="7" fillId="0" borderId="2" pivotButton="0" quotePrefix="0" xfId="0"/>
    <xf numFmtId="165" fontId="2" fillId="0" borderId="2" applyAlignment="1" pivotButton="0" quotePrefix="0" xfId="0">
      <alignment horizontal="center"/>
    </xf>
    <xf numFmtId="0" fontId="6" fillId="0" borderId="0" pivotButton="0" quotePrefix="0" xfId="0"/>
    <xf numFmtId="0" fontId="8" fillId="0" borderId="0" pivotButton="0" quotePrefix="0" xfId="0"/>
    <xf numFmtId="166" fontId="7" fillId="0" borderId="3" pivotButton="0" quotePrefix="0" xfId="0"/>
    <xf numFmtId="165" fontId="2" fillId="0" borderId="3" pivotButton="0" quotePrefix="0" xfId="0"/>
    <xf numFmtId="0" fontId="8" fillId="3" borderId="0" pivotButton="0" quotePrefix="0" xfId="0"/>
    <xf numFmtId="166" fontId="5" fillId="3" borderId="4" pivotButton="0" quotePrefix="0" xfId="0"/>
    <xf numFmtId="165" fontId="5" fillId="3" borderId="4" pivotButton="0" quotePrefix="0" xfId="0"/>
    <xf numFmtId="0" fontId="3" fillId="4" borderId="0" pivotButton="0" quotePrefix="0" xfId="0"/>
    <xf numFmtId="0" fontId="0" fillId="4" borderId="0" pivotButton="0" quotePrefix="0" xfId="0"/>
    <xf numFmtId="0" fontId="9" fillId="0" borderId="2" pivotButton="0" quotePrefix="0" xfId="0"/>
    <xf numFmtId="167" fontId="7" fillId="0" borderId="2" pivotButton="0" quotePrefix="0" xfId="0"/>
    <xf numFmtId="165" fontId="7" fillId="0" borderId="2" pivotButton="0" quotePrefix="0" xfId="0"/>
    <xf numFmtId="3" fontId="7" fillId="0" borderId="2" pivotButton="0" quotePrefix="0" xfId="0"/>
    <xf numFmtId="0" fontId="10" fillId="0" borderId="2" pivotButton="0" quotePrefix="0" xfId="0"/>
    <xf numFmtId="0" fontId="11" fillId="0" borderId="2" pivotButton="0" quotePrefix="0" xfId="0"/>
    <xf numFmtId="167" fontId="11" fillId="0" borderId="2" pivotButton="0" quotePrefix="0" xfId="0"/>
    <xf numFmtId="165" fontId="11" fillId="0" borderId="2" pivotButton="0" quotePrefix="0" xfId="0"/>
    <xf numFmtId="3" fontId="11" fillId="0" borderId="2" pivotButton="0" quotePrefix="0" xfId="0"/>
    <xf numFmtId="0" fontId="6" fillId="0" borderId="2" pivotButton="0" quotePrefix="0" xfId="0"/>
    <xf numFmtId="0" fontId="8" fillId="3" borderId="4" pivotButton="0" quotePrefix="0" xfId="0"/>
    <xf numFmtId="0" fontId="0" fillId="3" borderId="4" pivotButton="0" quotePrefix="0" xfId="0"/>
    <xf numFmtId="167" fontId="8" fillId="3" borderId="4" pivotButton="0" quotePrefix="0" xfId="0"/>
    <xf numFmtId="0" fontId="8" fillId="5" borderId="4" pivotButton="0" quotePrefix="0" xfId="0"/>
    <xf numFmtId="0" fontId="10" fillId="5" borderId="4" pivotButton="0" quotePrefix="0" xfId="0"/>
    <xf numFmtId="167" fontId="7" fillId="5" borderId="4" pivotButton="0" quotePrefix="0" xfId="0"/>
    <xf numFmtId="0" fontId="0" fillId="5" borderId="4" pivotButton="0" quotePrefix="0" xfId="0"/>
    <xf numFmtId="166" fontId="5" fillId="0" borderId="2" pivotButton="0" quotePrefix="0" xfId="0"/>
    <xf numFmtId="165" fontId="7" fillId="0" borderId="3" pivotButton="0" quotePrefix="0" xfId="0"/>
    <xf numFmtId="166" fontId="2" fillId="0" borderId="2" pivotButton="0" quotePrefix="0" xfId="0"/>
    <xf numFmtId="167" fontId="5" fillId="0" borderId="2" pivotButton="0" quotePrefix="0" xfId="0"/>
    <xf numFmtId="166" fontId="7" fillId="0" borderId="2" pivotButton="0" quotePrefix="0" xfId="0"/>
    <xf numFmtId="0" fontId="0" fillId="0" borderId="2" pivotButton="0" quotePrefix="0" xfId="0"/>
    <xf numFmtId="0" fontId="8" fillId="3" borderId="5" pivotButton="0" quotePrefix="0" xfId="0"/>
    <xf numFmtId="0" fontId="0" fillId="3" borderId="5" pivotButton="0" quotePrefix="0" xfId="0"/>
    <xf numFmtId="166" fontId="8" fillId="3" borderId="5" pivotButton="0" quotePrefix="0" xfId="0"/>
    <xf numFmtId="166" fontId="7" fillId="0" borderId="0" pivotButton="0" quotePrefix="0" xfId="0"/>
    <xf numFmtId="165" fontId="2" fillId="0" borderId="0" pivotButton="0" quotePrefix="0" xfId="0"/>
    <xf numFmtId="165" fontId="7" fillId="0" borderId="3" applyAlignment="1" pivotButton="0" quotePrefix="0" xfId="0">
      <alignment horizontal="center"/>
    </xf>
    <xf numFmtId="166" fontId="8" fillId="3" borderId="4" pivotButton="0" quotePrefix="0" xfId="0"/>
    <xf numFmtId="3" fontId="7" fillId="0" borderId="3" pivotButton="0" quotePrefix="0" xfId="0"/>
    <xf numFmtId="0" fontId="8" fillId="6" borderId="5" pivotButton="0" quotePrefix="0" xfId="0"/>
    <xf numFmtId="164" fontId="12" fillId="6" borderId="5" pivotButton="0" quotePrefix="0" xfId="0"/>
    <xf numFmtId="166" fontId="5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3" fontId="5" fillId="0" borderId="0" pivotButton="0" quotePrefix="0" xfId="0"/>
    <xf numFmtId="167" fontId="4" fillId="2" borderId="0" applyAlignment="1" pivotButton="0" quotePrefix="0" xfId="0">
      <alignment horizontal="center"/>
    </xf>
    <xf numFmtId="165" fontId="8" fillId="4" borderId="0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4" fontId="2" fillId="6" borderId="2" applyAlignment="1" pivotButton="0" quotePrefix="0" xfId="0">
      <alignment horizontal="center"/>
    </xf>
    <xf numFmtId="167" fontId="8" fillId="4" borderId="0" applyAlignment="1" pivotButton="0" quotePrefix="0" xfId="0">
      <alignment horizontal="center"/>
    </xf>
    <xf numFmtId="165" fontId="8" fillId="3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0080"/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2">
      <c r="B2" s="1" t="inlineStr">
        <is>
          <t>SOTP Valuation Model</t>
        </is>
      </c>
    </row>
    <row r="3">
      <c r="B3" s="2" t="inlineStr">
        <is>
          <t>Valuation Date: April 2026</t>
        </is>
      </c>
    </row>
    <row r="5">
      <c r="B5" s="3" t="inlineStr">
        <is>
          <t>Investment Thesis</t>
        </is>
      </c>
    </row>
    <row r="6">
      <c r="B6" s="4" t="inlineStr">
        <is>
          <t>IHI's consolidated valuation obscures value concentration in Aero segment. 76% of EV from Aerospace &amp; Defense.</t>
        </is>
      </c>
    </row>
    <row r="7"/>
    <row r="8"/>
    <row r="10">
      <c r="B10" s="3" t="inlineStr">
        <is>
          <t>Valuation Cross-Check</t>
        </is>
      </c>
    </row>
    <row r="11">
      <c r="B11" s="5" t="inlineStr">
        <is>
          <t>Method</t>
        </is>
      </c>
      <c r="C11" s="5" t="inlineStr">
        <is>
          <t>Fair Value (¥)</t>
        </is>
      </c>
      <c r="D11" s="5" t="inlineStr">
        <is>
          <t>vs SOTP Base</t>
        </is>
      </c>
    </row>
    <row r="12">
      <c r="B12" s="6" t="inlineStr">
        <is>
          <t>SOTP (Base Case)</t>
        </is>
      </c>
      <c r="C12" s="7">
        <f>'SOTP Valuation'!C29</f>
        <v/>
      </c>
      <c r="D12" s="8" t="inlineStr">
        <is>
          <t>—</t>
        </is>
      </c>
    </row>
    <row r="13">
      <c r="B13" s="6" t="inlineStr">
        <is>
          <t>DCF — Perpetuity Growth</t>
        </is>
      </c>
      <c r="C13" s="9" t="n">
        <v>1982</v>
      </c>
      <c r="D13" s="10">
        <f>(C13-$C$12)/$C$12</f>
        <v/>
      </c>
    </row>
    <row r="14">
      <c r="B14" s="6" t="inlineStr">
        <is>
          <t>DCF — Exit Multiple</t>
        </is>
      </c>
      <c r="C14" s="9" t="n">
        <v>3463</v>
      </c>
      <c r="D14" s="10">
        <f>(C14-$C$12)/$C$12</f>
        <v/>
      </c>
    </row>
    <row r="15">
      <c r="B15" s="6" t="inlineStr">
        <is>
          <t>Comps — EV/EBITDA</t>
        </is>
      </c>
      <c r="C15" s="9" t="n">
        <v>3794</v>
      </c>
      <c r="D15" s="10">
        <f>(C15-$C$12)/$C$12</f>
        <v/>
      </c>
    </row>
    <row r="16">
      <c r="B16" s="6" t="inlineStr">
        <is>
          <t>Comps — PER</t>
        </is>
      </c>
      <c r="C16" s="9" t="n">
        <v>4973</v>
      </c>
      <c r="D16" s="10">
        <f>(C16-$C$12)/$C$12</f>
        <v/>
      </c>
    </row>
  </sheetData>
  <mergeCells count="1">
    <mergeCell ref="B6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6600"/>
    <outlinePr summaryBelow="1" summaryRight="1"/>
    <pageSetUpPr/>
  </sheetPr>
  <dimension ref="B1:E28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6" customWidth="1" min="3" max="3"/>
    <col width="16" customWidth="1" min="4" max="4"/>
    <col width="16" customWidth="1" min="5" max="5"/>
  </cols>
  <sheetData>
    <row r="1">
      <c r="B1" s="1" t="inlineStr">
        <is>
          <t>Segment Financial Data</t>
        </is>
      </c>
    </row>
    <row r="2">
      <c r="B2" s="11" t="inlineStr">
        <is>
          <t>(¥ millions)</t>
        </is>
      </c>
    </row>
    <row r="4">
      <c r="B4" s="5" t="inlineStr">
        <is>
          <t>Segment</t>
        </is>
      </c>
      <c r="C4" s="5" t="inlineStr">
        <is>
          <t>FY23</t>
        </is>
      </c>
      <c r="D4" s="5" t="inlineStr">
        <is>
          <t>FY24</t>
        </is>
      </c>
      <c r="E4" s="5" t="inlineStr">
        <is>
          <t>FY25E</t>
        </is>
      </c>
    </row>
    <row r="5">
      <c r="B5" s="12" t="inlineStr">
        <is>
          <t>Aero, Space &amp; Defense  (航空・宇宙・防衛)</t>
        </is>
      </c>
    </row>
    <row r="6">
      <c r="B6" s="2" t="inlineStr">
        <is>
          <t xml:space="preserve">  Revenue</t>
        </is>
      </c>
      <c r="C6" s="13" t="n">
        <v>270400</v>
      </c>
      <c r="D6" s="13" t="n">
        <v>555700</v>
      </c>
      <c r="E6" s="13" t="n">
        <v>620000</v>
      </c>
    </row>
    <row r="7">
      <c r="B7" s="2" t="inlineStr">
        <is>
          <t xml:space="preserve">  Operating Profit</t>
        </is>
      </c>
      <c r="C7" s="13" t="n">
        <v>-102800</v>
      </c>
      <c r="D7" s="13" t="n">
        <v>122700</v>
      </c>
      <c r="E7" s="13" t="n">
        <v>130000</v>
      </c>
    </row>
    <row r="8">
      <c r="B8" s="2" t="inlineStr">
        <is>
          <t xml:space="preserve">  OPM %</t>
        </is>
      </c>
      <c r="C8" s="14">
        <f>IF(C6=0,0,C7/C6)</f>
        <v/>
      </c>
      <c r="D8" s="14">
        <f>IF(D6=0,0,D7/D6)</f>
        <v/>
      </c>
      <c r="E8" s="14">
        <f>IF(E6=0,0,E7/E6)</f>
        <v/>
      </c>
    </row>
    <row r="10">
      <c r="B10" s="12" t="inlineStr">
        <is>
          <t>Resources, Energy &amp; Environment  (資源・エネルギー・環境)</t>
        </is>
      </c>
    </row>
    <row r="11">
      <c r="B11" s="2" t="inlineStr">
        <is>
          <t xml:space="preserve">  Revenue</t>
        </is>
      </c>
      <c r="C11" s="13" t="n">
        <v>404900</v>
      </c>
      <c r="D11" s="13" t="n">
        <v>411400</v>
      </c>
      <c r="E11" s="13" t="n">
        <v>370000</v>
      </c>
    </row>
    <row r="12">
      <c r="B12" s="2" t="inlineStr">
        <is>
          <t xml:space="preserve">  Operating Profit</t>
        </is>
      </c>
      <c r="C12" s="13" t="n">
        <v>17700</v>
      </c>
      <c r="D12" s="13" t="n">
        <v>16100</v>
      </c>
      <c r="E12" s="13" t="n">
        <v>24000</v>
      </c>
    </row>
    <row r="13">
      <c r="B13" s="2" t="inlineStr">
        <is>
          <t xml:space="preserve">  OPM %</t>
        </is>
      </c>
      <c r="C13" s="14">
        <f>IF(C11=0,0,C12/C11)</f>
        <v/>
      </c>
      <c r="D13" s="14">
        <f>IF(D11=0,0,D12/D11)</f>
        <v/>
      </c>
      <c r="E13" s="14">
        <f>IF(E11=0,0,E12/E11)</f>
        <v/>
      </c>
    </row>
    <row r="15">
      <c r="B15" s="12" t="inlineStr">
        <is>
          <t>Industrial Systems &amp; General Machinery  (産業システム・汎用機械)</t>
        </is>
      </c>
    </row>
    <row r="16">
      <c r="B16" s="2" t="inlineStr">
        <is>
          <t xml:space="preserve">  Revenue</t>
        </is>
      </c>
      <c r="C16" s="13" t="n">
        <v>466100</v>
      </c>
      <c r="D16" s="13" t="n">
        <v>484800</v>
      </c>
      <c r="E16" s="13" t="n">
        <v>440000</v>
      </c>
    </row>
    <row r="17">
      <c r="B17" s="2" t="inlineStr">
        <is>
          <t xml:space="preserve">  Operating Profit</t>
        </is>
      </c>
      <c r="C17" s="13" t="n">
        <v>12700</v>
      </c>
      <c r="D17" s="13" t="n">
        <v>10800</v>
      </c>
      <c r="E17" s="13" t="n">
        <v>25000</v>
      </c>
    </row>
    <row r="18">
      <c r="B18" s="2" t="inlineStr">
        <is>
          <t xml:space="preserve">  OPM %</t>
        </is>
      </c>
      <c r="C18" s="14">
        <f>IF(C16=0,0,C17/C16)</f>
        <v/>
      </c>
      <c r="D18" s="14">
        <f>IF(D16=0,0,D17/D16)</f>
        <v/>
      </c>
      <c r="E18" s="14">
        <f>IF(E16=0,0,E17/E16)</f>
        <v/>
      </c>
    </row>
    <row r="20">
      <c r="B20" s="12" t="inlineStr">
        <is>
          <t>Social Infrastructure  (社会基盤)</t>
        </is>
      </c>
    </row>
    <row r="21">
      <c r="B21" s="2" t="inlineStr">
        <is>
          <t xml:space="preserve">  Revenue</t>
        </is>
      </c>
      <c r="C21" s="13" t="n">
        <v>154300</v>
      </c>
      <c r="D21" s="13" t="n">
        <v>146000</v>
      </c>
      <c r="E21" s="13" t="n">
        <v>140000</v>
      </c>
    </row>
    <row r="22">
      <c r="B22" s="2" t="inlineStr">
        <is>
          <t xml:space="preserve">  Operating Profit</t>
        </is>
      </c>
      <c r="C22" s="13" t="n">
        <v>4900</v>
      </c>
      <c r="D22" s="13" t="n">
        <v>-4200</v>
      </c>
      <c r="E22" s="13" t="n">
        <v>0</v>
      </c>
    </row>
    <row r="23">
      <c r="B23" s="2" t="inlineStr">
        <is>
          <t xml:space="preserve">  OPM %</t>
        </is>
      </c>
      <c r="C23" s="14">
        <f>IF(C21=0,0,C22/C21)</f>
        <v/>
      </c>
      <c r="D23" s="14">
        <f>IF(D21=0,0,D22/D21)</f>
        <v/>
      </c>
      <c r="E23" s="14">
        <f>IF(E21=0,0,E22/E21)</f>
        <v/>
      </c>
    </row>
    <row r="25">
      <c r="B25" s="15" t="inlineStr">
        <is>
          <t>Consolidated Total</t>
        </is>
      </c>
    </row>
    <row r="26">
      <c r="B26" s="15" t="inlineStr">
        <is>
          <t xml:space="preserve">  Total Revenue</t>
        </is>
      </c>
      <c r="C26" s="16">
        <f>C6+C11+C16+C21</f>
        <v/>
      </c>
      <c r="D26" s="16">
        <f>D6+D11+D16+D21</f>
        <v/>
      </c>
      <c r="E26" s="16">
        <f>E6+E11+E16+E21</f>
        <v/>
      </c>
    </row>
    <row r="27">
      <c r="B27" s="15" t="inlineStr">
        <is>
          <t xml:space="preserve">  Total Operating Profit</t>
        </is>
      </c>
      <c r="C27" s="16">
        <f>C7+C12+C17+C22</f>
        <v/>
      </c>
      <c r="D27" s="16">
        <f>D7+D12+D17+D22</f>
        <v/>
      </c>
      <c r="E27" s="16">
        <f>E7+E12+E17+E22</f>
        <v/>
      </c>
    </row>
    <row r="28">
      <c r="B28" s="15" t="inlineStr">
        <is>
          <t xml:space="preserve">  Total OPM %</t>
        </is>
      </c>
      <c r="C28" s="17">
        <f>IF(C26=0,0,C27/C26)</f>
        <v/>
      </c>
      <c r="D28" s="17">
        <f>IF(D26=0,0,D27/D26)</f>
        <v/>
      </c>
      <c r="E28" s="17">
        <f>IF(E26=0,0,E27/E26)</f>
        <v/>
      </c>
    </row>
  </sheetData>
  <mergeCells count="4">
    <mergeCell ref="B15:E15"/>
    <mergeCell ref="B10:E10"/>
    <mergeCell ref="B5:E5"/>
    <mergeCell ref="B20:E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800000"/>
    <outlinePr summaryBelow="1" summaryRight="1"/>
    <pageSetUpPr/>
  </sheetPr>
  <dimension ref="B1:G30"/>
  <sheetViews>
    <sheetView workbookViewId="0">
      <selection activeCell="A1" sqref="A1"/>
    </sheetView>
  </sheetViews>
  <sheetFormatPr baseColWidth="8" defaultRowHeight="15"/>
  <cols>
    <col width="3" customWidth="1" min="1" max="1"/>
    <col width="25" customWidth="1" min="2" max="2"/>
    <col width="12" customWidth="1" min="3" max="3"/>
    <col width="14" customWidth="1" min="4" max="4"/>
    <col width="12" customWidth="1" min="5" max="5"/>
    <col width="16" customWidth="1" min="6" max="6"/>
    <col width="30" customWidth="1" min="7" max="7"/>
  </cols>
  <sheetData>
    <row r="1">
      <c r="B1" s="1" t="inlineStr">
        <is>
          <t>Peer Comparable Analysis</t>
        </is>
      </c>
    </row>
    <row r="3">
      <c r="B3" s="18" t="inlineStr">
        <is>
          <t>Aero, Space &amp; Defense</t>
        </is>
      </c>
      <c r="C3" s="19" t="n"/>
      <c r="D3" s="19" t="n"/>
      <c r="E3" s="19" t="n"/>
      <c r="F3" s="19" t="n"/>
      <c r="G3" s="19" t="n"/>
    </row>
    <row r="4">
      <c r="B4" s="5" t="inlineStr">
        <is>
          <t>Company</t>
        </is>
      </c>
      <c r="C4" s="5" t="inlineStr">
        <is>
          <t>Ticker</t>
        </is>
      </c>
      <c r="D4" s="5" t="inlineStr">
        <is>
          <t>EV/EBITDA</t>
        </is>
      </c>
      <c r="E4" s="5" t="inlineStr">
        <is>
          <t>OPM %</t>
        </is>
      </c>
      <c r="F4" s="5" t="inlineStr">
        <is>
          <t>Mkt Cap ($B)</t>
        </is>
      </c>
      <c r="G4" s="5" t="inlineStr">
        <is>
          <t>Note</t>
        </is>
      </c>
    </row>
    <row r="5">
      <c r="B5" s="6" t="inlineStr">
        <is>
          <t>Safran</t>
        </is>
      </c>
      <c r="C5" s="20" t="inlineStr">
        <is>
          <t>SAF.PA</t>
        </is>
      </c>
      <c r="D5" s="21" t="n">
        <v>20.5</v>
      </c>
      <c r="E5" s="22" t="n">
        <v>0.166</v>
      </c>
      <c r="F5" s="23" t="n">
        <v>130</v>
      </c>
      <c r="G5" s="24" t="inlineStr">
        <is>
          <t>CFM LEAP, MRO, Defense</t>
        </is>
      </c>
    </row>
    <row r="6">
      <c r="B6" s="6" t="inlineStr">
        <is>
          <t>MTU Aero Engines</t>
        </is>
      </c>
      <c r="C6" s="20" t="inlineStr">
        <is>
          <t>MTX.DE</t>
        </is>
      </c>
      <c r="D6" s="21" t="n">
        <v>11.9</v>
      </c>
      <c r="E6" s="22" t="n">
        <v>0.199</v>
      </c>
      <c r="F6" s="23" t="n">
        <v>24</v>
      </c>
      <c r="G6" s="24" t="inlineStr">
        <is>
          <t>V2500/PW1100G partner</t>
        </is>
      </c>
    </row>
    <row r="7">
      <c r="B7" s="6" t="inlineStr">
        <is>
          <t>Rolls-Royce</t>
        </is>
      </c>
      <c r="C7" s="20" t="inlineStr">
        <is>
          <t>RR.L</t>
        </is>
      </c>
      <c r="D7" s="21" t="n">
        <v>18</v>
      </c>
      <c r="E7" s="22" t="n">
        <v>0.15</v>
      </c>
      <c r="F7" s="23" t="n">
        <v>65</v>
      </c>
      <c r="G7" s="24" t="inlineStr">
        <is>
          <t>Large engine, V-shape recovery</t>
        </is>
      </c>
    </row>
    <row r="8">
      <c r="B8" s="25" t="inlineStr">
        <is>
          <t>TransDigm</t>
        </is>
      </c>
      <c r="C8" s="25" t="inlineStr">
        <is>
          <t>TDG</t>
        </is>
      </c>
      <c r="D8" s="26" t="n">
        <v>25</v>
      </c>
      <c r="E8" s="27" t="n">
        <v>0.54</v>
      </c>
      <c r="F8" s="28" t="n">
        <v>75</v>
      </c>
      <c r="G8" s="29" t="inlineStr">
        <is>
          <t>Aftermarket monopoly — EXCLUDED</t>
        </is>
      </c>
    </row>
    <row r="9">
      <c r="B9" s="30" t="inlineStr">
        <is>
          <t>Median</t>
        </is>
      </c>
      <c r="C9" s="31" t="inlineStr"/>
      <c r="D9" s="32">
        <f>MEDIAN(D5,D6,D7)</f>
        <v/>
      </c>
      <c r="E9" s="31" t="inlineStr"/>
      <c r="F9" s="31" t="inlineStr"/>
      <c r="G9" s="31" t="inlineStr"/>
    </row>
    <row r="10">
      <c r="B10" s="33" t="inlineStr">
        <is>
          <t>Selected Multiple</t>
        </is>
      </c>
      <c r="C10" s="34" t="inlineStr">
        <is>
          <t>Median of Safran/MTU/Rolls-Royce (excl. TransDigm)</t>
        </is>
      </c>
      <c r="D10" s="35" t="n">
        <v>18</v>
      </c>
      <c r="E10" s="36" t="inlineStr"/>
      <c r="F10" s="36" t="inlineStr"/>
      <c r="G10" s="36" t="inlineStr"/>
    </row>
    <row r="12">
      <c r="B12" s="18" t="inlineStr">
        <is>
          <t>Resources, Energy &amp; Environment</t>
        </is>
      </c>
      <c r="C12" s="19" t="n"/>
      <c r="D12" s="19" t="n"/>
      <c r="E12" s="19" t="n"/>
      <c r="F12" s="19" t="n"/>
      <c r="G12" s="19" t="n"/>
    </row>
    <row r="13">
      <c r="B13" s="5" t="inlineStr">
        <is>
          <t>Company</t>
        </is>
      </c>
      <c r="C13" s="5" t="inlineStr">
        <is>
          <t>Ticker</t>
        </is>
      </c>
      <c r="D13" s="5" t="inlineStr">
        <is>
          <t>EV/EBITDA</t>
        </is>
      </c>
      <c r="E13" s="5" t="inlineStr">
        <is>
          <t>OPM %</t>
        </is>
      </c>
      <c r="F13" s="5" t="inlineStr">
        <is>
          <t>Mkt Cap ($B)</t>
        </is>
      </c>
      <c r="G13" s="5" t="inlineStr">
        <is>
          <t>Note</t>
        </is>
      </c>
    </row>
    <row r="14">
      <c r="B14" s="6" t="inlineStr">
        <is>
          <t>Siemens Energy</t>
        </is>
      </c>
      <c r="C14" s="20" t="inlineStr">
        <is>
          <t>ENR.DE</t>
        </is>
      </c>
      <c r="D14" s="21" t="n">
        <v>12</v>
      </c>
      <c r="E14" s="22" t="n">
        <v>0.06</v>
      </c>
      <c r="F14" s="23" t="n">
        <v>50</v>
      </c>
      <c r="G14" s="24" t="inlineStr">
        <is>
          <t>Gas turbine, grid</t>
        </is>
      </c>
    </row>
    <row r="15">
      <c r="B15" s="6" t="inlineStr">
        <is>
          <t>MHI (Energy seg.)</t>
        </is>
      </c>
      <c r="C15" s="20" t="inlineStr">
        <is>
          <t>7011.T</t>
        </is>
      </c>
      <c r="D15" s="21" t="n">
        <v>8</v>
      </c>
      <c r="E15" s="22" t="n">
        <v>0.05</v>
      </c>
      <c r="F15" s="23" t="n">
        <v>0</v>
      </c>
      <c r="G15" s="24" t="inlineStr">
        <is>
          <t>Comparable segment estimate</t>
        </is>
      </c>
    </row>
    <row r="16">
      <c r="B16" s="30" t="inlineStr">
        <is>
          <t>Median</t>
        </is>
      </c>
      <c r="C16" s="31" t="inlineStr"/>
      <c r="D16" s="32">
        <f>MEDIAN(D14,D15)</f>
        <v/>
      </c>
      <c r="E16" s="31" t="inlineStr"/>
      <c r="F16" s="31" t="inlineStr"/>
      <c r="G16" s="31" t="inlineStr"/>
    </row>
    <row r="17">
      <c r="B17" s="33" t="inlineStr">
        <is>
          <t>Selected Multiple</t>
        </is>
      </c>
      <c r="C17" s="34" t="inlineStr">
        <is>
          <t>Energy equipment peers</t>
        </is>
      </c>
      <c r="D17" s="35" t="n">
        <v>8</v>
      </c>
      <c r="E17" s="36" t="inlineStr"/>
      <c r="F17" s="36" t="inlineStr"/>
      <c r="G17" s="36" t="inlineStr"/>
    </row>
    <row r="19">
      <c r="B19" s="18" t="inlineStr">
        <is>
          <t>Industrial Systems &amp; General Machinery</t>
        </is>
      </c>
      <c r="C19" s="19" t="n"/>
      <c r="D19" s="19" t="n"/>
      <c r="E19" s="19" t="n"/>
      <c r="F19" s="19" t="n"/>
      <c r="G19" s="19" t="n"/>
    </row>
    <row r="20">
      <c r="B20" s="5" t="inlineStr">
        <is>
          <t>Company</t>
        </is>
      </c>
      <c r="C20" s="5" t="inlineStr">
        <is>
          <t>Ticker</t>
        </is>
      </c>
      <c r="D20" s="5" t="inlineStr">
        <is>
          <t>EV/EBITDA</t>
        </is>
      </c>
      <c r="E20" s="5" t="inlineStr">
        <is>
          <t>OPM %</t>
        </is>
      </c>
      <c r="F20" s="5" t="inlineStr">
        <is>
          <t>Mkt Cap ($B)</t>
        </is>
      </c>
      <c r="G20" s="5" t="inlineStr">
        <is>
          <t>Note</t>
        </is>
      </c>
    </row>
    <row r="21">
      <c r="B21" s="6" t="inlineStr">
        <is>
          <t>BorgWarner</t>
        </is>
      </c>
      <c r="C21" s="20" t="inlineStr">
        <is>
          <t>BWA</t>
        </is>
      </c>
      <c r="D21" s="21" t="n">
        <v>6.5</v>
      </c>
      <c r="E21" s="22" t="n">
        <v>0.1</v>
      </c>
      <c r="F21" s="23" t="n">
        <v>7</v>
      </c>
      <c r="G21" s="24" t="inlineStr">
        <is>
          <t>Turbocharger OEM</t>
        </is>
      </c>
    </row>
    <row r="22">
      <c r="B22" s="6" t="inlineStr">
        <is>
          <t>Garrett Motion</t>
        </is>
      </c>
      <c r="C22" s="20" t="inlineStr">
        <is>
          <t>GTX</t>
        </is>
      </c>
      <c r="D22" s="21" t="n">
        <v>7</v>
      </c>
      <c r="E22" s="22" t="n">
        <v>0.15</v>
      </c>
      <c r="F22" s="23" t="n">
        <v>3</v>
      </c>
      <c r="G22" s="24" t="inlineStr">
        <is>
          <t>Turbocharger pure-play</t>
        </is>
      </c>
    </row>
    <row r="23">
      <c r="B23" s="30" t="inlineStr">
        <is>
          <t>Median</t>
        </is>
      </c>
      <c r="C23" s="31" t="inlineStr"/>
      <c r="D23" s="32">
        <f>MEDIAN(D21,D22)</f>
        <v/>
      </c>
      <c r="E23" s="31" t="inlineStr"/>
      <c r="F23" s="31" t="inlineStr"/>
      <c r="G23" s="31" t="inlineStr"/>
    </row>
    <row r="24">
      <c r="B24" s="33" t="inlineStr">
        <is>
          <t>Selected Multiple</t>
        </is>
      </c>
      <c r="C24" s="34" t="inlineStr">
        <is>
          <t>Turbocharger/machinery blend</t>
        </is>
      </c>
      <c r="D24" s="35" t="n">
        <v>10</v>
      </c>
      <c r="E24" s="36" t="inlineStr"/>
      <c r="F24" s="36" t="inlineStr"/>
      <c r="G24" s="36" t="inlineStr"/>
    </row>
    <row r="26">
      <c r="B26" s="18" t="inlineStr">
        <is>
          <t>Social Infrastructure</t>
        </is>
      </c>
      <c r="C26" s="19" t="n"/>
      <c r="D26" s="19" t="n"/>
      <c r="E26" s="19" t="n"/>
      <c r="F26" s="19" t="n"/>
      <c r="G26" s="19" t="n"/>
    </row>
    <row r="27">
      <c r="B27" s="5" t="inlineStr">
        <is>
          <t>Company</t>
        </is>
      </c>
      <c r="C27" s="5" t="inlineStr">
        <is>
          <t>Ticker</t>
        </is>
      </c>
      <c r="D27" s="5" t="inlineStr">
        <is>
          <t>EV/EBITDA</t>
        </is>
      </c>
      <c r="E27" s="5" t="inlineStr">
        <is>
          <t>OPM %</t>
        </is>
      </c>
      <c r="F27" s="5" t="inlineStr">
        <is>
          <t>Mkt Cap ($B)</t>
        </is>
      </c>
      <c r="G27" s="5" t="inlineStr">
        <is>
          <t>Note</t>
        </is>
      </c>
    </row>
    <row r="28">
      <c r="B28" s="6" t="inlineStr">
        <is>
          <t>Yokogawa Bridge</t>
        </is>
      </c>
      <c r="C28" s="20" t="inlineStr">
        <is>
          <t>5911.T</t>
        </is>
      </c>
      <c r="D28" s="21" t="n">
        <v>5.5</v>
      </c>
      <c r="E28" s="22" t="n">
        <v>0.04</v>
      </c>
      <c r="F28" s="23" t="n">
        <v>0</v>
      </c>
      <c r="G28" s="24" t="inlineStr">
        <is>
          <t>Bridge construction — low margin</t>
        </is>
      </c>
    </row>
    <row r="29">
      <c r="B29" s="30" t="inlineStr">
        <is>
          <t>Median</t>
        </is>
      </c>
      <c r="C29" s="31" t="inlineStr"/>
      <c r="D29" s="32">
        <f>MEDIAN(D28)</f>
        <v/>
      </c>
      <c r="E29" s="31" t="inlineStr"/>
      <c r="F29" s="31" t="inlineStr"/>
      <c r="G29" s="31" t="inlineStr"/>
    </row>
    <row r="30">
      <c r="B30" s="33" t="inlineStr">
        <is>
          <t>Selected Multiple</t>
        </is>
      </c>
      <c r="C30" s="34" t="inlineStr">
        <is>
          <t>Infrastructure floor</t>
        </is>
      </c>
      <c r="D30" s="35" t="n">
        <v>6</v>
      </c>
      <c r="E30" s="36" t="inlineStr"/>
      <c r="F30" s="36" t="inlineStr"/>
      <c r="G30" s="36" t="inlineStr"/>
    </row>
  </sheetData>
  <mergeCells count="4">
    <mergeCell ref="B3:G3"/>
    <mergeCell ref="B19:G19"/>
    <mergeCell ref="B26:G26"/>
    <mergeCell ref="B12:G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0000FF"/>
    <outlinePr summaryBelow="1" summaryRight="1"/>
    <pageSetUpPr/>
  </sheetPr>
  <dimension ref="B1:H2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B1" s="1" t="inlineStr">
        <is>
          <t>SOTP Valuation</t>
        </is>
      </c>
    </row>
    <row r="2">
      <c r="B2" s="11" t="inlineStr">
        <is>
          <t>(¥ millions unless noted)</t>
        </is>
      </c>
    </row>
    <row r="4">
      <c r="B4" s="5" t="inlineStr">
        <is>
          <t>Segment</t>
        </is>
      </c>
      <c r="C4" s="5" t="inlineStr">
        <is>
          <t>OP (FY25E)</t>
        </is>
      </c>
      <c r="D4" s="5" t="inlineStr">
        <is>
          <t>D&amp;A Alloc %</t>
        </is>
      </c>
      <c r="E4" s="5" t="inlineStr">
        <is>
          <t>D&amp;A</t>
        </is>
      </c>
      <c r="F4" s="5" t="inlineStr">
        <is>
          <t>EBITDA</t>
        </is>
      </c>
      <c r="G4" s="5" t="inlineStr">
        <is>
          <t>Multiple (x)</t>
        </is>
      </c>
      <c r="H4" s="5" t="inlineStr">
        <is>
          <t>Segment EV</t>
        </is>
      </c>
    </row>
    <row r="5">
      <c r="B5" s="6" t="inlineStr">
        <is>
          <t>Aero, Space &amp; Defense</t>
        </is>
      </c>
      <c r="C5" s="37">
        <f>'Segment Data'!E7</f>
        <v/>
      </c>
      <c r="D5" s="38" t="n">
        <v>0.31</v>
      </c>
      <c r="E5" s="39">
        <f>B12*D5</f>
        <v/>
      </c>
      <c r="F5" s="39">
        <f>C5+E5</f>
        <v/>
      </c>
      <c r="G5" s="40">
        <f>'Peer Comps'!D10</f>
        <v/>
      </c>
      <c r="H5" s="39">
        <f>F5*G5</f>
        <v/>
      </c>
    </row>
    <row r="6">
      <c r="B6" s="6" t="inlineStr">
        <is>
          <t>Resources, Energy &amp; Environment</t>
        </is>
      </c>
      <c r="C6" s="37">
        <f>'Segment Data'!E12</f>
        <v/>
      </c>
      <c r="D6" s="38" t="n">
        <v>0.3</v>
      </c>
      <c r="E6" s="39">
        <f>B12*D6</f>
        <v/>
      </c>
      <c r="F6" s="39">
        <f>C6+E6</f>
        <v/>
      </c>
      <c r="G6" s="40">
        <f>'Peer Comps'!D17</f>
        <v/>
      </c>
      <c r="H6" s="39">
        <f>F6*G6</f>
        <v/>
      </c>
    </row>
    <row r="7">
      <c r="B7" s="6" t="inlineStr">
        <is>
          <t>Industrial Systems &amp; General Machinery</t>
        </is>
      </c>
      <c r="C7" s="37">
        <f>'Segment Data'!E17</f>
        <v/>
      </c>
      <c r="D7" s="38" t="n">
        <v>0.27</v>
      </c>
      <c r="E7" s="39">
        <f>B12*D7</f>
        <v/>
      </c>
      <c r="F7" s="39">
        <f>C7+E7</f>
        <v/>
      </c>
      <c r="G7" s="40">
        <f>'Peer Comps'!D24</f>
        <v/>
      </c>
      <c r="H7" s="39">
        <f>F7*G7</f>
        <v/>
      </c>
    </row>
    <row r="8">
      <c r="B8" s="6" t="inlineStr">
        <is>
          <t>Social Infrastructure</t>
        </is>
      </c>
      <c r="C8" s="37">
        <f>'Segment Data'!E22</f>
        <v/>
      </c>
      <c r="D8" s="38" t="n">
        <v>0.12</v>
      </c>
      <c r="E8" s="39">
        <f>B12*D8</f>
        <v/>
      </c>
      <c r="F8" s="39">
        <f>C8+E8</f>
        <v/>
      </c>
      <c r="G8" s="40">
        <f>'Peer Comps'!D30</f>
        <v/>
      </c>
      <c r="H8" s="39">
        <f>F8*G8</f>
        <v/>
      </c>
    </row>
    <row r="9">
      <c r="B9" s="6" t="inlineStr">
        <is>
          <t>Equity Method Investments</t>
        </is>
      </c>
      <c r="C9" s="41" t="n">
        <v>6200</v>
      </c>
      <c r="D9" s="42" t="inlineStr"/>
      <c r="E9" s="42" t="inlineStr"/>
      <c r="F9" s="39">
        <f>C9</f>
        <v/>
      </c>
      <c r="G9" s="21" t="n">
        <v>10</v>
      </c>
      <c r="H9" s="39">
        <f>F9*G9</f>
        <v/>
      </c>
    </row>
    <row r="10">
      <c r="B10" s="43" t="inlineStr">
        <is>
          <t>Total Segment EV</t>
        </is>
      </c>
      <c r="C10" s="44" t="inlineStr"/>
      <c r="D10" s="44" t="inlineStr"/>
      <c r="E10" s="44" t="inlineStr"/>
      <c r="F10" s="44" t="inlineStr"/>
      <c r="G10" s="44" t="inlineStr"/>
      <c r="H10" s="45">
        <f>H5+H6+H7+H8+H9</f>
        <v/>
      </c>
    </row>
    <row r="12">
      <c r="B12" s="46" t="n">
        <v>70000</v>
      </c>
      <c r="C12" s="11" t="inlineStr">
        <is>
          <t>← Consolidated D&amp;A (input)</t>
        </is>
      </c>
    </row>
    <row r="14">
      <c r="B14" s="3" t="inlineStr">
        <is>
          <t>EV Composition %</t>
        </is>
      </c>
    </row>
    <row r="15">
      <c r="B15" s="2" t="inlineStr">
        <is>
          <t xml:space="preserve">  Aero, Space &amp; Defense</t>
        </is>
      </c>
      <c r="C15" s="47">
        <f>H5/H10</f>
        <v/>
      </c>
    </row>
    <row r="16">
      <c r="B16" s="2" t="inlineStr">
        <is>
          <t xml:space="preserve">  Resources, Energy &amp; Environment</t>
        </is>
      </c>
      <c r="C16" s="47">
        <f>H6/H10</f>
        <v/>
      </c>
    </row>
    <row r="17">
      <c r="B17" s="2" t="inlineStr">
        <is>
          <t xml:space="preserve">  Industrial Systems &amp; General Machinery</t>
        </is>
      </c>
      <c r="C17" s="47">
        <f>H7/H10</f>
        <v/>
      </c>
    </row>
    <row r="18">
      <c r="B18" s="2" t="inlineStr">
        <is>
          <t xml:space="preserve">  Social Infrastructure</t>
        </is>
      </c>
      <c r="C18" s="47">
        <f>H8/H10</f>
        <v/>
      </c>
    </row>
    <row r="20">
      <c r="B20" s="18" t="inlineStr">
        <is>
          <t>Equity Bridge</t>
        </is>
      </c>
      <c r="C20" s="19" t="n"/>
    </row>
    <row r="21">
      <c r="B21" s="6" t="inlineStr">
        <is>
          <t>Total Enterprise Value</t>
        </is>
      </c>
      <c r="C21" s="37">
        <f>H10</f>
        <v/>
      </c>
    </row>
    <row r="22">
      <c r="B22" s="6" t="inlineStr">
        <is>
          <t>Conglomerate Discount</t>
        </is>
      </c>
      <c r="C22" s="48" t="n">
        <v>0</v>
      </c>
    </row>
    <row r="23">
      <c r="B23" s="6" t="inlineStr">
        <is>
          <t>Adjusted EV</t>
        </is>
      </c>
      <c r="C23" s="39">
        <f>C21*(1-C22)</f>
        <v/>
      </c>
    </row>
    <row r="24">
      <c r="B24" s="6" t="inlineStr">
        <is>
          <t>Less: Net Debt</t>
        </is>
      </c>
      <c r="C24" s="13" t="n">
        <v>360000</v>
      </c>
    </row>
    <row r="25">
      <c r="B25" s="6" t="inlineStr">
        <is>
          <t>Less: Minority Interest</t>
        </is>
      </c>
      <c r="C25" s="13" t="n">
        <v>27000</v>
      </c>
    </row>
    <row r="26">
      <c r="B26" s="30" t="inlineStr">
        <is>
          <t>Equity Value</t>
        </is>
      </c>
      <c r="C26" s="49">
        <f>C23-C24-C25</f>
        <v/>
      </c>
    </row>
    <row r="27">
      <c r="B27" s="6" t="inlineStr">
        <is>
          <t>Shares Outstanding (thousands)</t>
        </is>
      </c>
      <c r="C27" s="50" t="n">
        <v>151364</v>
      </c>
    </row>
    <row r="28">
      <c r="B28" s="6" t="inlineStr">
        <is>
          <t>Stock Split Ratio</t>
        </is>
      </c>
      <c r="C28" s="50" t="n">
        <v>7</v>
      </c>
    </row>
    <row r="29">
      <c r="B29" s="51" t="inlineStr">
        <is>
          <t>Fair Value Per Share (post-split)</t>
        </is>
      </c>
      <c r="C29" s="52">
        <f>C26*1000/C27/C28</f>
        <v/>
      </c>
    </row>
  </sheetData>
  <mergeCells count="1">
    <mergeCell ref="B20:C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6600"/>
    <outlinePr summaryBelow="1" summaryRight="1"/>
    <pageSetUpPr/>
  </sheetPr>
  <dimension ref="B1:H31"/>
  <sheetViews>
    <sheetView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B1" s="1" t="inlineStr">
        <is>
          <t>Sensitivity Analysis</t>
        </is>
      </c>
    </row>
    <row r="3">
      <c r="B3" s="3" t="inlineStr">
        <is>
          <t>Table 1: Aero, Space &amp; Defense Multiple × Conglomerate Discount</t>
        </is>
      </c>
    </row>
    <row r="4">
      <c r="B4" s="11" t="inlineStr">
        <is>
          <t>Fair Value (¥/share, post-split)</t>
        </is>
      </c>
    </row>
    <row r="5">
      <c r="B5" s="11" t="inlineStr">
        <is>
          <t>Base Assumptions (do not edit)</t>
        </is>
      </c>
    </row>
    <row r="6">
      <c r="B6" s="11" t="inlineStr">
        <is>
          <t>Aero, Space &amp; Defense OP</t>
        </is>
      </c>
      <c r="C6" s="53">
        <f>'SOTP Valuation'!C5</f>
        <v/>
      </c>
      <c r="D6" s="53">
        <f>'SOTP Valuation'!E5</f>
        <v/>
      </c>
      <c r="E6" s="54">
        <f>C6+D6</f>
        <v/>
      </c>
      <c r="F6" s="55">
        <f>'SOTP Valuation'!G5</f>
        <v/>
      </c>
    </row>
    <row r="7">
      <c r="B7" s="11" t="inlineStr">
        <is>
          <t>Resources, Energy &amp; Environment OP</t>
        </is>
      </c>
      <c r="C7" s="53">
        <f>'SOTP Valuation'!C6</f>
        <v/>
      </c>
      <c r="D7" s="53">
        <f>'SOTP Valuation'!E6</f>
        <v/>
      </c>
      <c r="E7" s="54">
        <f>C7+D7</f>
        <v/>
      </c>
      <c r="F7" s="55">
        <f>'SOTP Valuation'!G6</f>
        <v/>
      </c>
    </row>
    <row r="8">
      <c r="B8" s="11" t="inlineStr">
        <is>
          <t>Industrial Systems &amp; General Machinery OP</t>
        </is>
      </c>
      <c r="C8" s="53">
        <f>'SOTP Valuation'!C7</f>
        <v/>
      </c>
      <c r="D8" s="53">
        <f>'SOTP Valuation'!E7</f>
        <v/>
      </c>
      <c r="E8" s="54">
        <f>C8+D8</f>
        <v/>
      </c>
      <c r="F8" s="55">
        <f>'SOTP Valuation'!G7</f>
        <v/>
      </c>
    </row>
    <row r="9">
      <c r="B9" s="11" t="inlineStr">
        <is>
          <t>Social Infrastructure OP</t>
        </is>
      </c>
      <c r="C9" s="53">
        <f>'SOTP Valuation'!C8</f>
        <v/>
      </c>
      <c r="D9" s="53">
        <f>'SOTP Valuation'!E8</f>
        <v/>
      </c>
      <c r="E9" s="54">
        <f>C9+D9</f>
        <v/>
      </c>
      <c r="F9" s="55">
        <f>'SOTP Valuation'!G8</f>
        <v/>
      </c>
    </row>
    <row r="10">
      <c r="B10" s="11" t="inlineStr">
        <is>
          <t>Equity Method EV</t>
        </is>
      </c>
      <c r="C10" s="53">
        <f>'SOTP Valuation'!H9</f>
        <v/>
      </c>
    </row>
    <row r="11">
      <c r="B11" s="11" t="inlineStr">
        <is>
          <t>Net Debt</t>
        </is>
      </c>
      <c r="C11" s="53">
        <f>'SOTP Valuation'!C24</f>
        <v/>
      </c>
    </row>
    <row r="12">
      <c r="B12" s="11" t="inlineStr">
        <is>
          <t>Minority Interest</t>
        </is>
      </c>
      <c r="C12" s="53">
        <f>'SOTP Valuation'!C25</f>
        <v/>
      </c>
    </row>
    <row r="13">
      <c r="B13" s="11" t="inlineStr">
        <is>
          <t>Shares (thousands)</t>
        </is>
      </c>
      <c r="C13" s="56">
        <f>'SOTP Valuation'!C27</f>
        <v/>
      </c>
    </row>
    <row r="14">
      <c r="B14" s="11" t="inlineStr">
        <is>
          <t>Split Ratio</t>
        </is>
      </c>
      <c r="C14" s="56">
        <f>'SOTP Valuation'!C28</f>
        <v/>
      </c>
    </row>
    <row r="16">
      <c r="B16" s="12" t="inlineStr">
        <is>
          <t>Aero, Space &amp; Defense EV/EBITDA →</t>
        </is>
      </c>
      <c r="C16" s="57" t="n">
        <v>14</v>
      </c>
      <c r="D16" s="57" t="n">
        <v>16</v>
      </c>
      <c r="E16" s="57" t="n">
        <v>18</v>
      </c>
      <c r="F16" s="57" t="n">
        <v>20</v>
      </c>
      <c r="G16" s="57" t="n">
        <v>22</v>
      </c>
      <c r="H16" s="57" t="n">
        <v>25</v>
      </c>
    </row>
    <row r="17">
      <c r="B17" s="58" t="n">
        <v>0</v>
      </c>
      <c r="C17" s="59">
        <f>(($E$6*14+E7*F7+E8*F8+E9*F9+C10)*(1-$B17)-$C$11-$C$12)*1000/$C$13/$C$14</f>
        <v/>
      </c>
      <c r="D17" s="59">
        <f>(($E$6*16+E7*F7+E8*F8+E9*F9+C10)*(1-$B17)-$C$11-$C$12)*1000/$C$13/$C$14</f>
        <v/>
      </c>
      <c r="E17" s="60">
        <f>(($E$6*18+E7*F7+E8*F8+E9*F9+C10)*(1-$B17)-$C$11-$C$12)*1000/$C$13/$C$14</f>
        <v/>
      </c>
      <c r="F17" s="59">
        <f>(($E$6*20+E7*F7+E8*F8+E9*F9+C10)*(1-$B17)-$C$11-$C$12)*1000/$C$13/$C$14</f>
        <v/>
      </c>
      <c r="G17" s="59">
        <f>(($E$6*22+E7*F7+E8*F8+E9*F9+C10)*(1-$B17)-$C$11-$C$12)*1000/$C$13/$C$14</f>
        <v/>
      </c>
      <c r="H17" s="59">
        <f>(($E$6*25+E7*F7+E8*F8+E9*F9+C10)*(1-$B17)-$C$11-$C$12)*1000/$C$13/$C$14</f>
        <v/>
      </c>
    </row>
    <row r="18">
      <c r="B18" s="58" t="n">
        <v>0.05</v>
      </c>
      <c r="C18" s="59">
        <f>(($E$6*14+E7*F7+E8*F8+E9*F9+C10)*(1-$B18)-$C$11-$C$12)*1000/$C$13/$C$14</f>
        <v/>
      </c>
      <c r="D18" s="59">
        <f>(($E$6*16+E7*F7+E8*F8+E9*F9+C10)*(1-$B18)-$C$11-$C$12)*1000/$C$13/$C$14</f>
        <v/>
      </c>
      <c r="E18" s="59">
        <f>(($E$6*18+E7*F7+E8*F8+E9*F9+C10)*(1-$B18)-$C$11-$C$12)*1000/$C$13/$C$14</f>
        <v/>
      </c>
      <c r="F18" s="59">
        <f>(($E$6*20+E7*F7+E8*F8+E9*F9+C10)*(1-$B18)-$C$11-$C$12)*1000/$C$13/$C$14</f>
        <v/>
      </c>
      <c r="G18" s="59">
        <f>(($E$6*22+E7*F7+E8*F8+E9*F9+C10)*(1-$B18)-$C$11-$C$12)*1000/$C$13/$C$14</f>
        <v/>
      </c>
      <c r="H18" s="59">
        <f>(($E$6*25+E7*F7+E8*F8+E9*F9+C10)*(1-$B18)-$C$11-$C$12)*1000/$C$13/$C$14</f>
        <v/>
      </c>
    </row>
    <row r="19">
      <c r="B19" s="58" t="n">
        <v>0.1</v>
      </c>
      <c r="C19" s="59">
        <f>(($E$6*14+E7*F7+E8*F8+E9*F9+C10)*(1-$B19)-$C$11-$C$12)*1000/$C$13/$C$14</f>
        <v/>
      </c>
      <c r="D19" s="59">
        <f>(($E$6*16+E7*F7+E8*F8+E9*F9+C10)*(1-$B19)-$C$11-$C$12)*1000/$C$13/$C$14</f>
        <v/>
      </c>
      <c r="E19" s="59">
        <f>(($E$6*18+E7*F7+E8*F8+E9*F9+C10)*(1-$B19)-$C$11-$C$12)*1000/$C$13/$C$14</f>
        <v/>
      </c>
      <c r="F19" s="59">
        <f>(($E$6*20+E7*F7+E8*F8+E9*F9+C10)*(1-$B19)-$C$11-$C$12)*1000/$C$13/$C$14</f>
        <v/>
      </c>
      <c r="G19" s="59">
        <f>(($E$6*22+E7*F7+E8*F8+E9*F9+C10)*(1-$B19)-$C$11-$C$12)*1000/$C$13/$C$14</f>
        <v/>
      </c>
      <c r="H19" s="59">
        <f>(($E$6*25+E7*F7+E8*F8+E9*F9+C10)*(1-$B19)-$C$11-$C$12)*1000/$C$13/$C$14</f>
        <v/>
      </c>
    </row>
    <row r="20">
      <c r="B20" s="58" t="n">
        <v>0.15</v>
      </c>
      <c r="C20" s="59">
        <f>(($E$6*14+E7*F7+E8*F8+E9*F9+C10)*(1-$B20)-$C$11-$C$12)*1000/$C$13/$C$14</f>
        <v/>
      </c>
      <c r="D20" s="59">
        <f>(($E$6*16+E7*F7+E8*F8+E9*F9+C10)*(1-$B20)-$C$11-$C$12)*1000/$C$13/$C$14</f>
        <v/>
      </c>
      <c r="E20" s="59">
        <f>(($E$6*18+E7*F7+E8*F8+E9*F9+C10)*(1-$B20)-$C$11-$C$12)*1000/$C$13/$C$14</f>
        <v/>
      </c>
      <c r="F20" s="59">
        <f>(($E$6*20+E7*F7+E8*F8+E9*F9+C10)*(1-$B20)-$C$11-$C$12)*1000/$C$13/$C$14</f>
        <v/>
      </c>
      <c r="G20" s="59">
        <f>(($E$6*22+E7*F7+E8*F8+E9*F9+C10)*(1-$B20)-$C$11-$C$12)*1000/$C$13/$C$14</f>
        <v/>
      </c>
      <c r="H20" s="59">
        <f>(($E$6*25+E7*F7+E8*F8+E9*F9+C10)*(1-$B20)-$C$11-$C$12)*1000/$C$13/$C$14</f>
        <v/>
      </c>
    </row>
    <row r="21">
      <c r="B21" s="58" t="n">
        <v>0.2</v>
      </c>
      <c r="C21" s="59">
        <f>(($E$6*14+E7*F7+E8*F8+E9*F9+C10)*(1-$B21)-$C$11-$C$12)*1000/$C$13/$C$14</f>
        <v/>
      </c>
      <c r="D21" s="59">
        <f>(($E$6*16+E7*F7+E8*F8+E9*F9+C10)*(1-$B21)-$C$11-$C$12)*1000/$C$13/$C$14</f>
        <v/>
      </c>
      <c r="E21" s="59">
        <f>(($E$6*18+E7*F7+E8*F8+E9*F9+C10)*(1-$B21)-$C$11-$C$12)*1000/$C$13/$C$14</f>
        <v/>
      </c>
      <c r="F21" s="59">
        <f>(($E$6*20+E7*F7+E8*F8+E9*F9+C10)*(1-$B21)-$C$11-$C$12)*1000/$C$13/$C$14</f>
        <v/>
      </c>
      <c r="G21" s="59">
        <f>(($E$6*22+E7*F7+E8*F8+E9*F9+C10)*(1-$B21)-$C$11-$C$12)*1000/$C$13/$C$14</f>
        <v/>
      </c>
      <c r="H21" s="59">
        <f>(($E$6*25+E7*F7+E8*F8+E9*F9+C10)*(1-$B21)-$C$11-$C$12)*1000/$C$13/$C$14</f>
        <v/>
      </c>
    </row>
    <row r="24">
      <c r="B24" s="3" t="inlineStr">
        <is>
          <t>Table 2: Industrial Systems &amp; General Machinery × Resources, Energy &amp; Environment Multiple Sensitivity</t>
        </is>
      </c>
    </row>
    <row r="25">
      <c r="B25" s="11" t="inlineStr">
        <is>
          <t>Fair Value (¥/share, post-split) — Base discount, base Aero multiple</t>
        </is>
      </c>
    </row>
    <row r="26">
      <c r="B26" s="12" t="inlineStr">
        <is>
          <t>Industrial Systems &amp; General Machinery ↓ / Resources, Energy &amp; Environment →</t>
        </is>
      </c>
      <c r="C26" s="57" t="n">
        <v>6</v>
      </c>
      <c r="D26" s="57" t="n">
        <v>8</v>
      </c>
      <c r="E26" s="57" t="n">
        <v>10</v>
      </c>
      <c r="F26" s="57" t="n">
        <v>12</v>
      </c>
    </row>
    <row r="27">
      <c r="B27" s="61" t="n">
        <v>7</v>
      </c>
      <c r="C27" s="59">
        <f>(($E$8*$B27+$E$7*C$26+$E$6*$F$6+$E$9*$F$9+$C$10)*(1-0.0)-$C$11-$C$12)*1000/$C$13/$C$14</f>
        <v/>
      </c>
      <c r="D27" s="59">
        <f>(($E$8*$B27+$E$7*D$26+$E$6*$F$6+$E$9*$F$9+$C$10)*(1-0.0)-$C$11-$C$12)*1000/$C$13/$C$14</f>
        <v/>
      </c>
      <c r="E27" s="59">
        <f>(($E$8*$B27+$E$7*E$26+$E$6*$F$6+$E$9*$F$9+$C$10)*(1-0.0)-$C$11-$C$12)*1000/$C$13/$C$14</f>
        <v/>
      </c>
      <c r="F27" s="59">
        <f>(($E$8*$B27+$E$7*F$26+$E$6*$F$6+$E$9*$F$9+$C$10)*(1-0.0)-$C$11-$C$12)*1000/$C$13/$C$14</f>
        <v/>
      </c>
    </row>
    <row r="28">
      <c r="B28" s="61" t="n">
        <v>8</v>
      </c>
      <c r="C28" s="59">
        <f>(($E$8*$B28+$E$7*C$26+$E$6*$F$6+$E$9*$F$9+$C$10)*(1-0.0)-$C$11-$C$12)*1000/$C$13/$C$14</f>
        <v/>
      </c>
      <c r="D28" s="59">
        <f>(($E$8*$B28+$E$7*D$26+$E$6*$F$6+$E$9*$F$9+$C$10)*(1-0.0)-$C$11-$C$12)*1000/$C$13/$C$14</f>
        <v/>
      </c>
      <c r="E28" s="59">
        <f>(($E$8*$B28+$E$7*E$26+$E$6*$F$6+$E$9*$F$9+$C$10)*(1-0.0)-$C$11-$C$12)*1000/$C$13/$C$14</f>
        <v/>
      </c>
      <c r="F28" s="59">
        <f>(($E$8*$B28+$E$7*F$26+$E$6*$F$6+$E$9*$F$9+$C$10)*(1-0.0)-$C$11-$C$12)*1000/$C$13/$C$14</f>
        <v/>
      </c>
    </row>
    <row r="29">
      <c r="B29" s="61" t="n">
        <v>10</v>
      </c>
      <c r="C29" s="59">
        <f>(($E$8*$B29+$E$7*C$26+$E$6*$F$6+$E$9*$F$9+$C$10)*(1-0.0)-$C$11-$C$12)*1000/$C$13/$C$14</f>
        <v/>
      </c>
      <c r="D29" s="60">
        <f>(($E$8*$B29+$E$7*D$26+$E$6*$F$6+$E$9*$F$9+$C$10)*(1-0.0)-$C$11-$C$12)*1000/$C$13/$C$14</f>
        <v/>
      </c>
      <c r="E29" s="59">
        <f>(($E$8*$B29+$E$7*E$26+$E$6*$F$6+$E$9*$F$9+$C$10)*(1-0.0)-$C$11-$C$12)*1000/$C$13/$C$14</f>
        <v/>
      </c>
      <c r="F29" s="59">
        <f>(($E$8*$B29+$E$7*F$26+$E$6*$F$6+$E$9*$F$9+$C$10)*(1-0.0)-$C$11-$C$12)*1000/$C$13/$C$14</f>
        <v/>
      </c>
    </row>
    <row r="30">
      <c r="B30" s="61" t="n">
        <v>12</v>
      </c>
      <c r="C30" s="59">
        <f>(($E$8*$B30+$E$7*C$26+$E$6*$F$6+$E$9*$F$9+$C$10)*(1-0.0)-$C$11-$C$12)*1000/$C$13/$C$14</f>
        <v/>
      </c>
      <c r="D30" s="59">
        <f>(($E$8*$B30+$E$7*D$26+$E$6*$F$6+$E$9*$F$9+$C$10)*(1-0.0)-$C$11-$C$12)*1000/$C$13/$C$14</f>
        <v/>
      </c>
      <c r="E30" s="59">
        <f>(($E$8*$B30+$E$7*E$26+$E$6*$F$6+$E$9*$F$9+$C$10)*(1-0.0)-$C$11-$C$12)*1000/$C$13/$C$14</f>
        <v/>
      </c>
      <c r="F30" s="59">
        <f>(($E$8*$B30+$E$7*F$26+$E$6*$F$6+$E$9*$F$9+$C$10)*(1-0.0)-$C$11-$C$12)*1000/$C$13/$C$14</f>
        <v/>
      </c>
    </row>
    <row r="31">
      <c r="B31" s="61" t="n">
        <v>14</v>
      </c>
      <c r="C31" s="59">
        <f>(($E$8*$B31+$E$7*C$26+$E$6*$F$6+$E$9*$F$9+$C$10)*(1-0.0)-$C$11-$C$12)*1000/$C$13/$C$14</f>
        <v/>
      </c>
      <c r="D31" s="59">
        <f>(($E$8*$B31+$E$7*D$26+$E$6*$F$6+$E$9*$F$9+$C$10)*(1-0.0)-$C$11-$C$12)*1000/$C$13/$C$14</f>
        <v/>
      </c>
      <c r="E31" s="59">
        <f>(($E$8*$B31+$E$7*E$26+$E$6*$F$6+$E$9*$F$9+$C$10)*(1-0.0)-$C$11-$C$12)*1000/$C$13/$C$14</f>
        <v/>
      </c>
      <c r="F31" s="59">
        <f>(($E$8*$B31+$E$7*F$26+$E$6*$F$6+$E$9*$F$9+$C$10)*(1-0.0)-$C$11-$C$12)*1000/$C$13/$C$14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B1:E20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8" customWidth="1" min="3" max="3"/>
    <col width="18" customWidth="1" min="4" max="4"/>
    <col width="18" customWidth="1" min="5" max="5"/>
  </cols>
  <sheetData>
    <row r="1">
      <c r="B1" s="1" t="inlineStr">
        <is>
          <t>D&amp;A Allocation Methodology</t>
        </is>
      </c>
    </row>
    <row r="3">
      <c r="B3" s="2" t="inlineStr">
        <is>
          <t>IHI does not disclose segment-level D&amp;A.</t>
        </is>
      </c>
    </row>
    <row r="4">
      <c r="B4" s="2" t="inlineStr">
        <is>
          <t>Allocation is estimated based on fixed asset intensity by segment.</t>
        </is>
      </c>
    </row>
    <row r="6">
      <c r="B6" s="12" t="inlineStr">
        <is>
          <t>Consolidated D&amp;A (FY25E)</t>
        </is>
      </c>
      <c r="C6" s="46" t="n">
        <v>70000</v>
      </c>
      <c r="D6" s="11" t="inlineStr">
        <is>
          <t>¥M (input)</t>
        </is>
      </c>
    </row>
    <row r="8">
      <c r="B8" s="5" t="inlineStr">
        <is>
          <t>Segment</t>
        </is>
      </c>
      <c r="C8" s="5" t="inlineStr">
        <is>
          <t>Allocation %</t>
        </is>
      </c>
      <c r="D8" s="5" t="inlineStr">
        <is>
          <t>D&amp;A (¥M)</t>
        </is>
      </c>
      <c r="E8" s="5" t="inlineStr">
        <is>
          <t>Check</t>
        </is>
      </c>
    </row>
    <row r="9">
      <c r="B9" s="6" t="inlineStr">
        <is>
          <t>Aero, Space &amp; Defense</t>
        </is>
      </c>
      <c r="C9" s="38" t="n">
        <v>0.31</v>
      </c>
      <c r="D9" s="39">
        <f>$C$6*C9</f>
        <v/>
      </c>
    </row>
    <row r="10">
      <c r="B10" s="6" t="inlineStr">
        <is>
          <t>Resources, Energy &amp; Environment</t>
        </is>
      </c>
      <c r="C10" s="38" t="n">
        <v>0.3</v>
      </c>
      <c r="D10" s="39">
        <f>$C$6*C10</f>
        <v/>
      </c>
    </row>
    <row r="11">
      <c r="B11" s="6" t="inlineStr">
        <is>
          <t>Industrial Systems &amp; General Machinery</t>
        </is>
      </c>
      <c r="C11" s="38" t="n">
        <v>0.27</v>
      </c>
      <c r="D11" s="39">
        <f>$C$6*C11</f>
        <v/>
      </c>
    </row>
    <row r="12">
      <c r="B12" s="6" t="inlineStr">
        <is>
          <t>Social Infrastructure</t>
        </is>
      </c>
      <c r="C12" s="38" t="n">
        <v>0.12</v>
      </c>
      <c r="D12" s="39">
        <f>$C$6*C12</f>
        <v/>
      </c>
    </row>
    <row r="13">
      <c r="B13" s="43" t="inlineStr">
        <is>
          <t>Total</t>
        </is>
      </c>
      <c r="C13" s="62">
        <f>C9+C10+C11+C12</f>
        <v/>
      </c>
      <c r="D13" s="45">
        <f>D9+D10+D11+D12</f>
        <v/>
      </c>
      <c r="E13" s="43">
        <f>IF(ABS(C13-1)&lt;0.001,"OK","CHECK")</f>
        <v/>
      </c>
    </row>
    <row r="15">
      <c r="B15" s="3" t="inlineStr">
        <is>
          <t>Notes:</t>
        </is>
      </c>
    </row>
    <row r="16">
      <c r="B16" s="11" t="inlineStr">
        <is>
          <t>• Aero segment has highest capital intensity (engine test facilities, MRO hangars)</t>
        </is>
      </c>
    </row>
    <row r="17">
      <c r="B17" s="11" t="inlineStr">
        <is>
          <t>• Energy segment includes boiler/turbine manufacturing → moderate fixed assets</t>
        </is>
      </c>
    </row>
    <row r="18">
      <c r="B18" s="11" t="inlineStr">
        <is>
          <t>• Industrial includes turbocharger plants (Niigata, overseas) → moderate</t>
        </is>
      </c>
    </row>
    <row r="19">
      <c r="B19" s="11" t="inlineStr">
        <is>
          <t>• Social Infrastructure: project-based, lower owned fixed assets</t>
        </is>
      </c>
    </row>
    <row r="20">
      <c r="B20" s="11" t="inlineStr">
        <is>
          <t>• Allocation sums to 100% — residual is implicitly in corporate/eliminations</t>
        </is>
      </c>
    </row>
  </sheetData>
  <mergeCells count="5">
    <mergeCell ref="B17:E17"/>
    <mergeCell ref="B18:E18"/>
    <mergeCell ref="B16:E16"/>
    <mergeCell ref="B19:E19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2026-04-09T12:25:02Z</dcterms:created>
  <dcterms:modified xmlns:dcterms="http://purl.org/dc/terms/" xmlns:xsi="http://www.w3.org/2001/XMLSchema-instance" xsi:type="dcterms:W3CDTF">2026-04-09T12:25:03Z</dcterms:modified>
</cp:coreProperties>
</file>