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BE305CC-5FE3-44FB-B445-F9CC4A36F26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F15" i="6" s="1"/>
  <c r="K8" i="6"/>
  <c r="J8" i="6"/>
  <c r="O7" i="6"/>
  <c r="N7" i="6"/>
  <c r="M7" i="6"/>
  <c r="L7" i="6"/>
  <c r="K7" i="6"/>
  <c r="J7" i="6"/>
  <c r="O6" i="6"/>
  <c r="I16" i="6" s="1"/>
  <c r="N6" i="6"/>
  <c r="H15" i="6" s="1"/>
  <c r="M6" i="6"/>
  <c r="G15" i="6" s="1"/>
  <c r="L6" i="6"/>
  <c r="K6" i="6"/>
  <c r="E15" i="6" s="1"/>
  <c r="J6" i="6"/>
  <c r="O5" i="6"/>
  <c r="N5" i="6"/>
  <c r="D5" i="6"/>
  <c r="E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C9" i="2"/>
  <c r="F8" i="2"/>
  <c r="F9" i="2" s="1"/>
  <c r="E8" i="2"/>
  <c r="E9" i="2" s="1"/>
  <c r="D8" i="2"/>
  <c r="D9" i="2" s="1"/>
  <c r="C8" i="2"/>
  <c r="C26" i="3" l="1"/>
  <c r="H16" i="6"/>
  <c r="D17" i="6"/>
  <c r="F16" i="6"/>
  <c r="C28" i="6" s="1"/>
  <c r="C19" i="1" s="1"/>
  <c r="D19" i="1" s="1"/>
  <c r="F6" i="7"/>
  <c r="G17" i="7"/>
  <c r="J5" i="6"/>
  <c r="K5" i="6"/>
  <c r="C3" i="7"/>
  <c r="G36" i="4"/>
  <c r="C11" i="4"/>
  <c r="C24" i="4" s="1"/>
  <c r="C25" i="4" s="1"/>
  <c r="G46" i="3"/>
  <c r="F36" i="4"/>
  <c r="F46" i="3"/>
  <c r="E46" i="3"/>
  <c r="D36" i="4"/>
  <c r="D46" i="3"/>
  <c r="B25" i="1"/>
  <c r="C46" i="3"/>
  <c r="E36" i="4"/>
  <c r="H36" i="4"/>
  <c r="B31" i="1"/>
  <c r="C70" i="4"/>
  <c r="C71" i="4"/>
  <c r="C30" i="3"/>
  <c r="C33" i="3" s="1"/>
  <c r="F31" i="3"/>
  <c r="H5" i="5"/>
  <c r="D7" i="5"/>
  <c r="I15" i="6"/>
  <c r="E17" i="6"/>
  <c r="I6" i="7"/>
  <c r="D30" i="3"/>
  <c r="G31" i="3"/>
  <c r="E7" i="5"/>
  <c r="L5" i="6"/>
  <c r="D16" i="6"/>
  <c r="F17" i="6"/>
  <c r="C17" i="7"/>
  <c r="E30" i="3"/>
  <c r="C32" i="3"/>
  <c r="D6" i="5"/>
  <c r="F7" i="5"/>
  <c r="M5" i="6"/>
  <c r="E16" i="6"/>
  <c r="G17" i="6"/>
  <c r="C6" i="7"/>
  <c r="D17" i="7"/>
  <c r="C31" i="3"/>
  <c r="E5" i="5"/>
  <c r="G6" i="5"/>
  <c r="F30" i="3"/>
  <c r="D32" i="3"/>
  <c r="E6" i="5"/>
  <c r="G7" i="5"/>
  <c r="D15" i="6"/>
  <c r="H17" i="6"/>
  <c r="D6" i="7"/>
  <c r="E17" i="7"/>
  <c r="G30" i="3"/>
  <c r="E32" i="3"/>
  <c r="D5" i="5"/>
  <c r="F6" i="5"/>
  <c r="H7" i="5"/>
  <c r="G16" i="6"/>
  <c r="I17" i="6"/>
  <c r="E6" i="7"/>
  <c r="F17" i="7"/>
  <c r="F32" i="3"/>
  <c r="D31" i="3"/>
  <c r="G32" i="3"/>
  <c r="F5" i="5"/>
  <c r="H6" i="5"/>
  <c r="G6" i="7"/>
  <c r="H17" i="7"/>
  <c r="E31" i="3"/>
  <c r="C27" i="6" l="1"/>
  <c r="C18" i="1" s="1"/>
  <c r="D18" i="1" s="1"/>
  <c r="C74" i="4"/>
  <c r="C29" i="4"/>
  <c r="C27" i="4"/>
  <c r="C26" i="4"/>
  <c r="H40" i="4"/>
  <c r="H50" i="4" s="1"/>
  <c r="H55" i="4" s="1"/>
  <c r="H44" i="4"/>
  <c r="H38" i="4"/>
  <c r="H41" i="4"/>
  <c r="H45" i="4"/>
  <c r="H39" i="4"/>
  <c r="H43" i="4"/>
  <c r="H46" i="4"/>
  <c r="F43" i="4"/>
  <c r="F46" i="4"/>
  <c r="F44" i="4"/>
  <c r="F38" i="4"/>
  <c r="F40" i="4"/>
  <c r="F41" i="4"/>
  <c r="F45" i="4"/>
  <c r="F39" i="4"/>
  <c r="B24" i="1"/>
  <c r="B30" i="1"/>
  <c r="E39" i="4"/>
  <c r="E43" i="4"/>
  <c r="E46" i="4"/>
  <c r="E40" i="4"/>
  <c r="E44" i="4"/>
  <c r="E38" i="4"/>
  <c r="E48" i="4" s="1"/>
  <c r="E53" i="4" s="1"/>
  <c r="E41" i="4"/>
  <c r="E51" i="4" s="1"/>
  <c r="E56" i="4" s="1"/>
  <c r="E45" i="4"/>
  <c r="G46" i="4"/>
  <c r="G40" i="4"/>
  <c r="G38" i="4"/>
  <c r="G41" i="4"/>
  <c r="G44" i="4"/>
  <c r="G45" i="4"/>
  <c r="G39" i="4"/>
  <c r="G49" i="4" s="1"/>
  <c r="G54" i="4" s="1"/>
  <c r="G43" i="4"/>
  <c r="D9" i="5"/>
  <c r="D12" i="5" s="1"/>
  <c r="C42" i="3"/>
  <c r="C34" i="3"/>
  <c r="D10" i="5" s="1"/>
  <c r="C37" i="3"/>
  <c r="C35" i="3"/>
  <c r="D33" i="3"/>
  <c r="B13" i="7"/>
  <c r="B12" i="7"/>
  <c r="B11" i="7"/>
  <c r="B10" i="7"/>
  <c r="B9" i="7"/>
  <c r="B8" i="7"/>
  <c r="B7" i="7"/>
  <c r="B24" i="7"/>
  <c r="B23" i="7"/>
  <c r="B22" i="7"/>
  <c r="B21" i="7"/>
  <c r="B20" i="7"/>
  <c r="B19" i="7"/>
  <c r="B18" i="7"/>
  <c r="D45" i="4"/>
  <c r="D39" i="4"/>
  <c r="D49" i="4" s="1"/>
  <c r="D54" i="4" s="1"/>
  <c r="D46" i="4"/>
  <c r="D40" i="4"/>
  <c r="D50" i="4" s="1"/>
  <c r="D55" i="4" s="1"/>
  <c r="D43" i="4"/>
  <c r="D44" i="4"/>
  <c r="D38" i="4"/>
  <c r="D41" i="4"/>
  <c r="F49" i="4" l="1"/>
  <c r="G51" i="4"/>
  <c r="G56" i="4" s="1"/>
  <c r="E9" i="5"/>
  <c r="E12" i="5" s="1"/>
  <c r="D37" i="3"/>
  <c r="D42" i="3"/>
  <c r="D34" i="3"/>
  <c r="E10" i="5" s="1"/>
  <c r="E33" i="3"/>
  <c r="F54" i="4"/>
  <c r="B78" i="4" s="1"/>
  <c r="C60" i="4"/>
  <c r="C36" i="3"/>
  <c r="C39" i="3"/>
  <c r="C38" i="3"/>
  <c r="E50" i="4"/>
  <c r="E55" i="4" s="1"/>
  <c r="H49" i="4"/>
  <c r="H54" i="4" s="1"/>
  <c r="D15" i="5"/>
  <c r="D16" i="5" s="1"/>
  <c r="D13" i="5"/>
  <c r="D14" i="5" s="1"/>
  <c r="G48" i="4"/>
  <c r="G53" i="4" s="1"/>
  <c r="F50" i="4"/>
  <c r="F55" i="4" s="1"/>
  <c r="D51" i="4"/>
  <c r="D56" i="4" s="1"/>
  <c r="F51" i="4"/>
  <c r="F56" i="4" s="1"/>
  <c r="D48" i="4"/>
  <c r="D53" i="4" s="1"/>
  <c r="G50" i="4"/>
  <c r="G55" i="4" s="1"/>
  <c r="F48" i="4"/>
  <c r="F53" i="4" s="1"/>
  <c r="H51" i="4"/>
  <c r="H56" i="4" s="1"/>
  <c r="E49" i="4"/>
  <c r="E54" i="4" s="1"/>
  <c r="H48" i="4"/>
  <c r="H53" i="4" s="1"/>
  <c r="D35" i="3" l="1"/>
  <c r="F9" i="5"/>
  <c r="F12" i="5" s="1"/>
  <c r="E42" i="3"/>
  <c r="E34" i="3"/>
  <c r="F10" i="5" s="1"/>
  <c r="E37" i="3"/>
  <c r="F33" i="3"/>
  <c r="C40" i="3"/>
  <c r="C41" i="3" s="1"/>
  <c r="C45" i="3" s="1"/>
  <c r="E13" i="5"/>
  <c r="E14" i="5" s="1"/>
  <c r="E18" i="5" s="1"/>
  <c r="E19" i="5" s="1"/>
  <c r="D44" i="3" s="1"/>
  <c r="E15" i="5"/>
  <c r="E16" i="5" s="1"/>
  <c r="D18" i="5"/>
  <c r="D19" i="5" s="1"/>
  <c r="C44" i="3" s="1"/>
  <c r="C65" i="4"/>
  <c r="D65" i="4" s="1"/>
  <c r="C64" i="4"/>
  <c r="D64" i="4" s="1"/>
  <c r="C67" i="4"/>
  <c r="D67" i="4" s="1"/>
  <c r="C63" i="4"/>
  <c r="D63" i="4" s="1"/>
  <c r="C66" i="4"/>
  <c r="D66" i="4" s="1"/>
  <c r="C47" i="3" l="1"/>
  <c r="F13" i="5"/>
  <c r="F14" i="5" s="1"/>
  <c r="F18" i="5" s="1"/>
  <c r="F19" i="5" s="1"/>
  <c r="E44" i="3" s="1"/>
  <c r="F15" i="5"/>
  <c r="F16" i="5" s="1"/>
  <c r="F42" i="3"/>
  <c r="F34" i="3"/>
  <c r="G10" i="5" s="1"/>
  <c r="F37" i="3"/>
  <c r="G33" i="3"/>
  <c r="G9" i="5"/>
  <c r="G12" i="5" s="1"/>
  <c r="D36" i="3"/>
  <c r="D39" i="3"/>
  <c r="D38" i="3"/>
  <c r="E35" i="3"/>
  <c r="G13" i="5" l="1"/>
  <c r="G15" i="5"/>
  <c r="G16" i="5" s="1"/>
  <c r="E39" i="3"/>
  <c r="E38" i="3"/>
  <c r="E36" i="3"/>
  <c r="D40" i="3"/>
  <c r="D41" i="3" s="1"/>
  <c r="D45" i="3" s="1"/>
  <c r="G14" i="5"/>
  <c r="G18" i="5" s="1"/>
  <c r="G19" i="5" s="1"/>
  <c r="F44" i="3" s="1"/>
  <c r="G37" i="3"/>
  <c r="C16" i="4"/>
  <c r="C28" i="4" s="1"/>
  <c r="H9" i="5"/>
  <c r="H12" i="5" s="1"/>
  <c r="G42" i="3"/>
  <c r="G34" i="3"/>
  <c r="H10" i="5" s="1"/>
  <c r="F35" i="3"/>
  <c r="F38" i="3" l="1"/>
  <c r="F36" i="3"/>
  <c r="F39" i="3"/>
  <c r="C72" i="4"/>
  <c r="C73" i="4"/>
  <c r="H15" i="5"/>
  <c r="H16" i="5" s="1"/>
  <c r="H13" i="5"/>
  <c r="H14" i="5" s="1"/>
  <c r="H18" i="5" s="1"/>
  <c r="H19" i="5" s="1"/>
  <c r="G44" i="3" s="1"/>
  <c r="D47" i="3"/>
  <c r="G35" i="3"/>
  <c r="E40" i="3"/>
  <c r="E41" i="3" s="1"/>
  <c r="E45" i="3" s="1"/>
  <c r="E47" i="3" l="1"/>
  <c r="G38" i="3"/>
  <c r="G36" i="3"/>
  <c r="G39" i="3"/>
  <c r="F40" i="3"/>
  <c r="F41" i="3" s="1"/>
  <c r="F45" i="3" s="1"/>
  <c r="F47" i="3" l="1"/>
  <c r="H23" i="7"/>
  <c r="H11" i="7"/>
  <c r="G40" i="3"/>
  <c r="C59" i="3"/>
  <c r="C60" i="3" s="1"/>
  <c r="C61" i="3" s="1"/>
  <c r="G41" i="3"/>
  <c r="G45" i="3" s="1"/>
  <c r="H9" i="7" s="1"/>
  <c r="E11" i="7" l="1"/>
  <c r="I7" i="7"/>
  <c r="D8" i="7"/>
  <c r="C7" i="7"/>
  <c r="I12" i="7"/>
  <c r="I8" i="7"/>
  <c r="D10" i="7"/>
  <c r="F9" i="7"/>
  <c r="E19" i="7"/>
  <c r="C23" i="7"/>
  <c r="I20" i="7"/>
  <c r="C24" i="7"/>
  <c r="C21" i="7"/>
  <c r="E21" i="7"/>
  <c r="F21" i="7"/>
  <c r="G11" i="7"/>
  <c r="D19" i="7"/>
  <c r="I18" i="7"/>
  <c r="E24" i="7"/>
  <c r="C22" i="7"/>
  <c r="G7" i="7"/>
  <c r="E18" i="7"/>
  <c r="F11" i="7"/>
  <c r="I9" i="7"/>
  <c r="H10" i="7"/>
  <c r="G9" i="7"/>
  <c r="G10" i="7"/>
  <c r="H13" i="7"/>
  <c r="F24" i="7"/>
  <c r="D12" i="7"/>
  <c r="E13" i="7"/>
  <c r="I19" i="7"/>
  <c r="I11" i="7"/>
  <c r="C51" i="3"/>
  <c r="C52" i="3" s="1"/>
  <c r="G47" i="3"/>
  <c r="D22" i="7"/>
  <c r="D24" i="7"/>
  <c r="G12" i="7"/>
  <c r="G18" i="7"/>
  <c r="E22" i="7"/>
  <c r="I22" i="7"/>
  <c r="G19" i="7"/>
  <c r="G21" i="7"/>
  <c r="E7" i="7"/>
  <c r="I24" i="7"/>
  <c r="I13" i="7"/>
  <c r="E23" i="7"/>
  <c r="F8" i="7"/>
  <c r="D11" i="7"/>
  <c r="C12" i="7"/>
  <c r="C20" i="7"/>
  <c r="G22" i="7"/>
  <c r="E8" i="7"/>
  <c r="E20" i="7"/>
  <c r="H20" i="7"/>
  <c r="E12" i="7"/>
  <c r="G13" i="7"/>
  <c r="G20" i="7"/>
  <c r="H8" i="7"/>
  <c r="G24" i="7"/>
  <c r="H24" i="7"/>
  <c r="E10" i="7"/>
  <c r="F23" i="7"/>
  <c r="D7" i="7"/>
  <c r="C8" i="7"/>
  <c r="C13" i="7"/>
  <c r="C10" i="7"/>
  <c r="D20" i="7"/>
  <c r="G8" i="7"/>
  <c r="C18" i="7"/>
  <c r="G23" i="7"/>
  <c r="D9" i="7"/>
  <c r="H22" i="7"/>
  <c r="F12" i="7"/>
  <c r="C11" i="7"/>
  <c r="D18" i="7"/>
  <c r="D21" i="7"/>
  <c r="H18" i="7"/>
  <c r="I21" i="7"/>
  <c r="H12" i="7"/>
  <c r="C9" i="7"/>
  <c r="I10" i="7"/>
  <c r="F10" i="7"/>
  <c r="F7" i="7"/>
  <c r="F13" i="7"/>
  <c r="D13" i="7"/>
  <c r="F20" i="7"/>
  <c r="H19" i="7"/>
  <c r="F19" i="7"/>
  <c r="C19" i="7"/>
  <c r="H7" i="7"/>
  <c r="H21" i="7"/>
  <c r="D23" i="7"/>
  <c r="E9" i="7"/>
  <c r="F22" i="7"/>
  <c r="I23" i="7"/>
  <c r="F18" i="7"/>
  <c r="C50" i="3"/>
  <c r="C58" i="3" l="1"/>
  <c r="C62" i="3" s="1"/>
  <c r="C53" i="3"/>
  <c r="C16" i="1" l="1"/>
  <c r="C17" i="4"/>
  <c r="C54" i="3"/>
  <c r="C55" i="3" s="1"/>
  <c r="C63" i="3"/>
  <c r="C64" i="3" s="1"/>
  <c r="C17" i="1" s="1"/>
  <c r="D17" i="1" s="1"/>
  <c r="C19" i="4" l="1"/>
  <c r="C20" i="4" s="1"/>
  <c r="B79" i="4" s="1"/>
  <c r="C10" i="1"/>
  <c r="D16" i="1"/>
  <c r="C21" i="1"/>
  <c r="B29" i="1" l="1"/>
  <c r="C12" i="1"/>
  <c r="C11" i="1" s="1"/>
  <c r="B26" i="1"/>
</calcChain>
</file>

<file path=xl/sharedStrings.xml><?xml version="1.0" encoding="utf-8"?>
<sst xmlns="http://schemas.openxmlformats.org/spreadsheetml/2006/main" count="439" uniqueCount="355">
  <si>
    <t>DISCLAIMER: This is a sample analysis for demonstration purposes only. It does not constitute investment advice.</t>
  </si>
  <si>
    <t>日本酸素ホールディングス (4091.T)</t>
  </si>
  <si>
    <t>Equity Research Report</t>
  </si>
  <si>
    <t>Company</t>
  </si>
  <si>
    <t>日本酸素ホールディングス</t>
  </si>
  <si>
    <t>Ticker</t>
  </si>
  <si>
    <t>4091.T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</si>
  <si>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</si>
  <si>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</si>
  <si>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</si>
  <si>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</si>
  <si>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</si>
  <si>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</si>
  <si>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</si>
  <si>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</si>
  <si>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</si>
  <si>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</si>
  <si>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</si>
  <si>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</si>
  <si>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</si>
  <si>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</si>
  <si>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</si>
  <si>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</si>
  <si>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</si>
  <si>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</si>
  <si>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日本酸素ホールディングス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</si>
  <si>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</si>
  <si>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</si>
  <si>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</si>
  <si>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</si>
  <si>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</si>
  <si>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</si>
  <si>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</si>
  <si>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</si>
  <si>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</si>
  <si>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</si>
  <si>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</si>
  <si>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</si>
  <si>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</si>
  <si>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</si>
  <si>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</si>
  <si>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</si>
  <si>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</si>
  <si>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</si>
  <si>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</si>
  <si>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</si>
  <si>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</si>
  <si>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</si>
  <si>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</si>
  <si>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</si>
  <si>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</si>
  <si>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</si>
  <si>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</si>
  <si>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</si>
  <si>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日本酸素ホールディングス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</si>
  <si>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</si>
  <si>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</si>
  <si>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</si>
  <si>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</si>
  <si>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</si>
  <si>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</si>
  <si>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</si>
  <si>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</si>
  <si>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</si>
  <si>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</si>
  <si>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</si>
  <si>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</si>
  <si>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</si>
  <si>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</si>
  <si>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</si>
  <si>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</si>
  <si>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</si>
  <si>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</si>
  <si>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</si>
  <si>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</si>
  <si>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</si>
  <si>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</si>
  <si>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</si>
  <si>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</si>
  <si>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</si>
  <si>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</si>
  <si>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</si>
  <si>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</si>
  <si>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</si>
  <si>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</si>
  <si>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</si>
  <si>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</si>
  <si>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</si>
  <si>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</si>
  <si>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</si>
  <si>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</si>
  <si>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</si>
  <si>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</si>
  <si>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</si>
  <si>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</si>
  <si>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</si>
  <si>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</si>
  <si>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</si>
  <si>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</si>
  <si>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</si>
  <si>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</si>
  <si>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</si>
  <si>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</si>
  <si>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</si>
  <si>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</si>
  <si>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</si>
  <si>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</si>
  <si>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</si>
  <si>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</si>
  <si>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</si>
  <si>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</si>
  <si>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</si>
  <si>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</si>
  <si>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</si>
  <si>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</si>
  <si>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</si>
  <si>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</si>
  <si>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</si>
  <si>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</si>
  <si>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日本酸素ホールディングス (4091.T)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</si>
  <si>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</si>
  <si>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</si>
  <si>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</si>
  <si>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</si>
  <si>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</si>
  <si>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</si>
  <si>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</si>
  <si>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</si>
  <si>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</si>
  <si>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</si>
  <si>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</si>
  <si>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</si>
  <si>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</si>
  <si>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</si>
  <si>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</si>
  <si>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</si>
  <si>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</si>
  <si>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</si>
  <si>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</si>
  <si>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</si>
  <si>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</si>
  <si>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</si>
  <si>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</si>
  <si>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</si>
  <si>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</si>
  <si>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</si>
  <si>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</si>
  <si>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</si>
  <si>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</si>
  <si>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</si>
  <si>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</si>
  <si>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</si>
  <si>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</si>
  <si>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</si>
  <si>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</si>
  <si>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</si>
  <si>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</si>
  <si>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</si>
  <si>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</si>
  <si>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</si>
  <si>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</si>
  <si>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</si>
  <si>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</si>
  <si>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</si>
  <si>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</si>
  <si>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</si>
  <si>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</si>
  <si>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</si>
  <si>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</si>
  <si>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</si>
  <si>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</si>
  <si>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日本酸素ホールディングス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</si>
  <si>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</si>
  <si>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</si>
  <si>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</si>
  <si>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</si>
  <si>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</si>
  <si>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</si>
  <si>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</si>
  <si>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</si>
  <si>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</si>
  <si>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</si>
  <si>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</si>
  <si>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</si>
  <si>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</si>
  <si>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</si>
  <si>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</si>
  <si>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</si>
  <si>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</si>
  <si>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</si>
  <si>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</si>
  <si>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</si>
  <si>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</si>
  <si>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</si>
  <si>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</si>
  <si>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</si>
  <si>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</si>
  <si>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</si>
  <si>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</si>
  <si>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</si>
  <si>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</si>
  <si>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</si>
  <si>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</si>
  <si>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</si>
  <si>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</si>
  <si>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</si>
  <si>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Nippon Sanso Holdings Corporation</t>
  </si>
  <si>
    <t>4091.T</t>
  </si>
  <si>
    <t>Sumitomo Chemical Company, Limited</t>
  </si>
  <si>
    <t>4005.T</t>
  </si>
  <si>
    <t>Mitsui Chemicals, Inc.</t>
  </si>
  <si>
    <t>4183.T</t>
  </si>
  <si>
    <t>Mitsubishi Chemical Group Corporation</t>
  </si>
  <si>
    <t>4188.T</t>
  </si>
  <si>
    <t>Asahi Kasei Corporation</t>
  </si>
  <si>
    <t>3407.T</t>
  </si>
  <si>
    <t>FUJIFILM Holdings Corporation</t>
  </si>
  <si>
    <t>4901.T</t>
  </si>
  <si>
    <t>Statistics</t>
  </si>
  <si>
    <t>25th Percentile</t>
  </si>
  <si>
    <t>Median (50th)</t>
  </si>
  <si>
    <t>75th Percentile</t>
  </si>
  <si>
    <t>Implied Valuation for 日本酸素ホールディングス</t>
  </si>
  <si>
    <t>日本酸素ホールディングス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</si>
  <si>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</si>
  <si>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</si>
  <si>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</si>
  <si>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</si>
  <si>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</si>
  <si>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</si>
  <si>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</si>
  <si>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</si>
  <si>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</si>
  <si>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</si>
  <si>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</si>
  <si>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</si>
  <si>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</si>
  <si>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</si>
  <si>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</si>
  <si>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日本酸素ホールディングス</t>
  </si>
  <si>
    <t>日付</t>
  </si>
  <si>
    <t>セル</t>
  </si>
  <si>
    <t>変更内容</t>
  </si>
  <si>
    <t>理由</t>
  </si>
  <si>
    <t>元の値</t>
  </si>
  <si>
    <t>状態</t>
  </si>
  <si>
    <t>2026-09-06</t>
  </si>
  <si>
    <t>-</t>
  </si>
  <si>
    <t>Generated by pipeline on 2026-09-06 18:54, template rev 63983ab</t>
  </si>
  <si>
    <t>初期生成（手修正なし）</t>
  </si>
  <si>
    <t>generated</t>
  </si>
  <si>
    <t>DCF Model!C11</t>
  </si>
  <si>
    <t>After-tax Cost of Debt = 2.07% (実績ベース)</t>
  </si>
  <si>
    <t>実績Kd = 支払利息23,912 ÷ 平均有利子負債866,313(期首850,566/期末882,060、debt_beginning/debt_ending) = 税引前2.76% × (1−25.0%) = 2.07%。【マージナルコスト注記】これは既存借入の実績平均コストであり、新規調達の限界コストではない。テンプレ既定(税引前2.8%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</si>
  <si>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</si>
  <si>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</si>
  <si>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</si>
  <si>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0.806（採用値）</t>
  </si>
  <si>
    <t>実測β(raw) = 0.711 → Blume調整 0.67×raw + 0.33×1.00 = 0.806 → 採用 0.806。クランプ域 [0.3, 2.0] の内側。置換なし。回帰βは平均回帰するため Blume 調整を既定とする（2026-09-05 バッチで85件中57件が旧下限 0.60 に張り付き、両裾の歪みが実証された）。</t>
  </si>
  <si>
    <t>実測 0.711</t>
  </si>
  <si>
    <t>確定</t>
  </si>
  <si>
    <t>Pipeline Metadata (do not edit — read by scripts/validate_output.py)</t>
  </si>
  <si>
    <t>key</t>
  </si>
  <si>
    <t>value</t>
  </si>
  <si>
    <t>auto_log_entries</t>
  </si>
  <si>
    <t>2</t>
  </si>
  <si>
    <t>beta_adopted_c8</t>
  </si>
  <si>
    <t>0.8065</t>
  </si>
  <si>
    <t>beta_basis</t>
  </si>
  <si>
    <t>Blume: 0.67 x 0.711 + 0.33 x 1.00 = 0.806</t>
  </si>
  <si>
    <t>beta_blume_adjusted</t>
  </si>
  <si>
    <t>beta_clamped</t>
  </si>
  <si>
    <t>no</t>
  </si>
  <si>
    <t>beta_raw</t>
  </si>
  <si>
    <t>0.7112</t>
  </si>
  <si>
    <t>capex_pct_basis</t>
  </si>
  <si>
    <t>explicit_override</t>
  </si>
  <si>
    <t>capex_pct_c5</t>
  </si>
  <si>
    <t>0.0976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</si>
  <si>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</si>
  <si>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</si>
  <si>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</si>
  <si>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</si>
  <si>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</si>
  <si>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</si>
  <si>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</si>
  <si>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</si>
  <si>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</si>
  <si>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</si>
  <si>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</si>
  <si>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</si>
  <si>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</si>
  <si>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</si>
  <si>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</si>
  <si>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</si>
  <si>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</si>
  <si>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</si>
  <si>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</si>
  <si>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</si>
  <si>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</si>
  <si>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324786.0</t>
  </si>
  <si>
    <t>core_net_income</t>
  </si>
  <si>
    <t>123891.0</t>
  </si>
  <si>
    <t>cost_of_debt_actual</t>
  </si>
  <si>
    <t>interest 23,912 (expense 23,912 + fees 0) / avg debt 866,313 (debt_beginning/debt_ending) = 0.027602 pre-tax -&gt; 0.020700 after-tax</t>
  </si>
  <si>
    <t>cost_of_debt_at_c11</t>
  </si>
  <si>
    <t>0.0207</t>
  </si>
  <si>
    <t>cost_of_debt_avg_debt</t>
  </si>
  <si>
    <t>866313.0</t>
  </si>
  <si>
    <t>cost_of_debt_basis</t>
  </si>
  <si>
    <t>actual</t>
  </si>
  <si>
    <t>cost_of_debt_interest</t>
  </si>
  <si>
    <t>23912.0</t>
  </si>
  <si>
    <t>cost_of_debt_pretax</t>
  </si>
  <si>
    <t>0.027602032983459788</t>
  </si>
  <si>
    <t>da_pct_basis</t>
  </si>
  <si>
    <t>da_pct_c18</t>
  </si>
  <si>
    <t>0.093</t>
  </si>
  <si>
    <t>da_pct_hist3yr</t>
  </si>
  <si>
    <t>0.090587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</si>
  <si>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</si>
  <si>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</si>
  <si>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</si>
  <si>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</si>
  <si>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</si>
  <si>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</si>
  <si>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</si>
  <si>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</si>
  <si>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</si>
  <si>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18:54:30</t>
  </si>
  <si>
    <t>guidance_note</t>
  </si>
  <si>
    <t>TDnet 決算短信 via screener guidance table: FY2027 disclosed 2026-08-06 (net_income=131,000mn, operating_income=215,000mn, revenue=1,380,000mn)</t>
  </si>
  <si>
    <t>guidance_source</t>
  </si>
  <si>
    <t>tdnet_screener_db</t>
  </si>
  <si>
    <t>latest_operating_income</t>
  </si>
  <si>
    <t>193329</t>
  </si>
  <si>
    <t>ltm_revenue_c20</t>
  </si>
  <si>
    <t>1359611.0</t>
  </si>
  <si>
    <t>ltm_revenue_source</t>
  </si>
  <si>
    <t>latest FY (no LTM)</t>
  </si>
  <si>
    <t>market_data_source</t>
  </si>
  <si>
    <t>yfinance; from overrides: beta</t>
  </si>
  <si>
    <t>narrative_tokens_used</t>
  </si>
  <si>
    <t>pb,per,price,target_price,upside_pct,wacc</t>
  </si>
  <si>
    <t>net_debt_source</t>
  </si>
  <si>
    <t>EDINET net_debt</t>
  </si>
  <si>
    <t>reverse_dcf_sheet</t>
  </si>
  <si>
    <t>op0=193,329(FY2026) peak=193,329(FY2026) peak_opm=0.1422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</si>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</sst>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5471</v>
      </c>
    </row>
    <row r="10" spans="2:5" ht="14" x14ac:dyDescent="0.3">
      <c r="B10" s="4" t="s">
        <v>10</v>
      </c>
      <c r="C10" s="5">
        <f>IF(COUNT(C16:C17)=0,"N/A",ROUND(AVERAGE(C16:C17),0))</f>
        <v>4140</v>
      </c>
    </row>
    <row r="11" spans="2:5" ht="14" x14ac:dyDescent="0.3">
      <c r="B11" s="4" t="s">
        <v>11</v>
      </c>
      <c r="C11" s="6" t="str">
        <f>IF(NOT(ISNUMBER(C12)),"N/A",IF(C12&gt;0.15,"BUY",IF(C12&gt;0.05,"HOLD","SELL")))</f>
        <v>SELL</v>
      </c>
    </row>
    <row r="12" spans="2:5" ht="14" x14ac:dyDescent="0.3">
      <c r="B12" s="4" t="s">
        <v>12</v>
      </c>
      <c r="C12" s="7">
        <f>IF(ISNUMBER(C10),(C10-C9)/C9,"N/A")</f>
        <v>-0.2432827636629501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3424</v>
      </c>
      <c r="D16" s="7">
        <f>IF(ISNUMBER(C16),(C16-C9)/C9,"N/A")</f>
        <v>-0.37415463352220801</v>
      </c>
    </row>
    <row r="17" spans="2:5" ht="13.5" x14ac:dyDescent="0.25">
      <c r="B17" t="s">
        <v>18</v>
      </c>
      <c r="C17" s="11">
        <f>IF('DCF Model'!C62&lt;'DCF Model'!C16,"INVALID (EV &lt; net debt)",'DCF Model'!C64)</f>
        <v>4855</v>
      </c>
      <c r="D17" s="7">
        <f>IF(ISNUMBER(C17),(C17-C9)/C9,"N/A")</f>
        <v>-0.11259367574483641</v>
      </c>
    </row>
    <row r="18" spans="2:5" ht="13.5" x14ac:dyDescent="0.25">
      <c r="B18" t="s">
        <v>19</v>
      </c>
      <c r="C18" s="11">
        <f>'Comps Analysis'!C27</f>
        <v>4876</v>
      </c>
      <c r="D18" s="7">
        <f>IF(ISNUMBER(C18),(C18-C9)/C9,"N/A")</f>
        <v>-0.1087552549808079</v>
      </c>
    </row>
    <row r="19" spans="2:5" ht="13.5" x14ac:dyDescent="0.25">
      <c r="B19" t="s">
        <v>20</v>
      </c>
      <c r="C19" s="11">
        <f>'Comps Analysis'!C28</f>
        <v>4613</v>
      </c>
      <c r="D19" s="7">
        <f>IF(ISNUMBER(C19),(C19-C9)/C9,"N/A")</f>
        <v>-0.15682690550173642</v>
      </c>
    </row>
    <row r="20" spans="2:5" ht="14" x14ac:dyDescent="0.3">
      <c r="B20" s="45" t="s">
        <v>21</v>
      </c>
      <c r="C20" s="44"/>
      <c r="D20" s="44"/>
      <c r="E20" s="44"/>
    </row>
    <row r="21" spans="2:5" ht="14" x14ac:dyDescent="0.3">
      <c r="B21" s="4" t="s">
        <v>22</v>
      </c>
      <c r="C21" s="6" t="str">
        <f>IF(COUNT(C16:C17)=0,"N/A",MIN(C16:C17)&amp;" - "&amp;MAX(C16:C17))</f>
        <v>3424 - 4855</v>
      </c>
    </row>
    <row r="23" spans="2:5" ht="14" x14ac:dyDescent="0.3">
      <c r="B23" s="8" t="s">
        <v>23</v>
      </c>
      <c r="C23" s="9"/>
      <c r="D23" s="9"/>
    </row>
    <row r="24" spans="2:5" x14ac:dyDescent="0.2">
      <c r="B24" t="str">
        <f>"Industrial gas is a local-monopoly business sold on long-term on-site contracts, and Nippon Sanso has lifted the operating margin to the top of its four-year range while the chemical peers were in a downcycle; the shares trade at "&amp;TEXT('Comps Analysis'!L5,"0.0""x""")&amp;" earnings and "&amp;TEXT('Comps Analysis'!M5,"0.00""x""")&amp;" book."</f>
        <v>Industrial gas is a local-monopoly business sold on long-term on-site contracts, and Nippon Sanso has lifted the operating margin to the top of its four-year range while the chemical peers were in a downcycle; the shares trade at 19.1x earnings and 1.95x book.</v>
      </c>
    </row>
    <row r="25" spans="2:5" x14ac:dyDescent="0.2">
      <c r="B25" t="str">
        <f>"Roughly two-thirds of revenue comes from overseas, mainly the US, so the "&amp;TEXT('DCF Model'!C26,"0.00%")&amp;" discount rate rests on a realised cost of debt that is higher than a purely domestic issuer would carry."</f>
        <v>Roughly two-thirds of revenue comes from overseas, mainly the US, so the 7.55% discount rate rests on a realised cost of debt that is higher than a purely domestic issuer would carry.</v>
      </c>
    </row>
    <row r="26" spans="2:5" x14ac:dyDescent="0.2">
      <c r="B26" t="str">
        <f>"At "&amp;TEXT(C9,"#,##0")&amp;" the market pays a premium to the chemical peer group; a base case that holds the current margin rather than extending it supports "&amp;TEXT(C10,"#,##0")&amp;", or "&amp;TEXT(C12,"+0.0%;-0.0%")&amp;" from here."</f>
        <v>At 5,471 the market pays a premium to the chemical peer group; a base case that holds the current margin rather than extending it supports 4,140, or -24.3% from here.</v>
      </c>
    </row>
    <row r="28" spans="2:5" ht="14" x14ac:dyDescent="0.3">
      <c r="B28" s="8" t="s">
        <v>24</v>
      </c>
      <c r="C28" s="9"/>
      <c r="D28" s="9"/>
    </row>
    <row r="29" spans="2:5" x14ac:dyDescent="0.2">
      <c r="B29" t="str">
        <f>"The exit leg of this model values the terminal year on the chemical peer median, and industrial gas is a structurally better business than that group — so "&amp;TEXT(C10,"#,##0")&amp;" is conservative by construction rather than by judgement."</f>
        <v>The exit leg of this model values the terminal year on the chemical peer median, and industrial gas is a structurally better business than that group — so 4,140 is conservative by construction rather than by judgement.</v>
      </c>
    </row>
    <row r="30" spans="2:5" x14ac:dyDescent="0.2">
      <c r="B30" t="str">
        <f>"On-site capacity investment runs continuously at close to 10% of revenue, and the free cash flow behind "&amp;TEXT(C9,"#,##0")&amp;" and "&amp;TEXT('Comps Analysis'!L5,"0.0""x""")&amp;" assumes it does not step up beyond the level modelled here."</f>
        <v>On-site capacity investment runs continuously at close to 10% of revenue, and the free cash flow behind 5,471 and 19.1x assumes it does not step up beyond the level modelled here.</v>
      </c>
    </row>
    <row r="31" spans="2:5" x14ac:dyDescent="0.2">
      <c r="B31" t="str">
        <f>"Dollar-denominated debt at the US operations means a rise in US rates raises the cost of debt inside "&amp;TEXT('DCF Model'!C26,"0.00%")&amp;" without any offsetting change in the domestic business."</f>
        <v>Dollar-denominated debt at the US operations means a rise in US rates raises the cost of debt inside 7.55% without any offsetting change in the domestic business.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1186683</v>
      </c>
      <c r="D6" s="5">
        <v>1255081</v>
      </c>
      <c r="E6" s="5">
        <v>1308024</v>
      </c>
      <c r="F6" s="5">
        <v>1359611</v>
      </c>
    </row>
    <row r="7" spans="2:6" ht="14" x14ac:dyDescent="0.3">
      <c r="B7" s="4" t="s">
        <v>32</v>
      </c>
      <c r="C7" s="5">
        <v>748053</v>
      </c>
      <c r="D7" s="5">
        <v>744103</v>
      </c>
      <c r="E7" s="5">
        <v>762581</v>
      </c>
      <c r="F7" s="5">
        <v>777192</v>
      </c>
    </row>
    <row r="8" spans="2:6" ht="14" x14ac:dyDescent="0.3">
      <c r="B8" s="4" t="s">
        <v>33</v>
      </c>
      <c r="C8" s="5">
        <f>C6-C7</f>
        <v>438630</v>
      </c>
      <c r="D8" s="5">
        <f>D6-D7</f>
        <v>510978</v>
      </c>
      <c r="E8" s="5">
        <f>E6-E7</f>
        <v>545443</v>
      </c>
      <c r="F8" s="5">
        <f>F6-F7</f>
        <v>582419</v>
      </c>
    </row>
    <row r="9" spans="2:6" ht="13.5" x14ac:dyDescent="0.25">
      <c r="B9" t="s">
        <v>34</v>
      </c>
      <c r="C9" s="7">
        <f>C8/C6</f>
        <v>0.36962693491016557</v>
      </c>
      <c r="D9" s="7">
        <f>D8/D6</f>
        <v>0.40712750810505455</v>
      </c>
      <c r="E9" s="7">
        <f>E8/E6</f>
        <v>0.41699770034800587</v>
      </c>
      <c r="F9" s="7">
        <f>F8/F6</f>
        <v>0.42837179163746103</v>
      </c>
    </row>
    <row r="10" spans="2:6" ht="14" x14ac:dyDescent="0.3">
      <c r="B10" s="4" t="s">
        <v>35</v>
      </c>
      <c r="C10" s="5">
        <v>322659</v>
      </c>
      <c r="D10" s="5">
        <v>342944</v>
      </c>
      <c r="E10" s="5">
        <v>384551</v>
      </c>
      <c r="F10" s="5">
        <v>389090</v>
      </c>
    </row>
    <row r="11" spans="2:6" ht="14" x14ac:dyDescent="0.3">
      <c r="B11" s="4" t="s">
        <v>36</v>
      </c>
      <c r="C11" s="5">
        <v>115971</v>
      </c>
      <c r="D11" s="5">
        <v>168034</v>
      </c>
      <c r="E11" s="5">
        <v>160892</v>
      </c>
      <c r="F11" s="5">
        <v>193329</v>
      </c>
    </row>
    <row r="12" spans="2:6" ht="14" x14ac:dyDescent="0.3">
      <c r="B12" s="4" t="s">
        <v>37</v>
      </c>
      <c r="C12" s="5">
        <v>73080</v>
      </c>
      <c r="D12" s="5">
        <v>105901</v>
      </c>
      <c r="E12" s="5">
        <v>98779</v>
      </c>
      <c r="F12" s="5">
        <v>123891</v>
      </c>
    </row>
    <row r="13" spans="2:6" ht="13.5" x14ac:dyDescent="0.25">
      <c r="B13" t="s">
        <v>38</v>
      </c>
      <c r="C13" s="7">
        <f>C11/C6</f>
        <v>9.7727025667343342E-2</v>
      </c>
      <c r="D13" s="7">
        <f>D11/D6</f>
        <v>0.13388299241244189</v>
      </c>
      <c r="E13" s="7">
        <f>E11/E6</f>
        <v>0.12300385925640508</v>
      </c>
      <c r="F13" s="7">
        <f>F11/F6</f>
        <v>0.14219434823637056</v>
      </c>
    </row>
    <row r="14" spans="2:6" ht="13.5" x14ac:dyDescent="0.25">
      <c r="B14" t="s">
        <v>39</v>
      </c>
      <c r="C14" s="7">
        <f>C12/C6</f>
        <v>6.1583422025932789E-2</v>
      </c>
      <c r="D14" s="7">
        <f>D12/D6</f>
        <v>8.4377821033064793E-2</v>
      </c>
      <c r="E14" s="7">
        <f>E12/E6</f>
        <v>7.5517727503470883E-2</v>
      </c>
      <c r="F14" s="7">
        <f>F12/F6</f>
        <v>9.1122387212224668E-2</v>
      </c>
    </row>
    <row r="15" spans="2:6" ht="13.5" x14ac:dyDescent="0.25">
      <c r="B15" t="s">
        <v>40</v>
      </c>
      <c r="C15" t="s">
        <v>41</v>
      </c>
      <c r="D15" s="7">
        <f>(D6-C6)/C6</f>
        <v>5.7637970713324452E-2</v>
      </c>
      <c r="E15" s="7">
        <f>(E6-D6)/D6</f>
        <v>4.2182934806598141E-2</v>
      </c>
      <c r="F15" s="7">
        <f>(F6-E6)/E6</f>
        <v>3.9438878797330934E-2</v>
      </c>
    </row>
    <row r="16" spans="2:6" ht="13.5" x14ac:dyDescent="0.25">
      <c r="B16" t="s">
        <v>42</v>
      </c>
      <c r="C16" t="s">
        <v>41</v>
      </c>
      <c r="D16" s="7">
        <f>(D11-C11)/C11</f>
        <v>0.4489311983168206</v>
      </c>
      <c r="E16" s="7">
        <f>(E11-D11)/D11</f>
        <v>-4.2503302902983917E-2</v>
      </c>
      <c r="F16" s="7">
        <f>(F11-E11)/E11</f>
        <v>0.20160728936180791</v>
      </c>
    </row>
    <row r="18" spans="2:6" ht="14" x14ac:dyDescent="0.3">
      <c r="B18" s="3" t="s">
        <v>43</v>
      </c>
    </row>
    <row r="19" spans="2:6" ht="14" x14ac:dyDescent="0.3">
      <c r="B19" s="4" t="s">
        <v>44</v>
      </c>
      <c r="C19" s="5">
        <v>187959</v>
      </c>
      <c r="D19" s="5">
        <v>215980</v>
      </c>
      <c r="E19" s="5">
        <v>235147</v>
      </c>
      <c r="F19" s="5">
        <v>272594</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132217</v>
      </c>
      <c r="D26" s="5">
        <v>126100</v>
      </c>
      <c r="E26" s="5">
        <v>144528</v>
      </c>
      <c r="F26" s="5">
        <v>165348</v>
      </c>
    </row>
    <row r="27" spans="2:6" ht="14" x14ac:dyDescent="0.3">
      <c r="B27" s="4" t="s">
        <v>51</v>
      </c>
      <c r="C27" s="5">
        <v>900020</v>
      </c>
      <c r="D27" s="5">
        <v>890258</v>
      </c>
      <c r="E27" s="5">
        <v>850566</v>
      </c>
      <c r="F27" s="5">
        <v>882060</v>
      </c>
    </row>
    <row r="28" spans="2:6" ht="14" x14ac:dyDescent="0.3">
      <c r="B28" s="4" t="s">
        <v>52</v>
      </c>
      <c r="C28" s="5">
        <f>C27-C26</f>
        <v>767803</v>
      </c>
      <c r="D28" s="5">
        <f>D27-D26</f>
        <v>764158</v>
      </c>
      <c r="E28" s="5">
        <f>E27-E26</f>
        <v>706038</v>
      </c>
      <c r="F28" s="5">
        <f>F27-F26</f>
        <v>716712</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56</v>
      </c>
      <c r="C5" s="7">
        <v>9.7600000000000006E-2</v>
      </c>
    </row>
    <row r="6" spans="2:7" ht="14" x14ac:dyDescent="0.3">
      <c r="B6" s="4" t="s">
        <v>57</v>
      </c>
      <c r="C6" s="7">
        <v>0.25</v>
      </c>
    </row>
    <row r="7" spans="2:7" ht="14" x14ac:dyDescent="0.3">
      <c r="B7" s="4" t="s">
        <v>58</v>
      </c>
      <c r="C7" s="7">
        <v>2.9700000000000001E-2</v>
      </c>
    </row>
    <row r="8" spans="2:7" ht="14" x14ac:dyDescent="0.3">
      <c r="B8" s="4" t="s">
        <v>59</v>
      </c>
      <c r="C8" s="12">
        <v>0.80649999999999999</v>
      </c>
    </row>
    <row r="9" spans="2:7" ht="14" x14ac:dyDescent="0.3">
      <c r="B9" s="4" t="s">
        <v>60</v>
      </c>
      <c r="C9" s="7">
        <v>6.5000000000000002E-2</v>
      </c>
    </row>
    <row r="10" spans="2:7" ht="14" x14ac:dyDescent="0.3">
      <c r="B10" s="4" t="s">
        <v>61</v>
      </c>
      <c r="C10" s="7">
        <v>0.01</v>
      </c>
    </row>
    <row r="11" spans="2:7" ht="14" x14ac:dyDescent="0.3">
      <c r="B11" s="4" t="s">
        <v>62</v>
      </c>
      <c r="C11" s="7">
        <v>2.07E-2</v>
      </c>
    </row>
    <row r="12" spans="2:7" ht="14" x14ac:dyDescent="0.3">
      <c r="B12" s="4" t="s">
        <v>63</v>
      </c>
      <c r="C12" s="13">
        <v>0.30259999999999998</v>
      </c>
    </row>
    <row r="13" spans="2:7" ht="14" x14ac:dyDescent="0.3">
      <c r="B13" s="4" t="s">
        <v>64</v>
      </c>
      <c r="C13" s="7">
        <v>0.01</v>
      </c>
    </row>
    <row r="14" spans="2:7" ht="14" x14ac:dyDescent="0.3">
      <c r="B14" s="4" t="s">
        <v>65</v>
      </c>
      <c r="C14" s="14">
        <v>8.6999999999999993</v>
      </c>
    </row>
    <row r="15" spans="2:7" ht="14" x14ac:dyDescent="0.3">
      <c r="B15" s="4" t="s">
        <v>66</v>
      </c>
      <c r="C15" s="15">
        <v>432853299</v>
      </c>
    </row>
    <row r="16" spans="2:7" ht="14" x14ac:dyDescent="0.3">
      <c r="B16" s="4" t="s">
        <v>67</v>
      </c>
      <c r="C16" s="5">
        <v>716712</v>
      </c>
    </row>
    <row r="17" spans="2:7" ht="14" x14ac:dyDescent="0.3">
      <c r="B17" s="4" t="s">
        <v>68</v>
      </c>
      <c r="C17" s="5">
        <v>1359611</v>
      </c>
    </row>
    <row r="18" spans="2:7" ht="14" x14ac:dyDescent="0.3">
      <c r="B18" s="4" t="s">
        <v>69</v>
      </c>
      <c r="C18" s="7">
        <v>9.2999999999999999E-2</v>
      </c>
    </row>
    <row r="19" spans="2:7" ht="14" x14ac:dyDescent="0.3">
      <c r="B19" s="4" t="s">
        <v>70</v>
      </c>
      <c r="C19" s="12">
        <v>1</v>
      </c>
    </row>
    <row r="20" spans="2:7" ht="14" x14ac:dyDescent="0.3">
      <c r="B20" s="4" t="s">
        <v>71</v>
      </c>
      <c r="C20" s="5">
        <v>1359611</v>
      </c>
    </row>
    <row r="22" spans="2:7" ht="14" x14ac:dyDescent="0.3">
      <c r="B22" s="8" t="s">
        <v>72</v>
      </c>
      <c r="C22" s="9"/>
      <c r="D22" s="9"/>
      <c r="E22" s="9"/>
      <c r="F22" s="9"/>
      <c r="G22" s="9"/>
    </row>
    <row r="23" spans="2:7" ht="14" x14ac:dyDescent="0.3">
      <c r="B23" s="4" t="s">
        <v>73</v>
      </c>
      <c r="C23" s="16">
        <f>C7+C8*C9+C10</f>
        <v>9.2122499999999996E-2</v>
      </c>
    </row>
    <row r="24" spans="2:7" ht="14" x14ac:dyDescent="0.3">
      <c r="B24" s="4" t="s">
        <v>74</v>
      </c>
      <c r="C24" s="16">
        <f>1/(1+C12)</f>
        <v>0.76769537847382163</v>
      </c>
    </row>
    <row r="25" spans="2:7" ht="14" x14ac:dyDescent="0.3">
      <c r="B25" s="4" t="s">
        <v>75</v>
      </c>
      <c r="C25" s="16">
        <f>C12/(1+C12)</f>
        <v>0.2323046215261784</v>
      </c>
    </row>
    <row r="26" spans="2:7" ht="14" x14ac:dyDescent="0.3">
      <c r="B26" s="4" t="s">
        <v>76</v>
      </c>
      <c r="C26" s="16">
        <f>C23*C24+C11*C25</f>
        <v>7.5530723169046535E-2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40</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85</v>
      </c>
      <c r="C31" s="18">
        <f>CHOOSE($D$27,C76,C77,C78,C79,C80)</f>
        <v>0.57599999999999996</v>
      </c>
      <c r="D31" s="18">
        <f>CHOOSE($D$27,D76,D77,D78,D79,D80)</f>
        <v>0.57650000000000001</v>
      </c>
      <c r="E31" s="18">
        <f>CHOOSE($D$27,E76,E77,E78,E79,E80)</f>
        <v>0.57699999999999996</v>
      </c>
      <c r="F31" s="18">
        <f>CHOOSE($D$27,F76,F77,F78,F79,F80)</f>
        <v>0.57750000000000001</v>
      </c>
      <c r="G31" s="18">
        <f>CHOOSE($D$27,G76,G77,G78,G79,G80)</f>
        <v>0.57789999999999997</v>
      </c>
    </row>
    <row r="32" spans="2:7" ht="14" x14ac:dyDescent="0.3">
      <c r="B32" s="4" t="s">
        <v>86</v>
      </c>
      <c r="C32" s="18">
        <f>CHOOSE($D$27,C83,C84,C85,C86,C87)</f>
        <v>0.28299999999999997</v>
      </c>
      <c r="D32" s="18">
        <f>CHOOSE($D$27,D83,D84,D85,D86,D87)</f>
        <v>0.28299999999999997</v>
      </c>
      <c r="E32" s="18">
        <f>CHOOSE($D$27,E83,E84,E85,E86,E87)</f>
        <v>0.28299999999999997</v>
      </c>
      <c r="F32" s="18">
        <f>CHOOSE($D$27,F83,F84,F85,F86,F87)</f>
        <v>0.28299999999999997</v>
      </c>
      <c r="G32" s="18">
        <f>CHOOSE($D$27,G83,G84,G85,G86,G87)</f>
        <v>0.28299999999999997</v>
      </c>
    </row>
    <row r="33" spans="2:7" ht="14" x14ac:dyDescent="0.3">
      <c r="B33" s="4" t="s">
        <v>31</v>
      </c>
      <c r="C33" s="5">
        <f>C17*(1+C30)</f>
        <v>1413995.44</v>
      </c>
      <c r="D33" s="5">
        <f>C33*(1+D30)</f>
        <v>1463485.2803999998</v>
      </c>
      <c r="E33" s="5">
        <f>D33*(1+E30)</f>
        <v>1507389.8388119999</v>
      </c>
      <c r="F33" s="5">
        <f>E33*(1+F30)</f>
        <v>1552611.53397636</v>
      </c>
      <c r="G33" s="5">
        <f>F33*(1+G30)</f>
        <v>1591426.8223257689</v>
      </c>
    </row>
    <row r="34" spans="2:7" ht="14" x14ac:dyDescent="0.3">
      <c r="B34" s="4" t="s">
        <v>32</v>
      </c>
      <c r="C34" s="5">
        <f>C33*C31</f>
        <v>814461.37343999988</v>
      </c>
      <c r="D34" s="5">
        <f>D33*D31</f>
        <v>843699.26415059995</v>
      </c>
      <c r="E34" s="5">
        <f>E33*E31</f>
        <v>869763.93699452386</v>
      </c>
      <c r="F34" s="5">
        <f>F33*F31</f>
        <v>896633.16087134788</v>
      </c>
      <c r="G34" s="5">
        <f>G33*G31</f>
        <v>919685.56062206184</v>
      </c>
    </row>
    <row r="35" spans="2:7" ht="14" x14ac:dyDescent="0.3">
      <c r="B35" s="4" t="s">
        <v>33</v>
      </c>
      <c r="C35" s="19">
        <f>C33-C34</f>
        <v>599534.06656000006</v>
      </c>
      <c r="D35" s="19">
        <f>D33-D34</f>
        <v>619786.01624939987</v>
      </c>
      <c r="E35" s="19">
        <f>E33-E34</f>
        <v>637625.90181747603</v>
      </c>
      <c r="F35" s="19">
        <f>F33-F34</f>
        <v>655978.37310501211</v>
      </c>
      <c r="G35" s="19">
        <f>G33-G34</f>
        <v>671741.26170370704</v>
      </c>
    </row>
    <row r="36" spans="2:7" ht="14" x14ac:dyDescent="0.3">
      <c r="B36" s="4" t="s">
        <v>34</v>
      </c>
      <c r="C36" s="7">
        <f>C35/C33</f>
        <v>0.42400000000000004</v>
      </c>
      <c r="D36" s="7">
        <f>D35/D33</f>
        <v>0.42349999999999999</v>
      </c>
      <c r="E36" s="7">
        <f>E35/E33</f>
        <v>0.42300000000000004</v>
      </c>
      <c r="F36" s="7">
        <f>F35/F33</f>
        <v>0.42249999999999999</v>
      </c>
      <c r="G36" s="7">
        <f>G35/G33</f>
        <v>0.42209999999999998</v>
      </c>
    </row>
    <row r="37" spans="2:7" ht="14" x14ac:dyDescent="0.3">
      <c r="B37" s="4" t="s">
        <v>87</v>
      </c>
      <c r="C37" s="5">
        <f>C33*C32</f>
        <v>400160.70951999997</v>
      </c>
      <c r="D37" s="5">
        <f>D33*D32</f>
        <v>414166.33435319993</v>
      </c>
      <c r="E37" s="5">
        <f>E33*E32</f>
        <v>426591.3243837959</v>
      </c>
      <c r="F37" s="5">
        <f>F33*F32</f>
        <v>439389.06411530985</v>
      </c>
      <c r="G37" s="5">
        <f>G33*G32</f>
        <v>450373.79071819253</v>
      </c>
    </row>
    <row r="38" spans="2:7" ht="14" x14ac:dyDescent="0.3">
      <c r="B38" s="4" t="s">
        <v>88</v>
      </c>
      <c r="C38" s="7">
        <f>(C35-C37)/C33</f>
        <v>0.14100000000000007</v>
      </c>
      <c r="D38" s="7">
        <f>(D35-D37)/D33</f>
        <v>0.14049999999999999</v>
      </c>
      <c r="E38" s="7">
        <f>(E35-E37)/E33</f>
        <v>0.1400000000000001</v>
      </c>
      <c r="F38" s="7">
        <f>(F35-F37)/F33</f>
        <v>0.13950000000000001</v>
      </c>
      <c r="G38" s="7">
        <f>(G35-G37)/G33</f>
        <v>0.13910000000000003</v>
      </c>
    </row>
    <row r="39" spans="2:7" ht="14" x14ac:dyDescent="0.3">
      <c r="B39" s="4" t="s">
        <v>89</v>
      </c>
      <c r="C39" s="19">
        <f>C35-C37</f>
        <v>199373.35704000009</v>
      </c>
      <c r="D39" s="19">
        <f>D35-D37</f>
        <v>205619.68189619994</v>
      </c>
      <c r="E39" s="19">
        <f>E35-E37</f>
        <v>211034.57743368013</v>
      </c>
      <c r="F39" s="19">
        <f>F35-F37</f>
        <v>216589.30898970226</v>
      </c>
      <c r="G39" s="19">
        <f>G35-G37</f>
        <v>221367.47098551452</v>
      </c>
    </row>
    <row r="40" spans="2:7" ht="14" x14ac:dyDescent="0.3">
      <c r="B40" s="4" t="s">
        <v>90</v>
      </c>
      <c r="C40" s="5">
        <f>MAX(0,C39*C6)</f>
        <v>49843.339260000022</v>
      </c>
      <c r="D40" s="5">
        <f>MAX(0,D39*C6)</f>
        <v>51404.920474049984</v>
      </c>
      <c r="E40" s="5">
        <f>MAX(0,E39*C6)</f>
        <v>52758.644358420031</v>
      </c>
      <c r="F40" s="5">
        <f>MAX(0,F39*C6)</f>
        <v>54147.327247425565</v>
      </c>
      <c r="G40" s="5">
        <f>MAX(0,G39*C6)</f>
        <v>55341.86774637863</v>
      </c>
    </row>
    <row r="41" spans="2:7" ht="14" x14ac:dyDescent="0.3">
      <c r="B41" s="4" t="s">
        <v>91</v>
      </c>
      <c r="C41" s="19">
        <f>C39-C40</f>
        <v>149530.01778000005</v>
      </c>
      <c r="D41" s="19">
        <f>D39-D40</f>
        <v>154214.76142214995</v>
      </c>
      <c r="E41" s="19">
        <f>E39-E40</f>
        <v>158275.93307526008</v>
      </c>
      <c r="F41" s="19">
        <f>F39-F40</f>
        <v>162441.98174227669</v>
      </c>
      <c r="G41" s="19">
        <f>G39-G40</f>
        <v>166025.60323913587</v>
      </c>
    </row>
    <row r="42" spans="2:7" ht="14" x14ac:dyDescent="0.3">
      <c r="B42" s="4" t="s">
        <v>92</v>
      </c>
      <c r="C42" s="5">
        <f>C33*C18</f>
        <v>131501.57592</v>
      </c>
      <c r="D42" s="5">
        <f>D33*C18</f>
        <v>136104.13107719997</v>
      </c>
      <c r="E42" s="5">
        <f>E33*C18</f>
        <v>140187.255009516</v>
      </c>
      <c r="F42" s="5">
        <f>F33*C18</f>
        <v>144392.87265980148</v>
      </c>
      <c r="G42" s="5">
        <f>G33*C18</f>
        <v>148002.69447629651</v>
      </c>
    </row>
    <row r="43" spans="2:7" ht="14" x14ac:dyDescent="0.3">
      <c r="B43" s="4" t="s">
        <v>93</v>
      </c>
      <c r="C43" s="5">
        <v>130000</v>
      </c>
      <c r="D43" s="5">
        <v>140000</v>
      </c>
      <c r="E43" s="5">
        <v>148000</v>
      </c>
      <c r="F43" s="5">
        <v>153000</v>
      </c>
      <c r="G43" s="5">
        <v>156200</v>
      </c>
    </row>
    <row r="44" spans="2:7" ht="14" x14ac:dyDescent="0.3">
      <c r="B44" s="4" t="s">
        <v>94</v>
      </c>
      <c r="C44" s="5">
        <f>'NWC Schedule'!D19</f>
        <v>5326.5120683835703</v>
      </c>
      <c r="D44" s="5">
        <f>'NWC Schedule'!E19</f>
        <v>9158.6615326860338</v>
      </c>
      <c r="E44" s="5">
        <f>'NWC Schedule'!F19</f>
        <v>8119.4965266333893</v>
      </c>
      <c r="F44" s="5">
        <f>'NWC Schedule'!G19</f>
        <v>8362.0902619905537</v>
      </c>
      <c r="G44" s="5">
        <f>'NWC Schedule'!H19</f>
        <v>7177.9145394330844</v>
      </c>
    </row>
    <row r="45" spans="2:7" ht="14" x14ac:dyDescent="0.3">
      <c r="B45" s="4" t="s">
        <v>95</v>
      </c>
      <c r="C45" s="20">
        <f>C41+C42-C43-C44</f>
        <v>145705.08163161651</v>
      </c>
      <c r="D45" s="20">
        <f>D41+D42-D43-D44</f>
        <v>141160.23096666386</v>
      </c>
      <c r="E45" s="20">
        <f>E41+E42-E43-E44</f>
        <v>142343.69155814266</v>
      </c>
      <c r="F45" s="20">
        <f>F41+F42-F43-F44</f>
        <v>145472.76414008765</v>
      </c>
      <c r="G45" s="20">
        <f>G41+G42-G43-G44</f>
        <v>150650.38317599928</v>
      </c>
    </row>
    <row r="46" spans="2:7" ht="14" x14ac:dyDescent="0.3">
      <c r="B46" s="4" t="s">
        <v>96</v>
      </c>
      <c r="C46" s="21">
        <f>1/(1+C26)^(C19+0)</f>
        <v>0.92977353269231067</v>
      </c>
      <c r="D46" s="21">
        <f>1/(1+C26)^(C19+1)</f>
        <v>0.86447882209513915</v>
      </c>
      <c r="E46" s="21">
        <f>1/(1+C26)^(C19+2)</f>
        <v>0.80376952835708515</v>
      </c>
      <c r="F46" s="21">
        <f>1/(1+C26)^(C19+3)</f>
        <v>0.74732363385099931</v>
      </c>
      <c r="G46" s="21">
        <f>1/(1+C26)^(C19+4)</f>
        <v>0.69484173511009861</v>
      </c>
    </row>
    <row r="47" spans="2:7" ht="14" x14ac:dyDescent="0.3">
      <c r="B47" s="4" t="s">
        <v>97</v>
      </c>
      <c r="C47" s="19">
        <f>C45*C46</f>
        <v>135472.72847984958</v>
      </c>
      <c r="D47" s="19">
        <f>D45*D46</f>
        <v>122030.03019273936</v>
      </c>
      <c r="E47" s="19">
        <f>E45*E46</f>
        <v>114411.52182829473</v>
      </c>
      <c r="F47" s="19">
        <f>F45*F46</f>
        <v>108715.23472351964</v>
      </c>
      <c r="G47" s="19">
        <f>G45*G46</f>
        <v>104678.17364101254</v>
      </c>
    </row>
    <row r="49" spans="2:7" ht="14" x14ac:dyDescent="0.3">
      <c r="B49" s="22" t="s">
        <v>98</v>
      </c>
      <c r="C49" s="23"/>
      <c r="D49" s="23"/>
      <c r="E49" s="23"/>
      <c r="F49" s="23"/>
      <c r="G49" s="23"/>
    </row>
    <row r="50" spans="2:7" ht="14" x14ac:dyDescent="0.3">
      <c r="B50" s="4" t="s">
        <v>99</v>
      </c>
      <c r="C50" s="5">
        <f>SUM(C47:G47)</f>
        <v>585307.68886541587</v>
      </c>
    </row>
    <row r="51" spans="2:7" ht="14" x14ac:dyDescent="0.3">
      <c r="B51" s="4" t="s">
        <v>100</v>
      </c>
      <c r="C51" s="5">
        <f>G45*(1+C13)/(C26-C13)</f>
        <v>2321916.7994720167</v>
      </c>
    </row>
    <row r="52" spans="2:7" ht="14" x14ac:dyDescent="0.3">
      <c r="B52" s="4" t="s">
        <v>101</v>
      </c>
      <c r="C52" s="5">
        <f>C51*G46</f>
        <v>1613364.6977264229</v>
      </c>
    </row>
    <row r="53" spans="2:7" ht="14" x14ac:dyDescent="0.3">
      <c r="B53" s="4" t="s">
        <v>102</v>
      </c>
      <c r="C53" s="5">
        <f>C50+C52</f>
        <v>2198672.3865918387</v>
      </c>
    </row>
    <row r="54" spans="2:7" ht="14" x14ac:dyDescent="0.3">
      <c r="B54" s="4" t="s">
        <v>103</v>
      </c>
      <c r="C54" s="5">
        <f>C53-C16</f>
        <v>1481960.3865918387</v>
      </c>
    </row>
    <row r="55" spans="2:7" ht="14" x14ac:dyDescent="0.3">
      <c r="B55" s="4" t="s">
        <v>104</v>
      </c>
      <c r="C55" s="24">
        <f>ROUND(C54*1000000/C15,0)</f>
        <v>3424</v>
      </c>
    </row>
    <row r="57" spans="2:7" ht="14" x14ac:dyDescent="0.3">
      <c r="B57" s="22" t="s">
        <v>105</v>
      </c>
      <c r="C57" s="23"/>
      <c r="D57" s="23"/>
      <c r="E57" s="23"/>
      <c r="F57" s="23"/>
      <c r="G57" s="23"/>
    </row>
    <row r="58" spans="2:7" ht="14" x14ac:dyDescent="0.3">
      <c r="B58" s="4" t="s">
        <v>99</v>
      </c>
      <c r="C58" s="5">
        <f>C50</f>
        <v>585307.68886541587</v>
      </c>
    </row>
    <row r="59" spans="2:7" ht="14" x14ac:dyDescent="0.3">
      <c r="B59" s="4" t="s">
        <v>106</v>
      </c>
      <c r="C59" s="5">
        <f>G39+G42</f>
        <v>369370.165461811</v>
      </c>
    </row>
    <row r="60" spans="2:7" ht="14" x14ac:dyDescent="0.3">
      <c r="B60" s="4" t="s">
        <v>107</v>
      </c>
      <c r="C60" s="5">
        <f>C59*C14</f>
        <v>3213520.4395177555</v>
      </c>
    </row>
    <row r="61" spans="2:7" ht="14" x14ac:dyDescent="0.3">
      <c r="B61" s="4" t="s">
        <v>101</v>
      </c>
      <c r="C61" s="5">
        <f>C60*G46</f>
        <v>2232888.1180062839</v>
      </c>
    </row>
    <row r="62" spans="2:7" ht="14" x14ac:dyDescent="0.3">
      <c r="B62" s="4" t="s">
        <v>102</v>
      </c>
      <c r="C62" s="5">
        <f>C58+C61</f>
        <v>2818195.8068716996</v>
      </c>
    </row>
    <row r="63" spans="2:7" ht="14" x14ac:dyDescent="0.3">
      <c r="B63" s="4" t="s">
        <v>103</v>
      </c>
      <c r="C63" s="5">
        <f>C62-C16</f>
        <v>2101483.8068716996</v>
      </c>
    </row>
    <row r="64" spans="2:7" ht="14" x14ac:dyDescent="0.3">
      <c r="B64" s="4" t="s">
        <v>108</v>
      </c>
      <c r="C64" s="24">
        <f>ROUND(C63*1000000/C15,0)</f>
        <v>4855</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40</v>
      </c>
    </row>
    <row r="69" spans="2:7" ht="14" x14ac:dyDescent="0.3">
      <c r="B69" s="4" t="s">
        <v>78</v>
      </c>
      <c r="C69" s="26">
        <v>0.04</v>
      </c>
      <c r="D69" s="26">
        <v>3.5000000000000003E-2</v>
      </c>
      <c r="E69" s="26">
        <v>0.03</v>
      </c>
      <c r="F69" s="26">
        <v>0.03</v>
      </c>
      <c r="G69" s="26">
        <v>2.5000000000000001E-2</v>
      </c>
    </row>
    <row r="70" spans="2:7" ht="14" x14ac:dyDescent="0.3">
      <c r="B70" s="4" t="s">
        <v>115</v>
      </c>
      <c r="C70" s="26">
        <v>5.5E-2</v>
      </c>
      <c r="D70" s="26">
        <v>0.05</v>
      </c>
      <c r="E70" s="26">
        <v>4.4999999999999998E-2</v>
      </c>
      <c r="F70" s="26">
        <v>0.04</v>
      </c>
      <c r="G70" s="26">
        <v>3.5000000000000003E-2</v>
      </c>
    </row>
    <row r="71" spans="2:7" ht="14" x14ac:dyDescent="0.3">
      <c r="B71" s="4" t="s">
        <v>116</v>
      </c>
      <c r="C71" s="26">
        <v>0.04</v>
      </c>
      <c r="D71" s="26">
        <v>3.5000000000000003E-2</v>
      </c>
      <c r="E71" s="26">
        <v>0.03</v>
      </c>
      <c r="F71" s="26">
        <v>0.03</v>
      </c>
      <c r="G71" s="26">
        <v>2.5000000000000001E-2</v>
      </c>
    </row>
    <row r="72" spans="2:7" ht="14" x14ac:dyDescent="0.3">
      <c r="B72" s="4" t="s">
        <v>117</v>
      </c>
      <c r="C72" s="26">
        <v>0.01</v>
      </c>
      <c r="D72" s="26">
        <v>0.01</v>
      </c>
      <c r="E72" s="26">
        <v>0.01</v>
      </c>
      <c r="F72" s="26">
        <v>0.01</v>
      </c>
      <c r="G72" s="26">
        <v>0.01</v>
      </c>
    </row>
    <row r="73" spans="2:7" ht="14" x14ac:dyDescent="0.3">
      <c r="B73" s="4" t="s">
        <v>118</v>
      </c>
      <c r="C73" s="26">
        <v>-0.05</v>
      </c>
      <c r="D73" s="26">
        <v>-0.01</v>
      </c>
      <c r="E73" s="26">
        <v>5.0000000000000001E-3</v>
      </c>
      <c r="F73" s="26">
        <v>0.01</v>
      </c>
      <c r="G73" s="26">
        <v>1.4999999999999999E-2</v>
      </c>
    </row>
    <row r="75" spans="2:7" ht="14" x14ac:dyDescent="0.3">
      <c r="B75" s="3" t="s">
        <v>85</v>
      </c>
    </row>
    <row r="76" spans="2:7" ht="14" x14ac:dyDescent="0.3">
      <c r="B76" s="4" t="s">
        <v>78</v>
      </c>
      <c r="C76" s="26">
        <v>0.57599999999999996</v>
      </c>
      <c r="D76" s="26">
        <v>0.57650000000000001</v>
      </c>
      <c r="E76" s="26">
        <v>0.57699999999999996</v>
      </c>
      <c r="F76" s="26">
        <v>0.57750000000000001</v>
      </c>
      <c r="G76" s="26">
        <v>0.57789999999999997</v>
      </c>
    </row>
    <row r="77" spans="2:7" ht="14" x14ac:dyDescent="0.3">
      <c r="B77" s="4" t="s">
        <v>115</v>
      </c>
      <c r="C77" s="26">
        <v>0.57499999999999996</v>
      </c>
      <c r="D77" s="26">
        <v>0.57299999999999995</v>
      </c>
      <c r="E77" s="26">
        <v>0.57099999999999995</v>
      </c>
      <c r="F77" s="26">
        <v>0.56899999999999995</v>
      </c>
      <c r="G77" s="26">
        <v>0.56779999999999997</v>
      </c>
    </row>
    <row r="78" spans="2:7" ht="14" x14ac:dyDescent="0.3">
      <c r="B78" s="4" t="s">
        <v>116</v>
      </c>
      <c r="C78" s="26">
        <v>0.57599999999999996</v>
      </c>
      <c r="D78" s="26">
        <v>0.57650000000000001</v>
      </c>
      <c r="E78" s="26">
        <v>0.57699999999999996</v>
      </c>
      <c r="F78" s="26">
        <v>0.57750000000000001</v>
      </c>
      <c r="G78" s="26">
        <v>0.57789999999999997</v>
      </c>
    </row>
    <row r="79" spans="2:7" ht="14" x14ac:dyDescent="0.3">
      <c r="B79" s="4" t="s">
        <v>117</v>
      </c>
      <c r="C79" s="26">
        <v>0.57699999999999996</v>
      </c>
      <c r="D79" s="26">
        <v>0.58399999999999996</v>
      </c>
      <c r="E79" s="26">
        <v>0.59</v>
      </c>
      <c r="F79" s="26">
        <v>0.59399999999999997</v>
      </c>
      <c r="G79" s="26">
        <v>0.59530000000000005</v>
      </c>
    </row>
    <row r="80" spans="2:7" ht="14" x14ac:dyDescent="0.3">
      <c r="B80" s="4" t="s">
        <v>118</v>
      </c>
      <c r="C80" s="26">
        <v>0.59499999999999997</v>
      </c>
      <c r="D80" s="26">
        <v>0.60499999999999998</v>
      </c>
      <c r="E80" s="26">
        <v>0.60699999999999998</v>
      </c>
      <c r="F80" s="26">
        <v>0.60699999999999998</v>
      </c>
      <c r="G80" s="26">
        <v>0.60499999999999998</v>
      </c>
    </row>
    <row r="82" spans="2:7" ht="14" x14ac:dyDescent="0.3">
      <c r="B82" s="3" t="s">
        <v>86</v>
      </c>
    </row>
    <row r="83" spans="2:7" ht="14" x14ac:dyDescent="0.3">
      <c r="B83" s="4" t="s">
        <v>78</v>
      </c>
      <c r="C83" s="26">
        <v>0.28299999999999997</v>
      </c>
      <c r="D83" s="26">
        <v>0.28299999999999997</v>
      </c>
      <c r="E83" s="26">
        <v>0.28299999999999997</v>
      </c>
      <c r="F83" s="26">
        <v>0.28299999999999997</v>
      </c>
      <c r="G83" s="26">
        <v>0.28299999999999997</v>
      </c>
    </row>
    <row r="84" spans="2:7" ht="14" x14ac:dyDescent="0.3">
      <c r="B84" s="4" t="s">
        <v>115</v>
      </c>
      <c r="C84" s="26">
        <v>0.28000000000000003</v>
      </c>
      <c r="D84" s="26">
        <v>0.28000000000000003</v>
      </c>
      <c r="E84" s="26">
        <v>0.28000000000000003</v>
      </c>
      <c r="F84" s="26">
        <v>0.28000000000000003</v>
      </c>
      <c r="G84" s="26">
        <v>0.28000000000000003</v>
      </c>
    </row>
    <row r="85" spans="2:7" ht="14" x14ac:dyDescent="0.3">
      <c r="B85" s="4" t="s">
        <v>116</v>
      </c>
      <c r="C85" s="26">
        <v>0.28299999999999997</v>
      </c>
      <c r="D85" s="26">
        <v>0.28299999999999997</v>
      </c>
      <c r="E85" s="26">
        <v>0.28299999999999997</v>
      </c>
      <c r="F85" s="26">
        <v>0.28299999999999997</v>
      </c>
      <c r="G85" s="26">
        <v>0.28299999999999997</v>
      </c>
    </row>
    <row r="86" spans="2:7" ht="14" x14ac:dyDescent="0.3">
      <c r="B86" s="4" t="s">
        <v>117</v>
      </c>
      <c r="C86" s="26">
        <v>0.28799999999999998</v>
      </c>
      <c r="D86" s="26">
        <v>0.28799999999999998</v>
      </c>
      <c r="E86" s="26">
        <v>0.28799999999999998</v>
      </c>
      <c r="F86" s="26">
        <v>0.28799999999999998</v>
      </c>
      <c r="G86" s="26">
        <v>0.28799999999999998</v>
      </c>
    </row>
    <row r="87" spans="2:7" ht="14" x14ac:dyDescent="0.3">
      <c r="B87" s="4" t="s">
        <v>118</v>
      </c>
      <c r="C87" s="26">
        <v>0.29499999999999998</v>
      </c>
      <c r="D87" s="26">
        <v>0.29499999999999998</v>
      </c>
      <c r="E87" s="26">
        <v>0.29499999999999998</v>
      </c>
      <c r="F87" s="26">
        <v>0.29499999999999998</v>
      </c>
      <c r="G87" s="26">
        <v>0.29499999999999998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5471</v>
      </c>
    </row>
    <row r="7" spans="2:9" ht="14" x14ac:dyDescent="0.3">
      <c r="B7" s="4" t="s">
        <v>66</v>
      </c>
      <c r="C7" s="15">
        <f>'DCF Model'!C15</f>
        <v>432853299</v>
      </c>
    </row>
    <row r="8" spans="2:9" ht="14" x14ac:dyDescent="0.3">
      <c r="B8" s="4" t="s">
        <v>123</v>
      </c>
      <c r="C8" s="5">
        <f>C6*C7/1000000</f>
        <v>2368140.3988290001</v>
      </c>
    </row>
    <row r="9" spans="2:9" ht="14" x14ac:dyDescent="0.3">
      <c r="B9" s="4" t="s">
        <v>67</v>
      </c>
      <c r="C9" s="5">
        <f>'DCF Model'!C16</f>
        <v>716712</v>
      </c>
    </row>
    <row r="10" spans="2:9" ht="14" x14ac:dyDescent="0.3">
      <c r="B10" s="4" t="s">
        <v>124</v>
      </c>
      <c r="C10" s="5">
        <f>C8+C9</f>
        <v>3084852.3988290001</v>
      </c>
    </row>
    <row r="11" spans="2:9" ht="14" x14ac:dyDescent="0.3">
      <c r="B11" s="4" t="s">
        <v>125</v>
      </c>
      <c r="C11" s="16">
        <f>'DCF Model'!C26</f>
        <v>7.5530723169046535E-2</v>
      </c>
    </row>
    <row r="12" spans="2:9" ht="14" x14ac:dyDescent="0.3">
      <c r="B12" s="4" t="s">
        <v>126</v>
      </c>
      <c r="C12" s="16">
        <f>'DCF Model'!C13</f>
        <v>0.01</v>
      </c>
    </row>
    <row r="13" spans="2:9" ht="14" x14ac:dyDescent="0.3">
      <c r="B13" s="4" t="s">
        <v>127</v>
      </c>
      <c r="C13" s="16">
        <f>'DCF Model'!C6</f>
        <v>0.25</v>
      </c>
    </row>
    <row r="14" spans="2:9" ht="14" x14ac:dyDescent="0.3">
      <c r="B14" s="4" t="s">
        <v>128</v>
      </c>
      <c r="C14" s="27">
        <v>193329</v>
      </c>
    </row>
    <row r="15" spans="2:9" ht="14" x14ac:dyDescent="0.3">
      <c r="B15" s="4" t="s">
        <v>129</v>
      </c>
      <c r="C15" s="27">
        <v>193329</v>
      </c>
    </row>
    <row r="16" spans="2:9" ht="14" x14ac:dyDescent="0.3">
      <c r="B16" s="4" t="s">
        <v>130</v>
      </c>
      <c r="C16" s="5">
        <f>'DCF Model'!G33</f>
        <v>1591426.8223257689</v>
      </c>
    </row>
    <row r="17" spans="2:9" ht="14" x14ac:dyDescent="0.3">
      <c r="B17" s="4" t="s">
        <v>131</v>
      </c>
      <c r="C17" s="5">
        <f>'DCF Model'!C53</f>
        <v>2198672.3865918387</v>
      </c>
    </row>
    <row r="18" spans="2:9" ht="14" x14ac:dyDescent="0.3">
      <c r="B18" s="4" t="s">
        <v>132</v>
      </c>
      <c r="C18" s="26">
        <v>0.14219434823637059</v>
      </c>
    </row>
    <row r="19" spans="2:9" ht="14" x14ac:dyDescent="0.3">
      <c r="B19" s="4" t="s">
        <v>133</v>
      </c>
      <c r="C19" s="5">
        <f>C10-C17</f>
        <v>886180.0122371614</v>
      </c>
    </row>
    <row r="20" spans="2:9" ht="14" x14ac:dyDescent="0.3">
      <c r="B20" s="4" t="s">
        <v>134</v>
      </c>
      <c r="C20" s="15">
        <f>IFERROR(ROUND(C19*1000000/C7,0),"N/A")</f>
        <v>2047</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202152.60856503237</v>
      </c>
    </row>
    <row r="25" spans="2:9" ht="14" x14ac:dyDescent="0.3">
      <c r="B25" s="4" t="s">
        <v>138</v>
      </c>
      <c r="C25" s="5">
        <f>IFERROR(C24/(1-C13),"N/A")</f>
        <v>269536.81142004317</v>
      </c>
    </row>
    <row r="26" spans="2:9" ht="13.5" x14ac:dyDescent="0.25">
      <c r="B26" s="6" t="s">
        <v>139</v>
      </c>
      <c r="C26" s="14">
        <f>IFERROR(C25/C15,"N/A")</f>
        <v>1.3941871701609339</v>
      </c>
    </row>
    <row r="27" spans="2:9" ht="13.5" x14ac:dyDescent="0.25">
      <c r="B27" s="6" t="s">
        <v>140</v>
      </c>
      <c r="C27" s="14">
        <f>IFERROR(C25/C14,"N/A")</f>
        <v>1.3941871701609339</v>
      </c>
    </row>
    <row r="28" spans="2:9" ht="13.5" x14ac:dyDescent="0.25">
      <c r="B28" s="6" t="s">
        <v>141</v>
      </c>
      <c r="C28" s="7">
        <f>IFERROR(C25/C16,"N/A")</f>
        <v>0.16936802097260892</v>
      </c>
    </row>
    <row r="29" spans="2:9" ht="13.5" x14ac:dyDescent="0.25">
      <c r="B29" s="6" t="s">
        <v>142</v>
      </c>
      <c r="C29" s="5">
        <f>IFERROR(C25/C18,"N/A")</f>
        <v>1895552.2126096769</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5.5530723169046531E-2</v>
      </c>
      <c r="E36" s="29">
        <f>'DCF Model'!C26-0.01</f>
        <v>6.553072316904654E-2</v>
      </c>
      <c r="F36" s="29">
        <f>'DCF Model'!C26</f>
        <v>7.5530723169046535E-2</v>
      </c>
      <c r="G36" s="29">
        <f>'DCF Model'!C26+0.01</f>
        <v>8.553072316904653E-2</v>
      </c>
      <c r="H36" s="29">
        <f>'DCF Model'!C26+0.02</f>
        <v>9.5530723169046539E-2</v>
      </c>
    </row>
    <row r="37" spans="2:9" ht="14" x14ac:dyDescent="0.3">
      <c r="B37" s="3" t="s">
        <v>148</v>
      </c>
    </row>
    <row r="38" spans="2:9" ht="14" x14ac:dyDescent="0.3">
      <c r="B38" s="4" t="s">
        <v>149</v>
      </c>
      <c r="C38" s="30">
        <v>3</v>
      </c>
      <c r="D38" s="13">
        <f t="shared" ref="D38:H41" si="0">IFERROR((1-(1+D$36)^(-$C38))/D$36-(1+D$36)/(D$36^2*$C38)*(1-($C38+1)/(1+D$36)^$C38+$C38/(1+D$36)^($C38+1)),"N/A")</f>
        <v>0.93077685759408402</v>
      </c>
      <c r="E38" s="13">
        <f t="shared" si="0"/>
        <v>0.91926004206424317</v>
      </c>
      <c r="F38" s="13">
        <f t="shared" si="0"/>
        <v>0.90800862915991853</v>
      </c>
      <c r="G38" s="13">
        <f t="shared" si="0"/>
        <v>0.89701388105561941</v>
      </c>
      <c r="H38" s="13">
        <f t="shared" si="0"/>
        <v>0.88626742972327643</v>
      </c>
    </row>
    <row r="39" spans="2:9" ht="14" x14ac:dyDescent="0.3">
      <c r="B39" s="4" t="s">
        <v>150</v>
      </c>
      <c r="C39" s="30">
        <v>5</v>
      </c>
      <c r="D39" s="13">
        <f t="shared" si="0"/>
        <v>1.7976928494433104</v>
      </c>
      <c r="E39" s="13">
        <f t="shared" si="0"/>
        <v>1.765068484627331</v>
      </c>
      <c r="F39" s="13">
        <f t="shared" si="0"/>
        <v>1.7334786575239685</v>
      </c>
      <c r="G39" s="13">
        <f t="shared" si="0"/>
        <v>1.7028786124518485</v>
      </c>
      <c r="H39" s="13">
        <f t="shared" si="0"/>
        <v>1.6732259975445656</v>
      </c>
    </row>
    <row r="40" spans="2:9" ht="14" x14ac:dyDescent="0.3">
      <c r="B40" s="4" t="s">
        <v>151</v>
      </c>
      <c r="C40" s="30">
        <v>7</v>
      </c>
      <c r="D40" s="13">
        <f t="shared" si="0"/>
        <v>2.6056683599768231</v>
      </c>
      <c r="E40" s="13">
        <f t="shared" si="0"/>
        <v>2.5440141006114851</v>
      </c>
      <c r="F40" s="13">
        <f t="shared" si="0"/>
        <v>2.4848304637923624</v>
      </c>
      <c r="G40" s="13">
        <f t="shared" si="0"/>
        <v>2.4279857846883401</v>
      </c>
      <c r="H40" s="13">
        <f t="shared" si="0"/>
        <v>2.3733569296574868</v>
      </c>
    </row>
    <row r="41" spans="2:9" ht="14" x14ac:dyDescent="0.3">
      <c r="B41" s="4" t="s">
        <v>152</v>
      </c>
      <c r="C41" s="30">
        <v>10</v>
      </c>
      <c r="D41" s="13">
        <f t="shared" si="0"/>
        <v>3.7168958649056059</v>
      </c>
      <c r="E41" s="13">
        <f t="shared" si="0"/>
        <v>3.5999434150980685</v>
      </c>
      <c r="F41" s="13">
        <f t="shared" si="0"/>
        <v>3.4890796138999343</v>
      </c>
      <c r="G41" s="13">
        <f t="shared" si="0"/>
        <v>3.3838918115163601</v>
      </c>
      <c r="H41" s="13">
        <f t="shared" si="0"/>
        <v>3.2840007270357172</v>
      </c>
    </row>
    <row r="42" spans="2:9" ht="14" x14ac:dyDescent="0.3">
      <c r="B42" s="3" t="s">
        <v>153</v>
      </c>
    </row>
    <row r="43" spans="2:9" ht="14" x14ac:dyDescent="0.3">
      <c r="B43" s="4" t="s">
        <v>149</v>
      </c>
      <c r="C43" s="30">
        <v>3</v>
      </c>
      <c r="D43" s="13">
        <f t="shared" ref="D43:H46" si="1">IFERROR((1+D$36)/(D$36^2*$C43)*(1-($C43+1)/(1+D$36)^$C43+$C43/(1+D$36)^($C43+1))+(1+$C$12)/((D$36-$C$12)*(1+D$36)^$C43),"N/A")</f>
        <v>20.627207137433494</v>
      </c>
      <c r="E43" s="13">
        <f t="shared" si="1"/>
        <v>16.761172288544714</v>
      </c>
      <c r="F43" s="13">
        <f t="shared" si="1"/>
        <v>14.078205912052418</v>
      </c>
      <c r="G43" s="13">
        <f t="shared" si="1"/>
        <v>12.108311980576547</v>
      </c>
      <c r="H43" s="13">
        <f t="shared" si="1"/>
        <v>10.60130027285005</v>
      </c>
    </row>
    <row r="44" spans="2:9" ht="14" x14ac:dyDescent="0.3">
      <c r="B44" s="4" t="s">
        <v>150</v>
      </c>
      <c r="C44" s="30">
        <v>5</v>
      </c>
      <c r="D44" s="13">
        <f t="shared" si="1"/>
        <v>19.396597336009037</v>
      </c>
      <c r="E44" s="13">
        <f t="shared" si="1"/>
        <v>15.626804979220603</v>
      </c>
      <c r="F44" s="13">
        <f t="shared" si="1"/>
        <v>13.01603879151577</v>
      </c>
      <c r="G44" s="13">
        <f t="shared" si="1"/>
        <v>11.103597763985263</v>
      </c>
      <c r="H44" s="13">
        <f t="shared" si="1"/>
        <v>9.6442537174971683</v>
      </c>
    </row>
    <row r="45" spans="2:9" ht="14" x14ac:dyDescent="0.3">
      <c r="B45" s="4" t="s">
        <v>151</v>
      </c>
      <c r="C45" s="30">
        <v>7</v>
      </c>
      <c r="D45" s="13">
        <f t="shared" si="1"/>
        <v>18.262188753957794</v>
      </c>
      <c r="E45" s="13">
        <f t="shared" si="1"/>
        <v>14.593702132013489</v>
      </c>
      <c r="F45" s="13">
        <f t="shared" si="1"/>
        <v>12.060067361812663</v>
      </c>
      <c r="G45" s="13">
        <f t="shared" si="1"/>
        <v>10.209741970999039</v>
      </c>
      <c r="H45" s="13">
        <f t="shared" si="1"/>
        <v>8.802404946911329</v>
      </c>
    </row>
    <row r="46" spans="2:9" ht="14" x14ac:dyDescent="0.3">
      <c r="B46" s="4" t="s">
        <v>152</v>
      </c>
      <c r="C46" s="30">
        <v>10</v>
      </c>
      <c r="D46" s="13">
        <f t="shared" si="1"/>
        <v>16.722933040884939</v>
      </c>
      <c r="E46" s="13">
        <f t="shared" si="1"/>
        <v>13.212203739799715</v>
      </c>
      <c r="F46" s="13">
        <f t="shared" si="1"/>
        <v>10.799687934533146</v>
      </c>
      <c r="G46" s="13">
        <f t="shared" si="1"/>
        <v>9.0473763133103837</v>
      </c>
      <c r="H46" s="13">
        <f t="shared" si="1"/>
        <v>7.7222466371257159</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190679.73412320978</v>
      </c>
      <c r="E48" s="5">
        <f t="shared" si="2"/>
        <v>234793.65520211199</v>
      </c>
      <c r="F48" s="5">
        <f t="shared" si="2"/>
        <v>279694.17098340287</v>
      </c>
      <c r="G48" s="5">
        <f t="shared" si="2"/>
        <v>325372.99513600784</v>
      </c>
      <c r="H48" s="5">
        <f t="shared" si="2"/>
        <v>371821.87414745474</v>
      </c>
    </row>
    <row r="49" spans="2:9" ht="14" x14ac:dyDescent="0.3">
      <c r="B49" s="4" t="s">
        <v>150</v>
      </c>
      <c r="C49" s="30">
        <v>5</v>
      </c>
      <c r="D49" s="5">
        <f t="shared" si="2"/>
        <v>194136.64704434015</v>
      </c>
      <c r="E49" s="5">
        <f t="shared" si="2"/>
        <v>241373.56367620124</v>
      </c>
      <c r="F49" s="5">
        <f t="shared" si="2"/>
        <v>290257.65034244995</v>
      </c>
      <c r="G49" s="5">
        <f t="shared" si="2"/>
        <v>340783.30221745942</v>
      </c>
      <c r="H49" s="5">
        <f t="shared" si="2"/>
        <v>392944.185615658</v>
      </c>
    </row>
    <row r="50" spans="2:9" ht="14" x14ac:dyDescent="0.3">
      <c r="B50" s="4" t="s">
        <v>151</v>
      </c>
      <c r="C50" s="30">
        <v>7</v>
      </c>
      <c r="D50" s="5">
        <f t="shared" si="2"/>
        <v>197642.53463998463</v>
      </c>
      <c r="E50" s="5">
        <f t="shared" si="2"/>
        <v>248141.61594891013</v>
      </c>
      <c r="F50" s="5">
        <f t="shared" si="2"/>
        <v>301221.09885889344</v>
      </c>
      <c r="G50" s="5">
        <f t="shared" si="2"/>
        <v>356888.2032821289</v>
      </c>
      <c r="H50" s="5">
        <f t="shared" si="2"/>
        <v>415147.65929968975</v>
      </c>
    </row>
    <row r="51" spans="2:9" ht="14" x14ac:dyDescent="0.3">
      <c r="B51" s="4" t="s">
        <v>152</v>
      </c>
      <c r="C51" s="30">
        <v>10</v>
      </c>
      <c r="D51" s="5">
        <f t="shared" si="2"/>
        <v>202987.88273603184</v>
      </c>
      <c r="E51" s="5">
        <f t="shared" si="2"/>
        <v>258636.87380030571</v>
      </c>
      <c r="F51" s="5">
        <f t="shared" si="2"/>
        <v>318397.74259597482</v>
      </c>
      <c r="G51" s="5">
        <f t="shared" si="2"/>
        <v>382313.27977975417</v>
      </c>
      <c r="H51" s="5">
        <f t="shared" si="2"/>
        <v>450418.65646880493</v>
      </c>
    </row>
    <row r="52" spans="2:9" ht="14" x14ac:dyDescent="0.3">
      <c r="B52" s="22" t="s">
        <v>155</v>
      </c>
      <c r="C52" s="23"/>
      <c r="D52" s="23"/>
      <c r="E52" s="23"/>
      <c r="F52" s="23"/>
      <c r="G52" s="23"/>
      <c r="H52" s="23"/>
      <c r="I52" s="23"/>
    </row>
    <row r="53" spans="2:9" ht="14" x14ac:dyDescent="0.3">
      <c r="B53" s="4" t="s">
        <v>149</v>
      </c>
      <c r="C53" s="30">
        <v>3</v>
      </c>
      <c r="D53" s="14">
        <f t="shared" ref="D53:H56" si="3">IFERROR(D48/$C$15,"N/A")</f>
        <v>0.98629659349197374</v>
      </c>
      <c r="E53" s="14">
        <f t="shared" si="3"/>
        <v>1.2144771617404113</v>
      </c>
      <c r="F53" s="14">
        <f t="shared" si="3"/>
        <v>1.4467264144717185</v>
      </c>
      <c r="G53" s="14">
        <f t="shared" si="3"/>
        <v>1.6830014903920665</v>
      </c>
      <c r="H53" s="14">
        <f t="shared" si="3"/>
        <v>1.9232596979628236</v>
      </c>
    </row>
    <row r="54" spans="2:9" ht="14" x14ac:dyDescent="0.3">
      <c r="B54" s="4" t="s">
        <v>150</v>
      </c>
      <c r="C54" s="30">
        <v>5</v>
      </c>
      <c r="D54" s="14">
        <f t="shared" si="3"/>
        <v>1.0041775783474809</v>
      </c>
      <c r="E54" s="14">
        <f t="shared" si="3"/>
        <v>1.2485119339374913</v>
      </c>
      <c r="F54" s="14">
        <f t="shared" si="3"/>
        <v>1.5013663254992782</v>
      </c>
      <c r="G54" s="14">
        <f t="shared" si="3"/>
        <v>1.7627117619056605</v>
      </c>
      <c r="H54" s="14">
        <f t="shared" si="3"/>
        <v>2.0325154819797238</v>
      </c>
    </row>
    <row r="55" spans="2:9" ht="14" x14ac:dyDescent="0.3">
      <c r="B55" s="4" t="s">
        <v>151</v>
      </c>
      <c r="C55" s="30">
        <v>7</v>
      </c>
      <c r="D55" s="14">
        <f t="shared" si="3"/>
        <v>1.0223118861628862</v>
      </c>
      <c r="E55" s="14">
        <f t="shared" si="3"/>
        <v>1.2835198855262797</v>
      </c>
      <c r="F55" s="14">
        <f t="shared" si="3"/>
        <v>1.5580750888841997</v>
      </c>
      <c r="G55" s="14">
        <f t="shared" si="3"/>
        <v>1.8460148414471129</v>
      </c>
      <c r="H55" s="14">
        <f t="shared" si="3"/>
        <v>2.1473636096999922</v>
      </c>
    </row>
    <row r="56" spans="2:9" ht="14" x14ac:dyDescent="0.3">
      <c r="B56" s="4" t="s">
        <v>152</v>
      </c>
      <c r="C56" s="30">
        <v>10</v>
      </c>
      <c r="D56" s="14">
        <f t="shared" si="3"/>
        <v>1.0499608581021567</v>
      </c>
      <c r="E56" s="14">
        <f t="shared" si="3"/>
        <v>1.3378069187773469</v>
      </c>
      <c r="F56" s="14">
        <f t="shared" si="3"/>
        <v>1.6469217892606636</v>
      </c>
      <c r="G56" s="14">
        <f t="shared" si="3"/>
        <v>1.9775268054960931</v>
      </c>
      <c r="H56" s="14">
        <f t="shared" si="3"/>
        <v>2.3298038911327579</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290257.65034244995</v>
      </c>
    </row>
    <row r="62" spans="2:9" ht="14" x14ac:dyDescent="0.3">
      <c r="B62" s="28" t="s">
        <v>159</v>
      </c>
      <c r="C62" s="28" t="s">
        <v>160</v>
      </c>
      <c r="D62" s="28" t="s">
        <v>161</v>
      </c>
    </row>
    <row r="63" spans="2:9" ht="14" x14ac:dyDescent="0.3">
      <c r="B63" s="31">
        <v>7.1099999999999997E-2</v>
      </c>
      <c r="C63" s="5">
        <f>IFERROR($C$60/B63,"N/A")</f>
        <v>4082386.0807658224</v>
      </c>
      <c r="D63" s="14">
        <f>IFERROR(C63/'DCF Model'!C17,"N/A")</f>
        <v>3.0026133068692609</v>
      </c>
    </row>
    <row r="64" spans="2:9" ht="14" x14ac:dyDescent="0.3">
      <c r="B64" s="31">
        <v>0.1066</v>
      </c>
      <c r="C64" s="5">
        <f>IFERROR($C$60/B64,"N/A")</f>
        <v>2722867.2640004684</v>
      </c>
      <c r="D64" s="14">
        <f>IFERROR(C64/'DCF Model'!C17,"N/A")</f>
        <v>2.0026811080525744</v>
      </c>
    </row>
    <row r="65" spans="2:9" ht="14" x14ac:dyDescent="0.3">
      <c r="B65" s="4" t="s">
        <v>162</v>
      </c>
      <c r="C65" s="5">
        <f>IFERROR($C$60/$C$18,"N/A")</f>
        <v>2041274.1711783987</v>
      </c>
      <c r="D65" s="14">
        <f>IFERROR(C65/'DCF Model'!C17,"N/A")</f>
        <v>1.501366325499278</v>
      </c>
    </row>
    <row r="66" spans="2:9" ht="14" x14ac:dyDescent="0.3">
      <c r="B66" s="31">
        <v>0.1777</v>
      </c>
      <c r="C66" s="5">
        <f>IFERROR($C$60/B66,"N/A")</f>
        <v>1633413.9017583004</v>
      </c>
      <c r="D66" s="14">
        <f>IFERROR(C66/'DCF Model'!C17,"N/A")</f>
        <v>1.201383264594285</v>
      </c>
    </row>
    <row r="67" spans="2:9" ht="14" x14ac:dyDescent="0.3">
      <c r="B67" s="31">
        <v>0.21329999999999999</v>
      </c>
      <c r="C67" s="5">
        <f>IFERROR($C$60/B67,"N/A")</f>
        <v>1360795.3602552742</v>
      </c>
      <c r="D67" s="14">
        <f>IFERROR(C67/'DCF Model'!C17,"N/A")</f>
        <v>1.0008711022897536</v>
      </c>
    </row>
    <row r="69" spans="2:9" ht="14" x14ac:dyDescent="0.3">
      <c r="B69" s="8" t="s">
        <v>163</v>
      </c>
      <c r="C69" s="9"/>
      <c r="D69" s="9"/>
      <c r="E69" s="9"/>
      <c r="F69" s="9"/>
      <c r="G69" s="9"/>
      <c r="H69" s="9"/>
      <c r="I69" s="9"/>
    </row>
    <row r="70" spans="2:9" ht="13.5" x14ac:dyDescent="0.25">
      <c r="B70" s="6" t="s">
        <v>164</v>
      </c>
      <c r="C70" s="14">
        <f>IFERROR(C10/'Comps Analysis'!G5,"N/A")</f>
        <v>9.633149609281368</v>
      </c>
    </row>
    <row r="71" spans="2:9" ht="13.5" x14ac:dyDescent="0.25">
      <c r="B71" s="6" t="s">
        <v>165</v>
      </c>
      <c r="C71" s="14">
        <f>IFERROR(C10/'Comps Analysis'!F5,"N/A")</f>
        <v>2.2689228013225842</v>
      </c>
    </row>
    <row r="72" spans="2:9" ht="14" x14ac:dyDescent="0.3">
      <c r="B72" s="4" t="s">
        <v>166</v>
      </c>
      <c r="C72" s="14">
        <f>IFERROR(C10/(C25+'DCF Model'!G42),"N/A")</f>
        <v>7.3881689163919742</v>
      </c>
    </row>
    <row r="73" spans="2:9" ht="14" x14ac:dyDescent="0.3">
      <c r="B73" s="4" t="s">
        <v>167</v>
      </c>
      <c r="C73" s="14">
        <f>IFERROR(C10/(C60+'DCF Model'!G42),"N/A")</f>
        <v>7.0388581474438858</v>
      </c>
    </row>
    <row r="74" spans="2:9" ht="14" x14ac:dyDescent="0.3">
      <c r="B74" s="4" t="s">
        <v>168</v>
      </c>
      <c r="C74" s="14">
        <f>IFERROR('Comps Analysis'!D16,"N/A")</f>
        <v>8.7045916735946793</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5,471 yen the market is paying for a steady-state operating profit of 290,258 mn JPY - 1.50x the FY2026 cycle peak of 193,329 mn - reached in 5 years and sustained for ever, against 193,329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269,537 mn, or 1.39x the peak. The base case supports an EV of only 2,198,672 mn, leaving 2,047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78.652353504053735</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x14ac:dyDescent="0.3">
      <c r="B6" s="33" t="s">
        <v>175</v>
      </c>
      <c r="C6" s="34">
        <f>C13/C10*365</f>
        <v>51.199150274320893</v>
      </c>
      <c r="D6" s="34">
        <f>CHOOSE('DCF Model'!$D$27,D32,D33,D34,D35,D36)</f>
        <v>49</v>
      </c>
      <c r="E6" s="34">
        <f>CHOOSE('DCF Model'!$D$27,E32,E33,E34,E35,E36)</f>
        <v>49</v>
      </c>
      <c r="F6" s="34">
        <f>CHOOSE('DCF Model'!$D$27,F32,F33,F34,F35,F36)</f>
        <v>49</v>
      </c>
      <c r="G6" s="34">
        <f>CHOOSE('DCF Model'!$D$27,G32,G33,G34,G35,G36)</f>
        <v>49</v>
      </c>
      <c r="H6" s="34">
        <f>CHOOSE('DCF Model'!$D$27,H32,H33,H34,H35,H36)</f>
        <v>49</v>
      </c>
    </row>
    <row r="7" spans="2:8" ht="14" x14ac:dyDescent="0.3">
      <c r="B7" s="33" t="s">
        <v>176</v>
      </c>
      <c r="C7" s="34">
        <f>C15/C10*365</f>
        <v>67.970443596949011</v>
      </c>
      <c r="D7" s="34">
        <f>CHOOSE('DCF Model'!$D$27,D39,D40,D41,D42,D43)</f>
        <v>65</v>
      </c>
      <c r="E7" s="34">
        <f>CHOOSE('DCF Model'!$D$27,E39,E40,E41,E42,E43)</f>
        <v>65</v>
      </c>
      <c r="F7" s="34">
        <f>CHOOSE('DCF Model'!$D$27,F39,F40,F41,F42,F43)</f>
        <v>65</v>
      </c>
      <c r="G7" s="34">
        <f>CHOOSE('DCF Model'!$D$27,G39,G40,G41,G42,G43)</f>
        <v>65</v>
      </c>
      <c r="H7" s="34">
        <f>CHOOSE('DCF Model'!$D$27,H39,H40,H41,H42,H43)</f>
        <v>65</v>
      </c>
    </row>
    <row r="8" spans="2:8" ht="14" x14ac:dyDescent="0.3">
      <c r="B8" s="8" t="s">
        <v>177</v>
      </c>
      <c r="C8" s="9"/>
      <c r="D8" s="9"/>
      <c r="E8" s="9"/>
      <c r="F8" s="9"/>
      <c r="G8" s="9"/>
      <c r="H8" s="9"/>
    </row>
    <row r="9" spans="2:8" ht="14" x14ac:dyDescent="0.3">
      <c r="B9" s="33" t="s">
        <v>31</v>
      </c>
      <c r="C9" s="35">
        <v>1359611</v>
      </c>
      <c r="D9" s="35">
        <f>'DCF Model'!C33</f>
        <v>1413995.44</v>
      </c>
      <c r="E9" s="35">
        <f>'DCF Model'!D33</f>
        <v>1463485.2803999998</v>
      </c>
      <c r="F9" s="35">
        <f>'DCF Model'!E33</f>
        <v>1507389.8388119999</v>
      </c>
      <c r="G9" s="35">
        <f>'DCF Model'!F33</f>
        <v>1552611.53397636</v>
      </c>
      <c r="H9" s="35">
        <f>'DCF Model'!G33</f>
        <v>1591426.8223257689</v>
      </c>
    </row>
    <row r="10" spans="2:8" ht="14" x14ac:dyDescent="0.3">
      <c r="B10" s="33" t="s">
        <v>32</v>
      </c>
      <c r="C10" s="35">
        <v>777192</v>
      </c>
      <c r="D10" s="35">
        <f>'DCF Model'!C34</f>
        <v>814461.37343999988</v>
      </c>
      <c r="E10" s="35">
        <f>'DCF Model'!D34</f>
        <v>843699.26415059995</v>
      </c>
      <c r="F10" s="35">
        <f>'DCF Model'!E34</f>
        <v>869763.93699452386</v>
      </c>
      <c r="G10" s="35">
        <f>'DCF Model'!F34</f>
        <v>896633.16087134788</v>
      </c>
      <c r="H10" s="35">
        <f>'DCF Model'!G34</f>
        <v>919685.56062206184</v>
      </c>
    </row>
    <row r="11" spans="2:8" ht="14" x14ac:dyDescent="0.3">
      <c r="B11" s="8" t="s">
        <v>178</v>
      </c>
      <c r="C11" s="9"/>
      <c r="D11" s="9"/>
      <c r="E11" s="9"/>
      <c r="F11" s="9"/>
      <c r="G11" s="9"/>
      <c r="H11" s="9"/>
    </row>
    <row r="12" spans="2:8" ht="14" x14ac:dyDescent="0.3">
      <c r="B12" s="33" t="s">
        <v>179</v>
      </c>
      <c r="C12" s="35">
        <v>292977</v>
      </c>
      <c r="D12" s="35">
        <f t="shared" ref="D12:H13" si="0">D9*D5/365</f>
        <v>298294.92843835615</v>
      </c>
      <c r="E12" s="35">
        <f t="shared" si="0"/>
        <v>308735.25093369861</v>
      </c>
      <c r="F12" s="35">
        <f t="shared" si="0"/>
        <v>317997.30846170953</v>
      </c>
      <c r="G12" s="35">
        <f t="shared" si="0"/>
        <v>327537.22771556088</v>
      </c>
      <c r="H12" s="35">
        <f t="shared" si="0"/>
        <v>335725.65840844985</v>
      </c>
    </row>
    <row r="13" spans="2:8" ht="14" x14ac:dyDescent="0.3">
      <c r="B13" s="33" t="s">
        <v>180</v>
      </c>
      <c r="C13" s="35">
        <v>109018</v>
      </c>
      <c r="D13" s="35">
        <f t="shared" si="0"/>
        <v>109338.65013304108</v>
      </c>
      <c r="E13" s="35">
        <f t="shared" si="0"/>
        <v>113263.73683117643</v>
      </c>
      <c r="F13" s="35">
        <f t="shared" si="0"/>
        <v>116762.82989789499</v>
      </c>
      <c r="G13" s="35">
        <f t="shared" si="0"/>
        <v>120369.93118546862</v>
      </c>
      <c r="H13" s="35">
        <f t="shared" si="0"/>
        <v>123464.63690542748</v>
      </c>
    </row>
    <row r="14" spans="2:8" ht="14" x14ac:dyDescent="0.3">
      <c r="B14" s="33" t="s">
        <v>181</v>
      </c>
      <c r="C14" s="35">
        <f t="shared" ref="C14:H14" si="1">C12+C13</f>
        <v>401995</v>
      </c>
      <c r="D14" s="35">
        <f t="shared" si="1"/>
        <v>407633.57857139723</v>
      </c>
      <c r="E14" s="35">
        <f t="shared" si="1"/>
        <v>421998.98776487506</v>
      </c>
      <c r="F14" s="35">
        <f t="shared" si="1"/>
        <v>434760.13835960452</v>
      </c>
      <c r="G14" s="35">
        <f t="shared" si="1"/>
        <v>447907.1589010295</v>
      </c>
      <c r="H14" s="35">
        <f t="shared" si="1"/>
        <v>459190.29531387734</v>
      </c>
    </row>
    <row r="15" spans="2:8" ht="14" x14ac:dyDescent="0.3">
      <c r="B15" s="33" t="s">
        <v>182</v>
      </c>
      <c r="C15" s="35">
        <v>144729</v>
      </c>
      <c r="D15" s="35">
        <f>D10*D7/365</f>
        <v>145041.06650301366</v>
      </c>
      <c r="E15" s="35">
        <f>E10*E7/365</f>
        <v>150247.81416380545</v>
      </c>
      <c r="F15" s="35">
        <f>F10*F7/365</f>
        <v>154889.4682319015</v>
      </c>
      <c r="G15" s="35">
        <f>G10*G7/365</f>
        <v>159674.39851133592</v>
      </c>
      <c r="H15" s="35">
        <f>H10*H7/365</f>
        <v>163779.62038475074</v>
      </c>
    </row>
    <row r="16" spans="2:8" ht="14" x14ac:dyDescent="0.3">
      <c r="B16" s="33" t="s">
        <v>183</v>
      </c>
      <c r="C16" s="35">
        <f t="shared" ref="C16:H16" si="2">C15</f>
        <v>144729</v>
      </c>
      <c r="D16" s="35">
        <f t="shared" si="2"/>
        <v>145041.06650301366</v>
      </c>
      <c r="E16" s="35">
        <f t="shared" si="2"/>
        <v>150247.81416380545</v>
      </c>
      <c r="F16" s="35">
        <f t="shared" si="2"/>
        <v>154889.4682319015</v>
      </c>
      <c r="G16" s="35">
        <f t="shared" si="2"/>
        <v>159674.39851133592</v>
      </c>
      <c r="H16" s="35">
        <f t="shared" si="2"/>
        <v>163779.62038475074</v>
      </c>
    </row>
    <row r="17" spans="2:8" ht="14" x14ac:dyDescent="0.3">
      <c r="B17" s="22" t="s">
        <v>184</v>
      </c>
      <c r="C17" s="23"/>
      <c r="D17" s="23"/>
      <c r="E17" s="23"/>
      <c r="F17" s="23"/>
      <c r="G17" s="23"/>
      <c r="H17" s="23"/>
    </row>
    <row r="18" spans="2:8" ht="14" x14ac:dyDescent="0.3">
      <c r="B18" s="33" t="s">
        <v>185</v>
      </c>
      <c r="C18" s="20">
        <f t="shared" ref="C18:H18" si="3">C14-C16</f>
        <v>257266</v>
      </c>
      <c r="D18" s="20">
        <f t="shared" si="3"/>
        <v>262592.51206838357</v>
      </c>
      <c r="E18" s="20">
        <f t="shared" si="3"/>
        <v>271751.1736010696</v>
      </c>
      <c r="F18" s="20">
        <f t="shared" si="3"/>
        <v>279870.67012770299</v>
      </c>
      <c r="G18" s="20">
        <f t="shared" si="3"/>
        <v>288232.76038969355</v>
      </c>
      <c r="H18" s="20">
        <f t="shared" si="3"/>
        <v>295410.67492912663</v>
      </c>
    </row>
    <row r="19" spans="2:8" ht="14" x14ac:dyDescent="0.3">
      <c r="B19" s="33" t="s">
        <v>94</v>
      </c>
      <c r="C19" s="36" t="s">
        <v>41</v>
      </c>
      <c r="D19" s="24">
        <f>D18-C18</f>
        <v>5326.5120683835703</v>
      </c>
      <c r="E19" s="24">
        <f>E18-D18</f>
        <v>9158.6615326860338</v>
      </c>
      <c r="F19" s="24">
        <f>F18-E18</f>
        <v>8119.4965266333893</v>
      </c>
      <c r="G19" s="24">
        <f>G18-F18</f>
        <v>8362.0902619905537</v>
      </c>
      <c r="H19" s="24">
        <f>H18-G18</f>
        <v>7177.9145394330844</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77</v>
      </c>
      <c r="E25" s="30">
        <v>77</v>
      </c>
      <c r="F25" s="30">
        <v>77</v>
      </c>
      <c r="G25" s="30">
        <v>77</v>
      </c>
      <c r="H25" s="30">
        <v>77</v>
      </c>
    </row>
    <row r="26" spans="2:8" ht="14" x14ac:dyDescent="0.3">
      <c r="B26" s="4" t="s">
        <v>115</v>
      </c>
      <c r="D26" s="30">
        <v>74</v>
      </c>
      <c r="E26" s="30">
        <v>74</v>
      </c>
      <c r="F26" s="30">
        <v>74</v>
      </c>
      <c r="G26" s="30">
        <v>74</v>
      </c>
      <c r="H26" s="30">
        <v>74</v>
      </c>
    </row>
    <row r="27" spans="2:8" ht="14" x14ac:dyDescent="0.3">
      <c r="B27" s="4" t="s">
        <v>116</v>
      </c>
      <c r="D27" s="30">
        <v>77</v>
      </c>
      <c r="E27" s="30">
        <v>77</v>
      </c>
      <c r="F27" s="30">
        <v>77</v>
      </c>
      <c r="G27" s="30">
        <v>77</v>
      </c>
      <c r="H27" s="30">
        <v>77</v>
      </c>
    </row>
    <row r="28" spans="2:8" ht="14" x14ac:dyDescent="0.3">
      <c r="B28" s="4" t="s">
        <v>117</v>
      </c>
      <c r="D28" s="30">
        <v>81</v>
      </c>
      <c r="E28" s="30">
        <v>81</v>
      </c>
      <c r="F28" s="30">
        <v>81</v>
      </c>
      <c r="G28" s="30">
        <v>81</v>
      </c>
      <c r="H28" s="30">
        <v>81</v>
      </c>
    </row>
    <row r="29" spans="2:8" ht="14" x14ac:dyDescent="0.3">
      <c r="B29" s="4" t="s">
        <v>118</v>
      </c>
      <c r="D29" s="30">
        <v>85</v>
      </c>
      <c r="E29" s="30">
        <v>85</v>
      </c>
      <c r="F29" s="30">
        <v>85</v>
      </c>
      <c r="G29" s="30">
        <v>85</v>
      </c>
      <c r="H29" s="30">
        <v>85</v>
      </c>
    </row>
    <row r="31" spans="2:8" ht="14" x14ac:dyDescent="0.3">
      <c r="B31" s="3" t="s">
        <v>188</v>
      </c>
    </row>
    <row r="32" spans="2:8" ht="14" x14ac:dyDescent="0.3">
      <c r="B32" s="4" t="s">
        <v>78</v>
      </c>
      <c r="D32" s="30">
        <v>49</v>
      </c>
      <c r="E32" s="30">
        <v>49</v>
      </c>
      <c r="F32" s="30">
        <v>49</v>
      </c>
      <c r="G32" s="30">
        <v>49</v>
      </c>
      <c r="H32" s="30">
        <v>49</v>
      </c>
    </row>
    <row r="33" spans="2:8" ht="14" x14ac:dyDescent="0.3">
      <c r="B33" s="4" t="s">
        <v>115</v>
      </c>
      <c r="D33" s="30">
        <v>46</v>
      </c>
      <c r="E33" s="30">
        <v>46</v>
      </c>
      <c r="F33" s="30">
        <v>46</v>
      </c>
      <c r="G33" s="30">
        <v>46</v>
      </c>
      <c r="H33" s="30">
        <v>46</v>
      </c>
    </row>
    <row r="34" spans="2:8" ht="14" x14ac:dyDescent="0.3">
      <c r="B34" s="4" t="s">
        <v>116</v>
      </c>
      <c r="D34" s="30">
        <v>49</v>
      </c>
      <c r="E34" s="30">
        <v>49</v>
      </c>
      <c r="F34" s="30">
        <v>49</v>
      </c>
      <c r="G34" s="30">
        <v>49</v>
      </c>
      <c r="H34" s="30">
        <v>49</v>
      </c>
    </row>
    <row r="35" spans="2:8" ht="14" x14ac:dyDescent="0.3">
      <c r="B35" s="4" t="s">
        <v>117</v>
      </c>
      <c r="D35" s="30">
        <v>52</v>
      </c>
      <c r="E35" s="30">
        <v>52</v>
      </c>
      <c r="F35" s="30">
        <v>52</v>
      </c>
      <c r="G35" s="30">
        <v>52</v>
      </c>
      <c r="H35" s="30">
        <v>52</v>
      </c>
    </row>
    <row r="36" spans="2:8" ht="14" x14ac:dyDescent="0.3">
      <c r="B36" s="4" t="s">
        <v>118</v>
      </c>
      <c r="D36" s="30">
        <v>55</v>
      </c>
      <c r="E36" s="30">
        <v>55</v>
      </c>
      <c r="F36" s="30">
        <v>55</v>
      </c>
      <c r="G36" s="30">
        <v>55</v>
      </c>
      <c r="H36" s="30">
        <v>55</v>
      </c>
    </row>
    <row r="38" spans="2:8" ht="14" x14ac:dyDescent="0.3">
      <c r="B38" s="3" t="s">
        <v>189</v>
      </c>
    </row>
    <row r="39" spans="2:8" ht="14" x14ac:dyDescent="0.3">
      <c r="B39" s="4" t="s">
        <v>78</v>
      </c>
      <c r="D39" s="30">
        <v>65</v>
      </c>
      <c r="E39" s="30">
        <v>65</v>
      </c>
      <c r="F39" s="30">
        <v>65</v>
      </c>
      <c r="G39" s="30">
        <v>65</v>
      </c>
      <c r="H39" s="30">
        <v>65</v>
      </c>
    </row>
    <row r="40" spans="2:8" ht="14" x14ac:dyDescent="0.3">
      <c r="B40" s="4" t="s">
        <v>115</v>
      </c>
      <c r="D40" s="30">
        <v>67</v>
      </c>
      <c r="E40" s="30">
        <v>67</v>
      </c>
      <c r="F40" s="30">
        <v>67</v>
      </c>
      <c r="G40" s="30">
        <v>67</v>
      </c>
      <c r="H40" s="30">
        <v>67</v>
      </c>
    </row>
    <row r="41" spans="2:8" ht="14" x14ac:dyDescent="0.3">
      <c r="B41" s="4" t="s">
        <v>116</v>
      </c>
      <c r="D41" s="30">
        <v>65</v>
      </c>
      <c r="E41" s="30">
        <v>65</v>
      </c>
      <c r="F41" s="30">
        <v>65</v>
      </c>
      <c r="G41" s="30">
        <v>65</v>
      </c>
      <c r="H41" s="30">
        <v>65</v>
      </c>
    </row>
    <row r="42" spans="2:8" ht="14" x14ac:dyDescent="0.3">
      <c r="B42" s="4" t="s">
        <v>117</v>
      </c>
      <c r="D42" s="30">
        <v>62</v>
      </c>
      <c r="E42" s="30">
        <v>62</v>
      </c>
      <c r="F42" s="30">
        <v>62</v>
      </c>
      <c r="G42" s="30">
        <v>62</v>
      </c>
      <c r="H42" s="30">
        <v>62</v>
      </c>
    </row>
    <row r="43" spans="2:8" ht="14" x14ac:dyDescent="0.3">
      <c r="B43" s="4" t="s">
        <v>118</v>
      </c>
      <c r="D43" s="30">
        <v>59</v>
      </c>
      <c r="E43" s="30">
        <v>59</v>
      </c>
      <c r="F43" s="30">
        <v>59</v>
      </c>
      <c r="G43" s="30">
        <v>59</v>
      </c>
      <c r="H43" s="30">
        <v>59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2368140.3988290001</v>
      </c>
      <c r="E5" s="37">
        <f>D5+C24</f>
        <v>3084852.3988290001</v>
      </c>
      <c r="F5" s="37">
        <v>1359611</v>
      </c>
      <c r="G5" s="37">
        <v>320233</v>
      </c>
      <c r="H5" s="37">
        <v>193329</v>
      </c>
      <c r="I5" s="37">
        <v>123891</v>
      </c>
      <c r="J5" s="38">
        <f t="shared" ref="J5:J10" si="0">IFERROR(E5/G5,"")</f>
        <v>9.633149609281368</v>
      </c>
      <c r="K5" s="38">
        <f t="shared" ref="K5:K10" si="1">IFERROR(E5/F5,"")</f>
        <v>2.2689228013225842</v>
      </c>
      <c r="L5" s="38">
        <f t="shared" ref="L5:L10" si="2">IFERROR(D5/I5,"")</f>
        <v>19.114708887885318</v>
      </c>
      <c r="M5" s="38">
        <f t="shared" ref="M5:M10" si="3">IFERROR(D5/P5,"")</f>
        <v>1.9453130008937396</v>
      </c>
      <c r="N5" s="39">
        <f t="shared" ref="N5:N10" si="4">IFERROR(H5/F5,"")</f>
        <v>0.14219434823637056</v>
      </c>
      <c r="O5" s="39">
        <f t="shared" ref="O5:O10" si="5">IFERROR(I5/P5,"")</f>
        <v>0.10177047488945314</v>
      </c>
      <c r="P5" s="37">
        <v>1217357</v>
      </c>
    </row>
    <row r="6" spans="2:17" ht="14" x14ac:dyDescent="0.3">
      <c r="B6" s="4" t="s">
        <v>208</v>
      </c>
      <c r="C6" t="s">
        <v>209</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x14ac:dyDescent="0.3">
      <c r="B7" s="4" t="s">
        <v>210</v>
      </c>
      <c r="C7" t="s">
        <v>211</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x14ac:dyDescent="0.3">
      <c r="B8" s="4" t="s">
        <v>212</v>
      </c>
      <c r="C8" t="s">
        <v>213</v>
      </c>
      <c r="D8" s="37">
        <v>1681376</v>
      </c>
      <c r="E8" s="37">
        <v>3044793</v>
      </c>
      <c r="F8" s="37">
        <v>3703988</v>
      </c>
      <c r="G8" s="37">
        <v>303490</v>
      </c>
      <c r="H8" s="37">
        <v>32333</v>
      </c>
      <c r="I8" s="37">
        <v>11829</v>
      </c>
      <c r="J8" s="38">
        <f t="shared" si="0"/>
        <v>10.032597449668852</v>
      </c>
      <c r="K8" s="38">
        <f t="shared" si="1"/>
        <v>0.8220310108996034</v>
      </c>
      <c r="L8" s="38">
        <f t="shared" si="2"/>
        <v>142.14016400371966</v>
      </c>
      <c r="M8" s="38">
        <f t="shared" si="3"/>
        <v>0.95441894787631087</v>
      </c>
      <c r="N8" s="39">
        <f t="shared" si="4"/>
        <v>8.7292399435419336E-3</v>
      </c>
      <c r="O8" s="39">
        <f t="shared" si="5"/>
        <v>6.7146323811145643E-3</v>
      </c>
      <c r="P8" s="37">
        <v>1761675</v>
      </c>
    </row>
    <row r="9" spans="2:17" ht="14" x14ac:dyDescent="0.3">
      <c r="B9" s="4" t="s">
        <v>214</v>
      </c>
      <c r="C9" t="s">
        <v>215</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x14ac:dyDescent="0.3">
      <c r="B10" s="4" t="s">
        <v>216</v>
      </c>
      <c r="C10" t="s">
        <v>217</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x14ac:dyDescent="0.3">
      <c r="B14" s="3" t="s">
        <v>218</v>
      </c>
    </row>
    <row r="15" spans="2:17" ht="14" x14ac:dyDescent="0.3">
      <c r="B15" s="4" t="s">
        <v>219</v>
      </c>
      <c r="D15" s="38">
        <f t="shared" ref="D15:I15" si="6">PERCENTILE(J6:J10,0.25)</f>
        <v>6.5355004397208241</v>
      </c>
      <c r="E15" s="38">
        <f t="shared" si="6"/>
        <v>0.8220310108996034</v>
      </c>
      <c r="F15" s="38">
        <f t="shared" si="6"/>
        <v>14.334627281442758</v>
      </c>
      <c r="G15" s="38">
        <f t="shared" si="6"/>
        <v>0.95441894787631087</v>
      </c>
      <c r="H15" s="39">
        <f t="shared" si="6"/>
        <v>3.3918720194828E-2</v>
      </c>
      <c r="I15" s="39">
        <f t="shared" si="6"/>
        <v>3.9755899838908697E-2</v>
      </c>
    </row>
    <row r="16" spans="2:17" ht="14" x14ac:dyDescent="0.3">
      <c r="B16" s="4" t="s">
        <v>220</v>
      </c>
      <c r="D16" s="38">
        <f t="shared" ref="D16:I16" si="7">MEDIAN(J6:J10)</f>
        <v>8.7045916735946793</v>
      </c>
      <c r="E16" s="38">
        <f t="shared" si="7"/>
        <v>0.82680807295636916</v>
      </c>
      <c r="F16" s="38">
        <f t="shared" si="7"/>
        <v>16.11841436001772</v>
      </c>
      <c r="G16" s="38">
        <f t="shared" si="7"/>
        <v>0.9739501746899798</v>
      </c>
      <c r="H16" s="39">
        <f t="shared" si="7"/>
        <v>7.5199097090425937E-2</v>
      </c>
      <c r="I16" s="39">
        <f t="shared" si="7"/>
        <v>6.0424688988384406E-2</v>
      </c>
    </row>
    <row r="17" spans="2:9" ht="14" x14ac:dyDescent="0.3">
      <c r="B17" s="4" t="s">
        <v>221</v>
      </c>
      <c r="D17" s="38">
        <f t="shared" ref="D17:I17" si="8">PERCENTILE(J6:J10,0.75)</f>
        <v>9.2210891708653779</v>
      </c>
      <c r="E17" s="38">
        <f t="shared" si="8"/>
        <v>0.90883377974665835</v>
      </c>
      <c r="F17" s="38">
        <f t="shared" si="8"/>
        <v>23.388766071324685</v>
      </c>
      <c r="G17" s="38">
        <f t="shared" si="8"/>
        <v>1.0319714549882149</v>
      </c>
      <c r="H17" s="39">
        <f t="shared" si="8"/>
        <v>8.3750802550123141E-2</v>
      </c>
      <c r="I17" s="39">
        <f t="shared" si="8"/>
        <v>7.1991509421677022E-2</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324786</v>
      </c>
    </row>
    <row r="22" spans="2:9" ht="14" x14ac:dyDescent="0.3">
      <c r="B22" s="4" t="s">
        <v>225</v>
      </c>
      <c r="C22" s="5">
        <v>123891</v>
      </c>
    </row>
    <row r="23" spans="2:9" ht="14" x14ac:dyDescent="0.3">
      <c r="B23" s="4" t="s">
        <v>226</v>
      </c>
      <c r="C23" s="15">
        <v>432853299</v>
      </c>
    </row>
    <row r="24" spans="2:9" ht="14" x14ac:dyDescent="0.3">
      <c r="B24" s="4" t="s">
        <v>67</v>
      </c>
      <c r="C24" s="5">
        <v>716712</v>
      </c>
    </row>
    <row r="26" spans="2:9" ht="14" x14ac:dyDescent="0.3">
      <c r="B26" s="3" t="s">
        <v>227</v>
      </c>
    </row>
    <row r="27" spans="2:9" ht="14" x14ac:dyDescent="0.3">
      <c r="B27" s="4" t="s">
        <v>228</v>
      </c>
      <c r="C27" s="24">
        <f>ROUND((C21*D16-C24)*1000000/C23,0)</f>
        <v>4876</v>
      </c>
    </row>
    <row r="28" spans="2:9" ht="14" x14ac:dyDescent="0.3">
      <c r="B28" s="4" t="s">
        <v>229</v>
      </c>
      <c r="C28" s="24">
        <f>ROUND(C22*F16*1000000/C23,0)</f>
        <v>4613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7.5530723169046535E-2</v>
      </c>
      <c r="E3" s="4" t="s">
        <v>232</v>
      </c>
      <c r="F3" s="16">
        <f>'DCF Model'!C13</f>
        <v>0.01</v>
      </c>
      <c r="H3" s="4" t="s">
        <v>233</v>
      </c>
      <c r="I3" s="14">
        <f>'DCF Model'!C14</f>
        <v>8.6999999999999993</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6.0530723169046535E-2</v>
      </c>
      <c r="C7" s="37">
        <f>IFERROR(ROUND(('DCF Model'!C45/(1+$B7)^('DCF Model'!C19+0)+'DCF Model'!D45/(1+$B7)^('DCF Model'!C19+1)+'DCF Model'!E45/(1+$B7)^('DCF Model'!C19+2)+'DCF Model'!F45/(1+$B7)^('DCF Model'!C19+3)+'DCF Model'!G45/(1+$B7)^('DCF Model'!C19+4)+'DCF Model'!G45*(1+C$6)/($B7-C$6)/(1+$B7)^('DCF Model'!C19+4)-'DCF Model'!C16)*1000000/'DCF Model'!C15,0),"")</f>
        <v>4234</v>
      </c>
      <c r="D7" s="37">
        <f>IFERROR(ROUND(('DCF Model'!C45/(1+$B7)^('DCF Model'!C19+0)+'DCF Model'!D45/(1+$B7)^('DCF Model'!C19+1)+'DCF Model'!E45/(1+$B7)^('DCF Model'!C19+2)+'DCF Model'!F45/(1+$B7)^('DCF Model'!C19+3)+'DCF Model'!G45/(1+$B7)^('DCF Model'!C19+4)+'DCF Model'!G45*(1+D$6)/($B7-D$6)/(1+$B7)^('DCF Model'!C19+4)-'DCF Model'!C16)*1000000/'DCF Model'!C15,0),"")</f>
        <v>4447</v>
      </c>
      <c r="E7" s="37">
        <f>IFERROR(ROUND(('DCF Model'!C45/(1+$B7)^('DCF Model'!C19+0)+'DCF Model'!D45/(1+$B7)^('DCF Model'!C19+1)+'DCF Model'!E45/(1+$B7)^('DCF Model'!C19+2)+'DCF Model'!F45/(1+$B7)^('DCF Model'!C19+3)+'DCF Model'!G45/(1+$B7)^('DCF Model'!C19+4)+'DCF Model'!G45*(1+E$6)/($B7-E$6)/(1+$B7)^('DCF Model'!C19+4)-'DCF Model'!C16)*1000000/'DCF Model'!C15,0),"")</f>
        <v>4681</v>
      </c>
      <c r="F7" s="37">
        <f>IFERROR(ROUND(('DCF Model'!C45/(1+$B7)^('DCF Model'!C19+0)+'DCF Model'!D45/(1+$B7)^('DCF Model'!C19+1)+'DCF Model'!E45/(1+$B7)^('DCF Model'!C19+2)+'DCF Model'!F45/(1+$B7)^('DCF Model'!C19+3)+'DCF Model'!G45/(1+$B7)^('DCF Model'!C19+4)+'DCF Model'!G45*(1+F$6)/($B7-F$6)/(1+$B7)^('DCF Model'!C19+4)-'DCF Model'!C16)*1000000/'DCF Model'!C15,0),"")</f>
        <v>4938</v>
      </c>
      <c r="G7" s="37">
        <f>IFERROR(ROUND(('DCF Model'!C45/(1+$B7)^('DCF Model'!C19+0)+'DCF Model'!D45/(1+$B7)^('DCF Model'!C19+1)+'DCF Model'!E45/(1+$B7)^('DCF Model'!C19+2)+'DCF Model'!F45/(1+$B7)^('DCF Model'!C19+3)+'DCF Model'!G45/(1+$B7)^('DCF Model'!C19+4)+'DCF Model'!G45*(1+G$6)/($B7-G$6)/(1+$B7)^('DCF Model'!C19+4)-'DCF Model'!C16)*1000000/'DCF Model'!C15,0),"")</f>
        <v>5221</v>
      </c>
      <c r="H7" s="37">
        <f>IFERROR(ROUND(('DCF Model'!C45/(1+$B7)^('DCF Model'!C19+0)+'DCF Model'!D45/(1+$B7)^('DCF Model'!C19+1)+'DCF Model'!E45/(1+$B7)^('DCF Model'!C19+2)+'DCF Model'!F45/(1+$B7)^('DCF Model'!C19+3)+'DCF Model'!G45/(1+$B7)^('DCF Model'!C19+4)+'DCF Model'!G45*(1+H$6)/($B7-H$6)/(1+$B7)^('DCF Model'!C19+4)-'DCF Model'!C16)*1000000/'DCF Model'!C15,0),"")</f>
        <v>5536</v>
      </c>
      <c r="I7" s="37">
        <f>IFERROR(ROUND(('DCF Model'!C45/(1+$B7)^('DCF Model'!C19+0)+'DCF Model'!D45/(1+$B7)^('DCF Model'!C19+1)+'DCF Model'!E45/(1+$B7)^('DCF Model'!C19+2)+'DCF Model'!F45/(1+$B7)^('DCF Model'!C19+3)+'DCF Model'!G45/(1+$B7)^('DCF Model'!C19+4)+'DCF Model'!G45*(1+I$6)/($B7-I$6)/(1+$B7)^('DCF Model'!C19+4)-'DCF Model'!C16)*1000000/'DCF Model'!C15,0),"")</f>
        <v>5887</v>
      </c>
    </row>
    <row r="8" spans="2:9" ht="13.5" x14ac:dyDescent="0.25">
      <c r="B8" s="39">
        <f>$C$3-0.01</f>
        <v>6.553072316904654E-2</v>
      </c>
      <c r="C8" s="37">
        <f>IFERROR(ROUND(('DCF Model'!C45/(1+$B8)^('DCF Model'!C19+0)+'DCF Model'!D45/(1+$B8)^('DCF Model'!C19+1)+'DCF Model'!E45/(1+$B8)^('DCF Model'!C19+2)+'DCF Model'!F45/(1+$B8)^('DCF Model'!C19+3)+'DCF Model'!G45/(1+$B8)^('DCF Model'!C19+4)+'DCF Model'!G45*(1+C$6)/($B8-C$6)/(1+$B8)^('DCF Model'!C19+4)-'DCF Model'!C16)*1000000/'DCF Model'!C15,0),"")</f>
        <v>3764</v>
      </c>
      <c r="D8" s="37">
        <f>IFERROR(ROUND(('DCF Model'!C45/(1+$B8)^('DCF Model'!C19+0)+'DCF Model'!D45/(1+$B8)^('DCF Model'!C19+1)+'DCF Model'!E45/(1+$B8)^('DCF Model'!C19+2)+'DCF Model'!F45/(1+$B8)^('DCF Model'!C19+3)+'DCF Model'!G45/(1+$B8)^('DCF Model'!C19+4)+'DCF Model'!G45*(1+D$6)/($B8-D$6)/(1+$B8)^('DCF Model'!C19+4)-'DCF Model'!C16)*1000000/'DCF Model'!C15,0),"")</f>
        <v>3940</v>
      </c>
      <c r="E8" s="37">
        <f>IFERROR(ROUND(('DCF Model'!C45/(1+$B8)^('DCF Model'!C19+0)+'DCF Model'!D45/(1+$B8)^('DCF Model'!C19+1)+'DCF Model'!E45/(1+$B8)^('DCF Model'!C19+2)+'DCF Model'!F45/(1+$B8)^('DCF Model'!C19+3)+'DCF Model'!G45/(1+$B8)^('DCF Model'!C19+4)+'DCF Model'!G45*(1+E$6)/($B8-E$6)/(1+$B8)^('DCF Model'!C19+4)-'DCF Model'!C16)*1000000/'DCF Model'!C15,0),"")</f>
        <v>4133</v>
      </c>
      <c r="F8" s="37">
        <f>IFERROR(ROUND(('DCF Model'!C45/(1+$B8)^('DCF Model'!C19+0)+'DCF Model'!D45/(1+$B8)^('DCF Model'!C19+1)+'DCF Model'!E45/(1+$B8)^('DCF Model'!C19+2)+'DCF Model'!F45/(1+$B8)^('DCF Model'!C19+3)+'DCF Model'!G45/(1+$B8)^('DCF Model'!C19+4)+'DCF Model'!G45*(1+F$6)/($B8-F$6)/(1+$B8)^('DCF Model'!C19+4)-'DCF Model'!C16)*1000000/'DCF Model'!C15,0),"")</f>
        <v>4342</v>
      </c>
      <c r="G8" s="37">
        <f>IFERROR(ROUND(('DCF Model'!C45/(1+$B8)^('DCF Model'!C19+0)+'DCF Model'!D45/(1+$B8)^('DCF Model'!C19+1)+'DCF Model'!E45/(1+$B8)^('DCF Model'!C19+2)+'DCF Model'!F45/(1+$B8)^('DCF Model'!C19+3)+'DCF Model'!G45/(1+$B8)^('DCF Model'!C19+4)+'DCF Model'!G45*(1+G$6)/($B8-G$6)/(1+$B8)^('DCF Model'!C19+4)-'DCF Model'!C16)*1000000/'DCF Model'!C15,0),"")</f>
        <v>4571</v>
      </c>
      <c r="H8" s="37">
        <f>IFERROR(ROUND(('DCF Model'!C45/(1+$B8)^('DCF Model'!C19+0)+'DCF Model'!D45/(1+$B8)^('DCF Model'!C19+1)+'DCF Model'!E45/(1+$B8)^('DCF Model'!C19+2)+'DCF Model'!F45/(1+$B8)^('DCF Model'!C19+3)+'DCF Model'!G45/(1+$B8)^('DCF Model'!C19+4)+'DCF Model'!G45*(1+H$6)/($B8-H$6)/(1+$B8)^('DCF Model'!C19+4)-'DCF Model'!C16)*1000000/'DCF Model'!C15,0),"")</f>
        <v>4823</v>
      </c>
      <c r="I8" s="37">
        <f>IFERROR(ROUND(('DCF Model'!C45/(1+$B8)^('DCF Model'!C19+0)+'DCF Model'!D45/(1+$B8)^('DCF Model'!C19+1)+'DCF Model'!E45/(1+$B8)^('DCF Model'!C19+2)+'DCF Model'!F45/(1+$B8)^('DCF Model'!C19+3)+'DCF Model'!G45/(1+$B8)^('DCF Model'!C19+4)+'DCF Model'!G45*(1+I$6)/($B8-I$6)/(1+$B8)^('DCF Model'!C19+4)-'DCF Model'!C16)*1000000/'DCF Model'!C15,0),"")</f>
        <v>5101</v>
      </c>
    </row>
    <row r="9" spans="2:9" ht="13.5" x14ac:dyDescent="0.25">
      <c r="B9" s="39">
        <f>$C$3-0.005</f>
        <v>7.053072316904653E-2</v>
      </c>
      <c r="C9" s="37">
        <f>IFERROR(ROUND(('DCF Model'!C45/(1+$B9)^('DCF Model'!C19+0)+'DCF Model'!D45/(1+$B9)^('DCF Model'!C19+1)+'DCF Model'!E45/(1+$B9)^('DCF Model'!C19+2)+'DCF Model'!F45/(1+$B9)^('DCF Model'!C19+3)+'DCF Model'!G45/(1+$B9)^('DCF Model'!C19+4)+'DCF Model'!G45*(1+C$6)/($B9-C$6)/(1+$B9)^('DCF Model'!C19+4)-'DCF Model'!C16)*1000000/'DCF Model'!C15,0),"")</f>
        <v>3362</v>
      </c>
      <c r="D9" s="37">
        <f>IFERROR(ROUND(('DCF Model'!C45/(1+$B9)^('DCF Model'!C19+0)+'DCF Model'!D45/(1+$B9)^('DCF Model'!C19+1)+'DCF Model'!E45/(1+$B9)^('DCF Model'!C19+2)+'DCF Model'!F45/(1+$B9)^('DCF Model'!C19+3)+'DCF Model'!G45/(1+$B9)^('DCF Model'!C19+4)+'DCF Model'!G45*(1+D$6)/($B9-D$6)/(1+$B9)^('DCF Model'!C19+4)-'DCF Model'!C16)*1000000/'DCF Model'!C15,0),"")</f>
        <v>3511</v>
      </c>
      <c r="E9" s="37">
        <f>IFERROR(ROUND(('DCF Model'!C45/(1+$B9)^('DCF Model'!C19+0)+'DCF Model'!D45/(1+$B9)^('DCF Model'!C19+1)+'DCF Model'!E45/(1+$B9)^('DCF Model'!C19+2)+'DCF Model'!F45/(1+$B9)^('DCF Model'!C19+3)+'DCF Model'!G45/(1+$B9)^('DCF Model'!C19+4)+'DCF Model'!G45*(1+E$6)/($B9-E$6)/(1+$B9)^('DCF Model'!C19+4)-'DCF Model'!C16)*1000000/'DCF Model'!C15,0),"")</f>
        <v>3671</v>
      </c>
      <c r="F9" s="37">
        <f>IFERROR(ROUND(('DCF Model'!C45/(1+$B9)^('DCF Model'!C19+0)+'DCF Model'!D45/(1+$B9)^('DCF Model'!C19+1)+'DCF Model'!E45/(1+$B9)^('DCF Model'!C19+2)+'DCF Model'!F45/(1+$B9)^('DCF Model'!C19+3)+'DCF Model'!G45/(1+$B9)^('DCF Model'!C19+4)+'DCF Model'!G45*(1+F$6)/($B9-F$6)/(1+$B9)^('DCF Model'!C19+4)-'DCF Model'!C16)*1000000/'DCF Model'!C15,0),"")</f>
        <v>3845</v>
      </c>
      <c r="G9" s="37">
        <f>IFERROR(ROUND(('DCF Model'!C45/(1+$B9)^('DCF Model'!C19+0)+'DCF Model'!D45/(1+$B9)^('DCF Model'!C19+1)+'DCF Model'!E45/(1+$B9)^('DCF Model'!C19+2)+'DCF Model'!F45/(1+$B9)^('DCF Model'!C19+3)+'DCF Model'!G45/(1+$B9)^('DCF Model'!C19+4)+'DCF Model'!G45*(1+G$6)/($B9-G$6)/(1+$B9)^('DCF Model'!C19+4)-'DCF Model'!C16)*1000000/'DCF Model'!C15,0),"")</f>
        <v>4034</v>
      </c>
      <c r="H9" s="37">
        <f>IFERROR(ROUND(('DCF Model'!C45/(1+$B9)^('DCF Model'!C19+0)+'DCF Model'!D45/(1+$B9)^('DCF Model'!C19+1)+'DCF Model'!E45/(1+$B9)^('DCF Model'!C19+2)+'DCF Model'!F45/(1+$B9)^('DCF Model'!C19+3)+'DCF Model'!G45/(1+$B9)^('DCF Model'!C19+4)+'DCF Model'!G45*(1+H$6)/($B9-H$6)/(1+$B9)^('DCF Model'!C19+4)-'DCF Model'!C16)*1000000/'DCF Model'!C15,0),"")</f>
        <v>4239</v>
      </c>
      <c r="I9" s="37">
        <f>IFERROR(ROUND(('DCF Model'!C45/(1+$B9)^('DCF Model'!C19+0)+'DCF Model'!D45/(1+$B9)^('DCF Model'!C19+1)+'DCF Model'!E45/(1+$B9)^('DCF Model'!C19+2)+'DCF Model'!F45/(1+$B9)^('DCF Model'!C19+3)+'DCF Model'!G45/(1+$B9)^('DCF Model'!C19+4)+'DCF Model'!G45*(1+I$6)/($B9-I$6)/(1+$B9)^('DCF Model'!C19+4)-'DCF Model'!C16)*1000000/'DCF Model'!C15,0),"")</f>
        <v>4464</v>
      </c>
    </row>
    <row r="10" spans="2:9" ht="13.5" x14ac:dyDescent="0.25">
      <c r="B10" s="39">
        <f>$C$3</f>
        <v>7.5530723169046535E-2</v>
      </c>
      <c r="C10" s="37">
        <f>IFERROR(ROUND(('DCF Model'!C45/(1+$B10)^('DCF Model'!C19+0)+'DCF Model'!D45/(1+$B10)^('DCF Model'!C19+1)+'DCF Model'!E45/(1+$B10)^('DCF Model'!C19+2)+'DCF Model'!F45/(1+$B10)^('DCF Model'!C19+3)+'DCF Model'!G45/(1+$B10)^('DCF Model'!C19+4)+'DCF Model'!G45*(1+C$6)/($B10-C$6)/(1+$B10)^('DCF Model'!C19+4)-'DCF Model'!C16)*1000000/'DCF Model'!C15,0),"")</f>
        <v>3016</v>
      </c>
      <c r="D10" s="37">
        <f>IFERROR(ROUND(('DCF Model'!C45/(1+$B10)^('DCF Model'!C19+0)+'DCF Model'!D45/(1+$B10)^('DCF Model'!C19+1)+'DCF Model'!E45/(1+$B10)^('DCF Model'!C19+2)+'DCF Model'!F45/(1+$B10)^('DCF Model'!C19+3)+'DCF Model'!G45/(1+$B10)^('DCF Model'!C19+4)+'DCF Model'!G45*(1+D$6)/($B10-D$6)/(1+$B10)^('DCF Model'!C19+4)-'DCF Model'!C16)*1000000/'DCF Model'!C15,0),"")</f>
        <v>3142</v>
      </c>
      <c r="E10" s="37">
        <f>IFERROR(ROUND(('DCF Model'!C45/(1+$B10)^('DCF Model'!C19+0)+'DCF Model'!D45/(1+$B10)^('DCF Model'!C19+1)+'DCF Model'!E45/(1+$B10)^('DCF Model'!C19+2)+'DCF Model'!F45/(1+$B10)^('DCF Model'!C19+3)+'DCF Model'!G45/(1+$B10)^('DCF Model'!C19+4)+'DCF Model'!G45*(1+E$6)/($B10-E$6)/(1+$B10)^('DCF Model'!C19+4)-'DCF Model'!C16)*1000000/'DCF Model'!C15,0),"")</f>
        <v>3278</v>
      </c>
      <c r="F10" s="37">
        <f>IFERROR(ROUND(('DCF Model'!C45/(1+$B10)^('DCF Model'!C19+0)+'DCF Model'!D45/(1+$B10)^('DCF Model'!C19+1)+'DCF Model'!E45/(1+$B10)^('DCF Model'!C19+2)+'DCF Model'!F45/(1+$B10)^('DCF Model'!C19+3)+'DCF Model'!G45/(1+$B10)^('DCF Model'!C19+4)+'DCF Model'!G45*(1+F$6)/($B10-F$6)/(1+$B10)^('DCF Model'!C19+4)-'DCF Model'!C16)*1000000/'DCF Model'!C15,0),"")</f>
        <v>3424</v>
      </c>
      <c r="G10" s="37">
        <f>IFERROR(ROUND(('DCF Model'!C45/(1+$B10)^('DCF Model'!C19+0)+'DCF Model'!D45/(1+$B10)^('DCF Model'!C19+1)+'DCF Model'!E45/(1+$B10)^('DCF Model'!C19+2)+'DCF Model'!F45/(1+$B10)^('DCF Model'!C19+3)+'DCF Model'!G45/(1+$B10)^('DCF Model'!C19+4)+'DCF Model'!G45*(1+G$6)/($B10-G$6)/(1+$B10)^('DCF Model'!C19+4)-'DCF Model'!C16)*1000000/'DCF Model'!C15,0),"")</f>
        <v>3581</v>
      </c>
      <c r="H10" s="37">
        <f>IFERROR(ROUND(('DCF Model'!C45/(1+$B10)^('DCF Model'!C19+0)+'DCF Model'!D45/(1+$B10)^('DCF Model'!C19+1)+'DCF Model'!E45/(1+$B10)^('DCF Model'!C19+2)+'DCF Model'!F45/(1+$B10)^('DCF Model'!C19+3)+'DCF Model'!G45/(1+$B10)^('DCF Model'!C19+4)+'DCF Model'!G45*(1+H$6)/($B10-H$6)/(1+$B10)^('DCF Model'!C19+4)-'DCF Model'!C16)*1000000/'DCF Model'!C15,0),"")</f>
        <v>3752</v>
      </c>
      <c r="I10" s="37">
        <f>IFERROR(ROUND(('DCF Model'!C45/(1+$B10)^('DCF Model'!C19+0)+'DCF Model'!D45/(1+$B10)^('DCF Model'!C19+1)+'DCF Model'!E45/(1+$B10)^('DCF Model'!C19+2)+'DCF Model'!F45/(1+$B10)^('DCF Model'!C19+3)+'DCF Model'!G45/(1+$B10)^('DCF Model'!C19+4)+'DCF Model'!G45*(1+I$6)/($B10-I$6)/(1+$B10)^('DCF Model'!C19+4)-'DCF Model'!C16)*1000000/'DCF Model'!C15,0),"")</f>
        <v>3937</v>
      </c>
    </row>
    <row r="11" spans="2:9" ht="13.5" x14ac:dyDescent="0.25">
      <c r="B11" s="39">
        <f>$C$3+0.005</f>
        <v>8.0530723169046539E-2</v>
      </c>
      <c r="C11" s="37">
        <f>IFERROR(ROUND(('DCF Model'!C45/(1+$B11)^('DCF Model'!C19+0)+'DCF Model'!D45/(1+$B11)^('DCF Model'!C19+1)+'DCF Model'!E45/(1+$B11)^('DCF Model'!C19+2)+'DCF Model'!F45/(1+$B11)^('DCF Model'!C19+3)+'DCF Model'!G45/(1+$B11)^('DCF Model'!C19+4)+'DCF Model'!G45*(1+C$6)/($B11-C$6)/(1+$B11)^('DCF Model'!C19+4)-'DCF Model'!C16)*1000000/'DCF Model'!C15,0),"")</f>
        <v>2714</v>
      </c>
      <c r="D11" s="37">
        <f>IFERROR(ROUND(('DCF Model'!C45/(1+$B11)^('DCF Model'!C19+0)+'DCF Model'!D45/(1+$B11)^('DCF Model'!C19+1)+'DCF Model'!E45/(1+$B11)^('DCF Model'!C19+2)+'DCF Model'!F45/(1+$B11)^('DCF Model'!C19+3)+'DCF Model'!G45/(1+$B11)^('DCF Model'!C19+4)+'DCF Model'!G45*(1+D$6)/($B11-D$6)/(1+$B11)^('DCF Model'!C19+4)-'DCF Model'!C16)*1000000/'DCF Model'!C15,0),"")</f>
        <v>2823</v>
      </c>
      <c r="E11" s="37">
        <f>IFERROR(ROUND(('DCF Model'!C45/(1+$B11)^('DCF Model'!C19+0)+'DCF Model'!D45/(1+$B11)^('DCF Model'!C19+1)+'DCF Model'!E45/(1+$B11)^('DCF Model'!C19+2)+'DCF Model'!F45/(1+$B11)^('DCF Model'!C19+3)+'DCF Model'!G45/(1+$B11)^('DCF Model'!C19+4)+'DCF Model'!G45*(1+E$6)/($B11-E$6)/(1+$B11)^('DCF Model'!C19+4)-'DCF Model'!C16)*1000000/'DCF Model'!C15,0),"")</f>
        <v>2938</v>
      </c>
      <c r="F11" s="37">
        <f>IFERROR(ROUND(('DCF Model'!C45/(1+$B11)^('DCF Model'!C19+0)+'DCF Model'!D45/(1+$B11)^('DCF Model'!C19+1)+'DCF Model'!E45/(1+$B11)^('DCF Model'!C19+2)+'DCF Model'!F45/(1+$B11)^('DCF Model'!C19+3)+'DCF Model'!G45/(1+$B11)^('DCF Model'!C19+4)+'DCF Model'!G45*(1+F$6)/($B11-F$6)/(1+$B11)^('DCF Model'!C19+4)-'DCF Model'!C16)*1000000/'DCF Model'!C15,0),"")</f>
        <v>3062</v>
      </c>
      <c r="G11" s="37">
        <f>IFERROR(ROUND(('DCF Model'!C45/(1+$B11)^('DCF Model'!C19+0)+'DCF Model'!D45/(1+$B11)^('DCF Model'!C19+1)+'DCF Model'!E45/(1+$B11)^('DCF Model'!C19+2)+'DCF Model'!F45/(1+$B11)^('DCF Model'!C19+3)+'DCF Model'!G45/(1+$B11)^('DCF Model'!C19+4)+'DCF Model'!G45*(1+G$6)/($B11-G$6)/(1+$B11)^('DCF Model'!C19+4)-'DCF Model'!C16)*1000000/'DCF Model'!C15,0),"")</f>
        <v>3195</v>
      </c>
      <c r="H11" s="37">
        <f>IFERROR(ROUND(('DCF Model'!C45/(1+$B11)^('DCF Model'!C19+0)+'DCF Model'!D45/(1+$B11)^('DCF Model'!C19+1)+'DCF Model'!E45/(1+$B11)^('DCF Model'!C19+2)+'DCF Model'!F45/(1+$B11)^('DCF Model'!C19+3)+'DCF Model'!G45/(1+$B11)^('DCF Model'!C19+4)+'DCF Model'!G45*(1+H$6)/($B11-H$6)/(1+$B11)^('DCF Model'!C19+4)-'DCF Model'!C16)*1000000/'DCF Model'!C15,0),"")</f>
        <v>3338</v>
      </c>
      <c r="I11" s="37">
        <f>IFERROR(ROUND(('DCF Model'!C45/(1+$B11)^('DCF Model'!C19+0)+'DCF Model'!D45/(1+$B11)^('DCF Model'!C19+1)+'DCF Model'!E45/(1+$B11)^('DCF Model'!C19+2)+'DCF Model'!F45/(1+$B11)^('DCF Model'!C19+3)+'DCF Model'!G45/(1+$B11)^('DCF Model'!C19+4)+'DCF Model'!G45*(1+I$6)/($B11-I$6)/(1+$B11)^('DCF Model'!C19+4)-'DCF Model'!C16)*1000000/'DCF Model'!C15,0),"")</f>
        <v>3493</v>
      </c>
    </row>
    <row r="12" spans="2:9" ht="13.5" x14ac:dyDescent="0.25">
      <c r="B12" s="39">
        <f>$C$3+0.01</f>
        <v>8.553072316904653E-2</v>
      </c>
      <c r="C12" s="37">
        <f>IFERROR(ROUND(('DCF Model'!C45/(1+$B12)^('DCF Model'!C19+0)+'DCF Model'!D45/(1+$B12)^('DCF Model'!C19+1)+'DCF Model'!E45/(1+$B12)^('DCF Model'!C19+2)+'DCF Model'!F45/(1+$B12)^('DCF Model'!C19+3)+'DCF Model'!G45/(1+$B12)^('DCF Model'!C19+4)+'DCF Model'!G45*(1+C$6)/($B12-C$6)/(1+$B12)^('DCF Model'!C19+4)-'DCF Model'!C16)*1000000/'DCF Model'!C15,0),"")</f>
        <v>2449</v>
      </c>
      <c r="D12" s="37">
        <f>IFERROR(ROUND(('DCF Model'!C45/(1+$B12)^('DCF Model'!C19+0)+'DCF Model'!D45/(1+$B12)^('DCF Model'!C19+1)+'DCF Model'!E45/(1+$B12)^('DCF Model'!C19+2)+'DCF Model'!F45/(1+$B12)^('DCF Model'!C19+3)+'DCF Model'!G45/(1+$B12)^('DCF Model'!C19+4)+'DCF Model'!G45*(1+D$6)/($B12-D$6)/(1+$B12)^('DCF Model'!C19+4)-'DCF Model'!C16)*1000000/'DCF Model'!C15,0),"")</f>
        <v>2543</v>
      </c>
      <c r="E12" s="37">
        <f>IFERROR(ROUND(('DCF Model'!C45/(1+$B12)^('DCF Model'!C19+0)+'DCF Model'!D45/(1+$B12)^('DCF Model'!C19+1)+'DCF Model'!E45/(1+$B12)^('DCF Model'!C19+2)+'DCF Model'!F45/(1+$B12)^('DCF Model'!C19+3)+'DCF Model'!G45/(1+$B12)^('DCF Model'!C19+4)+'DCF Model'!G45*(1+E$6)/($B12-E$6)/(1+$B12)^('DCF Model'!C19+4)-'DCF Model'!C16)*1000000/'DCF Model'!C15,0),"")</f>
        <v>2642</v>
      </c>
      <c r="F12" s="37">
        <f>IFERROR(ROUND(('DCF Model'!C45/(1+$B12)^('DCF Model'!C19+0)+'DCF Model'!D45/(1+$B12)^('DCF Model'!C19+1)+'DCF Model'!E45/(1+$B12)^('DCF Model'!C19+2)+'DCF Model'!F45/(1+$B12)^('DCF Model'!C19+3)+'DCF Model'!G45/(1+$B12)^('DCF Model'!C19+4)+'DCF Model'!G45*(1+F$6)/($B12-F$6)/(1+$B12)^('DCF Model'!C19+4)-'DCF Model'!C16)*1000000/'DCF Model'!C15,0),"")</f>
        <v>2749</v>
      </c>
      <c r="G12" s="37">
        <f>IFERROR(ROUND(('DCF Model'!C45/(1+$B12)^('DCF Model'!C19+0)+'DCF Model'!D45/(1+$B12)^('DCF Model'!C19+1)+'DCF Model'!E45/(1+$B12)^('DCF Model'!C19+2)+'DCF Model'!F45/(1+$B12)^('DCF Model'!C19+3)+'DCF Model'!G45/(1+$B12)^('DCF Model'!C19+4)+'DCF Model'!G45*(1+G$6)/($B12-G$6)/(1+$B12)^('DCF Model'!C19+4)-'DCF Model'!C16)*1000000/'DCF Model'!C15,0),"")</f>
        <v>2862</v>
      </c>
      <c r="H12" s="37">
        <f>IFERROR(ROUND(('DCF Model'!C45/(1+$B12)^('DCF Model'!C19+0)+'DCF Model'!D45/(1+$B12)^('DCF Model'!C19+1)+'DCF Model'!E45/(1+$B12)^('DCF Model'!C19+2)+'DCF Model'!F45/(1+$B12)^('DCF Model'!C19+3)+'DCF Model'!G45/(1+$B12)^('DCF Model'!C19+4)+'DCF Model'!G45*(1+H$6)/($B12-H$6)/(1+$B12)^('DCF Model'!C19+4)-'DCF Model'!C16)*1000000/'DCF Model'!C15,0),"")</f>
        <v>2984</v>
      </c>
      <c r="I12" s="37">
        <f>IFERROR(ROUND(('DCF Model'!C45/(1+$B12)^('DCF Model'!C19+0)+'DCF Model'!D45/(1+$B12)^('DCF Model'!C19+1)+'DCF Model'!E45/(1+$B12)^('DCF Model'!C19+2)+'DCF Model'!F45/(1+$B12)^('DCF Model'!C19+3)+'DCF Model'!G45/(1+$B12)^('DCF Model'!C19+4)+'DCF Model'!G45*(1+I$6)/($B12-I$6)/(1+$B12)^('DCF Model'!C19+4)-'DCF Model'!C16)*1000000/'DCF Model'!C15,0),"")</f>
        <v>3114</v>
      </c>
    </row>
    <row r="13" spans="2:9" ht="13.5" x14ac:dyDescent="0.25">
      <c r="B13" s="39">
        <f>$C$3+0.015</f>
        <v>9.0530723169046534E-2</v>
      </c>
      <c r="C13" s="37">
        <f>IFERROR(ROUND(('DCF Model'!C45/(1+$B13)^('DCF Model'!C19+0)+'DCF Model'!D45/(1+$B13)^('DCF Model'!C19+1)+'DCF Model'!E45/(1+$B13)^('DCF Model'!C19+2)+'DCF Model'!F45/(1+$B13)^('DCF Model'!C19+3)+'DCF Model'!G45/(1+$B13)^('DCF Model'!C19+4)+'DCF Model'!G45*(1+C$6)/($B13-C$6)/(1+$B13)^('DCF Model'!C19+4)-'DCF Model'!C16)*1000000/'DCF Model'!C15,0),"")</f>
        <v>2214</v>
      </c>
      <c r="D13" s="37">
        <f>IFERROR(ROUND(('DCF Model'!C45/(1+$B13)^('DCF Model'!C19+0)+'DCF Model'!D45/(1+$B13)^('DCF Model'!C19+1)+'DCF Model'!E45/(1+$B13)^('DCF Model'!C19+2)+'DCF Model'!F45/(1+$B13)^('DCF Model'!C19+3)+'DCF Model'!G45/(1+$B13)^('DCF Model'!C19+4)+'DCF Model'!G45*(1+D$6)/($B13-D$6)/(1+$B13)^('DCF Model'!C19+4)-'DCF Model'!C16)*1000000/'DCF Model'!C15,0),"")</f>
        <v>2295</v>
      </c>
      <c r="E13" s="37">
        <f>IFERROR(ROUND(('DCF Model'!C45/(1+$B13)^('DCF Model'!C19+0)+'DCF Model'!D45/(1+$B13)^('DCF Model'!C19+1)+'DCF Model'!E45/(1+$B13)^('DCF Model'!C19+2)+'DCF Model'!F45/(1+$B13)^('DCF Model'!C19+3)+'DCF Model'!G45/(1+$B13)^('DCF Model'!C19+4)+'DCF Model'!G45*(1+E$6)/($B13-E$6)/(1+$B13)^('DCF Model'!C19+4)-'DCF Model'!C16)*1000000/'DCF Model'!C15,0),"")</f>
        <v>2382</v>
      </c>
      <c r="F13" s="37">
        <f>IFERROR(ROUND(('DCF Model'!C45/(1+$B13)^('DCF Model'!C19+0)+'DCF Model'!D45/(1+$B13)^('DCF Model'!C19+1)+'DCF Model'!E45/(1+$B13)^('DCF Model'!C19+2)+'DCF Model'!F45/(1+$B13)^('DCF Model'!C19+3)+'DCF Model'!G45/(1+$B13)^('DCF Model'!C19+4)+'DCF Model'!G45*(1+F$6)/($B13-F$6)/(1+$B13)^('DCF Model'!C19+4)-'DCF Model'!C16)*1000000/'DCF Model'!C15,0),"")</f>
        <v>2474</v>
      </c>
      <c r="G13" s="37">
        <f>IFERROR(ROUND(('DCF Model'!C45/(1+$B13)^('DCF Model'!C19+0)+'DCF Model'!D45/(1+$B13)^('DCF Model'!C19+1)+'DCF Model'!E45/(1+$B13)^('DCF Model'!C19+2)+'DCF Model'!F45/(1+$B13)^('DCF Model'!C19+3)+'DCF Model'!G45/(1+$B13)^('DCF Model'!C19+4)+'DCF Model'!G45*(1+G$6)/($B13-G$6)/(1+$B13)^('DCF Model'!C19+4)-'DCF Model'!C16)*1000000/'DCF Model'!C15,0),"")</f>
        <v>2572</v>
      </c>
      <c r="H13" s="37">
        <f>IFERROR(ROUND(('DCF Model'!C45/(1+$B13)^('DCF Model'!C19+0)+'DCF Model'!D45/(1+$B13)^('DCF Model'!C19+1)+'DCF Model'!E45/(1+$B13)^('DCF Model'!C19+2)+'DCF Model'!F45/(1+$B13)^('DCF Model'!C19+3)+'DCF Model'!G45/(1+$B13)^('DCF Model'!C19+4)+'DCF Model'!G45*(1+H$6)/($B13-H$6)/(1+$B13)^('DCF Model'!C19+4)-'DCF Model'!C16)*1000000/'DCF Model'!C15,0),"")</f>
        <v>2676</v>
      </c>
      <c r="I13" s="37">
        <f>IFERROR(ROUND(('DCF Model'!C45/(1+$B13)^('DCF Model'!C19+0)+'DCF Model'!D45/(1+$B13)^('DCF Model'!C19+1)+'DCF Model'!E45/(1+$B13)^('DCF Model'!C19+2)+'DCF Model'!F45/(1+$B13)^('DCF Model'!C19+3)+'DCF Model'!G45/(1+$B13)^('DCF Model'!C19+4)+'DCF Model'!G45*(1+I$6)/($B13-I$6)/(1+$B13)^('DCF Model'!C19+4)-'DCF Model'!C16)*1000000/'DCF Model'!C15,0),"")</f>
        <v>2788</v>
      </c>
    </row>
    <row r="16" spans="2:9" ht="14" x14ac:dyDescent="0.3">
      <c r="B16" s="3" t="s">
        <v>236</v>
      </c>
    </row>
    <row r="17" spans="2:9" ht="14" x14ac:dyDescent="0.3">
      <c r="B17" s="40" t="s">
        <v>237</v>
      </c>
      <c r="C17" s="42">
        <f>$I$3-3</f>
        <v>5.6999999999999993</v>
      </c>
      <c r="D17" s="42">
        <f>$I$3-2</f>
        <v>6.6999999999999993</v>
      </c>
      <c r="E17" s="42">
        <f>$I$3-1</f>
        <v>7.6999999999999993</v>
      </c>
      <c r="F17" s="42">
        <f>$I$3</f>
        <v>8.6999999999999993</v>
      </c>
      <c r="G17" s="42">
        <f>$I$3+1</f>
        <v>9.6999999999999993</v>
      </c>
      <c r="H17" s="42">
        <f>$I$3+2</f>
        <v>10.7</v>
      </c>
      <c r="I17" s="42">
        <f>$I$3+3</f>
        <v>11.7</v>
      </c>
    </row>
    <row r="18" spans="2:9" ht="13.5" x14ac:dyDescent="0.25">
      <c r="B18" s="39">
        <f>$C$3-0.015</f>
        <v>6.0530723169046535E-2</v>
      </c>
      <c r="C18" s="37">
        <f>IFERROR(ROUND(('DCF Model'!C45/(1+$B18)^('DCF Model'!C19+0)+'DCF Model'!D45/(1+$B18)^('DCF Model'!C19+1)+'DCF Model'!E45/(1+$B18)^('DCF Model'!C19+2)+'DCF Model'!F45/(1+$B18)^('DCF Model'!C19+3)+'DCF Model'!G45/(1+$B18)^('DCF Model'!C19+4)+('DCF Model'!G39+'DCF Model'!G42)*C$17/(1+$B18)^('DCF Model'!C19+4)-'DCF Model'!C16)*1000000/'DCF Model'!C15,0),"")</f>
        <v>3378</v>
      </c>
      <c r="D18" s="37">
        <f>IFERROR(ROUND(('DCF Model'!C45/(1+$B18)^('DCF Model'!C19+0)+'DCF Model'!D45/(1+$B18)^('DCF Model'!C19+1)+'DCF Model'!E45/(1+$B18)^('DCF Model'!C19+2)+'DCF Model'!F45/(1+$B18)^('DCF Model'!C19+3)+'DCF Model'!G45/(1+$B18)^('DCF Model'!C19+4)+('DCF Model'!G39+'DCF Model'!G42)*D$17/(1+$B18)^('DCF Model'!C19+4)-'DCF Model'!C16)*1000000/'DCF Model'!C15,0),"")</f>
        <v>4014</v>
      </c>
      <c r="E18" s="37">
        <f>IFERROR(ROUND(('DCF Model'!C45/(1+$B18)^('DCF Model'!C19+0)+'DCF Model'!D45/(1+$B18)^('DCF Model'!C19+1)+'DCF Model'!E45/(1+$B18)^('DCF Model'!C19+2)+'DCF Model'!F45/(1+$B18)^('DCF Model'!C19+3)+'DCF Model'!G45/(1+$B18)^('DCF Model'!C19+4)+('DCF Model'!G39+'DCF Model'!G42)*E$17/(1+$B18)^('DCF Model'!C19+4)-'DCF Model'!C16)*1000000/'DCF Model'!C15,0),"")</f>
        <v>4650</v>
      </c>
      <c r="F18" s="37">
        <f>IFERROR(ROUND(('DCF Model'!C45/(1+$B18)^('DCF Model'!C19+0)+'DCF Model'!D45/(1+$B18)^('DCF Model'!C19+1)+'DCF Model'!E45/(1+$B18)^('DCF Model'!C19+2)+'DCF Model'!F45/(1+$B18)^('DCF Model'!C19+3)+'DCF Model'!G45/(1+$B18)^('DCF Model'!C19+4)+('DCF Model'!G39+'DCF Model'!G42)*F$17/(1+$B18)^('DCF Model'!C19+4)-'DCF Model'!C16)*1000000/'DCF Model'!C15,0),"")</f>
        <v>5286</v>
      </c>
      <c r="G18" s="37">
        <f>IFERROR(ROUND(('DCF Model'!C45/(1+$B18)^('DCF Model'!C19+0)+'DCF Model'!D45/(1+$B18)^('DCF Model'!C19+1)+'DCF Model'!E45/(1+$B18)^('DCF Model'!C19+2)+'DCF Model'!F45/(1+$B18)^('DCF Model'!C19+3)+'DCF Model'!G45/(1+$B18)^('DCF Model'!C19+4)+('DCF Model'!G39+'DCF Model'!G42)*G$17/(1+$B18)^('DCF Model'!C19+4)-'DCF Model'!C16)*1000000/'DCF Model'!C15,0),"")</f>
        <v>5922</v>
      </c>
      <c r="H18" s="37">
        <f>IFERROR(ROUND(('DCF Model'!C45/(1+$B18)^('DCF Model'!C19+0)+'DCF Model'!D45/(1+$B18)^('DCF Model'!C19+1)+'DCF Model'!E45/(1+$B18)^('DCF Model'!C19+2)+'DCF Model'!F45/(1+$B18)^('DCF Model'!C19+3)+'DCF Model'!G45/(1+$B18)^('DCF Model'!C19+4)+('DCF Model'!G39+'DCF Model'!G42)*H$17/(1+$B18)^('DCF Model'!C19+4)-'DCF Model'!C16)*1000000/'DCF Model'!C15,0),"")</f>
        <v>6558</v>
      </c>
      <c r="I18" s="37">
        <f>IFERROR(ROUND(('DCF Model'!C45/(1+$B18)^('DCF Model'!C19+0)+'DCF Model'!D45/(1+$B18)^('DCF Model'!C19+1)+'DCF Model'!E45/(1+$B18)^('DCF Model'!C19+2)+'DCF Model'!F45/(1+$B18)^('DCF Model'!C19+3)+'DCF Model'!G45/(1+$B18)^('DCF Model'!C19+4)+('DCF Model'!G39+'DCF Model'!G42)*I$17/(1+$B18)^('DCF Model'!C19+4)-'DCF Model'!C16)*1000000/'DCF Model'!C15,0),"")</f>
        <v>7194</v>
      </c>
    </row>
    <row r="19" spans="2:9" ht="13.5" x14ac:dyDescent="0.25">
      <c r="B19" s="39">
        <f>$C$3-0.01</f>
        <v>6.553072316904654E-2</v>
      </c>
      <c r="C19" s="37">
        <f>IFERROR(ROUND(('DCF Model'!C45/(1+$B19)^('DCF Model'!C19+0)+'DCF Model'!D45/(1+$B19)^('DCF Model'!C19+1)+'DCF Model'!E45/(1+$B19)^('DCF Model'!C19+2)+'DCF Model'!F45/(1+$B19)^('DCF Model'!C19+3)+'DCF Model'!G45/(1+$B19)^('DCF Model'!C19+4)+('DCF Model'!G39+'DCF Model'!G42)*C$17/(1+$B19)^('DCF Model'!C19+4)-'DCF Model'!C16)*1000000/'DCF Model'!C15,0),"")</f>
        <v>3275</v>
      </c>
      <c r="D19" s="37">
        <f>IFERROR(ROUND(('DCF Model'!C45/(1+$B19)^('DCF Model'!C19+0)+'DCF Model'!D45/(1+$B19)^('DCF Model'!C19+1)+'DCF Model'!E45/(1+$B19)^('DCF Model'!C19+2)+'DCF Model'!F45/(1+$B19)^('DCF Model'!C19+3)+'DCF Model'!G45/(1+$B19)^('DCF Model'!C19+4)+('DCF Model'!G39+'DCF Model'!G42)*D$17/(1+$B19)^('DCF Model'!C19+4)-'DCF Model'!C16)*1000000/'DCF Model'!C15,0),"")</f>
        <v>3896</v>
      </c>
      <c r="E19" s="37">
        <f>IFERROR(ROUND(('DCF Model'!C45/(1+$B19)^('DCF Model'!C19+0)+'DCF Model'!D45/(1+$B19)^('DCF Model'!C19+1)+'DCF Model'!E45/(1+$B19)^('DCF Model'!C19+2)+'DCF Model'!F45/(1+$B19)^('DCF Model'!C19+3)+'DCF Model'!G45/(1+$B19)^('DCF Model'!C19+4)+('DCF Model'!G39+'DCF Model'!G42)*E$17/(1+$B19)^('DCF Model'!C19+4)-'DCF Model'!C16)*1000000/'DCF Model'!C15,0),"")</f>
        <v>4517</v>
      </c>
      <c r="F19" s="37">
        <f>IFERROR(ROUND(('DCF Model'!C45/(1+$B19)^('DCF Model'!C19+0)+'DCF Model'!D45/(1+$B19)^('DCF Model'!C19+1)+'DCF Model'!E45/(1+$B19)^('DCF Model'!C19+2)+'DCF Model'!F45/(1+$B19)^('DCF Model'!C19+3)+'DCF Model'!G45/(1+$B19)^('DCF Model'!C19+4)+('DCF Model'!G39+'DCF Model'!G42)*F$17/(1+$B19)^('DCF Model'!C19+4)-'DCF Model'!C16)*1000000/'DCF Model'!C15,0),"")</f>
        <v>5138</v>
      </c>
      <c r="G19" s="37">
        <f>IFERROR(ROUND(('DCF Model'!C45/(1+$B19)^('DCF Model'!C19+0)+'DCF Model'!D45/(1+$B19)^('DCF Model'!C19+1)+'DCF Model'!E45/(1+$B19)^('DCF Model'!C19+2)+'DCF Model'!F45/(1+$B19)^('DCF Model'!C19+3)+'DCF Model'!G45/(1+$B19)^('DCF Model'!C19+4)+('DCF Model'!G39+'DCF Model'!G42)*G$17/(1+$B19)^('DCF Model'!C19+4)-'DCF Model'!C16)*1000000/'DCF Model'!C15,0),"")</f>
        <v>5760</v>
      </c>
      <c r="H19" s="37">
        <f>IFERROR(ROUND(('DCF Model'!C45/(1+$B19)^('DCF Model'!C19+0)+'DCF Model'!D45/(1+$B19)^('DCF Model'!C19+1)+'DCF Model'!E45/(1+$B19)^('DCF Model'!C19+2)+'DCF Model'!F45/(1+$B19)^('DCF Model'!C19+3)+'DCF Model'!G45/(1+$B19)^('DCF Model'!C19+4)+('DCF Model'!G39+'DCF Model'!G42)*H$17/(1+$B19)^('DCF Model'!C19+4)-'DCF Model'!C16)*1000000/'DCF Model'!C15,0),"")</f>
        <v>6381</v>
      </c>
      <c r="I19" s="37">
        <f>IFERROR(ROUND(('DCF Model'!C45/(1+$B19)^('DCF Model'!C19+0)+'DCF Model'!D45/(1+$B19)^('DCF Model'!C19+1)+'DCF Model'!E45/(1+$B19)^('DCF Model'!C19+2)+'DCF Model'!F45/(1+$B19)^('DCF Model'!C19+3)+'DCF Model'!G45/(1+$B19)^('DCF Model'!C19+4)+('DCF Model'!G39+'DCF Model'!G42)*I$17/(1+$B19)^('DCF Model'!C19+4)-'DCF Model'!C16)*1000000/'DCF Model'!C15,0),"")</f>
        <v>7002</v>
      </c>
    </row>
    <row r="20" spans="2:9" ht="13.5" x14ac:dyDescent="0.25">
      <c r="B20" s="39">
        <f>$C$3-0.005</f>
        <v>7.053072316904653E-2</v>
      </c>
      <c r="C20" s="37">
        <f>IFERROR(ROUND(('DCF Model'!C45/(1+$B20)^('DCF Model'!C19+0)+'DCF Model'!D45/(1+$B20)^('DCF Model'!C19+1)+'DCF Model'!E45/(1+$B20)^('DCF Model'!C19+2)+'DCF Model'!F45/(1+$B20)^('DCF Model'!C19+3)+'DCF Model'!G45/(1+$B20)^('DCF Model'!C19+4)+('DCF Model'!G39+'DCF Model'!G42)*C$17/(1+$B20)^('DCF Model'!C19+4)-'DCF Model'!C16)*1000000/'DCF Model'!C15,0),"")</f>
        <v>3174</v>
      </c>
      <c r="D20" s="37">
        <f>IFERROR(ROUND(('DCF Model'!C45/(1+$B20)^('DCF Model'!C19+0)+'DCF Model'!D45/(1+$B20)^('DCF Model'!C19+1)+'DCF Model'!E45/(1+$B20)^('DCF Model'!C19+2)+'DCF Model'!F45/(1+$B20)^('DCF Model'!C19+3)+'DCF Model'!G45/(1+$B20)^('DCF Model'!C19+4)+('DCF Model'!G39+'DCF Model'!G42)*D$17/(1+$B20)^('DCF Model'!C19+4)-'DCF Model'!C16)*1000000/'DCF Model'!C15,0),"")</f>
        <v>3781</v>
      </c>
      <c r="E20" s="37">
        <f>IFERROR(ROUND(('DCF Model'!C45/(1+$B20)^('DCF Model'!C19+0)+'DCF Model'!D45/(1+$B20)^('DCF Model'!C19+1)+'DCF Model'!E45/(1+$B20)^('DCF Model'!C19+2)+'DCF Model'!F45/(1+$B20)^('DCF Model'!C19+3)+'DCF Model'!G45/(1+$B20)^('DCF Model'!C19+4)+('DCF Model'!G39+'DCF Model'!G42)*E$17/(1+$B20)^('DCF Model'!C19+4)-'DCF Model'!C16)*1000000/'DCF Model'!C15,0),"")</f>
        <v>4388</v>
      </c>
      <c r="F20" s="37">
        <f>IFERROR(ROUND(('DCF Model'!C45/(1+$B20)^('DCF Model'!C19+0)+'DCF Model'!D45/(1+$B20)^('DCF Model'!C19+1)+'DCF Model'!E45/(1+$B20)^('DCF Model'!C19+2)+'DCF Model'!F45/(1+$B20)^('DCF Model'!C19+3)+'DCF Model'!G45/(1+$B20)^('DCF Model'!C19+4)+('DCF Model'!G39+'DCF Model'!G42)*F$17/(1+$B20)^('DCF Model'!C19+4)-'DCF Model'!C16)*1000000/'DCF Model'!C15,0),"")</f>
        <v>4995</v>
      </c>
      <c r="G20" s="37">
        <f>IFERROR(ROUND(('DCF Model'!C45/(1+$B20)^('DCF Model'!C19+0)+'DCF Model'!D45/(1+$B20)^('DCF Model'!C19+1)+'DCF Model'!E45/(1+$B20)^('DCF Model'!C19+2)+'DCF Model'!F45/(1+$B20)^('DCF Model'!C19+3)+'DCF Model'!G45/(1+$B20)^('DCF Model'!C19+4)+('DCF Model'!G39+'DCF Model'!G42)*G$17/(1+$B20)^('DCF Model'!C19+4)-'DCF Model'!C16)*1000000/'DCF Model'!C15,0),"")</f>
        <v>5602</v>
      </c>
      <c r="H20" s="37">
        <f>IFERROR(ROUND(('DCF Model'!C45/(1+$B20)^('DCF Model'!C19+0)+'DCF Model'!D45/(1+$B20)^('DCF Model'!C19+1)+'DCF Model'!E45/(1+$B20)^('DCF Model'!C19+2)+'DCF Model'!F45/(1+$B20)^('DCF Model'!C19+3)+'DCF Model'!G45/(1+$B20)^('DCF Model'!C19+4)+('DCF Model'!G39+'DCF Model'!G42)*H$17/(1+$B20)^('DCF Model'!C19+4)-'DCF Model'!C16)*1000000/'DCF Model'!C15,0),"")</f>
        <v>6209</v>
      </c>
      <c r="I20" s="37">
        <f>IFERROR(ROUND(('DCF Model'!C45/(1+$B20)^('DCF Model'!C19+0)+'DCF Model'!D45/(1+$B20)^('DCF Model'!C19+1)+'DCF Model'!E45/(1+$B20)^('DCF Model'!C19+2)+'DCF Model'!F45/(1+$B20)^('DCF Model'!C19+3)+'DCF Model'!G45/(1+$B20)^('DCF Model'!C19+4)+('DCF Model'!G39+'DCF Model'!G42)*I$17/(1+$B20)^('DCF Model'!C19+4)-'DCF Model'!C16)*1000000/'DCF Model'!C15,0),"")</f>
        <v>6816</v>
      </c>
    </row>
    <row r="21" spans="2:9" ht="13.5" x14ac:dyDescent="0.25">
      <c r="B21" s="39">
        <f>$C$3</f>
        <v>7.5530723169046535E-2</v>
      </c>
      <c r="C21" s="37">
        <f>IFERROR(ROUND(('DCF Model'!C45/(1+$B21)^('DCF Model'!C19+0)+'DCF Model'!D45/(1+$B21)^('DCF Model'!C19+1)+'DCF Model'!E45/(1+$B21)^('DCF Model'!C19+2)+'DCF Model'!F45/(1+$B21)^('DCF Model'!C19+3)+'DCF Model'!G45/(1+$B21)^('DCF Model'!C19+4)+('DCF Model'!G39+'DCF Model'!G42)*C$17/(1+$B21)^('DCF Model'!C19+4)-'DCF Model'!C16)*1000000/'DCF Model'!C15,0),"")</f>
        <v>3076</v>
      </c>
      <c r="D21" s="37">
        <f>IFERROR(ROUND(('DCF Model'!C45/(1+$B21)^('DCF Model'!C19+0)+'DCF Model'!D45/(1+$B21)^('DCF Model'!C19+1)+'DCF Model'!E45/(1+$B21)^('DCF Model'!C19+2)+'DCF Model'!F45/(1+$B21)^('DCF Model'!C19+3)+'DCF Model'!G45/(1+$B21)^('DCF Model'!C19+4)+('DCF Model'!G39+'DCF Model'!G42)*D$17/(1+$B21)^('DCF Model'!C19+4)-'DCF Model'!C16)*1000000/'DCF Model'!C15,0),"")</f>
        <v>3669</v>
      </c>
      <c r="E21" s="37">
        <f>IFERROR(ROUND(('DCF Model'!C45/(1+$B21)^('DCF Model'!C19+0)+'DCF Model'!D45/(1+$B21)^('DCF Model'!C19+1)+'DCF Model'!E45/(1+$B21)^('DCF Model'!C19+2)+'DCF Model'!F45/(1+$B21)^('DCF Model'!C19+3)+'DCF Model'!G45/(1+$B21)^('DCF Model'!C19+4)+('DCF Model'!G39+'DCF Model'!G42)*E$17/(1+$B21)^('DCF Model'!C19+4)-'DCF Model'!C16)*1000000/'DCF Model'!C15,0),"")</f>
        <v>4262</v>
      </c>
      <c r="F21" s="37">
        <f>IFERROR(ROUND(('DCF Model'!C45/(1+$B21)^('DCF Model'!C19+0)+'DCF Model'!D45/(1+$B21)^('DCF Model'!C19+1)+'DCF Model'!E45/(1+$B21)^('DCF Model'!C19+2)+'DCF Model'!F45/(1+$B21)^('DCF Model'!C19+3)+'DCF Model'!G45/(1+$B21)^('DCF Model'!C19+4)+('DCF Model'!G39+'DCF Model'!G42)*F$17/(1+$B21)^('DCF Model'!C19+4)-'DCF Model'!C16)*1000000/'DCF Model'!C15,0),"")</f>
        <v>4855</v>
      </c>
      <c r="G21" s="37">
        <f>IFERROR(ROUND(('DCF Model'!C45/(1+$B21)^('DCF Model'!C19+0)+'DCF Model'!D45/(1+$B21)^('DCF Model'!C19+1)+'DCF Model'!E45/(1+$B21)^('DCF Model'!C19+2)+'DCF Model'!F45/(1+$B21)^('DCF Model'!C19+3)+'DCF Model'!G45/(1+$B21)^('DCF Model'!C19+4)+('DCF Model'!G39+'DCF Model'!G42)*G$17/(1+$B21)^('DCF Model'!C19+4)-'DCF Model'!C16)*1000000/'DCF Model'!C15,0),"")</f>
        <v>5448</v>
      </c>
      <c r="H21" s="37">
        <f>IFERROR(ROUND(('DCF Model'!C45/(1+$B21)^('DCF Model'!C19+0)+'DCF Model'!D45/(1+$B21)^('DCF Model'!C19+1)+'DCF Model'!E45/(1+$B21)^('DCF Model'!C19+2)+'DCF Model'!F45/(1+$B21)^('DCF Model'!C19+3)+'DCF Model'!G45/(1+$B21)^('DCF Model'!C19+4)+('DCF Model'!G39+'DCF Model'!G42)*H$17/(1+$B21)^('DCF Model'!C19+4)-'DCF Model'!C16)*1000000/'DCF Model'!C15,0),"")</f>
        <v>6041</v>
      </c>
      <c r="I21" s="37">
        <f>IFERROR(ROUND(('DCF Model'!C45/(1+$B21)^('DCF Model'!C19+0)+'DCF Model'!D45/(1+$B21)^('DCF Model'!C19+1)+'DCF Model'!E45/(1+$B21)^('DCF Model'!C19+2)+'DCF Model'!F45/(1+$B21)^('DCF Model'!C19+3)+'DCF Model'!G45/(1+$B21)^('DCF Model'!C19+4)+('DCF Model'!G39+'DCF Model'!G42)*I$17/(1+$B21)^('DCF Model'!C19+4)-'DCF Model'!C16)*1000000/'DCF Model'!C15,0),"")</f>
        <v>6634</v>
      </c>
    </row>
    <row r="22" spans="2:9" ht="13.5" x14ac:dyDescent="0.25">
      <c r="B22" s="39">
        <f>$C$3+0.005</f>
        <v>8.0530723169046539E-2</v>
      </c>
      <c r="C22" s="37">
        <f>IFERROR(ROUND(('DCF Model'!C45/(1+$B22)^('DCF Model'!C19+0)+'DCF Model'!D45/(1+$B22)^('DCF Model'!C19+1)+'DCF Model'!E45/(1+$B22)^('DCF Model'!C19+2)+'DCF Model'!F45/(1+$B22)^('DCF Model'!C19+3)+'DCF Model'!G45/(1+$B22)^('DCF Model'!C19+4)+('DCF Model'!G39+'DCF Model'!G42)*C$17/(1+$B22)^('DCF Model'!C19+4)-'DCF Model'!C16)*1000000/'DCF Model'!C15,0),"")</f>
        <v>2981</v>
      </c>
      <c r="D22" s="37">
        <f>IFERROR(ROUND(('DCF Model'!C45/(1+$B22)^('DCF Model'!C19+0)+'DCF Model'!D45/(1+$B22)^('DCF Model'!C19+1)+'DCF Model'!E45/(1+$B22)^('DCF Model'!C19+2)+'DCF Model'!F45/(1+$B22)^('DCF Model'!C19+3)+'DCF Model'!G45/(1+$B22)^('DCF Model'!C19+4)+('DCF Model'!G39+'DCF Model'!G42)*D$17/(1+$B22)^('DCF Model'!C19+4)-'DCF Model'!C16)*1000000/'DCF Model'!C15,0),"")</f>
        <v>3560</v>
      </c>
      <c r="E22" s="37">
        <f>IFERROR(ROUND(('DCF Model'!C45/(1+$B22)^('DCF Model'!C19+0)+'DCF Model'!D45/(1+$B22)^('DCF Model'!C19+1)+'DCF Model'!E45/(1+$B22)^('DCF Model'!C19+2)+'DCF Model'!F45/(1+$B22)^('DCF Model'!C19+3)+'DCF Model'!G45/(1+$B22)^('DCF Model'!C19+4)+('DCF Model'!G39+'DCF Model'!G42)*E$17/(1+$B22)^('DCF Model'!C19+4)-'DCF Model'!C16)*1000000/'DCF Model'!C15,0),"")</f>
        <v>4139</v>
      </c>
      <c r="F22" s="37">
        <f>IFERROR(ROUND(('DCF Model'!C45/(1+$B22)^('DCF Model'!C19+0)+'DCF Model'!D45/(1+$B22)^('DCF Model'!C19+1)+'DCF Model'!E45/(1+$B22)^('DCF Model'!C19+2)+'DCF Model'!F45/(1+$B22)^('DCF Model'!C19+3)+'DCF Model'!G45/(1+$B22)^('DCF Model'!C19+4)+('DCF Model'!G39+'DCF Model'!G42)*F$17/(1+$B22)^('DCF Model'!C19+4)-'DCF Model'!C16)*1000000/'DCF Model'!C15,0),"")</f>
        <v>4719</v>
      </c>
      <c r="G22" s="37">
        <f>IFERROR(ROUND(('DCF Model'!C45/(1+$B22)^('DCF Model'!C19+0)+'DCF Model'!D45/(1+$B22)^('DCF Model'!C19+1)+'DCF Model'!E45/(1+$B22)^('DCF Model'!C19+2)+'DCF Model'!F45/(1+$B22)^('DCF Model'!C19+3)+'DCF Model'!G45/(1+$B22)^('DCF Model'!C19+4)+('DCF Model'!G39+'DCF Model'!G42)*G$17/(1+$B22)^('DCF Model'!C19+4)-'DCF Model'!C16)*1000000/'DCF Model'!C15,0),"")</f>
        <v>5298</v>
      </c>
      <c r="H22" s="37">
        <f>IFERROR(ROUND(('DCF Model'!C45/(1+$B22)^('DCF Model'!C19+0)+'DCF Model'!D45/(1+$B22)^('DCF Model'!C19+1)+'DCF Model'!E45/(1+$B22)^('DCF Model'!C19+2)+'DCF Model'!F45/(1+$B22)^('DCF Model'!C19+3)+'DCF Model'!G45/(1+$B22)^('DCF Model'!C19+4)+('DCF Model'!G39+'DCF Model'!G42)*H$17/(1+$B22)^('DCF Model'!C19+4)-'DCF Model'!C16)*1000000/'DCF Model'!C15,0),"")</f>
        <v>5878</v>
      </c>
      <c r="I22" s="37">
        <f>IFERROR(ROUND(('DCF Model'!C45/(1+$B22)^('DCF Model'!C19+0)+'DCF Model'!D45/(1+$B22)^('DCF Model'!C19+1)+'DCF Model'!E45/(1+$B22)^('DCF Model'!C19+2)+'DCF Model'!F45/(1+$B22)^('DCF Model'!C19+3)+'DCF Model'!G45/(1+$B22)^('DCF Model'!C19+4)+('DCF Model'!G39+'DCF Model'!G42)*I$17/(1+$B22)^('DCF Model'!C19+4)-'DCF Model'!C16)*1000000/'DCF Model'!C15,0),"")</f>
        <v>6457</v>
      </c>
    </row>
    <row r="23" spans="2:9" ht="13.5" x14ac:dyDescent="0.25">
      <c r="B23" s="39">
        <f>$C$3+0.01</f>
        <v>8.553072316904653E-2</v>
      </c>
      <c r="C23" s="37">
        <f>IFERROR(ROUND(('DCF Model'!C45/(1+$B23)^('DCF Model'!C19+0)+'DCF Model'!D45/(1+$B23)^('DCF Model'!C19+1)+'DCF Model'!E45/(1+$B23)^('DCF Model'!C19+2)+'DCF Model'!F45/(1+$B23)^('DCF Model'!C19+3)+'DCF Model'!G45/(1+$B23)^('DCF Model'!C19+4)+('DCF Model'!G39+'DCF Model'!G42)*C$17/(1+$B23)^('DCF Model'!C19+4)-'DCF Model'!C16)*1000000/'DCF Model'!C15,0),"")</f>
        <v>2888</v>
      </c>
      <c r="D23" s="37">
        <f>IFERROR(ROUND(('DCF Model'!C45/(1+$B23)^('DCF Model'!C19+0)+'DCF Model'!D45/(1+$B23)^('DCF Model'!C19+1)+'DCF Model'!E45/(1+$B23)^('DCF Model'!C19+2)+'DCF Model'!F45/(1+$B23)^('DCF Model'!C19+3)+'DCF Model'!G45/(1+$B23)^('DCF Model'!C19+4)+('DCF Model'!G39+'DCF Model'!G42)*D$17/(1+$B23)^('DCF Model'!C19+4)-'DCF Model'!C16)*1000000/'DCF Model'!C15,0),"")</f>
        <v>3454</v>
      </c>
      <c r="E23" s="37">
        <f>IFERROR(ROUND(('DCF Model'!C45/(1+$B23)^('DCF Model'!C19+0)+'DCF Model'!D45/(1+$B23)^('DCF Model'!C19+1)+'DCF Model'!E45/(1+$B23)^('DCF Model'!C19+2)+'DCF Model'!F45/(1+$B23)^('DCF Model'!C19+3)+'DCF Model'!G45/(1+$B23)^('DCF Model'!C19+4)+('DCF Model'!G39+'DCF Model'!G42)*E$17/(1+$B23)^('DCF Model'!C19+4)-'DCF Model'!C16)*1000000/'DCF Model'!C15,0),"")</f>
        <v>4020</v>
      </c>
      <c r="F23" s="37">
        <f>IFERROR(ROUND(('DCF Model'!C45/(1+$B23)^('DCF Model'!C19+0)+'DCF Model'!D45/(1+$B23)^('DCF Model'!C19+1)+'DCF Model'!E45/(1+$B23)^('DCF Model'!C19+2)+'DCF Model'!F45/(1+$B23)^('DCF Model'!C19+3)+'DCF Model'!G45/(1+$B23)^('DCF Model'!C19+4)+('DCF Model'!G39+'DCF Model'!G42)*F$17/(1+$B23)^('DCF Model'!C19+4)-'DCF Model'!C16)*1000000/'DCF Model'!C15,0),"")</f>
        <v>4586</v>
      </c>
      <c r="G23" s="37">
        <f>IFERROR(ROUND(('DCF Model'!C45/(1+$B23)^('DCF Model'!C19+0)+'DCF Model'!D45/(1+$B23)^('DCF Model'!C19+1)+'DCF Model'!E45/(1+$B23)^('DCF Model'!C19+2)+'DCF Model'!F45/(1+$B23)^('DCF Model'!C19+3)+'DCF Model'!G45/(1+$B23)^('DCF Model'!C19+4)+('DCF Model'!G39+'DCF Model'!G42)*G$17/(1+$B23)^('DCF Model'!C19+4)-'DCF Model'!C16)*1000000/'DCF Model'!C15,0),"")</f>
        <v>5152</v>
      </c>
      <c r="H23" s="37">
        <f>IFERROR(ROUND(('DCF Model'!C45/(1+$B23)^('DCF Model'!C19+0)+'DCF Model'!D45/(1+$B23)^('DCF Model'!C19+1)+'DCF Model'!E45/(1+$B23)^('DCF Model'!C19+2)+'DCF Model'!F45/(1+$B23)^('DCF Model'!C19+3)+'DCF Model'!G45/(1+$B23)^('DCF Model'!C19+4)+('DCF Model'!G39+'DCF Model'!G42)*H$17/(1+$B23)^('DCF Model'!C19+4)-'DCF Model'!C16)*1000000/'DCF Model'!C15,0),"")</f>
        <v>5719</v>
      </c>
      <c r="I23" s="37">
        <f>IFERROR(ROUND(('DCF Model'!C45/(1+$B23)^('DCF Model'!C19+0)+'DCF Model'!D45/(1+$B23)^('DCF Model'!C19+1)+'DCF Model'!E45/(1+$B23)^('DCF Model'!C19+2)+'DCF Model'!F45/(1+$B23)^('DCF Model'!C19+3)+'DCF Model'!G45/(1+$B23)^('DCF Model'!C19+4)+('DCF Model'!G39+'DCF Model'!G42)*I$17/(1+$B23)^('DCF Model'!C19+4)-'DCF Model'!C16)*1000000/'DCF Model'!C15,0),"")</f>
        <v>6285</v>
      </c>
    </row>
    <row r="24" spans="2:9" ht="13.5" x14ac:dyDescent="0.25">
      <c r="B24" s="39">
        <f>$C$3+0.015</f>
        <v>9.0530723169046534E-2</v>
      </c>
      <c r="C24" s="37">
        <f>IFERROR(ROUND(('DCF Model'!C45/(1+$B24)^('DCF Model'!C19+0)+'DCF Model'!D45/(1+$B24)^('DCF Model'!C19+1)+'DCF Model'!E45/(1+$B24)^('DCF Model'!C19+2)+'DCF Model'!F45/(1+$B24)^('DCF Model'!C19+3)+'DCF Model'!G45/(1+$B24)^('DCF Model'!C19+4)+('DCF Model'!G39+'DCF Model'!G42)*C$17/(1+$B24)^('DCF Model'!C19+4)-'DCF Model'!C16)*1000000/'DCF Model'!C15,0),"")</f>
        <v>2798</v>
      </c>
      <c r="D24" s="37">
        <f>IFERROR(ROUND(('DCF Model'!C45/(1+$B24)^('DCF Model'!C19+0)+'DCF Model'!D45/(1+$B24)^('DCF Model'!C19+1)+'DCF Model'!E45/(1+$B24)^('DCF Model'!C19+2)+'DCF Model'!F45/(1+$B24)^('DCF Model'!C19+3)+'DCF Model'!G45/(1+$B24)^('DCF Model'!C19+4)+('DCF Model'!G39+'DCF Model'!G42)*D$17/(1+$B24)^('DCF Model'!C19+4)-'DCF Model'!C16)*1000000/'DCF Model'!C15,0),"")</f>
        <v>3351</v>
      </c>
      <c r="E24" s="37">
        <f>IFERROR(ROUND(('DCF Model'!C45/(1+$B24)^('DCF Model'!C19+0)+'DCF Model'!D45/(1+$B24)^('DCF Model'!C19+1)+'DCF Model'!E45/(1+$B24)^('DCF Model'!C19+2)+'DCF Model'!F45/(1+$B24)^('DCF Model'!C19+3)+'DCF Model'!G45/(1+$B24)^('DCF Model'!C19+4)+('DCF Model'!G39+'DCF Model'!G42)*E$17/(1+$B24)^('DCF Model'!C19+4)-'DCF Model'!C16)*1000000/'DCF Model'!C15,0),"")</f>
        <v>3904</v>
      </c>
      <c r="F24" s="37">
        <f>IFERROR(ROUND(('DCF Model'!C45/(1+$B24)^('DCF Model'!C19+0)+'DCF Model'!D45/(1+$B24)^('DCF Model'!C19+1)+'DCF Model'!E45/(1+$B24)^('DCF Model'!C19+2)+'DCF Model'!F45/(1+$B24)^('DCF Model'!C19+3)+'DCF Model'!G45/(1+$B24)^('DCF Model'!C19+4)+('DCF Model'!G39+'DCF Model'!G42)*F$17/(1+$B24)^('DCF Model'!C19+4)-'DCF Model'!C16)*1000000/'DCF Model'!C15,0),"")</f>
        <v>4457</v>
      </c>
      <c r="G24" s="37">
        <f>IFERROR(ROUND(('DCF Model'!C45/(1+$B24)^('DCF Model'!C19+0)+'DCF Model'!D45/(1+$B24)^('DCF Model'!C19+1)+'DCF Model'!E45/(1+$B24)^('DCF Model'!C19+2)+'DCF Model'!F45/(1+$B24)^('DCF Model'!C19+3)+'DCF Model'!G45/(1+$B24)^('DCF Model'!C19+4)+('DCF Model'!G39+'DCF Model'!G42)*G$17/(1+$B24)^('DCF Model'!C19+4)-'DCF Model'!C16)*1000000/'DCF Model'!C15,0),"")</f>
        <v>5011</v>
      </c>
      <c r="H24" s="37">
        <f>IFERROR(ROUND(('DCF Model'!C45/(1+$B24)^('DCF Model'!C19+0)+'DCF Model'!D45/(1+$B24)^('DCF Model'!C19+1)+'DCF Model'!E45/(1+$B24)^('DCF Model'!C19+2)+'DCF Model'!F45/(1+$B24)^('DCF Model'!C19+3)+'DCF Model'!G45/(1+$B24)^('DCF Model'!C19+4)+('DCF Model'!G39+'DCF Model'!G42)*H$17/(1+$B24)^('DCF Model'!C19+4)-'DCF Model'!C16)*1000000/'DCF Model'!C15,0),"")</f>
        <v>5564</v>
      </c>
      <c r="I24" s="37">
        <f>IFERROR(ROUND(('DCF Model'!C45/(1+$B24)^('DCF Model'!C19+0)+'DCF Model'!D45/(1+$B24)^('DCF Model'!C19+1)+'DCF Model'!E45/(1+$B24)^('DCF Model'!C19+2)+'DCF Model'!F45/(1+$B24)^('DCF Model'!C19+3)+'DCF Model'!G45/(1+$B24)^('DCF Model'!C19+4)+('DCF Model'!G39+'DCF Model'!G42)*I$17/(1+$B24)^('DCF Model'!C19+4)-'DCF Model'!C16)*1000000/'DCF Model'!C15,0),"")</f>
        <v>6117</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7" spans="2:7" ht="30" customHeight="1" x14ac:dyDescent="0.3">
      <c r="B7" t="s">
        <v>246</v>
      </c>
      <c r="C7" s="4" t="s">
        <v>256</v>
      </c>
      <c r="D7" t="s">
        <v>257</v>
      </c>
      <c r="E7" t="s">
        <v>258</v>
      </c>
      <c r="F7" t="s">
        <v>259</v>
      </c>
      <c r="G7" t="s">
        <v>260</v>
      </c>
    </row>
    <row r="12" spans="2:7" ht="14" x14ac:dyDescent="0.3">
      <c r="B12" s="8" t="s">
        <v>261</v>
      </c>
    </row>
    <row r="13" spans="2:7" ht="14" x14ac:dyDescent="0.3">
      <c r="B13" s="10" t="s">
        <v>262</v>
      </c>
      <c r="C13" s="10" t="s">
        <v>263</v>
      </c>
    </row>
    <row r="14" spans="2:7" ht="14" x14ac:dyDescent="0.3">
      <c r="B14" s="4" t="s">
        <v>264</v>
      </c>
      <c r="C14" t="s">
        <v>265</v>
      </c>
    </row>
    <row r="15" spans="2:7" ht="14" x14ac:dyDescent="0.3">
      <c r="B15" s="4" t="s">
        <v>266</v>
      </c>
      <c r="C15" t="s">
        <v>267</v>
      </c>
    </row>
    <row r="16" spans="2:7" ht="14" x14ac:dyDescent="0.3">
      <c r="B16" s="4" t="s">
        <v>268</v>
      </c>
      <c r="C16" t="s">
        <v>269</v>
      </c>
    </row>
    <row r="17" spans="2:3" ht="14" x14ac:dyDescent="0.3">
      <c r="B17" s="4" t="s">
        <v>270</v>
      </c>
      <c r="C17" t="s">
        <v>267</v>
      </c>
    </row>
    <row r="18" spans="2:3" ht="14" x14ac:dyDescent="0.3">
      <c r="B18" s="4" t="s">
        <v>271</v>
      </c>
      <c r="C18" t="s">
        <v>272</v>
      </c>
    </row>
    <row r="19" spans="2:3" ht="14" x14ac:dyDescent="0.3">
      <c r="B19" s="4" t="s">
        <v>273</v>
      </c>
      <c r="C19" t="s">
        <v>274</v>
      </c>
    </row>
    <row r="20" spans="2:3" ht="14" x14ac:dyDescent="0.3">
      <c r="B20" s="4" t="s">
        <v>275</v>
      </c>
      <c r="C20" t="s">
        <v>276</v>
      </c>
    </row>
    <row r="21" spans="2:3" ht="14" x14ac:dyDescent="0.3">
      <c r="B21" s="4" t="s">
        <v>277</v>
      </c>
      <c r="C21" t="s">
        <v>278</v>
      </c>
    </row>
    <row r="22" spans="2:3" ht="14" x14ac:dyDescent="0.3">
      <c r="B22" s="4" t="s">
        <v>279</v>
      </c>
      <c r="C22" t="s">
        <v>41</v>
      </c>
    </row>
    <row r="23" spans="2:3" ht="14" x14ac:dyDescent="0.3">
      <c r="B23" s="4" t="s">
        <v>280</v>
      </c>
      <c r="C23" t="s">
        <v>4</v>
      </c>
    </row>
    <row r="24" spans="2:3" ht="14" x14ac:dyDescent="0.3">
      <c r="B24" s="4" t="s">
        <v>281</v>
      </c>
      <c r="C24" t="s">
        <v>246</v>
      </c>
    </row>
    <row r="25" spans="2:3" ht="14" x14ac:dyDescent="0.3">
      <c r="B25" s="4" t="s">
        <v>282</v>
      </c>
      <c r="C25" t="s">
        <v>283</v>
      </c>
    </row>
    <row r="26" spans="2:3" ht="14" x14ac:dyDescent="0.3">
      <c r="B26" s="4" t="s">
        <v>284</v>
      </c>
      <c r="C26" t="s">
        <v>272</v>
      </c>
    </row>
    <row r="27" spans="2:3" ht="14" x14ac:dyDescent="0.3">
      <c r="B27" s="4" t="s">
        <v>285</v>
      </c>
      <c r="C27" t="s">
        <v>272</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272</v>
      </c>
    </row>
    <row r="33" spans="2:3" ht="14" x14ac:dyDescent="0.3">
      <c r="B33" s="4" t="s">
        <v>294</v>
      </c>
      <c r="C33" t="s">
        <v>283</v>
      </c>
    </row>
    <row r="34" spans="2:3" ht="14" x14ac:dyDescent="0.3">
      <c r="B34" s="4" t="s">
        <v>295</v>
      </c>
      <c r="C34" t="s">
        <v>296</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276</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351</v>
      </c>
    </row>
    <row r="63" spans="2:3" ht="14" x14ac:dyDescent="0.3">
      <c r="B63" s="4" t="s">
        <v>352</v>
      </c>
      <c r="C63" t="s">
        <v>353</v>
      </c>
    </row>
    <row r="64" spans="2:3" ht="14" x14ac:dyDescent="0.3">
      <c r="B64" s="4" t="s">
        <v>354</v>
      </c>
      <c r="C64"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2026-09-06T09:54:30Z</dcterms:created>
  <dcterms:modified xsi:type="dcterms:W3CDTF">2026-09-06T09:54:33Z</dcterms:modified>
</cp:coreProperties>
</file>