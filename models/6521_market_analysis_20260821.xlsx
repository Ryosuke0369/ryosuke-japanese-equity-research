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CDDC4E41-E8F7-493D-87C4-1C46039691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  <sheet name="Narrative Stage" sheetId="4" r:id="rId4"/>
  </sheets>
  <calcPr calcId="181029"/>
</workbook>
</file>

<file path=xl/calcChain.xml><?xml version="1.0" encoding="utf-8"?>
<calcChain xmlns="http://schemas.openxmlformats.org/spreadsheetml/2006/main">
  <c r="E45" i="3" l="1"/>
  <c r="F45" i="3" s="1"/>
  <c r="F44" i="3"/>
  <c r="D10" i="3" s="1"/>
  <c r="G10" i="3" s="1"/>
  <c r="E44" i="3"/>
  <c r="C37" i="3"/>
  <c r="C36" i="3"/>
  <c r="C28" i="3"/>
  <c r="C27" i="3"/>
  <c r="C26" i="3"/>
  <c r="C10" i="3"/>
  <c r="G9" i="3"/>
  <c r="D9" i="3"/>
  <c r="F9" i="3" s="1"/>
  <c r="C9" i="3"/>
  <c r="C8" i="3"/>
  <c r="D8" i="3" s="1"/>
  <c r="D35" i="2"/>
  <c r="E35" i="2" s="1"/>
  <c r="C35" i="2"/>
  <c r="D34" i="2"/>
  <c r="E34" i="2" s="1"/>
  <c r="C34" i="2"/>
  <c r="D33" i="2"/>
  <c r="E33" i="2" s="1"/>
  <c r="C33" i="2"/>
  <c r="D32" i="2"/>
  <c r="E32" i="2" s="1"/>
  <c r="C32" i="2"/>
  <c r="D31" i="2"/>
  <c r="E31" i="2" s="1"/>
  <c r="C31" i="2"/>
  <c r="C18" i="2"/>
  <c r="C19" i="2" s="1"/>
  <c r="C51" i="2" s="1"/>
  <c r="F54" i="2" s="1"/>
  <c r="E76" i="1"/>
  <c r="D76" i="1"/>
  <c r="E75" i="1"/>
  <c r="D75" i="1"/>
  <c r="E74" i="1"/>
  <c r="D74" i="1"/>
  <c r="E73" i="1"/>
  <c r="D73" i="1"/>
  <c r="E72" i="1"/>
  <c r="D72" i="1"/>
  <c r="C68" i="1"/>
  <c r="B68" i="1"/>
  <c r="C67" i="1"/>
  <c r="B67" i="1"/>
  <c r="C66" i="1"/>
  <c r="B66" i="1"/>
  <c r="C65" i="1"/>
  <c r="B65" i="1"/>
  <c r="C64" i="1"/>
  <c r="B64" i="1"/>
  <c r="S30" i="1"/>
  <c r="S35" i="1" s="1"/>
  <c r="N26" i="1"/>
  <c r="F26" i="1"/>
  <c r="S25" i="1"/>
  <c r="H25" i="1"/>
  <c r="C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S20" i="1"/>
  <c r="R20" i="1"/>
  <c r="R25" i="1" s="1"/>
  <c r="Q20" i="1"/>
  <c r="Q25" i="1" s="1"/>
  <c r="P20" i="1"/>
  <c r="P25" i="1" s="1"/>
  <c r="O20" i="1"/>
  <c r="O25" i="1" s="1"/>
  <c r="N20" i="1"/>
  <c r="N25" i="1" s="1"/>
  <c r="N30" i="1" s="1"/>
  <c r="N35" i="1" s="1"/>
  <c r="M20" i="1"/>
  <c r="M25" i="1" s="1"/>
  <c r="L20" i="1"/>
  <c r="L25" i="1" s="1"/>
  <c r="K20" i="1"/>
  <c r="K25" i="1" s="1"/>
  <c r="J20" i="1"/>
  <c r="J25" i="1" s="1"/>
  <c r="J30" i="1" s="1"/>
  <c r="J35" i="1" s="1"/>
  <c r="I20" i="1"/>
  <c r="I25" i="1" s="1"/>
  <c r="H20" i="1"/>
  <c r="G20" i="1"/>
  <c r="G25" i="1" s="1"/>
  <c r="F20" i="1"/>
  <c r="F25" i="1" s="1"/>
  <c r="F30" i="1" s="1"/>
  <c r="F35" i="1" s="1"/>
  <c r="E20" i="1"/>
  <c r="E25" i="1" s="1"/>
  <c r="D20" i="1"/>
  <c r="D25" i="1" s="1"/>
  <c r="C20" i="1"/>
  <c r="D11" i="1"/>
  <c r="E11" i="1" s="1"/>
  <c r="F11" i="1" s="1"/>
  <c r="D10" i="1"/>
  <c r="E10" i="1" s="1"/>
  <c r="F10" i="1" s="1"/>
  <c r="E9" i="1"/>
  <c r="F9" i="1" s="1"/>
  <c r="D9" i="1"/>
  <c r="D8" i="1"/>
  <c r="E8" i="1" s="1"/>
  <c r="F8" i="1" s="1"/>
  <c r="E7" i="1"/>
  <c r="F7" i="1" s="1"/>
  <c r="D7" i="1"/>
  <c r="R26" i="1" l="1"/>
  <c r="S26" i="1"/>
  <c r="C26" i="1"/>
  <c r="S27" i="1"/>
  <c r="S31" i="1"/>
  <c r="S36" i="1" s="1"/>
  <c r="E26" i="1"/>
  <c r="E30" i="1"/>
  <c r="E35" i="1" s="1"/>
  <c r="R31" i="1"/>
  <c r="R36" i="1" s="1"/>
  <c r="R27" i="1"/>
  <c r="K26" i="1"/>
  <c r="K30" i="1"/>
  <c r="K35" i="1" s="1"/>
  <c r="C31" i="1"/>
  <c r="C36" i="1" s="1"/>
  <c r="C27" i="1"/>
  <c r="O26" i="1"/>
  <c r="O30" i="1"/>
  <c r="O35" i="1" s="1"/>
  <c r="G8" i="3"/>
  <c r="F8" i="3"/>
  <c r="M26" i="1"/>
  <c r="M30" i="1"/>
  <c r="M35" i="1" s="1"/>
  <c r="G26" i="1"/>
  <c r="G30" i="1"/>
  <c r="G35" i="1" s="1"/>
  <c r="I26" i="1"/>
  <c r="I30" i="1"/>
  <c r="I35" i="1" s="1"/>
  <c r="Q30" i="1"/>
  <c r="Q35" i="1" s="1"/>
  <c r="Q26" i="1"/>
  <c r="F31" i="1"/>
  <c r="F36" i="1" s="1"/>
  <c r="F27" i="1"/>
  <c r="P30" i="1"/>
  <c r="P35" i="1" s="1"/>
  <c r="P26" i="1"/>
  <c r="J26" i="1"/>
  <c r="H30" i="1"/>
  <c r="H35" i="1" s="1"/>
  <c r="H26" i="1"/>
  <c r="C30" i="1"/>
  <c r="C35" i="1" s="1"/>
  <c r="T30" i="1"/>
  <c r="T35" i="1" s="1"/>
  <c r="T26" i="1"/>
  <c r="N31" i="1"/>
  <c r="N36" i="1" s="1"/>
  <c r="N27" i="1"/>
  <c r="L30" i="1"/>
  <c r="L35" i="1" s="1"/>
  <c r="L26" i="1"/>
  <c r="R30" i="1"/>
  <c r="R35" i="1" s="1"/>
  <c r="C21" i="2"/>
  <c r="C20" i="2"/>
  <c r="C50" i="2"/>
  <c r="F55" i="2" s="1"/>
  <c r="D30" i="1"/>
  <c r="D35" i="1" s="1"/>
  <c r="D26" i="1"/>
  <c r="F10" i="3"/>
  <c r="N28" i="1" l="1"/>
  <c r="N32" i="1"/>
  <c r="N37" i="1" s="1"/>
  <c r="J31" i="1"/>
  <c r="J36" i="1" s="1"/>
  <c r="J27" i="1"/>
  <c r="I31" i="1"/>
  <c r="I36" i="1" s="1"/>
  <c r="I27" i="1"/>
  <c r="O27" i="1"/>
  <c r="O31" i="1"/>
  <c r="O36" i="1" s="1"/>
  <c r="C28" i="1"/>
  <c r="C32" i="1"/>
  <c r="C37" i="1" s="1"/>
  <c r="G27" i="1"/>
  <c r="G31" i="1"/>
  <c r="G36" i="1" s="1"/>
  <c r="D27" i="1"/>
  <c r="D31" i="1"/>
  <c r="D36" i="1" s="1"/>
  <c r="P27" i="1"/>
  <c r="P31" i="1"/>
  <c r="P36" i="1" s="1"/>
  <c r="M31" i="1"/>
  <c r="M36" i="1" s="1"/>
  <c r="M27" i="1"/>
  <c r="K27" i="1"/>
  <c r="K31" i="1"/>
  <c r="K36" i="1" s="1"/>
  <c r="E27" i="1"/>
  <c r="E31" i="1"/>
  <c r="E36" i="1" s="1"/>
  <c r="C25" i="2"/>
  <c r="C24" i="2"/>
  <c r="C26" i="2"/>
  <c r="C27" i="2" s="1"/>
  <c r="F32" i="1"/>
  <c r="F37" i="1" s="1"/>
  <c r="F28" i="1"/>
  <c r="Q27" i="1"/>
  <c r="Q31" i="1"/>
  <c r="Q36" i="1" s="1"/>
  <c r="R28" i="1"/>
  <c r="R32" i="1"/>
  <c r="R37" i="1" s="1"/>
  <c r="T27" i="1"/>
  <c r="T31" i="1"/>
  <c r="T36" i="1" s="1"/>
  <c r="L27" i="1"/>
  <c r="L31" i="1"/>
  <c r="L36" i="1" s="1"/>
  <c r="H27" i="1"/>
  <c r="H31" i="1"/>
  <c r="H36" i="1" s="1"/>
  <c r="S28" i="1"/>
  <c r="S32" i="1"/>
  <c r="S37" i="1" s="1"/>
  <c r="L32" i="1" l="1"/>
  <c r="L37" i="1" s="1"/>
  <c r="L28" i="1"/>
  <c r="Q32" i="1"/>
  <c r="Q37" i="1" s="1"/>
  <c r="Q28" i="1"/>
  <c r="E28" i="1"/>
  <c r="E32" i="1"/>
  <c r="E37" i="1" s="1"/>
  <c r="P32" i="1"/>
  <c r="P37" i="1" s="1"/>
  <c r="P28" i="1"/>
  <c r="J28" i="1"/>
  <c r="J32" i="1"/>
  <c r="J37" i="1" s="1"/>
  <c r="K28" i="1"/>
  <c r="K32" i="1"/>
  <c r="K37" i="1" s="1"/>
  <c r="N33" i="1"/>
  <c r="N38" i="1" s="1"/>
  <c r="N29" i="1"/>
  <c r="N34" i="1" s="1"/>
  <c r="N39" i="1" s="1"/>
  <c r="N41" i="1" s="1"/>
  <c r="N42" i="1" s="1"/>
  <c r="M32" i="1"/>
  <c r="M37" i="1" s="1"/>
  <c r="M28" i="1"/>
  <c r="D32" i="1"/>
  <c r="D37" i="1" s="1"/>
  <c r="D28" i="1"/>
  <c r="O28" i="1"/>
  <c r="O32" i="1"/>
  <c r="O37" i="1" s="1"/>
  <c r="H32" i="1"/>
  <c r="H37" i="1" s="1"/>
  <c r="H28" i="1"/>
  <c r="R33" i="1"/>
  <c r="R38" i="1" s="1"/>
  <c r="R29" i="1"/>
  <c r="R34" i="1" s="1"/>
  <c r="R39" i="1" s="1"/>
  <c r="R41" i="1" s="1"/>
  <c r="R42" i="1" s="1"/>
  <c r="G28" i="1"/>
  <c r="G32" i="1"/>
  <c r="G37" i="1" s="1"/>
  <c r="I28" i="1"/>
  <c r="I32" i="1"/>
  <c r="I37" i="1" s="1"/>
  <c r="F33" i="1"/>
  <c r="F38" i="1" s="1"/>
  <c r="F29" i="1"/>
  <c r="F34" i="1" s="1"/>
  <c r="F39" i="1" s="1"/>
  <c r="F41" i="1" s="1"/>
  <c r="F42" i="1" s="1"/>
  <c r="C29" i="1"/>
  <c r="C34" i="1" s="1"/>
  <c r="C39" i="1" s="1"/>
  <c r="C41" i="1" s="1"/>
  <c r="C42" i="1" s="1"/>
  <c r="C33" i="1"/>
  <c r="C38" i="1" s="1"/>
  <c r="C40" i="1" s="1"/>
  <c r="C43" i="1" s="1"/>
  <c r="C44" i="1" s="1"/>
  <c r="C45" i="1" s="1"/>
  <c r="S29" i="1"/>
  <c r="S34" i="1" s="1"/>
  <c r="S39" i="1" s="1"/>
  <c r="S41" i="1" s="1"/>
  <c r="S42" i="1" s="1"/>
  <c r="S33" i="1"/>
  <c r="S38" i="1" s="1"/>
  <c r="T32" i="1"/>
  <c r="T37" i="1" s="1"/>
  <c r="T28" i="1"/>
  <c r="N40" i="1" l="1"/>
  <c r="N43" i="1" s="1"/>
  <c r="N44" i="1" s="1"/>
  <c r="N45" i="1" s="1"/>
  <c r="G29" i="1"/>
  <c r="G34" i="1" s="1"/>
  <c r="G39" i="1" s="1"/>
  <c r="G41" i="1" s="1"/>
  <c r="G42" i="1" s="1"/>
  <c r="G33" i="1"/>
  <c r="G38" i="1" s="1"/>
  <c r="G40" i="1" s="1"/>
  <c r="G43" i="1" s="1"/>
  <c r="G44" i="1" s="1"/>
  <c r="G45" i="1" s="1"/>
  <c r="Q29" i="1"/>
  <c r="Q34" i="1" s="1"/>
  <c r="Q39" i="1" s="1"/>
  <c r="Q41" i="1" s="1"/>
  <c r="Q42" i="1" s="1"/>
  <c r="Q33" i="1"/>
  <c r="Q38" i="1" s="1"/>
  <c r="F40" i="1"/>
  <c r="F43" i="1" s="1"/>
  <c r="F44" i="1" s="1"/>
  <c r="F45" i="1" s="1"/>
  <c r="P33" i="1"/>
  <c r="P38" i="1" s="1"/>
  <c r="P29" i="1"/>
  <c r="P34" i="1" s="1"/>
  <c r="P39" i="1" s="1"/>
  <c r="P41" i="1" s="1"/>
  <c r="P42" i="1" s="1"/>
  <c r="T33" i="1"/>
  <c r="T38" i="1" s="1"/>
  <c r="T29" i="1"/>
  <c r="T34" i="1" s="1"/>
  <c r="T39" i="1" s="1"/>
  <c r="T41" i="1" s="1"/>
  <c r="T42" i="1" s="1"/>
  <c r="H29" i="1"/>
  <c r="H34" i="1" s="1"/>
  <c r="H39" i="1" s="1"/>
  <c r="H41" i="1" s="1"/>
  <c r="H42" i="1" s="1"/>
  <c r="H33" i="1"/>
  <c r="H38" i="1" s="1"/>
  <c r="J33" i="1"/>
  <c r="J38" i="1" s="1"/>
  <c r="J29" i="1"/>
  <c r="J34" i="1" s="1"/>
  <c r="J39" i="1" s="1"/>
  <c r="J41" i="1" s="1"/>
  <c r="J42" i="1" s="1"/>
  <c r="I33" i="1"/>
  <c r="I38" i="1" s="1"/>
  <c r="I40" i="1" s="1"/>
  <c r="I43" i="1" s="1"/>
  <c r="I44" i="1" s="1"/>
  <c r="I45" i="1" s="1"/>
  <c r="I29" i="1"/>
  <c r="I34" i="1" s="1"/>
  <c r="I39" i="1" s="1"/>
  <c r="I41" i="1" s="1"/>
  <c r="I42" i="1" s="1"/>
  <c r="O29" i="1"/>
  <c r="O34" i="1" s="1"/>
  <c r="O39" i="1" s="1"/>
  <c r="O41" i="1" s="1"/>
  <c r="O42" i="1" s="1"/>
  <c r="O33" i="1"/>
  <c r="O38" i="1" s="1"/>
  <c r="O40" i="1" s="1"/>
  <c r="O43" i="1" s="1"/>
  <c r="O44" i="1" s="1"/>
  <c r="O45" i="1" s="1"/>
  <c r="D29" i="1"/>
  <c r="D34" i="1" s="1"/>
  <c r="D39" i="1" s="1"/>
  <c r="D41" i="1" s="1"/>
  <c r="D42" i="1" s="1"/>
  <c r="D33" i="1"/>
  <c r="D38" i="1" s="1"/>
  <c r="D40" i="1" s="1"/>
  <c r="D43" i="1" s="1"/>
  <c r="D44" i="1" s="1"/>
  <c r="D45" i="1" s="1"/>
  <c r="K29" i="1"/>
  <c r="K34" i="1" s="1"/>
  <c r="K39" i="1" s="1"/>
  <c r="K41" i="1" s="1"/>
  <c r="K42" i="1" s="1"/>
  <c r="K33" i="1"/>
  <c r="K38" i="1" s="1"/>
  <c r="K40" i="1" s="1"/>
  <c r="K43" i="1" s="1"/>
  <c r="K44" i="1" s="1"/>
  <c r="K45" i="1" s="1"/>
  <c r="E33" i="1"/>
  <c r="E38" i="1" s="1"/>
  <c r="E40" i="1" s="1"/>
  <c r="E43" i="1" s="1"/>
  <c r="E44" i="1" s="1"/>
  <c r="E45" i="1" s="1"/>
  <c r="E29" i="1"/>
  <c r="E34" i="1" s="1"/>
  <c r="E39" i="1" s="1"/>
  <c r="E41" i="1" s="1"/>
  <c r="E42" i="1" s="1"/>
  <c r="S40" i="1"/>
  <c r="S43" i="1" s="1"/>
  <c r="S44" i="1" s="1"/>
  <c r="S45" i="1" s="1"/>
  <c r="M29" i="1"/>
  <c r="M34" i="1" s="1"/>
  <c r="M39" i="1" s="1"/>
  <c r="M41" i="1" s="1"/>
  <c r="M42" i="1" s="1"/>
  <c r="M33" i="1"/>
  <c r="M38" i="1" s="1"/>
  <c r="Q40" i="1"/>
  <c r="Q43" i="1" s="1"/>
  <c r="Q44" i="1" s="1"/>
  <c r="Q45" i="1" s="1"/>
  <c r="R40" i="1"/>
  <c r="R43" i="1" s="1"/>
  <c r="R44" i="1" s="1"/>
  <c r="R45" i="1" s="1"/>
  <c r="L29" i="1"/>
  <c r="L34" i="1" s="1"/>
  <c r="L39" i="1" s="1"/>
  <c r="L41" i="1" s="1"/>
  <c r="L42" i="1" s="1"/>
  <c r="L33" i="1"/>
  <c r="L38" i="1" s="1"/>
  <c r="L40" i="1" s="1"/>
  <c r="L43" i="1" s="1"/>
  <c r="L44" i="1" s="1"/>
  <c r="L45" i="1" s="1"/>
  <c r="P40" i="1" l="1"/>
  <c r="P43" i="1" s="1"/>
  <c r="P44" i="1" s="1"/>
  <c r="P45" i="1" s="1"/>
  <c r="J40" i="1"/>
  <c r="J43" i="1" s="1"/>
  <c r="J44" i="1" s="1"/>
  <c r="J45" i="1" s="1"/>
  <c r="M40" i="1"/>
  <c r="M43" i="1" s="1"/>
  <c r="M44" i="1" s="1"/>
  <c r="M45" i="1" s="1"/>
  <c r="H40" i="1"/>
  <c r="H43" i="1" s="1"/>
  <c r="H44" i="1" s="1"/>
  <c r="H45" i="1" s="1"/>
  <c r="T40" i="1"/>
  <c r="T43" i="1" s="1"/>
  <c r="T44" i="1" s="1"/>
  <c r="T45" i="1" s="1"/>
  <c r="D66" i="1" s="1"/>
  <c r="D64" i="1"/>
  <c r="D68" i="1"/>
  <c r="D65" i="1"/>
  <c r="D67" i="1" l="1"/>
  <c r="F67" i="1"/>
  <c r="E67" i="1"/>
  <c r="E66" i="1"/>
  <c r="F66" i="1"/>
  <c r="F65" i="1"/>
  <c r="E65" i="1"/>
  <c r="F68" i="1"/>
  <c r="E68" i="1"/>
  <c r="C79" i="1"/>
  <c r="F64" i="1"/>
  <c r="F76" i="1"/>
  <c r="G76" i="1" s="1"/>
  <c r="F74" i="1"/>
  <c r="G74" i="1" s="1"/>
  <c r="F72" i="1"/>
  <c r="G72" i="1" s="1"/>
  <c r="F75" i="1"/>
  <c r="G75" i="1" s="1"/>
  <c r="E64" i="1"/>
  <c r="F73" i="1"/>
  <c r="G73" i="1" s="1"/>
  <c r="C7" i="3" l="1"/>
  <c r="D7" i="3" s="1"/>
  <c r="C81" i="1"/>
  <c r="C82" i="1" s="1"/>
  <c r="F7" i="3" l="1"/>
  <c r="F12" i="3" s="1"/>
  <c r="G12" i="3" s="1"/>
  <c r="G7" i="3"/>
</calcChain>
</file>

<file path=xl/sharedStrings.xml><?xml version="1.0" encoding="utf-8"?>
<sst xmlns="http://schemas.openxmlformats.org/spreadsheetml/2006/main" count="267" uniqueCount="248">
  <si>
    <t>Implied Growth Analysis - Oxide Corporation (6521.T)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</si>
  <si>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</si>
  <si>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</si>
  <si>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</si>
  <si>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</si>
  <si>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</si>
  <si>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</si>
  <si>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</si>
  <si>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</si>
  <si>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</si>
  <si>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</si>
  <si>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</si>
  <si>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</si>
  <si>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</si>
  <si>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</si>
  <si>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</si>
  <si>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</si>
  <si>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</si>
  <si>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</si>
  <si>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</si>
  <si>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</si>
  <si>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</si>
  <si>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</si>
  <si>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</si>
  <si>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</si>
  <si>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</si>
  <si>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</si>
  <si>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</si>
  <si>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</si>
  <si>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</si>
  <si>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</si>
  <si>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</si>
  <si>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</si>
  <si>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</si>
  <si>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</si>
  <si>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</si>
  <si>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</si>
  <si>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</si>
  <si>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</si>
  <si>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</si>
  <si>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</si>
  <si>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</si>
  <si>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</si>
  <si>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</si>
  <si>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</si>
  <si>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</si>
  <si>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</si>
  <si>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</si>
  <si>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[E]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</si>
  <si>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</si>
  <si>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</si>
  <si>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</si>
  <si>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</si>
  <si>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</si>
  <si>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</si>
  <si>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</si>
  <si>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</si>
  <si>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Consolidated (single segment)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</si>
  <si>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</si>
  <si>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</si>
  <si>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</si>
  <si>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</si>
  <si>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</si>
  <si>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</si>
  <si>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</si>
  <si>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</si>
  <si>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</si>
  <si>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</si>
  <si>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</si>
  <si>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</si>
  <si>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 (proxy)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</si>
  <si>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</si>
  <si>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</si>
  <si>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</si>
  <si>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</si>
  <si>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</si>
  <si>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</si>
  <si>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</si>
  <si>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</si>
  <si>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</si>
  <si>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</si>
  <si>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</si>
  <si>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</si>
  <si>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</si>
  <si>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</si>
  <si>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</si>
  <si>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</si>
  <si>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</si>
  <si>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</si>
  <si>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</si>
  <si>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C80 to set your own alpha)</t>
  </si>
  <si>
    <t>── 注意 / caveats ──</t>
  </si>
  <si>
    <t>Block 4 の alpha (1.00/1.50/0.85/0.40/0.15) は DCF 側シナリオの実データではなく、</t>
  </si>
  <si>
    <t xml:space="preserve">  Base 成長にかける倍率のプロキシ。DCF Model のシナリオ切替結果とは別物。</t>
  </si>
  <si>
    <t>FCF は MAX(0, EBIT×(1-tax)) の NOPAT フロアを持つため、赤字レンジ（低 alpha）では</t>
  </si>
  <si>
    <t xml:space="preserve">  曲線が平坦化し、implied alpha の解像度が落ちる（赤字銘柄で顕著）。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</si>
  <si>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</si>
  <si>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</si>
  <si>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</si>
  <si>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</si>
  <si>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</si>
  <si>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Oxide Corporation (6521.T)</t>
  </si>
  <si>
    <t>現在株価が市場に付けられた EV/Sales 倍率を逆算し、Comps 7社（自社除く）分布上の位置を測る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</si>
  <si>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</si>
  <si>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</si>
  <si>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</si>
  <si>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</si>
  <si>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</si>
  <si>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</si>
  <si>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位置しきい値: やや (|z|)</t>
  </si>
  <si>
    <t>位置しきい値: 大 (|z|)</t>
  </si>
  <si>
    <t>Comps EV/Sales 分布 (7社・自社除く)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</si>
  <si>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</si>
  <si>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</si>
  <si>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</si>
  <si>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</si>
  <si>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</si>
  <si>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</si>
  <si>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</si>
  <si>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</si>
  <si>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</si>
  <si>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peer 7社分布上の位置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</si>
  <si>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</si>
  <si>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</si>
  <si>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</si>
  <si>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</si>
  <si>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</si>
  <si>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</si>
  <si>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</si>
  <si>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</si>
  <si>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7社内訳 (EV/Sales・自社除く)</t>
  </si>
  <si>
    <t>Lasertec</t>
  </si>
  <si>
    <t>Hamamatsu Photonics</t>
  </si>
  <si>
    <t>Ferrotec Holdings</t>
  </si>
  <si>
    <t>Optorun</t>
  </si>
  <si>
    <t>Sigmakoki</t>
  </si>
  <si>
    <t>Japan Electronic Materials</t>
  </si>
  <si>
    <t>Optex Group</t>
  </si>
  <si>
    <t>（参考・統計対象外）Oxide</t>
  </si>
  <si>
    <t>参考: 他倍率 (EV/EBITDA・PER)</t>
  </si>
  <si>
    <t>対象 Net Income (JPY mn)</t>
  </si>
  <si>
    <t>対象 EBITDA (JPY mn, 任意)</t>
  </si>
  <si>
    <t>-</t>
  </si>
  <si>
    <t>implied PER (時価総額/純利益)</t>
  </si>
  <si>
    <t>implied EV/EBITDA (EV/EBITDA)</t>
  </si>
  <si>
    <t>peer 分布 (7社・自社除く)</t>
  </si>
  <si>
    <t>位置 z</t>
  </si>
  <si>
    <t>EV/EBITDA</t>
  </si>
  <si>
    <t>PER</t>
  </si>
  <si>
    <t>── 注記 ──</t>
  </si>
  <si>
    <t>倍率は実績売上ベース。会社予想売上を分母にするとフォワード倍率はさらに低く（割安に）見える。Comps 7社も実績ベースのため、実績同士の比較が最もフェア。</t>
  </si>
  <si>
    <t>分布は peer 7社のみで構成（自社は統計対象外）。DCF側 Comps Analysis の MEDIAN/PERCENTILE と同じ母集団。</t>
  </si>
  <si>
    <t>対象が赤字の期は EV/EBITDA・PER の逆算は意味をなさない（負値）。EV/Sales を primary とする。</t>
  </si>
  <si>
    <t>Market Scorecard - Oxide Corporation (6521.T)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</si>
  <si>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</si>
  <si>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</si>
  <si>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</si>
  <si>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</si>
  <si>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</si>
  <si>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</si>
  <si>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</si>
  <si>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</si>
  <si>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(信用倍率 買残/売残)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</si>
  <si>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</si>
  <si>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</si>
  <si>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</si>
  <si>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</si>
  <si>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</si>
  <si>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</si>
  <si>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</si>
  <si>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</si>
  <si>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</si>
  <si>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</si>
  <si>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</si>
  <si>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</si>
  <si>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</si>
  <si>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</si>
  <si>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</si>
  <si>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</si>
  <si>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</si>
  <si>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</si>
  <si>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</si>
  <si>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</si>
  <si>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</si>
  <si>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</si>
  <si>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</si>
  <si>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</si>
  <si>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</si>
  <si>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</si>
  <si>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</si>
  <si>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</si>
  <si>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</si>
  <si>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</si>
  <si>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</si>
  <si>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</si>
  <si>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</si>
  <si>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</si>
  <si>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</si>
  <si>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</si>
  <si>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シートの Block 5（C79 の直下）で My View alpha を入力する。</t>
  </si>
  <si>
    <t>3. Block 1 (this sheet) Total Score と判定を確認する。</t>
  </si>
  <si>
    <t>4. 複数銘柄で同じテンプレートを使用し、横比較で買い候補を絞り込む。</t>
  </si>
  <si>
    <t>Block 5: Narrative Stage — Oxide Corporation (6521.T)</t>
  </si>
  <si>
    <t>2026-08-21</t>
  </si>
  <si>
    <t>6軸スコア (0/+1/+2)</t>
  </si>
  <si>
    <t>軸 (Axis)</t>
  </si>
  <si>
    <t>根拠 (Note)</t>
  </si>
  <si>
    <t>Axis</t>
  </si>
  <si>
    <t>軸1: ラベル現状 (火種/置換)</t>
  </si>
  <si>
    <t>市場の呼び名はまだ「半導体検査用単結晶メーカー」。量子・核融合向け光学材料への書き換えは一部で始まった段階。</t>
  </si>
  <si>
    <t>軸1 ラベル現状</t>
  </si>
  <si>
    <t>軸2A: 触媒ポテンシャル (燃料)</t>
  </si>
  <si>
    <t>量子コンピュータ向け波長変換結晶、核融合(レーザー)向け大型結晶、半導体検査の世代交代と、触媒の源泉は複数ある。</t>
  </si>
  <si>
    <t>軸2A 触媒ポテンシャル</t>
  </si>
  <si>
    <t>軸2B: 触媒実現度 (発火)</t>
  </si>
  <si>
    <t>Raicol売却による財務改善とQ1黒字化は着弾済みだが、新領域の大型受注・提携発表は続報待ち。</t>
  </si>
  <si>
    <t>軸2B 触媒実現度</t>
  </si>
  <si>
    <t>軸3: 拡散進行度 (到達/Stage本体)</t>
  </si>
  <si>
    <t>東証グロース小型(時価総額389億円)。個人投資家の一部に浸透、セルサイド・機関の継続カバレッジは限定的。</t>
  </si>
  <si>
    <t>軸3 拡散進行度</t>
  </si>
  <si>
    <t>軸4: 業績寄与の現実性</t>
  </si>
  <si>
    <t>ターンアラウンドは数字に出ている(営業利益率5.4%→Q1 9.1%)が、新領域(売上の30%)の利益寄与はまだ小さい。</t>
  </si>
  <si>
    <t>軸4 業績寄与</t>
  </si>
  <si>
    <t>軸5: 物語持続性</t>
  </si>
  <si>
    <t>単結晶は参入障壁が高く、量子・核融合は10年単位のテーマ。</t>
  </si>
  <si>
    <t>軸5 物語持続性</t>
  </si>
  <si>
    <t>Total</t>
  </si>
  <si>
    <t>Stage 判定</t>
  </si>
  <si>
    <t>Stage</t>
  </si>
  <si>
    <t>Stage 1 (萌芽期)</t>
  </si>
  <si>
    <t>律速軸 (Rate-limiting)</t>
  </si>
  <si>
    <t>axis_2b (Catalyst Realization)</t>
  </si>
  <si>
    <t>理由 (Reason)</t>
  </si>
  <si>
    <t>触媒実現度 = 1 ≤ 1 で本格発火に至らず、拡散進行度(reach) = 1、萌芽期</t>
  </si>
  <si>
    <t>業績キャップ適用</t>
  </si>
  <si>
    <t>No</t>
  </si>
  <si>
    <t>Headroom シグナル (軸1 vs 軸3)</t>
  </si>
  <si>
    <t>シグナル</t>
  </si>
  <si>
    <t>BALANCED</t>
  </si>
  <si>
    <t>バランス (軸1=軸3)</t>
  </si>
  <si>
    <t>解説</t>
  </si>
  <si>
    <t>軸1(置換)=1 = 軸3(到達)=1: 置換と到達が歩調を揃えている</t>
  </si>
  <si>
    <t>業績インパクト (補助評価)</t>
  </si>
  <si>
    <t>営業利益インパクト ≈ 20.0億円 / 現状営利 5億円 = 3.70倍化余地</t>
  </si>
  <si>
    <t>最終 Verdict (Block2-4 × Stage)</t>
  </si>
  <si>
    <t>OBSERVE</t>
  </si>
  <si>
    <t>ファンダ中立だが Stage 0-1、ナラティブ進行を観察</t>
  </si>
  <si>
    <t>注: このシートの値はすべて生成時の静的値（assess() の出力）。スコアを変えたい場合は Excel 上で編集せず、config の narrative を更新して再生成すること。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</si>
</sst>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  <font>
      <b/>
      <sz val="12"/>
      <name val="Calibri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0" fontId="5" fillId="0" borderId="1" xfId="0" applyFont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6" fillId="8" borderId="0" xfId="0" applyFont="1" applyFill="1"/>
    <xf numFmtId="0" fontId="2" fillId="3" borderId="0" xfId="0" applyFont="1" applyFill="1"/>
    <xf numFmtId="0" fontId="0" fillId="0" borderId="0" xfId="0"/>
    <xf numFmtId="0" fontId="3" fillId="4" borderId="0" xfId="0" applyFont="1" applyFill="1"/>
    <xf numFmtId="0" fontId="1" fillId="2" borderId="0" xfId="0" applyFont="1" applyFill="1"/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6" borderId="0" xfId="0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6"/>
  <c:chart>
    <c:title>
      <c:tx>
        <c:rich>
          <a:bodyPr/>
          <a:lstStyle/>
          <a:p>
            <a:pPr>
              <a:defRPr/>
            </a:pPr>
            <a:r>
              <a:t>Narrative 6-Axis Profile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'Narrative Stage'!$H$6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'Narrative Stage'!$G$7:$G$12</c:f>
              <c:strCache>
                <c:ptCount val="6"/>
                <c:pt idx="0">
                  <c:v>軸1 ラベル現状</c:v>
                </c:pt>
                <c:pt idx="1">
                  <c:v>軸2A 触媒ポテンシャル</c:v>
                </c:pt>
                <c:pt idx="2">
                  <c:v>軸2B 触媒実現度</c:v>
                </c:pt>
                <c:pt idx="3">
                  <c:v>軸3 拡散進行度</c:v>
                </c:pt>
                <c:pt idx="4">
                  <c:v>軸4 業績寄与</c:v>
                </c:pt>
                <c:pt idx="5">
                  <c:v>軸5 物語持続性</c:v>
                </c:pt>
              </c:strCache>
            </c:strRef>
          </c:cat>
          <c:val>
            <c:numRef>
              <c:f>'Narrative Stage'!$H$7:$H$12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9-458B-8B96-4E26CEA3E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684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12"/>
  <sheetViews>
    <sheetView tabSelected="1" workbookViewId="0"/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7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5" spans="2:20" ht="14.5" x14ac:dyDescent="0.35">
      <c r="B5" s="44" t="s">
        <v>1</v>
      </c>
      <c r="C5" s="45"/>
      <c r="D5" s="45"/>
      <c r="E5" s="45"/>
      <c r="F5" s="45"/>
      <c r="G5" s="45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3350</v>
      </c>
      <c r="D7" s="3">
        <f>C7*11618742/1000000</f>
        <v>38922.7857</v>
      </c>
      <c r="E7" s="3">
        <f>D7+5201</f>
        <v>44123.7857</v>
      </c>
      <c r="F7" s="3">
        <f>E7</f>
        <v>44123.7857</v>
      </c>
      <c r="G7" s="2" t="s">
        <v>9</v>
      </c>
    </row>
    <row r="8" spans="2:20" x14ac:dyDescent="0.2">
      <c r="B8" s="2" t="s">
        <v>10</v>
      </c>
      <c r="C8" s="3">
        <v>193.12955607376441</v>
      </c>
      <c r="D8" s="3">
        <f>C8*11618742/1000000</f>
        <v>2243.9224845956014</v>
      </c>
      <c r="E8" s="3">
        <f>D8+5201</f>
        <v>7444.9224845956014</v>
      </c>
      <c r="F8" s="3">
        <f>E8</f>
        <v>7444.9224845956014</v>
      </c>
      <c r="G8" s="2" t="s">
        <v>11</v>
      </c>
    </row>
    <row r="9" spans="2:20" x14ac:dyDescent="0.2">
      <c r="B9" s="2" t="s">
        <v>12</v>
      </c>
      <c r="C9" s="3">
        <v>871</v>
      </c>
      <c r="D9" s="3">
        <f>C9*11618742/1000000</f>
        <v>10119.924282</v>
      </c>
      <c r="E9" s="3">
        <f>D9+5201</f>
        <v>15320.924282</v>
      </c>
      <c r="F9" s="3">
        <f>E9</f>
        <v>15320.924282</v>
      </c>
      <c r="G9" s="2" t="s">
        <v>13</v>
      </c>
    </row>
    <row r="10" spans="2:20" x14ac:dyDescent="0.2">
      <c r="B10" s="2" t="s">
        <v>14</v>
      </c>
      <c r="C10" s="3">
        <v>1394</v>
      </c>
      <c r="D10" s="3">
        <f>C10*11618742/1000000</f>
        <v>16196.526347999999</v>
      </c>
      <c r="E10" s="3">
        <f>D10+5201</f>
        <v>21397.526347999999</v>
      </c>
      <c r="F10" s="3">
        <f>E10</f>
        <v>21397.526347999999</v>
      </c>
      <c r="G10" s="2" t="s">
        <v>15</v>
      </c>
    </row>
    <row r="11" spans="2:20" x14ac:dyDescent="0.2">
      <c r="B11" s="2" t="s">
        <v>16</v>
      </c>
      <c r="C11" s="3">
        <v>7420</v>
      </c>
      <c r="D11" s="3">
        <f>C11*11618742/1000000</f>
        <v>86211.065640000001</v>
      </c>
      <c r="E11" s="3">
        <f>D11+5201</f>
        <v>91412.065640000001</v>
      </c>
      <c r="F11" s="3">
        <f>E11</f>
        <v>91412.065640000001</v>
      </c>
      <c r="G11" s="2" t="s">
        <v>15</v>
      </c>
    </row>
    <row r="14" spans="2:20" ht="14.5" x14ac:dyDescent="0.35">
      <c r="B14" s="44" t="s">
        <v>17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C17*D54</f>
        <v>9.9999999999999551E-3</v>
      </c>
      <c r="D20" s="6">
        <f>D17*D54</f>
        <v>5.9999999999999732E-3</v>
      </c>
      <c r="E20" s="6">
        <f>E17*D54</f>
        <v>1.9999999999999909E-3</v>
      </c>
      <c r="F20" s="6">
        <f>F17*D54</f>
        <v>0</v>
      </c>
      <c r="G20" s="6">
        <f>G17*D54</f>
        <v>-1.9999999999999909E-3</v>
      </c>
      <c r="H20" s="6">
        <f>H17*D54</f>
        <v>-3.9999999999999819E-3</v>
      </c>
      <c r="I20" s="6">
        <f>I17*D54</f>
        <v>-5.9999999999999732E-3</v>
      </c>
      <c r="J20" s="6">
        <f>J17*D54</f>
        <v>-7.9999999999999637E-3</v>
      </c>
      <c r="K20" s="6">
        <f>K17*D54</f>
        <v>-9.9999999999999551E-3</v>
      </c>
      <c r="L20" s="6">
        <f>L17*D54</f>
        <v>-1.1999999999999946E-2</v>
      </c>
      <c r="M20" s="6">
        <f>M17*D54</f>
        <v>-1.3999999999999936E-2</v>
      </c>
      <c r="N20" s="6">
        <f>N17*D54</f>
        <v>-1.5999999999999927E-2</v>
      </c>
      <c r="O20" s="6">
        <f>O17*D54</f>
        <v>-1.7999999999999919E-2</v>
      </c>
      <c r="P20" s="6">
        <f>P17*D54</f>
        <v>-1.999999999999991E-2</v>
      </c>
      <c r="Q20" s="6">
        <f>Q17*D54</f>
        <v>-2.1999999999999902E-2</v>
      </c>
      <c r="R20" s="6">
        <f>R17*D54</f>
        <v>-2.3999999999999893E-2</v>
      </c>
      <c r="S20" s="6">
        <f>S17*D54</f>
        <v>-2.5999999999999884E-2</v>
      </c>
      <c r="T20" s="6">
        <f>T17*D54</f>
        <v>-2.9999999999999867E-2</v>
      </c>
    </row>
    <row r="21" spans="2:20" x14ac:dyDescent="0.2">
      <c r="B21" t="s">
        <v>22</v>
      </c>
      <c r="C21" s="6">
        <f>C17*E54</f>
        <v>-3.0000000000000027E-2</v>
      </c>
      <c r="D21" s="6">
        <f>D17*E54</f>
        <v>-1.8000000000000016E-2</v>
      </c>
      <c r="E21" s="6">
        <f>E17*E54</f>
        <v>-6.0000000000000053E-3</v>
      </c>
      <c r="F21" s="6">
        <f>F17*E54</f>
        <v>0</v>
      </c>
      <c r="G21" s="6">
        <f>G17*E54</f>
        <v>6.0000000000000053E-3</v>
      </c>
      <c r="H21" s="6">
        <f>H17*E54</f>
        <v>1.2000000000000011E-2</v>
      </c>
      <c r="I21" s="6">
        <f>I17*E54</f>
        <v>1.8000000000000016E-2</v>
      </c>
      <c r="J21" s="6">
        <f>J17*E54</f>
        <v>2.4000000000000021E-2</v>
      </c>
      <c r="K21" s="6">
        <f>K17*E54</f>
        <v>3.0000000000000027E-2</v>
      </c>
      <c r="L21" s="6">
        <f>L17*E54</f>
        <v>3.6000000000000032E-2</v>
      </c>
      <c r="M21" s="6">
        <f>M17*E54</f>
        <v>4.2000000000000037E-2</v>
      </c>
      <c r="N21" s="6">
        <f>N17*E54</f>
        <v>4.8000000000000043E-2</v>
      </c>
      <c r="O21" s="6">
        <f>O17*E54</f>
        <v>5.4000000000000048E-2</v>
      </c>
      <c r="P21" s="6">
        <f>P17*E54</f>
        <v>6.0000000000000053E-2</v>
      </c>
      <c r="Q21" s="6">
        <f>Q17*E54</f>
        <v>6.6000000000000059E-2</v>
      </c>
      <c r="R21" s="6">
        <f>R17*E54</f>
        <v>7.2000000000000064E-2</v>
      </c>
      <c r="S21" s="6">
        <f>S17*E54</f>
        <v>7.8000000000000069E-2</v>
      </c>
      <c r="T21" s="6">
        <f>T17*E54</f>
        <v>9.000000000000008E-2</v>
      </c>
    </row>
    <row r="22" spans="2:20" x14ac:dyDescent="0.2">
      <c r="B22" t="s">
        <v>23</v>
      </c>
      <c r="C22" s="6">
        <f>C17*F54</f>
        <v>-3.0000000000000027E-2</v>
      </c>
      <c r="D22" s="6">
        <f>D17*F54</f>
        <v>-1.8000000000000016E-2</v>
      </c>
      <c r="E22" s="6">
        <f>E17*F54</f>
        <v>-6.0000000000000053E-3</v>
      </c>
      <c r="F22" s="6">
        <f>F17*F54</f>
        <v>0</v>
      </c>
      <c r="G22" s="6">
        <f>G17*F54</f>
        <v>6.0000000000000053E-3</v>
      </c>
      <c r="H22" s="6">
        <f>H17*F54</f>
        <v>1.2000000000000011E-2</v>
      </c>
      <c r="I22" s="6">
        <f>I17*F54</f>
        <v>1.8000000000000016E-2</v>
      </c>
      <c r="J22" s="6">
        <f>J17*F54</f>
        <v>2.4000000000000021E-2</v>
      </c>
      <c r="K22" s="6">
        <f>K17*F54</f>
        <v>3.0000000000000027E-2</v>
      </c>
      <c r="L22" s="6">
        <f>L17*F54</f>
        <v>3.6000000000000032E-2</v>
      </c>
      <c r="M22" s="6">
        <f>M17*F54</f>
        <v>4.2000000000000037E-2</v>
      </c>
      <c r="N22" s="6">
        <f>N17*F54</f>
        <v>4.8000000000000043E-2</v>
      </c>
      <c r="O22" s="6">
        <f>O17*F54</f>
        <v>5.4000000000000048E-2</v>
      </c>
      <c r="P22" s="6">
        <f>P17*F54</f>
        <v>6.0000000000000053E-2</v>
      </c>
      <c r="Q22" s="6">
        <f>Q17*F54</f>
        <v>6.6000000000000059E-2</v>
      </c>
      <c r="R22" s="6">
        <f>R17*F54</f>
        <v>7.2000000000000064E-2</v>
      </c>
      <c r="S22" s="6">
        <f>S17*F54</f>
        <v>7.8000000000000069E-2</v>
      </c>
      <c r="T22" s="6">
        <f>T17*F54</f>
        <v>9.000000000000008E-2</v>
      </c>
    </row>
    <row r="23" spans="2:20" x14ac:dyDescent="0.2">
      <c r="B23" t="s">
        <v>24</v>
      </c>
      <c r="C23" s="6">
        <f>C17*G54</f>
        <v>-2.5000000000000019E-2</v>
      </c>
      <c r="D23" s="6">
        <f>D17*G54</f>
        <v>-1.500000000000001E-2</v>
      </c>
      <c r="E23" s="6">
        <f>E17*G54</f>
        <v>-5.0000000000000044E-3</v>
      </c>
      <c r="F23" s="6">
        <f>F17*G54</f>
        <v>0</v>
      </c>
      <c r="G23" s="6">
        <f>G17*G54</f>
        <v>5.0000000000000044E-3</v>
      </c>
      <c r="H23" s="6">
        <f>H17*G54</f>
        <v>1.0000000000000009E-2</v>
      </c>
      <c r="I23" s="6">
        <f>I17*G54</f>
        <v>1.500000000000001E-2</v>
      </c>
      <c r="J23" s="6">
        <f>J17*G54</f>
        <v>2.0000000000000018E-2</v>
      </c>
      <c r="K23" s="6">
        <f>K17*G54</f>
        <v>2.5000000000000019E-2</v>
      </c>
      <c r="L23" s="6">
        <f>L17*G54</f>
        <v>3.000000000000002E-2</v>
      </c>
      <c r="M23" s="6">
        <f>M17*G54</f>
        <v>3.5000000000000024E-2</v>
      </c>
      <c r="N23" s="6">
        <f>N17*G54</f>
        <v>4.0000000000000036E-2</v>
      </c>
      <c r="O23" s="6">
        <f>O17*G54</f>
        <v>4.5000000000000033E-2</v>
      </c>
      <c r="P23" s="6">
        <f>P17*G54</f>
        <v>5.0000000000000037E-2</v>
      </c>
      <c r="Q23" s="6">
        <f>Q17*G54</f>
        <v>5.5000000000000049E-2</v>
      </c>
      <c r="R23" s="6">
        <f>R17*G54</f>
        <v>6.0000000000000039E-2</v>
      </c>
      <c r="S23" s="6">
        <f>S17*G54</f>
        <v>6.5000000000000058E-2</v>
      </c>
      <c r="T23" s="6">
        <f>T17*G54</f>
        <v>7.5000000000000053E-2</v>
      </c>
    </row>
    <row r="24" spans="2:20" x14ac:dyDescent="0.2">
      <c r="B24" t="s">
        <v>25</v>
      </c>
      <c r="C24" s="6">
        <f>C17*H54</f>
        <v>-2.0000000000000021E-2</v>
      </c>
      <c r="D24" s="6">
        <f>D17*H54</f>
        <v>-1.2000000000000012E-2</v>
      </c>
      <c r="E24" s="6">
        <f>E17*H54</f>
        <v>-4.0000000000000044E-3</v>
      </c>
      <c r="F24" s="6">
        <f>F17*H54</f>
        <v>0</v>
      </c>
      <c r="G24" s="6">
        <f>G17*H54</f>
        <v>4.0000000000000044E-3</v>
      </c>
      <c r="H24" s="6">
        <f>H17*H54</f>
        <v>8.0000000000000088E-3</v>
      </c>
      <c r="I24" s="6">
        <f>I17*H54</f>
        <v>1.2000000000000012E-2</v>
      </c>
      <c r="J24" s="6">
        <f>J17*H54</f>
        <v>1.6000000000000018E-2</v>
      </c>
      <c r="K24" s="6">
        <f>K17*H54</f>
        <v>2.0000000000000021E-2</v>
      </c>
      <c r="L24" s="6">
        <f>L17*H54</f>
        <v>2.4000000000000025E-2</v>
      </c>
      <c r="M24" s="6">
        <f>M17*H54</f>
        <v>2.8000000000000028E-2</v>
      </c>
      <c r="N24" s="6">
        <f>N17*H54</f>
        <v>3.2000000000000035E-2</v>
      </c>
      <c r="O24" s="6">
        <f>O17*H54</f>
        <v>3.6000000000000039E-2</v>
      </c>
      <c r="P24" s="6">
        <f>P17*H54</f>
        <v>4.0000000000000042E-2</v>
      </c>
      <c r="Q24" s="6">
        <f>Q17*H54</f>
        <v>4.4000000000000053E-2</v>
      </c>
      <c r="R24" s="6">
        <f>R17*H54</f>
        <v>4.800000000000005E-2</v>
      </c>
      <c r="S24" s="6">
        <f>S17*H54</f>
        <v>5.200000000000006E-2</v>
      </c>
      <c r="T24" s="6">
        <f>T17*H54</f>
        <v>6.0000000000000067E-2</v>
      </c>
    </row>
    <row r="25" spans="2:20" x14ac:dyDescent="0.2">
      <c r="B25" t="s">
        <v>26</v>
      </c>
      <c r="C25" s="7">
        <f>C48*(1+C20)</f>
        <v>10140.4</v>
      </c>
      <c r="D25" s="7">
        <f>C48*(1+D20)</f>
        <v>10100.24</v>
      </c>
      <c r="E25" s="7">
        <f>C48*(1+E20)</f>
        <v>10060.08</v>
      </c>
      <c r="F25" s="7">
        <f>C48*(1+F20)</f>
        <v>10040</v>
      </c>
      <c r="G25" s="7">
        <f>C48*(1+G20)</f>
        <v>10019.92</v>
      </c>
      <c r="H25" s="7">
        <f>C48*(1+H20)</f>
        <v>9999.84</v>
      </c>
      <c r="I25" s="7">
        <f>C48*(1+I20)</f>
        <v>9979.76</v>
      </c>
      <c r="J25" s="7">
        <f>C48*(1+J20)</f>
        <v>9959.68</v>
      </c>
      <c r="K25" s="7">
        <f>C48*(1+K20)</f>
        <v>9939.6</v>
      </c>
      <c r="L25" s="7">
        <f>C48*(1+L20)</f>
        <v>9919.52</v>
      </c>
      <c r="M25" s="7">
        <f>C48*(1+M20)</f>
        <v>9899.44</v>
      </c>
      <c r="N25" s="7">
        <f>C48*(1+N20)</f>
        <v>9879.36</v>
      </c>
      <c r="O25" s="7">
        <f>C48*(1+O20)</f>
        <v>9859.2800000000007</v>
      </c>
      <c r="P25" s="7">
        <f>C48*(1+P20)</f>
        <v>9839.2000000000007</v>
      </c>
      <c r="Q25" s="7">
        <f>C48*(1+Q20)</f>
        <v>9819.1200000000008</v>
      </c>
      <c r="R25" s="7">
        <f>C48*(1+R20)</f>
        <v>9799.0400000000009</v>
      </c>
      <c r="S25" s="7">
        <f>C48*(1+S20)</f>
        <v>9778.9600000000009</v>
      </c>
      <c r="T25" s="7">
        <f>C48*(1+T20)</f>
        <v>9738.8000000000011</v>
      </c>
    </row>
    <row r="26" spans="2:20" x14ac:dyDescent="0.2">
      <c r="B26" t="s">
        <v>27</v>
      </c>
      <c r="C26" s="7">
        <f t="shared" ref="C26:L29" si="0">C25*(1+C21)</f>
        <v>9836.1880000000001</v>
      </c>
      <c r="D26" s="7">
        <f t="shared" si="0"/>
        <v>9918.4356800000005</v>
      </c>
      <c r="E26" s="7">
        <f t="shared" si="0"/>
        <v>9999.7195200000006</v>
      </c>
      <c r="F26" s="7">
        <f t="shared" si="0"/>
        <v>10040</v>
      </c>
      <c r="G26" s="7">
        <f t="shared" si="0"/>
        <v>10080.03952</v>
      </c>
      <c r="H26" s="7">
        <f t="shared" si="0"/>
        <v>10119.83808</v>
      </c>
      <c r="I26" s="7">
        <f t="shared" si="0"/>
        <v>10159.39568</v>
      </c>
      <c r="J26" s="7">
        <f t="shared" si="0"/>
        <v>10198.712320000001</v>
      </c>
      <c r="K26" s="7">
        <f t="shared" si="0"/>
        <v>10237.788</v>
      </c>
      <c r="L26" s="7">
        <f t="shared" si="0"/>
        <v>10276.622720000001</v>
      </c>
      <c r="M26" s="7">
        <f t="shared" ref="M26:V29" si="1">M25*(1+M21)</f>
        <v>10315.216480000001</v>
      </c>
      <c r="N26" s="7">
        <f t="shared" si="1"/>
        <v>10353.569280000002</v>
      </c>
      <c r="O26" s="7">
        <f t="shared" si="1"/>
        <v>10391.681120000001</v>
      </c>
      <c r="P26" s="7">
        <f t="shared" si="1"/>
        <v>10429.552000000001</v>
      </c>
      <c r="Q26" s="7">
        <f t="shared" si="1"/>
        <v>10467.181920000001</v>
      </c>
      <c r="R26" s="7">
        <f t="shared" si="1"/>
        <v>10504.570880000001</v>
      </c>
      <c r="S26" s="7">
        <f t="shared" si="1"/>
        <v>10541.718880000002</v>
      </c>
      <c r="T26" s="7">
        <f t="shared" si="1"/>
        <v>10615.292000000001</v>
      </c>
    </row>
    <row r="27" spans="2:20" x14ac:dyDescent="0.2">
      <c r="B27" t="s">
        <v>28</v>
      </c>
      <c r="C27" s="7">
        <f t="shared" si="0"/>
        <v>9541.102359999999</v>
      </c>
      <c r="D27" s="7">
        <f t="shared" si="0"/>
        <v>9739.9038377600009</v>
      </c>
      <c r="E27" s="7">
        <f t="shared" si="0"/>
        <v>9939.7212028800004</v>
      </c>
      <c r="F27" s="7">
        <f t="shared" si="0"/>
        <v>10040</v>
      </c>
      <c r="G27" s="7">
        <f t="shared" si="0"/>
        <v>10140.519757120001</v>
      </c>
      <c r="H27" s="7">
        <f t="shared" si="0"/>
        <v>10241.276136959999</v>
      </c>
      <c r="I27" s="7">
        <f t="shared" si="0"/>
        <v>10342.264802239999</v>
      </c>
      <c r="J27" s="7">
        <f t="shared" si="0"/>
        <v>10443.48141568</v>
      </c>
      <c r="K27" s="7">
        <f t="shared" si="0"/>
        <v>10544.92164</v>
      </c>
      <c r="L27" s="7">
        <f t="shared" si="0"/>
        <v>10646.581137920002</v>
      </c>
      <c r="M27" s="7">
        <f t="shared" si="1"/>
        <v>10748.455572160001</v>
      </c>
      <c r="N27" s="7">
        <f t="shared" si="1"/>
        <v>10850.540605440003</v>
      </c>
      <c r="O27" s="7">
        <f t="shared" si="1"/>
        <v>10952.831900480001</v>
      </c>
      <c r="P27" s="7">
        <f t="shared" si="1"/>
        <v>11055.325120000001</v>
      </c>
      <c r="Q27" s="7">
        <f t="shared" si="1"/>
        <v>11158.015926720002</v>
      </c>
      <c r="R27" s="7">
        <f t="shared" si="1"/>
        <v>11260.899983360001</v>
      </c>
      <c r="S27" s="7">
        <f t="shared" si="1"/>
        <v>11363.972952640002</v>
      </c>
      <c r="T27" s="7">
        <f t="shared" si="1"/>
        <v>11570.668280000002</v>
      </c>
    </row>
    <row r="28" spans="2:20" x14ac:dyDescent="0.2">
      <c r="B28" t="s">
        <v>29</v>
      </c>
      <c r="C28" s="7">
        <f t="shared" si="0"/>
        <v>9302.5748009999988</v>
      </c>
      <c r="D28" s="7">
        <f t="shared" si="0"/>
        <v>9593.805280193601</v>
      </c>
      <c r="E28" s="7">
        <f t="shared" si="0"/>
        <v>9890.0225968655996</v>
      </c>
      <c r="F28" s="7">
        <f t="shared" si="0"/>
        <v>10040</v>
      </c>
      <c r="G28" s="7">
        <f t="shared" si="0"/>
        <v>10191.2223559056</v>
      </c>
      <c r="H28" s="7">
        <f t="shared" si="0"/>
        <v>10343.688898329599</v>
      </c>
      <c r="I28" s="7">
        <f t="shared" si="0"/>
        <v>10497.398774273597</v>
      </c>
      <c r="J28" s="7">
        <f t="shared" si="0"/>
        <v>10652.3510439936</v>
      </c>
      <c r="K28" s="7">
        <f t="shared" si="0"/>
        <v>10808.544680999999</v>
      </c>
      <c r="L28" s="7">
        <f t="shared" si="0"/>
        <v>10965.978572057602</v>
      </c>
      <c r="M28" s="7">
        <f t="shared" si="1"/>
        <v>11124.651517185601</v>
      </c>
      <c r="N28" s="7">
        <f t="shared" si="1"/>
        <v>11284.562229657604</v>
      </c>
      <c r="O28" s="7">
        <f t="shared" si="1"/>
        <v>11445.709336001601</v>
      </c>
      <c r="P28" s="7">
        <f t="shared" si="1"/>
        <v>11608.091376000002</v>
      </c>
      <c r="Q28" s="7">
        <f t="shared" si="1"/>
        <v>11771.706802689603</v>
      </c>
      <c r="R28" s="7">
        <f t="shared" si="1"/>
        <v>11936.553982361602</v>
      </c>
      <c r="S28" s="7">
        <f t="shared" si="1"/>
        <v>12102.631194561602</v>
      </c>
      <c r="T28" s="7">
        <f t="shared" si="1"/>
        <v>12438.468401000002</v>
      </c>
    </row>
    <row r="29" spans="2:20" x14ac:dyDescent="0.2">
      <c r="B29" t="s">
        <v>30</v>
      </c>
      <c r="C29" s="7">
        <f t="shared" si="0"/>
        <v>9116.523304979999</v>
      </c>
      <c r="D29" s="7">
        <f t="shared" si="0"/>
        <v>9478.6796168312776</v>
      </c>
      <c r="E29" s="7">
        <f t="shared" si="0"/>
        <v>9850.4625064781376</v>
      </c>
      <c r="F29" s="7">
        <f t="shared" si="0"/>
        <v>10040</v>
      </c>
      <c r="G29" s="7">
        <f t="shared" si="0"/>
        <v>10231.987245329223</v>
      </c>
      <c r="H29" s="7">
        <f t="shared" si="0"/>
        <v>10426.438409516237</v>
      </c>
      <c r="I29" s="7">
        <f t="shared" si="0"/>
        <v>10623.36755956488</v>
      </c>
      <c r="J29" s="7">
        <f t="shared" si="0"/>
        <v>10822.788660697497</v>
      </c>
      <c r="K29" s="7">
        <f t="shared" si="0"/>
        <v>11024.715574619999</v>
      </c>
      <c r="L29" s="7">
        <f t="shared" si="0"/>
        <v>11229.162057786985</v>
      </c>
      <c r="M29" s="7">
        <f t="shared" si="1"/>
        <v>11436.141759666798</v>
      </c>
      <c r="N29" s="7">
        <f t="shared" si="1"/>
        <v>11645.668221006648</v>
      </c>
      <c r="O29" s="7">
        <f t="shared" si="1"/>
        <v>11857.754872097659</v>
      </c>
      <c r="P29" s="7">
        <f t="shared" si="1"/>
        <v>12072.415031040002</v>
      </c>
      <c r="Q29" s="7">
        <f t="shared" si="1"/>
        <v>12289.661902007947</v>
      </c>
      <c r="R29" s="7">
        <f t="shared" si="1"/>
        <v>12509.508573514959</v>
      </c>
      <c r="S29" s="7">
        <f t="shared" si="1"/>
        <v>12731.968016678806</v>
      </c>
      <c r="T29" s="7">
        <f t="shared" si="1"/>
        <v>13184.776505060003</v>
      </c>
    </row>
    <row r="30" spans="2:20" x14ac:dyDescent="0.2">
      <c r="B30" t="s">
        <v>31</v>
      </c>
      <c r="C30" s="7">
        <f>C25*(C50+C17*(D55-C50))</f>
        <v>366.32700000000017</v>
      </c>
      <c r="D30" s="7">
        <f>D25*(C50+D17*(D55-C50))</f>
        <v>437.42892000000006</v>
      </c>
      <c r="E30" s="7">
        <f>E25*(C50+E17*(D55-C50))</f>
        <v>507.95388000000008</v>
      </c>
      <c r="F30" s="7">
        <f>F25*(C50+F17*(D55-C50))</f>
        <v>543</v>
      </c>
      <c r="G30" s="7">
        <f>G25*(C50+G17*(D55-C50))</f>
        <v>577.90188000000001</v>
      </c>
      <c r="H30" s="7">
        <f>H25*(C50+H17*(D55-C50))</f>
        <v>612.65951999999993</v>
      </c>
      <c r="I30" s="7">
        <f>I25*(C50+I17*(D55-C50))</f>
        <v>647.27292</v>
      </c>
      <c r="J30" s="7">
        <f>J25*(C50+J17*(D55-C50))</f>
        <v>681.74207999999987</v>
      </c>
      <c r="K30" s="7">
        <f>K25*(C50+K17*(D55-C50))</f>
        <v>716.06699999999989</v>
      </c>
      <c r="L30" s="7">
        <f>L25*(C50+L17*(D55-C50))</f>
        <v>750.24767999999995</v>
      </c>
      <c r="M30" s="7">
        <f>M25*(C50+M17*(D55-C50))</f>
        <v>784.2841199999998</v>
      </c>
      <c r="N30" s="7">
        <f>N25*(C50+N17*(D55-C50))</f>
        <v>818.17631999999981</v>
      </c>
      <c r="O30" s="7">
        <f>O25*(C50+O17*(D55-C50))</f>
        <v>851.92427999999984</v>
      </c>
      <c r="P30" s="7">
        <f>P25*(C50+P17*(D55-C50))</f>
        <v>885.52799999999979</v>
      </c>
      <c r="Q30" s="7">
        <f>Q25*(C50+Q17*(D55-C50))</f>
        <v>918.98747999999978</v>
      </c>
      <c r="R30" s="7">
        <f>R25*(C50+R17*(D55-C50))</f>
        <v>952.30271999999968</v>
      </c>
      <c r="S30" s="7">
        <f>S25*(C50+S17*(D55-C50))</f>
        <v>985.47371999999973</v>
      </c>
      <c r="T30" s="7">
        <f>T25*(C50+T17*(D55-C50))</f>
        <v>1051.3829999999996</v>
      </c>
    </row>
    <row r="31" spans="2:20" x14ac:dyDescent="0.2">
      <c r="B31" t="s">
        <v>32</v>
      </c>
      <c r="C31" s="7">
        <f>C26*(C50+C17*(E55-C50))</f>
        <v>330.74672000000015</v>
      </c>
      <c r="D31" s="7">
        <f>D26*(C50+D17*(E55-C50))</f>
        <v>414.67754592000011</v>
      </c>
      <c r="E31" s="7">
        <f>E26*(C50+E17*(E55-C50))</f>
        <v>499.90629696000008</v>
      </c>
      <c r="F31" s="7">
        <f>F26*(C50+F17*(E55-C50))</f>
        <v>543</v>
      </c>
      <c r="G31" s="7">
        <f>G26*(C50+G17*(E55-C50))</f>
        <v>586.40931104000003</v>
      </c>
      <c r="H31" s="7">
        <f>H26*(C50+H17*(E55-C50))</f>
        <v>630.13127231999988</v>
      </c>
      <c r="I31" s="7">
        <f>I26*(C50+I17*(E55-C50))</f>
        <v>674.16292607999992</v>
      </c>
      <c r="J31" s="7">
        <f>J26*(C50+J17*(E55-C50))</f>
        <v>718.50131455999986</v>
      </c>
      <c r="K31" s="7">
        <f>K26*(C50+K17*(E55-C50))</f>
        <v>763.14347999999995</v>
      </c>
      <c r="L31" s="7">
        <f>L26*(C50+L17*(E55-C50))</f>
        <v>808.08646464000003</v>
      </c>
      <c r="M31" s="7">
        <f>M26*(C50+M17*(E55-C50))</f>
        <v>853.3273107199999</v>
      </c>
      <c r="N31" s="7">
        <f>N26*(C50+N17*(E55-C50))</f>
        <v>898.86306047999994</v>
      </c>
      <c r="O31" s="7">
        <f>O26*(C50+O17*(E55-C50))</f>
        <v>944.69075615999998</v>
      </c>
      <c r="P31" s="7">
        <f>P26*(C50+P17*(E55-C50))</f>
        <v>990.80743999999981</v>
      </c>
      <c r="Q31" s="7">
        <f>Q26*(C50+Q17*(E55-C50))</f>
        <v>1037.2101542399998</v>
      </c>
      <c r="R31" s="7">
        <f>R26*(C50+R17*(E55-C50))</f>
        <v>1083.8959411199996</v>
      </c>
      <c r="S31" s="7">
        <f>S26*(C50+S17*(E55-C50))</f>
        <v>1130.8618428799998</v>
      </c>
      <c r="T31" s="7">
        <f>T26*(C50+T17*(E55-C50))</f>
        <v>1225.6221599999997</v>
      </c>
    </row>
    <row r="32" spans="2:20" x14ac:dyDescent="0.2">
      <c r="B32" t="s">
        <v>33</v>
      </c>
      <c r="C32" s="7">
        <f>C27*(C50+C17*(F55-C50))</f>
        <v>296.97156250000006</v>
      </c>
      <c r="D32" s="7">
        <f>D27*(C50+D17*(F55-C50))</f>
        <v>392.60349433680011</v>
      </c>
      <c r="E32" s="7">
        <f>E27*(C50+E17*(F55-C50))</f>
        <v>491.93699857680008</v>
      </c>
      <c r="F32" s="7">
        <f>F27*(C50+F17*(F55-C50))</f>
        <v>543</v>
      </c>
      <c r="G32" s="7">
        <f>G27*(C50+G17*(F55-C50))</f>
        <v>594.9980267848</v>
      </c>
      <c r="H32" s="7">
        <f>H27*(C50+H17*(F55-C50))</f>
        <v>647.93412372479986</v>
      </c>
      <c r="I32" s="7">
        <f>I27*(C50+I17*(F55-C50))</f>
        <v>701.81125595279991</v>
      </c>
      <c r="J32" s="7">
        <f>J27*(C50+J17*(F55-C50))</f>
        <v>756.63230894080004</v>
      </c>
      <c r="K32" s="7">
        <f>K27*(C50+K17*(F55-C50))</f>
        <v>812.40008850000004</v>
      </c>
      <c r="L32" s="7">
        <f>L27*(C50+L17*(F55-C50))</f>
        <v>869.11732078080013</v>
      </c>
      <c r="M32" s="7">
        <f>M27*(C50+M17*(F55-C50))</f>
        <v>926.78665227279998</v>
      </c>
      <c r="N32" s="7">
        <f>N27*(C50+N17*(F55-C50))</f>
        <v>985.41064980480019</v>
      </c>
      <c r="O32" s="7">
        <f>O27*(C50+O17*(F55-C50))</f>
        <v>1044.9918005448001</v>
      </c>
      <c r="P32" s="7">
        <f>P27*(C50+P17*(F55-C50))</f>
        <v>1105.532512</v>
      </c>
      <c r="Q32" s="7">
        <f>Q27*(C50+Q17*(F55-C50))</f>
        <v>1167.0351120168002</v>
      </c>
      <c r="R32" s="7">
        <f>R27*(C50+R17*(F55-C50))</f>
        <v>1229.5018487807999</v>
      </c>
      <c r="S32" s="7">
        <f>S27*(C50+S17*(F55-C50))</f>
        <v>1292.9348908168001</v>
      </c>
      <c r="T32" s="7">
        <f>T27*(C50+T17*(F55-C50))</f>
        <v>1422.7081665000001</v>
      </c>
    </row>
    <row r="33" spans="2:20" x14ac:dyDescent="0.2">
      <c r="B33" t="s">
        <v>34</v>
      </c>
      <c r="C33" s="7">
        <f>C28*(C50+C17*(G55-C50))</f>
        <v>266.29083643500002</v>
      </c>
      <c r="D33" s="7">
        <f>D28*(C50+D17*(G55-C50))</f>
        <v>372.32373400145769</v>
      </c>
      <c r="E33" s="7">
        <f>E28*(C50+E17*(G55-C50))</f>
        <v>484.53230228548318</v>
      </c>
      <c r="F33" s="7">
        <f>F28*(C50+F17*(G55-C50))</f>
        <v>543</v>
      </c>
      <c r="G33" s="7">
        <f>G28*(C50+G17*(G55-C50))</f>
        <v>603.06862809667689</v>
      </c>
      <c r="H33" s="7">
        <f>H28*(C50+H17*(G55-C50))</f>
        <v>664.75715386037768</v>
      </c>
      <c r="I33" s="7">
        <f>I28*(C50+I17*(G55-C50))</f>
        <v>728.08452295350219</v>
      </c>
      <c r="J33" s="7">
        <f>J28*(C50+J17*(G55-C50))</f>
        <v>793.0696572076032</v>
      </c>
      <c r="K33" s="7">
        <f>K28*(C50+K17*(G55-C50))</f>
        <v>859.73145241500004</v>
      </c>
      <c r="L33" s="7">
        <f>L28*(C50+L17*(G55-C50))</f>
        <v>928.08877612039691</v>
      </c>
      <c r="M33" s="7">
        <f>M28*(C50+M17*(G55-C50))</f>
        <v>998.1604654124975</v>
      </c>
      <c r="N33" s="7">
        <f>N28*(C50+N17*(G55-C50))</f>
        <v>1069.9653247156227</v>
      </c>
      <c r="O33" s="7">
        <f>O28*(C50+O17*(G55-C50))</f>
        <v>1143.5221235813233</v>
      </c>
      <c r="P33" s="7">
        <f>P28*(C50+P17*(G55-C50))</f>
        <v>1218.8495944800002</v>
      </c>
      <c r="Q33" s="7">
        <f>Q28*(C50+Q17*(G55-C50))</f>
        <v>1295.9664305925171</v>
      </c>
      <c r="R33" s="7">
        <f>R28*(C50+R17*(G55-C50))</f>
        <v>1374.8912836018176</v>
      </c>
      <c r="S33" s="7">
        <f>S28*(C50+S17*(G55-C50))</f>
        <v>1455.6427614845425</v>
      </c>
      <c r="T33" s="7">
        <f>T28*(C50+T17*(G55-C50))</f>
        <v>1622.6997919950002</v>
      </c>
    </row>
    <row r="34" spans="2:20" x14ac:dyDescent="0.2">
      <c r="B34" t="s">
        <v>35</v>
      </c>
      <c r="C34" s="7">
        <f>C29*(C50+C17*(H55-C50))</f>
        <v>238.17371144385001</v>
      </c>
      <c r="D34" s="7">
        <f>D29*(C50+D17*(H55-C50))</f>
        <v>353.63782976819328</v>
      </c>
      <c r="E34" s="7">
        <f>E29*(C50+E17*(H55-C50))</f>
        <v>477.66894182310216</v>
      </c>
      <c r="F34" s="7">
        <f>F29*(C50+F17*(H55-C50))</f>
        <v>543</v>
      </c>
      <c r="G34" s="7">
        <f>G29*(C50+G17*(H55-C50))</f>
        <v>610.59689623172824</v>
      </c>
      <c r="H34" s="7">
        <f>H29*(C50+H17*(H55-C50))</f>
        <v>680.50164950077692</v>
      </c>
      <c r="I34" s="7">
        <f>I29*(C50+I17*(H55-C50))</f>
        <v>752.75658856829159</v>
      </c>
      <c r="J34" s="7">
        <f>J29*(C50+J17*(H55-C50))</f>
        <v>827.40434904431982</v>
      </c>
      <c r="K34" s="7">
        <f>K29*(C50+K17*(H55-C50))</f>
        <v>904.48787039984995</v>
      </c>
      <c r="L34" s="7">
        <f>L29*(C50+L17*(H55-C50))</f>
        <v>984.05039292064748</v>
      </c>
      <c r="M34" s="7">
        <f>M29*(C50+M17*(H55-C50))</f>
        <v>1066.1354546028813</v>
      </c>
      <c r="N34" s="7">
        <f>N29*(C50+N17*(H55-C50))</f>
        <v>1150.7868879905495</v>
      </c>
      <c r="O34" s="7">
        <f>O29*(C50+O17*(H55-C50))</f>
        <v>1238.0488169546904</v>
      </c>
      <c r="P34" s="7">
        <f>P29*(C50+P17*(H55-C50))</f>
        <v>1327.9656534144003</v>
      </c>
      <c r="Q34" s="7">
        <f>Q29*(C50+Q17*(H55-C50))</f>
        <v>1420.5820939996318</v>
      </c>
      <c r="R34" s="7">
        <f>R29*(C50+R17*(H55-C50))</f>
        <v>1515.9431166557947</v>
      </c>
      <c r="S34" s="7">
        <f>S29*(C50+S17*(H55-C50))</f>
        <v>1614.0939771901512</v>
      </c>
      <c r="T34" s="7">
        <f>T29*(C50+T17*(H55-C50))</f>
        <v>1818.9476033026504</v>
      </c>
    </row>
    <row r="35" spans="2:20" x14ac:dyDescent="0.2">
      <c r="B35" t="s">
        <v>36</v>
      </c>
      <c r="C35" s="7">
        <f>MAX(0,C30*(1-0.306))+D56-D57-D58</f>
        <v>416.07379827397222</v>
      </c>
      <c r="D35" s="7">
        <f>MAX(0,D30*(1-0.306))+D56-D57-D58</f>
        <v>465.41853075397216</v>
      </c>
      <c r="E35" s="7">
        <f>MAX(0,E30*(1-0.306))+D56-D57-D58</f>
        <v>514.36285299397196</v>
      </c>
      <c r="F35" s="7">
        <f>MAX(0,F30*(1-0.306))+D56-D57-D58</f>
        <v>538.68486027397194</v>
      </c>
      <c r="G35" s="7">
        <f>MAX(0,G30*(1-0.306))+D56-D57-D58</f>
        <v>562.90676499397205</v>
      </c>
      <c r="H35" s="7">
        <f>MAX(0,H30*(1-0.306))+D56-D57-D58</f>
        <v>587.02856715397206</v>
      </c>
      <c r="I35" s="7">
        <f>MAX(0,I30*(1-0.306))+D56-D57-D58</f>
        <v>611.05026675397198</v>
      </c>
      <c r="J35" s="7">
        <f>MAX(0,J30*(1-0.306))+D56-D57-D58</f>
        <v>634.97186379397181</v>
      </c>
      <c r="K35" s="7">
        <f>MAX(0,K30*(1-0.306))+D56-D57-D58</f>
        <v>658.79335827397199</v>
      </c>
      <c r="L35" s="7">
        <f>MAX(0,L30*(1-0.306))+D56-D57-D58</f>
        <v>682.51475019397185</v>
      </c>
      <c r="M35" s="7">
        <f>MAX(0,M30*(1-0.306))+D56-D57-D58</f>
        <v>706.13603955397184</v>
      </c>
      <c r="N35" s="7">
        <f>MAX(0,N30*(1-0.306))+D56-D57-D58</f>
        <v>729.65722635397196</v>
      </c>
      <c r="O35" s="7">
        <f>MAX(0,O30*(1-0.306))+D56-D57-D58</f>
        <v>753.07831059397176</v>
      </c>
      <c r="P35" s="7">
        <f>MAX(0,P30*(1-0.306))+D56-D57-D58</f>
        <v>776.39929227397192</v>
      </c>
      <c r="Q35" s="7">
        <f>MAX(0,Q30*(1-0.306))+D56-D57-D58</f>
        <v>799.62017139397176</v>
      </c>
      <c r="R35" s="7">
        <f>MAX(0,R30*(1-0.306))+D56-D57-D58</f>
        <v>822.74094795397195</v>
      </c>
      <c r="S35" s="7">
        <f>MAX(0,S30*(1-0.306))+D56-D57-D58</f>
        <v>845.76162195397183</v>
      </c>
      <c r="T35" s="7">
        <f>MAX(0,T30*(1-0.306))+D56-D57-D58</f>
        <v>891.50266227397174</v>
      </c>
    </row>
    <row r="36" spans="2:20" x14ac:dyDescent="0.2">
      <c r="B36" t="s">
        <v>37</v>
      </c>
      <c r="C36" s="7">
        <f>MAX(0,C31*(1-0.306))+E56-E57-E58</f>
        <v>139.47584778958904</v>
      </c>
      <c r="D36" s="7">
        <f>MAX(0,D31*(1-0.306))+E56-E57-E58</f>
        <v>197.72384097806892</v>
      </c>
      <c r="E36" s="7">
        <f>MAX(0,E31*(1-0.306))+E56-E57-E58</f>
        <v>256.87259419982888</v>
      </c>
      <c r="F36" s="7">
        <f>MAX(0,F31*(1-0.306))+E56-E57-E58</f>
        <v>286.77962410958889</v>
      </c>
      <c r="G36" s="7">
        <f>MAX(0,G31*(1-0.306))+E56-E57-E58</f>
        <v>316.90568597134893</v>
      </c>
      <c r="H36" s="7">
        <f>MAX(0,H31*(1-0.306))+E56-E57-E58</f>
        <v>347.24872709966871</v>
      </c>
      <c r="I36" s="7">
        <f>MAX(0,I31*(1-0.306))+E56-E57-E58</f>
        <v>377.80669480910888</v>
      </c>
      <c r="J36" s="7">
        <f>MAX(0,J31*(1-0.306))+E56-E57-E58</f>
        <v>408.57753641422869</v>
      </c>
      <c r="K36" s="7">
        <f>MAX(0,K31*(1-0.306))+E56-E57-E58</f>
        <v>439.55919922958878</v>
      </c>
      <c r="L36" s="7">
        <f>MAX(0,L31*(1-0.306))+E56-E57-E58</f>
        <v>470.74963056974889</v>
      </c>
      <c r="M36" s="7">
        <f>MAX(0,M31*(1-0.306))+E56-E57-E58</f>
        <v>502.14677774926872</v>
      </c>
      <c r="N36" s="7">
        <f>MAX(0,N31*(1-0.306))+E56-E57-E58</f>
        <v>533.74858808270869</v>
      </c>
      <c r="O36" s="7">
        <f>MAX(0,O31*(1-0.306))+E56-E57-E58</f>
        <v>565.55300888462875</v>
      </c>
      <c r="P36" s="7">
        <f>MAX(0,P31*(1-0.306))+E56-E57-E58</f>
        <v>597.55798746958885</v>
      </c>
      <c r="Q36" s="7">
        <f>MAX(0,Q31*(1-0.306))+E56-E57-E58</f>
        <v>629.76147115214872</v>
      </c>
      <c r="R36" s="7">
        <f>MAX(0,R31*(1-0.306))+E56-E57-E58</f>
        <v>662.16140724686852</v>
      </c>
      <c r="S36" s="7">
        <f>MAX(0,S31*(1-0.306))+E56-E57-E58</f>
        <v>694.75574306830867</v>
      </c>
      <c r="T36" s="7">
        <f>MAX(0,T31*(1-0.306))+E56-E57-E58</f>
        <v>760.5194031495887</v>
      </c>
    </row>
    <row r="37" spans="2:20" x14ac:dyDescent="0.2">
      <c r="B37" t="s">
        <v>38</v>
      </c>
      <c r="C37" s="7">
        <f>MAX(0,C32*(1-0.306))+F56-F57-F58</f>
        <v>94.850662178835421</v>
      </c>
      <c r="D37" s="7">
        <f>MAX(0,D32*(1-0.306))+F56-F57-F58</f>
        <v>161.21922287357444</v>
      </c>
      <c r="E37" s="7">
        <f>MAX(0,E32*(1-0.306))+F56-F57-F58</f>
        <v>230.15667481613451</v>
      </c>
      <c r="F37" s="7">
        <f>MAX(0,F32*(1-0.306))+F56-F57-F58</f>
        <v>265.59439780383542</v>
      </c>
      <c r="G37" s="7">
        <f>MAX(0,G32*(1-0.306))+F56-F57-F58</f>
        <v>301.68102839248655</v>
      </c>
      <c r="H37" s="7">
        <f>MAX(0,H32*(1-0.306))+F56-F57-F58</f>
        <v>338.41867966884644</v>
      </c>
      <c r="I37" s="7">
        <f>MAX(0,I32*(1-0.306))+F56-F57-F58</f>
        <v>375.80940943507841</v>
      </c>
      <c r="J37" s="7">
        <f>MAX(0,J32*(1-0.306))+F56-F57-F58</f>
        <v>413.85522020875038</v>
      </c>
      <c r="K37" s="7">
        <f>MAX(0,K32*(1-0.306))+F56-F57-F58</f>
        <v>452.55805922283531</v>
      </c>
      <c r="L37" s="7">
        <f>MAX(0,L32*(1-0.306))+F56-F57-F58</f>
        <v>491.91981842571073</v>
      </c>
      <c r="M37" s="7">
        <f>MAX(0,M32*(1-0.306))+F56-F57-F58</f>
        <v>531.94233448115847</v>
      </c>
      <c r="N37" s="7">
        <f>MAX(0,N32*(1-0.306))+F56-F57-F58</f>
        <v>572.62738876836647</v>
      </c>
      <c r="O37" s="7">
        <f>MAX(0,O32*(1-0.306))+F56-F57-F58</f>
        <v>613.97670738192642</v>
      </c>
      <c r="P37" s="7">
        <f>MAX(0,P32*(1-0.306))+F56-F57-F58</f>
        <v>655.99196113183507</v>
      </c>
      <c r="Q37" s="7">
        <f>MAX(0,Q32*(1-0.306))+F56-F57-F58</f>
        <v>698.67476554349469</v>
      </c>
      <c r="R37" s="7">
        <f>MAX(0,R32*(1-0.306))+F56-F57-F58</f>
        <v>742.02668085771029</v>
      </c>
      <c r="S37" s="7">
        <f>MAX(0,S32*(1-0.306))+F56-F57-F58</f>
        <v>786.04921203069443</v>
      </c>
      <c r="T37" s="7">
        <f>MAX(0,T32*(1-0.306))+F56-F57-F58</f>
        <v>876.11186535483512</v>
      </c>
    </row>
    <row r="38" spans="2:20" x14ac:dyDescent="0.2">
      <c r="B38" t="s">
        <v>39</v>
      </c>
      <c r="C38" s="7">
        <f>MAX(0,C33*(1-0.306))+G56-G57-G58</f>
        <v>99.932746554360179</v>
      </c>
      <c r="D38" s="7">
        <f>MAX(0,D33*(1-0.306))+G56-G57-G58</f>
        <v>173.51957746548192</v>
      </c>
      <c r="E38" s="7">
        <f>MAX(0,E33*(1-0.306))+G56-G57-G58</f>
        <v>251.39232385459559</v>
      </c>
      <c r="F38" s="7">
        <f>MAX(0,F33*(1-0.306))+G56-G57-G58</f>
        <v>291.96890606847023</v>
      </c>
      <c r="G38" s="7">
        <f>MAX(0,G33*(1-0.306))+G56-G57-G58</f>
        <v>333.65653396756397</v>
      </c>
      <c r="H38" s="7">
        <f>MAX(0,H33*(1-0.306))+G56-G57-G58</f>
        <v>376.46837084757226</v>
      </c>
      <c r="I38" s="7">
        <f>MAX(0,I33*(1-0.306))+G56-G57-G58</f>
        <v>420.41756499820076</v>
      </c>
      <c r="J38" s="7">
        <f>MAX(0,J33*(1-0.306))+G56-G57-G58</f>
        <v>465.51724817054696</v>
      </c>
      <c r="K38" s="7">
        <f>MAX(0,K33*(1-0.306))+G56-G57-G58</f>
        <v>511.78053404448019</v>
      </c>
      <c r="L38" s="7">
        <f>MAX(0,L33*(1-0.306))+G56-G57-G58</f>
        <v>559.2205166960257</v>
      </c>
      <c r="M38" s="7">
        <f>MAX(0,M33*(1-0.306))+G56-G57-G58</f>
        <v>607.85026906474354</v>
      </c>
      <c r="N38" s="7">
        <f>MAX(0,N33*(1-0.306))+G56-G57-G58</f>
        <v>657.68284142111247</v>
      </c>
      <c r="O38" s="7">
        <f>MAX(0,O33*(1-0.306))+G56-G57-G58</f>
        <v>708.73125983390855</v>
      </c>
      <c r="P38" s="7">
        <f>MAX(0,P33*(1-0.306))+G56-G57-G58</f>
        <v>761.00852463759043</v>
      </c>
      <c r="Q38" s="7">
        <f>MAX(0,Q33*(1-0.306))+G56-G57-G58</f>
        <v>814.52760889967703</v>
      </c>
      <c r="R38" s="7">
        <f>MAX(0,R33*(1-0.306))+G56-G57-G58</f>
        <v>869.3014568881315</v>
      </c>
      <c r="S38" s="7">
        <f>MAX(0,S33*(1-0.306))+G56-G57-G58</f>
        <v>925.34298253874272</v>
      </c>
      <c r="T38" s="7">
        <f>MAX(0,T33*(1-0.306))+G56-G57-G58</f>
        <v>1041.2805617130005</v>
      </c>
    </row>
    <row r="39" spans="2:20" x14ac:dyDescent="0.2">
      <c r="B39" t="s">
        <v>40</v>
      </c>
      <c r="C39" s="7">
        <f>MAX(0,C34*(1-0.306))+H56-H57-H58</f>
        <v>133.7694319834261</v>
      </c>
      <c r="D39" s="7">
        <f>MAX(0,D34*(1-0.306))+H56-H57-H58</f>
        <v>213.9015301005204</v>
      </c>
      <c r="E39" s="7">
        <f>MAX(0,E34*(1-0.306))+H56-H57-H58</f>
        <v>299.97912186662711</v>
      </c>
      <c r="F39" s="7">
        <f>MAX(0,F34*(1-0.306))+H56-H57-H58</f>
        <v>345.31887624139426</v>
      </c>
      <c r="G39" s="7">
        <f>MAX(0,G34*(1-0.306))+H56-H57-H58</f>
        <v>392.23112222621376</v>
      </c>
      <c r="H39" s="7">
        <f>MAX(0,H34*(1-0.306))+H56-H57-H58</f>
        <v>440.74502099493338</v>
      </c>
      <c r="I39" s="7">
        <f>MAX(0,I34*(1-0.306))+H56-H57-H58</f>
        <v>490.88994870778856</v>
      </c>
      <c r="J39" s="7">
        <f>MAX(0,J34*(1-0.306))+H56-H57-H58</f>
        <v>542.69549447815234</v>
      </c>
      <c r="K39" s="7">
        <f>MAX(0,K34*(1-0.306))+H56-H57-H58</f>
        <v>596.19145829889021</v>
      </c>
      <c r="L39" s="7">
        <f>MAX(0,L34*(1-0.306))+H56-H57-H58</f>
        <v>651.40784892832357</v>
      </c>
      <c r="M39" s="7">
        <f>MAX(0,M34*(1-0.306))+H56-H57-H58</f>
        <v>708.37488173579368</v>
      </c>
      <c r="N39" s="7">
        <f>MAX(0,N34*(1-0.306))+H56-H57-H58</f>
        <v>767.12297650683558</v>
      </c>
      <c r="O39" s="7">
        <f>MAX(0,O34*(1-0.306))+H56-H57-H58</f>
        <v>827.68275520794941</v>
      </c>
      <c r="P39" s="7">
        <f>MAX(0,P34*(1-0.306))+H56-H57-H58</f>
        <v>890.08503971098799</v>
      </c>
      <c r="Q39" s="7">
        <f>MAX(0,Q34*(1-0.306))+H56-H57-H58</f>
        <v>954.3608494771388</v>
      </c>
      <c r="R39" s="7">
        <f>MAX(0,R34*(1-0.306))+H56-H57-H58</f>
        <v>1020.5413992005156</v>
      </c>
      <c r="S39" s="7">
        <f>MAX(0,S34*(1-0.306))+H56-H57-H58</f>
        <v>1088.6580964113591</v>
      </c>
      <c r="T39" s="7">
        <f>MAX(0,T34*(1-0.306))+H56-H57-H58</f>
        <v>1230.8265129334336</v>
      </c>
    </row>
    <row r="40" spans="2:20" ht="14" x14ac:dyDescent="0.3">
      <c r="B40" s="5" t="s">
        <v>41</v>
      </c>
      <c r="C40" s="7">
        <f t="shared" ref="C40:T40" si="2">C35/(1+0.117440098695805)^(1+0)+C36/(1+0.117440098695805)^(1+1)+C37/(1+0.117440098695805)^(1+2)+C38/(1+0.117440098695805)^(1+3)+C39/(1+0.117440098695805)^(1+4)</f>
        <v>692.89352391623095</v>
      </c>
      <c r="D40" s="7">
        <f t="shared" si="2"/>
        <v>924.4535105234263</v>
      </c>
      <c r="E40" s="7">
        <f t="shared" si="2"/>
        <v>1164.3788991882391</v>
      </c>
      <c r="F40" s="7">
        <f t="shared" si="2"/>
        <v>1287.5407065069508</v>
      </c>
      <c r="G40" s="7">
        <f t="shared" si="2"/>
        <v>1412.8685282441929</v>
      </c>
      <c r="H40" s="7">
        <f t="shared" si="2"/>
        <v>1540.3874145887712</v>
      </c>
      <c r="I40" s="7">
        <f t="shared" si="2"/>
        <v>1670.1224898764513</v>
      </c>
      <c r="J40" s="7">
        <f t="shared" si="2"/>
        <v>1802.0989504399952</v>
      </c>
      <c r="K40" s="7">
        <f t="shared" si="2"/>
        <v>1936.3420624360222</v>
      </c>
      <c r="L40" s="7">
        <f t="shared" si="2"/>
        <v>2072.8771596486772</v>
      </c>
      <c r="M40" s="7">
        <f t="shared" si="2"/>
        <v>2211.729641270118</v>
      </c>
      <c r="N40" s="7">
        <f t="shared" si="2"/>
        <v>2352.9249696578217</v>
      </c>
      <c r="O40" s="7">
        <f t="shared" si="2"/>
        <v>2496.4886680686914</v>
      </c>
      <c r="P40" s="7">
        <f t="shared" si="2"/>
        <v>2642.4463183699986</v>
      </c>
      <c r="Q40" s="7">
        <f t="shared" si="2"/>
        <v>2790.8235587271238</v>
      </c>
      <c r="R40" s="7">
        <f t="shared" si="2"/>
        <v>2941.6460812681189</v>
      </c>
      <c r="S40" s="7">
        <f t="shared" si="2"/>
        <v>3094.9396297250896</v>
      </c>
      <c r="T40" s="7">
        <f t="shared" si="2"/>
        <v>3409.0430230215848</v>
      </c>
    </row>
    <row r="41" spans="2:20" x14ac:dyDescent="0.2">
      <c r="B41" t="s">
        <v>42</v>
      </c>
      <c r="C41" s="7">
        <f t="shared" ref="C41:T41" si="3">C39*(1+0.01)/(0.117440098695805-0.01)</f>
        <v>1257.5111894283434</v>
      </c>
      <c r="D41" s="7">
        <f t="shared" si="3"/>
        <v>2010.799952941228</v>
      </c>
      <c r="E41" s="7">
        <f t="shared" si="3"/>
        <v>2819.9798470319456</v>
      </c>
      <c r="F41" s="7">
        <f t="shared" si="3"/>
        <v>3246.2001546674492</v>
      </c>
      <c r="G41" s="7">
        <f t="shared" si="3"/>
        <v>3687.2028065620502</v>
      </c>
      <c r="H41" s="7">
        <f t="shared" si="3"/>
        <v>4143.2619348688631</v>
      </c>
      <c r="I41" s="7">
        <f t="shared" si="3"/>
        <v>4614.6536927392535</v>
      </c>
      <c r="J41" s="7">
        <f t="shared" si="3"/>
        <v>5101.6562352090923</v>
      </c>
      <c r="K41" s="7">
        <f t="shared" si="3"/>
        <v>5604.549699705276</v>
      </c>
      <c r="L41" s="7">
        <f t="shared" si="3"/>
        <v>6123.6161861725413</v>
      </c>
      <c r="M41" s="7">
        <f t="shared" si="3"/>
        <v>6659.1397368205007</v>
      </c>
      <c r="N41" s="7">
        <f t="shared" si="3"/>
        <v>7211.4063154909936</v>
      </c>
      <c r="O41" s="7">
        <f t="shared" si="3"/>
        <v>7780.7037866456176</v>
      </c>
      <c r="P41" s="7">
        <f t="shared" si="3"/>
        <v>8367.3218939736398</v>
      </c>
      <c r="Q41" s="7">
        <f t="shared" si="3"/>
        <v>8971.5522386200664</v>
      </c>
      <c r="R41" s="7">
        <f t="shared" si="3"/>
        <v>9593.6882570340204</v>
      </c>
      <c r="S41" s="7">
        <f t="shared" si="3"/>
        <v>10234.025198437428</v>
      </c>
      <c r="T41" s="7">
        <f t="shared" si="3"/>
        <v>11570.491773117723</v>
      </c>
    </row>
    <row r="42" spans="2:20" x14ac:dyDescent="0.2">
      <c r="B42" t="s">
        <v>43</v>
      </c>
      <c r="C42" s="7">
        <f t="shared" ref="C42:T42" si="4">C41/(1+0.117440098695805)^(1+4)</f>
        <v>721.75632687697032</v>
      </c>
      <c r="D42" s="7">
        <f t="shared" si="4"/>
        <v>1154.1110729829772</v>
      </c>
      <c r="E42" s="7">
        <f t="shared" si="4"/>
        <v>1618.544879259571</v>
      </c>
      <c r="F42" s="7">
        <f t="shared" si="4"/>
        <v>1863.1766616767268</v>
      </c>
      <c r="G42" s="7">
        <f t="shared" si="4"/>
        <v>2116.2928620336761</v>
      </c>
      <c r="H42" s="7">
        <f t="shared" si="4"/>
        <v>2378.0508201756425</v>
      </c>
      <c r="I42" s="7">
        <f t="shared" si="4"/>
        <v>2648.6090359122973</v>
      </c>
      <c r="J42" s="7">
        <f t="shared" si="4"/>
        <v>2928.1271580473094</v>
      </c>
      <c r="K42" s="7">
        <f t="shared" si="4"/>
        <v>3216.7659731899421</v>
      </c>
      <c r="L42" s="7">
        <f t="shared" si="4"/>
        <v>3514.6873943487126</v>
      </c>
      <c r="M42" s="7">
        <f t="shared" si="4"/>
        <v>3822.0544493070806</v>
      </c>
      <c r="N42" s="7">
        <f t="shared" si="4"/>
        <v>4139.0312687812102</v>
      </c>
      <c r="O42" s="7">
        <f t="shared" si="4"/>
        <v>4465.7830743597351</v>
      </c>
      <c r="P42" s="7">
        <f t="shared" si="4"/>
        <v>4802.4761662256342</v>
      </c>
      <c r="Q42" s="7">
        <f t="shared" si="4"/>
        <v>5149.277910660101</v>
      </c>
      <c r="R42" s="7">
        <f t="shared" si="4"/>
        <v>5506.3567273284807</v>
      </c>
      <c r="S42" s="7">
        <f t="shared" si="4"/>
        <v>5873.8820763482818</v>
      </c>
      <c r="T42" s="7">
        <f t="shared" si="4"/>
        <v>6640.9553350551068</v>
      </c>
    </row>
    <row r="43" spans="2:20" ht="14" x14ac:dyDescent="0.3">
      <c r="B43" s="5" t="s">
        <v>44</v>
      </c>
      <c r="C43" s="7">
        <f t="shared" ref="C43:T43" si="5">C40+C42</f>
        <v>1414.6498507932013</v>
      </c>
      <c r="D43" s="7">
        <f t="shared" si="5"/>
        <v>2078.5645835064033</v>
      </c>
      <c r="E43" s="7">
        <f t="shared" si="5"/>
        <v>2782.92377844781</v>
      </c>
      <c r="F43" s="7">
        <f t="shared" si="5"/>
        <v>3150.7173681836775</v>
      </c>
      <c r="G43" s="7">
        <f t="shared" si="5"/>
        <v>3529.161390277869</v>
      </c>
      <c r="H43" s="7">
        <f t="shared" si="5"/>
        <v>3918.4382347644137</v>
      </c>
      <c r="I43" s="7">
        <f t="shared" si="5"/>
        <v>4318.7315257887485</v>
      </c>
      <c r="J43" s="7">
        <f t="shared" si="5"/>
        <v>4730.2261084873044</v>
      </c>
      <c r="K43" s="7">
        <f t="shared" si="5"/>
        <v>5153.1080356259645</v>
      </c>
      <c r="L43" s="7">
        <f t="shared" si="5"/>
        <v>5587.5645539973902</v>
      </c>
      <c r="M43" s="7">
        <f t="shared" si="5"/>
        <v>6033.7840905771991</v>
      </c>
      <c r="N43" s="7">
        <f t="shared" si="5"/>
        <v>6491.9562384390319</v>
      </c>
      <c r="O43" s="7">
        <f t="shared" si="5"/>
        <v>6962.2717424284265</v>
      </c>
      <c r="P43" s="7">
        <f t="shared" si="5"/>
        <v>7444.9224845956323</v>
      </c>
      <c r="Q43" s="7">
        <f t="shared" si="5"/>
        <v>7940.1014693872248</v>
      </c>
      <c r="R43" s="7">
        <f t="shared" si="5"/>
        <v>8448.0028085966005</v>
      </c>
      <c r="S43" s="7">
        <f t="shared" si="5"/>
        <v>8968.8217060733714</v>
      </c>
      <c r="T43" s="7">
        <f t="shared" si="5"/>
        <v>10049.998358076691</v>
      </c>
    </row>
    <row r="44" spans="2:20" x14ac:dyDescent="0.2">
      <c r="B44" t="s">
        <v>45</v>
      </c>
      <c r="C44" s="7">
        <f t="shared" ref="C44:T44" si="6">C43-5201</f>
        <v>-3786.350149206799</v>
      </c>
      <c r="D44" s="7">
        <f t="shared" si="6"/>
        <v>-3122.4354164935967</v>
      </c>
      <c r="E44" s="7">
        <f t="shared" si="6"/>
        <v>-2418.07622155219</v>
      </c>
      <c r="F44" s="7">
        <f t="shared" si="6"/>
        <v>-2050.2826318163225</v>
      </c>
      <c r="G44" s="7">
        <f t="shared" si="6"/>
        <v>-1671.838609722131</v>
      </c>
      <c r="H44" s="7">
        <f t="shared" si="6"/>
        <v>-1282.5617652355863</v>
      </c>
      <c r="I44" s="7">
        <f t="shared" si="6"/>
        <v>-882.26847421125149</v>
      </c>
      <c r="J44" s="7">
        <f t="shared" si="6"/>
        <v>-470.77389151269563</v>
      </c>
      <c r="K44" s="7">
        <f t="shared" si="6"/>
        <v>-47.891964374035524</v>
      </c>
      <c r="L44" s="7">
        <f t="shared" si="6"/>
        <v>386.56455399739025</v>
      </c>
      <c r="M44" s="7">
        <f t="shared" si="6"/>
        <v>832.78409057719909</v>
      </c>
      <c r="N44" s="7">
        <f t="shared" si="6"/>
        <v>1290.9562384390319</v>
      </c>
      <c r="O44" s="7">
        <f t="shared" si="6"/>
        <v>1761.2717424284265</v>
      </c>
      <c r="P44" s="7">
        <f t="shared" si="6"/>
        <v>2243.9224845956323</v>
      </c>
      <c r="Q44" s="7">
        <f t="shared" si="6"/>
        <v>2739.1014693872248</v>
      </c>
      <c r="R44" s="7">
        <f t="shared" si="6"/>
        <v>3247.0028085966005</v>
      </c>
      <c r="S44" s="7">
        <f t="shared" si="6"/>
        <v>3767.8217060733714</v>
      </c>
      <c r="T44" s="7">
        <f t="shared" si="6"/>
        <v>4848.9983580766911</v>
      </c>
    </row>
    <row r="45" spans="2:20" ht="14" x14ac:dyDescent="0.3">
      <c r="B45" s="8" t="s">
        <v>46</v>
      </c>
      <c r="C45" s="9">
        <f t="shared" ref="C45:T45" si="7">C44*1000000/11618742</f>
        <v>-325.88296987804694</v>
      </c>
      <c r="D45" s="9">
        <f t="shared" si="7"/>
        <v>-268.74126445820008</v>
      </c>
      <c r="E45" s="9">
        <f t="shared" si="7"/>
        <v>-208.11859162998798</v>
      </c>
      <c r="F45" s="9">
        <f t="shared" si="7"/>
        <v>-176.46339266474138</v>
      </c>
      <c r="G45" s="9">
        <f t="shared" si="7"/>
        <v>-143.89153401651669</v>
      </c>
      <c r="H45" s="9">
        <f t="shared" si="7"/>
        <v>-110.38731776947851</v>
      </c>
      <c r="I45" s="9">
        <f t="shared" si="7"/>
        <v>-75.934939790491214</v>
      </c>
      <c r="J45" s="9">
        <f t="shared" si="7"/>
        <v>-40.518490858364494</v>
      </c>
      <c r="K45" s="9">
        <f t="shared" si="7"/>
        <v>-4.1219578138524398</v>
      </c>
      <c r="L45" s="9">
        <f t="shared" si="7"/>
        <v>33.270775269593756</v>
      </c>
      <c r="M45" s="9">
        <f t="shared" si="7"/>
        <v>71.675925894317913</v>
      </c>
      <c r="N45" s="9">
        <f t="shared" si="7"/>
        <v>111.10981192619923</v>
      </c>
      <c r="O45" s="9">
        <f t="shared" si="7"/>
        <v>151.58885036163352</v>
      </c>
      <c r="P45" s="9">
        <f t="shared" si="7"/>
        <v>193.12955607376708</v>
      </c>
      <c r="Q45" s="9">
        <f t="shared" si="7"/>
        <v>235.74854053797085</v>
      </c>
      <c r="R45" s="9">
        <f t="shared" si="7"/>
        <v>279.46251053656243</v>
      </c>
      <c r="S45" s="9">
        <f t="shared" si="7"/>
        <v>324.28826684277624</v>
      </c>
      <c r="T45" s="9">
        <f t="shared" si="7"/>
        <v>417.34280338410912</v>
      </c>
    </row>
    <row r="47" spans="2:20" ht="14" x14ac:dyDescent="0.3">
      <c r="B47" s="46" t="s">
        <v>47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</row>
    <row r="48" spans="2:20" x14ac:dyDescent="0.2">
      <c r="B48" t="s">
        <v>48</v>
      </c>
      <c r="C48" s="7">
        <v>10040</v>
      </c>
    </row>
    <row r="49" spans="2:8" x14ac:dyDescent="0.2">
      <c r="B49" t="s">
        <v>49</v>
      </c>
      <c r="C49" s="7">
        <v>543</v>
      </c>
    </row>
    <row r="50" spans="2:8" x14ac:dyDescent="0.2">
      <c r="B50" t="s">
        <v>50</v>
      </c>
      <c r="C50" s="6">
        <v>5.408366533864542E-2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10040</v>
      </c>
      <c r="D52" s="7">
        <v>9839.2000000000007</v>
      </c>
      <c r="E52" s="7">
        <v>10429.552</v>
      </c>
      <c r="F52" s="7">
        <v>11055.32512</v>
      </c>
      <c r="G52" s="7">
        <v>11608.091376</v>
      </c>
      <c r="H52" s="7">
        <v>12072.41503104</v>
      </c>
    </row>
    <row r="53" spans="2:8" ht="14" x14ac:dyDescent="0.3">
      <c r="B53" s="5" t="s">
        <v>58</v>
      </c>
      <c r="C53" s="7">
        <v>10040</v>
      </c>
      <c r="D53" s="7">
        <v>9839.2000000000007</v>
      </c>
      <c r="E53" s="7">
        <v>10429.552</v>
      </c>
      <c r="F53" s="7">
        <v>11055.32512</v>
      </c>
      <c r="G53" s="7">
        <v>11608.091376</v>
      </c>
      <c r="H53" s="7">
        <v>12072.41503104</v>
      </c>
    </row>
    <row r="54" spans="2:8" x14ac:dyDescent="0.2">
      <c r="B54" t="s">
        <v>59</v>
      </c>
      <c r="D54" s="6">
        <v>-1.999999999999991E-2</v>
      </c>
      <c r="E54" s="6">
        <v>6.0000000000000053E-2</v>
      </c>
      <c r="F54" s="6">
        <v>6.0000000000000053E-2</v>
      </c>
      <c r="G54" s="6">
        <v>5.0000000000000037E-2</v>
      </c>
      <c r="H54" s="6">
        <v>4.0000000000000042E-2</v>
      </c>
    </row>
    <row r="55" spans="2:8" x14ac:dyDescent="0.2">
      <c r="B55" t="s">
        <v>60</v>
      </c>
      <c r="D55" s="6">
        <v>8.9999999999999969E-2</v>
      </c>
      <c r="E55" s="6">
        <v>9.4999999999999973E-2</v>
      </c>
      <c r="F55" s="6">
        <v>9.9999999999999992E-2</v>
      </c>
      <c r="G55" s="6">
        <v>0.105</v>
      </c>
      <c r="H55" s="6">
        <v>0.11</v>
      </c>
    </row>
    <row r="56" spans="2:8" x14ac:dyDescent="0.2">
      <c r="B56" t="s">
        <v>61</v>
      </c>
      <c r="D56" s="7">
        <v>718.26160000000004</v>
      </c>
      <c r="E56" s="7">
        <v>761.35729600000002</v>
      </c>
      <c r="F56" s="7">
        <v>807.03873376000001</v>
      </c>
      <c r="G56" s="7">
        <v>847.39067044800015</v>
      </c>
      <c r="H56" s="7">
        <v>881.2862972659201</v>
      </c>
    </row>
    <row r="57" spans="2:8" x14ac:dyDescent="0.2">
      <c r="B57" t="s">
        <v>62</v>
      </c>
      <c r="D57" s="7">
        <v>688.74400000000014</v>
      </c>
      <c r="E57" s="7">
        <v>730.06864000000019</v>
      </c>
      <c r="F57" s="7">
        <v>773.87275840000018</v>
      </c>
      <c r="G57" s="7">
        <v>812.56639632000019</v>
      </c>
      <c r="H57" s="7">
        <v>845.06905217280018</v>
      </c>
    </row>
    <row r="58" spans="2:8" x14ac:dyDescent="0.2">
      <c r="B58" t="s">
        <v>63</v>
      </c>
      <c r="D58" s="7">
        <v>-132.32526027397219</v>
      </c>
      <c r="E58" s="7">
        <v>121.35103189041089</v>
      </c>
      <c r="F58" s="7">
        <v>144.41357755616451</v>
      </c>
      <c r="G58" s="7">
        <v>119.69736805952969</v>
      </c>
      <c r="H58" s="7">
        <v>67.740368851725634</v>
      </c>
    </row>
    <row r="62" spans="2:8" ht="14.5" x14ac:dyDescent="0.35">
      <c r="B62" s="44" t="s">
        <v>64</v>
      </c>
      <c r="C62" s="45"/>
      <c r="D62" s="45"/>
      <c r="E62" s="45"/>
      <c r="F62" s="45"/>
    </row>
    <row r="63" spans="2:8" ht="14" x14ac:dyDescent="0.3">
      <c r="B63" s="1" t="s">
        <v>2</v>
      </c>
      <c r="C63" s="1" t="s">
        <v>3</v>
      </c>
      <c r="D63" s="1" t="s">
        <v>65</v>
      </c>
      <c r="E63" s="1" t="s">
        <v>66</v>
      </c>
      <c r="F63" s="1" t="s">
        <v>67</v>
      </c>
    </row>
    <row r="64" spans="2:8" x14ac:dyDescent="0.2">
      <c r="B64" s="2" t="str">
        <f t="shared" ref="B64:C68" si="8">B7</f>
        <v>Current Price</v>
      </c>
      <c r="C64" s="3">
        <f t="shared" si="8"/>
        <v>3350</v>
      </c>
      <c r="D64" s="10">
        <f>INDEX($C$17:$T$17,MAX(1,MIN(IFERROR(MATCH(C64,$C$45:$T$45,1),1),17)))+(C64-INDEX($C$45:$T$45,MAX(1,MIN(IFERROR(MATCH(C64,$C$45:$T$45,1),1),17))))/(INDEX($C$45:$T$45,MAX(1,MIN(IFERROR(MATCH(C64,$C$45:$T$45,1),1),17))+1)-INDEX($C$45:$T$45,MAX(1,MIN(IFERROR(MATCH(C64,$C$45:$T$45,1),1),17))))*(INDEX($C$17:$T$17,MAX(1,MIN(IFERROR(MATCH(C64,$C$45:$T$45,1),1),17))+1)-INDEX($C$17:$T$17,MAX(1,MIN(IFERROR(MATCH(C64,$C$45:$T$45,1),1),17))))</f>
        <v>7.8030934452363097</v>
      </c>
      <c r="E64" s="2" t="str">
        <f>IF(D64&lt;-0.3,"Deep Pessimism",IF(D64&lt;0,"Pessimistic",IF(D64&lt;0.5,"Neutral",IF(D64&lt;1,"Mild Optimism","Bullish"))))</f>
        <v>Bullish</v>
      </c>
      <c r="F64" s="2" t="str">
        <f>IF(D64&lt;-0.3,"Base growth halved or worse",IF(D64&lt;0,"Below-Base, conservative",IF(D64&lt;0.5,"0-50% of Base growth priced in",IF(D64&lt;1,"50-100% of Base priced in","Above-Base optimism"))))</f>
        <v>Above-Base optimism</v>
      </c>
    </row>
    <row r="65" spans="2:7" x14ac:dyDescent="0.2">
      <c r="B65" s="2" t="str">
        <f t="shared" si="8"/>
        <v>DCF Base PGM Target</v>
      </c>
      <c r="C65" s="3">
        <f t="shared" si="8"/>
        <v>193.12955607376441</v>
      </c>
      <c r="D65" s="10">
        <f>INDEX($C$17:$T$17,MAX(1,MIN(IFERROR(MATCH(C65,$C$45:$T$45,1),1),17)))+(C65-INDEX($C$45:$T$45,MAX(1,MIN(IFERROR(MATCH(C65,$C$45:$T$45,1),1),17))))/(INDEX($C$45:$T$45,MAX(1,MIN(IFERROR(MATCH(C65,$C$45:$T$45,1),1),17))+1)-INDEX($C$45:$T$45,MAX(1,MIN(IFERROR(MATCH(C65,$C$45:$T$45,1),1),17))))*(INDEX($C$17:$T$17,MAX(1,MIN(IFERROR(MATCH(C65,$C$45:$T$45,1),1),17))+1)-INDEX($C$17:$T$17,MAX(1,MIN(IFERROR(MATCH(C65,$C$45:$T$45,1),1),17))))</f>
        <v>0.99999999999999356</v>
      </c>
      <c r="E65" s="2" t="str">
        <f>IF(D65&lt;-0.3,"Deep Pessimism",IF(D65&lt;0,"Pessimistic",IF(D65&lt;0.5,"Neutral",IF(D65&lt;1,"Mild Optimism","Bullish"))))</f>
        <v>Mild Optimism</v>
      </c>
      <c r="F65" s="2" t="str">
        <f>IF(D65&lt;-0.3,"Base growth halved or worse",IF(D65&lt;0,"Below-Base, conservative",IF(D65&lt;0.5,"0-50% of Base growth priced in",IF(D65&lt;1,"50-100% of Base priced in","Above-Base optimism"))))</f>
        <v>50-100% of Base priced in</v>
      </c>
    </row>
    <row r="66" spans="2:7" x14ac:dyDescent="0.2">
      <c r="B66" s="2" t="str">
        <f t="shared" si="8"/>
        <v>DCF Exit-Multiple Target</v>
      </c>
      <c r="C66" s="3">
        <f t="shared" si="8"/>
        <v>871</v>
      </c>
      <c r="D66" s="10">
        <f>INDEX($C$17:$T$17,MAX(1,MIN(IFERROR(MATCH(C66,$C$45:$T$45,1),1),17)))+(C66-INDEX($C$45:$T$45,MAX(1,MIN(IFERROR(MATCH(C66,$C$45:$T$45,1),1),17))))/(INDEX($C$45:$T$45,MAX(1,MIN(IFERROR(MATCH(C66,$C$45:$T$45,1),1),17))+1)-INDEX($C$45:$T$45,MAX(1,MIN(IFERROR(MATCH(C66,$C$45:$T$45,1),1),17))))*(INDEX($C$17:$T$17,MAX(1,MIN(IFERROR(MATCH(C66,$C$45:$T$45,1),1),17))+1)-INDEX($C$17:$T$17,MAX(1,MIN(IFERROR(MATCH(C66,$C$45:$T$45,1),1),17))))</f>
        <v>2.4750350997973873</v>
      </c>
      <c r="E66" s="2" t="str">
        <f>IF(D66&lt;-0.3,"Deep Pessimism",IF(D66&lt;0,"Pessimistic",IF(D66&lt;0.5,"Neutral",IF(D66&lt;1,"Mild Optimism","Bullish"))))</f>
        <v>Bullish</v>
      </c>
      <c r="F66" s="2" t="str">
        <f>IF(D66&lt;-0.3,"Base growth halved or worse",IF(D66&lt;0,"Below-Base, conservative",IF(D66&lt;0.5,"0-50% of Base growth priced in",IF(D66&lt;1,"50-100% of Base priced in","Above-Base optimism"))))</f>
        <v>Above-Base optimism</v>
      </c>
    </row>
    <row r="67" spans="2:7" x14ac:dyDescent="0.2">
      <c r="B67" s="2" t="str">
        <f t="shared" si="8"/>
        <v>Recent Low</v>
      </c>
      <c r="C67" s="3">
        <f t="shared" si="8"/>
        <v>1394</v>
      </c>
      <c r="D67" s="10">
        <f>INDEX($C$17:$T$17,MAX(1,MIN(IFERROR(MATCH(C67,$C$45:$T$45,1),1),17)))+(C67-INDEX($C$45:$T$45,MAX(1,MIN(IFERROR(MATCH(C67,$C$45:$T$45,1),1),17))))/(INDEX($C$45:$T$45,MAX(1,MIN(IFERROR(MATCH(C67,$C$45:$T$45,1),1),17))+1)-INDEX($C$45:$T$45,MAX(1,MIN(IFERROR(MATCH(C67,$C$45:$T$45,1),1),17))))*(INDEX($C$17:$T$17,MAX(1,MIN(IFERROR(MATCH(C67,$C$45:$T$45,1),1),17))+1)-INDEX($C$17:$T$17,MAX(1,MIN(IFERROR(MATCH(C67,$C$45:$T$45,1),1),17))))</f>
        <v>3.5991071105535619</v>
      </c>
      <c r="E67" s="2" t="str">
        <f>IF(D67&lt;-0.3,"Deep Pessimism",IF(D67&lt;0,"Pessimistic",IF(D67&lt;0.5,"Neutral",IF(D67&lt;1,"Mild Optimism","Bullish"))))</f>
        <v>Bullish</v>
      </c>
      <c r="F67" s="2" t="str">
        <f>IF(D67&lt;-0.3,"Base growth halved or worse",IF(D67&lt;0,"Below-Base, conservative",IF(D67&lt;0.5,"0-50% of Base growth priced in",IF(D67&lt;1,"50-100% of Base priced in","Above-Base optimism"))))</f>
        <v>Above-Base optimism</v>
      </c>
    </row>
    <row r="68" spans="2:7" x14ac:dyDescent="0.2">
      <c r="B68" s="2" t="str">
        <f t="shared" si="8"/>
        <v>Recent High</v>
      </c>
      <c r="C68" s="3">
        <f t="shared" si="8"/>
        <v>7420</v>
      </c>
      <c r="D68" s="10">
        <f>INDEX($C$17:$T$17,MAX(1,MIN(IFERROR(MATCH(C68,$C$45:$T$45,1),1),17)))+(C68-INDEX($C$45:$T$45,MAX(1,MIN(IFERROR(MATCH(C68,$C$45:$T$45,1),1),17))))/(INDEX($C$45:$T$45,MAX(1,MIN(IFERROR(MATCH(C68,$C$45:$T$45,1),1),17))+1)-INDEX($C$45:$T$45,MAX(1,MIN(IFERROR(MATCH(C68,$C$45:$T$45,1),1),17))))*(INDEX($C$17:$T$17,MAX(1,MIN(IFERROR(MATCH(C68,$C$45:$T$45,1),1),17))+1)-INDEX($C$17:$T$17,MAX(1,MIN(IFERROR(MATCH(C68,$C$45:$T$45,1),1),17))))</f>
        <v>16.550651922822603</v>
      </c>
      <c r="E68" s="2" t="str">
        <f>IF(D68&lt;-0.3,"Deep Pessimism",IF(D68&lt;0,"Pessimistic",IF(D68&lt;0.5,"Neutral",IF(D68&lt;1,"Mild Optimism","Bullish"))))</f>
        <v>Bullish</v>
      </c>
      <c r="F68" s="2" t="str">
        <f>IF(D68&lt;-0.3,"Base growth halved or worse",IF(D68&lt;0,"Below-Base, conservative",IF(D68&lt;0.5,"0-50% of Base growth priced in",IF(D68&lt;1,"50-100% of Base priced in","Above-Base optimism"))))</f>
        <v>Above-Base optimism</v>
      </c>
    </row>
    <row r="70" spans="2:7" ht="14.5" x14ac:dyDescent="0.35">
      <c r="B70" s="44" t="s">
        <v>68</v>
      </c>
      <c r="C70" s="45"/>
      <c r="D70" s="45"/>
      <c r="E70" s="45"/>
      <c r="F70" s="45"/>
      <c r="G70" s="45"/>
    </row>
    <row r="71" spans="2:7" ht="14" x14ac:dyDescent="0.3">
      <c r="B71" s="1" t="s">
        <v>69</v>
      </c>
      <c r="C71" s="1" t="s">
        <v>70</v>
      </c>
      <c r="D71" s="1" t="s">
        <v>71</v>
      </c>
      <c r="E71" s="1" t="s">
        <v>72</v>
      </c>
      <c r="F71" s="1" t="s">
        <v>73</v>
      </c>
      <c r="G71" s="1" t="s">
        <v>74</v>
      </c>
    </row>
    <row r="72" spans="2:7" x14ac:dyDescent="0.2">
      <c r="B72" s="2" t="s">
        <v>75</v>
      </c>
      <c r="C72" s="11">
        <v>1</v>
      </c>
      <c r="D72" s="12">
        <f>((1+C72*D54)*(1+C72*E54)*(1+C72*F54)*(1+C72*G54)*(1+C72*H54))^(1/5)-1</f>
        <v>3.7557296614772806E-2</v>
      </c>
      <c r="E72" s="12">
        <f>C50+(AVERAGE(D55,E55,F55,G55,H55)-C50)*C72</f>
        <v>9.9999999999999978E-2</v>
      </c>
      <c r="F72" s="13">
        <f>C72-D64</f>
        <v>-6.8030934452363097</v>
      </c>
      <c r="G72" s="2" t="str">
        <f>IF(F72&gt;0.5,"BULLISH (Buy candidate)",IF(F72&gt;0.2,"Mildly Bullish",IF(F72&gt;=-0.2,"Aligned",IF(F72&gt;=-0.5,"Mildly Bearish","BEARISH (Sell candidate)"))))</f>
        <v>BEARISH (Sell candidate)</v>
      </c>
    </row>
    <row r="73" spans="2:7" x14ac:dyDescent="0.2">
      <c r="B73" s="2" t="s">
        <v>76</v>
      </c>
      <c r="C73" s="11">
        <v>1.5</v>
      </c>
      <c r="D73" s="12">
        <f>((1+C73*D54)*(1+C73*E54)*(1+C73*F54)*(1+C73*G54)*(1+C73*H54))^(1/5)-1</f>
        <v>5.6009467775315569E-2</v>
      </c>
      <c r="E73" s="12">
        <f>C50+(AVERAGE(D55,E55,F55,G55,H55)-C50)*C73</f>
        <v>0.12295816733067726</v>
      </c>
      <c r="F73" s="13">
        <f>C73-D64</f>
        <v>-6.3030934452363097</v>
      </c>
      <c r="G73" s="2" t="str">
        <f>IF(F73&gt;0.5,"BULLISH (Buy candidate)",IF(F73&gt;0.2,"Mildly Bullish",IF(F73&gt;=-0.2,"Aligned",IF(F73&gt;=-0.5,"Mildly Bearish","BEARISH (Sell candidate)"))))</f>
        <v>BEARISH (Sell candidate)</v>
      </c>
    </row>
    <row r="74" spans="2:7" x14ac:dyDescent="0.2">
      <c r="B74" s="2" t="s">
        <v>77</v>
      </c>
      <c r="C74" s="11">
        <v>0.85</v>
      </c>
      <c r="D74" s="12">
        <f>((1+C74*D54)*(1+C74*E54)*(1+C74*F54)*(1+C74*G54)*(1+C74*H54))^(1/5)-1</f>
        <v>3.1979595587472875E-2</v>
      </c>
      <c r="E74" s="12">
        <f>C50+(AVERAGE(D55,E55,F55,G55,H55)-C50)*C74</f>
        <v>9.3112549800796793E-2</v>
      </c>
      <c r="F74" s="13">
        <f>C74-D64</f>
        <v>-6.95309344523631</v>
      </c>
      <c r="G74" s="2" t="str">
        <f>IF(F74&gt;0.5,"BULLISH (Buy candidate)",IF(F74&gt;0.2,"Mildly Bullish",IF(F74&gt;=-0.2,"Aligned",IF(F74&gt;=-0.5,"Mildly Bearish","BEARISH (Sell candidate)"))))</f>
        <v>BEARISH (Sell candidate)</v>
      </c>
    </row>
    <row r="75" spans="2:7" x14ac:dyDescent="0.2">
      <c r="B75" s="2" t="s">
        <v>78</v>
      </c>
      <c r="C75" s="11">
        <v>0.4</v>
      </c>
      <c r="D75" s="12">
        <f>((1+C75*D54)*(1+C75*E54)*(1+C75*F54)*(1+C75*G54)*(1+C75*H54))^(1/5)-1</f>
        <v>1.5128668645568943E-2</v>
      </c>
      <c r="E75" s="12">
        <f>C50+(AVERAGE(D55,E55,F55,G55,H55)-C50)*C75</f>
        <v>7.2450199203187238E-2</v>
      </c>
      <c r="F75" s="13">
        <f>C75-D64</f>
        <v>-7.4030934452363093</v>
      </c>
      <c r="G75" s="2" t="str">
        <f>IF(F75&gt;0.5,"BULLISH (Buy candidate)",IF(F75&gt;0.2,"Mildly Bullish",IF(F75&gt;=-0.2,"Aligned",IF(F75&gt;=-0.5,"Mildly Bearish","BEARISH (Sell candidate)"))))</f>
        <v>BEARISH (Sell candidate)</v>
      </c>
    </row>
    <row r="76" spans="2:7" x14ac:dyDescent="0.2">
      <c r="B76" s="2" t="s">
        <v>79</v>
      </c>
      <c r="C76" s="11">
        <v>0.15</v>
      </c>
      <c r="D76" s="12">
        <f>((1+C76*D54)*(1+C76*E54)*(1+C76*F54)*(1+C76*G54)*(1+C76*H54))^(1/5)-1</f>
        <v>5.6899386046134204E-3</v>
      </c>
      <c r="E76" s="12">
        <f>C50+(AVERAGE(D55,E55,F55,G55,H55)-C50)*C76</f>
        <v>6.0971115537848605E-2</v>
      </c>
      <c r="F76" s="13">
        <f>C76-D64</f>
        <v>-7.6530934452363093</v>
      </c>
      <c r="G76" s="2" t="str">
        <f>IF(F76&gt;0.5,"BULLISH (Buy candidate)",IF(F76&gt;0.2,"Mildly Bullish",IF(F76&gt;=-0.2,"Aligned",IF(F76&gt;=-0.5,"Mildly Bearish","BEARISH (Sell candidate)"))))</f>
        <v>BEARISH (Sell candidate)</v>
      </c>
    </row>
    <row r="78" spans="2:7" ht="14.5" x14ac:dyDescent="0.35">
      <c r="B78" s="44" t="s">
        <v>80</v>
      </c>
      <c r="C78" s="45"/>
      <c r="D78" s="45"/>
      <c r="E78" s="45"/>
      <c r="F78" s="45"/>
      <c r="G78" s="45"/>
    </row>
    <row r="79" spans="2:7" x14ac:dyDescent="0.2">
      <c r="B79" s="2" t="s">
        <v>81</v>
      </c>
      <c r="C79" s="10">
        <f>D64</f>
        <v>7.8030934452363097</v>
      </c>
    </row>
    <row r="80" spans="2:7" x14ac:dyDescent="0.2">
      <c r="B80" s="2" t="s">
        <v>82</v>
      </c>
      <c r="C80" s="14">
        <v>1</v>
      </c>
    </row>
    <row r="81" spans="2:3" x14ac:dyDescent="0.2">
      <c r="B81" s="2" t="s">
        <v>83</v>
      </c>
      <c r="C81" s="15">
        <f>C80-C79</f>
        <v>-6.8030934452363097</v>
      </c>
    </row>
    <row r="82" spans="2:3" ht="14.5" x14ac:dyDescent="0.35">
      <c r="B82" s="2" t="s">
        <v>84</v>
      </c>
      <c r="C82" s="16" t="str">
        <f>IF(C81&gt;0.5,"BUY (upside surprise expected)",IF(C81&gt;0.2,"BUY/HOLD",IF(C81&gt;=-0.2,"HOLD",IF(C81&gt;=-0.5,"HOLD/SELL","SELL (disappointment risk)"))))</f>
        <v>SELL (disappointment risk)</v>
      </c>
    </row>
    <row r="95" spans="2:3" ht="14" x14ac:dyDescent="0.3">
      <c r="B95" s="5" t="s">
        <v>85</v>
      </c>
    </row>
    <row r="96" spans="2:3" x14ac:dyDescent="0.2">
      <c r="B96" t="s">
        <v>86</v>
      </c>
    </row>
    <row r="97" spans="2:2" x14ac:dyDescent="0.2">
      <c r="B97" t="s">
        <v>87</v>
      </c>
    </row>
    <row r="98" spans="2:2" x14ac:dyDescent="0.2">
      <c r="B98" t="s">
        <v>88</v>
      </c>
    </row>
    <row r="99" spans="2:2" x14ac:dyDescent="0.2">
      <c r="B99" t="s">
        <v>89</v>
      </c>
    </row>
    <row r="100" spans="2:2" x14ac:dyDescent="0.2">
      <c r="B100" t="s">
        <v>90</v>
      </c>
    </row>
    <row r="102" spans="2:2" ht="14" x14ac:dyDescent="0.3">
      <c r="B102" s="5" t="s">
        <v>91</v>
      </c>
    </row>
    <row r="103" spans="2:2" x14ac:dyDescent="0.2">
      <c r="B103" t="s">
        <v>92</v>
      </c>
    </row>
    <row r="104" spans="2:2" x14ac:dyDescent="0.2">
      <c r="B104" t="s">
        <v>93</v>
      </c>
    </row>
    <row r="105" spans="2:2" x14ac:dyDescent="0.2">
      <c r="B105" t="s">
        <v>94</v>
      </c>
    </row>
    <row r="106" spans="2:2" x14ac:dyDescent="0.2">
      <c r="B106" t="s">
        <v>95</v>
      </c>
    </row>
    <row r="108" spans="2:2" ht="14" x14ac:dyDescent="0.3">
      <c r="B108" s="5" t="s">
        <v>96</v>
      </c>
    </row>
    <row r="109" spans="2:2" x14ac:dyDescent="0.2">
      <c r="B109" t="s">
        <v>97</v>
      </c>
    </row>
    <row r="110" spans="2:2" x14ac:dyDescent="0.2">
      <c r="B110" t="s">
        <v>98</v>
      </c>
    </row>
    <row r="111" spans="2:2" x14ac:dyDescent="0.2">
      <c r="B111" t="s">
        <v>99</v>
      </c>
    </row>
    <row r="112" spans="2:2" x14ac:dyDescent="0.2">
      <c r="B112" t="s">
        <v>100</v>
      </c>
    </row>
  </sheetData>
  <mergeCells count="7">
    <mergeCell ref="B2:T2"/>
    <mergeCell ref="B5:G5"/>
    <mergeCell ref="B62:F62"/>
    <mergeCell ref="B14:T14"/>
    <mergeCell ref="B78:G78"/>
    <mergeCell ref="B70:G70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60"/>
  <sheetViews>
    <sheetView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7" t="s">
        <v>101</v>
      </c>
      <c r="C2" s="45"/>
      <c r="D2" s="45"/>
      <c r="E2" s="45"/>
      <c r="F2" s="45"/>
      <c r="G2" s="45"/>
      <c r="H2" s="45"/>
    </row>
    <row r="3" spans="2:8" ht="14" x14ac:dyDescent="0.3">
      <c r="B3" s="17" t="s">
        <v>102</v>
      </c>
    </row>
    <row r="5" spans="2:8" ht="14.5" x14ac:dyDescent="0.35">
      <c r="B5" s="44" t="s">
        <v>103</v>
      </c>
      <c r="C5" s="45"/>
      <c r="D5" s="45"/>
      <c r="E5" s="45"/>
      <c r="F5" s="45"/>
      <c r="G5" s="45"/>
      <c r="H5" s="45"/>
    </row>
    <row r="6" spans="2:8" x14ac:dyDescent="0.2">
      <c r="B6" s="2" t="s">
        <v>104</v>
      </c>
      <c r="C6" s="18">
        <v>3350</v>
      </c>
    </row>
    <row r="7" spans="2:8" x14ac:dyDescent="0.2">
      <c r="B7" s="2" t="s">
        <v>105</v>
      </c>
      <c r="C7" s="18">
        <v>11618742</v>
      </c>
    </row>
    <row r="8" spans="2:8" x14ac:dyDescent="0.2">
      <c r="B8" s="2" t="s">
        <v>106</v>
      </c>
      <c r="C8" s="19">
        <v>5201</v>
      </c>
    </row>
    <row r="9" spans="2:8" x14ac:dyDescent="0.2">
      <c r="B9" s="2" t="s">
        <v>107</v>
      </c>
      <c r="C9" s="18">
        <v>10040</v>
      </c>
    </row>
    <row r="10" spans="2:8" x14ac:dyDescent="0.2">
      <c r="B10" s="2" t="s">
        <v>108</v>
      </c>
      <c r="C10" s="18">
        <v>9828</v>
      </c>
    </row>
    <row r="11" spans="2:8" x14ac:dyDescent="0.2">
      <c r="B11" s="2" t="s">
        <v>109</v>
      </c>
      <c r="C11" s="20">
        <v>0.3</v>
      </c>
    </row>
    <row r="12" spans="2:8" x14ac:dyDescent="0.2">
      <c r="B12" s="2" t="s">
        <v>110</v>
      </c>
      <c r="C12" s="20">
        <v>1</v>
      </c>
    </row>
    <row r="14" spans="2:8" ht="14" x14ac:dyDescent="0.3">
      <c r="B14" s="46" t="s">
        <v>111</v>
      </c>
      <c r="C14" s="45"/>
      <c r="D14" s="45"/>
      <c r="E14" s="45"/>
      <c r="F14" s="45"/>
      <c r="G14" s="45"/>
      <c r="H14" s="45"/>
    </row>
    <row r="15" spans="2:8" ht="14" x14ac:dyDescent="0.3">
      <c r="C15" s="21" t="s">
        <v>112</v>
      </c>
      <c r="D15" s="21" t="s">
        <v>113</v>
      </c>
      <c r="E15" s="21" t="s">
        <v>114</v>
      </c>
      <c r="F15" s="21" t="s">
        <v>115</v>
      </c>
      <c r="G15" s="21" t="s">
        <v>116</v>
      </c>
    </row>
    <row r="16" spans="2:8" x14ac:dyDescent="0.2">
      <c r="B16" s="2" t="s">
        <v>117</v>
      </c>
      <c r="C16" s="22">
        <v>1.06631551679475</v>
      </c>
      <c r="D16" s="22">
        <v>1.6894305796369109</v>
      </c>
      <c r="E16" s="22">
        <v>2.3614187413248282</v>
      </c>
      <c r="F16" s="22">
        <v>2.84988422551486</v>
      </c>
      <c r="G16" s="22">
        <v>12.16284192987828</v>
      </c>
    </row>
    <row r="18" spans="2:8" x14ac:dyDescent="0.2">
      <c r="B18" s="2" t="s">
        <v>118</v>
      </c>
      <c r="C18" s="23">
        <f>C6*C7/1000000</f>
        <v>38922.7857</v>
      </c>
    </row>
    <row r="19" spans="2:8" x14ac:dyDescent="0.2">
      <c r="B19" s="2" t="s">
        <v>5</v>
      </c>
      <c r="C19" s="23">
        <f>C18+C8</f>
        <v>44123.7857</v>
      </c>
    </row>
    <row r="20" spans="2:8" x14ac:dyDescent="0.2">
      <c r="B20" s="2" t="s">
        <v>119</v>
      </c>
      <c r="C20" s="24">
        <f>C19/C9</f>
        <v>4.3947993725099606</v>
      </c>
    </row>
    <row r="21" spans="2:8" x14ac:dyDescent="0.2">
      <c r="B21" s="2" t="s">
        <v>120</v>
      </c>
      <c r="C21" s="24">
        <f>IFERROR(C19/C10,"-")</f>
        <v>4.4895996845746842</v>
      </c>
    </row>
    <row r="23" spans="2:8" ht="14.5" x14ac:dyDescent="0.35">
      <c r="B23" s="44" t="s">
        <v>121</v>
      </c>
      <c r="C23" s="45"/>
      <c r="D23" s="45"/>
      <c r="E23" s="45"/>
      <c r="F23" s="45"/>
      <c r="G23" s="45"/>
      <c r="H23" s="45"/>
    </row>
    <row r="24" spans="2:8" x14ac:dyDescent="0.2">
      <c r="B24" s="2" t="s">
        <v>122</v>
      </c>
      <c r="C24" s="25">
        <f>C20/E16-1</f>
        <v>0.86108431156277843</v>
      </c>
    </row>
    <row r="25" spans="2:8" x14ac:dyDescent="0.2">
      <c r="B25" s="2" t="s">
        <v>123</v>
      </c>
      <c r="C25" s="25">
        <f>C20/C16-1</f>
        <v>3.1214812157290348</v>
      </c>
    </row>
    <row r="26" spans="2:8" x14ac:dyDescent="0.2">
      <c r="B26" s="2" t="s">
        <v>124</v>
      </c>
      <c r="C26" s="26">
        <f>(C20-E16)/(F16-D16)</f>
        <v>1.7522290859336862</v>
      </c>
    </row>
    <row r="27" spans="2:8" ht="14.5" x14ac:dyDescent="0.35">
      <c r="B27" s="2" t="s">
        <v>125</v>
      </c>
      <c r="C27" s="48" t="str">
        <f>IF(C26&lt;-C12,"割安（分布下限以下）",IF(C26&lt;-C11,"やや割安",IF(C26&lt;=C11,"中立（中央値近傍）",IF(C26&lt;=C12,"やや割高","割高（分布上限以上）"))))</f>
        <v>割高（分布上限以上）</v>
      </c>
      <c r="D27" s="49"/>
      <c r="E27" s="49"/>
    </row>
    <row r="29" spans="2:8" ht="14.5" x14ac:dyDescent="0.35">
      <c r="B29" s="44" t="s">
        <v>126</v>
      </c>
      <c r="C29" s="45"/>
      <c r="D29" s="45"/>
      <c r="E29" s="45"/>
      <c r="F29" s="45"/>
      <c r="G29" s="45"/>
      <c r="H29" s="45"/>
    </row>
    <row r="30" spans="2:8" ht="14" x14ac:dyDescent="0.3">
      <c r="C30" s="1" t="s">
        <v>127</v>
      </c>
      <c r="D30" s="1" t="s">
        <v>128</v>
      </c>
      <c r="E30" s="1" t="s">
        <v>129</v>
      </c>
    </row>
    <row r="31" spans="2:8" x14ac:dyDescent="0.2">
      <c r="B31" s="2" t="s">
        <v>112</v>
      </c>
      <c r="C31" s="27">
        <f>C16</f>
        <v>1.06631551679475</v>
      </c>
      <c r="D31" s="3">
        <f>(C16*C9-C8)*1000000/C7</f>
        <v>473.78690297273914</v>
      </c>
      <c r="E31" s="28">
        <f>D31/C6-1</f>
        <v>-0.85857107373948083</v>
      </c>
    </row>
    <row r="32" spans="2:8" x14ac:dyDescent="0.2">
      <c r="B32" s="2" t="s">
        <v>113</v>
      </c>
      <c r="C32" s="27">
        <f>D16</f>
        <v>1.6894305796369109</v>
      </c>
      <c r="D32" s="3">
        <f>(D16*C9-C8)*1000000/C7</f>
        <v>1012.2337701925547</v>
      </c>
      <c r="E32" s="28">
        <f>D32/C6-1</f>
        <v>-0.69784066561416269</v>
      </c>
    </row>
    <row r="33" spans="2:8" x14ac:dyDescent="0.2">
      <c r="B33" s="2" t="s">
        <v>114</v>
      </c>
      <c r="C33" s="27">
        <f>E16</f>
        <v>2.3614187413248282</v>
      </c>
      <c r="D33" s="29">
        <f>(E16*C9-C8)*1000000/C7</f>
        <v>1592.9129128524651</v>
      </c>
      <c r="E33" s="28">
        <f>D33/C6-1</f>
        <v>-0.52450360810374175</v>
      </c>
    </row>
    <row r="34" spans="2:8" x14ac:dyDescent="0.2">
      <c r="B34" s="2" t="s">
        <v>115</v>
      </c>
      <c r="C34" s="27">
        <f>F16</f>
        <v>2.84988422551486</v>
      </c>
      <c r="D34" s="3">
        <f>(F16*C9-C8)*1000000/C7</f>
        <v>2015.0062394163838</v>
      </c>
      <c r="E34" s="28">
        <f>D34/C6-1</f>
        <v>-0.39850560017421377</v>
      </c>
    </row>
    <row r="35" spans="2:8" x14ac:dyDescent="0.2">
      <c r="B35" s="2" t="s">
        <v>116</v>
      </c>
      <c r="C35" s="27">
        <f>G16</f>
        <v>12.16284192987828</v>
      </c>
      <c r="D35" s="3">
        <f>(G16*C9-C8)*1000000/C7</f>
        <v>10062.529400857504</v>
      </c>
      <c r="E35" s="28">
        <f>D35/C6-1</f>
        <v>2.0037401196589562</v>
      </c>
    </row>
    <row r="37" spans="2:8" ht="14" x14ac:dyDescent="0.3">
      <c r="B37" s="46" t="s">
        <v>130</v>
      </c>
      <c r="C37" s="45"/>
      <c r="D37" s="45"/>
      <c r="E37" s="45"/>
      <c r="F37" s="45"/>
      <c r="G37" s="45"/>
      <c r="H37" s="45"/>
    </row>
    <row r="38" spans="2:8" x14ac:dyDescent="0.2">
      <c r="B38" s="2" t="s">
        <v>131</v>
      </c>
      <c r="C38" s="22">
        <v>12.16284192987828</v>
      </c>
    </row>
    <row r="39" spans="2:8" x14ac:dyDescent="0.2">
      <c r="B39" s="2" t="s">
        <v>132</v>
      </c>
      <c r="C39" s="22">
        <v>3.123932450212449</v>
      </c>
    </row>
    <row r="40" spans="2:8" x14ac:dyDescent="0.2">
      <c r="B40" s="2" t="s">
        <v>133</v>
      </c>
      <c r="C40" s="22">
        <v>1.8835820069012541</v>
      </c>
    </row>
    <row r="41" spans="2:8" x14ac:dyDescent="0.2">
      <c r="B41" s="2" t="s">
        <v>134</v>
      </c>
      <c r="C41" s="22">
        <v>2.3614187413248282</v>
      </c>
    </row>
    <row r="42" spans="2:8" x14ac:dyDescent="0.2">
      <c r="B42" s="2" t="s">
        <v>135</v>
      </c>
      <c r="C42" s="22">
        <v>1.06631551679475</v>
      </c>
    </row>
    <row r="43" spans="2:8" x14ac:dyDescent="0.2">
      <c r="B43" s="2" t="s">
        <v>136</v>
      </c>
      <c r="C43" s="22">
        <v>2.5758360008172718</v>
      </c>
    </row>
    <row r="44" spans="2:8" x14ac:dyDescent="0.2">
      <c r="B44" s="2" t="s">
        <v>137</v>
      </c>
      <c r="C44" s="22">
        <v>1.495279152372567</v>
      </c>
    </row>
    <row r="45" spans="2:8" ht="14" x14ac:dyDescent="0.3">
      <c r="B45" s="30" t="s">
        <v>138</v>
      </c>
      <c r="C45" s="27">
        <v>4.3947993725099614</v>
      </c>
    </row>
    <row r="47" spans="2:8" ht="14.5" x14ac:dyDescent="0.35">
      <c r="B47" s="44" t="s">
        <v>139</v>
      </c>
      <c r="C47" s="45"/>
      <c r="D47" s="45"/>
      <c r="E47" s="45"/>
      <c r="F47" s="45"/>
      <c r="G47" s="45"/>
      <c r="H47" s="45"/>
    </row>
    <row r="48" spans="2:8" x14ac:dyDescent="0.2">
      <c r="B48" s="2" t="s">
        <v>140</v>
      </c>
      <c r="C48" s="19">
        <v>-538</v>
      </c>
    </row>
    <row r="49" spans="2:8" x14ac:dyDescent="0.2">
      <c r="B49" s="2" t="s">
        <v>141</v>
      </c>
      <c r="C49" s="19" t="s">
        <v>142</v>
      </c>
    </row>
    <row r="50" spans="2:8" x14ac:dyDescent="0.2">
      <c r="B50" s="2" t="s">
        <v>143</v>
      </c>
      <c r="C50" s="27">
        <f>IFERROR(C18/C48,"n/a")</f>
        <v>-72.347185315985129</v>
      </c>
    </row>
    <row r="51" spans="2:8" x14ac:dyDescent="0.2">
      <c r="B51" s="2" t="s">
        <v>144</v>
      </c>
      <c r="C51" s="27" t="str">
        <f>IFERROR(C19/C49,"n/a")</f>
        <v>n/a</v>
      </c>
    </row>
    <row r="53" spans="2:8" ht="14" x14ac:dyDescent="0.3">
      <c r="B53" s="5" t="s">
        <v>145</v>
      </c>
      <c r="C53" s="21" t="s">
        <v>113</v>
      </c>
      <c r="D53" s="21" t="s">
        <v>114</v>
      </c>
      <c r="E53" s="21" t="s">
        <v>115</v>
      </c>
      <c r="F53" s="21" t="s">
        <v>146</v>
      </c>
    </row>
    <row r="54" spans="2:8" x14ac:dyDescent="0.2">
      <c r="B54" s="2" t="s">
        <v>147</v>
      </c>
      <c r="C54" s="22">
        <v>9.1489079705340011</v>
      </c>
      <c r="D54" s="22">
        <v>9.8642246066845498</v>
      </c>
      <c r="E54" s="22">
        <v>17.41137619928881</v>
      </c>
      <c r="F54" s="26" t="str">
        <f>IFERROR((C51-D54)/(E54-C54),"n/a")</f>
        <v>n/a</v>
      </c>
    </row>
    <row r="55" spans="2:8" x14ac:dyDescent="0.2">
      <c r="B55" s="2" t="s">
        <v>148</v>
      </c>
      <c r="C55" s="22">
        <v>17.4470423730947</v>
      </c>
      <c r="D55" s="22">
        <v>31.372900712078462</v>
      </c>
      <c r="E55" s="22">
        <v>36.450012762904663</v>
      </c>
      <c r="F55" s="26">
        <f>IFERROR((C50-D55)/(E55-C55),"n/a")</f>
        <v>-5.4580985972425564</v>
      </c>
    </row>
    <row r="57" spans="2:8" x14ac:dyDescent="0.2">
      <c r="B57" s="51" t="s">
        <v>149</v>
      </c>
      <c r="C57" s="45"/>
      <c r="D57" s="45"/>
      <c r="E57" s="45"/>
      <c r="F57" s="45"/>
      <c r="G57" s="45"/>
      <c r="H57" s="45"/>
    </row>
    <row r="58" spans="2:8" ht="30" customHeight="1" x14ac:dyDescent="0.2">
      <c r="B58" s="50" t="s">
        <v>150</v>
      </c>
      <c r="C58" s="45"/>
      <c r="D58" s="45"/>
      <c r="E58" s="45"/>
      <c r="F58" s="45"/>
      <c r="G58" s="45"/>
      <c r="H58" s="45"/>
    </row>
    <row r="59" spans="2:8" ht="30" customHeight="1" x14ac:dyDescent="0.2">
      <c r="B59" s="50" t="s">
        <v>151</v>
      </c>
      <c r="C59" s="45"/>
      <c r="D59" s="45"/>
      <c r="E59" s="45"/>
      <c r="F59" s="45"/>
      <c r="G59" s="45"/>
      <c r="H59" s="45"/>
    </row>
    <row r="60" spans="2:8" ht="30" customHeight="1" x14ac:dyDescent="0.2">
      <c r="B60" s="50" t="s">
        <v>152</v>
      </c>
      <c r="C60" s="45"/>
      <c r="D60" s="45"/>
      <c r="E60" s="45"/>
      <c r="F60" s="45"/>
      <c r="G60" s="45"/>
      <c r="H60" s="45"/>
    </row>
  </sheetData>
  <mergeCells count="12">
    <mergeCell ref="B2:H2"/>
    <mergeCell ref="B29:H29"/>
    <mergeCell ref="B59:H59"/>
    <mergeCell ref="B5:H5"/>
    <mergeCell ref="B37:H37"/>
    <mergeCell ref="B23:H23"/>
    <mergeCell ref="B14:H14"/>
    <mergeCell ref="C27:E27"/>
    <mergeCell ref="B58:H58"/>
    <mergeCell ref="B57:H57"/>
    <mergeCell ref="B60:H60"/>
    <mergeCell ref="B47:H47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workbookViewId="0"/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7" t="s">
        <v>153</v>
      </c>
      <c r="C2" s="45"/>
      <c r="D2" s="45"/>
      <c r="E2" s="45"/>
      <c r="F2" s="45"/>
      <c r="G2" s="45"/>
    </row>
    <row r="5" spans="2:7" ht="14.5" x14ac:dyDescent="0.35">
      <c r="B5" s="44" t="s">
        <v>154</v>
      </c>
      <c r="C5" s="45"/>
      <c r="D5" s="45"/>
      <c r="E5" s="45"/>
      <c r="F5" s="45"/>
      <c r="G5" s="45"/>
    </row>
    <row r="6" spans="2:7" ht="14" x14ac:dyDescent="0.3">
      <c r="B6" s="1" t="s">
        <v>155</v>
      </c>
      <c r="C6" s="1" t="s">
        <v>156</v>
      </c>
      <c r="D6" s="1" t="s">
        <v>157</v>
      </c>
      <c r="E6" s="1" t="s">
        <v>158</v>
      </c>
      <c r="F6" s="1" t="s">
        <v>159</v>
      </c>
      <c r="G6" s="1" t="s">
        <v>74</v>
      </c>
    </row>
    <row r="7" spans="2:7" x14ac:dyDescent="0.2">
      <c r="B7" s="2" t="s">
        <v>160</v>
      </c>
      <c r="C7" s="10">
        <f>1-'Implied Growth Analysis'!C79</f>
        <v>-6.8030934452363097</v>
      </c>
      <c r="D7" s="2">
        <f>IF(C7&gt;=1,2,IF(C7&gt;=0.5,1,IF(C7&gt;=-0.2,0,IF(C7&gt;=-0.5,-1,-2))))</f>
        <v>-2</v>
      </c>
      <c r="E7" s="31">
        <v>0.4</v>
      </c>
      <c r="F7" s="13">
        <f>D7*E7</f>
        <v>-0.8</v>
      </c>
      <c r="G7" s="2" t="str">
        <f>IF(D7=2,"市場大幅悲観 = 強気",IF(D7=1,"市場やや悲観 = 買い候補",IF(D7=0,"市場と認識一致",IF(D7=-1,"市場やや楽観 = 警戒","市場大幅楽観 = 失望リスク"))))</f>
        <v>市場大幅楽観 = 失望リスク</v>
      </c>
    </row>
    <row r="8" spans="2:7" x14ac:dyDescent="0.2">
      <c r="B8" s="2" t="s">
        <v>161</v>
      </c>
      <c r="C8" s="32">
        <f>IFERROR((C19-C20)/C20,0)</f>
        <v>-0.4007155635062612</v>
      </c>
      <c r="D8" s="2">
        <f>IF(C8&lt;=-0.2,2,IF(C8&lt;=-0.1,1,IF(C8&lt;=0.1,0,IF(C8&lt;=0.2,-1,-2))))</f>
        <v>2</v>
      </c>
      <c r="E8" s="31">
        <v>0.25</v>
      </c>
      <c r="F8" s="13">
        <f>D8*E8</f>
        <v>0.5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過剰悲観 = リバウンド余地大</v>
      </c>
    </row>
    <row r="9" spans="2:7" x14ac:dyDescent="0.2">
      <c r="B9" s="2" t="s">
        <v>162</v>
      </c>
      <c r="C9" s="11" t="str">
        <f>IFERROR(C33/C34,"")</f>
        <v/>
      </c>
      <c r="D9" s="2">
        <f>IF(OR(C33="",C34="",C35=""),0,IF(AND(C36&lt;=1,C34/C35&gt;=0.5),2,IF(AND(C36&lt;=3,C34/C35&gt;=0.3),1,IF(AND(C36&lt;=10,C34/C35&gt;=0.1),0,IF(AND(C36&lt;=20,C34/C35&gt;=0.05),-1,-2)))))</f>
        <v>0</v>
      </c>
      <c r="E9" s="31">
        <v>0.2</v>
      </c>
      <c r="F9" s="13">
        <f>D9*E9</f>
        <v>0</v>
      </c>
      <c r="G9" s="2" t="str">
        <f>IF(OR(C33="",C34="",C35=""),"信用残 未入力 (中立扱い)",IF(D9=2,"踏み上げ余地大",IF(D9=1,"需給良好",IF(D9=0,"ニュートラル",IF(D9=-1,"戻り売り圧力","需給最悪")))))</f>
        <v>信用残 未入力 (中立扱い)</v>
      </c>
    </row>
    <row r="10" spans="2:7" x14ac:dyDescent="0.2">
      <c r="B10" s="2" t="s">
        <v>163</v>
      </c>
      <c r="C10" s="32">
        <f>AVERAGE(E44:E45)</f>
        <v>-4.3596685082873024E-2</v>
      </c>
      <c r="D10" s="2">
        <f>ROUND(AVERAGE(F44:F45),0)</f>
        <v>-1</v>
      </c>
      <c r="E10" s="31">
        <v>0.15</v>
      </c>
      <c r="F10" s="13">
        <f>D10*E10</f>
        <v>-0.15</v>
      </c>
      <c r="G10" s="2" t="str">
        <f>IF(D10=2,"会社予想を大幅上回る",IF(D10=1,"会社予想を上回る",IF(D10=0,"会社予想と一致",IF(D10=-1,"会社予想を下回る","会社予想を大幅下回る"))))</f>
        <v>会社予想を下回る</v>
      </c>
    </row>
    <row r="12" spans="2:7" ht="15.5" x14ac:dyDescent="0.35">
      <c r="B12" s="33" t="s">
        <v>164</v>
      </c>
      <c r="C12" s="2"/>
      <c r="D12" s="2"/>
      <c r="E12" s="2"/>
      <c r="F12" s="34">
        <f>SUM(F7:F10)</f>
        <v>-0.45000000000000007</v>
      </c>
      <c r="G12" s="35" t="str">
        <f>IF(F12&gt;=1,"STRONG BUY",IF(F12&gt;=0.5,"BUY",IF(F12&gt;=-0.5,"HOLD",IF(F12&gt;=-1,"CAUTION","AVOID"))))</f>
        <v>HOLD</v>
      </c>
    </row>
    <row r="17" spans="2:7" ht="14.5" x14ac:dyDescent="0.35">
      <c r="B17" s="44" t="s">
        <v>165</v>
      </c>
      <c r="C17" s="45"/>
      <c r="D17" s="45"/>
      <c r="E17" s="45"/>
      <c r="F17" s="45"/>
      <c r="G17" s="45"/>
    </row>
    <row r="19" spans="2:7" x14ac:dyDescent="0.2">
      <c r="B19" s="2" t="s">
        <v>8</v>
      </c>
      <c r="C19" s="18">
        <v>3350</v>
      </c>
    </row>
    <row r="20" spans="2:7" x14ac:dyDescent="0.2">
      <c r="B20" s="2" t="s">
        <v>166</v>
      </c>
      <c r="C20" s="18">
        <v>5590</v>
      </c>
    </row>
    <row r="21" spans="2:7" x14ac:dyDescent="0.2">
      <c r="B21" s="2" t="s">
        <v>167</v>
      </c>
      <c r="C21" s="18">
        <v>3425</v>
      </c>
    </row>
    <row r="22" spans="2:7" x14ac:dyDescent="0.2">
      <c r="B22" s="2" t="s">
        <v>16</v>
      </c>
      <c r="C22" s="18">
        <v>7420</v>
      </c>
    </row>
    <row r="23" spans="2:7" x14ac:dyDescent="0.2">
      <c r="B23" s="2" t="s">
        <v>14</v>
      </c>
      <c r="C23" s="18">
        <v>1394</v>
      </c>
    </row>
    <row r="25" spans="2:7" ht="14" x14ac:dyDescent="0.3">
      <c r="B25" s="5" t="s">
        <v>168</v>
      </c>
    </row>
    <row r="26" spans="2:7" x14ac:dyDescent="0.2">
      <c r="B26" t="s">
        <v>169</v>
      </c>
      <c r="C26" s="36">
        <f>IFERROR((C19-C20)/C20,"")</f>
        <v>-0.4007155635062612</v>
      </c>
    </row>
    <row r="27" spans="2:7" x14ac:dyDescent="0.2">
      <c r="B27" t="s">
        <v>170</v>
      </c>
      <c r="C27" s="36">
        <f>IFERROR((C19-C21)/C21,"")</f>
        <v>-2.1897810218978103E-2</v>
      </c>
    </row>
    <row r="28" spans="2:7" x14ac:dyDescent="0.2">
      <c r="B28" t="s">
        <v>171</v>
      </c>
      <c r="C28" s="36">
        <f>IFERROR((C19-C22)/C22,"")</f>
        <v>-0.54851752021563338</v>
      </c>
    </row>
    <row r="31" spans="2:7" ht="14.5" x14ac:dyDescent="0.35">
      <c r="B31" s="44" t="s">
        <v>172</v>
      </c>
      <c r="C31" s="45"/>
      <c r="D31" s="45"/>
      <c r="E31" s="45"/>
      <c r="F31" s="45"/>
      <c r="G31" s="45"/>
    </row>
    <row r="33" spans="2:7" x14ac:dyDescent="0.2">
      <c r="B33" s="2" t="s">
        <v>173</v>
      </c>
      <c r="C33" s="18">
        <v>699.4</v>
      </c>
    </row>
    <row r="34" spans="2:7" x14ac:dyDescent="0.2">
      <c r="B34" s="2" t="s">
        <v>174</v>
      </c>
      <c r="C34" s="18"/>
    </row>
    <row r="35" spans="2:7" x14ac:dyDescent="0.2">
      <c r="B35" s="2" t="s">
        <v>175</v>
      </c>
      <c r="C35" s="18"/>
    </row>
    <row r="36" spans="2:7" x14ac:dyDescent="0.2">
      <c r="B36" s="2" t="s">
        <v>176</v>
      </c>
      <c r="C36" s="26">
        <f>IFERROR(C33/C34,99)</f>
        <v>99</v>
      </c>
    </row>
    <row r="37" spans="2:7" x14ac:dyDescent="0.2">
      <c r="B37" s="2" t="s">
        <v>177</v>
      </c>
      <c r="C37" s="26">
        <f>IFERROR(C34/C35,0)</f>
        <v>0</v>
      </c>
    </row>
    <row r="41" spans="2:7" ht="14.5" x14ac:dyDescent="0.35">
      <c r="B41" s="44" t="s">
        <v>178</v>
      </c>
      <c r="C41" s="45"/>
      <c r="D41" s="45"/>
      <c r="E41" s="45"/>
      <c r="F41" s="45"/>
      <c r="G41" s="45"/>
    </row>
    <row r="43" spans="2:7" ht="14" x14ac:dyDescent="0.3">
      <c r="B43" s="1" t="s">
        <v>179</v>
      </c>
      <c r="C43" s="1" t="s">
        <v>180</v>
      </c>
      <c r="D43" s="1" t="s">
        <v>181</v>
      </c>
      <c r="E43" s="1" t="s">
        <v>182</v>
      </c>
      <c r="F43" s="1" t="s">
        <v>183</v>
      </c>
    </row>
    <row r="44" spans="2:7" x14ac:dyDescent="0.2">
      <c r="B44" s="2" t="s">
        <v>184</v>
      </c>
      <c r="C44" s="37">
        <v>0.63080662983425384</v>
      </c>
      <c r="D44" s="38">
        <v>0.71899999999999997</v>
      </c>
      <c r="E44" s="32">
        <f>C44-D44</f>
        <v>-8.8193370165746132E-2</v>
      </c>
      <c r="F44" s="2">
        <f>IF(E44&gt;=0.1,2,IF(E44&gt;=0.05,1,IF(E44&gt;=-0.05,0,IF(E44&gt;=-0.1,-1,-2))))</f>
        <v>-1</v>
      </c>
    </row>
    <row r="45" spans="2:7" x14ac:dyDescent="0.2">
      <c r="B45" s="2" t="s">
        <v>185</v>
      </c>
      <c r="C45" s="37">
        <v>-1.999999999999991E-2</v>
      </c>
      <c r="D45" s="38">
        <v>-2.1000000000000001E-2</v>
      </c>
      <c r="E45" s="32">
        <f>C45-D45</f>
        <v>1.0000000000000911E-3</v>
      </c>
      <c r="F45" s="2">
        <f>IF(E45&gt;=0.1,2,IF(E45&gt;=0.05,1,IF(E45&gt;=-0.05,0,IF(E45&gt;=-0.1,-1,-2))))</f>
        <v>0</v>
      </c>
    </row>
    <row r="53" spans="2:7" ht="14.5" x14ac:dyDescent="0.35">
      <c r="B53" s="44" t="s">
        <v>186</v>
      </c>
      <c r="C53" s="45"/>
      <c r="D53" s="45"/>
      <c r="E53" s="45"/>
      <c r="F53" s="45"/>
      <c r="G53" s="45"/>
    </row>
    <row r="55" spans="2:7" ht="14" x14ac:dyDescent="0.3">
      <c r="B55" s="5" t="s">
        <v>187</v>
      </c>
      <c r="C55" s="50" t="s">
        <v>188</v>
      </c>
      <c r="D55" s="45"/>
      <c r="E55" s="45"/>
      <c r="F55" s="45"/>
      <c r="G55" s="45"/>
    </row>
    <row r="56" spans="2:7" ht="14" x14ac:dyDescent="0.3">
      <c r="B56" s="5" t="s">
        <v>189</v>
      </c>
      <c r="C56" s="50" t="s">
        <v>190</v>
      </c>
      <c r="D56" s="45"/>
      <c r="E56" s="45"/>
      <c r="F56" s="45"/>
      <c r="G56" s="45"/>
    </row>
    <row r="57" spans="2:7" ht="14" x14ac:dyDescent="0.3">
      <c r="B57" s="5" t="s">
        <v>191</v>
      </c>
      <c r="C57" s="50" t="s">
        <v>192</v>
      </c>
      <c r="D57" s="45"/>
      <c r="E57" s="45"/>
      <c r="F57" s="45"/>
      <c r="G57" s="45"/>
    </row>
    <row r="58" spans="2:7" ht="14" x14ac:dyDescent="0.3">
      <c r="B58" s="5" t="s">
        <v>193</v>
      </c>
      <c r="C58" s="50" t="s">
        <v>194</v>
      </c>
      <c r="D58" s="45"/>
      <c r="E58" s="45"/>
      <c r="F58" s="45"/>
      <c r="G58" s="45"/>
    </row>
    <row r="59" spans="2:7" ht="14" x14ac:dyDescent="0.3">
      <c r="B59" s="5" t="s">
        <v>195</v>
      </c>
      <c r="C59" s="50" t="s">
        <v>196</v>
      </c>
      <c r="D59" s="45"/>
      <c r="E59" s="45"/>
      <c r="F59" s="45"/>
      <c r="G59" s="45"/>
    </row>
    <row r="62" spans="2:7" ht="14" x14ac:dyDescent="0.3">
      <c r="B62" s="5" t="s">
        <v>197</v>
      </c>
    </row>
    <row r="63" spans="2:7" x14ac:dyDescent="0.2">
      <c r="B63" t="s">
        <v>198</v>
      </c>
    </row>
    <row r="64" spans="2:7" x14ac:dyDescent="0.2">
      <c r="B64" t="s">
        <v>199</v>
      </c>
    </row>
    <row r="65" spans="2:2" x14ac:dyDescent="0.2">
      <c r="B65" t="s">
        <v>200</v>
      </c>
    </row>
    <row r="66" spans="2:2" x14ac:dyDescent="0.2">
      <c r="B66" t="s">
        <v>201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31"/>
  <sheetViews>
    <sheetView workbookViewId="0"/>
  </sheetViews>
  <sheetFormatPr defaultRowHeight="13" x14ac:dyDescent="0.2"/>
  <cols>
    <col min="1" max="1" width="3" customWidth="1"/>
    <col min="2" max="2" width="30" customWidth="1"/>
    <col min="3" max="3" width="10" customWidth="1"/>
    <col min="4" max="4" width="48" customWidth="1"/>
    <col min="5" max="5" width="12" customWidth="1"/>
    <col min="6" max="6" width="14" customWidth="1"/>
    <col min="8" max="8" width="13" hidden="1" customWidth="1"/>
  </cols>
  <sheetData>
    <row r="2" spans="2:8" ht="18.5" x14ac:dyDescent="0.45">
      <c r="B2" s="47" t="s">
        <v>202</v>
      </c>
      <c r="C2" s="45"/>
      <c r="D2" s="45"/>
      <c r="E2" s="45"/>
      <c r="F2" s="45"/>
    </row>
    <row r="3" spans="2:8" ht="14" x14ac:dyDescent="0.3">
      <c r="B3" s="17" t="s">
        <v>203</v>
      </c>
    </row>
    <row r="5" spans="2:8" ht="14.5" x14ac:dyDescent="0.35">
      <c r="B5" s="44" t="s">
        <v>204</v>
      </c>
      <c r="C5" s="45"/>
      <c r="D5" s="45"/>
      <c r="E5" s="45"/>
      <c r="F5" s="45"/>
    </row>
    <row r="6" spans="2:8" ht="14" x14ac:dyDescent="0.3">
      <c r="B6" s="1" t="s">
        <v>205</v>
      </c>
      <c r="C6" s="1" t="s">
        <v>183</v>
      </c>
      <c r="D6" s="1" t="s">
        <v>206</v>
      </c>
      <c r="G6" t="s">
        <v>207</v>
      </c>
      <c r="H6" t="s">
        <v>183</v>
      </c>
    </row>
    <row r="7" spans="2:8" ht="39" x14ac:dyDescent="0.2">
      <c r="B7" s="2" t="s">
        <v>208</v>
      </c>
      <c r="C7" s="39">
        <v>1</v>
      </c>
      <c r="D7" s="40" t="s">
        <v>209</v>
      </c>
      <c r="G7" t="s">
        <v>210</v>
      </c>
      <c r="H7">
        <v>1</v>
      </c>
    </row>
    <row r="8" spans="2:8" ht="39" x14ac:dyDescent="0.2">
      <c r="B8" s="2" t="s">
        <v>211</v>
      </c>
      <c r="C8" s="39">
        <v>2</v>
      </c>
      <c r="D8" s="40" t="s">
        <v>212</v>
      </c>
      <c r="G8" t="s">
        <v>213</v>
      </c>
      <c r="H8">
        <v>2</v>
      </c>
    </row>
    <row r="9" spans="2:8" ht="26" x14ac:dyDescent="0.2">
      <c r="B9" s="2" t="s">
        <v>214</v>
      </c>
      <c r="C9" s="39">
        <v>1</v>
      </c>
      <c r="D9" s="40" t="s">
        <v>215</v>
      </c>
      <c r="G9" t="s">
        <v>216</v>
      </c>
      <c r="H9">
        <v>1</v>
      </c>
    </row>
    <row r="10" spans="2:8" ht="26" x14ac:dyDescent="0.2">
      <c r="B10" s="2" t="s">
        <v>217</v>
      </c>
      <c r="C10" s="39">
        <v>1</v>
      </c>
      <c r="D10" s="40" t="s">
        <v>218</v>
      </c>
      <c r="G10" t="s">
        <v>219</v>
      </c>
      <c r="H10">
        <v>1</v>
      </c>
    </row>
    <row r="11" spans="2:8" ht="26" x14ac:dyDescent="0.2">
      <c r="B11" s="2" t="s">
        <v>220</v>
      </c>
      <c r="C11" s="39">
        <v>1</v>
      </c>
      <c r="D11" s="40" t="s">
        <v>221</v>
      </c>
      <c r="G11" t="s">
        <v>222</v>
      </c>
      <c r="H11">
        <v>1</v>
      </c>
    </row>
    <row r="12" spans="2:8" ht="26" x14ac:dyDescent="0.2">
      <c r="B12" s="2" t="s">
        <v>223</v>
      </c>
      <c r="C12" s="39">
        <v>2</v>
      </c>
      <c r="D12" s="40" t="s">
        <v>224</v>
      </c>
      <c r="G12" t="s">
        <v>225</v>
      </c>
      <c r="H12">
        <v>2</v>
      </c>
    </row>
    <row r="13" spans="2:8" ht="14.5" x14ac:dyDescent="0.35">
      <c r="B13" s="5" t="s">
        <v>226</v>
      </c>
      <c r="C13" s="41">
        <v>8</v>
      </c>
    </row>
    <row r="15" spans="2:8" ht="14.5" x14ac:dyDescent="0.35">
      <c r="B15" s="44" t="s">
        <v>227</v>
      </c>
      <c r="C15" s="45"/>
      <c r="D15" s="45"/>
      <c r="E15" s="45"/>
      <c r="F15" s="45"/>
    </row>
    <row r="16" spans="2:8" ht="14" x14ac:dyDescent="0.3">
      <c r="B16" s="5" t="s">
        <v>228</v>
      </c>
      <c r="C16" s="52" t="s">
        <v>229</v>
      </c>
      <c r="D16" s="45"/>
      <c r="E16" s="45"/>
      <c r="F16" s="45"/>
    </row>
    <row r="17" spans="2:6" ht="14" x14ac:dyDescent="0.3">
      <c r="B17" s="5" t="s">
        <v>230</v>
      </c>
      <c r="C17" s="52" t="s">
        <v>231</v>
      </c>
      <c r="D17" s="45"/>
      <c r="E17" s="45"/>
      <c r="F17" s="45"/>
    </row>
    <row r="18" spans="2:6" ht="14" x14ac:dyDescent="0.3">
      <c r="B18" s="5" t="s">
        <v>232</v>
      </c>
      <c r="C18" s="52" t="s">
        <v>233</v>
      </c>
      <c r="D18" s="45"/>
      <c r="E18" s="45"/>
      <c r="F18" s="45"/>
    </row>
    <row r="19" spans="2:6" ht="14" x14ac:dyDescent="0.3">
      <c r="B19" s="5" t="s">
        <v>234</v>
      </c>
      <c r="C19" s="52" t="s">
        <v>235</v>
      </c>
      <c r="D19" s="45"/>
      <c r="E19" s="45"/>
      <c r="F19" s="45"/>
    </row>
    <row r="21" spans="2:6" ht="14.5" x14ac:dyDescent="0.35">
      <c r="B21" s="44" t="s">
        <v>236</v>
      </c>
      <c r="C21" s="45"/>
      <c r="D21" s="45"/>
      <c r="E21" s="45"/>
      <c r="F21" s="45"/>
    </row>
    <row r="22" spans="2:6" ht="14.5" x14ac:dyDescent="0.35">
      <c r="B22" s="5" t="s">
        <v>237</v>
      </c>
      <c r="C22" s="42" t="s">
        <v>238</v>
      </c>
      <c r="D22" s="45" t="s">
        <v>239</v>
      </c>
      <c r="E22" s="45"/>
      <c r="F22" s="45"/>
    </row>
    <row r="23" spans="2:6" ht="14" x14ac:dyDescent="0.3">
      <c r="B23" s="5" t="s">
        <v>240</v>
      </c>
      <c r="C23" s="50" t="s">
        <v>241</v>
      </c>
      <c r="D23" s="45"/>
      <c r="E23" s="45"/>
      <c r="F23" s="45"/>
    </row>
    <row r="25" spans="2:6" ht="14.5" x14ac:dyDescent="0.35">
      <c r="B25" s="44" t="s">
        <v>242</v>
      </c>
      <c r="C25" s="45"/>
      <c r="D25" s="45"/>
      <c r="E25" s="45"/>
      <c r="F25" s="45"/>
    </row>
    <row r="26" spans="2:6" x14ac:dyDescent="0.2">
      <c r="B26" s="50" t="s">
        <v>243</v>
      </c>
      <c r="C26" s="45"/>
      <c r="D26" s="45"/>
      <c r="E26" s="45"/>
      <c r="F26" s="45"/>
    </row>
    <row r="28" spans="2:6" ht="14.5" x14ac:dyDescent="0.35">
      <c r="B28" s="44" t="s">
        <v>244</v>
      </c>
      <c r="C28" s="45"/>
      <c r="D28" s="45"/>
      <c r="E28" s="45"/>
      <c r="F28" s="45"/>
    </row>
    <row r="29" spans="2:6" ht="15.5" x14ac:dyDescent="0.35">
      <c r="B29" s="5" t="s">
        <v>74</v>
      </c>
      <c r="C29" s="43" t="s">
        <v>245</v>
      </c>
      <c r="D29" s="50" t="s">
        <v>246</v>
      </c>
      <c r="E29" s="45"/>
      <c r="F29" s="45"/>
    </row>
    <row r="31" spans="2:6" x14ac:dyDescent="0.2">
      <c r="B31" s="53" t="s">
        <v>247</v>
      </c>
      <c r="C31" s="45"/>
      <c r="D31" s="45"/>
      <c r="E31" s="45"/>
      <c r="F31" s="45"/>
    </row>
  </sheetData>
  <mergeCells count="15">
    <mergeCell ref="B31:F31"/>
    <mergeCell ref="C19:F19"/>
    <mergeCell ref="B26:F26"/>
    <mergeCell ref="B2:F2"/>
    <mergeCell ref="B15:F15"/>
    <mergeCell ref="B25:F25"/>
    <mergeCell ref="B28:F28"/>
    <mergeCell ref="D22:F22"/>
    <mergeCell ref="B5:F5"/>
    <mergeCell ref="C16:F16"/>
    <mergeCell ref="B21:F21"/>
    <mergeCell ref="C18:F18"/>
    <mergeCell ref="C17:F17"/>
    <mergeCell ref="C23:F23"/>
    <mergeCell ref="D29:F29"/>
  </mergeCells>
  <phoneticPr fontId="7"/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Implied Growth Analysis</vt:lpstr>
      <vt:lpstr>Implied Multiple Analysis</vt:lpstr>
      <vt:lpstr>Market Scorecard</vt:lpstr>
      <vt:lpstr>Narrative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2026-08-21T06:11:31Z</dcterms:created>
  <dcterms:modified xsi:type="dcterms:W3CDTF">2026-08-21T06:11:58Z</dcterms:modified>
</cp:coreProperties>
</file>