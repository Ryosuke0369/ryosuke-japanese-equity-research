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mc:AlternateContent xmlns:mc="http://schemas.openxmlformats.org/markup-compatibility/2006">
    <mc:Choice Requires="x15">
      <x15ac:absPath xmlns:x15ac="http://schemas.microsoft.com/office/spreadsheetml/2010/11/ac" url="C:\Users\ryosuke0923\ryosuke-japanese-equity-research\models\"/>
    </mc:Choice>
  </mc:AlternateContent>
  <xr:revisionPtr revIDLastSave="0" documentId="13_ncr:1_{8240B030-16A3-401A-A441-576C2202F5BC}" xr6:coauthVersionLast="47" xr6:coauthVersionMax="47" xr10:uidLastSave="{00000000-0000-0000-0000-000000000000}"/>
  <bookViews>
    <workbookView xWindow="9720" yWindow="5480" windowWidth="4820" windowHeight="4600" xr2:uid="{00000000-000D-0000-FFFF-FFFF00000000}"/>
  </bookViews>
  <sheets>
    <sheet name="Executive Summary" sheetId="1" r:id="rId1"/>
    <sheet name="Financial Statements" sheetId="2" r:id="rId2"/>
    <sheet name="DCF Model" sheetId="3" r:id="rId3"/>
    <sheet name="Reverse DCF" sheetId="4" r:id="rId4"/>
    <sheet name="NWC Schedule" sheetId="5" r:id="rId5"/>
    <sheet name="Comps Analysis" sheetId="6" r:id="rId6"/>
    <sheet name="Sensitivity Analysis" sheetId="7" r:id="rId7"/>
    <sheet name="Adjustments Log" sheetId="8" r:id="rId8"/>
  </sheets>
  <calcPr calcId="181029"/>
</workbook>
</file>

<file path=xl/calcChain.xml><?xml version="1.0" encoding="utf-8"?>
<calcChain xmlns="http://schemas.openxmlformats.org/spreadsheetml/2006/main">
  <c r="I3" i="7" l="1"/>
  <c r="I17" i="7" s="1"/>
  <c r="F3" i="7"/>
  <c r="H6" i="7" s="1"/>
  <c r="O10" i="6"/>
  <c r="N10" i="6"/>
  <c r="M10" i="6"/>
  <c r="L10" i="6"/>
  <c r="K10" i="6"/>
  <c r="J10" i="6"/>
  <c r="O9" i="6"/>
  <c r="N9" i="6"/>
  <c r="M9" i="6"/>
  <c r="L9" i="6"/>
  <c r="K9" i="6"/>
  <c r="J9" i="6"/>
  <c r="O8" i="6"/>
  <c r="N8" i="6"/>
  <c r="M8" i="6"/>
  <c r="L8" i="6"/>
  <c r="F16" i="6" s="1"/>
  <c r="C28" i="6" s="1"/>
  <c r="C19" i="1" s="1"/>
  <c r="D19" i="1" s="1"/>
  <c r="K8" i="6"/>
  <c r="J8" i="6"/>
  <c r="O7" i="6"/>
  <c r="N7" i="6"/>
  <c r="M7" i="6"/>
  <c r="L7" i="6"/>
  <c r="K7" i="6"/>
  <c r="J7" i="6"/>
  <c r="D16" i="6" s="1"/>
  <c r="O6" i="6"/>
  <c r="N6" i="6"/>
  <c r="M6" i="6"/>
  <c r="L6" i="6"/>
  <c r="K6" i="6"/>
  <c r="J6" i="6"/>
  <c r="O5" i="6"/>
  <c r="N5" i="6"/>
  <c r="L5" i="6"/>
  <c r="B29" i="1" s="1"/>
  <c r="D5" i="6"/>
  <c r="E5" i="6" s="1"/>
  <c r="C16" i="5"/>
  <c r="C14" i="5"/>
  <c r="C18" i="5" s="1"/>
  <c r="C7" i="5"/>
  <c r="C6" i="5"/>
  <c r="C5" i="5"/>
  <c r="C13" i="4"/>
  <c r="C12" i="4"/>
  <c r="C9" i="4"/>
  <c r="C7" i="4"/>
  <c r="C8" i="4" s="1"/>
  <c r="C10" i="4" s="1"/>
  <c r="C6" i="4"/>
  <c r="D27" i="3"/>
  <c r="G5" i="5" s="1"/>
  <c r="C25" i="3"/>
  <c r="C24" i="3"/>
  <c r="C23" i="3"/>
  <c r="H28" i="2"/>
  <c r="G28" i="2"/>
  <c r="F28" i="2"/>
  <c r="E28" i="2"/>
  <c r="D28" i="2"/>
  <c r="C28" i="2"/>
  <c r="H23" i="2"/>
  <c r="G23" i="2"/>
  <c r="F23" i="2"/>
  <c r="E23" i="2"/>
  <c r="D23" i="2"/>
  <c r="C23" i="2"/>
  <c r="E22" i="2"/>
  <c r="H21" i="2"/>
  <c r="H22" i="2" s="1"/>
  <c r="G21" i="2"/>
  <c r="G22" i="2" s="1"/>
  <c r="F21" i="2"/>
  <c r="F22" i="2" s="1"/>
  <c r="E21" i="2"/>
  <c r="D21" i="2"/>
  <c r="D22" i="2" s="1"/>
  <c r="C21" i="2"/>
  <c r="C22" i="2" s="1"/>
  <c r="H16" i="2"/>
  <c r="G16" i="2"/>
  <c r="F16" i="2"/>
  <c r="E16" i="2"/>
  <c r="D16" i="2"/>
  <c r="H15" i="2"/>
  <c r="G15" i="2"/>
  <c r="F15" i="2"/>
  <c r="E15" i="2"/>
  <c r="D15" i="2"/>
  <c r="H14" i="2"/>
  <c r="G14" i="2"/>
  <c r="F14" i="2"/>
  <c r="E14" i="2"/>
  <c r="D14" i="2"/>
  <c r="C14" i="2"/>
  <c r="H13" i="2"/>
  <c r="G13" i="2"/>
  <c r="F13" i="2"/>
  <c r="E13" i="2"/>
  <c r="D13" i="2"/>
  <c r="C13" i="2"/>
  <c r="C9" i="2"/>
  <c r="H8" i="2"/>
  <c r="H9" i="2" s="1"/>
  <c r="G8" i="2"/>
  <c r="G9" i="2" s="1"/>
  <c r="F8" i="2"/>
  <c r="F9" i="2" s="1"/>
  <c r="E8" i="2"/>
  <c r="E9" i="2" s="1"/>
  <c r="D8" i="2"/>
  <c r="D9" i="2" s="1"/>
  <c r="C8" i="2"/>
  <c r="C32" i="3" l="1"/>
  <c r="G7" i="5"/>
  <c r="D32" i="3"/>
  <c r="H7" i="5"/>
  <c r="C31" i="3"/>
  <c r="D30" i="3"/>
  <c r="E32" i="3"/>
  <c r="D5" i="5"/>
  <c r="F17" i="6"/>
  <c r="E30" i="3"/>
  <c r="F32" i="3"/>
  <c r="G30" i="3"/>
  <c r="F30" i="3"/>
  <c r="E6" i="5"/>
  <c r="F6" i="5"/>
  <c r="G31" i="3"/>
  <c r="E7" i="5"/>
  <c r="E16" i="6"/>
  <c r="G16" i="6"/>
  <c r="C71" i="4"/>
  <c r="C70" i="4"/>
  <c r="G15" i="6"/>
  <c r="J5" i="6"/>
  <c r="K5" i="6"/>
  <c r="H15" i="6"/>
  <c r="H16" i="6"/>
  <c r="H17" i="6"/>
  <c r="I16" i="6"/>
  <c r="C27" i="6"/>
  <c r="C18" i="1" s="1"/>
  <c r="D18" i="1" s="1"/>
  <c r="C74" i="4"/>
  <c r="D15" i="6"/>
  <c r="E15" i="6"/>
  <c r="D17" i="6"/>
  <c r="F15" i="6"/>
  <c r="C26" i="3"/>
  <c r="E17" i="6"/>
  <c r="C30" i="3"/>
  <c r="C33" i="3" s="1"/>
  <c r="F31" i="3"/>
  <c r="H5" i="5"/>
  <c r="D7" i="5"/>
  <c r="I15" i="6"/>
  <c r="I6" i="7"/>
  <c r="C17" i="7"/>
  <c r="D6" i="5"/>
  <c r="F7" i="5"/>
  <c r="M5" i="6"/>
  <c r="B24" i="1" s="1"/>
  <c r="G17" i="6"/>
  <c r="C6" i="7"/>
  <c r="D17" i="7"/>
  <c r="D6" i="7"/>
  <c r="E17" i="7"/>
  <c r="I17" i="6"/>
  <c r="E6" i="7"/>
  <c r="F17" i="7"/>
  <c r="F6" i="7"/>
  <c r="G17" i="7"/>
  <c r="E5" i="5"/>
  <c r="G6" i="5"/>
  <c r="D31" i="3"/>
  <c r="G32" i="3"/>
  <c r="F5" i="5"/>
  <c r="H6" i="5"/>
  <c r="G6" i="7"/>
  <c r="H17" i="7"/>
  <c r="E31" i="3"/>
  <c r="C3" i="7" l="1"/>
  <c r="G36" i="4"/>
  <c r="C11" i="4"/>
  <c r="C24" i="4" s="1"/>
  <c r="C25" i="4" s="1"/>
  <c r="G46" i="3"/>
  <c r="F36" i="4"/>
  <c r="F46" i="3"/>
  <c r="E36" i="4"/>
  <c r="E46" i="3"/>
  <c r="H36" i="4"/>
  <c r="D46" i="3"/>
  <c r="C46" i="3"/>
  <c r="B25" i="1"/>
  <c r="D36" i="4"/>
  <c r="D9" i="5"/>
  <c r="D12" i="5" s="1"/>
  <c r="D33" i="3"/>
  <c r="C42" i="3"/>
  <c r="C37" i="3"/>
  <c r="C34" i="3"/>
  <c r="D10" i="5" s="1"/>
  <c r="D15" i="5" l="1"/>
  <c r="D16" i="5" s="1"/>
  <c r="D13" i="5"/>
  <c r="D14" i="5" s="1"/>
  <c r="D18" i="5" s="1"/>
  <c r="D19" i="5" s="1"/>
  <c r="C44" i="3" s="1"/>
  <c r="G46" i="4"/>
  <c r="G40" i="4"/>
  <c r="G50" i="4" s="1"/>
  <c r="G55" i="4" s="1"/>
  <c r="G44" i="4"/>
  <c r="G45" i="4"/>
  <c r="G43" i="4"/>
  <c r="G39" i="4"/>
  <c r="G49" i="4" s="1"/>
  <c r="G54" i="4" s="1"/>
  <c r="G38" i="4"/>
  <c r="G41" i="4"/>
  <c r="H40" i="4"/>
  <c r="H50" i="4" s="1"/>
  <c r="H55" i="4" s="1"/>
  <c r="H44" i="4"/>
  <c r="H38" i="4"/>
  <c r="H39" i="4"/>
  <c r="H46" i="4"/>
  <c r="H45" i="4"/>
  <c r="H43" i="4"/>
  <c r="H41" i="4"/>
  <c r="B13" i="7"/>
  <c r="B12" i="7"/>
  <c r="B11" i="7"/>
  <c r="B10" i="7"/>
  <c r="B9" i="7"/>
  <c r="B8" i="7"/>
  <c r="B7" i="7"/>
  <c r="B24" i="7"/>
  <c r="B23" i="7"/>
  <c r="B22" i="7"/>
  <c r="B21" i="7"/>
  <c r="B20" i="7"/>
  <c r="B19" i="7"/>
  <c r="B18" i="7"/>
  <c r="C35" i="3"/>
  <c r="C26" i="4"/>
  <c r="C27" i="4"/>
  <c r="C29" i="4"/>
  <c r="E9" i="5"/>
  <c r="E12" i="5" s="1"/>
  <c r="D42" i="3"/>
  <c r="E33" i="3"/>
  <c r="D35" i="3"/>
  <c r="D37" i="3"/>
  <c r="D34" i="3"/>
  <c r="E10" i="5" s="1"/>
  <c r="E39" i="4"/>
  <c r="E43" i="4"/>
  <c r="E46" i="4"/>
  <c r="E38" i="4"/>
  <c r="E45" i="4"/>
  <c r="E40" i="4"/>
  <c r="E44" i="4"/>
  <c r="E41" i="4"/>
  <c r="D45" i="4"/>
  <c r="D39" i="4"/>
  <c r="D43" i="4"/>
  <c r="D44" i="4"/>
  <c r="D41" i="4"/>
  <c r="D51" i="4" s="1"/>
  <c r="D56" i="4" s="1"/>
  <c r="D40" i="4"/>
  <c r="D50" i="4" s="1"/>
  <c r="D55" i="4" s="1"/>
  <c r="D38" i="4"/>
  <c r="D46" i="4"/>
  <c r="F43" i="4"/>
  <c r="F46" i="4"/>
  <c r="F40" i="4"/>
  <c r="F41" i="4"/>
  <c r="F39" i="4"/>
  <c r="F49" i="4" s="1"/>
  <c r="F45" i="4"/>
  <c r="F44" i="4"/>
  <c r="F38" i="4"/>
  <c r="E50" i="4" l="1"/>
  <c r="E55" i="4" s="1"/>
  <c r="F51" i="4"/>
  <c r="F56" i="4" s="1"/>
  <c r="F54" i="4"/>
  <c r="B78" i="4" s="1"/>
  <c r="C60" i="4"/>
  <c r="H51" i="4"/>
  <c r="H56" i="4" s="1"/>
  <c r="F50" i="4"/>
  <c r="F55" i="4" s="1"/>
  <c r="D49" i="4"/>
  <c r="D54" i="4" s="1"/>
  <c r="E14" i="5"/>
  <c r="E18" i="5" s="1"/>
  <c r="E19" i="5" s="1"/>
  <c r="D44" i="3" s="1"/>
  <c r="F48" i="4"/>
  <c r="F53" i="4" s="1"/>
  <c r="E49" i="4"/>
  <c r="E54" i="4" s="1"/>
  <c r="H49" i="4"/>
  <c r="H54" i="4" s="1"/>
  <c r="D36" i="3"/>
  <c r="D39" i="3"/>
  <c r="D38" i="3"/>
  <c r="D48" i="4"/>
  <c r="D53" i="4" s="1"/>
  <c r="E51" i="4"/>
  <c r="E56" i="4" s="1"/>
  <c r="E13" i="5"/>
  <c r="E15" i="5"/>
  <c r="E16" i="5" s="1"/>
  <c r="H48" i="4"/>
  <c r="H53" i="4" s="1"/>
  <c r="F9" i="5"/>
  <c r="F12" i="5" s="1"/>
  <c r="E42" i="3"/>
  <c r="E34" i="3"/>
  <c r="F10" i="5" s="1"/>
  <c r="F33" i="3"/>
  <c r="E37" i="3"/>
  <c r="G51" i="4"/>
  <c r="G56" i="4" s="1"/>
  <c r="E48" i="4"/>
  <c r="E53" i="4" s="1"/>
  <c r="C36" i="3"/>
  <c r="C38" i="3"/>
  <c r="C39" i="3"/>
  <c r="G48" i="4"/>
  <c r="G53" i="4" s="1"/>
  <c r="F42" i="3" l="1"/>
  <c r="F34" i="3"/>
  <c r="G10" i="5" s="1"/>
  <c r="F37" i="3"/>
  <c r="G9" i="5"/>
  <c r="G12" i="5" s="1"/>
  <c r="G33" i="3"/>
  <c r="F14" i="5"/>
  <c r="E35" i="3"/>
  <c r="F13" i="5"/>
  <c r="F15" i="5"/>
  <c r="F16" i="5" s="1"/>
  <c r="D40" i="3"/>
  <c r="D41" i="3" s="1"/>
  <c r="D45" i="3" s="1"/>
  <c r="D47" i="3" s="1"/>
  <c r="C40" i="3"/>
  <c r="C41" i="3" s="1"/>
  <c r="C45" i="3" s="1"/>
  <c r="C65" i="4"/>
  <c r="D65" i="4" s="1"/>
  <c r="C67" i="4"/>
  <c r="D67" i="4" s="1"/>
  <c r="C63" i="4"/>
  <c r="D63" i="4" s="1"/>
  <c r="C66" i="4"/>
  <c r="D66" i="4" s="1"/>
  <c r="C64" i="4"/>
  <c r="D64" i="4" s="1"/>
  <c r="F18" i="5" l="1"/>
  <c r="F19" i="5" s="1"/>
  <c r="E44" i="3" s="1"/>
  <c r="G37" i="3"/>
  <c r="C16" i="4"/>
  <c r="C28" i="4" s="1"/>
  <c r="G42" i="3"/>
  <c r="G34" i="3"/>
  <c r="H10" i="5" s="1"/>
  <c r="G35" i="3"/>
  <c r="H9" i="5"/>
  <c r="H12" i="5" s="1"/>
  <c r="G14" i="5"/>
  <c r="G18" i="5" s="1"/>
  <c r="G19" i="5" s="1"/>
  <c r="F44" i="3" s="1"/>
  <c r="G13" i="5"/>
  <c r="G15" i="5"/>
  <c r="G16" i="5" s="1"/>
  <c r="E39" i="3"/>
  <c r="E36" i="3"/>
  <c r="E38" i="3"/>
  <c r="C47" i="3"/>
  <c r="F35" i="3"/>
  <c r="F39" i="3" l="1"/>
  <c r="F36" i="3"/>
  <c r="F38" i="3"/>
  <c r="H14" i="5"/>
  <c r="H18" i="5" s="1"/>
  <c r="H19" i="5" s="1"/>
  <c r="G44" i="3" s="1"/>
  <c r="G38" i="3"/>
  <c r="G39" i="3"/>
  <c r="G36" i="3"/>
  <c r="H13" i="5"/>
  <c r="H15" i="5"/>
  <c r="H16" i="5" s="1"/>
  <c r="C72" i="4"/>
  <c r="C73" i="4"/>
  <c r="E40" i="3"/>
  <c r="E41" i="3" s="1"/>
  <c r="E45" i="3" s="1"/>
  <c r="E47" i="3" l="1"/>
  <c r="G40" i="3"/>
  <c r="C59" i="3"/>
  <c r="C60" i="3" s="1"/>
  <c r="C61" i="3" s="1"/>
  <c r="G41" i="3"/>
  <c r="G45" i="3" s="1"/>
  <c r="F40" i="3"/>
  <c r="F41" i="3" s="1"/>
  <c r="F45" i="3" s="1"/>
  <c r="F47" i="3" l="1"/>
  <c r="D10" i="7"/>
  <c r="H19" i="7"/>
  <c r="H8" i="7"/>
  <c r="D18" i="7"/>
  <c r="F18" i="7"/>
  <c r="G23" i="7"/>
  <c r="I10" i="7"/>
  <c r="G12" i="7"/>
  <c r="E13" i="7"/>
  <c r="E7" i="7"/>
  <c r="H12" i="7"/>
  <c r="E22" i="7"/>
  <c r="G18" i="7"/>
  <c r="G7" i="7"/>
  <c r="I13" i="7"/>
  <c r="G24" i="7"/>
  <c r="I12" i="7"/>
  <c r="C9" i="7"/>
  <c r="F21" i="7"/>
  <c r="E24" i="7"/>
  <c r="H13" i="7"/>
  <c r="D23" i="7"/>
  <c r="H11" i="7"/>
  <c r="F23" i="7"/>
  <c r="F12" i="7"/>
  <c r="C13" i="7"/>
  <c r="E9" i="7"/>
  <c r="D11" i="7"/>
  <c r="H23" i="7"/>
  <c r="G20" i="7"/>
  <c r="H10" i="7"/>
  <c r="I20" i="7"/>
  <c r="D24" i="7"/>
  <c r="I24" i="7"/>
  <c r="C7" i="7"/>
  <c r="H18" i="7"/>
  <c r="C24" i="7"/>
  <c r="C20" i="7"/>
  <c r="F11" i="7"/>
  <c r="I9" i="7"/>
  <c r="G22" i="7"/>
  <c r="H20" i="7"/>
  <c r="D13" i="7"/>
  <c r="H22" i="7"/>
  <c r="I23" i="7"/>
  <c r="C8" i="7"/>
  <c r="F13" i="7"/>
  <c r="F10" i="7"/>
  <c r="G10" i="7"/>
  <c r="I22" i="7"/>
  <c r="F24" i="7"/>
  <c r="F20" i="7"/>
  <c r="D12" i="7"/>
  <c r="H21" i="7"/>
  <c r="E11" i="7"/>
  <c r="C23" i="7"/>
  <c r="F9" i="7"/>
  <c r="F7" i="7"/>
  <c r="D8" i="7"/>
  <c r="H24" i="7"/>
  <c r="I7" i="7"/>
  <c r="D19" i="7"/>
  <c r="D21" i="7"/>
  <c r="F22" i="7"/>
  <c r="I11" i="7"/>
  <c r="D20" i="7"/>
  <c r="E19" i="7"/>
  <c r="G8" i="7"/>
  <c r="E8" i="7"/>
  <c r="G11" i="7"/>
  <c r="I8" i="7"/>
  <c r="F8" i="7"/>
  <c r="G9" i="7"/>
  <c r="E12" i="7"/>
  <c r="E21" i="7"/>
  <c r="C22" i="7"/>
  <c r="I18" i="7"/>
  <c r="E23" i="7"/>
  <c r="C21" i="7"/>
  <c r="F19" i="7"/>
  <c r="E10" i="7"/>
  <c r="E18" i="7"/>
  <c r="I19" i="7"/>
  <c r="D7" i="7"/>
  <c r="C18" i="7"/>
  <c r="C12" i="7"/>
  <c r="G21" i="7"/>
  <c r="C19" i="7"/>
  <c r="C10" i="7"/>
  <c r="G19" i="7"/>
  <c r="I21" i="7"/>
  <c r="D9" i="7"/>
  <c r="E20" i="7"/>
  <c r="H7" i="7"/>
  <c r="C11" i="7"/>
  <c r="H9" i="7"/>
  <c r="G13" i="7"/>
  <c r="D22" i="7"/>
  <c r="C50" i="3"/>
  <c r="C51" i="3"/>
  <c r="C52" i="3" s="1"/>
  <c r="G47" i="3"/>
  <c r="C53" i="3" l="1"/>
  <c r="C58" i="3"/>
  <c r="C62" i="3" s="1"/>
  <c r="C63" i="3" l="1"/>
  <c r="C64" i="3" s="1"/>
  <c r="C17" i="1"/>
  <c r="D17" i="1" s="1"/>
  <c r="C17" i="4"/>
  <c r="C54" i="3"/>
  <c r="C55" i="3" s="1"/>
  <c r="C16" i="1"/>
  <c r="C19" i="4" l="1"/>
  <c r="C20" i="4" s="1"/>
  <c r="B79" i="4"/>
  <c r="C10" i="1"/>
  <c r="C21" i="1"/>
  <c r="D16" i="1"/>
  <c r="B31" i="1" l="1"/>
  <c r="C12" i="1"/>
  <c r="C11" i="1" s="1"/>
  <c r="B26" i="1" l="1"/>
</calcChain>
</file>

<file path=xl/sharedStrings.xml><?xml version="1.0" encoding="utf-8"?>
<sst xmlns="http://schemas.openxmlformats.org/spreadsheetml/2006/main" count="510" uniqueCount="397">
  <si>
    <t>DISCLAIMER: This is a sample analysis for demonstration purposes only. It does not constitute investment advice.</t>
  </si>
  <si>
    <t>明治ホールディングス (2269.T)</t>
  </si>
  <si>
    <t>Equity Research Report</t>
  </si>
  <si>
    <t>Company</t>
  </si>
  <si>
    <t>明治ホールディングス</t>
  </si>
  <si>
    <t>Ticker</t>
  </si>
  <si>
    <t>2269.T (TSE Prime)</t>
  </si>
  <si>
    <t>Sector</t>
  </si>
  <si>
    <t>食料品</t>
  </si>
  <si>
    <t>Current Price</t>
  </si>
  <si>
    <t>Target Price (DCF Mid)</t>
  </si>
  <si>
    <t>Recommendation</t>
  </si>
  <si>
    <t>Upside / Downside</t>
  </si>
  <si>
    <t>Valuation Summary</t>
  </si>
  <si>
    <t>Methodology</t>
  </si>
  <si>
    <t>Implied Value (JPY)</t>
  </si>
  <si>
    <t>vs Current Price</t>
  </si>
  <si>
    <t>DCF - Perpetuity Growth</t>
  </si>
  <si>
    <t>DCF - Exit Multiple</t>
  </si>
  <si>
    <t>Comps - EV/EBITDA Median [参考・Target不算入]</t>
  </si>
  <si>
    <t>Comps - PER Median [参考・Target不算入]</t>
  </si>
  <si>
    <t>Note: Target Mid は DCF 2法（PGM / Exit）の平均のみ。Comps 2法は [参考] で Target 不算入（EV&lt;ネットデットで株式価値が負になる手法は INVALID として平均から除外）</t>
  </si>
  <si>
    <t>DCF Valuation Range (PGM - Exit)</t>
  </si>
  <si>
    <t>Key Investment Thesis</t>
  </si>
  <si>
    <t>Key Risks</t>
  </si>
  <si>
    <t>Raw milk and cocoa input costs have repeatedly forced price increases, and a failure to pass them through would take margins to the trough used in the second downside case.</t>
  </si>
  <si>
    <t>明治ホールディングス - Historical Financials (JPY mn)</t>
  </si>
  <si>
    <t>FY2021</t>
  </si>
  <si>
    <t>FY2022</t>
  </si>
  <si>
    <t>FY2023</t>
  </si>
  <si>
    <t>FY2024</t>
  </si>
  <si>
    <t>FY2025</t>
  </si>
  <si>
    <t>FY2026</t>
  </si>
  <si>
    <t>Income Statement</t>
  </si>
  <si>
    <t>Revenue</t>
  </si>
  <si>
    <t>COGS</t>
  </si>
  <si>
    <t>Gross Profit</t>
  </si>
  <si>
    <t>Gross Margin</t>
  </si>
  <si>
    <t>SGA</t>
  </si>
  <si>
    <t>Operating Income</t>
  </si>
  <si>
    <t>Net Income</t>
  </si>
  <si>
    <t>Operating Margin</t>
  </si>
  <si>
    <t>Net Margin</t>
  </si>
  <si>
    <t>Revenue Growth (YoY)</t>
  </si>
  <si>
    <t>n/a</t>
  </si>
  <si>
    <t>Operating Income Growth (YoY)</t>
  </si>
  <si>
    <t>Cash Flow Statement</t>
  </si>
  <si>
    <t>Operating Cash Flow</t>
  </si>
  <si>
    <t>Capex</t>
  </si>
  <si>
    <t>Free Cash Flow</t>
  </si>
  <si>
    <t>FCF Margin</t>
  </si>
  <si>
    <t>Capex / Revenue</t>
  </si>
  <si>
    <t>Balance Sheet Highlights</t>
  </si>
  <si>
    <t>Cash &amp; Deposits</t>
  </si>
  <si>
    <t>Total Interest-bearing Debt (short + long)</t>
  </si>
  <si>
    <t>Net Debt (Cash)</t>
  </si>
  <si>
    <t>Note: OCF / Cash / Debt coverage OCF 6/6, Cash 6/6, Debt 6/6 — blank cells are years with no year-key match in the source data (verify against 決算短信 or set hist_ocf / hist_cash / hist_debt in overrides).</t>
  </si>
  <si>
    <t>DCF Valuation Model - 明治ホールディングス</t>
  </si>
  <si>
    <t>Assumptions</t>
  </si>
  <si>
    <t>Capex / Revenue (hist 3yr avg, fallback)</t>
  </si>
  <si>
    <t>Effective Tax Rate</t>
  </si>
  <si>
    <t>Risk-Free Rate</t>
  </si>
  <si>
    <t>Beta</t>
  </si>
  <si>
    <t>Equity Risk Premium</t>
  </si>
  <si>
    <t>Size Premium</t>
  </si>
  <si>
    <t>After-tax Cost of Debt</t>
  </si>
  <si>
    <t>D/E Ratio</t>
  </si>
  <si>
    <t>Terminal Growth Rate</t>
  </si>
  <si>
    <t>Exit Multiple (EV/EBITDA)</t>
  </si>
  <si>
    <t>Fully Diluted Shares</t>
  </si>
  <si>
    <t>Net Debt (JPY mn)</t>
  </si>
  <si>
    <t>Base Year Revenue (JPY mn)</t>
  </si>
  <si>
    <t>D&amp;A / Revenue</t>
  </si>
  <si>
    <t>Stub Fraction (yr remaining)</t>
  </si>
  <si>
    <t>LTM Revenue (JPY mn)</t>
  </si>
  <si>
    <t>WACC Calculation</t>
  </si>
  <si>
    <t>Cost of Equity (Ke)</t>
  </si>
  <si>
    <t>Weight of Equity</t>
  </si>
  <si>
    <t>Weight of Debt</t>
  </si>
  <si>
    <t>WACC</t>
  </si>
  <si>
    <t>Active Scenario</t>
  </si>
  <si>
    <t>Base</t>
  </si>
  <si>
    <t>Projected Free Cash Flow</t>
  </si>
  <si>
    <t>FY2027(E)</t>
  </si>
  <si>
    <t>FY2028(E)</t>
  </si>
  <si>
    <t>FY2029(E)</t>
  </si>
  <si>
    <t>FY2030(E)</t>
  </si>
  <si>
    <t>FY2031(E)</t>
  </si>
  <si>
    <t>COGS % of Revenue</t>
  </si>
  <si>
    <t>SGA % of Revenue</t>
  </si>
  <si>
    <t>SGA Expense</t>
  </si>
  <si>
    <t>Implied Operating Margin</t>
  </si>
  <si>
    <t>Operating Income (EBIT)</t>
  </si>
  <si>
    <t>Less: Tax</t>
  </si>
  <si>
    <t>NOPAT</t>
  </si>
  <si>
    <t>Plus: D&amp;A</t>
  </si>
  <si>
    <t>Less: Capex</t>
  </si>
  <si>
    <t>Change in NWC</t>
  </si>
  <si>
    <t>Unlevered Free Cash Flow</t>
  </si>
  <si>
    <t>Discount Factor</t>
  </si>
  <si>
    <t>PV of FCF</t>
  </si>
  <si>
    <t>Valuation - Perpetuity Growth Method</t>
  </si>
  <si>
    <t>Sum of PV of FCFs</t>
  </si>
  <si>
    <t>Terminal Value (PGM)</t>
  </si>
  <si>
    <t>PV of Terminal Value</t>
  </si>
  <si>
    <t>Enterprise Value</t>
  </si>
  <si>
    <t>Equity Value</t>
  </si>
  <si>
    <t>Implied Share Price (PGM)</t>
  </si>
  <si>
    <t>Valuation - Exit Multiple Method</t>
  </si>
  <si>
    <t>Year 5 EBITDA</t>
  </si>
  <si>
    <t>Terminal Value (Exit Multiple)</t>
  </si>
  <si>
    <t>Implied Share Price (Exit Multiple)</t>
  </si>
  <si>
    <t>Scenario Input Matrix</t>
  </si>
  <si>
    <t>Year 1</t>
  </si>
  <si>
    <t>Year 2</t>
  </si>
  <si>
    <t>Year 3</t>
  </si>
  <si>
    <t>Year 4</t>
  </si>
  <si>
    <t>Year 5</t>
  </si>
  <si>
    <t>Upside</t>
  </si>
  <si>
    <t>Management</t>
  </si>
  <si>
    <t>Downside 1</t>
  </si>
  <si>
    <t>Downside 2</t>
  </si>
  <si>
    <t>Reverse DCF - 明治ホールディングス (2269.T)</t>
  </si>
  <si>
    <t>What is the current share price already assuming? Every value below is a live formula off the other sheets.</t>
  </si>
  <si>
    <t>Block 0: Market-implied enterprise value (live)</t>
  </si>
  <si>
    <t>Current Share Price (JPY)</t>
  </si>
  <si>
    <t>Market Capitalisation (JPY mn)</t>
  </si>
  <si>
    <t>Enterprise Value (JPY mn)</t>
  </si>
  <si>
    <t>WACC (w)</t>
  </si>
  <si>
    <t>Terminal Growth (g)</t>
  </si>
  <si>
    <t>Effective Tax Rate (t)</t>
  </si>
  <si>
    <t>Starting Operating Profit OP0 (FY2026 actual)</t>
  </si>
  <si>
    <t>Cycle-peak Operating Profit (FY2021 actual)</t>
  </si>
  <si>
    <t>Terminal-year Revenue, active scenario (JPY mn)</t>
  </si>
  <si>
    <t>Base-case DCF Enterprise Value, PGM (JPY mn)</t>
  </si>
  <si>
    <t>Cycle-peak Operating Margin (FY2021 actual)</t>
  </si>
  <si>
    <t>Gap: market EV less base-case DCF EV (JPY mn)</t>
  </si>
  <si>
    <t>Gap per share (JPY) - the part of the price the base case does not explain</t>
  </si>
  <si>
    <t>Block A: Required steady-state operating profit, reached IMMEDIATELY (no ramp)</t>
  </si>
  <si>
    <t>The lowest bar the price can clear: today's EV read as a perpetuity of one steady-state profit, capex = D&amp;A, no NWC build.</t>
  </si>
  <si>
    <t>Required steady-state NOPAT (JPY mn)</t>
  </si>
  <si>
    <t>Required steady-state Operating Profit (JPY mn)</t>
  </si>
  <si>
    <t>... as a multiple of the FY2021 peak</t>
  </si>
  <si>
    <t>... as a multiple of FY2026 actual</t>
  </si>
  <si>
    <t>... implied OPM on terminal-year revenue</t>
  </si>
  <si>
    <t>... revenue needed if margins only reach the cycle peak</t>
  </si>
  <si>
    <t>Block B: Required steady-state operating profit by YEARS-TO-REACH (linear ramp) x WACC</t>
  </si>
  <si>
    <t>Operating profit ramps linearly from OP0 (C14) to OP* over N years, then grows at g for ever. Column F is the model WACC.</t>
  </si>
  <si>
    <t>OP* = ( EV/(1-t) - OP0*(A-B) ) / ( B + TVF ). A longer ramp needs a HIGHER steady state, because more years are spent below it.</t>
  </si>
  <si>
    <t>Years to steady state (N)   \   WACC</t>
  </si>
  <si>
    <t>N</t>
  </si>
  <si>
    <t>B-1  PV weight on the RAMP from OP0   (A - B)</t>
  </si>
  <si>
    <t>N = 3 years</t>
  </si>
  <si>
    <t>N = 5 years</t>
  </si>
  <si>
    <t>N = 7 years</t>
  </si>
  <si>
    <t>N = 10 years</t>
  </si>
  <si>
    <t>B-2  PV weight on the STEADY STATE OP*   (B + terminal factor)</t>
  </si>
  <si>
    <t>B-3  REQUIRED steady-state Operating Profit (JPY mn)</t>
  </si>
  <si>
    <t>B-4  ... as a multiple of the FY2021 peak operating profit</t>
  </si>
  <si>
    <t>Block C: Decomposing the required profit into revenue x margin (N = 5 years, model WACC)</t>
  </si>
  <si>
    <t>The revenue the company must run at, for a given steady-state operating margin, to earn the Block B-3 profit.</t>
  </si>
  <si>
    <t>Required steady-state Operating Profit (N=5, model WACC)</t>
  </si>
  <si>
    <t>Assumed steady-state OPM</t>
  </si>
  <si>
    <t>Required Revenue</t>
  </si>
  <si>
    <t>x base-year revenue</t>
  </si>
  <si>
    <t>cycle-peak OPM (FY2021)</t>
  </si>
  <si>
    <t>Block D: The same question expressed as multiples</t>
  </si>
  <si>
    <t>Current EV / latest-FY EBITDA (actual)</t>
  </si>
  <si>
    <t>Current EV / latest-FY Revenue (actual)</t>
  </si>
  <si>
    <t>EV / EBITDA if the Block A profit were already earned</t>
  </si>
  <si>
    <t>EV / EBITDA if the Block B-3 (N=5) profit were already earned</t>
  </si>
  <si>
    <t>Peer median EV / EBITDA (statistics rows)</t>
  </si>
  <si>
    <t>Rows 3-4 answer: what multiple would today's EV be paying IF the company already earned the profit the price requires?</t>
  </si>
  <si>
    <t>Block F: The one-line answer</t>
  </si>
  <si>
    <t>NWC Schedule - 明治ホールディングス</t>
  </si>
  <si>
    <t>Working Capital Drivers (Days)</t>
  </si>
  <si>
    <t>Base Year</t>
  </si>
  <si>
    <t>DSO (Days Sales Outstanding)</t>
  </si>
  <si>
    <t>DIH (Days Inventory Held)</t>
  </si>
  <si>
    <t>DPO (Days Payable Outstanding)</t>
  </si>
  <si>
    <t>P&amp;L Reference (JPY mn)</t>
  </si>
  <si>
    <t>Working Capital Items (JPY mn)</t>
  </si>
  <si>
    <t>Accounts Receivable</t>
  </si>
  <si>
    <t>Inventory</t>
  </si>
  <si>
    <t>Current Assets (AR + Inv)</t>
  </si>
  <si>
    <t>Accounts Payable</t>
  </si>
  <si>
    <t>Current Liabilities (AP)</t>
  </si>
  <si>
    <t>Net Working Capital (JPY mn)</t>
  </si>
  <si>
    <t>Net Working Capital</t>
  </si>
  <si>
    <t>Scenario Input Matrix (Working Capital Days)</t>
  </si>
  <si>
    <t>DSO (Days)</t>
  </si>
  <si>
    <t>DIH (Days)</t>
  </si>
  <si>
    <t>DPO (Days)</t>
  </si>
  <si>
    <t>Comparable Company Analysis</t>
  </si>
  <si>
    <t>Peer prices as of 2026-09-05 (Mkt Cap / EV of peer rows are static CSV values; the subject row is live-linked to Executive Summary)</t>
  </si>
  <si>
    <t>Mkt Cap
(JPY mn)</t>
  </si>
  <si>
    <t>EV
(JPY mn)</t>
  </si>
  <si>
    <t>Revenue
(JPY mn)</t>
  </si>
  <si>
    <t>EBITDA
(JPY mn)</t>
  </si>
  <si>
    <t>Op Income
(JPY mn)</t>
  </si>
  <si>
    <t>Net Income
(JPY mn)</t>
  </si>
  <si>
    <t>EV/EBITDA</t>
  </si>
  <si>
    <t>EV/Revenue</t>
  </si>
  <si>
    <t>PER</t>
  </si>
  <si>
    <t>PBR</t>
  </si>
  <si>
    <t>Op Margin</t>
  </si>
  <si>
    <t>ROE</t>
  </si>
  <si>
    <t>Book Value
(JPY mn)</t>
  </si>
  <si>
    <t>Note</t>
  </si>
  <si>
    <t>Meiji Holdings Co., Ltd.</t>
  </si>
  <si>
    <t>2269.T</t>
  </si>
  <si>
    <t>Kikkoman Corporation</t>
  </si>
  <si>
    <t>2801.T</t>
  </si>
  <si>
    <t>Nissin Foods Holdings Co.,Ltd.</t>
  </si>
  <si>
    <t>2897.T</t>
  </si>
  <si>
    <t>Yakult Honsha Co.,Ltd.</t>
  </si>
  <si>
    <t>2267.T</t>
  </si>
  <si>
    <t>Kirin Holdings Company, Limited</t>
  </si>
  <si>
    <t>2503.T</t>
  </si>
  <si>
    <t>Asahi Group Holdings, Ltd.</t>
  </si>
  <si>
    <t>2502.T</t>
  </si>
  <si>
    <t>Statistics</t>
  </si>
  <si>
    <t>25th Percentile</t>
  </si>
  <si>
    <t>Median (50th)</t>
  </si>
  <si>
    <t>75th Percentile</t>
  </si>
  <si>
    <t>Implied Valuation for 明治ホールディングス</t>
  </si>
  <si>
    <t>明治ホールディングス Financials</t>
  </si>
  <si>
    <t>EBITDA (JPY mn)</t>
  </si>
  <si>
    <t>Net Income (JPY mn)</t>
  </si>
  <si>
    <t>Shares Outstanding</t>
  </si>
  <si>
    <t>Implied Share Price (Median Multiples)</t>
  </si>
  <si>
    <t>Via EV/EBITDA (Median)</t>
  </si>
  <si>
    <t>Via PER (Median)</t>
  </si>
  <si>
    <t>Sensitivity Analysis</t>
  </si>
  <si>
    <t>Current WACC:</t>
  </si>
  <si>
    <t>Terminal g:</t>
  </si>
  <si>
    <t>Exit Multiple:</t>
  </si>
  <si>
    <t>Table 1: WACC vs Terminal Growth Rate (PGM - Implied Share Price, JPY)</t>
  </si>
  <si>
    <t>WACC \ Terminal g</t>
  </si>
  <si>
    <t>Table 2: WACC vs Exit Multiple (Exit Multiple - Implied Share Price, JPY)</t>
  </si>
  <si>
    <t>WACC \ Exit Multiple</t>
  </si>
  <si>
    <t>All values dynamically linked to DCF Model. Headers auto-center on current WACC / Terminal g / Exit Multiple.</t>
  </si>
  <si>
    <t>Adjustments Log - 明治ホールディングス</t>
  </si>
  <si>
    <t>日付</t>
  </si>
  <si>
    <t>セル</t>
  </si>
  <si>
    <t>変更内容</t>
  </si>
  <si>
    <t>理由</t>
  </si>
  <si>
    <t>元の値</t>
  </si>
  <si>
    <t>状態</t>
  </si>
  <si>
    <t>2026-09-05</t>
  </si>
  <si>
    <t>-</t>
  </si>
  <si>
    <t>Generated by pipeline on 2026-09-05 12:44, template rev c9b5dd9</t>
  </si>
  <si>
    <t>初期生成（手修正なし）</t>
  </si>
  <si>
    <t>generated</t>
  </si>
  <si>
    <t>DCF Model!C7</t>
  </si>
  <si>
    <t>Risk-Free Rate = 2.97%</t>
  </si>
  <si>
    <t>財務省 国債金利情報 jgbcm.csv 10年物 R8.9.3(2026-09-03) 2.966% を四捨五入。バッチ全銘柄共通の一次ソース。</t>
  </si>
  <si>
    <t>テンプレ既定 2.2%</t>
  </si>
  <si>
    <t>確定</t>
  </si>
  <si>
    <t>DCF Model!C9</t>
  </si>
  <si>
    <t>Equity Risk Premium = 6.5%</t>
  </si>
  <si>
    <t>バッチ共通の固定前提(§1-3)。</t>
  </si>
  <si>
    <t>テンプレ既定 6.5%(同値)</t>
  </si>
  <si>
    <t>設計判断</t>
  </si>
  <si>
    <t>DCF Model!C10</t>
  </si>
  <si>
    <t>Size Premium = 1.0%</t>
  </si>
  <si>
    <t>時価総額バンドの機械決定(&gt;3,000億円 -&gt; 1.0%)。当社時価総額 1,195,300百万円。テンプレの自動規則(&gt;=1兆円 -&gt; 0.0%、&gt;=1,000億円 -&gt; 1.5%)とは異なる値であり、明示指定で上書きしている。</t>
  </si>
  <si>
    <t>テンプレ自動値</t>
  </si>
  <si>
    <t>DCF Model!C8</t>
  </si>
  <si>
    <t>Beta = 0.60</t>
  </si>
  <si>
    <t>yfinance実測は 0.130。テンプレは beta を [0.6, 1.75] にクランプし範囲外は【無言で 1.0 に置換】する(templates/dcf_comps_template.py:1819、生成ログでも確認)。サイレントフォールバック禁止の原則により許容域の下限 0.60 を明示指定し、当社の低ベータ性を保持した。0.60 は実測値ではなく『テンプレが受け付ける最小値』であることに注意。</t>
  </si>
  <si>
    <t>yfinance実測 0.130 / テンプレ置換値 1.0</t>
  </si>
  <si>
    <t>DCF Model!C6</t>
  </si>
  <si>
    <t>Effective Tax Rate = 25%</t>
  </si>
  <si>
    <t>バッチ共通の既定値(§1-3)。当社の実績税負担率を個別検証したものではない。</t>
  </si>
  <si>
    <t>テンプレ既定 30%</t>
  </si>
  <si>
    <t>推定</t>
  </si>
  <si>
    <t>DCF Model!C11</t>
  </si>
  <si>
    <t>After-tax Cost of Debt = 0.91%(実績ベース)</t>
  </si>
  <si>
    <t>支払利息 977百万円 ÷ 平均有利子負債 ((47,799 + 112,584)/2 = 80,192) = 1.22%(税引前)、× (1 − 25%) = 0.91%(validate チェック17 PASS)。■有利子負債が FY2026/3 に 47,799 → 112,584 と倍増しており、平均残高を用いた実績Kd は今後の実効コストを下振れて表している可能性がある。■出所は yfinance の Interest Expense で EDINET 有報の支払利息と未突合。</t>
  </si>
  <si>
    <t>テンプレ既定(推定値)</t>
  </si>
  <si>
    <t>推定(出所が二次ソース・要確認)</t>
  </si>
  <si>
    <t>DCF Model!C13</t>
  </si>
  <si>
    <t>Terminal Growth = 1.0%</t>
  </si>
  <si>
    <t>テンプレ既定 2.0%</t>
  </si>
  <si>
    <t>DCF Model!C14</t>
  </si>
  <si>
    <t>Exit Multiple (EV/EBITDA) = 10.9x</t>
  </si>
  <si>
    <t>Peer 5社の実測EV/EBITDA中央値 10.92x(2801 15.63 / 2897 10.92 / 2267 9.51 / 2503 10.21 / 2502 11.13)。 自社の現在倍率 8.35x は算式に入れていない(市場価格への循環参照回避)。■当初は Peer中央値にマージン優位分を上乗せする調整式を検討したが、EV/EBITDA は既に資本集約度を織り込んでおり営業利益率による上方調整は資本集約型銘柄で逆方向に働くため(9022 で実測 7.4x に対し調整式が 16.3x を返した)、バッチ全銘柄で素の Peer 中央値に統一した。</t>
  </si>
  <si>
    <t>テンプレ既定 10.0x</t>
  </si>
  <si>
    <t>DCF Model シナリオ5本</t>
  </si>
  <si>
    <t>実績OPM分布からの導出(min 7.10 / p25 7.28 / med 7.48 / p75 7.71 / max 7.95%)。レンジ0.9ptと本バッチで最も安定</t>
  </si>
  <si>
    <t>直近 7.95% が実績中央値 7.48% を上回るため、Base の到達OPMは『直近実績と p75 の平均 = 7.83%』(実質横ばい)。Upside は max(p75 7.71, 直近+1.0pt = 8.95) = 8.95%。Downside 1 は min(p25 7.28, 直近 7.95) = 7.28%。Downside 2 は実績トラフ 7.10% が Downside 1(7.28%)と差別化できないため、売上−6% + OPM半減(4.0-4.5%)アームを採用。■SGA% は yfinance から取得できないため 100% − OPM − COGS% で逆算(実績21.8 → 22.7%)。既存銘柄からの流用なし。</t>
  </si>
  <si>
    <t>テンプレ自動生成シナリオ</t>
  </si>
  <si>
    <t>validate WARN 11</t>
  </si>
  <si>
    <t>PGM逆算Exit倍率 5.80x vs 仮定Exit倍率 10.90x(1.88倍の乖離、閾値1.8倍を超過)</t>
  </si>
  <si>
    <t>【WARN の判断と記録・手順書§5-1】2つのDCF手法の世界観が食い違っている。原因は、当社の現在の実測 EV/EBITDA が 8.35x と Peer中央値 10.92x を大きく下回ること。Exit 法は Peer中央値をそのまま用いる規則なので、自社が Peer より低評価の銘柄では必然的に Exit が PGM を上回る(Exit 5,272円 vs PGM 3,148円)。■どちらが正しいか: Peer中央値が正しければ当社は割安、PGM が正しければ Exit は楽観。Target 4,210円 はその平均であり、この乖離を平均で埋めている点は結論を読む際に留保が必要。■意図的な設計であり capex 予測の見直しでは解消しない(ターミナル capex/D&amp;A は 1.053x でレンジ内、validate チェック9 PASS)。</t>
  </si>
  <si>
    <t>設計判断(WARN 受容)</t>
  </si>
  <si>
    <t>DCF Model!C5 / capex_direct</t>
  </si>
  <si>
    <t>capex_method=direct、投影 [95,000 / 85,000 / 78,000 / 72,000 / 68,000]百万円</t>
  </si>
  <si>
    <t>FY2026/3 の capex は 103,750百万円 = 売上比 8.8% で、過去3期(4.8-6.8%)から急増している(能力投資のピークと解される)。5年で逓減させ、ターミナル年 68,000 ÷ D&amp;A(Y5売上 1,373,996 × 4.7% = 64,578) = 1.053x でレンジ[0.90,1.15]に収束(validate チェック9 PASS)。■capex が高止まりする場合、FCF は本モデルより低くなる。</t>
  </si>
  <si>
    <t>DCF Model!C16</t>
  </si>
  <si>
    <t>net_debt = 19,335百万円(EDINET自動算出値を採用)</t>
  </si>
  <si>
    <t>EDINET有報XBRLからの自動算出値。■yfinance ベースの独立計算(有利子負債 112,584 − 現金 69,249 = 43,335)とは 24,000百万円 の差がある(1株あたり約89円)。現金同等物の範囲・リース債務の扱いの差と解されるが突合していない。EDINET を一次ソースとして採用。</t>
  </si>
  <si>
    <t>要確認(net_debt のソース間差異)</t>
  </si>
  <si>
    <t>DCF Model NWC(dso/dih/dpo)</t>
  </si>
  <si>
    <t>Base: DSO 62日 / DIH 100日 / DPO 51日</t>
  </si>
  <si>
    <t>実績4期平均。</t>
  </si>
  <si>
    <t>全体(未解決)</t>
  </si>
  <si>
    <t>純利益が営業利益と逆方向に動いており、PER 系の参考値が読めない</t>
  </si>
  <si>
    <t>営業利益は FY2023 75,434 → FY2026 93,307 と増加している一方、純利益は 69,424 → 35,076 と半減している(NonOp/OP −27.1%)。営業外・特別損益に大きな歪みがあり、Comps の PER 中央値ベース参考値 2,435円 は分母が歪んだ数値である。■メモ§2 の『分母が歪んだ指標は削除でなく残置+除外+理由記録』に従い、Target には算入せず[参考]として残置している。純利益の内訳(減損・持分法・税負担)の確認が必要。</t>
  </si>
  <si>
    <t>未解決</t>
  </si>
  <si>
    <t>DCF Model Management シナリオ</t>
  </si>
  <si>
    <t>Management = Base と同一</t>
  </si>
  <si>
    <t>EDINET XBRL・TDnet短信のいずれからも会社業績予想を取得できなかった(生成ログ Step 3: 'No guidance data found')。§7-2 に従い Management=Base で続行。■本バッチではここまで生成した全銘柄で同じ結果になっており、銘柄固有ではなくパイプラインの構造的な取得失敗である。</t>
  </si>
  <si>
    <t>フォールバック使用(会社予想未取得)</t>
  </si>
  <si>
    <t>Comps Analysis</t>
  </si>
  <si>
    <t>Peer 5社 = 2801 キッコーマン / 2897 日清食品HD / 2267 ヤクルト本社 / 2503 キリンHD / 2502 アサヒGHD</t>
  </si>
  <si>
    <t>■選定理由: TSE33業種『食料品』。■時価総額バンド: §5 の 0.3〜3倍は 0.36〜3.59兆円で、採用5社すべてがバンド内。■除外: 2802 味の素(4.93兆円でバンド外)、2914 JT(バンド外・たばこ)。海外Peer は §5 により不使用。■EBITDA = 営業利益 + 減価償却費で全6社統一、D&amp;A欠損による除外はゼロ。■年度混在の開示: 2503 キリンの D&amp;A は FY2024/12 の値。■Market_Cap は全行記入(2026-09-04終値ベース静的値)。</t>
  </si>
  <si>
    <t>Executive Summary!C10 / Target</t>
  </si>
  <si>
    <t>Target Price = 4,210円 = PGM 3,148円 と Exit 5,272円 の2本平均。Comps 2本(EV/EBITDA 5,900円 / PER 2,435円)は [参考・Target不算入]</t>
  </si>
  <si>
    <t>メモ§2 の規約どおり。validate チェック14 PASS(C10 が C16:C17 のみを平均)。EV&lt;net_debt による INVALID 化は発生していない(チェック10・15 とも PASS)。</t>
  </si>
  <si>
    <t>全体(納品状態)</t>
  </si>
  <si>
    <t>本ファイルは DRAFT。_FINAL は付けない</t>
  </si>
  <si>
    <t>バッチモードでの機械生成物であり人間の検証を経ていない。FINAL化は手順書v2 §6 に従い検証後に行う。</t>
  </si>
  <si>
    <t>DRAFT</t>
  </si>
  <si>
    <t>Pipeline Metadata (do not edit — read by scripts/validate_output.py)</t>
  </si>
  <si>
    <t>key</t>
  </si>
  <si>
    <t>value</t>
  </si>
  <si>
    <t>auto_log_entries</t>
  </si>
  <si>
    <t>1</t>
  </si>
  <si>
    <t>capex_pct_basis</t>
  </si>
  <si>
    <t>hist_3yr_avg</t>
  </si>
  <si>
    <t>capex_pct_c5</t>
  </si>
  <si>
    <t>0.0578</t>
  </si>
  <si>
    <t>capex_pct_hist3yr</t>
  </si>
  <si>
    <t>0.057838</t>
  </si>
  <si>
    <t>company_name</t>
  </si>
  <si>
    <t>comps_asof</t>
  </si>
  <si>
    <t>comps_da_missing</t>
  </si>
  <si>
    <t>none</t>
  </si>
  <si>
    <t>comps_ev_ebitda_invalid</t>
  </si>
  <si>
    <t>no</t>
  </si>
  <si>
    <t>comps_ev_ebitda_rows</t>
  </si>
  <si>
    <t>6,7,8,9,10</t>
  </si>
  <si>
    <t>comps_impl_mult_row</t>
  </si>
  <si>
    <t>27</t>
  </si>
  <si>
    <t>comps_impl_per_row</t>
  </si>
  <si>
    <t>28</t>
  </si>
  <si>
    <t>comps_peer_rows</t>
  </si>
  <si>
    <t>comps_stale_excluded</t>
  </si>
  <si>
    <t>comps_stat_median_row</t>
  </si>
  <si>
    <t>16</t>
  </si>
  <si>
    <t>comps_subject_row</t>
  </si>
  <si>
    <t>5</t>
  </si>
  <si>
    <t>cost_of_debt_actual</t>
  </si>
  <si>
    <t>interest 977 (expense 977 + fees 0) / avg debt 80,192 (debt_beginning/debt_ending) = 0.012183 pre-tax -&gt; 0.009100 after-tax</t>
  </si>
  <si>
    <t>cost_of_debt_at_c11</t>
  </si>
  <si>
    <t>0.0091</t>
  </si>
  <si>
    <t>cost_of_debt_avg_debt</t>
  </si>
  <si>
    <t>80191.5</t>
  </si>
  <si>
    <t>cost_of_debt_basis</t>
  </si>
  <si>
    <t>actual</t>
  </si>
  <si>
    <t>cost_of_debt_interest</t>
  </si>
  <si>
    <t>977.0</t>
  </si>
  <si>
    <t>cost_of_debt_pretax</t>
  </si>
  <si>
    <t>0.012183336139116988</t>
  </si>
  <si>
    <t>da_pct_basis</t>
  </si>
  <si>
    <t>assumption</t>
  </si>
  <si>
    <t>da_pct_c18</t>
  </si>
  <si>
    <t>0.047</t>
  </si>
  <si>
    <t>da_pct_hist3yr</t>
  </si>
  <si>
    <t>0.048166</t>
  </si>
  <si>
    <t>fs_year_coverage</t>
  </si>
  <si>
    <t>OCF 6/6, Cash 6/6, Debt 6/6</t>
  </si>
  <si>
    <t>fs_year_map</t>
  </si>
  <si>
    <t>FY2021&lt;-FY2021[ocf+cash+debt]; FY2022&lt;-FY2022[ocf+cash+debt]; FY2023&lt;-FY2023[ocf+cash+debt]; FY2024&lt;-FY2024[ocf+cash+debt]; FY2025&lt;-FY2025[ocf+cash+debt]; FY2026&lt;-FY2026[ocf+cash+debt]</t>
  </si>
  <si>
    <t>fs_year_sources</t>
  </si>
  <si>
    <t>overrides: none | EDINET year-key match: hist_ocf, hist_cash, hist_debt, hist_capex, hist_depreciation</t>
  </si>
  <si>
    <t>fx_sensitivity</t>
  </si>
  <si>
    <t>not enabled</t>
  </si>
  <si>
    <t>generated_at</t>
  </si>
  <si>
    <t>2026-09-05 12:44:48</t>
  </si>
  <si>
    <t>ltm_revenue_c20</t>
  </si>
  <si>
    <t>1173688.0</t>
  </si>
  <si>
    <t>ltm_revenue_source</t>
  </si>
  <si>
    <t>latest FY (no LTM)</t>
  </si>
  <si>
    <t>narrative_tokens_used</t>
  </si>
  <si>
    <t>pb,per,price,target_price,upside_pct,wacc</t>
  </si>
  <si>
    <t>reverse_dcf_sheet</t>
  </si>
  <si>
    <t>op0=93,307(FY2026) peak=106,061(FY2021) peak_opm=0.0890 N=3/5/7/10</t>
  </si>
  <si>
    <t>scenario_index_range</t>
  </si>
  <si>
    <t>B69:B73</t>
  </si>
  <si>
    <t>tax_rate_c6</t>
  </si>
  <si>
    <t>0.25</t>
  </si>
  <si>
    <t>template_rev</t>
  </si>
  <si>
    <t>c9b5dd9</t>
  </si>
  <si>
    <t>ticker</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</si>
</sst>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6">
    <numFmt numFmtId="176" formatCode="#,##0;\(#,##0\)"/>
    <numFmt numFmtId="177" formatCode="0.0%;\(0.0%\)"/>
    <numFmt numFmtId="178" formatCode="0.000"/>
    <numFmt numFmtId="179" formatCode="0.00&quot;x&quot;"/>
    <numFmt numFmtId="180" formatCode="0.00%;\(0.00%\)"/>
    <numFmt numFmtId="181" formatCode="0.0000"/>
  </numFmts>
  <fonts count="10" x14ac:knownFonts="1">
    <font>
      <sz val="11"/>
      <color theme="1"/>
      <name val="ＭＳ Ｐゴシック"/>
      <family val="2"/>
      <scheme val="minor"/>
    </font>
    <font>
      <i/>
      <sz val="9"/>
      <color rgb="FF808080"/>
      <name val="Arial"/>
    </font>
    <font>
      <b/>
      <sz val="14"/>
      <name val="Arial"/>
    </font>
    <font>
      <b/>
      <sz val="11"/>
      <name val="Arial"/>
    </font>
    <font>
      <b/>
      <sz val="10"/>
      <name val="Arial"/>
    </font>
    <font>
      <sz val="10"/>
      <color rgb="FF000000"/>
      <name val="Arial"/>
    </font>
    <font>
      <b/>
      <sz val="11"/>
      <color rgb="FFFFFFFF"/>
      <name val="Arial"/>
    </font>
    <font>
      <sz val="10"/>
      <color rgb="FF006600"/>
      <name val="Arial"/>
    </font>
    <font>
      <sz val="6"/>
      <name val="ＭＳ Ｐゴシック"/>
      <family val="3"/>
      <charset val="128"/>
      <scheme val="minor"/>
    </font>
    <font>
      <sz val="10"/>
      <name val="Arial"/>
    </font>
  </fonts>
  <fills count="6">
    <fill>
      <patternFill patternType="none"/>
    </fill>
    <fill>
      <patternFill patternType="gray125"/>
    </fill>
    <fill>
      <patternFill patternType="solid">
        <fgColor rgb="FFDCE6F1"/>
        <bgColor rgb="FFDCE6F1"/>
      </patternFill>
    </fill>
    <fill>
      <patternFill patternType="solid">
        <fgColor rgb="FF000080"/>
        <bgColor rgb="FF000080"/>
      </patternFill>
    </fill>
    <fill>
      <patternFill patternType="solid">
        <fgColor rgb="FFF2F2F2"/>
        <bgColor rgb="FFF2F2F2"/>
      </patternFill>
    </fill>
    <fill>
      <patternFill patternType="solid">
        <fgColor rgb="FFE2EFDA"/>
        <bgColor rgb="FFE2EFDA"/>
      </patternFill>
    </fill>
  </fills>
  <borders count="7">
    <border>
      <left/>
      <right/>
      <top/>
      <bottom/>
      <diagonal/>
    </border>
    <border>
      <left/>
      <right/>
      <top/>
      <bottom style="thin">
        <color auto="1"/>
      </bottom>
      <diagonal/>
    </border>
    <border>
      <left style="thin">
        <color rgb="FFB0B0B0"/>
      </left>
      <right style="thin">
        <color rgb="FFB0B0B0"/>
      </right>
      <top style="thin">
        <color rgb="FFB0B0B0"/>
      </top>
      <bottom style="thin">
        <color rgb="FFB0B0B0"/>
      </bottom>
      <diagonal/>
    </border>
    <border>
      <left/>
      <right/>
      <top style="thin">
        <color auto="1"/>
      </top>
      <bottom style="thin">
        <color auto="1"/>
      </bottom>
      <diagonal/>
    </border>
    <border>
      <left/>
      <right/>
      <top style="thin">
        <color auto="1"/>
      </top>
      <bottom style="double">
        <color auto="1"/>
      </bottom>
      <diagonal/>
    </border>
    <border>
      <left style="hair">
        <color rgb="FFB0B0B0"/>
      </left>
      <right style="hair">
        <color rgb="FFB0B0B0"/>
      </right>
      <top style="hair">
        <color rgb="FFB0B0B0"/>
      </top>
      <bottom style="hair">
        <color rgb="FFB0B0B0"/>
      </bottom>
      <diagonal/>
    </border>
    <border>
      <left style="thin">
        <color auto="1"/>
      </left>
      <right style="thin">
        <color auto="1"/>
      </right>
      <top style="thin">
        <color auto="1"/>
      </top>
      <bottom style="thin">
        <color auto="1"/>
      </bottom>
      <diagonal/>
    </border>
  </borders>
  <cellStyleXfs count="1">
    <xf numFmtId="0" fontId="0" fillId="0" borderId="0"/>
  </cellStyleXfs>
  <cellXfs count="47">
    <xf numFmtId="0" fontId="0" fillId="0" borderId="0" xfId="0"/>
    <xf numFmtId="0" fontId="1" fillId="0" borderId="0" xfId="0" applyFont="1"/>
    <xf numFmtId="0" fontId="2" fillId="0" borderId="0" xfId="0" applyFont="1"/>
    <xf numFmtId="0" fontId="3" fillId="0" borderId="0" xfId="0" applyFont="1"/>
    <xf numFmtId="0" fontId="4" fillId="0" borderId="0" xfId="0" applyFont="1"/>
    <xf numFmtId="176" fontId="5" fillId="0" borderId="0" xfId="0" applyNumberFormat="1" applyFont="1"/>
    <xf numFmtId="0" fontId="5" fillId="0" borderId="0" xfId="0" applyFont="1"/>
    <xf numFmtId="177" fontId="5" fillId="0" borderId="0" xfId="0" applyNumberFormat="1" applyFont="1"/>
    <xf numFmtId="0" fontId="3" fillId="2" borderId="0" xfId="0" applyFont="1" applyFill="1"/>
    <xf numFmtId="0" fontId="0" fillId="2" borderId="0" xfId="0" applyFill="1"/>
    <xf numFmtId="0" fontId="6" fillId="3" borderId="1" xfId="0" applyFont="1" applyFill="1" applyBorder="1" applyAlignment="1">
      <alignment horizontal="center" wrapText="1"/>
    </xf>
    <xf numFmtId="176" fontId="7" fillId="0" borderId="0" xfId="0" applyNumberFormat="1" applyFont="1"/>
    <xf numFmtId="2" fontId="5" fillId="0" borderId="0" xfId="0" applyNumberFormat="1" applyFont="1"/>
    <xf numFmtId="178" fontId="5" fillId="0" borderId="0" xfId="0" applyNumberFormat="1" applyFont="1"/>
    <xf numFmtId="179" fontId="5" fillId="0" borderId="0" xfId="0" applyNumberFormat="1" applyFont="1"/>
    <xf numFmtId="3" fontId="5" fillId="0" borderId="0" xfId="0" applyNumberFormat="1" applyFont="1"/>
    <xf numFmtId="180" fontId="5" fillId="0" borderId="0" xfId="0" applyNumberFormat="1" applyFont="1"/>
    <xf numFmtId="0" fontId="5" fillId="0" borderId="2" xfId="0" applyFont="1" applyBorder="1"/>
    <xf numFmtId="177" fontId="5" fillId="2" borderId="0" xfId="0" applyNumberFormat="1" applyFont="1" applyFill="1"/>
    <xf numFmtId="176" fontId="5" fillId="0" borderId="3" xfId="0" applyNumberFormat="1" applyFont="1" applyBorder="1"/>
    <xf numFmtId="176" fontId="5" fillId="4" borderId="3" xfId="0" applyNumberFormat="1" applyFont="1" applyFill="1" applyBorder="1"/>
    <xf numFmtId="181" fontId="5" fillId="0" borderId="0" xfId="0" applyNumberFormat="1" applyFont="1"/>
    <xf numFmtId="0" fontId="3" fillId="5" borderId="0" xfId="0" applyFont="1" applyFill="1"/>
    <xf numFmtId="0" fontId="0" fillId="5" borderId="0" xfId="0" applyFill="1"/>
    <xf numFmtId="176" fontId="5" fillId="0" borderId="4" xfId="0" applyNumberFormat="1" applyFont="1" applyBorder="1"/>
    <xf numFmtId="0" fontId="6" fillId="3" borderId="0" xfId="0" applyFont="1" applyFill="1" applyAlignment="1">
      <alignment horizontal="center"/>
    </xf>
    <xf numFmtId="177" fontId="5" fillId="0" borderId="2" xfId="0" applyNumberFormat="1" applyFont="1" applyBorder="1"/>
    <xf numFmtId="176" fontId="5" fillId="0" borderId="2" xfId="0" applyNumberFormat="1" applyFont="1" applyBorder="1"/>
    <xf numFmtId="0" fontId="6" fillId="3" borderId="0" xfId="0" applyFont="1" applyFill="1"/>
    <xf numFmtId="180" fontId="6" fillId="3" borderId="0" xfId="0" applyNumberFormat="1" applyFont="1" applyFill="1" applyAlignment="1">
      <alignment horizontal="center"/>
    </xf>
    <xf numFmtId="3" fontId="5" fillId="0" borderId="2" xfId="0" applyNumberFormat="1" applyFont="1" applyBorder="1"/>
    <xf numFmtId="177" fontId="4" fillId="0" borderId="2" xfId="0" applyNumberFormat="1" applyFont="1" applyBorder="1"/>
    <xf numFmtId="0" fontId="6" fillId="2" borderId="1" xfId="0" applyFont="1" applyFill="1" applyBorder="1" applyAlignment="1">
      <alignment horizontal="center" wrapText="1"/>
    </xf>
    <xf numFmtId="0" fontId="4" fillId="0" borderId="5" xfId="0" applyFont="1" applyBorder="1"/>
    <xf numFmtId="3" fontId="5" fillId="0" borderId="5" xfId="0" applyNumberFormat="1" applyFont="1" applyBorder="1"/>
    <xf numFmtId="176" fontId="5" fillId="0" borderId="5" xfId="0" applyNumberFormat="1" applyFont="1" applyBorder="1"/>
    <xf numFmtId="0" fontId="5" fillId="0" borderId="5" xfId="0" applyFont="1" applyBorder="1"/>
    <xf numFmtId="176" fontId="5" fillId="0" borderId="6" xfId="0" applyNumberFormat="1" applyFont="1" applyBorder="1"/>
    <xf numFmtId="179" fontId="5" fillId="0" borderId="6" xfId="0" applyNumberFormat="1" applyFont="1" applyBorder="1"/>
    <xf numFmtId="177" fontId="5" fillId="0" borderId="6" xfId="0" applyNumberFormat="1" applyFont="1" applyBorder="1"/>
    <xf numFmtId="0" fontId="6" fillId="3" borderId="6" xfId="0" applyFont="1" applyFill="1" applyBorder="1" applyAlignment="1">
      <alignment horizontal="center" wrapText="1"/>
    </xf>
    <xf numFmtId="177" fontId="6" fillId="3" borderId="6" xfId="0" applyNumberFormat="1" applyFont="1" applyFill="1" applyBorder="1" applyAlignment="1">
      <alignment horizontal="center"/>
    </xf>
    <xf numFmtId="179" fontId="6" fillId="3" borderId="6" xfId="0" applyNumberFormat="1" applyFont="1" applyFill="1" applyBorder="1" applyAlignment="1">
      <alignment horizontal="center"/>
    </xf>
    <xf numFmtId="0" fontId="9" fillId="0" borderId="0" xfId="0" applyFont="1"/>
    <xf numFmtId="0" fontId="2" fillId="0" borderId="0" xfId="0" applyFont="1"/>
    <xf numFmtId="0" fontId="0" fillId="0" borderId="0" xfId="0"/>
    <xf numFmtId="0" fontId="1" fillId="0" borderId="0" xfId="0" applyFont="1"/>
  </cellXfs>
  <cellStyles count="1">
    <cellStyle name="標準"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sharedStrings" Target="sharedStrings.xml"/><Relationship Id="rId5" Type="http://schemas.openxmlformats.org/officeDocument/2006/relationships/worksheet" Target="worksheets/sheet5.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003366"/>
  </sheetPr>
  <dimension ref="B1:E31"/>
  <sheetViews>
    <sheetView tabSelected="1" workbookViewId="0"/>
  </sheetViews>
  <sheetFormatPr defaultRowHeight="13" x14ac:dyDescent="0.2"/>
  <cols>
    <col min="1" max="1" width="3" customWidth="1"/>
    <col min="2" max="2" width="30" customWidth="1"/>
    <col min="3" max="5" width="22" customWidth="1"/>
  </cols>
  <sheetData>
    <row r="1" spans="2:5" ht="14" customHeight="1" x14ac:dyDescent="0.3">
      <c r="B1" s="46" t="s">
        <v>0</v>
      </c>
      <c r="C1" s="45"/>
      <c r="D1" s="45"/>
      <c r="E1" s="45"/>
    </row>
    <row r="3" spans="2:5" ht="18" customHeight="1" x14ac:dyDescent="0.4">
      <c r="B3" s="44" t="s">
        <v>1</v>
      </c>
      <c r="C3" s="45"/>
      <c r="D3" s="45"/>
    </row>
    <row r="4" spans="2:5" ht="14" customHeight="1" x14ac:dyDescent="0.3">
      <c r="B4" s="3" t="s">
        <v>2</v>
      </c>
    </row>
    <row r="6" spans="2:5" ht="14" customHeight="1" x14ac:dyDescent="0.3">
      <c r="B6" s="4" t="s">
        <v>3</v>
      </c>
      <c r="C6" t="s">
        <v>4</v>
      </c>
    </row>
    <row r="7" spans="2:5" ht="14" customHeight="1" x14ac:dyDescent="0.3">
      <c r="B7" s="4" t="s">
        <v>5</v>
      </c>
      <c r="C7" t="s">
        <v>6</v>
      </c>
    </row>
    <row r="8" spans="2:5" ht="14" customHeight="1" x14ac:dyDescent="0.3">
      <c r="B8" s="4" t="s">
        <v>7</v>
      </c>
      <c r="C8" t="s">
        <v>8</v>
      </c>
    </row>
    <row r="9" spans="2:5" ht="14" customHeight="1" x14ac:dyDescent="0.3">
      <c r="B9" s="4" t="s">
        <v>9</v>
      </c>
      <c r="C9" s="5">
        <v>4408</v>
      </c>
    </row>
    <row r="10" spans="2:5" ht="14" customHeight="1" x14ac:dyDescent="0.3">
      <c r="B10" s="4" t="s">
        <v>10</v>
      </c>
      <c r="C10" s="5">
        <f>IF(COUNT(C16:C17)=0,"N/A",ROUND(AVERAGE(C16:C17),0))</f>
        <v>4210</v>
      </c>
    </row>
    <row r="11" spans="2:5" ht="14" customHeight="1" x14ac:dyDescent="0.3">
      <c r="B11" s="4" t="s">
        <v>11</v>
      </c>
      <c r="C11" s="6" t="str">
        <f>IF(NOT(ISNUMBER(C12)),"N/A",IF(C12&gt;0.15,"BUY",IF(C12&gt;0.05,"HOLD","SELL")))</f>
        <v>SELL</v>
      </c>
    </row>
    <row r="12" spans="2:5" ht="14" customHeight="1" x14ac:dyDescent="0.3">
      <c r="B12" s="4" t="s">
        <v>12</v>
      </c>
      <c r="C12" s="7">
        <f>IF(ISNUMBER(C10),(C10-C9)/C9,"N/A")</f>
        <v>-4.4918330308529944E-2</v>
      </c>
    </row>
    <row r="14" spans="2:5" ht="14" customHeight="1" x14ac:dyDescent="0.3">
      <c r="B14" s="8" t="s">
        <v>13</v>
      </c>
      <c r="C14" s="9"/>
      <c r="D14" s="9"/>
    </row>
    <row r="15" spans="2:5" ht="14" customHeight="1" x14ac:dyDescent="0.3">
      <c r="B15" s="10" t="s">
        <v>14</v>
      </c>
      <c r="C15" s="10" t="s">
        <v>15</v>
      </c>
      <c r="D15" s="10" t="s">
        <v>16</v>
      </c>
    </row>
    <row r="16" spans="2:5" ht="13.5" customHeight="1" x14ac:dyDescent="0.25">
      <c r="B16" t="s">
        <v>17</v>
      </c>
      <c r="C16" s="11">
        <f>IF('DCF Model'!C53&lt;'DCF Model'!C16,"INVALID (EV &lt; net debt)",'DCF Model'!C55)</f>
        <v>3148</v>
      </c>
      <c r="D16" s="7">
        <f>IF(ISNUMBER(C16),(C16-C9)/C9,"N/A")</f>
        <v>-0.28584392014519056</v>
      </c>
    </row>
    <row r="17" spans="2:5" ht="13.5" customHeight="1" x14ac:dyDescent="0.25">
      <c r="B17" t="s">
        <v>18</v>
      </c>
      <c r="C17" s="11">
        <f>IF('DCF Model'!C62&lt;'DCF Model'!C16,"INVALID (EV &lt; net debt)",'DCF Model'!C64)</f>
        <v>5272</v>
      </c>
      <c r="D17" s="7">
        <f>IF(ISNUMBER(C17),(C17-C9)/C9,"N/A")</f>
        <v>0.19600725952813067</v>
      </c>
    </row>
    <row r="18" spans="2:5" ht="13.5" customHeight="1" x14ac:dyDescent="0.25">
      <c r="B18" t="s">
        <v>19</v>
      </c>
      <c r="C18" s="11">
        <f>'Comps Analysis'!C27</f>
        <v>5900</v>
      </c>
      <c r="D18" s="7">
        <f>IF(ISNUMBER(C18),(C18-C9)/C9,"N/A")</f>
        <v>0.33847549909255897</v>
      </c>
    </row>
    <row r="19" spans="2:5" ht="13.5" customHeight="1" x14ac:dyDescent="0.25">
      <c r="B19" t="s">
        <v>20</v>
      </c>
      <c r="C19" s="11">
        <f>'Comps Analysis'!C28</f>
        <v>2435</v>
      </c>
      <c r="D19" s="7">
        <f>IF(ISNUMBER(C19),(C19-C9)/C9,"N/A")</f>
        <v>-0.44759528130671505</v>
      </c>
    </row>
    <row r="20" spans="2:5" ht="14" customHeight="1" x14ac:dyDescent="0.3">
      <c r="B20" s="46" t="s">
        <v>21</v>
      </c>
      <c r="C20" s="45"/>
      <c r="D20" s="45"/>
      <c r="E20" s="45"/>
    </row>
    <row r="21" spans="2:5" ht="14" customHeight="1" x14ac:dyDescent="0.3">
      <c r="B21" s="4" t="s">
        <v>22</v>
      </c>
      <c r="C21" s="6" t="str">
        <f>IF(COUNT(C16:C17)=0,"N/A",MIN(C16:C17)&amp;" - "&amp;MAX(C16:C17))</f>
        <v>3148 - 5272</v>
      </c>
    </row>
    <row r="23" spans="2:5" ht="14" customHeight="1" x14ac:dyDescent="0.3">
      <c r="B23" s="8" t="s">
        <v>23</v>
      </c>
      <c r="C23" s="9"/>
      <c r="D23" s="9"/>
    </row>
    <row r="24" spans="2:5" x14ac:dyDescent="0.2">
      <c r="B24" t="str">
        <f>"Meiji pairs a dairy and confectionery business with a pharmaceutical arm, and the operating margin has been remarkably stable inside a one-point band for four years; the shares trade at "&amp;TEXT('Comps Analysis'!L5,"0.0""x""")&amp;" earnings and "&amp;TEXT('Comps Analysis'!M5,"0.00""x""")&amp;" book."</f>
        <v>Meiji pairs a dairy and confectionery business with a pharmaceutical arm, and the operating margin has been remarkably stable inside a one-point band for four years; the shares trade at 34.1x earnings and 1.55x book.</v>
      </c>
    </row>
    <row r="25" spans="2:5" x14ac:dyDescent="0.2">
      <c r="B25" t="str">
        <f>"The stock is valued below the food peer group on EV/EBITDA despite that margin stability, which is where the exit-multiple leg of this model finds value against a "&amp;TEXT('DCF Model'!C26,"0.00%")&amp;" cost of capital."</f>
        <v>The stock is valued below the food peer group on EV/EBITDA despite that margin stability, which is where the exit-multiple leg of this model finds value against a 7.76% cost of capital.</v>
      </c>
    </row>
    <row r="26" spans="2:5" x14ac:dyDescent="0.2">
      <c r="B26" t="str">
        <f>"At "&amp;TEXT(C9,"#,##0")&amp;" the market is capitalising the reported net income rather than the operating result; on operating economics the base case supports "&amp;TEXT(C10,"#,##0")&amp;", or "&amp;TEXT(C12,"+0.0%;-0.0%")&amp;" from here."</f>
        <v>At 4,408 the market is capitalising the reported net income rather than the operating result; on operating economics the base case supports 4,210, or -4.5% from here.</v>
      </c>
    </row>
    <row r="28" spans="2:5" ht="14" customHeight="1" x14ac:dyDescent="0.3">
      <c r="B28" s="8" t="s">
        <v>24</v>
      </c>
      <c r="C28" s="9"/>
      <c r="D28" s="9"/>
    </row>
    <row r="29" spans="2:5" x14ac:dyDescent="0.2">
      <c r="B29" t="str">
        <f>"Reported net income has halved over four years while operating income rose, so non-operating and extraordinary items are distorting the earnings base and the "&amp;TEXT('Comps Analysis'!L5,"0.0""x""")&amp;" the market is paying is not comparable across years."</f>
        <v>Reported net income has halved over four years while operating income rose, so non-operating and extraordinary items are distorting the earnings base and the 34.1x the market is paying is not comparable across years.</v>
      </c>
    </row>
    <row r="30" spans="2:5" x14ac:dyDescent="0.2">
      <c r="B30" t="s">
        <v>25</v>
      </c>
    </row>
    <row r="31" spans="2:5" x14ac:dyDescent="0.2">
      <c r="B31" t="str">
        <f>"Capital expenditure jumped sharply in the latest year; if that level persists rather than tapering, the free cash flow behind "&amp;TEXT(C10,"#,##0")&amp;" does not materialise at the "&amp;TEXT('DCF Model'!C26,"0.00%")&amp;" used here."</f>
        <v>Capital expenditure jumped sharply in the latest year; if that level persists rather than tapering, the free cash flow behind 4,210 does not materialise at the 7.76% used here.</v>
      </c>
    </row>
  </sheetData>
  <mergeCells count="3">
    <mergeCell ref="B3:D3"/>
    <mergeCell ref="B1:E1"/>
    <mergeCell ref="B20:E20"/>
  </mergeCells>
  <phoneticPr fontId="8"/>
  <pageMargins left="0.75" right="0.75" top="1" bottom="1" header="0.5" footer="0.5"/>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003366"/>
  </sheetPr>
  <dimension ref="B2:H30"/>
  <sheetViews>
    <sheetView workbookViewId="0"/>
  </sheetViews>
  <sheetFormatPr defaultRowHeight="13" x14ac:dyDescent="0.2"/>
  <cols>
    <col min="1" max="1" width="3" customWidth="1"/>
    <col min="2" max="2" width="32" customWidth="1"/>
    <col min="3" max="8" width="18" customWidth="1"/>
  </cols>
  <sheetData>
    <row r="2" spans="2:8" ht="18" customHeight="1" x14ac:dyDescent="0.4">
      <c r="B2" s="2" t="s">
        <v>26</v>
      </c>
    </row>
    <row r="4" spans="2:8" ht="14" customHeight="1" x14ac:dyDescent="0.3">
      <c r="C4" s="10" t="s">
        <v>27</v>
      </c>
      <c r="D4" s="10" t="s">
        <v>28</v>
      </c>
      <c r="E4" s="10" t="s">
        <v>29</v>
      </c>
      <c r="F4" s="10" t="s">
        <v>30</v>
      </c>
      <c r="G4" s="10" t="s">
        <v>31</v>
      </c>
      <c r="H4" s="10" t="s">
        <v>32</v>
      </c>
    </row>
    <row r="5" spans="2:8" ht="14" customHeight="1" x14ac:dyDescent="0.3">
      <c r="B5" s="3" t="s">
        <v>33</v>
      </c>
    </row>
    <row r="6" spans="2:8" ht="14" customHeight="1" x14ac:dyDescent="0.3">
      <c r="B6" s="4" t="s">
        <v>34</v>
      </c>
      <c r="C6" s="5">
        <v>1191765</v>
      </c>
      <c r="D6" s="5">
        <v>1013092</v>
      </c>
      <c r="E6" s="5">
        <v>1062157</v>
      </c>
      <c r="F6" s="5">
        <v>1105494</v>
      </c>
      <c r="G6" s="5">
        <v>1154074</v>
      </c>
      <c r="H6" s="5">
        <v>1173688</v>
      </c>
    </row>
    <row r="7" spans="2:8" ht="14" customHeight="1" x14ac:dyDescent="0.3">
      <c r="B7" s="4" t="s">
        <v>35</v>
      </c>
      <c r="C7" s="5">
        <v>742139</v>
      </c>
      <c r="D7" s="5">
        <v>689843</v>
      </c>
      <c r="E7" s="5">
        <v>755354</v>
      </c>
      <c r="F7" s="5">
        <v>778149</v>
      </c>
      <c r="G7" s="5">
        <v>814973</v>
      </c>
      <c r="H7" s="5">
        <v>814648</v>
      </c>
    </row>
    <row r="8" spans="2:8" ht="14" customHeight="1" x14ac:dyDescent="0.3">
      <c r="B8" s="4" t="s">
        <v>36</v>
      </c>
      <c r="C8" s="5">
        <f t="shared" ref="C8:H8" si="0">C6-C7</f>
        <v>449626</v>
      </c>
      <c r="D8" s="5">
        <f t="shared" si="0"/>
        <v>323249</v>
      </c>
      <c r="E8" s="5">
        <f t="shared" si="0"/>
        <v>306803</v>
      </c>
      <c r="F8" s="5">
        <f t="shared" si="0"/>
        <v>327345</v>
      </c>
      <c r="G8" s="5">
        <f t="shared" si="0"/>
        <v>339101</v>
      </c>
      <c r="H8" s="5">
        <f t="shared" si="0"/>
        <v>359040</v>
      </c>
    </row>
    <row r="9" spans="2:8" ht="13.5" customHeight="1" x14ac:dyDescent="0.25">
      <c r="B9" t="s">
        <v>37</v>
      </c>
      <c r="C9" s="7">
        <f t="shared" ref="C9:H9" si="1">C8/C6</f>
        <v>0.37727739948731503</v>
      </c>
      <c r="D9" s="7">
        <f t="shared" si="1"/>
        <v>0.31907171313168003</v>
      </c>
      <c r="E9" s="7">
        <f t="shared" si="1"/>
        <v>0.28884901196339147</v>
      </c>
      <c r="F9" s="7">
        <f t="shared" si="1"/>
        <v>0.29610744156006275</v>
      </c>
      <c r="G9" s="7">
        <f t="shared" si="1"/>
        <v>0.29382951179907008</v>
      </c>
      <c r="H9" s="7">
        <f t="shared" si="1"/>
        <v>0.30590753249585922</v>
      </c>
    </row>
    <row r="10" spans="2:8" ht="14" customHeight="1" x14ac:dyDescent="0.3">
      <c r="B10" s="4" t="s">
        <v>38</v>
      </c>
      <c r="C10" s="5">
        <v>343563</v>
      </c>
      <c r="D10" s="5">
        <v>230327</v>
      </c>
      <c r="E10" s="5">
        <v>231368</v>
      </c>
      <c r="F10" s="5">
        <v>243023</v>
      </c>
      <c r="G10" s="5">
        <v>254398</v>
      </c>
      <c r="H10" s="5">
        <v>265733</v>
      </c>
    </row>
    <row r="11" spans="2:8" ht="14" customHeight="1" x14ac:dyDescent="0.3">
      <c r="B11" s="4" t="s">
        <v>39</v>
      </c>
      <c r="C11" s="5">
        <v>106061</v>
      </c>
      <c r="D11" s="5">
        <v>92922</v>
      </c>
      <c r="E11" s="5">
        <v>75433</v>
      </c>
      <c r="F11" s="5">
        <v>84322</v>
      </c>
      <c r="G11" s="5">
        <v>84702</v>
      </c>
      <c r="H11" s="5">
        <v>93307</v>
      </c>
    </row>
    <row r="12" spans="2:8" ht="14" customHeight="1" x14ac:dyDescent="0.3">
      <c r="B12" s="4" t="s">
        <v>40</v>
      </c>
      <c r="C12" s="5">
        <v>65655</v>
      </c>
      <c r="D12" s="5">
        <v>87497</v>
      </c>
      <c r="E12" s="5">
        <v>69424</v>
      </c>
      <c r="F12" s="5">
        <v>50675</v>
      </c>
      <c r="G12" s="5">
        <v>50800</v>
      </c>
      <c r="H12" s="5">
        <v>35076</v>
      </c>
    </row>
    <row r="13" spans="2:8" ht="13.5" customHeight="1" x14ac:dyDescent="0.25">
      <c r="B13" t="s">
        <v>41</v>
      </c>
      <c r="C13" s="7">
        <f t="shared" ref="C13:H13" si="2">C11/C6</f>
        <v>8.8994894127617435E-2</v>
      </c>
      <c r="D13" s="7">
        <f t="shared" si="2"/>
        <v>9.1721186229878432E-2</v>
      </c>
      <c r="E13" s="7">
        <f t="shared" si="2"/>
        <v>7.101869121043311E-2</v>
      </c>
      <c r="F13" s="7">
        <f t="shared" si="2"/>
        <v>7.6275402670661255E-2</v>
      </c>
      <c r="G13" s="7">
        <f t="shared" si="2"/>
        <v>7.3393907149801485E-2</v>
      </c>
      <c r="H13" s="7">
        <f t="shared" si="2"/>
        <v>7.9498980989837167E-2</v>
      </c>
    </row>
    <row r="14" spans="2:8" ht="13.5" customHeight="1" x14ac:dyDescent="0.25">
      <c r="B14" t="s">
        <v>42</v>
      </c>
      <c r="C14" s="7">
        <f t="shared" ref="C14:H14" si="3">C12/C6</f>
        <v>5.5090558960868966E-2</v>
      </c>
      <c r="D14" s="7">
        <f t="shared" si="3"/>
        <v>8.6366292498608221E-2</v>
      </c>
      <c r="E14" s="7">
        <f t="shared" si="3"/>
        <v>6.5361335471121496E-2</v>
      </c>
      <c r="F14" s="7">
        <f t="shared" si="3"/>
        <v>4.583923567201631E-2</v>
      </c>
      <c r="G14" s="7">
        <f t="shared" si="3"/>
        <v>4.4017974583952159E-2</v>
      </c>
      <c r="H14" s="7">
        <f t="shared" si="3"/>
        <v>2.9885284675314053E-2</v>
      </c>
    </row>
    <row r="15" spans="2:8" ht="13.5" customHeight="1" x14ac:dyDescent="0.25">
      <c r="B15" t="s">
        <v>43</v>
      </c>
      <c r="C15" t="s">
        <v>44</v>
      </c>
      <c r="D15" s="7">
        <f>(D6-C6)/C6</f>
        <v>-0.14992301334575189</v>
      </c>
      <c r="E15" s="7">
        <f>(E6-D6)/D6</f>
        <v>4.8430942105948914E-2</v>
      </c>
      <c r="F15" s="7">
        <f>(F6-E6)/E6</f>
        <v>4.0800936208112357E-2</v>
      </c>
      <c r="G15" s="7">
        <f>(G6-F6)/F6</f>
        <v>4.3944155282615735E-2</v>
      </c>
      <c r="H15" s="7">
        <f>(H6-G6)/G6</f>
        <v>1.6995443966331448E-2</v>
      </c>
    </row>
    <row r="16" spans="2:8" ht="13.5" customHeight="1" x14ac:dyDescent="0.25">
      <c r="B16" t="s">
        <v>45</v>
      </c>
      <c r="C16" t="s">
        <v>44</v>
      </c>
      <c r="D16" s="7">
        <f>(D11-C11)/C11</f>
        <v>-0.1238815398685662</v>
      </c>
      <c r="E16" s="7">
        <f>(E11-D11)/D11</f>
        <v>-0.18821161834657024</v>
      </c>
      <c r="F16" s="7">
        <f>(F11-E11)/E11</f>
        <v>0.11783967229196771</v>
      </c>
      <c r="G16" s="7">
        <f>(G11-F11)/F11</f>
        <v>4.5065344749887336E-3</v>
      </c>
      <c r="H16" s="7">
        <f>(H11-G11)/G11</f>
        <v>0.10159146183088948</v>
      </c>
    </row>
    <row r="18" spans="2:8" ht="14" customHeight="1" x14ac:dyDescent="0.3">
      <c r="B18" s="3" t="s">
        <v>46</v>
      </c>
    </row>
    <row r="19" spans="2:8" ht="14" customHeight="1" x14ac:dyDescent="0.3">
      <c r="B19" s="4" t="s">
        <v>47</v>
      </c>
      <c r="C19" s="5">
        <v>123683</v>
      </c>
      <c r="D19" s="5">
        <v>127526</v>
      </c>
      <c r="E19" s="5">
        <v>85013</v>
      </c>
      <c r="F19" s="5">
        <v>107983</v>
      </c>
      <c r="G19" s="5">
        <v>68979</v>
      </c>
      <c r="H19" s="5">
        <v>56522</v>
      </c>
    </row>
    <row r="20" spans="2:8" ht="14" customHeight="1" x14ac:dyDescent="0.3">
      <c r="B20" s="4" t="s">
        <v>48</v>
      </c>
      <c r="C20" s="5">
        <v>63029</v>
      </c>
      <c r="D20" s="5">
        <v>88320</v>
      </c>
      <c r="E20" s="5">
        <v>68811</v>
      </c>
      <c r="F20" s="5">
        <v>50023</v>
      </c>
      <c r="G20" s="5">
        <v>52798</v>
      </c>
      <c r="H20" s="5">
        <v>96847</v>
      </c>
    </row>
    <row r="21" spans="2:8" ht="14" customHeight="1" x14ac:dyDescent="0.3">
      <c r="B21" s="4" t="s">
        <v>49</v>
      </c>
      <c r="C21" s="5">
        <f t="shared" ref="C21:H21" si="4">C19-C20</f>
        <v>60654</v>
      </c>
      <c r="D21" s="5">
        <f t="shared" si="4"/>
        <v>39206</v>
      </c>
      <c r="E21" s="5">
        <f t="shared" si="4"/>
        <v>16202</v>
      </c>
      <c r="F21" s="5">
        <f t="shared" si="4"/>
        <v>57960</v>
      </c>
      <c r="G21" s="5">
        <f t="shared" si="4"/>
        <v>16181</v>
      </c>
      <c r="H21" s="5">
        <f t="shared" si="4"/>
        <v>-40325</v>
      </c>
    </row>
    <row r="22" spans="2:8" ht="13.5" customHeight="1" x14ac:dyDescent="0.25">
      <c r="B22" t="s">
        <v>50</v>
      </c>
      <c r="C22" s="7">
        <f t="shared" ref="C22:H22" si="5">C21/C6</f>
        <v>5.0894261872097266E-2</v>
      </c>
      <c r="D22" s="7">
        <f t="shared" si="5"/>
        <v>3.8699348134226701E-2</v>
      </c>
      <c r="E22" s="7">
        <f t="shared" si="5"/>
        <v>1.5253865483163036E-2</v>
      </c>
      <c r="F22" s="7">
        <f t="shared" si="5"/>
        <v>5.24290498184522E-2</v>
      </c>
      <c r="G22" s="7">
        <f t="shared" si="5"/>
        <v>1.4020764699663972E-2</v>
      </c>
      <c r="H22" s="7">
        <f t="shared" si="5"/>
        <v>-3.4357512388300808E-2</v>
      </c>
    </row>
    <row r="23" spans="2:8" ht="13.5" customHeight="1" x14ac:dyDescent="0.25">
      <c r="B23" t="s">
        <v>51</v>
      </c>
      <c r="C23" s="7">
        <f t="shared" ref="C23:H23" si="6">C20/C6</f>
        <v>5.2887104420754089E-2</v>
      </c>
      <c r="D23" s="7">
        <f t="shared" si="6"/>
        <v>8.7178657022264516E-2</v>
      </c>
      <c r="E23" s="7">
        <f t="shared" si="6"/>
        <v>6.4784207984318706E-2</v>
      </c>
      <c r="F23" s="7">
        <f t="shared" si="6"/>
        <v>4.5249454090207634E-2</v>
      </c>
      <c r="G23" s="7">
        <f t="shared" si="6"/>
        <v>4.5749232718179253E-2</v>
      </c>
      <c r="H23" s="7">
        <f t="shared" si="6"/>
        <v>8.2515114749405288E-2</v>
      </c>
    </row>
    <row r="25" spans="2:8" ht="14" customHeight="1" x14ac:dyDescent="0.3">
      <c r="B25" s="3" t="s">
        <v>52</v>
      </c>
    </row>
    <row r="26" spans="2:8" ht="14" customHeight="1" x14ac:dyDescent="0.3">
      <c r="B26" s="4" t="s">
        <v>53</v>
      </c>
      <c r="C26" s="5">
        <v>39011</v>
      </c>
      <c r="D26" s="5">
        <v>64872</v>
      </c>
      <c r="E26" s="5">
        <v>60939</v>
      </c>
      <c r="F26" s="5">
        <v>102832</v>
      </c>
      <c r="G26" s="5">
        <v>78191</v>
      </c>
      <c r="H26" s="5">
        <v>69249</v>
      </c>
    </row>
    <row r="27" spans="2:8" ht="14" customHeight="1" x14ac:dyDescent="0.3">
      <c r="B27" s="4" t="s">
        <v>54</v>
      </c>
      <c r="C27" s="5">
        <v>101775</v>
      </c>
      <c r="D27" s="5">
        <v>71266</v>
      </c>
      <c r="E27" s="5">
        <v>54370</v>
      </c>
      <c r="F27" s="5">
        <v>49926</v>
      </c>
      <c r="G27" s="5">
        <v>47799</v>
      </c>
      <c r="H27" s="5">
        <v>88584</v>
      </c>
    </row>
    <row r="28" spans="2:8" ht="14" customHeight="1" x14ac:dyDescent="0.3">
      <c r="B28" s="4" t="s">
        <v>55</v>
      </c>
      <c r="C28" s="5">
        <f t="shared" ref="C28:H28" si="7">C27-C26</f>
        <v>62764</v>
      </c>
      <c r="D28" s="5">
        <f t="shared" si="7"/>
        <v>6394</v>
      </c>
      <c r="E28" s="5">
        <f t="shared" si="7"/>
        <v>-6569</v>
      </c>
      <c r="F28" s="5">
        <f t="shared" si="7"/>
        <v>-52906</v>
      </c>
      <c r="G28" s="5">
        <f t="shared" si="7"/>
        <v>-30392</v>
      </c>
      <c r="H28" s="5">
        <f t="shared" si="7"/>
        <v>19335</v>
      </c>
    </row>
    <row r="30" spans="2:8" ht="14" customHeight="1" x14ac:dyDescent="0.3">
      <c r="B30" s="1" t="s">
        <v>56</v>
      </c>
    </row>
  </sheetData>
  <phoneticPr fontId="8"/>
  <pageMargins left="0.75" right="0.75" top="1" bottom="1" header="0.5" footer="0.5"/>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006600"/>
  </sheetPr>
  <dimension ref="B2:G87"/>
  <sheetViews>
    <sheetView workbookViewId="0"/>
  </sheetViews>
  <sheetFormatPr defaultRowHeight="13" x14ac:dyDescent="0.2"/>
  <cols>
    <col min="1" max="1" width="3" customWidth="1"/>
    <col min="2" max="2" width="32" customWidth="1"/>
    <col min="3" max="7" width="16" customWidth="1"/>
  </cols>
  <sheetData>
    <row r="2" spans="2:7" ht="18" customHeight="1" x14ac:dyDescent="0.4">
      <c r="B2" s="2" t="s">
        <v>57</v>
      </c>
    </row>
    <row r="4" spans="2:7" ht="14" customHeight="1" x14ac:dyDescent="0.3">
      <c r="B4" s="8" t="s">
        <v>58</v>
      </c>
      <c r="C4" s="9"/>
      <c r="D4" s="9"/>
      <c r="E4" s="9"/>
      <c r="F4" s="9"/>
      <c r="G4" s="9"/>
    </row>
    <row r="5" spans="2:7" ht="14" customHeight="1" x14ac:dyDescent="0.3">
      <c r="B5" s="4" t="s">
        <v>59</v>
      </c>
      <c r="C5" s="7">
        <v>5.7799999999999997E-2</v>
      </c>
    </row>
    <row r="6" spans="2:7" ht="14" customHeight="1" x14ac:dyDescent="0.3">
      <c r="B6" s="4" t="s">
        <v>60</v>
      </c>
      <c r="C6" s="7">
        <v>0.25</v>
      </c>
    </row>
    <row r="7" spans="2:7" ht="14" customHeight="1" x14ac:dyDescent="0.3">
      <c r="B7" s="4" t="s">
        <v>61</v>
      </c>
      <c r="C7" s="7">
        <v>2.9700000000000001E-2</v>
      </c>
    </row>
    <row r="8" spans="2:7" ht="14" customHeight="1" x14ac:dyDescent="0.3">
      <c r="B8" s="4" t="s">
        <v>62</v>
      </c>
      <c r="C8" s="12">
        <v>0.6</v>
      </c>
    </row>
    <row r="9" spans="2:7" ht="14" customHeight="1" x14ac:dyDescent="0.3">
      <c r="B9" s="4" t="s">
        <v>63</v>
      </c>
      <c r="C9" s="7">
        <v>6.5000000000000002E-2</v>
      </c>
    </row>
    <row r="10" spans="2:7" ht="14" customHeight="1" x14ac:dyDescent="0.3">
      <c r="B10" s="4" t="s">
        <v>64</v>
      </c>
      <c r="C10" s="7">
        <v>0.01</v>
      </c>
    </row>
    <row r="11" spans="2:7" ht="14" customHeight="1" x14ac:dyDescent="0.3">
      <c r="B11" s="4" t="s">
        <v>65</v>
      </c>
      <c r="C11" s="7">
        <v>9.1000000000000004E-3</v>
      </c>
    </row>
    <row r="12" spans="2:7" ht="14" customHeight="1" x14ac:dyDescent="0.3">
      <c r="B12" s="4" t="s">
        <v>66</v>
      </c>
      <c r="C12" s="13">
        <v>1.6199999999999999E-2</v>
      </c>
    </row>
    <row r="13" spans="2:7" ht="14" customHeight="1" x14ac:dyDescent="0.3">
      <c r="B13" s="4" t="s">
        <v>67</v>
      </c>
      <c r="C13" s="7">
        <v>0.01</v>
      </c>
    </row>
    <row r="14" spans="2:7" ht="14" customHeight="1" x14ac:dyDescent="0.3">
      <c r="B14" s="4" t="s">
        <v>68</v>
      </c>
      <c r="C14" s="14">
        <v>10.9</v>
      </c>
    </row>
    <row r="15" spans="2:7" ht="14" customHeight="1" x14ac:dyDescent="0.3">
      <c r="B15" s="4" t="s">
        <v>69</v>
      </c>
      <c r="C15" s="15">
        <v>271166783</v>
      </c>
    </row>
    <row r="16" spans="2:7" ht="14" customHeight="1" x14ac:dyDescent="0.3">
      <c r="B16" s="4" t="s">
        <v>70</v>
      </c>
      <c r="C16" s="5">
        <v>19335</v>
      </c>
    </row>
    <row r="17" spans="2:7" ht="14" customHeight="1" x14ac:dyDescent="0.3">
      <c r="B17" s="4" t="s">
        <v>71</v>
      </c>
      <c r="C17" s="5">
        <v>1173688</v>
      </c>
    </row>
    <row r="18" spans="2:7" ht="14" customHeight="1" x14ac:dyDescent="0.3">
      <c r="B18" s="4" t="s">
        <v>72</v>
      </c>
      <c r="C18" s="7">
        <v>4.7E-2</v>
      </c>
    </row>
    <row r="19" spans="2:7" ht="14" customHeight="1" x14ac:dyDescent="0.3">
      <c r="B19" s="4" t="s">
        <v>73</v>
      </c>
      <c r="C19" s="12">
        <v>1</v>
      </c>
    </row>
    <row r="20" spans="2:7" ht="14" customHeight="1" x14ac:dyDescent="0.3">
      <c r="B20" s="4" t="s">
        <v>74</v>
      </c>
      <c r="C20" s="5">
        <v>1173688</v>
      </c>
    </row>
    <row r="22" spans="2:7" ht="14" customHeight="1" x14ac:dyDescent="0.3">
      <c r="B22" s="8" t="s">
        <v>75</v>
      </c>
      <c r="C22" s="9"/>
      <c r="D22" s="9"/>
      <c r="E22" s="9"/>
      <c r="F22" s="9"/>
      <c r="G22" s="9"/>
    </row>
    <row r="23" spans="2:7" ht="14" customHeight="1" x14ac:dyDescent="0.3">
      <c r="B23" s="4" t="s">
        <v>76</v>
      </c>
      <c r="C23" s="16">
        <f>C7+C8*C9+C10</f>
        <v>7.8699999999999992E-2</v>
      </c>
    </row>
    <row r="24" spans="2:7" ht="14" customHeight="1" x14ac:dyDescent="0.3">
      <c r="B24" s="4" t="s">
        <v>77</v>
      </c>
      <c r="C24" s="16">
        <f>1/(1+C12)</f>
        <v>0.98405825624876997</v>
      </c>
    </row>
    <row r="25" spans="2:7" ht="14" customHeight="1" x14ac:dyDescent="0.3">
      <c r="B25" s="4" t="s">
        <v>78</v>
      </c>
      <c r="C25" s="16">
        <f>C12/(1+C12)</f>
        <v>1.5941743751230072E-2</v>
      </c>
    </row>
    <row r="26" spans="2:7" ht="14" customHeight="1" x14ac:dyDescent="0.3">
      <c r="B26" s="4" t="s">
        <v>79</v>
      </c>
      <c r="C26" s="16">
        <f>C23*C24+C11*C25</f>
        <v>7.7590454634914388E-2</v>
      </c>
    </row>
    <row r="27" spans="2:7" ht="14" customHeight="1" x14ac:dyDescent="0.3">
      <c r="B27" s="4" t="s">
        <v>80</v>
      </c>
      <c r="C27" s="17" t="s">
        <v>81</v>
      </c>
      <c r="D27" s="6">
        <f>MATCH(C27,B69:B73,0)</f>
        <v>1</v>
      </c>
    </row>
    <row r="28" spans="2:7" ht="14" customHeight="1" x14ac:dyDescent="0.3">
      <c r="B28" s="8" t="s">
        <v>82</v>
      </c>
      <c r="C28" s="9"/>
      <c r="D28" s="9"/>
      <c r="E28" s="9"/>
      <c r="F28" s="9"/>
      <c r="G28" s="9"/>
    </row>
    <row r="29" spans="2:7" ht="14" customHeight="1" x14ac:dyDescent="0.3">
      <c r="C29" s="10" t="s">
        <v>83</v>
      </c>
      <c r="D29" s="10" t="s">
        <v>84</v>
      </c>
      <c r="E29" s="10" t="s">
        <v>85</v>
      </c>
      <c r="F29" s="10" t="s">
        <v>86</v>
      </c>
      <c r="G29" s="10" t="s">
        <v>87</v>
      </c>
    </row>
    <row r="30" spans="2:7" ht="14" customHeight="1" x14ac:dyDescent="0.3">
      <c r="B30" s="4" t="s">
        <v>43</v>
      </c>
      <c r="C30" s="18">
        <f>CHOOSE($D$27,C69,C70,C71,C72,C73)</f>
        <v>2.5000000000000001E-2</v>
      </c>
      <c r="D30" s="18">
        <f>CHOOSE($D$27,D69,D70,D71,D72,D73)</f>
        <v>2.5000000000000001E-2</v>
      </c>
      <c r="E30" s="18">
        <f>CHOOSE($D$27,E69,E70,E71,E72,E73)</f>
        <v>0.02</v>
      </c>
      <c r="F30" s="18">
        <f>CHOOSE($D$27,F69,F70,F71,F72,F73)</f>
        <v>0.02</v>
      </c>
      <c r="G30" s="18">
        <f>CHOOSE($D$27,G69,G70,G71,G72,G73)</f>
        <v>0.02</v>
      </c>
    </row>
    <row r="31" spans="2:7" ht="14" customHeight="1" x14ac:dyDescent="0.3">
      <c r="B31" s="4" t="s">
        <v>88</v>
      </c>
      <c r="C31" s="18">
        <f>CHOOSE($D$27,C76,C77,C78,C79,C80)</f>
        <v>0.69499999999999995</v>
      </c>
      <c r="D31" s="18">
        <f>CHOOSE($D$27,D76,D77,D78,D79,D80)</f>
        <v>0.69530000000000003</v>
      </c>
      <c r="E31" s="18">
        <f>CHOOSE($D$27,E76,E77,E78,E79,E80)</f>
        <v>0.69550000000000001</v>
      </c>
      <c r="F31" s="18">
        <f>CHOOSE($D$27,F76,F77,F78,F79,F80)</f>
        <v>0.69569999999999999</v>
      </c>
      <c r="G31" s="18">
        <f>CHOOSE($D$27,G76,G77,G78,G79,G80)</f>
        <v>0.69569999999999999</v>
      </c>
    </row>
    <row r="32" spans="2:7" ht="14" customHeight="1" x14ac:dyDescent="0.3">
      <c r="B32" s="4" t="s">
        <v>89</v>
      </c>
      <c r="C32" s="18">
        <f>CHOOSE($D$27,C83,C84,C85,C86,C87)</f>
        <v>0.22600000000000001</v>
      </c>
      <c r="D32" s="18">
        <f>CHOOSE($D$27,D83,D84,D85,D86,D87)</f>
        <v>0.22600000000000001</v>
      </c>
      <c r="E32" s="18">
        <f>CHOOSE($D$27,E83,E84,E85,E86,E87)</f>
        <v>0.22600000000000001</v>
      </c>
      <c r="F32" s="18">
        <f>CHOOSE($D$27,F83,F84,F85,F86,F87)</f>
        <v>0.22600000000000001</v>
      </c>
      <c r="G32" s="18">
        <f>CHOOSE($D$27,G83,G84,G85,G86,G87)</f>
        <v>0.22600000000000001</v>
      </c>
    </row>
    <row r="33" spans="2:7" ht="14" customHeight="1" x14ac:dyDescent="0.3">
      <c r="B33" s="4" t="s">
        <v>34</v>
      </c>
      <c r="C33" s="5">
        <f>C17*(1+C30)</f>
        <v>1203030.2</v>
      </c>
      <c r="D33" s="5">
        <f>C33*(1+D30)</f>
        <v>1233105.9549999998</v>
      </c>
      <c r="E33" s="5">
        <f>D33*(1+E30)</f>
        <v>1257768.0740999999</v>
      </c>
      <c r="F33" s="5">
        <f>E33*(1+F30)</f>
        <v>1282923.4355819998</v>
      </c>
      <c r="G33" s="5">
        <f>F33*(1+G30)</f>
        <v>1308581.9042936398</v>
      </c>
    </row>
    <row r="34" spans="2:7" ht="14" customHeight="1" x14ac:dyDescent="0.3">
      <c r="B34" s="4" t="s">
        <v>35</v>
      </c>
      <c r="C34" s="5">
        <f>C33*C31</f>
        <v>836105.98899999994</v>
      </c>
      <c r="D34" s="5">
        <f>D33*D31</f>
        <v>857378.57051149989</v>
      </c>
      <c r="E34" s="5">
        <f>E33*E31</f>
        <v>874777.6955365499</v>
      </c>
      <c r="F34" s="5">
        <f>F33*F31</f>
        <v>892529.83413439721</v>
      </c>
      <c r="G34" s="5">
        <f>G33*G31</f>
        <v>910380.4308170852</v>
      </c>
    </row>
    <row r="35" spans="2:7" ht="14" customHeight="1" x14ac:dyDescent="0.3">
      <c r="B35" s="4" t="s">
        <v>36</v>
      </c>
      <c r="C35" s="19">
        <f>C33-C34</f>
        <v>366924.21100000001</v>
      </c>
      <c r="D35" s="19">
        <f>D33-D34</f>
        <v>375727.38448849996</v>
      </c>
      <c r="E35" s="19">
        <f>E33-E34</f>
        <v>382990.37856344995</v>
      </c>
      <c r="F35" s="19">
        <f>F33-F34</f>
        <v>390393.60144760262</v>
      </c>
      <c r="G35" s="19">
        <f>G33-G34</f>
        <v>398201.47347655462</v>
      </c>
    </row>
    <row r="36" spans="2:7" ht="14" customHeight="1" x14ac:dyDescent="0.3">
      <c r="B36" s="4" t="s">
        <v>37</v>
      </c>
      <c r="C36" s="7">
        <f>C35/C33</f>
        <v>0.30499999999999999</v>
      </c>
      <c r="D36" s="7">
        <f>D35/D33</f>
        <v>0.30470000000000003</v>
      </c>
      <c r="E36" s="7">
        <f>E35/E33</f>
        <v>0.30449999999999999</v>
      </c>
      <c r="F36" s="7">
        <f>F35/F33</f>
        <v>0.30430000000000007</v>
      </c>
      <c r="G36" s="7">
        <f>G35/G33</f>
        <v>0.30430000000000001</v>
      </c>
    </row>
    <row r="37" spans="2:7" ht="14" customHeight="1" x14ac:dyDescent="0.3">
      <c r="B37" s="4" t="s">
        <v>90</v>
      </c>
      <c r="C37" s="5">
        <f>C33*C32</f>
        <v>271884.82520000002</v>
      </c>
      <c r="D37" s="5">
        <f>D33*D32</f>
        <v>278681.94582999998</v>
      </c>
      <c r="E37" s="5">
        <f>E33*E32</f>
        <v>284255.58474659995</v>
      </c>
      <c r="F37" s="5">
        <f>F33*F32</f>
        <v>289940.696441532</v>
      </c>
      <c r="G37" s="5">
        <f>G33*G32</f>
        <v>295739.51037036261</v>
      </c>
    </row>
    <row r="38" spans="2:7" ht="14" customHeight="1" x14ac:dyDescent="0.3">
      <c r="B38" s="4" t="s">
        <v>91</v>
      </c>
      <c r="C38" s="7">
        <f>(C35-C37)/C33</f>
        <v>7.9000000000000001E-2</v>
      </c>
      <c r="D38" s="7">
        <f>(D35-D37)/D33</f>
        <v>7.8699999999999992E-2</v>
      </c>
      <c r="E38" s="7">
        <f>(E35-E37)/E33</f>
        <v>7.85E-2</v>
      </c>
      <c r="F38" s="7">
        <f>(F35-F37)/F33</f>
        <v>7.8300000000000022E-2</v>
      </c>
      <c r="G38" s="7">
        <f>(G35-G37)/G33</f>
        <v>7.8300000000000008E-2</v>
      </c>
    </row>
    <row r="39" spans="2:7" ht="14" customHeight="1" x14ac:dyDescent="0.3">
      <c r="B39" s="4" t="s">
        <v>92</v>
      </c>
      <c r="C39" s="19">
        <f>C35-C37</f>
        <v>95039.385799999989</v>
      </c>
      <c r="D39" s="19">
        <f>D35-D37</f>
        <v>97045.438658499974</v>
      </c>
      <c r="E39" s="19">
        <f>E35-E37</f>
        <v>98734.793816849997</v>
      </c>
      <c r="F39" s="19">
        <f>F35-F37</f>
        <v>100452.90500607062</v>
      </c>
      <c r="G39" s="19">
        <f>G35-G37</f>
        <v>102461.96310619201</v>
      </c>
    </row>
    <row r="40" spans="2:7" ht="14" customHeight="1" x14ac:dyDescent="0.3">
      <c r="B40" s="4" t="s">
        <v>93</v>
      </c>
      <c r="C40" s="5">
        <f>MAX(0,C39*C6)</f>
        <v>23759.846449999997</v>
      </c>
      <c r="D40" s="5">
        <f>MAX(0,D39*C6)</f>
        <v>24261.359664624993</v>
      </c>
      <c r="E40" s="5">
        <f>MAX(0,E39*C6)</f>
        <v>24683.698454212499</v>
      </c>
      <c r="F40" s="5">
        <f>MAX(0,F39*C6)</f>
        <v>25113.226251517655</v>
      </c>
      <c r="G40" s="5">
        <f>MAX(0,G39*C6)</f>
        <v>25615.490776548002</v>
      </c>
    </row>
    <row r="41" spans="2:7" ht="14" customHeight="1" x14ac:dyDescent="0.3">
      <c r="B41" s="4" t="s">
        <v>94</v>
      </c>
      <c r="C41" s="19">
        <f>C39-C40</f>
        <v>71279.539349999992</v>
      </c>
      <c r="D41" s="19">
        <f>D39-D40</f>
        <v>72784.07899387498</v>
      </c>
      <c r="E41" s="19">
        <f>E39-E40</f>
        <v>74051.095362637498</v>
      </c>
      <c r="F41" s="19">
        <f>F39-F40</f>
        <v>75339.678754552966</v>
      </c>
      <c r="G41" s="19">
        <f>G39-G40</f>
        <v>76846.472329644006</v>
      </c>
    </row>
    <row r="42" spans="2:7" ht="14" customHeight="1" x14ac:dyDescent="0.3">
      <c r="B42" s="4" t="s">
        <v>95</v>
      </c>
      <c r="C42" s="5">
        <f>C33*C18</f>
        <v>56542.419399999999</v>
      </c>
      <c r="D42" s="5">
        <f>D33*C18</f>
        <v>57955.979884999993</v>
      </c>
      <c r="E42" s="5">
        <f>E33*C18</f>
        <v>59115.099482699996</v>
      </c>
      <c r="F42" s="5">
        <f>F33*C18</f>
        <v>60297.401472353995</v>
      </c>
      <c r="G42" s="5">
        <f>G33*C18</f>
        <v>61503.349501801073</v>
      </c>
    </row>
    <row r="43" spans="2:7" ht="14" customHeight="1" x14ac:dyDescent="0.3">
      <c r="B43" s="4" t="s">
        <v>96</v>
      </c>
      <c r="C43" s="5">
        <v>95000</v>
      </c>
      <c r="D43" s="5">
        <v>85000</v>
      </c>
      <c r="E43" s="5">
        <v>78000</v>
      </c>
      <c r="F43" s="5">
        <v>72000</v>
      </c>
      <c r="G43" s="5">
        <v>68000</v>
      </c>
    </row>
    <row r="44" spans="2:7" ht="14" customHeight="1" x14ac:dyDescent="0.3">
      <c r="B44" s="4" t="s">
        <v>97</v>
      </c>
      <c r="C44" s="5">
        <f>'NWC Schedule'!D19</f>
        <v>-33517.29901095893</v>
      </c>
      <c r="D44" s="5">
        <f>'NWC Schedule'!E19</f>
        <v>7964.5296001739916</v>
      </c>
      <c r="E44" s="5">
        <f>'NWC Schedule'!F19</f>
        <v>6524.9548230888322</v>
      </c>
      <c r="F44" s="5">
        <f>'NWC Schedule'!G19</f>
        <v>6656.1293237768114</v>
      </c>
      <c r="G44" s="5">
        <f>'NWC Schedule'!H19</f>
        <v>6754.8062947215512</v>
      </c>
    </row>
    <row r="45" spans="2:7" ht="14" customHeight="1" x14ac:dyDescent="0.3">
      <c r="B45" s="4" t="s">
        <v>98</v>
      </c>
      <c r="C45" s="20">
        <f>C41+C42-C43-C44</f>
        <v>66339.257760958921</v>
      </c>
      <c r="D45" s="20">
        <f>D41+D42-D43-D44</f>
        <v>37775.529278700982</v>
      </c>
      <c r="E45" s="20">
        <f>E41+E42-E43-E44</f>
        <v>48641.240022248647</v>
      </c>
      <c r="F45" s="20">
        <f>F41+F42-F43-F44</f>
        <v>56980.950903130142</v>
      </c>
      <c r="G45" s="20">
        <f>G41+G42-G43-G44</f>
        <v>63595.015536723542</v>
      </c>
    </row>
    <row r="46" spans="2:7" ht="14" customHeight="1" x14ac:dyDescent="0.3">
      <c r="B46" s="4" t="s">
        <v>99</v>
      </c>
      <c r="C46" s="21">
        <f>1/(1+C26)^(C19+0)</f>
        <v>0.92799634193010561</v>
      </c>
      <c r="D46" s="21">
        <f>1/(1+C26)^(C19+1)</f>
        <v>0.86117721063565755</v>
      </c>
      <c r="E46" s="21">
        <f>1/(1+C26)^(C19+2)</f>
        <v>0.7991693012234623</v>
      </c>
      <c r="F46" s="21">
        <f>1/(1+C26)^(C19+3)</f>
        <v>0.74162618811821168</v>
      </c>
      <c r="G46" s="21">
        <f>1/(1+C26)^(C19+4)</f>
        <v>0.68822638965326877</v>
      </c>
    </row>
    <row r="47" spans="2:7" ht="14" customHeight="1" x14ac:dyDescent="0.3">
      <c r="B47" s="4" t="s">
        <v>100</v>
      </c>
      <c r="C47" s="19">
        <f>C45*C46</f>
        <v>61562.588528528249</v>
      </c>
      <c r="D47" s="19">
        <f>D45*D46</f>
        <v>32531.424934517323</v>
      </c>
      <c r="E47" s="19">
        <f>E45*E46</f>
        <v>38872.585799223161</v>
      </c>
      <c r="F47" s="19">
        <f>F45*F46</f>
        <v>42258.565413639379</v>
      </c>
      <c r="G47" s="19">
        <f>G45*G46</f>
        <v>43767.767942782775</v>
      </c>
    </row>
    <row r="49" spans="2:7" ht="14" customHeight="1" x14ac:dyDescent="0.3">
      <c r="B49" s="22" t="s">
        <v>101</v>
      </c>
      <c r="C49" s="23"/>
      <c r="D49" s="23"/>
      <c r="E49" s="23"/>
      <c r="F49" s="23"/>
      <c r="G49" s="23"/>
    </row>
    <row r="50" spans="2:7" ht="14" customHeight="1" x14ac:dyDescent="0.3">
      <c r="B50" s="4" t="s">
        <v>102</v>
      </c>
      <c r="C50" s="5">
        <f>SUM(C47:G47)</f>
        <v>218992.93261869092</v>
      </c>
    </row>
    <row r="51" spans="2:7" ht="14" customHeight="1" x14ac:dyDescent="0.3">
      <c r="B51" s="4" t="s">
        <v>103</v>
      </c>
      <c r="C51" s="5">
        <f>G45*(1+C13)/(C26-C13)</f>
        <v>950296.39967700047</v>
      </c>
    </row>
    <row r="52" spans="2:7" ht="14" customHeight="1" x14ac:dyDescent="0.3">
      <c r="B52" s="4" t="s">
        <v>104</v>
      </c>
      <c r="C52" s="5">
        <f>C51*G46</f>
        <v>654019.06025020173</v>
      </c>
    </row>
    <row r="53" spans="2:7" ht="14" customHeight="1" x14ac:dyDescent="0.3">
      <c r="B53" s="4" t="s">
        <v>105</v>
      </c>
      <c r="C53" s="5">
        <f>C50+C52</f>
        <v>873011.99286889262</v>
      </c>
    </row>
    <row r="54" spans="2:7" ht="14" customHeight="1" x14ac:dyDescent="0.3">
      <c r="B54" s="4" t="s">
        <v>106</v>
      </c>
      <c r="C54" s="5">
        <f>C53-C16</f>
        <v>853676.99286889262</v>
      </c>
    </row>
    <row r="55" spans="2:7" ht="14" customHeight="1" x14ac:dyDescent="0.3">
      <c r="B55" s="4" t="s">
        <v>107</v>
      </c>
      <c r="C55" s="24">
        <f>ROUND(C54*1000000/C15,0)</f>
        <v>3148</v>
      </c>
    </row>
    <row r="57" spans="2:7" ht="14" customHeight="1" x14ac:dyDescent="0.3">
      <c r="B57" s="22" t="s">
        <v>108</v>
      </c>
      <c r="C57" s="23"/>
      <c r="D57" s="23"/>
      <c r="E57" s="23"/>
      <c r="F57" s="23"/>
      <c r="G57" s="23"/>
    </row>
    <row r="58" spans="2:7" ht="14" customHeight="1" x14ac:dyDescent="0.3">
      <c r="B58" s="4" t="s">
        <v>102</v>
      </c>
      <c r="C58" s="5">
        <f>C50</f>
        <v>218992.93261869092</v>
      </c>
    </row>
    <row r="59" spans="2:7" ht="14" customHeight="1" x14ac:dyDescent="0.3">
      <c r="B59" s="4" t="s">
        <v>109</v>
      </c>
      <c r="C59" s="5">
        <f>G39+G42</f>
        <v>163965.31260799308</v>
      </c>
    </row>
    <row r="60" spans="2:7" ht="14" customHeight="1" x14ac:dyDescent="0.3">
      <c r="B60" s="4" t="s">
        <v>110</v>
      </c>
      <c r="C60" s="5">
        <f>C59*C14</f>
        <v>1787221.9074271247</v>
      </c>
    </row>
    <row r="61" spans="2:7" ht="14" customHeight="1" x14ac:dyDescent="0.3">
      <c r="B61" s="4" t="s">
        <v>104</v>
      </c>
      <c r="C61" s="5">
        <f>C60*G46</f>
        <v>1230013.2808577986</v>
      </c>
    </row>
    <row r="62" spans="2:7" ht="14" customHeight="1" x14ac:dyDescent="0.3">
      <c r="B62" s="4" t="s">
        <v>105</v>
      </c>
      <c r="C62" s="5">
        <f>C58+C61</f>
        <v>1449006.2134764895</v>
      </c>
    </row>
    <row r="63" spans="2:7" ht="14" customHeight="1" x14ac:dyDescent="0.3">
      <c r="B63" s="4" t="s">
        <v>106</v>
      </c>
      <c r="C63" s="5">
        <f>C62-C16</f>
        <v>1429671.2134764895</v>
      </c>
    </row>
    <row r="64" spans="2:7" ht="14" customHeight="1" x14ac:dyDescent="0.3">
      <c r="B64" s="4" t="s">
        <v>111</v>
      </c>
      <c r="C64" s="24">
        <f>ROUND(C63*1000000/C15,0)</f>
        <v>5272</v>
      </c>
    </row>
    <row r="66" spans="2:7" ht="14" customHeight="1" x14ac:dyDescent="0.3">
      <c r="B66" s="22" t="s">
        <v>112</v>
      </c>
      <c r="C66" s="23"/>
      <c r="D66" s="23"/>
      <c r="E66" s="23"/>
      <c r="F66" s="23"/>
      <c r="G66" s="23"/>
    </row>
    <row r="67" spans="2:7" ht="14" customHeight="1" x14ac:dyDescent="0.3">
      <c r="C67" s="25" t="s">
        <v>113</v>
      </c>
      <c r="D67" s="25" t="s">
        <v>114</v>
      </c>
      <c r="E67" s="25" t="s">
        <v>115</v>
      </c>
      <c r="F67" s="25" t="s">
        <v>116</v>
      </c>
      <c r="G67" s="25" t="s">
        <v>117</v>
      </c>
    </row>
    <row r="68" spans="2:7" ht="14" customHeight="1" x14ac:dyDescent="0.3">
      <c r="B68" s="3" t="s">
        <v>43</v>
      </c>
    </row>
    <row r="69" spans="2:7" ht="14" customHeight="1" x14ac:dyDescent="0.3">
      <c r="B69" s="4" t="s">
        <v>81</v>
      </c>
      <c r="C69" s="26">
        <v>2.5000000000000001E-2</v>
      </c>
      <c r="D69" s="26">
        <v>2.5000000000000001E-2</v>
      </c>
      <c r="E69" s="26">
        <v>0.02</v>
      </c>
      <c r="F69" s="26">
        <v>0.02</v>
      </c>
      <c r="G69" s="26">
        <v>0.02</v>
      </c>
    </row>
    <row r="70" spans="2:7" ht="14" customHeight="1" x14ac:dyDescent="0.3">
      <c r="B70" s="4" t="s">
        <v>118</v>
      </c>
      <c r="C70" s="26">
        <v>0.04</v>
      </c>
      <c r="D70" s="26">
        <v>3.5000000000000003E-2</v>
      </c>
      <c r="E70" s="26">
        <v>0.03</v>
      </c>
      <c r="F70" s="26">
        <v>0.03</v>
      </c>
      <c r="G70" s="26">
        <v>0.03</v>
      </c>
    </row>
    <row r="71" spans="2:7" ht="14" customHeight="1" x14ac:dyDescent="0.3">
      <c r="B71" s="4" t="s">
        <v>119</v>
      </c>
      <c r="C71" s="26">
        <v>2.5000000000000001E-2</v>
      </c>
      <c r="D71" s="26">
        <v>2.5000000000000001E-2</v>
      </c>
      <c r="E71" s="26">
        <v>0.02</v>
      </c>
      <c r="F71" s="26">
        <v>0.02</v>
      </c>
      <c r="G71" s="26">
        <v>0.02</v>
      </c>
    </row>
    <row r="72" spans="2:7" ht="14" customHeight="1" x14ac:dyDescent="0.3">
      <c r="B72" s="4" t="s">
        <v>120</v>
      </c>
      <c r="C72" s="26">
        <v>5.0000000000000001E-3</v>
      </c>
      <c r="D72" s="26">
        <v>5.0000000000000001E-3</v>
      </c>
      <c r="E72" s="26">
        <v>5.0000000000000001E-3</v>
      </c>
      <c r="F72" s="26">
        <v>5.0000000000000001E-3</v>
      </c>
      <c r="G72" s="26">
        <v>5.0000000000000001E-3</v>
      </c>
    </row>
    <row r="73" spans="2:7" ht="14" customHeight="1" x14ac:dyDescent="0.3">
      <c r="B73" s="4" t="s">
        <v>121</v>
      </c>
      <c r="C73" s="26">
        <v>-0.06</v>
      </c>
      <c r="D73" s="26">
        <v>-0.01</v>
      </c>
      <c r="E73" s="26">
        <v>5.0000000000000001E-3</v>
      </c>
      <c r="F73" s="26">
        <v>0.01</v>
      </c>
      <c r="G73" s="26">
        <v>1.4999999999999999E-2</v>
      </c>
    </row>
    <row r="75" spans="2:7" ht="14" customHeight="1" x14ac:dyDescent="0.3">
      <c r="B75" s="3" t="s">
        <v>88</v>
      </c>
    </row>
    <row r="76" spans="2:7" ht="14" customHeight="1" x14ac:dyDescent="0.3">
      <c r="B76" s="4" t="s">
        <v>81</v>
      </c>
      <c r="C76" s="26">
        <v>0.69499999999999995</v>
      </c>
      <c r="D76" s="26">
        <v>0.69530000000000003</v>
      </c>
      <c r="E76" s="26">
        <v>0.69550000000000001</v>
      </c>
      <c r="F76" s="26">
        <v>0.69569999999999999</v>
      </c>
      <c r="G76" s="26">
        <v>0.69569999999999999</v>
      </c>
    </row>
    <row r="77" spans="2:7" ht="14" customHeight="1" x14ac:dyDescent="0.3">
      <c r="B77" s="4" t="s">
        <v>118</v>
      </c>
      <c r="C77" s="26">
        <v>0.69499999999999995</v>
      </c>
      <c r="D77" s="26">
        <v>0.69299999999999995</v>
      </c>
      <c r="E77" s="26">
        <v>0.69099999999999995</v>
      </c>
      <c r="F77" s="26">
        <v>0.68799999999999994</v>
      </c>
      <c r="G77" s="26">
        <v>0.6875</v>
      </c>
    </row>
    <row r="78" spans="2:7" ht="14" customHeight="1" x14ac:dyDescent="0.3">
      <c r="B78" s="4" t="s">
        <v>119</v>
      </c>
      <c r="C78" s="26">
        <v>0.69499999999999995</v>
      </c>
      <c r="D78" s="26">
        <v>0.69530000000000003</v>
      </c>
      <c r="E78" s="26">
        <v>0.69550000000000001</v>
      </c>
      <c r="F78" s="26">
        <v>0.69569999999999999</v>
      </c>
      <c r="G78" s="26">
        <v>0.69569999999999999</v>
      </c>
    </row>
    <row r="79" spans="2:7" ht="14" customHeight="1" x14ac:dyDescent="0.3">
      <c r="B79" s="4" t="s">
        <v>120</v>
      </c>
      <c r="C79" s="26">
        <v>0.69399999999999995</v>
      </c>
      <c r="D79" s="26">
        <v>0.69499999999999995</v>
      </c>
      <c r="E79" s="26">
        <v>0.69599999999999995</v>
      </c>
      <c r="F79" s="26">
        <v>0.69699999999999995</v>
      </c>
      <c r="G79" s="26">
        <v>0.69720000000000004</v>
      </c>
    </row>
    <row r="80" spans="2:7" ht="14" customHeight="1" x14ac:dyDescent="0.3">
      <c r="B80" s="4" t="s">
        <v>121</v>
      </c>
      <c r="C80" s="26">
        <v>0.71499999999999997</v>
      </c>
      <c r="D80" s="26">
        <v>0.72</v>
      </c>
      <c r="E80" s="26">
        <v>0.72</v>
      </c>
      <c r="F80" s="26">
        <v>0.71799999999999997</v>
      </c>
      <c r="G80" s="26">
        <v>0.71499999999999997</v>
      </c>
    </row>
    <row r="82" spans="2:7" ht="14" customHeight="1" x14ac:dyDescent="0.3">
      <c r="B82" s="3" t="s">
        <v>89</v>
      </c>
    </row>
    <row r="83" spans="2:7" ht="14" customHeight="1" x14ac:dyDescent="0.3">
      <c r="B83" s="4" t="s">
        <v>81</v>
      </c>
      <c r="C83" s="26">
        <v>0.22600000000000001</v>
      </c>
      <c r="D83" s="26">
        <v>0.22600000000000001</v>
      </c>
      <c r="E83" s="26">
        <v>0.22600000000000001</v>
      </c>
      <c r="F83" s="26">
        <v>0.22600000000000001</v>
      </c>
      <c r="G83" s="26">
        <v>0.22600000000000001</v>
      </c>
    </row>
    <row r="84" spans="2:7" ht="14" customHeight="1" x14ac:dyDescent="0.3">
      <c r="B84" s="4" t="s">
        <v>118</v>
      </c>
      <c r="C84" s="26">
        <v>0.223</v>
      </c>
      <c r="D84" s="26">
        <v>0.223</v>
      </c>
      <c r="E84" s="26">
        <v>0.223</v>
      </c>
      <c r="F84" s="26">
        <v>0.223</v>
      </c>
      <c r="G84" s="26">
        <v>0.223</v>
      </c>
    </row>
    <row r="85" spans="2:7" ht="14" customHeight="1" x14ac:dyDescent="0.3">
      <c r="B85" s="4" t="s">
        <v>119</v>
      </c>
      <c r="C85" s="26">
        <v>0.22600000000000001</v>
      </c>
      <c r="D85" s="26">
        <v>0.22600000000000001</v>
      </c>
      <c r="E85" s="26">
        <v>0.22600000000000001</v>
      </c>
      <c r="F85" s="26">
        <v>0.22600000000000001</v>
      </c>
      <c r="G85" s="26">
        <v>0.22600000000000001</v>
      </c>
    </row>
    <row r="86" spans="2:7" ht="14" customHeight="1" x14ac:dyDescent="0.3">
      <c r="B86" s="4" t="s">
        <v>120</v>
      </c>
      <c r="C86" s="26">
        <v>0.23</v>
      </c>
      <c r="D86" s="26">
        <v>0.23</v>
      </c>
      <c r="E86" s="26">
        <v>0.23</v>
      </c>
      <c r="F86" s="26">
        <v>0.23</v>
      </c>
      <c r="G86" s="26">
        <v>0.23</v>
      </c>
    </row>
    <row r="87" spans="2:7" ht="14" customHeight="1" x14ac:dyDescent="0.3">
      <c r="B87" s="4" t="s">
        <v>121</v>
      </c>
      <c r="C87" s="26">
        <v>0.24</v>
      </c>
      <c r="D87" s="26">
        <v>0.24</v>
      </c>
      <c r="E87" s="26">
        <v>0.24</v>
      </c>
      <c r="F87" s="26">
        <v>0.24</v>
      </c>
      <c r="G87" s="26">
        <v>0.24</v>
      </c>
    </row>
  </sheetData>
  <phoneticPr fontId="8"/>
  <dataValidations count="1">
    <dataValidation type="list" sqref="C27" xr:uid="{00000000-0002-0000-0200-000000000000}">
      <formula1>"Base,Upside,Management,Downside 1,Downside 2"</formula1>
    </dataValidation>
  </dataValidations>
  <pageMargins left="0.75" right="0.75" top="1" bottom="1" header="0.5" footer="0.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tabColor rgb="FFC00000"/>
  </sheetPr>
  <dimension ref="B2:I79"/>
  <sheetViews>
    <sheetView workbookViewId="0"/>
  </sheetViews>
  <sheetFormatPr defaultRowHeight="13" x14ac:dyDescent="0.2"/>
  <cols>
    <col min="1" max="1" width="3" customWidth="1"/>
    <col min="2" max="2" width="52" customWidth="1"/>
    <col min="3" max="9" width="15" customWidth="1"/>
  </cols>
  <sheetData>
    <row r="2" spans="2:9" ht="18" customHeight="1" x14ac:dyDescent="0.4">
      <c r="B2" s="2" t="s">
        <v>122</v>
      </c>
    </row>
    <row r="3" spans="2:9" ht="14" customHeight="1" x14ac:dyDescent="0.3">
      <c r="B3" s="1" t="s">
        <v>123</v>
      </c>
    </row>
    <row r="5" spans="2:9" ht="14" customHeight="1" x14ac:dyDescent="0.3">
      <c r="B5" s="8" t="s">
        <v>124</v>
      </c>
      <c r="C5" s="9"/>
      <c r="D5" s="9"/>
      <c r="E5" s="9"/>
      <c r="F5" s="9"/>
      <c r="G5" s="9"/>
      <c r="H5" s="9"/>
      <c r="I5" s="9"/>
    </row>
    <row r="6" spans="2:9" ht="14" customHeight="1" x14ac:dyDescent="0.3">
      <c r="B6" s="4" t="s">
        <v>125</v>
      </c>
      <c r="C6" s="15">
        <f>'Executive Summary'!C9</f>
        <v>4408</v>
      </c>
    </row>
    <row r="7" spans="2:9" ht="14" customHeight="1" x14ac:dyDescent="0.3">
      <c r="B7" s="4" t="s">
        <v>69</v>
      </c>
      <c r="C7" s="15">
        <f>'DCF Model'!C15</f>
        <v>271166783</v>
      </c>
    </row>
    <row r="8" spans="2:9" ht="14" customHeight="1" x14ac:dyDescent="0.3">
      <c r="B8" s="4" t="s">
        <v>126</v>
      </c>
      <c r="C8" s="5">
        <f>C6*C7/1000000</f>
        <v>1195303.179464</v>
      </c>
    </row>
    <row r="9" spans="2:9" ht="14" customHeight="1" x14ac:dyDescent="0.3">
      <c r="B9" s="4" t="s">
        <v>70</v>
      </c>
      <c r="C9" s="5">
        <f>'DCF Model'!C16</f>
        <v>19335</v>
      </c>
    </row>
    <row r="10" spans="2:9" ht="14" customHeight="1" x14ac:dyDescent="0.3">
      <c r="B10" s="4" t="s">
        <v>127</v>
      </c>
      <c r="C10" s="5">
        <f>C8+C9</f>
        <v>1214638.179464</v>
      </c>
    </row>
    <row r="11" spans="2:9" ht="14" customHeight="1" x14ac:dyDescent="0.3">
      <c r="B11" s="4" t="s">
        <v>128</v>
      </c>
      <c r="C11" s="16">
        <f>'DCF Model'!C26</f>
        <v>7.7590454634914388E-2</v>
      </c>
    </row>
    <row r="12" spans="2:9" ht="14" customHeight="1" x14ac:dyDescent="0.3">
      <c r="B12" s="4" t="s">
        <v>129</v>
      </c>
      <c r="C12" s="16">
        <f>'DCF Model'!C13</f>
        <v>0.01</v>
      </c>
    </row>
    <row r="13" spans="2:9" ht="14" customHeight="1" x14ac:dyDescent="0.3">
      <c r="B13" s="4" t="s">
        <v>130</v>
      </c>
      <c r="C13" s="16">
        <f>'DCF Model'!C6</f>
        <v>0.25</v>
      </c>
    </row>
    <row r="14" spans="2:9" ht="14" customHeight="1" x14ac:dyDescent="0.3">
      <c r="B14" s="4" t="s">
        <v>131</v>
      </c>
      <c r="C14" s="27">
        <v>93307</v>
      </c>
    </row>
    <row r="15" spans="2:9" ht="14" customHeight="1" x14ac:dyDescent="0.3">
      <c r="B15" s="4" t="s">
        <v>132</v>
      </c>
      <c r="C15" s="27">
        <v>106061</v>
      </c>
    </row>
    <row r="16" spans="2:9" ht="14" customHeight="1" x14ac:dyDescent="0.3">
      <c r="B16" s="4" t="s">
        <v>133</v>
      </c>
      <c r="C16" s="5">
        <f>'DCF Model'!G33</f>
        <v>1308581.9042936398</v>
      </c>
    </row>
    <row r="17" spans="2:9" ht="14" customHeight="1" x14ac:dyDescent="0.3">
      <c r="B17" s="4" t="s">
        <v>134</v>
      </c>
      <c r="C17" s="5">
        <f>'DCF Model'!C53</f>
        <v>873011.99286889262</v>
      </c>
    </row>
    <row r="18" spans="2:9" ht="14" customHeight="1" x14ac:dyDescent="0.3">
      <c r="B18" s="4" t="s">
        <v>135</v>
      </c>
      <c r="C18" s="26">
        <v>8.8994894127617435E-2</v>
      </c>
    </row>
    <row r="19" spans="2:9" ht="14" customHeight="1" x14ac:dyDescent="0.3">
      <c r="B19" s="4" t="s">
        <v>136</v>
      </c>
      <c r="C19" s="5">
        <f>C10-C17</f>
        <v>341626.18659510743</v>
      </c>
    </row>
    <row r="20" spans="2:9" ht="14" customHeight="1" x14ac:dyDescent="0.3">
      <c r="B20" s="4" t="s">
        <v>137</v>
      </c>
      <c r="C20" s="15">
        <f>IFERROR(ROUND(C19*1000000/C7,0),"N/A")</f>
        <v>1260</v>
      </c>
    </row>
    <row r="22" spans="2:9" ht="14" customHeight="1" x14ac:dyDescent="0.3">
      <c r="B22" s="8" t="s">
        <v>138</v>
      </c>
      <c r="C22" s="9"/>
      <c r="D22" s="9"/>
      <c r="E22" s="9"/>
      <c r="F22" s="9"/>
      <c r="G22" s="9"/>
      <c r="H22" s="9"/>
      <c r="I22" s="9"/>
    </row>
    <row r="23" spans="2:9" ht="14" customHeight="1" x14ac:dyDescent="0.3">
      <c r="B23" s="1" t="s">
        <v>139</v>
      </c>
    </row>
    <row r="24" spans="2:9" ht="14" customHeight="1" x14ac:dyDescent="0.3">
      <c r="B24" s="4" t="s">
        <v>140</v>
      </c>
      <c r="C24" s="5">
        <f>C10*(C11-C12)</f>
        <v>82097.946766896508</v>
      </c>
    </row>
    <row r="25" spans="2:9" ht="14" customHeight="1" x14ac:dyDescent="0.3">
      <c r="B25" s="4" t="s">
        <v>141</v>
      </c>
      <c r="C25" s="5">
        <f>IFERROR(C24/(1-C13),"N/A")</f>
        <v>109463.92902252868</v>
      </c>
    </row>
    <row r="26" spans="2:9" ht="13.5" customHeight="1" x14ac:dyDescent="0.25">
      <c r="B26" s="6" t="s">
        <v>142</v>
      </c>
      <c r="C26" s="14">
        <f>IFERROR(C25/C15,"N/A")</f>
        <v>1.0320846401837498</v>
      </c>
    </row>
    <row r="27" spans="2:9" ht="13.5" customHeight="1" x14ac:dyDescent="0.25">
      <c r="B27" s="6" t="s">
        <v>143</v>
      </c>
      <c r="C27" s="14">
        <f>IFERROR(C25/C14,"N/A")</f>
        <v>1.1731588093340122</v>
      </c>
    </row>
    <row r="28" spans="2:9" ht="13.5" customHeight="1" x14ac:dyDescent="0.25">
      <c r="B28" s="6" t="s">
        <v>144</v>
      </c>
      <c r="C28" s="7">
        <f>IFERROR(C25/C16,"N/A")</f>
        <v>8.3650804480302113E-2</v>
      </c>
    </row>
    <row r="29" spans="2:9" ht="13.5" customHeight="1" x14ac:dyDescent="0.25">
      <c r="B29" s="6" t="s">
        <v>145</v>
      </c>
      <c r="C29" s="5">
        <f>IFERROR(C25/C18,"N/A")</f>
        <v>1230002.3512085867</v>
      </c>
    </row>
    <row r="32" spans="2:9" ht="14" customHeight="1" x14ac:dyDescent="0.3">
      <c r="B32" s="8" t="s">
        <v>146</v>
      </c>
      <c r="C32" s="9"/>
      <c r="D32" s="9"/>
      <c r="E32" s="9"/>
      <c r="F32" s="9"/>
      <c r="G32" s="9"/>
      <c r="H32" s="9"/>
      <c r="I32" s="9"/>
    </row>
    <row r="33" spans="2:9" ht="14" customHeight="1" x14ac:dyDescent="0.3">
      <c r="B33" s="1" t="s">
        <v>147</v>
      </c>
    </row>
    <row r="34" spans="2:9" ht="14" customHeight="1" x14ac:dyDescent="0.3">
      <c r="B34" s="1" t="s">
        <v>148</v>
      </c>
    </row>
    <row r="36" spans="2:9" ht="14" customHeight="1" x14ac:dyDescent="0.3">
      <c r="B36" s="28" t="s">
        <v>149</v>
      </c>
      <c r="C36" s="28" t="s">
        <v>150</v>
      </c>
      <c r="D36" s="29">
        <f>'DCF Model'!C26-0.02</f>
        <v>5.7590454634914384E-2</v>
      </c>
      <c r="E36" s="29">
        <f>'DCF Model'!C26-0.01</f>
        <v>6.7590454634914393E-2</v>
      </c>
      <c r="F36" s="29">
        <f>'DCF Model'!C26</f>
        <v>7.7590454634914388E-2</v>
      </c>
      <c r="G36" s="29">
        <f>'DCF Model'!C26+0.01</f>
        <v>8.7590454634914383E-2</v>
      </c>
      <c r="H36" s="29">
        <f>'DCF Model'!C26+0.02</f>
        <v>9.7590454634914392E-2</v>
      </c>
    </row>
    <row r="37" spans="2:9" ht="14" customHeight="1" x14ac:dyDescent="0.3">
      <c r="B37" s="3" t="s">
        <v>151</v>
      </c>
    </row>
    <row r="38" spans="2:9" ht="14" customHeight="1" x14ac:dyDescent="0.3">
      <c r="B38" s="4" t="s">
        <v>152</v>
      </c>
      <c r="C38" s="30">
        <v>3</v>
      </c>
      <c r="D38" s="13">
        <f t="shared" ref="D38:H41" si="0">IFERROR((1-(1+D$36)^(-$C38))/D$36-(1+D$36)/(D$36^2*$C38)*(1-($C38+1)/(1+D$36)^$C38+$C38/(1+D$36)^($C38+1)),"N/A")</f>
        <v>0.9283825593554198</v>
      </c>
      <c r="E38" s="13">
        <f t="shared" si="0"/>
        <v>0.91692114293139482</v>
      </c>
      <c r="F38" s="13">
        <f t="shared" si="0"/>
        <v>0.90572329816530428</v>
      </c>
      <c r="G38" s="13">
        <f t="shared" si="0"/>
        <v>0.89478036501239289</v>
      </c>
      <c r="H38" s="13">
        <f t="shared" si="0"/>
        <v>0.88408404921437955</v>
      </c>
    </row>
    <row r="39" spans="2:9" ht="14" customHeight="1" x14ac:dyDescent="0.3">
      <c r="B39" s="4" t="s">
        <v>153</v>
      </c>
      <c r="C39" s="30">
        <v>5</v>
      </c>
      <c r="D39" s="13">
        <f t="shared" si="0"/>
        <v>1.7908862330349002</v>
      </c>
      <c r="E39" s="13">
        <f t="shared" si="0"/>
        <v>1.7584787381313909</v>
      </c>
      <c r="F39" s="13">
        <f t="shared" si="0"/>
        <v>1.7270963580384824</v>
      </c>
      <c r="G39" s="13">
        <f t="shared" si="0"/>
        <v>1.6966948452457147</v>
      </c>
      <c r="H39" s="13">
        <f t="shared" si="0"/>
        <v>1.6672323236837623</v>
      </c>
    </row>
    <row r="40" spans="2:9" ht="14" customHeight="1" x14ac:dyDescent="0.3">
      <c r="B40" s="4" t="s">
        <v>154</v>
      </c>
      <c r="C40" s="30">
        <v>7</v>
      </c>
      <c r="D40" s="13">
        <f t="shared" si="0"/>
        <v>2.592760457328164</v>
      </c>
      <c r="E40" s="13">
        <f t="shared" si="0"/>
        <v>2.5316262872812056</v>
      </c>
      <c r="F40" s="13">
        <f t="shared" si="0"/>
        <v>2.4729348893331311</v>
      </c>
      <c r="G40" s="13">
        <f t="shared" si="0"/>
        <v>2.416556411195919</v>
      </c>
      <c r="H40" s="13">
        <f t="shared" si="0"/>
        <v>2.3623693948285238</v>
      </c>
    </row>
    <row r="41" spans="2:9" ht="14" customHeight="1" x14ac:dyDescent="0.3">
      <c r="B41" s="4" t="s">
        <v>155</v>
      </c>
      <c r="C41" s="30">
        <v>10</v>
      </c>
      <c r="D41" s="13">
        <f t="shared" si="0"/>
        <v>3.6922875008226015</v>
      </c>
      <c r="E41" s="13">
        <f t="shared" si="0"/>
        <v>3.5766246393052668</v>
      </c>
      <c r="F41" s="13">
        <f t="shared" si="0"/>
        <v>3.466962540337684</v>
      </c>
      <c r="G41" s="13">
        <f t="shared" si="0"/>
        <v>3.3628956961003578</v>
      </c>
      <c r="H41" s="13">
        <f t="shared" si="0"/>
        <v>3.2640513049917907</v>
      </c>
    </row>
    <row r="42" spans="2:9" ht="14" customHeight="1" x14ac:dyDescent="0.3">
      <c r="B42" s="3" t="s">
        <v>156</v>
      </c>
    </row>
    <row r="43" spans="2:9" ht="14" customHeight="1" x14ac:dyDescent="0.3">
      <c r="B43" s="4" t="s">
        <v>152</v>
      </c>
      <c r="C43" s="30">
        <v>3</v>
      </c>
      <c r="D43" s="13">
        <f t="shared" ref="D43:H46" si="1">IFERROR((1+D$36)/(D$36^2*$C43)*(1-($C43+1)/(1+D$36)^$C43+$C43/(1+D$36)^($C43+1))+(1+$C$12)/((D$36-$C$12)*(1+D$36)^$C43),"N/A")</f>
        <v>19.697685981916838</v>
      </c>
      <c r="E43" s="13">
        <f t="shared" si="1"/>
        <v>16.13207178014579</v>
      </c>
      <c r="F43" s="13">
        <f t="shared" si="1"/>
        <v>13.624557194533534</v>
      </c>
      <c r="G43" s="13">
        <f t="shared" si="1"/>
        <v>11.76594228690842</v>
      </c>
      <c r="H43" s="13">
        <f t="shared" si="1"/>
        <v>10.333900250838335</v>
      </c>
    </row>
    <row r="44" spans="2:9" ht="14" customHeight="1" x14ac:dyDescent="0.3">
      <c r="B44" s="4" t="s">
        <v>153</v>
      </c>
      <c r="C44" s="30">
        <v>5</v>
      </c>
      <c r="D44" s="13">
        <f t="shared" si="1"/>
        <v>18.489586080627642</v>
      </c>
      <c r="E44" s="13">
        <f t="shared" si="1"/>
        <v>15.014141394705703</v>
      </c>
      <c r="F44" s="13">
        <f t="shared" si="1"/>
        <v>12.575223618983374</v>
      </c>
      <c r="G44" s="13">
        <f t="shared" si="1"/>
        <v>10.771729501481364</v>
      </c>
      <c r="H44" s="13">
        <f t="shared" si="1"/>
        <v>9.3857448763752966</v>
      </c>
    </row>
    <row r="45" spans="2:9" ht="14" customHeight="1" x14ac:dyDescent="0.3">
      <c r="B45" s="4" t="s">
        <v>154</v>
      </c>
      <c r="C45" s="30">
        <v>7</v>
      </c>
      <c r="D45" s="13">
        <f t="shared" si="1"/>
        <v>17.378729309602846</v>
      </c>
      <c r="E45" s="13">
        <f t="shared" si="1"/>
        <v>13.998508264625476</v>
      </c>
      <c r="F45" s="13">
        <f t="shared" si="1"/>
        <v>11.633070686662958</v>
      </c>
      <c r="G45" s="13">
        <f t="shared" si="1"/>
        <v>9.8892963347664473</v>
      </c>
      <c r="H45" s="13">
        <f t="shared" si="1"/>
        <v>8.5536388986922969</v>
      </c>
    </row>
    <row r="46" spans="2:9" ht="14" customHeight="1" x14ac:dyDescent="0.3">
      <c r="B46" s="4" t="s">
        <v>155</v>
      </c>
      <c r="C46" s="30">
        <v>10</v>
      </c>
      <c r="D46" s="13">
        <f t="shared" si="1"/>
        <v>15.876007417257538</v>
      </c>
      <c r="E46" s="13">
        <f t="shared" si="1"/>
        <v>12.644371955789531</v>
      </c>
      <c r="F46" s="13">
        <f t="shared" si="1"/>
        <v>10.394466932674597</v>
      </c>
      <c r="G46" s="13">
        <f t="shared" si="1"/>
        <v>8.7449822730587954</v>
      </c>
      <c r="H46" s="13">
        <f t="shared" si="1"/>
        <v>7.4888786690142055</v>
      </c>
    </row>
    <row r="47" spans="2:9" ht="14" customHeight="1" x14ac:dyDescent="0.3">
      <c r="B47" s="22" t="s">
        <v>157</v>
      </c>
      <c r="C47" s="23"/>
      <c r="D47" s="23"/>
      <c r="E47" s="23"/>
      <c r="F47" s="23"/>
      <c r="G47" s="23"/>
      <c r="H47" s="23"/>
      <c r="I47" s="23"/>
    </row>
    <row r="48" spans="2:9" ht="14" customHeight="1" x14ac:dyDescent="0.3">
      <c r="B48" s="4" t="s">
        <v>152</v>
      </c>
      <c r="C48" s="30">
        <v>3</v>
      </c>
      <c r="D48" s="5">
        <f t="shared" ref="D48:H51" si="2">IFERROR(($C$10/(1-$C$13)-$C$14*D38)/D43,"N/A")</f>
        <v>77820.967526852648</v>
      </c>
      <c r="E48" s="5">
        <f t="shared" si="2"/>
        <v>95087.750193565298</v>
      </c>
      <c r="F48" s="5">
        <f t="shared" si="2"/>
        <v>112664.74402945254</v>
      </c>
      <c r="G48" s="5">
        <f t="shared" si="2"/>
        <v>130548.68565941753</v>
      </c>
      <c r="H48" s="5">
        <f t="shared" si="2"/>
        <v>148736.32461411942</v>
      </c>
    </row>
    <row r="49" spans="2:9" ht="14" customHeight="1" x14ac:dyDescent="0.3">
      <c r="B49" s="4" t="s">
        <v>153</v>
      </c>
      <c r="C49" s="30">
        <v>5</v>
      </c>
      <c r="D49" s="5">
        <f t="shared" si="2"/>
        <v>78553.156600657443</v>
      </c>
      <c r="E49" s="5">
        <f t="shared" si="2"/>
        <v>96937.890668397406</v>
      </c>
      <c r="F49" s="5">
        <f t="shared" si="2"/>
        <v>115971.48781812834</v>
      </c>
      <c r="G49" s="5">
        <f t="shared" si="2"/>
        <v>135651.76014607266</v>
      </c>
      <c r="H49" s="5">
        <f t="shared" si="2"/>
        <v>155976.2326246048</v>
      </c>
    </row>
    <row r="50" spans="2:9" ht="14" customHeight="1" x14ac:dyDescent="0.3">
      <c r="B50" s="4" t="s">
        <v>154</v>
      </c>
      <c r="C50" s="30">
        <v>7</v>
      </c>
      <c r="D50" s="5">
        <f t="shared" si="2"/>
        <v>79269.021807338911</v>
      </c>
      <c r="E50" s="5">
        <f t="shared" si="2"/>
        <v>98817.609168181531</v>
      </c>
      <c r="F50" s="5">
        <f t="shared" si="2"/>
        <v>119381.6726732228</v>
      </c>
      <c r="G50" s="5">
        <f t="shared" si="2"/>
        <v>140964.11881787662</v>
      </c>
      <c r="H50" s="5">
        <f t="shared" si="2"/>
        <v>163566.87347525259</v>
      </c>
    </row>
    <row r="51" spans="2:9" ht="14" customHeight="1" x14ac:dyDescent="0.3">
      <c r="B51" s="4" t="s">
        <v>155</v>
      </c>
      <c r="C51" s="30">
        <v>10</v>
      </c>
      <c r="D51" s="5">
        <f t="shared" si="2"/>
        <v>80309.946277390904</v>
      </c>
      <c r="E51" s="5">
        <f t="shared" si="2"/>
        <v>101688.99348221709</v>
      </c>
      <c r="F51" s="5">
        <f t="shared" si="2"/>
        <v>124684.19085478765</v>
      </c>
      <c r="G51" s="5">
        <f t="shared" si="2"/>
        <v>149312.57984653572</v>
      </c>
      <c r="H51" s="5">
        <f t="shared" si="2"/>
        <v>175588.20160146774</v>
      </c>
    </row>
    <row r="52" spans="2:9" ht="14" customHeight="1" x14ac:dyDescent="0.3">
      <c r="B52" s="22" t="s">
        <v>158</v>
      </c>
      <c r="C52" s="23"/>
      <c r="D52" s="23"/>
      <c r="E52" s="23"/>
      <c r="F52" s="23"/>
      <c r="G52" s="23"/>
      <c r="H52" s="23"/>
      <c r="I52" s="23"/>
    </row>
    <row r="53" spans="2:9" ht="14" customHeight="1" x14ac:dyDescent="0.3">
      <c r="B53" s="4" t="s">
        <v>152</v>
      </c>
      <c r="C53" s="30">
        <v>3</v>
      </c>
      <c r="D53" s="14">
        <f t="shared" ref="D53:H56" si="3">IFERROR(D48/$C$15,"N/A")</f>
        <v>0.73373782565554391</v>
      </c>
      <c r="E53" s="14">
        <f t="shared" si="3"/>
        <v>0.8965383146827326</v>
      </c>
      <c r="F53" s="14">
        <f t="shared" si="3"/>
        <v>1.0622636410127431</v>
      </c>
      <c r="G53" s="14">
        <f t="shared" si="3"/>
        <v>1.230883035794661</v>
      </c>
      <c r="H53" s="14">
        <f t="shared" si="3"/>
        <v>1.402365851859962</v>
      </c>
    </row>
    <row r="54" spans="2:9" ht="14" customHeight="1" x14ac:dyDescent="0.3">
      <c r="B54" s="4" t="s">
        <v>153</v>
      </c>
      <c r="C54" s="30">
        <v>5</v>
      </c>
      <c r="D54" s="14">
        <f t="shared" si="3"/>
        <v>0.74064129699566705</v>
      </c>
      <c r="E54" s="14">
        <f t="shared" si="3"/>
        <v>0.91398243151014424</v>
      </c>
      <c r="F54" s="14">
        <f t="shared" si="3"/>
        <v>1.0934413952171707</v>
      </c>
      <c r="G54" s="14">
        <f t="shared" si="3"/>
        <v>1.2789975593863216</v>
      </c>
      <c r="H54" s="14">
        <f t="shared" si="3"/>
        <v>1.4706275881295179</v>
      </c>
    </row>
    <row r="55" spans="2:9" ht="14" customHeight="1" x14ac:dyDescent="0.3">
      <c r="B55" s="4" t="s">
        <v>154</v>
      </c>
      <c r="C55" s="30">
        <v>7</v>
      </c>
      <c r="D55" s="14">
        <f t="shared" si="3"/>
        <v>0.74739085816029371</v>
      </c>
      <c r="E55" s="14">
        <f t="shared" si="3"/>
        <v>0.93170542582270133</v>
      </c>
      <c r="F55" s="14">
        <f t="shared" si="3"/>
        <v>1.1255944472824393</v>
      </c>
      <c r="G55" s="14">
        <f t="shared" si="3"/>
        <v>1.3290853265373381</v>
      </c>
      <c r="H55" s="14">
        <f t="shared" si="3"/>
        <v>1.5421962217521294</v>
      </c>
    </row>
    <row r="56" spans="2:9" ht="14" customHeight="1" x14ac:dyDescent="0.3">
      <c r="B56" s="4" t="s">
        <v>155</v>
      </c>
      <c r="C56" s="30">
        <v>10</v>
      </c>
      <c r="D56" s="14">
        <f t="shared" si="3"/>
        <v>0.75720525242446235</v>
      </c>
      <c r="E56" s="14">
        <f t="shared" si="3"/>
        <v>0.9587783773697881</v>
      </c>
      <c r="F56" s="14">
        <f t="shared" si="3"/>
        <v>1.175589433012961</v>
      </c>
      <c r="G56" s="14">
        <f t="shared" si="3"/>
        <v>1.4077990952992685</v>
      </c>
      <c r="H56" s="14">
        <f t="shared" si="3"/>
        <v>1.6555397516661896</v>
      </c>
    </row>
    <row r="58" spans="2:9" ht="14" customHeight="1" x14ac:dyDescent="0.3">
      <c r="B58" s="8" t="s">
        <v>159</v>
      </c>
      <c r="C58" s="9"/>
      <c r="D58" s="9"/>
      <c r="E58" s="9"/>
      <c r="F58" s="9"/>
      <c r="G58" s="9"/>
      <c r="H58" s="9"/>
      <c r="I58" s="9"/>
    </row>
    <row r="59" spans="2:9" ht="14" customHeight="1" x14ac:dyDescent="0.3">
      <c r="B59" s="1" t="s">
        <v>160</v>
      </c>
    </row>
    <row r="60" spans="2:9" ht="14" customHeight="1" x14ac:dyDescent="0.3">
      <c r="B60" s="4" t="s">
        <v>161</v>
      </c>
      <c r="C60" s="5">
        <f>F49</f>
        <v>115971.48781812834</v>
      </c>
    </row>
    <row r="62" spans="2:9" ht="14" customHeight="1" x14ac:dyDescent="0.3">
      <c r="B62" s="28" t="s">
        <v>162</v>
      </c>
      <c r="C62" s="28" t="s">
        <v>163</v>
      </c>
      <c r="D62" s="28" t="s">
        <v>164</v>
      </c>
    </row>
    <row r="63" spans="2:9" ht="14" customHeight="1" x14ac:dyDescent="0.3">
      <c r="B63" s="31">
        <v>4.4499999999999998E-2</v>
      </c>
      <c r="C63" s="5">
        <f>IFERROR($C$60/B63,"N/A")</f>
        <v>2606100.8498455808</v>
      </c>
      <c r="D63" s="14">
        <f>IFERROR(C63/'DCF Model'!C17,"N/A")</f>
        <v>2.2204375011464554</v>
      </c>
    </row>
    <row r="64" spans="2:9" ht="14" customHeight="1" x14ac:dyDescent="0.3">
      <c r="B64" s="31">
        <v>6.6699999999999995E-2</v>
      </c>
      <c r="C64" s="5">
        <f>IFERROR($C$60/B64,"N/A")</f>
        <v>1738702.9657890308</v>
      </c>
      <c r="D64" s="14">
        <f>IFERROR(C64/'DCF Model'!C17,"N/A")</f>
        <v>1.4814013313495842</v>
      </c>
    </row>
    <row r="65" spans="2:9" ht="14" customHeight="1" x14ac:dyDescent="0.3">
      <c r="B65" s="4" t="s">
        <v>165</v>
      </c>
      <c r="C65" s="5">
        <f>IFERROR($C$60/$C$18,"N/A")</f>
        <v>1303125.1843709915</v>
      </c>
      <c r="D65" s="14">
        <f>IFERROR(C65/'DCF Model'!C17,"N/A")</f>
        <v>1.1102824467584158</v>
      </c>
    </row>
    <row r="66" spans="2:9" ht="14" customHeight="1" x14ac:dyDescent="0.3">
      <c r="B66" s="31">
        <v>0.11119999999999999</v>
      </c>
      <c r="C66" s="5">
        <f>IFERROR($C$60/B66,"N/A")</f>
        <v>1042909.063112665</v>
      </c>
      <c r="D66" s="14">
        <f>IFERROR(C66/'DCF Model'!C17,"N/A")</f>
        <v>0.88857435972137822</v>
      </c>
    </row>
    <row r="67" spans="2:9" ht="14" customHeight="1" x14ac:dyDescent="0.3">
      <c r="B67" s="31">
        <v>0.13350000000000001</v>
      </c>
      <c r="C67" s="5">
        <f>IFERROR($C$60/B67,"N/A")</f>
        <v>868700.28328186017</v>
      </c>
      <c r="D67" s="14">
        <f>IFERROR(C67/'DCF Model'!C17,"N/A")</f>
        <v>0.74014583371548504</v>
      </c>
    </row>
    <row r="69" spans="2:9" ht="14" customHeight="1" x14ac:dyDescent="0.3">
      <c r="B69" s="8" t="s">
        <v>166</v>
      </c>
      <c r="C69" s="9"/>
      <c r="D69" s="9"/>
      <c r="E69" s="9"/>
      <c r="F69" s="9"/>
      <c r="G69" s="9"/>
      <c r="H69" s="9"/>
      <c r="I69" s="9"/>
    </row>
    <row r="70" spans="2:9" ht="13.5" customHeight="1" x14ac:dyDescent="0.25">
      <c r="B70" s="6" t="s">
        <v>167</v>
      </c>
      <c r="C70" s="14">
        <f>IFERROR(C10/'Comps Analysis'!G5,"N/A")</f>
        <v>8.1925670234518861</v>
      </c>
    </row>
    <row r="71" spans="2:9" ht="13.5" customHeight="1" x14ac:dyDescent="0.25">
      <c r="B71" s="6" t="s">
        <v>168</v>
      </c>
      <c r="C71" s="14">
        <f>IFERROR(C10/'Comps Analysis'!F5,"N/A")</f>
        <v>1.0348901747858035</v>
      </c>
    </row>
    <row r="72" spans="2:9" ht="14" customHeight="1" x14ac:dyDescent="0.3">
      <c r="B72" s="4" t="s">
        <v>169</v>
      </c>
      <c r="C72" s="14">
        <f>IFERROR(C10/(C25+'DCF Model'!G42),"N/A")</f>
        <v>7.1045067216832898</v>
      </c>
    </row>
    <row r="73" spans="2:9" ht="14" customHeight="1" x14ac:dyDescent="0.3">
      <c r="B73" s="4" t="s">
        <v>170</v>
      </c>
      <c r="C73" s="14">
        <f>IFERROR(C10/(C60+'DCF Model'!G42),"N/A")</f>
        <v>6.8440022135329661</v>
      </c>
    </row>
    <row r="74" spans="2:9" ht="14" customHeight="1" x14ac:dyDescent="0.3">
      <c r="B74" s="4" t="s">
        <v>171</v>
      </c>
      <c r="C74" s="14">
        <f>IFERROR('Comps Analysis'!D16,"N/A")</f>
        <v>10.92142078168791</v>
      </c>
    </row>
    <row r="75" spans="2:9" ht="14" customHeight="1" x14ac:dyDescent="0.3">
      <c r="B75" s="1" t="s">
        <v>172</v>
      </c>
    </row>
    <row r="77" spans="2:9" ht="14" customHeight="1" x14ac:dyDescent="0.3">
      <c r="B77" s="22" t="s">
        <v>173</v>
      </c>
      <c r="C77" s="23"/>
      <c r="D77" s="23"/>
      <c r="E77" s="23"/>
      <c r="F77" s="23"/>
      <c r="G77" s="23"/>
      <c r="H77" s="23"/>
      <c r="I77" s="23"/>
    </row>
    <row r="78" spans="2:9" ht="14" customHeight="1" x14ac:dyDescent="0.3">
      <c r="B78" s="4" t="str">
        <f>"At "&amp;TEXT(C6,"#,##0")&amp;" yen the market is paying for a steady-state operating profit of "&amp;TEXT(F49,"#,##0")&amp;" mn JPY - "&amp;TEXT(F54,"0.00")&amp;"x the FY2021 cycle peak of "&amp;TEXT(C15,"#,##0")&amp;" mn - reached in 5 years and sustained for ever, against "&amp;TEXT(C14,"#,##0")&amp;" mn actually earned in FY2026."</f>
        <v>At 4,408 yen the market is paying for a steady-state operating profit of 115,971 mn JPY - 1.09x the FY2021 cycle peak of 106,061 mn - reached in 5 years and sustained for ever, against 93,307 mn actually earned in FY2026.</v>
      </c>
    </row>
    <row r="79" spans="2:9" ht="14" customHeight="1" x14ac:dyDescent="0.3">
      <c r="B79" s="4" t="str">
        <f>"Even with no ramp at all (Block A) the price needs "&amp;TEXT(C25,"#,##0")&amp;" mn, or "&amp;TEXT(C26,"0.00")&amp;"x the peak. The base case supports an EV of only "&amp;TEXT(C17,"#,##0")&amp;" mn, leaving "&amp;TEXT(C20,"#,##0")&amp;" yen per share of the current price unexplained by mid-cycle economics."</f>
        <v>Even with no ramp at all (Block A) the price needs 109,464 mn, or 1.03x the peak. The base case supports an EV of only 873,012 mn, leaving 1,260 yen per share of the current price unexplained by mid-cycle economics.</v>
      </c>
    </row>
  </sheetData>
  <phoneticPr fontId="8"/>
  <pageMargins left="0.75" right="0.75" top="1" bottom="1" header="0.5" footer="0.5"/>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tabColor rgb="FFCC6600"/>
  </sheetPr>
  <dimension ref="B2:H43"/>
  <sheetViews>
    <sheetView workbookViewId="0"/>
  </sheetViews>
  <sheetFormatPr defaultRowHeight="13" x14ac:dyDescent="0.2"/>
  <cols>
    <col min="1" max="1" width="3" customWidth="1"/>
    <col min="2" max="2" width="28" customWidth="1"/>
    <col min="3" max="8" width="16" customWidth="1"/>
  </cols>
  <sheetData>
    <row r="2" spans="2:8" ht="18" customHeight="1" x14ac:dyDescent="0.4">
      <c r="B2" s="2" t="s">
        <v>174</v>
      </c>
    </row>
    <row r="4" spans="2:8" ht="14" customHeight="1" x14ac:dyDescent="0.3">
      <c r="B4" s="8" t="s">
        <v>175</v>
      </c>
      <c r="C4" s="32" t="s">
        <v>176</v>
      </c>
      <c r="D4" s="32" t="s">
        <v>83</v>
      </c>
      <c r="E4" s="32" t="s">
        <v>84</v>
      </c>
      <c r="F4" s="32" t="s">
        <v>85</v>
      </c>
      <c r="G4" s="32" t="s">
        <v>86</v>
      </c>
      <c r="H4" s="32" t="s">
        <v>87</v>
      </c>
    </row>
    <row r="5" spans="2:8" ht="14" customHeight="1" x14ac:dyDescent="0.3">
      <c r="B5" s="33" t="s">
        <v>177</v>
      </c>
      <c r="C5" s="34">
        <f>C12/C9*365</f>
        <v>60.854273026562424</v>
      </c>
      <c r="D5" s="34">
        <f>CHOOSE('DCF Model'!$D$27,D25,D26,D27,D28,D29)</f>
        <v>62</v>
      </c>
      <c r="E5" s="34">
        <f>CHOOSE('DCF Model'!$D$27,E25,E26,E27,E28,E29)</f>
        <v>62</v>
      </c>
      <c r="F5" s="34">
        <f>CHOOSE('DCF Model'!$D$27,F25,F26,F27,F28,F29)</f>
        <v>62</v>
      </c>
      <c r="G5" s="34">
        <f>CHOOSE('DCF Model'!$D$27,G25,G26,G27,G28,G29)</f>
        <v>62</v>
      </c>
      <c r="H5" s="34">
        <f>CHOOSE('DCF Model'!$D$27,H25,H26,H27,H28,H29)</f>
        <v>62</v>
      </c>
    </row>
    <row r="6" spans="2:8" ht="14" customHeight="1" x14ac:dyDescent="0.3">
      <c r="B6" s="33" t="s">
        <v>178</v>
      </c>
      <c r="C6" s="34">
        <f>C13/C10*365</f>
        <v>114.50315350924571</v>
      </c>
      <c r="D6" s="34">
        <f>CHOOSE('DCF Model'!$D$27,D32,D33,D34,D35,D36)</f>
        <v>100</v>
      </c>
      <c r="E6" s="34">
        <f>CHOOSE('DCF Model'!$D$27,E32,E33,E34,E35,E36)</f>
        <v>100</v>
      </c>
      <c r="F6" s="34">
        <f>CHOOSE('DCF Model'!$D$27,F32,F33,F34,F35,F36)</f>
        <v>100</v>
      </c>
      <c r="G6" s="34">
        <f>CHOOSE('DCF Model'!$D$27,G32,G33,G34,G35,G36)</f>
        <v>100</v>
      </c>
      <c r="H6" s="34">
        <f>CHOOSE('DCF Model'!$D$27,H32,H33,H34,H35,H36)</f>
        <v>100</v>
      </c>
    </row>
    <row r="7" spans="2:8" ht="14" customHeight="1" x14ac:dyDescent="0.3">
      <c r="B7" s="33" t="s">
        <v>179</v>
      </c>
      <c r="C7" s="34">
        <f>C15/C10*365</f>
        <v>45.311367609077784</v>
      </c>
      <c r="D7" s="34">
        <f>CHOOSE('DCF Model'!$D$27,D39,D40,D41,D42,D43)</f>
        <v>51</v>
      </c>
      <c r="E7" s="34">
        <f>CHOOSE('DCF Model'!$D$27,E39,E40,E41,E42,E43)</f>
        <v>51</v>
      </c>
      <c r="F7" s="34">
        <f>CHOOSE('DCF Model'!$D$27,F39,F40,F41,F42,F43)</f>
        <v>51</v>
      </c>
      <c r="G7" s="34">
        <f>CHOOSE('DCF Model'!$D$27,G39,G40,G41,G42,G43)</f>
        <v>51</v>
      </c>
      <c r="H7" s="34">
        <f>CHOOSE('DCF Model'!$D$27,H39,H40,H41,H42,H43)</f>
        <v>51</v>
      </c>
    </row>
    <row r="8" spans="2:8" ht="14" customHeight="1" x14ac:dyDescent="0.3">
      <c r="B8" s="8" t="s">
        <v>180</v>
      </c>
      <c r="C8" s="9"/>
      <c r="D8" s="9"/>
      <c r="E8" s="9"/>
      <c r="F8" s="9"/>
      <c r="G8" s="9"/>
      <c r="H8" s="9"/>
    </row>
    <row r="9" spans="2:8" ht="14" customHeight="1" x14ac:dyDescent="0.3">
      <c r="B9" s="33" t="s">
        <v>34</v>
      </c>
      <c r="C9" s="35">
        <v>1173688</v>
      </c>
      <c r="D9" s="35">
        <f>'DCF Model'!C33</f>
        <v>1203030.2</v>
      </c>
      <c r="E9" s="35">
        <f>'DCF Model'!D33</f>
        <v>1233105.9549999998</v>
      </c>
      <c r="F9" s="35">
        <f>'DCF Model'!E33</f>
        <v>1257768.0740999999</v>
      </c>
      <c r="G9" s="35">
        <f>'DCF Model'!F33</f>
        <v>1282923.4355819998</v>
      </c>
      <c r="H9" s="35">
        <f>'DCF Model'!G33</f>
        <v>1308581.9042936398</v>
      </c>
    </row>
    <row r="10" spans="2:8" ht="14" customHeight="1" x14ac:dyDescent="0.3">
      <c r="B10" s="33" t="s">
        <v>35</v>
      </c>
      <c r="C10" s="35">
        <v>814648</v>
      </c>
      <c r="D10" s="35">
        <f>'DCF Model'!C34</f>
        <v>836105.98899999994</v>
      </c>
      <c r="E10" s="35">
        <f>'DCF Model'!D34</f>
        <v>857378.57051149989</v>
      </c>
      <c r="F10" s="35">
        <f>'DCF Model'!E34</f>
        <v>874777.6955365499</v>
      </c>
      <c r="G10" s="35">
        <f>'DCF Model'!F34</f>
        <v>892529.83413439721</v>
      </c>
      <c r="H10" s="35">
        <f>'DCF Model'!G34</f>
        <v>910380.4308170852</v>
      </c>
    </row>
    <row r="11" spans="2:8" ht="14" customHeight="1" x14ac:dyDescent="0.3">
      <c r="B11" s="8" t="s">
        <v>181</v>
      </c>
      <c r="C11" s="9"/>
      <c r="D11" s="9"/>
      <c r="E11" s="9"/>
      <c r="F11" s="9"/>
      <c r="G11" s="9"/>
      <c r="H11" s="9"/>
    </row>
    <row r="12" spans="2:8" ht="14" customHeight="1" x14ac:dyDescent="0.3">
      <c r="B12" s="33" t="s">
        <v>182</v>
      </c>
      <c r="C12" s="35">
        <v>195682</v>
      </c>
      <c r="D12" s="35">
        <f t="shared" ref="D12:H13" si="0">D9*D5/365</f>
        <v>204350.33534246573</v>
      </c>
      <c r="E12" s="35">
        <f t="shared" si="0"/>
        <v>209459.09372602738</v>
      </c>
      <c r="F12" s="35">
        <f t="shared" si="0"/>
        <v>213648.2756005479</v>
      </c>
      <c r="G12" s="35">
        <f t="shared" si="0"/>
        <v>217921.2411125589</v>
      </c>
      <c r="H12" s="35">
        <f t="shared" si="0"/>
        <v>222279.66593481004</v>
      </c>
    </row>
    <row r="13" spans="2:8" ht="14" customHeight="1" x14ac:dyDescent="0.3">
      <c r="B13" s="33" t="s">
        <v>183</v>
      </c>
      <c r="C13" s="35">
        <v>255561</v>
      </c>
      <c r="D13" s="35">
        <f t="shared" si="0"/>
        <v>229070.13397260272</v>
      </c>
      <c r="E13" s="35">
        <f t="shared" si="0"/>
        <v>234898.23849630135</v>
      </c>
      <c r="F13" s="35">
        <f t="shared" si="0"/>
        <v>239665.12206480818</v>
      </c>
      <c r="G13" s="35">
        <f t="shared" si="0"/>
        <v>244528.72168065677</v>
      </c>
      <c r="H13" s="35">
        <f t="shared" si="0"/>
        <v>249419.29611426991</v>
      </c>
    </row>
    <row r="14" spans="2:8" ht="14" customHeight="1" x14ac:dyDescent="0.3">
      <c r="B14" s="33" t="s">
        <v>184</v>
      </c>
      <c r="C14" s="35">
        <f t="shared" ref="C14:H14" si="1">C12+C13</f>
        <v>451243</v>
      </c>
      <c r="D14" s="35">
        <f t="shared" si="1"/>
        <v>433420.46931506845</v>
      </c>
      <c r="E14" s="35">
        <f t="shared" si="1"/>
        <v>444357.33222232875</v>
      </c>
      <c r="F14" s="35">
        <f t="shared" si="1"/>
        <v>453313.39766535605</v>
      </c>
      <c r="G14" s="35">
        <f t="shared" si="1"/>
        <v>462449.96279321564</v>
      </c>
      <c r="H14" s="35">
        <f t="shared" si="1"/>
        <v>471698.96204907994</v>
      </c>
    </row>
    <row r="15" spans="2:8" ht="14" customHeight="1" x14ac:dyDescent="0.3">
      <c r="B15" s="33" t="s">
        <v>185</v>
      </c>
      <c r="C15" s="35">
        <v>101131</v>
      </c>
      <c r="D15" s="35">
        <f>D10*D7/365</f>
        <v>116825.76832602739</v>
      </c>
      <c r="E15" s="35">
        <f>E10*E7/365</f>
        <v>119798.10163311368</v>
      </c>
      <c r="F15" s="35">
        <f>F10*F7/365</f>
        <v>122229.21225305217</v>
      </c>
      <c r="G15" s="35">
        <f>G10*G7/365</f>
        <v>124709.64805713495</v>
      </c>
      <c r="H15" s="35">
        <f>H10*H7/365</f>
        <v>127203.84101827766</v>
      </c>
    </row>
    <row r="16" spans="2:8" ht="14" customHeight="1" x14ac:dyDescent="0.3">
      <c r="B16" s="33" t="s">
        <v>186</v>
      </c>
      <c r="C16" s="35">
        <f t="shared" ref="C16:H16" si="2">C15</f>
        <v>101131</v>
      </c>
      <c r="D16" s="35">
        <f t="shared" si="2"/>
        <v>116825.76832602739</v>
      </c>
      <c r="E16" s="35">
        <f t="shared" si="2"/>
        <v>119798.10163311368</v>
      </c>
      <c r="F16" s="35">
        <f t="shared" si="2"/>
        <v>122229.21225305217</v>
      </c>
      <c r="G16" s="35">
        <f t="shared" si="2"/>
        <v>124709.64805713495</v>
      </c>
      <c r="H16" s="35">
        <f t="shared" si="2"/>
        <v>127203.84101827766</v>
      </c>
    </row>
    <row r="17" spans="2:8" ht="14" customHeight="1" x14ac:dyDescent="0.3">
      <c r="B17" s="22" t="s">
        <v>187</v>
      </c>
      <c r="C17" s="23"/>
      <c r="D17" s="23"/>
      <c r="E17" s="23"/>
      <c r="F17" s="23"/>
      <c r="G17" s="23"/>
      <c r="H17" s="23"/>
    </row>
    <row r="18" spans="2:8" ht="14" customHeight="1" x14ac:dyDescent="0.3">
      <c r="B18" s="33" t="s">
        <v>188</v>
      </c>
      <c r="C18" s="20">
        <f t="shared" ref="C18:H18" si="3">C14-C16</f>
        <v>350112</v>
      </c>
      <c r="D18" s="20">
        <f t="shared" si="3"/>
        <v>316594.70098904107</v>
      </c>
      <c r="E18" s="20">
        <f t="shared" si="3"/>
        <v>324559.23058921506</v>
      </c>
      <c r="F18" s="20">
        <f t="shared" si="3"/>
        <v>331084.18541230389</v>
      </c>
      <c r="G18" s="20">
        <f t="shared" si="3"/>
        <v>337740.31473608071</v>
      </c>
      <c r="H18" s="20">
        <f t="shared" si="3"/>
        <v>344495.12103080226</v>
      </c>
    </row>
    <row r="19" spans="2:8" ht="14" customHeight="1" x14ac:dyDescent="0.3">
      <c r="B19" s="33" t="s">
        <v>97</v>
      </c>
      <c r="C19" s="36" t="s">
        <v>44</v>
      </c>
      <c r="D19" s="24">
        <f>D18-C18</f>
        <v>-33517.29901095893</v>
      </c>
      <c r="E19" s="24">
        <f>E18-D18</f>
        <v>7964.5296001739916</v>
      </c>
      <c r="F19" s="24">
        <f>F18-E18</f>
        <v>6524.9548230888322</v>
      </c>
      <c r="G19" s="24">
        <f>G18-F18</f>
        <v>6656.1293237768114</v>
      </c>
      <c r="H19" s="24">
        <f>H18-G18</f>
        <v>6754.8062947215512</v>
      </c>
    </row>
    <row r="22" spans="2:8" ht="14" customHeight="1" x14ac:dyDescent="0.3">
      <c r="B22" s="22" t="s">
        <v>189</v>
      </c>
      <c r="C22" s="23"/>
      <c r="D22" s="23"/>
      <c r="E22" s="23"/>
      <c r="F22" s="23"/>
      <c r="G22" s="23"/>
      <c r="H22" s="23"/>
    </row>
    <row r="23" spans="2:8" ht="14" customHeight="1" x14ac:dyDescent="0.3">
      <c r="D23" s="25" t="s">
        <v>83</v>
      </c>
      <c r="E23" s="25" t="s">
        <v>84</v>
      </c>
      <c r="F23" s="25" t="s">
        <v>85</v>
      </c>
      <c r="G23" s="25" t="s">
        <v>86</v>
      </c>
      <c r="H23" s="25" t="s">
        <v>87</v>
      </c>
    </row>
    <row r="24" spans="2:8" ht="14" customHeight="1" x14ac:dyDescent="0.3">
      <c r="B24" s="3" t="s">
        <v>190</v>
      </c>
    </row>
    <row r="25" spans="2:8" ht="14" customHeight="1" x14ac:dyDescent="0.3">
      <c r="B25" s="4" t="s">
        <v>81</v>
      </c>
      <c r="D25" s="30">
        <v>62</v>
      </c>
      <c r="E25" s="30">
        <v>62</v>
      </c>
      <c r="F25" s="30">
        <v>62</v>
      </c>
      <c r="G25" s="30">
        <v>62</v>
      </c>
      <c r="H25" s="30">
        <v>62</v>
      </c>
    </row>
    <row r="26" spans="2:8" ht="14" customHeight="1" x14ac:dyDescent="0.3">
      <c r="B26" s="4" t="s">
        <v>118</v>
      </c>
      <c r="D26" s="30">
        <v>60</v>
      </c>
      <c r="E26" s="30">
        <v>60</v>
      </c>
      <c r="F26" s="30">
        <v>60</v>
      </c>
      <c r="G26" s="30">
        <v>60</v>
      </c>
      <c r="H26" s="30">
        <v>60</v>
      </c>
    </row>
    <row r="27" spans="2:8" ht="14" customHeight="1" x14ac:dyDescent="0.3">
      <c r="B27" s="4" t="s">
        <v>119</v>
      </c>
      <c r="D27" s="30">
        <v>62</v>
      </c>
      <c r="E27" s="30">
        <v>62</v>
      </c>
      <c r="F27" s="30">
        <v>62</v>
      </c>
      <c r="G27" s="30">
        <v>62</v>
      </c>
      <c r="H27" s="30">
        <v>62</v>
      </c>
    </row>
    <row r="28" spans="2:8" ht="14" customHeight="1" x14ac:dyDescent="0.3">
      <c r="B28" s="4" t="s">
        <v>120</v>
      </c>
      <c r="D28" s="30">
        <v>65</v>
      </c>
      <c r="E28" s="30">
        <v>65</v>
      </c>
      <c r="F28" s="30">
        <v>65</v>
      </c>
      <c r="G28" s="30">
        <v>65</v>
      </c>
      <c r="H28" s="30">
        <v>65</v>
      </c>
    </row>
    <row r="29" spans="2:8" ht="14" customHeight="1" x14ac:dyDescent="0.3">
      <c r="B29" s="4" t="s">
        <v>121</v>
      </c>
      <c r="D29" s="30">
        <v>68</v>
      </c>
      <c r="E29" s="30">
        <v>68</v>
      </c>
      <c r="F29" s="30">
        <v>68</v>
      </c>
      <c r="G29" s="30">
        <v>68</v>
      </c>
      <c r="H29" s="30">
        <v>68</v>
      </c>
    </row>
    <row r="31" spans="2:8" ht="14" customHeight="1" x14ac:dyDescent="0.3">
      <c r="B31" s="3" t="s">
        <v>191</v>
      </c>
    </row>
    <row r="32" spans="2:8" ht="14" customHeight="1" x14ac:dyDescent="0.3">
      <c r="B32" s="4" t="s">
        <v>81</v>
      </c>
      <c r="D32" s="30">
        <v>100</v>
      </c>
      <c r="E32" s="30">
        <v>100</v>
      </c>
      <c r="F32" s="30">
        <v>100</v>
      </c>
      <c r="G32" s="30">
        <v>100</v>
      </c>
      <c r="H32" s="30">
        <v>100</v>
      </c>
    </row>
    <row r="33" spans="2:8" ht="14" customHeight="1" x14ac:dyDescent="0.3">
      <c r="B33" s="4" t="s">
        <v>118</v>
      </c>
      <c r="D33" s="30">
        <v>96</v>
      </c>
      <c r="E33" s="30">
        <v>96</v>
      </c>
      <c r="F33" s="30">
        <v>96</v>
      </c>
      <c r="G33" s="30">
        <v>96</v>
      </c>
      <c r="H33" s="30">
        <v>96</v>
      </c>
    </row>
    <row r="34" spans="2:8" ht="14" customHeight="1" x14ac:dyDescent="0.3">
      <c r="B34" s="4" t="s">
        <v>119</v>
      </c>
      <c r="D34" s="30">
        <v>100</v>
      </c>
      <c r="E34" s="30">
        <v>100</v>
      </c>
      <c r="F34" s="30">
        <v>100</v>
      </c>
      <c r="G34" s="30">
        <v>100</v>
      </c>
      <c r="H34" s="30">
        <v>100</v>
      </c>
    </row>
    <row r="35" spans="2:8" ht="14" customHeight="1" x14ac:dyDescent="0.3">
      <c r="B35" s="4" t="s">
        <v>120</v>
      </c>
      <c r="D35" s="30">
        <v>105</v>
      </c>
      <c r="E35" s="30">
        <v>105</v>
      </c>
      <c r="F35" s="30">
        <v>105</v>
      </c>
      <c r="G35" s="30">
        <v>105</v>
      </c>
      <c r="H35" s="30">
        <v>105</v>
      </c>
    </row>
    <row r="36" spans="2:8" ht="14" customHeight="1" x14ac:dyDescent="0.3">
      <c r="B36" s="4" t="s">
        <v>121</v>
      </c>
      <c r="D36" s="30">
        <v>111</v>
      </c>
      <c r="E36" s="30">
        <v>111</v>
      </c>
      <c r="F36" s="30">
        <v>111</v>
      </c>
      <c r="G36" s="30">
        <v>111</v>
      </c>
      <c r="H36" s="30">
        <v>111</v>
      </c>
    </row>
    <row r="38" spans="2:8" ht="14" customHeight="1" x14ac:dyDescent="0.3">
      <c r="B38" s="3" t="s">
        <v>192</v>
      </c>
    </row>
    <row r="39" spans="2:8" ht="14" customHeight="1" x14ac:dyDescent="0.3">
      <c r="B39" s="4" t="s">
        <v>81</v>
      </c>
      <c r="D39" s="30">
        <v>51</v>
      </c>
      <c r="E39" s="30">
        <v>51</v>
      </c>
      <c r="F39" s="30">
        <v>51</v>
      </c>
      <c r="G39" s="30">
        <v>51</v>
      </c>
      <c r="H39" s="30">
        <v>51</v>
      </c>
    </row>
    <row r="40" spans="2:8" ht="14" customHeight="1" x14ac:dyDescent="0.3">
      <c r="B40" s="4" t="s">
        <v>118</v>
      </c>
      <c r="D40" s="30">
        <v>53</v>
      </c>
      <c r="E40" s="30">
        <v>53</v>
      </c>
      <c r="F40" s="30">
        <v>53</v>
      </c>
      <c r="G40" s="30">
        <v>53</v>
      </c>
      <c r="H40" s="30">
        <v>53</v>
      </c>
    </row>
    <row r="41" spans="2:8" ht="14" customHeight="1" x14ac:dyDescent="0.3">
      <c r="B41" s="4" t="s">
        <v>119</v>
      </c>
      <c r="D41" s="30">
        <v>51</v>
      </c>
      <c r="E41" s="30">
        <v>51</v>
      </c>
      <c r="F41" s="30">
        <v>51</v>
      </c>
      <c r="G41" s="30">
        <v>51</v>
      </c>
      <c r="H41" s="30">
        <v>51</v>
      </c>
    </row>
    <row r="42" spans="2:8" ht="14" customHeight="1" x14ac:dyDescent="0.3">
      <c r="B42" s="4" t="s">
        <v>120</v>
      </c>
      <c r="D42" s="30">
        <v>49</v>
      </c>
      <c r="E42" s="30">
        <v>49</v>
      </c>
      <c r="F42" s="30">
        <v>49</v>
      </c>
      <c r="G42" s="30">
        <v>49</v>
      </c>
      <c r="H42" s="30">
        <v>49</v>
      </c>
    </row>
    <row r="43" spans="2:8" ht="14" customHeight="1" x14ac:dyDescent="0.3">
      <c r="B43" s="4" t="s">
        <v>121</v>
      </c>
      <c r="D43" s="30">
        <v>46</v>
      </c>
      <c r="E43" s="30">
        <v>46</v>
      </c>
      <c r="F43" s="30">
        <v>46</v>
      </c>
      <c r="G43" s="30">
        <v>46</v>
      </c>
      <c r="H43" s="30">
        <v>46</v>
      </c>
    </row>
  </sheetData>
  <phoneticPr fontId="8"/>
  <pageMargins left="0.75" right="0.75" top="1" bottom="1" header="0.5" footer="0.5"/>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tabColor rgb="FF006600"/>
  </sheetPr>
  <dimension ref="B2:Q28"/>
  <sheetViews>
    <sheetView workbookViewId="0"/>
  </sheetViews>
  <sheetFormatPr defaultRowHeight="13" x14ac:dyDescent="0.2"/>
  <cols>
    <col min="1" max="1" width="3" customWidth="1"/>
    <col min="2" max="2" width="16" customWidth="1"/>
    <col min="3" max="3" width="10" customWidth="1"/>
    <col min="4" max="16" width="12" customWidth="1"/>
    <col min="17" max="17" width="26" customWidth="1"/>
  </cols>
  <sheetData>
    <row r="2" spans="2:17" ht="18" customHeight="1" x14ac:dyDescent="0.4">
      <c r="B2" s="2" t="s">
        <v>193</v>
      </c>
    </row>
    <row r="3" spans="2:17" ht="14" customHeight="1" x14ac:dyDescent="0.3">
      <c r="B3" s="1" t="s">
        <v>194</v>
      </c>
    </row>
    <row r="4" spans="2:17" ht="28" customHeight="1" x14ac:dyDescent="0.3">
      <c r="B4" s="10" t="s">
        <v>3</v>
      </c>
      <c r="C4" s="10" t="s">
        <v>5</v>
      </c>
      <c r="D4" s="10" t="s">
        <v>195</v>
      </c>
      <c r="E4" s="10" t="s">
        <v>196</v>
      </c>
      <c r="F4" s="10" t="s">
        <v>197</v>
      </c>
      <c r="G4" s="10" t="s">
        <v>198</v>
      </c>
      <c r="H4" s="10" t="s">
        <v>199</v>
      </c>
      <c r="I4" s="10" t="s">
        <v>200</v>
      </c>
      <c r="J4" s="10" t="s">
        <v>201</v>
      </c>
      <c r="K4" s="10" t="s">
        <v>202</v>
      </c>
      <c r="L4" s="10" t="s">
        <v>203</v>
      </c>
      <c r="M4" s="10" t="s">
        <v>204</v>
      </c>
      <c r="N4" s="10" t="s">
        <v>205</v>
      </c>
      <c r="O4" s="10" t="s">
        <v>206</v>
      </c>
      <c r="P4" s="10" t="s">
        <v>207</v>
      </c>
      <c r="Q4" s="10" t="s">
        <v>208</v>
      </c>
    </row>
    <row r="5" spans="2:17" ht="14" customHeight="1" x14ac:dyDescent="0.3">
      <c r="B5" s="4" t="s">
        <v>209</v>
      </c>
      <c r="C5" t="s">
        <v>210</v>
      </c>
      <c r="D5" s="37">
        <f>'Executive Summary'!C9*C23/1000000</f>
        <v>1195303.179464</v>
      </c>
      <c r="E5" s="37">
        <f>D5+C24</f>
        <v>1214638.179464</v>
      </c>
      <c r="F5" s="37">
        <v>1173688</v>
      </c>
      <c r="G5" s="37">
        <v>148261</v>
      </c>
      <c r="H5" s="37">
        <v>93307</v>
      </c>
      <c r="I5" s="37">
        <v>35076</v>
      </c>
      <c r="J5" s="38">
        <f t="shared" ref="J5:J10" si="0">IFERROR(E5/G5,"")</f>
        <v>8.1925670234518861</v>
      </c>
      <c r="K5" s="38">
        <f t="shared" ref="K5:K10" si="1">IFERROR(E5/F5,"")</f>
        <v>1.0348901747858035</v>
      </c>
      <c r="L5" s="38">
        <f t="shared" ref="L5:L10" si="2">IFERROR(D5/I5,"")</f>
        <v>34.077522507241419</v>
      </c>
      <c r="M5" s="38">
        <f t="shared" ref="M5:M10" si="3">IFERROR(D5/P5,"")</f>
        <v>1.5471477953416131</v>
      </c>
      <c r="N5" s="39">
        <f t="shared" ref="N5:N10" si="4">IFERROR(H5/F5,"")</f>
        <v>7.9498980989837167E-2</v>
      </c>
      <c r="O5" s="39">
        <f t="shared" ref="O5:O10" si="5">IFERROR(I5/P5,"")</f>
        <v>4.5400829682170893E-2</v>
      </c>
      <c r="P5" s="37">
        <v>772585</v>
      </c>
    </row>
    <row r="6" spans="2:17" ht="14" customHeight="1" x14ac:dyDescent="0.3">
      <c r="B6" s="4" t="s">
        <v>211</v>
      </c>
      <c r="C6" t="s">
        <v>212</v>
      </c>
      <c r="D6" s="37">
        <v>1655551</v>
      </c>
      <c r="E6" s="37">
        <v>1605210</v>
      </c>
      <c r="F6" s="37">
        <v>745539</v>
      </c>
      <c r="G6" s="37">
        <v>102686</v>
      </c>
      <c r="H6" s="37">
        <v>75940</v>
      </c>
      <c r="I6" s="37">
        <v>61615</v>
      </c>
      <c r="J6" s="38">
        <f t="shared" si="0"/>
        <v>15.632218608184173</v>
      </c>
      <c r="K6" s="38">
        <f t="shared" si="1"/>
        <v>2.1530865588520518</v>
      </c>
      <c r="L6" s="38">
        <f t="shared" si="2"/>
        <v>26.869285076685873</v>
      </c>
      <c r="M6" s="38">
        <f t="shared" si="3"/>
        <v>2.9514711440409038</v>
      </c>
      <c r="N6" s="39">
        <f t="shared" si="4"/>
        <v>0.1018591918061966</v>
      </c>
      <c r="O6" s="39">
        <f t="shared" si="5"/>
        <v>0.10984554057234135</v>
      </c>
      <c r="P6" s="37">
        <v>560924</v>
      </c>
    </row>
    <row r="7" spans="2:17" ht="14" customHeight="1" x14ac:dyDescent="0.3">
      <c r="B7" s="4" t="s">
        <v>213</v>
      </c>
      <c r="C7" t="s">
        <v>214</v>
      </c>
      <c r="D7" s="37">
        <v>854146</v>
      </c>
      <c r="E7" s="37">
        <v>931346</v>
      </c>
      <c r="F7" s="37">
        <v>788131</v>
      </c>
      <c r="G7" s="37">
        <v>85277</v>
      </c>
      <c r="H7" s="37">
        <v>49380</v>
      </c>
      <c r="I7" s="37">
        <v>45380</v>
      </c>
      <c r="J7" s="38">
        <f t="shared" si="0"/>
        <v>10.92142078168791</v>
      </c>
      <c r="K7" s="38">
        <f t="shared" si="1"/>
        <v>1.1817147149395215</v>
      </c>
      <c r="L7" s="38">
        <f t="shared" si="2"/>
        <v>18.822080211546936</v>
      </c>
      <c r="M7" s="38">
        <f t="shared" si="3"/>
        <v>1.6515832379420228</v>
      </c>
      <c r="N7" s="39">
        <f t="shared" si="4"/>
        <v>6.2654558696460361E-2</v>
      </c>
      <c r="O7" s="39">
        <f t="shared" si="5"/>
        <v>8.7747115057389469E-2</v>
      </c>
      <c r="P7" s="37">
        <v>517168</v>
      </c>
    </row>
    <row r="8" spans="2:17" ht="14" customHeight="1" x14ac:dyDescent="0.3">
      <c r="B8" s="4" t="s">
        <v>215</v>
      </c>
      <c r="C8" t="s">
        <v>216</v>
      </c>
      <c r="D8" s="37">
        <v>809451</v>
      </c>
      <c r="E8" s="37">
        <v>703594</v>
      </c>
      <c r="F8" s="37">
        <v>486425</v>
      </c>
      <c r="G8" s="37">
        <v>73994</v>
      </c>
      <c r="H8" s="37">
        <v>45185</v>
      </c>
      <c r="I8" s="37">
        <v>44228</v>
      </c>
      <c r="J8" s="38">
        <f t="shared" si="0"/>
        <v>9.508798010649512</v>
      </c>
      <c r="K8" s="38">
        <f t="shared" si="1"/>
        <v>1.4464593719483991</v>
      </c>
      <c r="L8" s="38">
        <f t="shared" si="2"/>
        <v>18.301777154743601</v>
      </c>
      <c r="M8" s="38">
        <f t="shared" si="3"/>
        <v>1.3352870339821841</v>
      </c>
      <c r="N8" s="39">
        <f t="shared" si="4"/>
        <v>9.2892018296756945E-2</v>
      </c>
      <c r="O8" s="39">
        <f t="shared" si="5"/>
        <v>7.295941933355328E-2</v>
      </c>
      <c r="P8" s="37">
        <v>606200</v>
      </c>
    </row>
    <row r="9" spans="2:17" ht="14" customHeight="1" x14ac:dyDescent="0.3">
      <c r="B9" s="4" t="s">
        <v>217</v>
      </c>
      <c r="C9" t="s">
        <v>218</v>
      </c>
      <c r="D9" s="37">
        <v>2320547</v>
      </c>
      <c r="E9" s="37">
        <v>3118689</v>
      </c>
      <c r="F9" s="37">
        <v>2433363</v>
      </c>
      <c r="G9" s="37">
        <v>305379</v>
      </c>
      <c r="H9" s="37">
        <v>209677</v>
      </c>
      <c r="I9" s="37">
        <v>147542</v>
      </c>
      <c r="J9" s="38">
        <f t="shared" si="0"/>
        <v>10.212519524918216</v>
      </c>
      <c r="K9" s="38">
        <f t="shared" si="1"/>
        <v>1.2816373882564993</v>
      </c>
      <c r="L9" s="38">
        <f t="shared" si="2"/>
        <v>15.728043540144501</v>
      </c>
      <c r="M9" s="38">
        <f t="shared" si="3"/>
        <v>1.803079431013892</v>
      </c>
      <c r="N9" s="39">
        <f t="shared" si="4"/>
        <v>8.6167579600741853E-2</v>
      </c>
      <c r="O9" s="39">
        <f t="shared" si="5"/>
        <v>0.11464105032591526</v>
      </c>
      <c r="P9" s="37">
        <v>1286991</v>
      </c>
    </row>
    <row r="10" spans="2:17" ht="14" customHeight="1" x14ac:dyDescent="0.3">
      <c r="B10" s="4" t="s">
        <v>219</v>
      </c>
      <c r="C10" t="s">
        <v>220</v>
      </c>
      <c r="D10" s="37">
        <v>2397303</v>
      </c>
      <c r="E10" s="37">
        <v>3885100</v>
      </c>
      <c r="F10" s="37">
        <v>2894676</v>
      </c>
      <c r="G10" s="37">
        <v>348957</v>
      </c>
      <c r="H10" s="37">
        <v>185870</v>
      </c>
      <c r="I10" s="37">
        <v>121574</v>
      </c>
      <c r="J10" s="38">
        <f t="shared" si="0"/>
        <v>11.133463435322977</v>
      </c>
      <c r="K10" s="38">
        <f t="shared" si="1"/>
        <v>1.3421536641751961</v>
      </c>
      <c r="L10" s="38">
        <f t="shared" si="2"/>
        <v>19.718879036636125</v>
      </c>
      <c r="M10" s="38">
        <f t="shared" si="3"/>
        <v>0.79828887411872984</v>
      </c>
      <c r="N10" s="39">
        <f t="shared" si="4"/>
        <v>6.4210985961814029E-2</v>
      </c>
      <c r="O10" s="39">
        <f t="shared" si="5"/>
        <v>4.0483481471516314E-2</v>
      </c>
      <c r="P10" s="37">
        <v>3003052</v>
      </c>
    </row>
    <row r="14" spans="2:17" ht="14" customHeight="1" x14ac:dyDescent="0.3">
      <c r="B14" s="3" t="s">
        <v>221</v>
      </c>
    </row>
    <row r="15" spans="2:17" ht="14" customHeight="1" x14ac:dyDescent="0.3">
      <c r="B15" s="4" t="s">
        <v>222</v>
      </c>
      <c r="D15" s="38">
        <f t="shared" ref="D15:I15" si="6">PERCENTILE(J6:J10,0.25)</f>
        <v>10.212519524918216</v>
      </c>
      <c r="E15" s="38">
        <f t="shared" si="6"/>
        <v>1.2816373882564993</v>
      </c>
      <c r="F15" s="38">
        <f t="shared" si="6"/>
        <v>18.301777154743601</v>
      </c>
      <c r="G15" s="38">
        <f t="shared" si="6"/>
        <v>1.3352870339821841</v>
      </c>
      <c r="H15" s="39">
        <f t="shared" si="6"/>
        <v>6.4210985961814029E-2</v>
      </c>
      <c r="I15" s="39">
        <f t="shared" si="6"/>
        <v>7.295941933355328E-2</v>
      </c>
    </row>
    <row r="16" spans="2:17" ht="14" customHeight="1" x14ac:dyDescent="0.3">
      <c r="B16" s="4" t="s">
        <v>223</v>
      </c>
      <c r="D16" s="38">
        <f t="shared" ref="D16:I16" si="7">MEDIAN(J6:J10)</f>
        <v>10.92142078168791</v>
      </c>
      <c r="E16" s="38">
        <f t="shared" si="7"/>
        <v>1.3421536641751961</v>
      </c>
      <c r="F16" s="38">
        <f t="shared" si="7"/>
        <v>18.822080211546936</v>
      </c>
      <c r="G16" s="38">
        <f t="shared" si="7"/>
        <v>1.6515832379420228</v>
      </c>
      <c r="H16" s="39">
        <f t="shared" si="7"/>
        <v>8.6167579600741853E-2</v>
      </c>
      <c r="I16" s="39">
        <f t="shared" si="7"/>
        <v>8.7747115057389469E-2</v>
      </c>
    </row>
    <row r="17" spans="2:9" ht="14" customHeight="1" x14ac:dyDescent="0.3">
      <c r="B17" s="4" t="s">
        <v>224</v>
      </c>
      <c r="D17" s="38">
        <f t="shared" ref="D17:I17" si="8">PERCENTILE(J6:J10,0.75)</f>
        <v>11.133463435322977</v>
      </c>
      <c r="E17" s="38">
        <f t="shared" si="8"/>
        <v>1.4464593719483991</v>
      </c>
      <c r="F17" s="38">
        <f t="shared" si="8"/>
        <v>19.718879036636125</v>
      </c>
      <c r="G17" s="38">
        <f t="shared" si="8"/>
        <v>1.803079431013892</v>
      </c>
      <c r="H17" s="39">
        <f t="shared" si="8"/>
        <v>9.2892018296756945E-2</v>
      </c>
      <c r="I17" s="39">
        <f t="shared" si="8"/>
        <v>0.10984554057234135</v>
      </c>
    </row>
    <row r="19" spans="2:9" ht="14" customHeight="1" x14ac:dyDescent="0.3">
      <c r="B19" s="22" t="s">
        <v>225</v>
      </c>
      <c r="C19" s="23"/>
      <c r="D19" s="23"/>
      <c r="E19" s="23"/>
      <c r="F19" s="23"/>
      <c r="G19" s="23"/>
      <c r="H19" s="23"/>
      <c r="I19" s="23"/>
    </row>
    <row r="20" spans="2:9" ht="14" customHeight="1" x14ac:dyDescent="0.3">
      <c r="B20" s="3" t="s">
        <v>226</v>
      </c>
    </row>
    <row r="21" spans="2:9" ht="14" customHeight="1" x14ac:dyDescent="0.3">
      <c r="B21" s="4" t="s">
        <v>227</v>
      </c>
      <c r="C21" s="5">
        <v>148261</v>
      </c>
    </row>
    <row r="22" spans="2:9" ht="14" customHeight="1" x14ac:dyDescent="0.3">
      <c r="B22" s="4" t="s">
        <v>228</v>
      </c>
      <c r="C22" s="5">
        <v>35076</v>
      </c>
    </row>
    <row r="23" spans="2:9" ht="14" customHeight="1" x14ac:dyDescent="0.3">
      <c r="B23" s="4" t="s">
        <v>229</v>
      </c>
      <c r="C23" s="15">
        <v>271166783</v>
      </c>
    </row>
    <row r="24" spans="2:9" ht="14" customHeight="1" x14ac:dyDescent="0.3">
      <c r="B24" s="4" t="s">
        <v>70</v>
      </c>
      <c r="C24" s="5">
        <v>19335</v>
      </c>
    </row>
    <row r="26" spans="2:9" ht="14" customHeight="1" x14ac:dyDescent="0.3">
      <c r="B26" s="3" t="s">
        <v>230</v>
      </c>
    </row>
    <row r="27" spans="2:9" ht="14" customHeight="1" x14ac:dyDescent="0.3">
      <c r="B27" s="4" t="s">
        <v>231</v>
      </c>
      <c r="C27" s="24">
        <f>ROUND((C21*D16-C24)*1000000/C23,0)</f>
        <v>5900</v>
      </c>
    </row>
    <row r="28" spans="2:9" ht="14" customHeight="1" x14ac:dyDescent="0.3">
      <c r="B28" s="4" t="s">
        <v>232</v>
      </c>
      <c r="C28" s="24">
        <f>ROUND(C22*F16*1000000/C23,0)</f>
        <v>2435</v>
      </c>
    </row>
  </sheetData>
  <phoneticPr fontId="8"/>
  <pageMargins left="0.75" right="0.75" top="1" bottom="1" header="0.5" footer="0.5"/>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tabColor rgb="FF996600"/>
  </sheetPr>
  <dimension ref="B2:I26"/>
  <sheetViews>
    <sheetView workbookViewId="0"/>
  </sheetViews>
  <sheetFormatPr defaultRowHeight="13" x14ac:dyDescent="0.2"/>
  <cols>
    <col min="1" max="1" width="3" customWidth="1"/>
    <col min="2" max="2" width="24" customWidth="1"/>
    <col min="3" max="9" width="14" customWidth="1"/>
  </cols>
  <sheetData>
    <row r="2" spans="2:9" ht="18" customHeight="1" x14ac:dyDescent="0.4">
      <c r="B2" s="2" t="s">
        <v>233</v>
      </c>
    </row>
    <row r="3" spans="2:9" ht="14" customHeight="1" x14ac:dyDescent="0.3">
      <c r="B3" s="4" t="s">
        <v>234</v>
      </c>
      <c r="C3" s="16">
        <f>'DCF Model'!C26</f>
        <v>7.7590454634914388E-2</v>
      </c>
      <c r="E3" s="4" t="s">
        <v>235</v>
      </c>
      <c r="F3" s="16">
        <f>'DCF Model'!C13</f>
        <v>0.01</v>
      </c>
      <c r="H3" s="4" t="s">
        <v>236</v>
      </c>
      <c r="I3" s="14">
        <f>'DCF Model'!C14</f>
        <v>10.9</v>
      </c>
    </row>
    <row r="5" spans="2:9" ht="14" customHeight="1" x14ac:dyDescent="0.3">
      <c r="B5" s="3" t="s">
        <v>237</v>
      </c>
    </row>
    <row r="6" spans="2:9" ht="14" customHeight="1" x14ac:dyDescent="0.3">
      <c r="B6" s="40" t="s">
        <v>238</v>
      </c>
      <c r="C6" s="41">
        <f>$F$3-0.0075</f>
        <v>2.5000000000000005E-3</v>
      </c>
      <c r="D6" s="41">
        <f>$F$3-0.005</f>
        <v>5.0000000000000001E-3</v>
      </c>
      <c r="E6" s="41">
        <f>$F$3-0.0025</f>
        <v>7.4999999999999997E-3</v>
      </c>
      <c r="F6" s="41">
        <f>$F$3</f>
        <v>0.01</v>
      </c>
      <c r="G6" s="41">
        <f>$F$3+0.0025</f>
        <v>1.2500000000000001E-2</v>
      </c>
      <c r="H6" s="41">
        <f>$F$3+0.005</f>
        <v>1.4999999999999999E-2</v>
      </c>
      <c r="I6" s="41">
        <f>$F$3+0.0075</f>
        <v>1.7500000000000002E-2</v>
      </c>
    </row>
    <row r="7" spans="2:9" ht="13.5" customHeight="1" x14ac:dyDescent="0.25">
      <c r="B7" s="39">
        <f>$C$3-0.015</f>
        <v>6.2590454634914389E-2</v>
      </c>
      <c r="C7" s="37">
        <f>IFERROR(ROUND(('DCF Model'!C45/(1+$B7)^('DCF Model'!C19+0)+'DCF Model'!D45/(1+$B7)^('DCF Model'!C19+1)+'DCF Model'!E45/(1+$B7)^('DCF Model'!C19+2)+'DCF Model'!F45/(1+$B7)^('DCF Model'!C19+3)+'DCF Model'!G45/(1+$B7)^('DCF Model'!C19+4)+'DCF Model'!G45*(1+C$6)/($B7-C$6)/(1+$B7)^('DCF Model'!C19+4)-'DCF Model'!C16)*1000000/'DCF Model'!C15,0),"")</f>
        <v>3658</v>
      </c>
      <c r="D7" s="37">
        <f>IFERROR(ROUND(('DCF Model'!C45/(1+$B7)^('DCF Model'!C19+0)+'DCF Model'!D45/(1+$B7)^('DCF Model'!C19+1)+'DCF Model'!E45/(1+$B7)^('DCF Model'!C19+2)+'DCF Model'!F45/(1+$B7)^('DCF Model'!C19+3)+'DCF Model'!G45/(1+$B7)^('DCF Model'!C19+4)+'DCF Model'!G45*(1+D$6)/($B7-D$6)/(1+$B7)^('DCF Model'!C19+4)-'DCF Model'!C16)*1000000/'DCF Model'!C15,0),"")</f>
        <v>3791</v>
      </c>
      <c r="E7" s="37">
        <f>IFERROR(ROUND(('DCF Model'!C45/(1+$B7)^('DCF Model'!C19+0)+'DCF Model'!D45/(1+$B7)^('DCF Model'!C19+1)+'DCF Model'!E45/(1+$B7)^('DCF Model'!C19+2)+'DCF Model'!F45/(1+$B7)^('DCF Model'!C19+3)+'DCF Model'!G45/(1+$B7)^('DCF Model'!C19+4)+'DCF Model'!G45*(1+E$6)/($B7-E$6)/(1+$B7)^('DCF Model'!C19+4)-'DCF Model'!C16)*1000000/'DCF Model'!C15,0),"")</f>
        <v>3936</v>
      </c>
      <c r="F7" s="37">
        <f>IFERROR(ROUND(('DCF Model'!C45/(1+$B7)^('DCF Model'!C19+0)+'DCF Model'!D45/(1+$B7)^('DCF Model'!C19+1)+'DCF Model'!E45/(1+$B7)^('DCF Model'!C19+2)+'DCF Model'!F45/(1+$B7)^('DCF Model'!C19+3)+'DCF Model'!G45/(1+$B7)^('DCF Model'!C19+4)+'DCF Model'!G45*(1+F$6)/($B7-F$6)/(1+$B7)^('DCF Model'!C19+4)-'DCF Model'!C16)*1000000/'DCF Model'!C15,0),"")</f>
        <v>4095</v>
      </c>
      <c r="G7" s="37">
        <f>IFERROR(ROUND(('DCF Model'!C45/(1+$B7)^('DCF Model'!C19+0)+'DCF Model'!D45/(1+$B7)^('DCF Model'!C19+1)+'DCF Model'!E45/(1+$B7)^('DCF Model'!C19+2)+'DCF Model'!F45/(1+$B7)^('DCF Model'!C19+3)+'DCF Model'!G45/(1+$B7)^('DCF Model'!C19+4)+'DCF Model'!G45*(1+G$6)/($B7-G$6)/(1+$B7)^('DCF Model'!C19+4)-'DCF Model'!C16)*1000000/'DCF Model'!C15,0),"")</f>
        <v>4269</v>
      </c>
      <c r="H7" s="37">
        <f>IFERROR(ROUND(('DCF Model'!C45/(1+$B7)^('DCF Model'!C19+0)+'DCF Model'!D45/(1+$B7)^('DCF Model'!C19+1)+'DCF Model'!E45/(1+$B7)^('DCF Model'!C19+2)+'DCF Model'!F45/(1+$B7)^('DCF Model'!C19+3)+'DCF Model'!G45/(1+$B7)^('DCF Model'!C19+4)+'DCF Model'!G45*(1+H$6)/($B7-H$6)/(1+$B7)^('DCF Model'!C19+4)-'DCF Model'!C16)*1000000/'DCF Model'!C15,0),"")</f>
        <v>4462</v>
      </c>
      <c r="I7" s="37">
        <f>IFERROR(ROUND(('DCF Model'!C45/(1+$B7)^('DCF Model'!C19+0)+'DCF Model'!D45/(1+$B7)^('DCF Model'!C19+1)+'DCF Model'!E45/(1+$B7)^('DCF Model'!C19+2)+'DCF Model'!F45/(1+$B7)^('DCF Model'!C19+3)+'DCF Model'!G45/(1+$B7)^('DCF Model'!C19+4)+'DCF Model'!G45*(1+I$6)/($B7-I$6)/(1+$B7)^('DCF Model'!C19+4)-'DCF Model'!C16)*1000000/'DCF Model'!C15,0),"")</f>
        <v>4676</v>
      </c>
    </row>
    <row r="8" spans="2:9" ht="13.5" customHeight="1" x14ac:dyDescent="0.25">
      <c r="B8" s="39">
        <f>$C$3-0.01</f>
        <v>6.7590454634914393E-2</v>
      </c>
      <c r="C8" s="37">
        <f>IFERROR(ROUND(('DCF Model'!C45/(1+$B8)^('DCF Model'!C19+0)+'DCF Model'!D45/(1+$B8)^('DCF Model'!C19+1)+'DCF Model'!E45/(1+$B8)^('DCF Model'!C19+2)+'DCF Model'!F45/(1+$B8)^('DCF Model'!C19+3)+'DCF Model'!G45/(1+$B8)^('DCF Model'!C19+4)+'DCF Model'!G45*(1+C$6)/($B8-C$6)/(1+$B8)^('DCF Model'!C19+4)-'DCF Model'!C16)*1000000/'DCF Model'!C15,0),"")</f>
        <v>3363</v>
      </c>
      <c r="D8" s="37">
        <f>IFERROR(ROUND(('DCF Model'!C45/(1+$B8)^('DCF Model'!C19+0)+'DCF Model'!D45/(1+$B8)^('DCF Model'!C19+1)+'DCF Model'!E45/(1+$B8)^('DCF Model'!C19+2)+'DCF Model'!F45/(1+$B8)^('DCF Model'!C19+3)+'DCF Model'!G45/(1+$B8)^('DCF Model'!C19+4)+'DCF Model'!G45*(1+D$6)/($B8-D$6)/(1+$B8)^('DCF Model'!C19+4)-'DCF Model'!C16)*1000000/'DCF Model'!C15,0),"")</f>
        <v>3474</v>
      </c>
      <c r="E8" s="37">
        <f>IFERROR(ROUND(('DCF Model'!C45/(1+$B8)^('DCF Model'!C19+0)+'DCF Model'!D45/(1+$B8)^('DCF Model'!C19+1)+'DCF Model'!E45/(1+$B8)^('DCF Model'!C19+2)+'DCF Model'!F45/(1+$B8)^('DCF Model'!C19+3)+'DCF Model'!G45/(1+$B8)^('DCF Model'!C19+4)+'DCF Model'!G45*(1+E$6)/($B8-E$6)/(1+$B8)^('DCF Model'!C19+4)-'DCF Model'!C16)*1000000/'DCF Model'!C15,0),"")</f>
        <v>3594</v>
      </c>
      <c r="F8" s="37">
        <f>IFERROR(ROUND(('DCF Model'!C45/(1+$B8)^('DCF Model'!C19+0)+'DCF Model'!D45/(1+$B8)^('DCF Model'!C19+1)+'DCF Model'!E45/(1+$B8)^('DCF Model'!C19+2)+'DCF Model'!F45/(1+$B8)^('DCF Model'!C19+3)+'DCF Model'!G45/(1+$B8)^('DCF Model'!C19+4)+'DCF Model'!G45*(1+F$6)/($B8-F$6)/(1+$B8)^('DCF Model'!C19+4)-'DCF Model'!C16)*1000000/'DCF Model'!C15,0),"")</f>
        <v>3724</v>
      </c>
      <c r="G8" s="37">
        <f>IFERROR(ROUND(('DCF Model'!C45/(1+$B8)^('DCF Model'!C19+0)+'DCF Model'!D45/(1+$B8)^('DCF Model'!C19+1)+'DCF Model'!E45/(1+$B8)^('DCF Model'!C19+2)+'DCF Model'!F45/(1+$B8)^('DCF Model'!C19+3)+'DCF Model'!G45/(1+$B8)^('DCF Model'!C19+4)+'DCF Model'!G45*(1+G$6)/($B8-G$6)/(1+$B8)^('DCF Model'!C19+4)-'DCF Model'!C16)*1000000/'DCF Model'!C15,0),"")</f>
        <v>3866</v>
      </c>
      <c r="H8" s="37">
        <f>IFERROR(ROUND(('DCF Model'!C45/(1+$B8)^('DCF Model'!C19+0)+'DCF Model'!D45/(1+$B8)^('DCF Model'!C19+1)+'DCF Model'!E45/(1+$B8)^('DCF Model'!C19+2)+'DCF Model'!F45/(1+$B8)^('DCF Model'!C19+3)+'DCF Model'!G45/(1+$B8)^('DCF Model'!C19+4)+'DCF Model'!G45*(1+H$6)/($B8-H$6)/(1+$B8)^('DCF Model'!C19+4)-'DCF Model'!C16)*1000000/'DCF Model'!C15,0),"")</f>
        <v>4022</v>
      </c>
      <c r="I8" s="37">
        <f>IFERROR(ROUND(('DCF Model'!C45/(1+$B8)^('DCF Model'!C19+0)+'DCF Model'!D45/(1+$B8)^('DCF Model'!C19+1)+'DCF Model'!E45/(1+$B8)^('DCF Model'!C19+2)+'DCF Model'!F45/(1+$B8)^('DCF Model'!C19+3)+'DCF Model'!G45/(1+$B8)^('DCF Model'!C19+4)+'DCF Model'!G45*(1+I$6)/($B8-I$6)/(1+$B8)^('DCF Model'!C19+4)-'DCF Model'!C16)*1000000/'DCF Model'!C15,0),"")</f>
        <v>4193</v>
      </c>
    </row>
    <row r="9" spans="2:9" ht="13.5" customHeight="1" x14ac:dyDescent="0.25">
      <c r="B9" s="39">
        <f>$C$3-0.005</f>
        <v>7.2590454634914384E-2</v>
      </c>
      <c r="C9" s="37">
        <f>IFERROR(ROUND(('DCF Model'!C45/(1+$B9)^('DCF Model'!C19+0)+'DCF Model'!D45/(1+$B9)^('DCF Model'!C19+1)+'DCF Model'!E45/(1+$B9)^('DCF Model'!C19+2)+'DCF Model'!F45/(1+$B9)^('DCF Model'!C19+3)+'DCF Model'!G45/(1+$B9)^('DCF Model'!C19+4)+'DCF Model'!G45*(1+C$6)/($B9-C$6)/(1+$B9)^('DCF Model'!C19+4)-'DCF Model'!C16)*1000000/'DCF Model'!C15,0),"")</f>
        <v>3110</v>
      </c>
      <c r="D9" s="37">
        <f>IFERROR(ROUND(('DCF Model'!C45/(1+$B9)^('DCF Model'!C19+0)+'DCF Model'!D45/(1+$B9)^('DCF Model'!C19+1)+'DCF Model'!E45/(1+$B9)^('DCF Model'!C19+2)+'DCF Model'!F45/(1+$B9)^('DCF Model'!C19+3)+'DCF Model'!G45/(1+$B9)^('DCF Model'!C19+4)+'DCF Model'!G45*(1+D$6)/($B9-D$6)/(1+$B9)^('DCF Model'!C19+4)-'DCF Model'!C16)*1000000/'DCF Model'!C15,0),"")</f>
        <v>3204</v>
      </c>
      <c r="E9" s="37">
        <f>IFERROR(ROUND(('DCF Model'!C45/(1+$B9)^('DCF Model'!C19+0)+'DCF Model'!D45/(1+$B9)^('DCF Model'!C19+1)+'DCF Model'!E45/(1+$B9)^('DCF Model'!C19+2)+'DCF Model'!F45/(1+$B9)^('DCF Model'!C19+3)+'DCF Model'!G45/(1+$B9)^('DCF Model'!C19+4)+'DCF Model'!G45*(1+E$6)/($B9-E$6)/(1+$B9)^('DCF Model'!C19+4)-'DCF Model'!C16)*1000000/'DCF Model'!C15,0),"")</f>
        <v>3304</v>
      </c>
      <c r="F9" s="37">
        <f>IFERROR(ROUND(('DCF Model'!C45/(1+$B9)^('DCF Model'!C19+0)+'DCF Model'!D45/(1+$B9)^('DCF Model'!C19+1)+'DCF Model'!E45/(1+$B9)^('DCF Model'!C19+2)+'DCF Model'!F45/(1+$B9)^('DCF Model'!C19+3)+'DCF Model'!G45/(1+$B9)^('DCF Model'!C19+4)+'DCF Model'!G45*(1+F$6)/($B9-F$6)/(1+$B9)^('DCF Model'!C19+4)-'DCF Model'!C16)*1000000/'DCF Model'!C15,0),"")</f>
        <v>3413</v>
      </c>
      <c r="G9" s="37">
        <f>IFERROR(ROUND(('DCF Model'!C45/(1+$B9)^('DCF Model'!C19+0)+'DCF Model'!D45/(1+$B9)^('DCF Model'!C19+1)+'DCF Model'!E45/(1+$B9)^('DCF Model'!C19+2)+'DCF Model'!F45/(1+$B9)^('DCF Model'!C19+3)+'DCF Model'!G45/(1+$B9)^('DCF Model'!C19+4)+'DCF Model'!G45*(1+G$6)/($B9-G$6)/(1+$B9)^('DCF Model'!C19+4)-'DCF Model'!C16)*1000000/'DCF Model'!C15,0),"")</f>
        <v>3531</v>
      </c>
      <c r="H9" s="37">
        <f>IFERROR(ROUND(('DCF Model'!C45/(1+$B9)^('DCF Model'!C19+0)+'DCF Model'!D45/(1+$B9)^('DCF Model'!C19+1)+'DCF Model'!E45/(1+$B9)^('DCF Model'!C19+2)+'DCF Model'!F45/(1+$B9)^('DCF Model'!C19+3)+'DCF Model'!G45/(1+$B9)^('DCF Model'!C19+4)+'DCF Model'!G45*(1+H$6)/($B9-H$6)/(1+$B9)^('DCF Model'!C19+4)-'DCF Model'!C16)*1000000/'DCF Model'!C15,0),"")</f>
        <v>3659</v>
      </c>
      <c r="I9" s="37">
        <f>IFERROR(ROUND(('DCF Model'!C45/(1+$B9)^('DCF Model'!C19+0)+'DCF Model'!D45/(1+$B9)^('DCF Model'!C19+1)+'DCF Model'!E45/(1+$B9)^('DCF Model'!C19+2)+'DCF Model'!F45/(1+$B9)^('DCF Model'!C19+3)+'DCF Model'!G45/(1+$B9)^('DCF Model'!C19+4)+'DCF Model'!G45*(1+I$6)/($B9-I$6)/(1+$B9)^('DCF Model'!C19+4)-'DCF Model'!C16)*1000000/'DCF Model'!C15,0),"")</f>
        <v>3798</v>
      </c>
    </row>
    <row r="10" spans="2:9" ht="13.5" customHeight="1" x14ac:dyDescent="0.25">
      <c r="B10" s="39">
        <f>$C$3</f>
        <v>7.7590454634914388E-2</v>
      </c>
      <c r="C10" s="37">
        <f>IFERROR(ROUND(('DCF Model'!C45/(1+$B10)^('DCF Model'!C19+0)+'DCF Model'!D45/(1+$B10)^('DCF Model'!C19+1)+'DCF Model'!E45/(1+$B10)^('DCF Model'!C19+2)+'DCF Model'!F45/(1+$B10)^('DCF Model'!C19+3)+'DCF Model'!G45/(1+$B10)^('DCF Model'!C19+4)+'DCF Model'!G45*(1+C$6)/($B10-C$6)/(1+$B10)^('DCF Model'!C19+4)-'DCF Model'!C16)*1000000/'DCF Model'!C15,0),"")</f>
        <v>2891</v>
      </c>
      <c r="D10" s="37">
        <f>IFERROR(ROUND(('DCF Model'!C45/(1+$B10)^('DCF Model'!C19+0)+'DCF Model'!D45/(1+$B10)^('DCF Model'!C19+1)+'DCF Model'!E45/(1+$B10)^('DCF Model'!C19+2)+'DCF Model'!F45/(1+$B10)^('DCF Model'!C19+3)+'DCF Model'!G45/(1+$B10)^('DCF Model'!C19+4)+'DCF Model'!G45*(1+D$6)/($B10-D$6)/(1+$B10)^('DCF Model'!C19+4)-'DCF Model'!C16)*1000000/'DCF Model'!C15,0),"")</f>
        <v>2971</v>
      </c>
      <c r="E10" s="37">
        <f>IFERROR(ROUND(('DCF Model'!C45/(1+$B10)^('DCF Model'!C19+0)+'DCF Model'!D45/(1+$B10)^('DCF Model'!C19+1)+'DCF Model'!E45/(1+$B10)^('DCF Model'!C19+2)+'DCF Model'!F45/(1+$B10)^('DCF Model'!C19+3)+'DCF Model'!G45/(1+$B10)^('DCF Model'!C19+4)+'DCF Model'!G45*(1+E$6)/($B10-E$6)/(1+$B10)^('DCF Model'!C19+4)-'DCF Model'!C16)*1000000/'DCF Model'!C15,0),"")</f>
        <v>3056</v>
      </c>
      <c r="F10" s="37">
        <f>IFERROR(ROUND(('DCF Model'!C45/(1+$B10)^('DCF Model'!C19+0)+'DCF Model'!D45/(1+$B10)^('DCF Model'!C19+1)+'DCF Model'!E45/(1+$B10)^('DCF Model'!C19+2)+'DCF Model'!F45/(1+$B10)^('DCF Model'!C19+3)+'DCF Model'!G45/(1+$B10)^('DCF Model'!C19+4)+'DCF Model'!G45*(1+F$6)/($B10-F$6)/(1+$B10)^('DCF Model'!C19+4)-'DCF Model'!C16)*1000000/'DCF Model'!C15,0),"")</f>
        <v>3148</v>
      </c>
      <c r="G10" s="37">
        <f>IFERROR(ROUND(('DCF Model'!C45/(1+$B10)^('DCF Model'!C19+0)+'DCF Model'!D45/(1+$B10)^('DCF Model'!C19+1)+'DCF Model'!E45/(1+$B10)^('DCF Model'!C19+2)+'DCF Model'!F45/(1+$B10)^('DCF Model'!C19+3)+'DCF Model'!G45/(1+$B10)^('DCF Model'!C19+4)+'DCF Model'!G45*(1+G$6)/($B10-G$6)/(1+$B10)^('DCF Model'!C19+4)-'DCF Model'!C16)*1000000/'DCF Model'!C15,0),"")</f>
        <v>3247</v>
      </c>
      <c r="H10" s="37">
        <f>IFERROR(ROUND(('DCF Model'!C45/(1+$B10)^('DCF Model'!C19+0)+'DCF Model'!D45/(1+$B10)^('DCF Model'!C19+1)+'DCF Model'!E45/(1+$B10)^('DCF Model'!C19+2)+'DCF Model'!F45/(1+$B10)^('DCF Model'!C19+3)+'DCF Model'!G45/(1+$B10)^('DCF Model'!C19+4)+'DCF Model'!G45*(1+H$6)/($B10-H$6)/(1+$B10)^('DCF Model'!C19+4)-'DCF Model'!C16)*1000000/'DCF Model'!C15,0),"")</f>
        <v>3354</v>
      </c>
      <c r="I10" s="37">
        <f>IFERROR(ROUND(('DCF Model'!C45/(1+$B10)^('DCF Model'!C19+0)+'DCF Model'!D45/(1+$B10)^('DCF Model'!C19+1)+'DCF Model'!E45/(1+$B10)^('DCF Model'!C19+2)+'DCF Model'!F45/(1+$B10)^('DCF Model'!C19+3)+'DCF Model'!G45/(1+$B10)^('DCF Model'!C19+4)+'DCF Model'!G45*(1+I$6)/($B10-I$6)/(1+$B10)^('DCF Model'!C19+4)-'DCF Model'!C16)*1000000/'DCF Model'!C15,0),"")</f>
        <v>3469</v>
      </c>
    </row>
    <row r="11" spans="2:9" ht="13.5" customHeight="1" x14ac:dyDescent="0.25">
      <c r="B11" s="39">
        <f>$C$3+0.005</f>
        <v>8.2590454634914393E-2</v>
      </c>
      <c r="C11" s="37">
        <f>IFERROR(ROUND(('DCF Model'!C45/(1+$B11)^('DCF Model'!C19+0)+'DCF Model'!D45/(1+$B11)^('DCF Model'!C19+1)+'DCF Model'!E45/(1+$B11)^('DCF Model'!C19+2)+'DCF Model'!F45/(1+$B11)^('DCF Model'!C19+3)+'DCF Model'!G45/(1+$B11)^('DCF Model'!C19+4)+'DCF Model'!G45*(1+C$6)/($B11-C$6)/(1+$B11)^('DCF Model'!C19+4)-'DCF Model'!C16)*1000000/'DCF Model'!C15,0),"")</f>
        <v>2700</v>
      </c>
      <c r="D11" s="37">
        <f>IFERROR(ROUND(('DCF Model'!C45/(1+$B11)^('DCF Model'!C19+0)+'DCF Model'!D45/(1+$B11)^('DCF Model'!C19+1)+'DCF Model'!E45/(1+$B11)^('DCF Model'!C19+2)+'DCF Model'!F45/(1+$B11)^('DCF Model'!C19+3)+'DCF Model'!G45/(1+$B11)^('DCF Model'!C19+4)+'DCF Model'!G45*(1+D$6)/($B11-D$6)/(1+$B11)^('DCF Model'!C19+4)-'DCF Model'!C16)*1000000/'DCF Model'!C15,0),"")</f>
        <v>2768</v>
      </c>
      <c r="E11" s="37">
        <f>IFERROR(ROUND(('DCF Model'!C45/(1+$B11)^('DCF Model'!C19+0)+'DCF Model'!D45/(1+$B11)^('DCF Model'!C19+1)+'DCF Model'!E45/(1+$B11)^('DCF Model'!C19+2)+'DCF Model'!F45/(1+$B11)^('DCF Model'!C19+3)+'DCF Model'!G45/(1+$B11)^('DCF Model'!C19+4)+'DCF Model'!G45*(1+E$6)/($B11-E$6)/(1+$B11)^('DCF Model'!C19+4)-'DCF Model'!C16)*1000000/'DCF Model'!C15,0),"")</f>
        <v>2842</v>
      </c>
      <c r="F11" s="37">
        <f>IFERROR(ROUND(('DCF Model'!C45/(1+$B11)^('DCF Model'!C19+0)+'DCF Model'!D45/(1+$B11)^('DCF Model'!C19+1)+'DCF Model'!E45/(1+$B11)^('DCF Model'!C19+2)+'DCF Model'!F45/(1+$B11)^('DCF Model'!C19+3)+'DCF Model'!G45/(1+$B11)^('DCF Model'!C19+4)+'DCF Model'!G45*(1+F$6)/($B11-F$6)/(1+$B11)^('DCF Model'!C19+4)-'DCF Model'!C16)*1000000/'DCF Model'!C15,0),"")</f>
        <v>2920</v>
      </c>
      <c r="G11" s="37">
        <f>IFERROR(ROUND(('DCF Model'!C45/(1+$B11)^('DCF Model'!C19+0)+'DCF Model'!D45/(1+$B11)^('DCF Model'!C19+1)+'DCF Model'!E45/(1+$B11)^('DCF Model'!C19+2)+'DCF Model'!F45/(1+$B11)^('DCF Model'!C19+3)+'DCF Model'!G45/(1+$B11)^('DCF Model'!C19+4)+'DCF Model'!G45*(1+G$6)/($B11-G$6)/(1+$B11)^('DCF Model'!C19+4)-'DCF Model'!C16)*1000000/'DCF Model'!C15,0),"")</f>
        <v>3004</v>
      </c>
      <c r="H11" s="37">
        <f>IFERROR(ROUND(('DCF Model'!C45/(1+$B11)^('DCF Model'!C19+0)+'DCF Model'!D45/(1+$B11)^('DCF Model'!C19+1)+'DCF Model'!E45/(1+$B11)^('DCF Model'!C19+2)+'DCF Model'!F45/(1+$B11)^('DCF Model'!C19+3)+'DCF Model'!G45/(1+$B11)^('DCF Model'!C19+4)+'DCF Model'!G45*(1+H$6)/($B11-H$6)/(1+$B11)^('DCF Model'!C19+4)-'DCF Model'!C16)*1000000/'DCF Model'!C15,0),"")</f>
        <v>3094</v>
      </c>
      <c r="I11" s="37">
        <f>IFERROR(ROUND(('DCF Model'!C45/(1+$B11)^('DCF Model'!C19+0)+'DCF Model'!D45/(1+$B11)^('DCF Model'!C19+1)+'DCF Model'!E45/(1+$B11)^('DCF Model'!C19+2)+'DCF Model'!F45/(1+$B11)^('DCF Model'!C19+3)+'DCF Model'!G45/(1+$B11)^('DCF Model'!C19+4)+'DCF Model'!G45*(1+I$6)/($B11-I$6)/(1+$B11)^('DCF Model'!C19+4)-'DCF Model'!C16)*1000000/'DCF Model'!C15,0),"")</f>
        <v>3191</v>
      </c>
    </row>
    <row r="12" spans="2:9" ht="13.5" customHeight="1" x14ac:dyDescent="0.25">
      <c r="B12" s="39">
        <f>$C$3+0.01</f>
        <v>8.7590454634914383E-2</v>
      </c>
      <c r="C12" s="37">
        <f>IFERROR(ROUND(('DCF Model'!C45/(1+$B12)^('DCF Model'!C19+0)+'DCF Model'!D45/(1+$B12)^('DCF Model'!C19+1)+'DCF Model'!E45/(1+$B12)^('DCF Model'!C19+2)+'DCF Model'!F45/(1+$B12)^('DCF Model'!C19+3)+'DCF Model'!G45/(1+$B12)^('DCF Model'!C19+4)+'DCF Model'!G45*(1+C$6)/($B12-C$6)/(1+$B12)^('DCF Model'!C19+4)-'DCF Model'!C16)*1000000/'DCF Model'!C15,0),"")</f>
        <v>2531</v>
      </c>
      <c r="D12" s="37">
        <f>IFERROR(ROUND(('DCF Model'!C45/(1+$B12)^('DCF Model'!C19+0)+'DCF Model'!D45/(1+$B12)^('DCF Model'!C19+1)+'DCF Model'!E45/(1+$B12)^('DCF Model'!C19+2)+'DCF Model'!F45/(1+$B12)^('DCF Model'!C19+3)+'DCF Model'!G45/(1+$B12)^('DCF Model'!C19+4)+'DCF Model'!G45*(1+D$6)/($B12-D$6)/(1+$B12)^('DCF Model'!C19+4)-'DCF Model'!C16)*1000000/'DCF Model'!C15,0),"")</f>
        <v>2591</v>
      </c>
      <c r="E12" s="37">
        <f>IFERROR(ROUND(('DCF Model'!C45/(1+$B12)^('DCF Model'!C19+0)+'DCF Model'!D45/(1+$B12)^('DCF Model'!C19+1)+'DCF Model'!E45/(1+$B12)^('DCF Model'!C19+2)+'DCF Model'!F45/(1+$B12)^('DCF Model'!C19+3)+'DCF Model'!G45/(1+$B12)^('DCF Model'!C19+4)+'DCF Model'!G45*(1+E$6)/($B12-E$6)/(1+$B12)^('DCF Model'!C19+4)-'DCF Model'!C16)*1000000/'DCF Model'!C15,0),"")</f>
        <v>2654</v>
      </c>
      <c r="F12" s="37">
        <f>IFERROR(ROUND(('DCF Model'!C45/(1+$B12)^('DCF Model'!C19+0)+'DCF Model'!D45/(1+$B12)^('DCF Model'!C19+1)+'DCF Model'!E45/(1+$B12)^('DCF Model'!C19+2)+'DCF Model'!F45/(1+$B12)^('DCF Model'!C19+3)+'DCF Model'!G45/(1+$B12)^('DCF Model'!C19+4)+'DCF Model'!G45*(1+F$6)/($B12-F$6)/(1+$B12)^('DCF Model'!C19+4)-'DCF Model'!C16)*1000000/'DCF Model'!C15,0),"")</f>
        <v>2721</v>
      </c>
      <c r="G12" s="37">
        <f>IFERROR(ROUND(('DCF Model'!C45/(1+$B12)^('DCF Model'!C19+0)+'DCF Model'!D45/(1+$B12)^('DCF Model'!C19+1)+'DCF Model'!E45/(1+$B12)^('DCF Model'!C19+2)+'DCF Model'!F45/(1+$B12)^('DCF Model'!C19+3)+'DCF Model'!G45/(1+$B12)^('DCF Model'!C19+4)+'DCF Model'!G45*(1+G$6)/($B12-G$6)/(1+$B12)^('DCF Model'!C19+4)-'DCF Model'!C16)*1000000/'DCF Model'!C15,0),"")</f>
        <v>2793</v>
      </c>
      <c r="H12" s="37">
        <f>IFERROR(ROUND(('DCF Model'!C45/(1+$B12)^('DCF Model'!C19+0)+'DCF Model'!D45/(1+$B12)^('DCF Model'!C19+1)+'DCF Model'!E45/(1+$B12)^('DCF Model'!C19+2)+'DCF Model'!F45/(1+$B12)^('DCF Model'!C19+3)+'DCF Model'!G45/(1+$B12)^('DCF Model'!C19+4)+'DCF Model'!G45*(1+H$6)/($B12-H$6)/(1+$B12)^('DCF Model'!C19+4)-'DCF Model'!C16)*1000000/'DCF Model'!C15,0),"")</f>
        <v>2870</v>
      </c>
      <c r="I12" s="37">
        <f>IFERROR(ROUND(('DCF Model'!C45/(1+$B12)^('DCF Model'!C19+0)+'DCF Model'!D45/(1+$B12)^('DCF Model'!C19+1)+'DCF Model'!E45/(1+$B12)^('DCF Model'!C19+2)+'DCF Model'!F45/(1+$B12)^('DCF Model'!C19+3)+'DCF Model'!G45/(1+$B12)^('DCF Model'!C19+4)+'DCF Model'!G45*(1+I$6)/($B12-I$6)/(1+$B12)^('DCF Model'!C19+4)-'DCF Model'!C16)*1000000/'DCF Model'!C15,0),"")</f>
        <v>2953</v>
      </c>
    </row>
    <row r="13" spans="2:9" ht="13.5" customHeight="1" x14ac:dyDescent="0.25">
      <c r="B13" s="39">
        <f>$C$3+0.015</f>
        <v>9.2590454634914388E-2</v>
      </c>
      <c r="C13" s="37">
        <f>IFERROR(ROUND(('DCF Model'!C45/(1+$B13)^('DCF Model'!C19+0)+'DCF Model'!D45/(1+$B13)^('DCF Model'!C19+1)+'DCF Model'!E45/(1+$B13)^('DCF Model'!C19+2)+'DCF Model'!F45/(1+$B13)^('DCF Model'!C19+3)+'DCF Model'!G45/(1+$B13)^('DCF Model'!C19+4)+'DCF Model'!G45*(1+C$6)/($B13-C$6)/(1+$B13)^('DCF Model'!C19+4)-'DCF Model'!C16)*1000000/'DCF Model'!C15,0),"")</f>
        <v>2381</v>
      </c>
      <c r="D13" s="37">
        <f>IFERROR(ROUND(('DCF Model'!C45/(1+$B13)^('DCF Model'!C19+0)+'DCF Model'!D45/(1+$B13)^('DCF Model'!C19+1)+'DCF Model'!E45/(1+$B13)^('DCF Model'!C19+2)+'DCF Model'!F45/(1+$B13)^('DCF Model'!C19+3)+'DCF Model'!G45/(1+$B13)^('DCF Model'!C19+4)+'DCF Model'!G45*(1+D$6)/($B13-D$6)/(1+$B13)^('DCF Model'!C19+4)-'DCF Model'!C16)*1000000/'DCF Model'!C15,0),"")</f>
        <v>2433</v>
      </c>
      <c r="E13" s="37">
        <f>IFERROR(ROUND(('DCF Model'!C45/(1+$B13)^('DCF Model'!C19+0)+'DCF Model'!D45/(1+$B13)^('DCF Model'!C19+1)+'DCF Model'!E45/(1+$B13)^('DCF Model'!C19+2)+'DCF Model'!F45/(1+$B13)^('DCF Model'!C19+3)+'DCF Model'!G45/(1+$B13)^('DCF Model'!C19+4)+'DCF Model'!G45*(1+E$6)/($B13-E$6)/(1+$B13)^('DCF Model'!C19+4)-'DCF Model'!C16)*1000000/'DCF Model'!C15,0),"")</f>
        <v>2488</v>
      </c>
      <c r="F13" s="37">
        <f>IFERROR(ROUND(('DCF Model'!C45/(1+$B13)^('DCF Model'!C19+0)+'DCF Model'!D45/(1+$B13)^('DCF Model'!C19+1)+'DCF Model'!E45/(1+$B13)^('DCF Model'!C19+2)+'DCF Model'!F45/(1+$B13)^('DCF Model'!C19+3)+'DCF Model'!G45/(1+$B13)^('DCF Model'!C19+4)+'DCF Model'!G45*(1+F$6)/($B13-F$6)/(1+$B13)^('DCF Model'!C19+4)-'DCF Model'!C16)*1000000/'DCF Model'!C15,0),"")</f>
        <v>2547</v>
      </c>
      <c r="G13" s="37">
        <f>IFERROR(ROUND(('DCF Model'!C45/(1+$B13)^('DCF Model'!C19+0)+'DCF Model'!D45/(1+$B13)^('DCF Model'!C19+1)+'DCF Model'!E45/(1+$B13)^('DCF Model'!C19+2)+'DCF Model'!F45/(1+$B13)^('DCF Model'!C19+3)+'DCF Model'!G45/(1+$B13)^('DCF Model'!C19+4)+'DCF Model'!G45*(1+G$6)/($B13-G$6)/(1+$B13)^('DCF Model'!C19+4)-'DCF Model'!C16)*1000000/'DCF Model'!C15,0),"")</f>
        <v>2609</v>
      </c>
      <c r="H13" s="37">
        <f>IFERROR(ROUND(('DCF Model'!C45/(1+$B13)^('DCF Model'!C19+0)+'DCF Model'!D45/(1+$B13)^('DCF Model'!C19+1)+'DCF Model'!E45/(1+$B13)^('DCF Model'!C19+2)+'DCF Model'!F45/(1+$B13)^('DCF Model'!C19+3)+'DCF Model'!G45/(1+$B13)^('DCF Model'!C19+4)+'DCF Model'!G45*(1+H$6)/($B13-H$6)/(1+$B13)^('DCF Model'!C19+4)-'DCF Model'!C16)*1000000/'DCF Model'!C15,0),"")</f>
        <v>2675</v>
      </c>
      <c r="I13" s="37">
        <f>IFERROR(ROUND(('DCF Model'!C45/(1+$B13)^('DCF Model'!C19+0)+'DCF Model'!D45/(1+$B13)^('DCF Model'!C19+1)+'DCF Model'!E45/(1+$B13)^('DCF Model'!C19+2)+'DCF Model'!F45/(1+$B13)^('DCF Model'!C19+3)+'DCF Model'!G45/(1+$B13)^('DCF Model'!C19+4)+'DCF Model'!G45*(1+I$6)/($B13-I$6)/(1+$B13)^('DCF Model'!C19+4)-'DCF Model'!C16)*1000000/'DCF Model'!C15,0),"")</f>
        <v>2746</v>
      </c>
    </row>
    <row r="16" spans="2:9" ht="14" customHeight="1" x14ac:dyDescent="0.3">
      <c r="B16" s="3" t="s">
        <v>239</v>
      </c>
    </row>
    <row r="17" spans="2:9" ht="14" customHeight="1" x14ac:dyDescent="0.3">
      <c r="B17" s="40" t="s">
        <v>240</v>
      </c>
      <c r="C17" s="42">
        <f>$I$3-3</f>
        <v>7.9</v>
      </c>
      <c r="D17" s="42">
        <f>$I$3-2</f>
        <v>8.9</v>
      </c>
      <c r="E17" s="42">
        <f>$I$3-1</f>
        <v>9.9</v>
      </c>
      <c r="F17" s="42">
        <f>$I$3</f>
        <v>10.9</v>
      </c>
      <c r="G17" s="42">
        <f>$I$3+1</f>
        <v>11.9</v>
      </c>
      <c r="H17" s="42">
        <f>$I$3+2</f>
        <v>12.9</v>
      </c>
      <c r="I17" s="42">
        <f>$I$3+3</f>
        <v>13.9</v>
      </c>
    </row>
    <row r="18" spans="2:9" ht="13.5" customHeight="1" x14ac:dyDescent="0.25">
      <c r="B18" s="39">
        <f>$C$3-0.015</f>
        <v>6.2590454634914389E-2</v>
      </c>
      <c r="C18" s="37">
        <f>IFERROR(ROUND(('DCF Model'!C45/(1+$B18)^('DCF Model'!C19+0)+'DCF Model'!D45/(1+$B18)^('DCF Model'!C19+1)+'DCF Model'!E45/(1+$B18)^('DCF Model'!C19+2)+'DCF Model'!F45/(1+$B18)^('DCF Model'!C19+3)+'DCF Model'!G45/(1+$B18)^('DCF Model'!C19+4)+('DCF Model'!G39+'DCF Model'!G42)*C$17/(1+$B18)^('DCF Model'!C19+4)-'DCF Model'!C16)*1000000/'DCF Model'!C15,0),"")</f>
        <v>4296</v>
      </c>
      <c r="D18" s="37">
        <f>IFERROR(ROUND(('DCF Model'!C45/(1+$B18)^('DCF Model'!C19+0)+'DCF Model'!D45/(1+$B18)^('DCF Model'!C19+1)+'DCF Model'!E45/(1+$B18)^('DCF Model'!C19+2)+'DCF Model'!F45/(1+$B18)^('DCF Model'!C19+3)+'DCF Model'!G45/(1+$B18)^('DCF Model'!C19+4)+('DCF Model'!G39+'DCF Model'!G42)*D$17/(1+$B18)^('DCF Model'!C19+4)-'DCF Model'!C16)*1000000/'DCF Model'!C15,0),"")</f>
        <v>4742</v>
      </c>
      <c r="E18" s="37">
        <f>IFERROR(ROUND(('DCF Model'!C45/(1+$B18)^('DCF Model'!C19+0)+'DCF Model'!D45/(1+$B18)^('DCF Model'!C19+1)+'DCF Model'!E45/(1+$B18)^('DCF Model'!C19+2)+'DCF Model'!F45/(1+$B18)^('DCF Model'!C19+3)+'DCF Model'!G45/(1+$B18)^('DCF Model'!C19+4)+('DCF Model'!G39+'DCF Model'!G42)*E$17/(1+$B18)^('DCF Model'!C19+4)-'DCF Model'!C16)*1000000/'DCF Model'!C15,0),"")</f>
        <v>5189</v>
      </c>
      <c r="F18" s="37">
        <f>IFERROR(ROUND(('DCF Model'!C45/(1+$B18)^('DCF Model'!C19+0)+'DCF Model'!D45/(1+$B18)^('DCF Model'!C19+1)+'DCF Model'!E45/(1+$B18)^('DCF Model'!C19+2)+'DCF Model'!F45/(1+$B18)^('DCF Model'!C19+3)+'DCF Model'!G45/(1+$B18)^('DCF Model'!C19+4)+('DCF Model'!G39+'DCF Model'!G42)*F$17/(1+$B18)^('DCF Model'!C19+4)-'DCF Model'!C16)*1000000/'DCF Model'!C15,0),"")</f>
        <v>5635</v>
      </c>
      <c r="G18" s="37">
        <f>IFERROR(ROUND(('DCF Model'!C45/(1+$B18)^('DCF Model'!C19+0)+'DCF Model'!D45/(1+$B18)^('DCF Model'!C19+1)+'DCF Model'!E45/(1+$B18)^('DCF Model'!C19+2)+'DCF Model'!F45/(1+$B18)^('DCF Model'!C19+3)+'DCF Model'!G45/(1+$B18)^('DCF Model'!C19+4)+('DCF Model'!G39+'DCF Model'!G42)*G$17/(1+$B18)^('DCF Model'!C19+4)-'DCF Model'!C16)*1000000/'DCF Model'!C15,0),"")</f>
        <v>6081</v>
      </c>
      <c r="H18" s="37">
        <f>IFERROR(ROUND(('DCF Model'!C45/(1+$B18)^('DCF Model'!C19+0)+'DCF Model'!D45/(1+$B18)^('DCF Model'!C19+1)+'DCF Model'!E45/(1+$B18)^('DCF Model'!C19+2)+'DCF Model'!F45/(1+$B18)^('DCF Model'!C19+3)+'DCF Model'!G45/(1+$B18)^('DCF Model'!C19+4)+('DCF Model'!G39+'DCF Model'!G42)*H$17/(1+$B18)^('DCF Model'!C19+4)-'DCF Model'!C16)*1000000/'DCF Model'!C15,0),"")</f>
        <v>6528</v>
      </c>
      <c r="I18" s="37">
        <f>IFERROR(ROUND(('DCF Model'!C45/(1+$B18)^('DCF Model'!C19+0)+'DCF Model'!D45/(1+$B18)^('DCF Model'!C19+1)+'DCF Model'!E45/(1+$B18)^('DCF Model'!C19+2)+'DCF Model'!F45/(1+$B18)^('DCF Model'!C19+3)+'DCF Model'!G45/(1+$B18)^('DCF Model'!C19+4)+('DCF Model'!G39+'DCF Model'!G42)*I$17/(1+$B18)^('DCF Model'!C19+4)-'DCF Model'!C16)*1000000/'DCF Model'!C15,0),"")</f>
        <v>6974</v>
      </c>
    </row>
    <row r="19" spans="2:9" ht="13.5" customHeight="1" x14ac:dyDescent="0.25">
      <c r="B19" s="39">
        <f>$C$3-0.01</f>
        <v>6.7590454634914393E-2</v>
      </c>
      <c r="C19" s="37">
        <f>IFERROR(ROUND(('DCF Model'!C45/(1+$B19)^('DCF Model'!C19+0)+'DCF Model'!D45/(1+$B19)^('DCF Model'!C19+1)+'DCF Model'!E45/(1+$B19)^('DCF Model'!C19+2)+'DCF Model'!F45/(1+$B19)^('DCF Model'!C19+3)+'DCF Model'!G45/(1+$B19)^('DCF Model'!C19+4)+('DCF Model'!G39+'DCF Model'!G42)*C$17/(1+$B19)^('DCF Model'!C19+4)-'DCF Model'!C16)*1000000/'DCF Model'!C15,0),"")</f>
        <v>4203</v>
      </c>
      <c r="D19" s="37">
        <f>IFERROR(ROUND(('DCF Model'!C45/(1+$B19)^('DCF Model'!C19+0)+'DCF Model'!D45/(1+$B19)^('DCF Model'!C19+1)+'DCF Model'!E45/(1+$B19)^('DCF Model'!C19+2)+'DCF Model'!F45/(1+$B19)^('DCF Model'!C19+3)+'DCF Model'!G45/(1+$B19)^('DCF Model'!C19+4)+('DCF Model'!G39+'DCF Model'!G42)*D$17/(1+$B19)^('DCF Model'!C19+4)-'DCF Model'!C16)*1000000/'DCF Model'!C15,0),"")</f>
        <v>4639</v>
      </c>
      <c r="E19" s="37">
        <f>IFERROR(ROUND(('DCF Model'!C45/(1+$B19)^('DCF Model'!C19+0)+'DCF Model'!D45/(1+$B19)^('DCF Model'!C19+1)+'DCF Model'!E45/(1+$B19)^('DCF Model'!C19+2)+'DCF Model'!F45/(1+$B19)^('DCF Model'!C19+3)+'DCF Model'!G45/(1+$B19)^('DCF Model'!C19+4)+('DCF Model'!G39+'DCF Model'!G42)*E$17/(1+$B19)^('DCF Model'!C19+4)-'DCF Model'!C16)*1000000/'DCF Model'!C15,0),"")</f>
        <v>5075</v>
      </c>
      <c r="F19" s="37">
        <f>IFERROR(ROUND(('DCF Model'!C45/(1+$B19)^('DCF Model'!C19+0)+'DCF Model'!D45/(1+$B19)^('DCF Model'!C19+1)+'DCF Model'!E45/(1+$B19)^('DCF Model'!C19+2)+'DCF Model'!F45/(1+$B19)^('DCF Model'!C19+3)+'DCF Model'!G45/(1+$B19)^('DCF Model'!C19+4)+('DCF Model'!G39+'DCF Model'!G42)*F$17/(1+$B19)^('DCF Model'!C19+4)-'DCF Model'!C16)*1000000/'DCF Model'!C15,0),"")</f>
        <v>5511</v>
      </c>
      <c r="G19" s="37">
        <f>IFERROR(ROUND(('DCF Model'!C45/(1+$B19)^('DCF Model'!C19+0)+'DCF Model'!D45/(1+$B19)^('DCF Model'!C19+1)+'DCF Model'!E45/(1+$B19)^('DCF Model'!C19+2)+'DCF Model'!F45/(1+$B19)^('DCF Model'!C19+3)+'DCF Model'!G45/(1+$B19)^('DCF Model'!C19+4)+('DCF Model'!G39+'DCF Model'!G42)*G$17/(1+$B19)^('DCF Model'!C19+4)-'DCF Model'!C16)*1000000/'DCF Model'!C15,0),"")</f>
        <v>5947</v>
      </c>
      <c r="H19" s="37">
        <f>IFERROR(ROUND(('DCF Model'!C45/(1+$B19)^('DCF Model'!C19+0)+'DCF Model'!D45/(1+$B19)^('DCF Model'!C19+1)+'DCF Model'!E45/(1+$B19)^('DCF Model'!C19+2)+'DCF Model'!F45/(1+$B19)^('DCF Model'!C19+3)+'DCF Model'!G45/(1+$B19)^('DCF Model'!C19+4)+('DCF Model'!G39+'DCF Model'!G42)*H$17/(1+$B19)^('DCF Model'!C19+4)-'DCF Model'!C16)*1000000/'DCF Model'!C15,0),"")</f>
        <v>6383</v>
      </c>
      <c r="I19" s="37">
        <f>IFERROR(ROUND(('DCF Model'!C45/(1+$B19)^('DCF Model'!C19+0)+'DCF Model'!D45/(1+$B19)^('DCF Model'!C19+1)+'DCF Model'!E45/(1+$B19)^('DCF Model'!C19+2)+'DCF Model'!F45/(1+$B19)^('DCF Model'!C19+3)+'DCF Model'!G45/(1+$B19)^('DCF Model'!C19+4)+('DCF Model'!G39+'DCF Model'!G42)*I$17/(1+$B19)^('DCF Model'!C19+4)-'DCF Model'!C16)*1000000/'DCF Model'!C15,0),"")</f>
        <v>6819</v>
      </c>
    </row>
    <row r="20" spans="2:9" ht="13.5" customHeight="1" x14ac:dyDescent="0.25">
      <c r="B20" s="39">
        <f>$C$3-0.005</f>
        <v>7.2590454634914384E-2</v>
      </c>
      <c r="C20" s="37">
        <f>IFERROR(ROUND(('DCF Model'!C45/(1+$B20)^('DCF Model'!C19+0)+'DCF Model'!D45/(1+$B20)^('DCF Model'!C19+1)+'DCF Model'!E45/(1+$B20)^('DCF Model'!C19+2)+'DCF Model'!F45/(1+$B20)^('DCF Model'!C19+3)+'DCF Model'!G45/(1+$B20)^('DCF Model'!C19+4)+('DCF Model'!G39+'DCF Model'!G42)*C$17/(1+$B20)^('DCF Model'!C19+4)-'DCF Model'!C16)*1000000/'DCF Model'!C15,0),"")</f>
        <v>4112</v>
      </c>
      <c r="D20" s="37">
        <f>IFERROR(ROUND(('DCF Model'!C45/(1+$B20)^('DCF Model'!C19+0)+'DCF Model'!D45/(1+$B20)^('DCF Model'!C19+1)+'DCF Model'!E45/(1+$B20)^('DCF Model'!C19+2)+'DCF Model'!F45/(1+$B20)^('DCF Model'!C19+3)+'DCF Model'!G45/(1+$B20)^('DCF Model'!C19+4)+('DCF Model'!G39+'DCF Model'!G42)*D$17/(1+$B20)^('DCF Model'!C19+4)-'DCF Model'!C16)*1000000/'DCF Model'!C15,0),"")</f>
        <v>4538</v>
      </c>
      <c r="E20" s="37">
        <f>IFERROR(ROUND(('DCF Model'!C45/(1+$B20)^('DCF Model'!C19+0)+'DCF Model'!D45/(1+$B20)^('DCF Model'!C19+1)+'DCF Model'!E45/(1+$B20)^('DCF Model'!C19+2)+'DCF Model'!F45/(1+$B20)^('DCF Model'!C19+3)+'DCF Model'!G45/(1+$B20)^('DCF Model'!C19+4)+('DCF Model'!G39+'DCF Model'!G42)*E$17/(1+$B20)^('DCF Model'!C19+4)-'DCF Model'!C16)*1000000/'DCF Model'!C15,0),"")</f>
        <v>4964</v>
      </c>
      <c r="F20" s="37">
        <f>IFERROR(ROUND(('DCF Model'!C45/(1+$B20)^('DCF Model'!C19+0)+'DCF Model'!D45/(1+$B20)^('DCF Model'!C19+1)+'DCF Model'!E45/(1+$B20)^('DCF Model'!C19+2)+'DCF Model'!F45/(1+$B20)^('DCF Model'!C19+3)+'DCF Model'!G45/(1+$B20)^('DCF Model'!C19+4)+('DCF Model'!G39+'DCF Model'!G42)*F$17/(1+$B20)^('DCF Model'!C19+4)-'DCF Model'!C16)*1000000/'DCF Model'!C15,0),"")</f>
        <v>5390</v>
      </c>
      <c r="G20" s="37">
        <f>IFERROR(ROUND(('DCF Model'!C45/(1+$B20)^('DCF Model'!C19+0)+'DCF Model'!D45/(1+$B20)^('DCF Model'!C19+1)+'DCF Model'!E45/(1+$B20)^('DCF Model'!C19+2)+'DCF Model'!F45/(1+$B20)^('DCF Model'!C19+3)+'DCF Model'!G45/(1+$B20)^('DCF Model'!C19+4)+('DCF Model'!G39+'DCF Model'!G42)*G$17/(1+$B20)^('DCF Model'!C19+4)-'DCF Model'!C16)*1000000/'DCF Model'!C15,0),"")</f>
        <v>5816</v>
      </c>
      <c r="H20" s="37">
        <f>IFERROR(ROUND(('DCF Model'!C45/(1+$B20)^('DCF Model'!C19+0)+'DCF Model'!D45/(1+$B20)^('DCF Model'!C19+1)+'DCF Model'!E45/(1+$B20)^('DCF Model'!C19+2)+'DCF Model'!F45/(1+$B20)^('DCF Model'!C19+3)+'DCF Model'!G45/(1+$B20)^('DCF Model'!C19+4)+('DCF Model'!G39+'DCF Model'!G42)*H$17/(1+$B20)^('DCF Model'!C19+4)-'DCF Model'!C16)*1000000/'DCF Model'!C15,0),"")</f>
        <v>6242</v>
      </c>
      <c r="I20" s="37">
        <f>IFERROR(ROUND(('DCF Model'!C45/(1+$B20)^('DCF Model'!C19+0)+'DCF Model'!D45/(1+$B20)^('DCF Model'!C19+1)+'DCF Model'!E45/(1+$B20)^('DCF Model'!C19+2)+'DCF Model'!F45/(1+$B20)^('DCF Model'!C19+3)+'DCF Model'!G45/(1+$B20)^('DCF Model'!C19+4)+('DCF Model'!G39+'DCF Model'!G42)*I$17/(1+$B20)^('DCF Model'!C19+4)-'DCF Model'!C16)*1000000/'DCF Model'!C15,0),"")</f>
        <v>6668</v>
      </c>
    </row>
    <row r="21" spans="2:9" ht="13.5" customHeight="1" x14ac:dyDescent="0.25">
      <c r="B21" s="39">
        <f>$C$3</f>
        <v>7.7590454634914388E-2</v>
      </c>
      <c r="C21" s="37">
        <f>IFERROR(ROUND(('DCF Model'!C45/(1+$B21)^('DCF Model'!C19+0)+'DCF Model'!D45/(1+$B21)^('DCF Model'!C19+1)+'DCF Model'!E45/(1+$B21)^('DCF Model'!C19+2)+'DCF Model'!F45/(1+$B21)^('DCF Model'!C19+3)+'DCF Model'!G45/(1+$B21)^('DCF Model'!C19+4)+('DCF Model'!G39+'DCF Model'!G42)*C$17/(1+$B21)^('DCF Model'!C19+4)-'DCF Model'!C16)*1000000/'DCF Model'!C15,0),"")</f>
        <v>4024</v>
      </c>
      <c r="D21" s="37">
        <f>IFERROR(ROUND(('DCF Model'!C45/(1+$B21)^('DCF Model'!C19+0)+'DCF Model'!D45/(1+$B21)^('DCF Model'!C19+1)+'DCF Model'!E45/(1+$B21)^('DCF Model'!C19+2)+'DCF Model'!F45/(1+$B21)^('DCF Model'!C19+3)+'DCF Model'!G45/(1+$B21)^('DCF Model'!C19+4)+('DCF Model'!G39+'DCF Model'!G42)*D$17/(1+$B21)^('DCF Model'!C19+4)-'DCF Model'!C16)*1000000/'DCF Model'!C15,0),"")</f>
        <v>4440</v>
      </c>
      <c r="E21" s="37">
        <f>IFERROR(ROUND(('DCF Model'!C45/(1+$B21)^('DCF Model'!C19+0)+'DCF Model'!D45/(1+$B21)^('DCF Model'!C19+1)+'DCF Model'!E45/(1+$B21)^('DCF Model'!C19+2)+'DCF Model'!F45/(1+$B21)^('DCF Model'!C19+3)+'DCF Model'!G45/(1+$B21)^('DCF Model'!C19+4)+('DCF Model'!G39+'DCF Model'!G42)*E$17/(1+$B21)^('DCF Model'!C19+4)-'DCF Model'!C16)*1000000/'DCF Model'!C15,0),"")</f>
        <v>4856</v>
      </c>
      <c r="F21" s="37">
        <f>IFERROR(ROUND(('DCF Model'!C45/(1+$B21)^('DCF Model'!C19+0)+'DCF Model'!D45/(1+$B21)^('DCF Model'!C19+1)+'DCF Model'!E45/(1+$B21)^('DCF Model'!C19+2)+'DCF Model'!F45/(1+$B21)^('DCF Model'!C19+3)+'DCF Model'!G45/(1+$B21)^('DCF Model'!C19+4)+('DCF Model'!G39+'DCF Model'!G42)*F$17/(1+$B21)^('DCF Model'!C19+4)-'DCF Model'!C16)*1000000/'DCF Model'!C15,0),"")</f>
        <v>5272</v>
      </c>
      <c r="G21" s="37">
        <f>IFERROR(ROUND(('DCF Model'!C45/(1+$B21)^('DCF Model'!C19+0)+'DCF Model'!D45/(1+$B21)^('DCF Model'!C19+1)+'DCF Model'!E45/(1+$B21)^('DCF Model'!C19+2)+'DCF Model'!F45/(1+$B21)^('DCF Model'!C19+3)+'DCF Model'!G45/(1+$B21)^('DCF Model'!C19+4)+('DCF Model'!G39+'DCF Model'!G42)*G$17/(1+$B21)^('DCF Model'!C19+4)-'DCF Model'!C16)*1000000/'DCF Model'!C15,0),"")</f>
        <v>5688</v>
      </c>
      <c r="H21" s="37">
        <f>IFERROR(ROUND(('DCF Model'!C45/(1+$B21)^('DCF Model'!C19+0)+'DCF Model'!D45/(1+$B21)^('DCF Model'!C19+1)+'DCF Model'!E45/(1+$B21)^('DCF Model'!C19+2)+'DCF Model'!F45/(1+$B21)^('DCF Model'!C19+3)+'DCF Model'!G45/(1+$B21)^('DCF Model'!C19+4)+('DCF Model'!G39+'DCF Model'!G42)*H$17/(1+$B21)^('DCF Model'!C19+4)-'DCF Model'!C16)*1000000/'DCF Model'!C15,0),"")</f>
        <v>6105</v>
      </c>
      <c r="I21" s="37">
        <f>IFERROR(ROUND(('DCF Model'!C45/(1+$B21)^('DCF Model'!C19+0)+'DCF Model'!D45/(1+$B21)^('DCF Model'!C19+1)+'DCF Model'!E45/(1+$B21)^('DCF Model'!C19+2)+'DCF Model'!F45/(1+$B21)^('DCF Model'!C19+3)+'DCF Model'!G45/(1+$B21)^('DCF Model'!C19+4)+('DCF Model'!G39+'DCF Model'!G42)*I$17/(1+$B21)^('DCF Model'!C19+4)-'DCF Model'!C16)*1000000/'DCF Model'!C15,0),"")</f>
        <v>6521</v>
      </c>
    </row>
    <row r="22" spans="2:9" ht="13.5" customHeight="1" x14ac:dyDescent="0.25">
      <c r="B22" s="39">
        <f>$C$3+0.005</f>
        <v>8.2590454634914393E-2</v>
      </c>
      <c r="C22" s="37">
        <f>IFERROR(ROUND(('DCF Model'!C45/(1+$B22)^('DCF Model'!C19+0)+'DCF Model'!D45/(1+$B22)^('DCF Model'!C19+1)+'DCF Model'!E45/(1+$B22)^('DCF Model'!C19+2)+'DCF Model'!F45/(1+$B22)^('DCF Model'!C19+3)+'DCF Model'!G45/(1+$B22)^('DCF Model'!C19+4)+('DCF Model'!G39+'DCF Model'!G42)*C$17/(1+$B22)^('DCF Model'!C19+4)-'DCF Model'!C16)*1000000/'DCF Model'!C15,0),"")</f>
        <v>3938</v>
      </c>
      <c r="D22" s="37">
        <f>IFERROR(ROUND(('DCF Model'!C45/(1+$B22)^('DCF Model'!C19+0)+'DCF Model'!D45/(1+$B22)^('DCF Model'!C19+1)+'DCF Model'!E45/(1+$B22)^('DCF Model'!C19+2)+'DCF Model'!F45/(1+$B22)^('DCF Model'!C19+3)+'DCF Model'!G45/(1+$B22)^('DCF Model'!C19+4)+('DCF Model'!G39+'DCF Model'!G42)*D$17/(1+$B22)^('DCF Model'!C19+4)-'DCF Model'!C16)*1000000/'DCF Model'!C15,0),"")</f>
        <v>4345</v>
      </c>
      <c r="E22" s="37">
        <f>IFERROR(ROUND(('DCF Model'!C45/(1+$B22)^('DCF Model'!C19+0)+'DCF Model'!D45/(1+$B22)^('DCF Model'!C19+1)+'DCF Model'!E45/(1+$B22)^('DCF Model'!C19+2)+'DCF Model'!F45/(1+$B22)^('DCF Model'!C19+3)+'DCF Model'!G45/(1+$B22)^('DCF Model'!C19+4)+('DCF Model'!G39+'DCF Model'!G42)*E$17/(1+$B22)^('DCF Model'!C19+4)-'DCF Model'!C16)*1000000/'DCF Model'!C15,0),"")</f>
        <v>4751</v>
      </c>
      <c r="F22" s="37">
        <f>IFERROR(ROUND(('DCF Model'!C45/(1+$B22)^('DCF Model'!C19+0)+'DCF Model'!D45/(1+$B22)^('DCF Model'!C19+1)+'DCF Model'!E45/(1+$B22)^('DCF Model'!C19+2)+'DCF Model'!F45/(1+$B22)^('DCF Model'!C19+3)+'DCF Model'!G45/(1+$B22)^('DCF Model'!C19+4)+('DCF Model'!G39+'DCF Model'!G42)*F$17/(1+$B22)^('DCF Model'!C19+4)-'DCF Model'!C16)*1000000/'DCF Model'!C15,0),"")</f>
        <v>5158</v>
      </c>
      <c r="G22" s="37">
        <f>IFERROR(ROUND(('DCF Model'!C45/(1+$B22)^('DCF Model'!C19+0)+'DCF Model'!D45/(1+$B22)^('DCF Model'!C19+1)+'DCF Model'!E45/(1+$B22)^('DCF Model'!C19+2)+'DCF Model'!F45/(1+$B22)^('DCF Model'!C19+3)+'DCF Model'!G45/(1+$B22)^('DCF Model'!C19+4)+('DCF Model'!G39+'DCF Model'!G42)*G$17/(1+$B22)^('DCF Model'!C19+4)-'DCF Model'!C16)*1000000/'DCF Model'!C15,0),"")</f>
        <v>5564</v>
      </c>
      <c r="H22" s="37">
        <f>IFERROR(ROUND(('DCF Model'!C45/(1+$B22)^('DCF Model'!C19+0)+'DCF Model'!D45/(1+$B22)^('DCF Model'!C19+1)+'DCF Model'!E45/(1+$B22)^('DCF Model'!C19+2)+'DCF Model'!F45/(1+$B22)^('DCF Model'!C19+3)+'DCF Model'!G45/(1+$B22)^('DCF Model'!C19+4)+('DCF Model'!G39+'DCF Model'!G42)*H$17/(1+$B22)^('DCF Model'!C19+4)-'DCF Model'!C16)*1000000/'DCF Model'!C15,0),"")</f>
        <v>5971</v>
      </c>
      <c r="I22" s="37">
        <f>IFERROR(ROUND(('DCF Model'!C45/(1+$B22)^('DCF Model'!C19+0)+'DCF Model'!D45/(1+$B22)^('DCF Model'!C19+1)+'DCF Model'!E45/(1+$B22)^('DCF Model'!C19+2)+'DCF Model'!F45/(1+$B22)^('DCF Model'!C19+3)+'DCF Model'!G45/(1+$B22)^('DCF Model'!C19+4)+('DCF Model'!G39+'DCF Model'!G42)*I$17/(1+$B22)^('DCF Model'!C19+4)-'DCF Model'!C16)*1000000/'DCF Model'!C15,0),"")</f>
        <v>6378</v>
      </c>
    </row>
    <row r="23" spans="2:9" ht="13.5" customHeight="1" x14ac:dyDescent="0.25">
      <c r="B23" s="39">
        <f>$C$3+0.01</f>
        <v>8.7590454634914383E-2</v>
      </c>
      <c r="C23" s="37">
        <f>IFERROR(ROUND(('DCF Model'!C45/(1+$B23)^('DCF Model'!C19+0)+'DCF Model'!D45/(1+$B23)^('DCF Model'!C19+1)+'DCF Model'!E45/(1+$B23)^('DCF Model'!C19+2)+'DCF Model'!F45/(1+$B23)^('DCF Model'!C19+3)+'DCF Model'!G45/(1+$B23)^('DCF Model'!C19+4)+('DCF Model'!G39+'DCF Model'!G42)*C$17/(1+$B23)^('DCF Model'!C19+4)-'DCF Model'!C16)*1000000/'DCF Model'!C15,0),"")</f>
        <v>3854</v>
      </c>
      <c r="D23" s="37">
        <f>IFERROR(ROUND(('DCF Model'!C45/(1+$B23)^('DCF Model'!C19+0)+'DCF Model'!D45/(1+$B23)^('DCF Model'!C19+1)+'DCF Model'!E45/(1+$B23)^('DCF Model'!C19+2)+'DCF Model'!F45/(1+$B23)^('DCF Model'!C19+3)+'DCF Model'!G45/(1+$B23)^('DCF Model'!C19+4)+('DCF Model'!G39+'DCF Model'!G42)*D$17/(1+$B23)^('DCF Model'!C19+4)-'DCF Model'!C16)*1000000/'DCF Model'!C15,0),"")</f>
        <v>4252</v>
      </c>
      <c r="E23" s="37">
        <f>IFERROR(ROUND(('DCF Model'!C45/(1+$B23)^('DCF Model'!C19+0)+'DCF Model'!D45/(1+$B23)^('DCF Model'!C19+1)+'DCF Model'!E45/(1+$B23)^('DCF Model'!C19+2)+'DCF Model'!F45/(1+$B23)^('DCF Model'!C19+3)+'DCF Model'!G45/(1+$B23)^('DCF Model'!C19+4)+('DCF Model'!G39+'DCF Model'!G42)*E$17/(1+$B23)^('DCF Model'!C19+4)-'DCF Model'!C16)*1000000/'DCF Model'!C15,0),"")</f>
        <v>4649</v>
      </c>
      <c r="F23" s="37">
        <f>IFERROR(ROUND(('DCF Model'!C45/(1+$B23)^('DCF Model'!C19+0)+'DCF Model'!D45/(1+$B23)^('DCF Model'!C19+1)+'DCF Model'!E45/(1+$B23)^('DCF Model'!C19+2)+'DCF Model'!F45/(1+$B23)^('DCF Model'!C19+3)+'DCF Model'!G45/(1+$B23)^('DCF Model'!C19+4)+('DCF Model'!G39+'DCF Model'!G42)*F$17/(1+$B23)^('DCF Model'!C19+4)-'DCF Model'!C16)*1000000/'DCF Model'!C15,0),"")</f>
        <v>5046</v>
      </c>
      <c r="G23" s="37">
        <f>IFERROR(ROUND(('DCF Model'!C45/(1+$B23)^('DCF Model'!C19+0)+'DCF Model'!D45/(1+$B23)^('DCF Model'!C19+1)+'DCF Model'!E45/(1+$B23)^('DCF Model'!C19+2)+'DCF Model'!F45/(1+$B23)^('DCF Model'!C19+3)+'DCF Model'!G45/(1+$B23)^('DCF Model'!C19+4)+('DCF Model'!G39+'DCF Model'!G42)*G$17/(1+$B23)^('DCF Model'!C19+4)-'DCF Model'!C16)*1000000/'DCF Model'!C15,0),"")</f>
        <v>5444</v>
      </c>
      <c r="H23" s="37">
        <f>IFERROR(ROUND(('DCF Model'!C45/(1+$B23)^('DCF Model'!C19+0)+'DCF Model'!D45/(1+$B23)^('DCF Model'!C19+1)+'DCF Model'!E45/(1+$B23)^('DCF Model'!C19+2)+'DCF Model'!F45/(1+$B23)^('DCF Model'!C19+3)+'DCF Model'!G45/(1+$B23)^('DCF Model'!C19+4)+('DCF Model'!G39+'DCF Model'!G42)*H$17/(1+$B23)^('DCF Model'!C19+4)-'DCF Model'!C16)*1000000/'DCF Model'!C15,0),"")</f>
        <v>5841</v>
      </c>
      <c r="I23" s="37">
        <f>IFERROR(ROUND(('DCF Model'!C45/(1+$B23)^('DCF Model'!C19+0)+'DCF Model'!D45/(1+$B23)^('DCF Model'!C19+1)+'DCF Model'!E45/(1+$B23)^('DCF Model'!C19+2)+'DCF Model'!F45/(1+$B23)^('DCF Model'!C19+3)+'DCF Model'!G45/(1+$B23)^('DCF Model'!C19+4)+('DCF Model'!G39+'DCF Model'!G42)*I$17/(1+$B23)^('DCF Model'!C19+4)-'DCF Model'!C16)*1000000/'DCF Model'!C15,0),"")</f>
        <v>6239</v>
      </c>
    </row>
    <row r="24" spans="2:9" ht="13.5" customHeight="1" x14ac:dyDescent="0.25">
      <c r="B24" s="39">
        <f>$C$3+0.015</f>
        <v>9.2590454634914388E-2</v>
      </c>
      <c r="C24" s="37">
        <f>IFERROR(ROUND(('DCF Model'!C45/(1+$B24)^('DCF Model'!C19+0)+'DCF Model'!D45/(1+$B24)^('DCF Model'!C19+1)+'DCF Model'!E45/(1+$B24)^('DCF Model'!C19+2)+'DCF Model'!F45/(1+$B24)^('DCF Model'!C19+3)+'DCF Model'!G45/(1+$B24)^('DCF Model'!C19+4)+('DCF Model'!G39+'DCF Model'!G42)*C$17/(1+$B24)^('DCF Model'!C19+4)-'DCF Model'!C16)*1000000/'DCF Model'!C15,0),"")</f>
        <v>3773</v>
      </c>
      <c r="D24" s="37">
        <f>IFERROR(ROUND(('DCF Model'!C45/(1+$B24)^('DCF Model'!C19+0)+'DCF Model'!D45/(1+$B24)^('DCF Model'!C19+1)+'DCF Model'!E45/(1+$B24)^('DCF Model'!C19+2)+'DCF Model'!F45/(1+$B24)^('DCF Model'!C19+3)+'DCF Model'!G45/(1+$B24)^('DCF Model'!C19+4)+('DCF Model'!G39+'DCF Model'!G42)*D$17/(1+$B24)^('DCF Model'!C19+4)-'DCF Model'!C16)*1000000/'DCF Model'!C15,0),"")</f>
        <v>4161</v>
      </c>
      <c r="E24" s="37">
        <f>IFERROR(ROUND(('DCF Model'!C45/(1+$B24)^('DCF Model'!C19+0)+'DCF Model'!D45/(1+$B24)^('DCF Model'!C19+1)+'DCF Model'!E45/(1+$B24)^('DCF Model'!C19+2)+'DCF Model'!F45/(1+$B24)^('DCF Model'!C19+3)+'DCF Model'!G45/(1+$B24)^('DCF Model'!C19+4)+('DCF Model'!G39+'DCF Model'!G42)*E$17/(1+$B24)^('DCF Model'!C19+4)-'DCF Model'!C16)*1000000/'DCF Model'!C15,0),"")</f>
        <v>4550</v>
      </c>
      <c r="F24" s="37">
        <f>IFERROR(ROUND(('DCF Model'!C45/(1+$B24)^('DCF Model'!C19+0)+'DCF Model'!D45/(1+$B24)^('DCF Model'!C19+1)+'DCF Model'!E45/(1+$B24)^('DCF Model'!C19+2)+'DCF Model'!F45/(1+$B24)^('DCF Model'!C19+3)+'DCF Model'!G45/(1+$B24)^('DCF Model'!C19+4)+('DCF Model'!G39+'DCF Model'!G42)*F$17/(1+$B24)^('DCF Model'!C19+4)-'DCF Model'!C16)*1000000/'DCF Model'!C15,0),"")</f>
        <v>4938</v>
      </c>
      <c r="G24" s="37">
        <f>IFERROR(ROUND(('DCF Model'!C45/(1+$B24)^('DCF Model'!C19+0)+'DCF Model'!D45/(1+$B24)^('DCF Model'!C19+1)+'DCF Model'!E45/(1+$B24)^('DCF Model'!C19+2)+'DCF Model'!F45/(1+$B24)^('DCF Model'!C19+3)+'DCF Model'!G45/(1+$B24)^('DCF Model'!C19+4)+('DCF Model'!G39+'DCF Model'!G42)*G$17/(1+$B24)^('DCF Model'!C19+4)-'DCF Model'!C16)*1000000/'DCF Model'!C15,0),"")</f>
        <v>5326</v>
      </c>
      <c r="H24" s="37">
        <f>IFERROR(ROUND(('DCF Model'!C45/(1+$B24)^('DCF Model'!C19+0)+'DCF Model'!D45/(1+$B24)^('DCF Model'!C19+1)+'DCF Model'!E45/(1+$B24)^('DCF Model'!C19+2)+'DCF Model'!F45/(1+$B24)^('DCF Model'!C19+3)+'DCF Model'!G45/(1+$B24)^('DCF Model'!C19+4)+('DCF Model'!G39+'DCF Model'!G42)*H$17/(1+$B24)^('DCF Model'!C19+4)-'DCF Model'!C16)*1000000/'DCF Model'!C15,0),"")</f>
        <v>5715</v>
      </c>
      <c r="I24" s="37">
        <f>IFERROR(ROUND(('DCF Model'!C45/(1+$B24)^('DCF Model'!C19+0)+'DCF Model'!D45/(1+$B24)^('DCF Model'!C19+1)+'DCF Model'!E45/(1+$B24)^('DCF Model'!C19+2)+'DCF Model'!F45/(1+$B24)^('DCF Model'!C19+3)+'DCF Model'!G45/(1+$B24)^('DCF Model'!C19+4)+('DCF Model'!G39+'DCF Model'!G42)*I$17/(1+$B24)^('DCF Model'!C19+4)-'DCF Model'!C16)*1000000/'DCF Model'!C15,0),"")</f>
        <v>6103</v>
      </c>
    </row>
    <row r="26" spans="2:9" ht="14" customHeight="1" x14ac:dyDescent="0.3">
      <c r="B26" s="46" t="s">
        <v>241</v>
      </c>
      <c r="C26" s="45"/>
      <c r="D26" s="45"/>
      <c r="E26" s="45"/>
      <c r="F26" s="45"/>
      <c r="G26" s="45"/>
      <c r="H26" s="45"/>
      <c r="I26" s="45"/>
    </row>
  </sheetData>
  <mergeCells count="1">
    <mergeCell ref="B26:I26"/>
  </mergeCells>
  <phoneticPr fontId="8"/>
  <pageMargins left="0.75" right="0.75" top="1" bottom="1" header="0.5" footer="0.5"/>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tabColor rgb="FF808080"/>
  </sheetPr>
  <dimension ref="B2:G63"/>
  <sheetViews>
    <sheetView workbookViewId="0"/>
  </sheetViews>
  <sheetFormatPr defaultRowHeight="13" x14ac:dyDescent="0.2"/>
  <cols>
    <col min="1" max="1" width="3" customWidth="1"/>
    <col min="2" max="2" width="14" customWidth="1"/>
    <col min="3" max="3" width="16" customWidth="1"/>
    <col min="4" max="5" width="46" customWidth="1"/>
    <col min="6" max="6" width="20" customWidth="1"/>
    <col min="7" max="7" width="12" customWidth="1"/>
  </cols>
  <sheetData>
    <row r="2" spans="2:7" ht="18" customHeight="1" x14ac:dyDescent="0.4">
      <c r="B2" s="2" t="s">
        <v>242</v>
      </c>
    </row>
    <row r="4" spans="2:7" ht="14" customHeight="1" x14ac:dyDescent="0.3">
      <c r="B4" s="10" t="s">
        <v>243</v>
      </c>
      <c r="C4" s="10" t="s">
        <v>244</v>
      </c>
      <c r="D4" s="10" t="s">
        <v>245</v>
      </c>
      <c r="E4" s="10" t="s">
        <v>246</v>
      </c>
      <c r="F4" s="10" t="s">
        <v>247</v>
      </c>
      <c r="G4" s="10" t="s">
        <v>248</v>
      </c>
    </row>
    <row r="5" spans="2:7" x14ac:dyDescent="0.2">
      <c r="B5" t="s">
        <v>249</v>
      </c>
      <c r="C5" t="s">
        <v>250</v>
      </c>
      <c r="D5" t="s">
        <v>251</v>
      </c>
      <c r="E5" t="s">
        <v>252</v>
      </c>
      <c r="F5" t="s">
        <v>250</v>
      </c>
      <c r="G5" t="s">
        <v>253</v>
      </c>
    </row>
    <row r="6" spans="2:7" ht="30" customHeight="1" x14ac:dyDescent="0.3">
      <c r="B6" s="43" t="s">
        <v>249</v>
      </c>
      <c r="C6" s="4" t="s">
        <v>254</v>
      </c>
      <c r="D6" s="43" t="s">
        <v>255</v>
      </c>
      <c r="E6" s="43" t="s">
        <v>256</v>
      </c>
      <c r="F6" s="43" t="s">
        <v>257</v>
      </c>
      <c r="G6" s="43" t="s">
        <v>258</v>
      </c>
    </row>
    <row r="7" spans="2:7" ht="30" customHeight="1" x14ac:dyDescent="0.3">
      <c r="B7" s="43" t="s">
        <v>249</v>
      </c>
      <c r="C7" s="4" t="s">
        <v>259</v>
      </c>
      <c r="D7" s="43" t="s">
        <v>260</v>
      </c>
      <c r="E7" s="43" t="s">
        <v>261</v>
      </c>
      <c r="F7" s="43" t="s">
        <v>262</v>
      </c>
      <c r="G7" s="43" t="s">
        <v>263</v>
      </c>
    </row>
    <row r="8" spans="2:7" ht="30" customHeight="1" x14ac:dyDescent="0.3">
      <c r="B8" s="43" t="s">
        <v>249</v>
      </c>
      <c r="C8" s="4" t="s">
        <v>264</v>
      </c>
      <c r="D8" s="43" t="s">
        <v>265</v>
      </c>
      <c r="E8" s="43" t="s">
        <v>266</v>
      </c>
      <c r="F8" s="43" t="s">
        <v>267</v>
      </c>
      <c r="G8" s="43" t="s">
        <v>263</v>
      </c>
    </row>
    <row r="9" spans="2:7" ht="30" customHeight="1" x14ac:dyDescent="0.3">
      <c r="B9" s="43" t="s">
        <v>249</v>
      </c>
      <c r="C9" s="4" t="s">
        <v>268</v>
      </c>
      <c r="D9" s="43" t="s">
        <v>269</v>
      </c>
      <c r="E9" s="43" t="s">
        <v>270</v>
      </c>
      <c r="F9" s="43" t="s">
        <v>271</v>
      </c>
      <c r="G9" s="43" t="s">
        <v>263</v>
      </c>
    </row>
    <row r="10" spans="2:7" ht="30" customHeight="1" x14ac:dyDescent="0.3">
      <c r="B10" s="43" t="s">
        <v>249</v>
      </c>
      <c r="C10" s="4" t="s">
        <v>272</v>
      </c>
      <c r="D10" s="43" t="s">
        <v>273</v>
      </c>
      <c r="E10" s="43" t="s">
        <v>274</v>
      </c>
      <c r="F10" s="43" t="s">
        <v>275</v>
      </c>
      <c r="G10" s="43" t="s">
        <v>276</v>
      </c>
    </row>
    <row r="11" spans="2:7" ht="30" customHeight="1" x14ac:dyDescent="0.3">
      <c r="B11" s="43" t="s">
        <v>249</v>
      </c>
      <c r="C11" s="4" t="s">
        <v>277</v>
      </c>
      <c r="D11" s="43" t="s">
        <v>278</v>
      </c>
      <c r="E11" s="43" t="s">
        <v>279</v>
      </c>
      <c r="F11" s="43" t="s">
        <v>280</v>
      </c>
      <c r="G11" s="43" t="s">
        <v>281</v>
      </c>
    </row>
    <row r="12" spans="2:7" ht="30" customHeight="1" x14ac:dyDescent="0.3">
      <c r="B12" s="43" t="s">
        <v>249</v>
      </c>
      <c r="C12" s="4" t="s">
        <v>282</v>
      </c>
      <c r="D12" s="43" t="s">
        <v>283</v>
      </c>
      <c r="E12" s="43" t="s">
        <v>261</v>
      </c>
      <c r="F12" s="43" t="s">
        <v>284</v>
      </c>
      <c r="G12" s="43" t="s">
        <v>263</v>
      </c>
    </row>
    <row r="13" spans="2:7" ht="30" customHeight="1" x14ac:dyDescent="0.3">
      <c r="B13" s="43" t="s">
        <v>249</v>
      </c>
      <c r="C13" s="4" t="s">
        <v>285</v>
      </c>
      <c r="D13" s="43" t="s">
        <v>286</v>
      </c>
      <c r="E13" s="43" t="s">
        <v>287</v>
      </c>
      <c r="F13" s="43" t="s">
        <v>288</v>
      </c>
      <c r="G13" s="43" t="s">
        <v>263</v>
      </c>
    </row>
    <row r="14" spans="2:7" ht="30" customHeight="1" x14ac:dyDescent="0.3">
      <c r="B14" s="43" t="s">
        <v>249</v>
      </c>
      <c r="C14" s="4" t="s">
        <v>289</v>
      </c>
      <c r="D14" s="43" t="s">
        <v>290</v>
      </c>
      <c r="E14" s="43" t="s">
        <v>291</v>
      </c>
      <c r="F14" s="43" t="s">
        <v>292</v>
      </c>
      <c r="G14" s="43" t="s">
        <v>263</v>
      </c>
    </row>
    <row r="15" spans="2:7" ht="30" customHeight="1" x14ac:dyDescent="0.3">
      <c r="B15" s="43" t="s">
        <v>249</v>
      </c>
      <c r="C15" s="4" t="s">
        <v>293</v>
      </c>
      <c r="D15" s="43" t="s">
        <v>294</v>
      </c>
      <c r="E15" s="43" t="s">
        <v>295</v>
      </c>
      <c r="F15" s="43" t="s">
        <v>250</v>
      </c>
      <c r="G15" s="43" t="s">
        <v>296</v>
      </c>
    </row>
    <row r="16" spans="2:7" ht="30" customHeight="1" x14ac:dyDescent="0.3">
      <c r="B16" s="43" t="s">
        <v>249</v>
      </c>
      <c r="C16" s="4" t="s">
        <v>297</v>
      </c>
      <c r="D16" s="43" t="s">
        <v>298</v>
      </c>
      <c r="E16" s="43" t="s">
        <v>299</v>
      </c>
      <c r="F16" s="43" t="s">
        <v>267</v>
      </c>
      <c r="G16" s="43" t="s">
        <v>263</v>
      </c>
    </row>
    <row r="17" spans="2:7" ht="30" customHeight="1" x14ac:dyDescent="0.3">
      <c r="B17" s="43" t="s">
        <v>249</v>
      </c>
      <c r="C17" s="4" t="s">
        <v>300</v>
      </c>
      <c r="D17" s="43" t="s">
        <v>301</v>
      </c>
      <c r="E17" s="43" t="s">
        <v>302</v>
      </c>
      <c r="F17" s="43" t="s">
        <v>250</v>
      </c>
      <c r="G17" s="43" t="s">
        <v>303</v>
      </c>
    </row>
    <row r="18" spans="2:7" ht="30" customHeight="1" x14ac:dyDescent="0.3">
      <c r="B18" s="43" t="s">
        <v>249</v>
      </c>
      <c r="C18" s="4" t="s">
        <v>304</v>
      </c>
      <c r="D18" s="43" t="s">
        <v>305</v>
      </c>
      <c r="E18" s="43" t="s">
        <v>306</v>
      </c>
      <c r="F18" s="43" t="s">
        <v>267</v>
      </c>
      <c r="G18" s="43" t="s">
        <v>263</v>
      </c>
    </row>
    <row r="19" spans="2:7" ht="30" customHeight="1" x14ac:dyDescent="0.3">
      <c r="B19" s="43" t="s">
        <v>249</v>
      </c>
      <c r="C19" s="4" t="s">
        <v>307</v>
      </c>
      <c r="D19" s="43" t="s">
        <v>308</v>
      </c>
      <c r="E19" s="43" t="s">
        <v>309</v>
      </c>
      <c r="F19" s="43" t="s">
        <v>250</v>
      </c>
      <c r="G19" s="43" t="s">
        <v>310</v>
      </c>
    </row>
    <row r="20" spans="2:7" ht="30" customHeight="1" x14ac:dyDescent="0.3">
      <c r="B20" s="43" t="s">
        <v>249</v>
      </c>
      <c r="C20" s="4" t="s">
        <v>311</v>
      </c>
      <c r="D20" s="43" t="s">
        <v>312</v>
      </c>
      <c r="E20" s="43" t="s">
        <v>313</v>
      </c>
      <c r="F20" s="43" t="s">
        <v>250</v>
      </c>
      <c r="G20" s="43" t="s">
        <v>314</v>
      </c>
    </row>
    <row r="21" spans="2:7" ht="30" customHeight="1" x14ac:dyDescent="0.3">
      <c r="B21" s="43" t="s">
        <v>249</v>
      </c>
      <c r="C21" s="4" t="s">
        <v>315</v>
      </c>
      <c r="D21" s="43" t="s">
        <v>316</v>
      </c>
      <c r="E21" s="43" t="s">
        <v>317</v>
      </c>
      <c r="F21" s="43" t="s">
        <v>250</v>
      </c>
      <c r="G21" s="43" t="s">
        <v>263</v>
      </c>
    </row>
    <row r="22" spans="2:7" ht="30" customHeight="1" x14ac:dyDescent="0.3">
      <c r="B22" s="43" t="s">
        <v>249</v>
      </c>
      <c r="C22" s="4" t="s">
        <v>318</v>
      </c>
      <c r="D22" s="43" t="s">
        <v>319</v>
      </c>
      <c r="E22" s="43" t="s">
        <v>320</v>
      </c>
      <c r="F22" s="43" t="s">
        <v>250</v>
      </c>
      <c r="G22" s="43" t="s">
        <v>258</v>
      </c>
    </row>
    <row r="23" spans="2:7" ht="30" customHeight="1" x14ac:dyDescent="0.3">
      <c r="B23" s="43" t="s">
        <v>249</v>
      </c>
      <c r="C23" s="4" t="s">
        <v>321</v>
      </c>
      <c r="D23" s="43" t="s">
        <v>322</v>
      </c>
      <c r="E23" s="43" t="s">
        <v>323</v>
      </c>
      <c r="F23" s="43" t="s">
        <v>250</v>
      </c>
      <c r="G23" s="43" t="s">
        <v>324</v>
      </c>
    </row>
    <row r="24" spans="2:7" ht="14" customHeight="1" x14ac:dyDescent="0.2"/>
    <row r="25" spans="2:7" ht="14" customHeight="1" x14ac:dyDescent="0.3">
      <c r="B25" s="8" t="s">
        <v>325</v>
      </c>
    </row>
    <row r="26" spans="2:7" ht="14" customHeight="1" x14ac:dyDescent="0.3">
      <c r="B26" s="10" t="s">
        <v>326</v>
      </c>
      <c r="C26" s="10" t="s">
        <v>327</v>
      </c>
    </row>
    <row r="27" spans="2:7" ht="14" customHeight="1" x14ac:dyDescent="0.3">
      <c r="B27" s="4" t="s">
        <v>328</v>
      </c>
      <c r="C27" t="s">
        <v>329</v>
      </c>
    </row>
    <row r="28" spans="2:7" ht="14" customHeight="1" x14ac:dyDescent="0.3">
      <c r="B28" s="4" t="s">
        <v>330</v>
      </c>
      <c r="C28" t="s">
        <v>331</v>
      </c>
    </row>
    <row r="29" spans="2:7" ht="14" customHeight="1" x14ac:dyDescent="0.3">
      <c r="B29" s="4" t="s">
        <v>332</v>
      </c>
      <c r="C29" t="s">
        <v>333</v>
      </c>
    </row>
    <row r="30" spans="2:7" ht="14" customHeight="1" x14ac:dyDescent="0.3">
      <c r="B30" s="4" t="s">
        <v>334</v>
      </c>
      <c r="C30" t="s">
        <v>335</v>
      </c>
    </row>
    <row r="31" spans="2:7" ht="14" customHeight="1" x14ac:dyDescent="0.3">
      <c r="B31" s="4" t="s">
        <v>336</v>
      </c>
      <c r="C31" t="s">
        <v>4</v>
      </c>
    </row>
    <row r="32" spans="2:7" ht="14" customHeight="1" x14ac:dyDescent="0.3">
      <c r="B32" s="4" t="s">
        <v>337</v>
      </c>
      <c r="C32" t="s">
        <v>249</v>
      </c>
    </row>
    <row r="33" spans="2:3" ht="14" customHeight="1" x14ac:dyDescent="0.3">
      <c r="B33" s="4" t="s">
        <v>338</v>
      </c>
      <c r="C33" t="s">
        <v>339</v>
      </c>
    </row>
    <row r="34" spans="2:3" ht="14" customHeight="1" x14ac:dyDescent="0.3">
      <c r="B34" s="4" t="s">
        <v>340</v>
      </c>
      <c r="C34" t="s">
        <v>341</v>
      </c>
    </row>
    <row r="35" spans="2:3" ht="14" customHeight="1" x14ac:dyDescent="0.3">
      <c r="B35" s="4" t="s">
        <v>342</v>
      </c>
      <c r="C35" t="s">
        <v>343</v>
      </c>
    </row>
    <row r="36" spans="2:3" ht="14" customHeight="1" x14ac:dyDescent="0.3">
      <c r="B36" s="4" t="s">
        <v>344</v>
      </c>
      <c r="C36" t="s">
        <v>345</v>
      </c>
    </row>
    <row r="37" spans="2:3" ht="14" customHeight="1" x14ac:dyDescent="0.3">
      <c r="B37" s="4" t="s">
        <v>346</v>
      </c>
      <c r="C37" t="s">
        <v>347</v>
      </c>
    </row>
    <row r="38" spans="2:3" ht="14" customHeight="1" x14ac:dyDescent="0.3">
      <c r="B38" s="4" t="s">
        <v>348</v>
      </c>
      <c r="C38" t="s">
        <v>343</v>
      </c>
    </row>
    <row r="39" spans="2:3" ht="14" customHeight="1" x14ac:dyDescent="0.3">
      <c r="B39" s="4" t="s">
        <v>349</v>
      </c>
      <c r="C39" t="s">
        <v>339</v>
      </c>
    </row>
    <row r="40" spans="2:3" ht="14" customHeight="1" x14ac:dyDescent="0.3">
      <c r="B40" s="4" t="s">
        <v>350</v>
      </c>
      <c r="C40" t="s">
        <v>351</v>
      </c>
    </row>
    <row r="41" spans="2:3" ht="14" customHeight="1" x14ac:dyDescent="0.3">
      <c r="B41" s="4" t="s">
        <v>352</v>
      </c>
      <c r="C41" t="s">
        <v>353</v>
      </c>
    </row>
    <row r="42" spans="2:3" ht="14" customHeight="1" x14ac:dyDescent="0.3">
      <c r="B42" s="4" t="s">
        <v>354</v>
      </c>
      <c r="C42" t="s">
        <v>355</v>
      </c>
    </row>
    <row r="43" spans="2:3" ht="14" customHeight="1" x14ac:dyDescent="0.3">
      <c r="B43" s="4" t="s">
        <v>356</v>
      </c>
      <c r="C43" t="s">
        <v>357</v>
      </c>
    </row>
    <row r="44" spans="2:3" ht="14" customHeight="1" x14ac:dyDescent="0.3">
      <c r="B44" s="4" t="s">
        <v>358</v>
      </c>
      <c r="C44" t="s">
        <v>359</v>
      </c>
    </row>
    <row r="45" spans="2:3" ht="14" customHeight="1" x14ac:dyDescent="0.3">
      <c r="B45" s="4" t="s">
        <v>360</v>
      </c>
      <c r="C45" t="s">
        <v>361</v>
      </c>
    </row>
    <row r="46" spans="2:3" ht="14" customHeight="1" x14ac:dyDescent="0.3">
      <c r="B46" s="4" t="s">
        <v>362</v>
      </c>
      <c r="C46" t="s">
        <v>363</v>
      </c>
    </row>
    <row r="47" spans="2:3" ht="14" customHeight="1" x14ac:dyDescent="0.3">
      <c r="B47" s="4" t="s">
        <v>364</v>
      </c>
      <c r="C47" t="s">
        <v>365</v>
      </c>
    </row>
    <row r="48" spans="2:3" ht="14" customHeight="1" x14ac:dyDescent="0.3">
      <c r="B48" s="4" t="s">
        <v>366</v>
      </c>
      <c r="C48" t="s">
        <v>367</v>
      </c>
    </row>
    <row r="49" spans="2:3" ht="14" customHeight="1" x14ac:dyDescent="0.3">
      <c r="B49" s="4" t="s">
        <v>368</v>
      </c>
      <c r="C49" t="s">
        <v>369</v>
      </c>
    </row>
    <row r="50" spans="2:3" ht="14" customHeight="1" x14ac:dyDescent="0.3">
      <c r="B50" s="4" t="s">
        <v>370</v>
      </c>
      <c r="C50" t="s">
        <v>371</v>
      </c>
    </row>
    <row r="51" spans="2:3" ht="14" x14ac:dyDescent="0.3">
      <c r="B51" s="4" t="s">
        <v>372</v>
      </c>
      <c r="C51" t="s">
        <v>373</v>
      </c>
    </row>
    <row r="52" spans="2:3" ht="14" x14ac:dyDescent="0.3">
      <c r="B52" s="4" t="s">
        <v>374</v>
      </c>
      <c r="C52" t="s">
        <v>375</v>
      </c>
    </row>
    <row r="53" spans="2:3" ht="14" x14ac:dyDescent="0.3">
      <c r="B53" s="4" t="s">
        <v>376</v>
      </c>
      <c r="C53" t="s">
        <v>377</v>
      </c>
    </row>
    <row r="54" spans="2:3" ht="14" x14ac:dyDescent="0.3">
      <c r="B54" s="4" t="s">
        <v>378</v>
      </c>
      <c r="C54" t="s">
        <v>379</v>
      </c>
    </row>
    <row r="55" spans="2:3" ht="14" x14ac:dyDescent="0.3">
      <c r="B55" s="4" t="s">
        <v>380</v>
      </c>
      <c r="C55" t="s">
        <v>381</v>
      </c>
    </row>
    <row r="56" spans="2:3" ht="14" x14ac:dyDescent="0.3">
      <c r="B56" s="4" t="s">
        <v>382</v>
      </c>
      <c r="C56" t="s">
        <v>383</v>
      </c>
    </row>
    <row r="57" spans="2:3" ht="14" x14ac:dyDescent="0.3">
      <c r="B57" s="4" t="s">
        <v>384</v>
      </c>
      <c r="C57" t="s">
        <v>385</v>
      </c>
    </row>
    <row r="58" spans="2:3" ht="14" x14ac:dyDescent="0.3">
      <c r="B58" s="4" t="s">
        <v>386</v>
      </c>
      <c r="C58" t="s">
        <v>387</v>
      </c>
    </row>
    <row r="59" spans="2:3" ht="14" x14ac:dyDescent="0.3">
      <c r="B59" s="4" t="s">
        <v>388</v>
      </c>
      <c r="C59" t="s">
        <v>389</v>
      </c>
    </row>
    <row r="60" spans="2:3" ht="14" x14ac:dyDescent="0.3">
      <c r="B60" s="4" t="s">
        <v>390</v>
      </c>
      <c r="C60" t="s">
        <v>391</v>
      </c>
    </row>
    <row r="61" spans="2:3" ht="14" x14ac:dyDescent="0.3">
      <c r="B61" s="4" t="s">
        <v>392</v>
      </c>
      <c r="C61" t="s">
        <v>393</v>
      </c>
    </row>
    <row r="62" spans="2:3" ht="14" x14ac:dyDescent="0.3">
      <c r="B62" s="4" t="s">
        <v>394</v>
      </c>
      <c r="C62" t="s">
        <v>395</v>
      </c>
    </row>
    <row r="63" spans="2:3" ht="14" x14ac:dyDescent="0.3">
      <c r="B63" s="4" t="s">
        <v>396</v>
      </c>
      <c r="C63" t="s">
        <v>210</v>
      </c>
    </row>
  </sheetData>
  <phoneticPr fontId="8"/>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ワークシート</vt:lpstr>
      </vt:variant>
      <vt:variant>
        <vt:i4>8</vt:i4>
      </vt:variant>
    </vt:vector>
  </HeadingPairs>
  <TitlesOfParts>
    <vt:vector size="8" baseType="lpstr">
      <vt:lpstr>Executive Summary</vt:lpstr>
      <vt:lpstr>Financial Statements</vt:lpstr>
      <vt:lpstr>DCF Model</vt:lpstr>
      <vt:lpstr>Reverse DCF</vt:lpstr>
      <vt:lpstr>NWC Schedule</vt:lpstr>
      <vt:lpstr>Comps Analysis</vt:lpstr>
      <vt:lpstr>Sensitivity Analysis</vt:lpstr>
      <vt:lpstr>Adjustments 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良亮 佐藤</cp:lastModifiedBy>
  <dcterms:created xsi:type="dcterms:W3CDTF">2026-09-05T03:44:47Z</dcterms:created>
  <dcterms:modified xsi:type="dcterms:W3CDTF">2026-09-05T04:04:27Z</dcterms:modified>
</cp:coreProperties>
</file>