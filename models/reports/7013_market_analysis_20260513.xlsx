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ied Growth Analysis" sheetId="1" state="visible" r:id="rId1"/>
    <sheet xmlns:r="http://schemas.openxmlformats.org/officeDocument/2006/relationships" name="Market 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+0.00;-0.00;0.00"/>
    <numFmt numFmtId="166" formatCode="+0.000;-0.000;0.000"/>
    <numFmt numFmtId="167" formatCode="+0.00%;-0.00%;0.0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sz val="11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0" borderId="1" pivotButton="0" quotePrefix="0" xfId="0"/>
    <xf numFmtId="3" fontId="0" fillId="0" borderId="1" pivotButton="0" quotePrefix="0" xfId="0"/>
    <xf numFmtId="2" fontId="3" fillId="5" borderId="0" pivotButton="0" quotePrefix="0" xfId="0"/>
    <xf numFmtId="0" fontId="3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3" fillId="6" borderId="0" pivotButton="0" quotePrefix="0" xfId="0"/>
    <xf numFmtId="3" fontId="0" fillId="6" borderId="0" pivotButton="0" quotePrefix="0" xfId="0"/>
    <xf numFmtId="164" fontId="0" fillId="0" borderId="1" pivotButton="0" quotePrefix="0" xfId="0"/>
    <xf numFmtId="2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4" fontId="0" fillId="7" borderId="1" pivotButton="0" quotePrefix="0" xfId="0"/>
    <xf numFmtId="166" fontId="0" fillId="0" borderId="1" pivotButton="0" quotePrefix="0" xfId="0"/>
    <xf numFmtId="0" fontId="4" fillId="8" borderId="1" pivotButton="0" quotePrefix="0" xfId="0"/>
    <xf numFmtId="9" fontId="0" fillId="0" borderId="1" pivotButton="0" quotePrefix="0" xfId="0"/>
    <xf numFmtId="167" fontId="0" fillId="0" borderId="1" pivotButton="0" quotePrefix="0" xfId="0"/>
    <xf numFmtId="0" fontId="3" fillId="0" borderId="1" pivotButton="0" quotePrefix="0" xfId="0"/>
    <xf numFmtId="165" fontId="5" fillId="5" borderId="1" pivotButton="0" quotePrefix="0" xfId="0"/>
    <xf numFmtId="0" fontId="5" fillId="8" borderId="1" pivotButton="0" quotePrefix="0" xfId="0"/>
    <xf numFmtId="3" fontId="0" fillId="7" borderId="1" pivotButton="0" quotePrefix="0" xfId="0"/>
    <xf numFmtId="167" fontId="0" fillId="0" borderId="0" pivotButton="0" quotePrefix="0" xfId="0"/>
    <xf numFmtId="2" fontId="0" fillId="6" borderId="1" pivotButton="0" quotePrefix="0" xfId="0"/>
    <xf numFmtId="167" fontId="0" fillId="6" borderId="1" pivotButton="0" quotePrefix="0" xfId="0"/>
    <xf numFmtId="167" fontId="0" fillId="7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106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2">
      <c r="B2" s="1" t="inlineStr">
        <is>
          <t>Implied Growth Analysis - IHI Corporation (7013.T)</t>
        </is>
      </c>
    </row>
    <row r="5">
      <c r="B5" s="2" t="inlineStr">
        <is>
          <t>Block 1: Market Inputs (Price Points)</t>
        </is>
      </c>
    </row>
    <row r="6">
      <c r="B6" s="3" t="inlineStr">
        <is>
          <t>Label</t>
        </is>
      </c>
      <c r="C6" s="3" t="inlineStr">
        <is>
          <t>Price (JPY)</t>
        </is>
      </c>
      <c r="D6" s="3" t="inlineStr">
        <is>
          <t>Equity (JPY mn)</t>
        </is>
      </c>
      <c r="E6" s="3" t="inlineStr">
        <is>
          <t>EV (JPY mn)</t>
        </is>
      </c>
      <c r="F6" s="3" t="inlineStr">
        <is>
          <t>Required PV (JPY mn)</t>
        </is>
      </c>
      <c r="G6" s="3" t="inlineStr">
        <is>
          <t>Timing</t>
        </is>
      </c>
    </row>
    <row r="7">
      <c r="B7" s="4" t="inlineStr">
        <is>
          <t>Current Price</t>
        </is>
      </c>
      <c r="C7" s="5" t="n">
        <v>2824</v>
      </c>
      <c r="D7" s="5">
        <f>C7*1060152314.0/1000000</f>
        <v/>
      </c>
      <c r="E7" s="5">
        <f>D7+360593.0</f>
        <v/>
      </c>
      <c r="F7" s="5">
        <f>E7</f>
        <v/>
      </c>
      <c r="G7" s="4" t="inlineStr">
        <is>
          <t>now</t>
        </is>
      </c>
    </row>
    <row r="8">
      <c r="B8" s="4" t="inlineStr">
        <is>
          <t>DCF Base PGM Target</t>
        </is>
      </c>
      <c r="C8" s="5" t="n">
        <v>294.7732818380274</v>
      </c>
      <c r="D8" s="5">
        <f>C8*1060152314.0/1000000</f>
        <v/>
      </c>
      <c r="E8" s="5">
        <f>D8+360593.0</f>
        <v/>
      </c>
      <c r="F8" s="5">
        <f>E8</f>
        <v/>
      </c>
      <c r="G8" s="4" t="inlineStr">
        <is>
          <t>Base scenario</t>
        </is>
      </c>
    </row>
    <row r="9">
      <c r="B9" s="4" t="inlineStr">
        <is>
          <t>DCF Exit-Multiple Target</t>
        </is>
      </c>
      <c r="C9" s="5" t="n">
        <v>0</v>
      </c>
      <c r="D9" s="5">
        <f>C9*1060152314.0/1000000</f>
        <v/>
      </c>
      <c r="E9" s="5">
        <f>D9+360593.0</f>
        <v/>
      </c>
      <c r="F9" s="5">
        <f>E9</f>
        <v/>
      </c>
      <c r="G9" s="4" t="inlineStr">
        <is>
          <t>active scenario</t>
        </is>
      </c>
    </row>
    <row r="10">
      <c r="B10" s="4" t="inlineStr">
        <is>
          <t>Recent Low</t>
        </is>
      </c>
      <c r="C10" s="5" t="n">
        <v>2824</v>
      </c>
      <c r="D10" s="5">
        <f>C10*1060152314.0/1000000</f>
        <v/>
      </c>
      <c r="E10" s="5">
        <f>D10+360593.0</f>
        <v/>
      </c>
      <c r="F10" s="5">
        <f>E10</f>
        <v/>
      </c>
      <c r="G10" s="4" t="inlineStr">
        <is>
          <t>recent</t>
        </is>
      </c>
    </row>
    <row r="11">
      <c r="B11" s="4" t="inlineStr">
        <is>
          <t>Recent High</t>
        </is>
      </c>
      <c r="C11" s="5" t="n">
        <v>2824</v>
      </c>
      <c r="D11" s="5">
        <f>C11*1060152314.0/1000000</f>
        <v/>
      </c>
      <c r="E11" s="5">
        <f>D11+360593.0</f>
        <v/>
      </c>
      <c r="F11" s="5">
        <f>E11</f>
        <v/>
      </c>
      <c r="G11" s="4" t="inlineStr">
        <is>
          <t>recent</t>
        </is>
      </c>
    </row>
    <row r="14">
      <c r="B14" s="2" t="inlineStr">
        <is>
          <t>Block 2: Reverse DCF Engine (alpha-scan)</t>
        </is>
      </c>
    </row>
    <row r="16">
      <c r="B16" s="3" t="inlineStr">
        <is>
          <t>alpha (Base growth multiplier)</t>
        </is>
      </c>
    </row>
    <row r="17">
      <c r="B17" t="inlineStr">
        <is>
          <t>alpha value</t>
        </is>
      </c>
      <c r="C17" s="6" t="n">
        <v>-0.5</v>
      </c>
      <c r="D17" s="6" t="n">
        <v>-0.3</v>
      </c>
      <c r="E17" s="6" t="n">
        <v>-0.1</v>
      </c>
      <c r="F17" s="6" t="n">
        <v>0</v>
      </c>
      <c r="G17" s="6" t="n">
        <v>0.1</v>
      </c>
      <c r="H17" s="6" t="n">
        <v>0.2</v>
      </c>
      <c r="I17" s="6" t="n">
        <v>0.3</v>
      </c>
      <c r="J17" s="6" t="n">
        <v>0.4</v>
      </c>
      <c r="K17" s="6" t="n">
        <v>0.5</v>
      </c>
      <c r="L17" s="6" t="n">
        <v>0.6</v>
      </c>
      <c r="M17" s="6" t="n">
        <v>0.7</v>
      </c>
      <c r="N17" s="6" t="n">
        <v>0.8</v>
      </c>
      <c r="O17" s="6" t="n">
        <v>0.9</v>
      </c>
      <c r="P17" s="6" t="n">
        <v>1</v>
      </c>
      <c r="Q17" s="6" t="n">
        <v>1.1</v>
      </c>
      <c r="R17" s="6" t="n">
        <v>1.2</v>
      </c>
      <c r="S17" s="6" t="n">
        <v>1.3</v>
      </c>
      <c r="T17" s="6" t="n">
        <v>1.5</v>
      </c>
    </row>
    <row r="19">
      <c r="B19" s="7" t="inlineStr">
        <is>
          <t>Calculations (Year 1 to Year 5)</t>
        </is>
      </c>
    </row>
    <row r="20">
      <c r="B20" t="inlineStr">
        <is>
          <t xml:space="preserve">  Year 1 growth (alpha x Base)</t>
        </is>
      </c>
      <c r="C20" s="8">
        <f>C17*D57</f>
        <v/>
      </c>
      <c r="D20" s="8">
        <f>D17*D57</f>
        <v/>
      </c>
      <c r="E20" s="8">
        <f>E17*D57</f>
        <v/>
      </c>
      <c r="F20" s="8">
        <f>F17*D57</f>
        <v/>
      </c>
      <c r="G20" s="8">
        <f>G17*D57</f>
        <v/>
      </c>
      <c r="H20" s="8">
        <f>H17*D57</f>
        <v/>
      </c>
      <c r="I20" s="8">
        <f>I17*D57</f>
        <v/>
      </c>
      <c r="J20" s="8">
        <f>J17*D57</f>
        <v/>
      </c>
      <c r="K20" s="8">
        <f>K17*D57</f>
        <v/>
      </c>
      <c r="L20" s="8">
        <f>L17*D57</f>
        <v/>
      </c>
      <c r="M20" s="8">
        <f>M17*D57</f>
        <v/>
      </c>
      <c r="N20" s="8">
        <f>N17*D57</f>
        <v/>
      </c>
      <c r="O20" s="8">
        <f>O17*D57</f>
        <v/>
      </c>
      <c r="P20" s="8">
        <f>P17*D57</f>
        <v/>
      </c>
      <c r="Q20" s="8">
        <f>Q17*D57</f>
        <v/>
      </c>
      <c r="R20" s="8">
        <f>R17*D57</f>
        <v/>
      </c>
      <c r="S20" s="8">
        <f>S17*D57</f>
        <v/>
      </c>
      <c r="T20" s="8">
        <f>T17*D57</f>
        <v/>
      </c>
    </row>
    <row r="21">
      <c r="B21" t="inlineStr">
        <is>
          <t xml:space="preserve">  Year 2 growth (alpha x Base)</t>
        </is>
      </c>
      <c r="C21" s="8">
        <f>C17*E57</f>
        <v/>
      </c>
      <c r="D21" s="8">
        <f>D17*E57</f>
        <v/>
      </c>
      <c r="E21" s="8">
        <f>E17*E57</f>
        <v/>
      </c>
      <c r="F21" s="8">
        <f>F17*E57</f>
        <v/>
      </c>
      <c r="G21" s="8">
        <f>G17*E57</f>
        <v/>
      </c>
      <c r="H21" s="8">
        <f>H17*E57</f>
        <v/>
      </c>
      <c r="I21" s="8">
        <f>I17*E57</f>
        <v/>
      </c>
      <c r="J21" s="8">
        <f>J17*E57</f>
        <v/>
      </c>
      <c r="K21" s="8">
        <f>K17*E57</f>
        <v/>
      </c>
      <c r="L21" s="8">
        <f>L17*E57</f>
        <v/>
      </c>
      <c r="M21" s="8">
        <f>M17*E57</f>
        <v/>
      </c>
      <c r="N21" s="8">
        <f>N17*E57</f>
        <v/>
      </c>
      <c r="O21" s="8">
        <f>O17*E57</f>
        <v/>
      </c>
      <c r="P21" s="8">
        <f>P17*E57</f>
        <v/>
      </c>
      <c r="Q21" s="8">
        <f>Q17*E57</f>
        <v/>
      </c>
      <c r="R21" s="8">
        <f>R17*E57</f>
        <v/>
      </c>
      <c r="S21" s="8">
        <f>S17*E57</f>
        <v/>
      </c>
      <c r="T21" s="8">
        <f>T17*E57</f>
        <v/>
      </c>
    </row>
    <row r="22">
      <c r="B22" t="inlineStr">
        <is>
          <t xml:space="preserve">  Year 3 growth (alpha x Base)</t>
        </is>
      </c>
      <c r="C22" s="8">
        <f>C17*F57</f>
        <v/>
      </c>
      <c r="D22" s="8">
        <f>D17*F57</f>
        <v/>
      </c>
      <c r="E22" s="8">
        <f>E17*F57</f>
        <v/>
      </c>
      <c r="F22" s="8">
        <f>F17*F57</f>
        <v/>
      </c>
      <c r="G22" s="8">
        <f>G17*F57</f>
        <v/>
      </c>
      <c r="H22" s="8">
        <f>H17*F57</f>
        <v/>
      </c>
      <c r="I22" s="8">
        <f>I17*F57</f>
        <v/>
      </c>
      <c r="J22" s="8">
        <f>J17*F57</f>
        <v/>
      </c>
      <c r="K22" s="8">
        <f>K17*F57</f>
        <v/>
      </c>
      <c r="L22" s="8">
        <f>L17*F57</f>
        <v/>
      </c>
      <c r="M22" s="8">
        <f>M17*F57</f>
        <v/>
      </c>
      <c r="N22" s="8">
        <f>N17*F57</f>
        <v/>
      </c>
      <c r="O22" s="8">
        <f>O17*F57</f>
        <v/>
      </c>
      <c r="P22" s="8">
        <f>P17*F57</f>
        <v/>
      </c>
      <c r="Q22" s="8">
        <f>Q17*F57</f>
        <v/>
      </c>
      <c r="R22" s="8">
        <f>R17*F57</f>
        <v/>
      </c>
      <c r="S22" s="8">
        <f>S17*F57</f>
        <v/>
      </c>
      <c r="T22" s="8">
        <f>T17*F57</f>
        <v/>
      </c>
    </row>
    <row r="23">
      <c r="B23" t="inlineStr">
        <is>
          <t xml:space="preserve">  Year 4 growth (alpha x Base)</t>
        </is>
      </c>
      <c r="C23" s="8">
        <f>C17*G57</f>
        <v/>
      </c>
      <c r="D23" s="8">
        <f>D17*G57</f>
        <v/>
      </c>
      <c r="E23" s="8">
        <f>E17*G57</f>
        <v/>
      </c>
      <c r="F23" s="8">
        <f>F17*G57</f>
        <v/>
      </c>
      <c r="G23" s="8">
        <f>G17*G57</f>
        <v/>
      </c>
      <c r="H23" s="8">
        <f>H17*G57</f>
        <v/>
      </c>
      <c r="I23" s="8">
        <f>I17*G57</f>
        <v/>
      </c>
      <c r="J23" s="8">
        <f>J17*G57</f>
        <v/>
      </c>
      <c r="K23" s="8">
        <f>K17*G57</f>
        <v/>
      </c>
      <c r="L23" s="8">
        <f>L17*G57</f>
        <v/>
      </c>
      <c r="M23" s="8">
        <f>M17*G57</f>
        <v/>
      </c>
      <c r="N23" s="8">
        <f>N17*G57</f>
        <v/>
      </c>
      <c r="O23" s="8">
        <f>O17*G57</f>
        <v/>
      </c>
      <c r="P23" s="8">
        <f>P17*G57</f>
        <v/>
      </c>
      <c r="Q23" s="8">
        <f>Q17*G57</f>
        <v/>
      </c>
      <c r="R23" s="8">
        <f>R17*G57</f>
        <v/>
      </c>
      <c r="S23" s="8">
        <f>S17*G57</f>
        <v/>
      </c>
      <c r="T23" s="8">
        <f>T17*G57</f>
        <v/>
      </c>
    </row>
    <row r="24">
      <c r="B24" t="inlineStr">
        <is>
          <t xml:space="preserve">  Year 5 growth (alpha x Base)</t>
        </is>
      </c>
      <c r="C24" s="8">
        <f>C17*H57</f>
        <v/>
      </c>
      <c r="D24" s="8">
        <f>D17*H57</f>
        <v/>
      </c>
      <c r="E24" s="8">
        <f>E17*H57</f>
        <v/>
      </c>
      <c r="F24" s="8">
        <f>F17*H57</f>
        <v/>
      </c>
      <c r="G24" s="8">
        <f>G17*H57</f>
        <v/>
      </c>
      <c r="H24" s="8">
        <f>H17*H57</f>
        <v/>
      </c>
      <c r="I24" s="8">
        <f>I17*H57</f>
        <v/>
      </c>
      <c r="J24" s="8">
        <f>J17*H57</f>
        <v/>
      </c>
      <c r="K24" s="8">
        <f>K17*H57</f>
        <v/>
      </c>
      <c r="L24" s="8">
        <f>L17*H57</f>
        <v/>
      </c>
      <c r="M24" s="8">
        <f>M17*H57</f>
        <v/>
      </c>
      <c r="N24" s="8">
        <f>N17*H57</f>
        <v/>
      </c>
      <c r="O24" s="8">
        <f>O17*H57</f>
        <v/>
      </c>
      <c r="P24" s="8">
        <f>P17*H57</f>
        <v/>
      </c>
      <c r="Q24" s="8">
        <f>Q17*H57</f>
        <v/>
      </c>
      <c r="R24" s="8">
        <f>R17*H57</f>
        <v/>
      </c>
      <c r="S24" s="8">
        <f>S17*H57</f>
        <v/>
      </c>
      <c r="T24" s="8">
        <f>T17*H57</f>
        <v/>
      </c>
    </row>
    <row r="25">
      <c r="B25" t="inlineStr">
        <is>
          <t xml:space="preserve">  Year 1 Revenue (mn)</t>
        </is>
      </c>
      <c r="C25" s="9">
        <f>C48*(1+C20)</f>
        <v/>
      </c>
      <c r="D25" s="9">
        <f>C48*(1+D20)</f>
        <v/>
      </c>
      <c r="E25" s="9">
        <f>C48*(1+E20)</f>
        <v/>
      </c>
      <c r="F25" s="9">
        <f>C48*(1+F20)</f>
        <v/>
      </c>
      <c r="G25" s="9">
        <f>C48*(1+G20)</f>
        <v/>
      </c>
      <c r="H25" s="9">
        <f>C48*(1+H20)</f>
        <v/>
      </c>
      <c r="I25" s="9">
        <f>C48*(1+I20)</f>
        <v/>
      </c>
      <c r="J25" s="9">
        <f>C48*(1+J20)</f>
        <v/>
      </c>
      <c r="K25" s="9">
        <f>C48*(1+K20)</f>
        <v/>
      </c>
      <c r="L25" s="9">
        <f>C48*(1+L20)</f>
        <v/>
      </c>
      <c r="M25" s="9">
        <f>C48*(1+M20)</f>
        <v/>
      </c>
      <c r="N25" s="9">
        <f>C48*(1+N20)</f>
        <v/>
      </c>
      <c r="O25" s="9">
        <f>C48*(1+O20)</f>
        <v/>
      </c>
      <c r="P25" s="9">
        <f>C48*(1+P20)</f>
        <v/>
      </c>
      <c r="Q25" s="9">
        <f>C48*(1+Q20)</f>
        <v/>
      </c>
      <c r="R25" s="9">
        <f>C48*(1+R20)</f>
        <v/>
      </c>
      <c r="S25" s="9">
        <f>C48*(1+S20)</f>
        <v/>
      </c>
      <c r="T25" s="9">
        <f>C48*(1+T20)</f>
        <v/>
      </c>
    </row>
    <row r="26">
      <c r="B26" t="inlineStr">
        <is>
          <t xml:space="preserve">  Year 2 Revenue (mn)</t>
        </is>
      </c>
      <c r="C26" s="9">
        <f>C25*(1+C21)</f>
        <v/>
      </c>
      <c r="D26" s="9">
        <f>D25*(1+D21)</f>
        <v/>
      </c>
      <c r="E26" s="9">
        <f>E25*(1+E21)</f>
        <v/>
      </c>
      <c r="F26" s="9">
        <f>F25*(1+F21)</f>
        <v/>
      </c>
      <c r="G26" s="9">
        <f>G25*(1+G21)</f>
        <v/>
      </c>
      <c r="H26" s="9">
        <f>H25*(1+H21)</f>
        <v/>
      </c>
      <c r="I26" s="9">
        <f>I25*(1+I21)</f>
        <v/>
      </c>
      <c r="J26" s="9">
        <f>J25*(1+J21)</f>
        <v/>
      </c>
      <c r="K26" s="9">
        <f>K25*(1+K21)</f>
        <v/>
      </c>
      <c r="L26" s="9">
        <f>L25*(1+L21)</f>
        <v/>
      </c>
      <c r="M26" s="9">
        <f>M25*(1+M21)</f>
        <v/>
      </c>
      <c r="N26" s="9">
        <f>N25*(1+N21)</f>
        <v/>
      </c>
      <c r="O26" s="9">
        <f>O25*(1+O21)</f>
        <v/>
      </c>
      <c r="P26" s="9">
        <f>P25*(1+P21)</f>
        <v/>
      </c>
      <c r="Q26" s="9">
        <f>Q25*(1+Q21)</f>
        <v/>
      </c>
      <c r="R26" s="9">
        <f>R25*(1+R21)</f>
        <v/>
      </c>
      <c r="S26" s="9">
        <f>S25*(1+S21)</f>
        <v/>
      </c>
      <c r="T26" s="9">
        <f>T25*(1+T21)</f>
        <v/>
      </c>
    </row>
    <row r="27">
      <c r="B27" t="inlineStr">
        <is>
          <t xml:space="preserve">  Year 3 Revenue (mn)</t>
        </is>
      </c>
      <c r="C27" s="9">
        <f>C26*(1+C22)</f>
        <v/>
      </c>
      <c r="D27" s="9">
        <f>D26*(1+D22)</f>
        <v/>
      </c>
      <c r="E27" s="9">
        <f>E26*(1+E22)</f>
        <v/>
      </c>
      <c r="F27" s="9">
        <f>F26*(1+F22)</f>
        <v/>
      </c>
      <c r="G27" s="9">
        <f>G26*(1+G22)</f>
        <v/>
      </c>
      <c r="H27" s="9">
        <f>H26*(1+H22)</f>
        <v/>
      </c>
      <c r="I27" s="9">
        <f>I26*(1+I22)</f>
        <v/>
      </c>
      <c r="J27" s="9">
        <f>J26*(1+J22)</f>
        <v/>
      </c>
      <c r="K27" s="9">
        <f>K26*(1+K22)</f>
        <v/>
      </c>
      <c r="L27" s="9">
        <f>L26*(1+L22)</f>
        <v/>
      </c>
      <c r="M27" s="9">
        <f>M26*(1+M22)</f>
        <v/>
      </c>
      <c r="N27" s="9">
        <f>N26*(1+N22)</f>
        <v/>
      </c>
      <c r="O27" s="9">
        <f>O26*(1+O22)</f>
        <v/>
      </c>
      <c r="P27" s="9">
        <f>P26*(1+P22)</f>
        <v/>
      </c>
      <c r="Q27" s="9">
        <f>Q26*(1+Q22)</f>
        <v/>
      </c>
      <c r="R27" s="9">
        <f>R26*(1+R22)</f>
        <v/>
      </c>
      <c r="S27" s="9">
        <f>S26*(1+S22)</f>
        <v/>
      </c>
      <c r="T27" s="9">
        <f>T26*(1+T22)</f>
        <v/>
      </c>
    </row>
    <row r="28">
      <c r="B28" t="inlineStr">
        <is>
          <t xml:space="preserve">  Year 4 Revenue (mn)</t>
        </is>
      </c>
      <c r="C28" s="9">
        <f>C27*(1+C23)</f>
        <v/>
      </c>
      <c r="D28" s="9">
        <f>D27*(1+D23)</f>
        <v/>
      </c>
      <c r="E28" s="9">
        <f>E27*(1+E23)</f>
        <v/>
      </c>
      <c r="F28" s="9">
        <f>F27*(1+F23)</f>
        <v/>
      </c>
      <c r="G28" s="9">
        <f>G27*(1+G23)</f>
        <v/>
      </c>
      <c r="H28" s="9">
        <f>H27*(1+H23)</f>
        <v/>
      </c>
      <c r="I28" s="9">
        <f>I27*(1+I23)</f>
        <v/>
      </c>
      <c r="J28" s="9">
        <f>J27*(1+J23)</f>
        <v/>
      </c>
      <c r="K28" s="9">
        <f>K27*(1+K23)</f>
        <v/>
      </c>
      <c r="L28" s="9">
        <f>L27*(1+L23)</f>
        <v/>
      </c>
      <c r="M28" s="9">
        <f>M27*(1+M23)</f>
        <v/>
      </c>
      <c r="N28" s="9">
        <f>N27*(1+N23)</f>
        <v/>
      </c>
      <c r="O28" s="9">
        <f>O27*(1+O23)</f>
        <v/>
      </c>
      <c r="P28" s="9">
        <f>P27*(1+P23)</f>
        <v/>
      </c>
      <c r="Q28" s="9">
        <f>Q27*(1+Q23)</f>
        <v/>
      </c>
      <c r="R28" s="9">
        <f>R27*(1+R23)</f>
        <v/>
      </c>
      <c r="S28" s="9">
        <f>S27*(1+S23)</f>
        <v/>
      </c>
      <c r="T28" s="9">
        <f>T27*(1+T23)</f>
        <v/>
      </c>
    </row>
    <row r="29">
      <c r="B29" t="inlineStr">
        <is>
          <t xml:space="preserve">  Year 5 Revenue (mn)</t>
        </is>
      </c>
      <c r="C29" s="9">
        <f>C28*(1+C24)</f>
        <v/>
      </c>
      <c r="D29" s="9">
        <f>D28*(1+D24)</f>
        <v/>
      </c>
      <c r="E29" s="9">
        <f>E28*(1+E24)</f>
        <v/>
      </c>
      <c r="F29" s="9">
        <f>F28*(1+F24)</f>
        <v/>
      </c>
      <c r="G29" s="9">
        <f>G28*(1+G24)</f>
        <v/>
      </c>
      <c r="H29" s="9">
        <f>H28*(1+H24)</f>
        <v/>
      </c>
      <c r="I29" s="9">
        <f>I28*(1+I24)</f>
        <v/>
      </c>
      <c r="J29" s="9">
        <f>J28*(1+J24)</f>
        <v/>
      </c>
      <c r="K29" s="9">
        <f>K28*(1+K24)</f>
        <v/>
      </c>
      <c r="L29" s="9">
        <f>L28*(1+L24)</f>
        <v/>
      </c>
      <c r="M29" s="9">
        <f>M28*(1+M24)</f>
        <v/>
      </c>
      <c r="N29" s="9">
        <f>N28*(1+N24)</f>
        <v/>
      </c>
      <c r="O29" s="9">
        <f>O28*(1+O24)</f>
        <v/>
      </c>
      <c r="P29" s="9">
        <f>P28*(1+P24)</f>
        <v/>
      </c>
      <c r="Q29" s="9">
        <f>Q28*(1+Q24)</f>
        <v/>
      </c>
      <c r="R29" s="9">
        <f>R28*(1+R24)</f>
        <v/>
      </c>
      <c r="S29" s="9">
        <f>S28*(1+S24)</f>
        <v/>
      </c>
      <c r="T29" s="9">
        <f>T28*(1+T24)</f>
        <v/>
      </c>
    </row>
    <row r="30">
      <c r="B30" t="inlineStr">
        <is>
          <t xml:space="preserve">  Year 1 EBIT (mn)</t>
        </is>
      </c>
      <c r="C30" s="9">
        <f>C25*(C50+C17*(D58-C50))</f>
        <v/>
      </c>
      <c r="D30" s="9">
        <f>D25*(C50+D17*(D58-C50))</f>
        <v/>
      </c>
      <c r="E30" s="9">
        <f>E25*(C50+E17*(D58-C50))</f>
        <v/>
      </c>
      <c r="F30" s="9">
        <f>F25*(C50+F17*(D58-C50))</f>
        <v/>
      </c>
      <c r="G30" s="9">
        <f>G25*(C50+G17*(D58-C50))</f>
        <v/>
      </c>
      <c r="H30" s="9">
        <f>H25*(C50+H17*(D58-C50))</f>
        <v/>
      </c>
      <c r="I30" s="9">
        <f>I25*(C50+I17*(D58-C50))</f>
        <v/>
      </c>
      <c r="J30" s="9">
        <f>J25*(C50+J17*(D58-C50))</f>
        <v/>
      </c>
      <c r="K30" s="9">
        <f>K25*(C50+K17*(D58-C50))</f>
        <v/>
      </c>
      <c r="L30" s="9">
        <f>L25*(C50+L17*(D58-C50))</f>
        <v/>
      </c>
      <c r="M30" s="9">
        <f>M25*(C50+M17*(D58-C50))</f>
        <v/>
      </c>
      <c r="N30" s="9">
        <f>N25*(C50+N17*(D58-C50))</f>
        <v/>
      </c>
      <c r="O30" s="9">
        <f>O25*(C50+O17*(D58-C50))</f>
        <v/>
      </c>
      <c r="P30" s="9">
        <f>P25*(C50+P17*(D58-C50))</f>
        <v/>
      </c>
      <c r="Q30" s="9">
        <f>Q25*(C50+Q17*(D58-C50))</f>
        <v/>
      </c>
      <c r="R30" s="9">
        <f>R25*(C50+R17*(D58-C50))</f>
        <v/>
      </c>
      <c r="S30" s="9">
        <f>S25*(C50+S17*(D58-C50))</f>
        <v/>
      </c>
      <c r="T30" s="9">
        <f>T25*(C50+T17*(D58-C50))</f>
        <v/>
      </c>
    </row>
    <row r="31">
      <c r="B31" t="inlineStr">
        <is>
          <t xml:space="preserve">  Year 2 EBIT (mn)</t>
        </is>
      </c>
      <c r="C31" s="9">
        <f>C26*(C50+C17*(E58-C50))</f>
        <v/>
      </c>
      <c r="D31" s="9">
        <f>D26*(C50+D17*(E58-C50))</f>
        <v/>
      </c>
      <c r="E31" s="9">
        <f>E26*(C50+E17*(E58-C50))</f>
        <v/>
      </c>
      <c r="F31" s="9">
        <f>F26*(C50+F17*(E58-C50))</f>
        <v/>
      </c>
      <c r="G31" s="9">
        <f>G26*(C50+G17*(E58-C50))</f>
        <v/>
      </c>
      <c r="H31" s="9">
        <f>H26*(C50+H17*(E58-C50))</f>
        <v/>
      </c>
      <c r="I31" s="9">
        <f>I26*(C50+I17*(E58-C50))</f>
        <v/>
      </c>
      <c r="J31" s="9">
        <f>J26*(C50+J17*(E58-C50))</f>
        <v/>
      </c>
      <c r="K31" s="9">
        <f>K26*(C50+K17*(E58-C50))</f>
        <v/>
      </c>
      <c r="L31" s="9">
        <f>L26*(C50+L17*(E58-C50))</f>
        <v/>
      </c>
      <c r="M31" s="9">
        <f>M26*(C50+M17*(E58-C50))</f>
        <v/>
      </c>
      <c r="N31" s="9">
        <f>N26*(C50+N17*(E58-C50))</f>
        <v/>
      </c>
      <c r="O31" s="9">
        <f>O26*(C50+O17*(E58-C50))</f>
        <v/>
      </c>
      <c r="P31" s="9">
        <f>P26*(C50+P17*(E58-C50))</f>
        <v/>
      </c>
      <c r="Q31" s="9">
        <f>Q26*(C50+Q17*(E58-C50))</f>
        <v/>
      </c>
      <c r="R31" s="9">
        <f>R26*(C50+R17*(E58-C50))</f>
        <v/>
      </c>
      <c r="S31" s="9">
        <f>S26*(C50+S17*(E58-C50))</f>
        <v/>
      </c>
      <c r="T31" s="9">
        <f>T26*(C50+T17*(E58-C50))</f>
        <v/>
      </c>
    </row>
    <row r="32">
      <c r="B32" t="inlineStr">
        <is>
          <t xml:space="preserve">  Year 3 EBIT (mn)</t>
        </is>
      </c>
      <c r="C32" s="9">
        <f>C27*(C50+C17*(F58-C50))</f>
        <v/>
      </c>
      <c r="D32" s="9">
        <f>D27*(C50+D17*(F58-C50))</f>
        <v/>
      </c>
      <c r="E32" s="9">
        <f>E27*(C50+E17*(F58-C50))</f>
        <v/>
      </c>
      <c r="F32" s="9">
        <f>F27*(C50+F17*(F58-C50))</f>
        <v/>
      </c>
      <c r="G32" s="9">
        <f>G27*(C50+G17*(F58-C50))</f>
        <v/>
      </c>
      <c r="H32" s="9">
        <f>H27*(C50+H17*(F58-C50))</f>
        <v/>
      </c>
      <c r="I32" s="9">
        <f>I27*(C50+I17*(F58-C50))</f>
        <v/>
      </c>
      <c r="J32" s="9">
        <f>J27*(C50+J17*(F58-C50))</f>
        <v/>
      </c>
      <c r="K32" s="9">
        <f>K27*(C50+K17*(F58-C50))</f>
        <v/>
      </c>
      <c r="L32" s="9">
        <f>L27*(C50+L17*(F58-C50))</f>
        <v/>
      </c>
      <c r="M32" s="9">
        <f>M27*(C50+M17*(F58-C50))</f>
        <v/>
      </c>
      <c r="N32" s="9">
        <f>N27*(C50+N17*(F58-C50))</f>
        <v/>
      </c>
      <c r="O32" s="9">
        <f>O27*(C50+O17*(F58-C50))</f>
        <v/>
      </c>
      <c r="P32" s="9">
        <f>P27*(C50+P17*(F58-C50))</f>
        <v/>
      </c>
      <c r="Q32" s="9">
        <f>Q27*(C50+Q17*(F58-C50))</f>
        <v/>
      </c>
      <c r="R32" s="9">
        <f>R27*(C50+R17*(F58-C50))</f>
        <v/>
      </c>
      <c r="S32" s="9">
        <f>S27*(C50+S17*(F58-C50))</f>
        <v/>
      </c>
      <c r="T32" s="9">
        <f>T27*(C50+T17*(F58-C50))</f>
        <v/>
      </c>
    </row>
    <row r="33">
      <c r="B33" t="inlineStr">
        <is>
          <t xml:space="preserve">  Year 4 EBIT (mn)</t>
        </is>
      </c>
      <c r="C33" s="9">
        <f>C28*(C50+C17*(G58-C50))</f>
        <v/>
      </c>
      <c r="D33" s="9">
        <f>D28*(C50+D17*(G58-C50))</f>
        <v/>
      </c>
      <c r="E33" s="9">
        <f>E28*(C50+E17*(G58-C50))</f>
        <v/>
      </c>
      <c r="F33" s="9">
        <f>F28*(C50+F17*(G58-C50))</f>
        <v/>
      </c>
      <c r="G33" s="9">
        <f>G28*(C50+G17*(G58-C50))</f>
        <v/>
      </c>
      <c r="H33" s="9">
        <f>H28*(C50+H17*(G58-C50))</f>
        <v/>
      </c>
      <c r="I33" s="9">
        <f>I28*(C50+I17*(G58-C50))</f>
        <v/>
      </c>
      <c r="J33" s="9">
        <f>J28*(C50+J17*(G58-C50))</f>
        <v/>
      </c>
      <c r="K33" s="9">
        <f>K28*(C50+K17*(G58-C50))</f>
        <v/>
      </c>
      <c r="L33" s="9">
        <f>L28*(C50+L17*(G58-C50))</f>
        <v/>
      </c>
      <c r="M33" s="9">
        <f>M28*(C50+M17*(G58-C50))</f>
        <v/>
      </c>
      <c r="N33" s="9">
        <f>N28*(C50+N17*(G58-C50))</f>
        <v/>
      </c>
      <c r="O33" s="9">
        <f>O28*(C50+O17*(G58-C50))</f>
        <v/>
      </c>
      <c r="P33" s="9">
        <f>P28*(C50+P17*(G58-C50))</f>
        <v/>
      </c>
      <c r="Q33" s="9">
        <f>Q28*(C50+Q17*(G58-C50))</f>
        <v/>
      </c>
      <c r="R33" s="9">
        <f>R28*(C50+R17*(G58-C50))</f>
        <v/>
      </c>
      <c r="S33" s="9">
        <f>S28*(C50+S17*(G58-C50))</f>
        <v/>
      </c>
      <c r="T33" s="9">
        <f>T28*(C50+T17*(G58-C50))</f>
        <v/>
      </c>
    </row>
    <row r="34">
      <c r="B34" t="inlineStr">
        <is>
          <t xml:space="preserve">  Year 5 EBIT (mn)</t>
        </is>
      </c>
      <c r="C34" s="9">
        <f>C29*(C50+C17*(H58-C50))</f>
        <v/>
      </c>
      <c r="D34" s="9">
        <f>D29*(C50+D17*(H58-C50))</f>
        <v/>
      </c>
      <c r="E34" s="9">
        <f>E29*(C50+E17*(H58-C50))</f>
        <v/>
      </c>
      <c r="F34" s="9">
        <f>F29*(C50+F17*(H58-C50))</f>
        <v/>
      </c>
      <c r="G34" s="9">
        <f>G29*(C50+G17*(H58-C50))</f>
        <v/>
      </c>
      <c r="H34" s="9">
        <f>H29*(C50+H17*(H58-C50))</f>
        <v/>
      </c>
      <c r="I34" s="9">
        <f>I29*(C50+I17*(H58-C50))</f>
        <v/>
      </c>
      <c r="J34" s="9">
        <f>J29*(C50+J17*(H58-C50))</f>
        <v/>
      </c>
      <c r="K34" s="9">
        <f>K29*(C50+K17*(H58-C50))</f>
        <v/>
      </c>
      <c r="L34" s="9">
        <f>L29*(C50+L17*(H58-C50))</f>
        <v/>
      </c>
      <c r="M34" s="9">
        <f>M29*(C50+M17*(H58-C50))</f>
        <v/>
      </c>
      <c r="N34" s="9">
        <f>N29*(C50+N17*(H58-C50))</f>
        <v/>
      </c>
      <c r="O34" s="9">
        <f>O29*(C50+O17*(H58-C50))</f>
        <v/>
      </c>
      <c r="P34" s="9">
        <f>P29*(C50+P17*(H58-C50))</f>
        <v/>
      </c>
      <c r="Q34" s="9">
        <f>Q29*(C50+Q17*(H58-C50))</f>
        <v/>
      </c>
      <c r="R34" s="9">
        <f>R29*(C50+R17*(H58-C50))</f>
        <v/>
      </c>
      <c r="S34" s="9">
        <f>S29*(C50+S17*(H58-C50))</f>
        <v/>
      </c>
      <c r="T34" s="9">
        <f>T29*(C50+T17*(H58-C50))</f>
        <v/>
      </c>
    </row>
    <row r="35">
      <c r="B35" t="inlineStr">
        <is>
          <t xml:space="preserve">  Year 1 FCF (mn)</t>
        </is>
      </c>
      <c r="C35" s="9">
        <f>MAX(0,C30*(1-0.305))+D59-D60-D61</f>
        <v/>
      </c>
      <c r="D35" s="9">
        <f>MAX(0,D30*(1-0.305))+D59-D60-D61</f>
        <v/>
      </c>
      <c r="E35" s="9">
        <f>MAX(0,E30*(1-0.305))+D59-D60-D61</f>
        <v/>
      </c>
      <c r="F35" s="9">
        <f>MAX(0,F30*(1-0.305))+D59-D60-D61</f>
        <v/>
      </c>
      <c r="G35" s="9">
        <f>MAX(0,G30*(1-0.305))+D59-D60-D61</f>
        <v/>
      </c>
      <c r="H35" s="9">
        <f>MAX(0,H30*(1-0.305))+D59-D60-D61</f>
        <v/>
      </c>
      <c r="I35" s="9">
        <f>MAX(0,I30*(1-0.305))+D59-D60-D61</f>
        <v/>
      </c>
      <c r="J35" s="9">
        <f>MAX(0,J30*(1-0.305))+D59-D60-D61</f>
        <v/>
      </c>
      <c r="K35" s="9">
        <f>MAX(0,K30*(1-0.305))+D59-D60-D61</f>
        <v/>
      </c>
      <c r="L35" s="9">
        <f>MAX(0,L30*(1-0.305))+D59-D60-D61</f>
        <v/>
      </c>
      <c r="M35" s="9">
        <f>MAX(0,M30*(1-0.305))+D59-D60-D61</f>
        <v/>
      </c>
      <c r="N35" s="9">
        <f>MAX(0,N30*(1-0.305))+D59-D60-D61</f>
        <v/>
      </c>
      <c r="O35" s="9">
        <f>MAX(0,O30*(1-0.305))+D59-D60-D61</f>
        <v/>
      </c>
      <c r="P35" s="9">
        <f>MAX(0,P30*(1-0.305))+D59-D60-D61</f>
        <v/>
      </c>
      <c r="Q35" s="9">
        <f>MAX(0,Q30*(1-0.305))+D59-D60-D61</f>
        <v/>
      </c>
      <c r="R35" s="9">
        <f>MAX(0,R30*(1-0.305))+D59-D60-D61</f>
        <v/>
      </c>
      <c r="S35" s="9">
        <f>MAX(0,S30*(1-0.305))+D59-D60-D61</f>
        <v/>
      </c>
      <c r="T35" s="9">
        <f>MAX(0,T30*(1-0.305))+D59-D60-D61</f>
        <v/>
      </c>
    </row>
    <row r="36">
      <c r="B36" t="inlineStr">
        <is>
          <t xml:space="preserve">  Year 2 FCF (mn)</t>
        </is>
      </c>
      <c r="C36" s="9">
        <f>MAX(0,C31*(1-0.305))+E59-E60-E61</f>
        <v/>
      </c>
      <c r="D36" s="9">
        <f>MAX(0,D31*(1-0.305))+E59-E60-E61</f>
        <v/>
      </c>
      <c r="E36" s="9">
        <f>MAX(0,E31*(1-0.305))+E59-E60-E61</f>
        <v/>
      </c>
      <c r="F36" s="9">
        <f>MAX(0,F31*(1-0.305))+E59-E60-E61</f>
        <v/>
      </c>
      <c r="G36" s="9">
        <f>MAX(0,G31*(1-0.305))+E59-E60-E61</f>
        <v/>
      </c>
      <c r="H36" s="9">
        <f>MAX(0,H31*(1-0.305))+E59-E60-E61</f>
        <v/>
      </c>
      <c r="I36" s="9">
        <f>MAX(0,I31*(1-0.305))+E59-E60-E61</f>
        <v/>
      </c>
      <c r="J36" s="9">
        <f>MAX(0,J31*(1-0.305))+E59-E60-E61</f>
        <v/>
      </c>
      <c r="K36" s="9">
        <f>MAX(0,K31*(1-0.305))+E59-E60-E61</f>
        <v/>
      </c>
      <c r="L36" s="9">
        <f>MAX(0,L31*(1-0.305))+E59-E60-E61</f>
        <v/>
      </c>
      <c r="M36" s="9">
        <f>MAX(0,M31*(1-0.305))+E59-E60-E61</f>
        <v/>
      </c>
      <c r="N36" s="9">
        <f>MAX(0,N31*(1-0.305))+E59-E60-E61</f>
        <v/>
      </c>
      <c r="O36" s="9">
        <f>MAX(0,O31*(1-0.305))+E59-E60-E61</f>
        <v/>
      </c>
      <c r="P36" s="9">
        <f>MAX(0,P31*(1-0.305))+E59-E60-E61</f>
        <v/>
      </c>
      <c r="Q36" s="9">
        <f>MAX(0,Q31*(1-0.305))+E59-E60-E61</f>
        <v/>
      </c>
      <c r="R36" s="9">
        <f>MAX(0,R31*(1-0.305))+E59-E60-E61</f>
        <v/>
      </c>
      <c r="S36" s="9">
        <f>MAX(0,S31*(1-0.305))+E59-E60-E61</f>
        <v/>
      </c>
      <c r="T36" s="9">
        <f>MAX(0,T31*(1-0.305))+E59-E60-E61</f>
        <v/>
      </c>
    </row>
    <row r="37">
      <c r="B37" t="inlineStr">
        <is>
          <t xml:space="preserve">  Year 3 FCF (mn)</t>
        </is>
      </c>
      <c r="C37" s="9">
        <f>MAX(0,C32*(1-0.305))+F59-F60-F61</f>
        <v/>
      </c>
      <c r="D37" s="9">
        <f>MAX(0,D32*(1-0.305))+F59-F60-F61</f>
        <v/>
      </c>
      <c r="E37" s="9">
        <f>MAX(0,E32*(1-0.305))+F59-F60-F61</f>
        <v/>
      </c>
      <c r="F37" s="9">
        <f>MAX(0,F32*(1-0.305))+F59-F60-F61</f>
        <v/>
      </c>
      <c r="G37" s="9">
        <f>MAX(0,G32*(1-0.305))+F59-F60-F61</f>
        <v/>
      </c>
      <c r="H37" s="9">
        <f>MAX(0,H32*(1-0.305))+F59-F60-F61</f>
        <v/>
      </c>
      <c r="I37" s="9">
        <f>MAX(0,I32*(1-0.305))+F59-F60-F61</f>
        <v/>
      </c>
      <c r="J37" s="9">
        <f>MAX(0,J32*(1-0.305))+F59-F60-F61</f>
        <v/>
      </c>
      <c r="K37" s="9">
        <f>MAX(0,K32*(1-0.305))+F59-F60-F61</f>
        <v/>
      </c>
      <c r="L37" s="9">
        <f>MAX(0,L32*(1-0.305))+F59-F60-F61</f>
        <v/>
      </c>
      <c r="M37" s="9">
        <f>MAX(0,M32*(1-0.305))+F59-F60-F61</f>
        <v/>
      </c>
      <c r="N37" s="9">
        <f>MAX(0,N32*(1-0.305))+F59-F60-F61</f>
        <v/>
      </c>
      <c r="O37" s="9">
        <f>MAX(0,O32*(1-0.305))+F59-F60-F61</f>
        <v/>
      </c>
      <c r="P37" s="9">
        <f>MAX(0,P32*(1-0.305))+F59-F60-F61</f>
        <v/>
      </c>
      <c r="Q37" s="9">
        <f>MAX(0,Q32*(1-0.305))+F59-F60-F61</f>
        <v/>
      </c>
      <c r="R37" s="9">
        <f>MAX(0,R32*(1-0.305))+F59-F60-F61</f>
        <v/>
      </c>
      <c r="S37" s="9">
        <f>MAX(0,S32*(1-0.305))+F59-F60-F61</f>
        <v/>
      </c>
      <c r="T37" s="9">
        <f>MAX(0,T32*(1-0.305))+F59-F60-F61</f>
        <v/>
      </c>
    </row>
    <row r="38">
      <c r="B38" t="inlineStr">
        <is>
          <t xml:space="preserve">  Year 4 FCF (mn)</t>
        </is>
      </c>
      <c r="C38" s="9">
        <f>MAX(0,C33*(1-0.305))+G59-G60-G61</f>
        <v/>
      </c>
      <c r="D38" s="9">
        <f>MAX(0,D33*(1-0.305))+G59-G60-G61</f>
        <v/>
      </c>
      <c r="E38" s="9">
        <f>MAX(0,E33*(1-0.305))+G59-G60-G61</f>
        <v/>
      </c>
      <c r="F38" s="9">
        <f>MAX(0,F33*(1-0.305))+G59-G60-G61</f>
        <v/>
      </c>
      <c r="G38" s="9">
        <f>MAX(0,G33*(1-0.305))+G59-G60-G61</f>
        <v/>
      </c>
      <c r="H38" s="9">
        <f>MAX(0,H33*(1-0.305))+G59-G60-G61</f>
        <v/>
      </c>
      <c r="I38" s="9">
        <f>MAX(0,I33*(1-0.305))+G59-G60-G61</f>
        <v/>
      </c>
      <c r="J38" s="9">
        <f>MAX(0,J33*(1-0.305))+G59-G60-G61</f>
        <v/>
      </c>
      <c r="K38" s="9">
        <f>MAX(0,K33*(1-0.305))+G59-G60-G61</f>
        <v/>
      </c>
      <c r="L38" s="9">
        <f>MAX(0,L33*(1-0.305))+G59-G60-G61</f>
        <v/>
      </c>
      <c r="M38" s="9">
        <f>MAX(0,M33*(1-0.305))+G59-G60-G61</f>
        <v/>
      </c>
      <c r="N38" s="9">
        <f>MAX(0,N33*(1-0.305))+G59-G60-G61</f>
        <v/>
      </c>
      <c r="O38" s="9">
        <f>MAX(0,O33*(1-0.305))+G59-G60-G61</f>
        <v/>
      </c>
      <c r="P38" s="9">
        <f>MAX(0,P33*(1-0.305))+G59-G60-G61</f>
        <v/>
      </c>
      <c r="Q38" s="9">
        <f>MAX(0,Q33*(1-0.305))+G59-G60-G61</f>
        <v/>
      </c>
      <c r="R38" s="9">
        <f>MAX(0,R33*(1-0.305))+G59-G60-G61</f>
        <v/>
      </c>
      <c r="S38" s="9">
        <f>MAX(0,S33*(1-0.305))+G59-G60-G61</f>
        <v/>
      </c>
      <c r="T38" s="9">
        <f>MAX(0,T33*(1-0.305))+G59-G60-G61</f>
        <v/>
      </c>
    </row>
    <row r="39">
      <c r="B39" t="inlineStr">
        <is>
          <t xml:space="preserve">  Year 5 FCF (mn)</t>
        </is>
      </c>
      <c r="C39" s="9">
        <f>MAX(0,C34*(1-0.305))+H59-H60-H61</f>
        <v/>
      </c>
      <c r="D39" s="9">
        <f>MAX(0,D34*(1-0.305))+H59-H60-H61</f>
        <v/>
      </c>
      <c r="E39" s="9">
        <f>MAX(0,E34*(1-0.305))+H59-H60-H61</f>
        <v/>
      </c>
      <c r="F39" s="9">
        <f>MAX(0,F34*(1-0.305))+H59-H60-H61</f>
        <v/>
      </c>
      <c r="G39" s="9">
        <f>MAX(0,G34*(1-0.305))+H59-H60-H61</f>
        <v/>
      </c>
      <c r="H39" s="9">
        <f>MAX(0,H34*(1-0.305))+H59-H60-H61</f>
        <v/>
      </c>
      <c r="I39" s="9">
        <f>MAX(0,I34*(1-0.305))+H59-H60-H61</f>
        <v/>
      </c>
      <c r="J39" s="9">
        <f>MAX(0,J34*(1-0.305))+H59-H60-H61</f>
        <v/>
      </c>
      <c r="K39" s="9">
        <f>MAX(0,K34*(1-0.305))+H59-H60-H61</f>
        <v/>
      </c>
      <c r="L39" s="9">
        <f>MAX(0,L34*(1-0.305))+H59-H60-H61</f>
        <v/>
      </c>
      <c r="M39" s="9">
        <f>MAX(0,M34*(1-0.305))+H59-H60-H61</f>
        <v/>
      </c>
      <c r="N39" s="9">
        <f>MAX(0,N34*(1-0.305))+H59-H60-H61</f>
        <v/>
      </c>
      <c r="O39" s="9">
        <f>MAX(0,O34*(1-0.305))+H59-H60-H61</f>
        <v/>
      </c>
      <c r="P39" s="9">
        <f>MAX(0,P34*(1-0.305))+H59-H60-H61</f>
        <v/>
      </c>
      <c r="Q39" s="9">
        <f>MAX(0,Q34*(1-0.305))+H59-H60-H61</f>
        <v/>
      </c>
      <c r="R39" s="9">
        <f>MAX(0,R34*(1-0.305))+H59-H60-H61</f>
        <v/>
      </c>
      <c r="S39" s="9">
        <f>MAX(0,S34*(1-0.305))+H59-H60-H61</f>
        <v/>
      </c>
      <c r="T39" s="9">
        <f>MAX(0,T34*(1-0.305))+H59-H60-H61</f>
        <v/>
      </c>
    </row>
    <row r="40">
      <c r="B40" s="7" t="inlineStr">
        <is>
          <t>Sum PV of explicit FCFs (mn)</t>
        </is>
      </c>
      <c r="C40" s="9">
        <f>C35/(1+0.0)^(0.5+0)+C36/(1+0.0)^(0.5+1)+C37/(1+0.0)^(0.5+2)+C38/(1+0.0)^(0.5+3)+C39/(1+0.0)^(0.5+4)</f>
        <v/>
      </c>
      <c r="D40" s="9">
        <f>D35/(1+0.0)^(0.5+0)+D36/(1+0.0)^(0.5+1)+D37/(1+0.0)^(0.5+2)+D38/(1+0.0)^(0.5+3)+D39/(1+0.0)^(0.5+4)</f>
        <v/>
      </c>
      <c r="E40" s="9">
        <f>E35/(1+0.0)^(0.5+0)+E36/(1+0.0)^(0.5+1)+E37/(1+0.0)^(0.5+2)+E38/(1+0.0)^(0.5+3)+E39/(1+0.0)^(0.5+4)</f>
        <v/>
      </c>
      <c r="F40" s="9">
        <f>F35/(1+0.0)^(0.5+0)+F36/(1+0.0)^(0.5+1)+F37/(1+0.0)^(0.5+2)+F38/(1+0.0)^(0.5+3)+F39/(1+0.0)^(0.5+4)</f>
        <v/>
      </c>
      <c r="G40" s="9">
        <f>G35/(1+0.0)^(0.5+0)+G36/(1+0.0)^(0.5+1)+G37/(1+0.0)^(0.5+2)+G38/(1+0.0)^(0.5+3)+G39/(1+0.0)^(0.5+4)</f>
        <v/>
      </c>
      <c r="H40" s="9">
        <f>H35/(1+0.0)^(0.5+0)+H36/(1+0.0)^(0.5+1)+H37/(1+0.0)^(0.5+2)+H38/(1+0.0)^(0.5+3)+H39/(1+0.0)^(0.5+4)</f>
        <v/>
      </c>
      <c r="I40" s="9">
        <f>I35/(1+0.0)^(0.5+0)+I36/(1+0.0)^(0.5+1)+I37/(1+0.0)^(0.5+2)+I38/(1+0.0)^(0.5+3)+I39/(1+0.0)^(0.5+4)</f>
        <v/>
      </c>
      <c r="J40" s="9">
        <f>J35/(1+0.0)^(0.5+0)+J36/(1+0.0)^(0.5+1)+J37/(1+0.0)^(0.5+2)+J38/(1+0.0)^(0.5+3)+J39/(1+0.0)^(0.5+4)</f>
        <v/>
      </c>
      <c r="K40" s="9">
        <f>K35/(1+0.0)^(0.5+0)+K36/(1+0.0)^(0.5+1)+K37/(1+0.0)^(0.5+2)+K38/(1+0.0)^(0.5+3)+K39/(1+0.0)^(0.5+4)</f>
        <v/>
      </c>
      <c r="L40" s="9">
        <f>L35/(1+0.0)^(0.5+0)+L36/(1+0.0)^(0.5+1)+L37/(1+0.0)^(0.5+2)+L38/(1+0.0)^(0.5+3)+L39/(1+0.0)^(0.5+4)</f>
        <v/>
      </c>
      <c r="M40" s="9">
        <f>M35/(1+0.0)^(0.5+0)+M36/(1+0.0)^(0.5+1)+M37/(1+0.0)^(0.5+2)+M38/(1+0.0)^(0.5+3)+M39/(1+0.0)^(0.5+4)</f>
        <v/>
      </c>
      <c r="N40" s="9">
        <f>N35/(1+0.0)^(0.5+0)+N36/(1+0.0)^(0.5+1)+N37/(1+0.0)^(0.5+2)+N38/(1+0.0)^(0.5+3)+N39/(1+0.0)^(0.5+4)</f>
        <v/>
      </c>
      <c r="O40" s="9">
        <f>O35/(1+0.0)^(0.5+0)+O36/(1+0.0)^(0.5+1)+O37/(1+0.0)^(0.5+2)+O38/(1+0.0)^(0.5+3)+O39/(1+0.0)^(0.5+4)</f>
        <v/>
      </c>
      <c r="P40" s="9">
        <f>P35/(1+0.0)^(0.5+0)+P36/(1+0.0)^(0.5+1)+P37/(1+0.0)^(0.5+2)+P38/(1+0.0)^(0.5+3)+P39/(1+0.0)^(0.5+4)</f>
        <v/>
      </c>
      <c r="Q40" s="9">
        <f>Q35/(1+0.0)^(0.5+0)+Q36/(1+0.0)^(0.5+1)+Q37/(1+0.0)^(0.5+2)+Q38/(1+0.0)^(0.5+3)+Q39/(1+0.0)^(0.5+4)</f>
        <v/>
      </c>
      <c r="R40" s="9">
        <f>R35/(1+0.0)^(0.5+0)+R36/(1+0.0)^(0.5+1)+R37/(1+0.0)^(0.5+2)+R38/(1+0.0)^(0.5+3)+R39/(1+0.0)^(0.5+4)</f>
        <v/>
      </c>
      <c r="S40" s="9">
        <f>S35/(1+0.0)^(0.5+0)+S36/(1+0.0)^(0.5+1)+S37/(1+0.0)^(0.5+2)+S38/(1+0.0)^(0.5+3)+S39/(1+0.0)^(0.5+4)</f>
        <v/>
      </c>
      <c r="T40" s="9">
        <f>T35/(1+0.0)^(0.5+0)+T36/(1+0.0)^(0.5+1)+T37/(1+0.0)^(0.5+2)+T38/(1+0.0)^(0.5+3)+T39/(1+0.0)^(0.5+4)</f>
        <v/>
      </c>
    </row>
    <row r="41">
      <c r="B41" t="inlineStr">
        <is>
          <t>Terminal Value, PGM (mn)</t>
        </is>
      </c>
      <c r="C41" s="9">
        <f>C39*(1+0.015)/(0.0-0.015)</f>
        <v/>
      </c>
      <c r="D41" s="9">
        <f>D39*(1+0.015)/(0.0-0.015)</f>
        <v/>
      </c>
      <c r="E41" s="9">
        <f>E39*(1+0.015)/(0.0-0.015)</f>
        <v/>
      </c>
      <c r="F41" s="9">
        <f>F39*(1+0.015)/(0.0-0.015)</f>
        <v/>
      </c>
      <c r="G41" s="9">
        <f>G39*(1+0.015)/(0.0-0.015)</f>
        <v/>
      </c>
      <c r="H41" s="9">
        <f>H39*(1+0.015)/(0.0-0.015)</f>
        <v/>
      </c>
      <c r="I41" s="9">
        <f>I39*(1+0.015)/(0.0-0.015)</f>
        <v/>
      </c>
      <c r="J41" s="9">
        <f>J39*(1+0.015)/(0.0-0.015)</f>
        <v/>
      </c>
      <c r="K41" s="9">
        <f>K39*(1+0.015)/(0.0-0.015)</f>
        <v/>
      </c>
      <c r="L41" s="9">
        <f>L39*(1+0.015)/(0.0-0.015)</f>
        <v/>
      </c>
      <c r="M41" s="9">
        <f>M39*(1+0.015)/(0.0-0.015)</f>
        <v/>
      </c>
      <c r="N41" s="9">
        <f>N39*(1+0.015)/(0.0-0.015)</f>
        <v/>
      </c>
      <c r="O41" s="9">
        <f>O39*(1+0.015)/(0.0-0.015)</f>
        <v/>
      </c>
      <c r="P41" s="9">
        <f>P39*(1+0.015)/(0.0-0.015)</f>
        <v/>
      </c>
      <c r="Q41" s="9">
        <f>Q39*(1+0.015)/(0.0-0.015)</f>
        <v/>
      </c>
      <c r="R41" s="9">
        <f>R39*(1+0.015)/(0.0-0.015)</f>
        <v/>
      </c>
      <c r="S41" s="9">
        <f>S39*(1+0.015)/(0.0-0.015)</f>
        <v/>
      </c>
      <c r="T41" s="9">
        <f>T39*(1+0.015)/(0.0-0.015)</f>
        <v/>
      </c>
    </row>
    <row r="42">
      <c r="B42" t="inlineStr">
        <is>
          <t>PV of Terminal Value (mn)</t>
        </is>
      </c>
      <c r="C42" s="9">
        <f>C41/(1+0.0)^(0.5+4)</f>
        <v/>
      </c>
      <c r="D42" s="9">
        <f>D41/(1+0.0)^(0.5+4)</f>
        <v/>
      </c>
      <c r="E42" s="9">
        <f>E41/(1+0.0)^(0.5+4)</f>
        <v/>
      </c>
      <c r="F42" s="9">
        <f>F41/(1+0.0)^(0.5+4)</f>
        <v/>
      </c>
      <c r="G42" s="9">
        <f>G41/(1+0.0)^(0.5+4)</f>
        <v/>
      </c>
      <c r="H42" s="9">
        <f>H41/(1+0.0)^(0.5+4)</f>
        <v/>
      </c>
      <c r="I42" s="9">
        <f>I41/(1+0.0)^(0.5+4)</f>
        <v/>
      </c>
      <c r="J42" s="9">
        <f>J41/(1+0.0)^(0.5+4)</f>
        <v/>
      </c>
      <c r="K42" s="9">
        <f>K41/(1+0.0)^(0.5+4)</f>
        <v/>
      </c>
      <c r="L42" s="9">
        <f>L41/(1+0.0)^(0.5+4)</f>
        <v/>
      </c>
      <c r="M42" s="9">
        <f>M41/(1+0.0)^(0.5+4)</f>
        <v/>
      </c>
      <c r="N42" s="9">
        <f>N41/(1+0.0)^(0.5+4)</f>
        <v/>
      </c>
      <c r="O42" s="9">
        <f>O41/(1+0.0)^(0.5+4)</f>
        <v/>
      </c>
      <c r="P42" s="9">
        <f>P41/(1+0.0)^(0.5+4)</f>
        <v/>
      </c>
      <c r="Q42" s="9">
        <f>Q41/(1+0.0)^(0.5+4)</f>
        <v/>
      </c>
      <c r="R42" s="9">
        <f>R41/(1+0.0)^(0.5+4)</f>
        <v/>
      </c>
      <c r="S42" s="9">
        <f>S41/(1+0.0)^(0.5+4)</f>
        <v/>
      </c>
      <c r="T42" s="9">
        <f>T41/(1+0.0)^(0.5+4)</f>
        <v/>
      </c>
    </row>
    <row r="43">
      <c r="B43" s="7" t="inlineStr">
        <is>
          <t>Enterprise Value (mn)</t>
        </is>
      </c>
      <c r="C43" s="9">
        <f>C40+C42</f>
        <v/>
      </c>
      <c r="D43" s="9">
        <f>D40+D42</f>
        <v/>
      </c>
      <c r="E43" s="9">
        <f>E40+E42</f>
        <v/>
      </c>
      <c r="F43" s="9">
        <f>F40+F42</f>
        <v/>
      </c>
      <c r="G43" s="9">
        <f>G40+G42</f>
        <v/>
      </c>
      <c r="H43" s="9">
        <f>H40+H42</f>
        <v/>
      </c>
      <c r="I43" s="9">
        <f>I40+I42</f>
        <v/>
      </c>
      <c r="J43" s="9">
        <f>J40+J42</f>
        <v/>
      </c>
      <c r="K43" s="9">
        <f>K40+K42</f>
        <v/>
      </c>
      <c r="L43" s="9">
        <f>L40+L42</f>
        <v/>
      </c>
      <c r="M43" s="9">
        <f>M40+M42</f>
        <v/>
      </c>
      <c r="N43" s="9">
        <f>N40+N42</f>
        <v/>
      </c>
      <c r="O43" s="9">
        <f>O40+O42</f>
        <v/>
      </c>
      <c r="P43" s="9">
        <f>P40+P42</f>
        <v/>
      </c>
      <c r="Q43" s="9">
        <f>Q40+Q42</f>
        <v/>
      </c>
      <c r="R43" s="9">
        <f>R40+R42</f>
        <v/>
      </c>
      <c r="S43" s="9">
        <f>S40+S42</f>
        <v/>
      </c>
      <c r="T43" s="9">
        <f>T40+T42</f>
        <v/>
      </c>
    </row>
    <row r="44">
      <c r="B44" t="inlineStr">
        <is>
          <t>Equity Value (mn)</t>
        </is>
      </c>
      <c r="C44" s="9">
        <f>C43-360593.0</f>
        <v/>
      </c>
      <c r="D44" s="9">
        <f>D43-360593.0</f>
        <v/>
      </c>
      <c r="E44" s="9">
        <f>E43-360593.0</f>
        <v/>
      </c>
      <c r="F44" s="9">
        <f>F43-360593.0</f>
        <v/>
      </c>
      <c r="G44" s="9">
        <f>G43-360593.0</f>
        <v/>
      </c>
      <c r="H44" s="9">
        <f>H43-360593.0</f>
        <v/>
      </c>
      <c r="I44" s="9">
        <f>I43-360593.0</f>
        <v/>
      </c>
      <c r="J44" s="9">
        <f>J43-360593.0</f>
        <v/>
      </c>
      <c r="K44" s="9">
        <f>K43-360593.0</f>
        <v/>
      </c>
      <c r="L44" s="9">
        <f>L43-360593.0</f>
        <v/>
      </c>
      <c r="M44" s="9">
        <f>M43-360593.0</f>
        <v/>
      </c>
      <c r="N44" s="9">
        <f>N43-360593.0</f>
        <v/>
      </c>
      <c r="O44" s="9">
        <f>O43-360593.0</f>
        <v/>
      </c>
      <c r="P44" s="9">
        <f>P43-360593.0</f>
        <v/>
      </c>
      <c r="Q44" s="9">
        <f>Q43-360593.0</f>
        <v/>
      </c>
      <c r="R44" s="9">
        <f>R43-360593.0</f>
        <v/>
      </c>
      <c r="S44" s="9">
        <f>S43-360593.0</f>
        <v/>
      </c>
      <c r="T44" s="9">
        <f>T43-360593.0</f>
        <v/>
      </c>
    </row>
    <row r="45">
      <c r="B45" s="10" t="inlineStr">
        <is>
          <t>Implied Share Price (JPY)</t>
        </is>
      </c>
      <c r="C45" s="11">
        <f>C44*1000000/1060152314.0</f>
        <v/>
      </c>
      <c r="D45" s="11">
        <f>D44*1000000/1060152314.0</f>
        <v/>
      </c>
      <c r="E45" s="11">
        <f>E44*1000000/1060152314.0</f>
        <v/>
      </c>
      <c r="F45" s="11">
        <f>F44*1000000/1060152314.0</f>
        <v/>
      </c>
      <c r="G45" s="11">
        <f>G44*1000000/1060152314.0</f>
        <v/>
      </c>
      <c r="H45" s="11">
        <f>H44*1000000/1060152314.0</f>
        <v/>
      </c>
      <c r="I45" s="11">
        <f>I44*1000000/1060152314.0</f>
        <v/>
      </c>
      <c r="J45" s="11">
        <f>J44*1000000/1060152314.0</f>
        <v/>
      </c>
      <c r="K45" s="11">
        <f>K44*1000000/1060152314.0</f>
        <v/>
      </c>
      <c r="L45" s="11">
        <f>L44*1000000/1060152314.0</f>
        <v/>
      </c>
      <c r="M45" s="11">
        <f>M44*1000000/1060152314.0</f>
        <v/>
      </c>
      <c r="N45" s="11">
        <f>N44*1000000/1060152314.0</f>
        <v/>
      </c>
      <c r="O45" s="11">
        <f>O44*1000000/1060152314.0</f>
        <v/>
      </c>
      <c r="P45" s="11">
        <f>P44*1000000/1060152314.0</f>
        <v/>
      </c>
      <c r="Q45" s="11">
        <f>Q44*1000000/1060152314.0</f>
        <v/>
      </c>
      <c r="R45" s="11">
        <f>R44*1000000/1060152314.0</f>
        <v/>
      </c>
      <c r="S45" s="11">
        <f>S44*1000000/1060152314.0</f>
        <v/>
      </c>
      <c r="T45" s="11">
        <f>T44*1000000/1060152314.0</f>
        <v/>
      </c>
    </row>
    <row r="47">
      <c r="B47" s="3" t="inlineStr">
        <is>
          <t>── Auxiliary inputs (extracted from DCF) ──</t>
        </is>
      </c>
    </row>
    <row r="48">
      <c r="B48" t="inlineStr">
        <is>
          <t>FY Actual Total Revenue (mn) [E]</t>
        </is>
      </c>
      <c r="C48" s="9" t="n">
        <v>552700</v>
      </c>
    </row>
    <row r="49">
      <c r="B49" t="inlineStr">
        <is>
          <t>FY Actual Total OP (mn)</t>
        </is>
      </c>
      <c r="C49" s="9" t="n">
        <v>122791</v>
      </c>
    </row>
    <row r="50">
      <c r="B50" t="inlineStr">
        <is>
          <t>FY Actual Total OPM</t>
        </is>
      </c>
      <c r="C50" s="8" t="n">
        <v>0.2221657318617695</v>
      </c>
    </row>
    <row r="51">
      <c r="B51" s="7" t="inlineStr">
        <is>
          <t>Base scenario - per-segment revenue path (mn)</t>
        </is>
      </c>
      <c r="D51" s="7" t="inlineStr">
        <is>
          <t>Year 1</t>
        </is>
      </c>
      <c r="E51" s="7" t="inlineStr">
        <is>
          <t>Year 2</t>
        </is>
      </c>
      <c r="F51" s="7" t="inlineStr">
        <is>
          <t>Year 3</t>
        </is>
      </c>
      <c r="G51" s="7" t="inlineStr">
        <is>
          <t>Year 4</t>
        </is>
      </c>
      <c r="H51" s="7" t="inlineStr">
        <is>
          <t>Year 5</t>
        </is>
      </c>
    </row>
    <row r="52">
      <c r="B52" t="inlineStr">
        <is>
          <t>Resources Energy Environment</t>
        </is>
      </c>
      <c r="C52" s="9" t="n">
        <v>408301</v>
      </c>
      <c r="D52" s="9" t="n">
        <v>422591.535</v>
      </c>
      <c r="E52" s="9" t="n">
        <v>439495.1964</v>
      </c>
      <c r="F52" s="9" t="n">
        <v>461469.9562200001</v>
      </c>
      <c r="G52" s="9" t="n">
        <v>489158.1535932001</v>
      </c>
      <c r="H52" s="9" t="n">
        <v>520953.4335767581</v>
      </c>
    </row>
    <row r="53">
      <c r="B53" t="inlineStr">
        <is>
          <t>Social Infrastructure</t>
        </is>
      </c>
      <c r="C53" s="9" t="n">
        <v>155910</v>
      </c>
      <c r="D53" s="9" t="n">
        <v>151232.7</v>
      </c>
      <c r="E53" s="9" t="n">
        <v>147451.8825</v>
      </c>
      <c r="F53" s="9" t="n">
        <v>144502.84485</v>
      </c>
      <c r="G53" s="9" t="n">
        <v>142335.30217725</v>
      </c>
      <c r="H53" s="9" t="n">
        <v>140911.9491554775</v>
      </c>
    </row>
    <row r="54">
      <c r="B54" t="inlineStr">
        <is>
          <t>Industrial Systems GPM</t>
        </is>
      </c>
      <c r="C54" s="9" t="n">
        <v>475644</v>
      </c>
      <c r="D54" s="9" t="n">
        <v>466131.12</v>
      </c>
      <c r="E54" s="9" t="n">
        <v>470792.4312</v>
      </c>
      <c r="F54" s="9" t="n">
        <v>480208.279824</v>
      </c>
      <c r="G54" s="9" t="n">
        <v>489812.44542048</v>
      </c>
      <c r="H54" s="9" t="n">
        <v>502057.756555992</v>
      </c>
    </row>
    <row r="55">
      <c r="B55" t="inlineStr">
        <is>
          <t>Aero Engine Space Defense</t>
        </is>
      </c>
      <c r="C55" s="9" t="n">
        <v>552700</v>
      </c>
      <c r="D55" s="9" t="n">
        <v>607970</v>
      </c>
      <c r="E55" s="9" t="n">
        <v>656607.6000000001</v>
      </c>
      <c r="F55" s="9" t="n">
        <v>702570.1320000001</v>
      </c>
      <c r="G55" s="9" t="n">
        <v>744724.3399200002</v>
      </c>
      <c r="H55" s="9" t="n">
        <v>781960.5569160002</v>
      </c>
    </row>
    <row r="56">
      <c r="B56" s="7" t="inlineStr">
        <is>
          <t>Total Base Revenue (mn)</t>
        </is>
      </c>
      <c r="C56" s="9" t="n">
        <v>552700</v>
      </c>
      <c r="D56" s="9" t="n">
        <v>1647925.355</v>
      </c>
      <c r="E56" s="9" t="n">
        <v>1714347.1101</v>
      </c>
      <c r="F56" s="9" t="n">
        <v>1788751.212894</v>
      </c>
      <c r="G56" s="9" t="n">
        <v>1866030.24111093</v>
      </c>
      <c r="H56" s="9" t="n">
        <v>1945883.696204228</v>
      </c>
    </row>
    <row r="57">
      <c r="B57" t="inlineStr">
        <is>
          <t>Total Base Growth (YoY)</t>
        </is>
      </c>
      <c r="D57" s="8" t="n">
        <v>0.03476825290178365</v>
      </c>
      <c r="E57" s="8" t="n">
        <v>0.04030628869109187</v>
      </c>
      <c r="F57" s="8" t="n">
        <v>0.04340083892908941</v>
      </c>
      <c r="G57" s="8" t="n">
        <v>0.04320278172832159</v>
      </c>
      <c r="H57" s="8" t="n">
        <v>0.04279322667662511</v>
      </c>
    </row>
    <row r="58">
      <c r="B58" t="inlineStr">
        <is>
          <t>Total Base OPM (weighted)</t>
        </is>
      </c>
      <c r="D58" s="8" t="n">
        <v>0.09753983629313112</v>
      </c>
      <c r="E58" s="8" t="n">
        <v>0.1035837396582665</v>
      </c>
      <c r="F58" s="8" t="n">
        <v>0.109171200629303</v>
      </c>
      <c r="G58" s="8" t="n">
        <v>0.1114544743071345</v>
      </c>
      <c r="H58" s="8" t="n">
        <v>0.1166109420278564</v>
      </c>
    </row>
    <row r="59">
      <c r="B59" t="inlineStr">
        <is>
          <t>D&amp;A (DCF active scenario)</t>
        </is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</row>
    <row r="60">
      <c r="B60" t="inlineStr">
        <is>
          <t>Capex (DCF active scenario)</t>
        </is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</row>
    <row r="61">
      <c r="B61" t="inlineStr">
        <is>
          <t>DeltaNWC (DCF active scenario)</t>
        </is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</row>
    <row r="63">
      <c r="B63" s="2" t="inlineStr">
        <is>
          <t>Block 3: Implied alpha per Price Point (FORECAST interpolation)</t>
        </is>
      </c>
    </row>
    <row r="64">
      <c r="B64" s="3" t="inlineStr">
        <is>
          <t>Label</t>
        </is>
      </c>
      <c r="C64" s="3" t="inlineStr">
        <is>
          <t>Price (JPY)</t>
        </is>
      </c>
      <c r="D64" s="3" t="inlineStr">
        <is>
          <t>Implied alpha</t>
        </is>
      </c>
      <c r="E64" s="3" t="inlineStr">
        <is>
          <t>Interpretation</t>
        </is>
      </c>
      <c r="F64" s="3" t="inlineStr">
        <is>
          <t>Market Pricing</t>
        </is>
      </c>
    </row>
    <row r="65">
      <c r="B65" s="4">
        <f>B7</f>
        <v/>
      </c>
      <c r="C65" s="5">
        <f>C7</f>
        <v/>
      </c>
      <c r="D65" s="12">
        <f>FORECAST(C65,C17:T17,C45:T45)</f>
        <v/>
      </c>
      <c r="E65" s="4">
        <f>IF(D65&lt;-0.3,"Deep Pessimism",IF(D65&lt;0,"Pessimistic",IF(D65&lt;0.5,"Neutral",IF(D65&lt;1,"Mild Optimism","Bullish"))))</f>
        <v/>
      </c>
      <c r="F65" s="4">
        <f>IF(D65&lt;-0.3,"Base growth halved or worse",IF(D65&lt;0,"Below-Base, conservative",IF(D65&lt;0.5,"0-50% of Base growth priced in",IF(D65&lt;1,"50-100% of Base priced in","Above-Base optimism"))))</f>
        <v/>
      </c>
    </row>
    <row r="66">
      <c r="B66" s="4">
        <f>B8</f>
        <v/>
      </c>
      <c r="C66" s="5">
        <f>C8</f>
        <v/>
      </c>
      <c r="D66" s="12">
        <f>FORECAST(C66,C17:T17,C45:T45)</f>
        <v/>
      </c>
      <c r="E66" s="4">
        <f>IF(D66&lt;-0.3,"Deep Pessimism",IF(D66&lt;0,"Pessimistic",IF(D66&lt;0.5,"Neutral",IF(D66&lt;1,"Mild Optimism","Bullish"))))</f>
        <v/>
      </c>
      <c r="F66" s="4">
        <f>IF(D66&lt;-0.3,"Base growth halved or worse",IF(D66&lt;0,"Below-Base, conservative",IF(D66&lt;0.5,"0-50% of Base growth priced in",IF(D66&lt;1,"50-100% of Base priced in","Above-Base optimism"))))</f>
        <v/>
      </c>
    </row>
    <row r="67">
      <c r="B67" s="4">
        <f>B9</f>
        <v/>
      </c>
      <c r="C67" s="5">
        <f>C9</f>
        <v/>
      </c>
      <c r="D67" s="12">
        <f>FORECAST(C67,C17:T17,C45:T45)</f>
        <v/>
      </c>
      <c r="E67" s="4">
        <f>IF(D67&lt;-0.3,"Deep Pessimism",IF(D67&lt;0,"Pessimistic",IF(D67&lt;0.5,"Neutral",IF(D67&lt;1,"Mild Optimism","Bullish"))))</f>
        <v/>
      </c>
      <c r="F67" s="4">
        <f>IF(D67&lt;-0.3,"Base growth halved or worse",IF(D67&lt;0,"Below-Base, conservative",IF(D67&lt;0.5,"0-50% of Base growth priced in",IF(D67&lt;1,"50-100% of Base priced in","Above-Base optimism"))))</f>
        <v/>
      </c>
    </row>
    <row r="68">
      <c r="B68" s="4">
        <f>B10</f>
        <v/>
      </c>
      <c r="C68" s="5">
        <f>C10</f>
        <v/>
      </c>
      <c r="D68" s="12">
        <f>FORECAST(C68,C17:T17,C45:T45)</f>
        <v/>
      </c>
      <c r="E68" s="4">
        <f>IF(D68&lt;-0.3,"Deep Pessimism",IF(D68&lt;0,"Pessimistic",IF(D68&lt;0.5,"Neutral",IF(D68&lt;1,"Mild Optimism","Bullish"))))</f>
        <v/>
      </c>
      <c r="F68" s="4">
        <f>IF(D68&lt;-0.3,"Base growth halved or worse",IF(D68&lt;0,"Below-Base, conservative",IF(D68&lt;0.5,"0-50% of Base growth priced in",IF(D68&lt;1,"50-100% of Base priced in","Above-Base optimism"))))</f>
        <v/>
      </c>
    </row>
    <row r="69">
      <c r="B69" s="4">
        <f>B11</f>
        <v/>
      </c>
      <c r="C69" s="5">
        <f>C11</f>
        <v/>
      </c>
      <c r="D69" s="12">
        <f>FORECAST(C69,C17:T17,C45:T45)</f>
        <v/>
      </c>
      <c r="E69" s="4">
        <f>IF(D69&lt;-0.3,"Deep Pessimism",IF(D69&lt;0,"Pessimistic",IF(D69&lt;0.5,"Neutral",IF(D69&lt;1,"Mild Optimism","Bullish"))))</f>
        <v/>
      </c>
      <c r="F69" s="4">
        <f>IF(D69&lt;-0.3,"Base growth halved or worse",IF(D69&lt;0,"Below-Base, conservative",IF(D69&lt;0.5,"0-50% of Base growth priced in",IF(D69&lt;1,"50-100% of Base priced in","Above-Base optimism"))))</f>
        <v/>
      </c>
    </row>
    <row r="71">
      <c r="B71" s="2" t="inlineStr">
        <is>
          <t>Block 4: Comparison Matrix (5-scenario vs Market)</t>
        </is>
      </c>
    </row>
    <row r="72">
      <c r="B72" s="3" t="inlineStr">
        <is>
          <t>Scenario</t>
        </is>
      </c>
      <c r="C72" s="3" t="inlineStr">
        <is>
          <t>alpha</t>
        </is>
      </c>
      <c r="D72" s="3" t="inlineStr">
        <is>
          <t>5Y CAGR (Rev)</t>
        </is>
      </c>
      <c r="E72" s="3" t="inlineStr">
        <is>
          <t>Avg OPM</t>
        </is>
      </c>
      <c r="F72" s="3" t="inlineStr">
        <is>
          <t>Gap vs Market</t>
        </is>
      </c>
      <c r="G72" s="3" t="inlineStr">
        <is>
          <t>Verdict</t>
        </is>
      </c>
    </row>
    <row r="73">
      <c r="B73" s="4" t="inlineStr">
        <is>
          <t>Base</t>
        </is>
      </c>
      <c r="C73" s="13" t="n">
        <v>1</v>
      </c>
      <c r="D73" s="14">
        <f>((1+C73*D57)*(1+C73*E57)*(1+C73*F57)*(1+C73*G57)*(1+C73*H57))^(1/5)-1</f>
        <v/>
      </c>
      <c r="E73" s="14">
        <f>C50+(AVERAGE(D58,E58,F58,G58,H58)-C50)*C73</f>
        <v/>
      </c>
      <c r="F73" s="15">
        <f>C73-D65</f>
        <v/>
      </c>
      <c r="G73" s="4">
        <f>IF(F73&gt;0.5,"BULLISH (Buy candidate)",IF(F73&gt;0.2,"Mildly Bullish",IF(F73&gt;=-0.2,"Aligned",IF(F73&gt;=-0.5,"Mildly Bearish","BEARISH (Sell candidate)"))))</f>
        <v/>
      </c>
    </row>
    <row r="74">
      <c r="B74" s="4" t="inlineStr">
        <is>
          <t>Upside</t>
        </is>
      </c>
      <c r="C74" s="13" t="n">
        <v>1.5</v>
      </c>
      <c r="D74" s="14">
        <f>((1+C74*D57)*(1+C74*E57)*(1+C74*F57)*(1+C74*G57)*(1+C74*H57))^(1/5)-1</f>
        <v/>
      </c>
      <c r="E74" s="14">
        <f>C50+(AVERAGE(D58,E58,F58,G58,H58)-C50)*C74</f>
        <v/>
      </c>
      <c r="F74" s="15">
        <f>C74-D65</f>
        <v/>
      </c>
      <c r="G74" s="4">
        <f>IF(F74&gt;0.5,"BULLISH (Buy candidate)",IF(F74&gt;0.2,"Mildly Bullish",IF(F74&gt;=-0.2,"Aligned",IF(F74&gt;=-0.5,"Mildly Bearish","BEARISH (Sell candidate)"))))</f>
        <v/>
      </c>
    </row>
    <row r="75">
      <c r="B75" s="4" t="inlineStr">
        <is>
          <t>Management</t>
        </is>
      </c>
      <c r="C75" s="13" t="n">
        <v>0.85</v>
      </c>
      <c r="D75" s="14">
        <f>((1+C75*D57)*(1+C75*E57)*(1+C75*F57)*(1+C75*G57)*(1+C75*H57))^(1/5)-1</f>
        <v/>
      </c>
      <c r="E75" s="14">
        <f>C50+(AVERAGE(D58,E58,F58,G58,H58)-C50)*C75</f>
        <v/>
      </c>
      <c r="F75" s="15">
        <f>C75-D65</f>
        <v/>
      </c>
      <c r="G75" s="4">
        <f>IF(F75&gt;0.5,"BULLISH (Buy candidate)",IF(F75&gt;0.2,"Mildly Bullish",IF(F75&gt;=-0.2,"Aligned",IF(F75&gt;=-0.5,"Mildly Bearish","BEARISH (Sell candidate)"))))</f>
        <v/>
      </c>
    </row>
    <row r="76">
      <c r="B76" s="4" t="inlineStr">
        <is>
          <t>Downside 1</t>
        </is>
      </c>
      <c r="C76" s="13" t="n">
        <v>0.4</v>
      </c>
      <c r="D76" s="14">
        <f>((1+C76*D57)*(1+C76*E57)*(1+C76*F57)*(1+C76*G57)*(1+C76*H57))^(1/5)-1</f>
        <v/>
      </c>
      <c r="E76" s="14">
        <f>C50+(AVERAGE(D58,E58,F58,G58,H58)-C50)*C76</f>
        <v/>
      </c>
      <c r="F76" s="15">
        <f>C76-D65</f>
        <v/>
      </c>
      <c r="G76" s="4">
        <f>IF(F76&gt;0.5,"BULLISH (Buy candidate)",IF(F76&gt;0.2,"Mildly Bullish",IF(F76&gt;=-0.2,"Aligned",IF(F76&gt;=-0.5,"Mildly Bearish","BEARISH (Sell candidate)"))))</f>
        <v/>
      </c>
    </row>
    <row r="77">
      <c r="B77" s="4" t="inlineStr">
        <is>
          <t>Downside 2</t>
        </is>
      </c>
      <c r="C77" s="13" t="n">
        <v>0.15</v>
      </c>
      <c r="D77" s="14">
        <f>((1+C77*D57)*(1+C77*E57)*(1+C77*F57)*(1+C77*G57)*(1+C77*H57))^(1/5)-1</f>
        <v/>
      </c>
      <c r="E77" s="14">
        <f>C50+(AVERAGE(D58,E58,F58,G58,H58)-C50)*C77</f>
        <v/>
      </c>
      <c r="F77" s="15">
        <f>C77-D65</f>
        <v/>
      </c>
      <c r="G77" s="4">
        <f>IF(F77&gt;0.5,"BULLISH (Buy candidate)",IF(F77&gt;0.2,"Mildly Bullish",IF(F77&gt;=-0.2,"Aligned",IF(F77&gt;=-0.5,"Mildly Bearish","BEARISH (Sell candidate)"))))</f>
        <v/>
      </c>
    </row>
    <row r="79">
      <c r="B79" s="2" t="inlineStr">
        <is>
          <t>Block 5: Final Verdict</t>
        </is>
      </c>
    </row>
    <row r="80">
      <c r="B80" s="4" t="inlineStr">
        <is>
          <t>Market View alpha (current price)</t>
        </is>
      </c>
      <c r="C80" s="12">
        <f>D65</f>
        <v/>
      </c>
    </row>
    <row r="81">
      <c r="B81" s="4" t="inlineStr">
        <is>
          <t>My View alpha (editable)</t>
        </is>
      </c>
      <c r="C81" s="16" t="n">
        <v>1</v>
      </c>
    </row>
    <row r="82">
      <c r="B82" s="4" t="inlineStr">
        <is>
          <t>Gap (My - Market)</t>
        </is>
      </c>
      <c r="C82" s="17">
        <f>C81-C80</f>
        <v/>
      </c>
    </row>
    <row r="83">
      <c r="B83" s="4" t="inlineStr">
        <is>
          <t>Action Recommendation</t>
        </is>
      </c>
      <c r="C83" s="18">
        <f>IF(C82&gt;0.5,"BUY (upside surprise expected)",IF(C82&gt;0.2,"BUY/HOLD",IF(C82&gt;=-0.2,"HOLD",IF(C82&gt;=-0.5,"HOLD/SELL","SELL (disappointment risk)"))))</f>
        <v/>
      </c>
    </row>
    <row r="95">
      <c r="B95" s="7" t="inlineStr">
        <is>
          <t>── How to use ──</t>
        </is>
      </c>
    </row>
    <row r="96">
      <c r="B96" t="inlineStr">
        <is>
          <t>1. Block 1: market reference price points</t>
        </is>
      </c>
    </row>
    <row r="97">
      <c r="B97" t="inlineStr">
        <is>
          <t>2. Block 2: alpha-scan implied share prices</t>
        </is>
      </c>
    </row>
    <row r="98">
      <c r="B98" t="inlineStr">
        <is>
          <t>3. Block 3: implied alpha per price (FORECAST)</t>
        </is>
      </c>
    </row>
    <row r="99">
      <c r="B99" t="inlineStr">
        <is>
          <t>4. Block 4: 5-scenario comparison</t>
        </is>
      </c>
    </row>
    <row r="100">
      <c r="B100" t="inlineStr">
        <is>
          <t>5. Block 5: final verdict (edit C81 to set your own alpha)</t>
        </is>
      </c>
    </row>
    <row r="101">
      <c r="B101" t="inlineStr"/>
    </row>
    <row r="102">
      <c r="B102" s="7" t="inlineStr">
        <is>
          <t>── alpha interpretation ──</t>
        </is>
      </c>
    </row>
    <row r="103">
      <c r="B103" t="inlineStr">
        <is>
          <t>alpha = 1.0 -&gt; full Base scenario priced in</t>
        </is>
      </c>
    </row>
    <row r="104">
      <c r="B104" t="inlineStr">
        <is>
          <t>alpha = 0.0 -&gt; zero growth priced in (FY actual flat)</t>
        </is>
      </c>
    </row>
    <row r="105">
      <c r="B105" t="inlineStr">
        <is>
          <t>alpha &lt; 0   -&gt; contraction priced in</t>
        </is>
      </c>
    </row>
    <row r="106">
      <c r="B106" t="inlineStr">
        <is>
          <t>alpha &gt; 1.0 -&gt; above-Base optimism priced in</t>
        </is>
      </c>
    </row>
  </sheetData>
  <mergeCells count="7">
    <mergeCell ref="B5:G5"/>
    <mergeCell ref="B14:T14"/>
    <mergeCell ref="B79:G79"/>
    <mergeCell ref="B71:G71"/>
    <mergeCell ref="B63:F63"/>
    <mergeCell ref="B47:T47"/>
    <mergeCell ref="B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2" customWidth="1" min="4" max="4"/>
    <col width="10" customWidth="1" min="5" max="5"/>
    <col width="12" customWidth="1" min="6" max="6"/>
    <col width="32" customWidth="1" min="7" max="7"/>
  </cols>
  <sheetData>
    <row r="2">
      <c r="B2" s="1" t="inlineStr">
        <is>
          <t>Market Scorecard - IHI Corporation (7013.T)</t>
        </is>
      </c>
    </row>
    <row r="5">
      <c r="B5" s="2" t="inlineStr">
        <is>
          <t>Block 1: Scorecard Summary</t>
        </is>
      </c>
    </row>
    <row r="6">
      <c r="B6" s="3" t="inlineStr">
        <is>
          <t>Factor</t>
        </is>
      </c>
      <c r="C6" s="3" t="inlineStr">
        <is>
          <t>Measure</t>
        </is>
      </c>
      <c r="D6" s="3" t="inlineStr">
        <is>
          <t>Score (-2..+2)</t>
        </is>
      </c>
      <c r="E6" s="3" t="inlineStr">
        <is>
          <t>Weight</t>
        </is>
      </c>
      <c r="F6" s="3" t="inlineStr">
        <is>
          <t>Contribution</t>
        </is>
      </c>
      <c r="G6" s="3" t="inlineStr">
        <is>
          <t>Verdict</t>
        </is>
      </c>
    </row>
    <row r="7">
      <c r="B7" s="4" t="inlineStr">
        <is>
          <t>Implied Growth (1 - market alpha)</t>
        </is>
      </c>
      <c r="C7" s="12">
        <f>1-'Implied Growth Analysis'!C80</f>
        <v/>
      </c>
      <c r="D7" s="4">
        <f>IF(C7&gt;=1,2,IF(C7&gt;=0.5,1,IF(C7&gt;=-0.2,0,IF(C7&gt;=-0.5,-1,-2))))</f>
        <v/>
      </c>
      <c r="E7" s="19" t="n">
        <v>0.4</v>
      </c>
      <c r="F7" s="15">
        <f>D7*E7</f>
        <v/>
      </c>
      <c r="G7" s="4">
        <f>IF(D7=2,"市場大幅悲観 = 強気",IF(D7=1,"市場やや悲観 = 買い候補",IF(D7=0,"市場と認識一致",IF(D7=-1,"市場やや楽観 = 警戒","市場大幅楽観 = 失望リスク"))))</f>
        <v/>
      </c>
    </row>
    <row r="8">
      <c r="B8" s="4" t="inlineStr">
        <is>
          <t>Price Momentum (3M change)</t>
        </is>
      </c>
      <c r="C8" s="20">
        <f>IFERROR((C19-C20)/C20,0)</f>
        <v/>
      </c>
      <c r="D8" s="4">
        <f>IF(C8&lt;=-0.20,2,IF(C8&lt;=-0.10,1,IF(C8&lt;=0.10,0,IF(C8&lt;=0.20,-1,-2))))</f>
        <v/>
      </c>
      <c r="E8" s="19" t="n">
        <v>0.25</v>
      </c>
      <c r="F8" s="15">
        <f>D8*E8</f>
        <v/>
      </c>
      <c r="G8" s="4">
        <f>IF(D8=2,"過剰悲観 = リバウンド余地大",IF(D8=1,"悲観織込み = サプライズ余地",IF(D8=0,"期待ニュートラル",IF(D8=-1,"期待やや過熱","期待過熱 = 失望売りリスク"))))</f>
        <v/>
      </c>
    </row>
    <row r="9">
      <c r="B9" s="4" t="inlineStr">
        <is>
          <t>Margin Balance (credit ratio)</t>
        </is>
      </c>
      <c r="C9" s="13">
        <f>IFERROR(C34/C33,0)</f>
        <v/>
      </c>
      <c r="D9" s="4">
        <f>IF(AND(C36&lt;=1,C34/C35&gt;=0.5),2,IF(AND(C36&lt;=3,C34/C35&gt;=0.3),1,IF(AND(C36&lt;=10,C34/C35&gt;=0.1),0,IF(AND(C36&lt;=20,C34/C35&gt;=0.05),-1,-2))))</f>
        <v/>
      </c>
      <c r="E9" s="19" t="n">
        <v>0.2</v>
      </c>
      <c r="F9" s="15">
        <f>D9*E9</f>
        <v/>
      </c>
      <c r="G9" s="4">
        <f>IF(D9=2,"踏み上げ余地大",IF(D9=1,"需給良好",IF(D9=0,"ニュートラル",IF(D9=-1,"戻り売り圧力","需給最悪"))))</f>
        <v/>
      </c>
    </row>
    <row r="10">
      <c r="B10" s="4" t="inlineStr">
        <is>
          <t>Forecast Gap (vs Company)</t>
        </is>
      </c>
      <c r="C10" s="20">
        <f>AVERAGE(E44:E45)</f>
        <v/>
      </c>
      <c r="D10" s="4">
        <f>ROUND(AVERAGE(F44:F45),0)</f>
        <v/>
      </c>
      <c r="E10" s="19" t="n">
        <v>0.15</v>
      </c>
      <c r="F10" s="15">
        <f>D10*E10</f>
        <v/>
      </c>
      <c r="G10" s="4">
        <f>IF(D10=2,"会社予想を大幅上回る",IF(D10=1,"会社予想を上回る",IF(D10=0,"会社予想と一致",IF(D10=-1,"会社予想を下回る","会社予想を大幅下回る"))))</f>
        <v/>
      </c>
    </row>
    <row r="12">
      <c r="B12" s="21" t="inlineStr">
        <is>
          <t>Total Score</t>
        </is>
      </c>
      <c r="C12" s="4" t="n"/>
      <c r="D12" s="4" t="n"/>
      <c r="E12" s="4" t="n"/>
      <c r="F12" s="22">
        <f>SUM(F7:F10)</f>
        <v/>
      </c>
      <c r="G12" s="23">
        <f>IF(F12&gt;=1,"STRONG BUY",IF(F12&gt;=0.5,"BUY",IF(F12&gt;=-0.5,"HOLD",IF(F12&gt;=-1,"CAUTION","AVOID"))))</f>
        <v/>
      </c>
    </row>
    <row r="17">
      <c r="B17" s="2" t="inlineStr">
        <is>
          <t>Block 2: Price Momentum Inputs</t>
        </is>
      </c>
    </row>
    <row r="19">
      <c r="B19" s="4" t="inlineStr">
        <is>
          <t>Current Price</t>
        </is>
      </c>
      <c r="C19" s="24" t="n">
        <v>2824</v>
      </c>
    </row>
    <row r="20">
      <c r="B20" s="4" t="inlineStr">
        <is>
          <t>Price 3M ago</t>
        </is>
      </c>
      <c r="C20" s="24" t="n">
        <v>2824</v>
      </c>
    </row>
    <row r="21">
      <c r="B21" s="4" t="inlineStr">
        <is>
          <t>Price 1M ago</t>
        </is>
      </c>
      <c r="C21" s="24" t="n">
        <v>2824</v>
      </c>
    </row>
    <row r="22">
      <c r="B22" s="4" t="inlineStr">
        <is>
          <t>Recent High</t>
        </is>
      </c>
      <c r="C22" s="24" t="n">
        <v>2824</v>
      </c>
    </row>
    <row r="23">
      <c r="B23" s="4" t="inlineStr">
        <is>
          <t>Recent Low</t>
        </is>
      </c>
      <c r="C23" s="24" t="n">
        <v>2824</v>
      </c>
    </row>
    <row r="25">
      <c r="B25" s="7" t="inlineStr">
        <is>
          <t>── Derived metrics ──</t>
        </is>
      </c>
    </row>
    <row r="26">
      <c r="B26" t="inlineStr">
        <is>
          <t>3M Change</t>
        </is>
      </c>
      <c r="C26" s="25">
        <f>IFERROR((C19-C20)/C20,"")</f>
        <v/>
      </c>
    </row>
    <row r="27">
      <c r="B27" t="inlineStr">
        <is>
          <t>1M Change</t>
        </is>
      </c>
      <c r="C27" s="25">
        <f>IFERROR((C19-C21)/C21,"")</f>
        <v/>
      </c>
    </row>
    <row r="28">
      <c r="B28" t="inlineStr">
        <is>
          <t>High-to-Current</t>
        </is>
      </c>
      <c r="C28" s="25">
        <f>IFERROR((C19-C22)/C22,"")</f>
        <v/>
      </c>
    </row>
    <row r="31">
      <c r="B31" s="2" t="inlineStr">
        <is>
          <t>Block 3: Margin Trading Inputs</t>
        </is>
      </c>
    </row>
    <row r="33">
      <c r="B33" s="4" t="inlineStr">
        <is>
          <t>信用買残 (千株 / 1k shares)</t>
        </is>
      </c>
      <c r="C33" s="24" t="n">
        <v>22426</v>
      </c>
    </row>
    <row r="34">
      <c r="B34" s="4" t="inlineStr">
        <is>
          <t>信用売残 (千株 / 1k shares)</t>
        </is>
      </c>
      <c r="C34" s="24" t="n">
        <v>611</v>
      </c>
    </row>
    <row r="35">
      <c r="B35" s="4" t="inlineStr">
        <is>
          <t>過去6ヶ月 売残ピーク (千株)</t>
        </is>
      </c>
      <c r="C35" s="24" t="n">
        <v>611</v>
      </c>
    </row>
    <row r="36">
      <c r="B36" s="4" t="inlineStr">
        <is>
          <t>信用倍率 (買 / 売)</t>
        </is>
      </c>
      <c r="C36" s="26">
        <f>IFERROR(C33/C34,99)</f>
        <v/>
      </c>
    </row>
    <row r="37">
      <c r="B37" s="4" t="inlineStr">
        <is>
          <t>売残充実度 (現在 / ピーク)</t>
        </is>
      </c>
      <c r="C37" s="26">
        <f>IFERROR(C34/C35,0)</f>
        <v/>
      </c>
    </row>
    <row r="41">
      <c r="B41" s="2" t="inlineStr">
        <is>
          <t>Block 4: Forecast Gap Inputs</t>
        </is>
      </c>
    </row>
    <row r="43">
      <c r="B43" s="3" t="inlineStr">
        <is>
          <t>Item</t>
        </is>
      </c>
      <c r="C43" s="3" t="inlineStr">
        <is>
          <t>Self (DCF Base)</t>
        </is>
      </c>
      <c r="D43" s="3" t="inlineStr">
        <is>
          <t>Company forecast</t>
        </is>
      </c>
      <c r="E43" s="3" t="inlineStr">
        <is>
          <t>Gap</t>
        </is>
      </c>
      <c r="F43" s="3" t="inlineStr">
        <is>
          <t>Score</t>
        </is>
      </c>
    </row>
    <row r="44">
      <c r="B44" s="4" t="inlineStr">
        <is>
          <t>営業利益成長率</t>
        </is>
      </c>
      <c r="C44" s="27" t="n">
        <v>0.3090403152511176</v>
      </c>
      <c r="D44" s="28" t="n">
        <v>0.1</v>
      </c>
      <c r="E44" s="20">
        <f>C44-D44</f>
        <v/>
      </c>
      <c r="F44" s="4">
        <f>IF(E44&gt;=0.10,2,IF(E44&gt;=0.05,1,IF(E44&gt;=-0.05,0,IF(E44&gt;=-0.10,-1,-2))))</f>
        <v/>
      </c>
    </row>
    <row r="45">
      <c r="B45" s="4" t="inlineStr">
        <is>
          <t>売上成長率</t>
        </is>
      </c>
      <c r="C45" s="27" t="n">
        <v>0.03476825290178365</v>
      </c>
      <c r="D45" s="28" t="n">
        <v>0.04</v>
      </c>
      <c r="E45" s="20">
        <f>C45-D45</f>
        <v/>
      </c>
      <c r="F45" s="4">
        <f>IF(E45&gt;=0.10,2,IF(E45&gt;=0.05,1,IF(E45&gt;=-0.05,0,IF(E45&gt;=-0.10,-1,-2))))</f>
        <v/>
      </c>
    </row>
    <row r="53">
      <c r="B53" s="2" t="inlineStr">
        <is>
          <t>Block 5: Interpretation Guide</t>
        </is>
      </c>
    </row>
    <row r="55">
      <c r="B55" s="7" t="inlineStr">
        <is>
          <t>STRONG BUY (Total &gt;= +1.0)</t>
        </is>
      </c>
      <c r="C55" s="29" t="inlineStr">
        <is>
          <t>4要素のうち複数が大悲観/サプライズ余地あり。市場との乖離が大きく、買いシグナル強い。</t>
        </is>
      </c>
    </row>
    <row r="56">
      <c r="B56" s="7" t="inlineStr">
        <is>
          <t>BUY        (+0.5 .. +1.0)</t>
        </is>
      </c>
      <c r="C56" s="29" t="inlineStr">
        <is>
          <t>買い候補。ファンダメンタルズが市場の織り込みを上回る公算。</t>
        </is>
      </c>
    </row>
    <row r="57">
      <c r="B57" s="7" t="inlineStr">
        <is>
          <t>HOLD       (-0.5 .. +0.5)</t>
        </is>
      </c>
      <c r="C57" s="29" t="inlineStr">
        <is>
          <t>市場とおおむね整合。様子見。</t>
        </is>
      </c>
    </row>
    <row r="58">
      <c r="B58" s="7" t="inlineStr">
        <is>
          <t>CAUTION    (-1.0 .. -0.5)</t>
        </is>
      </c>
      <c r="C58" s="29" t="inlineStr">
        <is>
          <t>市場過熱気味。下げリスクあり、保有量を減らす検討。</t>
        </is>
      </c>
    </row>
    <row r="59">
      <c r="B59" s="7" t="inlineStr">
        <is>
          <t>AVOID      (Total &lt; -1.0)</t>
        </is>
      </c>
      <c r="C59" s="29" t="inlineStr">
        <is>
          <t>市場の楽観が過度。失望リスク高い。</t>
        </is>
      </c>
    </row>
    <row r="62">
      <c r="B62" s="7" t="inlineStr">
        <is>
          <t>── 使い方 / How to use ──</t>
        </is>
      </c>
    </row>
    <row r="63">
      <c r="B63" t="inlineStr">
        <is>
          <t>1. Block 2 / 3 / 4 の黄色入力欄に最新の市場データを入力する。</t>
        </is>
      </c>
    </row>
    <row r="64">
      <c r="B64" t="inlineStr">
        <is>
          <t>2. Implied Growth Analysis シートで Block 5 の C80 行近くで My View alpha を入力する。</t>
        </is>
      </c>
    </row>
    <row r="65">
      <c r="B65" t="inlineStr">
        <is>
          <t>3. Block 1 (this sheet) Total Score と判定を確認する。</t>
        </is>
      </c>
    </row>
    <row r="66">
      <c r="B66" t="inlineStr">
        <is>
          <t>4. 複数銘柄で同じテンプレートを使用し、横比較で買い候補を絞り込む。</t>
        </is>
      </c>
    </row>
  </sheetData>
  <mergeCells count="11">
    <mergeCell ref="B2:G2"/>
    <mergeCell ref="C59:G59"/>
    <mergeCell ref="B5:G5"/>
    <mergeCell ref="B31:G31"/>
    <mergeCell ref="B17:G17"/>
    <mergeCell ref="B41:G41"/>
    <mergeCell ref="C58:G58"/>
    <mergeCell ref="C57:G57"/>
    <mergeCell ref="C55:G55"/>
    <mergeCell ref="B53:G53"/>
    <mergeCell ref="C56:G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2026-05-13T03:16:51Z</dcterms:created>
  <dcterms:modified xmlns:dcterms="http://purl.org/dc/terms/" xmlns:xsi="http://www.w3.org/2001/XMLSchema-instance" xsi:type="dcterms:W3CDTF">2026-05-13T03:16:51Z</dcterms:modified>
</cp:coreProperties>
</file>