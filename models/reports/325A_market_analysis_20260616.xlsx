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reports\"/>
    </mc:Choice>
  </mc:AlternateContent>
  <xr:revisionPtr revIDLastSave="0" documentId="13_ncr:1_{454BEDDE-EF2A-49D7-8BC1-E19D129948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lied Growth Analysis" sheetId="1" r:id="rId1"/>
    <sheet name="Implied Multiple Analysis" sheetId="2" r:id="rId2"/>
    <sheet name="Market Scorecard" sheetId="3" r:id="rId3"/>
    <sheet name="Narrative Stage" sheetId="4" r:id="rId4"/>
  </sheets>
  <calcPr calcId="181029"/>
</workbook>
</file>

<file path=xl/calcChain.xml><?xml version="1.0" encoding="utf-8"?>
<calcChain xmlns="http://schemas.openxmlformats.org/spreadsheetml/2006/main">
  <c r="P20" i="1" l="1"/>
  <c r="E45" i="3"/>
  <c r="F45" i="3" s="1"/>
  <c r="D10" i="3" s="1"/>
  <c r="F44" i="3"/>
  <c r="E44" i="3"/>
  <c r="C37" i="3"/>
  <c r="C36" i="3"/>
  <c r="C28" i="3"/>
  <c r="C27" i="3"/>
  <c r="C26" i="3"/>
  <c r="D9" i="3"/>
  <c r="F9" i="3" s="1"/>
  <c r="C9" i="3"/>
  <c r="C8" i="3"/>
  <c r="D8" i="3" s="1"/>
  <c r="D35" i="2"/>
  <c r="E35" i="2" s="1"/>
  <c r="C35" i="2"/>
  <c r="D34" i="2"/>
  <c r="E34" i="2" s="1"/>
  <c r="C34" i="2"/>
  <c r="E33" i="2"/>
  <c r="D33" i="2"/>
  <c r="C33" i="2"/>
  <c r="D32" i="2"/>
  <c r="E32" i="2" s="1"/>
  <c r="C32" i="2"/>
  <c r="D31" i="2"/>
  <c r="E31" i="2" s="1"/>
  <c r="C31" i="2"/>
  <c r="C19" i="2"/>
  <c r="C18" i="2"/>
  <c r="C48" i="2" s="1"/>
  <c r="E76" i="1"/>
  <c r="D76" i="1"/>
  <c r="E75" i="1"/>
  <c r="D75" i="1"/>
  <c r="E74" i="1"/>
  <c r="D74" i="1"/>
  <c r="E73" i="1"/>
  <c r="D73" i="1"/>
  <c r="E72" i="1"/>
  <c r="D72" i="1"/>
  <c r="C68" i="1"/>
  <c r="B68" i="1"/>
  <c r="C67" i="1"/>
  <c r="B67" i="1"/>
  <c r="C66" i="1"/>
  <c r="B66" i="1"/>
  <c r="C65" i="1"/>
  <c r="B65" i="1"/>
  <c r="C64" i="1"/>
  <c r="B64" i="1"/>
  <c r="L30" i="1"/>
  <c r="L35" i="1" s="1"/>
  <c r="K25" i="1"/>
  <c r="J25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T20" i="1"/>
  <c r="T25" i="1" s="1"/>
  <c r="T30" i="1" s="1"/>
  <c r="T35" i="1" s="1"/>
  <c r="S20" i="1"/>
  <c r="S25" i="1" s="1"/>
  <c r="R20" i="1"/>
  <c r="R25" i="1" s="1"/>
  <c r="Q20" i="1"/>
  <c r="Q25" i="1" s="1"/>
  <c r="Q30" i="1" s="1"/>
  <c r="Q35" i="1" s="1"/>
  <c r="P25" i="1"/>
  <c r="P26" i="1" s="1"/>
  <c r="O20" i="1"/>
  <c r="O25" i="1" s="1"/>
  <c r="O26" i="1" s="1"/>
  <c r="N20" i="1"/>
  <c r="N25" i="1" s="1"/>
  <c r="M20" i="1"/>
  <c r="M25" i="1" s="1"/>
  <c r="M30" i="1" s="1"/>
  <c r="M35" i="1" s="1"/>
  <c r="L20" i="1"/>
  <c r="L25" i="1" s="1"/>
  <c r="L26" i="1" s="1"/>
  <c r="K20" i="1"/>
  <c r="J20" i="1"/>
  <c r="I20" i="1"/>
  <c r="I25" i="1" s="1"/>
  <c r="H20" i="1"/>
  <c r="H25" i="1" s="1"/>
  <c r="H30" i="1" s="1"/>
  <c r="H35" i="1" s="1"/>
  <c r="G20" i="1"/>
  <c r="G25" i="1" s="1"/>
  <c r="F20" i="1"/>
  <c r="F25" i="1" s="1"/>
  <c r="E20" i="1"/>
  <c r="E25" i="1" s="1"/>
  <c r="E30" i="1" s="1"/>
  <c r="E35" i="1" s="1"/>
  <c r="D20" i="1"/>
  <c r="D25" i="1" s="1"/>
  <c r="D26" i="1" s="1"/>
  <c r="C20" i="1"/>
  <c r="C25" i="1" s="1"/>
  <c r="D11" i="1"/>
  <c r="E11" i="1" s="1"/>
  <c r="F11" i="1" s="1"/>
  <c r="D10" i="1"/>
  <c r="E10" i="1" s="1"/>
  <c r="F10" i="1" s="1"/>
  <c r="D9" i="1"/>
  <c r="E9" i="1" s="1"/>
  <c r="F9" i="1" s="1"/>
  <c r="D8" i="1"/>
  <c r="E8" i="1" s="1"/>
  <c r="F8" i="1" s="1"/>
  <c r="D7" i="1"/>
  <c r="E7" i="1" s="1"/>
  <c r="F7" i="1" s="1"/>
  <c r="I30" i="1" l="1"/>
  <c r="I35" i="1" s="1"/>
  <c r="I26" i="1"/>
  <c r="G30" i="1"/>
  <c r="G35" i="1" s="1"/>
  <c r="G26" i="1"/>
  <c r="G27" i="1" s="1"/>
  <c r="G28" i="1" s="1"/>
  <c r="P30" i="1"/>
  <c r="P35" i="1" s="1"/>
  <c r="H26" i="1"/>
  <c r="H31" i="1" s="1"/>
  <c r="H36" i="1" s="1"/>
  <c r="G9" i="3"/>
  <c r="G32" i="1"/>
  <c r="G37" i="1" s="1"/>
  <c r="P31" i="1"/>
  <c r="P36" i="1" s="1"/>
  <c r="P27" i="1"/>
  <c r="S30" i="1"/>
  <c r="S35" i="1" s="1"/>
  <c r="S26" i="1"/>
  <c r="D31" i="1"/>
  <c r="D36" i="1" s="1"/>
  <c r="D27" i="1"/>
  <c r="L31" i="1"/>
  <c r="L36" i="1" s="1"/>
  <c r="L27" i="1"/>
  <c r="O31" i="1"/>
  <c r="O36" i="1" s="1"/>
  <c r="O27" i="1"/>
  <c r="O30" i="1"/>
  <c r="O35" i="1" s="1"/>
  <c r="F30" i="1"/>
  <c r="F35" i="1" s="1"/>
  <c r="F26" i="1"/>
  <c r="M26" i="1"/>
  <c r="J30" i="1"/>
  <c r="J35" i="1" s="1"/>
  <c r="J26" i="1"/>
  <c r="E26" i="1"/>
  <c r="Q26" i="1"/>
  <c r="N30" i="1"/>
  <c r="N35" i="1" s="1"/>
  <c r="N26" i="1"/>
  <c r="H27" i="1"/>
  <c r="G31" i="1"/>
  <c r="G36" i="1" s="1"/>
  <c r="C21" i="2"/>
  <c r="C20" i="2"/>
  <c r="C49" i="2"/>
  <c r="K30" i="1"/>
  <c r="K35" i="1" s="1"/>
  <c r="K26" i="1"/>
  <c r="G8" i="3"/>
  <c r="F8" i="3"/>
  <c r="C30" i="1"/>
  <c r="C35" i="1" s="1"/>
  <c r="C26" i="1"/>
  <c r="T26" i="1"/>
  <c r="I31" i="1"/>
  <c r="I36" i="1" s="1"/>
  <c r="I27" i="1"/>
  <c r="D30" i="1"/>
  <c r="D35" i="1" s="1"/>
  <c r="R30" i="1"/>
  <c r="R35" i="1" s="1"/>
  <c r="R26" i="1"/>
  <c r="G10" i="3"/>
  <c r="F10" i="3"/>
  <c r="C10" i="3"/>
  <c r="P32" i="1" l="1"/>
  <c r="P37" i="1" s="1"/>
  <c r="P28" i="1"/>
  <c r="K27" i="1"/>
  <c r="K31" i="1"/>
  <c r="K36" i="1" s="1"/>
  <c r="C26" i="2"/>
  <c r="C27" i="2" s="1"/>
  <c r="C25" i="2"/>
  <c r="C24" i="2"/>
  <c r="C27" i="1"/>
  <c r="C31" i="1"/>
  <c r="C36" i="1" s="1"/>
  <c r="Q31" i="1"/>
  <c r="Q36" i="1" s="1"/>
  <c r="Q27" i="1"/>
  <c r="O32" i="1"/>
  <c r="O37" i="1" s="1"/>
  <c r="O28" i="1"/>
  <c r="E27" i="1"/>
  <c r="E31" i="1"/>
  <c r="E36" i="1" s="1"/>
  <c r="G29" i="1"/>
  <c r="G34" i="1" s="1"/>
  <c r="G39" i="1" s="1"/>
  <c r="G41" i="1" s="1"/>
  <c r="G42" i="1" s="1"/>
  <c r="G33" i="1"/>
  <c r="G38" i="1" s="1"/>
  <c r="R27" i="1"/>
  <c r="R31" i="1"/>
  <c r="R36" i="1" s="1"/>
  <c r="J27" i="1"/>
  <c r="J31" i="1"/>
  <c r="J36" i="1" s="1"/>
  <c r="T31" i="1"/>
  <c r="T36" i="1" s="1"/>
  <c r="T27" i="1"/>
  <c r="S27" i="1"/>
  <c r="S31" i="1"/>
  <c r="S36" i="1" s="1"/>
  <c r="H32" i="1"/>
  <c r="H37" i="1" s="1"/>
  <c r="H28" i="1"/>
  <c r="L32" i="1"/>
  <c r="L37" i="1" s="1"/>
  <c r="L28" i="1"/>
  <c r="M27" i="1"/>
  <c r="M31" i="1"/>
  <c r="M36" i="1" s="1"/>
  <c r="I28" i="1"/>
  <c r="I32" i="1"/>
  <c r="I37" i="1" s="1"/>
  <c r="N31" i="1"/>
  <c r="N36" i="1" s="1"/>
  <c r="N27" i="1"/>
  <c r="F27" i="1"/>
  <c r="F31" i="1"/>
  <c r="F36" i="1" s="1"/>
  <c r="D28" i="1"/>
  <c r="D32" i="1"/>
  <c r="D37" i="1" s="1"/>
  <c r="G40" i="1" l="1"/>
  <c r="G43" i="1" s="1"/>
  <c r="G44" i="1" s="1"/>
  <c r="G45" i="1" s="1"/>
  <c r="F32" i="1"/>
  <c r="F37" i="1" s="1"/>
  <c r="F28" i="1"/>
  <c r="L33" i="1"/>
  <c r="L38" i="1" s="1"/>
  <c r="L29" i="1"/>
  <c r="L34" i="1" s="1"/>
  <c r="L39" i="1" s="1"/>
  <c r="L41" i="1" s="1"/>
  <c r="L42" i="1" s="1"/>
  <c r="T32" i="1"/>
  <c r="T37" i="1" s="1"/>
  <c r="T28" i="1"/>
  <c r="N32" i="1"/>
  <c r="N37" i="1" s="1"/>
  <c r="N28" i="1"/>
  <c r="C28" i="1"/>
  <c r="C32" i="1"/>
  <c r="C37" i="1" s="1"/>
  <c r="K28" i="1"/>
  <c r="K32" i="1"/>
  <c r="K37" i="1" s="1"/>
  <c r="E32" i="1"/>
  <c r="E37" i="1" s="1"/>
  <c r="E28" i="1"/>
  <c r="P33" i="1"/>
  <c r="P38" i="1" s="1"/>
  <c r="P40" i="1" s="1"/>
  <c r="P43" i="1" s="1"/>
  <c r="P44" i="1" s="1"/>
  <c r="P45" i="1" s="1"/>
  <c r="P29" i="1"/>
  <c r="P34" i="1" s="1"/>
  <c r="P39" i="1" s="1"/>
  <c r="P41" i="1" s="1"/>
  <c r="P42" i="1" s="1"/>
  <c r="H33" i="1"/>
  <c r="H38" i="1" s="1"/>
  <c r="H29" i="1"/>
  <c r="H34" i="1" s="1"/>
  <c r="H39" i="1" s="1"/>
  <c r="H41" i="1" s="1"/>
  <c r="H42" i="1" s="1"/>
  <c r="J32" i="1"/>
  <c r="J37" i="1" s="1"/>
  <c r="J28" i="1"/>
  <c r="O33" i="1"/>
  <c r="O38" i="1" s="1"/>
  <c r="O29" i="1"/>
  <c r="O34" i="1" s="1"/>
  <c r="O39" i="1" s="1"/>
  <c r="O41" i="1" s="1"/>
  <c r="O42" i="1" s="1"/>
  <c r="I33" i="1"/>
  <c r="I38" i="1" s="1"/>
  <c r="I40" i="1" s="1"/>
  <c r="I43" i="1" s="1"/>
  <c r="I44" i="1" s="1"/>
  <c r="I45" i="1" s="1"/>
  <c r="I29" i="1"/>
  <c r="I34" i="1" s="1"/>
  <c r="I39" i="1" s="1"/>
  <c r="I41" i="1" s="1"/>
  <c r="I42" i="1" s="1"/>
  <c r="R32" i="1"/>
  <c r="R37" i="1" s="1"/>
  <c r="R28" i="1"/>
  <c r="D33" i="1"/>
  <c r="D38" i="1" s="1"/>
  <c r="D29" i="1"/>
  <c r="D34" i="1" s="1"/>
  <c r="D39" i="1" s="1"/>
  <c r="D41" i="1" s="1"/>
  <c r="D42" i="1" s="1"/>
  <c r="Q28" i="1"/>
  <c r="Q32" i="1"/>
  <c r="Q37" i="1" s="1"/>
  <c r="M28" i="1"/>
  <c r="M32" i="1"/>
  <c r="M37" i="1" s="1"/>
  <c r="S28" i="1"/>
  <c r="S32" i="1"/>
  <c r="S37" i="1" s="1"/>
  <c r="O40" i="1" l="1"/>
  <c r="O43" i="1" s="1"/>
  <c r="O44" i="1" s="1"/>
  <c r="O45" i="1" s="1"/>
  <c r="D40" i="1"/>
  <c r="D43" i="1" s="1"/>
  <c r="D44" i="1" s="1"/>
  <c r="D45" i="1" s="1"/>
  <c r="N33" i="1"/>
  <c r="N38" i="1" s="1"/>
  <c r="N29" i="1"/>
  <c r="N34" i="1" s="1"/>
  <c r="N39" i="1" s="1"/>
  <c r="N41" i="1" s="1"/>
  <c r="N42" i="1" s="1"/>
  <c r="J29" i="1"/>
  <c r="J34" i="1" s="1"/>
  <c r="J39" i="1" s="1"/>
  <c r="J41" i="1" s="1"/>
  <c r="J42" i="1" s="1"/>
  <c r="J33" i="1"/>
  <c r="J38" i="1" s="1"/>
  <c r="T33" i="1"/>
  <c r="T38" i="1" s="1"/>
  <c r="T29" i="1"/>
  <c r="T34" i="1" s="1"/>
  <c r="T39" i="1" s="1"/>
  <c r="T41" i="1" s="1"/>
  <c r="T42" i="1" s="1"/>
  <c r="K33" i="1"/>
  <c r="K38" i="1" s="1"/>
  <c r="K29" i="1"/>
  <c r="K34" i="1" s="1"/>
  <c r="K39" i="1" s="1"/>
  <c r="K41" i="1" s="1"/>
  <c r="K42" i="1" s="1"/>
  <c r="C33" i="1"/>
  <c r="C38" i="1" s="1"/>
  <c r="C29" i="1"/>
  <c r="C34" i="1" s="1"/>
  <c r="C39" i="1" s="1"/>
  <c r="C41" i="1" s="1"/>
  <c r="C42" i="1" s="1"/>
  <c r="H40" i="1"/>
  <c r="H43" i="1" s="1"/>
  <c r="H44" i="1" s="1"/>
  <c r="H45" i="1" s="1"/>
  <c r="S33" i="1"/>
  <c r="S38" i="1" s="1"/>
  <c r="S29" i="1"/>
  <c r="S34" i="1" s="1"/>
  <c r="S39" i="1" s="1"/>
  <c r="S41" i="1" s="1"/>
  <c r="S42" i="1" s="1"/>
  <c r="R33" i="1"/>
  <c r="R38" i="1" s="1"/>
  <c r="R29" i="1"/>
  <c r="R34" i="1" s="1"/>
  <c r="R39" i="1" s="1"/>
  <c r="R41" i="1" s="1"/>
  <c r="R42" i="1" s="1"/>
  <c r="M33" i="1"/>
  <c r="M38" i="1" s="1"/>
  <c r="M29" i="1"/>
  <c r="M34" i="1" s="1"/>
  <c r="M39" i="1" s="1"/>
  <c r="M41" i="1" s="1"/>
  <c r="M42" i="1" s="1"/>
  <c r="F33" i="1"/>
  <c r="F38" i="1" s="1"/>
  <c r="F29" i="1"/>
  <c r="F34" i="1" s="1"/>
  <c r="F39" i="1" s="1"/>
  <c r="F41" i="1" s="1"/>
  <c r="F42" i="1" s="1"/>
  <c r="L40" i="1"/>
  <c r="L43" i="1" s="1"/>
  <c r="L44" i="1" s="1"/>
  <c r="L45" i="1" s="1"/>
  <c r="Q33" i="1"/>
  <c r="Q38" i="1" s="1"/>
  <c r="Q29" i="1"/>
  <c r="Q34" i="1" s="1"/>
  <c r="Q39" i="1" s="1"/>
  <c r="Q41" i="1" s="1"/>
  <c r="Q42" i="1" s="1"/>
  <c r="E33" i="1"/>
  <c r="E38" i="1" s="1"/>
  <c r="E29" i="1"/>
  <c r="E34" i="1" s="1"/>
  <c r="E39" i="1" s="1"/>
  <c r="E41" i="1" s="1"/>
  <c r="E42" i="1" s="1"/>
  <c r="K40" i="1" l="1"/>
  <c r="K43" i="1" s="1"/>
  <c r="K44" i="1" s="1"/>
  <c r="K45" i="1" s="1"/>
  <c r="Q40" i="1"/>
  <c r="Q43" i="1" s="1"/>
  <c r="Q44" i="1" s="1"/>
  <c r="Q45" i="1" s="1"/>
  <c r="S40" i="1"/>
  <c r="S43" i="1" s="1"/>
  <c r="S44" i="1" s="1"/>
  <c r="S45" i="1" s="1"/>
  <c r="R40" i="1"/>
  <c r="R43" i="1" s="1"/>
  <c r="R44" i="1" s="1"/>
  <c r="R45" i="1" s="1"/>
  <c r="F40" i="1"/>
  <c r="F43" i="1" s="1"/>
  <c r="F44" i="1" s="1"/>
  <c r="F45" i="1" s="1"/>
  <c r="C40" i="1"/>
  <c r="C43" i="1" s="1"/>
  <c r="C44" i="1" s="1"/>
  <c r="C45" i="1" s="1"/>
  <c r="J40" i="1"/>
  <c r="J43" i="1" s="1"/>
  <c r="J44" i="1" s="1"/>
  <c r="J45" i="1" s="1"/>
  <c r="M40" i="1"/>
  <c r="M43" i="1" s="1"/>
  <c r="M44" i="1" s="1"/>
  <c r="M45" i="1" s="1"/>
  <c r="D66" i="1" s="1"/>
  <c r="E40" i="1"/>
  <c r="E43" i="1" s="1"/>
  <c r="E44" i="1" s="1"/>
  <c r="E45" i="1" s="1"/>
  <c r="T40" i="1"/>
  <c r="T43" i="1" s="1"/>
  <c r="T44" i="1" s="1"/>
  <c r="T45" i="1" s="1"/>
  <c r="N40" i="1"/>
  <c r="N43" i="1" s="1"/>
  <c r="N44" i="1" s="1"/>
  <c r="N45" i="1" s="1"/>
  <c r="D64" i="1" l="1"/>
  <c r="F64" i="1" s="1"/>
  <c r="D68" i="1"/>
  <c r="F68" i="1" s="1"/>
  <c r="D67" i="1"/>
  <c r="F67" i="1" s="1"/>
  <c r="D65" i="1"/>
  <c r="E65" i="1" s="1"/>
  <c r="F66" i="1"/>
  <c r="E66" i="1"/>
  <c r="E68" i="1" l="1"/>
  <c r="F73" i="1"/>
  <c r="G73" i="1" s="1"/>
  <c r="F75" i="1"/>
  <c r="G75" i="1" s="1"/>
  <c r="E64" i="1"/>
  <c r="E67" i="1"/>
  <c r="F74" i="1"/>
  <c r="G74" i="1" s="1"/>
  <c r="F65" i="1"/>
  <c r="F76" i="1"/>
  <c r="G76" i="1" s="1"/>
  <c r="F72" i="1"/>
  <c r="G72" i="1" s="1"/>
  <c r="C79" i="1"/>
  <c r="C81" i="1" s="1"/>
  <c r="C82" i="1" s="1"/>
  <c r="C7" i="3" l="1"/>
  <c r="D7" i="3" s="1"/>
  <c r="F7" i="3"/>
  <c r="F12" i="3" s="1"/>
  <c r="G12" i="3" s="1"/>
  <c r="G7" i="3"/>
</calcChain>
</file>

<file path=xl/sharedStrings.xml><?xml version="1.0" encoding="utf-8"?>
<sst xmlns="http://schemas.openxmlformats.org/spreadsheetml/2006/main" count="249" uniqueCount="232">
  <si>
    <t>Implied Growth Analysis - 株式会社TENTIAL (325A.T)</t>
  </si>
  <si>
    <t>Block 1: Market Inputs (Price Points)</t>
  </si>
  <si>
    <t>Label</t>
  </si>
  <si>
    <t>Price (JPY)</t>
  </si>
  <si>
    <t>Equity (JPY mn)</t>
  </si>
  <si>
    <t>EV (JPY mn)</t>
  </si>
  <si>
    <t>Required PV (JPY mn)</t>
  </si>
  <si>
    <t>Timing</t>
  </si>
  <si>
    <t>Current Price</t>
  </si>
  <si>
    <t>now</t>
  </si>
  <si>
    <t>DCF Base PGM Target</t>
  </si>
  <si>
    <t>Base scenario</t>
  </si>
  <si>
    <t>DCF Exit-Multiple Target</t>
  </si>
  <si>
    <t>active scenario</t>
  </si>
  <si>
    <t>Recent Low</t>
  </si>
  <si>
    <t>recent</t>
  </si>
  <si>
    <t>Recent High</t>
  </si>
  <si>
    <t>Block 2: Reverse DCF Engine (alpha-scan)</t>
  </si>
  <si>
    <t>alpha (Base growth multiplier)</t>
  </si>
  <si>
    <t>alpha value</t>
  </si>
  <si>
    <t>Calculations (Year 1 to Year 5)</t>
  </si>
  <si>
    <t xml:space="preserve">  Year 1 growth (alpha x Base)</t>
  </si>
  <si>
    <t xml:space="preserve">  Year 2 growth (alpha x Base)</t>
  </si>
  <si>
    <t xml:space="preserve">  Year 3 growth (alpha x Base)</t>
  </si>
  <si>
    <t xml:space="preserve">  Year 4 growth (alpha x Base)</t>
  </si>
  <si>
    <t xml:space="preserve">  Year 5 growth (alpha x Base)</t>
  </si>
  <si>
    <t xml:space="preserve">  Year 1 Revenue (mn)</t>
  </si>
  <si>
    <t xml:space="preserve">  Year 2 Revenue (mn)</t>
  </si>
  <si>
    <t xml:space="preserve">  Year 3 Revenue (mn)</t>
  </si>
  <si>
    <t xml:space="preserve">  Year 4 Revenue (mn)</t>
  </si>
  <si>
    <t xml:space="preserve">  Year 5 Revenue (mn)</t>
  </si>
  <si>
    <t xml:space="preserve">  Year 1 EBIT (mn)</t>
  </si>
  <si>
    <t xml:space="preserve">  Year 2 EBIT (mn)</t>
  </si>
  <si>
    <t xml:space="preserve">  Year 3 EBIT (mn)</t>
  </si>
  <si>
    <t xml:space="preserve">  Year 4 EBIT (mn)</t>
  </si>
  <si>
    <t xml:space="preserve">  Year 5 EBIT (mn)</t>
  </si>
  <si>
    <t xml:space="preserve">  Year 1 FCF (mn)</t>
  </si>
  <si>
    <t xml:space="preserve">  Year 2 FCF (mn)</t>
  </si>
  <si>
    <t xml:space="preserve">  Year 3 FCF (mn)</t>
  </si>
  <si>
    <t xml:space="preserve">  Year 4 FCF (mn)</t>
  </si>
  <si>
    <t xml:space="preserve">  Year 5 FCF (mn)</t>
  </si>
  <si>
    <t>Sum PV of explicit FCFs (mn)</t>
  </si>
  <si>
    <t>Terminal Value, PGM (mn)</t>
  </si>
  <si>
    <t>PV of Terminal Value (mn)</t>
  </si>
  <si>
    <t>Enterprise Value (mn)</t>
  </si>
  <si>
    <t>Equity Value (mn)</t>
  </si>
  <si>
    <t>Implied Share Price (JPY)</t>
  </si>
  <si>
    <t>── Auxiliary inputs (extracted from DCF) ──</t>
  </si>
  <si>
    <t>FY Actual Total Revenue (mn) [F]</t>
  </si>
  <si>
    <t>FY Actual Total OP (mn)</t>
  </si>
  <si>
    <t>FY Actual Total OPM</t>
  </si>
  <si>
    <t>Base scenario - per-segment revenue path (mn)</t>
  </si>
  <si>
    <t>Year 1</t>
  </si>
  <si>
    <t>Year 2</t>
  </si>
  <si>
    <t>Year 3</t>
  </si>
  <si>
    <t>Year 4</t>
  </si>
  <si>
    <t>Year 5</t>
  </si>
  <si>
    <t>Consolidated (single segment)</t>
  </si>
  <si>
    <t>Total Base Revenue (mn)</t>
  </si>
  <si>
    <t>Total Base Growth (YoY)</t>
  </si>
  <si>
    <t>Total Base OPM (weighted)</t>
  </si>
  <si>
    <t>D&amp;A (DCF active scenario)</t>
  </si>
  <si>
    <t>Capex (DCF active scenario)</t>
  </si>
  <si>
    <t>DeltaNWC (DCF active scenario)</t>
  </si>
  <si>
    <t>Block 3: Implied alpha per Price Point (local linear interpolation)</t>
  </si>
  <si>
    <t>Implied alpha</t>
  </si>
  <si>
    <t>Interpretation</t>
  </si>
  <si>
    <t>Market Pricing</t>
  </si>
  <si>
    <t>Block 4: Comparison Matrix (5-scenario vs Market)</t>
  </si>
  <si>
    <t>Scenario</t>
  </si>
  <si>
    <t>alpha</t>
  </si>
  <si>
    <t>5Y CAGR (Rev)</t>
  </si>
  <si>
    <t>Avg OPM</t>
  </si>
  <si>
    <t>Gap vs Market</t>
  </si>
  <si>
    <t>Verdict</t>
  </si>
  <si>
    <t>Base</t>
  </si>
  <si>
    <t>Upside</t>
  </si>
  <si>
    <t>Management</t>
  </si>
  <si>
    <t>Downside 1</t>
  </si>
  <si>
    <t>Downside 2</t>
  </si>
  <si>
    <t>Block 5: Final Verdict</t>
  </si>
  <si>
    <t>Market View alpha (current price)</t>
  </si>
  <si>
    <t>My View alpha (editable)</t>
  </si>
  <si>
    <t>Gap (My - Market)</t>
  </si>
  <si>
    <t>Action Recommendation</t>
  </si>
  <si>
    <t>── How to use ──</t>
  </si>
  <si>
    <t>1. Block 1: market reference price points</t>
  </si>
  <si>
    <t>2. Block 2: alpha-scan implied share prices</t>
  </si>
  <si>
    <t>3. Block 3: implied alpha per price (local linear interpolation)</t>
  </si>
  <si>
    <t>4. Block 4: 5-scenario comparison</t>
  </si>
  <si>
    <t>5. Block 5: final verdict (edit C80 to set your own alpha)</t>
  </si>
  <si>
    <t>── alpha interpretation ──</t>
  </si>
  <si>
    <t>alpha = 1.0 -&gt; full Base scenario priced in</t>
  </si>
  <si>
    <t>alpha = 0.0 -&gt; zero growth priced in (FY actual flat)</t>
  </si>
  <si>
    <t>alpha &lt; 0   -&gt; contraction priced in</t>
  </si>
  <si>
    <t>alpha &gt; 1.0 -&gt; above-Base optimism priced in</t>
  </si>
  <si>
    <t>逆算Comps (Implied Multiple Analysis) - 株式会社TENTIAL (325A.T)</t>
  </si>
  <si>
    <t>現在株価が市場に付けられた EV/Sales 倍率を逆算し、Comps 5社分布上の位置を測る</t>
  </si>
  <si>
    <t>Block A: 入力と現在株価が示す implied 倍率</t>
  </si>
  <si>
    <t>現在株価 (JPY)</t>
  </si>
  <si>
    <t>株式数 (shares)</t>
  </si>
  <si>
    <t>ネットデット (JPY mn, ネットキャッシュは負)</t>
  </si>
  <si>
    <t>売上 実績 (JPY mn)</t>
  </si>
  <si>
    <t>売上 予想 (JPY mn, 任意)</t>
  </si>
  <si>
    <t>位置しきい値: やや (|z|)</t>
  </si>
  <si>
    <t>位置しきい値: 大 (|z|)</t>
  </si>
  <si>
    <t>Comps EV/Sales 分布 (5社)</t>
  </si>
  <si>
    <t>min</t>
  </si>
  <si>
    <t>25%ile</t>
  </si>
  <si>
    <t>中央値</t>
  </si>
  <si>
    <t>75%ile</t>
  </si>
  <si>
    <t>max</t>
  </si>
  <si>
    <t>EV/Sales 倍率</t>
  </si>
  <si>
    <t>時価総額 (JPY mn)</t>
  </si>
  <si>
    <t>implied EV/Sales (実績売上)</t>
  </si>
  <si>
    <t>implied EV/Sales (予想売上)</t>
  </si>
  <si>
    <t>Block B: 5社分布上の位置 (EV/Sales 実績ベース)</t>
  </si>
  <si>
    <t>中央値との乖離</t>
  </si>
  <si>
    <t>最安との乖離</t>
  </si>
  <si>
    <t>位置 z = (implied-中央値)/(75%ile-25%ile)</t>
  </si>
  <si>
    <t>判定</t>
  </si>
  <si>
    <t>Block C: 各倍率が正当化する株価 (price = (倍率×売上 − ネットデット)×10^6 / 株数)</t>
  </si>
  <si>
    <t>EV/Sales</t>
  </si>
  <si>
    <t>正当化株価(JPY)</t>
  </si>
  <si>
    <t>対現在株価</t>
  </si>
  <si>
    <t>5社内訳 (EV/Sales)</t>
  </si>
  <si>
    <t>MTG</t>
  </si>
  <si>
    <t>Kitanotatsujin</t>
  </si>
  <si>
    <t>YA-MAN</t>
  </si>
  <si>
    <t>PremierAntiAging</t>
  </si>
  <si>
    <t>-</t>
  </si>
  <si>
    <t>参考: 他倍率 (EV/EBITDA・PER)</t>
  </si>
  <si>
    <t>対象 Net Income (JPY mn)</t>
  </si>
  <si>
    <t>対象 EBITDA (JPY mn, 任意)</t>
  </si>
  <si>
    <t>implied PER (時価総額/純利益)</t>
  </si>
  <si>
    <t>implied EV/EBITDA (EV/EBITDA)</t>
  </si>
  <si>
    <t>── 注記 ──</t>
  </si>
  <si>
    <t>倍率は実績売上ベース。会社予想売上を分母にするとフォワード倍率はさらに低く（割安に）見える。Comps 5社も実績ベースのため、実績同士の比較が最もフェア。</t>
  </si>
  <si>
    <t>Market Scorecard - 株式会社TENTIAL (325A.T)</t>
  </si>
  <si>
    <t>Block 1: Scorecard Summary</t>
  </si>
  <si>
    <t>Factor</t>
  </si>
  <si>
    <t>Measure</t>
  </si>
  <si>
    <t>Score (-2..+2)</t>
  </si>
  <si>
    <t>Weight</t>
  </si>
  <si>
    <t>Contribution</t>
  </si>
  <si>
    <t>Implied Growth (1 - market alpha)</t>
  </si>
  <si>
    <t>Price Momentum (3M change)</t>
  </si>
  <si>
    <t>Margin Balance (credit ratio)</t>
  </si>
  <si>
    <t>Forecast Gap (vs Company)</t>
  </si>
  <si>
    <t>Total Score</t>
  </si>
  <si>
    <t>Block 2: Price Momentum Inputs</t>
  </si>
  <si>
    <t>Price 3M ago</t>
  </si>
  <si>
    <t>Price 1M ago</t>
  </si>
  <si>
    <t>── Derived metrics ──</t>
  </si>
  <si>
    <t>3M Change</t>
  </si>
  <si>
    <t>1M Change</t>
  </si>
  <si>
    <t>High-to-Current</t>
  </si>
  <si>
    <t>Block 3: Margin Trading Inputs</t>
  </si>
  <si>
    <t>信用買残 (千株 / 1k shares)</t>
  </si>
  <si>
    <t>信用売残 (千株 / 1k shares)</t>
  </si>
  <si>
    <t>過去6ヶ月 売残ピーク (千株)</t>
  </si>
  <si>
    <t>信用倍率 (買 / 売)</t>
  </si>
  <si>
    <t>売残充実度 (現在 / ピーク)</t>
  </si>
  <si>
    <t>Block 4: Forecast Gap Inputs</t>
  </si>
  <si>
    <t>Item</t>
  </si>
  <si>
    <t>Self (DCF Base)</t>
  </si>
  <si>
    <t>Company forecast</t>
  </si>
  <si>
    <t>Gap</t>
  </si>
  <si>
    <t>Score</t>
  </si>
  <si>
    <t>営業利益成長率</t>
  </si>
  <si>
    <t>売上成長率</t>
  </si>
  <si>
    <t>Block 5: Interpretation Guide</t>
  </si>
  <si>
    <t>STRONG BUY (Total &gt;= +1.0)</t>
  </si>
  <si>
    <t>4要素のうち複数が大悲観/サプライズ余地あり。市場との乖離が大きく、買いシグナル強い。</t>
  </si>
  <si>
    <t>BUY        (+0.5 .. +1.0)</t>
  </si>
  <si>
    <t>買い候補。ファンダメンタルズが市場の織り込みを上回る公算。</t>
  </si>
  <si>
    <t>HOLD       (-0.5 .. +0.5)</t>
  </si>
  <si>
    <t>市場とおおむね整合。様子見。</t>
  </si>
  <si>
    <t>CAUTION    (-1.0 .. -0.5)</t>
  </si>
  <si>
    <t>市場過熱気味。下げリスクあり、保有量を減らす検討。</t>
  </si>
  <si>
    <t>AVOID      (Total &lt; -1.0)</t>
  </si>
  <si>
    <t>市場の楽観が過度。失望リスク高い。</t>
  </si>
  <si>
    <t>── 使い方 / How to use ──</t>
  </si>
  <si>
    <t>1. Block 2 / 3 / 4 の黄色入力欄に最新の市場データを入力する。</t>
  </si>
  <si>
    <t>2. Implied Growth Analysis シートで Block 5 の C79 行近くで My View alpha を入力する。</t>
  </si>
  <si>
    <t>3. Block 1 (this sheet) Total Score と判定を確認する。</t>
  </si>
  <si>
    <t>4. 複数銘柄で同じテンプレートを使用し、横比較で買い候補を絞り込む。</t>
  </si>
  <si>
    <t>Block 5: Narrative Stage — 株式会社TENTIAL (325A.T)</t>
  </si>
  <si>
    <t>2026-06-16</t>
  </si>
  <si>
    <t>6軸スコア (0/+1/+2)</t>
  </si>
  <si>
    <t>軸 (Axis)</t>
  </si>
  <si>
    <t>根拠 (Note)</t>
  </si>
  <si>
    <t>Axis</t>
  </si>
  <si>
    <t>軸1: ラベル現状 (火種/置換)</t>
  </si>
  <si>
    <t>リカバリーウェアBAKUNEブランド、個人に浸透途上</t>
  </si>
  <si>
    <t>軸1 ラベル現状</t>
  </si>
  <si>
    <t>軸2A: 触媒ポテンシャル (燃料)</t>
  </si>
  <si>
    <t>寝具・サンダルへの横展開、店舗拡大（5都市で確認）</t>
  </si>
  <si>
    <t>軸2A 触媒ポテンシャル</t>
  </si>
  <si>
    <t>軸2B: 触媒実現度 (発火)</t>
  </si>
  <si>
    <t>実需は堅調だが単発の大型カタリストは限定的</t>
  </si>
  <si>
    <t>軸2B 触媒実現度</t>
  </si>
  <si>
    <t>軸3: 拡散進行度 (到達/Stage本体)</t>
  </si>
  <si>
    <t>個人投資家中心、セルサイドカバレッジ薄い</t>
  </si>
  <si>
    <t>軸3 拡散進行度</t>
  </si>
  <si>
    <t>軸4: 業績寄与の現実性</t>
  </si>
  <si>
    <t>営業利益率10-13%、黒字が主力（寄与大）</t>
  </si>
  <si>
    <t>軸4 業績寄与</t>
  </si>
  <si>
    <t>軸5: 物語持続性</t>
  </si>
  <si>
    <t>健康・睡眠トレンドは構造的、但しMTG等競合・単一ブランド依存</t>
  </si>
  <si>
    <t>軸5 物語持続性</t>
  </si>
  <si>
    <t>Total</t>
  </si>
  <si>
    <t>Stage 判定</t>
  </si>
  <si>
    <t>Stage</t>
  </si>
  <si>
    <t>Stage 1 (萌芽期)</t>
  </si>
  <si>
    <t>律速軸 (Rate-limiting)</t>
  </si>
  <si>
    <t>axis_2b (Catalyst Realization)</t>
  </si>
  <si>
    <t>理由 (Reason)</t>
  </si>
  <si>
    <t>触媒実現度 = 1 ≤ 1 で本格発火に至らず、拡散進行度(reach) = 1、萌芽期</t>
  </si>
  <si>
    <t>業績キャップ適用</t>
  </si>
  <si>
    <t>No</t>
  </si>
  <si>
    <t>Headroom シグナル (軸1 vs 軸3)</t>
  </si>
  <si>
    <t>シグナル</t>
  </si>
  <si>
    <t>BALANCED</t>
  </si>
  <si>
    <t>バランス (軸1=軸3)</t>
  </si>
  <si>
    <t>解説</t>
  </si>
  <si>
    <t>軸1(置換)=1 = 軸3(到達)=1: 置換と到達が歩調を揃えている</t>
  </si>
  <si>
    <t>業績インパクト (補助評価)</t>
  </si>
  <si>
    <t>営業利益インパクト ≈ 36.0億円 / 現状営利 20億円 = 1.80倍化余地</t>
  </si>
  <si>
    <t>最終 Verdict (Block2-4 × Stage)</t>
  </si>
  <si>
    <t>OBSERVE</t>
  </si>
  <si>
    <t>ファンダ中立だが Stage 0-1、ナラティブ進行を観察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</si>
</sst>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\+0.00;\-0.00;0.00"/>
    <numFmt numFmtId="178" formatCode="\+0.000;\-0.000;0.000"/>
    <numFmt numFmtId="179" formatCode="#,##0;\(#,##0\);&quot;-&quot;"/>
    <numFmt numFmtId="180" formatCode="0.00&quot;x&quot;"/>
    <numFmt numFmtId="181" formatCode="\+0.0%;\-0.0%;0.0%"/>
    <numFmt numFmtId="182" formatCode="\+0.00%;\-0.00%;0.00%"/>
  </numFmts>
  <fonts count="8" x14ac:knownFonts="1">
    <font>
      <sz val="11"/>
      <color theme="1"/>
      <name val="ＭＳ Ｐゴシック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  <font>
      <b/>
      <sz val="12"/>
      <name val="Calibri"/>
      <family val="2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4" borderId="0" xfId="0" applyFont="1" applyFill="1"/>
    <xf numFmtId="0" fontId="0" fillId="0" borderId="1" xfId="0" applyBorder="1"/>
    <xf numFmtId="3" fontId="0" fillId="0" borderId="1" xfId="0" applyNumberFormat="1" applyBorder="1"/>
    <xf numFmtId="2" fontId="3" fillId="5" borderId="0" xfId="0" applyNumberFormat="1" applyFont="1" applyFill="1"/>
    <xf numFmtId="0" fontId="3" fillId="0" borderId="0" xfId="0" applyFont="1"/>
    <xf numFmtId="10" fontId="0" fillId="0" borderId="0" xfId="0" applyNumberFormat="1"/>
    <xf numFmtId="3" fontId="0" fillId="0" borderId="0" xfId="0" applyNumberFormat="1"/>
    <xf numFmtId="0" fontId="3" fillId="6" borderId="0" xfId="0" applyFont="1" applyFill="1"/>
    <xf numFmtId="3" fontId="0" fillId="6" borderId="0" xfId="0" applyNumberFormat="1" applyFill="1"/>
    <xf numFmtId="176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7" fontId="0" fillId="0" borderId="1" xfId="0" applyNumberFormat="1" applyBorder="1"/>
    <xf numFmtId="176" fontId="0" fillId="7" borderId="1" xfId="0" applyNumberFormat="1" applyFill="1" applyBorder="1"/>
    <xf numFmtId="178" fontId="0" fillId="0" borderId="1" xfId="0" applyNumberFormat="1" applyBorder="1"/>
    <xf numFmtId="0" fontId="4" fillId="8" borderId="1" xfId="0" applyFont="1" applyFill="1" applyBorder="1"/>
    <xf numFmtId="0" fontId="5" fillId="0" borderId="0" xfId="0" applyFont="1"/>
    <xf numFmtId="3" fontId="0" fillId="7" borderId="1" xfId="0" applyNumberFormat="1" applyFill="1" applyBorder="1"/>
    <xf numFmtId="179" fontId="0" fillId="7" borderId="1" xfId="0" applyNumberFormat="1" applyFill="1" applyBorder="1"/>
    <xf numFmtId="2" fontId="0" fillId="7" borderId="1" xfId="0" applyNumberFormat="1" applyFill="1" applyBorder="1"/>
    <xf numFmtId="0" fontId="3" fillId="4" borderId="0" xfId="0" applyFont="1" applyFill="1" applyAlignment="1">
      <alignment horizontal="center"/>
    </xf>
    <xf numFmtId="180" fontId="0" fillId="7" borderId="1" xfId="0" applyNumberFormat="1" applyFill="1" applyBorder="1"/>
    <xf numFmtId="179" fontId="0" fillId="0" borderId="1" xfId="0" applyNumberFormat="1" applyBorder="1"/>
    <xf numFmtId="180" fontId="0" fillId="6" borderId="1" xfId="0" applyNumberFormat="1" applyFill="1" applyBorder="1"/>
    <xf numFmtId="181" fontId="0" fillId="6" borderId="1" xfId="0" applyNumberFormat="1" applyFill="1" applyBorder="1"/>
    <xf numFmtId="2" fontId="0" fillId="6" borderId="1" xfId="0" applyNumberFormat="1" applyFill="1" applyBorder="1"/>
    <xf numFmtId="180" fontId="0" fillId="0" borderId="1" xfId="0" applyNumberFormat="1" applyBorder="1"/>
    <xf numFmtId="181" fontId="0" fillId="0" borderId="1" xfId="0" applyNumberFormat="1" applyBorder="1"/>
    <xf numFmtId="3" fontId="0" fillId="6" borderId="1" xfId="0" applyNumberFormat="1" applyFill="1" applyBorder="1"/>
    <xf numFmtId="9" fontId="0" fillId="0" borderId="1" xfId="0" applyNumberFormat="1" applyBorder="1"/>
    <xf numFmtId="182" fontId="0" fillId="0" borderId="1" xfId="0" applyNumberFormat="1" applyBorder="1"/>
    <xf numFmtId="0" fontId="3" fillId="0" borderId="1" xfId="0" applyFont="1" applyBorder="1"/>
    <xf numFmtId="177" fontId="6" fillId="5" borderId="1" xfId="0" applyNumberFormat="1" applyFont="1" applyFill="1" applyBorder="1"/>
    <xf numFmtId="0" fontId="6" fillId="8" borderId="1" xfId="0" applyFont="1" applyFill="1" applyBorder="1"/>
    <xf numFmtId="182" fontId="0" fillId="0" borderId="0" xfId="0" applyNumberFormat="1"/>
    <xf numFmtId="182" fontId="0" fillId="6" borderId="1" xfId="0" applyNumberFormat="1" applyFill="1" applyBorder="1"/>
    <xf numFmtId="182" fontId="0" fillId="7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5" borderId="0" xfId="0" applyFont="1" applyFill="1" applyAlignment="1">
      <alignment horizontal="center"/>
    </xf>
    <xf numFmtId="0" fontId="4" fillId="4" borderId="0" xfId="0" applyFont="1" applyFill="1"/>
    <xf numFmtId="0" fontId="6" fillId="8" borderId="0" xfId="0" applyFont="1" applyFill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0" fontId="3" fillId="4" borderId="0" xfId="0" applyFont="1" applyFill="1"/>
    <xf numFmtId="0" fontId="3" fillId="0" borderId="0" xfId="0" applyFont="1" applyAlignment="1">
      <alignment vertical="top" wrapText="1"/>
    </xf>
    <xf numFmtId="0" fontId="4" fillId="5" borderId="1" xfId="0" applyFont="1" applyFill="1" applyBorder="1"/>
    <xf numFmtId="0" fontId="0" fillId="0" borderId="1" xfId="0" applyBorder="1"/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Narrative 6-Axis Profile</a:t>
            </a:r>
          </a:p>
        </c:rich>
      </c:tx>
      <c:overlay val="1"/>
    </c:title>
    <c:autoTitleDeleted val="0"/>
    <c:plotArea>
      <c:layout/>
      <c:radarChart>
        <c:radarStyle val="filled"/>
        <c:varyColors val="1"/>
        <c:ser>
          <c:idx val="0"/>
          <c:order val="0"/>
          <c:tx>
            <c:strRef>
              <c:f>'Narrative Stage'!$H$6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'Narrative Stage'!$G$7:$G$12</c:f>
              <c:strCache>
                <c:ptCount val="6"/>
                <c:pt idx="0">
                  <c:v>軸1 ラベル現状</c:v>
                </c:pt>
                <c:pt idx="1">
                  <c:v>軸2A 触媒ポテンシャル</c:v>
                </c:pt>
                <c:pt idx="2">
                  <c:v>軸2B 触媒実現度</c:v>
                </c:pt>
                <c:pt idx="3">
                  <c:v>軸3 拡散進行度</c:v>
                </c:pt>
                <c:pt idx="4">
                  <c:v>軸4 業績寄与</c:v>
                </c:pt>
                <c:pt idx="5">
                  <c:v>軸5 物語持続性</c:v>
                </c:pt>
              </c:strCache>
            </c:strRef>
          </c:cat>
          <c:val>
            <c:numRef>
              <c:f>'Narrative Stage'!$H$7:$H$12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50-4EF4-ACE7-8CFE8B5D0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6840000" cy="41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06"/>
  <sheetViews>
    <sheetView tabSelected="1" topLeftCell="A41" workbookViewId="0">
      <selection activeCell="H60" sqref="H60"/>
    </sheetView>
  </sheetViews>
  <sheetFormatPr defaultRowHeight="13" x14ac:dyDescent="0.2"/>
  <cols>
    <col min="1" max="1" width="3" customWidth="1"/>
    <col min="2" max="2" width="38" customWidth="1"/>
    <col min="3" max="20" width="13" customWidth="1"/>
  </cols>
  <sheetData>
    <row r="2" spans="2:20" ht="18.5" x14ac:dyDescent="0.45"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5" spans="2:20" ht="14.5" x14ac:dyDescent="0.35">
      <c r="B5" s="45" t="s">
        <v>1</v>
      </c>
      <c r="C5" s="44"/>
      <c r="D5" s="44"/>
      <c r="E5" s="44"/>
      <c r="F5" s="44"/>
      <c r="G5" s="44"/>
    </row>
    <row r="6" spans="2:20" ht="14" x14ac:dyDescent="0.3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2:20" x14ac:dyDescent="0.2">
      <c r="B7" s="2" t="s">
        <v>8</v>
      </c>
      <c r="C7" s="3">
        <v>3675</v>
      </c>
      <c r="D7" s="3">
        <f>C7*7280000/1000000</f>
        <v>26754</v>
      </c>
      <c r="E7" s="3">
        <f>D7+-2101</f>
        <v>24653</v>
      </c>
      <c r="F7" s="3">
        <f>E7</f>
        <v>24653</v>
      </c>
      <c r="G7" s="2" t="s">
        <v>9</v>
      </c>
    </row>
    <row r="8" spans="2:20" x14ac:dyDescent="0.2">
      <c r="B8" s="2" t="s">
        <v>10</v>
      </c>
      <c r="C8" s="3">
        <v>8379</v>
      </c>
      <c r="D8" s="3">
        <f>C8*7280000/1000000</f>
        <v>60999.12</v>
      </c>
      <c r="E8" s="3">
        <f>D8+-2101</f>
        <v>58898.12</v>
      </c>
      <c r="F8" s="3">
        <f>E8</f>
        <v>58898.12</v>
      </c>
      <c r="G8" s="2" t="s">
        <v>11</v>
      </c>
    </row>
    <row r="9" spans="2:20" x14ac:dyDescent="0.2">
      <c r="B9" s="2" t="s">
        <v>12</v>
      </c>
      <c r="C9" s="3">
        <v>12640</v>
      </c>
      <c r="D9" s="3">
        <f>C9*7280000/1000000</f>
        <v>92019.199999999997</v>
      </c>
      <c r="E9" s="3">
        <f>D9+-2101</f>
        <v>89918.2</v>
      </c>
      <c r="F9" s="3">
        <f>E9</f>
        <v>89918.2</v>
      </c>
      <c r="G9" s="2" t="s">
        <v>13</v>
      </c>
    </row>
    <row r="10" spans="2:20" x14ac:dyDescent="0.2">
      <c r="B10" s="2" t="s">
        <v>14</v>
      </c>
      <c r="C10" s="3">
        <v>1862</v>
      </c>
      <c r="D10" s="3">
        <f>C10*7280000/1000000</f>
        <v>13555.36</v>
      </c>
      <c r="E10" s="3">
        <f>D10+-2101</f>
        <v>11454.36</v>
      </c>
      <c r="F10" s="3">
        <f>E10</f>
        <v>11454.36</v>
      </c>
      <c r="G10" s="2" t="s">
        <v>15</v>
      </c>
    </row>
    <row r="11" spans="2:20" x14ac:dyDescent="0.2">
      <c r="B11" s="2" t="s">
        <v>16</v>
      </c>
      <c r="C11" s="3">
        <v>6540</v>
      </c>
      <c r="D11" s="3">
        <f>C11*7280000/1000000</f>
        <v>47611.199999999997</v>
      </c>
      <c r="E11" s="3">
        <f>D11+-2101</f>
        <v>45510.2</v>
      </c>
      <c r="F11" s="3">
        <f>E11</f>
        <v>45510.2</v>
      </c>
      <c r="G11" s="2" t="s">
        <v>15</v>
      </c>
    </row>
    <row r="14" spans="2:20" ht="14.5" x14ac:dyDescent="0.35">
      <c r="B14" s="45" t="s">
        <v>17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</row>
    <row r="16" spans="2:20" ht="14" x14ac:dyDescent="0.3">
      <c r="B16" s="1" t="s">
        <v>18</v>
      </c>
    </row>
    <row r="17" spans="2:20" ht="14" x14ac:dyDescent="0.3">
      <c r="B17" t="s">
        <v>19</v>
      </c>
      <c r="C17" s="4">
        <v>-0.5</v>
      </c>
      <c r="D17" s="4">
        <v>-0.3</v>
      </c>
      <c r="E17" s="4">
        <v>-0.1</v>
      </c>
      <c r="F17" s="4">
        <v>0</v>
      </c>
      <c r="G17" s="4">
        <v>0.1</v>
      </c>
      <c r="H17" s="4">
        <v>0.2</v>
      </c>
      <c r="I17" s="4">
        <v>0.3</v>
      </c>
      <c r="J17" s="4">
        <v>0.4</v>
      </c>
      <c r="K17" s="4">
        <v>0.5</v>
      </c>
      <c r="L17" s="4">
        <v>0.6</v>
      </c>
      <c r="M17" s="4">
        <v>0.7</v>
      </c>
      <c r="N17" s="4">
        <v>0.8</v>
      </c>
      <c r="O17" s="4">
        <v>0.9</v>
      </c>
      <c r="P17" s="4">
        <v>1</v>
      </c>
      <c r="Q17" s="4">
        <v>1.1000000000000001</v>
      </c>
      <c r="R17" s="4">
        <v>1.2</v>
      </c>
      <c r="S17" s="4">
        <v>1.3</v>
      </c>
      <c r="T17" s="4">
        <v>1.5</v>
      </c>
    </row>
    <row r="19" spans="2:20" ht="14" x14ac:dyDescent="0.3">
      <c r="B19" s="5" t="s">
        <v>20</v>
      </c>
    </row>
    <row r="20" spans="2:20" x14ac:dyDescent="0.2">
      <c r="B20" t="s">
        <v>21</v>
      </c>
      <c r="C20" s="6">
        <f>C17*D54</f>
        <v>-0.36499999999999999</v>
      </c>
      <c r="D20" s="6">
        <f>D17*D54</f>
        <v>-0.219</v>
      </c>
      <c r="E20" s="6">
        <f>E17*D54</f>
        <v>-7.2999999999999995E-2</v>
      </c>
      <c r="F20" s="6">
        <f>F17*D54</f>
        <v>0</v>
      </c>
      <c r="G20" s="6">
        <f>G17*D54</f>
        <v>7.2999999999999995E-2</v>
      </c>
      <c r="H20" s="6">
        <f>H17*D54</f>
        <v>0.14599999999999999</v>
      </c>
      <c r="I20" s="6">
        <f>I17*D54</f>
        <v>0.219</v>
      </c>
      <c r="J20" s="6">
        <f>J17*D54</f>
        <v>0.29199999999999998</v>
      </c>
      <c r="K20" s="6">
        <f>K17*D54</f>
        <v>0.36499999999999999</v>
      </c>
      <c r="L20" s="6">
        <f>L17*D54</f>
        <v>0.438</v>
      </c>
      <c r="M20" s="6">
        <f>M17*D54</f>
        <v>0.51100000000000001</v>
      </c>
      <c r="N20" s="6">
        <f>N17*D54</f>
        <v>0.58399999999999996</v>
      </c>
      <c r="O20" s="6">
        <f>O17*D54</f>
        <v>0.65700000000000003</v>
      </c>
      <c r="P20" s="6">
        <f>P17*D54</f>
        <v>0.73</v>
      </c>
      <c r="Q20" s="6">
        <f>Q17*D54</f>
        <v>0.80300000000000005</v>
      </c>
      <c r="R20" s="6">
        <f>R17*D54</f>
        <v>0.876</v>
      </c>
      <c r="S20" s="6">
        <f>S17*D54</f>
        <v>0.94899999999999995</v>
      </c>
      <c r="T20" s="6">
        <f>T17*D54</f>
        <v>1.095</v>
      </c>
    </row>
    <row r="21" spans="2:20" x14ac:dyDescent="0.2">
      <c r="B21" t="s">
        <v>22</v>
      </c>
      <c r="C21" s="6">
        <f>C17*E54</f>
        <v>-0.14499999999999999</v>
      </c>
      <c r="D21" s="6">
        <f>D17*E54</f>
        <v>-8.6999999999999994E-2</v>
      </c>
      <c r="E21" s="6">
        <f>E17*E54</f>
        <v>-2.8999999999999998E-2</v>
      </c>
      <c r="F21" s="6">
        <f>F17*E54</f>
        <v>0</v>
      </c>
      <c r="G21" s="6">
        <f>G17*E54</f>
        <v>2.8999999999999998E-2</v>
      </c>
      <c r="H21" s="6">
        <f>H17*E54</f>
        <v>5.7999999999999996E-2</v>
      </c>
      <c r="I21" s="6">
        <f>I17*E54</f>
        <v>8.6999999999999994E-2</v>
      </c>
      <c r="J21" s="6">
        <f>J17*E54</f>
        <v>0.11599999999999999</v>
      </c>
      <c r="K21" s="6">
        <f>K17*E54</f>
        <v>0.14499999999999999</v>
      </c>
      <c r="L21" s="6">
        <f>L17*E54</f>
        <v>0.17399999999999999</v>
      </c>
      <c r="M21" s="6">
        <f>M17*E54</f>
        <v>0.20299999999999999</v>
      </c>
      <c r="N21" s="6">
        <f>N17*E54</f>
        <v>0.23199999999999998</v>
      </c>
      <c r="O21" s="6">
        <f>O17*E54</f>
        <v>0.26100000000000001</v>
      </c>
      <c r="P21" s="6">
        <f>P17*E54</f>
        <v>0.28999999999999998</v>
      </c>
      <c r="Q21" s="6">
        <f>Q17*E54</f>
        <v>0.31900000000000001</v>
      </c>
      <c r="R21" s="6">
        <f>R17*E54</f>
        <v>0.34799999999999998</v>
      </c>
      <c r="S21" s="6">
        <f>S17*E54</f>
        <v>0.377</v>
      </c>
      <c r="T21" s="6">
        <f>T17*E54</f>
        <v>0.43499999999999994</v>
      </c>
    </row>
    <row r="22" spans="2:20" x14ac:dyDescent="0.2">
      <c r="B22" t="s">
        <v>23</v>
      </c>
      <c r="C22" s="6">
        <f>C17*F54</f>
        <v>-0.12</v>
      </c>
      <c r="D22" s="6">
        <f>D17*F54</f>
        <v>-7.1999999999999995E-2</v>
      </c>
      <c r="E22" s="6">
        <f>E17*F54</f>
        <v>-2.4E-2</v>
      </c>
      <c r="F22" s="6">
        <f>F17*F54</f>
        <v>0</v>
      </c>
      <c r="G22" s="6">
        <f>G17*F54</f>
        <v>2.4E-2</v>
      </c>
      <c r="H22" s="6">
        <f>H17*F54</f>
        <v>4.8000000000000001E-2</v>
      </c>
      <c r="I22" s="6">
        <f>I17*F54</f>
        <v>7.1999999999999995E-2</v>
      </c>
      <c r="J22" s="6">
        <f>J17*F54</f>
        <v>9.6000000000000002E-2</v>
      </c>
      <c r="K22" s="6">
        <f>K17*F54</f>
        <v>0.12</v>
      </c>
      <c r="L22" s="6">
        <f>L17*F54</f>
        <v>0.14399999999999999</v>
      </c>
      <c r="M22" s="6">
        <f>M17*F54</f>
        <v>0.16799999999999998</v>
      </c>
      <c r="N22" s="6">
        <f>N17*F54</f>
        <v>0.192</v>
      </c>
      <c r="O22" s="6">
        <f>O17*F54</f>
        <v>0.216</v>
      </c>
      <c r="P22" s="6">
        <f>P17*F54</f>
        <v>0.24</v>
      </c>
      <c r="Q22" s="6">
        <f>Q17*F54</f>
        <v>0.26400000000000001</v>
      </c>
      <c r="R22" s="6">
        <f>R17*F54</f>
        <v>0.28799999999999998</v>
      </c>
      <c r="S22" s="6">
        <f>S17*F54</f>
        <v>0.312</v>
      </c>
      <c r="T22" s="6">
        <f>T17*F54</f>
        <v>0.36</v>
      </c>
    </row>
    <row r="23" spans="2:20" x14ac:dyDescent="0.2">
      <c r="B23" t="s">
        <v>24</v>
      </c>
      <c r="C23" s="6">
        <f>C17*G54</f>
        <v>-0.1</v>
      </c>
      <c r="D23" s="6">
        <f>D17*G54</f>
        <v>-0.06</v>
      </c>
      <c r="E23" s="6">
        <f>E17*G54</f>
        <v>-2.0000000000000004E-2</v>
      </c>
      <c r="F23" s="6">
        <f>F17*G54</f>
        <v>0</v>
      </c>
      <c r="G23" s="6">
        <f>G17*G54</f>
        <v>2.0000000000000004E-2</v>
      </c>
      <c r="H23" s="6">
        <f>H17*G54</f>
        <v>4.0000000000000008E-2</v>
      </c>
      <c r="I23" s="6">
        <f>I17*G54</f>
        <v>0.06</v>
      </c>
      <c r="J23" s="6">
        <f>J17*G54</f>
        <v>8.0000000000000016E-2</v>
      </c>
      <c r="K23" s="6">
        <f>K17*G54</f>
        <v>0.1</v>
      </c>
      <c r="L23" s="6">
        <f>L17*G54</f>
        <v>0.12</v>
      </c>
      <c r="M23" s="6">
        <f>M17*G54</f>
        <v>0.13999999999999999</v>
      </c>
      <c r="N23" s="6">
        <f>N17*G54</f>
        <v>0.16000000000000003</v>
      </c>
      <c r="O23" s="6">
        <f>O17*G54</f>
        <v>0.18000000000000002</v>
      </c>
      <c r="P23" s="6">
        <f>P17*G54</f>
        <v>0.2</v>
      </c>
      <c r="Q23" s="6">
        <f>Q17*G54</f>
        <v>0.22000000000000003</v>
      </c>
      <c r="R23" s="6">
        <f>R17*G54</f>
        <v>0.24</v>
      </c>
      <c r="S23" s="6">
        <f>S17*G54</f>
        <v>0.26</v>
      </c>
      <c r="T23" s="6">
        <f>T17*G54</f>
        <v>0.30000000000000004</v>
      </c>
    </row>
    <row r="24" spans="2:20" x14ac:dyDescent="0.2">
      <c r="B24" t="s">
        <v>25</v>
      </c>
      <c r="C24" s="6">
        <f>C17*H54</f>
        <v>-0.08</v>
      </c>
      <c r="D24" s="6">
        <f>D17*H54</f>
        <v>-4.8000000000000001E-2</v>
      </c>
      <c r="E24" s="6">
        <f>E17*H54</f>
        <v>-1.6E-2</v>
      </c>
      <c r="F24" s="6">
        <f>F17*H54</f>
        <v>0</v>
      </c>
      <c r="G24" s="6">
        <f>G17*H54</f>
        <v>1.6E-2</v>
      </c>
      <c r="H24" s="6">
        <f>H17*H54</f>
        <v>3.2000000000000001E-2</v>
      </c>
      <c r="I24" s="6">
        <f>I17*H54</f>
        <v>4.8000000000000001E-2</v>
      </c>
      <c r="J24" s="6">
        <f>J17*H54</f>
        <v>6.4000000000000001E-2</v>
      </c>
      <c r="K24" s="6">
        <f>K17*H54</f>
        <v>0.08</v>
      </c>
      <c r="L24" s="6">
        <f>L17*H54</f>
        <v>9.6000000000000002E-2</v>
      </c>
      <c r="M24" s="6">
        <f>M17*H54</f>
        <v>0.11199999999999999</v>
      </c>
      <c r="N24" s="6">
        <f>N17*H54</f>
        <v>0.128</v>
      </c>
      <c r="O24" s="6">
        <f>O17*H54</f>
        <v>0.14400000000000002</v>
      </c>
      <c r="P24" s="6">
        <f>P17*H54</f>
        <v>0.16</v>
      </c>
      <c r="Q24" s="6">
        <f>Q17*H54</f>
        <v>0.17600000000000002</v>
      </c>
      <c r="R24" s="6">
        <f>R17*H54</f>
        <v>0.192</v>
      </c>
      <c r="S24" s="6">
        <f>S17*H54</f>
        <v>0.20800000000000002</v>
      </c>
      <c r="T24" s="6">
        <f>T17*H54</f>
        <v>0.24</v>
      </c>
    </row>
    <row r="25" spans="2:20" x14ac:dyDescent="0.2">
      <c r="B25" t="s">
        <v>26</v>
      </c>
      <c r="C25" s="7">
        <f>C48*(1+C20)</f>
        <v>19177</v>
      </c>
      <c r="D25" s="7">
        <f>C48*(1+D20)</f>
        <v>23586.2</v>
      </c>
      <c r="E25" s="7">
        <f>C48*(1+E20)</f>
        <v>27995.4</v>
      </c>
      <c r="F25" s="7">
        <f>C48*(1+F20)</f>
        <v>30200</v>
      </c>
      <c r="G25" s="7">
        <f>C48*(1+G20)</f>
        <v>32404.6</v>
      </c>
      <c r="H25" s="7">
        <f>C48*(1+H20)</f>
        <v>34609.199999999997</v>
      </c>
      <c r="I25" s="7">
        <f>C48*(1+I20)</f>
        <v>36813.800000000003</v>
      </c>
      <c r="J25" s="7">
        <f>C48*(1+J20)</f>
        <v>39018.400000000001</v>
      </c>
      <c r="K25" s="7">
        <f>C48*(1+K20)</f>
        <v>41223</v>
      </c>
      <c r="L25" s="7">
        <f>C48*(1+L20)</f>
        <v>43427.6</v>
      </c>
      <c r="M25" s="7">
        <f>C48*(1+M20)</f>
        <v>45632.200000000004</v>
      </c>
      <c r="N25" s="7">
        <f>C48*(1+N20)</f>
        <v>47836.800000000003</v>
      </c>
      <c r="O25" s="7">
        <f>C48*(1+O20)</f>
        <v>50041.4</v>
      </c>
      <c r="P25" s="7">
        <f>C48*(1+P20)</f>
        <v>52246</v>
      </c>
      <c r="Q25" s="7">
        <f>C48*(1+Q20)</f>
        <v>54450.6</v>
      </c>
      <c r="R25" s="7">
        <f>C48*(1+R20)</f>
        <v>56655.199999999997</v>
      </c>
      <c r="S25" s="7">
        <f>C48*(1+S20)</f>
        <v>58859.799999999996</v>
      </c>
      <c r="T25" s="7">
        <f>C48*(1+T20)</f>
        <v>63268.999999999993</v>
      </c>
    </row>
    <row r="26" spans="2:20" x14ac:dyDescent="0.2">
      <c r="B26" t="s">
        <v>27</v>
      </c>
      <c r="C26" s="7">
        <f t="shared" ref="C26:L29" si="0">C25*(1+C21)</f>
        <v>16396.334999999999</v>
      </c>
      <c r="D26" s="7">
        <f t="shared" si="0"/>
        <v>21534.2006</v>
      </c>
      <c r="E26" s="7">
        <f t="shared" si="0"/>
        <v>27183.5334</v>
      </c>
      <c r="F26" s="7">
        <f t="shared" si="0"/>
        <v>30200</v>
      </c>
      <c r="G26" s="7">
        <f t="shared" si="0"/>
        <v>33344.333399999996</v>
      </c>
      <c r="H26" s="7">
        <f t="shared" si="0"/>
        <v>36616.533599999995</v>
      </c>
      <c r="I26" s="7">
        <f t="shared" si="0"/>
        <v>40016.600600000005</v>
      </c>
      <c r="J26" s="7">
        <f t="shared" si="0"/>
        <v>43544.534400000004</v>
      </c>
      <c r="K26" s="7">
        <f t="shared" si="0"/>
        <v>47200.334999999999</v>
      </c>
      <c r="L26" s="7">
        <f t="shared" si="0"/>
        <v>50984.002399999998</v>
      </c>
      <c r="M26" s="7">
        <f t="shared" ref="M26:T29" si="1">M25*(1+M21)</f>
        <v>54895.536600000007</v>
      </c>
      <c r="N26" s="7">
        <f t="shared" si="1"/>
        <v>58934.937600000005</v>
      </c>
      <c r="O26" s="7">
        <f t="shared" si="1"/>
        <v>63102.205400000006</v>
      </c>
      <c r="P26" s="7">
        <f t="shared" si="1"/>
        <v>67397.34</v>
      </c>
      <c r="Q26" s="7">
        <f t="shared" si="1"/>
        <v>71820.34139999999</v>
      </c>
      <c r="R26" s="7">
        <f t="shared" si="1"/>
        <v>76371.209599999987</v>
      </c>
      <c r="S26" s="7">
        <f t="shared" si="1"/>
        <v>81049.944599999988</v>
      </c>
      <c r="T26" s="7">
        <f t="shared" si="1"/>
        <v>90791.014999999999</v>
      </c>
    </row>
    <row r="27" spans="2:20" x14ac:dyDescent="0.2">
      <c r="B27" t="s">
        <v>28</v>
      </c>
      <c r="C27" s="7">
        <f t="shared" si="0"/>
        <v>14428.774799999999</v>
      </c>
      <c r="D27" s="7">
        <f t="shared" si="0"/>
        <v>19983.738156800002</v>
      </c>
      <c r="E27" s="7">
        <f t="shared" si="0"/>
        <v>26531.128598399999</v>
      </c>
      <c r="F27" s="7">
        <f t="shared" si="0"/>
        <v>30200</v>
      </c>
      <c r="G27" s="7">
        <f t="shared" si="0"/>
        <v>34144.597401599996</v>
      </c>
      <c r="H27" s="7">
        <f t="shared" si="0"/>
        <v>38374.127212799998</v>
      </c>
      <c r="I27" s="7">
        <f t="shared" si="0"/>
        <v>42897.795843200009</v>
      </c>
      <c r="J27" s="7">
        <f t="shared" si="0"/>
        <v>47724.809702400009</v>
      </c>
      <c r="K27" s="7">
        <f t="shared" si="0"/>
        <v>52864.375200000002</v>
      </c>
      <c r="L27" s="7">
        <f t="shared" si="0"/>
        <v>58325.698745599992</v>
      </c>
      <c r="M27" s="7">
        <f t="shared" si="1"/>
        <v>64117.986748800002</v>
      </c>
      <c r="N27" s="7">
        <f t="shared" si="1"/>
        <v>70250.445619200007</v>
      </c>
      <c r="O27" s="7">
        <f t="shared" si="1"/>
        <v>76732.281766400003</v>
      </c>
      <c r="P27" s="7">
        <f t="shared" si="1"/>
        <v>83572.7016</v>
      </c>
      <c r="Q27" s="7">
        <f t="shared" si="1"/>
        <v>90780.911529599995</v>
      </c>
      <c r="R27" s="7">
        <f t="shared" si="1"/>
        <v>98366.117964799982</v>
      </c>
      <c r="S27" s="7">
        <f t="shared" si="1"/>
        <v>106337.52731519999</v>
      </c>
      <c r="T27" s="7">
        <f t="shared" si="1"/>
        <v>123475.78039999999</v>
      </c>
    </row>
    <row r="28" spans="2:20" x14ac:dyDescent="0.2">
      <c r="B28" t="s">
        <v>29</v>
      </c>
      <c r="C28" s="7">
        <f t="shared" si="0"/>
        <v>12985.89732</v>
      </c>
      <c r="D28" s="7">
        <f t="shared" si="0"/>
        <v>18784.713867392002</v>
      </c>
      <c r="E28" s="7">
        <f t="shared" si="0"/>
        <v>26000.506026431998</v>
      </c>
      <c r="F28" s="7">
        <f t="shared" si="0"/>
        <v>30200</v>
      </c>
      <c r="G28" s="7">
        <f t="shared" si="0"/>
        <v>34827.489349632</v>
      </c>
      <c r="H28" s="7">
        <f t="shared" si="0"/>
        <v>39909.092301311997</v>
      </c>
      <c r="I28" s="7">
        <f t="shared" si="0"/>
        <v>45471.663593792015</v>
      </c>
      <c r="J28" s="7">
        <f t="shared" si="0"/>
        <v>51542.794478592012</v>
      </c>
      <c r="K28" s="7">
        <f t="shared" si="0"/>
        <v>58150.812720000009</v>
      </c>
      <c r="L28" s="7">
        <f t="shared" si="0"/>
        <v>65324.782595072</v>
      </c>
      <c r="M28" s="7">
        <f t="shared" si="1"/>
        <v>73094.504893631994</v>
      </c>
      <c r="N28" s="7">
        <f t="shared" si="1"/>
        <v>81490.516918272013</v>
      </c>
      <c r="O28" s="7">
        <f t="shared" si="1"/>
        <v>90544.092484352004</v>
      </c>
      <c r="P28" s="7">
        <f t="shared" si="1"/>
        <v>100287.24192</v>
      </c>
      <c r="Q28" s="7">
        <f t="shared" si="1"/>
        <v>110752.71206611198</v>
      </c>
      <c r="R28" s="7">
        <f t="shared" si="1"/>
        <v>121973.98627635198</v>
      </c>
      <c r="S28" s="7">
        <f t="shared" si="1"/>
        <v>133985.284417152</v>
      </c>
      <c r="T28" s="7">
        <f t="shared" si="1"/>
        <v>160518.51452</v>
      </c>
    </row>
    <row r="29" spans="2:20" x14ac:dyDescent="0.2">
      <c r="B29" t="s">
        <v>30</v>
      </c>
      <c r="C29" s="7">
        <f t="shared" si="0"/>
        <v>11947.0255344</v>
      </c>
      <c r="D29" s="7">
        <f t="shared" si="0"/>
        <v>17883.047601757185</v>
      </c>
      <c r="E29" s="7">
        <f t="shared" si="0"/>
        <v>25584.497930009085</v>
      </c>
      <c r="F29" s="7">
        <f t="shared" si="0"/>
        <v>30200</v>
      </c>
      <c r="G29" s="7">
        <f t="shared" si="0"/>
        <v>35384.729179226109</v>
      </c>
      <c r="H29" s="7">
        <f t="shared" si="0"/>
        <v>41186.183254953983</v>
      </c>
      <c r="I29" s="7">
        <f t="shared" si="0"/>
        <v>47654.303446294034</v>
      </c>
      <c r="J29" s="7">
        <f t="shared" si="0"/>
        <v>54841.533325221906</v>
      </c>
      <c r="K29" s="7">
        <f t="shared" si="0"/>
        <v>62802.877737600014</v>
      </c>
      <c r="L29" s="7">
        <f t="shared" si="0"/>
        <v>71595.961724198918</v>
      </c>
      <c r="M29" s="7">
        <f t="shared" si="1"/>
        <v>81281.089441718781</v>
      </c>
      <c r="N29" s="7">
        <f t="shared" si="1"/>
        <v>91921.303083810839</v>
      </c>
      <c r="O29" s="7">
        <f t="shared" si="1"/>
        <v>103582.44180209871</v>
      </c>
      <c r="P29" s="7">
        <f t="shared" si="1"/>
        <v>116333.20062719999</v>
      </c>
      <c r="Q29" s="7">
        <f t="shared" si="1"/>
        <v>130245.18938974768</v>
      </c>
      <c r="R29" s="7">
        <f t="shared" si="1"/>
        <v>145392.99164141156</v>
      </c>
      <c r="S29" s="7">
        <f t="shared" si="1"/>
        <v>161854.2235759196</v>
      </c>
      <c r="T29" s="7">
        <f t="shared" si="1"/>
        <v>199042.95800479999</v>
      </c>
    </row>
    <row r="30" spans="2:20" x14ac:dyDescent="0.2">
      <c r="B30" t="s">
        <v>31</v>
      </c>
      <c r="C30" s="7">
        <f>C25*(C50+C17*(D55-C50))</f>
        <v>703.89750000000106</v>
      </c>
      <c r="D30" s="7">
        <f>D25*(C50+D17*(D55-C50))</f>
        <v>1269.2031000000009</v>
      </c>
      <c r="E30" s="7">
        <f>E25*(C50+E17*(D55-C50))</f>
        <v>1985.3559000000007</v>
      </c>
      <c r="F30" s="7">
        <f>F25*(C50+F17*(D55-C50))</f>
        <v>2400</v>
      </c>
      <c r="G30" s="7">
        <f>G25*(C50+G17*(D55-C50))</f>
        <v>2852.3558999999996</v>
      </c>
      <c r="H30" s="7">
        <f>H25*(C50+H17*(D55-C50))</f>
        <v>3342.4235999999992</v>
      </c>
      <c r="I30" s="7">
        <f>I25*(C50+I17*(D55-C50))</f>
        <v>3870.2030999999993</v>
      </c>
      <c r="J30" s="7">
        <f>J25*(C50+J17*(D55-C50))</f>
        <v>4435.6943999999985</v>
      </c>
      <c r="K30" s="7">
        <f>K25*(C50+K17*(D55-C50))</f>
        <v>5038.8974999999973</v>
      </c>
      <c r="L30" s="7">
        <f>L25*(C50+L17*(D55-C50))</f>
        <v>5679.8123999999971</v>
      </c>
      <c r="M30" s="7">
        <f>M25*(C50+M17*(D55-C50))</f>
        <v>6358.4390999999969</v>
      </c>
      <c r="N30" s="7">
        <f>N25*(C50+N17*(D55-C50))</f>
        <v>7074.7775999999967</v>
      </c>
      <c r="O30" s="7">
        <f>O25*(C50+O17*(D55-C50))</f>
        <v>7828.8278999999957</v>
      </c>
      <c r="P30" s="7">
        <f>P25*(C50+P17*(D55-C50))</f>
        <v>8620.5899999999947</v>
      </c>
      <c r="Q30" s="7">
        <f>Q25*(C50+Q17*(D55-C50))</f>
        <v>9450.0638999999956</v>
      </c>
      <c r="R30" s="7">
        <f>R25*(C50+R17*(D55-C50))</f>
        <v>10317.249599999992</v>
      </c>
      <c r="S30" s="7">
        <f>S25*(C50+S17*(D55-C50))</f>
        <v>11222.147099999993</v>
      </c>
      <c r="T30" s="7">
        <f>T25*(C50+T17*(D55-C50))</f>
        <v>13145.077499999989</v>
      </c>
    </row>
    <row r="31" spans="2:20" x14ac:dyDescent="0.2">
      <c r="B31" t="s">
        <v>32</v>
      </c>
      <c r="C31" s="7">
        <f>C26*(C50+C17*(E55-C50))</f>
        <v>519.85068750000084</v>
      </c>
      <c r="D31" s="7">
        <f>D26*(C50+D17*(E55-C50))</f>
        <v>1094.1798285000007</v>
      </c>
      <c r="E31" s="7">
        <f>E26*(C50+E17*(E55-C50))</f>
        <v>1900.5970455000004</v>
      </c>
      <c r="F31" s="7">
        <f>F26*(C50+F17*(E55-C50))</f>
        <v>2400</v>
      </c>
      <c r="G31" s="7">
        <f>G26*(C50+G17*(E55-C50))</f>
        <v>2968.4185544999991</v>
      </c>
      <c r="H31" s="7">
        <f>H26*(C50+H17*(E55-C50))</f>
        <v>3609.5172359999992</v>
      </c>
      <c r="I31" s="7">
        <f>I26*(C50+I17*(E55-C50))</f>
        <v>4326.9605714999998</v>
      </c>
      <c r="J31" s="7">
        <f>J26*(C50+J17*(E55-C50))</f>
        <v>5124.4130879999984</v>
      </c>
      <c r="K31" s="7">
        <f>K26*(C50+K17*(E55-C50))</f>
        <v>6005.5393124999973</v>
      </c>
      <c r="L31" s="7">
        <f>L26*(C50+L17*(E55-C50))</f>
        <v>6974.0037719999964</v>
      </c>
      <c r="M31" s="7">
        <f>M26*(C50+M17*(E55-C50))</f>
        <v>8033.4709934999964</v>
      </c>
      <c r="N31" s="7">
        <f>N26*(C50+N17*(E55-C50))</f>
        <v>9187.6055039999974</v>
      </c>
      <c r="O31" s="7">
        <f>O26*(C50+O17*(E55-C50))</f>
        <v>10440.071830499995</v>
      </c>
      <c r="P31" s="7">
        <f>P26*(C50+P17*(E55-C50))</f>
        <v>11794.534499999992</v>
      </c>
      <c r="Q31" s="7">
        <f>Q26*(C50+Q17*(E55-C50))</f>
        <v>13254.658039499993</v>
      </c>
      <c r="R31" s="7">
        <f>R26*(C50+R17*(E55-C50))</f>
        <v>14824.106975999988</v>
      </c>
      <c r="S31" s="7">
        <f>S26*(C50+S17*(E55-C50))</f>
        <v>16506.54583649999</v>
      </c>
      <c r="T31" s="7">
        <f>T26*(C50+T17*(E55-C50))</f>
        <v>20225.051437499988</v>
      </c>
    </row>
    <row r="32" spans="2:20" x14ac:dyDescent="0.2">
      <c r="B32" t="s">
        <v>33</v>
      </c>
      <c r="C32" s="7">
        <f>C27*(C50+C17*(F55-C50))</f>
        <v>385.3247310000009</v>
      </c>
      <c r="D32" s="7">
        <f>D27*(C50+D17*(F55-C50))</f>
        <v>955.44766637760097</v>
      </c>
      <c r="E32" s="7">
        <f>E27*(C50+E17*(F55-C50))</f>
        <v>1828.4515878096004</v>
      </c>
      <c r="F32" s="7">
        <f>F27*(C50+F17*(F55-C50))</f>
        <v>2400</v>
      </c>
      <c r="G32" s="7">
        <f>G27*(C50+G17*(F55-C50))</f>
        <v>3073.8051972095996</v>
      </c>
      <c r="H32" s="7">
        <f>H27*(C50+H17*(F55-C50))</f>
        <v>3859.5223177535991</v>
      </c>
      <c r="I32" s="7">
        <f>I27*(C50+I17*(F55-C50))</f>
        <v>4767.1951201775992</v>
      </c>
      <c r="J32" s="7">
        <f>J27*(C50+J17*(F55-C50))</f>
        <v>5807.2559832575998</v>
      </c>
      <c r="K32" s="7">
        <f>K27*(C50+K17*(F55-C50))</f>
        <v>6990.525905999998</v>
      </c>
      <c r="L32" s="7">
        <f>L27*(C50+L17*(F55-C50))</f>
        <v>8328.2145076415945</v>
      </c>
      <c r="M32" s="7">
        <f>M27*(C50+M17*(F55-C50))</f>
        <v>9831.9200276495958</v>
      </c>
      <c r="N32" s="7">
        <f>N27*(C50+N17*(F55-C50))</f>
        <v>11513.629325721595</v>
      </c>
      <c r="O32" s="7">
        <f>O27*(C50+O17*(F55-C50))</f>
        <v>13385.717881785593</v>
      </c>
      <c r="P32" s="7">
        <f>P27*(C50+P17*(F55-C50))</f>
        <v>15460.94979599999</v>
      </c>
      <c r="Q32" s="7">
        <f>Q27*(C50+Q17*(F55-C50))</f>
        <v>17752.477788753589</v>
      </c>
      <c r="R32" s="7">
        <f>R27*(C50+R17*(F55-C50))</f>
        <v>20273.843200665582</v>
      </c>
      <c r="S32" s="7">
        <f>S27*(C50+S17*(F55-C50))</f>
        <v>23038.97599258558</v>
      </c>
      <c r="T32" s="7">
        <f>T27*(C50+T17*(F55-C50))</f>
        <v>29358.206660999975</v>
      </c>
    </row>
    <row r="33" spans="2:20" x14ac:dyDescent="0.2">
      <c r="B33" t="s">
        <v>34</v>
      </c>
      <c r="C33" s="7">
        <f>C28*(C50+C17*(G55-C50))</f>
        <v>281.86277130000002</v>
      </c>
      <c r="D33" s="7">
        <f>D28*(C50+D17*(G55-C50))</f>
        <v>841.76666479276821</v>
      </c>
      <c r="E33" s="7">
        <f>E28*(C50+E17*(G55-C50))</f>
        <v>1765.882050026976</v>
      </c>
      <c r="F33" s="7">
        <f>F28*(C50+F17*(G55-C50))</f>
        <v>2400</v>
      </c>
      <c r="G33" s="7">
        <f>G28*(C50+G17*(G55-C50))</f>
        <v>3170.1087905034242</v>
      </c>
      <c r="H33" s="7">
        <f>H28*(C50+H17*(G55-C50))</f>
        <v>4093.7213950663681</v>
      </c>
      <c r="I33" s="7">
        <f>I28*(C50+I17*(G55-C50))</f>
        <v>5189.6418181696345</v>
      </c>
      <c r="J33" s="7">
        <f>J28*(C50+J17*(G55-C50))</f>
        <v>6478.0076398325791</v>
      </c>
      <c r="K33" s="7">
        <f>K28*(C50+K17*(G55-C50))</f>
        <v>7980.3325602000023</v>
      </c>
      <c r="L33" s="7">
        <f>L28*(C50+L17*(G55-C50))</f>
        <v>9719.5489441290247</v>
      </c>
      <c r="M33" s="7">
        <f>M28*(C50+M17*(G55-C50))</f>
        <v>11720.050365775965</v>
      </c>
      <c r="N33" s="7">
        <f>N28*(C50+N17*(G55-C50))</f>
        <v>14007.734153183237</v>
      </c>
      <c r="O33" s="7">
        <f>O28*(C50+O17*(G55-C50))</f>
        <v>16610.043932866178</v>
      </c>
      <c r="P33" s="7">
        <f>P28*(C50+P17*(G55-C50))</f>
        <v>19556.012174400003</v>
      </c>
      <c r="Q33" s="7">
        <f>Q28*(C50+Q17*(G55-C50))</f>
        <v>22876.302735006619</v>
      </c>
      <c r="R33" s="7">
        <f>R28*(C50+R17*(G55-C50))</f>
        <v>26603.25340414156</v>
      </c>
      <c r="S33" s="7">
        <f>S28*(C50+S17*(G55-C50))</f>
        <v>30770.918448080836</v>
      </c>
      <c r="T33" s="7">
        <f>T28*(C50+T17*(G55-C50))</f>
        <v>40573.446377100001</v>
      </c>
    </row>
    <row r="34" spans="2:20" x14ac:dyDescent="0.2">
      <c r="B34" t="s">
        <v>35</v>
      </c>
      <c r="C34" s="7">
        <f>C29*(C50+C17*(H55-C50))</f>
        <v>199.57862192400006</v>
      </c>
      <c r="D34" s="7">
        <f>D29*(C50+D17*(H55-C50))</f>
        <v>747.71272207744369</v>
      </c>
      <c r="E34" s="7">
        <f>E29*(C50+E17*(H55-C50))</f>
        <v>1712.0434392965351</v>
      </c>
      <c r="F34" s="7">
        <f>F29*(C50+F17*(H55-C50))</f>
        <v>2400</v>
      </c>
      <c r="G34" s="7">
        <f>G29*(C50+G17*(H55-C50))</f>
        <v>3256.215260330705</v>
      </c>
      <c r="H34" s="7">
        <f>H29*(C50+H17*(H55-C50))</f>
        <v>4307.0928462184002</v>
      </c>
      <c r="I34" s="7">
        <f>I29*(C50+I17*(H55-C50))</f>
        <v>5581.7075357806589</v>
      </c>
      <c r="J34" s="7">
        <f>J29*(C50+J17*(H55-C50))</f>
        <v>7111.9662620827512</v>
      </c>
      <c r="K34" s="7">
        <f>K29*(C50+K17*(H55-C50))</f>
        <v>8932.7735537040026</v>
      </c>
      <c r="L34" s="7">
        <f>L29*(C50+L17*(H55-C50))</f>
        <v>11082.201413110604</v>
      </c>
      <c r="M34" s="7">
        <f>M29*(C50+M17*(H55-C50))</f>
        <v>13601.663632834907</v>
      </c>
      <c r="N34" s="7">
        <f>N29*(C50+N17*(H55-C50))</f>
        <v>16536.094549461177</v>
      </c>
      <c r="O34" s="7">
        <f>O29*(C50+O17*(H55-C50))</f>
        <v>19934.132235417797</v>
      </c>
      <c r="P34" s="7">
        <f>P29*(C50+P17*(H55-C50))</f>
        <v>23848.306128575998</v>
      </c>
      <c r="Q34" s="7">
        <f>Q29*(C50+Q17*(H55-C50))</f>
        <v>28335.229099655007</v>
      </c>
      <c r="R34" s="7">
        <f>R29*(C50+R17*(H55-C50))</f>
        <v>33455.793957433678</v>
      </c>
      <c r="S34" s="7">
        <f>S29*(C50+S17*(H55-C50))</f>
        <v>39275.374391768593</v>
      </c>
      <c r="T34" s="7">
        <f>T29*(C50+T17*(H55-C50))</f>
        <v>53296.717877675997</v>
      </c>
    </row>
    <row r="35" spans="2:20" x14ac:dyDescent="0.2">
      <c r="B35" t="s">
        <v>36</v>
      </c>
      <c r="C35" s="7">
        <f>MAX(0,C30*(1-0.31))+D56-D57-D58</f>
        <v>1196.445768150686</v>
      </c>
      <c r="D35" s="7">
        <f>MAX(0,D30*(1-0.31))+D56-D57-D58</f>
        <v>1586.5066321506858</v>
      </c>
      <c r="E35" s="7">
        <f>MAX(0,E30*(1-0.31))+D56-D57-D58</f>
        <v>2080.6520641506859</v>
      </c>
      <c r="F35" s="7">
        <f>MAX(0,F30*(1-0.31))+D56-D57-D58</f>
        <v>2366.7564931506849</v>
      </c>
      <c r="G35" s="7">
        <f>MAX(0,G30*(1-0.31))+D56-D57-D58</f>
        <v>2678.8820641506845</v>
      </c>
      <c r="H35" s="7">
        <f>MAX(0,H30*(1-0.31))+D56-D57-D58</f>
        <v>3017.0287771506846</v>
      </c>
      <c r="I35" s="7">
        <f>MAX(0,I30*(1-0.31))+D56-D57-D58</f>
        <v>3381.1966321506843</v>
      </c>
      <c r="J35" s="7">
        <f>MAX(0,J30*(1-0.31))+D56-D57-D58</f>
        <v>3771.3856291506836</v>
      </c>
      <c r="K35" s="7">
        <f>MAX(0,K30*(1-0.31))+D56-D57-D58</f>
        <v>4187.5957681506834</v>
      </c>
      <c r="L35" s="7">
        <f>MAX(0,L30*(1-0.31))+D56-D57-D58</f>
        <v>4629.8270491506837</v>
      </c>
      <c r="M35" s="7">
        <f>MAX(0,M30*(1-0.31))+D56-D57-D58</f>
        <v>5098.0794721506836</v>
      </c>
      <c r="N35" s="7">
        <f>MAX(0,N30*(1-0.31))+D56-D57-D58</f>
        <v>5592.3530371506831</v>
      </c>
      <c r="O35" s="7">
        <f>MAX(0,O30*(1-0.31))+D56-D57-D58</f>
        <v>6112.6477441506822</v>
      </c>
      <c r="P35" s="7">
        <f>MAX(0,P30*(1-0.31))+D56-D57-D58</f>
        <v>6658.9635931506818</v>
      </c>
      <c r="Q35" s="7">
        <f>MAX(0,Q30*(1-0.31))+D56-D57-D58</f>
        <v>7231.300584150682</v>
      </c>
      <c r="R35" s="7">
        <f>MAX(0,R30*(1-0.31))+D56-D57-D58</f>
        <v>7829.6587171506799</v>
      </c>
      <c r="S35" s="7">
        <f>MAX(0,S30*(1-0.31))+D56-D57-D58</f>
        <v>8454.0379921506792</v>
      </c>
      <c r="T35" s="7">
        <f>MAX(0,T30*(1-0.31))+D56-D57-D58</f>
        <v>9780.8599681506748</v>
      </c>
    </row>
    <row r="36" spans="2:20" x14ac:dyDescent="0.2">
      <c r="B36" t="s">
        <v>37</v>
      </c>
      <c r="C36" s="7">
        <f>MAX(0,C31*(1-0.31))+E56-E57-E58</f>
        <v>-884.37919850171249</v>
      </c>
      <c r="D36" s="7">
        <f>MAX(0,D31*(1-0.31))+E56-E57-E58</f>
        <v>-488.09209121171261</v>
      </c>
      <c r="E36" s="7">
        <f>MAX(0,E31*(1-0.31))+E56-E57-E58</f>
        <v>68.335788518287018</v>
      </c>
      <c r="F36" s="7">
        <f>MAX(0,F31*(1-0.31))+E56-E57-E58</f>
        <v>412.92382712328686</v>
      </c>
      <c r="G36" s="7">
        <f>MAX(0,G31*(1-0.31))+E56-E57-E58</f>
        <v>805.13262972828602</v>
      </c>
      <c r="H36" s="7">
        <f>MAX(0,H31*(1-0.31))+E56-E57-E58</f>
        <v>1247.4907199632862</v>
      </c>
      <c r="I36" s="7">
        <f>MAX(0,I31*(1-0.31))+E56-E57-E58</f>
        <v>1742.5266214582862</v>
      </c>
      <c r="J36" s="7">
        <f>MAX(0,J31*(1-0.31))+E56-E57-E58</f>
        <v>2292.7688578432853</v>
      </c>
      <c r="K36" s="7">
        <f>MAX(0,K31*(1-0.31))+E56-E57-E58</f>
        <v>2900.7459527482852</v>
      </c>
      <c r="L36" s="7">
        <f>MAX(0,L31*(1-0.31))+E56-E57-E58</f>
        <v>3568.9864298032844</v>
      </c>
      <c r="M36" s="7">
        <f>MAX(0,M31*(1-0.31))+E56-E57-E58</f>
        <v>4300.0188126382845</v>
      </c>
      <c r="N36" s="7">
        <f>MAX(0,N31*(1-0.31))+E56-E57-E58</f>
        <v>5096.3716248832852</v>
      </c>
      <c r="O36" s="7">
        <f>MAX(0,O31*(1-0.31))+E56-E57-E58</f>
        <v>5960.5733901682834</v>
      </c>
      <c r="P36" s="7">
        <f>MAX(0,P31*(1-0.31))+E56-E57-E58</f>
        <v>6895.1526321232823</v>
      </c>
      <c r="Q36" s="7">
        <f>MAX(0,Q31*(1-0.31))+E56-E57-E58</f>
        <v>7902.6378743782816</v>
      </c>
      <c r="R36" s="7">
        <f>MAX(0,R31*(1-0.31))+E56-E57-E58</f>
        <v>8985.5576405632783</v>
      </c>
      <c r="S36" s="7">
        <f>MAX(0,S31*(1-0.31))+E56-E57-E58</f>
        <v>10146.440454308278</v>
      </c>
      <c r="T36" s="7">
        <f>MAX(0,T31*(1-0.31))+E56-E57-E58</f>
        <v>12712.209318998277</v>
      </c>
    </row>
    <row r="37" spans="2:20" x14ac:dyDescent="0.2">
      <c r="B37" t="s">
        <v>38</v>
      </c>
      <c r="C37" s="7">
        <f>MAX(0,C32*(1-0.31))+F56-F57-F58</f>
        <v>-943.00196959355958</v>
      </c>
      <c r="D37" s="7">
        <f>MAX(0,D32*(1-0.31))+F56-F57-F58</f>
        <v>-549.6171441830154</v>
      </c>
      <c r="E37" s="7">
        <f>MAX(0,E32*(1-0.31))+F56-F57-F58</f>
        <v>52.755561605064031</v>
      </c>
      <c r="F37" s="7">
        <f>MAX(0,F32*(1-0.31))+F56-F57-F58</f>
        <v>447.12396601643945</v>
      </c>
      <c r="G37" s="7">
        <f>MAX(0,G32*(1-0.31))+F56-F57-F58</f>
        <v>912.04955209106333</v>
      </c>
      <c r="H37" s="7">
        <f>MAX(0,H32*(1-0.31))+F56-F57-F58</f>
        <v>1454.1943652664231</v>
      </c>
      <c r="I37" s="7">
        <f>MAX(0,I32*(1-0.31))+F56-F57-F58</f>
        <v>2080.4885989389832</v>
      </c>
      <c r="J37" s="7">
        <f>MAX(0,J32*(1-0.31))+F56-F57-F58</f>
        <v>2798.1305944641826</v>
      </c>
      <c r="K37" s="7">
        <f>MAX(0,K32*(1-0.31))+F56-F57-F58</f>
        <v>3614.5868411564388</v>
      </c>
      <c r="L37" s="7">
        <f>MAX(0,L32*(1-0.31))+F56-F57-F58</f>
        <v>4537.591976289139</v>
      </c>
      <c r="M37" s="7">
        <f>MAX(0,M32*(1-0.31))+F56-F57-F58</f>
        <v>5575.1487850946596</v>
      </c>
      <c r="N37" s="7">
        <f>MAX(0,N32*(1-0.31))+F56-F57-F58</f>
        <v>6735.52820076434</v>
      </c>
      <c r="O37" s="7">
        <f>MAX(0,O32*(1-0.31))+F56-F57-F58</f>
        <v>8027.2693044484968</v>
      </c>
      <c r="P37" s="7">
        <f>MAX(0,P32*(1-0.31))+F56-F57-F58</f>
        <v>9459.1793252564312</v>
      </c>
      <c r="Q37" s="7">
        <f>MAX(0,Q32*(1-0.31))+F56-F57-F58</f>
        <v>11040.333640256415</v>
      </c>
      <c r="R37" s="7">
        <f>MAX(0,R32*(1-0.31))+F56-F57-F58</f>
        <v>12780.07577447569</v>
      </c>
      <c r="S37" s="7">
        <f>MAX(0,S32*(1-0.31))+F56-F57-F58</f>
        <v>14688.017400900488</v>
      </c>
      <c r="T37" s="7">
        <f>MAX(0,T32*(1-0.31))+F56-F57-F58</f>
        <v>19048.286562106419</v>
      </c>
    </row>
    <row r="38" spans="2:20" x14ac:dyDescent="0.2">
      <c r="B38" t="s">
        <v>39</v>
      </c>
      <c r="C38" s="7">
        <f>MAX(0,C33*(1-0.31))+G56-G57-G58</f>
        <v>-913.01448567291743</v>
      </c>
      <c r="D38" s="7">
        <f>MAX(0,D33*(1-0.31))+G56-G57-G58</f>
        <v>-526.68079916290742</v>
      </c>
      <c r="E38" s="7">
        <f>MAX(0,E33*(1-0.31))+G56-G57-G58</f>
        <v>110.95881664869592</v>
      </c>
      <c r="F38" s="7">
        <f>MAX(0,F33*(1-0.31))+G56-G57-G58</f>
        <v>548.50020213008202</v>
      </c>
      <c r="G38" s="7">
        <f>MAX(0,G33*(1-0.31))+G56-G57-G58</f>
        <v>1079.8752675774449</v>
      </c>
      <c r="H38" s="7">
        <f>MAX(0,H33*(1-0.31))+G56-G57-G58</f>
        <v>1717.1679647258761</v>
      </c>
      <c r="I38" s="7">
        <f>MAX(0,I33*(1-0.31))+G56-G57-G58</f>
        <v>2473.3530566671293</v>
      </c>
      <c r="J38" s="7">
        <f>MAX(0,J33*(1-0.31))+G56-G57-G58</f>
        <v>3362.3254736145618</v>
      </c>
      <c r="K38" s="7">
        <f>MAX(0,K33*(1-0.31))+G56-G57-G58</f>
        <v>4398.9296686680837</v>
      </c>
      <c r="L38" s="7">
        <f>MAX(0,L33*(1-0.31))+G56-G57-G58</f>
        <v>5598.9889735791103</v>
      </c>
      <c r="M38" s="7">
        <f>MAX(0,M33*(1-0.31))+G56-G57-G58</f>
        <v>6979.3349545154988</v>
      </c>
      <c r="N38" s="7">
        <f>MAX(0,N33*(1-0.31))+G56-G57-G58</f>
        <v>8557.8367678265149</v>
      </c>
      <c r="O38" s="7">
        <f>MAX(0,O33*(1-0.31))+G56-G57-G58</f>
        <v>10353.430515807744</v>
      </c>
      <c r="P38" s="7">
        <f>MAX(0,P33*(1-0.31))+G56-G57-G58</f>
        <v>12386.148602466083</v>
      </c>
      <c r="Q38" s="7">
        <f>MAX(0,Q33*(1-0.31))+G56-G57-G58</f>
        <v>14677.149089284649</v>
      </c>
      <c r="R38" s="7">
        <f>MAX(0,R33*(1-0.31))+G56-G57-G58</f>
        <v>17248.745050987756</v>
      </c>
      <c r="S38" s="7">
        <f>MAX(0,S33*(1-0.31))+G56-G57-G58</f>
        <v>20124.433931305859</v>
      </c>
      <c r="T38" s="7">
        <f>MAX(0,T33*(1-0.31))+G56-G57-G58</f>
        <v>26888.17820232908</v>
      </c>
    </row>
    <row r="39" spans="2:20" x14ac:dyDescent="0.2">
      <c r="B39" t="s">
        <v>40</v>
      </c>
      <c r="C39" s="7">
        <f>MAX(0,C34*(1-0.31))+H56-H57-H58</f>
        <v>-865.18279622006901</v>
      </c>
      <c r="D39" s="7">
        <f>MAX(0,D34*(1-0.31))+H56-H57-H58</f>
        <v>-486.97026711419289</v>
      </c>
      <c r="E39" s="7">
        <f>MAX(0,E34*(1-0.31))+H56-H57-H58</f>
        <v>178.41792776698026</v>
      </c>
      <c r="F39" s="7">
        <f>MAX(0,F34*(1-0.31))+H56-H57-H58</f>
        <v>653.10795465237084</v>
      </c>
      <c r="G39" s="7">
        <f>MAX(0,G34*(1-0.31))+H56-H57-H58</f>
        <v>1243.8964842805569</v>
      </c>
      <c r="H39" s="7">
        <f>MAX(0,H34*(1-0.31))+H56-H57-H58</f>
        <v>1969.0020185430667</v>
      </c>
      <c r="I39" s="7">
        <f>MAX(0,I34*(1-0.31))+H56-H57-H58</f>
        <v>2848.4861543410252</v>
      </c>
      <c r="J39" s="7">
        <f>MAX(0,J34*(1-0.31))+H56-H57-H58</f>
        <v>3904.3646754894689</v>
      </c>
      <c r="K39" s="7">
        <f>MAX(0,K34*(1-0.31))+H56-H57-H58</f>
        <v>5160.7217067081319</v>
      </c>
      <c r="L39" s="7">
        <f>MAX(0,L34*(1-0.31))+H56-H57-H58</f>
        <v>6643.8269296986873</v>
      </c>
      <c r="M39" s="7">
        <f>MAX(0,M34*(1-0.31))+H56-H57-H58</f>
        <v>8382.2558613084548</v>
      </c>
      <c r="N39" s="7">
        <f>MAX(0,N34*(1-0.31))+H56-H57-H58</f>
        <v>10407.013193780582</v>
      </c>
      <c r="O39" s="7">
        <f>MAX(0,O34*(1-0.31))+H56-H57-H58</f>
        <v>12751.659197090652</v>
      </c>
      <c r="P39" s="7">
        <f>MAX(0,P34*(1-0.31))+H56-H57-H58</f>
        <v>15452.43918336981</v>
      </c>
      <c r="Q39" s="7">
        <f>MAX(0,Q34*(1-0.31))+H56-H57-H58</f>
        <v>18548.416033414323</v>
      </c>
      <c r="R39" s="7">
        <f>MAX(0,R34*(1-0.31))+H56-H57-H58</f>
        <v>22081.605785281605</v>
      </c>
      <c r="S39" s="7">
        <f>MAX(0,S34*(1-0.31))+H56-H57-H58</f>
        <v>26097.116284972697</v>
      </c>
      <c r="T39" s="7">
        <f>MAX(0,T34*(1-0.31))+H56-H57-H58</f>
        <v>35771.843290248806</v>
      </c>
    </row>
    <row r="40" spans="2:20" ht="14" x14ac:dyDescent="0.3">
      <c r="B40" s="5" t="s">
        <v>41</v>
      </c>
      <c r="C40" s="7">
        <f t="shared" ref="C40:T40" si="2">C35/(1+0.143495145631068)^(0.5+0)+C36/(1+0.143495145631068)^(0.5+1)+C37/(1+0.143495145631068)^(0.5+2)+C38/(1+0.143495145631068)^(0.5+3)+C39/(1+0.143495145631068)^(0.5+4)</f>
        <v>-1323.0393157328958</v>
      </c>
      <c r="D40" s="7">
        <f t="shared" si="2"/>
        <v>95.639920807011435</v>
      </c>
      <c r="E40" s="7">
        <f t="shared" si="2"/>
        <v>2206.3259451665567</v>
      </c>
      <c r="F40" s="7">
        <f t="shared" si="2"/>
        <v>3571.0088009589313</v>
      </c>
      <c r="G40" s="7">
        <f t="shared" si="2"/>
        <v>5171.6170752812632</v>
      </c>
      <c r="H40" s="7">
        <f t="shared" si="2"/>
        <v>7032.5053978597971</v>
      </c>
      <c r="I40" s="7">
        <f t="shared" si="2"/>
        <v>9179.7853895479184</v>
      </c>
      <c r="J40" s="7">
        <f t="shared" si="2"/>
        <v>11641.404783775535</v>
      </c>
      <c r="K40" s="7">
        <f t="shared" si="2"/>
        <v>14447.228222798603</v>
      </c>
      <c r="L40" s="7">
        <f t="shared" si="2"/>
        <v>17629.119728748745</v>
      </c>
      <c r="M40" s="7">
        <f t="shared" si="2"/>
        <v>21221.026849483053</v>
      </c>
      <c r="N40" s="7">
        <f t="shared" si="2"/>
        <v>25259.066479233985</v>
      </c>
      <c r="O40" s="7">
        <f t="shared" si="2"/>
        <v>29781.612354059351</v>
      </c>
      <c r="P40" s="7">
        <f t="shared" si="2"/>
        <v>34829.384222092558</v>
      </c>
      <c r="Q40" s="7">
        <f t="shared" si="2"/>
        <v>40445.538688592831</v>
      </c>
      <c r="R40" s="7">
        <f t="shared" si="2"/>
        <v>46675.761735795677</v>
      </c>
      <c r="S40" s="7">
        <f t="shared" si="2"/>
        <v>53568.362917563456</v>
      </c>
      <c r="T40" s="7">
        <f t="shared" si="2"/>
        <v>69547.632649881329</v>
      </c>
    </row>
    <row r="41" spans="2:20" x14ac:dyDescent="0.2">
      <c r="B41" t="s">
        <v>42</v>
      </c>
      <c r="C41" s="7">
        <f t="shared" ref="C41:T41" si="3">C39*(1+0.015)/(0.143495145631068-0.015)</f>
        <v>-6834.1923257141725</v>
      </c>
      <c r="D41" s="7">
        <f t="shared" si="3"/>
        <v>-3846.6419777448641</v>
      </c>
      <c r="E41" s="7">
        <f t="shared" si="3"/>
        <v>1409.3466005590435</v>
      </c>
      <c r="F41" s="7">
        <f t="shared" si="3"/>
        <v>5158.9853508977767</v>
      </c>
      <c r="G41" s="7">
        <f t="shared" si="3"/>
        <v>9825.7013939637909</v>
      </c>
      <c r="H41" s="7">
        <f t="shared" si="3"/>
        <v>15553.405064494507</v>
      </c>
      <c r="I41" s="7">
        <f t="shared" si="3"/>
        <v>22500.565546322807</v>
      </c>
      <c r="J41" s="7">
        <f t="shared" si="3"/>
        <v>30841.08840189243</v>
      </c>
      <c r="K41" s="7">
        <f t="shared" si="3"/>
        <v>40765.217289595872</v>
      </c>
      <c r="L41" s="7">
        <f t="shared" si="3"/>
        <v>52480.459868934566</v>
      </c>
      <c r="M41" s="7">
        <f t="shared" si="3"/>
        <v>66212.537893501474</v>
      </c>
      <c r="N41" s="7">
        <f t="shared" si="3"/>
        <v>82206.3614917862</v>
      </c>
      <c r="O41" s="7">
        <f t="shared" si="3"/>
        <v>100727.02763580217</v>
      </c>
      <c r="P41" s="7">
        <f t="shared" si="3"/>
        <v>122060.84279753655</v>
      </c>
      <c r="Q41" s="7">
        <f t="shared" si="3"/>
        <v>146516.36979322246</v>
      </c>
      <c r="R41" s="7">
        <f t="shared" si="3"/>
        <v>174425.49881543365</v>
      </c>
      <c r="S41" s="7">
        <f t="shared" si="3"/>
        <v>206144.54265300106</v>
      </c>
      <c r="T41" s="7">
        <f t="shared" si="3"/>
        <v>282566.4795450744</v>
      </c>
    </row>
    <row r="42" spans="2:20" x14ac:dyDescent="0.2">
      <c r="B42" t="s">
        <v>43</v>
      </c>
      <c r="C42" s="7">
        <f t="shared" ref="C42:T42" si="4">C41/(1+0.143495145631068)^(0.5+4)</f>
        <v>-3737.94350038521</v>
      </c>
      <c r="D42" s="7">
        <f t="shared" si="4"/>
        <v>-2103.9107027936575</v>
      </c>
      <c r="E42" s="7">
        <f t="shared" si="4"/>
        <v>770.83841283310039</v>
      </c>
      <c r="F42" s="7">
        <f t="shared" si="4"/>
        <v>2821.6934557743339</v>
      </c>
      <c r="G42" s="7">
        <f t="shared" si="4"/>
        <v>5374.1415096120791</v>
      </c>
      <c r="H42" s="7">
        <f t="shared" si="4"/>
        <v>8506.8939530627358</v>
      </c>
      <c r="I42" s="7">
        <f t="shared" si="4"/>
        <v>12306.62508902684</v>
      </c>
      <c r="J42" s="7">
        <f t="shared" si="4"/>
        <v>16868.452107047266</v>
      </c>
      <c r="K42" s="7">
        <f t="shared" si="4"/>
        <v>22296.428275233269</v>
      </c>
      <c r="L42" s="7">
        <f t="shared" si="4"/>
        <v>28704.049361650232</v>
      </c>
      <c r="M42" s="7">
        <f t="shared" si="4"/>
        <v>36214.773285175244</v>
      </c>
      <c r="N42" s="7">
        <f t="shared" si="4"/>
        <v>44962.552995818456</v>
      </c>
      <c r="O42" s="7">
        <f t="shared" si="4"/>
        <v>55092.382584510109</v>
      </c>
      <c r="P42" s="7">
        <f t="shared" si="4"/>
        <v>66760.856622353516</v>
      </c>
      <c r="Q42" s="7">
        <f t="shared" si="4"/>
        <v>80136.742729343721</v>
      </c>
      <c r="R42" s="7">
        <f t="shared" si="4"/>
        <v>95401.567372551988</v>
      </c>
      <c r="S42" s="7">
        <f t="shared" si="4"/>
        <v>112750.21489377589</v>
      </c>
      <c r="T42" s="7">
        <f t="shared" si="4"/>
        <v>154548.99208325494</v>
      </c>
    </row>
    <row r="43" spans="2:20" ht="14" x14ac:dyDescent="0.3">
      <c r="B43" s="5" t="s">
        <v>44</v>
      </c>
      <c r="C43" s="7">
        <f t="shared" ref="C43:T43" si="5">C40+C42</f>
        <v>-5060.9828161181058</v>
      </c>
      <c r="D43" s="7">
        <f t="shared" si="5"/>
        <v>-2008.2707819866459</v>
      </c>
      <c r="E43" s="7">
        <f t="shared" si="5"/>
        <v>2977.1643579996571</v>
      </c>
      <c r="F43" s="7">
        <f t="shared" si="5"/>
        <v>6392.7022567332651</v>
      </c>
      <c r="G43" s="7">
        <f t="shared" si="5"/>
        <v>10545.758584893341</v>
      </c>
      <c r="H43" s="7">
        <f t="shared" si="5"/>
        <v>15539.399350922533</v>
      </c>
      <c r="I43" s="7">
        <f t="shared" si="5"/>
        <v>21486.410478574759</v>
      </c>
      <c r="J43" s="7">
        <f t="shared" si="5"/>
        <v>28509.856890822801</v>
      </c>
      <c r="K43" s="7">
        <f t="shared" si="5"/>
        <v>36743.656498031873</v>
      </c>
      <c r="L43" s="7">
        <f t="shared" si="5"/>
        <v>46333.16909039898</v>
      </c>
      <c r="M43" s="7">
        <f t="shared" si="5"/>
        <v>57435.800134658297</v>
      </c>
      <c r="N43" s="7">
        <f t="shared" si="5"/>
        <v>70221.619475052445</v>
      </c>
      <c r="O43" s="7">
        <f t="shared" si="5"/>
        <v>84873.994938569464</v>
      </c>
      <c r="P43" s="7">
        <f t="shared" si="5"/>
        <v>101590.24084444607</v>
      </c>
      <c r="Q43" s="7">
        <f t="shared" si="5"/>
        <v>120582.28141793655</v>
      </c>
      <c r="R43" s="7">
        <f t="shared" si="5"/>
        <v>142077.32910834765</v>
      </c>
      <c r="S43" s="7">
        <f t="shared" si="5"/>
        <v>166318.57781133935</v>
      </c>
      <c r="T43" s="7">
        <f t="shared" si="5"/>
        <v>224096.62473313627</v>
      </c>
    </row>
    <row r="44" spans="2:20" x14ac:dyDescent="0.2">
      <c r="B44" t="s">
        <v>45</v>
      </c>
      <c r="C44" s="7">
        <f t="shared" ref="C44:T44" si="6">C43--2101</f>
        <v>-2959.9828161181058</v>
      </c>
      <c r="D44" s="7">
        <f t="shared" si="6"/>
        <v>92.729218013354057</v>
      </c>
      <c r="E44" s="7">
        <f t="shared" si="6"/>
        <v>5078.1643579996571</v>
      </c>
      <c r="F44" s="7">
        <f t="shared" si="6"/>
        <v>8493.7022567332642</v>
      </c>
      <c r="G44" s="7">
        <f t="shared" si="6"/>
        <v>12646.758584893341</v>
      </c>
      <c r="H44" s="7">
        <f t="shared" si="6"/>
        <v>17640.399350922533</v>
      </c>
      <c r="I44" s="7">
        <f t="shared" si="6"/>
        <v>23587.410478574759</v>
      </c>
      <c r="J44" s="7">
        <f t="shared" si="6"/>
        <v>30610.856890822801</v>
      </c>
      <c r="K44" s="7">
        <f t="shared" si="6"/>
        <v>38844.656498031873</v>
      </c>
      <c r="L44" s="7">
        <f t="shared" si="6"/>
        <v>48434.16909039898</v>
      </c>
      <c r="M44" s="7">
        <f t="shared" si="6"/>
        <v>59536.800134658297</v>
      </c>
      <c r="N44" s="7">
        <f t="shared" si="6"/>
        <v>72322.619475052445</v>
      </c>
      <c r="O44" s="7">
        <f t="shared" si="6"/>
        <v>86974.994938569464</v>
      </c>
      <c r="P44" s="7">
        <f t="shared" si="6"/>
        <v>103691.24084444607</v>
      </c>
      <c r="Q44" s="7">
        <f t="shared" si="6"/>
        <v>122683.28141793655</v>
      </c>
      <c r="R44" s="7">
        <f t="shared" si="6"/>
        <v>144178.32910834765</v>
      </c>
      <c r="S44" s="7">
        <f t="shared" si="6"/>
        <v>168419.57781133935</v>
      </c>
      <c r="T44" s="7">
        <f t="shared" si="6"/>
        <v>226197.62473313627</v>
      </c>
    </row>
    <row r="45" spans="2:20" ht="14" x14ac:dyDescent="0.3">
      <c r="B45" s="8" t="s">
        <v>46</v>
      </c>
      <c r="C45" s="9">
        <f t="shared" ref="C45:T45" si="7">C44*1000000/7280000</f>
        <v>-406.59104617006949</v>
      </c>
      <c r="D45" s="9">
        <f t="shared" si="7"/>
        <v>12.737529946889294</v>
      </c>
      <c r="E45" s="9">
        <f t="shared" si="7"/>
        <v>697.55004917577696</v>
      </c>
      <c r="F45" s="9">
        <f t="shared" si="7"/>
        <v>1166.7173429578659</v>
      </c>
      <c r="G45" s="9">
        <f t="shared" si="7"/>
        <v>1737.192113309525</v>
      </c>
      <c r="H45" s="9">
        <f t="shared" si="7"/>
        <v>2423.1317789728751</v>
      </c>
      <c r="I45" s="9">
        <f t="shared" si="7"/>
        <v>3240.0289118921373</v>
      </c>
      <c r="J45" s="9">
        <f t="shared" si="7"/>
        <v>4204.7880344536816</v>
      </c>
      <c r="K45" s="9">
        <f t="shared" si="7"/>
        <v>5335.8044640153676</v>
      </c>
      <c r="L45" s="9">
        <f t="shared" si="7"/>
        <v>6653.0452047251347</v>
      </c>
      <c r="M45" s="9">
        <f t="shared" si="7"/>
        <v>8178.1318866288866</v>
      </c>
      <c r="N45" s="9">
        <f t="shared" si="7"/>
        <v>9934.4257520676438</v>
      </c>
      <c r="O45" s="9">
        <f t="shared" si="7"/>
        <v>11947.114689363936</v>
      </c>
      <c r="P45" s="9">
        <f t="shared" si="7"/>
        <v>14243.302313797538</v>
      </c>
      <c r="Q45" s="9">
        <f t="shared" si="7"/>
        <v>16852.099095870406</v>
      </c>
      <c r="R45" s="9">
        <f t="shared" si="7"/>
        <v>19804.715536860942</v>
      </c>
      <c r="S45" s="9">
        <f t="shared" si="7"/>
        <v>23134.557391667495</v>
      </c>
      <c r="T45" s="9">
        <f t="shared" si="7"/>
        <v>31071.102298507729</v>
      </c>
    </row>
    <row r="47" spans="2:20" ht="14" x14ac:dyDescent="0.3">
      <c r="B47" s="46" t="s">
        <v>47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2:20" x14ac:dyDescent="0.2">
      <c r="B48" t="s">
        <v>48</v>
      </c>
      <c r="C48" s="7">
        <v>30200</v>
      </c>
    </row>
    <row r="49" spans="2:8" x14ac:dyDescent="0.2">
      <c r="B49" t="s">
        <v>49</v>
      </c>
      <c r="C49" s="7">
        <v>2400</v>
      </c>
    </row>
    <row r="50" spans="2:8" x14ac:dyDescent="0.2">
      <c r="B50" t="s">
        <v>50</v>
      </c>
      <c r="C50" s="6">
        <v>7.9470198675496692E-2</v>
      </c>
    </row>
    <row r="51" spans="2:8" ht="14" x14ac:dyDescent="0.3">
      <c r="B51" s="5" t="s">
        <v>51</v>
      </c>
      <c r="D51" s="5" t="s">
        <v>52</v>
      </c>
      <c r="E51" s="5" t="s">
        <v>53</v>
      </c>
      <c r="F51" s="5" t="s">
        <v>54</v>
      </c>
      <c r="G51" s="5" t="s">
        <v>55</v>
      </c>
      <c r="H51" s="5" t="s">
        <v>56</v>
      </c>
    </row>
    <row r="52" spans="2:8" x14ac:dyDescent="0.2">
      <c r="B52" t="s">
        <v>57</v>
      </c>
      <c r="C52" s="7">
        <v>30200</v>
      </c>
      <c r="D52" s="7">
        <v>43790</v>
      </c>
      <c r="E52" s="7">
        <v>57802.8</v>
      </c>
      <c r="F52" s="7">
        <v>71675.472000000009</v>
      </c>
      <c r="G52" s="7">
        <v>84577.056960000002</v>
      </c>
      <c r="H52" s="7">
        <v>96417.844934400011</v>
      </c>
    </row>
    <row r="53" spans="2:8" ht="14" x14ac:dyDescent="0.3">
      <c r="B53" s="5" t="s">
        <v>58</v>
      </c>
      <c r="C53" s="7">
        <v>30200</v>
      </c>
      <c r="D53" s="7">
        <v>43790</v>
      </c>
      <c r="E53" s="7">
        <v>57802.8</v>
      </c>
      <c r="F53" s="7">
        <v>71675.472000000009</v>
      </c>
      <c r="G53" s="7">
        <v>84577.056960000002</v>
      </c>
      <c r="H53" s="7">
        <v>96417.844934400011</v>
      </c>
    </row>
    <row r="54" spans="2:8" x14ac:dyDescent="0.2">
      <c r="B54" t="s">
        <v>59</v>
      </c>
      <c r="D54" s="6">
        <v>0.73</v>
      </c>
      <c r="E54" s="6">
        <v>0.28999999999999998</v>
      </c>
      <c r="F54" s="6">
        <v>0.24</v>
      </c>
      <c r="G54" s="6">
        <v>0.2</v>
      </c>
      <c r="H54" s="6">
        <v>0.16</v>
      </c>
    </row>
    <row r="55" spans="2:8" x14ac:dyDescent="0.2">
      <c r="B55" t="s">
        <v>60</v>
      </c>
      <c r="D55" s="6">
        <v>0.1649999999999999</v>
      </c>
      <c r="E55" s="6">
        <v>0.17499999999999991</v>
      </c>
      <c r="F55" s="6">
        <v>0.18499999999999989</v>
      </c>
      <c r="G55" s="6">
        <v>0.19500000000000001</v>
      </c>
      <c r="H55" s="6">
        <v>0.20499999999999999</v>
      </c>
    </row>
    <row r="56" spans="2:8" x14ac:dyDescent="0.2">
      <c r="B56" t="s">
        <v>61</v>
      </c>
      <c r="D56" s="7">
        <v>359.78994999999998</v>
      </c>
      <c r="E56" s="7">
        <v>474.92273399999988</v>
      </c>
      <c r="F56" s="7">
        <v>588.90419015999987</v>
      </c>
      <c r="G56" s="7">
        <v>694.90694438879973</v>
      </c>
      <c r="H56" s="7">
        <v>792.19391660323174</v>
      </c>
    </row>
    <row r="57" spans="2:8" x14ac:dyDescent="0.2">
      <c r="B57" t="s">
        <v>62</v>
      </c>
      <c r="D57" s="7">
        <v>498.1706999999999</v>
      </c>
      <c r="E57" s="7">
        <v>657.5853239999999</v>
      </c>
      <c r="F57" s="7">
        <v>815.4058017599998</v>
      </c>
      <c r="G57" s="7">
        <v>962.17884607679969</v>
      </c>
      <c r="H57" s="7">
        <v>1096.883884527552</v>
      </c>
    </row>
    <row r="58" spans="2:8" x14ac:dyDescent="0.2">
      <c r="B58" t="s">
        <v>63</v>
      </c>
      <c r="D58" s="7">
        <v>-849.13724315068521</v>
      </c>
      <c r="E58" s="7">
        <v>1060.413582876713</v>
      </c>
      <c r="F58" s="7">
        <v>982.37442238356016</v>
      </c>
      <c r="G58" s="7">
        <v>840.22789618191746</v>
      </c>
      <c r="H58" s="7">
        <v>698.20207742330876</v>
      </c>
    </row>
    <row r="62" spans="2:8" ht="14.5" x14ac:dyDescent="0.35">
      <c r="B62" s="45" t="s">
        <v>64</v>
      </c>
      <c r="C62" s="44"/>
      <c r="D62" s="44"/>
      <c r="E62" s="44"/>
      <c r="F62" s="44"/>
    </row>
    <row r="63" spans="2:8" ht="14" x14ac:dyDescent="0.3">
      <c r="B63" s="1" t="s">
        <v>2</v>
      </c>
      <c r="C63" s="1" t="s">
        <v>3</v>
      </c>
      <c r="D63" s="1" t="s">
        <v>65</v>
      </c>
      <c r="E63" s="1" t="s">
        <v>66</v>
      </c>
      <c r="F63" s="1" t="s">
        <v>67</v>
      </c>
    </row>
    <row r="64" spans="2:8" x14ac:dyDescent="0.2">
      <c r="B64" s="2" t="str">
        <f t="shared" ref="B64:C68" si="8">B7</f>
        <v>Current Price</v>
      </c>
      <c r="C64" s="3">
        <f t="shared" si="8"/>
        <v>3675</v>
      </c>
      <c r="D64" s="10">
        <f>INDEX($C$17:$T$17,MAX(1,MIN(MATCH(C64,$C$45:$T$45,1),17)))+(C64-INDEX($C$45:$T$45,MAX(1,MIN(MATCH(C64,$C$45:$T$45,1),17))))/(INDEX($C$45:$T$45,MAX(1,MIN(MATCH(C64,$C$45:$T$45,1),17))+1)-INDEX($C$45:$T$45,MAX(1,MIN(MATCH(C64,$C$45:$T$45,1),17))))*(INDEX($C$17:$T$17,MAX(1,MIN(MATCH(C64,$C$45:$T$45,1),17))+1)-INDEX($C$17:$T$17,MAX(1,MIN(MATCH(C64,$C$45:$T$45,1),17))))</f>
        <v>0.34508597824428605</v>
      </c>
      <c r="E64" s="2" t="str">
        <f>IF(D64&lt;-0.3,"Deep Pessimism",IF(D64&lt;0,"Pessimistic",IF(D64&lt;0.5,"Neutral",IF(D64&lt;1,"Mild Optimism","Bullish"))))</f>
        <v>Neutral</v>
      </c>
      <c r="F64" s="2" t="str">
        <f>IF(D64&lt;-0.3,"Base growth halved or worse",IF(D64&lt;0,"Below-Base, conservative",IF(D64&lt;0.5,"0-50% of Base growth priced in",IF(D64&lt;1,"50-100% of Base priced in","Above-Base optimism"))))</f>
        <v>0-50% of Base growth priced in</v>
      </c>
    </row>
    <row r="65" spans="2:7" x14ac:dyDescent="0.2">
      <c r="B65" s="2" t="str">
        <f t="shared" si="8"/>
        <v>DCF Base PGM Target</v>
      </c>
      <c r="C65" s="3">
        <f t="shared" si="8"/>
        <v>8379</v>
      </c>
      <c r="D65" s="10">
        <f>INDEX($C$17:$T$17,MAX(1,MIN(MATCH(C65,$C$45:$T$45,1),17)))+(C65-INDEX($C$45:$T$45,MAX(1,MIN(MATCH(C65,$C$45:$T$45,1),17))))/(INDEX($C$45:$T$45,MAX(1,MIN(MATCH(C65,$C$45:$T$45,1),17))+1)-INDEX($C$45:$T$45,MAX(1,MIN(MATCH(C65,$C$45:$T$45,1),17))))*(INDEX($C$17:$T$17,MAX(1,MIN(MATCH(C65,$C$45:$T$45,1),17))+1)-INDEX($C$17:$T$17,MAX(1,MIN(MATCH(C65,$C$45:$T$45,1),17))))</f>
        <v>0.71143704463836588</v>
      </c>
      <c r="E65" s="2" t="str">
        <f>IF(D65&lt;-0.3,"Deep Pessimism",IF(D65&lt;0,"Pessimistic",IF(D65&lt;0.5,"Neutral",IF(D65&lt;1,"Mild Optimism","Bullish"))))</f>
        <v>Mild Optimism</v>
      </c>
      <c r="F65" s="2" t="str">
        <f>IF(D65&lt;-0.3,"Base growth halved or worse",IF(D65&lt;0,"Below-Base, conservative",IF(D65&lt;0.5,"0-50% of Base growth priced in",IF(D65&lt;1,"50-100% of Base priced in","Above-Base optimism"))))</f>
        <v>50-100% of Base priced in</v>
      </c>
    </row>
    <row r="66" spans="2:7" x14ac:dyDescent="0.2">
      <c r="B66" s="2" t="str">
        <f t="shared" si="8"/>
        <v>DCF Exit-Multiple Target</v>
      </c>
      <c r="C66" s="3">
        <f t="shared" si="8"/>
        <v>12640</v>
      </c>
      <c r="D66" s="10">
        <f>INDEX($C$17:$T$17,MAX(1,MIN(MATCH(C66,$C$45:$T$45,1),17)))+(C66-INDEX($C$45:$T$45,MAX(1,MIN(MATCH(C66,$C$45:$T$45,1),17))))/(INDEX($C$45:$T$45,MAX(1,MIN(MATCH(C66,$C$45:$T$45,1),17))+1)-INDEX($C$45:$T$45,MAX(1,MIN(MATCH(C66,$C$45:$T$45,1),17))))*(INDEX($C$17:$T$17,MAX(1,MIN(MATCH(C66,$C$45:$T$45,1),17))+1)-INDEX($C$17:$T$17,MAX(1,MIN(MATCH(C66,$C$45:$T$45,1),17))))</f>
        <v>0.93017546577044097</v>
      </c>
      <c r="E66" s="2" t="str">
        <f>IF(D66&lt;-0.3,"Deep Pessimism",IF(D66&lt;0,"Pessimistic",IF(D66&lt;0.5,"Neutral",IF(D66&lt;1,"Mild Optimism","Bullish"))))</f>
        <v>Mild Optimism</v>
      </c>
      <c r="F66" s="2" t="str">
        <f>IF(D66&lt;-0.3,"Base growth halved or worse",IF(D66&lt;0,"Below-Base, conservative",IF(D66&lt;0.5,"0-50% of Base growth priced in",IF(D66&lt;1,"50-100% of Base priced in","Above-Base optimism"))))</f>
        <v>50-100% of Base priced in</v>
      </c>
    </row>
    <row r="67" spans="2:7" x14ac:dyDescent="0.2">
      <c r="B67" s="2" t="str">
        <f t="shared" si="8"/>
        <v>Recent Low</v>
      </c>
      <c r="C67" s="3">
        <f t="shared" si="8"/>
        <v>1862</v>
      </c>
      <c r="D67" s="10">
        <f>INDEX($C$17:$T$17,MAX(1,MIN(MATCH(C67,$C$45:$T$45,1),17)))+(C67-INDEX($C$45:$T$45,MAX(1,MIN(MATCH(C67,$C$45:$T$45,1),17))))/(INDEX($C$45:$T$45,MAX(1,MIN(MATCH(C67,$C$45:$T$45,1),17))+1)-INDEX($C$45:$T$45,MAX(1,MIN(MATCH(C67,$C$45:$T$45,1),17))))*(INDEX($C$17:$T$17,MAX(1,MIN(MATCH(C67,$C$45:$T$45,1),17))+1)-INDEX($C$17:$T$17,MAX(1,MIN(MATCH(C67,$C$45:$T$45,1),17))))</f>
        <v>0.11819516977047499</v>
      </c>
      <c r="E67" s="2" t="str">
        <f>IF(D67&lt;-0.3,"Deep Pessimism",IF(D67&lt;0,"Pessimistic",IF(D67&lt;0.5,"Neutral",IF(D67&lt;1,"Mild Optimism","Bullish"))))</f>
        <v>Neutral</v>
      </c>
      <c r="F67" s="2" t="str">
        <f>IF(D67&lt;-0.3,"Base growth halved or worse",IF(D67&lt;0,"Below-Base, conservative",IF(D67&lt;0.5,"0-50% of Base growth priced in",IF(D67&lt;1,"50-100% of Base priced in","Above-Base optimism"))))</f>
        <v>0-50% of Base growth priced in</v>
      </c>
    </row>
    <row r="68" spans="2:7" x14ac:dyDescent="0.2">
      <c r="B68" s="2" t="str">
        <f t="shared" si="8"/>
        <v>Recent High</v>
      </c>
      <c r="C68" s="3">
        <f t="shared" si="8"/>
        <v>6540</v>
      </c>
      <c r="D68" s="10">
        <f>INDEX($C$17:$T$17,MAX(1,MIN(MATCH(C68,$C$45:$T$45,1),17)))+(C68-INDEX($C$45:$T$45,MAX(1,MIN(MATCH(C68,$C$45:$T$45,1),17))))/(INDEX($C$45:$T$45,MAX(1,MIN(MATCH(C68,$C$45:$T$45,1),17))+1)-INDEX($C$45:$T$45,MAX(1,MIN(MATCH(C68,$C$45:$T$45,1),17))))*(INDEX($C$17:$T$17,MAX(1,MIN(MATCH(C68,$C$45:$T$45,1),17))+1)-INDEX($C$17:$T$17,MAX(1,MIN(MATCH(C68,$C$45:$T$45,1),17))))</f>
        <v>0.59141803003570759</v>
      </c>
      <c r="E68" s="2" t="str">
        <f>IF(D68&lt;-0.3,"Deep Pessimism",IF(D68&lt;0,"Pessimistic",IF(D68&lt;0.5,"Neutral",IF(D68&lt;1,"Mild Optimism","Bullish"))))</f>
        <v>Mild Optimism</v>
      </c>
      <c r="F68" s="2" t="str">
        <f>IF(D68&lt;-0.3,"Base growth halved or worse",IF(D68&lt;0,"Below-Base, conservative",IF(D68&lt;0.5,"0-50% of Base growth priced in",IF(D68&lt;1,"50-100% of Base priced in","Above-Base optimism"))))</f>
        <v>50-100% of Base priced in</v>
      </c>
    </row>
    <row r="70" spans="2:7" ht="14.5" x14ac:dyDescent="0.35">
      <c r="B70" s="45" t="s">
        <v>68</v>
      </c>
      <c r="C70" s="44"/>
      <c r="D70" s="44"/>
      <c r="E70" s="44"/>
      <c r="F70" s="44"/>
      <c r="G70" s="44"/>
    </row>
    <row r="71" spans="2:7" ht="14" x14ac:dyDescent="0.3">
      <c r="B71" s="1" t="s">
        <v>69</v>
      </c>
      <c r="C71" s="1" t="s">
        <v>70</v>
      </c>
      <c r="D71" s="1" t="s">
        <v>71</v>
      </c>
      <c r="E71" s="1" t="s">
        <v>72</v>
      </c>
      <c r="F71" s="1" t="s">
        <v>73</v>
      </c>
      <c r="G71" s="1" t="s">
        <v>74</v>
      </c>
    </row>
    <row r="72" spans="2:7" x14ac:dyDescent="0.2">
      <c r="B72" s="2" t="s">
        <v>75</v>
      </c>
      <c r="C72" s="11">
        <v>1</v>
      </c>
      <c r="D72" s="12">
        <f>((1+C72*D54)*(1+C72*E54)*(1+C72*F54)*(1+C72*G54)*(1+C72*H54))^(1/5)-1</f>
        <v>0.30960205163105115</v>
      </c>
      <c r="E72" s="12">
        <f>C50+(AVERAGE(D55,E55,F55,G55,H55)-C50)*C72</f>
        <v>0.18499999999999994</v>
      </c>
      <c r="F72" s="13">
        <f>C72-D64</f>
        <v>0.65491402175571389</v>
      </c>
      <c r="G72" s="2" t="str">
        <f>IF(F72&gt;0.5,"BULLISH (Buy candidate)",IF(F72&gt;0.2,"Mildly Bullish",IF(F72&gt;=-0.2,"Aligned",IF(F72&gt;=-0.5,"Mildly Bearish","BEARISH (Sell candidate)"))))</f>
        <v>BULLISH (Buy candidate)</v>
      </c>
    </row>
    <row r="73" spans="2:7" x14ac:dyDescent="0.2">
      <c r="B73" s="2" t="s">
        <v>76</v>
      </c>
      <c r="C73" s="11">
        <v>1.5</v>
      </c>
      <c r="D73" s="12">
        <f>((1+C73*D54)*(1+C73*E54)*(1+C73*F54)*(1+C73*G54)*(1+C73*H54))^(1/5)-1</f>
        <v>0.45810223227044644</v>
      </c>
      <c r="E73" s="12">
        <f>C50+(AVERAGE(D55,E55,F55,G55,H55)-C50)*C73</f>
        <v>0.23776490066225159</v>
      </c>
      <c r="F73" s="13">
        <f>C73-D64</f>
        <v>1.1549140217557139</v>
      </c>
      <c r="G73" s="2" t="str">
        <f>IF(F73&gt;0.5,"BULLISH (Buy candidate)",IF(F73&gt;0.2,"Mildly Bullish",IF(F73&gt;=-0.2,"Aligned",IF(F73&gt;=-0.5,"Mildly Bearish","BEARISH (Sell candidate)"))))</f>
        <v>BULLISH (Buy candidate)</v>
      </c>
    </row>
    <row r="74" spans="2:7" x14ac:dyDescent="0.2">
      <c r="B74" s="2" t="s">
        <v>77</v>
      </c>
      <c r="C74" s="11">
        <v>0.85</v>
      </c>
      <c r="D74" s="12">
        <f>((1+C74*D54)*(1+C74*E54)*(1+C74*F54)*(1+C74*G54)*(1+C74*H54))^(1/5)-1</f>
        <v>0.2644637973614623</v>
      </c>
      <c r="E74" s="12">
        <f>C50+(AVERAGE(D55,E55,F55,G55,H55)-C50)*C74</f>
        <v>0.16917052980132447</v>
      </c>
      <c r="F74" s="13">
        <f>C74-D64</f>
        <v>0.50491402175571398</v>
      </c>
      <c r="G74" s="2" t="str">
        <f>IF(F74&gt;0.5,"BULLISH (Buy candidate)",IF(F74&gt;0.2,"Mildly Bullish",IF(F74&gt;=-0.2,"Aligned",IF(F74&gt;=-0.5,"Mildly Bearish","BEARISH (Sell candidate)"))))</f>
        <v>BULLISH (Buy candidate)</v>
      </c>
    </row>
    <row r="75" spans="2:7" x14ac:dyDescent="0.2">
      <c r="B75" s="2" t="s">
        <v>78</v>
      </c>
      <c r="C75" s="11">
        <v>0.4</v>
      </c>
      <c r="D75" s="12">
        <f>((1+C75*D54)*(1+C75*E54)*(1+C75*F54)*(1+C75*G54)*(1+C75*H54))^(1/5)-1</f>
        <v>0.12673174160538281</v>
      </c>
      <c r="E75" s="12">
        <f>C50+(AVERAGE(D55,E55,F55,G55,H55)-C50)*C75</f>
        <v>0.12168211920529799</v>
      </c>
      <c r="F75" s="13">
        <f>C75-D64</f>
        <v>5.4914021755713971E-2</v>
      </c>
      <c r="G75" s="2" t="str">
        <f>IF(F75&gt;0.5,"BULLISH (Buy candidate)",IF(F75&gt;0.2,"Mildly Bullish",IF(F75&gt;=-0.2,"Aligned",IF(F75&gt;=-0.5,"Mildly Bearish","BEARISH (Sell candidate)"))))</f>
        <v>Aligned</v>
      </c>
    </row>
    <row r="76" spans="2:7" x14ac:dyDescent="0.2">
      <c r="B76" s="2" t="s">
        <v>79</v>
      </c>
      <c r="C76" s="11">
        <v>0.15</v>
      </c>
      <c r="D76" s="12">
        <f>((1+C76*D54)*(1+C76*E54)*(1+C76*F54)*(1+C76*G54)*(1+C76*H54))^(1/5)-1</f>
        <v>4.8149760284560861E-2</v>
      </c>
      <c r="E76" s="12">
        <f>C50+(AVERAGE(D55,E55,F55,G55,H55)-C50)*C76</f>
        <v>9.5299668874172183E-2</v>
      </c>
      <c r="F76" s="13">
        <f>C76-D64</f>
        <v>-0.19508597824428606</v>
      </c>
      <c r="G76" s="2" t="str">
        <f>IF(F76&gt;0.5,"BULLISH (Buy candidate)",IF(F76&gt;0.2,"Mildly Bullish",IF(F76&gt;=-0.2,"Aligned",IF(F76&gt;=-0.5,"Mildly Bearish","BEARISH (Sell candidate)"))))</f>
        <v>Aligned</v>
      </c>
    </row>
    <row r="78" spans="2:7" ht="14.5" x14ac:dyDescent="0.35">
      <c r="B78" s="45" t="s">
        <v>80</v>
      </c>
      <c r="C78" s="44"/>
      <c r="D78" s="44"/>
      <c r="E78" s="44"/>
      <c r="F78" s="44"/>
      <c r="G78" s="44"/>
    </row>
    <row r="79" spans="2:7" x14ac:dyDescent="0.2">
      <c r="B79" s="2" t="s">
        <v>81</v>
      </c>
      <c r="C79" s="10">
        <f>D64</f>
        <v>0.34508597824428605</v>
      </c>
    </row>
    <row r="80" spans="2:7" x14ac:dyDescent="0.2">
      <c r="B80" s="2" t="s">
        <v>82</v>
      </c>
      <c r="C80" s="14">
        <v>1</v>
      </c>
    </row>
    <row r="81" spans="2:3" x14ac:dyDescent="0.2">
      <c r="B81" s="2" t="s">
        <v>83</v>
      </c>
      <c r="C81" s="15">
        <f>C80-C79</f>
        <v>0.65491402175571389</v>
      </c>
    </row>
    <row r="82" spans="2:3" ht="14.5" x14ac:dyDescent="0.35">
      <c r="B82" s="2" t="s">
        <v>84</v>
      </c>
      <c r="C82" s="16" t="str">
        <f>IF(C81&gt;0.5,"BUY (upside surprise expected)",IF(C81&gt;0.2,"BUY/HOLD",IF(C81&gt;=-0.2,"HOLD",IF(C81&gt;=-0.5,"HOLD/SELL","SELL (disappointment risk)"))))</f>
        <v>BUY (upside surprise expected)</v>
      </c>
    </row>
    <row r="95" spans="2:3" ht="14" x14ac:dyDescent="0.3">
      <c r="B95" s="5" t="s">
        <v>85</v>
      </c>
    </row>
    <row r="96" spans="2:3" x14ac:dyDescent="0.2">
      <c r="B96" t="s">
        <v>86</v>
      </c>
    </row>
    <row r="97" spans="2:2" x14ac:dyDescent="0.2">
      <c r="B97" t="s">
        <v>87</v>
      </c>
    </row>
    <row r="98" spans="2:2" x14ac:dyDescent="0.2">
      <c r="B98" t="s">
        <v>88</v>
      </c>
    </row>
    <row r="99" spans="2:2" x14ac:dyDescent="0.2">
      <c r="B99" t="s">
        <v>89</v>
      </c>
    </row>
    <row r="100" spans="2:2" x14ac:dyDescent="0.2">
      <c r="B100" t="s">
        <v>90</v>
      </c>
    </row>
    <row r="102" spans="2:2" ht="14" x14ac:dyDescent="0.3">
      <c r="B102" s="5" t="s">
        <v>91</v>
      </c>
    </row>
    <row r="103" spans="2:2" x14ac:dyDescent="0.2">
      <c r="B103" t="s">
        <v>92</v>
      </c>
    </row>
    <row r="104" spans="2:2" x14ac:dyDescent="0.2">
      <c r="B104" t="s">
        <v>93</v>
      </c>
    </row>
    <row r="105" spans="2:2" x14ac:dyDescent="0.2">
      <c r="B105" t="s">
        <v>94</v>
      </c>
    </row>
    <row r="106" spans="2:2" x14ac:dyDescent="0.2">
      <c r="B106" t="s">
        <v>95</v>
      </c>
    </row>
  </sheetData>
  <mergeCells count="7">
    <mergeCell ref="B2:T2"/>
    <mergeCell ref="B5:G5"/>
    <mergeCell ref="B62:F62"/>
    <mergeCell ref="B14:T14"/>
    <mergeCell ref="B78:G78"/>
    <mergeCell ref="B70:G70"/>
    <mergeCell ref="B47:T47"/>
  </mergeCells>
  <phoneticPr fontId="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2"/>
  <sheetViews>
    <sheetView topLeftCell="A35" workbookViewId="0"/>
  </sheetViews>
  <sheetFormatPr defaultRowHeight="13" x14ac:dyDescent="0.2"/>
  <cols>
    <col min="1" max="1" width="3" customWidth="1"/>
    <col min="2" max="2" width="34" customWidth="1"/>
    <col min="3" max="7" width="14" customWidth="1"/>
    <col min="8" max="8" width="44" customWidth="1"/>
  </cols>
  <sheetData>
    <row r="2" spans="2:8" ht="18.5" x14ac:dyDescent="0.45">
      <c r="B2" s="43" t="s">
        <v>96</v>
      </c>
      <c r="C2" s="44"/>
      <c r="D2" s="44"/>
      <c r="E2" s="44"/>
      <c r="F2" s="44"/>
      <c r="G2" s="44"/>
      <c r="H2" s="44"/>
    </row>
    <row r="3" spans="2:8" ht="14" x14ac:dyDescent="0.3">
      <c r="B3" s="17" t="s">
        <v>97</v>
      </c>
    </row>
    <row r="5" spans="2:8" ht="14.5" x14ac:dyDescent="0.35">
      <c r="B5" s="45" t="s">
        <v>98</v>
      </c>
      <c r="C5" s="44"/>
      <c r="D5" s="44"/>
      <c r="E5" s="44"/>
      <c r="F5" s="44"/>
      <c r="G5" s="44"/>
      <c r="H5" s="44"/>
    </row>
    <row r="6" spans="2:8" x14ac:dyDescent="0.2">
      <c r="B6" s="2" t="s">
        <v>99</v>
      </c>
      <c r="C6" s="18">
        <v>3675</v>
      </c>
    </row>
    <row r="7" spans="2:8" x14ac:dyDescent="0.2">
      <c r="B7" s="2" t="s">
        <v>100</v>
      </c>
      <c r="C7" s="18">
        <v>7280000</v>
      </c>
    </row>
    <row r="8" spans="2:8" x14ac:dyDescent="0.2">
      <c r="B8" s="2" t="s">
        <v>101</v>
      </c>
      <c r="C8" s="19">
        <v>-2101</v>
      </c>
    </row>
    <row r="9" spans="2:8" x14ac:dyDescent="0.2">
      <c r="B9" s="2" t="s">
        <v>102</v>
      </c>
      <c r="C9" s="18">
        <v>30200</v>
      </c>
    </row>
    <row r="10" spans="2:8" x14ac:dyDescent="0.2">
      <c r="B10" s="2" t="s">
        <v>103</v>
      </c>
      <c r="C10" s="18">
        <v>30200</v>
      </c>
    </row>
    <row r="11" spans="2:8" x14ac:dyDescent="0.2">
      <c r="B11" s="2" t="s">
        <v>104</v>
      </c>
      <c r="C11" s="20">
        <v>0.3</v>
      </c>
    </row>
    <row r="12" spans="2:8" x14ac:dyDescent="0.2">
      <c r="B12" s="2" t="s">
        <v>105</v>
      </c>
      <c r="C12" s="20">
        <v>1</v>
      </c>
    </row>
    <row r="14" spans="2:8" ht="14" x14ac:dyDescent="0.3">
      <c r="B14" s="46" t="s">
        <v>106</v>
      </c>
      <c r="C14" s="44"/>
      <c r="D14" s="44"/>
      <c r="E14" s="44"/>
      <c r="F14" s="44"/>
      <c r="G14" s="44"/>
      <c r="H14" s="44"/>
    </row>
    <row r="15" spans="2:8" ht="14" x14ac:dyDescent="0.3">
      <c r="C15" s="21" t="s">
        <v>107</v>
      </c>
      <c r="D15" s="21" t="s">
        <v>108</v>
      </c>
      <c r="E15" s="21" t="s">
        <v>109</v>
      </c>
      <c r="F15" s="21" t="s">
        <v>110</v>
      </c>
      <c r="G15" s="21" t="s">
        <v>111</v>
      </c>
    </row>
    <row r="16" spans="2:8" x14ac:dyDescent="0.2">
      <c r="B16" s="2" t="s">
        <v>112</v>
      </c>
      <c r="C16" s="22">
        <v>0.38850152475247529</v>
      </c>
      <c r="D16" s="22">
        <v>1.197992475568137</v>
      </c>
      <c r="E16" s="22">
        <v>1.9279454907988001</v>
      </c>
      <c r="F16" s="22">
        <v>2.522966777563552</v>
      </c>
      <c r="G16" s="22">
        <v>2.92766254298148</v>
      </c>
    </row>
    <row r="18" spans="2:8" x14ac:dyDescent="0.2">
      <c r="B18" s="2" t="s">
        <v>113</v>
      </c>
      <c r="C18" s="23">
        <f>C6*C7/1000000</f>
        <v>26754</v>
      </c>
    </row>
    <row r="19" spans="2:8" x14ac:dyDescent="0.2">
      <c r="B19" s="2" t="s">
        <v>5</v>
      </c>
      <c r="C19" s="23">
        <f>C18+C8</f>
        <v>24653</v>
      </c>
    </row>
    <row r="20" spans="2:8" x14ac:dyDescent="0.2">
      <c r="B20" s="2" t="s">
        <v>114</v>
      </c>
      <c r="C20" s="24">
        <f>C19/C9</f>
        <v>0.81632450331125828</v>
      </c>
    </row>
    <row r="21" spans="2:8" x14ac:dyDescent="0.2">
      <c r="B21" s="2" t="s">
        <v>115</v>
      </c>
      <c r="C21" s="24">
        <f>IFERROR(C19/C10,"-")</f>
        <v>0.81632450331125828</v>
      </c>
    </row>
    <row r="23" spans="2:8" ht="14.5" x14ac:dyDescent="0.35">
      <c r="B23" s="45" t="s">
        <v>116</v>
      </c>
      <c r="C23" s="44"/>
      <c r="D23" s="44"/>
      <c r="E23" s="44"/>
      <c r="F23" s="44"/>
      <c r="G23" s="44"/>
      <c r="H23" s="44"/>
    </row>
    <row r="24" spans="2:8" x14ac:dyDescent="0.2">
      <c r="B24" s="2" t="s">
        <v>117</v>
      </c>
      <c r="C24" s="25">
        <f>C20/E16-1</f>
        <v>-0.57658320361898152</v>
      </c>
    </row>
    <row r="25" spans="2:8" x14ac:dyDescent="0.2">
      <c r="B25" s="2" t="s">
        <v>118</v>
      </c>
      <c r="C25" s="25">
        <f>C20/C16-1</f>
        <v>1.1012131260781035</v>
      </c>
    </row>
    <row r="26" spans="2:8" x14ac:dyDescent="0.2">
      <c r="B26" s="2" t="s">
        <v>119</v>
      </c>
      <c r="C26" s="26">
        <f>(C20-E16)/(F16-D16)</f>
        <v>-0.8389755075350801</v>
      </c>
    </row>
    <row r="27" spans="2:8" ht="14.5" x14ac:dyDescent="0.35">
      <c r="B27" s="2" t="s">
        <v>120</v>
      </c>
      <c r="C27" s="48" t="str">
        <f>IF(C26&lt;-C12,"割安（分布下限以下）",IF(C26&lt;-C11,"やや割安",IF(C26&lt;=C11,"中立（中央値近傍）",IF(C26&lt;=C12,"やや割高","割高（分布上限以上）"))))</f>
        <v>やや割安</v>
      </c>
      <c r="D27" s="49"/>
      <c r="E27" s="49"/>
    </row>
    <row r="29" spans="2:8" ht="14.5" x14ac:dyDescent="0.35">
      <c r="B29" s="45" t="s">
        <v>121</v>
      </c>
      <c r="C29" s="44"/>
      <c r="D29" s="44"/>
      <c r="E29" s="44"/>
      <c r="F29" s="44"/>
      <c r="G29" s="44"/>
      <c r="H29" s="44"/>
    </row>
    <row r="30" spans="2:8" ht="14" x14ac:dyDescent="0.3">
      <c r="C30" s="1" t="s">
        <v>122</v>
      </c>
      <c r="D30" s="1" t="s">
        <v>123</v>
      </c>
      <c r="E30" s="1" t="s">
        <v>124</v>
      </c>
    </row>
    <row r="31" spans="2:8" x14ac:dyDescent="0.2">
      <c r="B31" s="2" t="s">
        <v>107</v>
      </c>
      <c r="C31" s="27">
        <f>C16</f>
        <v>0.38850152475247529</v>
      </c>
      <c r="D31" s="3">
        <f>(C16*C9-C8)*1000000/C7</f>
        <v>1900.2398416929607</v>
      </c>
      <c r="E31" s="28">
        <f>D31/C6-1</f>
        <v>-0.48292793423320801</v>
      </c>
    </row>
    <row r="32" spans="2:8" x14ac:dyDescent="0.2">
      <c r="B32" s="2" t="s">
        <v>108</v>
      </c>
      <c r="C32" s="27">
        <f>D16</f>
        <v>1.197992475568137</v>
      </c>
      <c r="D32" s="3">
        <f>(D16*C9-C8)*1000000/C7</f>
        <v>5258.2929618348553</v>
      </c>
      <c r="E32" s="28">
        <f>D32/C6-1</f>
        <v>0.43082801682581096</v>
      </c>
    </row>
    <row r="33" spans="2:8" x14ac:dyDescent="0.2">
      <c r="B33" s="2" t="s">
        <v>109</v>
      </c>
      <c r="C33" s="27">
        <f>E16</f>
        <v>1.9279454907988001</v>
      </c>
      <c r="D33" s="29">
        <f>(E16*C9-C8)*1000000/C7</f>
        <v>8286.3947557862302</v>
      </c>
      <c r="E33" s="28">
        <f>D33/C6-1</f>
        <v>1.2548012940914912</v>
      </c>
    </row>
    <row r="34" spans="2:8" x14ac:dyDescent="0.2">
      <c r="B34" s="2" t="s">
        <v>110</v>
      </c>
      <c r="C34" s="27">
        <f>F16</f>
        <v>2.522966777563552</v>
      </c>
      <c r="D34" s="3">
        <f>(F16*C9-C8)*1000000/C7</f>
        <v>10754.752291541108</v>
      </c>
      <c r="E34" s="28">
        <f>D34/C6-1</f>
        <v>1.9264632085826143</v>
      </c>
    </row>
    <row r="35" spans="2:8" x14ac:dyDescent="0.2">
      <c r="B35" s="2" t="s">
        <v>111</v>
      </c>
      <c r="C35" s="27">
        <f>G16</f>
        <v>2.92766254298148</v>
      </c>
      <c r="D35" s="3">
        <f>(G16*C9-C8)*1000000/C7</f>
        <v>12433.572637093503</v>
      </c>
      <c r="E35" s="28">
        <f>D35/C6-1</f>
        <v>2.3832850713179599</v>
      </c>
    </row>
    <row r="37" spans="2:8" ht="14" x14ac:dyDescent="0.3">
      <c r="B37" s="46" t="s">
        <v>125</v>
      </c>
      <c r="C37" s="44"/>
      <c r="D37" s="44"/>
      <c r="E37" s="44"/>
      <c r="F37" s="44"/>
      <c r="G37" s="44"/>
      <c r="H37" s="44"/>
    </row>
    <row r="38" spans="2:8" x14ac:dyDescent="0.2">
      <c r="B38" s="2" t="s">
        <v>126</v>
      </c>
      <c r="C38" s="22">
        <v>2.92766254298148</v>
      </c>
    </row>
    <row r="39" spans="2:8" x14ac:dyDescent="0.2">
      <c r="B39" s="2" t="s">
        <v>127</v>
      </c>
      <c r="C39" s="22">
        <v>1.46782279250669</v>
      </c>
    </row>
    <row r="40" spans="2:8" x14ac:dyDescent="0.2">
      <c r="B40" s="2" t="s">
        <v>128</v>
      </c>
      <c r="C40" s="22">
        <v>2.3880681890909088</v>
      </c>
    </row>
    <row r="41" spans="2:8" x14ac:dyDescent="0.2">
      <c r="B41" s="2" t="s">
        <v>129</v>
      </c>
      <c r="C41" s="22">
        <v>0.38850152475247529</v>
      </c>
    </row>
    <row r="42" spans="2:8" x14ac:dyDescent="0.2">
      <c r="B42" s="2"/>
      <c r="C42" s="22" t="s">
        <v>130</v>
      </c>
    </row>
    <row r="45" spans="2:8" ht="14.5" x14ac:dyDescent="0.35">
      <c r="B45" s="45" t="s">
        <v>131</v>
      </c>
      <c r="C45" s="44"/>
      <c r="D45" s="44"/>
      <c r="E45" s="44"/>
      <c r="F45" s="44"/>
      <c r="G45" s="44"/>
      <c r="H45" s="44"/>
    </row>
    <row r="46" spans="2:8" x14ac:dyDescent="0.2">
      <c r="B46" s="2" t="s">
        <v>132</v>
      </c>
      <c r="C46" s="19">
        <v>1061.1679999999999</v>
      </c>
    </row>
    <row r="47" spans="2:8" x14ac:dyDescent="0.2">
      <c r="B47" s="2" t="s">
        <v>133</v>
      </c>
      <c r="C47" s="19" t="s">
        <v>130</v>
      </c>
    </row>
    <row r="48" spans="2:8" x14ac:dyDescent="0.2">
      <c r="B48" s="2" t="s">
        <v>134</v>
      </c>
      <c r="C48" s="27">
        <f>IFERROR(C18/C46,"n/a")</f>
        <v>25.211842045745822</v>
      </c>
    </row>
    <row r="49" spans="2:8" x14ac:dyDescent="0.2">
      <c r="B49" s="2" t="s">
        <v>135</v>
      </c>
      <c r="C49" s="27" t="str">
        <f>IFERROR(C19/C47,"n/a")</f>
        <v>n/a</v>
      </c>
    </row>
    <row r="51" spans="2:8" x14ac:dyDescent="0.2">
      <c r="B51" s="47" t="s">
        <v>136</v>
      </c>
      <c r="C51" s="44"/>
      <c r="D51" s="44"/>
      <c r="E51" s="44"/>
      <c r="F51" s="44"/>
      <c r="G51" s="44"/>
      <c r="H51" s="44"/>
    </row>
    <row r="52" spans="2:8" ht="30" customHeight="1" x14ac:dyDescent="0.2">
      <c r="B52" s="50" t="s">
        <v>137</v>
      </c>
      <c r="C52" s="44"/>
      <c r="D52" s="44"/>
      <c r="E52" s="44"/>
      <c r="F52" s="44"/>
      <c r="G52" s="44"/>
      <c r="H52" s="44"/>
    </row>
  </sheetData>
  <mergeCells count="10">
    <mergeCell ref="B14:H14"/>
    <mergeCell ref="B51:H51"/>
    <mergeCell ref="C27:E27"/>
    <mergeCell ref="B52:H52"/>
    <mergeCell ref="B2:H2"/>
    <mergeCell ref="B29:H29"/>
    <mergeCell ref="B5:H5"/>
    <mergeCell ref="B37:H37"/>
    <mergeCell ref="B45:H45"/>
    <mergeCell ref="B23:H23"/>
  </mergeCells>
  <phoneticPr fontId="7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66"/>
  <sheetViews>
    <sheetView workbookViewId="0">
      <selection activeCell="C44" sqref="C44"/>
    </sheetView>
  </sheetViews>
  <sheetFormatPr defaultRowHeight="13" x14ac:dyDescent="0.2"/>
  <cols>
    <col min="1" max="1" width="3" customWidth="1"/>
    <col min="2" max="2" width="32" customWidth="1"/>
    <col min="3" max="3" width="16" customWidth="1"/>
    <col min="4" max="4" width="12" customWidth="1"/>
    <col min="5" max="5" width="10" customWidth="1"/>
    <col min="6" max="6" width="12" customWidth="1"/>
    <col min="7" max="7" width="32" customWidth="1"/>
  </cols>
  <sheetData>
    <row r="2" spans="2:7" ht="18.5" x14ac:dyDescent="0.45">
      <c r="B2" s="43" t="s">
        <v>138</v>
      </c>
      <c r="C2" s="44"/>
      <c r="D2" s="44"/>
      <c r="E2" s="44"/>
      <c r="F2" s="44"/>
      <c r="G2" s="44"/>
    </row>
    <row r="5" spans="2:7" ht="14.5" x14ac:dyDescent="0.35">
      <c r="B5" s="45" t="s">
        <v>139</v>
      </c>
      <c r="C5" s="44"/>
      <c r="D5" s="44"/>
      <c r="E5" s="44"/>
      <c r="F5" s="44"/>
      <c r="G5" s="44"/>
    </row>
    <row r="6" spans="2:7" ht="14" x14ac:dyDescent="0.3">
      <c r="B6" s="1" t="s">
        <v>140</v>
      </c>
      <c r="C6" s="1" t="s">
        <v>141</v>
      </c>
      <c r="D6" s="1" t="s">
        <v>142</v>
      </c>
      <c r="E6" s="1" t="s">
        <v>143</v>
      </c>
      <c r="F6" s="1" t="s">
        <v>144</v>
      </c>
      <c r="G6" s="1" t="s">
        <v>74</v>
      </c>
    </row>
    <row r="7" spans="2:7" x14ac:dyDescent="0.2">
      <c r="B7" s="2" t="s">
        <v>145</v>
      </c>
      <c r="C7" s="10">
        <f>1-'Implied Growth Analysis'!C79</f>
        <v>0.65491402175571389</v>
      </c>
      <c r="D7" s="2">
        <f>IF(C7&gt;=1,2,IF(C7&gt;=0.5,1,IF(C7&gt;=-0.2,0,IF(C7&gt;=-0.5,-1,-2))))</f>
        <v>1</v>
      </c>
      <c r="E7" s="30">
        <v>0.4</v>
      </c>
      <c r="F7" s="13">
        <f>D7*E7</f>
        <v>0.4</v>
      </c>
      <c r="G7" s="2" t="str">
        <f>IF(D7=2,"市場大幅悲観 = 強気",IF(D7=1,"市場やや悲観 = 買い候補",IF(D7=0,"市場と認識一致",IF(D7=-1,"市場やや楽観 = 警戒","市場大幅楽観 = 失望リスク"))))</f>
        <v>市場やや悲観 = 買い候補</v>
      </c>
    </row>
    <row r="8" spans="2:7" x14ac:dyDescent="0.2">
      <c r="B8" s="2" t="s">
        <v>146</v>
      </c>
      <c r="C8" s="31">
        <f>IFERROR((C19-C20)/C20,0)</f>
        <v>-0.125</v>
      </c>
      <c r="D8" s="2">
        <f>IF(C8&lt;=-0.2,2,IF(C8&lt;=-0.1,1,IF(C8&lt;=0.1,0,IF(C8&lt;=0.2,-1,-2))))</f>
        <v>1</v>
      </c>
      <c r="E8" s="30">
        <v>0.25</v>
      </c>
      <c r="F8" s="13">
        <f>D8*E8</f>
        <v>0.25</v>
      </c>
      <c r="G8" s="2" t="str">
        <f>IF(D8=2,"過剰悲観 = リバウンド余地大",IF(D8=1,"悲観織込み = サプライズ余地",IF(D8=0,"期待ニュートラル",IF(D8=-1,"期待やや過熱","期待過熱 = 失望売りリスク"))))</f>
        <v>悲観織込み = サプライズ余地</v>
      </c>
    </row>
    <row r="9" spans="2:7" x14ac:dyDescent="0.2">
      <c r="B9" s="2" t="s">
        <v>147</v>
      </c>
      <c r="C9" s="11">
        <f>IFERROR(C34/C33,0)</f>
        <v>0.25286828820559892</v>
      </c>
      <c r="D9" s="2">
        <f>IF(AND(C36&lt;=1,C34/C35&gt;=0.5),2,IF(AND(C36&lt;=3,C34/C35&gt;=0.3),1,IF(AND(C36&lt;=10,C34/C35&gt;=0.1),0,IF(AND(C36&lt;=20,C34/C35&gt;=0.05),-1,-2))))</f>
        <v>0</v>
      </c>
      <c r="E9" s="30">
        <v>0.2</v>
      </c>
      <c r="F9" s="13">
        <f>D9*E9</f>
        <v>0</v>
      </c>
      <c r="G9" s="2" t="str">
        <f>IF(D9=2,"踏み上げ余地大",IF(D9=1,"需給良好",IF(D9=0,"ニュートラル",IF(D9=-1,"戻り売り圧力","需給最悪"))))</f>
        <v>ニュートラル</v>
      </c>
    </row>
    <row r="10" spans="2:7" x14ac:dyDescent="0.2">
      <c r="B10" s="2" t="s">
        <v>148</v>
      </c>
      <c r="C10" s="31">
        <f>AVERAGE(E44:E45)</f>
        <v>0.61528124999999911</v>
      </c>
      <c r="D10" s="2">
        <f>ROUND(AVERAGE(F44:F45),0)</f>
        <v>0</v>
      </c>
      <c r="E10" s="30">
        <v>0.15</v>
      </c>
      <c r="F10" s="13">
        <f>D10*E10</f>
        <v>0</v>
      </c>
      <c r="G10" s="2" t="str">
        <f>IF(D10=2,"会社予想を大幅上回る",IF(D10=1,"会社予想を上回る",IF(D10=0,"会社予想と一致",IF(D10=-1,"会社予想を下回る","会社予想を大幅下回る"))))</f>
        <v>会社予想と一致</v>
      </c>
    </row>
    <row r="12" spans="2:7" ht="15.5" x14ac:dyDescent="0.35">
      <c r="B12" s="32" t="s">
        <v>149</v>
      </c>
      <c r="C12" s="2"/>
      <c r="D12" s="2"/>
      <c r="E12" s="2"/>
      <c r="F12" s="33">
        <f>SUM(F7:F10)</f>
        <v>0.65</v>
      </c>
      <c r="G12" s="34" t="str">
        <f>IF(F12&gt;=1,"STRONG BUY",IF(F12&gt;=0.5,"BUY",IF(F12&gt;=-0.5,"HOLD",IF(F12&gt;=-1,"CAUTION","AVOID"))))</f>
        <v>BUY</v>
      </c>
    </row>
    <row r="17" spans="2:7" ht="14.5" x14ac:dyDescent="0.35">
      <c r="B17" s="45" t="s">
        <v>150</v>
      </c>
      <c r="C17" s="44"/>
      <c r="D17" s="44"/>
      <c r="E17" s="44"/>
      <c r="F17" s="44"/>
      <c r="G17" s="44"/>
    </row>
    <row r="19" spans="2:7" x14ac:dyDescent="0.2">
      <c r="B19" s="2" t="s">
        <v>8</v>
      </c>
      <c r="C19" s="18">
        <v>3675</v>
      </c>
    </row>
    <row r="20" spans="2:7" x14ac:dyDescent="0.2">
      <c r="B20" s="2" t="s">
        <v>151</v>
      </c>
      <c r="C20" s="18">
        <v>4200</v>
      </c>
    </row>
    <row r="21" spans="2:7" x14ac:dyDescent="0.2">
      <c r="B21" s="2" t="s">
        <v>152</v>
      </c>
      <c r="C21" s="18">
        <v>3900</v>
      </c>
    </row>
    <row r="22" spans="2:7" x14ac:dyDescent="0.2">
      <c r="B22" s="2" t="s">
        <v>16</v>
      </c>
      <c r="C22" s="18">
        <v>6540</v>
      </c>
    </row>
    <row r="23" spans="2:7" x14ac:dyDescent="0.2">
      <c r="B23" s="2" t="s">
        <v>14</v>
      </c>
      <c r="C23" s="18">
        <v>1820</v>
      </c>
    </row>
    <row r="25" spans="2:7" ht="14" x14ac:dyDescent="0.3">
      <c r="B25" s="5" t="s">
        <v>153</v>
      </c>
    </row>
    <row r="26" spans="2:7" x14ac:dyDescent="0.2">
      <c r="B26" t="s">
        <v>154</v>
      </c>
      <c r="C26" s="35">
        <f>IFERROR((C19-C20)/C20,"")</f>
        <v>-0.125</v>
      </c>
    </row>
    <row r="27" spans="2:7" x14ac:dyDescent="0.2">
      <c r="B27" t="s">
        <v>155</v>
      </c>
      <c r="C27" s="35">
        <f>IFERROR((C19-C21)/C21,"")</f>
        <v>-5.7692307692307696E-2</v>
      </c>
    </row>
    <row r="28" spans="2:7" x14ac:dyDescent="0.2">
      <c r="B28" t="s">
        <v>156</v>
      </c>
      <c r="C28" s="35">
        <f>IFERROR((C19-C22)/C22,"")</f>
        <v>-0.43807339449541283</v>
      </c>
    </row>
    <row r="31" spans="2:7" ht="14.5" x14ac:dyDescent="0.35">
      <c r="B31" s="45" t="s">
        <v>157</v>
      </c>
      <c r="C31" s="44"/>
      <c r="D31" s="44"/>
      <c r="E31" s="44"/>
      <c r="F31" s="44"/>
      <c r="G31" s="44"/>
    </row>
    <row r="33" spans="2:7" x14ac:dyDescent="0.2">
      <c r="B33" s="2" t="s">
        <v>158</v>
      </c>
      <c r="C33" s="18">
        <v>653700</v>
      </c>
    </row>
    <row r="34" spans="2:7" x14ac:dyDescent="0.2">
      <c r="B34" s="2" t="s">
        <v>159</v>
      </c>
      <c r="C34" s="18">
        <v>165300</v>
      </c>
    </row>
    <row r="35" spans="2:7" x14ac:dyDescent="0.2">
      <c r="B35" s="2" t="s">
        <v>160</v>
      </c>
      <c r="C35" s="18">
        <v>400</v>
      </c>
    </row>
    <row r="36" spans="2:7" x14ac:dyDescent="0.2">
      <c r="B36" s="2" t="s">
        <v>161</v>
      </c>
      <c r="C36" s="26">
        <f>IFERROR(C33/C34,99)</f>
        <v>3.954627949183303</v>
      </c>
    </row>
    <row r="37" spans="2:7" x14ac:dyDescent="0.2">
      <c r="B37" s="2" t="s">
        <v>162</v>
      </c>
      <c r="C37" s="26">
        <f>IFERROR(C34/C35,0)</f>
        <v>413.25</v>
      </c>
    </row>
    <row r="41" spans="2:7" ht="14.5" x14ac:dyDescent="0.35">
      <c r="B41" s="45" t="s">
        <v>163</v>
      </c>
      <c r="C41" s="44"/>
      <c r="D41" s="44"/>
      <c r="E41" s="44"/>
      <c r="F41" s="44"/>
      <c r="G41" s="44"/>
    </row>
    <row r="43" spans="2:7" ht="14" x14ac:dyDescent="0.3">
      <c r="B43" s="1" t="s">
        <v>164</v>
      </c>
      <c r="C43" s="1" t="s">
        <v>165</v>
      </c>
      <c r="D43" s="1" t="s">
        <v>166</v>
      </c>
      <c r="E43" s="1" t="s">
        <v>167</v>
      </c>
      <c r="F43" s="1" t="s">
        <v>168</v>
      </c>
    </row>
    <row r="44" spans="2:7" x14ac:dyDescent="0.2">
      <c r="B44" s="2" t="s">
        <v>169</v>
      </c>
      <c r="C44" s="36">
        <v>2.010562499999998</v>
      </c>
      <c r="D44" s="37">
        <v>0.65</v>
      </c>
      <c r="E44" s="31">
        <f>C44-D44</f>
        <v>1.3605624999999981</v>
      </c>
      <c r="F44" s="2">
        <f>IF(E44&gt;=0.1,2,IF(E44&gt;=0.05,1,IF(E44&gt;=-0.05,0,IF(E44&gt;=-0.1,-1,-2))))</f>
        <v>2</v>
      </c>
    </row>
    <row r="45" spans="2:7" x14ac:dyDescent="0.2">
      <c r="B45" s="2" t="s">
        <v>170</v>
      </c>
      <c r="C45" s="36">
        <v>0.45</v>
      </c>
      <c r="D45" s="37">
        <v>0.57999999999999996</v>
      </c>
      <c r="E45" s="31">
        <f>C45-D45</f>
        <v>-0.12999999999999995</v>
      </c>
      <c r="F45" s="2">
        <f>IF(E45&gt;=0.1,2,IF(E45&gt;=0.05,1,IF(E45&gt;=-0.05,0,IF(E45&gt;=-0.1,-1,-2))))</f>
        <v>-2</v>
      </c>
    </row>
    <row r="53" spans="2:7" ht="14.5" x14ac:dyDescent="0.35">
      <c r="B53" s="45" t="s">
        <v>171</v>
      </c>
      <c r="C53" s="44"/>
      <c r="D53" s="44"/>
      <c r="E53" s="44"/>
      <c r="F53" s="44"/>
      <c r="G53" s="44"/>
    </row>
    <row r="55" spans="2:7" ht="14" x14ac:dyDescent="0.3">
      <c r="B55" s="5" t="s">
        <v>172</v>
      </c>
      <c r="C55" s="50" t="s">
        <v>173</v>
      </c>
      <c r="D55" s="44"/>
      <c r="E55" s="44"/>
      <c r="F55" s="44"/>
      <c r="G55" s="44"/>
    </row>
    <row r="56" spans="2:7" ht="14" x14ac:dyDescent="0.3">
      <c r="B56" s="5" t="s">
        <v>174</v>
      </c>
      <c r="C56" s="50" t="s">
        <v>175</v>
      </c>
      <c r="D56" s="44"/>
      <c r="E56" s="44"/>
      <c r="F56" s="44"/>
      <c r="G56" s="44"/>
    </row>
    <row r="57" spans="2:7" ht="14" x14ac:dyDescent="0.3">
      <c r="B57" s="5" t="s">
        <v>176</v>
      </c>
      <c r="C57" s="50" t="s">
        <v>177</v>
      </c>
      <c r="D57" s="44"/>
      <c r="E57" s="44"/>
      <c r="F57" s="44"/>
      <c r="G57" s="44"/>
    </row>
    <row r="58" spans="2:7" ht="14" x14ac:dyDescent="0.3">
      <c r="B58" s="5" t="s">
        <v>178</v>
      </c>
      <c r="C58" s="50" t="s">
        <v>179</v>
      </c>
      <c r="D58" s="44"/>
      <c r="E58" s="44"/>
      <c r="F58" s="44"/>
      <c r="G58" s="44"/>
    </row>
    <row r="59" spans="2:7" ht="14" x14ac:dyDescent="0.3">
      <c r="B59" s="5" t="s">
        <v>180</v>
      </c>
      <c r="C59" s="50" t="s">
        <v>181</v>
      </c>
      <c r="D59" s="44"/>
      <c r="E59" s="44"/>
      <c r="F59" s="44"/>
      <c r="G59" s="44"/>
    </row>
    <row r="62" spans="2:7" ht="14" x14ac:dyDescent="0.3">
      <c r="B62" s="5" t="s">
        <v>182</v>
      </c>
    </row>
    <row r="63" spans="2:7" x14ac:dyDescent="0.2">
      <c r="B63" t="s">
        <v>183</v>
      </c>
    </row>
    <row r="64" spans="2:7" x14ac:dyDescent="0.2">
      <c r="B64" t="s">
        <v>184</v>
      </c>
    </row>
    <row r="65" spans="2:2" x14ac:dyDescent="0.2">
      <c r="B65" t="s">
        <v>185</v>
      </c>
    </row>
    <row r="66" spans="2:2" x14ac:dyDescent="0.2">
      <c r="B66" t="s">
        <v>186</v>
      </c>
    </row>
  </sheetData>
  <mergeCells count="11">
    <mergeCell ref="B2:G2"/>
    <mergeCell ref="C59:G59"/>
    <mergeCell ref="B5:G5"/>
    <mergeCell ref="B31:G31"/>
    <mergeCell ref="B17:G17"/>
    <mergeCell ref="B41:G41"/>
    <mergeCell ref="C58:G58"/>
    <mergeCell ref="C57:G57"/>
    <mergeCell ref="C55:G55"/>
    <mergeCell ref="B53:G53"/>
    <mergeCell ref="C56:G56"/>
  </mergeCells>
  <phoneticPr fontId="7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H29"/>
  <sheetViews>
    <sheetView topLeftCell="A35" workbookViewId="0"/>
  </sheetViews>
  <sheetFormatPr defaultRowHeight="13" x14ac:dyDescent="0.2"/>
  <cols>
    <col min="1" max="1" width="3" customWidth="1"/>
    <col min="2" max="2" width="30" customWidth="1"/>
    <col min="3" max="3" width="10" customWidth="1"/>
    <col min="4" max="4" width="48" customWidth="1"/>
    <col min="5" max="5" width="12" customWidth="1"/>
    <col min="6" max="6" width="14" customWidth="1"/>
    <col min="8" max="8" width="13" hidden="1" customWidth="1"/>
  </cols>
  <sheetData>
    <row r="2" spans="2:8" ht="18.5" x14ac:dyDescent="0.45">
      <c r="B2" s="43" t="s">
        <v>187</v>
      </c>
      <c r="C2" s="44"/>
      <c r="D2" s="44"/>
      <c r="E2" s="44"/>
      <c r="F2" s="44"/>
    </row>
    <row r="3" spans="2:8" ht="14" x14ac:dyDescent="0.3">
      <c r="B3" s="17" t="s">
        <v>188</v>
      </c>
    </row>
    <row r="5" spans="2:8" ht="14.5" x14ac:dyDescent="0.35">
      <c r="B5" s="45" t="s">
        <v>189</v>
      </c>
      <c r="C5" s="44"/>
      <c r="D5" s="44"/>
      <c r="E5" s="44"/>
      <c r="F5" s="44"/>
    </row>
    <row r="6" spans="2:8" ht="14" x14ac:dyDescent="0.3">
      <c r="B6" s="1" t="s">
        <v>190</v>
      </c>
      <c r="C6" s="1" t="s">
        <v>168</v>
      </c>
      <c r="D6" s="1" t="s">
        <v>191</v>
      </c>
      <c r="G6" t="s">
        <v>192</v>
      </c>
      <c r="H6" t="s">
        <v>168</v>
      </c>
    </row>
    <row r="7" spans="2:8" x14ac:dyDescent="0.2">
      <c r="B7" s="2" t="s">
        <v>193</v>
      </c>
      <c r="C7" s="38">
        <v>1</v>
      </c>
      <c r="D7" s="39" t="s">
        <v>194</v>
      </c>
      <c r="G7" t="s">
        <v>195</v>
      </c>
      <c r="H7">
        <v>1</v>
      </c>
    </row>
    <row r="8" spans="2:8" x14ac:dyDescent="0.2">
      <c r="B8" s="2" t="s">
        <v>196</v>
      </c>
      <c r="C8" s="38">
        <v>1</v>
      </c>
      <c r="D8" s="39" t="s">
        <v>197</v>
      </c>
      <c r="G8" t="s">
        <v>198</v>
      </c>
      <c r="H8">
        <v>1</v>
      </c>
    </row>
    <row r="9" spans="2:8" x14ac:dyDescent="0.2">
      <c r="B9" s="2" t="s">
        <v>199</v>
      </c>
      <c r="C9" s="38">
        <v>1</v>
      </c>
      <c r="D9" s="39" t="s">
        <v>200</v>
      </c>
      <c r="G9" t="s">
        <v>201</v>
      </c>
      <c r="H9">
        <v>1</v>
      </c>
    </row>
    <row r="10" spans="2:8" x14ac:dyDescent="0.2">
      <c r="B10" s="2" t="s">
        <v>202</v>
      </c>
      <c r="C10" s="38">
        <v>1</v>
      </c>
      <c r="D10" s="39" t="s">
        <v>203</v>
      </c>
      <c r="G10" t="s">
        <v>204</v>
      </c>
      <c r="H10">
        <v>1</v>
      </c>
    </row>
    <row r="11" spans="2:8" x14ac:dyDescent="0.2">
      <c r="B11" s="2" t="s">
        <v>205</v>
      </c>
      <c r="C11" s="38">
        <v>2</v>
      </c>
      <c r="D11" s="39" t="s">
        <v>206</v>
      </c>
      <c r="G11" t="s">
        <v>207</v>
      </c>
      <c r="H11">
        <v>2</v>
      </c>
    </row>
    <row r="12" spans="2:8" ht="26" x14ac:dyDescent="0.2">
      <c r="B12" s="2" t="s">
        <v>208</v>
      </c>
      <c r="C12" s="38">
        <v>1</v>
      </c>
      <c r="D12" s="39" t="s">
        <v>209</v>
      </c>
      <c r="G12" t="s">
        <v>210</v>
      </c>
      <c r="H12">
        <v>1</v>
      </c>
    </row>
    <row r="13" spans="2:8" ht="14.5" x14ac:dyDescent="0.35">
      <c r="B13" s="5" t="s">
        <v>211</v>
      </c>
      <c r="C13" s="40">
        <v>7</v>
      </c>
    </row>
    <row r="15" spans="2:8" ht="14.5" x14ac:dyDescent="0.35">
      <c r="B15" s="45" t="s">
        <v>212</v>
      </c>
      <c r="C15" s="44"/>
      <c r="D15" s="44"/>
      <c r="E15" s="44"/>
      <c r="F15" s="44"/>
    </row>
    <row r="16" spans="2:8" ht="14" x14ac:dyDescent="0.3">
      <c r="B16" s="5" t="s">
        <v>213</v>
      </c>
      <c r="C16" s="51" t="s">
        <v>214</v>
      </c>
      <c r="D16" s="44"/>
      <c r="E16" s="44"/>
      <c r="F16" s="44"/>
    </row>
    <row r="17" spans="2:6" ht="14" x14ac:dyDescent="0.3">
      <c r="B17" s="5" t="s">
        <v>215</v>
      </c>
      <c r="C17" s="51" t="s">
        <v>216</v>
      </c>
      <c r="D17" s="44"/>
      <c r="E17" s="44"/>
      <c r="F17" s="44"/>
    </row>
    <row r="18" spans="2:6" ht="14" x14ac:dyDescent="0.3">
      <c r="B18" s="5" t="s">
        <v>217</v>
      </c>
      <c r="C18" s="51" t="s">
        <v>218</v>
      </c>
      <c r="D18" s="44"/>
      <c r="E18" s="44"/>
      <c r="F18" s="44"/>
    </row>
    <row r="19" spans="2:6" ht="14" x14ac:dyDescent="0.3">
      <c r="B19" s="5" t="s">
        <v>219</v>
      </c>
      <c r="C19" s="51" t="s">
        <v>220</v>
      </c>
      <c r="D19" s="44"/>
      <c r="E19" s="44"/>
      <c r="F19" s="44"/>
    </row>
    <row r="21" spans="2:6" ht="14.5" x14ac:dyDescent="0.35">
      <c r="B21" s="45" t="s">
        <v>221</v>
      </c>
      <c r="C21" s="44"/>
      <c r="D21" s="44"/>
      <c r="E21" s="44"/>
      <c r="F21" s="44"/>
    </row>
    <row r="22" spans="2:6" ht="14.5" x14ac:dyDescent="0.35">
      <c r="B22" s="5" t="s">
        <v>222</v>
      </c>
      <c r="C22" s="41" t="s">
        <v>223</v>
      </c>
      <c r="D22" s="44" t="s">
        <v>224</v>
      </c>
      <c r="E22" s="44"/>
      <c r="F22" s="44"/>
    </row>
    <row r="23" spans="2:6" ht="14" x14ac:dyDescent="0.3">
      <c r="B23" s="5" t="s">
        <v>225</v>
      </c>
      <c r="C23" s="50" t="s">
        <v>226</v>
      </c>
      <c r="D23" s="44"/>
      <c r="E23" s="44"/>
      <c r="F23" s="44"/>
    </row>
    <row r="25" spans="2:6" ht="14.5" x14ac:dyDescent="0.35">
      <c r="B25" s="45" t="s">
        <v>227</v>
      </c>
      <c r="C25" s="44"/>
      <c r="D25" s="44"/>
      <c r="E25" s="44"/>
      <c r="F25" s="44"/>
    </row>
    <row r="26" spans="2:6" x14ac:dyDescent="0.2">
      <c r="B26" s="50" t="s">
        <v>228</v>
      </c>
      <c r="C26" s="44"/>
      <c r="D26" s="44"/>
      <c r="E26" s="44"/>
      <c r="F26" s="44"/>
    </row>
    <row r="28" spans="2:6" ht="14.5" x14ac:dyDescent="0.35">
      <c r="B28" s="45" t="s">
        <v>229</v>
      </c>
      <c r="C28" s="44"/>
      <c r="D28" s="44"/>
      <c r="E28" s="44"/>
      <c r="F28" s="44"/>
    </row>
    <row r="29" spans="2:6" ht="15.5" x14ac:dyDescent="0.35">
      <c r="B29" s="5" t="s">
        <v>74</v>
      </c>
      <c r="C29" s="42" t="s">
        <v>230</v>
      </c>
      <c r="D29" s="50" t="s">
        <v>231</v>
      </c>
      <c r="E29" s="44"/>
      <c r="F29" s="44"/>
    </row>
  </sheetData>
  <mergeCells count="14">
    <mergeCell ref="D29:F29"/>
    <mergeCell ref="B2:F2"/>
    <mergeCell ref="B15:F15"/>
    <mergeCell ref="B25:F25"/>
    <mergeCell ref="B28:F28"/>
    <mergeCell ref="D22:F22"/>
    <mergeCell ref="B5:F5"/>
    <mergeCell ref="C16:F16"/>
    <mergeCell ref="C19:F19"/>
    <mergeCell ref="B26:F26"/>
    <mergeCell ref="B21:F21"/>
    <mergeCell ref="C18:F18"/>
    <mergeCell ref="C17:F17"/>
    <mergeCell ref="C23:F23"/>
  </mergeCells>
  <phoneticPr fontId="7"/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Implied Growth Analysis</vt:lpstr>
      <vt:lpstr>Implied Multiple Analysis</vt:lpstr>
      <vt:lpstr>Market Scorecard</vt:lpstr>
      <vt:lpstr>Narrative 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2026-06-16T15:56:16Z</dcterms:created>
  <dcterms:modified xsi:type="dcterms:W3CDTF">2026-06-16T17:15:11Z</dcterms:modified>
</cp:coreProperties>
</file>