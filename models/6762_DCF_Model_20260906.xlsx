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8015961C-6584-4B35-871A-0D5D31A9F46F}"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I16" i="6"/>
  <c r="O10" i="6"/>
  <c r="N10" i="6"/>
  <c r="M10" i="6"/>
  <c r="L10" i="6"/>
  <c r="K10" i="6"/>
  <c r="J10" i="6"/>
  <c r="O9" i="6"/>
  <c r="N9" i="6"/>
  <c r="M9" i="6"/>
  <c r="L9" i="6"/>
  <c r="K9" i="6"/>
  <c r="J9" i="6"/>
  <c r="O8" i="6"/>
  <c r="N8" i="6"/>
  <c r="M8" i="6"/>
  <c r="L8" i="6"/>
  <c r="K8" i="6"/>
  <c r="J8" i="6"/>
  <c r="O7" i="6"/>
  <c r="N7" i="6"/>
  <c r="M7" i="6"/>
  <c r="L7" i="6"/>
  <c r="K7" i="6"/>
  <c r="J7" i="6"/>
  <c r="O6" i="6"/>
  <c r="N6" i="6"/>
  <c r="M6" i="6"/>
  <c r="L6" i="6"/>
  <c r="F15" i="6" s="1"/>
  <c r="K6" i="6"/>
  <c r="J6" i="6"/>
  <c r="D17" i="6" s="1"/>
  <c r="O5" i="6"/>
  <c r="N5" i="6"/>
  <c r="D5" i="6"/>
  <c r="M5" i="6" s="1"/>
  <c r="C16" i="5"/>
  <c r="C14" i="5"/>
  <c r="C7" i="5"/>
  <c r="C6" i="5"/>
  <c r="C5" i="5"/>
  <c r="C13" i="4"/>
  <c r="C12" i="4"/>
  <c r="C9" i="4"/>
  <c r="C7" i="4"/>
  <c r="C6" i="4"/>
  <c r="D27" i="3"/>
  <c r="G5" i="5" s="1"/>
  <c r="C25" i="3"/>
  <c r="C26" i="3" s="1"/>
  <c r="C24" i="3"/>
  <c r="C23" i="3"/>
  <c r="F28" i="2"/>
  <c r="E28" i="2"/>
  <c r="D28" i="2"/>
  <c r="C28" i="2"/>
  <c r="F16" i="2"/>
  <c r="E16" i="2"/>
  <c r="D16" i="2"/>
  <c r="F15" i="2"/>
  <c r="E15" i="2"/>
  <c r="D15" i="2"/>
  <c r="F14" i="2"/>
  <c r="E14" i="2"/>
  <c r="D14" i="2"/>
  <c r="C14" i="2"/>
  <c r="F13" i="2"/>
  <c r="E13" i="2"/>
  <c r="D13" i="2"/>
  <c r="C13" i="2"/>
  <c r="E9" i="2"/>
  <c r="C9" i="2"/>
  <c r="F8" i="2"/>
  <c r="F9" i="2" s="1"/>
  <c r="E8" i="2"/>
  <c r="D8" i="2"/>
  <c r="D9" i="2" s="1"/>
  <c r="C8" i="2"/>
  <c r="E5" i="6" l="1"/>
  <c r="J5" i="6" s="1"/>
  <c r="H15" i="6"/>
  <c r="L5" i="6"/>
  <c r="I17" i="6"/>
  <c r="G16" i="6"/>
  <c r="G15" i="6"/>
  <c r="C8" i="4"/>
  <c r="C10" i="4" s="1"/>
  <c r="C71" i="4" s="1"/>
  <c r="C18" i="5"/>
  <c r="E15" i="6"/>
  <c r="C3" i="7"/>
  <c r="G36" i="4"/>
  <c r="C11" i="4"/>
  <c r="G46" i="3"/>
  <c r="E36" i="4"/>
  <c r="D36" i="4"/>
  <c r="D46" i="3"/>
  <c r="C46" i="3"/>
  <c r="F36" i="4"/>
  <c r="F46" i="3"/>
  <c r="H36" i="4"/>
  <c r="E46" i="3"/>
  <c r="C31" i="3"/>
  <c r="C30" i="3"/>
  <c r="C33" i="3" s="1"/>
  <c r="F31" i="3"/>
  <c r="H5" i="5"/>
  <c r="D7" i="5"/>
  <c r="K5" i="6"/>
  <c r="I15" i="6"/>
  <c r="E17" i="6"/>
  <c r="I6" i="7"/>
  <c r="D30" i="3"/>
  <c r="G31" i="3"/>
  <c r="E7" i="5"/>
  <c r="D16" i="6"/>
  <c r="F17" i="6"/>
  <c r="C17" i="7"/>
  <c r="F5" i="5"/>
  <c r="E30" i="3"/>
  <c r="C32" i="3"/>
  <c r="D6" i="5"/>
  <c r="F7" i="5"/>
  <c r="E16" i="6"/>
  <c r="G17" i="6"/>
  <c r="C6" i="7"/>
  <c r="D17" i="7"/>
  <c r="F32" i="3"/>
  <c r="G32" i="3"/>
  <c r="F30" i="3"/>
  <c r="D32" i="3"/>
  <c r="E6" i="5"/>
  <c r="G7" i="5"/>
  <c r="D15" i="6"/>
  <c r="F16" i="6"/>
  <c r="C28" i="6" s="1"/>
  <c r="C19" i="1" s="1"/>
  <c r="D19" i="1" s="1"/>
  <c r="H17" i="6"/>
  <c r="D6" i="7"/>
  <c r="E17" i="7"/>
  <c r="D31" i="3"/>
  <c r="H6" i="5"/>
  <c r="G30" i="3"/>
  <c r="E32" i="3"/>
  <c r="D5" i="5"/>
  <c r="F6" i="5"/>
  <c r="H7" i="5"/>
  <c r="E6" i="7"/>
  <c r="F17" i="7"/>
  <c r="E5" i="5"/>
  <c r="G6" i="5"/>
  <c r="H16" i="6"/>
  <c r="F6" i="7"/>
  <c r="G17" i="7"/>
  <c r="G6" i="7"/>
  <c r="H17" i="7"/>
  <c r="E31" i="3"/>
  <c r="C70" i="4" l="1"/>
  <c r="C24" i="4"/>
  <c r="C25" i="4" s="1"/>
  <c r="C29" i="4" s="1"/>
  <c r="D9" i="5"/>
  <c r="D12" i="5" s="1"/>
  <c r="C42" i="3"/>
  <c r="C34" i="3"/>
  <c r="D10" i="5" s="1"/>
  <c r="C37" i="3"/>
  <c r="D33" i="3"/>
  <c r="D45" i="4"/>
  <c r="D43" i="4"/>
  <c r="D46" i="4"/>
  <c r="D39" i="4"/>
  <c r="D40" i="4"/>
  <c r="D44" i="4"/>
  <c r="D38" i="4"/>
  <c r="D48" i="4" s="1"/>
  <c r="D53" i="4" s="1"/>
  <c r="D41" i="4"/>
  <c r="E39" i="4"/>
  <c r="E46" i="4"/>
  <c r="E40" i="4"/>
  <c r="E44" i="4"/>
  <c r="E43" i="4"/>
  <c r="E38" i="4"/>
  <c r="E41" i="4"/>
  <c r="E51" i="4" s="1"/>
  <c r="E56" i="4" s="1"/>
  <c r="E45" i="4"/>
  <c r="C27" i="6"/>
  <c r="C18" i="1" s="1"/>
  <c r="D18" i="1" s="1"/>
  <c r="C74" i="4"/>
  <c r="H40" i="4"/>
  <c r="H38" i="4"/>
  <c r="H41" i="4"/>
  <c r="H44" i="4"/>
  <c r="H45" i="4"/>
  <c r="H39" i="4"/>
  <c r="H49" i="4" s="1"/>
  <c r="H54" i="4" s="1"/>
  <c r="H43" i="4"/>
  <c r="H46" i="4"/>
  <c r="G46" i="4"/>
  <c r="G44" i="4"/>
  <c r="G38" i="4"/>
  <c r="G41" i="4"/>
  <c r="G45" i="4"/>
  <c r="G40" i="4"/>
  <c r="G39" i="4"/>
  <c r="G43" i="4"/>
  <c r="F43" i="4"/>
  <c r="F40" i="4"/>
  <c r="F44" i="4"/>
  <c r="F38" i="4"/>
  <c r="F41" i="4"/>
  <c r="F46" i="4"/>
  <c r="F45" i="4"/>
  <c r="F39" i="4"/>
  <c r="B13" i="7"/>
  <c r="B12" i="7"/>
  <c r="B11" i="7"/>
  <c r="B10" i="7"/>
  <c r="B9" i="7"/>
  <c r="B8" i="7"/>
  <c r="B7" i="7"/>
  <c r="B24" i="7"/>
  <c r="B23" i="7"/>
  <c r="B22" i="7"/>
  <c r="B21" i="7"/>
  <c r="B20" i="7"/>
  <c r="B19" i="7"/>
  <c r="B18" i="7"/>
  <c r="F50" i="4" l="1"/>
  <c r="F55" i="4" s="1"/>
  <c r="H48" i="4"/>
  <c r="H53" i="4" s="1"/>
  <c r="F49" i="4"/>
  <c r="C26" i="4"/>
  <c r="C27" i="4"/>
  <c r="G50" i="4"/>
  <c r="G55" i="4" s="1"/>
  <c r="D51" i="4"/>
  <c r="D56" i="4" s="1"/>
  <c r="C35" i="3"/>
  <c r="C36" i="3" s="1"/>
  <c r="G51" i="4"/>
  <c r="G56" i="4" s="1"/>
  <c r="E48" i="4"/>
  <c r="E53" i="4" s="1"/>
  <c r="D49" i="4"/>
  <c r="D54" i="4" s="1"/>
  <c r="H50" i="4"/>
  <c r="H55" i="4" s="1"/>
  <c r="E50" i="4"/>
  <c r="E55" i="4" s="1"/>
  <c r="D14" i="5"/>
  <c r="D37" i="3"/>
  <c r="E9" i="5"/>
  <c r="E12" i="5" s="1"/>
  <c r="D42" i="3"/>
  <c r="D34" i="3"/>
  <c r="E10" i="5" s="1"/>
  <c r="E33" i="3"/>
  <c r="F54" i="4"/>
  <c r="C60" i="4"/>
  <c r="B78" i="4"/>
  <c r="G49" i="4"/>
  <c r="G54" i="4" s="1"/>
  <c r="E49" i="4"/>
  <c r="E54" i="4" s="1"/>
  <c r="F51" i="4"/>
  <c r="F56" i="4" s="1"/>
  <c r="F48" i="4"/>
  <c r="F53" i="4" s="1"/>
  <c r="G48" i="4"/>
  <c r="G53" i="4" s="1"/>
  <c r="H51" i="4"/>
  <c r="H56" i="4" s="1"/>
  <c r="D50" i="4"/>
  <c r="D55" i="4" s="1"/>
  <c r="D15" i="5"/>
  <c r="D16" i="5" s="1"/>
  <c r="D13" i="5"/>
  <c r="C38" i="3" l="1"/>
  <c r="C39" i="3"/>
  <c r="D35" i="3"/>
  <c r="D18" i="5"/>
  <c r="D19" i="5" s="1"/>
  <c r="C44" i="3" s="1"/>
  <c r="D36" i="3"/>
  <c r="D38" i="3"/>
  <c r="D39" i="3"/>
  <c r="C64" i="4"/>
  <c r="D64" i="4" s="1"/>
  <c r="C65" i="4"/>
  <c r="D65" i="4" s="1"/>
  <c r="C67" i="4"/>
  <c r="D67" i="4" s="1"/>
  <c r="C63" i="4"/>
  <c r="D63" i="4" s="1"/>
  <c r="C66" i="4"/>
  <c r="D66" i="4" s="1"/>
  <c r="C40" i="3"/>
  <c r="C41" i="3" s="1"/>
  <c r="C45" i="3" s="1"/>
  <c r="F9" i="5"/>
  <c r="F12" i="5" s="1"/>
  <c r="E37" i="3"/>
  <c r="F33" i="3"/>
  <c r="E42" i="3"/>
  <c r="E34" i="3"/>
  <c r="F10" i="5" s="1"/>
  <c r="E13" i="5"/>
  <c r="E14" i="5" s="1"/>
  <c r="E15" i="5"/>
  <c r="E16" i="5" s="1"/>
  <c r="E18" i="5" l="1"/>
  <c r="E19" i="5" s="1"/>
  <c r="D44" i="3" s="1"/>
  <c r="C47" i="3"/>
  <c r="F42" i="3"/>
  <c r="F34" i="3"/>
  <c r="G10" i="5" s="1"/>
  <c r="F35" i="3"/>
  <c r="F37" i="3"/>
  <c r="G33" i="3"/>
  <c r="G9" i="5"/>
  <c r="G12" i="5" s="1"/>
  <c r="E35" i="3"/>
  <c r="D40" i="3"/>
  <c r="D41" i="3" s="1"/>
  <c r="D45" i="3" s="1"/>
  <c r="F13" i="5"/>
  <c r="F14" i="5" s="1"/>
  <c r="F15" i="5"/>
  <c r="F16" i="5" s="1"/>
  <c r="F18" i="5" l="1"/>
  <c r="F19" i="5" s="1"/>
  <c r="E44" i="3" s="1"/>
  <c r="D47" i="3"/>
  <c r="G37" i="3"/>
  <c r="C16" i="4"/>
  <c r="C28" i="4" s="1"/>
  <c r="H9" i="5"/>
  <c r="H12" i="5" s="1"/>
  <c r="G42" i="3"/>
  <c r="G34" i="3"/>
  <c r="H10" i="5" s="1"/>
  <c r="F38" i="3"/>
  <c r="F36" i="3"/>
  <c r="F39" i="3"/>
  <c r="G13" i="5"/>
  <c r="G15" i="5"/>
  <c r="G16" i="5" s="1"/>
  <c r="E39" i="3"/>
  <c r="E38" i="3"/>
  <c r="E36" i="3"/>
  <c r="G14" i="5"/>
  <c r="G18" i="5" s="1"/>
  <c r="G19" i="5" s="1"/>
  <c r="F44" i="3" s="1"/>
  <c r="F40" i="3" l="1"/>
  <c r="F41" i="3" s="1"/>
  <c r="F45" i="3" s="1"/>
  <c r="F47" i="3" s="1"/>
  <c r="H15" i="5"/>
  <c r="H16" i="5" s="1"/>
  <c r="H13" i="5"/>
  <c r="C72" i="4"/>
  <c r="C73" i="4"/>
  <c r="H14" i="5"/>
  <c r="E40" i="3"/>
  <c r="E41" i="3" s="1"/>
  <c r="E45" i="3" s="1"/>
  <c r="G35" i="3"/>
  <c r="H18" i="5" l="1"/>
  <c r="H19" i="5" s="1"/>
  <c r="G44" i="3" s="1"/>
  <c r="E47" i="3"/>
  <c r="G38" i="3"/>
  <c r="G36" i="3"/>
  <c r="G39" i="3"/>
  <c r="C59" i="3" l="1"/>
  <c r="C60" i="3" s="1"/>
  <c r="C61" i="3" s="1"/>
  <c r="G40" i="3"/>
  <c r="G41" i="3" s="1"/>
  <c r="G45" i="3" s="1"/>
  <c r="G47" i="3" l="1"/>
  <c r="C50" i="3" s="1"/>
  <c r="C51" i="3"/>
  <c r="C52" i="3" s="1"/>
  <c r="C24" i="7"/>
  <c r="I12" i="7"/>
  <c r="F12" i="7"/>
  <c r="C13" i="7"/>
  <c r="F13" i="7"/>
  <c r="C20" i="7"/>
  <c r="C23" i="7"/>
  <c r="I8" i="7"/>
  <c r="I18" i="7"/>
  <c r="E13" i="7"/>
  <c r="H20" i="7"/>
  <c r="G12" i="7"/>
  <c r="E24" i="7"/>
  <c r="F11" i="7"/>
  <c r="F10" i="7"/>
  <c r="E9" i="7"/>
  <c r="I24" i="7"/>
  <c r="C7" i="7"/>
  <c r="C8" i="7"/>
  <c r="E18" i="7"/>
  <c r="C18" i="7"/>
  <c r="D24" i="7"/>
  <c r="G8" i="7"/>
  <c r="H9" i="7"/>
  <c r="H13" i="7"/>
  <c r="G18" i="7"/>
  <c r="G22" i="7"/>
  <c r="C21" i="7"/>
  <c r="D12" i="7"/>
  <c r="E11" i="7"/>
  <c r="D9" i="7"/>
  <c r="I13" i="7"/>
  <c r="H22" i="7"/>
  <c r="E7" i="7"/>
  <c r="E23" i="7"/>
  <c r="E12" i="7"/>
  <c r="I23" i="7"/>
  <c r="C11" i="7"/>
  <c r="D22" i="7"/>
  <c r="C10" i="7"/>
  <c r="G7" i="7"/>
  <c r="I9" i="7"/>
  <c r="I7" i="7"/>
  <c r="H24" i="7"/>
  <c r="H10" i="7"/>
  <c r="F8" i="7"/>
  <c r="G13" i="7"/>
  <c r="F24" i="7"/>
  <c r="D13" i="7"/>
  <c r="I22" i="7"/>
  <c r="C22" i="7"/>
  <c r="D21" i="7"/>
  <c r="F23" i="7"/>
  <c r="E8" i="7"/>
  <c r="F22" i="7"/>
  <c r="I21" i="7"/>
  <c r="F9" i="7"/>
  <c r="C19" i="7"/>
  <c r="H19" i="7"/>
  <c r="G19" i="7"/>
  <c r="D8" i="7"/>
  <c r="D11" i="7"/>
  <c r="H11" i="7"/>
  <c r="D10" i="7"/>
  <c r="D20" i="7"/>
  <c r="G24" i="7"/>
  <c r="G9" i="7"/>
  <c r="C12" i="7"/>
  <c r="I10" i="7"/>
  <c r="H8" i="7"/>
  <c r="E22" i="7"/>
  <c r="H21" i="7"/>
  <c r="F21" i="7"/>
  <c r="E10" i="7"/>
  <c r="E20" i="7"/>
  <c r="D18" i="7"/>
  <c r="D23" i="7"/>
  <c r="H12" i="7"/>
  <c r="F7" i="7"/>
  <c r="F20" i="7"/>
  <c r="H18" i="7"/>
  <c r="E21" i="7"/>
  <c r="C9" i="7"/>
  <c r="I11" i="7"/>
  <c r="G11" i="7"/>
  <c r="G10" i="7"/>
  <c r="I19" i="7"/>
  <c r="G20" i="7"/>
  <c r="H7" i="7"/>
  <c r="D19" i="7"/>
  <c r="F18" i="7"/>
  <c r="G23" i="7"/>
  <c r="G21" i="7"/>
  <c r="E19" i="7"/>
  <c r="F19" i="7"/>
  <c r="I20" i="7"/>
  <c r="H23" i="7"/>
  <c r="D7" i="7"/>
  <c r="C58" i="3" l="1"/>
  <c r="C62" i="3" s="1"/>
  <c r="C53" i="3"/>
  <c r="C17" i="4" l="1"/>
  <c r="C54" i="3"/>
  <c r="C55" i="3" s="1"/>
  <c r="C16" i="1" s="1"/>
  <c r="C63" i="3"/>
  <c r="C64" i="3" s="1"/>
  <c r="C17" i="1" s="1"/>
  <c r="D16" i="1" l="1"/>
  <c r="C21" i="1"/>
  <c r="D17" i="1"/>
  <c r="C10" i="1"/>
  <c r="C12" i="1" s="1"/>
  <c r="C11" i="1" s="1"/>
  <c r="C19" i="4"/>
  <c r="C20" i="4" s="1"/>
  <c r="B79" i="4" s="1"/>
</calcChain>
</file>

<file path=xl/sharedStrings.xml><?xml version="1.0" encoding="utf-8"?>
<sst xmlns="http://schemas.openxmlformats.org/spreadsheetml/2006/main" count="445" uniqueCount="360">
  <si>
    <t>DISCLAIMER: This is a sample analysis for demonstration purposes only. It does not constitute investment advice.</t>
  </si>
  <si>
    <t>TDK (6762.T)</t>
  </si>
  <si>
    <t>Equity Research Report</t>
  </si>
  <si>
    <t>Company</t>
  </si>
  <si>
    <t>TDK</t>
  </si>
  <si>
    <t>Ticker</t>
  </si>
  <si>
    <t>6762.T (TSE Prime)</t>
  </si>
  <si>
    <t>Sector</t>
  </si>
  <si>
    <t>電気機器</t>
  </si>
  <si>
    <t>Current Price</t>
  </si>
  <si>
    <t>Target Price (DCF Mid)</t>
  </si>
  <si>
    <t>Recommendation</t>
  </si>
  <si>
    <t>Upside / Downside</t>
  </si>
  <si>
    <t>Valuation Summary</t>
  </si>
  <si>
    <t>Methodology</t>
  </si>
  <si>
    <t>Implied Value (JPY)</t>
  </si>
  <si>
    <t>vs Current Price</t>
  </si>
  <si>
    <t>DCF - Perpetuity Growth [参考・Target不算入 — 追補6 §X]</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</si>
  <si>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</si>
  <si>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</si>
  <si>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</si>
  <si>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**6.31倍** で 3.0倍を超えたため、**乖離そのものを裁定トリガーとする追補6 §X により中点平均を禁止**し、どちらの脚を落とすかを判定した。■**観測倍率バンドテスト**: Peer の実測 EV/EBITDA の第1〜第3四分位バンドは **(17.187374116346117, 27.153601697217894, 5)倍**。これに対し **PGM逆算 2.87倍 / 仮定Exit 18.10倍**。**PGM法のみがバンドの外にあるため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</si>
  <si>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</si>
  <si>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</si>
  <si>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</si>
  <si>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</si>
  <si>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</si>
  <si>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</si>
  <si>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</si>
  <si>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</si>
  <si>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</si>
  <si>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TDK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</si>
  <si>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</si>
  <si>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</si>
  <si>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</si>
  <si>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</si>
  <si>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</si>
  <si>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</si>
  <si>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</si>
  <si>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</si>
  <si>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</si>
  <si>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</si>
  <si>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</si>
  <si>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</si>
  <si>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</si>
  <si>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</si>
  <si>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</si>
  <si>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</si>
  <si>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</si>
  <si>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</si>
  <si>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</si>
  <si>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</si>
  <si>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</si>
  <si>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</si>
  <si>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</si>
  <si>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</si>
  <si>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</si>
  <si>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</si>
  <si>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</si>
  <si>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</si>
  <si>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TDK</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</si>
  <si>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</si>
  <si>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</si>
  <si>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</si>
  <si>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</si>
  <si>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</si>
  <si>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</si>
  <si>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</si>
  <si>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</si>
  <si>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</si>
  <si>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</si>
  <si>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</si>
  <si>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</si>
  <si>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</si>
  <si>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</si>
  <si>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</si>
  <si>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</si>
  <si>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</si>
  <si>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</si>
  <si>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</si>
  <si>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</si>
  <si>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</si>
  <si>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</si>
  <si>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</si>
  <si>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</si>
  <si>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</si>
  <si>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</si>
  <si>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</si>
  <si>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</si>
  <si>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</si>
  <si>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</si>
  <si>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</si>
  <si>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</si>
  <si>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</si>
  <si>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</si>
  <si>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</si>
  <si>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</si>
  <si>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</si>
  <si>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</si>
  <si>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</si>
  <si>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</si>
  <si>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</si>
  <si>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</si>
  <si>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</si>
  <si>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</si>
  <si>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</si>
  <si>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</si>
  <si>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</si>
  <si>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</si>
  <si>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</si>
  <si>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</si>
  <si>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</si>
  <si>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</si>
  <si>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</si>
  <si>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</si>
  <si>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</si>
  <si>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</si>
  <si>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</si>
  <si>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</si>
  <si>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</si>
  <si>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</si>
  <si>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</si>
  <si>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</si>
  <si>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</si>
  <si>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</si>
  <si>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TDK (6762.T)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</si>
  <si>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</si>
  <si>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</si>
  <si>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</si>
  <si>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</si>
  <si>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</si>
  <si>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</si>
  <si>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</si>
  <si>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</si>
  <si>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</si>
  <si>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</si>
  <si>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</si>
  <si>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</si>
  <si>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</si>
  <si>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</si>
  <si>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</si>
  <si>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</si>
  <si>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</si>
  <si>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</si>
  <si>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</si>
  <si>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</si>
  <si>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</si>
  <si>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</si>
  <si>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</si>
  <si>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</si>
  <si>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</si>
  <si>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</si>
  <si>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</si>
  <si>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</si>
  <si>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</si>
  <si>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</si>
  <si>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</si>
  <si>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</si>
  <si>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</si>
  <si>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</si>
  <si>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</si>
  <si>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</si>
  <si>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</si>
  <si>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</si>
  <si>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</si>
  <si>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</si>
  <si>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</si>
  <si>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</si>
  <si>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</si>
  <si>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</si>
  <si>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</si>
  <si>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</si>
  <si>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</si>
  <si>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</si>
  <si>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</si>
  <si>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</si>
  <si>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</si>
  <si>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TDK</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</si>
  <si>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</si>
  <si>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</si>
  <si>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</si>
  <si>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</si>
  <si>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</si>
  <si>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</si>
  <si>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</si>
  <si>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</si>
  <si>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</si>
  <si>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</si>
  <si>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</si>
  <si>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</si>
  <si>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</si>
  <si>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</si>
  <si>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</si>
  <si>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</si>
  <si>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</si>
  <si>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</si>
  <si>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</si>
  <si>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</si>
  <si>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</si>
  <si>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</si>
  <si>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</si>
  <si>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</si>
  <si>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</si>
  <si>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</si>
  <si>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</si>
  <si>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</si>
  <si>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</si>
  <si>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</si>
  <si>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</si>
  <si>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</si>
  <si>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</si>
  <si>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</si>
  <si>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TDK Corporation</t>
  </si>
  <si>
    <t>6762.T</t>
  </si>
  <si>
    <t>Murata Manufacturing Co., Ltd.</t>
  </si>
  <si>
    <t>6981.T</t>
  </si>
  <si>
    <t>Kyocera Corporation</t>
  </si>
  <si>
    <t>6971.T</t>
  </si>
  <si>
    <t>Taiyo Yuden Co., Ltd.</t>
  </si>
  <si>
    <t>6976.T</t>
  </si>
  <si>
    <t>Ibiden Co.,Ltd.</t>
  </si>
  <si>
    <t>4062.T</t>
  </si>
  <si>
    <t>Hirose Electric Co.,Ltd.</t>
  </si>
  <si>
    <t>6806.T</t>
  </si>
  <si>
    <t>Statistics</t>
  </si>
  <si>
    <t>25th Percentile</t>
  </si>
  <si>
    <t>Median (50th)</t>
  </si>
  <si>
    <t>75th Percentile</t>
  </si>
  <si>
    <t>Implied Valuation for TDK</t>
  </si>
  <si>
    <t>TDK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</si>
  <si>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</si>
  <si>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</si>
  <si>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</si>
  <si>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</si>
  <si>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</si>
  <si>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</si>
  <si>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</si>
  <si>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</si>
  <si>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</si>
  <si>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</si>
  <si>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</si>
  <si>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</si>
  <si>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</si>
  <si>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</si>
  <si>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</si>
  <si>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TDK</t>
  </si>
  <si>
    <t>日付</t>
  </si>
  <si>
    <t>セル</t>
  </si>
  <si>
    <t>変更内容</t>
  </si>
  <si>
    <t>理由</t>
  </si>
  <si>
    <t>元の値</t>
  </si>
  <si>
    <t>状態</t>
  </si>
  <si>
    <t>2026-09-06</t>
  </si>
  <si>
    <t>-</t>
  </si>
  <si>
    <t>Generated by pipeline on 2026-09-06 19:19, template rev 63983ab</t>
  </si>
  <si>
    <t>初期生成（手修正なし）</t>
  </si>
  <si>
    <t>generated</t>
  </si>
  <si>
    <t>DCF Model!C11</t>
  </si>
  <si>
    <t>After-tax Cost of Debt = 4.01% (実績ベース)</t>
  </si>
  <si>
    <t>実績Kd = 支払利息32,710 ÷ 平均有利子負債612,185(期首608,400/期末615,970、debt_beginning/debt_ending) = 税引前5.34% × (1−25.0%) = 4.01%。【マージナルコスト注記】これは既存借入の実績平均コストであり、新規調達の限界コストではない。テンプレ既定(税引前2.8%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</si>
  <si>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</si>
  <si>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</si>
  <si>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</si>
  <si>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1.512（採用値）</t>
  </si>
  <si>
    <t>実測β(raw) = 1.764 → Blume調整 0.67×raw + 0.33×1.00 = 1.512 → 採用 1.512。クランプ域 [0.3, 2.0] の内側。置換なし。回帰βは平均回帰するため Blume 調整を既定とする（2026-09-05 バッチで85件中57件が旧下限 0.60 に張り付き、両裾の歪みが実証された）。</t>
  </si>
  <si>
    <t>実測 1.764</t>
  </si>
  <si>
    <t>確定</t>
  </si>
  <si>
    <t>Pipeline Metadata (do not edit — read by scripts/validate_output.py)</t>
  </si>
  <si>
    <t>key</t>
  </si>
  <si>
    <t>value</t>
  </si>
  <si>
    <t>auto_log_entries</t>
  </si>
  <si>
    <t>2</t>
  </si>
  <si>
    <t>beta_adopted_c8</t>
  </si>
  <si>
    <t>1.5121</t>
  </si>
  <si>
    <t>beta_basis</t>
  </si>
  <si>
    <t>Blume: 0.67 x 1.764 + 0.33 x 1.00 = 1.512</t>
  </si>
  <si>
    <t>beta_blume_adjusted</t>
  </si>
  <si>
    <t>beta_clamped</t>
  </si>
  <si>
    <t>no</t>
  </si>
  <si>
    <t>beta_raw</t>
  </si>
  <si>
    <t>1.7644</t>
  </si>
  <si>
    <t>capex_pct_basis</t>
  </si>
  <si>
    <t>explicit_override</t>
  </si>
  <si>
    <t>capex_pct_c5</t>
  </si>
  <si>
    <t>0.0861</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</si>
  <si>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</si>
  <si>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</si>
  <si>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</si>
  <si>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</si>
  <si>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</si>
  <si>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</si>
  <si>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</si>
  <si>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</si>
  <si>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</si>
  <si>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</si>
  <si>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</si>
  <si>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</si>
  <si>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</si>
  <si>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</si>
  <si>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</si>
  <si>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</si>
  <si>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</si>
  <si>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</si>
  <si>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</si>
  <si>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</si>
  <si>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</si>
  <si>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476606.0</t>
  </si>
  <si>
    <t>core_net_income</t>
  </si>
  <si>
    <t>195663.0</t>
  </si>
  <si>
    <t>cost_of_debt_actual</t>
  </si>
  <si>
    <t>interest 32,710 (expense 32,710 + fees 0) / avg debt 612,185 (debt_beginning/debt_ending) = 0.053432 pre-tax -&gt; 0.040100 after-tax</t>
  </si>
  <si>
    <t>cost_of_debt_at_c11</t>
  </si>
  <si>
    <t>0.0401</t>
  </si>
  <si>
    <t>cost_of_debt_avg_debt</t>
  </si>
  <si>
    <t>612185.0</t>
  </si>
  <si>
    <t>cost_of_debt_basis</t>
  </si>
  <si>
    <t>actual</t>
  </si>
  <si>
    <t>cost_of_debt_interest</t>
  </si>
  <si>
    <t>32710.0</t>
  </si>
  <si>
    <t>cost_of_debt_pretax</t>
  </si>
  <si>
    <t>0.053431560721023875</t>
  </si>
  <si>
    <t>da_pct_basis</t>
  </si>
  <si>
    <t>da_pct_c18</t>
  </si>
  <si>
    <t>0.082</t>
  </si>
  <si>
    <t>da_pct_hist3yr</t>
  </si>
  <si>
    <t>0.08703</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</si>
  <si>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</si>
  <si>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</si>
  <si>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</si>
  <si>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</si>
  <si>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</si>
  <si>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</si>
  <si>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</si>
  <si>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</si>
  <si>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</si>
  <si>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19:19:02</t>
  </si>
  <si>
    <t>guidance_note</t>
  </si>
  <si>
    <t>TDnet 決算短信 via screener guidance table: FY2027 disclosed 2026-07-31 (net_income=225,000mn, operating_income=295,000mn, revenue=2,580,000mn)</t>
  </si>
  <si>
    <t>guidance_source</t>
  </si>
  <si>
    <t>tdnet_screener_db</t>
  </si>
  <si>
    <t>latest_operating_income</t>
  </si>
  <si>
    <t>272414.0</t>
  </si>
  <si>
    <t>ltm_revenue_c20</t>
  </si>
  <si>
    <t>2504820.0</t>
  </si>
  <si>
    <t>ltm_revenue_source</t>
  </si>
  <si>
    <t>latest FY (no LTM)</t>
  </si>
  <si>
    <t>market_data_source</t>
  </si>
  <si>
    <t>yfinance; from overrides: beta, current_price, shares_outstanding</t>
  </si>
  <si>
    <t>narrative_tokens_used</t>
  </si>
  <si>
    <t>net_debt_source</t>
  </si>
  <si>
    <t>EDINET net_debt</t>
  </si>
  <si>
    <t>reverse_dcf_sheet</t>
  </si>
  <si>
    <t>op0=272,414(FY2026) peak=272,414(FY2026) peak_opm=0.1088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</si>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</sst>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5" t="s">
        <v>0</v>
      </c>
      <c r="C1" s="44"/>
      <c r="D1" s="44"/>
      <c r="E1" s="44"/>
    </row>
    <row r="3" spans="2:5" ht="18" customHeight="1" x14ac:dyDescent="0.4">
      <c r="B3" s="43" t="s">
        <v>1</v>
      </c>
      <c r="C3" s="44"/>
      <c r="D3" s="4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2907.5</v>
      </c>
    </row>
    <row r="10" spans="2:5" ht="14" customHeight="1" x14ac:dyDescent="0.3">
      <c r="B10" s="4" t="s">
        <v>10</v>
      </c>
      <c r="C10" s="5">
        <f>IF(ISNUMBER(C17),ROUND(C17,0),"N/A")</f>
        <v>3314</v>
      </c>
    </row>
    <row r="11" spans="2:5" ht="14" customHeight="1" x14ac:dyDescent="0.3">
      <c r="B11" s="4" t="s">
        <v>11</v>
      </c>
      <c r="C11" s="6" t="str">
        <f>IF(NOT(ISNUMBER(C12)),"N/A",IF(C12&gt;0.15,"BUY",IF(C12&gt;0.05,"HOLD","SELL")))</f>
        <v>HOLD</v>
      </c>
    </row>
    <row r="12" spans="2:5" ht="14" customHeight="1" x14ac:dyDescent="0.3">
      <c r="B12" s="4" t="s">
        <v>12</v>
      </c>
      <c r="C12" s="7">
        <f>IF(ISNUMBER(C10),(C10-C9)/C9,"N/A")</f>
        <v>0.13981083404987102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835</v>
      </c>
      <c r="D16" s="7">
        <f>IF(ISNUMBER(C16),(C16-C9)/C9,"N/A")</f>
        <v>-0.71281169389509891</v>
      </c>
    </row>
    <row r="17" spans="2:5" ht="13.5" customHeight="1" x14ac:dyDescent="0.25">
      <c r="B17" t="s">
        <v>18</v>
      </c>
      <c r="C17" s="11">
        <f>IF('DCF Model'!C62&lt;'DCF Model'!C16,"INVALID (EV &lt; net debt)",'DCF Model'!C64)</f>
        <v>3314</v>
      </c>
      <c r="D17" s="7">
        <f>IF(ISNUMBER(C17),(C17-C9)/C9,"N/A")</f>
        <v>0.13981083404987102</v>
      </c>
    </row>
    <row r="18" spans="2:5" ht="13.5" customHeight="1" x14ac:dyDescent="0.25">
      <c r="B18" t="s">
        <v>19</v>
      </c>
      <c r="C18" s="11">
        <f>'Comps Analysis'!C27</f>
        <v>4662</v>
      </c>
      <c r="D18" s="7">
        <f>IF(ISNUMBER(C18),(C18-C9)/C9,"N/A")</f>
        <v>0.6034393809114359</v>
      </c>
    </row>
    <row r="19" spans="2:5" ht="13.5" customHeight="1" x14ac:dyDescent="0.25">
      <c r="B19" t="s">
        <v>20</v>
      </c>
      <c r="C19" s="11">
        <f>'Comps Analysis'!C28</f>
        <v>5768</v>
      </c>
      <c r="D19" s="7">
        <f>IF(ISNUMBER(C19),(C19-C9)/C9,"N/A")</f>
        <v>0.98383490971625109</v>
      </c>
    </row>
    <row r="20" spans="2:5" ht="14" customHeight="1" x14ac:dyDescent="0.3">
      <c r="B20" s="45" t="s">
        <v>21</v>
      </c>
      <c r="C20" s="44"/>
      <c r="D20" s="44"/>
      <c r="E20" s="44"/>
    </row>
    <row r="21" spans="2:5" ht="14" customHeight="1" x14ac:dyDescent="0.3">
      <c r="B21" s="4" t="s">
        <v>22</v>
      </c>
      <c r="C21" s="6" t="str">
        <f>IF(COUNT(C16:C17)=0,"N/A",MIN(C16:C17)&amp;" - "&amp;MAX(C16:C17))</f>
        <v>835 - 3314</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2180817</v>
      </c>
      <c r="D6" s="5">
        <v>2103876</v>
      </c>
      <c r="E6" s="5">
        <v>2204806</v>
      </c>
      <c r="F6" s="5">
        <v>2504820</v>
      </c>
    </row>
    <row r="7" spans="2:6" ht="14" customHeight="1" x14ac:dyDescent="0.3">
      <c r="B7" s="4" t="s">
        <v>38</v>
      </c>
      <c r="C7" s="5">
        <v>1596295</v>
      </c>
      <c r="D7" s="5">
        <v>1500858</v>
      </c>
      <c r="E7" s="5">
        <v>1516764</v>
      </c>
      <c r="F7" s="5">
        <v>1721416</v>
      </c>
    </row>
    <row r="8" spans="2:6" ht="14" customHeight="1" x14ac:dyDescent="0.3">
      <c r="B8" s="4" t="s">
        <v>39</v>
      </c>
      <c r="C8" s="5">
        <f>C6-C7</f>
        <v>584522</v>
      </c>
      <c r="D8" s="5">
        <f>D6-D7</f>
        <v>603018</v>
      </c>
      <c r="E8" s="5">
        <f>E6-E7</f>
        <v>688042</v>
      </c>
      <c r="F8" s="5">
        <f>F6-F7</f>
        <v>783404</v>
      </c>
    </row>
    <row r="9" spans="2:6" ht="13.5" customHeight="1" x14ac:dyDescent="0.25">
      <c r="B9" t="s">
        <v>40</v>
      </c>
      <c r="C9" s="7">
        <f>C8/C6</f>
        <v>0.26802890843202343</v>
      </c>
      <c r="D9" s="7">
        <f>D8/D6</f>
        <v>0.2866224055029859</v>
      </c>
      <c r="E9" s="7">
        <f>E8/E6</f>
        <v>0.31206464423627295</v>
      </c>
      <c r="F9" s="7">
        <f>F8/F6</f>
        <v>0.31275860141646905</v>
      </c>
    </row>
    <row r="10" spans="2:6" ht="14" customHeight="1" x14ac:dyDescent="0.3">
      <c r="B10" s="4" t="s">
        <v>41</v>
      </c>
      <c r="C10" s="5">
        <v>415695</v>
      </c>
      <c r="D10" s="5">
        <v>430125</v>
      </c>
      <c r="E10" s="5">
        <v>463850</v>
      </c>
      <c r="F10" s="5">
        <v>510990</v>
      </c>
    </row>
    <row r="11" spans="2:6" ht="14" customHeight="1" x14ac:dyDescent="0.3">
      <c r="B11" s="4" t="s">
        <v>42</v>
      </c>
      <c r="C11" s="5">
        <v>168827</v>
      </c>
      <c r="D11" s="5">
        <v>172893</v>
      </c>
      <c r="E11" s="5">
        <v>224192</v>
      </c>
      <c r="F11" s="5">
        <v>272414</v>
      </c>
    </row>
    <row r="12" spans="2:6" ht="14" customHeight="1" x14ac:dyDescent="0.3">
      <c r="B12" s="4" t="s">
        <v>43</v>
      </c>
      <c r="C12" s="5">
        <v>114187</v>
      </c>
      <c r="D12" s="5">
        <v>124687</v>
      </c>
      <c r="E12" s="5">
        <v>167161</v>
      </c>
      <c r="F12" s="5">
        <v>195663</v>
      </c>
    </row>
    <row r="13" spans="2:6" ht="13.5" customHeight="1" x14ac:dyDescent="0.25">
      <c r="B13" t="s">
        <v>44</v>
      </c>
      <c r="C13" s="7">
        <f>C11/C6</f>
        <v>7.7414565275307379E-2</v>
      </c>
      <c r="D13" s="7">
        <f>D11/D6</f>
        <v>8.2178322296561204E-2</v>
      </c>
      <c r="E13" s="7">
        <f>E11/E6</f>
        <v>0.10168332270503617</v>
      </c>
      <c r="F13" s="7">
        <f>F11/F6</f>
        <v>0.10875591858896048</v>
      </c>
    </row>
    <row r="14" spans="2:6" ht="13.5" customHeight="1" x14ac:dyDescent="0.25">
      <c r="B14" t="s">
        <v>45</v>
      </c>
      <c r="C14" s="7">
        <f>C12/C6</f>
        <v>5.2359734906688639E-2</v>
      </c>
      <c r="D14" s="7">
        <f>D12/D6</f>
        <v>5.9265374955558218E-2</v>
      </c>
      <c r="E14" s="7">
        <f>E12/E6</f>
        <v>7.5816647813911967E-2</v>
      </c>
      <c r="F14" s="7">
        <f>F12/F6</f>
        <v>7.8114595060722922E-2</v>
      </c>
    </row>
    <row r="15" spans="2:6" ht="13.5" customHeight="1" x14ac:dyDescent="0.25">
      <c r="B15" t="s">
        <v>46</v>
      </c>
      <c r="C15" t="s">
        <v>47</v>
      </c>
      <c r="D15" s="7">
        <f>(D6-C6)/C6</f>
        <v>-3.5280814483746231E-2</v>
      </c>
      <c r="E15" s="7">
        <f>(E6-D6)/D6</f>
        <v>4.7973359646671189E-2</v>
      </c>
      <c r="F15" s="7">
        <f>(F6-E6)/E6</f>
        <v>0.13607274290799282</v>
      </c>
    </row>
    <row r="16" spans="2:6" ht="13.5" customHeight="1" x14ac:dyDescent="0.25">
      <c r="B16" t="s">
        <v>48</v>
      </c>
      <c r="C16" t="s">
        <v>47</v>
      </c>
      <c r="D16" s="7">
        <f>(D11-C11)/C11</f>
        <v>2.40838254544593E-2</v>
      </c>
      <c r="E16" s="7">
        <f>(E11-D11)/D11</f>
        <v>0.29670952554470104</v>
      </c>
      <c r="F16" s="7">
        <f>(F11-E11)/E11</f>
        <v>0.21509242078218671</v>
      </c>
    </row>
    <row r="18" spans="2:6" ht="14" customHeight="1" x14ac:dyDescent="0.3">
      <c r="B18" s="3" t="s">
        <v>49</v>
      </c>
    </row>
    <row r="19" spans="2:6" ht="14" customHeight="1" x14ac:dyDescent="0.3">
      <c r="B19" s="4" t="s">
        <v>50</v>
      </c>
      <c r="C19" s="5">
        <v>262772</v>
      </c>
      <c r="D19" s="5">
        <v>447007</v>
      </c>
      <c r="E19" s="5">
        <v>445839</v>
      </c>
      <c r="F19" s="5">
        <v>507672</v>
      </c>
    </row>
    <row r="20" spans="2:6" ht="14" customHeight="1" x14ac:dyDescent="0.3">
      <c r="B20" s="4" t="s">
        <v>51</v>
      </c>
      <c r="C20" s="5"/>
      <c r="D20" s="5"/>
      <c r="E20" s="5"/>
      <c r="F20" s="5"/>
    </row>
    <row r="21" spans="2:6" ht="14" customHeight="1" x14ac:dyDescent="0.3">
      <c r="B21" s="4" t="s">
        <v>52</v>
      </c>
    </row>
    <row r="22" spans="2:6" x14ac:dyDescent="0.2">
      <c r="B22" t="s">
        <v>53</v>
      </c>
    </row>
    <row r="23" spans="2:6" x14ac:dyDescent="0.2">
      <c r="B23" t="s">
        <v>54</v>
      </c>
    </row>
    <row r="25" spans="2:6" ht="14" customHeight="1" x14ac:dyDescent="0.3">
      <c r="B25" s="3" t="s">
        <v>55</v>
      </c>
    </row>
    <row r="26" spans="2:6" ht="14" customHeight="1" x14ac:dyDescent="0.3">
      <c r="B26" s="4" t="s">
        <v>56</v>
      </c>
      <c r="C26" s="5">
        <v>506185</v>
      </c>
      <c r="D26" s="5">
        <v>649998</v>
      </c>
      <c r="E26" s="5">
        <v>697307</v>
      </c>
      <c r="F26" s="5">
        <v>842775</v>
      </c>
    </row>
    <row r="27" spans="2:6" ht="14" customHeight="1" x14ac:dyDescent="0.3">
      <c r="B27" s="4" t="s">
        <v>57</v>
      </c>
      <c r="C27" s="5">
        <v>448656</v>
      </c>
      <c r="D27" s="5">
        <v>613166</v>
      </c>
      <c r="E27" s="5">
        <v>533146</v>
      </c>
      <c r="F27" s="5">
        <v>543631</v>
      </c>
    </row>
    <row r="28" spans="2:6" ht="14" customHeight="1" x14ac:dyDescent="0.3">
      <c r="B28" s="4" t="s">
        <v>58</v>
      </c>
      <c r="C28" s="5">
        <f>C27-C26</f>
        <v>-57529</v>
      </c>
      <c r="D28" s="5">
        <f>D27-D26</f>
        <v>-36832</v>
      </c>
      <c r="E28" s="5">
        <f>E27-E26</f>
        <v>-164161</v>
      </c>
      <c r="F28" s="5">
        <f>F27-F26</f>
        <v>-299144</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8.6099999999999996E-2</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1.5121</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4.0099999999999997E-2</v>
      </c>
    </row>
    <row r="12" spans="2:7" ht="14" customHeight="1" x14ac:dyDescent="0.3">
      <c r="B12" s="4" t="s">
        <v>69</v>
      </c>
      <c r="C12" s="13">
        <v>0</v>
      </c>
    </row>
    <row r="13" spans="2:7" ht="14" customHeight="1" x14ac:dyDescent="0.3">
      <c r="B13" s="4" t="s">
        <v>70</v>
      </c>
      <c r="C13" s="7">
        <v>0.01</v>
      </c>
    </row>
    <row r="14" spans="2:7" ht="14" customHeight="1" x14ac:dyDescent="0.3">
      <c r="B14" s="4" t="s">
        <v>71</v>
      </c>
      <c r="C14" s="14">
        <v>18.100000000000001</v>
      </c>
    </row>
    <row r="15" spans="2:7" ht="14" customHeight="1" x14ac:dyDescent="0.3">
      <c r="B15" s="4" t="s">
        <v>72</v>
      </c>
      <c r="C15" s="15">
        <v>1898154125</v>
      </c>
    </row>
    <row r="16" spans="2:7" ht="14" customHeight="1" x14ac:dyDescent="0.3">
      <c r="B16" s="4" t="s">
        <v>73</v>
      </c>
      <c r="C16" s="5">
        <v>-226805</v>
      </c>
    </row>
    <row r="17" spans="2:7" ht="14" customHeight="1" x14ac:dyDescent="0.3">
      <c r="B17" s="4" t="s">
        <v>74</v>
      </c>
      <c r="C17" s="5">
        <v>2504820</v>
      </c>
    </row>
    <row r="18" spans="2:7" ht="14" customHeight="1" x14ac:dyDescent="0.3">
      <c r="B18" s="4" t="s">
        <v>75</v>
      </c>
      <c r="C18" s="7">
        <v>8.2000000000000003E-2</v>
      </c>
    </row>
    <row r="19" spans="2:7" ht="14" customHeight="1" x14ac:dyDescent="0.3">
      <c r="B19" s="4" t="s">
        <v>76</v>
      </c>
      <c r="C19" s="12">
        <v>1</v>
      </c>
    </row>
    <row r="20" spans="2:7" ht="14" customHeight="1" x14ac:dyDescent="0.3">
      <c r="B20" s="4" t="s">
        <v>77</v>
      </c>
      <c r="C20" s="5">
        <v>2504820</v>
      </c>
    </row>
    <row r="22" spans="2:7" ht="14" customHeight="1" x14ac:dyDescent="0.3">
      <c r="B22" s="8" t="s">
        <v>78</v>
      </c>
      <c r="C22" s="9"/>
      <c r="D22" s="9"/>
      <c r="E22" s="9"/>
      <c r="F22" s="9"/>
      <c r="G22" s="9"/>
    </row>
    <row r="23" spans="2:7" ht="14" customHeight="1" x14ac:dyDescent="0.3">
      <c r="B23" s="4" t="s">
        <v>79</v>
      </c>
      <c r="C23" s="16">
        <f>C7+C8*C9+C10</f>
        <v>0.13798650000000001</v>
      </c>
    </row>
    <row r="24" spans="2:7" ht="14" customHeight="1" x14ac:dyDescent="0.3">
      <c r="B24" s="4" t="s">
        <v>80</v>
      </c>
      <c r="C24" s="16">
        <f>1/(1+C12)</f>
        <v>1</v>
      </c>
    </row>
    <row r="25" spans="2:7" ht="14" customHeight="1" x14ac:dyDescent="0.3">
      <c r="B25" s="4" t="s">
        <v>81</v>
      </c>
      <c r="C25" s="16">
        <f>C12/(1+C12)</f>
        <v>0</v>
      </c>
    </row>
    <row r="26" spans="2:7" ht="14" customHeight="1" x14ac:dyDescent="0.3">
      <c r="B26" s="4" t="s">
        <v>82</v>
      </c>
      <c r="C26" s="16">
        <f>C23*C24+C11*C25</f>
        <v>0.13798650000000001</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0.06</v>
      </c>
      <c r="D30" s="18">
        <f>CHOOSE($D$27,D69,D70,D71,D72,D73)</f>
        <v>0.05</v>
      </c>
      <c r="E30" s="18">
        <f>CHOOSE($D$27,E69,E70,E71,E72,E73)</f>
        <v>0.04</v>
      </c>
      <c r="F30" s="18">
        <f>CHOOSE($D$27,F69,F70,F71,F72,F73)</f>
        <v>3.5000000000000003E-2</v>
      </c>
      <c r="G30" s="18">
        <f>CHOOSE($D$27,G69,G70,G71,G72,G73)</f>
        <v>0.03</v>
      </c>
    </row>
    <row r="31" spans="2:7" ht="14" customHeight="1" x14ac:dyDescent="0.3">
      <c r="B31" s="4" t="s">
        <v>91</v>
      </c>
      <c r="C31" s="18">
        <f>CHOOSE($D$27,C76,C77,C78,C79,C80)</f>
        <v>0.68700000000000006</v>
      </c>
      <c r="D31" s="18">
        <f>CHOOSE($D$27,D76,D77,D78,D79,D80)</f>
        <v>0.68700000000000006</v>
      </c>
      <c r="E31" s="18">
        <f>CHOOSE($D$27,E76,E77,E78,E79,E80)</f>
        <v>0.68700000000000006</v>
      </c>
      <c r="F31" s="18">
        <f>CHOOSE($D$27,F76,F77,F78,F79,F80)</f>
        <v>0.68700000000000006</v>
      </c>
      <c r="G31" s="18">
        <f>CHOOSE($D$27,G76,G77,G78,G79,G80)</f>
        <v>0.68700000000000006</v>
      </c>
    </row>
    <row r="32" spans="2:7" ht="14" customHeight="1" x14ac:dyDescent="0.3">
      <c r="B32" s="4" t="s">
        <v>92</v>
      </c>
      <c r="C32" s="18">
        <f>CHOOSE($D$27,C83,C84,C85,C86,C87)</f>
        <v>0.20424400000000001</v>
      </c>
      <c r="D32" s="18">
        <f>CHOOSE($D$27,D83,D84,D85,D86,D87)</f>
        <v>0.20424400000000001</v>
      </c>
      <c r="E32" s="18">
        <f>CHOOSE($D$27,E83,E84,E85,E86,E87)</f>
        <v>0.20424400000000001</v>
      </c>
      <c r="F32" s="18">
        <f>CHOOSE($D$27,F83,F84,F85,F86,F87)</f>
        <v>0.20424400000000001</v>
      </c>
      <c r="G32" s="18">
        <f>CHOOSE($D$27,G83,G84,G85,G86,G87)</f>
        <v>0.20424400000000001</v>
      </c>
    </row>
    <row r="33" spans="2:7" ht="14" customHeight="1" x14ac:dyDescent="0.3">
      <c r="B33" s="4" t="s">
        <v>37</v>
      </c>
      <c r="C33" s="5">
        <f>C17*(1+C30)</f>
        <v>2655109.2000000002</v>
      </c>
      <c r="D33" s="5">
        <f>C33*(1+D30)</f>
        <v>2787864.66</v>
      </c>
      <c r="E33" s="5">
        <f>D33*(1+E30)</f>
        <v>2899379.2464000001</v>
      </c>
      <c r="F33" s="5">
        <f>E33*(1+F30)</f>
        <v>3000857.5200239997</v>
      </c>
      <c r="G33" s="5">
        <f>F33*(1+G30)</f>
        <v>3090883.2456247197</v>
      </c>
    </row>
    <row r="34" spans="2:7" ht="14" customHeight="1" x14ac:dyDescent="0.3">
      <c r="B34" s="4" t="s">
        <v>38</v>
      </c>
      <c r="C34" s="5">
        <f>C33*C31</f>
        <v>1824060.0204000003</v>
      </c>
      <c r="D34" s="5">
        <f>D33*D31</f>
        <v>1915263.0214200004</v>
      </c>
      <c r="E34" s="5">
        <f>E33*E31</f>
        <v>1991873.5422768001</v>
      </c>
      <c r="F34" s="5">
        <f>F33*F31</f>
        <v>2061589.116256488</v>
      </c>
      <c r="G34" s="5">
        <f>G33*G31</f>
        <v>2123436.7897441825</v>
      </c>
    </row>
    <row r="35" spans="2:7" ht="14" customHeight="1" x14ac:dyDescent="0.3">
      <c r="B35" s="4" t="s">
        <v>39</v>
      </c>
      <c r="C35" s="19">
        <f>C33-C34</f>
        <v>831049.17959999992</v>
      </c>
      <c r="D35" s="19">
        <f>D33-D34</f>
        <v>872601.6385799998</v>
      </c>
      <c r="E35" s="19">
        <f>E33-E34</f>
        <v>907505.70412319992</v>
      </c>
      <c r="F35" s="19">
        <f>F33-F34</f>
        <v>939268.40376751171</v>
      </c>
      <c r="G35" s="19">
        <f>G33-G34</f>
        <v>967446.45588053716</v>
      </c>
    </row>
    <row r="36" spans="2:7" ht="14" customHeight="1" x14ac:dyDescent="0.3">
      <c r="B36" s="4" t="s">
        <v>40</v>
      </c>
      <c r="C36" s="7">
        <f>C35/C33</f>
        <v>0.31299999999999994</v>
      </c>
      <c r="D36" s="7">
        <f>D35/D33</f>
        <v>0.31299999999999989</v>
      </c>
      <c r="E36" s="7">
        <f>E35/E33</f>
        <v>0.31299999999999994</v>
      </c>
      <c r="F36" s="7">
        <f>F35/F33</f>
        <v>0.31299999999999994</v>
      </c>
      <c r="G36" s="7">
        <f>G35/G33</f>
        <v>0.31299999999999994</v>
      </c>
    </row>
    <row r="37" spans="2:7" ht="14" customHeight="1" x14ac:dyDescent="0.3">
      <c r="B37" s="4" t="s">
        <v>93</v>
      </c>
      <c r="C37" s="5">
        <f>C33*C32</f>
        <v>542290.12344480003</v>
      </c>
      <c r="D37" s="5">
        <f>D33*D32</f>
        <v>569404.62961704005</v>
      </c>
      <c r="E37" s="5">
        <f>E33*E32</f>
        <v>592180.8148017216</v>
      </c>
      <c r="F37" s="5">
        <f>F33*F32</f>
        <v>612907.14331978187</v>
      </c>
      <c r="G37" s="5">
        <f>G33*G32</f>
        <v>631294.35761937522</v>
      </c>
    </row>
    <row r="38" spans="2:7" ht="14" customHeight="1" x14ac:dyDescent="0.3">
      <c r="B38" s="4" t="s">
        <v>94</v>
      </c>
      <c r="C38" s="7">
        <f>(C35-C37)/C33</f>
        <v>0.10875599999999995</v>
      </c>
      <c r="D38" s="7">
        <f>(D35-D37)/D33</f>
        <v>0.10875599999999991</v>
      </c>
      <c r="E38" s="7">
        <f>(E35-E37)/E33</f>
        <v>0.10875599999999996</v>
      </c>
      <c r="F38" s="7">
        <f>(F35-F37)/F33</f>
        <v>0.10875599999999991</v>
      </c>
      <c r="G38" s="7">
        <f>(G35-G37)/G33</f>
        <v>0.10875599999999998</v>
      </c>
    </row>
    <row r="39" spans="2:7" ht="14" customHeight="1" x14ac:dyDescent="0.3">
      <c r="B39" s="4" t="s">
        <v>95</v>
      </c>
      <c r="C39" s="19">
        <f>C35-C37</f>
        <v>288759.05615519988</v>
      </c>
      <c r="D39" s="19">
        <f>D35-D37</f>
        <v>303197.00896295975</v>
      </c>
      <c r="E39" s="19">
        <f>E35-E37</f>
        <v>315324.88932147832</v>
      </c>
      <c r="F39" s="19">
        <f>F35-F37</f>
        <v>326361.26044772984</v>
      </c>
      <c r="G39" s="19">
        <f>G35-G37</f>
        <v>336152.09826116194</v>
      </c>
    </row>
    <row r="40" spans="2:7" ht="14" customHeight="1" x14ac:dyDescent="0.3">
      <c r="B40" s="4" t="s">
        <v>96</v>
      </c>
      <c r="C40" s="5">
        <f>MAX(0,C39*C6)</f>
        <v>72189.764038799971</v>
      </c>
      <c r="D40" s="5">
        <f>MAX(0,D39*C6)</f>
        <v>75799.252240739937</v>
      </c>
      <c r="E40" s="5">
        <f>MAX(0,E39*C6)</f>
        <v>78831.222330369579</v>
      </c>
      <c r="F40" s="5">
        <f>MAX(0,F39*C6)</f>
        <v>81590.315111932461</v>
      </c>
      <c r="G40" s="5">
        <f>MAX(0,G39*C6)</f>
        <v>84038.024565290485</v>
      </c>
    </row>
    <row r="41" spans="2:7" ht="14" customHeight="1" x14ac:dyDescent="0.3">
      <c r="B41" s="4" t="s">
        <v>97</v>
      </c>
      <c r="C41" s="19">
        <f>C39-C40</f>
        <v>216569.29211639991</v>
      </c>
      <c r="D41" s="19">
        <f>D39-D40</f>
        <v>227397.75672221981</v>
      </c>
      <c r="E41" s="19">
        <f>E39-E40</f>
        <v>236493.66699110874</v>
      </c>
      <c r="F41" s="19">
        <f>F39-F40</f>
        <v>244770.94533579738</v>
      </c>
      <c r="G41" s="19">
        <f>G39-G40</f>
        <v>252114.07369587146</v>
      </c>
    </row>
    <row r="42" spans="2:7" ht="14" customHeight="1" x14ac:dyDescent="0.3">
      <c r="B42" s="4" t="s">
        <v>98</v>
      </c>
      <c r="C42" s="5">
        <f>C33*C18</f>
        <v>217718.95440000002</v>
      </c>
      <c r="D42" s="5">
        <f>D33*C18</f>
        <v>228604.90212000001</v>
      </c>
      <c r="E42" s="5">
        <f>E33*C18</f>
        <v>237749.09820480002</v>
      </c>
      <c r="F42" s="5">
        <f>F33*C18</f>
        <v>246070.31664196798</v>
      </c>
      <c r="G42" s="5">
        <f>G33*C18</f>
        <v>253452.42614122701</v>
      </c>
    </row>
    <row r="43" spans="2:7" ht="14" customHeight="1" x14ac:dyDescent="0.3">
      <c r="B43" s="4" t="s">
        <v>99</v>
      </c>
      <c r="C43" s="5">
        <v>300000</v>
      </c>
      <c r="D43" s="5">
        <v>295000</v>
      </c>
      <c r="E43" s="5">
        <v>285000</v>
      </c>
      <c r="F43" s="5">
        <v>275000</v>
      </c>
      <c r="G43" s="5">
        <v>266000</v>
      </c>
    </row>
    <row r="44" spans="2:7" ht="14" customHeight="1" x14ac:dyDescent="0.3">
      <c r="B44" s="4" t="s">
        <v>100</v>
      </c>
      <c r="C44" s="5">
        <f>'NWC Schedule'!D19</f>
        <v>83120.45222246577</v>
      </c>
      <c r="D44" s="5">
        <f>'NWC Schedule'!E19</f>
        <v>37120.972611123347</v>
      </c>
      <c r="E44" s="5">
        <f>'NWC Schedule'!F19</f>
        <v>31181.616993343574</v>
      </c>
      <c r="F44" s="5">
        <f>'NWC Schedule'!G19</f>
        <v>28375.271463942481</v>
      </c>
      <c r="G44" s="5">
        <f>'NWC Schedule'!H19</f>
        <v>25172.919398726197</v>
      </c>
    </row>
    <row r="45" spans="2:7" ht="14" customHeight="1" x14ac:dyDescent="0.3">
      <c r="B45" s="4" t="s">
        <v>101</v>
      </c>
      <c r="C45" s="20">
        <f>C41+C42-C43-C44</f>
        <v>51167.79429393413</v>
      </c>
      <c r="D45" s="20">
        <f>D41+D42-D43-D44</f>
        <v>123881.68623109651</v>
      </c>
      <c r="E45" s="20">
        <f>E41+E42-E43-E44</f>
        <v>158061.14820256515</v>
      </c>
      <c r="F45" s="20">
        <f>F41+F42-F43-F44</f>
        <v>187465.99051382288</v>
      </c>
      <c r="G45" s="20">
        <f>G41+G42-G43-G44</f>
        <v>214393.58043837227</v>
      </c>
    </row>
    <row r="46" spans="2:7" ht="14" customHeight="1" x14ac:dyDescent="0.3">
      <c r="B46" s="4" t="s">
        <v>102</v>
      </c>
      <c r="C46" s="21">
        <f>1/(1+C26)^(C19+0)</f>
        <v>0.87874504662401531</v>
      </c>
      <c r="D46" s="21">
        <f>1/(1+C26)^(C19+1)</f>
        <v>0.77219285696624285</v>
      </c>
      <c r="E46" s="21">
        <f>1/(1+C26)^(C19+2)</f>
        <v>0.67856064809753258</v>
      </c>
      <c r="F46" s="21">
        <f>1/(1+C26)^(C19+3)</f>
        <v>0.59628180834968836</v>
      </c>
      <c r="G46" s="21">
        <f>1/(1+C26)^(C19+4)</f>
        <v>0.52397968547929907</v>
      </c>
    </row>
    <row r="47" spans="2:7" ht="14" customHeight="1" x14ac:dyDescent="0.3">
      <c r="B47" s="4" t="s">
        <v>103</v>
      </c>
      <c r="C47" s="19">
        <f>C45*C46</f>
        <v>44963.445782471172</v>
      </c>
      <c r="D47" s="19">
        <f>D45*D46</f>
        <v>95660.553216586079</v>
      </c>
      <c r="E47" s="19">
        <f>E45*E46</f>
        <v>107254.07516337275</v>
      </c>
      <c r="F47" s="19">
        <f>F45*F46</f>
        <v>111782.55982764783</v>
      </c>
      <c r="G47" s="19">
        <f>G45*G46</f>
        <v>112337.88084687911</v>
      </c>
    </row>
    <row r="49" spans="2:7" ht="14" customHeight="1" x14ac:dyDescent="0.3">
      <c r="B49" s="22" t="s">
        <v>104</v>
      </c>
      <c r="C49" s="23"/>
      <c r="D49" s="23"/>
      <c r="E49" s="23"/>
      <c r="F49" s="23"/>
      <c r="G49" s="23"/>
    </row>
    <row r="50" spans="2:7" ht="14" customHeight="1" x14ac:dyDescent="0.3">
      <c r="B50" s="4" t="s">
        <v>105</v>
      </c>
      <c r="C50" s="5">
        <f>SUM(C47:G47)</f>
        <v>471998.51483695692</v>
      </c>
    </row>
    <row r="51" spans="2:7" ht="14" customHeight="1" x14ac:dyDescent="0.3">
      <c r="B51" s="4" t="s">
        <v>106</v>
      </c>
      <c r="C51" s="5">
        <f>G45*(1+C13)/(C26-C13)</f>
        <v>1691877.7858817608</v>
      </c>
    </row>
    <row r="52" spans="2:7" ht="14" customHeight="1" x14ac:dyDescent="0.3">
      <c r="B52" s="4" t="s">
        <v>107</v>
      </c>
      <c r="C52" s="5">
        <f>C51*G46</f>
        <v>886509.59011573787</v>
      </c>
    </row>
    <row r="53" spans="2:7" ht="14" customHeight="1" x14ac:dyDescent="0.3">
      <c r="B53" s="4" t="s">
        <v>108</v>
      </c>
      <c r="C53" s="5">
        <f>C50+C52</f>
        <v>1358508.1049526948</v>
      </c>
    </row>
    <row r="54" spans="2:7" ht="14" customHeight="1" x14ac:dyDescent="0.3">
      <c r="B54" s="4" t="s">
        <v>109</v>
      </c>
      <c r="C54" s="5">
        <f>C53-C16</f>
        <v>1585313.1049526948</v>
      </c>
    </row>
    <row r="55" spans="2:7" ht="14" customHeight="1" x14ac:dyDescent="0.3">
      <c r="B55" s="4" t="s">
        <v>110</v>
      </c>
      <c r="C55" s="24">
        <f>ROUND(C54*1000000/C15,0)</f>
        <v>835</v>
      </c>
    </row>
    <row r="57" spans="2:7" ht="14" customHeight="1" x14ac:dyDescent="0.3">
      <c r="B57" s="22" t="s">
        <v>111</v>
      </c>
      <c r="C57" s="23"/>
      <c r="D57" s="23"/>
      <c r="E57" s="23"/>
      <c r="F57" s="23"/>
      <c r="G57" s="23"/>
    </row>
    <row r="58" spans="2:7" ht="14" customHeight="1" x14ac:dyDescent="0.3">
      <c r="B58" s="4" t="s">
        <v>105</v>
      </c>
      <c r="C58" s="5">
        <f>C50</f>
        <v>471998.51483695692</v>
      </c>
    </row>
    <row r="59" spans="2:7" ht="14" customHeight="1" x14ac:dyDescent="0.3">
      <c r="B59" s="4" t="s">
        <v>112</v>
      </c>
      <c r="C59" s="5">
        <f>G39+G42</f>
        <v>589604.52440238895</v>
      </c>
    </row>
    <row r="60" spans="2:7" ht="14" customHeight="1" x14ac:dyDescent="0.3">
      <c r="B60" s="4" t="s">
        <v>113</v>
      </c>
      <c r="C60" s="5">
        <f>C59*C14</f>
        <v>10671841.891683241</v>
      </c>
    </row>
    <row r="61" spans="2:7" ht="14" customHeight="1" x14ac:dyDescent="0.3">
      <c r="B61" s="4" t="s">
        <v>107</v>
      </c>
      <c r="C61" s="5">
        <f>C60*G46</f>
        <v>5591828.3578889929</v>
      </c>
    </row>
    <row r="62" spans="2:7" ht="14" customHeight="1" x14ac:dyDescent="0.3">
      <c r="B62" s="4" t="s">
        <v>108</v>
      </c>
      <c r="C62" s="5">
        <f>C58+C61</f>
        <v>6063826.8727259496</v>
      </c>
    </row>
    <row r="63" spans="2:7" ht="14" customHeight="1" x14ac:dyDescent="0.3">
      <c r="B63" s="4" t="s">
        <v>109</v>
      </c>
      <c r="C63" s="5">
        <f>C62-C16</f>
        <v>6290631.8727259496</v>
      </c>
    </row>
    <row r="64" spans="2:7" ht="14" customHeight="1" x14ac:dyDescent="0.3">
      <c r="B64" s="4" t="s">
        <v>114</v>
      </c>
      <c r="C64" s="24">
        <f>ROUND(C63*1000000/C15,0)</f>
        <v>3314</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0.06</v>
      </c>
      <c r="D69" s="26">
        <v>0.05</v>
      </c>
      <c r="E69" s="26">
        <v>0.04</v>
      </c>
      <c r="F69" s="26">
        <v>3.5000000000000003E-2</v>
      </c>
      <c r="G69" s="26">
        <v>0.03</v>
      </c>
    </row>
    <row r="70" spans="2:7" ht="14" customHeight="1" x14ac:dyDescent="0.3">
      <c r="B70" s="4" t="s">
        <v>121</v>
      </c>
      <c r="C70" s="26">
        <v>0.09</v>
      </c>
      <c r="D70" s="26">
        <v>7.0000000000000007E-2</v>
      </c>
      <c r="E70" s="26">
        <v>5.5E-2</v>
      </c>
      <c r="F70" s="26">
        <v>4.4999999999999998E-2</v>
      </c>
      <c r="G70" s="26">
        <v>0.04</v>
      </c>
    </row>
    <row r="71" spans="2:7" ht="14" customHeight="1" x14ac:dyDescent="0.3">
      <c r="B71" s="4" t="s">
        <v>122</v>
      </c>
      <c r="C71" s="26">
        <v>0.06</v>
      </c>
      <c r="D71" s="26">
        <v>0.05</v>
      </c>
      <c r="E71" s="26">
        <v>0.04</v>
      </c>
      <c r="F71" s="26">
        <v>3.5000000000000003E-2</v>
      </c>
      <c r="G71" s="26">
        <v>0.03</v>
      </c>
    </row>
    <row r="72" spans="2:7" ht="14" customHeight="1" x14ac:dyDescent="0.3">
      <c r="B72" s="4" t="s">
        <v>123</v>
      </c>
      <c r="C72" s="26">
        <v>0.01</v>
      </c>
      <c r="D72" s="26">
        <v>1.4999999999999999E-2</v>
      </c>
      <c r="E72" s="26">
        <v>0.02</v>
      </c>
      <c r="F72" s="26">
        <v>0.02</v>
      </c>
      <c r="G72" s="26">
        <v>0.02</v>
      </c>
    </row>
    <row r="73" spans="2:7" ht="14" customHeight="1" x14ac:dyDescent="0.3">
      <c r="B73" s="4" t="s">
        <v>124</v>
      </c>
      <c r="C73" s="26">
        <v>-0.1</v>
      </c>
      <c r="D73" s="26">
        <v>-0.01</v>
      </c>
      <c r="E73" s="26">
        <v>1.4999999999999999E-2</v>
      </c>
      <c r="F73" s="26">
        <v>0.02</v>
      </c>
      <c r="G73" s="26">
        <v>0.02</v>
      </c>
    </row>
    <row r="75" spans="2:7" ht="14" customHeight="1" x14ac:dyDescent="0.3">
      <c r="B75" s="3" t="s">
        <v>91</v>
      </c>
    </row>
    <row r="76" spans="2:7" ht="14" customHeight="1" x14ac:dyDescent="0.3">
      <c r="B76" s="4" t="s">
        <v>84</v>
      </c>
      <c r="C76" s="26">
        <v>0.68700000000000006</v>
      </c>
      <c r="D76" s="26">
        <v>0.68700000000000006</v>
      </c>
      <c r="E76" s="26">
        <v>0.68700000000000006</v>
      </c>
      <c r="F76" s="26">
        <v>0.68700000000000006</v>
      </c>
      <c r="G76" s="26">
        <v>0.68700000000000006</v>
      </c>
    </row>
    <row r="77" spans="2:7" ht="14" customHeight="1" x14ac:dyDescent="0.3">
      <c r="B77" s="4" t="s">
        <v>121</v>
      </c>
      <c r="C77" s="26">
        <v>0.67900000000000005</v>
      </c>
      <c r="D77" s="26">
        <v>0.67900000000000005</v>
      </c>
      <c r="E77" s="26">
        <v>0.67900000000000005</v>
      </c>
      <c r="F77" s="26">
        <v>0.67900000000000005</v>
      </c>
      <c r="G77" s="26">
        <v>0.67900000000000005</v>
      </c>
    </row>
    <row r="78" spans="2:7" ht="14" customHeight="1" x14ac:dyDescent="0.3">
      <c r="B78" s="4" t="s">
        <v>122</v>
      </c>
      <c r="C78" s="26">
        <v>0.68700000000000006</v>
      </c>
      <c r="D78" s="26">
        <v>0.68700000000000006</v>
      </c>
      <c r="E78" s="26">
        <v>0.68700000000000006</v>
      </c>
      <c r="F78" s="26">
        <v>0.68700000000000006</v>
      </c>
      <c r="G78" s="26">
        <v>0.68700000000000006</v>
      </c>
    </row>
    <row r="79" spans="2:7" ht="14" customHeight="1" x14ac:dyDescent="0.3">
      <c r="B79" s="4" t="s">
        <v>123</v>
      </c>
      <c r="C79" s="26">
        <v>0.70199999999999996</v>
      </c>
      <c r="D79" s="26">
        <v>0.70199999999999996</v>
      </c>
      <c r="E79" s="26">
        <v>0.70199999999999996</v>
      </c>
      <c r="F79" s="26">
        <v>0.70199999999999996</v>
      </c>
      <c r="G79" s="26">
        <v>0.70199999999999996</v>
      </c>
    </row>
    <row r="80" spans="2:7" ht="14" customHeight="1" x14ac:dyDescent="0.3">
      <c r="B80" s="4" t="s">
        <v>124</v>
      </c>
      <c r="C80" s="26">
        <v>0.72</v>
      </c>
      <c r="D80" s="26">
        <v>0.72</v>
      </c>
      <c r="E80" s="26">
        <v>0.72</v>
      </c>
      <c r="F80" s="26">
        <v>0.72</v>
      </c>
      <c r="G80" s="26">
        <v>0.72</v>
      </c>
    </row>
    <row r="82" spans="2:7" ht="14" customHeight="1" x14ac:dyDescent="0.3">
      <c r="B82" s="3" t="s">
        <v>92</v>
      </c>
    </row>
    <row r="83" spans="2:7" ht="14" customHeight="1" x14ac:dyDescent="0.3">
      <c r="B83" s="4" t="s">
        <v>84</v>
      </c>
      <c r="C83" s="26">
        <v>0.20424400000000001</v>
      </c>
      <c r="D83" s="26">
        <v>0.20424400000000001</v>
      </c>
      <c r="E83" s="26">
        <v>0.20424400000000001</v>
      </c>
      <c r="F83" s="26">
        <v>0.20424400000000001</v>
      </c>
      <c r="G83" s="26">
        <v>0.20424400000000001</v>
      </c>
    </row>
    <row r="84" spans="2:7" ht="14" customHeight="1" x14ac:dyDescent="0.3">
      <c r="B84" s="4" t="s">
        <v>121</v>
      </c>
      <c r="C84" s="26">
        <v>0.20899999999999999</v>
      </c>
      <c r="D84" s="26">
        <v>0.20699999999999999</v>
      </c>
      <c r="E84" s="26">
        <v>0.20499999999999999</v>
      </c>
      <c r="F84" s="26">
        <v>0.20349999999999999</v>
      </c>
      <c r="G84" s="26">
        <v>0.20219999999999999</v>
      </c>
    </row>
    <row r="85" spans="2:7" ht="14" customHeight="1" x14ac:dyDescent="0.3">
      <c r="B85" s="4" t="s">
        <v>122</v>
      </c>
      <c r="C85" s="26">
        <v>0.20424400000000001</v>
      </c>
      <c r="D85" s="26">
        <v>0.20424400000000001</v>
      </c>
      <c r="E85" s="26">
        <v>0.20424400000000001</v>
      </c>
      <c r="F85" s="26">
        <v>0.20424400000000001</v>
      </c>
      <c r="G85" s="26">
        <v>0.20424400000000001</v>
      </c>
    </row>
    <row r="86" spans="2:7" ht="14" customHeight="1" x14ac:dyDescent="0.3">
      <c r="B86" s="4" t="s">
        <v>123</v>
      </c>
      <c r="C86" s="26">
        <v>0.20300000000000001</v>
      </c>
      <c r="D86" s="26">
        <v>0.20799999999999999</v>
      </c>
      <c r="E86" s="26">
        <v>0.21199999999999999</v>
      </c>
      <c r="F86" s="26">
        <v>0.215</v>
      </c>
      <c r="G86" s="26">
        <v>0.217</v>
      </c>
    </row>
    <row r="87" spans="2:7" ht="14" customHeight="1" x14ac:dyDescent="0.3">
      <c r="B87" s="4" t="s">
        <v>124</v>
      </c>
      <c r="C87" s="26">
        <v>0.214</v>
      </c>
      <c r="D87" s="26">
        <v>0.218</v>
      </c>
      <c r="E87" s="26">
        <v>0.22</v>
      </c>
      <c r="F87" s="26">
        <v>0.22</v>
      </c>
      <c r="G87" s="26">
        <v>0.22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2907.5</v>
      </c>
    </row>
    <row r="7" spans="2:9" ht="14" customHeight="1" x14ac:dyDescent="0.3">
      <c r="B7" s="4" t="s">
        <v>72</v>
      </c>
      <c r="C7" s="15">
        <f>'DCF Model'!C15</f>
        <v>1898154125</v>
      </c>
    </row>
    <row r="8" spans="2:9" ht="14" customHeight="1" x14ac:dyDescent="0.3">
      <c r="B8" s="4" t="s">
        <v>129</v>
      </c>
      <c r="C8" s="5">
        <f>C6*C7/1000000</f>
        <v>5518883.1184374997</v>
      </c>
    </row>
    <row r="9" spans="2:9" ht="14" customHeight="1" x14ac:dyDescent="0.3">
      <c r="B9" s="4" t="s">
        <v>73</v>
      </c>
      <c r="C9" s="5">
        <f>'DCF Model'!C16</f>
        <v>-226805</v>
      </c>
    </row>
    <row r="10" spans="2:9" ht="14" customHeight="1" x14ac:dyDescent="0.3">
      <c r="B10" s="4" t="s">
        <v>130</v>
      </c>
      <c r="C10" s="5">
        <f>C8+C9</f>
        <v>5292078.1184374997</v>
      </c>
    </row>
    <row r="11" spans="2:9" ht="14" customHeight="1" x14ac:dyDescent="0.3">
      <c r="B11" s="4" t="s">
        <v>131</v>
      </c>
      <c r="C11" s="16">
        <f>'DCF Model'!C26</f>
        <v>0.13798650000000001</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272414</v>
      </c>
    </row>
    <row r="15" spans="2:9" ht="14" customHeight="1" x14ac:dyDescent="0.3">
      <c r="B15" s="4" t="s">
        <v>135</v>
      </c>
      <c r="C15" s="27">
        <v>272414</v>
      </c>
    </row>
    <row r="16" spans="2:9" ht="14" customHeight="1" x14ac:dyDescent="0.3">
      <c r="B16" s="4" t="s">
        <v>136</v>
      </c>
      <c r="C16" s="5">
        <f>'DCF Model'!G33</f>
        <v>3090883.2456247197</v>
      </c>
    </row>
    <row r="17" spans="2:9" ht="14" customHeight="1" x14ac:dyDescent="0.3">
      <c r="B17" s="4" t="s">
        <v>137</v>
      </c>
      <c r="C17" s="5">
        <f>'DCF Model'!C53</f>
        <v>1358508.1049526948</v>
      </c>
    </row>
    <row r="18" spans="2:9" ht="14" customHeight="1" x14ac:dyDescent="0.3">
      <c r="B18" s="4" t="s">
        <v>138</v>
      </c>
      <c r="C18" s="26">
        <v>0.1087559185889605</v>
      </c>
    </row>
    <row r="19" spans="2:9" ht="14" customHeight="1" x14ac:dyDescent="0.3">
      <c r="B19" s="4" t="s">
        <v>139</v>
      </c>
      <c r="C19" s="5">
        <f>C10-C17</f>
        <v>3933570.0134848049</v>
      </c>
    </row>
    <row r="20" spans="2:9" ht="14" customHeight="1" x14ac:dyDescent="0.3">
      <c r="B20" s="4" t="s">
        <v>140</v>
      </c>
      <c r="C20" s="15">
        <f>IFERROR(ROUND(C19*1000000/C7,0),"N/A")</f>
        <v>2072</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677314.55610540113</v>
      </c>
    </row>
    <row r="25" spans="2:9" ht="14" customHeight="1" x14ac:dyDescent="0.3">
      <c r="B25" s="4" t="s">
        <v>144</v>
      </c>
      <c r="C25" s="5">
        <f>IFERROR(C24/(1-C13),"N/A")</f>
        <v>903086.07480720151</v>
      </c>
    </row>
    <row r="26" spans="2:9" ht="13.5" customHeight="1" x14ac:dyDescent="0.25">
      <c r="B26" s="6" t="s">
        <v>145</v>
      </c>
      <c r="C26" s="14">
        <f>IFERROR(C25/C15,"N/A")</f>
        <v>3.3151235795781475</v>
      </c>
    </row>
    <row r="27" spans="2:9" ht="13.5" customHeight="1" x14ac:dyDescent="0.25">
      <c r="B27" s="6" t="s">
        <v>146</v>
      </c>
      <c r="C27" s="14">
        <f>IFERROR(C25/C14,"N/A")</f>
        <v>3.3151235795781475</v>
      </c>
    </row>
    <row r="28" spans="2:9" ht="13.5" customHeight="1" x14ac:dyDescent="0.25">
      <c r="B28" s="6" t="s">
        <v>147</v>
      </c>
      <c r="C28" s="7">
        <f>IFERROR(C25/C16,"N/A")</f>
        <v>0.29217734965743508</v>
      </c>
    </row>
    <row r="29" spans="2:9" ht="13.5" customHeight="1" x14ac:dyDescent="0.25">
      <c r="B29" s="6" t="s">
        <v>148</v>
      </c>
      <c r="C29" s="5">
        <f>IFERROR(C25/C18,"N/A")</f>
        <v>8303787.844598935</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0.11798650000000001</v>
      </c>
      <c r="E36" s="29">
        <f>'DCF Model'!C26-0.01</f>
        <v>0.1279865</v>
      </c>
      <c r="F36" s="29">
        <f>'DCF Model'!C26</f>
        <v>0.13798650000000001</v>
      </c>
      <c r="G36" s="29">
        <f>'DCF Model'!C26+0.01</f>
        <v>0.14798650000000002</v>
      </c>
      <c r="H36" s="29">
        <f>'DCF Model'!C26+0.02</f>
        <v>0.1579865</v>
      </c>
    </row>
    <row r="37" spans="2:9" ht="14" customHeight="1" x14ac:dyDescent="0.3">
      <c r="B37" s="3" t="s">
        <v>154</v>
      </c>
    </row>
    <row r="38" spans="2:9" ht="14" customHeight="1" x14ac:dyDescent="0.3">
      <c r="B38" s="4" t="s">
        <v>155</v>
      </c>
      <c r="C38" s="30">
        <v>3</v>
      </c>
      <c r="D38" s="13">
        <f t="shared" ref="D38:H41" si="0">IFERROR((1-(1+D$36)^(-$C38))/D$36-(1+D$36)/(D$36^2*$C38)*(1-($C38+1)/(1+D$36)^$C38+$C38/(1+D$36)^($C38+1)),"N/A")</f>
        <v>0.86299944397467354</v>
      </c>
      <c r="E38" s="13">
        <f t="shared" si="0"/>
        <v>0.85300531310334682</v>
      </c>
      <c r="F38" s="13">
        <f t="shared" si="0"/>
        <v>0.84322765007142042</v>
      </c>
      <c r="G38" s="13">
        <f t="shared" si="0"/>
        <v>0.83365974049098734</v>
      </c>
      <c r="H38" s="13">
        <f t="shared" si="0"/>
        <v>0.82429513812070931</v>
      </c>
    </row>
    <row r="39" spans="2:9" ht="14" customHeight="1" x14ac:dyDescent="0.3">
      <c r="B39" s="4" t="s">
        <v>156</v>
      </c>
      <c r="C39" s="30">
        <v>5</v>
      </c>
      <c r="D39" s="13">
        <f t="shared" si="0"/>
        <v>1.6098878509141912</v>
      </c>
      <c r="E39" s="13">
        <f t="shared" si="0"/>
        <v>1.5830445846374719</v>
      </c>
      <c r="F39" s="13">
        <f t="shared" si="0"/>
        <v>1.5569923723879091</v>
      </c>
      <c r="G39" s="13">
        <f t="shared" si="0"/>
        <v>1.5316992137244241</v>
      </c>
      <c r="H39" s="13">
        <f t="shared" si="0"/>
        <v>1.5071347214928568</v>
      </c>
    </row>
    <row r="40" spans="2:9" ht="14" customHeight="1" x14ac:dyDescent="0.3">
      <c r="B40" s="4" t="s">
        <v>157</v>
      </c>
      <c r="C40" s="30">
        <v>7</v>
      </c>
      <c r="D40" s="13">
        <f t="shared" si="0"/>
        <v>2.2581756295030715</v>
      </c>
      <c r="E40" s="13">
        <f t="shared" si="0"/>
        <v>2.2099812040885354</v>
      </c>
      <c r="F40" s="13">
        <f t="shared" si="0"/>
        <v>2.1635609294456652</v>
      </c>
      <c r="G40" s="13">
        <f t="shared" si="0"/>
        <v>2.1188270804103992</v>
      </c>
      <c r="H40" s="13">
        <f t="shared" si="0"/>
        <v>2.0756972378575722</v>
      </c>
    </row>
    <row r="41" spans="2:9" ht="14" customHeight="1" x14ac:dyDescent="0.3">
      <c r="B41" s="4" t="s">
        <v>158</v>
      </c>
      <c r="C41" s="30">
        <v>10</v>
      </c>
      <c r="D41" s="13">
        <f t="shared" si="0"/>
        <v>3.0772334979500071</v>
      </c>
      <c r="E41" s="13">
        <f t="shared" si="0"/>
        <v>2.9922668276442876</v>
      </c>
      <c r="F41" s="13">
        <f t="shared" si="0"/>
        <v>2.9112923957410843</v>
      </c>
      <c r="G41" s="13">
        <f t="shared" si="0"/>
        <v>2.834062183082787</v>
      </c>
      <c r="H41" s="13">
        <f t="shared" si="0"/>
        <v>2.7603467308041627</v>
      </c>
    </row>
    <row r="42" spans="2:9" ht="14" customHeight="1" x14ac:dyDescent="0.3">
      <c r="B42" s="3" t="s">
        <v>159</v>
      </c>
    </row>
    <row r="43" spans="2:9" ht="14" customHeight="1" x14ac:dyDescent="0.3">
      <c r="B43" s="4" t="s">
        <v>155</v>
      </c>
      <c r="C43" s="30">
        <v>3</v>
      </c>
      <c r="D43" s="13">
        <f t="shared" ref="D43:H46" si="1">IFERROR((1+D$36)/(D$36^2*$C43)*(1-($C43+1)/(1+D$36)^$C43+$C43/(1+D$36)^($C43+1))+(1+$C$12)/((D$36-$C$12)*(1+D$36)^$C43),"N/A")</f>
        <v>8.2404965348457857</v>
      </c>
      <c r="E43" s="13">
        <f t="shared" si="1"/>
        <v>7.480788764483199</v>
      </c>
      <c r="F43" s="13">
        <f t="shared" si="1"/>
        <v>6.8411032829886871</v>
      </c>
      <c r="G43" s="13">
        <f t="shared" si="1"/>
        <v>6.2953065831391148</v>
      </c>
      <c r="H43" s="13">
        <f t="shared" si="1"/>
        <v>5.8243304129610536</v>
      </c>
    </row>
    <row r="44" spans="2:9" ht="14" customHeight="1" x14ac:dyDescent="0.3">
      <c r="B44" s="4" t="s">
        <v>156</v>
      </c>
      <c r="C44" s="30">
        <v>5</v>
      </c>
      <c r="D44" s="13">
        <f t="shared" si="1"/>
        <v>7.3680607967972751</v>
      </c>
      <c r="E44" s="13">
        <f t="shared" si="1"/>
        <v>6.6393403219966363</v>
      </c>
      <c r="F44" s="13">
        <f t="shared" si="1"/>
        <v>6.0277309882761063</v>
      </c>
      <c r="G44" s="13">
        <f t="shared" si="1"/>
        <v>5.5076382597573392</v>
      </c>
      <c r="H44" s="13">
        <f t="shared" si="1"/>
        <v>5.0603923636389396</v>
      </c>
    </row>
    <row r="45" spans="2:9" ht="14" customHeight="1" x14ac:dyDescent="0.3">
      <c r="B45" s="4" t="s">
        <v>157</v>
      </c>
      <c r="C45" s="30">
        <v>7</v>
      </c>
      <c r="D45" s="13">
        <f t="shared" si="1"/>
        <v>6.6193266205348991</v>
      </c>
      <c r="E45" s="13">
        <f t="shared" si="1"/>
        <v>5.9248422134752996</v>
      </c>
      <c r="F45" s="13">
        <f t="shared" si="1"/>
        <v>5.3442461753143427</v>
      </c>
      <c r="G45" s="13">
        <f t="shared" si="1"/>
        <v>4.8525001600186339</v>
      </c>
      <c r="H45" s="13">
        <f t="shared" si="1"/>
        <v>4.4313507017640479</v>
      </c>
    </row>
    <row r="46" spans="2:9" ht="14" customHeight="1" x14ac:dyDescent="0.3">
      <c r="B46" s="4" t="s">
        <v>158</v>
      </c>
      <c r="C46" s="30">
        <v>10</v>
      </c>
      <c r="D46" s="13">
        <f t="shared" si="1"/>
        <v>5.685965615000109</v>
      </c>
      <c r="E46" s="13">
        <f t="shared" si="1"/>
        <v>5.0450677473590346</v>
      </c>
      <c r="F46" s="13">
        <f t="shared" si="1"/>
        <v>4.5127086107439176</v>
      </c>
      <c r="G46" s="13">
        <f t="shared" si="1"/>
        <v>4.0647307736606475</v>
      </c>
      <c r="H46" s="13">
        <f t="shared" si="1"/>
        <v>3.6835501914057631</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827742.72139335331</v>
      </c>
      <c r="E48" s="5">
        <f t="shared" si="2"/>
        <v>912167.65816864232</v>
      </c>
      <c r="F48" s="5">
        <f t="shared" si="2"/>
        <v>997850.32595909701</v>
      </c>
      <c r="G48" s="5">
        <f t="shared" si="2"/>
        <v>1084776.9656939115</v>
      </c>
      <c r="H48" s="5">
        <f t="shared" si="2"/>
        <v>1172933.9061805613</v>
      </c>
    </row>
    <row r="49" spans="2:9" ht="14" customHeight="1" x14ac:dyDescent="0.3">
      <c r="B49" s="4" t="s">
        <v>156</v>
      </c>
      <c r="C49" s="30">
        <v>5</v>
      </c>
      <c r="D49" s="5">
        <f t="shared" si="2"/>
        <v>898139.73464689951</v>
      </c>
      <c r="E49" s="5">
        <f t="shared" si="2"/>
        <v>997819.10990291764</v>
      </c>
      <c r="F49" s="5">
        <f t="shared" si="2"/>
        <v>1100241.1439203401</v>
      </c>
      <c r="G49" s="5">
        <f t="shared" si="2"/>
        <v>1205389.2313184782</v>
      </c>
      <c r="H49" s="5">
        <f t="shared" si="2"/>
        <v>1313245.9071053313</v>
      </c>
    </row>
    <row r="50" spans="2:9" ht="14" customHeight="1" x14ac:dyDescent="0.3">
      <c r="B50" s="4" t="s">
        <v>157</v>
      </c>
      <c r="C50" s="30">
        <v>7</v>
      </c>
      <c r="D50" s="5">
        <f t="shared" si="2"/>
        <v>973051.47052265145</v>
      </c>
      <c r="E50" s="5">
        <f t="shared" si="2"/>
        <v>1089324.2563501727</v>
      </c>
      <c r="F50" s="5">
        <f t="shared" si="2"/>
        <v>1210034.055083978</v>
      </c>
      <c r="G50" s="5">
        <f t="shared" si="2"/>
        <v>1335168.6314233667</v>
      </c>
      <c r="H50" s="5">
        <f t="shared" si="2"/>
        <v>1464712.5915759974</v>
      </c>
    </row>
    <row r="51" spans="2:9" ht="14" customHeight="1" x14ac:dyDescent="0.3">
      <c r="B51" s="4" t="s">
        <v>158</v>
      </c>
      <c r="C51" s="30">
        <v>10</v>
      </c>
      <c r="D51" s="5">
        <f t="shared" si="2"/>
        <v>1093538.5636879187</v>
      </c>
      <c r="E51" s="5">
        <f t="shared" si="2"/>
        <v>1237043.6027539501</v>
      </c>
      <c r="F51" s="5">
        <f t="shared" si="2"/>
        <v>1387864.3385731031</v>
      </c>
      <c r="G51" s="5">
        <f t="shared" si="2"/>
        <v>1545998.0727616549</v>
      </c>
      <c r="H51" s="5">
        <f t="shared" si="2"/>
        <v>1711432.3780085407</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3.0385469226741404</v>
      </c>
      <c r="E53" s="14">
        <f t="shared" si="3"/>
        <v>3.348461012167665</v>
      </c>
      <c r="F53" s="14">
        <f t="shared" si="3"/>
        <v>3.6629920854254809</v>
      </c>
      <c r="G53" s="14">
        <f t="shared" si="3"/>
        <v>3.98208963450451</v>
      </c>
      <c r="H53" s="14">
        <f t="shared" si="3"/>
        <v>4.3057034740525868</v>
      </c>
    </row>
    <row r="54" spans="2:9" ht="14" customHeight="1" x14ac:dyDescent="0.3">
      <c r="B54" s="4" t="s">
        <v>156</v>
      </c>
      <c r="C54" s="30">
        <v>5</v>
      </c>
      <c r="D54" s="14">
        <f t="shared" si="3"/>
        <v>3.2969661421472445</v>
      </c>
      <c r="E54" s="14">
        <f t="shared" si="3"/>
        <v>3.662877494926537</v>
      </c>
      <c r="F54" s="14">
        <f t="shared" si="3"/>
        <v>4.0388568279175816</v>
      </c>
      <c r="G54" s="14">
        <f t="shared" si="3"/>
        <v>4.4248431847059191</v>
      </c>
      <c r="H54" s="14">
        <f t="shared" si="3"/>
        <v>4.8207724533442899</v>
      </c>
    </row>
    <row r="55" spans="2:9" ht="14" customHeight="1" x14ac:dyDescent="0.3">
      <c r="B55" s="4" t="s">
        <v>157</v>
      </c>
      <c r="C55" s="30">
        <v>7</v>
      </c>
      <c r="D55" s="14">
        <f t="shared" si="3"/>
        <v>3.5719583814438738</v>
      </c>
      <c r="E55" s="14">
        <f t="shared" si="3"/>
        <v>3.99878220777997</v>
      </c>
      <c r="F55" s="14">
        <f t="shared" si="3"/>
        <v>4.4418937906421032</v>
      </c>
      <c r="G55" s="14">
        <f t="shared" si="3"/>
        <v>4.9012482156694102</v>
      </c>
      <c r="H55" s="14">
        <f t="shared" si="3"/>
        <v>5.3767889740468453</v>
      </c>
    </row>
    <row r="56" spans="2:9" ht="14" customHeight="1" x14ac:dyDescent="0.3">
      <c r="B56" s="4" t="s">
        <v>158</v>
      </c>
      <c r="C56" s="30">
        <v>10</v>
      </c>
      <c r="D56" s="14">
        <f t="shared" si="3"/>
        <v>4.0142524381563307</v>
      </c>
      <c r="E56" s="14">
        <f t="shared" si="3"/>
        <v>4.5410426877985346</v>
      </c>
      <c r="F56" s="14">
        <f t="shared" si="3"/>
        <v>5.0946880063913857</v>
      </c>
      <c r="G56" s="14">
        <f t="shared" si="3"/>
        <v>5.675178488483172</v>
      </c>
      <c r="H56" s="14">
        <f t="shared" si="3"/>
        <v>6.2824685148653909</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1100241.1439203401</v>
      </c>
    </row>
    <row r="62" spans="2:9" ht="14" customHeight="1" x14ac:dyDescent="0.3">
      <c r="B62" s="28" t="s">
        <v>165</v>
      </c>
      <c r="C62" s="28" t="s">
        <v>166</v>
      </c>
      <c r="D62" s="28" t="s">
        <v>167</v>
      </c>
    </row>
    <row r="63" spans="2:9" ht="14" customHeight="1" x14ac:dyDescent="0.3">
      <c r="B63" s="31">
        <v>5.4399999999999997E-2</v>
      </c>
      <c r="C63" s="5">
        <f>IFERROR($C$60/B63,"N/A")</f>
        <v>20225021.02794743</v>
      </c>
      <c r="D63" s="14">
        <f>IFERROR(C63/'DCF Model'!C17,"N/A")</f>
        <v>8.0744408891447002</v>
      </c>
    </row>
    <row r="64" spans="2:9" ht="14" customHeight="1" x14ac:dyDescent="0.3">
      <c r="B64" s="31">
        <v>8.1600000000000006E-2</v>
      </c>
      <c r="C64" s="5">
        <f>IFERROR($C$60/B64,"N/A")</f>
        <v>13483347.351964951</v>
      </c>
      <c r="D64" s="14">
        <f>IFERROR(C64/'DCF Model'!C17,"N/A")</f>
        <v>5.3829605927631325</v>
      </c>
    </row>
    <row r="65" spans="2:9" ht="14" customHeight="1" x14ac:dyDescent="0.3">
      <c r="B65" s="4" t="s">
        <v>168</v>
      </c>
      <c r="C65" s="5">
        <f>IFERROR($C$60/$C$18,"N/A")</f>
        <v>10116609.359704515</v>
      </c>
      <c r="D65" s="14">
        <f>IFERROR(C65/'DCF Model'!C17,"N/A")</f>
        <v>4.0388568279175807</v>
      </c>
    </row>
    <row r="66" spans="2:9" ht="14" customHeight="1" x14ac:dyDescent="0.3">
      <c r="B66" s="31">
        <v>0.13589999999999999</v>
      </c>
      <c r="C66" s="5">
        <f>IFERROR($C$60/B66,"N/A")</f>
        <v>8095961.3239171458</v>
      </c>
      <c r="D66" s="14">
        <f>IFERROR(C66/'DCF Model'!C17,"N/A")</f>
        <v>3.2321529387010428</v>
      </c>
    </row>
    <row r="67" spans="2:9" ht="14" customHeight="1" x14ac:dyDescent="0.3">
      <c r="B67" s="31">
        <v>0.16309999999999999</v>
      </c>
      <c r="C67" s="5">
        <f>IFERROR($C$60/B67,"N/A")</f>
        <v>6745807.1362375235</v>
      </c>
      <c r="D67" s="14">
        <f>IFERROR(C67/'DCF Model'!C17,"N/A")</f>
        <v>2.6931304988931433</v>
      </c>
    </row>
    <row r="69" spans="2:9" ht="14" customHeight="1" x14ac:dyDescent="0.3">
      <c r="B69" s="8" t="s">
        <v>169</v>
      </c>
      <c r="C69" s="9"/>
      <c r="D69" s="9"/>
      <c r="E69" s="9"/>
      <c r="F69" s="9"/>
      <c r="G69" s="9"/>
      <c r="H69" s="9"/>
      <c r="I69" s="9"/>
    </row>
    <row r="70" spans="2:9" ht="13.5" customHeight="1" x14ac:dyDescent="0.25">
      <c r="B70" s="6" t="s">
        <v>170</v>
      </c>
      <c r="C70" s="14">
        <f>IFERROR(C10/'Comps Analysis'!G5,"N/A")</f>
        <v>11.103674981929517</v>
      </c>
    </row>
    <row r="71" spans="2:9" ht="13.5" customHeight="1" x14ac:dyDescent="0.25">
      <c r="B71" s="6" t="s">
        <v>171</v>
      </c>
      <c r="C71" s="14">
        <f>IFERROR(C10/'Comps Analysis'!F5,"N/A")</f>
        <v>2.1127578502397375</v>
      </c>
    </row>
    <row r="72" spans="2:9" ht="14" customHeight="1" x14ac:dyDescent="0.3">
      <c r="B72" s="4" t="s">
        <v>172</v>
      </c>
      <c r="C72" s="14">
        <f>IFERROR(C10/(C25+'DCF Model'!G42),"N/A")</f>
        <v>4.5757907013884003</v>
      </c>
    </row>
    <row r="73" spans="2:9" ht="14" customHeight="1" x14ac:dyDescent="0.3">
      <c r="B73" s="4" t="s">
        <v>173</v>
      </c>
      <c r="C73" s="14">
        <f>IFERROR(C10/(C60+'DCF Model'!G42),"N/A")</f>
        <v>3.9093619379434674</v>
      </c>
    </row>
    <row r="74" spans="2:9" ht="14" customHeight="1" x14ac:dyDescent="0.3">
      <c r="B74" s="4" t="s">
        <v>174</v>
      </c>
      <c r="C74" s="14">
        <f>IFERROR('Comps Analysis'!D16,"N/A")</f>
        <v>18.089422075668171</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2,908 yen the market is paying for a steady-state operating profit of 1,100,241 mn JPY - 4.04x the FY2026 cycle peak of 272,414 mn - reached in 5 years and sustained for ever, against 272,414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903,086 mn, or 3.32x the peak. The base case supports an EV of only 1,358,508 mn, leaving 2,072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113.74537890946256</v>
      </c>
      <c r="D5" s="34">
        <f>CHOOSE('DCF Model'!$D$27,D25,D26,D27,D28,D29)</f>
        <v>100</v>
      </c>
      <c r="E5" s="34">
        <f>CHOOSE('DCF Model'!$D$27,E25,E26,E27,E28,E29)</f>
        <v>100</v>
      </c>
      <c r="F5" s="34">
        <f>CHOOSE('DCF Model'!$D$27,F25,F26,F27,F28,F29)</f>
        <v>100</v>
      </c>
      <c r="G5" s="34">
        <f>CHOOSE('DCF Model'!$D$27,G25,G26,G27,G28,G29)</f>
        <v>100</v>
      </c>
      <c r="H5" s="34">
        <f>CHOOSE('DCF Model'!$D$27,H25,H26,H27,H28,H29)</f>
        <v>100</v>
      </c>
    </row>
    <row r="6" spans="2:8" ht="14" customHeight="1" x14ac:dyDescent="0.3">
      <c r="B6" s="33" t="s">
        <v>181</v>
      </c>
      <c r="C6" s="34">
        <f>C13/C10*365</f>
        <v>124.13531650687574</v>
      </c>
      <c r="D6" s="34">
        <f>CHOOSE('DCF Model'!$D$27,D32,D33,D34,D35,D36)</f>
        <v>106</v>
      </c>
      <c r="E6" s="34">
        <f>CHOOSE('DCF Model'!$D$27,E32,E33,E34,E35,E36)</f>
        <v>106</v>
      </c>
      <c r="F6" s="34">
        <f>CHOOSE('DCF Model'!$D$27,F32,F33,F34,F35,F36)</f>
        <v>106</v>
      </c>
      <c r="G6" s="34">
        <f>CHOOSE('DCF Model'!$D$27,G32,G33,G34,G35,G36)</f>
        <v>106</v>
      </c>
      <c r="H6" s="34">
        <f>CHOOSE('DCF Model'!$D$27,H32,H33,H34,H35,H36)</f>
        <v>106</v>
      </c>
    </row>
    <row r="7" spans="2:8" ht="14" customHeight="1" x14ac:dyDescent="0.3">
      <c r="B7" s="33" t="s">
        <v>182</v>
      </c>
      <c r="C7" s="34">
        <f>C15/C10*365</f>
        <v>149.85110223211589</v>
      </c>
      <c r="D7" s="34">
        <f>CHOOSE('DCF Model'!$D$27,D39,D40,D41,D42,D43)</f>
        <v>103</v>
      </c>
      <c r="E7" s="34">
        <f>CHOOSE('DCF Model'!$D$27,E39,E40,E41,E42,E43)</f>
        <v>103</v>
      </c>
      <c r="F7" s="34">
        <f>CHOOSE('DCF Model'!$D$27,F39,F40,F41,F42,F43)</f>
        <v>103</v>
      </c>
      <c r="G7" s="34">
        <f>CHOOSE('DCF Model'!$D$27,G39,G40,G41,G42,G43)</f>
        <v>103</v>
      </c>
      <c r="H7" s="34">
        <f>CHOOSE('DCF Model'!$D$27,H39,H40,H41,H42,H43)</f>
        <v>103</v>
      </c>
    </row>
    <row r="8" spans="2:8" ht="14" customHeight="1" x14ac:dyDescent="0.3">
      <c r="B8" s="8" t="s">
        <v>183</v>
      </c>
      <c r="C8" s="9"/>
      <c r="D8" s="9"/>
      <c r="E8" s="9"/>
      <c r="F8" s="9"/>
      <c r="G8" s="9"/>
      <c r="H8" s="9"/>
    </row>
    <row r="9" spans="2:8" ht="14" customHeight="1" x14ac:dyDescent="0.3">
      <c r="B9" s="33" t="s">
        <v>37</v>
      </c>
      <c r="C9" s="35">
        <v>2504820</v>
      </c>
      <c r="D9" s="35">
        <f>'DCF Model'!C33</f>
        <v>2655109.2000000002</v>
      </c>
      <c r="E9" s="35">
        <f>'DCF Model'!D33</f>
        <v>2787864.66</v>
      </c>
      <c r="F9" s="35">
        <f>'DCF Model'!E33</f>
        <v>2899379.2464000001</v>
      </c>
      <c r="G9" s="35">
        <f>'DCF Model'!F33</f>
        <v>3000857.5200239997</v>
      </c>
      <c r="H9" s="35">
        <f>'DCF Model'!G33</f>
        <v>3090883.2456247197</v>
      </c>
    </row>
    <row r="10" spans="2:8" ht="14" customHeight="1" x14ac:dyDescent="0.3">
      <c r="B10" s="33" t="s">
        <v>38</v>
      </c>
      <c r="C10" s="35">
        <v>1721416</v>
      </c>
      <c r="D10" s="35">
        <f>'DCF Model'!C34</f>
        <v>1824060.0204000003</v>
      </c>
      <c r="E10" s="35">
        <f>'DCF Model'!D34</f>
        <v>1915263.0214200004</v>
      </c>
      <c r="F10" s="35">
        <f>'DCF Model'!E34</f>
        <v>1991873.5422768001</v>
      </c>
      <c r="G10" s="35">
        <f>'DCF Model'!F34</f>
        <v>2061589.116256488</v>
      </c>
      <c r="H10" s="35">
        <f>'DCF Model'!G34</f>
        <v>2123436.7897441825</v>
      </c>
    </row>
    <row r="11" spans="2:8" ht="14" customHeight="1" x14ac:dyDescent="0.3">
      <c r="B11" s="8" t="s">
        <v>184</v>
      </c>
      <c r="C11" s="9"/>
      <c r="D11" s="9"/>
      <c r="E11" s="9"/>
      <c r="F11" s="9"/>
      <c r="G11" s="9"/>
      <c r="H11" s="9"/>
    </row>
    <row r="12" spans="2:8" ht="14" customHeight="1" x14ac:dyDescent="0.3">
      <c r="B12" s="33" t="s">
        <v>185</v>
      </c>
      <c r="C12" s="35">
        <v>780580</v>
      </c>
      <c r="D12" s="35">
        <f t="shared" ref="D12:H13" si="0">D9*D5/365</f>
        <v>727427.17808219185</v>
      </c>
      <c r="E12" s="35">
        <f t="shared" si="0"/>
        <v>763798.53698630142</v>
      </c>
      <c r="F12" s="35">
        <f t="shared" si="0"/>
        <v>794350.47846575337</v>
      </c>
      <c r="G12" s="35">
        <f t="shared" si="0"/>
        <v>822152.7452120547</v>
      </c>
      <c r="H12" s="35">
        <f t="shared" si="0"/>
        <v>846817.32756841637</v>
      </c>
    </row>
    <row r="13" spans="2:8" ht="14" customHeight="1" x14ac:dyDescent="0.3">
      <c r="B13" s="33" t="s">
        <v>186</v>
      </c>
      <c r="C13" s="35">
        <v>585448</v>
      </c>
      <c r="D13" s="35">
        <f t="shared" si="0"/>
        <v>529727.0196230138</v>
      </c>
      <c r="E13" s="35">
        <f t="shared" si="0"/>
        <v>556213.37060416443</v>
      </c>
      <c r="F13" s="35">
        <f t="shared" si="0"/>
        <v>578461.905428331</v>
      </c>
      <c r="G13" s="35">
        <f t="shared" si="0"/>
        <v>598708.0721183226</v>
      </c>
      <c r="H13" s="35">
        <f t="shared" si="0"/>
        <v>616669.31428187224</v>
      </c>
    </row>
    <row r="14" spans="2:8" ht="14" customHeight="1" x14ac:dyDescent="0.3">
      <c r="B14" s="33" t="s">
        <v>187</v>
      </c>
      <c r="C14" s="35">
        <f t="shared" ref="C14:H14" si="1">C12+C13</f>
        <v>1366028</v>
      </c>
      <c r="D14" s="35">
        <f t="shared" si="1"/>
        <v>1257154.1977052055</v>
      </c>
      <c r="E14" s="35">
        <f t="shared" si="1"/>
        <v>1320011.9075904659</v>
      </c>
      <c r="F14" s="35">
        <f t="shared" si="1"/>
        <v>1372812.3838940845</v>
      </c>
      <c r="G14" s="35">
        <f t="shared" si="1"/>
        <v>1420860.8173303772</v>
      </c>
      <c r="H14" s="35">
        <f t="shared" si="1"/>
        <v>1463486.6418502885</v>
      </c>
    </row>
    <row r="15" spans="2:8" ht="14" customHeight="1" x14ac:dyDescent="0.3">
      <c r="B15" s="33" t="s">
        <v>188</v>
      </c>
      <c r="C15" s="35">
        <v>706729</v>
      </c>
      <c r="D15" s="35">
        <f>D10*D7/365</f>
        <v>514734.74548273976</v>
      </c>
      <c r="E15" s="35">
        <f>E10*E7/365</f>
        <v>540471.48275687674</v>
      </c>
      <c r="F15" s="35">
        <f>F10*F7/365</f>
        <v>562090.3420671518</v>
      </c>
      <c r="G15" s="35">
        <f>G10*G7/365</f>
        <v>581763.504039502</v>
      </c>
      <c r="H15" s="35">
        <f>H10*H7/365</f>
        <v>599216.40916068712</v>
      </c>
    </row>
    <row r="16" spans="2:8" ht="14" customHeight="1" x14ac:dyDescent="0.3">
      <c r="B16" s="33" t="s">
        <v>189</v>
      </c>
      <c r="C16" s="35">
        <f t="shared" ref="C16:H16" si="2">C15</f>
        <v>706729</v>
      </c>
      <c r="D16" s="35">
        <f t="shared" si="2"/>
        <v>514734.74548273976</v>
      </c>
      <c r="E16" s="35">
        <f t="shared" si="2"/>
        <v>540471.48275687674</v>
      </c>
      <c r="F16" s="35">
        <f t="shared" si="2"/>
        <v>562090.3420671518</v>
      </c>
      <c r="G16" s="35">
        <f t="shared" si="2"/>
        <v>581763.504039502</v>
      </c>
      <c r="H16" s="35">
        <f t="shared" si="2"/>
        <v>599216.40916068712</v>
      </c>
    </row>
    <row r="17" spans="2:8" ht="14" customHeight="1" x14ac:dyDescent="0.3">
      <c r="B17" s="22" t="s">
        <v>190</v>
      </c>
      <c r="C17" s="23"/>
      <c r="D17" s="23"/>
      <c r="E17" s="23"/>
      <c r="F17" s="23"/>
      <c r="G17" s="23"/>
      <c r="H17" s="23"/>
    </row>
    <row r="18" spans="2:8" ht="14" customHeight="1" x14ac:dyDescent="0.3">
      <c r="B18" s="33" t="s">
        <v>191</v>
      </c>
      <c r="C18" s="20">
        <f t="shared" ref="C18:H18" si="3">C14-C16</f>
        <v>659299</v>
      </c>
      <c r="D18" s="20">
        <f t="shared" si="3"/>
        <v>742419.45222246577</v>
      </c>
      <c r="E18" s="20">
        <f t="shared" si="3"/>
        <v>779540.42483358912</v>
      </c>
      <c r="F18" s="20">
        <f t="shared" si="3"/>
        <v>810722.04182693269</v>
      </c>
      <c r="G18" s="20">
        <f t="shared" si="3"/>
        <v>839097.31329087517</v>
      </c>
      <c r="H18" s="20">
        <f t="shared" si="3"/>
        <v>864270.23268960137</v>
      </c>
    </row>
    <row r="19" spans="2:8" ht="14" customHeight="1" x14ac:dyDescent="0.3">
      <c r="B19" s="33" t="s">
        <v>100</v>
      </c>
      <c r="C19" s="36" t="s">
        <v>47</v>
      </c>
      <c r="D19" s="24">
        <f>D18-C18</f>
        <v>83120.45222246577</v>
      </c>
      <c r="E19" s="24">
        <f>E18-D18</f>
        <v>37120.972611123347</v>
      </c>
      <c r="F19" s="24">
        <f>F18-E18</f>
        <v>31181.616993343574</v>
      </c>
      <c r="G19" s="24">
        <f>G18-F18</f>
        <v>28375.271463942481</v>
      </c>
      <c r="H19" s="24">
        <f>H18-G18</f>
        <v>25172.919398726197</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100</v>
      </c>
      <c r="E25" s="30">
        <v>100</v>
      </c>
      <c r="F25" s="30">
        <v>100</v>
      </c>
      <c r="G25" s="30">
        <v>100</v>
      </c>
      <c r="H25" s="30">
        <v>100</v>
      </c>
    </row>
    <row r="26" spans="2:8" ht="14" customHeight="1" x14ac:dyDescent="0.3">
      <c r="B26" s="4" t="s">
        <v>121</v>
      </c>
      <c r="D26" s="30">
        <v>97</v>
      </c>
      <c r="E26" s="30">
        <v>97</v>
      </c>
      <c r="F26" s="30">
        <v>97</v>
      </c>
      <c r="G26" s="30">
        <v>97</v>
      </c>
      <c r="H26" s="30">
        <v>97</v>
      </c>
    </row>
    <row r="27" spans="2:8" ht="14" customHeight="1" x14ac:dyDescent="0.3">
      <c r="B27" s="4" t="s">
        <v>122</v>
      </c>
      <c r="D27" s="30">
        <v>100</v>
      </c>
      <c r="E27" s="30">
        <v>100</v>
      </c>
      <c r="F27" s="30">
        <v>100</v>
      </c>
      <c r="G27" s="30">
        <v>100</v>
      </c>
      <c r="H27" s="30">
        <v>100</v>
      </c>
    </row>
    <row r="28" spans="2:8" ht="14" customHeight="1" x14ac:dyDescent="0.3">
      <c r="B28" s="4" t="s">
        <v>123</v>
      </c>
      <c r="D28" s="30">
        <v>105</v>
      </c>
      <c r="E28" s="30">
        <v>105</v>
      </c>
      <c r="F28" s="30">
        <v>105</v>
      </c>
      <c r="G28" s="30">
        <v>105</v>
      </c>
      <c r="H28" s="30">
        <v>105</v>
      </c>
    </row>
    <row r="29" spans="2:8" ht="14" customHeight="1" x14ac:dyDescent="0.3">
      <c r="B29" s="4" t="s">
        <v>124</v>
      </c>
      <c r="D29" s="30">
        <v>112</v>
      </c>
      <c r="E29" s="30">
        <v>112</v>
      </c>
      <c r="F29" s="30">
        <v>112</v>
      </c>
      <c r="G29" s="30">
        <v>112</v>
      </c>
      <c r="H29" s="30">
        <v>112</v>
      </c>
    </row>
    <row r="31" spans="2:8" ht="14" customHeight="1" x14ac:dyDescent="0.3">
      <c r="B31" s="3" t="s">
        <v>194</v>
      </c>
    </row>
    <row r="32" spans="2:8" ht="14" customHeight="1" x14ac:dyDescent="0.3">
      <c r="B32" s="4" t="s">
        <v>84</v>
      </c>
      <c r="D32" s="30">
        <v>106</v>
      </c>
      <c r="E32" s="30">
        <v>106</v>
      </c>
      <c r="F32" s="30">
        <v>106</v>
      </c>
      <c r="G32" s="30">
        <v>106</v>
      </c>
      <c r="H32" s="30">
        <v>106</v>
      </c>
    </row>
    <row r="33" spans="2:8" ht="14" customHeight="1" x14ac:dyDescent="0.3">
      <c r="B33" s="4" t="s">
        <v>121</v>
      </c>
      <c r="D33" s="30">
        <v>102</v>
      </c>
      <c r="E33" s="30">
        <v>102</v>
      </c>
      <c r="F33" s="30">
        <v>102</v>
      </c>
      <c r="G33" s="30">
        <v>102</v>
      </c>
      <c r="H33" s="30">
        <v>102</v>
      </c>
    </row>
    <row r="34" spans="2:8" ht="14" customHeight="1" x14ac:dyDescent="0.3">
      <c r="B34" s="4" t="s">
        <v>122</v>
      </c>
      <c r="D34" s="30">
        <v>106</v>
      </c>
      <c r="E34" s="30">
        <v>106</v>
      </c>
      <c r="F34" s="30">
        <v>106</v>
      </c>
      <c r="G34" s="30">
        <v>106</v>
      </c>
      <c r="H34" s="30">
        <v>106</v>
      </c>
    </row>
    <row r="35" spans="2:8" ht="14" customHeight="1" x14ac:dyDescent="0.3">
      <c r="B35" s="4" t="s">
        <v>123</v>
      </c>
      <c r="D35" s="30">
        <v>112</v>
      </c>
      <c r="E35" s="30">
        <v>112</v>
      </c>
      <c r="F35" s="30">
        <v>112</v>
      </c>
      <c r="G35" s="30">
        <v>112</v>
      </c>
      <c r="H35" s="30">
        <v>112</v>
      </c>
    </row>
    <row r="36" spans="2:8" ht="14" customHeight="1" x14ac:dyDescent="0.3">
      <c r="B36" s="4" t="s">
        <v>124</v>
      </c>
      <c r="D36" s="30">
        <v>120</v>
      </c>
      <c r="E36" s="30">
        <v>120</v>
      </c>
      <c r="F36" s="30">
        <v>120</v>
      </c>
      <c r="G36" s="30">
        <v>120</v>
      </c>
      <c r="H36" s="30">
        <v>120</v>
      </c>
    </row>
    <row r="38" spans="2:8" ht="14" customHeight="1" x14ac:dyDescent="0.3">
      <c r="B38" s="3" t="s">
        <v>195</v>
      </c>
    </row>
    <row r="39" spans="2:8" ht="14" customHeight="1" x14ac:dyDescent="0.3">
      <c r="B39" s="4" t="s">
        <v>84</v>
      </c>
      <c r="D39" s="30">
        <v>103</v>
      </c>
      <c r="E39" s="30">
        <v>103</v>
      </c>
      <c r="F39" s="30">
        <v>103</v>
      </c>
      <c r="G39" s="30">
        <v>103</v>
      </c>
      <c r="H39" s="30">
        <v>103</v>
      </c>
    </row>
    <row r="40" spans="2:8" ht="14" customHeight="1" x14ac:dyDescent="0.3">
      <c r="B40" s="4" t="s">
        <v>121</v>
      </c>
      <c r="D40" s="30">
        <v>106</v>
      </c>
      <c r="E40" s="30">
        <v>106</v>
      </c>
      <c r="F40" s="30">
        <v>106</v>
      </c>
      <c r="G40" s="30">
        <v>106</v>
      </c>
      <c r="H40" s="30">
        <v>106</v>
      </c>
    </row>
    <row r="41" spans="2:8" ht="14" customHeight="1" x14ac:dyDescent="0.3">
      <c r="B41" s="4" t="s">
        <v>122</v>
      </c>
      <c r="D41" s="30">
        <v>103</v>
      </c>
      <c r="E41" s="30">
        <v>103</v>
      </c>
      <c r="F41" s="30">
        <v>103</v>
      </c>
      <c r="G41" s="30">
        <v>103</v>
      </c>
      <c r="H41" s="30">
        <v>103</v>
      </c>
    </row>
    <row r="42" spans="2:8" ht="14" customHeight="1" x14ac:dyDescent="0.3">
      <c r="B42" s="4" t="s">
        <v>123</v>
      </c>
      <c r="D42" s="30">
        <v>99</v>
      </c>
      <c r="E42" s="30">
        <v>99</v>
      </c>
      <c r="F42" s="30">
        <v>99</v>
      </c>
      <c r="G42" s="30">
        <v>99</v>
      </c>
      <c r="H42" s="30">
        <v>99</v>
      </c>
    </row>
    <row r="43" spans="2:8" ht="14" customHeight="1" x14ac:dyDescent="0.3">
      <c r="B43" s="4" t="s">
        <v>124</v>
      </c>
      <c r="D43" s="30">
        <v>94</v>
      </c>
      <c r="E43" s="30">
        <v>94</v>
      </c>
      <c r="F43" s="30">
        <v>94</v>
      </c>
      <c r="G43" s="30">
        <v>94</v>
      </c>
      <c r="H43" s="30">
        <v>94</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5518883.1184374997</v>
      </c>
      <c r="E5" s="37">
        <f>D5+C24</f>
        <v>5292078.1184374997</v>
      </c>
      <c r="F5" s="37">
        <v>2504820</v>
      </c>
      <c r="G5" s="37">
        <v>476606</v>
      </c>
      <c r="H5" s="37">
        <v>272414</v>
      </c>
      <c r="I5" s="37">
        <v>195663</v>
      </c>
      <c r="J5" s="38">
        <f t="shared" ref="J5:J10" si="0">IFERROR(E5/G5,"")</f>
        <v>11.103674981929517</v>
      </c>
      <c r="K5" s="38">
        <f t="shared" ref="K5:K10" si="1">IFERROR(E5/F5,"")</f>
        <v>2.1127578502397375</v>
      </c>
      <c r="L5" s="38">
        <f t="shared" ref="L5:L10" si="2">IFERROR(D5/I5,"")</f>
        <v>28.206064092023016</v>
      </c>
      <c r="M5" s="38">
        <f t="shared" ref="M5:M10" si="3">IFERROR(D5/P5,"")</f>
        <v>2.5232248211382502</v>
      </c>
      <c r="N5" s="39">
        <f t="shared" ref="N5:N10" si="4">IFERROR(H5/F5,"")</f>
        <v>0.10875591858896048</v>
      </c>
      <c r="O5" s="39">
        <f t="shared" ref="O5:O10" si="5">IFERROR(I5/P5,"")</f>
        <v>8.9456820806552928E-2</v>
      </c>
      <c r="P5" s="37">
        <v>2187234</v>
      </c>
    </row>
    <row r="6" spans="2:17" ht="14" customHeight="1" x14ac:dyDescent="0.3">
      <c r="B6" s="4" t="s">
        <v>214</v>
      </c>
      <c r="C6" t="s">
        <v>215</v>
      </c>
      <c r="D6" s="37">
        <v>13089866</v>
      </c>
      <c r="E6" s="37">
        <v>12491933</v>
      </c>
      <c r="F6" s="37">
        <v>1830856</v>
      </c>
      <c r="G6" s="37">
        <v>460047</v>
      </c>
      <c r="H6" s="37">
        <v>281835</v>
      </c>
      <c r="I6" s="37">
        <v>233920</v>
      </c>
      <c r="J6" s="38">
        <f t="shared" si="0"/>
        <v>27.153601697217894</v>
      </c>
      <c r="K6" s="38">
        <f t="shared" si="1"/>
        <v>6.8230013720358125</v>
      </c>
      <c r="L6" s="38">
        <f t="shared" si="2"/>
        <v>55.958729480164159</v>
      </c>
      <c r="M6" s="38">
        <f t="shared" si="3"/>
        <v>4.814675752728375</v>
      </c>
      <c r="N6" s="39">
        <f t="shared" si="4"/>
        <v>0.15393619159562522</v>
      </c>
      <c r="O6" s="39">
        <f t="shared" si="5"/>
        <v>8.6039761757547517E-2</v>
      </c>
      <c r="P6" s="37">
        <v>2718743</v>
      </c>
    </row>
    <row r="7" spans="2:17" ht="14" customHeight="1" x14ac:dyDescent="0.3">
      <c r="B7" s="4" t="s">
        <v>216</v>
      </c>
      <c r="C7" t="s">
        <v>217</v>
      </c>
      <c r="D7" s="37">
        <v>4475178</v>
      </c>
      <c r="E7" s="37">
        <v>4352015</v>
      </c>
      <c r="F7" s="37">
        <v>2070203</v>
      </c>
      <c r="G7" s="37">
        <v>253210</v>
      </c>
      <c r="H7" s="37">
        <v>95021</v>
      </c>
      <c r="I7" s="37">
        <v>140969</v>
      </c>
      <c r="J7" s="38">
        <f t="shared" si="0"/>
        <v>17.187374116346117</v>
      </c>
      <c r="K7" s="38">
        <f t="shared" si="1"/>
        <v>2.1022165459136133</v>
      </c>
      <c r="L7" s="38">
        <f t="shared" si="2"/>
        <v>31.745830643616681</v>
      </c>
      <c r="M7" s="38">
        <f t="shared" si="3"/>
        <v>1.3401019515001209</v>
      </c>
      <c r="N7" s="39">
        <f t="shared" si="4"/>
        <v>4.5899363492372489E-2</v>
      </c>
      <c r="O7" s="39">
        <f t="shared" si="5"/>
        <v>4.2213478883079185E-2</v>
      </c>
      <c r="P7" s="37">
        <v>3339431</v>
      </c>
    </row>
    <row r="8" spans="2:17" ht="14" customHeight="1" x14ac:dyDescent="0.3">
      <c r="B8" s="4" t="s">
        <v>218</v>
      </c>
      <c r="C8" t="s">
        <v>219</v>
      </c>
      <c r="D8" s="37">
        <v>1179635</v>
      </c>
      <c r="E8" s="37">
        <v>1250775</v>
      </c>
      <c r="F8" s="37">
        <v>355341</v>
      </c>
      <c r="G8" s="37">
        <v>69144</v>
      </c>
      <c r="H8" s="37">
        <v>19996</v>
      </c>
      <c r="I8" s="37">
        <v>14806</v>
      </c>
      <c r="J8" s="38">
        <f t="shared" si="0"/>
        <v>18.089422075668171</v>
      </c>
      <c r="K8" s="38">
        <f t="shared" si="1"/>
        <v>3.5199287445017604</v>
      </c>
      <c r="L8" s="38">
        <f t="shared" si="2"/>
        <v>79.672767796839125</v>
      </c>
      <c r="M8" s="38">
        <f t="shared" si="3"/>
        <v>3.4250693936332066</v>
      </c>
      <c r="N8" s="39">
        <f t="shared" si="4"/>
        <v>5.6272707061667523E-2</v>
      </c>
      <c r="O8" s="39">
        <f t="shared" si="5"/>
        <v>4.2989210596611038E-2</v>
      </c>
      <c r="P8" s="37">
        <v>344412</v>
      </c>
    </row>
    <row r="9" spans="2:17" ht="14" customHeight="1" x14ac:dyDescent="0.3">
      <c r="B9" s="4" t="s">
        <v>220</v>
      </c>
      <c r="C9" t="s">
        <v>221</v>
      </c>
      <c r="D9" s="37">
        <v>5755433</v>
      </c>
      <c r="E9" s="37">
        <v>5652289</v>
      </c>
      <c r="F9" s="37">
        <v>416201</v>
      </c>
      <c r="G9" s="37">
        <v>128264</v>
      </c>
      <c r="H9" s="37">
        <v>62028</v>
      </c>
      <c r="I9" s="37">
        <v>63713</v>
      </c>
      <c r="J9" s="38">
        <f t="shared" si="0"/>
        <v>44.067618349653841</v>
      </c>
      <c r="K9" s="38">
        <f t="shared" si="1"/>
        <v>13.580671358310047</v>
      </c>
      <c r="L9" s="38">
        <f t="shared" si="2"/>
        <v>90.333730949727681</v>
      </c>
      <c r="M9" s="38">
        <f t="shared" si="3"/>
        <v>10.463072948764795</v>
      </c>
      <c r="N9" s="39">
        <f t="shared" si="4"/>
        <v>0.14903376013032166</v>
      </c>
      <c r="O9" s="39">
        <f t="shared" si="5"/>
        <v>0.11582686598639085</v>
      </c>
      <c r="P9" s="37">
        <v>550071</v>
      </c>
    </row>
    <row r="10" spans="2:17" ht="14" customHeight="1" x14ac:dyDescent="0.3">
      <c r="B10" s="4" t="s">
        <v>222</v>
      </c>
      <c r="C10" t="s">
        <v>223</v>
      </c>
      <c r="D10" s="37">
        <v>810546</v>
      </c>
      <c r="E10" s="37">
        <v>729436</v>
      </c>
      <c r="F10" s="37">
        <v>211264</v>
      </c>
      <c r="G10" s="37">
        <v>62460</v>
      </c>
      <c r="H10" s="37">
        <v>42995</v>
      </c>
      <c r="I10" s="37">
        <v>33142</v>
      </c>
      <c r="J10" s="38">
        <f t="shared" si="0"/>
        <v>11.678450208133205</v>
      </c>
      <c r="K10" s="38">
        <f t="shared" si="1"/>
        <v>3.4527226598000604</v>
      </c>
      <c r="L10" s="38">
        <f t="shared" si="2"/>
        <v>24.456761812805503</v>
      </c>
      <c r="M10" s="38">
        <f t="shared" si="3"/>
        <v>2.1438762150366992</v>
      </c>
      <c r="N10" s="39">
        <f t="shared" si="4"/>
        <v>0.2035131399575886</v>
      </c>
      <c r="O10" s="39">
        <f t="shared" si="5"/>
        <v>8.7659855848707266E-2</v>
      </c>
      <c r="P10" s="37">
        <v>378075</v>
      </c>
    </row>
    <row r="14" spans="2:17" ht="14" customHeight="1" x14ac:dyDescent="0.3">
      <c r="B14" s="3" t="s">
        <v>224</v>
      </c>
    </row>
    <row r="15" spans="2:17" ht="14" customHeight="1" x14ac:dyDescent="0.3">
      <c r="B15" s="4" t="s">
        <v>225</v>
      </c>
      <c r="D15" s="38">
        <f t="shared" ref="D15:I15" si="6">PERCENTILE(J6:J10,0.25)</f>
        <v>17.187374116346117</v>
      </c>
      <c r="E15" s="38">
        <f t="shared" si="6"/>
        <v>3.4527226598000604</v>
      </c>
      <c r="F15" s="38">
        <f t="shared" si="6"/>
        <v>31.745830643616681</v>
      </c>
      <c r="G15" s="38">
        <f t="shared" si="6"/>
        <v>2.1438762150366992</v>
      </c>
      <c r="H15" s="39">
        <f t="shared" si="6"/>
        <v>5.6272707061667523E-2</v>
      </c>
      <c r="I15" s="39">
        <f t="shared" si="6"/>
        <v>4.2989210596611038E-2</v>
      </c>
    </row>
    <row r="16" spans="2:17" ht="14" customHeight="1" x14ac:dyDescent="0.3">
      <c r="B16" s="4" t="s">
        <v>226</v>
      </c>
      <c r="D16" s="38">
        <f t="shared" ref="D16:I16" si="7">MEDIAN(J6:J10)</f>
        <v>18.089422075668171</v>
      </c>
      <c r="E16" s="38">
        <f t="shared" si="7"/>
        <v>3.5199287445017604</v>
      </c>
      <c r="F16" s="38">
        <f t="shared" si="7"/>
        <v>55.958729480164159</v>
      </c>
      <c r="G16" s="38">
        <f t="shared" si="7"/>
        <v>3.4250693936332066</v>
      </c>
      <c r="H16" s="39">
        <f t="shared" si="7"/>
        <v>0.14903376013032166</v>
      </c>
      <c r="I16" s="39">
        <f t="shared" si="7"/>
        <v>8.6039761757547517E-2</v>
      </c>
    </row>
    <row r="17" spans="2:9" ht="14" customHeight="1" x14ac:dyDescent="0.3">
      <c r="B17" s="4" t="s">
        <v>227</v>
      </c>
      <c r="D17" s="38">
        <f t="shared" ref="D17:I17" si="8">PERCENTILE(J6:J10,0.75)</f>
        <v>27.153601697217894</v>
      </c>
      <c r="E17" s="38">
        <f t="shared" si="8"/>
        <v>6.8230013720358125</v>
      </c>
      <c r="F17" s="38">
        <f t="shared" si="8"/>
        <v>79.672767796839125</v>
      </c>
      <c r="G17" s="38">
        <f t="shared" si="8"/>
        <v>4.814675752728375</v>
      </c>
      <c r="H17" s="39">
        <f t="shared" si="8"/>
        <v>0.15393619159562522</v>
      </c>
      <c r="I17" s="39">
        <f t="shared" si="8"/>
        <v>8.7659855848707266E-2</v>
      </c>
    </row>
    <row r="19" spans="2:9" ht="14" customHeight="1" x14ac:dyDescent="0.3">
      <c r="B19" s="22" t="s">
        <v>228</v>
      </c>
      <c r="C19" s="23"/>
      <c r="D19" s="23"/>
      <c r="E19" s="23"/>
      <c r="F19" s="23"/>
      <c r="G19" s="23"/>
      <c r="H19" s="23"/>
      <c r="I19" s="23"/>
    </row>
    <row r="20" spans="2:9" ht="14" customHeight="1" x14ac:dyDescent="0.3">
      <c r="B20" s="3" t="s">
        <v>229</v>
      </c>
    </row>
    <row r="21" spans="2:9" ht="14" customHeight="1" x14ac:dyDescent="0.3">
      <c r="B21" s="4" t="s">
        <v>230</v>
      </c>
      <c r="C21" s="5">
        <v>476606</v>
      </c>
    </row>
    <row r="22" spans="2:9" ht="14" customHeight="1" x14ac:dyDescent="0.3">
      <c r="B22" s="4" t="s">
        <v>231</v>
      </c>
      <c r="C22" s="5">
        <v>195663</v>
      </c>
    </row>
    <row r="23" spans="2:9" ht="14" customHeight="1" x14ac:dyDescent="0.3">
      <c r="B23" s="4" t="s">
        <v>232</v>
      </c>
      <c r="C23" s="15">
        <v>1898154125</v>
      </c>
    </row>
    <row r="24" spans="2:9" ht="14" customHeight="1" x14ac:dyDescent="0.3">
      <c r="B24" s="4" t="s">
        <v>73</v>
      </c>
      <c r="C24" s="5">
        <v>-226805</v>
      </c>
    </row>
    <row r="26" spans="2:9" ht="14" customHeight="1" x14ac:dyDescent="0.3">
      <c r="B26" s="3" t="s">
        <v>233</v>
      </c>
    </row>
    <row r="27" spans="2:9" ht="14" customHeight="1" x14ac:dyDescent="0.3">
      <c r="B27" s="4" t="s">
        <v>234</v>
      </c>
      <c r="C27" s="24">
        <f>ROUND((C21*D16-C24)*1000000/C23,0)</f>
        <v>4662</v>
      </c>
    </row>
    <row r="28" spans="2:9" ht="14" customHeight="1" x14ac:dyDescent="0.3">
      <c r="B28" s="4" t="s">
        <v>235</v>
      </c>
      <c r="C28" s="24">
        <f>ROUND(C22*F16*1000000/C23,0)</f>
        <v>5768</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236</v>
      </c>
    </row>
    <row r="3" spans="2:9" ht="14" customHeight="1" x14ac:dyDescent="0.3">
      <c r="B3" s="4" t="s">
        <v>237</v>
      </c>
      <c r="C3" s="16">
        <f>'DCF Model'!C26</f>
        <v>0.13798650000000001</v>
      </c>
      <c r="E3" s="4" t="s">
        <v>238</v>
      </c>
      <c r="F3" s="16">
        <f>'DCF Model'!C13</f>
        <v>0.01</v>
      </c>
      <c r="H3" s="4" t="s">
        <v>239</v>
      </c>
      <c r="I3" s="14">
        <f>'DCF Model'!C14</f>
        <v>18.100000000000001</v>
      </c>
    </row>
    <row r="5" spans="2:9" ht="14" customHeight="1" x14ac:dyDescent="0.3">
      <c r="B5" s="3" t="s">
        <v>240</v>
      </c>
    </row>
    <row r="6" spans="2:9" ht="14" customHeight="1"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0.12298650000000001</v>
      </c>
      <c r="C7" s="37">
        <f>IFERROR(ROUND(('DCF Model'!C45/(1+$B7)^('DCF Model'!C19+0)+'DCF Model'!D45/(1+$B7)^('DCF Model'!C19+1)+'DCF Model'!E45/(1+$B7)^('DCF Model'!C19+2)+'DCF Model'!F45/(1+$B7)^('DCF Model'!C19+3)+'DCF Model'!G45/(1+$B7)^('DCF Model'!C19+4)+'DCF Model'!G45*(1+C$6)/($B7-C$6)/(1+$B7)^('DCF Model'!C19+4)-'DCF Model'!C16)*1000000/'DCF Model'!C15,0),"")</f>
        <v>906</v>
      </c>
      <c r="D7" s="37">
        <f>IFERROR(ROUND(('DCF Model'!C45/(1+$B7)^('DCF Model'!C19+0)+'DCF Model'!D45/(1+$B7)^('DCF Model'!C19+1)+'DCF Model'!E45/(1+$B7)^('DCF Model'!C19+2)+'DCF Model'!F45/(1+$B7)^('DCF Model'!C19+3)+'DCF Model'!G45/(1+$B7)^('DCF Model'!C19+4)+'DCF Model'!G45*(1+D$6)/($B7-D$6)/(1+$B7)^('DCF Model'!C19+4)-'DCF Model'!C16)*1000000/'DCF Model'!C15,0),"")</f>
        <v>918</v>
      </c>
      <c r="E7" s="37">
        <f>IFERROR(ROUND(('DCF Model'!C45/(1+$B7)^('DCF Model'!C19+0)+'DCF Model'!D45/(1+$B7)^('DCF Model'!C19+1)+'DCF Model'!E45/(1+$B7)^('DCF Model'!C19+2)+'DCF Model'!F45/(1+$B7)^('DCF Model'!C19+3)+'DCF Model'!G45/(1+$B7)^('DCF Model'!C19+4)+'DCF Model'!G45*(1+E$6)/($B7-E$6)/(1+$B7)^('DCF Model'!C19+4)-'DCF Model'!C16)*1000000/'DCF Model'!C15,0),"")</f>
        <v>931</v>
      </c>
      <c r="F7" s="37">
        <f>IFERROR(ROUND(('DCF Model'!C45/(1+$B7)^('DCF Model'!C19+0)+'DCF Model'!D45/(1+$B7)^('DCF Model'!C19+1)+'DCF Model'!E45/(1+$B7)^('DCF Model'!C19+2)+'DCF Model'!F45/(1+$B7)^('DCF Model'!C19+3)+'DCF Model'!G45/(1+$B7)^('DCF Model'!C19+4)+'DCF Model'!G45*(1+F$6)/($B7-F$6)/(1+$B7)^('DCF Model'!C19+4)-'DCF Model'!C16)*1000000/'DCF Model'!C15,0),"")</f>
        <v>945</v>
      </c>
      <c r="G7" s="37">
        <f>IFERROR(ROUND(('DCF Model'!C45/(1+$B7)^('DCF Model'!C19+0)+'DCF Model'!D45/(1+$B7)^('DCF Model'!C19+1)+'DCF Model'!E45/(1+$B7)^('DCF Model'!C19+2)+'DCF Model'!F45/(1+$B7)^('DCF Model'!C19+3)+'DCF Model'!G45/(1+$B7)^('DCF Model'!C19+4)+'DCF Model'!G45*(1+G$6)/($B7-G$6)/(1+$B7)^('DCF Model'!C19+4)-'DCF Model'!C16)*1000000/'DCF Model'!C15,0),"")</f>
        <v>959</v>
      </c>
      <c r="H7" s="37">
        <f>IFERROR(ROUND(('DCF Model'!C45/(1+$B7)^('DCF Model'!C19+0)+'DCF Model'!D45/(1+$B7)^('DCF Model'!C19+1)+'DCF Model'!E45/(1+$B7)^('DCF Model'!C19+2)+'DCF Model'!F45/(1+$B7)^('DCF Model'!C19+3)+'DCF Model'!G45/(1+$B7)^('DCF Model'!C19+4)+'DCF Model'!G45*(1+H$6)/($B7-H$6)/(1+$B7)^('DCF Model'!C19+4)-'DCF Model'!C16)*1000000/'DCF Model'!C15,0),"")</f>
        <v>974</v>
      </c>
      <c r="I7" s="37">
        <f>IFERROR(ROUND(('DCF Model'!C45/(1+$B7)^('DCF Model'!C19+0)+'DCF Model'!D45/(1+$B7)^('DCF Model'!C19+1)+'DCF Model'!E45/(1+$B7)^('DCF Model'!C19+2)+'DCF Model'!F45/(1+$B7)^('DCF Model'!C19+3)+'DCF Model'!G45/(1+$B7)^('DCF Model'!C19+4)+'DCF Model'!G45*(1+I$6)/($B7-I$6)/(1+$B7)^('DCF Model'!C19+4)-'DCF Model'!C16)*1000000/'DCF Model'!C15,0),"")</f>
        <v>989</v>
      </c>
    </row>
    <row r="8" spans="2:9" ht="13.5" customHeight="1" x14ac:dyDescent="0.25">
      <c r="B8" s="39">
        <f>$C$3-0.01</f>
        <v>0.1279865</v>
      </c>
      <c r="C8" s="37">
        <f>IFERROR(ROUND(('DCF Model'!C45/(1+$B8)^('DCF Model'!C19+0)+'DCF Model'!D45/(1+$B8)^('DCF Model'!C19+1)+'DCF Model'!E45/(1+$B8)^('DCF Model'!C19+2)+'DCF Model'!F45/(1+$B8)^('DCF Model'!C19+3)+'DCF Model'!G45/(1+$B8)^('DCF Model'!C19+4)+'DCF Model'!G45*(1+C$6)/($B8-C$6)/(1+$B8)^('DCF Model'!C19+4)-'DCF Model'!C16)*1000000/'DCF Model'!C15,0),"")</f>
        <v>870</v>
      </c>
      <c r="D8" s="37">
        <f>IFERROR(ROUND(('DCF Model'!C45/(1+$B8)^('DCF Model'!C19+0)+'DCF Model'!D45/(1+$B8)^('DCF Model'!C19+1)+'DCF Model'!E45/(1+$B8)^('DCF Model'!C19+2)+'DCF Model'!F45/(1+$B8)^('DCF Model'!C19+3)+'DCF Model'!G45/(1+$B8)^('DCF Model'!C19+4)+'DCF Model'!G45*(1+D$6)/($B8-D$6)/(1+$B8)^('DCF Model'!C19+4)-'DCF Model'!C16)*1000000/'DCF Model'!C15,0),"")</f>
        <v>881</v>
      </c>
      <c r="E8" s="37">
        <f>IFERROR(ROUND(('DCF Model'!C45/(1+$B8)^('DCF Model'!C19+0)+'DCF Model'!D45/(1+$B8)^('DCF Model'!C19+1)+'DCF Model'!E45/(1+$B8)^('DCF Model'!C19+2)+'DCF Model'!F45/(1+$B8)^('DCF Model'!C19+3)+'DCF Model'!G45/(1+$B8)^('DCF Model'!C19+4)+'DCF Model'!G45*(1+E$6)/($B8-E$6)/(1+$B8)^('DCF Model'!C19+4)-'DCF Model'!C16)*1000000/'DCF Model'!C15,0),"")</f>
        <v>893</v>
      </c>
      <c r="F8" s="37">
        <f>IFERROR(ROUND(('DCF Model'!C45/(1+$B8)^('DCF Model'!C19+0)+'DCF Model'!D45/(1+$B8)^('DCF Model'!C19+1)+'DCF Model'!E45/(1+$B8)^('DCF Model'!C19+2)+'DCF Model'!F45/(1+$B8)^('DCF Model'!C19+3)+'DCF Model'!G45/(1+$B8)^('DCF Model'!C19+4)+'DCF Model'!G45*(1+F$6)/($B8-F$6)/(1+$B8)^('DCF Model'!C19+4)-'DCF Model'!C16)*1000000/'DCF Model'!C15,0),"")</f>
        <v>905</v>
      </c>
      <c r="G8" s="37">
        <f>IFERROR(ROUND(('DCF Model'!C45/(1+$B8)^('DCF Model'!C19+0)+'DCF Model'!D45/(1+$B8)^('DCF Model'!C19+1)+'DCF Model'!E45/(1+$B8)^('DCF Model'!C19+2)+'DCF Model'!F45/(1+$B8)^('DCF Model'!C19+3)+'DCF Model'!G45/(1+$B8)^('DCF Model'!C19+4)+'DCF Model'!G45*(1+G$6)/($B8-G$6)/(1+$B8)^('DCF Model'!C19+4)-'DCF Model'!C16)*1000000/'DCF Model'!C15,0),"")</f>
        <v>918</v>
      </c>
      <c r="H8" s="37">
        <f>IFERROR(ROUND(('DCF Model'!C45/(1+$B8)^('DCF Model'!C19+0)+'DCF Model'!D45/(1+$B8)^('DCF Model'!C19+1)+'DCF Model'!E45/(1+$B8)^('DCF Model'!C19+2)+'DCF Model'!F45/(1+$B8)^('DCF Model'!C19+3)+'DCF Model'!G45/(1+$B8)^('DCF Model'!C19+4)+'DCF Model'!G45*(1+H$6)/($B8-H$6)/(1+$B8)^('DCF Model'!C19+4)-'DCF Model'!C16)*1000000/'DCF Model'!C15,0),"")</f>
        <v>931</v>
      </c>
      <c r="I8" s="37">
        <f>IFERROR(ROUND(('DCF Model'!C45/(1+$B8)^('DCF Model'!C19+0)+'DCF Model'!D45/(1+$B8)^('DCF Model'!C19+1)+'DCF Model'!E45/(1+$B8)^('DCF Model'!C19+2)+'DCF Model'!F45/(1+$B8)^('DCF Model'!C19+3)+'DCF Model'!G45/(1+$B8)^('DCF Model'!C19+4)+'DCF Model'!G45*(1+I$6)/($B8-I$6)/(1+$B8)^('DCF Model'!C19+4)-'DCF Model'!C16)*1000000/'DCF Model'!C15,0),"")</f>
        <v>945</v>
      </c>
    </row>
    <row r="9" spans="2:9" ht="13.5" customHeight="1" x14ac:dyDescent="0.25">
      <c r="B9" s="39">
        <f>$C$3-0.005</f>
        <v>0.13298650000000001</v>
      </c>
      <c r="C9" s="37">
        <f>IFERROR(ROUND(('DCF Model'!C45/(1+$B9)^('DCF Model'!C19+0)+'DCF Model'!D45/(1+$B9)^('DCF Model'!C19+1)+'DCF Model'!E45/(1+$B9)^('DCF Model'!C19+2)+'DCF Model'!F45/(1+$B9)^('DCF Model'!C19+3)+'DCF Model'!G45/(1+$B9)^('DCF Model'!C19+4)+'DCF Model'!G45*(1+C$6)/($B9-C$6)/(1+$B9)^('DCF Model'!C19+4)-'DCF Model'!C16)*1000000/'DCF Model'!C15,0),"")</f>
        <v>837</v>
      </c>
      <c r="D9" s="37">
        <f>IFERROR(ROUND(('DCF Model'!C45/(1+$B9)^('DCF Model'!C19+0)+'DCF Model'!D45/(1+$B9)^('DCF Model'!C19+1)+'DCF Model'!E45/(1+$B9)^('DCF Model'!C19+2)+'DCF Model'!F45/(1+$B9)^('DCF Model'!C19+3)+'DCF Model'!G45/(1+$B9)^('DCF Model'!C19+4)+'DCF Model'!G45*(1+D$6)/($B9-D$6)/(1+$B9)^('DCF Model'!C19+4)-'DCF Model'!C16)*1000000/'DCF Model'!C15,0),"")</f>
        <v>847</v>
      </c>
      <c r="E9" s="37">
        <f>IFERROR(ROUND(('DCF Model'!C45/(1+$B9)^('DCF Model'!C19+0)+'DCF Model'!D45/(1+$B9)^('DCF Model'!C19+1)+'DCF Model'!E45/(1+$B9)^('DCF Model'!C19+2)+'DCF Model'!F45/(1+$B9)^('DCF Model'!C19+3)+'DCF Model'!G45/(1+$B9)^('DCF Model'!C19+4)+'DCF Model'!G45*(1+E$6)/($B9-E$6)/(1+$B9)^('DCF Model'!C19+4)-'DCF Model'!C16)*1000000/'DCF Model'!C15,0),"")</f>
        <v>858</v>
      </c>
      <c r="F9" s="37">
        <f>IFERROR(ROUND(('DCF Model'!C45/(1+$B9)^('DCF Model'!C19+0)+'DCF Model'!D45/(1+$B9)^('DCF Model'!C19+1)+'DCF Model'!E45/(1+$B9)^('DCF Model'!C19+2)+'DCF Model'!F45/(1+$B9)^('DCF Model'!C19+3)+'DCF Model'!G45/(1+$B9)^('DCF Model'!C19+4)+'DCF Model'!G45*(1+F$6)/($B9-F$6)/(1+$B9)^('DCF Model'!C19+4)-'DCF Model'!C16)*1000000/'DCF Model'!C15,0),"")</f>
        <v>869</v>
      </c>
      <c r="G9" s="37">
        <f>IFERROR(ROUND(('DCF Model'!C45/(1+$B9)^('DCF Model'!C19+0)+'DCF Model'!D45/(1+$B9)^('DCF Model'!C19+1)+'DCF Model'!E45/(1+$B9)^('DCF Model'!C19+2)+'DCF Model'!F45/(1+$B9)^('DCF Model'!C19+3)+'DCF Model'!G45/(1+$B9)^('DCF Model'!C19+4)+'DCF Model'!G45*(1+G$6)/($B9-G$6)/(1+$B9)^('DCF Model'!C19+4)-'DCF Model'!C16)*1000000/'DCF Model'!C15,0),"")</f>
        <v>880</v>
      </c>
      <c r="H9" s="37">
        <f>IFERROR(ROUND(('DCF Model'!C45/(1+$B9)^('DCF Model'!C19+0)+'DCF Model'!D45/(1+$B9)^('DCF Model'!C19+1)+'DCF Model'!E45/(1+$B9)^('DCF Model'!C19+2)+'DCF Model'!F45/(1+$B9)^('DCF Model'!C19+3)+'DCF Model'!G45/(1+$B9)^('DCF Model'!C19+4)+'DCF Model'!G45*(1+H$6)/($B9-H$6)/(1+$B9)^('DCF Model'!C19+4)-'DCF Model'!C16)*1000000/'DCF Model'!C15,0),"")</f>
        <v>892</v>
      </c>
      <c r="I9" s="37">
        <f>IFERROR(ROUND(('DCF Model'!C45/(1+$B9)^('DCF Model'!C19+0)+'DCF Model'!D45/(1+$B9)^('DCF Model'!C19+1)+'DCF Model'!E45/(1+$B9)^('DCF Model'!C19+2)+'DCF Model'!F45/(1+$B9)^('DCF Model'!C19+3)+'DCF Model'!G45/(1+$B9)^('DCF Model'!C19+4)+'DCF Model'!G45*(1+I$6)/($B9-I$6)/(1+$B9)^('DCF Model'!C19+4)-'DCF Model'!C16)*1000000/'DCF Model'!C15,0),"")</f>
        <v>905</v>
      </c>
    </row>
    <row r="10" spans="2:9" ht="13.5" customHeight="1" x14ac:dyDescent="0.25">
      <c r="B10" s="39">
        <f>$C$3</f>
        <v>0.13798650000000001</v>
      </c>
      <c r="C10" s="37">
        <f>IFERROR(ROUND(('DCF Model'!C45/(1+$B10)^('DCF Model'!C19+0)+'DCF Model'!D45/(1+$B10)^('DCF Model'!C19+1)+'DCF Model'!E45/(1+$B10)^('DCF Model'!C19+2)+'DCF Model'!F45/(1+$B10)^('DCF Model'!C19+3)+'DCF Model'!G45/(1+$B10)^('DCF Model'!C19+4)+'DCF Model'!G45*(1+C$6)/($B10-C$6)/(1+$B10)^('DCF Model'!C19+4)-'DCF Model'!C16)*1000000/'DCF Model'!C15,0),"")</f>
        <v>806</v>
      </c>
      <c r="D10" s="37">
        <f>IFERROR(ROUND(('DCF Model'!C45/(1+$B10)^('DCF Model'!C19+0)+'DCF Model'!D45/(1+$B10)^('DCF Model'!C19+1)+'DCF Model'!E45/(1+$B10)^('DCF Model'!C19+2)+'DCF Model'!F45/(1+$B10)^('DCF Model'!C19+3)+'DCF Model'!G45/(1+$B10)^('DCF Model'!C19+4)+'DCF Model'!G45*(1+D$6)/($B10-D$6)/(1+$B10)^('DCF Model'!C19+4)-'DCF Model'!C16)*1000000/'DCF Model'!C15,0),"")</f>
        <v>815</v>
      </c>
      <c r="E10" s="37">
        <f>IFERROR(ROUND(('DCF Model'!C45/(1+$B10)^('DCF Model'!C19+0)+'DCF Model'!D45/(1+$B10)^('DCF Model'!C19+1)+'DCF Model'!E45/(1+$B10)^('DCF Model'!C19+2)+'DCF Model'!F45/(1+$B10)^('DCF Model'!C19+3)+'DCF Model'!G45/(1+$B10)^('DCF Model'!C19+4)+'DCF Model'!G45*(1+E$6)/($B10-E$6)/(1+$B10)^('DCF Model'!C19+4)-'DCF Model'!C16)*1000000/'DCF Model'!C15,0),"")</f>
        <v>825</v>
      </c>
      <c r="F10" s="37">
        <f>IFERROR(ROUND(('DCF Model'!C45/(1+$B10)^('DCF Model'!C19+0)+'DCF Model'!D45/(1+$B10)^('DCF Model'!C19+1)+'DCF Model'!E45/(1+$B10)^('DCF Model'!C19+2)+'DCF Model'!F45/(1+$B10)^('DCF Model'!C19+3)+'DCF Model'!G45/(1+$B10)^('DCF Model'!C19+4)+'DCF Model'!G45*(1+F$6)/($B10-F$6)/(1+$B10)^('DCF Model'!C19+4)-'DCF Model'!C16)*1000000/'DCF Model'!C15,0),"")</f>
        <v>835</v>
      </c>
      <c r="G10" s="37">
        <f>IFERROR(ROUND(('DCF Model'!C45/(1+$B10)^('DCF Model'!C19+0)+'DCF Model'!D45/(1+$B10)^('DCF Model'!C19+1)+'DCF Model'!E45/(1+$B10)^('DCF Model'!C19+2)+'DCF Model'!F45/(1+$B10)^('DCF Model'!C19+3)+'DCF Model'!G45/(1+$B10)^('DCF Model'!C19+4)+'DCF Model'!G45*(1+G$6)/($B10-G$6)/(1+$B10)^('DCF Model'!C19+4)-'DCF Model'!C16)*1000000/'DCF Model'!C15,0),"")</f>
        <v>846</v>
      </c>
      <c r="H10" s="37">
        <f>IFERROR(ROUND(('DCF Model'!C45/(1+$B10)^('DCF Model'!C19+0)+'DCF Model'!D45/(1+$B10)^('DCF Model'!C19+1)+'DCF Model'!E45/(1+$B10)^('DCF Model'!C19+2)+'DCF Model'!F45/(1+$B10)^('DCF Model'!C19+3)+'DCF Model'!G45/(1+$B10)^('DCF Model'!C19+4)+'DCF Model'!G45*(1+H$6)/($B10-H$6)/(1+$B10)^('DCF Model'!C19+4)-'DCF Model'!C16)*1000000/'DCF Model'!C15,0),"")</f>
        <v>857</v>
      </c>
      <c r="I10" s="37">
        <f>IFERROR(ROUND(('DCF Model'!C45/(1+$B10)^('DCF Model'!C19+0)+'DCF Model'!D45/(1+$B10)^('DCF Model'!C19+1)+'DCF Model'!E45/(1+$B10)^('DCF Model'!C19+2)+'DCF Model'!F45/(1+$B10)^('DCF Model'!C19+3)+'DCF Model'!G45/(1+$B10)^('DCF Model'!C19+4)+'DCF Model'!G45*(1+I$6)/($B10-I$6)/(1+$B10)^('DCF Model'!C19+4)-'DCF Model'!C16)*1000000/'DCF Model'!C15,0),"")</f>
        <v>868</v>
      </c>
    </row>
    <row r="11" spans="2:9" ht="13.5" customHeight="1" x14ac:dyDescent="0.25">
      <c r="B11" s="39">
        <f>$C$3+0.005</f>
        <v>0.14298650000000002</v>
      </c>
      <c r="C11" s="37">
        <f>IFERROR(ROUND(('DCF Model'!C45/(1+$B11)^('DCF Model'!C19+0)+'DCF Model'!D45/(1+$B11)^('DCF Model'!C19+1)+'DCF Model'!E45/(1+$B11)^('DCF Model'!C19+2)+'DCF Model'!F45/(1+$B11)^('DCF Model'!C19+3)+'DCF Model'!G45/(1+$B11)^('DCF Model'!C19+4)+'DCF Model'!G45*(1+C$6)/($B11-C$6)/(1+$B11)^('DCF Model'!C19+4)-'DCF Model'!C16)*1000000/'DCF Model'!C15,0),"")</f>
        <v>778</v>
      </c>
      <c r="D11" s="37">
        <f>IFERROR(ROUND(('DCF Model'!C45/(1+$B11)^('DCF Model'!C19+0)+'DCF Model'!D45/(1+$B11)^('DCF Model'!C19+1)+'DCF Model'!E45/(1+$B11)^('DCF Model'!C19+2)+'DCF Model'!F45/(1+$B11)^('DCF Model'!C19+3)+'DCF Model'!G45/(1+$B11)^('DCF Model'!C19+4)+'DCF Model'!G45*(1+D$6)/($B11-D$6)/(1+$B11)^('DCF Model'!C19+4)-'DCF Model'!C16)*1000000/'DCF Model'!C15,0),"")</f>
        <v>786</v>
      </c>
      <c r="E11" s="37">
        <f>IFERROR(ROUND(('DCF Model'!C45/(1+$B11)^('DCF Model'!C19+0)+'DCF Model'!D45/(1+$B11)^('DCF Model'!C19+1)+'DCF Model'!E45/(1+$B11)^('DCF Model'!C19+2)+'DCF Model'!F45/(1+$B11)^('DCF Model'!C19+3)+'DCF Model'!G45/(1+$B11)^('DCF Model'!C19+4)+'DCF Model'!G45*(1+E$6)/($B11-E$6)/(1+$B11)^('DCF Model'!C19+4)-'DCF Model'!C16)*1000000/'DCF Model'!C15,0),"")</f>
        <v>795</v>
      </c>
      <c r="F11" s="37">
        <f>IFERROR(ROUND(('DCF Model'!C45/(1+$B11)^('DCF Model'!C19+0)+'DCF Model'!D45/(1+$B11)^('DCF Model'!C19+1)+'DCF Model'!E45/(1+$B11)^('DCF Model'!C19+2)+'DCF Model'!F45/(1+$B11)^('DCF Model'!C19+3)+'DCF Model'!G45/(1+$B11)^('DCF Model'!C19+4)+'DCF Model'!G45*(1+F$6)/($B11-F$6)/(1+$B11)^('DCF Model'!C19+4)-'DCF Model'!C16)*1000000/'DCF Model'!C15,0),"")</f>
        <v>804</v>
      </c>
      <c r="G11" s="37">
        <f>IFERROR(ROUND(('DCF Model'!C45/(1+$B11)^('DCF Model'!C19+0)+'DCF Model'!D45/(1+$B11)^('DCF Model'!C19+1)+'DCF Model'!E45/(1+$B11)^('DCF Model'!C19+2)+'DCF Model'!F45/(1+$B11)^('DCF Model'!C19+3)+'DCF Model'!G45/(1+$B11)^('DCF Model'!C19+4)+'DCF Model'!G45*(1+G$6)/($B11-G$6)/(1+$B11)^('DCF Model'!C19+4)-'DCF Model'!C16)*1000000/'DCF Model'!C15,0),"")</f>
        <v>814</v>
      </c>
      <c r="H11" s="37">
        <f>IFERROR(ROUND(('DCF Model'!C45/(1+$B11)^('DCF Model'!C19+0)+'DCF Model'!D45/(1+$B11)^('DCF Model'!C19+1)+'DCF Model'!E45/(1+$B11)^('DCF Model'!C19+2)+'DCF Model'!F45/(1+$B11)^('DCF Model'!C19+3)+'DCF Model'!G45/(1+$B11)^('DCF Model'!C19+4)+'DCF Model'!G45*(1+H$6)/($B11-H$6)/(1+$B11)^('DCF Model'!C19+4)-'DCF Model'!C16)*1000000/'DCF Model'!C15,0),"")</f>
        <v>824</v>
      </c>
      <c r="I11" s="37">
        <f>IFERROR(ROUND(('DCF Model'!C45/(1+$B11)^('DCF Model'!C19+0)+'DCF Model'!D45/(1+$B11)^('DCF Model'!C19+1)+'DCF Model'!E45/(1+$B11)^('DCF Model'!C19+2)+'DCF Model'!F45/(1+$B11)^('DCF Model'!C19+3)+'DCF Model'!G45/(1+$B11)^('DCF Model'!C19+4)+'DCF Model'!G45*(1+I$6)/($B11-I$6)/(1+$B11)^('DCF Model'!C19+4)-'DCF Model'!C16)*1000000/'DCF Model'!C15,0),"")</f>
        <v>834</v>
      </c>
    </row>
    <row r="12" spans="2:9" ht="13.5" customHeight="1" x14ac:dyDescent="0.25">
      <c r="B12" s="39">
        <f>$C$3+0.01</f>
        <v>0.14798650000000002</v>
      </c>
      <c r="C12" s="37">
        <f>IFERROR(ROUND(('DCF Model'!C45/(1+$B12)^('DCF Model'!C19+0)+'DCF Model'!D45/(1+$B12)^('DCF Model'!C19+1)+'DCF Model'!E45/(1+$B12)^('DCF Model'!C19+2)+'DCF Model'!F45/(1+$B12)^('DCF Model'!C19+3)+'DCF Model'!G45/(1+$B12)^('DCF Model'!C19+4)+'DCF Model'!G45*(1+C$6)/($B12-C$6)/(1+$B12)^('DCF Model'!C19+4)-'DCF Model'!C16)*1000000/'DCF Model'!C15,0),"")</f>
        <v>751</v>
      </c>
      <c r="D12" s="37">
        <f>IFERROR(ROUND(('DCF Model'!C45/(1+$B12)^('DCF Model'!C19+0)+'DCF Model'!D45/(1+$B12)^('DCF Model'!C19+1)+'DCF Model'!E45/(1+$B12)^('DCF Model'!C19+2)+'DCF Model'!F45/(1+$B12)^('DCF Model'!C19+3)+'DCF Model'!G45/(1+$B12)^('DCF Model'!C19+4)+'DCF Model'!G45*(1+D$6)/($B12-D$6)/(1+$B12)^('DCF Model'!C19+4)-'DCF Model'!C16)*1000000/'DCF Model'!C15,0),"")</f>
        <v>759</v>
      </c>
      <c r="E12" s="37">
        <f>IFERROR(ROUND(('DCF Model'!C45/(1+$B12)^('DCF Model'!C19+0)+'DCF Model'!D45/(1+$B12)^('DCF Model'!C19+1)+'DCF Model'!E45/(1+$B12)^('DCF Model'!C19+2)+'DCF Model'!F45/(1+$B12)^('DCF Model'!C19+3)+'DCF Model'!G45/(1+$B12)^('DCF Model'!C19+4)+'DCF Model'!G45*(1+E$6)/($B12-E$6)/(1+$B12)^('DCF Model'!C19+4)-'DCF Model'!C16)*1000000/'DCF Model'!C15,0),"")</f>
        <v>767</v>
      </c>
      <c r="F12" s="37">
        <f>IFERROR(ROUND(('DCF Model'!C45/(1+$B12)^('DCF Model'!C19+0)+'DCF Model'!D45/(1+$B12)^('DCF Model'!C19+1)+'DCF Model'!E45/(1+$B12)^('DCF Model'!C19+2)+'DCF Model'!F45/(1+$B12)^('DCF Model'!C19+3)+'DCF Model'!G45/(1+$B12)^('DCF Model'!C19+4)+'DCF Model'!G45*(1+F$6)/($B12-F$6)/(1+$B12)^('DCF Model'!C19+4)-'DCF Model'!C16)*1000000/'DCF Model'!C15,0),"")</f>
        <v>776</v>
      </c>
      <c r="G12" s="37">
        <f>IFERROR(ROUND(('DCF Model'!C45/(1+$B12)^('DCF Model'!C19+0)+'DCF Model'!D45/(1+$B12)^('DCF Model'!C19+1)+'DCF Model'!E45/(1+$B12)^('DCF Model'!C19+2)+'DCF Model'!F45/(1+$B12)^('DCF Model'!C19+3)+'DCF Model'!G45/(1+$B12)^('DCF Model'!C19+4)+'DCF Model'!G45*(1+G$6)/($B12-G$6)/(1+$B12)^('DCF Model'!C19+4)-'DCF Model'!C16)*1000000/'DCF Model'!C15,0),"")</f>
        <v>784</v>
      </c>
      <c r="H12" s="37">
        <f>IFERROR(ROUND(('DCF Model'!C45/(1+$B12)^('DCF Model'!C19+0)+'DCF Model'!D45/(1+$B12)^('DCF Model'!C19+1)+'DCF Model'!E45/(1+$B12)^('DCF Model'!C19+2)+'DCF Model'!F45/(1+$B12)^('DCF Model'!C19+3)+'DCF Model'!G45/(1+$B12)^('DCF Model'!C19+4)+'DCF Model'!G45*(1+H$6)/($B12-H$6)/(1+$B12)^('DCF Model'!C19+4)-'DCF Model'!C16)*1000000/'DCF Model'!C15,0),"")</f>
        <v>793</v>
      </c>
      <c r="I12" s="37">
        <f>IFERROR(ROUND(('DCF Model'!C45/(1+$B12)^('DCF Model'!C19+0)+'DCF Model'!D45/(1+$B12)^('DCF Model'!C19+1)+'DCF Model'!E45/(1+$B12)^('DCF Model'!C19+2)+'DCF Model'!F45/(1+$B12)^('DCF Model'!C19+3)+'DCF Model'!G45/(1+$B12)^('DCF Model'!C19+4)+'DCF Model'!G45*(1+I$6)/($B12-I$6)/(1+$B12)^('DCF Model'!C19+4)-'DCF Model'!C16)*1000000/'DCF Model'!C15,0),"")</f>
        <v>803</v>
      </c>
    </row>
    <row r="13" spans="2:9" ht="13.5" customHeight="1" x14ac:dyDescent="0.25">
      <c r="B13" s="39">
        <f>$C$3+0.015</f>
        <v>0.15298650000000003</v>
      </c>
      <c r="C13" s="37">
        <f>IFERROR(ROUND(('DCF Model'!C45/(1+$B13)^('DCF Model'!C19+0)+'DCF Model'!D45/(1+$B13)^('DCF Model'!C19+1)+'DCF Model'!E45/(1+$B13)^('DCF Model'!C19+2)+'DCF Model'!F45/(1+$B13)^('DCF Model'!C19+3)+'DCF Model'!G45/(1+$B13)^('DCF Model'!C19+4)+'DCF Model'!G45*(1+C$6)/($B13-C$6)/(1+$B13)^('DCF Model'!C19+4)-'DCF Model'!C16)*1000000/'DCF Model'!C15,0),"")</f>
        <v>727</v>
      </c>
      <c r="D13" s="37">
        <f>IFERROR(ROUND(('DCF Model'!C45/(1+$B13)^('DCF Model'!C19+0)+'DCF Model'!D45/(1+$B13)^('DCF Model'!C19+1)+'DCF Model'!E45/(1+$B13)^('DCF Model'!C19+2)+'DCF Model'!F45/(1+$B13)^('DCF Model'!C19+3)+'DCF Model'!G45/(1+$B13)^('DCF Model'!C19+4)+'DCF Model'!G45*(1+D$6)/($B13-D$6)/(1+$B13)^('DCF Model'!C19+4)-'DCF Model'!C16)*1000000/'DCF Model'!C15,0),"")</f>
        <v>734</v>
      </c>
      <c r="E13" s="37">
        <f>IFERROR(ROUND(('DCF Model'!C45/(1+$B13)^('DCF Model'!C19+0)+'DCF Model'!D45/(1+$B13)^('DCF Model'!C19+1)+'DCF Model'!E45/(1+$B13)^('DCF Model'!C19+2)+'DCF Model'!F45/(1+$B13)^('DCF Model'!C19+3)+'DCF Model'!G45/(1+$B13)^('DCF Model'!C19+4)+'DCF Model'!G45*(1+E$6)/($B13-E$6)/(1+$B13)^('DCF Model'!C19+4)-'DCF Model'!C16)*1000000/'DCF Model'!C15,0),"")</f>
        <v>741</v>
      </c>
      <c r="F13" s="37">
        <f>IFERROR(ROUND(('DCF Model'!C45/(1+$B13)^('DCF Model'!C19+0)+'DCF Model'!D45/(1+$B13)^('DCF Model'!C19+1)+'DCF Model'!E45/(1+$B13)^('DCF Model'!C19+2)+'DCF Model'!F45/(1+$B13)^('DCF Model'!C19+3)+'DCF Model'!G45/(1+$B13)^('DCF Model'!C19+4)+'DCF Model'!G45*(1+F$6)/($B13-F$6)/(1+$B13)^('DCF Model'!C19+4)-'DCF Model'!C16)*1000000/'DCF Model'!C15,0),"")</f>
        <v>749</v>
      </c>
      <c r="G13" s="37">
        <f>IFERROR(ROUND(('DCF Model'!C45/(1+$B13)^('DCF Model'!C19+0)+'DCF Model'!D45/(1+$B13)^('DCF Model'!C19+1)+'DCF Model'!E45/(1+$B13)^('DCF Model'!C19+2)+'DCF Model'!F45/(1+$B13)^('DCF Model'!C19+3)+'DCF Model'!G45/(1+$B13)^('DCF Model'!C19+4)+'DCF Model'!G45*(1+G$6)/($B13-G$6)/(1+$B13)^('DCF Model'!C19+4)-'DCF Model'!C16)*1000000/'DCF Model'!C15,0),"")</f>
        <v>757</v>
      </c>
      <c r="H13" s="37">
        <f>IFERROR(ROUND(('DCF Model'!C45/(1+$B13)^('DCF Model'!C19+0)+'DCF Model'!D45/(1+$B13)^('DCF Model'!C19+1)+'DCF Model'!E45/(1+$B13)^('DCF Model'!C19+2)+'DCF Model'!F45/(1+$B13)^('DCF Model'!C19+3)+'DCF Model'!G45/(1+$B13)^('DCF Model'!C19+4)+'DCF Model'!G45*(1+H$6)/($B13-H$6)/(1+$B13)^('DCF Model'!C19+4)-'DCF Model'!C16)*1000000/'DCF Model'!C15,0),"")</f>
        <v>765</v>
      </c>
      <c r="I13" s="37">
        <f>IFERROR(ROUND(('DCF Model'!C45/(1+$B13)^('DCF Model'!C19+0)+'DCF Model'!D45/(1+$B13)^('DCF Model'!C19+1)+'DCF Model'!E45/(1+$B13)^('DCF Model'!C19+2)+'DCF Model'!F45/(1+$B13)^('DCF Model'!C19+3)+'DCF Model'!G45/(1+$B13)^('DCF Model'!C19+4)+'DCF Model'!G45*(1+I$6)/($B13-I$6)/(1+$B13)^('DCF Model'!C19+4)-'DCF Model'!C16)*1000000/'DCF Model'!C15,0),"")</f>
        <v>774</v>
      </c>
    </row>
    <row r="16" spans="2:9" ht="14" customHeight="1" x14ac:dyDescent="0.3">
      <c r="B16" s="3" t="s">
        <v>242</v>
      </c>
    </row>
    <row r="17" spans="2:9" ht="14" customHeight="1" x14ac:dyDescent="0.3">
      <c r="B17" s="40" t="s">
        <v>243</v>
      </c>
      <c r="C17" s="42">
        <f>$I$3-3</f>
        <v>15.100000000000001</v>
      </c>
      <c r="D17" s="42">
        <f>$I$3-2</f>
        <v>16.100000000000001</v>
      </c>
      <c r="E17" s="42">
        <f>$I$3-1</f>
        <v>17.100000000000001</v>
      </c>
      <c r="F17" s="42">
        <f>$I$3</f>
        <v>18.100000000000001</v>
      </c>
      <c r="G17" s="42">
        <f>$I$3+1</f>
        <v>19.100000000000001</v>
      </c>
      <c r="H17" s="42">
        <f>$I$3+2</f>
        <v>20.100000000000001</v>
      </c>
      <c r="I17" s="42">
        <f>$I$3+3</f>
        <v>21.1</v>
      </c>
    </row>
    <row r="18" spans="2:9" ht="13.5" customHeight="1" x14ac:dyDescent="0.25">
      <c r="B18" s="39">
        <f>$C$3-0.015</f>
        <v>0.12298650000000001</v>
      </c>
      <c r="C18" s="37">
        <f>IFERROR(ROUND(('DCF Model'!C45/(1+$B18)^('DCF Model'!C19+0)+'DCF Model'!D45/(1+$B18)^('DCF Model'!C19+1)+'DCF Model'!E45/(1+$B18)^('DCF Model'!C19+2)+'DCF Model'!F45/(1+$B18)^('DCF Model'!C19+3)+'DCF Model'!G45/(1+$B18)^('DCF Model'!C19+4)+('DCF Model'!G39+'DCF Model'!G42)*C$17/(1+$B18)^('DCF Model'!C19+4)-'DCF Model'!C16)*1000000/'DCF Model'!C15,0),"")</f>
        <v>3006</v>
      </c>
      <c r="D18" s="37">
        <f>IFERROR(ROUND(('DCF Model'!C45/(1+$B18)^('DCF Model'!C19+0)+'DCF Model'!D45/(1+$B18)^('DCF Model'!C19+1)+'DCF Model'!E45/(1+$B18)^('DCF Model'!C19+2)+'DCF Model'!F45/(1+$B18)^('DCF Model'!C19+3)+'DCF Model'!G45/(1+$B18)^('DCF Model'!C19+4)+('DCF Model'!G39+'DCF Model'!G42)*D$17/(1+$B18)^('DCF Model'!C19+4)-'DCF Model'!C16)*1000000/'DCF Model'!C15,0),"")</f>
        <v>3180</v>
      </c>
      <c r="E18" s="37">
        <f>IFERROR(ROUND(('DCF Model'!C45/(1+$B18)^('DCF Model'!C19+0)+'DCF Model'!D45/(1+$B18)^('DCF Model'!C19+1)+'DCF Model'!E45/(1+$B18)^('DCF Model'!C19+2)+'DCF Model'!F45/(1+$B18)^('DCF Model'!C19+3)+'DCF Model'!G45/(1+$B18)^('DCF Model'!C19+4)+('DCF Model'!G39+'DCF Model'!G42)*E$17/(1+$B18)^('DCF Model'!C19+4)-'DCF Model'!C16)*1000000/'DCF Model'!C15,0),"")</f>
        <v>3353</v>
      </c>
      <c r="F18" s="37">
        <f>IFERROR(ROUND(('DCF Model'!C45/(1+$B18)^('DCF Model'!C19+0)+'DCF Model'!D45/(1+$B18)^('DCF Model'!C19+1)+'DCF Model'!E45/(1+$B18)^('DCF Model'!C19+2)+'DCF Model'!F45/(1+$B18)^('DCF Model'!C19+3)+'DCF Model'!G45/(1+$B18)^('DCF Model'!C19+4)+('DCF Model'!G39+'DCF Model'!G42)*F$17/(1+$B18)^('DCF Model'!C19+4)-'DCF Model'!C16)*1000000/'DCF Model'!C15,0),"")</f>
        <v>3527</v>
      </c>
      <c r="G18" s="37">
        <f>IFERROR(ROUND(('DCF Model'!C45/(1+$B18)^('DCF Model'!C19+0)+'DCF Model'!D45/(1+$B18)^('DCF Model'!C19+1)+'DCF Model'!E45/(1+$B18)^('DCF Model'!C19+2)+'DCF Model'!F45/(1+$B18)^('DCF Model'!C19+3)+'DCF Model'!G45/(1+$B18)^('DCF Model'!C19+4)+('DCF Model'!G39+'DCF Model'!G42)*G$17/(1+$B18)^('DCF Model'!C19+4)-'DCF Model'!C16)*1000000/'DCF Model'!C15,0),"")</f>
        <v>3701</v>
      </c>
      <c r="H18" s="37">
        <f>IFERROR(ROUND(('DCF Model'!C45/(1+$B18)^('DCF Model'!C19+0)+'DCF Model'!D45/(1+$B18)^('DCF Model'!C19+1)+'DCF Model'!E45/(1+$B18)^('DCF Model'!C19+2)+'DCF Model'!F45/(1+$B18)^('DCF Model'!C19+3)+'DCF Model'!G45/(1+$B18)^('DCF Model'!C19+4)+('DCF Model'!G39+'DCF Model'!G42)*H$17/(1+$B18)^('DCF Model'!C19+4)-'DCF Model'!C16)*1000000/'DCF Model'!C15,0),"")</f>
        <v>3875</v>
      </c>
      <c r="I18" s="37">
        <f>IFERROR(ROUND(('DCF Model'!C45/(1+$B18)^('DCF Model'!C19+0)+'DCF Model'!D45/(1+$B18)^('DCF Model'!C19+1)+'DCF Model'!E45/(1+$B18)^('DCF Model'!C19+2)+'DCF Model'!F45/(1+$B18)^('DCF Model'!C19+3)+'DCF Model'!G45/(1+$B18)^('DCF Model'!C19+4)+('DCF Model'!G39+'DCF Model'!G42)*I$17/(1+$B18)^('DCF Model'!C19+4)-'DCF Model'!C16)*1000000/'DCF Model'!C15,0),"")</f>
        <v>4049</v>
      </c>
    </row>
    <row r="19" spans="2:9" ht="13.5" customHeight="1" x14ac:dyDescent="0.25">
      <c r="B19" s="39">
        <f>$C$3-0.01</f>
        <v>0.1279865</v>
      </c>
      <c r="C19" s="37">
        <f>IFERROR(ROUND(('DCF Model'!C45/(1+$B19)^('DCF Model'!C19+0)+'DCF Model'!D45/(1+$B19)^('DCF Model'!C19+1)+'DCF Model'!E45/(1+$B19)^('DCF Model'!C19+2)+'DCF Model'!F45/(1+$B19)^('DCF Model'!C19+3)+'DCF Model'!G45/(1+$B19)^('DCF Model'!C19+4)+('DCF Model'!G39+'DCF Model'!G42)*C$17/(1+$B19)^('DCF Model'!C19+4)-'DCF Model'!C16)*1000000/'DCF Model'!C15,0),"")</f>
        <v>2944</v>
      </c>
      <c r="D19" s="37">
        <f>IFERROR(ROUND(('DCF Model'!C45/(1+$B19)^('DCF Model'!C19+0)+'DCF Model'!D45/(1+$B19)^('DCF Model'!C19+1)+'DCF Model'!E45/(1+$B19)^('DCF Model'!C19+2)+'DCF Model'!F45/(1+$B19)^('DCF Model'!C19+3)+'DCF Model'!G45/(1+$B19)^('DCF Model'!C19+4)+('DCF Model'!G39+'DCF Model'!G42)*D$17/(1+$B19)^('DCF Model'!C19+4)-'DCF Model'!C16)*1000000/'DCF Model'!C15,0),"")</f>
        <v>3114</v>
      </c>
      <c r="E19" s="37">
        <f>IFERROR(ROUND(('DCF Model'!C45/(1+$B19)^('DCF Model'!C19+0)+'DCF Model'!D45/(1+$B19)^('DCF Model'!C19+1)+'DCF Model'!E45/(1+$B19)^('DCF Model'!C19+2)+'DCF Model'!F45/(1+$B19)^('DCF Model'!C19+3)+'DCF Model'!G45/(1+$B19)^('DCF Model'!C19+4)+('DCF Model'!G39+'DCF Model'!G42)*E$17/(1+$B19)^('DCF Model'!C19+4)-'DCF Model'!C16)*1000000/'DCF Model'!C15,0),"")</f>
        <v>3284</v>
      </c>
      <c r="F19" s="37">
        <f>IFERROR(ROUND(('DCF Model'!C45/(1+$B19)^('DCF Model'!C19+0)+'DCF Model'!D45/(1+$B19)^('DCF Model'!C19+1)+'DCF Model'!E45/(1+$B19)^('DCF Model'!C19+2)+'DCF Model'!F45/(1+$B19)^('DCF Model'!C19+3)+'DCF Model'!G45/(1+$B19)^('DCF Model'!C19+4)+('DCF Model'!G39+'DCF Model'!G42)*F$17/(1+$B19)^('DCF Model'!C19+4)-'DCF Model'!C16)*1000000/'DCF Model'!C15,0),"")</f>
        <v>3454</v>
      </c>
      <c r="G19" s="37">
        <f>IFERROR(ROUND(('DCF Model'!C45/(1+$B19)^('DCF Model'!C19+0)+'DCF Model'!D45/(1+$B19)^('DCF Model'!C19+1)+'DCF Model'!E45/(1+$B19)^('DCF Model'!C19+2)+'DCF Model'!F45/(1+$B19)^('DCF Model'!C19+3)+'DCF Model'!G45/(1+$B19)^('DCF Model'!C19+4)+('DCF Model'!G39+'DCF Model'!G42)*G$17/(1+$B19)^('DCF Model'!C19+4)-'DCF Model'!C16)*1000000/'DCF Model'!C15,0),"")</f>
        <v>3625</v>
      </c>
      <c r="H19" s="37">
        <f>IFERROR(ROUND(('DCF Model'!C45/(1+$B19)^('DCF Model'!C19+0)+'DCF Model'!D45/(1+$B19)^('DCF Model'!C19+1)+'DCF Model'!E45/(1+$B19)^('DCF Model'!C19+2)+'DCF Model'!F45/(1+$B19)^('DCF Model'!C19+3)+'DCF Model'!G45/(1+$B19)^('DCF Model'!C19+4)+('DCF Model'!G39+'DCF Model'!G42)*H$17/(1+$B19)^('DCF Model'!C19+4)-'DCF Model'!C16)*1000000/'DCF Model'!C15,0),"")</f>
        <v>3795</v>
      </c>
      <c r="I19" s="37">
        <f>IFERROR(ROUND(('DCF Model'!C45/(1+$B19)^('DCF Model'!C19+0)+'DCF Model'!D45/(1+$B19)^('DCF Model'!C19+1)+'DCF Model'!E45/(1+$B19)^('DCF Model'!C19+2)+'DCF Model'!F45/(1+$B19)^('DCF Model'!C19+3)+'DCF Model'!G45/(1+$B19)^('DCF Model'!C19+4)+('DCF Model'!G39+'DCF Model'!G42)*I$17/(1+$B19)^('DCF Model'!C19+4)-'DCF Model'!C16)*1000000/'DCF Model'!C15,0),"")</f>
        <v>3965</v>
      </c>
    </row>
    <row r="20" spans="2:9" ht="13.5" customHeight="1" x14ac:dyDescent="0.25">
      <c r="B20" s="39">
        <f>$C$3-0.005</f>
        <v>0.13298650000000001</v>
      </c>
      <c r="C20" s="37">
        <f>IFERROR(ROUND(('DCF Model'!C45/(1+$B20)^('DCF Model'!C19+0)+'DCF Model'!D45/(1+$B20)^('DCF Model'!C19+1)+'DCF Model'!E45/(1+$B20)^('DCF Model'!C19+2)+'DCF Model'!F45/(1+$B20)^('DCF Model'!C19+3)+'DCF Model'!G45/(1+$B20)^('DCF Model'!C19+4)+('DCF Model'!G39+'DCF Model'!G42)*C$17/(1+$B20)^('DCF Model'!C19+4)-'DCF Model'!C16)*1000000/'DCF Model'!C15,0),"")</f>
        <v>2884</v>
      </c>
      <c r="D20" s="37">
        <f>IFERROR(ROUND(('DCF Model'!C45/(1+$B20)^('DCF Model'!C19+0)+'DCF Model'!D45/(1+$B20)^('DCF Model'!C19+1)+'DCF Model'!E45/(1+$B20)^('DCF Model'!C19+2)+'DCF Model'!F45/(1+$B20)^('DCF Model'!C19+3)+'DCF Model'!G45/(1+$B20)^('DCF Model'!C19+4)+('DCF Model'!G39+'DCF Model'!G42)*D$17/(1+$B20)^('DCF Model'!C19+4)-'DCF Model'!C16)*1000000/'DCF Model'!C15,0),"")</f>
        <v>3051</v>
      </c>
      <c r="E20" s="37">
        <f>IFERROR(ROUND(('DCF Model'!C45/(1+$B20)^('DCF Model'!C19+0)+'DCF Model'!D45/(1+$B20)^('DCF Model'!C19+1)+'DCF Model'!E45/(1+$B20)^('DCF Model'!C19+2)+'DCF Model'!F45/(1+$B20)^('DCF Model'!C19+3)+'DCF Model'!G45/(1+$B20)^('DCF Model'!C19+4)+('DCF Model'!G39+'DCF Model'!G42)*E$17/(1+$B20)^('DCF Model'!C19+4)-'DCF Model'!C16)*1000000/'DCF Model'!C15,0),"")</f>
        <v>3217</v>
      </c>
      <c r="F20" s="37">
        <f>IFERROR(ROUND(('DCF Model'!C45/(1+$B20)^('DCF Model'!C19+0)+'DCF Model'!D45/(1+$B20)^('DCF Model'!C19+1)+'DCF Model'!E45/(1+$B20)^('DCF Model'!C19+2)+'DCF Model'!F45/(1+$B20)^('DCF Model'!C19+3)+'DCF Model'!G45/(1+$B20)^('DCF Model'!C19+4)+('DCF Model'!G39+'DCF Model'!G42)*F$17/(1+$B20)^('DCF Model'!C19+4)-'DCF Model'!C16)*1000000/'DCF Model'!C15,0),"")</f>
        <v>3383</v>
      </c>
      <c r="G20" s="37">
        <f>IFERROR(ROUND(('DCF Model'!C45/(1+$B20)^('DCF Model'!C19+0)+'DCF Model'!D45/(1+$B20)^('DCF Model'!C19+1)+'DCF Model'!E45/(1+$B20)^('DCF Model'!C19+2)+'DCF Model'!F45/(1+$B20)^('DCF Model'!C19+3)+'DCF Model'!G45/(1+$B20)^('DCF Model'!C19+4)+('DCF Model'!G39+'DCF Model'!G42)*G$17/(1+$B20)^('DCF Model'!C19+4)-'DCF Model'!C16)*1000000/'DCF Model'!C15,0),"")</f>
        <v>3550</v>
      </c>
      <c r="H20" s="37">
        <f>IFERROR(ROUND(('DCF Model'!C45/(1+$B20)^('DCF Model'!C19+0)+'DCF Model'!D45/(1+$B20)^('DCF Model'!C19+1)+'DCF Model'!E45/(1+$B20)^('DCF Model'!C19+2)+'DCF Model'!F45/(1+$B20)^('DCF Model'!C19+3)+'DCF Model'!G45/(1+$B20)^('DCF Model'!C19+4)+('DCF Model'!G39+'DCF Model'!G42)*H$17/(1+$B20)^('DCF Model'!C19+4)-'DCF Model'!C16)*1000000/'DCF Model'!C15,0),"")</f>
        <v>3716</v>
      </c>
      <c r="I20" s="37">
        <f>IFERROR(ROUND(('DCF Model'!C45/(1+$B20)^('DCF Model'!C19+0)+'DCF Model'!D45/(1+$B20)^('DCF Model'!C19+1)+'DCF Model'!E45/(1+$B20)^('DCF Model'!C19+2)+'DCF Model'!F45/(1+$B20)^('DCF Model'!C19+3)+'DCF Model'!G45/(1+$B20)^('DCF Model'!C19+4)+('DCF Model'!G39+'DCF Model'!G42)*I$17/(1+$B20)^('DCF Model'!C19+4)-'DCF Model'!C16)*1000000/'DCF Model'!C15,0),"")</f>
        <v>3882</v>
      </c>
    </row>
    <row r="21" spans="2:9" ht="13.5" customHeight="1" x14ac:dyDescent="0.25">
      <c r="B21" s="39">
        <f>$C$3</f>
        <v>0.13798650000000001</v>
      </c>
      <c r="C21" s="37">
        <f>IFERROR(ROUND(('DCF Model'!C45/(1+$B21)^('DCF Model'!C19+0)+'DCF Model'!D45/(1+$B21)^('DCF Model'!C19+1)+'DCF Model'!E45/(1+$B21)^('DCF Model'!C19+2)+'DCF Model'!F45/(1+$B21)^('DCF Model'!C19+3)+'DCF Model'!G45/(1+$B21)^('DCF Model'!C19+4)+('DCF Model'!G39+'DCF Model'!G42)*C$17/(1+$B21)^('DCF Model'!C19+4)-'DCF Model'!C16)*1000000/'DCF Model'!C15,0),"")</f>
        <v>2826</v>
      </c>
      <c r="D21" s="37">
        <f>IFERROR(ROUND(('DCF Model'!C45/(1+$B21)^('DCF Model'!C19+0)+'DCF Model'!D45/(1+$B21)^('DCF Model'!C19+1)+'DCF Model'!E45/(1+$B21)^('DCF Model'!C19+2)+'DCF Model'!F45/(1+$B21)^('DCF Model'!C19+3)+'DCF Model'!G45/(1+$B21)^('DCF Model'!C19+4)+('DCF Model'!G39+'DCF Model'!G42)*D$17/(1+$B21)^('DCF Model'!C19+4)-'DCF Model'!C16)*1000000/'DCF Model'!C15,0),"")</f>
        <v>2989</v>
      </c>
      <c r="E21" s="37">
        <f>IFERROR(ROUND(('DCF Model'!C45/(1+$B21)^('DCF Model'!C19+0)+'DCF Model'!D45/(1+$B21)^('DCF Model'!C19+1)+'DCF Model'!E45/(1+$B21)^('DCF Model'!C19+2)+'DCF Model'!F45/(1+$B21)^('DCF Model'!C19+3)+'DCF Model'!G45/(1+$B21)^('DCF Model'!C19+4)+('DCF Model'!G39+'DCF Model'!G42)*E$17/(1+$B21)^('DCF Model'!C19+4)-'DCF Model'!C16)*1000000/'DCF Model'!C15,0),"")</f>
        <v>3151</v>
      </c>
      <c r="F21" s="37">
        <f>IFERROR(ROUND(('DCF Model'!C45/(1+$B21)^('DCF Model'!C19+0)+'DCF Model'!D45/(1+$B21)^('DCF Model'!C19+1)+'DCF Model'!E45/(1+$B21)^('DCF Model'!C19+2)+'DCF Model'!F45/(1+$B21)^('DCF Model'!C19+3)+'DCF Model'!G45/(1+$B21)^('DCF Model'!C19+4)+('DCF Model'!G39+'DCF Model'!G42)*F$17/(1+$B21)^('DCF Model'!C19+4)-'DCF Model'!C16)*1000000/'DCF Model'!C15,0),"")</f>
        <v>3314</v>
      </c>
      <c r="G21" s="37">
        <f>IFERROR(ROUND(('DCF Model'!C45/(1+$B21)^('DCF Model'!C19+0)+'DCF Model'!D45/(1+$B21)^('DCF Model'!C19+1)+'DCF Model'!E45/(1+$B21)^('DCF Model'!C19+2)+'DCF Model'!F45/(1+$B21)^('DCF Model'!C19+3)+'DCF Model'!G45/(1+$B21)^('DCF Model'!C19+4)+('DCF Model'!G39+'DCF Model'!G42)*G$17/(1+$B21)^('DCF Model'!C19+4)-'DCF Model'!C16)*1000000/'DCF Model'!C15,0),"")</f>
        <v>3477</v>
      </c>
      <c r="H21" s="37">
        <f>IFERROR(ROUND(('DCF Model'!C45/(1+$B21)^('DCF Model'!C19+0)+'DCF Model'!D45/(1+$B21)^('DCF Model'!C19+1)+'DCF Model'!E45/(1+$B21)^('DCF Model'!C19+2)+'DCF Model'!F45/(1+$B21)^('DCF Model'!C19+3)+'DCF Model'!G45/(1+$B21)^('DCF Model'!C19+4)+('DCF Model'!G39+'DCF Model'!G42)*H$17/(1+$B21)^('DCF Model'!C19+4)-'DCF Model'!C16)*1000000/'DCF Model'!C15,0),"")</f>
        <v>3640</v>
      </c>
      <c r="I21" s="37">
        <f>IFERROR(ROUND(('DCF Model'!C45/(1+$B21)^('DCF Model'!C19+0)+'DCF Model'!D45/(1+$B21)^('DCF Model'!C19+1)+'DCF Model'!E45/(1+$B21)^('DCF Model'!C19+2)+'DCF Model'!F45/(1+$B21)^('DCF Model'!C19+3)+'DCF Model'!G45/(1+$B21)^('DCF Model'!C19+4)+('DCF Model'!G39+'DCF Model'!G42)*I$17/(1+$B21)^('DCF Model'!C19+4)-'DCF Model'!C16)*1000000/'DCF Model'!C15,0),"")</f>
        <v>3802</v>
      </c>
    </row>
    <row r="22" spans="2:9" ht="13.5" customHeight="1" x14ac:dyDescent="0.25">
      <c r="B22" s="39">
        <f>$C$3+0.005</f>
        <v>0.14298650000000002</v>
      </c>
      <c r="C22" s="37">
        <f>IFERROR(ROUND(('DCF Model'!C45/(1+$B22)^('DCF Model'!C19+0)+'DCF Model'!D45/(1+$B22)^('DCF Model'!C19+1)+'DCF Model'!E45/(1+$B22)^('DCF Model'!C19+2)+'DCF Model'!F45/(1+$B22)^('DCF Model'!C19+3)+'DCF Model'!G45/(1+$B22)^('DCF Model'!C19+4)+('DCF Model'!G39+'DCF Model'!G42)*C$17/(1+$B22)^('DCF Model'!C19+4)-'DCF Model'!C16)*1000000/'DCF Model'!C15,0),"")</f>
        <v>2769</v>
      </c>
      <c r="D22" s="37">
        <f>IFERROR(ROUND(('DCF Model'!C45/(1+$B22)^('DCF Model'!C19+0)+'DCF Model'!D45/(1+$B22)^('DCF Model'!C19+1)+'DCF Model'!E45/(1+$B22)^('DCF Model'!C19+2)+'DCF Model'!F45/(1+$B22)^('DCF Model'!C19+3)+'DCF Model'!G45/(1+$B22)^('DCF Model'!C19+4)+('DCF Model'!G39+'DCF Model'!G42)*D$17/(1+$B22)^('DCF Model'!C19+4)-'DCF Model'!C16)*1000000/'DCF Model'!C15,0),"")</f>
        <v>2928</v>
      </c>
      <c r="E22" s="37">
        <f>IFERROR(ROUND(('DCF Model'!C45/(1+$B22)^('DCF Model'!C19+0)+'DCF Model'!D45/(1+$B22)^('DCF Model'!C19+1)+'DCF Model'!E45/(1+$B22)^('DCF Model'!C19+2)+'DCF Model'!F45/(1+$B22)^('DCF Model'!C19+3)+'DCF Model'!G45/(1+$B22)^('DCF Model'!C19+4)+('DCF Model'!G39+'DCF Model'!G42)*E$17/(1+$B22)^('DCF Model'!C19+4)-'DCF Model'!C16)*1000000/'DCF Model'!C15,0),"")</f>
        <v>3087</v>
      </c>
      <c r="F22" s="37">
        <f>IFERROR(ROUND(('DCF Model'!C45/(1+$B22)^('DCF Model'!C19+0)+'DCF Model'!D45/(1+$B22)^('DCF Model'!C19+1)+'DCF Model'!E45/(1+$B22)^('DCF Model'!C19+2)+'DCF Model'!F45/(1+$B22)^('DCF Model'!C19+3)+'DCF Model'!G45/(1+$B22)^('DCF Model'!C19+4)+('DCF Model'!G39+'DCF Model'!G42)*F$17/(1+$B22)^('DCF Model'!C19+4)-'DCF Model'!C16)*1000000/'DCF Model'!C15,0),"")</f>
        <v>3247</v>
      </c>
      <c r="G22" s="37">
        <f>IFERROR(ROUND(('DCF Model'!C45/(1+$B22)^('DCF Model'!C19+0)+'DCF Model'!D45/(1+$B22)^('DCF Model'!C19+1)+'DCF Model'!E45/(1+$B22)^('DCF Model'!C19+2)+'DCF Model'!F45/(1+$B22)^('DCF Model'!C19+3)+'DCF Model'!G45/(1+$B22)^('DCF Model'!C19+4)+('DCF Model'!G39+'DCF Model'!G42)*G$17/(1+$B22)^('DCF Model'!C19+4)-'DCF Model'!C16)*1000000/'DCF Model'!C15,0),"")</f>
        <v>3406</v>
      </c>
      <c r="H22" s="37">
        <f>IFERROR(ROUND(('DCF Model'!C45/(1+$B22)^('DCF Model'!C19+0)+'DCF Model'!D45/(1+$B22)^('DCF Model'!C19+1)+'DCF Model'!E45/(1+$B22)^('DCF Model'!C19+2)+'DCF Model'!F45/(1+$B22)^('DCF Model'!C19+3)+'DCF Model'!G45/(1+$B22)^('DCF Model'!C19+4)+('DCF Model'!G39+'DCF Model'!G42)*H$17/(1+$B22)^('DCF Model'!C19+4)-'DCF Model'!C16)*1000000/'DCF Model'!C15,0),"")</f>
        <v>3565</v>
      </c>
      <c r="I22" s="37">
        <f>IFERROR(ROUND(('DCF Model'!C45/(1+$B22)^('DCF Model'!C19+0)+'DCF Model'!D45/(1+$B22)^('DCF Model'!C19+1)+'DCF Model'!E45/(1+$B22)^('DCF Model'!C19+2)+'DCF Model'!F45/(1+$B22)^('DCF Model'!C19+3)+'DCF Model'!G45/(1+$B22)^('DCF Model'!C19+4)+('DCF Model'!G39+'DCF Model'!G42)*I$17/(1+$B22)^('DCF Model'!C19+4)-'DCF Model'!C16)*1000000/'DCF Model'!C15,0),"")</f>
        <v>3724</v>
      </c>
    </row>
    <row r="23" spans="2:9" ht="13.5" customHeight="1" x14ac:dyDescent="0.25">
      <c r="B23" s="39">
        <f>$C$3+0.01</f>
        <v>0.14798650000000002</v>
      </c>
      <c r="C23" s="37">
        <f>IFERROR(ROUND(('DCF Model'!C45/(1+$B23)^('DCF Model'!C19+0)+'DCF Model'!D45/(1+$B23)^('DCF Model'!C19+1)+'DCF Model'!E45/(1+$B23)^('DCF Model'!C19+2)+'DCF Model'!F45/(1+$B23)^('DCF Model'!C19+3)+'DCF Model'!G45/(1+$B23)^('DCF Model'!C19+4)+('DCF Model'!G39+'DCF Model'!G42)*C$17/(1+$B23)^('DCF Model'!C19+4)-'DCF Model'!C16)*1000000/'DCF Model'!C15,0),"")</f>
        <v>2714</v>
      </c>
      <c r="D23" s="37">
        <f>IFERROR(ROUND(('DCF Model'!C45/(1+$B23)^('DCF Model'!C19+0)+'DCF Model'!D45/(1+$B23)^('DCF Model'!C19+1)+'DCF Model'!E45/(1+$B23)^('DCF Model'!C19+2)+'DCF Model'!F45/(1+$B23)^('DCF Model'!C19+3)+'DCF Model'!G45/(1+$B23)^('DCF Model'!C19+4)+('DCF Model'!G39+'DCF Model'!G42)*D$17/(1+$B23)^('DCF Model'!C19+4)-'DCF Model'!C16)*1000000/'DCF Model'!C15,0),"")</f>
        <v>2869</v>
      </c>
      <c r="E23" s="37">
        <f>IFERROR(ROUND(('DCF Model'!C45/(1+$B23)^('DCF Model'!C19+0)+'DCF Model'!D45/(1+$B23)^('DCF Model'!C19+1)+'DCF Model'!E45/(1+$B23)^('DCF Model'!C19+2)+'DCF Model'!F45/(1+$B23)^('DCF Model'!C19+3)+'DCF Model'!G45/(1+$B23)^('DCF Model'!C19+4)+('DCF Model'!G39+'DCF Model'!G42)*E$17/(1+$B23)^('DCF Model'!C19+4)-'DCF Model'!C16)*1000000/'DCF Model'!C15,0),"")</f>
        <v>3025</v>
      </c>
      <c r="F23" s="37">
        <f>IFERROR(ROUND(('DCF Model'!C45/(1+$B23)^('DCF Model'!C19+0)+'DCF Model'!D45/(1+$B23)^('DCF Model'!C19+1)+'DCF Model'!E45/(1+$B23)^('DCF Model'!C19+2)+'DCF Model'!F45/(1+$B23)^('DCF Model'!C19+3)+'DCF Model'!G45/(1+$B23)^('DCF Model'!C19+4)+('DCF Model'!G39+'DCF Model'!G42)*F$17/(1+$B23)^('DCF Model'!C19+4)-'DCF Model'!C16)*1000000/'DCF Model'!C15,0),"")</f>
        <v>3181</v>
      </c>
      <c r="G23" s="37">
        <f>IFERROR(ROUND(('DCF Model'!C45/(1+$B23)^('DCF Model'!C19+0)+'DCF Model'!D45/(1+$B23)^('DCF Model'!C19+1)+'DCF Model'!E45/(1+$B23)^('DCF Model'!C19+2)+'DCF Model'!F45/(1+$B23)^('DCF Model'!C19+3)+'DCF Model'!G45/(1+$B23)^('DCF Model'!C19+4)+('DCF Model'!G39+'DCF Model'!G42)*G$17/(1+$B23)^('DCF Model'!C19+4)-'DCF Model'!C16)*1000000/'DCF Model'!C15,0),"")</f>
        <v>3337</v>
      </c>
      <c r="H23" s="37">
        <f>IFERROR(ROUND(('DCF Model'!C45/(1+$B23)^('DCF Model'!C19+0)+'DCF Model'!D45/(1+$B23)^('DCF Model'!C19+1)+'DCF Model'!E45/(1+$B23)^('DCF Model'!C19+2)+'DCF Model'!F45/(1+$B23)^('DCF Model'!C19+3)+'DCF Model'!G45/(1+$B23)^('DCF Model'!C19+4)+('DCF Model'!G39+'DCF Model'!G42)*H$17/(1+$B23)^('DCF Model'!C19+4)-'DCF Model'!C16)*1000000/'DCF Model'!C15,0),"")</f>
        <v>3492</v>
      </c>
      <c r="I23" s="37">
        <f>IFERROR(ROUND(('DCF Model'!C45/(1+$B23)^('DCF Model'!C19+0)+'DCF Model'!D45/(1+$B23)^('DCF Model'!C19+1)+'DCF Model'!E45/(1+$B23)^('DCF Model'!C19+2)+'DCF Model'!F45/(1+$B23)^('DCF Model'!C19+3)+'DCF Model'!G45/(1+$B23)^('DCF Model'!C19+4)+('DCF Model'!G39+'DCF Model'!G42)*I$17/(1+$B23)^('DCF Model'!C19+4)-'DCF Model'!C16)*1000000/'DCF Model'!C15,0),"")</f>
        <v>3648</v>
      </c>
    </row>
    <row r="24" spans="2:9" ht="13.5" customHeight="1" x14ac:dyDescent="0.25">
      <c r="B24" s="39">
        <f>$C$3+0.015</f>
        <v>0.15298650000000003</v>
      </c>
      <c r="C24" s="37">
        <f>IFERROR(ROUND(('DCF Model'!C45/(1+$B24)^('DCF Model'!C19+0)+'DCF Model'!D45/(1+$B24)^('DCF Model'!C19+1)+'DCF Model'!E45/(1+$B24)^('DCF Model'!C19+2)+'DCF Model'!F45/(1+$B24)^('DCF Model'!C19+3)+'DCF Model'!G45/(1+$B24)^('DCF Model'!C19+4)+('DCF Model'!G39+'DCF Model'!G42)*C$17/(1+$B24)^('DCF Model'!C19+4)-'DCF Model'!C16)*1000000/'DCF Model'!C15,0),"")</f>
        <v>2659</v>
      </c>
      <c r="D24" s="37">
        <f>IFERROR(ROUND(('DCF Model'!C45/(1+$B24)^('DCF Model'!C19+0)+'DCF Model'!D45/(1+$B24)^('DCF Model'!C19+1)+'DCF Model'!E45/(1+$B24)^('DCF Model'!C19+2)+'DCF Model'!F45/(1+$B24)^('DCF Model'!C19+3)+'DCF Model'!G45/(1+$B24)^('DCF Model'!C19+4)+('DCF Model'!G39+'DCF Model'!G42)*D$17/(1+$B24)^('DCF Model'!C19+4)-'DCF Model'!C16)*1000000/'DCF Model'!C15,0),"")</f>
        <v>2812</v>
      </c>
      <c r="E24" s="37">
        <f>IFERROR(ROUND(('DCF Model'!C45/(1+$B24)^('DCF Model'!C19+0)+'DCF Model'!D45/(1+$B24)^('DCF Model'!C19+1)+'DCF Model'!E45/(1+$B24)^('DCF Model'!C19+2)+'DCF Model'!F45/(1+$B24)^('DCF Model'!C19+3)+'DCF Model'!G45/(1+$B24)^('DCF Model'!C19+4)+('DCF Model'!G39+'DCF Model'!G42)*E$17/(1+$B24)^('DCF Model'!C19+4)-'DCF Model'!C16)*1000000/'DCF Model'!C15,0),"")</f>
        <v>2964</v>
      </c>
      <c r="F24" s="37">
        <f>IFERROR(ROUND(('DCF Model'!C45/(1+$B24)^('DCF Model'!C19+0)+'DCF Model'!D45/(1+$B24)^('DCF Model'!C19+1)+'DCF Model'!E45/(1+$B24)^('DCF Model'!C19+2)+'DCF Model'!F45/(1+$B24)^('DCF Model'!C19+3)+'DCF Model'!G45/(1+$B24)^('DCF Model'!C19+4)+('DCF Model'!G39+'DCF Model'!G42)*F$17/(1+$B24)^('DCF Model'!C19+4)-'DCF Model'!C16)*1000000/'DCF Model'!C15,0),"")</f>
        <v>3117</v>
      </c>
      <c r="G24" s="37">
        <f>IFERROR(ROUND(('DCF Model'!C45/(1+$B24)^('DCF Model'!C19+0)+'DCF Model'!D45/(1+$B24)^('DCF Model'!C19+1)+'DCF Model'!E45/(1+$B24)^('DCF Model'!C19+2)+'DCF Model'!F45/(1+$B24)^('DCF Model'!C19+3)+'DCF Model'!G45/(1+$B24)^('DCF Model'!C19+4)+('DCF Model'!G39+'DCF Model'!G42)*G$17/(1+$B24)^('DCF Model'!C19+4)-'DCF Model'!C16)*1000000/'DCF Model'!C15,0),"")</f>
        <v>3269</v>
      </c>
      <c r="H24" s="37">
        <f>IFERROR(ROUND(('DCF Model'!C45/(1+$B24)^('DCF Model'!C19+0)+'DCF Model'!D45/(1+$B24)^('DCF Model'!C19+1)+'DCF Model'!E45/(1+$B24)^('DCF Model'!C19+2)+'DCF Model'!F45/(1+$B24)^('DCF Model'!C19+3)+'DCF Model'!G45/(1+$B24)^('DCF Model'!C19+4)+('DCF Model'!G39+'DCF Model'!G42)*H$17/(1+$B24)^('DCF Model'!C19+4)-'DCF Model'!C16)*1000000/'DCF Model'!C15,0),"")</f>
        <v>3422</v>
      </c>
      <c r="I24" s="37">
        <f>IFERROR(ROUND(('DCF Model'!C45/(1+$B24)^('DCF Model'!C19+0)+'DCF Model'!D45/(1+$B24)^('DCF Model'!C19+1)+'DCF Model'!E45/(1+$B24)^('DCF Model'!C19+2)+'DCF Model'!F45/(1+$B24)^('DCF Model'!C19+3)+'DCF Model'!G45/(1+$B24)^('DCF Model'!C19+4)+('DCF Model'!G39+'DCF Model'!G42)*I$17/(1+$B24)^('DCF Model'!C19+4)-'DCF Model'!C16)*1000000/'DCF Model'!C15,0),"")</f>
        <v>3574</v>
      </c>
    </row>
    <row r="26" spans="2:9" ht="14" customHeight="1"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245</v>
      </c>
    </row>
    <row r="4" spans="2:7" ht="14" customHeight="1"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customHeight="1" x14ac:dyDescent="0.3">
      <c r="B12" s="8" t="s">
        <v>267</v>
      </c>
    </row>
    <row r="13" spans="2:7" ht="14" customHeight="1" x14ac:dyDescent="0.3">
      <c r="B13" s="10" t="s">
        <v>268</v>
      </c>
      <c r="C13" s="10" t="s">
        <v>269</v>
      </c>
    </row>
    <row r="14" spans="2:7" ht="14" customHeight="1" x14ac:dyDescent="0.3">
      <c r="B14" s="4" t="s">
        <v>270</v>
      </c>
      <c r="C14" t="s">
        <v>271</v>
      </c>
    </row>
    <row r="15" spans="2:7" ht="14" customHeight="1" x14ac:dyDescent="0.3">
      <c r="B15" s="4" t="s">
        <v>272</v>
      </c>
      <c r="C15" t="s">
        <v>273</v>
      </c>
    </row>
    <row r="16" spans="2:7" ht="14" customHeight="1" x14ac:dyDescent="0.3">
      <c r="B16" s="4" t="s">
        <v>274</v>
      </c>
      <c r="C16" t="s">
        <v>275</v>
      </c>
    </row>
    <row r="17" spans="2:3" ht="14" customHeight="1" x14ac:dyDescent="0.3">
      <c r="B17" s="4" t="s">
        <v>276</v>
      </c>
      <c r="C17" t="s">
        <v>273</v>
      </c>
    </row>
    <row r="18" spans="2:3" ht="14" customHeight="1" x14ac:dyDescent="0.3">
      <c r="B18" s="4" t="s">
        <v>277</v>
      </c>
      <c r="C18" t="s">
        <v>278</v>
      </c>
    </row>
    <row r="19" spans="2:3" ht="14" customHeight="1" x14ac:dyDescent="0.3">
      <c r="B19" s="4" t="s">
        <v>279</v>
      </c>
      <c r="C19" t="s">
        <v>280</v>
      </c>
    </row>
    <row r="20" spans="2:3" ht="14" customHeight="1" x14ac:dyDescent="0.3">
      <c r="B20" s="4" t="s">
        <v>281</v>
      </c>
      <c r="C20" t="s">
        <v>282</v>
      </c>
    </row>
    <row r="21" spans="2:3" ht="14" customHeight="1" x14ac:dyDescent="0.3">
      <c r="B21" s="4" t="s">
        <v>283</v>
      </c>
      <c r="C21" t="s">
        <v>284</v>
      </c>
    </row>
    <row r="22" spans="2:3" ht="14" customHeight="1" x14ac:dyDescent="0.3">
      <c r="B22" s="4" t="s">
        <v>285</v>
      </c>
      <c r="C22" t="s">
        <v>47</v>
      </c>
    </row>
    <row r="23" spans="2:3" ht="14" customHeight="1" x14ac:dyDescent="0.3">
      <c r="B23" s="4" t="s">
        <v>286</v>
      </c>
      <c r="C23" t="s">
        <v>4</v>
      </c>
    </row>
    <row r="24" spans="2:3" ht="14" customHeight="1" x14ac:dyDescent="0.3">
      <c r="B24" s="4" t="s">
        <v>287</v>
      </c>
      <c r="C24" t="s">
        <v>252</v>
      </c>
    </row>
    <row r="25" spans="2:3" ht="14" customHeight="1" x14ac:dyDescent="0.3">
      <c r="B25" s="4" t="s">
        <v>288</v>
      </c>
      <c r="C25" t="s">
        <v>289</v>
      </c>
    </row>
    <row r="26" spans="2:3" ht="14" customHeight="1" x14ac:dyDescent="0.3">
      <c r="B26" s="4" t="s">
        <v>290</v>
      </c>
      <c r="C26" t="s">
        <v>278</v>
      </c>
    </row>
    <row r="27" spans="2:3" ht="14" customHeight="1" x14ac:dyDescent="0.3">
      <c r="B27" s="4" t="s">
        <v>291</v>
      </c>
      <c r="C27" t="s">
        <v>278</v>
      </c>
    </row>
    <row r="28" spans="2:3" ht="14" customHeight="1" x14ac:dyDescent="0.3">
      <c r="B28" s="4" t="s">
        <v>292</v>
      </c>
      <c r="C28" t="s">
        <v>293</v>
      </c>
    </row>
    <row r="29" spans="2:3" ht="14" customHeight="1" x14ac:dyDescent="0.3">
      <c r="B29" s="4" t="s">
        <v>294</v>
      </c>
      <c r="C29" t="s">
        <v>295</v>
      </c>
    </row>
    <row r="30" spans="2:3" ht="14" customHeight="1" x14ac:dyDescent="0.3">
      <c r="B30" s="4" t="s">
        <v>296</v>
      </c>
      <c r="C30" t="s">
        <v>297</v>
      </c>
    </row>
    <row r="31" spans="2:3" ht="14" customHeight="1" x14ac:dyDescent="0.3">
      <c r="B31" s="4" t="s">
        <v>298</v>
      </c>
      <c r="C31" t="s">
        <v>293</v>
      </c>
    </row>
    <row r="32" spans="2:3" ht="14" customHeight="1" x14ac:dyDescent="0.3">
      <c r="B32" s="4" t="s">
        <v>299</v>
      </c>
      <c r="C32" t="s">
        <v>278</v>
      </c>
    </row>
    <row r="33" spans="2:3" ht="14" customHeight="1" x14ac:dyDescent="0.3">
      <c r="B33" s="4" t="s">
        <v>300</v>
      </c>
      <c r="C33" t="s">
        <v>289</v>
      </c>
    </row>
    <row r="34" spans="2:3" ht="14" customHeight="1" x14ac:dyDescent="0.3">
      <c r="B34" s="4" t="s">
        <v>301</v>
      </c>
      <c r="C34" t="s">
        <v>302</v>
      </c>
    </row>
    <row r="35" spans="2:3" ht="14" customHeight="1" x14ac:dyDescent="0.3">
      <c r="B35" s="4" t="s">
        <v>303</v>
      </c>
      <c r="C35" t="s">
        <v>304</v>
      </c>
    </row>
    <row r="36" spans="2:3" ht="14" customHeight="1" x14ac:dyDescent="0.3">
      <c r="B36" s="4" t="s">
        <v>305</v>
      </c>
      <c r="C36" t="s">
        <v>306</v>
      </c>
    </row>
    <row r="37" spans="2:3" ht="14" customHeight="1" x14ac:dyDescent="0.3">
      <c r="B37" s="4" t="s">
        <v>307</v>
      </c>
      <c r="C37" t="s">
        <v>308</v>
      </c>
    </row>
    <row r="38" spans="2:3" ht="14" customHeight="1" x14ac:dyDescent="0.3">
      <c r="B38" s="4" t="s">
        <v>309</v>
      </c>
      <c r="C38" t="s">
        <v>310</v>
      </c>
    </row>
    <row r="39" spans="2:3" ht="14" customHeight="1" x14ac:dyDescent="0.3">
      <c r="B39" s="4" t="s">
        <v>311</v>
      </c>
      <c r="C39" t="s">
        <v>312</v>
      </c>
    </row>
    <row r="40" spans="2:3" ht="14" customHeight="1" x14ac:dyDescent="0.3">
      <c r="B40" s="4" t="s">
        <v>313</v>
      </c>
      <c r="C40" t="s">
        <v>314</v>
      </c>
    </row>
    <row r="41" spans="2:3" ht="14" customHeight="1" x14ac:dyDescent="0.3">
      <c r="B41" s="4" t="s">
        <v>315</v>
      </c>
      <c r="C41" t="s">
        <v>316</v>
      </c>
    </row>
    <row r="42" spans="2:3" ht="14" customHeight="1" x14ac:dyDescent="0.3">
      <c r="B42" s="4" t="s">
        <v>317</v>
      </c>
      <c r="C42" t="s">
        <v>318</v>
      </c>
    </row>
    <row r="43" spans="2:3" ht="14" customHeight="1" x14ac:dyDescent="0.3">
      <c r="B43" s="4" t="s">
        <v>319</v>
      </c>
      <c r="C43" t="s">
        <v>320</v>
      </c>
    </row>
    <row r="44" spans="2:3" ht="14" customHeight="1" x14ac:dyDescent="0.3">
      <c r="B44" s="4" t="s">
        <v>321</v>
      </c>
      <c r="C44" t="s">
        <v>282</v>
      </c>
    </row>
    <row r="45" spans="2:3" ht="14" customHeight="1" x14ac:dyDescent="0.3">
      <c r="B45" s="4" t="s">
        <v>322</v>
      </c>
      <c r="C45" t="s">
        <v>323</v>
      </c>
    </row>
    <row r="46" spans="2:3" ht="14" customHeight="1" x14ac:dyDescent="0.3">
      <c r="B46" s="4" t="s">
        <v>324</v>
      </c>
      <c r="C46" t="s">
        <v>325</v>
      </c>
    </row>
    <row r="47" spans="2:3" ht="14" customHeight="1" x14ac:dyDescent="0.3">
      <c r="B47" s="4" t="s">
        <v>326</v>
      </c>
      <c r="C47" t="s">
        <v>327</v>
      </c>
    </row>
    <row r="48" spans="2:3" ht="14" customHeight="1" x14ac:dyDescent="0.3">
      <c r="B48" s="4" t="s">
        <v>328</v>
      </c>
      <c r="C48" t="s">
        <v>329</v>
      </c>
    </row>
    <row r="49" spans="2:3" ht="14" customHeight="1" x14ac:dyDescent="0.3">
      <c r="B49" s="4" t="s">
        <v>330</v>
      </c>
      <c r="C49" t="s">
        <v>331</v>
      </c>
    </row>
    <row r="50" spans="2:3" ht="14" customHeight="1" x14ac:dyDescent="0.3">
      <c r="B50" s="4" t="s">
        <v>332</v>
      </c>
      <c r="C50" t="s">
        <v>333</v>
      </c>
    </row>
    <row r="51" spans="2:3" ht="14" customHeight="1" x14ac:dyDescent="0.3">
      <c r="B51" s="4" t="s">
        <v>334</v>
      </c>
      <c r="C51" t="s">
        <v>335</v>
      </c>
    </row>
    <row r="52" spans="2:3" ht="14" customHeight="1" x14ac:dyDescent="0.3">
      <c r="B52" s="4" t="s">
        <v>336</v>
      </c>
      <c r="C52" t="s">
        <v>337</v>
      </c>
    </row>
    <row r="53" spans="2:3" ht="14" customHeight="1" x14ac:dyDescent="0.3">
      <c r="B53" s="4" t="s">
        <v>338</v>
      </c>
      <c r="C53" t="s">
        <v>339</v>
      </c>
    </row>
    <row r="54" spans="2:3" ht="14" customHeight="1" x14ac:dyDescent="0.3">
      <c r="B54" s="4" t="s">
        <v>340</v>
      </c>
      <c r="C54" t="s">
        <v>341</v>
      </c>
    </row>
    <row r="55" spans="2:3" ht="14" customHeight="1" x14ac:dyDescent="0.3">
      <c r="B55" s="4" t="s">
        <v>342</v>
      </c>
      <c r="C55" t="s">
        <v>343</v>
      </c>
    </row>
    <row r="56" spans="2:3" ht="14" customHeight="1" x14ac:dyDescent="0.3">
      <c r="B56" s="4" t="s">
        <v>344</v>
      </c>
      <c r="C56" t="s">
        <v>345</v>
      </c>
    </row>
    <row r="57" spans="2:3" ht="14" customHeight="1" x14ac:dyDescent="0.3">
      <c r="B57" s="4" t="s">
        <v>346</v>
      </c>
      <c r="C57" t="s">
        <v>347</v>
      </c>
    </row>
    <row r="58" spans="2:3" ht="14" customHeight="1" x14ac:dyDescent="0.3">
      <c r="B58" s="4" t="s">
        <v>348</v>
      </c>
      <c r="C58" t="s">
        <v>289</v>
      </c>
    </row>
    <row r="59" spans="2:3" ht="14" customHeight="1" x14ac:dyDescent="0.3">
      <c r="B59" s="4" t="s">
        <v>349</v>
      </c>
      <c r="C59" t="s">
        <v>350</v>
      </c>
    </row>
    <row r="60" spans="2:3" ht="14" customHeight="1" x14ac:dyDescent="0.3">
      <c r="B60" s="4" t="s">
        <v>351</v>
      </c>
      <c r="C60" t="s">
        <v>352</v>
      </c>
    </row>
    <row r="61" spans="2:3" ht="14" customHeight="1" x14ac:dyDescent="0.3">
      <c r="B61" s="4" t="s">
        <v>353</v>
      </c>
      <c r="C61" t="s">
        <v>354</v>
      </c>
    </row>
    <row r="62" spans="2:3" ht="14" customHeight="1" x14ac:dyDescent="0.3">
      <c r="B62" s="4" t="s">
        <v>355</v>
      </c>
      <c r="C62" t="s">
        <v>356</v>
      </c>
    </row>
    <row r="63" spans="2:3" ht="14" customHeight="1" x14ac:dyDescent="0.3">
      <c r="B63" s="4" t="s">
        <v>357</v>
      </c>
      <c r="C63" t="s">
        <v>358</v>
      </c>
    </row>
    <row r="64" spans="2:3" ht="14" customHeight="1" x14ac:dyDescent="0.3">
      <c r="B64" s="4" t="s">
        <v>359</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2026-09-06T10:19:02Z</dcterms:created>
  <dcterms:modified xsi:type="dcterms:W3CDTF">2026-09-06T10:46:26Z</dcterms:modified>
</cp:coreProperties>
</file>