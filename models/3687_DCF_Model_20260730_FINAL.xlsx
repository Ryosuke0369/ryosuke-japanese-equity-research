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xecutive Summary" sheetId="1" state="visible" r:id="rId3"/>
    <sheet name="Financial Statements" sheetId="2" state="visible" r:id="rId4"/>
    <sheet name="DCF Model" sheetId="3" state="visible" r:id="rId5"/>
    <sheet name="NWC Schedule" sheetId="4" state="visible" r:id="rId6"/>
    <sheet name="Comps Analysis" sheetId="5" state="visible" r:id="rId7"/>
    <sheet name="Sensitivity Analysis" sheetId="6" state="visible" r:id="rId8"/>
    <sheet name="Segment Bridge" sheetId="7" state="visible" r:id="rId9"/>
    <sheet name="Adjustments 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<sst xmlns="http://schemas.openxmlformats.org/spreadsheetml/2006/main" count="334" uniqueCount="266">
  <si>
    <t xml:space="preserve">DISCLAIMER: This is a sample analysis for demonstration purposes only. It does not constitute investment advice.</t>
  </si>
  <si>
    <r>
      <rPr>
        <b val="true"/>
        <sz val="14"/>
        <rFont val="Noto Sans CJK SC"/>
        <family val="2"/>
      </rPr>
      <t xml:space="preserve">株式会社フィックスターズ </t>
    </r>
    <r>
      <rPr>
        <b val="true"/>
        <sz val="14"/>
        <rFont val="Arial"/>
        <family val="0"/>
        <charset val="1"/>
      </rPr>
      <t xml:space="preserve">(3687.T)</t>
    </r>
  </si>
  <si>
    <t xml:space="preserve">Equity Research Report</t>
  </si>
  <si>
    <t xml:space="preserve">Company</t>
  </si>
  <si>
    <t xml:space="preserve">株式会社フィックスターズ</t>
  </si>
  <si>
    <t xml:space="preserve">Ticker</t>
  </si>
  <si>
    <t xml:space="preserve">3687.T (TSE)</t>
  </si>
  <si>
    <t xml:space="preserve">Sector</t>
  </si>
  <si>
    <t xml:space="preserve">Information &amp; Communication (software / AI optimization)</t>
  </si>
  <si>
    <t xml:space="preserve">Current Price</t>
  </si>
  <si>
    <t xml:space="preserve">Target Price (Mid)</t>
  </si>
  <si>
    <t xml:space="preserve">Recommendation</t>
  </si>
  <si>
    <t xml:space="preserve">Upside / Downside</t>
  </si>
  <si>
    <t xml:space="preserve">Valuation Summary</t>
  </si>
  <si>
    <t xml:space="preserve">Methodology</t>
  </si>
  <si>
    <t xml:space="preserve">Implied Value (JPY)</t>
  </si>
  <si>
    <t xml:space="preserve">vs Current Price</t>
  </si>
  <si>
    <t xml:space="preserve">DCF - Perpetuity Growth</t>
  </si>
  <si>
    <t xml:space="preserve">DCF - Exit Multiple</t>
  </si>
  <si>
    <t xml:space="preserve">Comps - EV/EBITDA Median</t>
  </si>
  <si>
    <t xml:space="preserve">Comps - PER Median</t>
  </si>
  <si>
    <t xml:space="preserve">Integrated Valuation Range</t>
  </si>
  <si>
    <t xml:space="preserve">Key Investment Thesis</t>
  </si>
  <si>
    <t xml:space="preserve">1. The consolidated 26.8% operating margin understates the core franchise. The Solution segment earned 3,236 on 9,171 of revenue, a 35.3% margin, up from 32.0% a year earlier. The gap to the consolidated figure is deliberate investment: SaaS lost 424 and the CVC book took a 232 securities writedown that runs through cost of sales. Strip both and the normalised margin is about 29%.</t>
  </si>
  <si>
    <t xml:space="preserve">2. Asset-light compounding with no leverage. Revenue grew from 6,311 to 9,618 over three years, a 15.1% CAGR, on capex averaging under 1.5% of revenue and D&amp;A of 1.7%. Long-term borrowings were fully repaid in FY2025/9, leaving net cash of 5,131 and an interest coverage ratio of 3,597x. ROE is 26.0% with an 83.6% equity ratio.</t>
  </si>
  <si>
    <t xml:space="preserve">3. AI demand is the stated growth vector and it is already showing in the mix. Revenue recognised over time rose from 1,465 to 2,466 (+68%), indicating a shift toward longer, stickier engagements, while the "Speed up your AI" repositioning targets AI development acceleration where the company's optimisation expertise transfers directly.</t>
  </si>
  <si>
    <t xml:space="preserve">Key Risks</t>
  </si>
  <si>
    <t xml:space="preserve">1. Customer concentration is severe and cyclically exposed. Kioxia alone was 1,647 of revenue, or 17.1%, and Nexty Electronics 1,119, or 11.6% - 28.8% from two names. Renesas was a further 16.0% in the prior year. These are semiconductor customers whose R&amp;D budgets move with the NAND and MCU cycles, so a memory downcycle transmits directly into Solution revenue.</t>
  </si>
  <si>
    <t xml:space="preserve">2. FY2026/9 guidance is for a 17.8% fall in parent net income. Management cites headquarters relocation costs, higher rent, large wage increases, and the reversal of a one-off tax benefit from the Sider liquidation. Operating profit is guided merely flat at 2,600 (+0.8%), so the growth narrative pauses for a year even on the company's own numbers.</t>
  </si>
  <si>
    <t xml:space="preserve">3. Valuation leaves no margin for error. At 2,079 the shares trade at 34.5x trailing and 41.9x guided earnings, 8.13x book and 22.6x EV/EBITDA, against an exit multiple assumption of 12.0x. The SaaS segment has consumed 575 of cumulative operating losses over two years with no revenue inflection yet - 446 of revenue against a 424 loss.</t>
  </si>
  <si>
    <r>
      <rPr>
        <b val="true"/>
        <sz val="14"/>
        <rFont val="Noto Sans CJK SC"/>
        <family val="2"/>
      </rPr>
      <t xml:space="preserve">株式会社フィックスターズ </t>
    </r>
    <r>
      <rPr>
        <b val="true"/>
        <sz val="14"/>
        <rFont val="Arial"/>
        <family val="0"/>
        <charset val="1"/>
      </rPr>
      <t xml:space="preserve">- Historical Financials (JPY mn)</t>
    </r>
  </si>
  <si>
    <t xml:space="preserve">FY2022/9</t>
  </si>
  <si>
    <t xml:space="preserve">FY2023/9</t>
  </si>
  <si>
    <t xml:space="preserve">FY2024/9</t>
  </si>
  <si>
    <t xml:space="preserve">FY2025/9</t>
  </si>
  <si>
    <t xml:space="preserve">Income Statement</t>
  </si>
  <si>
    <t xml:space="preserve">Revenue</t>
  </si>
  <si>
    <t xml:space="preserve">COGS</t>
  </si>
  <si>
    <t xml:space="preserve">Gross Profit</t>
  </si>
  <si>
    <t xml:space="preserve">Gross Margin</t>
  </si>
  <si>
    <t xml:space="preserve">SGA</t>
  </si>
  <si>
    <t xml:space="preserve">Operating Income</t>
  </si>
  <si>
    <t xml:space="preserve">Net Income</t>
  </si>
  <si>
    <t xml:space="preserve">Operating Margin</t>
  </si>
  <si>
    <t xml:space="preserve">Net Margin</t>
  </si>
  <si>
    <t xml:space="preserve">Revenue Growth (YoY)</t>
  </si>
  <si>
    <t xml:space="preserve">n/a</t>
  </si>
  <si>
    <t xml:space="preserve">Operating Income Growth (YoY)</t>
  </si>
  <si>
    <t xml:space="preserve">Cash Flow Statement</t>
  </si>
  <si>
    <t xml:space="preserve">Operating Cash Flow</t>
  </si>
  <si>
    <r>
      <rPr>
        <b val="true"/>
        <sz val="10"/>
        <rFont val="Arial"/>
        <family val="0"/>
        <charset val="1"/>
      </rPr>
      <t xml:space="preserve">Capex (</t>
    </r>
    <r>
      <rPr>
        <b val="true"/>
        <sz val="10"/>
        <rFont val="Noto Sans CJK SC"/>
        <family val="2"/>
      </rPr>
      <t xml:space="preserve">有形固定資産の取得</t>
    </r>
    <r>
      <rPr>
        <b val="true"/>
        <sz val="10"/>
        <rFont val="Arial"/>
        <family val="0"/>
        <charset val="1"/>
      </rPr>
      <t xml:space="preserve">)</t>
    </r>
  </si>
  <si>
    <t xml:space="preserve">Free Cash Flow</t>
  </si>
  <si>
    <t xml:space="preserve">FCF Margin</t>
  </si>
  <si>
    <t xml:space="preserve">Capex / Revenue</t>
  </si>
  <si>
    <t xml:space="preserve">Balance Sheet Highlights</t>
  </si>
  <si>
    <r>
      <rPr>
        <b val="true"/>
        <sz val="10"/>
        <rFont val="Arial"/>
        <family val="0"/>
        <charset val="1"/>
      </rPr>
      <t xml:space="preserve">Cash &amp; Deposits (</t>
    </r>
    <r>
      <rPr>
        <b val="true"/>
        <sz val="10"/>
        <rFont val="Noto Sans CJK SC"/>
        <family val="2"/>
      </rPr>
      <t xml:space="preserve">現金及び預金</t>
    </r>
    <r>
      <rPr>
        <b val="true"/>
        <sz val="10"/>
        <rFont val="Arial"/>
        <family val="0"/>
        <charset val="1"/>
      </rPr>
      <t xml:space="preserve">)</t>
    </r>
  </si>
  <si>
    <t xml:space="preserve">Interest-Bearing Debt (borrowings + lease)</t>
  </si>
  <si>
    <t xml:space="preserve">Net Debt (Cash) - financial only, excl. MI</t>
  </si>
  <si>
    <r>
      <rPr>
        <i val="true"/>
        <sz val="8"/>
        <rFont val="Arial"/>
        <family val="0"/>
        <charset val="1"/>
      </rPr>
      <t xml:space="preserve">Source: </t>
    </r>
    <r>
      <rPr>
        <i val="true"/>
        <sz val="8"/>
        <rFont val="Noto Sans CJK SC"/>
        <family val="2"/>
      </rPr>
      <t xml:space="preserve">決算短信 </t>
    </r>
    <r>
      <rPr>
        <i val="true"/>
        <sz val="8"/>
        <rFont val="Arial"/>
        <family val="0"/>
        <charset val="1"/>
      </rPr>
      <t xml:space="preserve">FY2023/9 and FY2025/9, </t>
    </r>
    <r>
      <rPr>
        <i val="true"/>
        <sz val="8"/>
        <rFont val="Noto Sans CJK SC"/>
        <family val="2"/>
      </rPr>
      <t xml:space="preserve">連結キャッシュ・フロー計算書 </t>
    </r>
    <r>
      <rPr>
        <i val="true"/>
        <sz val="8"/>
        <rFont val="Arial"/>
        <family val="0"/>
        <charset val="1"/>
      </rPr>
      <t xml:space="preserve">and </t>
    </r>
    <r>
      <rPr>
        <i val="true"/>
        <sz val="8"/>
        <rFont val="Noto Sans CJK SC"/>
        <family val="2"/>
      </rPr>
      <t xml:space="preserve">連結貸借対照表</t>
    </r>
    <r>
      <rPr>
        <i val="true"/>
        <sz val="8"/>
        <rFont val="Arial"/>
        <family val="0"/>
        <charset val="1"/>
      </rPr>
      <t xml:space="preserve">, converted from </t>
    </r>
    <r>
      <rPr>
        <i val="true"/>
        <sz val="8"/>
        <rFont val="Noto Sans CJK SC"/>
        <family val="2"/>
      </rPr>
      <t xml:space="preserve">千円 </t>
    </r>
    <r>
      <rPr>
        <i val="true"/>
        <sz val="8"/>
        <rFont val="Arial"/>
        <family val="0"/>
        <charset val="1"/>
      </rPr>
      <t xml:space="preserve">to </t>
    </r>
    <r>
      <rPr>
        <i val="true"/>
        <sz val="8"/>
        <rFont val="Noto Sans CJK SC"/>
        <family val="2"/>
      </rPr>
      <t xml:space="preserve">百万円</t>
    </r>
    <r>
      <rPr>
        <i val="true"/>
        <sz val="8"/>
        <rFont val="Arial"/>
        <family val="0"/>
        <charset val="1"/>
      </rPr>
      <t xml:space="preserve">. Operating cash flow 1,488,034 / 719,450 / 1,656,074 / 1,978,609 </t>
    </r>
    <r>
      <rPr>
        <i val="true"/>
        <sz val="8"/>
        <rFont val="Noto Sans CJK SC"/>
        <family val="2"/>
      </rPr>
      <t xml:space="preserve">千円</t>
    </r>
    <r>
      <rPr>
        <i val="true"/>
        <sz val="8"/>
        <rFont val="Arial"/>
        <family val="0"/>
        <charset val="1"/>
      </rPr>
      <t xml:space="preserve">. Cash &amp; deposits 5,056,616 / 4,629,112 / 4,856,480 / 5,178,150 </t>
    </r>
    <r>
      <rPr>
        <i val="true"/>
        <sz val="8"/>
        <rFont val="Noto Sans CJK SC"/>
        <family val="2"/>
      </rPr>
      <t xml:space="preserve">千円</t>
    </r>
    <r>
      <rPr>
        <i val="true"/>
        <sz val="8"/>
        <rFont val="Arial"/>
        <family val="0"/>
        <charset val="1"/>
      </rPr>
      <t xml:space="preserve">. Interest-bearing debt = 1</t>
    </r>
    <r>
      <rPr>
        <i val="true"/>
        <sz val="8"/>
        <rFont val="Noto Sans CJK SC"/>
        <family val="2"/>
      </rPr>
      <t xml:space="preserve">年内返済予定の長期借入金 </t>
    </r>
    <r>
      <rPr>
        <i val="true"/>
        <sz val="8"/>
        <rFont val="Arial"/>
        <family val="0"/>
        <charset val="1"/>
      </rPr>
      <t xml:space="preserve">+ </t>
    </r>
    <r>
      <rPr>
        <i val="true"/>
        <sz val="8"/>
        <rFont val="Noto Sans CJK SC"/>
        <family val="2"/>
      </rPr>
      <t xml:space="preserve">長期借入金 </t>
    </r>
    <r>
      <rPr>
        <i val="true"/>
        <sz val="8"/>
        <rFont val="Arial"/>
        <family val="0"/>
        <charset val="1"/>
      </rPr>
      <t xml:space="preserve">+ </t>
    </r>
    <r>
      <rPr>
        <i val="true"/>
        <sz val="8"/>
        <rFont val="Noto Sans CJK SC"/>
        <family val="2"/>
      </rPr>
      <t xml:space="preserve">リース債務</t>
    </r>
    <r>
      <rPr>
        <i val="true"/>
        <sz val="8"/>
        <rFont val="Arial"/>
        <family val="0"/>
        <charset val="1"/>
      </rPr>
      <t xml:space="preserve">(</t>
    </r>
    <r>
      <rPr>
        <i val="true"/>
        <sz val="8"/>
        <rFont val="Noto Sans CJK SC"/>
        <family val="2"/>
      </rPr>
      <t xml:space="preserve">流動</t>
    </r>
    <r>
      <rPr>
        <i val="true"/>
        <sz val="8"/>
        <rFont val="Arial"/>
        <family val="0"/>
        <charset val="1"/>
      </rPr>
      <t xml:space="preserve">+</t>
    </r>
    <r>
      <rPr>
        <i val="true"/>
        <sz val="8"/>
        <rFont val="Noto Sans CJK SC"/>
        <family val="2"/>
      </rPr>
      <t xml:space="preserve">固定</t>
    </r>
    <r>
      <rPr>
        <i val="true"/>
        <sz val="8"/>
        <rFont val="Arial"/>
        <family val="0"/>
        <charset val="1"/>
      </rPr>
      <t xml:space="preserve">).</t>
    </r>
  </si>
  <si>
    <r>
      <rPr>
        <i val="true"/>
        <sz val="8"/>
        <rFont val="Arial"/>
        <family val="0"/>
        <charset val="1"/>
      </rPr>
      <t xml:space="preserve">Fixstars became effectively debt-free in FY2025/9: the remaining 493,018 </t>
    </r>
    <r>
      <rPr>
        <i val="true"/>
        <sz val="8"/>
        <rFont val="Noto Sans CJK SC"/>
        <family val="2"/>
      </rPr>
      <t xml:space="preserve">千円 </t>
    </r>
    <r>
      <rPr>
        <i val="true"/>
        <sz val="8"/>
        <rFont val="Arial"/>
        <family val="0"/>
        <charset val="1"/>
      </rPr>
      <t xml:space="preserve">of long-term borrowings was repaid, leaving only 47,176 </t>
    </r>
    <r>
      <rPr>
        <i val="true"/>
        <sz val="8"/>
        <rFont val="Noto Sans CJK SC"/>
        <family val="2"/>
      </rPr>
      <t xml:space="preserve">千円 </t>
    </r>
    <r>
      <rPr>
        <i val="true"/>
        <sz val="8"/>
        <rFont val="Arial"/>
        <family val="0"/>
        <charset val="1"/>
      </rPr>
      <t xml:space="preserve">of lease liabilities against 5,178,150 </t>
    </r>
    <r>
      <rPr>
        <i val="true"/>
        <sz val="8"/>
        <rFont val="Noto Sans CJK SC"/>
        <family val="2"/>
      </rPr>
      <t xml:space="preserve">千円 </t>
    </r>
    <r>
      <rPr>
        <i val="true"/>
        <sz val="8"/>
        <rFont val="Arial"/>
        <family val="0"/>
        <charset val="1"/>
      </rPr>
      <t xml:space="preserve">of cash. Interest coverage was 3,597x and the </t>
    </r>
    <r>
      <rPr>
        <i val="true"/>
        <sz val="8"/>
        <rFont val="Noto Sans CJK SC"/>
        <family val="2"/>
      </rPr>
      <t xml:space="preserve">短信 </t>
    </r>
    <r>
      <rPr>
        <i val="true"/>
        <sz val="8"/>
        <rFont val="Arial"/>
        <family val="0"/>
        <charset val="1"/>
      </rPr>
      <t xml:space="preserve">reports a cash-flow to interest-bearing-debt ratio of 0.0 years.</t>
    </r>
  </si>
  <si>
    <r>
      <rPr>
        <i val="true"/>
        <sz val="8"/>
        <rFont val="Arial"/>
        <family val="0"/>
        <charset val="1"/>
      </rPr>
      <t xml:space="preserve">Row 28 (-5,131 at FY2025/9) is the FINANCIAL component of 'DCF Model'!C16 = -4,856. The 275 difference is non-controlling interests (274,530 </t>
    </r>
    <r>
      <rPr>
        <i val="true"/>
        <sz val="8"/>
        <rFont val="Noto Sans CJK SC"/>
        <family val="2"/>
      </rPr>
      <t xml:space="preserve">千円</t>
    </r>
    <r>
      <rPr>
        <i val="true"/>
        <sz val="8"/>
        <rFont val="Arial"/>
        <family val="0"/>
        <charset val="1"/>
      </rPr>
      <t xml:space="preserve">), folded into net debt in the DCF because the template computes Equity = EV - net_debt and has no separate minority-interest deduction. Because net debt stays negative, de_ratio remains 0 and WACC equals the cost of equity.</t>
    </r>
  </si>
  <si>
    <r>
      <rPr>
        <i val="true"/>
        <sz val="8"/>
        <rFont val="Arial"/>
        <family val="0"/>
        <charset val="1"/>
      </rPr>
      <t xml:space="preserve">Not deducted as a non-operating asset: </t>
    </r>
    <r>
      <rPr>
        <i val="true"/>
        <sz val="8"/>
        <rFont val="Noto Sans CJK SC"/>
        <family val="2"/>
      </rPr>
      <t xml:space="preserve">敷金及び保証金 </t>
    </r>
    <r>
      <rPr>
        <i val="true"/>
        <sz val="8"/>
        <rFont val="Arial"/>
        <family val="0"/>
        <charset val="1"/>
      </rPr>
      <t xml:space="preserve">of 513,375 </t>
    </r>
    <r>
      <rPr>
        <i val="true"/>
        <sz val="8"/>
        <rFont val="Noto Sans CJK SC"/>
        <family val="2"/>
      </rPr>
      <t xml:space="preserve">千円 </t>
    </r>
    <r>
      <rPr>
        <i val="true"/>
        <sz val="8"/>
        <rFont val="Arial"/>
        <family val="0"/>
        <charset val="1"/>
      </rPr>
      <t xml:space="preserve">(513, or about 16 per share), the deposit on the new head office. Recoverable on exit, so an argument exists for treating it as surplus.</t>
    </r>
  </si>
  <si>
    <r>
      <rPr>
        <i val="true"/>
        <sz val="8"/>
        <rFont val="Arial"/>
        <family val="0"/>
        <charset val="1"/>
      </rPr>
      <t xml:space="preserve">Income Statement rows are </t>
    </r>
    <r>
      <rPr>
        <i val="true"/>
        <sz val="8"/>
        <rFont val="Noto Sans CJK SC"/>
        <family val="2"/>
      </rPr>
      <t xml:space="preserve">決算短信 </t>
    </r>
    <r>
      <rPr>
        <i val="true"/>
        <sz val="8"/>
        <rFont val="Arial"/>
        <family val="0"/>
        <charset val="1"/>
      </rPr>
      <t xml:space="preserve">actuals converted from </t>
    </r>
    <r>
      <rPr>
        <i val="true"/>
        <sz val="8"/>
        <rFont val="Noto Sans CJK SC"/>
        <family val="2"/>
      </rPr>
      <t xml:space="preserve">千円</t>
    </r>
    <r>
      <rPr>
        <i val="true"/>
        <sz val="8"/>
        <rFont val="Arial"/>
        <family val="0"/>
        <charset val="1"/>
      </rPr>
      <t xml:space="preserve">: revenue 6,310,732 / 7,038,276 / 7,995,406 / 9,617,686. Operating income reconciles to Revenue - COGS - SGA within 1 for all four years. FY2025/9 COGS includes a 232,459 </t>
    </r>
    <r>
      <rPr>
        <i val="true"/>
        <sz val="8"/>
        <rFont val="Noto Sans CJK SC"/>
        <family val="2"/>
      </rPr>
      <t xml:space="preserve">千円 </t>
    </r>
    <r>
      <rPr>
        <i val="true"/>
        <sz val="8"/>
        <rFont val="Arial"/>
        <family val="0"/>
        <charset val="1"/>
      </rPr>
      <t xml:space="preserve">securities writedown on the CVC book - see the Segment Bridge sheet for the normalisation.</t>
    </r>
  </si>
  <si>
    <r>
      <rPr>
        <b val="true"/>
        <sz val="14"/>
        <rFont val="Arial"/>
        <family val="0"/>
        <charset val="1"/>
      </rPr>
      <t xml:space="preserve">DCF Valuation Model - </t>
    </r>
    <r>
      <rPr>
        <b val="true"/>
        <sz val="14"/>
        <rFont val="Noto Sans CJK SC"/>
        <family val="2"/>
      </rPr>
      <t xml:space="preserve">株式会社フィックスターズ</t>
    </r>
  </si>
  <si>
    <t xml:space="preserve">Assumptions</t>
  </si>
  <si>
    <t xml:space="preserve">Effective Tax Rate</t>
  </si>
  <si>
    <t xml:space="preserve">Risk-Free Rate</t>
  </si>
  <si>
    <t xml:space="preserve">Beta</t>
  </si>
  <si>
    <t xml:space="preserve">Equity Risk Premium</t>
  </si>
  <si>
    <t xml:space="preserve">Size Premium</t>
  </si>
  <si>
    <t xml:space="preserve">After-tax Cost of Debt</t>
  </si>
  <si>
    <t xml:space="preserve">D/E Ratio</t>
  </si>
  <si>
    <t xml:space="preserve">Terminal Growth Rate</t>
  </si>
  <si>
    <t xml:space="preserve">Exit Multiple (EV/EBITDA)</t>
  </si>
  <si>
    <t xml:space="preserve">Fully Diluted Shares</t>
  </si>
  <si>
    <t xml:space="preserve">Net Debt (JPY mn)</t>
  </si>
  <si>
    <t xml:space="preserve">Base Year Revenue (JPY mn)</t>
  </si>
  <si>
    <t xml:space="preserve">D&amp;A / Revenue</t>
  </si>
  <si>
    <t xml:space="preserve">Stub Fraction (yr remaining)</t>
  </si>
  <si>
    <t xml:space="preserve">LTM Revenue (JPY mn)</t>
  </si>
  <si>
    <t xml:space="preserve">WACC Calculation</t>
  </si>
  <si>
    <t xml:space="preserve">Cost of Equity (Ke)</t>
  </si>
  <si>
    <t xml:space="preserve">Weight of Equity</t>
  </si>
  <si>
    <t xml:space="preserve">Weight of Debt</t>
  </si>
  <si>
    <t xml:space="preserve">WACC</t>
  </si>
  <si>
    <t xml:space="preserve">Active Scenario</t>
  </si>
  <si>
    <t xml:space="preserve">Base</t>
  </si>
  <si>
    <t xml:space="preserve">Projected Free Cash Flow</t>
  </si>
  <si>
    <t xml:space="preserve">FY2026(E)</t>
  </si>
  <si>
    <t xml:space="preserve">FY2027(E)</t>
  </si>
  <si>
    <t xml:space="preserve">FY2028(E)</t>
  </si>
  <si>
    <t xml:space="preserve">FY2029(E)</t>
  </si>
  <si>
    <t xml:space="preserve">FY2030(E)</t>
  </si>
  <si>
    <t xml:space="preserve">COGS % of Revenue</t>
  </si>
  <si>
    <t xml:space="preserve">SGA % of Revenue</t>
  </si>
  <si>
    <t xml:space="preserve">SGA Expense</t>
  </si>
  <si>
    <t xml:space="preserve">Implied Operating Margin</t>
  </si>
  <si>
    <t xml:space="preserve">Operating Income (EBIT)</t>
  </si>
  <si>
    <t xml:space="preserve">Less: Tax</t>
  </si>
  <si>
    <t xml:space="preserve">NOPAT</t>
  </si>
  <si>
    <t xml:space="preserve">Plus: D&amp;A</t>
  </si>
  <si>
    <t xml:space="preserve">Less: Capex</t>
  </si>
  <si>
    <t xml:space="preserve">Change in NWC</t>
  </si>
  <si>
    <t xml:space="preserve">Unlevered Free Cash Flow</t>
  </si>
  <si>
    <t xml:space="preserve">Discount Factor</t>
  </si>
  <si>
    <t xml:space="preserve">PV of FCF</t>
  </si>
  <si>
    <t xml:space="preserve">Valuation - Perpetuity Growth Method</t>
  </si>
  <si>
    <t xml:space="preserve">Sum of PV of FCFs</t>
  </si>
  <si>
    <t xml:space="preserve">Terminal Value (PGM)</t>
  </si>
  <si>
    <t xml:space="preserve">PV of Terminal Value</t>
  </si>
  <si>
    <t xml:space="preserve">Enterprise Value</t>
  </si>
  <si>
    <t xml:space="preserve">Equity Value</t>
  </si>
  <si>
    <t xml:space="preserve">Implied Share Price (PGM)</t>
  </si>
  <si>
    <t xml:space="preserve">Valuation - Exit Multiple Method</t>
  </si>
  <si>
    <t xml:space="preserve">Year 5 EBITDA</t>
  </si>
  <si>
    <t xml:space="preserve">Terminal Value (Exit Multiple)</t>
  </si>
  <si>
    <t xml:space="preserve">Implied Share Price (Exit Multiple)</t>
  </si>
  <si>
    <t xml:space="preserve">Scenario Input Matrix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</si>
  <si>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</si>
  <si>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</si>
  <si>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</si>
  <si>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</si>
  <si>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</si>
  <si>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Upside</t>
  </si>
  <si>
    <t xml:space="preserve">Management</t>
  </si>
  <si>
    <t xml:space="preserve">Downside 1</t>
  </si>
  <si>
    <t xml:space="preserve">Downside 2</t>
  </si>
  <si>
    <r>
      <rPr>
        <b val="true"/>
        <sz val="14"/>
        <rFont val="Arial"/>
        <family val="0"/>
        <charset val="1"/>
      </rPr>
      <t xml:space="preserve">NWC Schedule - </t>
    </r>
    <r>
      <rPr>
        <b val="true"/>
        <sz val="14"/>
        <rFont val="Noto Sans CJK SC"/>
        <family val="2"/>
      </rPr>
      <t xml:space="preserve">株式会社フィックスターズ</t>
    </r>
  </si>
  <si>
    <t xml:space="preserve">Working Capital Drivers (Days)</t>
  </si>
  <si>
    <t xml:space="preserve">Base Year</t>
  </si>
  <si>
    <t xml:space="preserve">DSO (Days Sales Outstanding)</t>
  </si>
  <si>
    <t xml:space="preserve">DIH (Days Inventory Held)</t>
  </si>
  <si>
    <t xml:space="preserve">DPO (Days Payable Outstanding)</t>
  </si>
  <si>
    <t xml:space="preserve">P&amp;L Reference (JPY mn)</t>
  </si>
  <si>
    <t xml:space="preserve">Working Capital Items (JPY mn)</t>
  </si>
  <si>
    <t xml:space="preserve">Accounts Receivable</t>
  </si>
  <si>
    <t xml:space="preserve">Inventory</t>
  </si>
  <si>
    <t xml:space="preserve">Current Assets (AR + Inv)</t>
  </si>
  <si>
    <t xml:space="preserve">Accounts Payable</t>
  </si>
  <si>
    <t xml:space="preserve">Current Liabilities (AP)</t>
  </si>
  <si>
    <t xml:space="preserve">Net Working Capital (JPY mn)</t>
  </si>
  <si>
    <t xml:space="preserve">Net Working Capital</t>
  </si>
  <si>
    <t xml:space="preserve">Scenario Input Matrix (Working Capital Days)</t>
  </si>
  <si>
    <t xml:space="preserve">DSO (Days)</t>
  </si>
  <si>
    <t xml:space="preserve">DIH (Days)</t>
  </si>
  <si>
    <t xml:space="preserve">DPO (Days)</t>
  </si>
  <si>
    <t xml:space="preserve">Comparable Company Analysis</t>
  </si>
  <si>
    <t xml:space="preserve">Mkt Cap
(JPY mn)</t>
  </si>
  <si>
    <t xml:space="preserve">EV
(JPY mn)</t>
  </si>
  <si>
    <t xml:space="preserve">Revenue
(JPY mn)</t>
  </si>
  <si>
    <t xml:space="preserve">EBITDA
(JPY mn)</t>
  </si>
  <si>
    <t xml:space="preserve">Op Income
(JPY mn)</t>
  </si>
  <si>
    <t xml:space="preserve">Net Income
(JPY mn)</t>
  </si>
  <si>
    <t xml:space="preserve">EV/EBITDA</t>
  </si>
  <si>
    <t xml:space="preserve">EV/Revenue</t>
  </si>
  <si>
    <t xml:space="preserve">PER</t>
  </si>
  <si>
    <t xml:space="preserve">PBR</t>
  </si>
  <si>
    <t xml:space="preserve">Op Margin</t>
  </si>
  <si>
    <t xml:space="preserve">ROE</t>
  </si>
  <si>
    <t xml:space="preserve">EV/EBIT</t>
  </si>
  <si>
    <t xml:space="preserve">Fixstars</t>
  </si>
  <si>
    <t xml:space="preserve">3687.T</t>
  </si>
  <si>
    <t xml:space="preserve">Base Corporation</t>
  </si>
  <si>
    <t xml:space="preserve">4481.T</t>
  </si>
  <si>
    <t xml:space="preserve">PKSHA Technology</t>
  </si>
  <si>
    <t xml:space="preserve">3993.T</t>
  </si>
  <si>
    <t xml:space="preserve">Baycurrent Consulting</t>
  </si>
  <si>
    <t xml:space="preserve">6532.T</t>
  </si>
  <si>
    <t xml:space="preserve">TIS Inc.</t>
  </si>
  <si>
    <t xml:space="preserve">3626.T</t>
  </si>
  <si>
    <t xml:space="preserve">FRONTEO</t>
  </si>
  <si>
    <t xml:space="preserve">2158.T</t>
  </si>
  <si>
    <t xml:space="preserve">Statistics</t>
  </si>
  <si>
    <t xml:space="preserve">25th Percentile</t>
  </si>
  <si>
    <t xml:space="preserve">Median (50th)</t>
  </si>
  <si>
    <t xml:space="preserve">75th Percentile</t>
  </si>
  <si>
    <r>
      <rPr>
        <b val="true"/>
        <sz val="11"/>
        <rFont val="Arial"/>
        <family val="0"/>
        <charset val="1"/>
      </rPr>
      <t xml:space="preserve">Implied Valuation for </t>
    </r>
    <r>
      <rPr>
        <b val="true"/>
        <sz val="11"/>
        <rFont val="Noto Sans CJK SC"/>
        <family val="2"/>
      </rPr>
      <t xml:space="preserve">株式会社フィックスターズ</t>
    </r>
  </si>
  <si>
    <r>
      <rPr>
        <b val="true"/>
        <sz val="11"/>
        <rFont val="Noto Sans CJK SC"/>
        <family val="2"/>
      </rPr>
      <t xml:space="preserve">株式会社フィックスターズ </t>
    </r>
    <r>
      <rPr>
        <b val="true"/>
        <sz val="11"/>
        <rFont val="Arial"/>
        <family val="0"/>
        <charset val="1"/>
      </rPr>
      <t xml:space="preserve">Financials</t>
    </r>
  </si>
  <si>
    <t xml:space="preserve">EBITDA (JPY mn)</t>
  </si>
  <si>
    <t xml:space="preserve">Net Income (JPY mn)</t>
  </si>
  <si>
    <t xml:space="preserve">Shares Outstanding</t>
  </si>
  <si>
    <t xml:space="preserve">Implied Share Price (Median Multiples)</t>
  </si>
  <si>
    <t xml:space="preserve">Via EV/EBITDA (Median)</t>
  </si>
  <si>
    <t xml:space="preserve">Via PER (Median)</t>
  </si>
  <si>
    <t xml:space="preserve">SUPPLEMENTARY: Via EV/EBIT (Median) - not in Target Price</t>
  </si>
  <si>
    <t xml:space="preserve">Why EV/EBIT is added: Fixstars is asset-light, with D&amp;A of 167 against EBIT of 2,578 (6.5%). Peer D&amp;A runs 49.6% of EBIT at PKSHA, 61.3% at FRONTEO and 24.5% at TIS, so their EBITDA is inflated relative to Fixstars' and their EV/EBITDA multiples are correspondingly deflated. On EV/EBIT the peer median is about 19.4x versus 13.0x on EV/EBITDA, implying roughly 1,704 per share rather than 1,256 - a 448 difference driven purely by the definitional asymmetry, not by any view on the business. Including it as a fifth method would move the Target Price from 1,381 to about 1,445; it has deliberately been left out of C10 on the Executive Summary.</t>
  </si>
  <si>
    <r>
      <rPr>
        <i val="true"/>
        <sz val="8"/>
        <rFont val="Arial"/>
        <family val="0"/>
        <charset val="1"/>
      </rPr>
      <t xml:space="preserve">Peer set: the specification listed 4483.T for </t>
    </r>
    <r>
      <rPr>
        <i val="true"/>
        <sz val="8"/>
        <rFont val="Noto Sans CJK SC"/>
        <family val="2"/>
      </rPr>
      <t xml:space="preserve">ベース</t>
    </r>
    <r>
      <rPr>
        <i val="true"/>
        <sz val="8"/>
        <rFont val="Arial"/>
        <family val="0"/>
        <charset val="1"/>
      </rPr>
      <t xml:space="preserve">, which is JMDC - the correct ticker 4481.T was used instead. SB</t>
    </r>
    <r>
      <rPr>
        <i val="true"/>
        <sz val="8"/>
        <rFont val="Noto Sans CJK SC"/>
        <family val="2"/>
      </rPr>
      <t xml:space="preserve">テクノロジー </t>
    </r>
    <r>
      <rPr>
        <i val="true"/>
        <sz val="8"/>
        <rFont val="Arial"/>
        <family val="0"/>
        <charset val="1"/>
      </rPr>
      <t xml:space="preserve">(4726.T) was replaced by FRONTEO (2158.T) from the specification's fallback list; this substitution was not previously documented. FRONTEO carries the weakest margin of the set (9.4%) and the highest PER (44.3x), so it widens the upper percentile without moving the median. Statistics correctly exclude Fixstars (ranges are row 6 to row 10). Base Corporation's implied D&amp;A of 16 on revenue of 21,787 (0.07%) is low even for a labour-based offshore developer and is worth verifying, though at 8.02x it sits below the median and does not move it.</t>
    </r>
  </si>
  <si>
    <t xml:space="preserve">Sensitivity Analysis</t>
  </si>
  <si>
    <t xml:space="preserve">Current WACC:</t>
  </si>
  <si>
    <t xml:space="preserve">Terminal g:</t>
  </si>
  <si>
    <t xml:space="preserve">Exit Multiple:</t>
  </si>
  <si>
    <t xml:space="preserve">Table 1: WACC vs Terminal Growth Rate (PGM - Implied Share Price, JPY)</t>
  </si>
  <si>
    <t xml:space="preserve">WACC \ Terminal g</t>
  </si>
  <si>
    <t xml:space="preserve">Table 2: WACC vs Exit Multiple (Exit Multiple - Implied Share Price, JPY)</t>
  </si>
  <si>
    <t xml:space="preserve">WACC \ Exit Multiple</t>
  </si>
  <si>
    <t xml:space="preserve">All values dynamically linked to DCF Model. Headers auto-center on current WACC / Terminal g / Exit Multiple.</t>
  </si>
  <si>
    <t xml:space="preserve">Segment Bridge: Solution vs SaaS vs Other (CVC)</t>
  </si>
  <si>
    <t xml:space="preserve">Only 2 fiscal years of segment data are disclosed (FY2024/9, FY2025/9) -- too few for the main DCF's 4-year hist_years array, hence this separate sheet rather than a 'segments' override block.</t>
  </si>
  <si>
    <t xml:space="preserve">Segment P&amp;L (JPY mn)</t>
  </si>
  <si>
    <t xml:space="preserve">YoY %</t>
  </si>
  <si>
    <t xml:space="preserve">Solution Revenue</t>
  </si>
  <si>
    <t xml:space="preserve">Solution Operating Income</t>
  </si>
  <si>
    <t xml:space="preserve">Solution Margin</t>
  </si>
  <si>
    <t xml:space="preserve">SaaS Revenue</t>
  </si>
  <si>
    <t xml:space="preserve">SaaS Operating Income/(Loss)</t>
  </si>
  <si>
    <t xml:space="preserve">loss widened</t>
  </si>
  <si>
    <t xml:space="preserve">Other (incl. CVC) Operating Income/(Loss)</t>
  </si>
  <si>
    <t xml:space="preserve">n/a (base near zero)</t>
  </si>
  <si>
    <t xml:space="preserve">Consolidated Operating Income</t>
  </si>
  <si>
    <t xml:space="preserve">Check: Solution OI + SaaS OI + Other OI = Consolidated OI</t>
  </si>
  <si>
    <t xml:space="preserve">Depreciation by segment (reference)</t>
  </si>
  <si>
    <t xml:space="preserve">Solution D&amp;A</t>
  </si>
  <si>
    <t xml:space="preserve">SaaS D&amp;A</t>
  </si>
  <si>
    <t xml:space="preserve">Normalization (FY2025/9, JPY mn)</t>
  </si>
  <si>
    <t xml:space="preserve">+ CVC securities writedown (one-off, in COGS)</t>
  </si>
  <si>
    <t xml:space="preserve">Normalized OI (ex-CVC only)</t>
  </si>
  <si>
    <t xml:space="preserve">  as % of revenue (9,618)</t>
  </si>
  <si>
    <t xml:space="preserve">+ SaaS operating loss (strategic investment)</t>
  </si>
  <si>
    <t xml:space="preserve">Fully Normalized OI (ex-CVC, ex-SaaS loss)</t>
  </si>
  <si>
    <t xml:space="preserve">The gap between consolidated margin (26.8%) and Solution-segment margin (35.3%) is the sum of a deliberate investment (SaaS loss) and a one-off charge (CVC writedown), not core-business deterioration. The investment case reduces to two questions: (a) when does the 424 SaaS operating loss shrink or turn positive, and (b) does the CVC writedown recur. Neither is knowable from FY2025/9 data alone.</t>
  </si>
  <si>
    <t xml:space="preserve">Customer Concentration (disclosed 10%+ customers only)</t>
  </si>
  <si>
    <t xml:space="preserve">Customer</t>
  </si>
  <si>
    <t xml:space="preserve">% of Rev</t>
  </si>
  <si>
    <t xml:space="preserve">Kioxia Corporation</t>
  </si>
  <si>
    <t xml:space="preserve">Renesas Electronics Corp.</t>
  </si>
  <si>
    <t xml:space="preserve">-</t>
  </si>
  <si>
    <t xml:space="preserve">Nexty Electronics Corp.</t>
  </si>
  <si>
    <t xml:space="preserve">Disclosed customers, total</t>
  </si>
  <si>
    <t xml:space="preserve">Disclosure threshold is 10% of revenue; Renesas fell below 10% in FY2025/9 and became non-disclosed -- this does not necessarily mean the relationship ended, only that it dropped below the reporting threshold. Kioxia alone is 17.1% of FY2025/9 revenue and is a NAND-memory cyclical company: a memory downcycle (as seen in Kioxia's own FY2024/3 results, a swing of over 1 trillion yen in operating profit across two years) transmits directly into Fixstars' Solution-segment revenue via reduced customer R&amp;D spend.</t>
  </si>
  <si>
    <t xml:space="preserve">Manual Adjustments Log — 3687 Fixstars (finalised 2026-07-30, price 2,079)</t>
  </si>
  <si>
    <t xml:space="preserve">#</t>
  </si>
  <si>
    <t xml:space="preserve">Sheet / Cell</t>
  </si>
  <si>
    <t xml:space="preserve">Was</t>
  </si>
  <si>
    <t xml:space="preserve">Now</t>
  </si>
  <si>
    <t xml:space="preserve">Why</t>
  </si>
  <si>
    <t xml:space="preserve">1</t>
  </si>
  <si>
    <t xml:space="preserve">FS!C19:F19, C26:F27, labels, notes B30:B34</t>
  </si>
  <si>
    <t xml:space="preserve">see col C</t>
  </si>
  <si>
    <r>
      <rPr>
        <sz val="9"/>
        <rFont val="Noto Sans CJK SC"/>
        <family val="2"/>
      </rPr>
      <t xml:space="preserve">短信 </t>
    </r>
    <r>
      <rPr>
        <sz val="9"/>
        <rFont val="Arial"/>
        <family val="0"/>
        <charset val="1"/>
      </rPr>
      <t xml:space="preserve">actuals</t>
    </r>
  </si>
  <si>
    <r>
      <rPr>
        <sz val="9"/>
        <rFont val="Arial"/>
        <family val="0"/>
        <charset val="1"/>
      </rPr>
      <t xml:space="preserve">The cash-flow and balance-sheet rows were shifted forward by THREE fiscal years and carried odd decimals inconsistent with the integer P&amp;L rows above. The FY2025/9 column held FY2022/9 actuals: operating cash flow 1,488.034 (FY2022/9 was 1,488,034 </t>
    </r>
    <r>
      <rPr>
        <sz val="9"/>
        <rFont val="Noto Sans CJK SC"/>
        <family val="2"/>
      </rPr>
      <t xml:space="preserve">千円</t>
    </r>
    <r>
      <rPr>
        <sz val="9"/>
        <rFont val="Arial"/>
        <family val="0"/>
        <charset val="1"/>
      </rPr>
      <t xml:space="preserve">), cash 5,056.616 (FY2022/9 was 5,056,616 </t>
    </r>
    <r>
      <rPr>
        <sz val="9"/>
        <rFont val="Noto Sans CJK SC"/>
        <family val="2"/>
      </rPr>
      <t xml:space="preserve">千円</t>
    </r>
    <r>
      <rPr>
        <sz val="9"/>
        <rFont val="Arial"/>
        <family val="0"/>
        <charset val="1"/>
      </rPr>
      <t xml:space="preserve">) and short-term debt 2,085 (FY2022/9 borrowings were 795,996 + 1,289,014 = 2,085,010 </t>
    </r>
    <r>
      <rPr>
        <sz val="9"/>
        <rFont val="Noto Sans CJK SC"/>
        <family val="2"/>
      </rPr>
      <t xml:space="preserve">千円</t>
    </r>
    <r>
      <rPr>
        <sz val="9"/>
        <rFont val="Arial"/>
        <family val="0"/>
        <charset val="1"/>
      </rPr>
      <t xml:space="preserve">). Replaced with actuals in </t>
    </r>
    <r>
      <rPr>
        <sz val="9"/>
        <rFont val="Noto Sans CJK SC"/>
        <family val="2"/>
      </rPr>
      <t xml:space="preserve">百万円</t>
    </r>
    <r>
      <rPr>
        <sz val="9"/>
        <rFont val="Arial"/>
        <family val="0"/>
        <charset val="1"/>
      </rPr>
      <t xml:space="preserve">: OCF 1,488 / 719 / 1,656 / 1,979; cash 5,057 / 4,629 / 4,856 / 5,178; interest-bearing debt 2,104 / 1,297 / 547 / 47. Free cash flow now reads 1,447 / 681 / 1,491 / 1,869 instead of 753 / 778 / 700 / 1,378. Row 28 gives -5,131 at FY2025/9, exactly the financial component of 'DCF Model'!C16 = -4,856 (the 275 balance being minority interests). Row 27 relabelled because Fixstars has no short-term borrowings - only lease liabilities of 47,176 </t>
    </r>
    <r>
      <rPr>
        <sz val="9"/>
        <rFont val="Noto Sans CJK SC"/>
        <family val="2"/>
      </rPr>
      <t xml:space="preserve">千円</t>
    </r>
    <r>
      <rPr>
        <sz val="9"/>
        <rFont val="Arial"/>
        <family val="0"/>
        <charset val="1"/>
      </rPr>
      <t xml:space="preserve">.</t>
    </r>
  </si>
  <si>
    <t xml:space="preserve">2</t>
  </si>
  <si>
    <t xml:space="preserve">DCF!C5, C18</t>
  </si>
  <si>
    <t xml:space="preserve">2.786% / 2.547%</t>
  </si>
  <si>
    <t xml:space="preserve">1.144% / 1.736%</t>
  </si>
  <si>
    <t xml:space="preserve">Both were back-solved from the AVERAGE of the five-year direct projections (268 and 245 over base revenue 9,618) rather than from actuals. They are revenue_pct fallbacks and unused because capex/D&amp;A run on the direct method (rows 42-43 hold absolute values). Rebased on FY2025/9 actuals: capex 110 and D&amp;A 167 over 9,618.</t>
  </si>
  <si>
    <t xml:space="preserve">3</t>
  </si>
  <si>
    <t xml:space="preserve">Comps: new col P, J14:J17, B30, C30, B32:B33</t>
  </si>
  <si>
    <t xml:space="preserve">EV/EBITDA only</t>
  </si>
  <si>
    <t xml:space="preserve">+ EV/EBIT supplementary</t>
  </si>
  <si>
    <r>
      <rPr>
        <sz val="9"/>
        <rFont val="Arial"/>
        <family val="0"/>
        <charset val="1"/>
      </rPr>
      <t xml:space="preserve">EV/EBITDA systematically penalises an asset-light company. Fixstars D&amp;A is 6.5% of EBIT; the same ratio is 49.6% at PKSHA, 61.3% at FRONTEO and 24.5% at TIS, so peer EBITDA is inflated and peer EV/EBITDA deflated. Peer median EV/EBIT is 19.43x versus 12.99x on EV/EBITDA, implying about 1,704 per share rather than 1,256. Added as a clearly-labelled SUPPLEMENTARY line only - the Target Price formula in Exec Summary C10 was NOT changed. Including it as a fifth method would give roughly 1,445 instead of 1,381. Also documented the undocumented peer substitution (4726.T SB</t>
    </r>
    <r>
      <rPr>
        <sz val="9"/>
        <rFont val="Noto Sans CJK SC"/>
        <family val="2"/>
      </rPr>
      <t xml:space="preserve">テクノロジー </t>
    </r>
    <r>
      <rPr>
        <sz val="9"/>
        <rFont val="Arial"/>
        <family val="0"/>
        <charset val="1"/>
      </rPr>
      <t xml:space="preserve">-&gt; 2158.T FRONTEO) and the specification's own ticker error (4483.T is JMDC, not </t>
    </r>
    <r>
      <rPr>
        <sz val="9"/>
        <rFont val="Noto Sans CJK SC"/>
        <family val="2"/>
      </rPr>
      <t xml:space="preserve">ベース</t>
    </r>
    <r>
      <rPr>
        <sz val="9"/>
        <rFont val="Arial"/>
        <family val="0"/>
        <charset val="1"/>
      </rPr>
      <t xml:space="preserve">; 4481.T is correct and was used).</t>
    </r>
  </si>
  <si>
    <t xml:space="preserve">4</t>
  </si>
  <si>
    <t xml:space="preserve">Segment Bridge!E12, E14</t>
  </si>
  <si>
    <t xml:space="preserve">180.8% / 77</t>
  </si>
  <si>
    <t xml:space="preserve">text labels</t>
  </si>
  <si>
    <t xml:space="preserve">YoY percentages computed on a negative or near-zero base. The SaaS line read +180.8% while the loss was WIDENING from -151 to -424, and the Other/CVC line read 77 (i.e. 7,700%) off a base of -3. Replaced with "loss widened" and "n/a (base near zero)".</t>
  </si>
  <si>
    <t xml:space="preserve">CONFIRMED CORRECT - not changed</t>
  </si>
  <si>
    <r>
      <rPr>
        <sz val="9"/>
        <rFont val="Arial"/>
        <family val="0"/>
        <charset val="1"/>
      </rPr>
      <t xml:space="preserve">UNITS: revenue reads 6,311 / 7,038 / 7,995 / 9,618 in </t>
    </r>
    <r>
      <rPr>
        <sz val="9"/>
        <rFont val="Noto Sans CJK SC"/>
        <family val="2"/>
      </rPr>
      <t xml:space="preserve">百万円 </t>
    </r>
    <r>
      <rPr>
        <sz val="9"/>
        <rFont val="Arial"/>
        <family val="0"/>
        <charset val="1"/>
      </rPr>
      <t xml:space="preserve">- the single largest risk flagged in the specification was avoided. net_debt = -4,856 including the MI addback; de_ratio = 0 so WACC equals the cost of equity; shares 32,252,858 (= 33,635,000 issued less 1,382,142 treasury); NWC base days DSO 106.83 / DIH 0.32 / DPO 11.24, matching the </t>
    </r>
    <r>
      <rPr>
        <sz val="9"/>
        <rFont val="Noto Sans CJK SC"/>
        <family val="2"/>
      </rPr>
      <t xml:space="preserve">短信</t>
    </r>
    <r>
      <rPr>
        <sz val="9"/>
        <rFont val="Arial"/>
        <family val="0"/>
        <charset val="1"/>
      </rPr>
      <t xml:space="preserve">; hist_revenue through hist_net_income reconcile within 1 for all four years; capex history extracted correctly (41 / 38 / 165 / 110); D27 = MATCH(C27,B69:B73,0) so the scenario dropdown genuinely switches the model; Comps statistics exclude Fixstars and every peer carries a positive D&amp;A, so the EBITDA definition mismatch that broke the 8410 workbook did not recur. LTM Revenue C20 = 10,276.9 is CORRECT (9,617,686 - 4,783,240 + 5,442,443 = 10,276,889 </t>
    </r>
    <r>
      <rPr>
        <sz val="9"/>
        <rFont val="Noto Sans CJK SC"/>
        <family val="2"/>
      </rPr>
      <t xml:space="preserve">千円</t>
    </r>
    <r>
      <rPr>
        <sz val="9"/>
        <rFont val="Arial"/>
        <family val="0"/>
        <charset val="1"/>
      </rPr>
      <t xml:space="preserve">) - the only workbook in this set where that cell was right.</t>
    </r>
  </si>
  <si>
    <t xml:space="preserve">OPEN ITEM - beta and the risk it misses</t>
  </si>
  <si>
    <t xml:space="preserve">DCF!C8 = 1.04, C10 = 3.0%</t>
  </si>
  <si>
    <t xml:space="preserve">The specification proposed beta 1.35 with a verification band of 1.00 to 1.70; the workbook uses a measured 1.04, giving a cost of equity of 11.54% against the 12.9% assumed in the specification. Within the band and therefore left alone. Worth noting that CAPM cannot see the dominant risk here: Kioxia is 17.1% of revenue and Nexty 11.6%, and customer concentration is idiosyncratic, so it is diversified away in beta by construction. The Downside 2 scenario, not the discount rate, is where that risk is priced.</t>
  </si>
  <si>
    <t xml:space="preserve">OPEN ITEM - size premium</t>
  </si>
  <si>
    <t xml:space="preserve">DCF!C10 = 3.0%</t>
  </si>
  <si>
    <t xml:space="preserve">Market cap is 67,054, between the small-cap models in the library that used 4.0% and the large caps that used 0.0%. At 3.0% the cost of equity is 11.54%; at 0.0% it would be 8.54% and at 4.0% it would be 12.54%. Each point of size premium moves the perpetuity-growth value materially because the WACC-to-terminal-growth spread is only 10.0 points. The specification asked for a 0.0 / 2.5 / 4.0 sensitivity in the report - worth running before publication.</t>
  </si>
  <si>
    <t xml:space="preserve">OPEN ITEM - the valuation gap</t>
  </si>
  <si>
    <t xml:space="preserve">all four methods below price</t>
  </si>
  <si>
    <t xml:space="preserve">DCF PGM 970, DCF Exit 1,559, Comps EV/EBITDA 1,256, Comps PER 1,737 against a price of 2,079 - Target 1,381, or -33.6%. On the multiples Fixstars trades at 22.7x EV/EBITDA and 34.5x PER versus peer medians of 13.0x and 28.8x, while its 26.8% operating margin ranks second of six (behind Baycurrent at 34.3%) and its 23.6% ROE ranks third. The premium is real but the quality ranking does not fully justify its size on EV/EBITDA; on EV/EBIT and PER the premium narrows considerably. The honest reading is that the market is paying for the AI-optimisation growth option and for SaaS eventually turning, neither of which the Base case fully capitalises.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</si>
</sst>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"/>
    <numFmt numFmtId="166" formatCode="0.0%;\(0.0%\)"/>
    <numFmt numFmtId="167" formatCode="0.00"/>
    <numFmt numFmtId="168" formatCode="0.000"/>
    <numFmt numFmtId="169" formatCode="0.00\x"/>
    <numFmt numFmtId="170" formatCode="#,##0"/>
    <numFmt numFmtId="171" formatCode="0.00%;\(0.00%\)"/>
    <numFmt numFmtId="172" formatCode="0.0000"/>
    <numFmt numFmtId="173" formatCode="0.\1%;\(0.\1%\)"/>
  </numFmts>
  <fonts count="23">
    <font>
      <sz val="11"/>
      <color theme="1"/>
      <name val="ＭＳ Ｐゴシック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808080"/>
      <name val="Arial"/>
      <family val="0"/>
      <charset val="1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1"/>
      <color theme="1"/>
      <name val="Noto Sans CJK SC"/>
      <family val="2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66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i val="true"/>
      <sz val="8"/>
      <name val="Arial"/>
      <family val="0"/>
      <charset val="1"/>
    </font>
    <font>
      <i val="true"/>
      <sz val="8"/>
      <name val="Noto Sans CJK SC"/>
      <family val="2"/>
    </font>
    <font>
      <b val="true"/>
      <sz val="11"/>
      <name val="Noto Sans CJK SC"/>
      <family val="2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CE6F1"/>
        <bgColor rgb="FFE2EFDA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0B0B0"/>
      <rgbColor rgb="FF808080"/>
      <rgbColor rgb="FF9999FF"/>
      <rgbColor rgb="FF7030A0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C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B1:E31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22"/>
  </cols>
  <sheetData>
    <row r="1" customFormat="false" ht="13.5" hidden="false" customHeight="true" outlineLevel="0" collapsed="false">
      <c r="B1" s="1" t="s">
        <v>0</v>
      </c>
      <c r="C1" s="1"/>
      <c r="D1" s="1"/>
      <c r="E1" s="1"/>
    </row>
    <row r="2" customFormat="false" ht="13.8" hidden="false" customHeight="false" outlineLevel="0" collapsed="false"/>
    <row r="3" customFormat="false" ht="18" hidden="false" customHeight="true" outlineLevel="0" collapsed="false">
      <c r="B3" s="2" t="s">
        <v>1</v>
      </c>
      <c r="C3" s="2"/>
      <c r="D3" s="2"/>
    </row>
    <row r="4" customFormat="false" ht="13.5" hidden="false" customHeight="true" outlineLevel="0" collapsed="false">
      <c r="B4" s="3" t="s">
        <v>2</v>
      </c>
    </row>
    <row r="5" customFormat="false" ht="13.8" hidden="false" customHeight="false" outlineLevel="0" collapsed="false"/>
    <row r="6" customFormat="false" ht="13.5" hidden="false" customHeight="true" outlineLevel="0" collapsed="false">
      <c r="B6" s="4" t="s">
        <v>3</v>
      </c>
      <c r="C6" s="5" t="s">
        <v>4</v>
      </c>
    </row>
    <row r="7" customFormat="false" ht="13.5" hidden="false" customHeight="true" outlineLevel="0" collapsed="false">
      <c r="B7" s="4" t="s">
        <v>5</v>
      </c>
      <c r="C7" s="0" t="s">
        <v>6</v>
      </c>
    </row>
    <row r="8" customFormat="false" ht="13.5" hidden="false" customHeight="true" outlineLevel="0" collapsed="false">
      <c r="B8" s="4" t="s">
        <v>7</v>
      </c>
      <c r="C8" s="0" t="s">
        <v>8</v>
      </c>
    </row>
    <row r="9" customFormat="false" ht="13.5" hidden="false" customHeight="true" outlineLevel="0" collapsed="false">
      <c r="B9" s="4" t="s">
        <v>9</v>
      </c>
      <c r="C9" s="6" t="n">
        <v>2079</v>
      </c>
    </row>
    <row r="10" customFormat="false" ht="13.5" hidden="false" customHeight="true" outlineLevel="0" collapsed="false">
      <c r="B10" s="4" t="s">
        <v>10</v>
      </c>
      <c r="C10" s="6" t="n">
        <f aca="false">ROUND(AVERAGE(C16:C19),0)</f>
        <v>1381</v>
      </c>
    </row>
    <row r="11" customFormat="false" ht="13.5" hidden="false" customHeight="true" outlineLevel="0" collapsed="false">
      <c r="B11" s="4" t="s">
        <v>11</v>
      </c>
      <c r="C11" s="7" t="str">
        <f aca="false">IF(C12&gt;0.15,"BUY",IF(C12&gt;0.05,"HOLD","SELL"))</f>
        <v>SELL</v>
      </c>
    </row>
    <row r="12" customFormat="false" ht="13.5" hidden="false" customHeight="true" outlineLevel="0" collapsed="false">
      <c r="B12" s="4" t="s">
        <v>12</v>
      </c>
      <c r="C12" s="8" t="n">
        <f aca="false">(C10-C9)/C9</f>
        <v>-0.335738335738336</v>
      </c>
    </row>
    <row r="13" customFormat="false" ht="13.8" hidden="false" customHeight="false" outlineLevel="0" collapsed="false"/>
    <row r="14" customFormat="false" ht="13.5" hidden="false" customHeight="true" outlineLevel="0" collapsed="false">
      <c r="B14" s="9" t="s">
        <v>13</v>
      </c>
      <c r="C14" s="10"/>
      <c r="D14" s="10"/>
    </row>
    <row r="15" customFormat="false" ht="13.5" hidden="false" customHeight="true" outlineLevel="0" collapsed="false">
      <c r="B15" s="11" t="s">
        <v>14</v>
      </c>
      <c r="C15" s="11" t="s">
        <v>15</v>
      </c>
      <c r="D15" s="11" t="s">
        <v>16</v>
      </c>
    </row>
    <row r="16" customFormat="false" ht="13.5" hidden="false" customHeight="true" outlineLevel="0" collapsed="false">
      <c r="B16" s="0" t="s">
        <v>17</v>
      </c>
      <c r="C16" s="12" t="n">
        <f aca="false">'DCF Model'!C55</f>
        <v>970</v>
      </c>
      <c r="D16" s="8" t="n">
        <f aca="false">(C16-C9)/C9</f>
        <v>-0.533429533429534</v>
      </c>
    </row>
    <row r="17" customFormat="false" ht="13.5" hidden="false" customHeight="true" outlineLevel="0" collapsed="false">
      <c r="B17" s="0" t="s">
        <v>18</v>
      </c>
      <c r="C17" s="12" t="n">
        <f aca="false">'DCF Model'!C64</f>
        <v>1559</v>
      </c>
      <c r="D17" s="8" t="n">
        <f aca="false">(C17-C9)/C9</f>
        <v>-0.25012025012025</v>
      </c>
    </row>
    <row r="18" customFormat="false" ht="13.5" hidden="false" customHeight="true" outlineLevel="0" collapsed="false">
      <c r="B18" s="0" t="s">
        <v>19</v>
      </c>
      <c r="C18" s="12" t="n">
        <f aca="false">'Comps Analysis'!C27</f>
        <v>1256</v>
      </c>
      <c r="D18" s="8" t="n">
        <f aca="false">IF(ISNUMBER(C18),(C18-C9)/C9,"N/A")</f>
        <v>-0.395863395863396</v>
      </c>
    </row>
    <row r="19" customFormat="false" ht="13.5" hidden="false" customHeight="true" outlineLevel="0" collapsed="false">
      <c r="B19" s="0" t="s">
        <v>20</v>
      </c>
      <c r="C19" s="12" t="n">
        <f aca="false">'Comps Analysis'!C28</f>
        <v>1737</v>
      </c>
      <c r="D19" s="8" t="n">
        <f aca="false">IF(ISNUMBER(C19),(C19-C9)/C9,"N/A")</f>
        <v>-0.164502164502165</v>
      </c>
    </row>
    <row r="20" customFormat="false" ht="13.8" hidden="false" customHeight="false" outlineLevel="0" collapsed="false"/>
    <row r="21" customFormat="false" ht="13.5" hidden="false" customHeight="true" outlineLevel="0" collapsed="false">
      <c r="B21" s="4" t="s">
        <v>21</v>
      </c>
      <c r="C21" s="7" t="str">
        <f aca="false">MIN(C16:C19)&amp;" - "&amp;MAX(C16:C19)</f>
        <v>970 - 1737</v>
      </c>
    </row>
    <row r="22" customFormat="false" ht="13.8" hidden="false" customHeight="false" outlineLevel="0" collapsed="false"/>
    <row r="23" customFormat="false" ht="13.5" hidden="false" customHeight="true" outlineLevel="0" collapsed="false">
      <c r="B23" s="9" t="s">
        <v>22</v>
      </c>
      <c r="C23" s="10"/>
      <c r="D23" s="10"/>
    </row>
    <row r="24" customFormat="false" ht="13.8" hidden="false" customHeight="false" outlineLevel="0" collapsed="false">
      <c r="B24" s="0" t="s">
        <v>23</v>
      </c>
    </row>
    <row r="25" customFormat="false" ht="13.8" hidden="false" customHeight="false" outlineLevel="0" collapsed="false">
      <c r="B25" s="0" t="s">
        <v>24</v>
      </c>
    </row>
    <row r="26" customFormat="false" ht="13.8" hidden="false" customHeight="false" outlineLevel="0" collapsed="false">
      <c r="B26" s="0" t="s">
        <v>25</v>
      </c>
    </row>
    <row r="27" customFormat="false" ht="13.8" hidden="false" customHeight="false" outlineLevel="0" collapsed="false"/>
    <row r="28" customFormat="false" ht="13.5" hidden="false" customHeight="true" outlineLevel="0" collapsed="false">
      <c r="B28" s="9" t="s">
        <v>26</v>
      </c>
      <c r="C28" s="10"/>
      <c r="D28" s="10"/>
    </row>
    <row r="29" customFormat="false" ht="13.8" hidden="false" customHeight="false" outlineLevel="0" collapsed="false">
      <c r="B29" s="0" t="s">
        <v>27</v>
      </c>
    </row>
    <row r="30" customFormat="false" ht="13.8" hidden="false" customHeight="false" outlineLevel="0" collapsed="false">
      <c r="B30" s="0" t="s">
        <v>28</v>
      </c>
    </row>
    <row r="31" customFormat="false" ht="13.8" hidden="false" customHeight="false" outlineLevel="0" collapsed="false">
      <c r="B31" s="0" t="s">
        <v>29</v>
      </c>
    </row>
  </sheetData>
  <mergeCells count="2">
    <mergeCell ref="B1:E1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B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6" min="3" style="0" width="18"/>
  </cols>
  <sheetData>
    <row r="1" customFormat="false" ht="13.8" hidden="false" customHeight="false" outlineLevel="0" collapsed="false"/>
    <row r="2" customFormat="false" ht="18" hidden="false" customHeight="true" outlineLevel="0" collapsed="false">
      <c r="B2" s="13" t="s">
        <v>30</v>
      </c>
    </row>
    <row r="3" customFormat="false" ht="13.8" hidden="false" customHeight="false" outlineLevel="0" collapsed="false"/>
    <row r="4" customFormat="false" ht="13.5" hidden="false" customHeight="true" outlineLevel="0" collapsed="false">
      <c r="C4" s="11" t="s">
        <v>31</v>
      </c>
      <c r="D4" s="11" t="s">
        <v>32</v>
      </c>
      <c r="E4" s="11" t="s">
        <v>33</v>
      </c>
      <c r="F4" s="11" t="s">
        <v>34</v>
      </c>
    </row>
    <row r="5" customFormat="false" ht="13.5" hidden="false" customHeight="true" outlineLevel="0" collapsed="false">
      <c r="B5" s="3" t="s">
        <v>35</v>
      </c>
    </row>
    <row r="6" customFormat="false" ht="13.5" hidden="false" customHeight="true" outlineLevel="0" collapsed="false">
      <c r="B6" s="4" t="s">
        <v>36</v>
      </c>
      <c r="C6" s="6" t="n">
        <v>6311</v>
      </c>
      <c r="D6" s="6" t="n">
        <v>7038</v>
      </c>
      <c r="E6" s="6" t="n">
        <v>7995</v>
      </c>
      <c r="F6" s="6" t="n">
        <v>9618</v>
      </c>
    </row>
    <row r="7" customFormat="false" ht="13.5" hidden="false" customHeight="true" outlineLevel="0" collapsed="false">
      <c r="B7" s="4" t="s">
        <v>37</v>
      </c>
      <c r="C7" s="6" t="n">
        <v>3285</v>
      </c>
      <c r="D7" s="6" t="n">
        <v>3463</v>
      </c>
      <c r="E7" s="6" t="n">
        <v>3817</v>
      </c>
      <c r="F7" s="6" t="n">
        <v>4611</v>
      </c>
    </row>
    <row r="8" customFormat="false" ht="13.5" hidden="false" customHeight="true" outlineLevel="0" collapsed="false">
      <c r="B8" s="4" t="s">
        <v>38</v>
      </c>
      <c r="C8" s="6" t="n">
        <f aca="false">C6-C7</f>
        <v>3026</v>
      </c>
      <c r="D8" s="6" t="n">
        <f aca="false">D6-D7</f>
        <v>3575</v>
      </c>
      <c r="E8" s="6" t="n">
        <f aca="false">E6-E7</f>
        <v>4178</v>
      </c>
      <c r="F8" s="6" t="n">
        <f aca="false">F6-F7</f>
        <v>5007</v>
      </c>
    </row>
    <row r="9" customFormat="false" ht="13.5" hidden="false" customHeight="true" outlineLevel="0" collapsed="false">
      <c r="B9" s="0" t="s">
        <v>39</v>
      </c>
      <c r="C9" s="8" t="n">
        <f aca="false">C8/C6</f>
        <v>0.47948027254001</v>
      </c>
      <c r="D9" s="8" t="n">
        <f aca="false">D8/D6</f>
        <v>0.50795680591077</v>
      </c>
      <c r="E9" s="8" t="n">
        <f aca="false">E8/E6</f>
        <v>0.522576610381488</v>
      </c>
      <c r="F9" s="8" t="n">
        <f aca="false">F8/F6</f>
        <v>0.520586400499064</v>
      </c>
    </row>
    <row r="10" customFormat="false" ht="13.5" hidden="false" customHeight="true" outlineLevel="0" collapsed="false">
      <c r="B10" s="4" t="s">
        <v>40</v>
      </c>
      <c r="C10" s="6" t="n">
        <v>1402</v>
      </c>
      <c r="D10" s="6" t="n">
        <v>1489</v>
      </c>
      <c r="E10" s="6" t="n">
        <v>1874</v>
      </c>
      <c r="F10" s="6" t="n">
        <v>2428</v>
      </c>
    </row>
    <row r="11" customFormat="false" ht="13.5" hidden="false" customHeight="true" outlineLevel="0" collapsed="false">
      <c r="B11" s="4" t="s">
        <v>41</v>
      </c>
      <c r="C11" s="6" t="n">
        <v>1624</v>
      </c>
      <c r="D11" s="6" t="n">
        <v>2086</v>
      </c>
      <c r="E11" s="6" t="n">
        <v>2304</v>
      </c>
      <c r="F11" s="6" t="n">
        <v>2578</v>
      </c>
    </row>
    <row r="12" customFormat="false" ht="13.5" hidden="false" customHeight="true" outlineLevel="0" collapsed="false">
      <c r="B12" s="4" t="s">
        <v>42</v>
      </c>
      <c r="C12" s="6" t="n">
        <v>1083</v>
      </c>
      <c r="D12" s="6" t="n">
        <v>1448</v>
      </c>
      <c r="E12" s="6" t="n">
        <v>1494</v>
      </c>
      <c r="F12" s="6" t="n">
        <v>1945</v>
      </c>
    </row>
    <row r="13" customFormat="false" ht="13.5" hidden="false" customHeight="true" outlineLevel="0" collapsed="false">
      <c r="B13" s="0" t="s">
        <v>43</v>
      </c>
      <c r="C13" s="8" t="n">
        <f aca="false">C11/C6</f>
        <v>0.257328474092854</v>
      </c>
      <c r="D13" s="8" t="n">
        <f aca="false">D11/D6</f>
        <v>0.296391020176186</v>
      </c>
      <c r="E13" s="8" t="n">
        <f aca="false">E11/E6</f>
        <v>0.288180112570357</v>
      </c>
      <c r="F13" s="8" t="n">
        <f aca="false">F11/F6</f>
        <v>0.268039093366604</v>
      </c>
    </row>
    <row r="14" customFormat="false" ht="13.5" hidden="false" customHeight="true" outlineLevel="0" collapsed="false">
      <c r="B14" s="0" t="s">
        <v>44</v>
      </c>
      <c r="C14" s="8" t="n">
        <f aca="false">C12/C6</f>
        <v>0.171605133893202</v>
      </c>
      <c r="D14" s="8" t="n">
        <f aca="false">D12/D6</f>
        <v>0.205740267121341</v>
      </c>
      <c r="E14" s="8" t="n">
        <f aca="false">E12/E6</f>
        <v>0.186866791744841</v>
      </c>
      <c r="F14" s="8" t="n">
        <f aca="false">F12/F6</f>
        <v>0.202224994801414</v>
      </c>
    </row>
    <row r="15" customFormat="false" ht="13.5" hidden="false" customHeight="true" outlineLevel="0" collapsed="false">
      <c r="B15" s="0" t="s">
        <v>45</v>
      </c>
      <c r="C15" s="0" t="s">
        <v>46</v>
      </c>
      <c r="D15" s="8" t="n">
        <f aca="false">(D6-C6)/C6</f>
        <v>0.115195690064966</v>
      </c>
      <c r="E15" s="8" t="n">
        <f aca="false">(E6-D6)/D6</f>
        <v>0.135976129582268</v>
      </c>
      <c r="F15" s="8" t="n">
        <f aca="false">(F6-E6)/E6</f>
        <v>0.203001876172608</v>
      </c>
    </row>
    <row r="16" customFormat="false" ht="13.5" hidden="false" customHeight="true" outlineLevel="0" collapsed="false">
      <c r="B16" s="0" t="s">
        <v>47</v>
      </c>
      <c r="C16" s="0" t="s">
        <v>46</v>
      </c>
      <c r="D16" s="8" t="n">
        <f aca="false">(D11-C11)/C11</f>
        <v>0.28448275862069</v>
      </c>
      <c r="E16" s="8" t="n">
        <f aca="false">(E11-D11)/D11</f>
        <v>0.104506232023011</v>
      </c>
      <c r="F16" s="8" t="n">
        <f aca="false">(F11-E11)/E11</f>
        <v>0.118923611111111</v>
      </c>
    </row>
    <row r="17" customFormat="false" ht="13.8" hidden="false" customHeight="false" outlineLevel="0" collapsed="false"/>
    <row r="18" customFormat="false" ht="13.5" hidden="false" customHeight="true" outlineLevel="0" collapsed="false">
      <c r="B18" s="3" t="s">
        <v>48</v>
      </c>
    </row>
    <row r="19" customFormat="false" ht="13.5" hidden="false" customHeight="true" outlineLevel="0" collapsed="false">
      <c r="B19" s="4" t="s">
        <v>49</v>
      </c>
      <c r="C19" s="14" t="n">
        <v>1488</v>
      </c>
      <c r="D19" s="14" t="n">
        <v>719</v>
      </c>
      <c r="E19" s="14" t="n">
        <v>1656</v>
      </c>
      <c r="F19" s="14" t="n">
        <v>1979</v>
      </c>
    </row>
    <row r="20" customFormat="false" ht="13.5" hidden="false" customHeight="true" outlineLevel="0" collapsed="false">
      <c r="B20" s="4" t="s">
        <v>50</v>
      </c>
      <c r="C20" s="6" t="n">
        <v>41</v>
      </c>
      <c r="D20" s="6" t="n">
        <v>38</v>
      </c>
      <c r="E20" s="6" t="n">
        <v>165</v>
      </c>
      <c r="F20" s="6" t="n">
        <v>110</v>
      </c>
    </row>
    <row r="21" customFormat="false" ht="13.5" hidden="false" customHeight="true" outlineLevel="0" collapsed="false">
      <c r="B21" s="4" t="s">
        <v>51</v>
      </c>
      <c r="C21" s="6" t="n">
        <f aca="false">C19-C20</f>
        <v>1447</v>
      </c>
      <c r="D21" s="6" t="n">
        <f aca="false">D19-D20</f>
        <v>681</v>
      </c>
      <c r="E21" s="6" t="n">
        <f aca="false">E19-E20</f>
        <v>1491</v>
      </c>
      <c r="F21" s="6" t="n">
        <f aca="false">F19-F20</f>
        <v>1869</v>
      </c>
    </row>
    <row r="22" customFormat="false" ht="13.5" hidden="false" customHeight="true" outlineLevel="0" collapsed="false">
      <c r="B22" s="0" t="s">
        <v>52</v>
      </c>
      <c r="C22" s="8" t="n">
        <f aca="false">C21/C6</f>
        <v>0.229282205672635</v>
      </c>
      <c r="D22" s="8" t="n">
        <f aca="false">D21/D6</f>
        <v>0.0967604433077579</v>
      </c>
      <c r="E22" s="8" t="n">
        <f aca="false">E21/E6</f>
        <v>0.186491557223265</v>
      </c>
      <c r="F22" s="8" t="n">
        <f aca="false">F21/F6</f>
        <v>0.194323144104804</v>
      </c>
    </row>
    <row r="23" customFormat="false" ht="13.5" hidden="false" customHeight="true" outlineLevel="0" collapsed="false">
      <c r="B23" s="0" t="s">
        <v>53</v>
      </c>
      <c r="C23" s="8" t="n">
        <f aca="false">C20/C6</f>
        <v>0.00649659324988116</v>
      </c>
      <c r="D23" s="8" t="n">
        <f aca="false">D20/D6</f>
        <v>0.00539926115373686</v>
      </c>
      <c r="E23" s="8" t="n">
        <f aca="false">E20/E6</f>
        <v>0.0206378986866792</v>
      </c>
      <c r="F23" s="8" t="n">
        <f aca="false">F20/F6</f>
        <v>0.0114368891661468</v>
      </c>
    </row>
    <row r="24" customFormat="false" ht="13.8" hidden="false" customHeight="false" outlineLevel="0" collapsed="false"/>
    <row r="25" customFormat="false" ht="13.5" hidden="false" customHeight="true" outlineLevel="0" collapsed="false">
      <c r="B25" s="3" t="s">
        <v>54</v>
      </c>
    </row>
    <row r="26" customFormat="false" ht="13.5" hidden="false" customHeight="true" outlineLevel="0" collapsed="false">
      <c r="B26" s="4" t="s">
        <v>55</v>
      </c>
      <c r="C26" s="14" t="n">
        <v>5057</v>
      </c>
      <c r="D26" s="14" t="n">
        <v>4629</v>
      </c>
      <c r="E26" s="14" t="n">
        <v>4856</v>
      </c>
      <c r="F26" s="14" t="n">
        <v>5178</v>
      </c>
    </row>
    <row r="27" customFormat="false" ht="13.5" hidden="false" customHeight="true" outlineLevel="0" collapsed="false">
      <c r="B27" s="4" t="s">
        <v>56</v>
      </c>
      <c r="C27" s="14" t="n">
        <v>2104</v>
      </c>
      <c r="D27" s="14" t="n">
        <v>1297</v>
      </c>
      <c r="E27" s="14" t="n">
        <v>547</v>
      </c>
      <c r="F27" s="14" t="n">
        <v>47</v>
      </c>
    </row>
    <row r="28" customFormat="false" ht="13.5" hidden="false" customHeight="true" outlineLevel="0" collapsed="false">
      <c r="B28" s="4" t="s">
        <v>57</v>
      </c>
      <c r="C28" s="6" t="n">
        <f aca="false">C27-C26</f>
        <v>-2953</v>
      </c>
      <c r="D28" s="6" t="n">
        <f aca="false">D27-D26</f>
        <v>-3332</v>
      </c>
      <c r="E28" s="6" t="n">
        <f aca="false">E27-E26</f>
        <v>-4309</v>
      </c>
      <c r="F28" s="6" t="n">
        <f aca="false">F27-F26</f>
        <v>-5131</v>
      </c>
    </row>
    <row r="29" customFormat="false" ht="13.8" hidden="false" customHeight="false" outlineLevel="0" collapsed="false"/>
    <row r="30" customFormat="false" ht="13.8" hidden="false" customHeight="false" outlineLevel="0" collapsed="false">
      <c r="B30" s="15" t="s">
        <v>58</v>
      </c>
    </row>
    <row r="31" customFormat="false" ht="13.8" hidden="false" customHeight="false" outlineLevel="0" collapsed="false">
      <c r="B31" s="15" t="s">
        <v>59</v>
      </c>
    </row>
    <row r="32" customFormat="false" ht="13.8" hidden="false" customHeight="false" outlineLevel="0" collapsed="false">
      <c r="B32" s="15" t="s">
        <v>60</v>
      </c>
    </row>
    <row r="33" customFormat="false" ht="13.8" hidden="false" customHeight="false" outlineLevel="0" collapsed="false">
      <c r="B33" s="15" t="s">
        <v>61</v>
      </c>
    </row>
    <row r="34" customFormat="false" ht="13.8" hidden="false" customHeight="false" outlineLevel="0" collapsed="false">
      <c r="B34" s="15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00"/>
    <pageSetUpPr fitToPage="false"/>
  </sheetPr>
  <dimension ref="B1:G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8.5390625" defaultRowHeight="12.7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6"/>
  </cols>
  <sheetData>
    <row r="1" customFormat="false" ht="13.8" hidden="false" customHeight="false" outlineLevel="0" collapsed="false"/>
    <row r="2" customFormat="false" ht="18" hidden="false" customHeight="true" outlineLevel="0" collapsed="false">
      <c r="B2" s="16" t="s">
        <v>63</v>
      </c>
    </row>
    <row r="3" customFormat="false" ht="13.8" hidden="false" customHeight="false" outlineLevel="0" collapsed="false"/>
    <row r="4" customFormat="false" ht="13.5" hidden="false" customHeight="true" outlineLevel="0" collapsed="false">
      <c r="B4" s="9" t="s">
        <v>64</v>
      </c>
      <c r="C4" s="10"/>
      <c r="D4" s="10"/>
      <c r="E4" s="10"/>
      <c r="F4" s="10"/>
      <c r="G4" s="10"/>
    </row>
    <row r="5" customFormat="false" ht="13.5" hidden="false" customHeight="true" outlineLevel="0" collapsed="false">
      <c r="B5" s="4" t="s">
        <v>53</v>
      </c>
      <c r="C5" s="8" t="n">
        <v>0.0114368891661468</v>
      </c>
    </row>
    <row r="6" customFormat="false" ht="13.5" hidden="false" customHeight="true" outlineLevel="0" collapsed="false">
      <c r="B6" s="4" t="s">
        <v>65</v>
      </c>
      <c r="C6" s="8" t="n">
        <v>0.32</v>
      </c>
    </row>
    <row r="7" customFormat="false" ht="13.5" hidden="false" customHeight="true" outlineLevel="0" collapsed="false">
      <c r="B7" s="4" t="s">
        <v>66</v>
      </c>
      <c r="C7" s="8" t="n">
        <v>0.023</v>
      </c>
    </row>
    <row r="8" customFormat="false" ht="13.5" hidden="false" customHeight="true" outlineLevel="0" collapsed="false">
      <c r="B8" s="4" t="s">
        <v>67</v>
      </c>
      <c r="C8" s="17" t="n">
        <v>1.04</v>
      </c>
    </row>
    <row r="9" customFormat="false" ht="13.5" hidden="false" customHeight="true" outlineLevel="0" collapsed="false">
      <c r="B9" s="4" t="s">
        <v>68</v>
      </c>
      <c r="C9" s="8" t="n">
        <v>0.06</v>
      </c>
    </row>
    <row r="10" customFormat="false" ht="13.5" hidden="false" customHeight="true" outlineLevel="0" collapsed="false">
      <c r="B10" s="4" t="s">
        <v>69</v>
      </c>
      <c r="C10" s="8" t="n">
        <v>0.03</v>
      </c>
    </row>
    <row r="11" customFormat="false" ht="13.5" hidden="false" customHeight="true" outlineLevel="0" collapsed="false">
      <c r="B11" s="4" t="s">
        <v>70</v>
      </c>
      <c r="C11" s="8" t="n">
        <v>0.008</v>
      </c>
    </row>
    <row r="12" customFormat="false" ht="13.5" hidden="false" customHeight="true" outlineLevel="0" collapsed="false">
      <c r="B12" s="4" t="s">
        <v>71</v>
      </c>
      <c r="C12" s="18" t="n">
        <v>0</v>
      </c>
    </row>
    <row r="13" customFormat="false" ht="13.5" hidden="false" customHeight="true" outlineLevel="0" collapsed="false">
      <c r="B13" s="4" t="s">
        <v>72</v>
      </c>
      <c r="C13" s="8" t="n">
        <v>0.015</v>
      </c>
    </row>
    <row r="14" customFormat="false" ht="13.5" hidden="false" customHeight="true" outlineLevel="0" collapsed="false">
      <c r="B14" s="4" t="s">
        <v>73</v>
      </c>
      <c r="C14" s="19" t="n">
        <v>12</v>
      </c>
    </row>
    <row r="15" customFormat="false" ht="13.5" hidden="false" customHeight="true" outlineLevel="0" collapsed="false">
      <c r="B15" s="4" t="s">
        <v>74</v>
      </c>
      <c r="C15" s="20" t="n">
        <v>32252858</v>
      </c>
    </row>
    <row r="16" customFormat="false" ht="13.5" hidden="false" customHeight="true" outlineLevel="0" collapsed="false">
      <c r="B16" s="4" t="s">
        <v>75</v>
      </c>
      <c r="C16" s="6" t="n">
        <v>-4856</v>
      </c>
    </row>
    <row r="17" customFormat="false" ht="13.5" hidden="false" customHeight="true" outlineLevel="0" collapsed="false">
      <c r="B17" s="4" t="s">
        <v>76</v>
      </c>
      <c r="C17" s="6" t="n">
        <v>9618</v>
      </c>
    </row>
    <row r="18" customFormat="false" ht="13.5" hidden="false" customHeight="true" outlineLevel="0" collapsed="false">
      <c r="B18" s="4" t="s">
        <v>77</v>
      </c>
      <c r="C18" s="8" t="n">
        <v>0.0173632771886047</v>
      </c>
    </row>
    <row r="19" customFormat="false" ht="13.5" hidden="false" customHeight="true" outlineLevel="0" collapsed="false">
      <c r="B19" s="4" t="s">
        <v>78</v>
      </c>
      <c r="C19" s="17" t="n">
        <v>1</v>
      </c>
    </row>
    <row r="20" customFormat="false" ht="13.5" hidden="false" customHeight="true" outlineLevel="0" collapsed="false">
      <c r="B20" s="4" t="s">
        <v>79</v>
      </c>
      <c r="C20" s="6" t="n">
        <v>10276.9</v>
      </c>
    </row>
    <row r="21" customFormat="false" ht="13.8" hidden="false" customHeight="false" outlineLevel="0" collapsed="false"/>
    <row r="22" customFormat="false" ht="13.5" hidden="false" customHeight="true" outlineLevel="0" collapsed="false">
      <c r="B22" s="9" t="s">
        <v>80</v>
      </c>
      <c r="C22" s="10"/>
      <c r="D22" s="10"/>
      <c r="E22" s="10"/>
      <c r="F22" s="10"/>
      <c r="G22" s="10"/>
    </row>
    <row r="23" customFormat="false" ht="13.5" hidden="false" customHeight="true" outlineLevel="0" collapsed="false">
      <c r="B23" s="4" t="s">
        <v>81</v>
      </c>
      <c r="C23" s="21" t="n">
        <f aca="false">C7+C8*C9+C10</f>
        <v>0.1154</v>
      </c>
    </row>
    <row r="24" customFormat="false" ht="13.5" hidden="false" customHeight="true" outlineLevel="0" collapsed="false">
      <c r="B24" s="4" t="s">
        <v>82</v>
      </c>
      <c r="C24" s="21" t="n">
        <f aca="false">1/(1+C12)</f>
        <v>1</v>
      </c>
    </row>
    <row r="25" customFormat="false" ht="13.5" hidden="false" customHeight="true" outlineLevel="0" collapsed="false">
      <c r="B25" s="4" t="s">
        <v>83</v>
      </c>
      <c r="C25" s="21" t="n">
        <f aca="false">C12/(1+C12)</f>
        <v>0</v>
      </c>
    </row>
    <row r="26" customFormat="false" ht="13.5" hidden="false" customHeight="true" outlineLevel="0" collapsed="false">
      <c r="B26" s="4" t="s">
        <v>84</v>
      </c>
      <c r="C26" s="21" t="n">
        <f aca="false">C23*C24+C11*C25</f>
        <v>0.1154</v>
      </c>
    </row>
    <row r="27" customFormat="false" ht="13.5" hidden="false" customHeight="true" outlineLevel="0" collapsed="false">
      <c r="B27" s="4" t="s">
        <v>85</v>
      </c>
      <c r="C27" s="22" t="s">
        <v>86</v>
      </c>
      <c r="D27" s="7" t="n">
        <f aca="false">MATCH(C27,B69:B73,0)</f>
        <v>1</v>
      </c>
    </row>
    <row r="28" customFormat="false" ht="13.5" hidden="false" customHeight="true" outlineLevel="0" collapsed="false">
      <c r="B28" s="9" t="s">
        <v>87</v>
      </c>
      <c r="C28" s="10"/>
      <c r="D28" s="10"/>
      <c r="E28" s="10"/>
      <c r="F28" s="10"/>
      <c r="G28" s="10"/>
    </row>
    <row r="29" customFormat="false" ht="13.5" hidden="false" customHeight="true" outlineLevel="0" collapsed="false">
      <c r="C29" s="11" t="s">
        <v>88</v>
      </c>
      <c r="D29" s="11" t="s">
        <v>89</v>
      </c>
      <c r="E29" s="11" t="s">
        <v>90</v>
      </c>
      <c r="F29" s="11" t="s">
        <v>91</v>
      </c>
      <c r="G29" s="11" t="s">
        <v>92</v>
      </c>
    </row>
    <row r="30" customFormat="false" ht="13.5" hidden="false" customHeight="true" outlineLevel="0" collapsed="false">
      <c r="B30" s="4" t="s">
        <v>45</v>
      </c>
      <c r="C30" s="23" t="n">
        <f aca="false">CHOOSE($D$27,C69,C70,C71,C72,C73)</f>
        <v>0.12</v>
      </c>
      <c r="D30" s="23" t="n">
        <f aca="false">CHOOSE($D$27,D69,D70,D71,D72,D73)</f>
        <v>0.13</v>
      </c>
      <c r="E30" s="23" t="n">
        <f aca="false">CHOOSE($D$27,E69,E70,E71,E72,E73)</f>
        <v>0.12</v>
      </c>
      <c r="F30" s="23" t="n">
        <f aca="false">CHOOSE($D$27,F69,F70,F71,F72,F73)</f>
        <v>0.1</v>
      </c>
      <c r="G30" s="23" t="n">
        <f aca="false">CHOOSE($D$27,G69,G70,G71,G72,G73)</f>
        <v>0.09</v>
      </c>
    </row>
    <row r="31" customFormat="false" ht="13.5" hidden="false" customHeight="true" outlineLevel="0" collapsed="false">
      <c r="B31" s="4" t="s">
        <v>93</v>
      </c>
      <c r="C31" s="23" t="n">
        <f aca="false">CHOOSE($D$27,C76,C77,C78,C79,C80)</f>
        <v>0.465</v>
      </c>
      <c r="D31" s="23" t="n">
        <f aca="false">CHOOSE($D$27,D76,D77,D78,D79,D80)</f>
        <v>0.46</v>
      </c>
      <c r="E31" s="23" t="n">
        <f aca="false">CHOOSE($D$27,E76,E77,E78,E79,E80)</f>
        <v>0.455</v>
      </c>
      <c r="F31" s="23" t="n">
        <f aca="false">CHOOSE($D$27,F76,F77,F78,F79,F80)</f>
        <v>0.453</v>
      </c>
      <c r="G31" s="23" t="n">
        <f aca="false">CHOOSE($D$27,G76,G77,G78,G79,G80)</f>
        <v>0.45</v>
      </c>
    </row>
    <row r="32" customFormat="false" ht="13.5" hidden="false" customHeight="true" outlineLevel="0" collapsed="false">
      <c r="B32" s="4" t="s">
        <v>94</v>
      </c>
      <c r="C32" s="23" t="n">
        <f aca="false">CHOOSE($D$27,C83,C84,C85,C86,C87)</f>
        <v>0.255</v>
      </c>
      <c r="D32" s="23" t="n">
        <f aca="false">CHOOSE($D$27,D83,D84,D85,D86,D87)</f>
        <v>0.25</v>
      </c>
      <c r="E32" s="23" t="n">
        <f aca="false">CHOOSE($D$27,E83,E84,E85,E86,E87)</f>
        <v>0.245</v>
      </c>
      <c r="F32" s="23" t="n">
        <f aca="false">CHOOSE($D$27,F83,F84,F85,F86,F87)</f>
        <v>0.242</v>
      </c>
      <c r="G32" s="23" t="n">
        <f aca="false">CHOOSE($D$27,G83,G84,G85,G86,G87)</f>
        <v>0.24</v>
      </c>
    </row>
    <row r="33" customFormat="false" ht="13.5" hidden="false" customHeight="true" outlineLevel="0" collapsed="false">
      <c r="B33" s="4" t="s">
        <v>36</v>
      </c>
      <c r="C33" s="6" t="n">
        <f aca="false">C17*(1+C30)</f>
        <v>10772.16</v>
      </c>
      <c r="D33" s="6" t="n">
        <f aca="false">C33*(1+D30)</f>
        <v>12172.5408</v>
      </c>
      <c r="E33" s="6" t="n">
        <f aca="false">D33*(1+E30)</f>
        <v>13633.245696</v>
      </c>
      <c r="F33" s="6" t="n">
        <f aca="false">E33*(1+F30)</f>
        <v>14996.5702656</v>
      </c>
      <c r="G33" s="6" t="n">
        <f aca="false">F33*(1+G30)</f>
        <v>16346.261589504</v>
      </c>
    </row>
    <row r="34" customFormat="false" ht="13.5" hidden="false" customHeight="true" outlineLevel="0" collapsed="false">
      <c r="B34" s="4" t="s">
        <v>37</v>
      </c>
      <c r="C34" s="6" t="n">
        <f aca="false">C33*C31</f>
        <v>5009.0544</v>
      </c>
      <c r="D34" s="6" t="n">
        <f aca="false">D33*D31</f>
        <v>5599.368768</v>
      </c>
      <c r="E34" s="6" t="n">
        <f aca="false">E33*E31</f>
        <v>6203.12679168</v>
      </c>
      <c r="F34" s="6" t="n">
        <f aca="false">F33*F31</f>
        <v>6793.4463303168</v>
      </c>
      <c r="G34" s="6" t="n">
        <f aca="false">G33*G31</f>
        <v>7355.8177152768</v>
      </c>
    </row>
    <row r="35" customFormat="false" ht="13.5" hidden="false" customHeight="true" outlineLevel="0" collapsed="false">
      <c r="B35" s="4" t="s">
        <v>38</v>
      </c>
      <c r="C35" s="24" t="n">
        <f aca="false">C33-C34</f>
        <v>5763.1056</v>
      </c>
      <c r="D35" s="24" t="n">
        <f aca="false">D33-D34</f>
        <v>6573.172032</v>
      </c>
      <c r="E35" s="24" t="n">
        <f aca="false">E33-E34</f>
        <v>7430.11890432</v>
      </c>
      <c r="F35" s="24" t="n">
        <f aca="false">F33-F34</f>
        <v>8203.1239352832</v>
      </c>
      <c r="G35" s="24" t="n">
        <f aca="false">G33-G34</f>
        <v>8990.4438742272</v>
      </c>
    </row>
    <row r="36" customFormat="false" ht="13.5" hidden="false" customHeight="true" outlineLevel="0" collapsed="false">
      <c r="B36" s="4" t="s">
        <v>39</v>
      </c>
      <c r="C36" s="8" t="n">
        <f aca="false">C35/C33</f>
        <v>0.535</v>
      </c>
      <c r="D36" s="8" t="n">
        <f aca="false">D35/D33</f>
        <v>0.54</v>
      </c>
      <c r="E36" s="8" t="n">
        <f aca="false">E35/E33</f>
        <v>0.545</v>
      </c>
      <c r="F36" s="8" t="n">
        <f aca="false">F35/F33</f>
        <v>0.547</v>
      </c>
      <c r="G36" s="8" t="n">
        <f aca="false">G35/G33</f>
        <v>0.55</v>
      </c>
    </row>
    <row r="37" customFormat="false" ht="13.5" hidden="false" customHeight="true" outlineLevel="0" collapsed="false">
      <c r="B37" s="4" t="s">
        <v>95</v>
      </c>
      <c r="C37" s="6" t="n">
        <f aca="false">C33*C32</f>
        <v>2746.9008</v>
      </c>
      <c r="D37" s="6" t="n">
        <f aca="false">D33*D32</f>
        <v>3043.1352</v>
      </c>
      <c r="E37" s="6" t="n">
        <f aca="false">E33*E32</f>
        <v>3340.14519552</v>
      </c>
      <c r="F37" s="6" t="n">
        <f aca="false">F33*F32</f>
        <v>3629.1700042752</v>
      </c>
      <c r="G37" s="6" t="n">
        <f aca="false">G33*G32</f>
        <v>3923.10278148096</v>
      </c>
    </row>
    <row r="38" customFormat="false" ht="13.5" hidden="false" customHeight="true" outlineLevel="0" collapsed="false">
      <c r="B38" s="4" t="s">
        <v>96</v>
      </c>
      <c r="C38" s="8" t="n">
        <f aca="false">(C35-C37)/C33</f>
        <v>0.28</v>
      </c>
      <c r="D38" s="8" t="n">
        <f aca="false">(D35-D37)/D33</f>
        <v>0.29</v>
      </c>
      <c r="E38" s="8" t="n">
        <f aca="false">(E35-E37)/E33</f>
        <v>0.3</v>
      </c>
      <c r="F38" s="8" t="n">
        <f aca="false">(F35-F37)/F33</f>
        <v>0.305</v>
      </c>
      <c r="G38" s="8" t="n">
        <f aca="false">(G35-G37)/G33</f>
        <v>0.31</v>
      </c>
    </row>
    <row r="39" customFormat="false" ht="13.5" hidden="false" customHeight="true" outlineLevel="0" collapsed="false">
      <c r="B39" s="4" t="s">
        <v>97</v>
      </c>
      <c r="C39" s="24" t="n">
        <f aca="false">C35-C37</f>
        <v>3016.2048</v>
      </c>
      <c r="D39" s="24" t="n">
        <f aca="false">D35-D37</f>
        <v>3530.036832</v>
      </c>
      <c r="E39" s="24" t="n">
        <f aca="false">E35-E37</f>
        <v>4089.9737088</v>
      </c>
      <c r="F39" s="24" t="n">
        <f aca="false">F35-F37</f>
        <v>4573.953931008</v>
      </c>
      <c r="G39" s="24" t="n">
        <f aca="false">G35-G37</f>
        <v>5067.34109274624</v>
      </c>
    </row>
    <row r="40" customFormat="false" ht="13.5" hidden="false" customHeight="true" outlineLevel="0" collapsed="false">
      <c r="B40" s="4" t="s">
        <v>98</v>
      </c>
      <c r="C40" s="6" t="n">
        <f aca="false">MAX(0,C39*C6)</f>
        <v>965.185536</v>
      </c>
      <c r="D40" s="6" t="n">
        <f aca="false">MAX(0,D39*C6)</f>
        <v>1129.61178624</v>
      </c>
      <c r="E40" s="6" t="n">
        <f aca="false">MAX(0,E39*C6)</f>
        <v>1308.791586816</v>
      </c>
      <c r="F40" s="6" t="n">
        <f aca="false">MAX(0,F39*C6)</f>
        <v>1463.66525792256</v>
      </c>
      <c r="G40" s="6" t="n">
        <f aca="false">MAX(0,G39*C6)</f>
        <v>1621.5491496788</v>
      </c>
    </row>
    <row r="41" customFormat="false" ht="13.5" hidden="false" customHeight="true" outlineLevel="0" collapsed="false">
      <c r="B41" s="4" t="s">
        <v>99</v>
      </c>
      <c r="C41" s="24" t="n">
        <f aca="false">C39-C40</f>
        <v>2051.019264</v>
      </c>
      <c r="D41" s="24" t="n">
        <f aca="false">D39-D40</f>
        <v>2400.42504576</v>
      </c>
      <c r="E41" s="24" t="n">
        <f aca="false">E39-E40</f>
        <v>2781.182121984</v>
      </c>
      <c r="F41" s="24" t="n">
        <f aca="false">F39-F40</f>
        <v>3110.28867308544</v>
      </c>
      <c r="G41" s="24" t="n">
        <f aca="false">G39-G40</f>
        <v>3445.79194306744</v>
      </c>
    </row>
    <row r="42" customFormat="false" ht="13.5" hidden="false" customHeight="true" outlineLevel="0" collapsed="false">
      <c r="B42" s="4" t="s">
        <v>100</v>
      </c>
      <c r="C42" s="6" t="n">
        <v>200</v>
      </c>
      <c r="D42" s="6" t="n">
        <v>230</v>
      </c>
      <c r="E42" s="6" t="n">
        <v>250</v>
      </c>
      <c r="F42" s="6" t="n">
        <v>265</v>
      </c>
      <c r="G42" s="6" t="n">
        <v>280</v>
      </c>
    </row>
    <row r="43" customFormat="false" ht="13.5" hidden="false" customHeight="true" outlineLevel="0" collapsed="false">
      <c r="B43" s="4" t="s">
        <v>101</v>
      </c>
      <c r="C43" s="6" t="n">
        <v>400</v>
      </c>
      <c r="D43" s="6" t="n">
        <v>250</v>
      </c>
      <c r="E43" s="6" t="n">
        <v>220</v>
      </c>
      <c r="F43" s="6" t="n">
        <v>230</v>
      </c>
      <c r="G43" s="6" t="n">
        <v>240</v>
      </c>
    </row>
    <row r="44" customFormat="false" ht="13.5" hidden="false" customHeight="true" outlineLevel="0" collapsed="false">
      <c r="B44" s="4" t="s">
        <v>102</v>
      </c>
      <c r="C44" s="6" t="n">
        <f aca="false">'NWC Schedule'!D19</f>
        <v>343.631715068494</v>
      </c>
      <c r="D44" s="6" t="n">
        <f aca="false">'NWC Schedule'!E19</f>
        <v>394.34959430137</v>
      </c>
      <c r="E44" s="6" t="n">
        <f aca="false">'NWC Schedule'!F19</f>
        <v>411.665325027945</v>
      </c>
      <c r="F44" s="6" t="n">
        <f aca="false">'NWC Schedule'!G19</f>
        <v>383.486393317348</v>
      </c>
      <c r="G44" s="6" t="n">
        <f aca="false">'NWC Schedule'!H19</f>
        <v>380.255500844188</v>
      </c>
    </row>
    <row r="45" customFormat="false" ht="13.5" hidden="false" customHeight="true" outlineLevel="0" collapsed="false">
      <c r="B45" s="4" t="s">
        <v>103</v>
      </c>
      <c r="C45" s="25" t="n">
        <f aca="false">C41+C42-C43-C44</f>
        <v>1507.38754893151</v>
      </c>
      <c r="D45" s="25" t="n">
        <f aca="false">D41+D42-D43-D44</f>
        <v>1986.07545145863</v>
      </c>
      <c r="E45" s="25" t="n">
        <f aca="false">E41+E42-E43-E44</f>
        <v>2399.51679695606</v>
      </c>
      <c r="F45" s="25" t="n">
        <f aca="false">F41+F42-F43-F44</f>
        <v>2761.80227976809</v>
      </c>
      <c r="G45" s="25" t="n">
        <f aca="false">G41+G42-G43-G44</f>
        <v>3105.53644222326</v>
      </c>
    </row>
    <row r="46" customFormat="false" ht="13.5" hidden="false" customHeight="true" outlineLevel="0" collapsed="false">
      <c r="B46" s="4" t="s">
        <v>104</v>
      </c>
      <c r="C46" s="26" t="n">
        <f aca="false">1/(1+C26)^(C19+0)</f>
        <v>0.89653935807782</v>
      </c>
      <c r="D46" s="26" t="n">
        <f aca="false">1/(1+C26)^(C19+1)</f>
        <v>0.803782820582589</v>
      </c>
      <c r="E46" s="26" t="n">
        <f aca="false">1/(1+C26)^(C19+2)</f>
        <v>0.720622933999094</v>
      </c>
      <c r="F46" s="26" t="n">
        <f aca="false">1/(1+C26)^(C19+3)</f>
        <v>0.646066822663702</v>
      </c>
      <c r="G46" s="26" t="n">
        <f aca="false">1/(1+C26)^(C19+4)</f>
        <v>0.579224334466292</v>
      </c>
    </row>
    <row r="47" customFormat="false" ht="13.5" hidden="false" customHeight="true" outlineLevel="0" collapsed="false">
      <c r="B47" s="4" t="s">
        <v>105</v>
      </c>
      <c r="C47" s="24" t="n">
        <f aca="false">C45*C46</f>
        <v>1351.43226549355</v>
      </c>
      <c r="D47" s="24" t="n">
        <f aca="false">D45*D46</f>
        <v>1596.37332826326</v>
      </c>
      <c r="E47" s="24" t="n">
        <f aca="false">E45*E46</f>
        <v>1729.14683440258</v>
      </c>
      <c r="F47" s="24" t="n">
        <f aca="false">F45*F46</f>
        <v>1784.30882371514</v>
      </c>
      <c r="G47" s="24" t="n">
        <f aca="false">G45*G46</f>
        <v>1798.80227890758</v>
      </c>
    </row>
    <row r="48" customFormat="false" ht="13.8" hidden="false" customHeight="false" outlineLevel="0" collapsed="false"/>
    <row r="49" customFormat="false" ht="13.5" hidden="false" customHeight="true" outlineLevel="0" collapsed="false">
      <c r="B49" s="27" t="s">
        <v>106</v>
      </c>
      <c r="C49" s="28"/>
      <c r="D49" s="28"/>
      <c r="E49" s="28"/>
      <c r="F49" s="28"/>
      <c r="G49" s="28"/>
    </row>
    <row r="50" customFormat="false" ht="13.5" hidden="false" customHeight="true" outlineLevel="0" collapsed="false">
      <c r="B50" s="4" t="s">
        <v>107</v>
      </c>
      <c r="C50" s="6" t="n">
        <f aca="false">SUM(C47:G47)</f>
        <v>8260.06353078211</v>
      </c>
    </row>
    <row r="51" customFormat="false" ht="13.5" hidden="false" customHeight="true" outlineLevel="0" collapsed="false">
      <c r="B51" s="4" t="s">
        <v>108</v>
      </c>
      <c r="C51" s="6" t="n">
        <f aca="false">G45*(1+C13)/(C26-C13)</f>
        <v>31395.6124388108</v>
      </c>
    </row>
    <row r="52" customFormat="false" ht="13.5" hidden="false" customHeight="true" outlineLevel="0" collapsed="false">
      <c r="B52" s="4" t="s">
        <v>109</v>
      </c>
      <c r="C52" s="6" t="n">
        <f aca="false">C51*G46</f>
        <v>18185.1027200318</v>
      </c>
    </row>
    <row r="53" customFormat="false" ht="13.5" hidden="false" customHeight="true" outlineLevel="0" collapsed="false">
      <c r="B53" s="4" t="s">
        <v>110</v>
      </c>
      <c r="C53" s="6" t="n">
        <f aca="false">C50+C52</f>
        <v>26445.166250814</v>
      </c>
    </row>
    <row r="54" customFormat="false" ht="13.5" hidden="false" customHeight="true" outlineLevel="0" collapsed="false">
      <c r="B54" s="4" t="s">
        <v>111</v>
      </c>
      <c r="C54" s="6" t="n">
        <f aca="false">C53-C16</f>
        <v>31301.166250814</v>
      </c>
    </row>
    <row r="55" customFormat="false" ht="13.5" hidden="false" customHeight="true" outlineLevel="0" collapsed="false">
      <c r="B55" s="4" t="s">
        <v>112</v>
      </c>
      <c r="C55" s="29" t="n">
        <f aca="false">ROUND(C54*1000000/C15,0)</f>
        <v>970</v>
      </c>
    </row>
    <row r="56" customFormat="false" ht="13.8" hidden="false" customHeight="false" outlineLevel="0" collapsed="false"/>
    <row r="57" customFormat="false" ht="13.5" hidden="false" customHeight="true" outlineLevel="0" collapsed="false">
      <c r="B57" s="27" t="s">
        <v>113</v>
      </c>
      <c r="C57" s="28"/>
      <c r="D57" s="28"/>
      <c r="E57" s="28"/>
      <c r="F57" s="28"/>
      <c r="G57" s="28"/>
    </row>
    <row r="58" customFormat="false" ht="13.5" hidden="false" customHeight="true" outlineLevel="0" collapsed="false">
      <c r="B58" s="4" t="s">
        <v>107</v>
      </c>
      <c r="C58" s="6" t="n">
        <f aca="false">C50</f>
        <v>8260.06353078211</v>
      </c>
    </row>
    <row r="59" customFormat="false" ht="13.5" hidden="false" customHeight="true" outlineLevel="0" collapsed="false">
      <c r="B59" s="4" t="s">
        <v>114</v>
      </c>
      <c r="C59" s="6" t="n">
        <f aca="false">G39+G42</f>
        <v>5347.34109274624</v>
      </c>
    </row>
    <row r="60" customFormat="false" ht="13.5" hidden="false" customHeight="true" outlineLevel="0" collapsed="false">
      <c r="B60" s="4" t="s">
        <v>115</v>
      </c>
      <c r="C60" s="6" t="n">
        <f aca="false">C59*C14</f>
        <v>64168.0931129549</v>
      </c>
    </row>
    <row r="61" customFormat="false" ht="13.5" hidden="false" customHeight="true" outlineLevel="0" collapsed="false">
      <c r="B61" s="4" t="s">
        <v>109</v>
      </c>
      <c r="C61" s="6" t="n">
        <f aca="false">C60*G46</f>
        <v>37167.7210273224</v>
      </c>
    </row>
    <row r="62" customFormat="false" ht="13.5" hidden="false" customHeight="true" outlineLevel="0" collapsed="false">
      <c r="B62" s="4" t="s">
        <v>110</v>
      </c>
      <c r="C62" s="6" t="n">
        <f aca="false">C58+C61</f>
        <v>45427.7845581045</v>
      </c>
    </row>
    <row r="63" customFormat="false" ht="13.5" hidden="false" customHeight="true" outlineLevel="0" collapsed="false">
      <c r="B63" s="4" t="s">
        <v>111</v>
      </c>
      <c r="C63" s="6" t="n">
        <f aca="false">C62-C16</f>
        <v>50283.7845581045</v>
      </c>
    </row>
    <row r="64" customFormat="false" ht="13.5" hidden="false" customHeight="true" outlineLevel="0" collapsed="false">
      <c r="B64" s="4" t="s">
        <v>116</v>
      </c>
      <c r="C64" s="29" t="n">
        <f aca="false">ROUND(C63*1000000/C15,0)</f>
        <v>1559</v>
      </c>
    </row>
    <row r="65" customFormat="false" ht="13.8" hidden="false" customHeight="false" outlineLevel="0" collapsed="false"/>
    <row r="66" customFormat="false" ht="13.5" hidden="false" customHeight="true" outlineLevel="0" collapsed="false">
      <c r="B66" s="27" t="s">
        <v>117</v>
      </c>
      <c r="C66" s="28"/>
      <c r="D66" s="28"/>
      <c r="E66" s="28"/>
      <c r="F66" s="28"/>
      <c r="G66" s="28"/>
    </row>
    <row r="67" customFormat="false" ht="13.5" hidden="false" customHeight="true" outlineLevel="0" collapsed="false">
      <c r="C67" s="30" t="s">
        <v>118</v>
      </c>
      <c r="D67" s="30" t="s">
        <v>119</v>
      </c>
      <c r="E67" s="30" t="s">
        <v>120</v>
      </c>
      <c r="F67" s="30" t="s">
        <v>121</v>
      </c>
      <c r="G67" s="30" t="s">
        <v>122</v>
      </c>
    </row>
    <row r="68" customFormat="false" ht="13.5" hidden="false" customHeight="true" outlineLevel="0" collapsed="false">
      <c r="B68" s="3" t="s">
        <v>45</v>
      </c>
    </row>
    <row r="69" customFormat="false" ht="13.5" hidden="false" customHeight="true" outlineLevel="0" collapsed="false">
      <c r="B69" s="4" t="s">
        <v>86</v>
      </c>
      <c r="C69" s="31" t="n">
        <v>0.12</v>
      </c>
      <c r="D69" s="31" t="n">
        <v>0.13</v>
      </c>
      <c r="E69" s="31" t="n">
        <v>0.12</v>
      </c>
      <c r="F69" s="31" t="n">
        <v>0.1</v>
      </c>
      <c r="G69" s="31" t="n">
        <v>0.09</v>
      </c>
    </row>
    <row r="70" customFormat="false" ht="13.5" hidden="false" customHeight="true" outlineLevel="0" collapsed="false">
      <c r="B70" s="4" t="s">
        <v>123</v>
      </c>
      <c r="C70" s="31" t="n">
        <v>0.16</v>
      </c>
      <c r="D70" s="31" t="n">
        <v>0.2</v>
      </c>
      <c r="E70" s="31" t="n">
        <v>0.18</v>
      </c>
      <c r="F70" s="31" t="n">
        <v>0.16</v>
      </c>
      <c r="G70" s="31" t="n">
        <v>0.14</v>
      </c>
    </row>
    <row r="71" customFormat="false" ht="13.5" hidden="false" customHeight="true" outlineLevel="0" collapsed="false">
      <c r="B71" s="4" t="s">
        <v>124</v>
      </c>
      <c r="C71" s="31" t="n">
        <v>0.123</v>
      </c>
      <c r="D71" s="31" t="n">
        <v>0.1</v>
      </c>
      <c r="E71" s="31" t="n">
        <v>0.09</v>
      </c>
      <c r="F71" s="31" t="n">
        <v>0.08</v>
      </c>
      <c r="G71" s="31" t="n">
        <v>0.07</v>
      </c>
    </row>
    <row r="72" customFormat="false" ht="13.5" hidden="false" customHeight="true" outlineLevel="0" collapsed="false">
      <c r="B72" s="4" t="s">
        <v>125</v>
      </c>
      <c r="C72" s="31" t="n">
        <v>0.03</v>
      </c>
      <c r="D72" s="31" t="n">
        <v>-0.02</v>
      </c>
      <c r="E72" s="31" t="n">
        <v>0.02</v>
      </c>
      <c r="F72" s="31" t="n">
        <v>0.04</v>
      </c>
      <c r="G72" s="31" t="n">
        <v>0.04</v>
      </c>
    </row>
    <row r="73" customFormat="false" ht="13.5" hidden="false" customHeight="true" outlineLevel="0" collapsed="false">
      <c r="B73" s="4" t="s">
        <v>126</v>
      </c>
      <c r="C73" s="31" t="n">
        <v>-0.05</v>
      </c>
      <c r="D73" s="31" t="n">
        <v>-0.1</v>
      </c>
      <c r="E73" s="31" t="n">
        <v>-0.05</v>
      </c>
      <c r="F73" s="31" t="n">
        <v>0</v>
      </c>
      <c r="G73" s="31" t="n">
        <v>0.02</v>
      </c>
    </row>
    <row r="74" customFormat="false" ht="13.8" hidden="false" customHeight="false" outlineLevel="0" collapsed="false"/>
    <row r="75" customFormat="false" ht="13.5" hidden="false" customHeight="true" outlineLevel="0" collapsed="false">
      <c r="B75" s="3" t="s">
        <v>93</v>
      </c>
    </row>
    <row r="76" customFormat="false" ht="13.5" hidden="false" customHeight="true" outlineLevel="0" collapsed="false">
      <c r="B76" s="4" t="s">
        <v>86</v>
      </c>
      <c r="C76" s="31" t="n">
        <v>0.465</v>
      </c>
      <c r="D76" s="31" t="n">
        <v>0.46</v>
      </c>
      <c r="E76" s="31" t="n">
        <v>0.455</v>
      </c>
      <c r="F76" s="31" t="n">
        <v>0.453</v>
      </c>
      <c r="G76" s="31" t="n">
        <v>0.45</v>
      </c>
    </row>
    <row r="77" customFormat="false" ht="13.5" hidden="false" customHeight="true" outlineLevel="0" collapsed="false">
      <c r="B77" s="4" t="s">
        <v>123</v>
      </c>
      <c r="C77" s="31" t="n">
        <v>0.46</v>
      </c>
      <c r="D77" s="31" t="n">
        <v>0.45</v>
      </c>
      <c r="E77" s="31" t="n">
        <v>0.44</v>
      </c>
      <c r="F77" s="31" t="n">
        <v>0.435</v>
      </c>
      <c r="G77" s="31" t="n">
        <v>0.43</v>
      </c>
    </row>
    <row r="78" customFormat="false" ht="13.5" hidden="false" customHeight="true" outlineLevel="0" collapsed="false">
      <c r="B78" s="4" t="s">
        <v>124</v>
      </c>
      <c r="C78" s="31" t="n">
        <v>0.4671</v>
      </c>
      <c r="D78" s="31" t="n">
        <v>0.475</v>
      </c>
      <c r="E78" s="31" t="n">
        <v>0.47</v>
      </c>
      <c r="F78" s="31" t="n">
        <v>0.468</v>
      </c>
      <c r="G78" s="31" t="n">
        <v>0.465</v>
      </c>
    </row>
    <row r="79" customFormat="false" ht="13.5" hidden="false" customHeight="true" outlineLevel="0" collapsed="false">
      <c r="B79" s="4" t="s">
        <v>125</v>
      </c>
      <c r="C79" s="31" t="n">
        <v>0.51</v>
      </c>
      <c r="D79" s="31" t="n">
        <v>0.54</v>
      </c>
      <c r="E79" s="31" t="n">
        <v>0.53</v>
      </c>
      <c r="F79" s="31" t="n">
        <v>0.52</v>
      </c>
      <c r="G79" s="31" t="n">
        <v>0.515</v>
      </c>
    </row>
    <row r="80" customFormat="false" ht="13.5" hidden="false" customHeight="true" outlineLevel="0" collapsed="false">
      <c r="B80" s="4" t="s">
        <v>126</v>
      </c>
      <c r="C80" s="31" t="n">
        <v>0.54</v>
      </c>
      <c r="D80" s="31" t="n">
        <v>0.58</v>
      </c>
      <c r="E80" s="31" t="n">
        <v>0.57</v>
      </c>
      <c r="F80" s="31" t="n">
        <v>0.555</v>
      </c>
      <c r="G80" s="31" t="n">
        <v>0.55</v>
      </c>
    </row>
    <row r="81" customFormat="false" ht="13.8" hidden="false" customHeight="false" outlineLevel="0" collapsed="false"/>
    <row r="82" customFormat="false" ht="13.5" hidden="false" customHeight="true" outlineLevel="0" collapsed="false">
      <c r="B82" s="3" t="s">
        <v>94</v>
      </c>
    </row>
    <row r="83" customFormat="false" ht="13.5" hidden="false" customHeight="true" outlineLevel="0" collapsed="false">
      <c r="B83" s="4" t="s">
        <v>86</v>
      </c>
      <c r="C83" s="31" t="n">
        <v>0.255</v>
      </c>
      <c r="D83" s="31" t="n">
        <v>0.25</v>
      </c>
      <c r="E83" s="31" t="n">
        <v>0.245</v>
      </c>
      <c r="F83" s="31" t="n">
        <v>0.242</v>
      </c>
      <c r="G83" s="31" t="n">
        <v>0.24</v>
      </c>
    </row>
    <row r="84" customFormat="false" ht="13.5" hidden="false" customHeight="true" outlineLevel="0" collapsed="false">
      <c r="B84" s="4" t="s">
        <v>123</v>
      </c>
      <c r="C84" s="31" t="n">
        <v>0.25</v>
      </c>
      <c r="D84" s="31" t="n">
        <v>0.235</v>
      </c>
      <c r="E84" s="31" t="n">
        <v>0.23</v>
      </c>
      <c r="F84" s="31" t="n">
        <v>0.225</v>
      </c>
      <c r="G84" s="31" t="n">
        <v>0.225</v>
      </c>
    </row>
    <row r="85" customFormat="false" ht="13.5" hidden="false" customHeight="true" outlineLevel="0" collapsed="false">
      <c r="B85" s="4" t="s">
        <v>124</v>
      </c>
      <c r="C85" s="31" t="n">
        <v>0.2459</v>
      </c>
      <c r="D85" s="31" t="n">
        <v>0.255</v>
      </c>
      <c r="E85" s="31" t="n">
        <v>0.25</v>
      </c>
      <c r="F85" s="31" t="n">
        <v>0.247</v>
      </c>
      <c r="G85" s="31" t="n">
        <v>0.245</v>
      </c>
    </row>
    <row r="86" customFormat="false" ht="13.5" hidden="false" customHeight="true" outlineLevel="0" collapsed="false">
      <c r="B86" s="4" t="s">
        <v>125</v>
      </c>
      <c r="C86" s="31" t="n">
        <v>0.27</v>
      </c>
      <c r="D86" s="31" t="n">
        <v>0.28</v>
      </c>
      <c r="E86" s="31" t="n">
        <v>0.28</v>
      </c>
      <c r="F86" s="31" t="n">
        <v>0.28</v>
      </c>
      <c r="G86" s="31" t="n">
        <v>0.28</v>
      </c>
    </row>
    <row r="87" customFormat="false" ht="13.5" hidden="false" customHeight="true" outlineLevel="0" collapsed="false">
      <c r="B87" s="4" t="s">
        <v>126</v>
      </c>
      <c r="C87" s="31" t="n">
        <v>0.29</v>
      </c>
      <c r="D87" s="31" t="n">
        <v>0.32</v>
      </c>
      <c r="E87" s="31" t="n">
        <v>0.32</v>
      </c>
      <c r="F87" s="31" t="n">
        <v>0.315</v>
      </c>
      <c r="G87" s="31" t="n">
        <v>0.31</v>
      </c>
    </row>
  </sheetData>
  <dataValidations count="1">
    <dataValidation allowBlank="false" errorStyle="stop" operator="between" showDropDown="false" showErrorMessage="false" showInputMessage="false" sqref="C27" type="list">
      <formula1>"Base,Upside,Management,Downside 1,Downside 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6600"/>
    <pageSetUpPr fitToPage="false"/>
  </sheetPr>
  <dimension ref="B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8" min="3" style="0" width="16"/>
  </cols>
  <sheetData>
    <row r="1" customFormat="false" ht="13.8" hidden="false" customHeight="false" outlineLevel="0" collapsed="false"/>
    <row r="2" customFormat="false" ht="18" hidden="false" customHeight="true" outlineLevel="0" collapsed="false">
      <c r="B2" s="16" t="s">
        <v>127</v>
      </c>
    </row>
    <row r="3" customFormat="false" ht="13.8" hidden="false" customHeight="false" outlineLevel="0" collapsed="false"/>
    <row r="4" customFormat="false" ht="13.5" hidden="false" customHeight="true" outlineLevel="0" collapsed="false">
      <c r="B4" s="9" t="s">
        <v>128</v>
      </c>
      <c r="C4" s="32" t="s">
        <v>129</v>
      </c>
      <c r="D4" s="32" t="s">
        <v>88</v>
      </c>
      <c r="E4" s="32" t="s">
        <v>89</v>
      </c>
      <c r="F4" s="32" t="s">
        <v>90</v>
      </c>
      <c r="G4" s="32" t="s">
        <v>91</v>
      </c>
      <c r="H4" s="32" t="s">
        <v>92</v>
      </c>
    </row>
    <row r="5" customFormat="false" ht="13.5" hidden="false" customHeight="true" outlineLevel="0" collapsed="false">
      <c r="B5" s="33" t="s">
        <v>130</v>
      </c>
      <c r="C5" s="34" t="n">
        <f aca="false">C12/C9*365</f>
        <v>106.828342690788</v>
      </c>
      <c r="D5" s="34" t="n">
        <f aca="false">CHOOSE('DCF Model'!$D$27,D25,D26,D27,D28,D29)</f>
        <v>107</v>
      </c>
      <c r="E5" s="34" t="n">
        <f aca="false">CHOOSE('DCF Model'!$D$27,E25,E26,E27,E28,E29)</f>
        <v>107</v>
      </c>
      <c r="F5" s="34" t="n">
        <f aca="false">CHOOSE('DCF Model'!$D$27,F25,F26,F27,F28,F29)</f>
        <v>107</v>
      </c>
      <c r="G5" s="34" t="n">
        <f aca="false">CHOOSE('DCF Model'!$D$27,G25,G26,G27,G28,G29)</f>
        <v>107</v>
      </c>
      <c r="H5" s="34" t="n">
        <f aca="false">CHOOSE('DCF Model'!$D$27,H25,H26,H27,H28,H29)</f>
        <v>107</v>
      </c>
    </row>
    <row r="6" customFormat="false" ht="13.5" hidden="false" customHeight="true" outlineLevel="0" collapsed="false">
      <c r="B6" s="33" t="s">
        <v>131</v>
      </c>
      <c r="C6" s="34" t="n">
        <f aca="false">C13/C10*365</f>
        <v>0.316634135762308</v>
      </c>
      <c r="D6" s="34" t="n">
        <f aca="false">CHOOSE('DCF Model'!$D$27,D32,D33,D34,D35,D36)</f>
        <v>1</v>
      </c>
      <c r="E6" s="34" t="n">
        <f aca="false">CHOOSE('DCF Model'!$D$27,E32,E33,E34,E35,E36)</f>
        <v>1</v>
      </c>
      <c r="F6" s="34" t="n">
        <f aca="false">CHOOSE('DCF Model'!$D$27,F32,F33,F34,F35,F36)</f>
        <v>1</v>
      </c>
      <c r="G6" s="34" t="n">
        <f aca="false">CHOOSE('DCF Model'!$D$27,G32,G33,G34,G35,G36)</f>
        <v>1</v>
      </c>
      <c r="H6" s="34" t="n">
        <f aca="false">CHOOSE('DCF Model'!$D$27,H32,H33,H34,H35,H36)</f>
        <v>1</v>
      </c>
    </row>
    <row r="7" customFormat="false" ht="13.5" hidden="false" customHeight="true" outlineLevel="0" collapsed="false">
      <c r="B7" s="33" t="s">
        <v>132</v>
      </c>
      <c r="C7" s="34" t="n">
        <f aca="false">C15/C10*365</f>
        <v>11.2405118195619</v>
      </c>
      <c r="D7" s="34" t="n">
        <f aca="false">CHOOSE('DCF Model'!$D$27,D39,D40,D41,D42,D43)</f>
        <v>11</v>
      </c>
      <c r="E7" s="34" t="n">
        <f aca="false">CHOOSE('DCF Model'!$D$27,E39,E40,E41,E42,E43)</f>
        <v>11</v>
      </c>
      <c r="F7" s="34" t="n">
        <f aca="false">CHOOSE('DCF Model'!$D$27,F39,F40,F41,F42,F43)</f>
        <v>11</v>
      </c>
      <c r="G7" s="34" t="n">
        <f aca="false">CHOOSE('DCF Model'!$D$27,G39,G40,G41,G42,G43)</f>
        <v>11</v>
      </c>
      <c r="H7" s="34" t="n">
        <f aca="false">CHOOSE('DCF Model'!$D$27,H39,H40,H41,H42,H43)</f>
        <v>11</v>
      </c>
    </row>
    <row r="8" customFormat="false" ht="13.5" hidden="false" customHeight="true" outlineLevel="0" collapsed="false">
      <c r="B8" s="9" t="s">
        <v>133</v>
      </c>
      <c r="C8" s="10"/>
      <c r="D8" s="10"/>
      <c r="E8" s="10"/>
      <c r="F8" s="10"/>
      <c r="G8" s="10"/>
      <c r="H8" s="10"/>
    </row>
    <row r="9" customFormat="false" ht="13.5" hidden="false" customHeight="true" outlineLevel="0" collapsed="false">
      <c r="B9" s="33" t="s">
        <v>36</v>
      </c>
      <c r="C9" s="35" t="n">
        <v>9618</v>
      </c>
      <c r="D9" s="35" t="n">
        <f aca="false">'DCF Model'!C33</f>
        <v>10772.16</v>
      </c>
      <c r="E9" s="35" t="n">
        <f aca="false">'DCF Model'!D33</f>
        <v>12172.5408</v>
      </c>
      <c r="F9" s="35" t="n">
        <f aca="false">'DCF Model'!E33</f>
        <v>13633.245696</v>
      </c>
      <c r="G9" s="35" t="n">
        <f aca="false">'DCF Model'!F33</f>
        <v>14996.5702656</v>
      </c>
      <c r="H9" s="35" t="n">
        <f aca="false">'DCF Model'!G33</f>
        <v>16346.261589504</v>
      </c>
    </row>
    <row r="10" customFormat="false" ht="13.5" hidden="false" customHeight="true" outlineLevel="0" collapsed="false">
      <c r="B10" s="33" t="s">
        <v>37</v>
      </c>
      <c r="C10" s="35" t="n">
        <v>4611</v>
      </c>
      <c r="D10" s="35" t="n">
        <f aca="false">'DCF Model'!C34</f>
        <v>5009.0544</v>
      </c>
      <c r="E10" s="35" t="n">
        <f aca="false">'DCF Model'!D34</f>
        <v>5599.368768</v>
      </c>
      <c r="F10" s="35" t="n">
        <f aca="false">'DCF Model'!E34</f>
        <v>6203.12679168</v>
      </c>
      <c r="G10" s="35" t="n">
        <f aca="false">'DCF Model'!F34</f>
        <v>6793.4463303168</v>
      </c>
      <c r="H10" s="35" t="n">
        <f aca="false">'DCF Model'!G34</f>
        <v>7355.8177152768</v>
      </c>
    </row>
    <row r="11" customFormat="false" ht="13.5" hidden="false" customHeight="true" outlineLevel="0" collapsed="false">
      <c r="B11" s="9" t="s">
        <v>134</v>
      </c>
      <c r="C11" s="10"/>
      <c r="D11" s="10"/>
      <c r="E11" s="10"/>
      <c r="F11" s="10"/>
      <c r="G11" s="10"/>
      <c r="H11" s="10"/>
    </row>
    <row r="12" customFormat="false" ht="13.5" hidden="false" customHeight="true" outlineLevel="0" collapsed="false">
      <c r="B12" s="33" t="s">
        <v>135</v>
      </c>
      <c r="C12" s="35" t="n">
        <v>2815</v>
      </c>
      <c r="D12" s="35" t="n">
        <f aca="false">D9*D5/365</f>
        <v>3157.86608219178</v>
      </c>
      <c r="E12" s="35" t="n">
        <f aca="false">E9*E5/365</f>
        <v>3568.38867287671</v>
      </c>
      <c r="F12" s="35" t="n">
        <f aca="false">F9*F5/365</f>
        <v>3996.59531362192</v>
      </c>
      <c r="G12" s="35" t="n">
        <f aca="false">G9*G5/365</f>
        <v>4396.25484498411</v>
      </c>
      <c r="H12" s="35" t="n">
        <f aca="false">H9*H5/365</f>
        <v>4791.91778103268</v>
      </c>
    </row>
    <row r="13" customFormat="false" ht="13.5" hidden="false" customHeight="true" outlineLevel="0" collapsed="false">
      <c r="B13" s="33" t="s">
        <v>136</v>
      </c>
      <c r="C13" s="35" t="n">
        <v>4</v>
      </c>
      <c r="D13" s="35" t="n">
        <f aca="false">D10*D6/365</f>
        <v>13.7234367123288</v>
      </c>
      <c r="E13" s="35" t="n">
        <f aca="false">E10*E6/365</f>
        <v>15.3407363506849</v>
      </c>
      <c r="F13" s="35" t="n">
        <f aca="false">F10*F6/365</f>
        <v>16.994867922411</v>
      </c>
      <c r="G13" s="35" t="n">
        <f aca="false">G10*G6/365</f>
        <v>18.6121817268953</v>
      </c>
      <c r="H13" s="35" t="n">
        <f aca="false">H10*H6/365</f>
        <v>20.1529252473337</v>
      </c>
    </row>
    <row r="14" customFormat="false" ht="13.5" hidden="false" customHeight="true" outlineLevel="0" collapsed="false">
      <c r="B14" s="33" t="s">
        <v>137</v>
      </c>
      <c r="C14" s="35" t="n">
        <f aca="false">C12+C13</f>
        <v>2819</v>
      </c>
      <c r="D14" s="35" t="n">
        <f aca="false">D12+D13</f>
        <v>3171.58951890411</v>
      </c>
      <c r="E14" s="35" t="n">
        <f aca="false">E12+E13</f>
        <v>3583.7294092274</v>
      </c>
      <c r="F14" s="35" t="n">
        <f aca="false">F12+F13</f>
        <v>4013.59018154433</v>
      </c>
      <c r="G14" s="35" t="n">
        <f aca="false">G12+G13</f>
        <v>4414.86702671101</v>
      </c>
      <c r="H14" s="35" t="n">
        <f aca="false">H12+H13</f>
        <v>4812.07070628002</v>
      </c>
    </row>
    <row r="15" customFormat="false" ht="13.5" hidden="false" customHeight="true" outlineLevel="0" collapsed="false">
      <c r="B15" s="33" t="s">
        <v>138</v>
      </c>
      <c r="C15" s="35" t="n">
        <v>142</v>
      </c>
      <c r="D15" s="35" t="n">
        <f aca="false">D10*D7/365</f>
        <v>150.957803835616</v>
      </c>
      <c r="E15" s="35" t="n">
        <f aca="false">E10*E7/365</f>
        <v>168.748099857534</v>
      </c>
      <c r="F15" s="35" t="n">
        <f aca="false">F10*F7/365</f>
        <v>186.943547146521</v>
      </c>
      <c r="G15" s="35" t="n">
        <f aca="false">G10*G7/365</f>
        <v>204.733998995849</v>
      </c>
      <c r="H15" s="35" t="n">
        <f aca="false">H10*H7/365</f>
        <v>221.682177720671</v>
      </c>
    </row>
    <row r="16" customFormat="false" ht="13.5" hidden="false" customHeight="true" outlineLevel="0" collapsed="false">
      <c r="B16" s="33" t="s">
        <v>139</v>
      </c>
      <c r="C16" s="35" t="n">
        <f aca="false">C15</f>
        <v>142</v>
      </c>
      <c r="D16" s="35" t="n">
        <f aca="false">D15</f>
        <v>150.957803835616</v>
      </c>
      <c r="E16" s="35" t="n">
        <f aca="false">E15</f>
        <v>168.748099857534</v>
      </c>
      <c r="F16" s="35" t="n">
        <f aca="false">F15</f>
        <v>186.943547146521</v>
      </c>
      <c r="G16" s="35" t="n">
        <f aca="false">G15</f>
        <v>204.733998995849</v>
      </c>
      <c r="H16" s="35" t="n">
        <f aca="false">H15</f>
        <v>221.682177720671</v>
      </c>
    </row>
    <row r="17" customFormat="false" ht="13.5" hidden="false" customHeight="true" outlineLevel="0" collapsed="false">
      <c r="B17" s="27" t="s">
        <v>140</v>
      </c>
      <c r="C17" s="28"/>
      <c r="D17" s="28"/>
      <c r="E17" s="28"/>
      <c r="F17" s="28"/>
      <c r="G17" s="28"/>
      <c r="H17" s="28"/>
    </row>
    <row r="18" customFormat="false" ht="13.5" hidden="false" customHeight="true" outlineLevel="0" collapsed="false">
      <c r="B18" s="33" t="s">
        <v>141</v>
      </c>
      <c r="C18" s="25" t="n">
        <f aca="false">C14-C16</f>
        <v>2677</v>
      </c>
      <c r="D18" s="25" t="n">
        <f aca="false">D14-D16</f>
        <v>3020.63171506849</v>
      </c>
      <c r="E18" s="25" t="n">
        <f aca="false">E14-E16</f>
        <v>3414.98130936986</v>
      </c>
      <c r="F18" s="25" t="n">
        <f aca="false">F14-F16</f>
        <v>3826.64663439781</v>
      </c>
      <c r="G18" s="25" t="n">
        <f aca="false">G14-G16</f>
        <v>4210.13302771516</v>
      </c>
      <c r="H18" s="25" t="n">
        <f aca="false">H14-H16</f>
        <v>4590.38852855934</v>
      </c>
    </row>
    <row r="19" customFormat="false" ht="13.5" hidden="false" customHeight="true" outlineLevel="0" collapsed="false">
      <c r="B19" s="33" t="s">
        <v>102</v>
      </c>
      <c r="C19" s="36" t="s">
        <v>46</v>
      </c>
      <c r="D19" s="29" t="n">
        <f aca="false">D18-C18</f>
        <v>343.631715068494</v>
      </c>
      <c r="E19" s="29" t="n">
        <f aca="false">E18-D18</f>
        <v>394.34959430137</v>
      </c>
      <c r="F19" s="29" t="n">
        <f aca="false">F18-E18</f>
        <v>411.665325027945</v>
      </c>
      <c r="G19" s="29" t="n">
        <f aca="false">G18-F18</f>
        <v>383.486393317348</v>
      </c>
      <c r="H19" s="29" t="n">
        <f aca="false">H18-G18</f>
        <v>380.255500844188</v>
      </c>
    </row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5" hidden="false" customHeight="true" outlineLevel="0" collapsed="false">
      <c r="B22" s="27" t="s">
        <v>142</v>
      </c>
      <c r="C22" s="28"/>
      <c r="D22" s="28"/>
      <c r="E22" s="28"/>
      <c r="F22" s="28"/>
      <c r="G22" s="28"/>
      <c r="H22" s="28"/>
    </row>
    <row r="23" customFormat="false" ht="13.5" hidden="false" customHeight="true" outlineLevel="0" collapsed="false">
      <c r="D23" s="30" t="s">
        <v>88</v>
      </c>
      <c r="E23" s="30" t="s">
        <v>89</v>
      </c>
      <c r="F23" s="30" t="s">
        <v>90</v>
      </c>
      <c r="G23" s="30" t="s">
        <v>91</v>
      </c>
      <c r="H23" s="30" t="s">
        <v>92</v>
      </c>
    </row>
    <row r="24" customFormat="false" ht="13.5" hidden="false" customHeight="true" outlineLevel="0" collapsed="false">
      <c r="B24" s="3" t="s">
        <v>143</v>
      </c>
    </row>
    <row r="25" customFormat="false" ht="13.5" hidden="false" customHeight="true" outlineLevel="0" collapsed="false">
      <c r="B25" s="4" t="s">
        <v>86</v>
      </c>
      <c r="D25" s="37" t="n">
        <v>107</v>
      </c>
      <c r="E25" s="37" t="n">
        <v>107</v>
      </c>
      <c r="F25" s="37" t="n">
        <v>107</v>
      </c>
      <c r="G25" s="37" t="n">
        <v>107</v>
      </c>
      <c r="H25" s="37" t="n">
        <v>107</v>
      </c>
    </row>
    <row r="26" customFormat="false" ht="13.5" hidden="false" customHeight="true" outlineLevel="0" collapsed="false">
      <c r="B26" s="4" t="s">
        <v>123</v>
      </c>
      <c r="D26" s="37" t="n">
        <v>105</v>
      </c>
      <c r="E26" s="37" t="n">
        <v>103</v>
      </c>
      <c r="F26" s="37" t="n">
        <v>101</v>
      </c>
      <c r="G26" s="37" t="n">
        <v>100</v>
      </c>
      <c r="H26" s="37" t="n">
        <v>100</v>
      </c>
    </row>
    <row r="27" customFormat="false" ht="13.5" hidden="false" customHeight="true" outlineLevel="0" collapsed="false">
      <c r="B27" s="4" t="s">
        <v>124</v>
      </c>
      <c r="D27" s="37" t="n">
        <v>107</v>
      </c>
      <c r="E27" s="37" t="n">
        <v>107</v>
      </c>
      <c r="F27" s="37" t="n">
        <v>107</v>
      </c>
      <c r="G27" s="37" t="n">
        <v>107</v>
      </c>
      <c r="H27" s="37" t="n">
        <v>107</v>
      </c>
    </row>
    <row r="28" customFormat="false" ht="13.5" hidden="false" customHeight="true" outlineLevel="0" collapsed="false">
      <c r="B28" s="4" t="s">
        <v>125</v>
      </c>
      <c r="D28" s="37" t="n">
        <v>110</v>
      </c>
      <c r="E28" s="37" t="n">
        <v>115</v>
      </c>
      <c r="F28" s="37" t="n">
        <v>113</v>
      </c>
      <c r="G28" s="37" t="n">
        <v>112</v>
      </c>
      <c r="H28" s="37" t="n">
        <v>112</v>
      </c>
    </row>
    <row r="29" customFormat="false" ht="13.5" hidden="false" customHeight="true" outlineLevel="0" collapsed="false">
      <c r="B29" s="4" t="s">
        <v>126</v>
      </c>
      <c r="D29" s="37" t="n">
        <v>115</v>
      </c>
      <c r="E29" s="37" t="n">
        <v>125</v>
      </c>
      <c r="F29" s="37" t="n">
        <v>122</v>
      </c>
      <c r="G29" s="37" t="n">
        <v>120</v>
      </c>
      <c r="H29" s="37" t="n">
        <v>120</v>
      </c>
    </row>
    <row r="30" customFormat="false" ht="13.8" hidden="false" customHeight="false" outlineLevel="0" collapsed="false"/>
    <row r="31" customFormat="false" ht="13.5" hidden="false" customHeight="true" outlineLevel="0" collapsed="false">
      <c r="B31" s="3" t="s">
        <v>144</v>
      </c>
    </row>
    <row r="32" customFormat="false" ht="13.5" hidden="false" customHeight="true" outlineLevel="0" collapsed="false">
      <c r="B32" s="4" t="s">
        <v>86</v>
      </c>
      <c r="D32" s="37" t="n">
        <v>1</v>
      </c>
      <c r="E32" s="37" t="n">
        <v>1</v>
      </c>
      <c r="F32" s="37" t="n">
        <v>1</v>
      </c>
      <c r="G32" s="37" t="n">
        <v>1</v>
      </c>
      <c r="H32" s="37" t="n">
        <v>1</v>
      </c>
    </row>
    <row r="33" customFormat="false" ht="13.5" hidden="false" customHeight="true" outlineLevel="0" collapsed="false">
      <c r="B33" s="4" t="s">
        <v>123</v>
      </c>
      <c r="D33" s="37" t="n">
        <v>1</v>
      </c>
      <c r="E33" s="37" t="n">
        <v>1</v>
      </c>
      <c r="F33" s="37" t="n">
        <v>1</v>
      </c>
      <c r="G33" s="37" t="n">
        <v>1</v>
      </c>
      <c r="H33" s="37" t="n">
        <v>1</v>
      </c>
    </row>
    <row r="34" customFormat="false" ht="13.5" hidden="false" customHeight="true" outlineLevel="0" collapsed="false">
      <c r="B34" s="4" t="s">
        <v>124</v>
      </c>
      <c r="D34" s="37" t="n">
        <v>1</v>
      </c>
      <c r="E34" s="37" t="n">
        <v>1</v>
      </c>
      <c r="F34" s="37" t="n">
        <v>1</v>
      </c>
      <c r="G34" s="37" t="n">
        <v>1</v>
      </c>
      <c r="H34" s="37" t="n">
        <v>1</v>
      </c>
    </row>
    <row r="35" customFormat="false" ht="13.5" hidden="false" customHeight="true" outlineLevel="0" collapsed="false">
      <c r="B35" s="4" t="s">
        <v>125</v>
      </c>
      <c r="D35" s="37" t="n">
        <v>1</v>
      </c>
      <c r="E35" s="37" t="n">
        <v>1</v>
      </c>
      <c r="F35" s="37" t="n">
        <v>1</v>
      </c>
      <c r="G35" s="37" t="n">
        <v>1</v>
      </c>
      <c r="H35" s="37" t="n">
        <v>1</v>
      </c>
    </row>
    <row r="36" customFormat="false" ht="13.5" hidden="false" customHeight="true" outlineLevel="0" collapsed="false">
      <c r="B36" s="4" t="s">
        <v>126</v>
      </c>
      <c r="D36" s="37" t="n">
        <v>2</v>
      </c>
      <c r="E36" s="37" t="n">
        <v>2</v>
      </c>
      <c r="F36" s="37" t="n">
        <v>2</v>
      </c>
      <c r="G36" s="37" t="n">
        <v>2</v>
      </c>
      <c r="H36" s="37" t="n">
        <v>2</v>
      </c>
    </row>
    <row r="37" customFormat="false" ht="13.8" hidden="false" customHeight="false" outlineLevel="0" collapsed="false"/>
    <row r="38" customFormat="false" ht="13.5" hidden="false" customHeight="true" outlineLevel="0" collapsed="false">
      <c r="B38" s="3" t="s">
        <v>145</v>
      </c>
    </row>
    <row r="39" customFormat="false" ht="13.5" hidden="false" customHeight="true" outlineLevel="0" collapsed="false">
      <c r="B39" s="4" t="s">
        <v>86</v>
      </c>
      <c r="D39" s="37" t="n">
        <v>11</v>
      </c>
      <c r="E39" s="37" t="n">
        <v>11</v>
      </c>
      <c r="F39" s="37" t="n">
        <v>11</v>
      </c>
      <c r="G39" s="37" t="n">
        <v>11</v>
      </c>
      <c r="H39" s="37" t="n">
        <v>11</v>
      </c>
    </row>
    <row r="40" customFormat="false" ht="13.5" hidden="false" customHeight="true" outlineLevel="0" collapsed="false">
      <c r="B40" s="4" t="s">
        <v>123</v>
      </c>
      <c r="D40" s="37" t="n">
        <v>12</v>
      </c>
      <c r="E40" s="37" t="n">
        <v>12</v>
      </c>
      <c r="F40" s="37" t="n">
        <v>12</v>
      </c>
      <c r="G40" s="37" t="n">
        <v>12</v>
      </c>
      <c r="H40" s="37" t="n">
        <v>12</v>
      </c>
    </row>
    <row r="41" customFormat="false" ht="13.5" hidden="false" customHeight="true" outlineLevel="0" collapsed="false">
      <c r="B41" s="4" t="s">
        <v>124</v>
      </c>
      <c r="D41" s="37" t="n">
        <v>11</v>
      </c>
      <c r="E41" s="37" t="n">
        <v>11</v>
      </c>
      <c r="F41" s="37" t="n">
        <v>11</v>
      </c>
      <c r="G41" s="37" t="n">
        <v>11</v>
      </c>
      <c r="H41" s="37" t="n">
        <v>11</v>
      </c>
    </row>
    <row r="42" customFormat="false" ht="13.5" hidden="false" customHeight="true" outlineLevel="0" collapsed="false">
      <c r="B42" s="4" t="s">
        <v>125</v>
      </c>
      <c r="D42" s="37" t="n">
        <v>11</v>
      </c>
      <c r="E42" s="37" t="n">
        <v>11</v>
      </c>
      <c r="F42" s="37" t="n">
        <v>11</v>
      </c>
      <c r="G42" s="37" t="n">
        <v>11</v>
      </c>
      <c r="H42" s="37" t="n">
        <v>11</v>
      </c>
    </row>
    <row r="43" customFormat="false" ht="13.5" hidden="false" customHeight="true" outlineLevel="0" collapsed="false">
      <c r="B43" s="4" t="s">
        <v>126</v>
      </c>
      <c r="D43" s="37" t="n">
        <v>10</v>
      </c>
      <c r="E43" s="37" t="n">
        <v>10</v>
      </c>
      <c r="F43" s="37" t="n">
        <v>10</v>
      </c>
      <c r="G43" s="37" t="n">
        <v>10</v>
      </c>
      <c r="H43" s="37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00"/>
    <pageSetUpPr fitToPage="false"/>
  </sheetPr>
  <dimension ref="B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15" min="4" style="0" width="12"/>
    <col collapsed="false" customWidth="true" hidden="false" outlineLevel="0" max="16" min="16" style="0" width="11"/>
  </cols>
  <sheetData>
    <row r="1" customFormat="false" ht="13.8" hidden="false" customHeight="false" outlineLevel="0" collapsed="false"/>
    <row r="2" customFormat="false" ht="18" hidden="false" customHeight="true" outlineLevel="0" collapsed="false">
      <c r="B2" s="16" t="s">
        <v>146</v>
      </c>
    </row>
    <row r="3" customFormat="false" ht="13.8" hidden="false" customHeight="false" outlineLevel="0" collapsed="false"/>
    <row r="4" customFormat="false" ht="27.75" hidden="false" customHeight="true" outlineLevel="0" collapsed="false">
      <c r="B4" s="11" t="s">
        <v>3</v>
      </c>
      <c r="C4" s="11" t="s">
        <v>5</v>
      </c>
      <c r="D4" s="11" t="s">
        <v>147</v>
      </c>
      <c r="E4" s="11" t="s">
        <v>148</v>
      </c>
      <c r="F4" s="11" t="s">
        <v>149</v>
      </c>
      <c r="G4" s="11" t="s">
        <v>150</v>
      </c>
      <c r="H4" s="11" t="s">
        <v>151</v>
      </c>
      <c r="I4" s="11" t="s">
        <v>152</v>
      </c>
      <c r="J4" s="11" t="s">
        <v>153</v>
      </c>
      <c r="K4" s="11" t="s">
        <v>154</v>
      </c>
      <c r="L4" s="11" t="s">
        <v>155</v>
      </c>
      <c r="M4" s="11" t="s">
        <v>156</v>
      </c>
      <c r="N4" s="11" t="s">
        <v>157</v>
      </c>
      <c r="O4" s="11" t="s">
        <v>158</v>
      </c>
      <c r="P4" s="11" t="s">
        <v>159</v>
      </c>
    </row>
    <row r="5" customFormat="false" ht="13.5" hidden="false" customHeight="true" outlineLevel="0" collapsed="false">
      <c r="B5" s="4" t="s">
        <v>160</v>
      </c>
      <c r="C5" s="0" t="s">
        <v>161</v>
      </c>
      <c r="D5" s="38" t="n">
        <v>67054</v>
      </c>
      <c r="E5" s="38" t="n">
        <v>62198</v>
      </c>
      <c r="F5" s="38" t="n">
        <v>9618</v>
      </c>
      <c r="G5" s="38" t="n">
        <v>2745</v>
      </c>
      <c r="H5" s="38" t="n">
        <v>2578</v>
      </c>
      <c r="I5" s="38" t="n">
        <v>1945</v>
      </c>
      <c r="J5" s="39" t="n">
        <f aca="false">E5/G5</f>
        <v>22.6586520947177</v>
      </c>
      <c r="K5" s="39" t="n">
        <f aca="false">E5/F5</f>
        <v>6.46683302141817</v>
      </c>
      <c r="L5" s="39" t="n">
        <f aca="false">D5/I5</f>
        <v>34.4750642673522</v>
      </c>
      <c r="M5" s="39" t="n">
        <v>8.1307141991027</v>
      </c>
      <c r="N5" s="40" t="n">
        <f aca="false">H5/F5</f>
        <v>0.268039093366604</v>
      </c>
      <c r="O5" s="40" t="n">
        <v>0.23584333697102</v>
      </c>
      <c r="P5" s="39" t="n">
        <f aca="false">IFERROR(E5/H5,"")</f>
        <v>24.1264546159814</v>
      </c>
    </row>
    <row r="6" customFormat="false" ht="13.5" hidden="false" customHeight="true" outlineLevel="0" collapsed="false">
      <c r="B6" s="4" t="s">
        <v>162</v>
      </c>
      <c r="C6" s="0" t="s">
        <v>163</v>
      </c>
      <c r="D6" s="38" t="n">
        <v>59170</v>
      </c>
      <c r="E6" s="38" t="n">
        <v>46234</v>
      </c>
      <c r="F6" s="38" t="n">
        <v>21787</v>
      </c>
      <c r="G6" s="38" t="n">
        <v>5766</v>
      </c>
      <c r="H6" s="38" t="n">
        <v>5750</v>
      </c>
      <c r="I6" s="38" t="n">
        <v>4221</v>
      </c>
      <c r="J6" s="39" t="n">
        <f aca="false">E6/G6</f>
        <v>8.01838362816511</v>
      </c>
      <c r="K6" s="39" t="n">
        <f aca="false">E6/F6</f>
        <v>2.12209115527608</v>
      </c>
      <c r="L6" s="39" t="n">
        <f aca="false">D6/I6</f>
        <v>14.0180052120351</v>
      </c>
      <c r="M6" s="39" t="n">
        <v>4.04747246733703</v>
      </c>
      <c r="N6" s="40" t="n">
        <f aca="false">H6/F6</f>
        <v>0.263918850690779</v>
      </c>
      <c r="O6" s="40" t="n">
        <v>0.288733839523907</v>
      </c>
      <c r="P6" s="39" t="n">
        <f aca="false">IFERROR(E6/H6,"")</f>
        <v>8.04069565217391</v>
      </c>
    </row>
    <row r="7" customFormat="false" ht="13.5" hidden="false" customHeight="true" outlineLevel="0" collapsed="false">
      <c r="B7" s="4" t="s">
        <v>164</v>
      </c>
      <c r="C7" s="0" t="s">
        <v>165</v>
      </c>
      <c r="D7" s="38" t="n">
        <v>85980</v>
      </c>
      <c r="E7" s="38" t="n">
        <v>77823</v>
      </c>
      <c r="F7" s="38" t="n">
        <v>21771</v>
      </c>
      <c r="G7" s="38" t="n">
        <v>5991</v>
      </c>
      <c r="H7" s="38" t="n">
        <v>4005</v>
      </c>
      <c r="I7" s="38" t="n">
        <v>2683</v>
      </c>
      <c r="J7" s="39" t="n">
        <f aca="false">E7/G7</f>
        <v>12.9899849774662</v>
      </c>
      <c r="K7" s="39" t="n">
        <f aca="false">E7/F7</f>
        <v>3.57461761058289</v>
      </c>
      <c r="L7" s="39" t="n">
        <f aca="false">D7/I7</f>
        <v>32.0462169213567</v>
      </c>
      <c r="M7" s="39" t="n">
        <v>2.36800793191771</v>
      </c>
      <c r="N7" s="40" t="n">
        <f aca="false">H7/F7</f>
        <v>0.183960314179413</v>
      </c>
      <c r="O7" s="40" t="n">
        <v>0.0738935250213446</v>
      </c>
      <c r="P7" s="39" t="n">
        <f aca="false">IFERROR(E7/H7,"")</f>
        <v>19.4314606741573</v>
      </c>
    </row>
    <row r="8" customFormat="false" ht="13.5" hidden="false" customHeight="true" outlineLevel="0" collapsed="false">
      <c r="B8" s="4" t="s">
        <v>166</v>
      </c>
      <c r="C8" s="0" t="s">
        <v>167</v>
      </c>
      <c r="D8" s="38" t="n">
        <v>1090000</v>
      </c>
      <c r="E8" s="38" t="n">
        <v>1024267</v>
      </c>
      <c r="F8" s="38" t="n">
        <v>148332</v>
      </c>
      <c r="G8" s="38" t="n">
        <v>53456</v>
      </c>
      <c r="H8" s="38" t="n">
        <v>50931</v>
      </c>
      <c r="I8" s="38" t="n">
        <v>37840</v>
      </c>
      <c r="J8" s="39" t="n">
        <f aca="false">E8/G8</f>
        <v>19.160936096977</v>
      </c>
      <c r="K8" s="39" t="n">
        <f aca="false">E8/F8</f>
        <v>6.90523285602567</v>
      </c>
      <c r="L8" s="39" t="n">
        <f aca="false">D8/I8</f>
        <v>28.8054968287526</v>
      </c>
      <c r="M8" s="39" t="n">
        <v>9.31321451152617</v>
      </c>
      <c r="N8" s="40" t="n">
        <f aca="false">H8/F8</f>
        <v>0.343358142545102</v>
      </c>
      <c r="O8" s="40" t="n">
        <v>0.323313795519404</v>
      </c>
      <c r="P8" s="39" t="n">
        <f aca="false">IFERROR(E8/H8,"")</f>
        <v>20.1108754982231</v>
      </c>
    </row>
    <row r="9" customFormat="false" ht="13.5" hidden="false" customHeight="true" outlineLevel="0" collapsed="false">
      <c r="B9" s="4" t="s">
        <v>168</v>
      </c>
      <c r="C9" s="0" t="s">
        <v>169</v>
      </c>
      <c r="D9" s="38" t="n">
        <v>826510</v>
      </c>
      <c r="E9" s="38" t="n">
        <v>771009</v>
      </c>
      <c r="F9" s="38" t="n">
        <v>596479</v>
      </c>
      <c r="G9" s="38" t="n">
        <v>94915</v>
      </c>
      <c r="H9" s="38" t="n">
        <v>76229</v>
      </c>
      <c r="I9" s="38" t="n">
        <v>46624</v>
      </c>
      <c r="J9" s="39" t="n">
        <f aca="false">E9/G9</f>
        <v>8.12315229415793</v>
      </c>
      <c r="K9" s="39" t="n">
        <f aca="false">E9/F9</f>
        <v>1.29260041007311</v>
      </c>
      <c r="L9" s="39" t="n">
        <f aca="false">D9/I9</f>
        <v>17.7271362388469</v>
      </c>
      <c r="M9" s="39" t="n">
        <v>2.54522218458412</v>
      </c>
      <c r="N9" s="40" t="n">
        <f aca="false">H9/F9</f>
        <v>0.127798296335663</v>
      </c>
      <c r="O9" s="40" t="n">
        <v>0.14357774150833</v>
      </c>
      <c r="P9" s="39" t="n">
        <f aca="false">IFERROR(E9/H9,"")</f>
        <v>10.1143790420968</v>
      </c>
    </row>
    <row r="10" customFormat="false" ht="13.5" hidden="false" customHeight="true" outlineLevel="0" collapsed="false">
      <c r="B10" s="4" t="s">
        <v>170</v>
      </c>
      <c r="C10" s="0" t="s">
        <v>171</v>
      </c>
      <c r="D10" s="38" t="n">
        <v>24100</v>
      </c>
      <c r="E10" s="38" t="n">
        <v>26389</v>
      </c>
      <c r="F10" s="38" t="n">
        <v>7643</v>
      </c>
      <c r="G10" s="38" t="n">
        <v>1163</v>
      </c>
      <c r="H10" s="38" t="n">
        <v>721</v>
      </c>
      <c r="I10" s="38" t="n">
        <v>544</v>
      </c>
      <c r="J10" s="39" t="n">
        <f aca="false">E10/G10</f>
        <v>22.6904557179708</v>
      </c>
      <c r="K10" s="39" t="n">
        <f aca="false">E10/F10</f>
        <v>3.4527018186576</v>
      </c>
      <c r="L10" s="39" t="n">
        <f aca="false">D10/I10</f>
        <v>44.3014705882353</v>
      </c>
      <c r="M10" s="39" t="n">
        <v>6.27277459656429</v>
      </c>
      <c r="N10" s="40" t="n">
        <f aca="false">H10/F10</f>
        <v>0.0943346853329844</v>
      </c>
      <c r="O10" s="40" t="n">
        <v>0.141592920353982</v>
      </c>
      <c r="P10" s="39" t="n">
        <f aca="false">IFERROR(E10/H10,"")</f>
        <v>36.6005547850208</v>
      </c>
    </row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5" hidden="false" customHeight="true" outlineLevel="0" collapsed="false">
      <c r="B14" s="3" t="s">
        <v>172</v>
      </c>
      <c r="J14" s="4" t="s">
        <v>159</v>
      </c>
    </row>
    <row r="15" customFormat="false" ht="13.5" hidden="false" customHeight="true" outlineLevel="0" collapsed="false">
      <c r="B15" s="4" t="s">
        <v>173</v>
      </c>
      <c r="D15" s="39" t="n">
        <f aca="false">PERCENTILE(J6:J10,0.25)</f>
        <v>8.12315229415793</v>
      </c>
      <c r="E15" s="39" t="n">
        <f aca="false">PERCENTILE(K6:K10,0.25)</f>
        <v>2.12209115527608</v>
      </c>
      <c r="F15" s="39" t="n">
        <f aca="false">PERCENTILE(L6:L10,0.25)</f>
        <v>17.7271362388469</v>
      </c>
      <c r="G15" s="39" t="n">
        <f aca="false">PERCENTILE(M6:M10,0.25)</f>
        <v>2.54522218458412</v>
      </c>
      <c r="H15" s="40" t="n">
        <f aca="false">PERCENTILE(N6:N10,0.25)</f>
        <v>0.127798296335663</v>
      </c>
      <c r="I15" s="40" t="n">
        <f aca="false">PERCENTILE(O6:O10,0.25)</f>
        <v>0.141592920353982</v>
      </c>
      <c r="J15" s="41" t="n">
        <f aca="false">PERCENTILE(P6:P10,0.25)</f>
        <v>10.1143790420968</v>
      </c>
    </row>
    <row r="16" customFormat="false" ht="13.5" hidden="false" customHeight="true" outlineLevel="0" collapsed="false">
      <c r="B16" s="4" t="s">
        <v>174</v>
      </c>
      <c r="D16" s="39" t="n">
        <f aca="false">MEDIAN(J6:J10)</f>
        <v>12.9899849774662</v>
      </c>
      <c r="E16" s="39" t="n">
        <f aca="false">MEDIAN(K6:K10)</f>
        <v>3.4527018186576</v>
      </c>
      <c r="F16" s="39" t="n">
        <f aca="false">MEDIAN(L6:L10)</f>
        <v>28.8054968287526</v>
      </c>
      <c r="G16" s="39" t="n">
        <f aca="false">MEDIAN(M6:M10)</f>
        <v>4.04747246733703</v>
      </c>
      <c r="H16" s="40" t="n">
        <f aca="false">MEDIAN(N6:N10)</f>
        <v>0.183960314179413</v>
      </c>
      <c r="I16" s="40" t="n">
        <f aca="false">MEDIAN(O6:O10)</f>
        <v>0.14357774150833</v>
      </c>
      <c r="J16" s="41" t="n">
        <f aca="false">MEDIAN(P6:P10)</f>
        <v>19.4314606741573</v>
      </c>
    </row>
    <row r="17" customFormat="false" ht="13.5" hidden="false" customHeight="true" outlineLevel="0" collapsed="false">
      <c r="B17" s="4" t="s">
        <v>175</v>
      </c>
      <c r="D17" s="39" t="n">
        <f aca="false">PERCENTILE(J6:J10,0.75)</f>
        <v>19.160936096977</v>
      </c>
      <c r="E17" s="39" t="n">
        <f aca="false">PERCENTILE(K6:K10,0.75)</f>
        <v>3.57461761058289</v>
      </c>
      <c r="F17" s="39" t="n">
        <f aca="false">PERCENTILE(L6:L10,0.75)</f>
        <v>32.0462169213567</v>
      </c>
      <c r="G17" s="39" t="n">
        <f aca="false">PERCENTILE(M6:M10,0.75)</f>
        <v>6.27277459656429</v>
      </c>
      <c r="H17" s="40" t="n">
        <f aca="false">PERCENTILE(N6:N10,0.75)</f>
        <v>0.263918850690779</v>
      </c>
      <c r="I17" s="40" t="n">
        <f aca="false">PERCENTILE(O6:O10,0.75)</f>
        <v>0.288733839523907</v>
      </c>
      <c r="J17" s="41" t="n">
        <f aca="false">PERCENTILE(P6:P10,0.75)</f>
        <v>20.1108754982231</v>
      </c>
    </row>
    <row r="18" customFormat="false" ht="13.8" hidden="false" customHeight="false" outlineLevel="0" collapsed="false"/>
    <row r="19" customFormat="false" ht="13.5" hidden="false" customHeight="true" outlineLevel="0" collapsed="false">
      <c r="B19" s="27" t="s">
        <v>176</v>
      </c>
      <c r="C19" s="28"/>
      <c r="D19" s="28"/>
      <c r="E19" s="28"/>
      <c r="F19" s="28"/>
      <c r="G19" s="28"/>
      <c r="H19" s="28"/>
      <c r="I19" s="28"/>
    </row>
    <row r="20" customFormat="false" ht="13.5" hidden="false" customHeight="true" outlineLevel="0" collapsed="false">
      <c r="B20" s="42" t="s">
        <v>177</v>
      </c>
    </row>
    <row r="21" customFormat="false" ht="13.5" hidden="false" customHeight="true" outlineLevel="0" collapsed="false">
      <c r="B21" s="4" t="s">
        <v>178</v>
      </c>
      <c r="C21" s="6" t="n">
        <v>2745</v>
      </c>
    </row>
    <row r="22" customFormat="false" ht="13.5" hidden="false" customHeight="true" outlineLevel="0" collapsed="false">
      <c r="B22" s="4" t="s">
        <v>179</v>
      </c>
      <c r="C22" s="6" t="n">
        <v>1945</v>
      </c>
    </row>
    <row r="23" customFormat="false" ht="13.5" hidden="false" customHeight="true" outlineLevel="0" collapsed="false">
      <c r="B23" s="4" t="s">
        <v>180</v>
      </c>
      <c r="C23" s="20" t="n">
        <v>32252858</v>
      </c>
    </row>
    <row r="24" customFormat="false" ht="13.5" hidden="false" customHeight="true" outlineLevel="0" collapsed="false">
      <c r="B24" s="4" t="s">
        <v>75</v>
      </c>
      <c r="C24" s="6" t="n">
        <v>-4856</v>
      </c>
    </row>
    <row r="25" customFormat="false" ht="13.8" hidden="false" customHeight="false" outlineLevel="0" collapsed="false"/>
    <row r="26" customFormat="false" ht="13.5" hidden="false" customHeight="true" outlineLevel="0" collapsed="false">
      <c r="B26" s="3" t="s">
        <v>181</v>
      </c>
    </row>
    <row r="27" customFormat="false" ht="13.5" hidden="false" customHeight="true" outlineLevel="0" collapsed="false">
      <c r="B27" s="4" t="s">
        <v>182</v>
      </c>
      <c r="C27" s="29" t="n">
        <f aca="false">ROUND((C21*D16-C24)*1000000/C23,0)</f>
        <v>1256</v>
      </c>
    </row>
    <row r="28" customFormat="false" ht="13.5" hidden="false" customHeight="true" outlineLevel="0" collapsed="false">
      <c r="B28" s="4" t="s">
        <v>183</v>
      </c>
      <c r="C28" s="29" t="n">
        <f aca="false">ROUND(C22*F16*1000000/C23,0)</f>
        <v>1737</v>
      </c>
    </row>
    <row r="29" customFormat="false" ht="13.8" hidden="false" customHeight="false" outlineLevel="0" collapsed="false"/>
    <row r="30" customFormat="false" ht="13.8" hidden="false" customHeight="false" outlineLevel="0" collapsed="false">
      <c r="B30" s="4" t="s">
        <v>184</v>
      </c>
      <c r="C30" s="14" t="n">
        <f aca="false">ROUND((H5*J16-C24)*1000000/C23,0)</f>
        <v>1704</v>
      </c>
    </row>
    <row r="31" customFormat="false" ht="13.8" hidden="false" customHeight="false" outlineLevel="0" collapsed="false"/>
    <row r="32" customFormat="false" ht="13.8" hidden="false" customHeight="false" outlineLevel="0" collapsed="false">
      <c r="B32" s="15" t="s">
        <v>185</v>
      </c>
    </row>
    <row r="33" customFormat="false" ht="13.8" hidden="false" customHeight="false" outlineLevel="0" collapsed="false">
      <c r="B33" s="15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6600"/>
    <pageSetUpPr fitToPage="false"/>
  </sheetPr>
  <dimension ref="B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9" min="3" style="0" width="14"/>
  </cols>
  <sheetData>
    <row r="1" customFormat="false" ht="13.8" hidden="false" customHeight="false" outlineLevel="0" collapsed="false"/>
    <row r="2" customFormat="false" ht="18" hidden="false" customHeight="true" outlineLevel="0" collapsed="false">
      <c r="B2" s="16" t="s">
        <v>187</v>
      </c>
    </row>
    <row r="3" customFormat="false" ht="13.5" hidden="false" customHeight="true" outlineLevel="0" collapsed="false">
      <c r="B3" s="4" t="s">
        <v>188</v>
      </c>
      <c r="C3" s="21" t="n">
        <f aca="false">'DCF Model'!C26</f>
        <v>0.1154</v>
      </c>
      <c r="E3" s="4" t="s">
        <v>189</v>
      </c>
      <c r="F3" s="21" t="n">
        <f aca="false">'DCF Model'!C13</f>
        <v>0.015</v>
      </c>
      <c r="H3" s="4" t="s">
        <v>190</v>
      </c>
      <c r="I3" s="19" t="n">
        <f aca="false">'DCF Model'!C14</f>
        <v>12</v>
      </c>
    </row>
    <row r="4" customFormat="false" ht="13.8" hidden="false" customHeight="false" outlineLevel="0" collapsed="false"/>
    <row r="5" customFormat="false" ht="13.5" hidden="false" customHeight="true" outlineLevel="0" collapsed="false">
      <c r="B5" s="3" t="s">
        <v>191</v>
      </c>
    </row>
    <row r="6" customFormat="false" ht="13.5" hidden="false" customHeight="true" outlineLevel="0" collapsed="false">
      <c r="B6" s="43" t="s">
        <v>192</v>
      </c>
      <c r="C6" s="44" t="n">
        <f aca="false">$F$3-0.0075</f>
        <v>0.0075</v>
      </c>
      <c r="D6" s="44" t="n">
        <f aca="false">$F$3-0.005</f>
        <v>0.01</v>
      </c>
      <c r="E6" s="44" t="n">
        <f aca="false">$F$3-0.0025</f>
        <v>0.0125</v>
      </c>
      <c r="F6" s="44" t="n">
        <f aca="false">$F$3</f>
        <v>0.015</v>
      </c>
      <c r="G6" s="44" t="n">
        <f aca="false">$F$3+0.0025</f>
        <v>0.0175</v>
      </c>
      <c r="H6" s="44" t="n">
        <f aca="false">$F$3+0.005</f>
        <v>0.02</v>
      </c>
      <c r="I6" s="44" t="n">
        <f aca="false">$F$3+0.0075</f>
        <v>0.0225</v>
      </c>
    </row>
    <row r="7" customFormat="false" ht="13.5" hidden="false" customHeight="true" outlineLevel="0" collapsed="false">
      <c r="B7" s="40" t="n">
        <f aca="false">$C$3-0.015</f>
        <v>0.1004</v>
      </c>
      <c r="C7" s="38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1065</v>
      </c>
      <c r="D7" s="38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1085</v>
      </c>
      <c r="E7" s="38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1105</v>
      </c>
      <c r="F7" s="38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1127</v>
      </c>
      <c r="G7" s="38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1150</v>
      </c>
      <c r="H7" s="38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1175</v>
      </c>
      <c r="I7" s="38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1201</v>
      </c>
    </row>
    <row r="8" customFormat="false" ht="13.5" hidden="false" customHeight="true" outlineLevel="0" collapsed="false">
      <c r="B8" s="40" t="n">
        <f aca="false">$C$3-0.01</f>
        <v>0.1054</v>
      </c>
      <c r="C8" s="38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1014</v>
      </c>
      <c r="D8" s="38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1032</v>
      </c>
      <c r="E8" s="38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1050</v>
      </c>
      <c r="F8" s="38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1069</v>
      </c>
      <c r="G8" s="38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1089</v>
      </c>
      <c r="H8" s="38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1111</v>
      </c>
      <c r="I8" s="38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1134</v>
      </c>
    </row>
    <row r="9" customFormat="false" ht="13.5" hidden="false" customHeight="true" outlineLevel="0" collapsed="false">
      <c r="B9" s="40" t="n">
        <f aca="false">$C$3-0.005</f>
        <v>0.1104</v>
      </c>
      <c r="C9" s="38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969</v>
      </c>
      <c r="D9" s="38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984</v>
      </c>
      <c r="E9" s="38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1000</v>
      </c>
      <c r="F9" s="38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1017</v>
      </c>
      <c r="G9" s="38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1035</v>
      </c>
      <c r="H9" s="38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1054</v>
      </c>
      <c r="I9" s="38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1074</v>
      </c>
    </row>
    <row r="10" customFormat="false" ht="13.5" hidden="false" customHeight="true" outlineLevel="0" collapsed="false">
      <c r="B10" s="40" t="n">
        <f aca="false">$C$3</f>
        <v>0.1154</v>
      </c>
      <c r="C10" s="38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927</v>
      </c>
      <c r="D10" s="38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941</v>
      </c>
      <c r="E10" s="38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955</v>
      </c>
      <c r="F10" s="38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970</v>
      </c>
      <c r="G10" s="38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986</v>
      </c>
      <c r="H10" s="38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1003</v>
      </c>
      <c r="I10" s="38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1021</v>
      </c>
    </row>
    <row r="11" customFormat="false" ht="13.5" hidden="false" customHeight="true" outlineLevel="0" collapsed="false">
      <c r="B11" s="40" t="n">
        <f aca="false">$C$3+0.005</f>
        <v>0.1204</v>
      </c>
      <c r="C11" s="38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890</v>
      </c>
      <c r="D11" s="38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902</v>
      </c>
      <c r="E11" s="38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915</v>
      </c>
      <c r="F11" s="38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928</v>
      </c>
      <c r="G11" s="38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942</v>
      </c>
      <c r="H11" s="38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957</v>
      </c>
      <c r="I11" s="38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973</v>
      </c>
    </row>
    <row r="12" customFormat="false" ht="13.5" hidden="false" customHeight="true" outlineLevel="0" collapsed="false">
      <c r="B12" s="40" t="n">
        <f aca="false">$C$3+0.01</f>
        <v>0.1254</v>
      </c>
      <c r="C12" s="38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855</v>
      </c>
      <c r="D12" s="38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866</v>
      </c>
      <c r="E12" s="38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878</v>
      </c>
      <c r="F12" s="38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890</v>
      </c>
      <c r="G12" s="38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903</v>
      </c>
      <c r="H12" s="38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916</v>
      </c>
      <c r="I12" s="38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930</v>
      </c>
    </row>
    <row r="13" customFormat="false" ht="13.5" hidden="false" customHeight="true" outlineLevel="0" collapsed="false">
      <c r="B13" s="40" t="n">
        <f aca="false">$C$3+0.015</f>
        <v>0.1304</v>
      </c>
      <c r="C13" s="38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824</v>
      </c>
      <c r="D13" s="38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834</v>
      </c>
      <c r="E13" s="38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844</v>
      </c>
      <c r="F13" s="38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855</v>
      </c>
      <c r="G13" s="38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866</v>
      </c>
      <c r="H13" s="38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878</v>
      </c>
      <c r="I13" s="38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891</v>
      </c>
    </row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5" hidden="false" customHeight="true" outlineLevel="0" collapsed="false">
      <c r="B16" s="3" t="s">
        <v>193</v>
      </c>
    </row>
    <row r="17" customFormat="false" ht="13.5" hidden="false" customHeight="true" outlineLevel="0" collapsed="false">
      <c r="B17" s="43" t="s">
        <v>194</v>
      </c>
      <c r="C17" s="45" t="n">
        <f aca="false">$I$3-3</f>
        <v>9</v>
      </c>
      <c r="D17" s="45" t="n">
        <f aca="false">$I$3-2</f>
        <v>10</v>
      </c>
      <c r="E17" s="45" t="n">
        <f aca="false">$I$3-1</f>
        <v>11</v>
      </c>
      <c r="F17" s="45" t="n">
        <f aca="false">$I$3</f>
        <v>12</v>
      </c>
      <c r="G17" s="45" t="n">
        <f aca="false">$I$3+1</f>
        <v>13</v>
      </c>
      <c r="H17" s="45" t="n">
        <f aca="false">$I$3+2</f>
        <v>14</v>
      </c>
      <c r="I17" s="45" t="n">
        <f aca="false">$I$3+3</f>
        <v>15</v>
      </c>
    </row>
    <row r="18" customFormat="false" ht="13.5" hidden="false" customHeight="true" outlineLevel="0" collapsed="false">
      <c r="B18" s="40" t="n">
        <f aca="false">$C$3-0.015</f>
        <v>0.1004</v>
      </c>
      <c r="C18" s="38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1343</v>
      </c>
      <c r="D18" s="38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1445</v>
      </c>
      <c r="E18" s="38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1548</v>
      </c>
      <c r="F18" s="38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1651</v>
      </c>
      <c r="G18" s="38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1754</v>
      </c>
      <c r="H18" s="38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1856</v>
      </c>
      <c r="I18" s="38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1959</v>
      </c>
    </row>
    <row r="19" customFormat="false" ht="13.5" hidden="false" customHeight="true" outlineLevel="0" collapsed="false">
      <c r="B19" s="40" t="n">
        <f aca="false">$C$3-0.01</f>
        <v>0.1054</v>
      </c>
      <c r="C19" s="38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1318</v>
      </c>
      <c r="D19" s="38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1419</v>
      </c>
      <c r="E19" s="38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1519</v>
      </c>
      <c r="F19" s="38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1619</v>
      </c>
      <c r="G19" s="38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1720</v>
      </c>
      <c r="H19" s="38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1820</v>
      </c>
      <c r="I19" s="38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1921</v>
      </c>
    </row>
    <row r="20" customFormat="false" ht="13.5" hidden="false" customHeight="true" outlineLevel="0" collapsed="false">
      <c r="B20" s="40" t="n">
        <f aca="false">$C$3-0.005</f>
        <v>0.1104</v>
      </c>
      <c r="C20" s="38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1294</v>
      </c>
      <c r="D20" s="38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1392</v>
      </c>
      <c r="E20" s="38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1491</v>
      </c>
      <c r="F20" s="38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1589</v>
      </c>
      <c r="G20" s="38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1687</v>
      </c>
      <c r="H20" s="38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1785</v>
      </c>
      <c r="I20" s="38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1884</v>
      </c>
    </row>
    <row r="21" customFormat="false" ht="13.5" hidden="false" customHeight="true" outlineLevel="0" collapsed="false">
      <c r="B21" s="40" t="n">
        <f aca="false">$C$3</f>
        <v>0.1154</v>
      </c>
      <c r="C21" s="38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1271</v>
      </c>
      <c r="D21" s="38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1367</v>
      </c>
      <c r="E21" s="38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1463</v>
      </c>
      <c r="F21" s="38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1559</v>
      </c>
      <c r="G21" s="38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1655</v>
      </c>
      <c r="H21" s="38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1751</v>
      </c>
      <c r="I21" s="38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1847</v>
      </c>
    </row>
    <row r="22" customFormat="false" ht="13.5" hidden="false" customHeight="true" outlineLevel="0" collapsed="false">
      <c r="B22" s="40" t="n">
        <f aca="false">$C$3+0.005</f>
        <v>0.1204</v>
      </c>
      <c r="C22" s="38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1248</v>
      </c>
      <c r="D22" s="38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1342</v>
      </c>
      <c r="E22" s="38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1436</v>
      </c>
      <c r="F22" s="38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1530</v>
      </c>
      <c r="G22" s="38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1624</v>
      </c>
      <c r="H22" s="38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1718</v>
      </c>
      <c r="I22" s="38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1812</v>
      </c>
    </row>
    <row r="23" customFormat="false" ht="13.5" hidden="false" customHeight="true" outlineLevel="0" collapsed="false">
      <c r="B23" s="40" t="n">
        <f aca="false">$C$3+0.01</f>
        <v>0.1254</v>
      </c>
      <c r="C23" s="38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1226</v>
      </c>
      <c r="D23" s="38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1318</v>
      </c>
      <c r="E23" s="38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1410</v>
      </c>
      <c r="F23" s="38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1502</v>
      </c>
      <c r="G23" s="38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1594</v>
      </c>
      <c r="H23" s="38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1685</v>
      </c>
      <c r="I23" s="38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1777</v>
      </c>
    </row>
    <row r="24" customFormat="false" ht="13.5" hidden="false" customHeight="true" outlineLevel="0" collapsed="false">
      <c r="B24" s="40" t="n">
        <f aca="false">$C$3+0.015</f>
        <v>0.1304</v>
      </c>
      <c r="C24" s="38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1205</v>
      </c>
      <c r="D24" s="38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1294</v>
      </c>
      <c r="E24" s="38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1384</v>
      </c>
      <c r="F24" s="38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1474</v>
      </c>
      <c r="G24" s="38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1564</v>
      </c>
      <c r="H24" s="38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1654</v>
      </c>
      <c r="I24" s="38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1744</v>
      </c>
    </row>
    <row r="25" customFormat="false" ht="13.8" hidden="false" customHeight="false" outlineLevel="0" collapsed="false"/>
    <row r="26" customFormat="false" ht="13.5" hidden="false" customHeight="true" outlineLevel="0" collapsed="false">
      <c r="B26" s="1" t="s">
        <v>195</v>
      </c>
      <c r="C26" s="1"/>
      <c r="D26" s="1"/>
      <c r="E26" s="1"/>
      <c r="F26" s="1"/>
      <c r="G26" s="1"/>
      <c r="H26" s="1"/>
      <c r="I26" s="1"/>
    </row>
  </sheetData>
  <mergeCells count="1">
    <mergeCell ref="B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6" min="3" style="0" width="14"/>
  </cols>
  <sheetData>
    <row r="1" customFormat="false" ht="13.8" hidden="false" customHeight="false" outlineLevel="0" collapsed="false"/>
    <row r="2" customFormat="false" ht="18" hidden="false" customHeight="true" outlineLevel="0" collapsed="false">
      <c r="B2" s="16" t="s">
        <v>196</v>
      </c>
    </row>
    <row r="3" customFormat="false" ht="13.5" hidden="false" customHeight="true" outlineLevel="0" collapsed="false">
      <c r="B3" s="46" t="s">
        <v>197</v>
      </c>
    </row>
    <row r="4" customFormat="false" ht="13.8" hidden="false" customHeight="false" outlineLevel="0" collapsed="false"/>
    <row r="5" customFormat="false" ht="13.5" hidden="false" customHeight="true" outlineLevel="0" collapsed="false">
      <c r="B5" s="3" t="s">
        <v>198</v>
      </c>
    </row>
    <row r="6" customFormat="false" ht="13.5" hidden="false" customHeight="true" outlineLevel="0" collapsed="false">
      <c r="B6" s="11"/>
      <c r="C6" s="11" t="s">
        <v>33</v>
      </c>
      <c r="D6" s="11" t="s">
        <v>34</v>
      </c>
      <c r="E6" s="11" t="s">
        <v>199</v>
      </c>
    </row>
    <row r="7" customFormat="false" ht="13.5" hidden="false" customHeight="true" outlineLevel="0" collapsed="false">
      <c r="B7" s="7" t="s">
        <v>200</v>
      </c>
      <c r="C7" s="47" t="n">
        <v>7680</v>
      </c>
      <c r="D7" s="47" t="n">
        <v>9171</v>
      </c>
      <c r="E7" s="48" t="n">
        <f aca="false">D7/C7-1</f>
        <v>0.194140625</v>
      </c>
    </row>
    <row r="8" customFormat="false" ht="13.5" hidden="false" customHeight="true" outlineLevel="0" collapsed="false">
      <c r="B8" s="7" t="s">
        <v>201</v>
      </c>
      <c r="C8" s="47" t="n">
        <v>2458</v>
      </c>
      <c r="D8" s="47" t="n">
        <v>3236</v>
      </c>
      <c r="E8" s="48" t="n">
        <f aca="false">D8/C8-1</f>
        <v>0.316517493897478</v>
      </c>
    </row>
    <row r="9" customFormat="false" ht="13.5" hidden="false" customHeight="true" outlineLevel="0" collapsed="false">
      <c r="B9" s="4" t="s">
        <v>202</v>
      </c>
      <c r="C9" s="48" t="n">
        <f aca="false">C8/C7</f>
        <v>0.320052083333333</v>
      </c>
      <c r="D9" s="48" t="n">
        <f aca="false">D8/D7</f>
        <v>0.352851379347945</v>
      </c>
    </row>
    <row r="10" customFormat="false" ht="13.8" hidden="false" customHeight="false" outlineLevel="0" collapsed="false"/>
    <row r="11" customFormat="false" ht="13.5" hidden="false" customHeight="true" outlineLevel="0" collapsed="false">
      <c r="B11" s="7" t="s">
        <v>203</v>
      </c>
      <c r="C11" s="47" t="n">
        <v>315</v>
      </c>
      <c r="D11" s="47" t="n">
        <v>446</v>
      </c>
      <c r="E11" s="48" t="n">
        <f aca="false">D11/C11-1</f>
        <v>0.415873015873016</v>
      </c>
    </row>
    <row r="12" customFormat="false" ht="13.5" hidden="false" customHeight="true" outlineLevel="0" collapsed="false">
      <c r="B12" s="7" t="s">
        <v>204</v>
      </c>
      <c r="C12" s="47" t="n">
        <v>-151</v>
      </c>
      <c r="D12" s="47" t="n">
        <v>-424</v>
      </c>
      <c r="E12" s="49" t="s">
        <v>205</v>
      </c>
    </row>
    <row r="13" customFormat="false" ht="13.8" hidden="false" customHeight="false" outlineLevel="0" collapsed="false"/>
    <row r="14" customFormat="false" ht="13.5" hidden="false" customHeight="true" outlineLevel="0" collapsed="false">
      <c r="B14" s="7" t="s">
        <v>206</v>
      </c>
      <c r="C14" s="47" t="n">
        <v>-3</v>
      </c>
      <c r="D14" s="47" t="n">
        <v>-234</v>
      </c>
      <c r="E14" s="49" t="s">
        <v>207</v>
      </c>
    </row>
    <row r="15" customFormat="false" ht="13.8" hidden="false" customHeight="false" outlineLevel="0" collapsed="false"/>
    <row r="16" customFormat="false" ht="13.5" hidden="false" customHeight="true" outlineLevel="0" collapsed="false">
      <c r="B16" s="4" t="s">
        <v>208</v>
      </c>
      <c r="C16" s="47" t="n">
        <v>2304</v>
      </c>
      <c r="D16" s="47" t="n">
        <v>2578</v>
      </c>
      <c r="E16" s="48" t="n">
        <f aca="false">D16/C16-1</f>
        <v>0.118923611111111</v>
      </c>
    </row>
    <row r="17" customFormat="false" ht="13.5" hidden="false" customHeight="true" outlineLevel="0" collapsed="false">
      <c r="B17" s="46" t="s">
        <v>209</v>
      </c>
      <c r="D17" s="50" t="n">
        <f aca="false">D8+D12+D14</f>
        <v>2578</v>
      </c>
    </row>
    <row r="18" customFormat="false" ht="13.8" hidden="false" customHeight="false" outlineLevel="0" collapsed="false"/>
    <row r="19" customFormat="false" ht="13.5" hidden="false" customHeight="true" outlineLevel="0" collapsed="false">
      <c r="B19" s="4" t="s">
        <v>210</v>
      </c>
    </row>
    <row r="20" customFormat="false" ht="13.5" hidden="false" customHeight="true" outlineLevel="0" collapsed="false">
      <c r="B20" s="11"/>
      <c r="C20" s="11" t="s">
        <v>33</v>
      </c>
      <c r="D20" s="11" t="s">
        <v>34</v>
      </c>
    </row>
    <row r="21" customFormat="false" ht="13.5" hidden="false" customHeight="true" outlineLevel="0" collapsed="false">
      <c r="B21" s="7" t="s">
        <v>211</v>
      </c>
      <c r="C21" s="47" t="n">
        <v>122</v>
      </c>
      <c r="D21" s="47" t="n">
        <v>127</v>
      </c>
    </row>
    <row r="22" customFormat="false" ht="13.5" hidden="false" customHeight="true" outlineLevel="0" collapsed="false">
      <c r="B22" s="7" t="s">
        <v>212</v>
      </c>
      <c r="C22" s="47" t="n">
        <v>24</v>
      </c>
      <c r="D22" s="47" t="n">
        <v>40</v>
      </c>
    </row>
    <row r="23" customFormat="false" ht="13.8" hidden="false" customHeight="false" outlineLevel="0" collapsed="false"/>
    <row r="24" customFormat="false" ht="13.5" hidden="false" customHeight="true" outlineLevel="0" collapsed="false">
      <c r="B24" s="3" t="s">
        <v>213</v>
      </c>
    </row>
    <row r="25" customFormat="false" ht="13.5" hidden="false" customHeight="true" outlineLevel="0" collapsed="false">
      <c r="B25" s="4" t="s">
        <v>208</v>
      </c>
      <c r="C25" s="6" t="n">
        <f aca="false">D16</f>
        <v>2578</v>
      </c>
    </row>
    <row r="26" customFormat="false" ht="13.5" hidden="false" customHeight="true" outlineLevel="0" collapsed="false">
      <c r="B26" s="4" t="s">
        <v>214</v>
      </c>
      <c r="C26" s="47" t="n">
        <v>232</v>
      </c>
    </row>
    <row r="27" customFormat="false" ht="13.5" hidden="false" customHeight="true" outlineLevel="0" collapsed="false">
      <c r="B27" s="51" t="s">
        <v>215</v>
      </c>
      <c r="C27" s="52" t="n">
        <f aca="false">C25+C26</f>
        <v>2810</v>
      </c>
    </row>
    <row r="28" customFormat="false" ht="13.5" hidden="false" customHeight="true" outlineLevel="0" collapsed="false">
      <c r="B28" s="46" t="s">
        <v>216</v>
      </c>
      <c r="C28" s="53" t="n">
        <f aca="false">C27/9618</f>
        <v>0.292160532335205</v>
      </c>
    </row>
    <row r="29" customFormat="false" ht="13.8" hidden="false" customHeight="false" outlineLevel="0" collapsed="false"/>
    <row r="30" customFormat="false" ht="13.5" hidden="false" customHeight="true" outlineLevel="0" collapsed="false">
      <c r="B30" s="4" t="s">
        <v>217</v>
      </c>
      <c r="C30" s="6" t="n">
        <f aca="false">-D12</f>
        <v>424</v>
      </c>
    </row>
    <row r="31" customFormat="false" ht="13.5" hidden="false" customHeight="true" outlineLevel="0" collapsed="false">
      <c r="B31" s="54" t="s">
        <v>218</v>
      </c>
      <c r="C31" s="55" t="n">
        <f aca="false">C27+C30</f>
        <v>3234</v>
      </c>
    </row>
    <row r="32" customFormat="false" ht="13.5" hidden="false" customHeight="true" outlineLevel="0" collapsed="false">
      <c r="B32" s="56" t="s">
        <v>216</v>
      </c>
      <c r="C32" s="57" t="n">
        <f aca="false">C31/9618</f>
        <v>0.336244541484716</v>
      </c>
    </row>
    <row r="33" customFormat="false" ht="13.8" hidden="false" customHeight="false" outlineLevel="0" collapsed="false"/>
    <row r="34" customFormat="false" ht="45" hidden="false" customHeight="true" outlineLevel="0" collapsed="false">
      <c r="B34" s="46" t="s">
        <v>219</v>
      </c>
    </row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5" hidden="false" customHeight="true" outlineLevel="0" collapsed="false">
      <c r="B37" s="3" t="s">
        <v>220</v>
      </c>
    </row>
    <row r="38" customFormat="false" ht="13.5" hidden="false" customHeight="true" outlineLevel="0" collapsed="false">
      <c r="B38" s="11" t="s">
        <v>221</v>
      </c>
      <c r="C38" s="11" t="s">
        <v>33</v>
      </c>
      <c r="D38" s="11" t="s">
        <v>222</v>
      </c>
      <c r="E38" s="11" t="s">
        <v>34</v>
      </c>
      <c r="F38" s="11" t="s">
        <v>222</v>
      </c>
    </row>
    <row r="39" customFormat="false" ht="13.5" hidden="false" customHeight="true" outlineLevel="0" collapsed="false">
      <c r="B39" s="7" t="s">
        <v>223</v>
      </c>
      <c r="C39" s="47" t="n">
        <v>1613</v>
      </c>
      <c r="D39" s="48" t="n">
        <f aca="false">C39/7995</f>
        <v>0.201751094434021</v>
      </c>
      <c r="E39" s="47" t="n">
        <v>1647</v>
      </c>
      <c r="F39" s="48" t="n">
        <f aca="false">E39/9618</f>
        <v>0.171241422333125</v>
      </c>
    </row>
    <row r="40" customFormat="false" ht="13.5" hidden="false" customHeight="true" outlineLevel="0" collapsed="false">
      <c r="B40" s="7" t="s">
        <v>224</v>
      </c>
      <c r="C40" s="47" t="n">
        <v>1275</v>
      </c>
      <c r="D40" s="48" t="n">
        <f aca="false">C40/7995</f>
        <v>0.159474671669794</v>
      </c>
      <c r="E40" s="58" t="s">
        <v>225</v>
      </c>
      <c r="F40" s="58" t="s">
        <v>225</v>
      </c>
    </row>
    <row r="41" customFormat="false" ht="13.5" hidden="false" customHeight="true" outlineLevel="0" collapsed="false">
      <c r="B41" s="7" t="s">
        <v>226</v>
      </c>
      <c r="C41" s="47" t="n">
        <v>807</v>
      </c>
      <c r="D41" s="48" t="n">
        <f aca="false">C41/7995</f>
        <v>0.10093808630394</v>
      </c>
      <c r="E41" s="47" t="n">
        <v>1119</v>
      </c>
      <c r="F41" s="48" t="n">
        <f aca="false">E41/9618</f>
        <v>0.116344354335621</v>
      </c>
    </row>
    <row r="42" customFormat="false" ht="13.5" hidden="false" customHeight="true" outlineLevel="0" collapsed="false">
      <c r="B42" s="59" t="s">
        <v>227</v>
      </c>
      <c r="C42" s="60" t="n">
        <f aca="false">SUM(C39:C41)</f>
        <v>3695</v>
      </c>
      <c r="D42" s="61" t="n">
        <f aca="false">C42/7995</f>
        <v>0.462163852407755</v>
      </c>
      <c r="E42" s="60" t="n">
        <f aca="false">SUM(E39:E41)</f>
        <v>2766</v>
      </c>
      <c r="F42" s="61" t="n">
        <f aca="false">E42/9618</f>
        <v>0.287585776668746</v>
      </c>
    </row>
    <row r="43" customFormat="false" ht="13.8" hidden="false" customHeight="false" outlineLevel="0" collapsed="false"/>
    <row r="44" customFormat="false" ht="54.75" hidden="false" customHeight="true" outlineLevel="0" collapsed="false">
      <c r="B44" s="46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4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98"/>
  </cols>
  <sheetData>
    <row r="2" customFormat="false" ht="15" hidden="false" customHeight="false" outlineLevel="0" collapsed="false">
      <c r="B2" s="3" t="s">
        <v>229</v>
      </c>
    </row>
    <row r="4" customFormat="false" ht="15" hidden="false" customHeight="true" outlineLevel="0" collapsed="false">
      <c r="B4" s="62" t="s">
        <v>230</v>
      </c>
      <c r="C4" s="62" t="s">
        <v>231</v>
      </c>
      <c r="D4" s="62" t="s">
        <v>232</v>
      </c>
      <c r="E4" s="62" t="s">
        <v>233</v>
      </c>
      <c r="F4" s="62" t="s">
        <v>234</v>
      </c>
    </row>
    <row r="5" customFormat="false" ht="109.5" hidden="false" customHeight="true" outlineLevel="0" collapsed="false">
      <c r="B5" s="63" t="s">
        <v>235</v>
      </c>
      <c r="C5" s="63" t="s">
        <v>236</v>
      </c>
      <c r="D5" s="63" t="s">
        <v>237</v>
      </c>
      <c r="E5" s="64" t="s">
        <v>238</v>
      </c>
      <c r="F5" s="63" t="s">
        <v>239</v>
      </c>
    </row>
    <row r="6" customFormat="false" ht="109.5" hidden="false" customHeight="true" outlineLevel="0" collapsed="false">
      <c r="B6" s="63" t="s">
        <v>240</v>
      </c>
      <c r="C6" s="63" t="s">
        <v>241</v>
      </c>
      <c r="D6" s="63" t="s">
        <v>242</v>
      </c>
      <c r="E6" s="63" t="s">
        <v>243</v>
      </c>
      <c r="F6" s="63" t="s">
        <v>244</v>
      </c>
    </row>
    <row r="7" customFormat="false" ht="109.5" hidden="false" customHeight="true" outlineLevel="0" collapsed="false">
      <c r="B7" s="63" t="s">
        <v>245</v>
      </c>
      <c r="C7" s="63" t="s">
        <v>246</v>
      </c>
      <c r="D7" s="63" t="s">
        <v>247</v>
      </c>
      <c r="E7" s="63" t="s">
        <v>248</v>
      </c>
      <c r="F7" s="63" t="s">
        <v>249</v>
      </c>
    </row>
    <row r="8" customFormat="false" ht="109.5" hidden="false" customHeight="true" outlineLevel="0" collapsed="false">
      <c r="B8" s="63" t="s">
        <v>250</v>
      </c>
      <c r="C8" s="63" t="s">
        <v>251</v>
      </c>
      <c r="D8" s="63" t="s">
        <v>252</v>
      </c>
      <c r="E8" s="63" t="s">
        <v>253</v>
      </c>
      <c r="F8" s="63" t="s">
        <v>254</v>
      </c>
    </row>
    <row r="9" customFormat="false" ht="109.5" hidden="false" customHeight="true" outlineLevel="0" collapsed="false">
      <c r="B9" s="63"/>
      <c r="C9" s="63" t="s">
        <v>255</v>
      </c>
      <c r="D9" s="63"/>
      <c r="E9" s="63"/>
      <c r="F9" s="63" t="s">
        <v>256</v>
      </c>
    </row>
    <row r="10" customFormat="false" ht="109.5" hidden="false" customHeight="true" outlineLevel="0" collapsed="false">
      <c r="B10" s="63"/>
      <c r="C10" s="63" t="s">
        <v>257</v>
      </c>
      <c r="D10" s="63" t="s">
        <v>258</v>
      </c>
      <c r="E10" s="63"/>
      <c r="F10" s="63" t="s">
        <v>259</v>
      </c>
    </row>
    <row r="11" customFormat="false" ht="109.5" hidden="false" customHeight="true" outlineLevel="0" collapsed="false">
      <c r="B11" s="63"/>
      <c r="C11" s="63" t="s">
        <v>260</v>
      </c>
      <c r="D11" s="63" t="s">
        <v>261</v>
      </c>
      <c r="E11" s="63"/>
      <c r="F11" s="63" t="s">
        <v>262</v>
      </c>
    </row>
    <row r="12" customFormat="false" ht="109.5" hidden="false" customHeight="true" outlineLevel="0" collapsed="false">
      <c r="B12" s="63"/>
      <c r="C12" s="63" t="s">
        <v>263</v>
      </c>
      <c r="D12" s="63" t="s">
        <v>264</v>
      </c>
      <c r="E12" s="63"/>
      <c r="F12" s="63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2026-07-30T07:21:35Z</dcterms:created>
  <dc:creator>openpyxl</dc:creator>
  <dc:description/>
  <dc:language>en-US</dc:language>
  <cp:lastModifiedBy>良亮 佐藤</cp:lastModifiedBy>
  <dcterms:modified xsi:type="dcterms:W3CDTF">2026-07-30T07:43:43Z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