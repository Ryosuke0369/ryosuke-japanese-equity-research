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D289F367-5739-4484-9394-8AA1FC843E0D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Segment Analysis" sheetId="7" r:id="rId7"/>
    <sheet name="Driver Analysis" sheetId="8" r:id="rId8"/>
  </sheets>
  <calcPr calcId="181029"/>
</workbook>
</file>

<file path=xl/calcChain.xml><?xml version="1.0" encoding="utf-8"?>
<calcChain xmlns="http://schemas.openxmlformats.org/spreadsheetml/2006/main">
  <c r="C30" i="3" l="1"/>
  <c r="K20" i="8"/>
  <c r="J20" i="8"/>
  <c r="I20" i="8"/>
  <c r="H20" i="8"/>
  <c r="G20" i="8"/>
  <c r="F20" i="8"/>
  <c r="E20" i="8"/>
  <c r="D20" i="8"/>
  <c r="F16" i="8"/>
  <c r="E16" i="8"/>
  <c r="D16" i="8"/>
  <c r="C16" i="8"/>
  <c r="K15" i="8"/>
  <c r="K16" i="8" s="1"/>
  <c r="G15" i="8"/>
  <c r="G16" i="8" s="1"/>
  <c r="K13" i="8"/>
  <c r="J13" i="8"/>
  <c r="J15" i="8" s="1"/>
  <c r="J16" i="8" s="1"/>
  <c r="I13" i="8"/>
  <c r="I15" i="8" s="1"/>
  <c r="I16" i="8" s="1"/>
  <c r="H13" i="8"/>
  <c r="H15" i="8" s="1"/>
  <c r="H16" i="8" s="1"/>
  <c r="G13" i="8"/>
  <c r="K7" i="8"/>
  <c r="J7" i="8"/>
  <c r="I7" i="8"/>
  <c r="H7" i="8"/>
  <c r="G7" i="8"/>
  <c r="F7" i="8"/>
  <c r="E7" i="8"/>
  <c r="D7" i="8"/>
  <c r="E23" i="7"/>
  <c r="F22" i="7"/>
  <c r="F23" i="7" s="1"/>
  <c r="E22" i="7"/>
  <c r="D22" i="7"/>
  <c r="C22" i="7"/>
  <c r="C23" i="7" s="1"/>
  <c r="F21" i="7"/>
  <c r="E21" i="7"/>
  <c r="D21" i="7"/>
  <c r="C21" i="7"/>
  <c r="F18" i="7"/>
  <c r="E18" i="7"/>
  <c r="D18" i="7"/>
  <c r="F13" i="7"/>
  <c r="E13" i="7"/>
  <c r="D13" i="7"/>
  <c r="F8" i="7"/>
  <c r="E8" i="7"/>
  <c r="D8" i="7"/>
  <c r="H6" i="6"/>
  <c r="G6" i="6"/>
  <c r="F6" i="6"/>
  <c r="D6" i="6"/>
  <c r="C6" i="6"/>
  <c r="I3" i="6"/>
  <c r="C17" i="6" s="1"/>
  <c r="F3" i="6"/>
  <c r="I6" i="6" s="1"/>
  <c r="I17" i="5"/>
  <c r="G17" i="5"/>
  <c r="I16" i="5"/>
  <c r="G16" i="5"/>
  <c r="F16" i="5"/>
  <c r="C28" i="5" s="1"/>
  <c r="C19" i="1" s="1"/>
  <c r="D19" i="1" s="1"/>
  <c r="E16" i="5"/>
  <c r="I15" i="5"/>
  <c r="G15" i="5"/>
  <c r="F15" i="5"/>
  <c r="N9" i="5"/>
  <c r="L9" i="5"/>
  <c r="K9" i="5"/>
  <c r="J9" i="5"/>
  <c r="N8" i="5"/>
  <c r="L8" i="5"/>
  <c r="K8" i="5"/>
  <c r="J8" i="5"/>
  <c r="N7" i="5"/>
  <c r="L7" i="5"/>
  <c r="K7" i="5"/>
  <c r="J7" i="5"/>
  <c r="N6" i="5"/>
  <c r="H15" i="5" s="1"/>
  <c r="L6" i="5"/>
  <c r="K6" i="5"/>
  <c r="E15" i="5" s="1"/>
  <c r="J6" i="5"/>
  <c r="D17" i="5" s="1"/>
  <c r="N5" i="5"/>
  <c r="H17" i="5" s="1"/>
  <c r="L5" i="5"/>
  <c r="F17" i="5" s="1"/>
  <c r="K5" i="5"/>
  <c r="E17" i="5" s="1"/>
  <c r="J5" i="5"/>
  <c r="C16" i="4"/>
  <c r="C14" i="4"/>
  <c r="C7" i="4"/>
  <c r="C6" i="4"/>
  <c r="C5" i="4"/>
  <c r="D27" i="3"/>
  <c r="H18" i="7" s="1"/>
  <c r="C25" i="3"/>
  <c r="C24" i="3"/>
  <c r="C23" i="3"/>
  <c r="C26" i="3" s="1"/>
  <c r="H28" i="2"/>
  <c r="G28" i="2"/>
  <c r="F28" i="2"/>
  <c r="E28" i="2"/>
  <c r="D28" i="2"/>
  <c r="C28" i="2"/>
  <c r="H23" i="2"/>
  <c r="G23" i="2"/>
  <c r="F23" i="2"/>
  <c r="E23" i="2"/>
  <c r="D23" i="2"/>
  <c r="C23" i="2"/>
  <c r="G22" i="2"/>
  <c r="D22" i="2"/>
  <c r="H21" i="2"/>
  <c r="H22" i="2" s="1"/>
  <c r="G21" i="2"/>
  <c r="F21" i="2"/>
  <c r="F22" i="2" s="1"/>
  <c r="E21" i="2"/>
  <c r="E22" i="2" s="1"/>
  <c r="D21" i="2"/>
  <c r="C21" i="2"/>
  <c r="C22" i="2" s="1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F9" i="2"/>
  <c r="D9" i="2"/>
  <c r="C9" i="2"/>
  <c r="H8" i="2"/>
  <c r="H9" i="2" s="1"/>
  <c r="G8" i="2"/>
  <c r="G9" i="2" s="1"/>
  <c r="F8" i="2"/>
  <c r="E8" i="2"/>
  <c r="E9" i="2" s="1"/>
  <c r="D8" i="2"/>
  <c r="C8" i="2"/>
  <c r="G17" i="6" l="1"/>
  <c r="H17" i="6"/>
  <c r="I17" i="6"/>
  <c r="D17" i="6"/>
  <c r="E17" i="6"/>
  <c r="F46" i="3"/>
  <c r="G46" i="3"/>
  <c r="E46" i="3"/>
  <c r="D46" i="3"/>
  <c r="C46" i="3"/>
  <c r="C3" i="6"/>
  <c r="G32" i="3"/>
  <c r="G6" i="4"/>
  <c r="D15" i="5"/>
  <c r="H16" i="5"/>
  <c r="G13" i="7"/>
  <c r="J13" i="7"/>
  <c r="D5" i="4"/>
  <c r="D7" i="4"/>
  <c r="C18" i="4"/>
  <c r="K13" i="7"/>
  <c r="E5" i="4"/>
  <c r="E7" i="4"/>
  <c r="G8" i="7"/>
  <c r="H5" i="4"/>
  <c r="G7" i="4"/>
  <c r="D16" i="5"/>
  <c r="C27" i="5" s="1"/>
  <c r="C18" i="1" s="1"/>
  <c r="D18" i="1" s="1"/>
  <c r="H8" i="7"/>
  <c r="G18" i="7"/>
  <c r="I13" i="7"/>
  <c r="K8" i="7"/>
  <c r="G5" i="4"/>
  <c r="H13" i="7"/>
  <c r="J8" i="7"/>
  <c r="G6" i="7"/>
  <c r="H6" i="4"/>
  <c r="F5" i="4"/>
  <c r="J18" i="7"/>
  <c r="G16" i="7"/>
  <c r="F7" i="4"/>
  <c r="D6" i="4"/>
  <c r="E32" i="3"/>
  <c r="C32" i="3"/>
  <c r="H7" i="4"/>
  <c r="I8" i="7"/>
  <c r="I18" i="7"/>
  <c r="G11" i="7"/>
  <c r="K18" i="7"/>
  <c r="D32" i="3"/>
  <c r="E6" i="4"/>
  <c r="F32" i="3"/>
  <c r="F6" i="4"/>
  <c r="D23" i="7"/>
  <c r="E6" i="6"/>
  <c r="F17" i="6"/>
  <c r="G17" i="7" l="1"/>
  <c r="H16" i="7"/>
  <c r="H11" i="7"/>
  <c r="G12" i="7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H6" i="7"/>
  <c r="G7" i="7"/>
  <c r="G22" i="7" s="1"/>
  <c r="G21" i="7"/>
  <c r="G27" i="7" l="1"/>
  <c r="C33" i="3"/>
  <c r="H12" i="7"/>
  <c r="I11" i="7"/>
  <c r="G23" i="7"/>
  <c r="C39" i="3"/>
  <c r="H7" i="7"/>
  <c r="H22" i="7" s="1"/>
  <c r="H21" i="7"/>
  <c r="I6" i="7"/>
  <c r="H17" i="7"/>
  <c r="I16" i="7"/>
  <c r="H27" i="7" l="1"/>
  <c r="D33" i="3"/>
  <c r="H23" i="7"/>
  <c r="D39" i="3"/>
  <c r="C38" i="3"/>
  <c r="C40" i="3"/>
  <c r="C41" i="3" s="1"/>
  <c r="I12" i="7"/>
  <c r="J11" i="7"/>
  <c r="I17" i="7"/>
  <c r="J16" i="7"/>
  <c r="G26" i="7"/>
  <c r="G28" i="7" s="1"/>
  <c r="D9" i="4"/>
  <c r="D12" i="4" s="1"/>
  <c r="C37" i="3"/>
  <c r="C34" i="3" s="1"/>
  <c r="I21" i="7"/>
  <c r="I7" i="7"/>
  <c r="J6" i="7"/>
  <c r="D10" i="4" l="1"/>
  <c r="C31" i="3"/>
  <c r="C35" i="3"/>
  <c r="C36" i="3" s="1"/>
  <c r="J7" i="7"/>
  <c r="K6" i="7"/>
  <c r="J21" i="7"/>
  <c r="I22" i="7"/>
  <c r="D30" i="3"/>
  <c r="E9" i="4"/>
  <c r="E12" i="4" s="1"/>
  <c r="D37" i="3"/>
  <c r="H26" i="7"/>
  <c r="H28" i="7" s="1"/>
  <c r="D34" i="3"/>
  <c r="D35" i="3"/>
  <c r="D36" i="3" s="1"/>
  <c r="D38" i="3"/>
  <c r="D40" i="3"/>
  <c r="D41" i="3" s="1"/>
  <c r="K16" i="7"/>
  <c r="K17" i="7" s="1"/>
  <c r="J17" i="7"/>
  <c r="E33" i="3"/>
  <c r="I27" i="7"/>
  <c r="J12" i="7"/>
  <c r="K11" i="7"/>
  <c r="K12" i="7" s="1"/>
  <c r="K7" i="7" l="1"/>
  <c r="K22" i="7" s="1"/>
  <c r="K21" i="7"/>
  <c r="J27" i="7"/>
  <c r="F33" i="3"/>
  <c r="J22" i="7"/>
  <c r="D31" i="3"/>
  <c r="E10" i="4"/>
  <c r="F9" i="4"/>
  <c r="F12" i="4" s="1"/>
  <c r="E30" i="3"/>
  <c r="E37" i="3"/>
  <c r="I26" i="7"/>
  <c r="I28" i="7" s="1"/>
  <c r="D15" i="4"/>
  <c r="D16" i="4" s="1"/>
  <c r="D13" i="4"/>
  <c r="D14" i="4" s="1"/>
  <c r="I23" i="7"/>
  <c r="E39" i="3"/>
  <c r="E34" i="3" l="1"/>
  <c r="E31" i="3" s="1"/>
  <c r="E40" i="3"/>
  <c r="E41" i="3" s="1"/>
  <c r="E38" i="3"/>
  <c r="J23" i="7"/>
  <c r="F39" i="3"/>
  <c r="J26" i="7"/>
  <c r="J28" i="7" s="1"/>
  <c r="G9" i="4"/>
  <c r="G12" i="4" s="1"/>
  <c r="F37" i="3"/>
  <c r="F30" i="3"/>
  <c r="D18" i="4"/>
  <c r="D19" i="4" s="1"/>
  <c r="C44" i="3" s="1"/>
  <c r="C45" i="3" s="1"/>
  <c r="G33" i="3"/>
  <c r="K27" i="7"/>
  <c r="E15" i="4"/>
  <c r="E16" i="4" s="1"/>
  <c r="E13" i="4"/>
  <c r="E14" i="4" s="1"/>
  <c r="G39" i="3"/>
  <c r="K23" i="7"/>
  <c r="E35" i="3" l="1"/>
  <c r="E36" i="3" s="1"/>
  <c r="F34" i="3"/>
  <c r="F31" i="3" s="1"/>
  <c r="F10" i="4"/>
  <c r="E18" i="4"/>
  <c r="C47" i="3"/>
  <c r="E19" i="4"/>
  <c r="D44" i="3" s="1"/>
  <c r="D45" i="3" s="1"/>
  <c r="D47" i="3" s="1"/>
  <c r="G38" i="3"/>
  <c r="C59" i="3"/>
  <c r="C60" i="3" s="1"/>
  <c r="C61" i="3" s="1"/>
  <c r="G40" i="3"/>
  <c r="G41" i="3" s="1"/>
  <c r="G30" i="3"/>
  <c r="G37" i="3"/>
  <c r="G34" i="3" s="1"/>
  <c r="K26" i="7"/>
  <c r="K28" i="7" s="1"/>
  <c r="H9" i="4"/>
  <c r="H12" i="4" s="1"/>
  <c r="F13" i="4"/>
  <c r="F14" i="4" s="1"/>
  <c r="F15" i="4"/>
  <c r="F16" i="4" s="1"/>
  <c r="F38" i="3"/>
  <c r="F40" i="3"/>
  <c r="F41" i="3"/>
  <c r="F35" i="3" l="1"/>
  <c r="F36" i="3" s="1"/>
  <c r="G10" i="4"/>
  <c r="G31" i="3"/>
  <c r="H10" i="4"/>
  <c r="G35" i="3"/>
  <c r="G36" i="3" s="1"/>
  <c r="G13" i="4"/>
  <c r="G14" i="4" s="1"/>
  <c r="G15" i="4"/>
  <c r="G16" i="4" s="1"/>
  <c r="F18" i="4"/>
  <c r="F19" i="4" s="1"/>
  <c r="E44" i="3" s="1"/>
  <c r="E45" i="3" s="1"/>
  <c r="E47" i="3" l="1"/>
  <c r="H13" i="4"/>
  <c r="H14" i="4" s="1"/>
  <c r="H15" i="4"/>
  <c r="H16" i="4" s="1"/>
  <c r="G18" i="4"/>
  <c r="G19" i="4" s="1"/>
  <c r="F44" i="3" s="1"/>
  <c r="F45" i="3" s="1"/>
  <c r="H18" i="4" l="1"/>
  <c r="E8" i="6"/>
  <c r="F9" i="6"/>
  <c r="H19" i="4"/>
  <c r="G44" i="3" s="1"/>
  <c r="G45" i="3" s="1"/>
  <c r="I19" i="6" s="1"/>
  <c r="H12" i="6"/>
  <c r="F47" i="3"/>
  <c r="G11" i="6"/>
  <c r="G21" i="6"/>
  <c r="D21" i="6"/>
  <c r="F12" i="6"/>
  <c r="F10" i="6"/>
  <c r="I11" i="6"/>
  <c r="F7" i="6"/>
  <c r="F23" i="6"/>
  <c r="H11" i="6"/>
  <c r="G19" i="6"/>
  <c r="C18" i="6"/>
  <c r="C23" i="6"/>
  <c r="E18" i="6"/>
  <c r="F19" i="6"/>
  <c r="E11" i="6"/>
  <c r="H18" i="6"/>
  <c r="D9" i="6"/>
  <c r="C21" i="6"/>
  <c r="I13" i="6"/>
  <c r="D7" i="6"/>
  <c r="F11" i="6"/>
  <c r="I7" i="6"/>
  <c r="C9" i="6"/>
  <c r="C8" i="6"/>
  <c r="F22" i="6"/>
  <c r="D19" i="6"/>
  <c r="G18" i="6"/>
  <c r="G23" i="6"/>
  <c r="H22" i="6"/>
  <c r="E21" i="6"/>
  <c r="I20" i="6" l="1"/>
  <c r="D20" i="6"/>
  <c r="G22" i="6"/>
  <c r="C11" i="6"/>
  <c r="H10" i="6"/>
  <c r="F8" i="6"/>
  <c r="I18" i="6"/>
  <c r="H8" i="6"/>
  <c r="E19" i="6"/>
  <c r="C22" i="6"/>
  <c r="D10" i="6"/>
  <c r="D24" i="6"/>
  <c r="C7" i="6"/>
  <c r="E22" i="6"/>
  <c r="D22" i="6"/>
  <c r="I9" i="6"/>
  <c r="I21" i="6"/>
  <c r="E12" i="6"/>
  <c r="G20" i="6"/>
  <c r="H23" i="6"/>
  <c r="D11" i="6"/>
  <c r="C51" i="3"/>
  <c r="C52" i="3" s="1"/>
  <c r="G47" i="3"/>
  <c r="C50" i="3" s="1"/>
  <c r="H9" i="6"/>
  <c r="F21" i="6"/>
  <c r="C13" i="6"/>
  <c r="E20" i="6"/>
  <c r="F18" i="6"/>
  <c r="G7" i="6"/>
  <c r="I8" i="6"/>
  <c r="D8" i="6"/>
  <c r="H20" i="6"/>
  <c r="H19" i="6"/>
  <c r="D13" i="6"/>
  <c r="G12" i="6"/>
  <c r="C12" i="6"/>
  <c r="F20" i="6"/>
  <c r="I23" i="6"/>
  <c r="I24" i="6"/>
  <c r="I12" i="6"/>
  <c r="E23" i="6"/>
  <c r="E10" i="6"/>
  <c r="C24" i="6"/>
  <c r="C20" i="6"/>
  <c r="G9" i="6"/>
  <c r="H13" i="6"/>
  <c r="E24" i="6"/>
  <c r="H21" i="6"/>
  <c r="G13" i="6"/>
  <c r="G8" i="6"/>
  <c r="G24" i="6"/>
  <c r="D23" i="6"/>
  <c r="E9" i="6"/>
  <c r="H24" i="6"/>
  <c r="D12" i="6"/>
  <c r="G10" i="6"/>
  <c r="E7" i="6"/>
  <c r="I22" i="6"/>
  <c r="E13" i="6"/>
  <c r="C19" i="6"/>
  <c r="F24" i="6"/>
  <c r="F13" i="6"/>
  <c r="I10" i="6"/>
  <c r="C10" i="6"/>
  <c r="D18" i="6"/>
  <c r="H7" i="6"/>
  <c r="C58" i="3" l="1"/>
  <c r="C62" i="3" s="1"/>
  <c r="C63" i="3" s="1"/>
  <c r="C64" i="3" s="1"/>
  <c r="C17" i="1" s="1"/>
  <c r="D17" i="1" s="1"/>
  <c r="C53" i="3"/>
  <c r="C54" i="3" s="1"/>
  <c r="C55" i="3" s="1"/>
  <c r="C16" i="1" s="1"/>
  <c r="D16" i="1" l="1"/>
  <c r="C10" i="1"/>
  <c r="C12" i="1" s="1"/>
  <c r="C11" i="1" s="1"/>
  <c r="C21" i="1"/>
</calcChain>
</file>

<file path=xl/sharedStrings.xml><?xml version="1.0" encoding="utf-8"?>
<sst xmlns="http://schemas.openxmlformats.org/spreadsheetml/2006/main" count="362" uniqueCount="220">
  <si>
    <t>DISCLAIMER: This is a sample analysis for demonstration purposes only. It does not constitute investment advice.</t>
  </si>
  <si>
    <t>株式会社コア (2359.T)</t>
  </si>
  <si>
    <t>Equity Research Report</t>
  </si>
  <si>
    <t>Company</t>
  </si>
  <si>
    <t>株式会社コア</t>
  </si>
  <si>
    <t>Ticker</t>
  </si>
  <si>
    <t>2359.T (TSE)</t>
  </si>
  <si>
    <t>Sector</t>
  </si>
  <si>
    <t>Information &amp; Communication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</si>
  <si>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</si>
  <si>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</si>
  <si>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</si>
  <si>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</si>
  <si>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</si>
  <si>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</si>
  <si>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</si>
  <si>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</si>
  <si>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</si>
  <si>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</si>
  <si>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</si>
  <si>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</si>
  <si>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</si>
  <si>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</si>
  <si>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Vision2029 Mid-term Plan: FY29/3 targets of JPY35bn rev / JPY5.25bn OP imply +9.7% revenue CAGR and OPM expansion 14.4%-&gt;15.0%. Customer Business +8.9% CAGR is the biggest about-face vs FY26's -3.0% decline.</t>
  </si>
  <si>
    <t>2. Defense/Space Tech: Vision2029 explicitly elevates 'Space Tech' (small-satellite GNSS systems) to a strategic pillar within Industrial Tech. 4-layer moat (proprietary receiver + QZSS auth + security clearance + space heritage) intact.</t>
  </si>
  <si>
    <t>3. Stock Business Pivot: Stock revenue mix targeted to grow 7%-&gt;20% over 3 years (JPY1.7bn -&gt; JPY7.0bn, 4x). This drives OPM expansion across all segments and structurally improves earnings quality.</t>
  </si>
  <si>
    <t>Key Risks</t>
  </si>
  <si>
    <t>1. Customer Business growth pivot from -3% FY26 actual to +8.9% CAGR target is the most aggressive turnaround in the plan; execution risk is highest here.</t>
  </si>
  <si>
    <t>2. Stock business 4x scale-up requires sales-model transformation (one-shot SI -&gt; recurring services); transition could pressure near-term revenue recognition.</t>
  </si>
  <si>
    <t>3. Market reaction post-plan (5/9 close ~JPY2,006, +0.0% from pre-plan) suggests investors are skeptical of plan execution. Implied alpha remains deeply pessimistic.</t>
  </si>
  <si>
    <t>株式会社コア - Historical Financials (JPY mn)</t>
  </si>
  <si>
    <t>FY2020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</si>
  <si>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</si>
  <si>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</si>
  <si>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</si>
  <si>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</si>
  <si>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</si>
  <si>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</si>
  <si>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</si>
  <si>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</si>
  <si>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</si>
  <si>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</si>
  <si>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</si>
  <si>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</si>
  <si>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</si>
  <si>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</si>
  <si>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</si>
  <si>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</si>
  <si>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</si>
  <si>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</si>
  <si>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</si>
  <si>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</si>
  <si>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</si>
  <si>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</si>
  <si>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</si>
  <si>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</si>
  <si>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</si>
  <si>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</si>
  <si>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</si>
  <si>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</si>
  <si>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株式会社コア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</si>
  <si>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</si>
  <si>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</si>
  <si>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</si>
  <si>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</si>
  <si>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</si>
  <si>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</si>
  <si>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</si>
  <si>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</si>
  <si>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</si>
  <si>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</si>
  <si>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</si>
  <si>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</si>
  <si>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</si>
  <si>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</si>
  <si>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</si>
  <si>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</si>
  <si>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</si>
  <si>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</si>
  <si>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</si>
  <si>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</si>
  <si>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</si>
  <si>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</si>
  <si>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</si>
  <si>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</si>
  <si>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</si>
  <si>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</si>
  <si>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</si>
  <si>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</si>
  <si>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</si>
  <si>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</si>
  <si>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</si>
  <si>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</si>
  <si>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</si>
  <si>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</si>
  <si>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</si>
  <si>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</si>
  <si>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</si>
  <si>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</si>
  <si>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</si>
  <si>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</si>
  <si>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</si>
  <si>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</si>
  <si>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</si>
  <si>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</si>
  <si>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</si>
  <si>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</si>
  <si>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</si>
  <si>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</si>
  <si>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</si>
  <si>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</si>
  <si>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</si>
  <si>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</si>
  <si>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</si>
  <si>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All scenario inputs are in Segment Analysis sheet.</t>
  </si>
  <si>
    <t>NWC Schedule - 株式会社コア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</si>
  <si>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</si>
  <si>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</si>
  <si>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</si>
  <si>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</si>
  <si>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</si>
  <si>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</si>
  <si>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</si>
  <si>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</si>
  <si>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</si>
  <si>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</si>
  <si>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</si>
  <si>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</si>
  <si>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</si>
  <si>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</si>
  <si>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</si>
  <si>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</si>
  <si>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Upside</t>
  </si>
  <si>
    <t>Management</t>
  </si>
  <si>
    <t>Downside 1</t>
  </si>
  <si>
    <t>Downside 2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</si>
  <si>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</si>
  <si>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</si>
  <si>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</si>
  <si>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</si>
  <si>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</si>
  <si>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</si>
  <si>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</si>
  <si>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</si>
  <si>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</si>
  <si>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</si>
  <si>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</si>
  <si>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</si>
  <si>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</si>
  <si>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</si>
  <si>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</si>
  <si>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Systena</t>
  </si>
  <si>
    <t>2317.T</t>
  </si>
  <si>
    <t>SRA HD</t>
  </si>
  <si>
    <t>3817.T</t>
  </si>
  <si>
    <t>CEC</t>
  </si>
  <si>
    <t>9692.T</t>
  </si>
  <si>
    <t>Cresco</t>
  </si>
  <si>
    <t>4674.T</t>
  </si>
  <si>
    <t>DTS</t>
  </si>
  <si>
    <t>9682.T</t>
  </si>
  <si>
    <t>Statistics</t>
  </si>
  <si>
    <t>25th Percentile</t>
  </si>
  <si>
    <t>Median (50th)</t>
  </si>
  <si>
    <t>75th Percentile</t>
  </si>
  <si>
    <t>Implied Valuation for 株式会社コア</t>
  </si>
  <si>
    <t>株式会社コア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</si>
  <si>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</si>
  <si>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</si>
  <si>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</si>
  <si>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</si>
  <si>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</si>
  <si>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</si>
  <si>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</si>
  <si>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</si>
  <si>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</si>
  <si>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</si>
  <si>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</si>
  <si>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</si>
  <si>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</si>
  <si>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</si>
  <si>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</si>
  <si>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Segment Analysis - 株式会社コア</t>
  </si>
  <si>
    <t>FY2026</t>
  </si>
  <si>
    <t>FY2027</t>
  </si>
  <si>
    <t>Future Society Solutions (未来社会ソリューション)</t>
  </si>
  <si>
    <t>—</t>
  </si>
  <si>
    <t>Operating Profit</t>
  </si>
  <si>
    <t>OP Margin</t>
  </si>
  <si>
    <t>Industrial Technology Solutions (産業技術ソリューション)</t>
  </si>
  <si>
    <t>Customer Business Integration (顧客業務インテグレーション)</t>
  </si>
  <si>
    <t>Consolidated Total</t>
  </si>
  <si>
    <t>Total Revenue</t>
  </si>
  <si>
    <t>Total Operating Profit</t>
  </si>
  <si>
    <t>Total OP Margin</t>
  </si>
  <si>
    <t>Reconciliation vs DCF Model</t>
  </si>
  <si>
    <t>DCF Model Revenue</t>
  </si>
  <si>
    <t>Segment Total Revenue</t>
  </si>
  <si>
    <t>Difference</t>
  </si>
  <si>
    <t>Segment Scenario Input Matrix</t>
  </si>
  <si>
    <t>Future Society Solutions - Revenue Growth (YoY)</t>
  </si>
  <si>
    <t>Future Society Solutions - OP Margin</t>
  </si>
  <si>
    <t>Industrial Technology Solutions - Revenue Growth (YoY)</t>
  </si>
  <si>
    <t>Industrial Technology Solutions - OP Margin</t>
  </si>
  <si>
    <t>Customer Business Integration - Revenue Growth (YoY)</t>
  </si>
  <si>
    <t>Customer Business Integration - OP Margin</t>
  </si>
  <si>
    <t>Consolidated Inputs (連結レベル)</t>
  </si>
  <si>
    <t>Driver Analysis - 株式会社コア</t>
  </si>
  <si>
    <t>Future Society Solutions (未来社会ソリューション) [manual]</t>
  </si>
  <si>
    <t>Revenue (Direct Input)</t>
  </si>
  <si>
    <t>YoY Growth</t>
  </si>
  <si>
    <t>Industrial Technology Solutions (産業技術ソリューション) [manmonth]</t>
  </si>
  <si>
    <t>Headcount</t>
  </si>
  <si>
    <t>× Utilization</t>
  </si>
  <si>
    <t>× Unit Price (JPY mn/month)</t>
  </si>
  <si>
    <t>Layer 1 Revenue</t>
  </si>
  <si>
    <t>+ Layer 2 (Solution) Revenue</t>
  </si>
  <si>
    <t>Segment Revenue</t>
  </si>
  <si>
    <t>Layer 2 Mix %</t>
  </si>
  <si>
    <t>Customer Business Integration (顧客業務インテグレーション) [manual]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</si>
</sst>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  <numFmt numFmtId="182" formatCode="#,##0.0;\(#,##0.0\)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i/>
      <sz val="10"/>
      <color rgb="FF808080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6CCE6"/>
        <bgColor rgb="FFE6CCE6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0" fontId="6" fillId="3" borderId="0" xfId="0" applyFont="1" applyFill="1" applyAlignment="1">
      <alignment horizontal="center"/>
    </xf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1" fillId="0" borderId="5" xfId="0" applyFont="1" applyBorder="1"/>
    <xf numFmtId="0" fontId="8" fillId="0" borderId="0" xfId="0" applyFont="1"/>
    <xf numFmtId="177" fontId="5" fillId="0" borderId="5" xfId="0" applyNumberFormat="1" applyFont="1" applyBorder="1"/>
    <xf numFmtId="0" fontId="3" fillId="6" borderId="0" xfId="0" applyFont="1" applyFill="1"/>
    <xf numFmtId="0" fontId="0" fillId="6" borderId="0" xfId="0" applyFill="1"/>
    <xf numFmtId="176" fontId="7" fillId="0" borderId="5" xfId="0" applyNumberFormat="1" applyFont="1" applyBorder="1"/>
    <xf numFmtId="0" fontId="3" fillId="7" borderId="0" xfId="0" applyFont="1" applyFill="1"/>
    <xf numFmtId="0" fontId="0" fillId="7" borderId="0" xfId="0" applyFill="1"/>
    <xf numFmtId="177" fontId="5" fillId="0" borderId="2" xfId="0" applyNumberFormat="1" applyFont="1" applyBorder="1"/>
    <xf numFmtId="0" fontId="3" fillId="8" borderId="0" xfId="0" applyFont="1" applyFill="1"/>
    <xf numFmtId="0" fontId="0" fillId="8" borderId="0" xfId="0" applyFill="1"/>
    <xf numFmtId="176" fontId="5" fillId="0" borderId="2" xfId="0" applyNumberFormat="1" applyFont="1" applyBorder="1"/>
    <xf numFmtId="182" fontId="5" fillId="0" borderId="2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opLeftCell="A6" workbookViewId="0">
      <selection activeCell="C6" sqref="C6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53" t="s">
        <v>0</v>
      </c>
      <c r="C1" s="52"/>
      <c r="D1" s="52"/>
      <c r="E1" s="52"/>
    </row>
    <row r="3" spans="2:5" ht="18" x14ac:dyDescent="0.4">
      <c r="B3" s="51" t="s">
        <v>1</v>
      </c>
      <c r="C3" s="52"/>
      <c r="D3" s="52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2006</v>
      </c>
    </row>
    <row r="10" spans="2:5" ht="14" x14ac:dyDescent="0.3">
      <c r="B10" s="4" t="s">
        <v>10</v>
      </c>
      <c r="C10" s="5">
        <f>ROUND(AVERAGE(C16:C19),0)</f>
        <v>2815</v>
      </c>
    </row>
    <row r="11" spans="2:5" ht="14" x14ac:dyDescent="0.3">
      <c r="B11" s="4" t="s">
        <v>11</v>
      </c>
      <c r="C11" s="6" t="str">
        <f>IF(C12&gt;0.15,"BUY",IF(C12&gt;0.05,"HOLD","SELL"))</f>
        <v>BUY</v>
      </c>
    </row>
    <row r="12" spans="2:5" ht="14" x14ac:dyDescent="0.3">
      <c r="B12" s="4" t="s">
        <v>12</v>
      </c>
      <c r="C12" s="7">
        <f>(C10-C9)/C9</f>
        <v>0.4032901296111665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Model'!C55</f>
        <v>3132</v>
      </c>
      <c r="D16" s="7">
        <f>(C16-C9)/C9</f>
        <v>0.56131605184446665</v>
      </c>
    </row>
    <row r="17" spans="2:4" ht="13.5" x14ac:dyDescent="0.25">
      <c r="B17" t="s">
        <v>18</v>
      </c>
      <c r="C17" s="11">
        <f>'DCF Model'!C64</f>
        <v>3629</v>
      </c>
      <c r="D17" s="7">
        <f>(C17-C9)/C9</f>
        <v>0.80907278165503493</v>
      </c>
    </row>
    <row r="18" spans="2:4" ht="13.5" x14ac:dyDescent="0.25">
      <c r="B18" t="s">
        <v>19</v>
      </c>
      <c r="C18" s="11">
        <f>'Comps Analysis'!C27</f>
        <v>2384</v>
      </c>
      <c r="D18" s="7">
        <f>(C18-C9)/C9</f>
        <v>0.18843469591226322</v>
      </c>
    </row>
    <row r="19" spans="2:4" ht="13.5" x14ac:dyDescent="0.25">
      <c r="B19" t="s">
        <v>20</v>
      </c>
      <c r="C19" s="11">
        <f>'Comps Analysis'!C28</f>
        <v>2114</v>
      </c>
      <c r="D19" s="7">
        <f>(C19-C9)/C9</f>
        <v>5.3838484546360914E-2</v>
      </c>
    </row>
    <row r="21" spans="2:4" ht="14" x14ac:dyDescent="0.3">
      <c r="B21" s="4" t="s">
        <v>21</v>
      </c>
      <c r="C21" s="6" t="str">
        <f>MIN(C16:C19)&amp;" - "&amp;MAX(C16:C19)</f>
        <v>2114 - 3629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8" t="s">
        <v>26</v>
      </c>
      <c r="C28" s="9"/>
      <c r="D28" s="9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28"/>
  <sheetViews>
    <sheetView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x14ac:dyDescent="0.4">
      <c r="B2" s="2" t="s">
        <v>30</v>
      </c>
    </row>
    <row r="4" spans="2:8" ht="14" x14ac:dyDescent="0.3"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</row>
    <row r="5" spans="2:8" ht="14" x14ac:dyDescent="0.3">
      <c r="B5" s="3" t="s">
        <v>37</v>
      </c>
    </row>
    <row r="6" spans="2:8" ht="14" x14ac:dyDescent="0.3">
      <c r="B6" s="4" t="s">
        <v>38</v>
      </c>
      <c r="C6" s="5">
        <v>20997.366999999998</v>
      </c>
      <c r="D6" s="5">
        <v>20785.261999999999</v>
      </c>
      <c r="E6" s="5">
        <v>21798.077000000001</v>
      </c>
      <c r="F6" s="5">
        <v>22848.129000000001</v>
      </c>
      <c r="G6" s="5">
        <v>23998.562000000002</v>
      </c>
      <c r="H6" s="5">
        <v>24599.166000000001</v>
      </c>
    </row>
    <row r="7" spans="2:8" ht="14" x14ac:dyDescent="0.3">
      <c r="B7" s="4" t="s">
        <v>39</v>
      </c>
      <c r="C7" s="5">
        <v>15781.968999999999</v>
      </c>
      <c r="D7" s="5">
        <v>15524.609</v>
      </c>
      <c r="E7" s="5">
        <v>16231.035</v>
      </c>
      <c r="F7" s="5">
        <v>16853.21</v>
      </c>
      <c r="G7" s="5">
        <v>17407.88</v>
      </c>
      <c r="H7" s="5">
        <v>17821.474999999999</v>
      </c>
    </row>
    <row r="8" spans="2:8" ht="14" x14ac:dyDescent="0.3">
      <c r="B8" s="4" t="s">
        <v>40</v>
      </c>
      <c r="C8" s="5">
        <f t="shared" ref="C8:H8" si="0">C6-C7</f>
        <v>5215.3979999999992</v>
      </c>
      <c r="D8" s="5">
        <f t="shared" si="0"/>
        <v>5260.6529999999984</v>
      </c>
      <c r="E8" s="5">
        <f t="shared" si="0"/>
        <v>5567.0420000000013</v>
      </c>
      <c r="F8" s="5">
        <f t="shared" si="0"/>
        <v>5994.9190000000017</v>
      </c>
      <c r="G8" s="5">
        <f t="shared" si="0"/>
        <v>6590.6820000000007</v>
      </c>
      <c r="H8" s="5">
        <f t="shared" si="0"/>
        <v>6777.6910000000025</v>
      </c>
    </row>
    <row r="9" spans="2:8" ht="13.5" x14ac:dyDescent="0.25">
      <c r="B9" t="s">
        <v>41</v>
      </c>
      <c r="C9" s="7">
        <f t="shared" ref="C9:H9" si="1">C8/C6</f>
        <v>0.24838342826507723</v>
      </c>
      <c r="D9" s="7">
        <f t="shared" si="1"/>
        <v>0.25309534226703512</v>
      </c>
      <c r="E9" s="7">
        <f t="shared" si="1"/>
        <v>0.25539142741811588</v>
      </c>
      <c r="F9" s="7">
        <f t="shared" si="1"/>
        <v>0.26238117790739018</v>
      </c>
      <c r="G9" s="7">
        <f t="shared" si="1"/>
        <v>0.27462820480660466</v>
      </c>
      <c r="H9" s="7">
        <f t="shared" si="1"/>
        <v>0.27552523528643214</v>
      </c>
    </row>
    <row r="10" spans="2:8" ht="14" x14ac:dyDescent="0.3">
      <c r="B10" s="4" t="s">
        <v>42</v>
      </c>
      <c r="C10" s="5">
        <v>3414.6729999999998</v>
      </c>
      <c r="D10" s="5">
        <v>3228.5680000000002</v>
      </c>
      <c r="E10" s="5">
        <v>3199.384</v>
      </c>
      <c r="F10" s="5">
        <v>3251.0509999999999</v>
      </c>
      <c r="G10" s="5">
        <v>3450.098</v>
      </c>
      <c r="H10" s="5">
        <v>3602.2289999999998</v>
      </c>
    </row>
    <row r="11" spans="2:8" ht="14" x14ac:dyDescent="0.3">
      <c r="B11" s="4" t="s">
        <v>43</v>
      </c>
      <c r="C11" s="5">
        <v>1800.7239999999999</v>
      </c>
      <c r="D11" s="5">
        <v>2032.0840000000001</v>
      </c>
      <c r="E11" s="5">
        <v>2367.6579999999999</v>
      </c>
      <c r="F11" s="5">
        <v>2743.8670000000002</v>
      </c>
      <c r="G11" s="5">
        <v>3140.5830000000001</v>
      </c>
      <c r="H11" s="5">
        <v>3175.462</v>
      </c>
    </row>
    <row r="12" spans="2:8" ht="14" x14ac:dyDescent="0.3">
      <c r="B12" s="4" t="s">
        <v>44</v>
      </c>
      <c r="C12" s="5">
        <v>1172.7349999999999</v>
      </c>
      <c r="D12" s="5">
        <v>1423.3579999999999</v>
      </c>
      <c r="E12" s="5">
        <v>1622.7159999999999</v>
      </c>
      <c r="F12" s="5">
        <v>1968.404</v>
      </c>
      <c r="G12" s="5">
        <v>2270.7040000000002</v>
      </c>
      <c r="H12" s="5">
        <v>2242.34</v>
      </c>
    </row>
    <row r="13" spans="2:8" ht="13.5" x14ac:dyDescent="0.25">
      <c r="B13" t="s">
        <v>45</v>
      </c>
      <c r="C13" s="7">
        <f t="shared" ref="C13:H13" si="2">C11/C6</f>
        <v>8.5759514514367446E-2</v>
      </c>
      <c r="D13" s="7">
        <f t="shared" si="2"/>
        <v>9.7765618735044094E-2</v>
      </c>
      <c r="E13" s="7">
        <f t="shared" si="2"/>
        <v>0.1086177464186405</v>
      </c>
      <c r="F13" s="7">
        <f t="shared" si="2"/>
        <v>0.12009154009941034</v>
      </c>
      <c r="G13" s="7">
        <f t="shared" si="2"/>
        <v>0.13086546602250584</v>
      </c>
      <c r="H13" s="7">
        <f t="shared" si="2"/>
        <v>0.12908819754295733</v>
      </c>
    </row>
    <row r="14" spans="2:8" ht="13.5" x14ac:dyDescent="0.25">
      <c r="B14" t="s">
        <v>46</v>
      </c>
      <c r="C14" s="7">
        <f t="shared" ref="C14:H14" si="3">C12/C6</f>
        <v>5.5851526527111707E-2</v>
      </c>
      <c r="D14" s="7">
        <f t="shared" si="3"/>
        <v>6.8479194536975291E-2</v>
      </c>
      <c r="E14" s="7">
        <f t="shared" si="3"/>
        <v>7.4443080460721373E-2</v>
      </c>
      <c r="F14" s="7">
        <f t="shared" si="3"/>
        <v>8.615164944140502E-2</v>
      </c>
      <c r="G14" s="7">
        <f t="shared" si="3"/>
        <v>9.4618335881958268E-2</v>
      </c>
      <c r="H14" s="7">
        <f t="shared" si="3"/>
        <v>9.1155122901321134E-2</v>
      </c>
    </row>
    <row r="15" spans="2:8" ht="13.5" x14ac:dyDescent="0.25">
      <c r="B15" t="s">
        <v>47</v>
      </c>
      <c r="C15" t="s">
        <v>48</v>
      </c>
      <c r="D15" s="7">
        <f>(D6-C6)/C6</f>
        <v>-1.0101504631509254E-2</v>
      </c>
      <c r="E15" s="7">
        <f>(E6-D6)/D6</f>
        <v>4.8727555130168791E-2</v>
      </c>
      <c r="F15" s="7">
        <f>(F6-E6)/E6</f>
        <v>4.8171772216420723E-2</v>
      </c>
      <c r="G15" s="7">
        <f>(G6-F6)/F6</f>
        <v>5.0351300099890056E-2</v>
      </c>
      <c r="H15" s="7">
        <f>(H6-G6)/G6</f>
        <v>2.5026666181081989E-2</v>
      </c>
    </row>
    <row r="16" spans="2:8" ht="13.5" x14ac:dyDescent="0.25">
      <c r="B16" t="s">
        <v>49</v>
      </c>
      <c r="C16" t="s">
        <v>48</v>
      </c>
      <c r="D16" s="7">
        <f>(D11-C11)/C11</f>
        <v>0.12848165515648158</v>
      </c>
      <c r="E16" s="7">
        <f>(E11-D11)/D11</f>
        <v>0.16513785847435433</v>
      </c>
      <c r="F16" s="7">
        <f>(F11-E11)/E11</f>
        <v>0.15889499243556304</v>
      </c>
      <c r="G16" s="7">
        <f>(G11-F11)/F11</f>
        <v>0.14458280958953182</v>
      </c>
      <c r="H16" s="7">
        <f>(H11-G11)/G11</f>
        <v>1.1105899764470451E-2</v>
      </c>
    </row>
    <row r="18" spans="2:8" ht="14" x14ac:dyDescent="0.3">
      <c r="B18" s="3" t="s">
        <v>50</v>
      </c>
    </row>
    <row r="19" spans="2:8" ht="14" x14ac:dyDescent="0.3">
      <c r="B19" s="4" t="s">
        <v>51</v>
      </c>
      <c r="C19" s="5">
        <v>1325.7260000000001</v>
      </c>
      <c r="D19" s="5">
        <v>1851.105</v>
      </c>
      <c r="E19" s="5">
        <v>1799.231</v>
      </c>
      <c r="F19" s="5">
        <v>1943.7950000000001</v>
      </c>
      <c r="G19" s="5">
        <v>2190.0940000000001</v>
      </c>
      <c r="H19" s="5">
        <v>2372.799</v>
      </c>
    </row>
    <row r="20" spans="2:8" ht="14" x14ac:dyDescent="0.3">
      <c r="B20" s="4" t="s">
        <v>52</v>
      </c>
      <c r="C20" s="5">
        <v>166.49299999999999</v>
      </c>
      <c r="D20" s="5">
        <v>93.543000000000006</v>
      </c>
      <c r="E20" s="5">
        <v>72.084000000000003</v>
      </c>
      <c r="F20" s="5">
        <v>85.454999999999998</v>
      </c>
      <c r="G20" s="5">
        <v>93.4</v>
      </c>
      <c r="H20" s="5">
        <v>95.32</v>
      </c>
    </row>
    <row r="21" spans="2:8" ht="14" x14ac:dyDescent="0.3">
      <c r="B21" s="4" t="s">
        <v>53</v>
      </c>
      <c r="C21" s="5">
        <f t="shared" ref="C21:H21" si="4">C19-C20</f>
        <v>1159.2330000000002</v>
      </c>
      <c r="D21" s="5">
        <f t="shared" si="4"/>
        <v>1757.5619999999999</v>
      </c>
      <c r="E21" s="5">
        <f t="shared" si="4"/>
        <v>1727.1469999999999</v>
      </c>
      <c r="F21" s="5">
        <f t="shared" si="4"/>
        <v>1858.3400000000001</v>
      </c>
      <c r="G21" s="5">
        <f t="shared" si="4"/>
        <v>2096.694</v>
      </c>
      <c r="H21" s="5">
        <f t="shared" si="4"/>
        <v>2277.4789999999998</v>
      </c>
    </row>
    <row r="22" spans="2:8" ht="13.5" x14ac:dyDescent="0.25">
      <c r="B22" t="s">
        <v>54</v>
      </c>
      <c r="C22" s="7">
        <f t="shared" ref="C22:H22" si="5">C21/C6</f>
        <v>5.5208493522068754E-2</v>
      </c>
      <c r="D22" s="7">
        <f t="shared" si="5"/>
        <v>8.4558087360168954E-2</v>
      </c>
      <c r="E22" s="7">
        <f t="shared" si="5"/>
        <v>7.9233915909187769E-2</v>
      </c>
      <c r="F22" s="7">
        <f t="shared" si="5"/>
        <v>8.1334449748598672E-2</v>
      </c>
      <c r="G22" s="7">
        <f t="shared" si="5"/>
        <v>8.7367484768462372E-2</v>
      </c>
      <c r="H22" s="7">
        <f t="shared" si="5"/>
        <v>9.258358596384933E-2</v>
      </c>
    </row>
    <row r="23" spans="2:8" ht="13.5" x14ac:dyDescent="0.25">
      <c r="B23" t="s">
        <v>55</v>
      </c>
      <c r="C23" s="7">
        <f t="shared" ref="C23:H23" si="6">C20/C6</f>
        <v>7.9292322699317502E-3</v>
      </c>
      <c r="D23" s="7">
        <f t="shared" si="6"/>
        <v>4.5004484427475589E-3</v>
      </c>
      <c r="E23" s="7">
        <f t="shared" si="6"/>
        <v>3.3068972093272266E-3</v>
      </c>
      <c r="F23" s="7">
        <f t="shared" si="6"/>
        <v>3.7401311941122179E-3</v>
      </c>
      <c r="G23" s="7">
        <f t="shared" si="6"/>
        <v>3.8918998563330586E-3</v>
      </c>
      <c r="H23" s="7">
        <f t="shared" si="6"/>
        <v>3.8749281174817059E-3</v>
      </c>
    </row>
    <row r="25" spans="2:8" ht="14" x14ac:dyDescent="0.3">
      <c r="B25" s="3" t="s">
        <v>56</v>
      </c>
    </row>
    <row r="26" spans="2:8" ht="14" x14ac:dyDescent="0.3">
      <c r="B26" s="4" t="s">
        <v>57</v>
      </c>
      <c r="C26" s="5">
        <v>2658.886</v>
      </c>
      <c r="D26" s="5">
        <v>3636.2190000000001</v>
      </c>
      <c r="E26" s="5">
        <v>4700.2349999999997</v>
      </c>
      <c r="F26" s="5">
        <v>5586.9340000000002</v>
      </c>
      <c r="G26" s="5">
        <v>6300.0749999999998</v>
      </c>
      <c r="H26" s="5">
        <v>7586.0709999999999</v>
      </c>
    </row>
    <row r="27" spans="2:8" ht="14" x14ac:dyDescent="0.3">
      <c r="B27" s="4" t="s">
        <v>58</v>
      </c>
      <c r="C27" s="5">
        <v>2592.9</v>
      </c>
      <c r="D27" s="5">
        <v>2109.6999999999998</v>
      </c>
      <c r="E27" s="5">
        <v>1963.6</v>
      </c>
      <c r="F27" s="5">
        <v>1812</v>
      </c>
      <c r="G27" s="5">
        <v>1734.8</v>
      </c>
      <c r="H27" s="5">
        <v>1412.4</v>
      </c>
    </row>
    <row r="28" spans="2:8" ht="14" x14ac:dyDescent="0.3">
      <c r="B28" s="4" t="s">
        <v>59</v>
      </c>
      <c r="C28" s="5">
        <f t="shared" ref="C28:H28" si="7">C27-C26</f>
        <v>-65.985999999999876</v>
      </c>
      <c r="D28" s="5">
        <f t="shared" si="7"/>
        <v>-1526.5190000000002</v>
      </c>
      <c r="E28" s="5">
        <f t="shared" si="7"/>
        <v>-2736.6349999999998</v>
      </c>
      <c r="F28" s="5">
        <f t="shared" si="7"/>
        <v>-3774.9340000000002</v>
      </c>
      <c r="G28" s="5">
        <f t="shared" si="7"/>
        <v>-4565.2749999999996</v>
      </c>
      <c r="H28" s="5">
        <f t="shared" si="7"/>
        <v>-6173.6710000000003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66"/>
  <sheetViews>
    <sheetView tabSelected="1" topLeftCell="A24" workbookViewId="0">
      <selection activeCell="C31" sqref="C31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55</v>
      </c>
      <c r="C5" s="7">
        <v>4.309089178064004E-3</v>
      </c>
    </row>
    <row r="6" spans="2:7" ht="14" x14ac:dyDescent="0.3">
      <c r="B6" s="4" t="s">
        <v>62</v>
      </c>
      <c r="C6" s="7">
        <v>0.30620000000000003</v>
      </c>
    </row>
    <row r="7" spans="2:7" ht="14" x14ac:dyDescent="0.3">
      <c r="B7" s="4" t="s">
        <v>63</v>
      </c>
      <c r="C7" s="7">
        <v>2.3E-2</v>
      </c>
    </row>
    <row r="8" spans="2:7" ht="14" x14ac:dyDescent="0.3">
      <c r="B8" s="4" t="s">
        <v>64</v>
      </c>
      <c r="C8" s="12">
        <v>0.9</v>
      </c>
    </row>
    <row r="9" spans="2:7" ht="14" x14ac:dyDescent="0.3">
      <c r="B9" s="4" t="s">
        <v>65</v>
      </c>
      <c r="C9" s="7">
        <v>6.5000000000000002E-2</v>
      </c>
    </row>
    <row r="10" spans="2:7" ht="14" x14ac:dyDescent="0.3">
      <c r="B10" s="4" t="s">
        <v>66</v>
      </c>
      <c r="C10" s="7">
        <v>0.04</v>
      </c>
    </row>
    <row r="11" spans="2:7" ht="14" x14ac:dyDescent="0.3">
      <c r="B11" s="4" t="s">
        <v>67</v>
      </c>
      <c r="C11" s="7">
        <v>5.0000000000000001E-3</v>
      </c>
    </row>
    <row r="12" spans="2:7" ht="14" x14ac:dyDescent="0.3">
      <c r="B12" s="4" t="s">
        <v>68</v>
      </c>
      <c r="C12" s="13">
        <v>0</v>
      </c>
    </row>
    <row r="13" spans="2:7" ht="14" x14ac:dyDescent="0.3">
      <c r="B13" s="4" t="s">
        <v>69</v>
      </c>
      <c r="C13" s="7">
        <v>0.02</v>
      </c>
    </row>
    <row r="14" spans="2:7" ht="14" x14ac:dyDescent="0.3">
      <c r="B14" s="4" t="s">
        <v>70</v>
      </c>
      <c r="C14" s="14">
        <v>8</v>
      </c>
    </row>
    <row r="15" spans="2:7" ht="14" x14ac:dyDescent="0.3">
      <c r="B15" s="4" t="s">
        <v>71</v>
      </c>
      <c r="C15" s="15">
        <v>14366101</v>
      </c>
    </row>
    <row r="16" spans="2:7" ht="14" x14ac:dyDescent="0.3">
      <c r="B16" s="4" t="s">
        <v>72</v>
      </c>
      <c r="C16" s="5">
        <v>-7296.8</v>
      </c>
    </row>
    <row r="17" spans="2:7" ht="14" x14ac:dyDescent="0.3">
      <c r="B17" s="4" t="s">
        <v>73</v>
      </c>
      <c r="C17" s="5">
        <v>24599.166000000001</v>
      </c>
    </row>
    <row r="18" spans="2:7" ht="14" x14ac:dyDescent="0.3">
      <c r="B18" s="4" t="s">
        <v>74</v>
      </c>
      <c r="C18" s="7">
        <v>8.7401337102241596E-3</v>
      </c>
    </row>
    <row r="19" spans="2:7" ht="14" x14ac:dyDescent="0.3">
      <c r="B19" s="4" t="s">
        <v>75</v>
      </c>
      <c r="C19" s="12">
        <v>0</v>
      </c>
    </row>
    <row r="20" spans="2:7" ht="14" x14ac:dyDescent="0.3">
      <c r="B20" s="4" t="s">
        <v>76</v>
      </c>
      <c r="C20" s="5">
        <v>26532</v>
      </c>
    </row>
    <row r="22" spans="2:7" ht="14" x14ac:dyDescent="0.3">
      <c r="B22" s="8" t="s">
        <v>77</v>
      </c>
      <c r="C22" s="9"/>
      <c r="D22" s="9"/>
      <c r="E22" s="9"/>
      <c r="F22" s="9"/>
      <c r="G22" s="9"/>
    </row>
    <row r="23" spans="2:7" ht="14" x14ac:dyDescent="0.3">
      <c r="B23" s="4" t="s">
        <v>78</v>
      </c>
      <c r="C23" s="16">
        <f>C7+C8*C9+C10</f>
        <v>0.1215</v>
      </c>
    </row>
    <row r="24" spans="2:7" ht="14" x14ac:dyDescent="0.3">
      <c r="B24" s="4" t="s">
        <v>79</v>
      </c>
      <c r="C24" s="16">
        <f>1/(1+C12)</f>
        <v>1</v>
      </c>
    </row>
    <row r="25" spans="2:7" ht="14" x14ac:dyDescent="0.3">
      <c r="B25" s="4" t="s">
        <v>80</v>
      </c>
      <c r="C25" s="16">
        <f>C12/(1+C12)</f>
        <v>0</v>
      </c>
    </row>
    <row r="26" spans="2:7" ht="14" x14ac:dyDescent="0.3">
      <c r="B26" s="4" t="s">
        <v>81</v>
      </c>
      <c r="C26" s="16">
        <f>C23*C24+C11*C25</f>
        <v>0.1215</v>
      </c>
    </row>
    <row r="27" spans="2:7" ht="14" x14ac:dyDescent="0.3">
      <c r="B27" s="4" t="s">
        <v>82</v>
      </c>
      <c r="C27" s="17" t="s">
        <v>133</v>
      </c>
      <c r="D27" s="6">
        <f>MATCH(C27,{"Base","Upside","Management","Downside 1","Downside 2"},0)</f>
        <v>3</v>
      </c>
    </row>
    <row r="28" spans="2:7" ht="14" x14ac:dyDescent="0.3">
      <c r="B28" s="8" t="s">
        <v>84</v>
      </c>
      <c r="C28" s="9"/>
      <c r="D28" s="9"/>
      <c r="E28" s="9"/>
      <c r="F28" s="9"/>
      <c r="G28" s="9"/>
    </row>
    <row r="29" spans="2:7" ht="14" x14ac:dyDescent="0.3">
      <c r="C29" s="10" t="s">
        <v>85</v>
      </c>
      <c r="D29" s="10" t="s">
        <v>86</v>
      </c>
      <c r="E29" s="10" t="s">
        <v>87</v>
      </c>
      <c r="F29" s="10" t="s">
        <v>88</v>
      </c>
      <c r="G29" s="10" t="s">
        <v>89</v>
      </c>
    </row>
    <row r="30" spans="2:7" ht="14" x14ac:dyDescent="0.3">
      <c r="B30" s="4" t="s">
        <v>47</v>
      </c>
      <c r="C30" s="18">
        <f>(C33/C17)-1</f>
        <v>0.18081348774182016</v>
      </c>
      <c r="D30" s="18">
        <f>(D33/C33)-1</f>
        <v>9.6818851271767148E-2</v>
      </c>
      <c r="E30" s="18">
        <f>(E33/D33)-1</f>
        <v>9.8868133024589744E-2</v>
      </c>
      <c r="F30" s="18">
        <f>(F33/E33)-1</f>
        <v>5.9284249634736108E-2</v>
      </c>
      <c r="G30" s="18">
        <f>(G33/F33)-1</f>
        <v>4.195169864729742E-2</v>
      </c>
    </row>
    <row r="31" spans="2:7" ht="14" x14ac:dyDescent="0.3">
      <c r="B31" s="4" t="s">
        <v>90</v>
      </c>
      <c r="C31" s="18">
        <f>IFERROR(C34/C33,0)</f>
        <v>0.71204362146941913</v>
      </c>
      <c r="D31" s="18">
        <f>IFERROR(D34/D33,0)</f>
        <v>0.7115596224737013</v>
      </c>
      <c r="E31" s="18">
        <f>IFERROR(E34/E33,0)</f>
        <v>0.70808212820333516</v>
      </c>
      <c r="F31" s="18">
        <f>IFERROR(F34/F33,0)</f>
        <v>0.70351415399270312</v>
      </c>
      <c r="G31" s="18">
        <f>IFERROR(G34/G33,0)</f>
        <v>0.70115054949861666</v>
      </c>
    </row>
    <row r="32" spans="2:7" ht="14" x14ac:dyDescent="0.3">
      <c r="B32" s="4" t="s">
        <v>91</v>
      </c>
      <c r="C32" s="18">
        <f>CHOOSE($D$27,'Segment Analysis'!G79,'Segment Analysis'!G80,'Segment Analysis'!G81,'Segment Analysis'!G82,'Segment Analysis'!G83)</f>
        <v>0.14599999999999999</v>
      </c>
      <c r="D32" s="18">
        <f>CHOOSE($D$27,'Segment Analysis'!H79,'Segment Analysis'!H80,'Segment Analysis'!H81,'Segment Analysis'!H82,'Segment Analysis'!H83)</f>
        <v>0.14299999999999999</v>
      </c>
      <c r="E32" s="18">
        <f>CHOOSE($D$27,'Segment Analysis'!I79,'Segment Analysis'!I80,'Segment Analysis'!I81,'Segment Analysis'!I82,'Segment Analysis'!I83)</f>
        <v>0.14000000000000001</v>
      </c>
      <c r="F32" s="18">
        <f>CHOOSE($D$27,'Segment Analysis'!J79,'Segment Analysis'!J80,'Segment Analysis'!J81,'Segment Analysis'!J82,'Segment Analysis'!J83)</f>
        <v>0.13800000000000001</v>
      </c>
      <c r="G32" s="18">
        <f>CHOOSE($D$27,'Segment Analysis'!K79,'Segment Analysis'!K80,'Segment Analysis'!K81,'Segment Analysis'!K82,'Segment Analysis'!K83)</f>
        <v>0.13500000000000001</v>
      </c>
    </row>
    <row r="33" spans="2:7" ht="14" x14ac:dyDescent="0.3">
      <c r="B33" s="4" t="s">
        <v>38</v>
      </c>
      <c r="C33" s="5">
        <f>'Segment Analysis'!G21</f>
        <v>29047.027000000002</v>
      </c>
      <c r="D33" s="5">
        <f>'Segment Analysis'!H21</f>
        <v>31859.326787000005</v>
      </c>
      <c r="E33" s="5">
        <f>'Segment Analysis'!I21</f>
        <v>35009.198945851</v>
      </c>
      <c r="F33" s="5">
        <f>'Segment Analysis'!J21</f>
        <v>37084.69303566897</v>
      </c>
      <c r="G33" s="5">
        <f>'Segment Analysis'!K21</f>
        <v>38640.458902328886</v>
      </c>
    </row>
    <row r="34" spans="2:7" ht="14" x14ac:dyDescent="0.3">
      <c r="B34" s="4" t="s">
        <v>39</v>
      </c>
      <c r="C34" s="5">
        <f>C33-C37-C39</f>
        <v>20682.750297999999</v>
      </c>
      <c r="D34" s="5">
        <f>D33-D37-D39</f>
        <v>22669.810540824004</v>
      </c>
      <c r="E34" s="5">
        <f>E33-E37-E39</f>
        <v>24789.388096272134</v>
      </c>
      <c r="F34" s="5">
        <f>F33-F37-F39</f>
        <v>26089.606447067745</v>
      </c>
      <c r="G34" s="5">
        <f>G33-G37-G39</f>
        <v>27092.778992246611</v>
      </c>
    </row>
    <row r="35" spans="2:7" ht="14" x14ac:dyDescent="0.3">
      <c r="B35" s="4" t="s">
        <v>40</v>
      </c>
      <c r="C35" s="19">
        <f>C33-C34</f>
        <v>8364.2767020000028</v>
      </c>
      <c r="D35" s="19">
        <f>D33-D34</f>
        <v>9189.516246176001</v>
      </c>
      <c r="E35" s="19">
        <f>E33-E34</f>
        <v>10219.810849578866</v>
      </c>
      <c r="F35" s="19">
        <f>F33-F34</f>
        <v>10995.086588601225</v>
      </c>
      <c r="G35" s="19">
        <f>G33-G34</f>
        <v>11547.679910082275</v>
      </c>
    </row>
    <row r="36" spans="2:7" ht="14" x14ac:dyDescent="0.3">
      <c r="B36" s="4" t="s">
        <v>41</v>
      </c>
      <c r="C36" s="7">
        <f>C35/C33</f>
        <v>0.28795637853058087</v>
      </c>
      <c r="D36" s="7">
        <f>D35/D33</f>
        <v>0.28844037752629864</v>
      </c>
      <c r="E36" s="7">
        <f>E35/E33</f>
        <v>0.29191787179666484</v>
      </c>
      <c r="F36" s="7">
        <f>F35/F33</f>
        <v>0.29648584600729688</v>
      </c>
      <c r="G36" s="7">
        <f>G35/G33</f>
        <v>0.2988494505013834</v>
      </c>
    </row>
    <row r="37" spans="2:7" ht="14" x14ac:dyDescent="0.3">
      <c r="B37" s="4" t="s">
        <v>92</v>
      </c>
      <c r="C37" s="5">
        <f>C33*C32</f>
        <v>4240.8659420000004</v>
      </c>
      <c r="D37" s="5">
        <f>D33*D32</f>
        <v>4555.8837305410007</v>
      </c>
      <c r="E37" s="5">
        <f>E33*E32</f>
        <v>4901.2878524191401</v>
      </c>
      <c r="F37" s="5">
        <f>F33*F32</f>
        <v>5117.687638922318</v>
      </c>
      <c r="G37" s="5">
        <f>G33*G32</f>
        <v>5216.4619518144</v>
      </c>
    </row>
    <row r="38" spans="2:7" ht="14" x14ac:dyDescent="0.3">
      <c r="B38" s="4" t="s">
        <v>93</v>
      </c>
      <c r="C38" s="7">
        <f>C39/C33</f>
        <v>0.1419563785305808</v>
      </c>
      <c r="D38" s="7">
        <f>D39/D33</f>
        <v>0.14544037752629865</v>
      </c>
      <c r="E38" s="7">
        <f>E39/E33</f>
        <v>0.15191787179666483</v>
      </c>
      <c r="F38" s="7">
        <f>F39/F33</f>
        <v>0.1584858460072969</v>
      </c>
      <c r="G38" s="7">
        <f>G39/G33</f>
        <v>0.16384945050138328</v>
      </c>
    </row>
    <row r="39" spans="2:7" ht="14" x14ac:dyDescent="0.3">
      <c r="B39" s="4" t="s">
        <v>94</v>
      </c>
      <c r="C39" s="19">
        <f>'Segment Analysis'!G22</f>
        <v>4123.4107600000007</v>
      </c>
      <c r="D39" s="19">
        <f>'Segment Analysis'!H22</f>
        <v>4633.6325156350003</v>
      </c>
      <c r="E39" s="19">
        <f>'Segment Analysis'!I22</f>
        <v>5318.5229971597255</v>
      </c>
      <c r="F39" s="19">
        <f>'Segment Analysis'!J22</f>
        <v>5877.3989496789081</v>
      </c>
      <c r="G39" s="19">
        <f>'Segment Analysis'!K22</f>
        <v>6331.2179582678718</v>
      </c>
    </row>
    <row r="40" spans="2:7" ht="14" x14ac:dyDescent="0.3">
      <c r="B40" s="4" t="s">
        <v>95</v>
      </c>
      <c r="C40" s="5">
        <f>MAX(0,C39*C6)</f>
        <v>1262.5883747120004</v>
      </c>
      <c r="D40" s="5">
        <f>MAX(0,D39*C6)</f>
        <v>1418.8182762874371</v>
      </c>
      <c r="E40" s="5">
        <f>MAX(0,E39*C6)</f>
        <v>1628.5317417303081</v>
      </c>
      <c r="F40" s="5">
        <f>MAX(0,F39*C6)</f>
        <v>1799.6595583916819</v>
      </c>
      <c r="G40" s="5">
        <f>MAX(0,G39*C6)</f>
        <v>1938.6189388216226</v>
      </c>
    </row>
    <row r="41" spans="2:7" ht="14" x14ac:dyDescent="0.3">
      <c r="B41" s="4" t="s">
        <v>96</v>
      </c>
      <c r="C41" s="19">
        <f>C39-C40</f>
        <v>2860.8223852880001</v>
      </c>
      <c r="D41" s="19">
        <f>D39-D40</f>
        <v>3214.8142393475632</v>
      </c>
      <c r="E41" s="19">
        <f>E39-E40</f>
        <v>3689.9912554294174</v>
      </c>
      <c r="F41" s="19">
        <f>F39-F40</f>
        <v>4077.7393912872262</v>
      </c>
      <c r="G41" s="19">
        <f>G39-G40</f>
        <v>4392.5990194462493</v>
      </c>
    </row>
    <row r="42" spans="2:7" ht="14" x14ac:dyDescent="0.3">
      <c r="B42" s="4" t="s">
        <v>97</v>
      </c>
      <c r="C42" s="5">
        <v>210</v>
      </c>
      <c r="D42" s="5">
        <v>210</v>
      </c>
      <c r="E42" s="5">
        <v>215</v>
      </c>
      <c r="F42" s="5">
        <v>220</v>
      </c>
      <c r="G42" s="5">
        <v>220</v>
      </c>
    </row>
    <row r="43" spans="2:7" ht="14" x14ac:dyDescent="0.3">
      <c r="B43" s="4" t="s">
        <v>98</v>
      </c>
      <c r="C43" s="5">
        <v>100</v>
      </c>
      <c r="D43" s="5">
        <v>105</v>
      </c>
      <c r="E43" s="5">
        <v>105</v>
      </c>
      <c r="F43" s="5">
        <v>110</v>
      </c>
      <c r="G43" s="5">
        <v>110</v>
      </c>
    </row>
    <row r="44" spans="2:7" ht="14" x14ac:dyDescent="0.3">
      <c r="B44" s="4" t="s">
        <v>99</v>
      </c>
      <c r="C44" s="5">
        <f>'NWC Schedule'!D19</f>
        <v>1179.0969133095896</v>
      </c>
      <c r="D44" s="5">
        <f>'NWC Schedule'!E19</f>
        <v>648.61014099480599</v>
      </c>
      <c r="E44" s="5">
        <f>'NWC Schedule'!F19</f>
        <v>824.02068262977627</v>
      </c>
      <c r="F44" s="5">
        <f>'NWC Schedule'!G19</f>
        <v>550.61777576984605</v>
      </c>
      <c r="G44" s="5">
        <f>'NWC Schedule'!H19</f>
        <v>410.46868727589936</v>
      </c>
    </row>
    <row r="45" spans="2:7" ht="14" x14ac:dyDescent="0.3">
      <c r="B45" s="4" t="s">
        <v>100</v>
      </c>
      <c r="C45" s="20">
        <f>C41+C42-C43-C44</f>
        <v>1791.7254719784105</v>
      </c>
      <c r="D45" s="20">
        <f>D41+D42-D43-D44</f>
        <v>2671.2040983527572</v>
      </c>
      <c r="E45" s="20">
        <f>E41+E42-E43-E44</f>
        <v>2975.9705727996411</v>
      </c>
      <c r="F45" s="20">
        <f>F41+F42-F43-F44</f>
        <v>3637.1216155173806</v>
      </c>
      <c r="G45" s="20">
        <f>G41+G42-G43-G44</f>
        <v>4092.1303321703499</v>
      </c>
    </row>
    <row r="46" spans="2:7" ht="14" x14ac:dyDescent="0.3">
      <c r="B46" s="4" t="s">
        <v>101</v>
      </c>
      <c r="C46" s="21">
        <f>1/(1+C26)^(C19+0)</f>
        <v>1</v>
      </c>
      <c r="D46" s="21">
        <f>1/(1+C26)^(C19+1)</f>
        <v>0.89166295140436924</v>
      </c>
      <c r="E46" s="21">
        <f>1/(1+C26)^(C19+2)</f>
        <v>0.79506281890715047</v>
      </c>
      <c r="F46" s="21">
        <f>1/(1+C26)^(C19+3)</f>
        <v>0.70892805965862726</v>
      </c>
      <c r="G46" s="21">
        <f>1/(1+C26)^(C19+4)</f>
        <v>0.6321248860085843</v>
      </c>
    </row>
    <row r="47" spans="2:7" ht="14" x14ac:dyDescent="0.3">
      <c r="B47" s="4" t="s">
        <v>102</v>
      </c>
      <c r="C47" s="19">
        <f>C45*C46</f>
        <v>1791.7254719784105</v>
      </c>
      <c r="D47" s="19">
        <f>D45*D46</f>
        <v>2381.8137301406664</v>
      </c>
      <c r="E47" s="19">
        <f>E45*E46</f>
        <v>2366.08355259481</v>
      </c>
      <c r="F47" s="19">
        <f>F45*F46</f>
        <v>2578.4575696311886</v>
      </c>
      <c r="G47" s="19">
        <f>G45*G46</f>
        <v>2586.7374197554527</v>
      </c>
    </row>
    <row r="49" spans="2:7" ht="14" x14ac:dyDescent="0.3">
      <c r="B49" s="22" t="s">
        <v>103</v>
      </c>
      <c r="C49" s="23"/>
      <c r="D49" s="23"/>
      <c r="E49" s="23"/>
      <c r="F49" s="23"/>
      <c r="G49" s="23"/>
    </row>
    <row r="50" spans="2:7" ht="14" x14ac:dyDescent="0.3">
      <c r="B50" s="4" t="s">
        <v>104</v>
      </c>
      <c r="C50" s="5">
        <f>SUM(C47:G47)</f>
        <v>11704.817744100528</v>
      </c>
    </row>
    <row r="51" spans="2:7" ht="14" x14ac:dyDescent="0.3">
      <c r="B51" s="4" t="s">
        <v>105</v>
      </c>
      <c r="C51" s="5">
        <f>G45*(1+C13)/(C26-C13)</f>
        <v>41122.88609668726</v>
      </c>
    </row>
    <row r="52" spans="2:7" ht="14" x14ac:dyDescent="0.3">
      <c r="B52" s="4" t="s">
        <v>106</v>
      </c>
      <c r="C52" s="5">
        <f>C51*G46</f>
        <v>25994.799686212431</v>
      </c>
    </row>
    <row r="53" spans="2:7" ht="14" x14ac:dyDescent="0.3">
      <c r="B53" s="4" t="s">
        <v>107</v>
      </c>
      <c r="C53" s="5">
        <f>C50+C52</f>
        <v>37699.617430312959</v>
      </c>
    </row>
    <row r="54" spans="2:7" ht="14" x14ac:dyDescent="0.3">
      <c r="B54" s="4" t="s">
        <v>108</v>
      </c>
      <c r="C54" s="5">
        <f>C53-C16</f>
        <v>44996.417430312962</v>
      </c>
    </row>
    <row r="55" spans="2:7" ht="14" x14ac:dyDescent="0.3">
      <c r="B55" s="4" t="s">
        <v>109</v>
      </c>
      <c r="C55" s="24">
        <f>ROUND(C54*1000000/C15,0)</f>
        <v>3132</v>
      </c>
    </row>
    <row r="57" spans="2:7" ht="14" x14ac:dyDescent="0.3">
      <c r="B57" s="22" t="s">
        <v>110</v>
      </c>
      <c r="C57" s="23"/>
      <c r="D57" s="23"/>
      <c r="E57" s="23"/>
      <c r="F57" s="23"/>
      <c r="G57" s="23"/>
    </row>
    <row r="58" spans="2:7" ht="14" x14ac:dyDescent="0.3">
      <c r="B58" s="4" t="s">
        <v>104</v>
      </c>
      <c r="C58" s="5">
        <f>C50</f>
        <v>11704.817744100528</v>
      </c>
    </row>
    <row r="59" spans="2:7" ht="14" x14ac:dyDescent="0.3">
      <c r="B59" s="4" t="s">
        <v>111</v>
      </c>
      <c r="C59" s="5">
        <f>G39+G42</f>
        <v>6551.2179582678718</v>
      </c>
    </row>
    <row r="60" spans="2:7" ht="14" x14ac:dyDescent="0.3">
      <c r="B60" s="4" t="s">
        <v>112</v>
      </c>
      <c r="C60" s="5">
        <f>C59*C14</f>
        <v>52409.743666142975</v>
      </c>
    </row>
    <row r="61" spans="2:7" ht="14" x14ac:dyDescent="0.3">
      <c r="B61" s="4" t="s">
        <v>106</v>
      </c>
      <c r="C61" s="5">
        <f>C60*G46</f>
        <v>33129.503240699749</v>
      </c>
    </row>
    <row r="62" spans="2:7" ht="14" x14ac:dyDescent="0.3">
      <c r="B62" s="4" t="s">
        <v>107</v>
      </c>
      <c r="C62" s="5">
        <f>C58+C61</f>
        <v>44834.320984800273</v>
      </c>
    </row>
    <row r="63" spans="2:7" ht="14" x14ac:dyDescent="0.3">
      <c r="B63" s="4" t="s">
        <v>108</v>
      </c>
      <c r="C63" s="5">
        <f>C62-C16</f>
        <v>52131.120984800276</v>
      </c>
    </row>
    <row r="64" spans="2:7" ht="14" x14ac:dyDescent="0.3">
      <c r="B64" s="4" t="s">
        <v>113</v>
      </c>
      <c r="C64" s="24">
        <f>ROUND(C63*1000000/C15,0)</f>
        <v>3629</v>
      </c>
    </row>
    <row r="66" spans="2:2" ht="14" x14ac:dyDescent="0.3">
      <c r="B66" s="1" t="s">
        <v>114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115</v>
      </c>
    </row>
    <row r="4" spans="2:8" ht="14" x14ac:dyDescent="0.3">
      <c r="B4" s="8" t="s">
        <v>116</v>
      </c>
      <c r="C4" s="25" t="s">
        <v>117</v>
      </c>
      <c r="D4" s="25" t="s">
        <v>85</v>
      </c>
      <c r="E4" s="25" t="s">
        <v>86</v>
      </c>
      <c r="F4" s="25" t="s">
        <v>87</v>
      </c>
      <c r="G4" s="25" t="s">
        <v>88</v>
      </c>
      <c r="H4" s="25" t="s">
        <v>89</v>
      </c>
    </row>
    <row r="5" spans="2:8" ht="14" x14ac:dyDescent="0.3">
      <c r="B5" s="26" t="s">
        <v>118</v>
      </c>
      <c r="C5" s="27">
        <f>C12/C9*365</f>
        <v>116.89298734761982</v>
      </c>
      <c r="D5" s="27">
        <f>CHOOSE('DCF Model'!$D$27,D25,D26,D27,D28,D29)</f>
        <v>116</v>
      </c>
      <c r="E5" s="27">
        <f>CHOOSE('DCF Model'!$D$27,E25,E26,E27,E28,E29)</f>
        <v>115</v>
      </c>
      <c r="F5" s="27">
        <f>CHOOSE('DCF Model'!$D$27,F25,F26,F27,F28,F29)</f>
        <v>115</v>
      </c>
      <c r="G5" s="27">
        <f>CHOOSE('DCF Model'!$D$27,G25,G26,G27,G28,G29)</f>
        <v>115</v>
      </c>
      <c r="H5" s="27">
        <f>CHOOSE('DCF Model'!$D$27,H25,H26,H27,H28,H29)</f>
        <v>115</v>
      </c>
    </row>
    <row r="6" spans="2:8" ht="14" x14ac:dyDescent="0.3">
      <c r="B6" s="26" t="s">
        <v>119</v>
      </c>
      <c r="C6" s="27">
        <f>C13/C10*365</f>
        <v>5.509364404461472</v>
      </c>
      <c r="D6" s="27">
        <f>CHOOSE('DCF Model'!$D$27,D32,D33,D34,D35,D36)</f>
        <v>6</v>
      </c>
      <c r="E6" s="27">
        <f>CHOOSE('DCF Model'!$D$27,E32,E33,E34,E35,E36)</f>
        <v>6</v>
      </c>
      <c r="F6" s="27">
        <f>CHOOSE('DCF Model'!$D$27,F32,F33,F34,F35,F36)</f>
        <v>6</v>
      </c>
      <c r="G6" s="27">
        <f>CHOOSE('DCF Model'!$D$27,G32,G33,G34,G35,G36)</f>
        <v>6</v>
      </c>
      <c r="H6" s="27">
        <f>CHOOSE('DCF Model'!$D$27,H32,H33,H34,H35,H36)</f>
        <v>6</v>
      </c>
    </row>
    <row r="7" spans="2:8" ht="14" x14ac:dyDescent="0.3">
      <c r="B7" s="26" t="s">
        <v>120</v>
      </c>
      <c r="C7" s="27">
        <f>C15/C10*365</f>
        <v>35.595819089048469</v>
      </c>
      <c r="D7" s="27">
        <f>CHOOSE('DCF Model'!$D$27,D39,D40,D41,D42,D43)</f>
        <v>35</v>
      </c>
      <c r="E7" s="27">
        <f>CHOOSE('DCF Model'!$D$27,E39,E40,E41,E42,E43)</f>
        <v>35</v>
      </c>
      <c r="F7" s="27">
        <f>CHOOSE('DCF Model'!$D$27,F39,F40,F41,F42,F43)</f>
        <v>35</v>
      </c>
      <c r="G7" s="27">
        <f>CHOOSE('DCF Model'!$D$27,G39,G40,G41,G42,G43)</f>
        <v>35</v>
      </c>
      <c r="H7" s="27">
        <f>CHOOSE('DCF Model'!$D$27,H39,H40,H41,H42,H43)</f>
        <v>35</v>
      </c>
    </row>
    <row r="8" spans="2:8" ht="14" x14ac:dyDescent="0.3">
      <c r="B8" s="8" t="s">
        <v>121</v>
      </c>
      <c r="C8" s="9"/>
      <c r="D8" s="9"/>
      <c r="E8" s="9"/>
      <c r="F8" s="9"/>
      <c r="G8" s="9"/>
      <c r="H8" s="9"/>
    </row>
    <row r="9" spans="2:8" ht="14" x14ac:dyDescent="0.3">
      <c r="B9" s="26" t="s">
        <v>38</v>
      </c>
      <c r="C9" s="28">
        <v>24599.166000000001</v>
      </c>
      <c r="D9" s="28">
        <f>'DCF Model'!C33</f>
        <v>29047.027000000002</v>
      </c>
      <c r="E9" s="28">
        <f>'DCF Model'!D33</f>
        <v>31859.326787000005</v>
      </c>
      <c r="F9" s="28">
        <f>'DCF Model'!E33</f>
        <v>35009.198945851</v>
      </c>
      <c r="G9" s="28">
        <f>'DCF Model'!F33</f>
        <v>37084.69303566897</v>
      </c>
      <c r="H9" s="28">
        <f>'DCF Model'!G33</f>
        <v>38640.458902328886</v>
      </c>
    </row>
    <row r="10" spans="2:8" ht="14" x14ac:dyDescent="0.3">
      <c r="B10" s="26" t="s">
        <v>39</v>
      </c>
      <c r="C10" s="28">
        <v>17821.474999999999</v>
      </c>
      <c r="D10" s="28">
        <f>'DCF Model'!C34</f>
        <v>20682.750297999999</v>
      </c>
      <c r="E10" s="28">
        <f>'DCF Model'!D34</f>
        <v>22669.810540824004</v>
      </c>
      <c r="F10" s="28">
        <f>'DCF Model'!E34</f>
        <v>24789.388096272134</v>
      </c>
      <c r="G10" s="28">
        <f>'DCF Model'!F34</f>
        <v>26089.606447067745</v>
      </c>
      <c r="H10" s="28">
        <f>'DCF Model'!G34</f>
        <v>27092.778992246611</v>
      </c>
    </row>
    <row r="11" spans="2:8" ht="14" x14ac:dyDescent="0.3">
      <c r="B11" s="8" t="s">
        <v>122</v>
      </c>
      <c r="C11" s="9"/>
      <c r="D11" s="9"/>
      <c r="E11" s="9"/>
      <c r="F11" s="9"/>
      <c r="G11" s="9"/>
      <c r="H11" s="9"/>
    </row>
    <row r="12" spans="2:8" ht="14" x14ac:dyDescent="0.3">
      <c r="B12" s="26" t="s">
        <v>123</v>
      </c>
      <c r="C12" s="28">
        <v>7878</v>
      </c>
      <c r="D12" s="28">
        <f t="shared" ref="D12:H13" si="0">D9*D5/365</f>
        <v>9231.3839232876726</v>
      </c>
      <c r="E12" s="28">
        <f t="shared" si="0"/>
        <v>10037.870083575344</v>
      </c>
      <c r="F12" s="28">
        <f t="shared" si="0"/>
        <v>11030.295558281821</v>
      </c>
      <c r="G12" s="28">
        <f t="shared" si="0"/>
        <v>11684.218353703922</v>
      </c>
      <c r="H12" s="28">
        <f t="shared" si="0"/>
        <v>12174.39116100773</v>
      </c>
    </row>
    <row r="13" spans="2:8" ht="14" x14ac:dyDescent="0.3">
      <c r="B13" s="26" t="s">
        <v>124</v>
      </c>
      <c r="C13" s="28">
        <v>269</v>
      </c>
      <c r="D13" s="28">
        <f t="shared" si="0"/>
        <v>339.99041585753423</v>
      </c>
      <c r="E13" s="28">
        <f t="shared" si="0"/>
        <v>372.65441984916168</v>
      </c>
      <c r="F13" s="28">
        <f t="shared" si="0"/>
        <v>407.49679062365152</v>
      </c>
      <c r="G13" s="28">
        <f t="shared" si="0"/>
        <v>428.87024296549714</v>
      </c>
      <c r="H13" s="28">
        <f t="shared" si="0"/>
        <v>445.36075055747858</v>
      </c>
    </row>
    <row r="14" spans="2:8" ht="14" x14ac:dyDescent="0.3">
      <c r="B14" s="26" t="s">
        <v>125</v>
      </c>
      <c r="C14" s="28">
        <f t="shared" ref="C14:H14" si="1">C12+C13</f>
        <v>8147</v>
      </c>
      <c r="D14" s="28">
        <f t="shared" si="1"/>
        <v>9571.3743391452062</v>
      </c>
      <c r="E14" s="28">
        <f t="shared" si="1"/>
        <v>10410.524503424505</v>
      </c>
      <c r="F14" s="28">
        <f t="shared" si="1"/>
        <v>11437.792348905472</v>
      </c>
      <c r="G14" s="28">
        <f t="shared" si="1"/>
        <v>12113.088596669419</v>
      </c>
      <c r="H14" s="28">
        <f t="shared" si="1"/>
        <v>12619.751911565209</v>
      </c>
    </row>
    <row r="15" spans="2:8" ht="14" x14ac:dyDescent="0.3">
      <c r="B15" s="26" t="s">
        <v>126</v>
      </c>
      <c r="C15" s="28">
        <v>1738</v>
      </c>
      <c r="D15" s="28">
        <f>D10*D7/365</f>
        <v>1983.2774258356164</v>
      </c>
      <c r="E15" s="28">
        <f>E10*E7/365</f>
        <v>2173.8174491201098</v>
      </c>
      <c r="F15" s="28">
        <f>F10*F7/365</f>
        <v>2377.0646119713006</v>
      </c>
      <c r="G15" s="28">
        <f>G10*G7/365</f>
        <v>2501.7430839654003</v>
      </c>
      <c r="H15" s="28">
        <f>H10*H7/365</f>
        <v>2597.9377115852913</v>
      </c>
    </row>
    <row r="16" spans="2:8" ht="14" x14ac:dyDescent="0.3">
      <c r="B16" s="26" t="s">
        <v>127</v>
      </c>
      <c r="C16" s="28">
        <f t="shared" ref="C16:H16" si="2">C15</f>
        <v>1738</v>
      </c>
      <c r="D16" s="28">
        <f t="shared" si="2"/>
        <v>1983.2774258356164</v>
      </c>
      <c r="E16" s="28">
        <f t="shared" si="2"/>
        <v>2173.8174491201098</v>
      </c>
      <c r="F16" s="28">
        <f t="shared" si="2"/>
        <v>2377.0646119713006</v>
      </c>
      <c r="G16" s="28">
        <f t="shared" si="2"/>
        <v>2501.7430839654003</v>
      </c>
      <c r="H16" s="28">
        <f t="shared" si="2"/>
        <v>2597.9377115852913</v>
      </c>
    </row>
    <row r="17" spans="2:8" ht="14" x14ac:dyDescent="0.3">
      <c r="B17" s="22" t="s">
        <v>128</v>
      </c>
      <c r="C17" s="23"/>
      <c r="D17" s="23"/>
      <c r="E17" s="23"/>
      <c r="F17" s="23"/>
      <c r="G17" s="23"/>
      <c r="H17" s="23"/>
    </row>
    <row r="18" spans="2:8" ht="14" x14ac:dyDescent="0.3">
      <c r="B18" s="26" t="s">
        <v>129</v>
      </c>
      <c r="C18" s="20">
        <f t="shared" ref="C18:H18" si="3">C14-C16</f>
        <v>6409</v>
      </c>
      <c r="D18" s="20">
        <f t="shared" si="3"/>
        <v>7588.0969133095896</v>
      </c>
      <c r="E18" s="20">
        <f t="shared" si="3"/>
        <v>8236.7070543043956</v>
      </c>
      <c r="F18" s="20">
        <f t="shared" si="3"/>
        <v>9060.7277369341718</v>
      </c>
      <c r="G18" s="20">
        <f t="shared" si="3"/>
        <v>9611.3455127040179</v>
      </c>
      <c r="H18" s="20">
        <f t="shared" si="3"/>
        <v>10021.814199979917</v>
      </c>
    </row>
    <row r="19" spans="2:8" ht="14" x14ac:dyDescent="0.3">
      <c r="B19" s="26" t="s">
        <v>99</v>
      </c>
      <c r="C19" s="29" t="s">
        <v>48</v>
      </c>
      <c r="D19" s="24">
        <f>D18-C18</f>
        <v>1179.0969133095896</v>
      </c>
      <c r="E19" s="24">
        <f>E18-D18</f>
        <v>648.61014099480599</v>
      </c>
      <c r="F19" s="24">
        <f>F18-E18</f>
        <v>824.02068262977627</v>
      </c>
      <c r="G19" s="24">
        <f>G18-F18</f>
        <v>550.61777576984605</v>
      </c>
      <c r="H19" s="24">
        <f>H18-G18</f>
        <v>410.46868727589936</v>
      </c>
    </row>
    <row r="22" spans="2:8" ht="14" x14ac:dyDescent="0.3">
      <c r="B22" s="22" t="s">
        <v>130</v>
      </c>
      <c r="C22" s="23"/>
      <c r="D22" s="23"/>
      <c r="E22" s="23"/>
      <c r="F22" s="23"/>
      <c r="G22" s="23"/>
      <c r="H22" s="23"/>
    </row>
    <row r="23" spans="2:8" ht="14" x14ac:dyDescent="0.3">
      <c r="D23" s="30" t="s">
        <v>85</v>
      </c>
      <c r="E23" s="30" t="s">
        <v>86</v>
      </c>
      <c r="F23" s="30" t="s">
        <v>87</v>
      </c>
      <c r="G23" s="30" t="s">
        <v>88</v>
      </c>
      <c r="H23" s="30" t="s">
        <v>89</v>
      </c>
    </row>
    <row r="24" spans="2:8" ht="14" x14ac:dyDescent="0.3">
      <c r="B24" s="3" t="s">
        <v>131</v>
      </c>
    </row>
    <row r="25" spans="2:8" ht="14" x14ac:dyDescent="0.3">
      <c r="B25" s="4" t="s">
        <v>83</v>
      </c>
      <c r="D25" s="31">
        <v>115</v>
      </c>
      <c r="E25" s="31">
        <v>114</v>
      </c>
      <c r="F25" s="31">
        <v>114</v>
      </c>
      <c r="G25" s="31">
        <v>114</v>
      </c>
      <c r="H25" s="31">
        <v>114</v>
      </c>
    </row>
    <row r="26" spans="2:8" ht="14" x14ac:dyDescent="0.3">
      <c r="B26" s="4" t="s">
        <v>132</v>
      </c>
      <c r="D26" s="31">
        <v>113</v>
      </c>
      <c r="E26" s="31">
        <v>111</v>
      </c>
      <c r="F26" s="31">
        <v>109</v>
      </c>
      <c r="G26" s="31">
        <v>107</v>
      </c>
      <c r="H26" s="31">
        <v>107</v>
      </c>
    </row>
    <row r="27" spans="2:8" ht="14" x14ac:dyDescent="0.3">
      <c r="B27" s="4" t="s">
        <v>133</v>
      </c>
      <c r="D27" s="31">
        <v>116</v>
      </c>
      <c r="E27" s="31">
        <v>115</v>
      </c>
      <c r="F27" s="31">
        <v>115</v>
      </c>
      <c r="G27" s="31">
        <v>115</v>
      </c>
      <c r="H27" s="31">
        <v>115</v>
      </c>
    </row>
    <row r="28" spans="2:8" ht="14" x14ac:dyDescent="0.3">
      <c r="B28" s="4" t="s">
        <v>134</v>
      </c>
      <c r="D28" s="31">
        <v>118</v>
      </c>
      <c r="E28" s="31">
        <v>119</v>
      </c>
      <c r="F28" s="31">
        <v>120</v>
      </c>
      <c r="G28" s="31">
        <v>120</v>
      </c>
      <c r="H28" s="31">
        <v>120</v>
      </c>
    </row>
    <row r="29" spans="2:8" ht="14" x14ac:dyDescent="0.3">
      <c r="B29" s="4" t="s">
        <v>135</v>
      </c>
      <c r="D29" s="31">
        <v>120</v>
      </c>
      <c r="E29" s="31">
        <v>122</v>
      </c>
      <c r="F29" s="31">
        <v>124</v>
      </c>
      <c r="G29" s="31">
        <v>125</v>
      </c>
      <c r="H29" s="31">
        <v>125</v>
      </c>
    </row>
    <row r="31" spans="2:8" ht="14" x14ac:dyDescent="0.3">
      <c r="B31" s="3" t="s">
        <v>136</v>
      </c>
    </row>
    <row r="32" spans="2:8" ht="14" x14ac:dyDescent="0.3">
      <c r="B32" s="4" t="s">
        <v>83</v>
      </c>
      <c r="D32" s="31">
        <v>6</v>
      </c>
      <c r="E32" s="31">
        <v>6</v>
      </c>
      <c r="F32" s="31">
        <v>6</v>
      </c>
      <c r="G32" s="31">
        <v>6</v>
      </c>
      <c r="H32" s="31">
        <v>6</v>
      </c>
    </row>
    <row r="33" spans="2:8" ht="14" x14ac:dyDescent="0.3">
      <c r="B33" s="4" t="s">
        <v>132</v>
      </c>
      <c r="D33" s="31">
        <v>5.5</v>
      </c>
      <c r="E33" s="31">
        <v>5.5</v>
      </c>
      <c r="F33" s="31">
        <v>5.5</v>
      </c>
      <c r="G33" s="31">
        <v>5.5</v>
      </c>
      <c r="H33" s="31">
        <v>5.5</v>
      </c>
    </row>
    <row r="34" spans="2:8" ht="14" x14ac:dyDescent="0.3">
      <c r="B34" s="4" t="s">
        <v>133</v>
      </c>
      <c r="D34" s="31">
        <v>6</v>
      </c>
      <c r="E34" s="31">
        <v>6</v>
      </c>
      <c r="F34" s="31">
        <v>6</v>
      </c>
      <c r="G34" s="31">
        <v>6</v>
      </c>
      <c r="H34" s="31">
        <v>6</v>
      </c>
    </row>
    <row r="35" spans="2:8" ht="14" x14ac:dyDescent="0.3">
      <c r="B35" s="4" t="s">
        <v>134</v>
      </c>
      <c r="D35" s="31">
        <v>6.5</v>
      </c>
      <c r="E35" s="31">
        <v>6.5</v>
      </c>
      <c r="F35" s="31">
        <v>7</v>
      </c>
      <c r="G35" s="31">
        <v>7</v>
      </c>
      <c r="H35" s="31">
        <v>7</v>
      </c>
    </row>
    <row r="36" spans="2:8" ht="14" x14ac:dyDescent="0.3">
      <c r="B36" s="4" t="s">
        <v>135</v>
      </c>
      <c r="D36" s="31">
        <v>7</v>
      </c>
      <c r="E36" s="31">
        <v>7</v>
      </c>
      <c r="F36" s="31">
        <v>7.5</v>
      </c>
      <c r="G36" s="31">
        <v>7.5</v>
      </c>
      <c r="H36" s="31">
        <v>7.5</v>
      </c>
    </row>
    <row r="38" spans="2:8" ht="14" x14ac:dyDescent="0.3">
      <c r="B38" s="3" t="s">
        <v>137</v>
      </c>
    </row>
    <row r="39" spans="2:8" ht="14" x14ac:dyDescent="0.3">
      <c r="B39" s="4" t="s">
        <v>83</v>
      </c>
      <c r="D39" s="31">
        <v>35</v>
      </c>
      <c r="E39" s="31">
        <v>34</v>
      </c>
      <c r="F39" s="31">
        <v>34</v>
      </c>
      <c r="G39" s="31">
        <v>34</v>
      </c>
      <c r="H39" s="31">
        <v>34</v>
      </c>
    </row>
    <row r="40" spans="2:8" ht="14" x14ac:dyDescent="0.3">
      <c r="B40" s="4" t="s">
        <v>132</v>
      </c>
      <c r="D40" s="31">
        <v>36</v>
      </c>
      <c r="E40" s="31">
        <v>37</v>
      </c>
      <c r="F40" s="31">
        <v>38</v>
      </c>
      <c r="G40" s="31">
        <v>38</v>
      </c>
      <c r="H40" s="31">
        <v>38</v>
      </c>
    </row>
    <row r="41" spans="2:8" ht="14" x14ac:dyDescent="0.3">
      <c r="B41" s="4" t="s">
        <v>133</v>
      </c>
      <c r="D41" s="31">
        <v>35</v>
      </c>
      <c r="E41" s="31">
        <v>35</v>
      </c>
      <c r="F41" s="31">
        <v>35</v>
      </c>
      <c r="G41" s="31">
        <v>35</v>
      </c>
      <c r="H41" s="31">
        <v>35</v>
      </c>
    </row>
    <row r="42" spans="2:8" ht="14" x14ac:dyDescent="0.3">
      <c r="B42" s="4" t="s">
        <v>134</v>
      </c>
      <c r="D42" s="31">
        <v>34</v>
      </c>
      <c r="E42" s="31">
        <v>33</v>
      </c>
      <c r="F42" s="31">
        <v>33</v>
      </c>
      <c r="G42" s="31">
        <v>33</v>
      </c>
      <c r="H42" s="31">
        <v>33</v>
      </c>
    </row>
    <row r="43" spans="2:8" ht="14" x14ac:dyDescent="0.3">
      <c r="B43" s="4" t="s">
        <v>135</v>
      </c>
      <c r="D43" s="31">
        <v>33</v>
      </c>
      <c r="E43" s="31">
        <v>32</v>
      </c>
      <c r="F43" s="31">
        <v>32</v>
      </c>
      <c r="G43" s="31">
        <v>32</v>
      </c>
      <c r="H43" s="31">
        <v>32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topLeftCell="A2"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2" t="s">
        <v>138</v>
      </c>
    </row>
    <row r="4" spans="2:15" ht="28" x14ac:dyDescent="0.3">
      <c r="B4" s="10" t="s">
        <v>3</v>
      </c>
      <c r="C4" s="10" t="s">
        <v>5</v>
      </c>
      <c r="D4" s="10" t="s">
        <v>139</v>
      </c>
      <c r="E4" s="10" t="s">
        <v>140</v>
      </c>
      <c r="F4" s="10" t="s">
        <v>141</v>
      </c>
      <c r="G4" s="10" t="s">
        <v>142</v>
      </c>
      <c r="H4" s="10" t="s">
        <v>143</v>
      </c>
      <c r="I4" s="10" t="s">
        <v>144</v>
      </c>
      <c r="J4" s="10" t="s">
        <v>145</v>
      </c>
      <c r="K4" s="10" t="s">
        <v>146</v>
      </c>
      <c r="L4" s="10" t="s">
        <v>147</v>
      </c>
      <c r="M4" s="10" t="s">
        <v>148</v>
      </c>
      <c r="N4" s="10" t="s">
        <v>149</v>
      </c>
      <c r="O4" s="10" t="s">
        <v>150</v>
      </c>
    </row>
    <row r="5" spans="2:15" ht="14" x14ac:dyDescent="0.3">
      <c r="B5" s="4" t="s">
        <v>151</v>
      </c>
      <c r="C5" t="s">
        <v>152</v>
      </c>
      <c r="D5" s="32">
        <v>154778.386432</v>
      </c>
      <c r="E5" s="32">
        <v>156328.386432</v>
      </c>
      <c r="F5" s="32">
        <v>92410</v>
      </c>
      <c r="G5" s="32">
        <v>15820</v>
      </c>
      <c r="H5" s="32">
        <v>15360</v>
      </c>
      <c r="I5" s="32">
        <v>11250</v>
      </c>
      <c r="J5" s="33">
        <f>E5/G5</f>
        <v>9.8816932005056888</v>
      </c>
      <c r="K5" s="33">
        <f>E5/F5</f>
        <v>1.6916825714965913</v>
      </c>
      <c r="L5" s="33">
        <f>D5/I5</f>
        <v>13.758078793955555</v>
      </c>
      <c r="M5" s="33">
        <v>4.6973713636418806</v>
      </c>
      <c r="N5" s="34">
        <f>H5/F5</f>
        <v>0.16621577751325614</v>
      </c>
      <c r="O5" s="34">
        <v>0.34142640364188159</v>
      </c>
    </row>
    <row r="6" spans="2:15" ht="14" x14ac:dyDescent="0.3">
      <c r="B6" s="4" t="s">
        <v>153</v>
      </c>
      <c r="C6" t="s">
        <v>154</v>
      </c>
      <c r="D6" s="32">
        <v>56599.822335999997</v>
      </c>
      <c r="E6" s="32">
        <v>56669.822335999997</v>
      </c>
      <c r="F6" s="32">
        <v>54700</v>
      </c>
      <c r="G6" s="32">
        <v>8490</v>
      </c>
      <c r="H6" s="32">
        <v>8300</v>
      </c>
      <c r="I6" s="32">
        <v>5000</v>
      </c>
      <c r="J6" s="33">
        <f>E6/G6</f>
        <v>6.6748907345111892</v>
      </c>
      <c r="K6" s="33">
        <f>E6/F6</f>
        <v>1.0360113772577697</v>
      </c>
      <c r="L6" s="33">
        <f>D6/I6</f>
        <v>11.3199644672</v>
      </c>
      <c r="M6" s="33">
        <v>1.8197544396360481</v>
      </c>
      <c r="N6" s="34">
        <f>H6/F6</f>
        <v>0.15173674588665448</v>
      </c>
      <c r="O6" s="34">
        <v>0.16075619715140019</v>
      </c>
    </row>
    <row r="7" spans="2:15" ht="14" x14ac:dyDescent="0.3">
      <c r="B7" s="4" t="s">
        <v>155</v>
      </c>
      <c r="C7" t="s">
        <v>156</v>
      </c>
      <c r="D7" s="32">
        <v>61547.036672000002</v>
      </c>
      <c r="E7" s="32">
        <v>61897.036672000002</v>
      </c>
      <c r="F7" s="32">
        <v>65000</v>
      </c>
      <c r="G7" s="32">
        <v>8018</v>
      </c>
      <c r="H7" s="32">
        <v>7200</v>
      </c>
      <c r="I7" s="32">
        <v>5150</v>
      </c>
      <c r="J7" s="33">
        <f>E7/G7</f>
        <v>7.7197601237216267</v>
      </c>
      <c r="K7" s="33">
        <f>E7/F7</f>
        <v>0.95226210264615385</v>
      </c>
      <c r="L7" s="33">
        <f>D7/I7</f>
        <v>11.950880907184466</v>
      </c>
      <c r="M7" s="33">
        <v>1.5234037937674809</v>
      </c>
      <c r="N7" s="34">
        <f>H7/F7</f>
        <v>0.11076923076923077</v>
      </c>
      <c r="O7" s="34">
        <v>0.12747209227494369</v>
      </c>
    </row>
    <row r="8" spans="2:15" ht="14" x14ac:dyDescent="0.3">
      <c r="B8" s="4" t="s">
        <v>157</v>
      </c>
      <c r="C8" t="s">
        <v>158</v>
      </c>
      <c r="D8" s="32">
        <v>56557.072383999999</v>
      </c>
      <c r="E8" s="32">
        <v>54057.072383999999</v>
      </c>
      <c r="F8" s="32">
        <v>48000</v>
      </c>
      <c r="G8" s="32">
        <v>6800</v>
      </c>
      <c r="H8" s="32">
        <v>5200</v>
      </c>
      <c r="I8" s="32">
        <v>3600</v>
      </c>
      <c r="J8" s="33">
        <f>E8/G8</f>
        <v>7.9495694682352944</v>
      </c>
      <c r="K8" s="33">
        <f>E8/F8</f>
        <v>1.1261890079999999</v>
      </c>
      <c r="L8" s="33">
        <f>D8/I8</f>
        <v>15.710297884444444</v>
      </c>
      <c r="M8" s="33">
        <v>2.5707760174545449</v>
      </c>
      <c r="N8" s="34">
        <f>H8/F8</f>
        <v>0.10833333333333334</v>
      </c>
      <c r="O8" s="34">
        <v>0.16363636363636361</v>
      </c>
    </row>
    <row r="9" spans="2:15" ht="14" x14ac:dyDescent="0.3">
      <c r="B9" s="4" t="s">
        <v>159</v>
      </c>
      <c r="C9" t="s">
        <v>160</v>
      </c>
      <c r="D9" s="32">
        <v>157587.308544</v>
      </c>
      <c r="E9" s="32">
        <v>154587.308544</v>
      </c>
      <c r="F9" s="32">
        <v>47000</v>
      </c>
      <c r="G9" s="32">
        <v>7500</v>
      </c>
      <c r="H9" s="32">
        <v>5700</v>
      </c>
      <c r="I9" s="32">
        <v>3900</v>
      </c>
      <c r="J9" s="33">
        <f>E9/G9</f>
        <v>20.6116411392</v>
      </c>
      <c r="K9" s="33">
        <f>E9/F9</f>
        <v>3.289091671148936</v>
      </c>
      <c r="L9" s="33">
        <f>D9/I9</f>
        <v>40.407002190769234</v>
      </c>
      <c r="M9" s="33">
        <v>5.6281181622857144</v>
      </c>
      <c r="N9" s="34">
        <f>H9/F9</f>
        <v>0.12127659574468085</v>
      </c>
      <c r="O9" s="34">
        <v>0.13928571428571429</v>
      </c>
    </row>
    <row r="14" spans="2:15" ht="14" x14ac:dyDescent="0.3">
      <c r="B14" s="3" t="s">
        <v>161</v>
      </c>
    </row>
    <row r="15" spans="2:15" ht="14" x14ac:dyDescent="0.3">
      <c r="B15" s="4" t="s">
        <v>162</v>
      </c>
      <c r="D15" s="33">
        <f t="shared" ref="D15:I15" si="0">PERCENTILE(J5:J9,0.25)</f>
        <v>7.7197601237216267</v>
      </c>
      <c r="E15" s="33">
        <f t="shared" si="0"/>
        <v>1.0360113772577697</v>
      </c>
      <c r="F15" s="33">
        <f t="shared" si="0"/>
        <v>11.950880907184466</v>
      </c>
      <c r="G15" s="33">
        <f t="shared" si="0"/>
        <v>1.8197544396360481</v>
      </c>
      <c r="H15" s="34">
        <f t="shared" si="0"/>
        <v>0.11076923076923077</v>
      </c>
      <c r="I15" s="34">
        <f t="shared" si="0"/>
        <v>0.13928571428571429</v>
      </c>
    </row>
    <row r="16" spans="2:15" ht="14" x14ac:dyDescent="0.3">
      <c r="B16" s="4" t="s">
        <v>163</v>
      </c>
      <c r="D16" s="33">
        <f t="shared" ref="D16:I16" si="1">MEDIAN(J5:J9)</f>
        <v>7.9495694682352944</v>
      </c>
      <c r="E16" s="33">
        <f t="shared" si="1"/>
        <v>1.1261890079999999</v>
      </c>
      <c r="F16" s="33">
        <f t="shared" si="1"/>
        <v>13.758078793955555</v>
      </c>
      <c r="G16" s="33">
        <f t="shared" si="1"/>
        <v>2.5707760174545449</v>
      </c>
      <c r="H16" s="34">
        <f t="shared" si="1"/>
        <v>0.12127659574468085</v>
      </c>
      <c r="I16" s="34">
        <f t="shared" si="1"/>
        <v>0.16075619715140019</v>
      </c>
    </row>
    <row r="17" spans="2:9" ht="14" x14ac:dyDescent="0.3">
      <c r="B17" s="4" t="s">
        <v>164</v>
      </c>
      <c r="D17" s="33">
        <f t="shared" ref="D17:I17" si="2">PERCENTILE(J5:J9,0.75)</f>
        <v>9.8816932005056888</v>
      </c>
      <c r="E17" s="33">
        <f t="shared" si="2"/>
        <v>1.6916825714965913</v>
      </c>
      <c r="F17" s="33">
        <f t="shared" si="2"/>
        <v>15.710297884444444</v>
      </c>
      <c r="G17" s="33">
        <f t="shared" si="2"/>
        <v>4.6973713636418806</v>
      </c>
      <c r="H17" s="34">
        <f t="shared" si="2"/>
        <v>0.15173674588665448</v>
      </c>
      <c r="I17" s="34">
        <f t="shared" si="2"/>
        <v>0.16363636363636361</v>
      </c>
    </row>
    <row r="19" spans="2:9" ht="14" x14ac:dyDescent="0.3">
      <c r="B19" s="22" t="s">
        <v>165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166</v>
      </c>
    </row>
    <row r="21" spans="2:9" ht="14" x14ac:dyDescent="0.3">
      <c r="B21" s="4" t="s">
        <v>167</v>
      </c>
      <c r="C21" s="5">
        <v>3391</v>
      </c>
    </row>
    <row r="22" spans="2:9" ht="14" x14ac:dyDescent="0.3">
      <c r="B22" s="4" t="s">
        <v>168</v>
      </c>
      <c r="C22" s="5">
        <v>2207</v>
      </c>
    </row>
    <row r="23" spans="2:9" ht="14" x14ac:dyDescent="0.3">
      <c r="B23" s="4" t="s">
        <v>169</v>
      </c>
      <c r="C23" s="15">
        <v>14366101</v>
      </c>
    </row>
    <row r="24" spans="2:9" ht="14" x14ac:dyDescent="0.3">
      <c r="B24" s="4" t="s">
        <v>72</v>
      </c>
      <c r="C24" s="5">
        <v>-7296.8</v>
      </c>
    </row>
    <row r="26" spans="2:9" ht="14" x14ac:dyDescent="0.3">
      <c r="B26" s="3" t="s">
        <v>170</v>
      </c>
    </row>
    <row r="27" spans="2:9" ht="14" x14ac:dyDescent="0.3">
      <c r="B27" s="4" t="s">
        <v>171</v>
      </c>
      <c r="C27" s="24">
        <f>ROUND((C21*D16-C24)*1000000/C23,0)</f>
        <v>2384</v>
      </c>
    </row>
    <row r="28" spans="2:9" ht="14" x14ac:dyDescent="0.3">
      <c r="B28" s="4" t="s">
        <v>172</v>
      </c>
      <c r="C28" s="24">
        <f>ROUND(C22*F16*1000000/C23,0)</f>
        <v>2114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173</v>
      </c>
    </row>
    <row r="3" spans="2:9" ht="14" x14ac:dyDescent="0.3">
      <c r="B3" s="4" t="s">
        <v>174</v>
      </c>
      <c r="C3" s="16">
        <f>'DCF Model'!C26</f>
        <v>0.1215</v>
      </c>
      <c r="E3" s="4" t="s">
        <v>175</v>
      </c>
      <c r="F3" s="16">
        <f>'DCF Model'!C13</f>
        <v>0.02</v>
      </c>
      <c r="H3" s="4" t="s">
        <v>176</v>
      </c>
      <c r="I3" s="14">
        <f>'DCF Model'!C14</f>
        <v>8</v>
      </c>
    </row>
    <row r="5" spans="2:9" ht="14" x14ac:dyDescent="0.3">
      <c r="B5" s="3" t="s">
        <v>177</v>
      </c>
    </row>
    <row r="6" spans="2:9" ht="14" x14ac:dyDescent="0.3">
      <c r="B6" s="35" t="s">
        <v>178</v>
      </c>
      <c r="C6" s="36">
        <f>$F$3-0.0075</f>
        <v>1.2500000000000001E-2</v>
      </c>
      <c r="D6" s="36">
        <f>$F$3-0.005</f>
        <v>1.4999999999999999E-2</v>
      </c>
      <c r="E6" s="36">
        <f>$F$3-0.0025</f>
        <v>1.7500000000000002E-2</v>
      </c>
      <c r="F6" s="36">
        <f>$F$3</f>
        <v>0.02</v>
      </c>
      <c r="G6" s="36">
        <f>$F$3+0.0025</f>
        <v>2.2499999999999999E-2</v>
      </c>
      <c r="H6" s="36">
        <f>$F$3+0.005</f>
        <v>2.5000000000000001E-2</v>
      </c>
      <c r="I6" s="36">
        <f>$F$3+0.0075</f>
        <v>2.75E-2</v>
      </c>
    </row>
    <row r="7" spans="2:9" ht="13.5" x14ac:dyDescent="0.25">
      <c r="B7" s="34">
        <f>$C$3-0.015</f>
        <v>0.1065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3394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3455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3519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3588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3660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3737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3818</v>
      </c>
    </row>
    <row r="8" spans="2:9" ht="13.5" x14ac:dyDescent="0.25">
      <c r="B8" s="34">
        <f>$C$3-0.01</f>
        <v>0.1115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3247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3302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3359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3419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3483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3550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3621</v>
      </c>
    </row>
    <row r="9" spans="2:9" ht="13.5" x14ac:dyDescent="0.25">
      <c r="B9" s="34">
        <f>$C$3-0.005</f>
        <v>0.11649999999999999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3115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3164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3215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3268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3324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3384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3447</v>
      </c>
    </row>
    <row r="10" spans="2:9" ht="13.5" x14ac:dyDescent="0.25">
      <c r="B10" s="34">
        <f>$C$3</f>
        <v>0.1215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2995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3039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3084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3132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3182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3235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3291</v>
      </c>
    </row>
    <row r="11" spans="2:9" ht="13.5" x14ac:dyDescent="0.25">
      <c r="B11" s="34">
        <f>$C$3+0.005</f>
        <v>0.1265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2886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2925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2966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3009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3054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3101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3151</v>
      </c>
    </row>
    <row r="12" spans="2:9" ht="13.5" x14ac:dyDescent="0.25">
      <c r="B12" s="34">
        <f>$C$3+0.01</f>
        <v>0.13150000000000001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2786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2821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2858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2897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2937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2980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3024</v>
      </c>
    </row>
    <row r="13" spans="2:9" ht="13.5" x14ac:dyDescent="0.25">
      <c r="B13" s="34">
        <f>$C$3+0.015</f>
        <v>0.13650000000000001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2694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2726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2760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2795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2831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2869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2909</v>
      </c>
    </row>
    <row r="16" spans="2:9" ht="14" x14ac:dyDescent="0.3">
      <c r="B16" s="3" t="s">
        <v>179</v>
      </c>
    </row>
    <row r="17" spans="2:9" ht="14" x14ac:dyDescent="0.3">
      <c r="B17" s="35" t="s">
        <v>180</v>
      </c>
      <c r="C17" s="37">
        <f>$I$3-3</f>
        <v>5</v>
      </c>
      <c r="D17" s="37">
        <f>$I$3-2</f>
        <v>6</v>
      </c>
      <c r="E17" s="37">
        <f>$I$3-1</f>
        <v>7</v>
      </c>
      <c r="F17" s="37">
        <f>$I$3</f>
        <v>8</v>
      </c>
      <c r="G17" s="37">
        <f>$I$3+1</f>
        <v>9</v>
      </c>
      <c r="H17" s="37">
        <f>$I$3+2</f>
        <v>10</v>
      </c>
      <c r="I17" s="37">
        <f>$I$3+3</f>
        <v>11</v>
      </c>
    </row>
    <row r="18" spans="2:9" ht="13.5" x14ac:dyDescent="0.25">
      <c r="B18" s="34">
        <f>$C$3-0.015</f>
        <v>0.1065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2868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3172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3476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3780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4085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4389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4693</v>
      </c>
    </row>
    <row r="19" spans="2:9" ht="13.5" x14ac:dyDescent="0.25">
      <c r="B19" s="34">
        <f>$C$3-0.01</f>
        <v>0.1115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2832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3131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3430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3729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4028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4326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4625</v>
      </c>
    </row>
    <row r="20" spans="2:9" ht="13.5" x14ac:dyDescent="0.25">
      <c r="B20" s="34">
        <f>$C$3-0.005</f>
        <v>0.11649999999999999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2798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3091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3385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3678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3972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4265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4559</v>
      </c>
    </row>
    <row r="21" spans="2:9" ht="13.5" x14ac:dyDescent="0.25">
      <c r="B21" s="34">
        <f>$C$3</f>
        <v>0.1215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2764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3052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3340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3629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3917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4205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4494</v>
      </c>
    </row>
    <row r="22" spans="2:9" ht="13.5" x14ac:dyDescent="0.25">
      <c r="B22" s="34">
        <f>$C$3+0.005</f>
        <v>0.1265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2731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3014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3297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3580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3864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4147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4430</v>
      </c>
    </row>
    <row r="23" spans="2:9" ht="13.5" x14ac:dyDescent="0.25">
      <c r="B23" s="34">
        <f>$C$3+0.01</f>
        <v>0.13150000000000001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2698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2977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3255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3533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3811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4089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4368</v>
      </c>
    </row>
    <row r="24" spans="2:9" ht="13.5" x14ac:dyDescent="0.25">
      <c r="B24" s="34">
        <f>$C$3+0.015</f>
        <v>0.13650000000000001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2667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2940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3213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3487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3760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4033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4307</v>
      </c>
    </row>
    <row r="26" spans="2:9" ht="14" x14ac:dyDescent="0.3">
      <c r="B26" s="53" t="s">
        <v>181</v>
      </c>
      <c r="C26" s="52"/>
      <c r="D26" s="52"/>
      <c r="E26" s="52"/>
      <c r="F26" s="52"/>
      <c r="G26" s="52"/>
      <c r="H26" s="52"/>
      <c r="I26" s="52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0000"/>
  </sheetPr>
  <dimension ref="B2:K83"/>
  <sheetViews>
    <sheetView workbookViewId="0">
      <pane xSplit="2" ySplit="4" topLeftCell="C37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1" width="16" customWidth="1"/>
  </cols>
  <sheetData>
    <row r="2" spans="2:11" ht="18" x14ac:dyDescent="0.4">
      <c r="B2" s="2" t="s">
        <v>182</v>
      </c>
    </row>
    <row r="4" spans="2:11" ht="14" x14ac:dyDescent="0.3">
      <c r="C4" s="10" t="s">
        <v>35</v>
      </c>
      <c r="D4" s="10" t="s">
        <v>36</v>
      </c>
      <c r="E4" s="10" t="s">
        <v>183</v>
      </c>
      <c r="F4" s="10" t="s">
        <v>184</v>
      </c>
      <c r="G4" s="10" t="s">
        <v>85</v>
      </c>
      <c r="H4" s="10" t="s">
        <v>86</v>
      </c>
      <c r="I4" s="10" t="s">
        <v>87</v>
      </c>
      <c r="J4" s="10" t="s">
        <v>88</v>
      </c>
      <c r="K4" s="10" t="s">
        <v>89</v>
      </c>
    </row>
    <row r="5" spans="2:11" ht="14" x14ac:dyDescent="0.3">
      <c r="B5" s="8" t="s">
        <v>185</v>
      </c>
      <c r="C5" s="9"/>
      <c r="D5" s="9"/>
      <c r="E5" s="9"/>
      <c r="F5" s="9"/>
      <c r="G5" s="9"/>
      <c r="H5" s="9"/>
      <c r="I5" s="9"/>
      <c r="J5" s="9"/>
      <c r="K5" s="9"/>
    </row>
    <row r="6" spans="2:11" ht="14" x14ac:dyDescent="0.3">
      <c r="B6" s="4" t="s">
        <v>38</v>
      </c>
      <c r="C6" s="38" t="s">
        <v>186</v>
      </c>
      <c r="D6" s="28">
        <v>4771</v>
      </c>
      <c r="E6" s="28">
        <v>4570</v>
      </c>
      <c r="F6" s="28">
        <v>5084</v>
      </c>
      <c r="G6" s="28">
        <f>F6*(1+CHOOSE('DCF Model'!$D$27,G34,G35,G36,G37,G38))</f>
        <v>6034.7080000000005</v>
      </c>
      <c r="H6" s="28">
        <f>G6*(1+CHOOSE('DCF Model'!$D$27,H34,H35,H36,H37,H38))</f>
        <v>7163.1983960000007</v>
      </c>
      <c r="I6" s="28">
        <f>H6*(1+CHOOSE('DCF Model'!$D$27,I34,I35,I36,I37,I38))</f>
        <v>8502.7164960520004</v>
      </c>
      <c r="J6" s="28">
        <f>I6*(1+CHOOSE('DCF Model'!$D$27,J34,J35,J36,J37,J38))</f>
        <v>9352.988145657202</v>
      </c>
      <c r="K6" s="28">
        <f>J6*(1+CHOOSE('DCF Model'!$D$27,K34,K35,K36,K37,K38))</f>
        <v>10007.697315853207</v>
      </c>
    </row>
    <row r="7" spans="2:11" ht="14" x14ac:dyDescent="0.3">
      <c r="B7" s="4" t="s">
        <v>187</v>
      </c>
      <c r="C7" s="38" t="s">
        <v>186</v>
      </c>
      <c r="D7" s="28">
        <v>675</v>
      </c>
      <c r="E7" s="28">
        <v>461</v>
      </c>
      <c r="F7" s="28">
        <v>730</v>
      </c>
      <c r="G7" s="28">
        <f>G6*CHOOSE('DCF Model'!$D$27,G41,G42,G43,G44,G45)</f>
        <v>875.03265999999996</v>
      </c>
      <c r="H7" s="28">
        <f>H6*CHOOSE('DCF Model'!$D$27,H41,H42,H43,H44,H45)</f>
        <v>1110.2957513800002</v>
      </c>
      <c r="I7" s="28">
        <f>I6*CHOOSE('DCF Model'!$D$27,I41,I42,I43,I44,I45)</f>
        <v>1445.4618043288401</v>
      </c>
      <c r="J7" s="28">
        <f>J6*CHOOSE('DCF Model'!$D$27,J41,J42,J43,J44,J45)</f>
        <v>1683.5378662182964</v>
      </c>
      <c r="K7" s="28">
        <f>K6*CHOOSE('DCF Model'!$D$27,K41,K42,K43,K44,K45)</f>
        <v>1851.4240034328434</v>
      </c>
    </row>
    <row r="8" spans="2:11" ht="14" x14ac:dyDescent="0.3">
      <c r="B8" s="39" t="s">
        <v>188</v>
      </c>
      <c r="C8" s="38" t="s">
        <v>186</v>
      </c>
      <c r="D8" s="40">
        <f>D7/D6</f>
        <v>0.14147977363236219</v>
      </c>
      <c r="E8" s="40">
        <f>E7/E6</f>
        <v>0.10087527352297593</v>
      </c>
      <c r="F8" s="40">
        <f>F7/F6</f>
        <v>0.14358772619984264</v>
      </c>
      <c r="G8" s="40">
        <f>CHOOSE('DCF Model'!$D$27,G41,G42,G43,G44,G45)</f>
        <v>0.14499999999999999</v>
      </c>
      <c r="H8" s="40">
        <f>CHOOSE('DCF Model'!$D$27,H41,H42,H43,H44,H45)</f>
        <v>0.155</v>
      </c>
      <c r="I8" s="40">
        <f>CHOOSE('DCF Model'!$D$27,I41,I42,I43,I44,I45)</f>
        <v>0.17</v>
      </c>
      <c r="J8" s="40">
        <f>CHOOSE('DCF Model'!$D$27,J41,J42,J43,J44,J45)</f>
        <v>0.18</v>
      </c>
      <c r="K8" s="40">
        <f>CHOOSE('DCF Model'!$D$27,K41,K42,K43,K44,K45)</f>
        <v>0.185</v>
      </c>
    </row>
    <row r="10" spans="2:11" ht="14" x14ac:dyDescent="0.3">
      <c r="B10" s="8" t="s">
        <v>189</v>
      </c>
      <c r="C10" s="9"/>
      <c r="D10" s="9"/>
      <c r="E10" s="9"/>
      <c r="F10" s="9"/>
      <c r="G10" s="9"/>
      <c r="H10" s="9"/>
      <c r="I10" s="9"/>
      <c r="J10" s="9"/>
      <c r="K10" s="9"/>
    </row>
    <row r="11" spans="2:11" ht="14" x14ac:dyDescent="0.3">
      <c r="B11" s="4" t="s">
        <v>38</v>
      </c>
      <c r="C11" s="38" t="s">
        <v>186</v>
      </c>
      <c r="D11" s="28">
        <v>10546</v>
      </c>
      <c r="E11" s="28">
        <v>12035</v>
      </c>
      <c r="F11" s="28">
        <v>13695</v>
      </c>
      <c r="G11" s="28">
        <f>F11*(1+CHOOSE('DCF Model'!$D$27,G48,G49,G50,G51,G52))</f>
        <v>14571.480000000001</v>
      </c>
      <c r="H11" s="28">
        <f>G11*(1+CHOOSE('DCF Model'!$D$27,H48,H49,H50,H51,H52))</f>
        <v>15504.054720000002</v>
      </c>
      <c r="I11" s="28">
        <f>H11*(1+CHOOSE('DCF Model'!$D$27,I48,I49,I50,I51,I52))</f>
        <v>16496.314222080004</v>
      </c>
      <c r="J11" s="28">
        <f>I11*(1+CHOOSE('DCF Model'!$D$27,J48,J49,J50,J51,J52))</f>
        <v>17321.129933184005</v>
      </c>
      <c r="K11" s="28">
        <f>J11*(1+CHOOSE('DCF Model'!$D$27,K48,K49,K50,K51,K52))</f>
        <v>18013.975130511368</v>
      </c>
    </row>
    <row r="12" spans="2:11" ht="14" x14ac:dyDescent="0.3">
      <c r="B12" s="4" t="s">
        <v>187</v>
      </c>
      <c r="C12" s="38" t="s">
        <v>186</v>
      </c>
      <c r="D12" s="28">
        <v>1641</v>
      </c>
      <c r="E12" s="28">
        <v>1884</v>
      </c>
      <c r="F12" s="28">
        <v>2260</v>
      </c>
      <c r="G12" s="28">
        <f>G11*CHOOSE('DCF Model'!$D$27,G55,G56,G57,G58,G59)</f>
        <v>2404.2942000000003</v>
      </c>
      <c r="H12" s="28">
        <f>H11*CHOOSE('DCF Model'!$D$27,H55,H56,H57,H58,H59)</f>
        <v>2558.1690288000004</v>
      </c>
      <c r="I12" s="28">
        <f>I11*CHOOSE('DCF Model'!$D$27,I55,I56,I57,I58,I59)</f>
        <v>2721.8918466432006</v>
      </c>
      <c r="J12" s="28">
        <f>J11*CHOOSE('DCF Model'!$D$27,J55,J56,J57,J58,J59)</f>
        <v>2944.592088641281</v>
      </c>
      <c r="K12" s="28">
        <f>K11*CHOOSE('DCF Model'!$D$27,K55,K56,K57,K58,K59)</f>
        <v>3152.4456478394891</v>
      </c>
    </row>
    <row r="13" spans="2:11" ht="14" x14ac:dyDescent="0.3">
      <c r="B13" s="39" t="s">
        <v>188</v>
      </c>
      <c r="C13" s="38" t="s">
        <v>186</v>
      </c>
      <c r="D13" s="40">
        <f>D12/D11</f>
        <v>0.15560402048169922</v>
      </c>
      <c r="E13" s="40">
        <f>E12/E11</f>
        <v>0.15654341503946823</v>
      </c>
      <c r="F13" s="40">
        <f>F12/F11</f>
        <v>0.16502373128879153</v>
      </c>
      <c r="G13" s="40">
        <f>CHOOSE('DCF Model'!$D$27,G55,G56,G57,G58,G59)</f>
        <v>0.16500000000000001</v>
      </c>
      <c r="H13" s="40">
        <f>CHOOSE('DCF Model'!$D$27,H55,H56,H57,H58,H59)</f>
        <v>0.16500000000000001</v>
      </c>
      <c r="I13" s="40">
        <f>CHOOSE('DCF Model'!$D$27,I55,I56,I57,I58,I59)</f>
        <v>0.16500000000000001</v>
      </c>
      <c r="J13" s="40">
        <f>CHOOSE('DCF Model'!$D$27,J55,J56,J57,J58,J59)</f>
        <v>0.17</v>
      </c>
      <c r="K13" s="40">
        <f>CHOOSE('DCF Model'!$D$27,K55,K56,K57,K58,K59)</f>
        <v>0.17499999999999999</v>
      </c>
    </row>
    <row r="15" spans="2:11" ht="14" x14ac:dyDescent="0.3">
      <c r="B15" s="8" t="s">
        <v>190</v>
      </c>
      <c r="C15" s="9"/>
      <c r="D15" s="9"/>
      <c r="E15" s="9"/>
      <c r="F15" s="9"/>
      <c r="G15" s="9"/>
      <c r="H15" s="9"/>
      <c r="I15" s="9"/>
      <c r="J15" s="9"/>
      <c r="K15" s="9"/>
    </row>
    <row r="16" spans="2:11" ht="14" x14ac:dyDescent="0.3">
      <c r="B16" s="4" t="s">
        <v>38</v>
      </c>
      <c r="C16" s="38" t="s">
        <v>186</v>
      </c>
      <c r="D16" s="28">
        <v>8680</v>
      </c>
      <c r="E16" s="28">
        <v>7993</v>
      </c>
      <c r="F16" s="28">
        <v>7751</v>
      </c>
      <c r="G16" s="28">
        <f>F16*(1+CHOOSE('DCF Model'!$D$27,G62,G63,G64,G65,G66))</f>
        <v>8440.8389999999999</v>
      </c>
      <c r="H16" s="28">
        <f>G16*(1+CHOOSE('DCF Model'!$D$27,H62,H63,H64,H65,H66))</f>
        <v>9192.0736710000001</v>
      </c>
      <c r="I16" s="28">
        <f>H16*(1+CHOOSE('DCF Model'!$D$27,I62,I63,I64,I65,I66))</f>
        <v>10010.168227718999</v>
      </c>
      <c r="J16" s="28">
        <f>I16*(1+CHOOSE('DCF Model'!$D$27,J62,J63,J64,J65,J66))</f>
        <v>10410.574956827759</v>
      </c>
      <c r="K16" s="28">
        <f>J16*(1+CHOOSE('DCF Model'!$D$27,K62,K63,K64,K65,K66))</f>
        <v>10618.786455964315</v>
      </c>
    </row>
    <row r="17" spans="2:11" ht="14" x14ac:dyDescent="0.3">
      <c r="B17" s="4" t="s">
        <v>187</v>
      </c>
      <c r="C17" s="38" t="s">
        <v>186</v>
      </c>
      <c r="D17" s="28">
        <v>823</v>
      </c>
      <c r="E17" s="28">
        <v>829</v>
      </c>
      <c r="F17" s="28">
        <v>830</v>
      </c>
      <c r="G17" s="28">
        <f>G16*CHOOSE('DCF Model'!$D$27,G69,G70,G71,G72,G73)</f>
        <v>844.08390000000009</v>
      </c>
      <c r="H17" s="28">
        <f>H16*CHOOSE('DCF Model'!$D$27,H69,H70,H71,H72,H73)</f>
        <v>965.16773545499996</v>
      </c>
      <c r="I17" s="28">
        <f>I16*CHOOSE('DCF Model'!$D$27,I69,I70,I71,I72,I73)</f>
        <v>1151.1693461876851</v>
      </c>
      <c r="J17" s="28">
        <f>J16*CHOOSE('DCF Model'!$D$27,J69,J70,J71,J72,J73)</f>
        <v>1249.2689948193311</v>
      </c>
      <c r="K17" s="28">
        <f>K16*CHOOSE('DCF Model'!$D$27,K69,K70,K71,K72,K73)</f>
        <v>1327.3483069955394</v>
      </c>
    </row>
    <row r="18" spans="2:11" ht="14" x14ac:dyDescent="0.3">
      <c r="B18" s="39" t="s">
        <v>188</v>
      </c>
      <c r="C18" s="38" t="s">
        <v>186</v>
      </c>
      <c r="D18" s="40">
        <f>D17/D16</f>
        <v>9.4815668202764977E-2</v>
      </c>
      <c r="E18" s="40">
        <f>E17/E16</f>
        <v>0.10371575128237208</v>
      </c>
      <c r="F18" s="40">
        <f>F17/F16</f>
        <v>0.10708295703780157</v>
      </c>
      <c r="G18" s="40">
        <f>CHOOSE('DCF Model'!$D$27,G69,G70,G71,G72,G73)</f>
        <v>0.1</v>
      </c>
      <c r="H18" s="40">
        <f>CHOOSE('DCF Model'!$D$27,H69,H70,H71,H72,H73)</f>
        <v>0.105</v>
      </c>
      <c r="I18" s="40">
        <f>CHOOSE('DCF Model'!$D$27,I69,I70,I71,I72,I73)</f>
        <v>0.115</v>
      </c>
      <c r="J18" s="40">
        <f>CHOOSE('DCF Model'!$D$27,J69,J70,J71,J72,J73)</f>
        <v>0.12</v>
      </c>
      <c r="K18" s="40">
        <f>CHOOSE('DCF Model'!$D$27,K69,K70,K71,K72,K73)</f>
        <v>0.125</v>
      </c>
    </row>
    <row r="20" spans="2:11" ht="14" x14ac:dyDescent="0.3">
      <c r="B20" s="22" t="s">
        <v>191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2:11" ht="14" x14ac:dyDescent="0.3">
      <c r="B21" s="4" t="s">
        <v>192</v>
      </c>
      <c r="C21" s="20" t="e">
        <f t="shared" ref="C21:K21" si="0">C6+C11+C16</f>
        <v>#VALUE!</v>
      </c>
      <c r="D21" s="20">
        <f t="shared" si="0"/>
        <v>23997</v>
      </c>
      <c r="E21" s="20">
        <f t="shared" si="0"/>
        <v>24598</v>
      </c>
      <c r="F21" s="20">
        <f t="shared" si="0"/>
        <v>26530</v>
      </c>
      <c r="G21" s="20">
        <f t="shared" si="0"/>
        <v>29047.027000000002</v>
      </c>
      <c r="H21" s="20">
        <f t="shared" si="0"/>
        <v>31859.326787000005</v>
      </c>
      <c r="I21" s="20">
        <f t="shared" si="0"/>
        <v>35009.198945851</v>
      </c>
      <c r="J21" s="20">
        <f t="shared" si="0"/>
        <v>37084.69303566897</v>
      </c>
      <c r="K21" s="20">
        <f t="shared" si="0"/>
        <v>38640.458902328886</v>
      </c>
    </row>
    <row r="22" spans="2:11" ht="14" x14ac:dyDescent="0.3">
      <c r="B22" s="4" t="s">
        <v>193</v>
      </c>
      <c r="C22" s="20" t="e">
        <f t="shared" ref="C22:K22" si="1">C7+C12+C17</f>
        <v>#VALUE!</v>
      </c>
      <c r="D22" s="20">
        <f t="shared" si="1"/>
        <v>3139</v>
      </c>
      <c r="E22" s="20">
        <f t="shared" si="1"/>
        <v>3174</v>
      </c>
      <c r="F22" s="20">
        <f t="shared" si="1"/>
        <v>3820</v>
      </c>
      <c r="G22" s="20">
        <f t="shared" si="1"/>
        <v>4123.4107600000007</v>
      </c>
      <c r="H22" s="20">
        <f t="shared" si="1"/>
        <v>4633.6325156350003</v>
      </c>
      <c r="I22" s="20">
        <f t="shared" si="1"/>
        <v>5318.5229971597255</v>
      </c>
      <c r="J22" s="20">
        <f t="shared" si="1"/>
        <v>5877.3989496789081</v>
      </c>
      <c r="K22" s="20">
        <f t="shared" si="1"/>
        <v>6331.2179582678718</v>
      </c>
    </row>
    <row r="23" spans="2:11" ht="14" x14ac:dyDescent="0.3">
      <c r="B23" s="39" t="s">
        <v>194</v>
      </c>
      <c r="C23" s="40" t="str">
        <f t="shared" ref="C23:K23" si="2">IFERROR(C22/C21,"—")</f>
        <v>—</v>
      </c>
      <c r="D23" s="40">
        <f t="shared" si="2"/>
        <v>0.13080801766887529</v>
      </c>
      <c r="E23" s="40">
        <f t="shared" si="2"/>
        <v>0.12903488088462475</v>
      </c>
      <c r="F23" s="40">
        <f t="shared" si="2"/>
        <v>0.14398793818318883</v>
      </c>
      <c r="G23" s="40">
        <f t="shared" si="2"/>
        <v>0.1419563785305808</v>
      </c>
      <c r="H23" s="40">
        <f t="shared" si="2"/>
        <v>0.14544037752629865</v>
      </c>
      <c r="I23" s="40">
        <f t="shared" si="2"/>
        <v>0.15191787179666483</v>
      </c>
      <c r="J23" s="40">
        <f t="shared" si="2"/>
        <v>0.1584858460072969</v>
      </c>
      <c r="K23" s="40">
        <f t="shared" si="2"/>
        <v>0.16384945050138328</v>
      </c>
    </row>
    <row r="25" spans="2:11" ht="14" x14ac:dyDescent="0.3">
      <c r="B25" s="41" t="s">
        <v>195</v>
      </c>
      <c r="C25" s="42"/>
      <c r="D25" s="42"/>
      <c r="E25" s="42"/>
      <c r="F25" s="42"/>
      <c r="G25" s="42"/>
      <c r="H25" s="42"/>
      <c r="I25" s="42"/>
      <c r="J25" s="42"/>
      <c r="K25" s="42"/>
    </row>
    <row r="26" spans="2:11" ht="14" x14ac:dyDescent="0.3">
      <c r="B26" s="4" t="s">
        <v>196</v>
      </c>
      <c r="G26" s="43">
        <f>'DCF Model'!C33</f>
        <v>29047.027000000002</v>
      </c>
      <c r="H26" s="43">
        <f>'DCF Model'!D33</f>
        <v>31859.326787000005</v>
      </c>
      <c r="I26" s="43">
        <f>'DCF Model'!E33</f>
        <v>35009.198945851</v>
      </c>
      <c r="J26" s="43">
        <f>'DCF Model'!F33</f>
        <v>37084.69303566897</v>
      </c>
      <c r="K26" s="43">
        <f>'DCF Model'!G33</f>
        <v>38640.458902328886</v>
      </c>
    </row>
    <row r="27" spans="2:11" ht="14" x14ac:dyDescent="0.3">
      <c r="B27" s="4" t="s">
        <v>197</v>
      </c>
      <c r="G27" s="28">
        <f>G21</f>
        <v>29047.027000000002</v>
      </c>
      <c r="H27" s="28">
        <f>H21</f>
        <v>31859.326787000005</v>
      </c>
      <c r="I27" s="28">
        <f>I21</f>
        <v>35009.198945851</v>
      </c>
      <c r="J27" s="28">
        <f>J21</f>
        <v>37084.69303566897</v>
      </c>
      <c r="K27" s="28">
        <f>K21</f>
        <v>38640.458902328886</v>
      </c>
    </row>
    <row r="28" spans="2:11" ht="14" x14ac:dyDescent="0.3">
      <c r="B28" s="4" t="s">
        <v>198</v>
      </c>
      <c r="G28" s="24">
        <f>G27-G26</f>
        <v>0</v>
      </c>
      <c r="H28" s="24">
        <f>H27-H26</f>
        <v>0</v>
      </c>
      <c r="I28" s="24">
        <f>I27-I26</f>
        <v>0</v>
      </c>
      <c r="J28" s="24">
        <f>J27-J26</f>
        <v>0</v>
      </c>
      <c r="K28" s="24">
        <f>K27-K26</f>
        <v>0</v>
      </c>
    </row>
    <row r="31" spans="2:11" ht="14" x14ac:dyDescent="0.3">
      <c r="B31" s="44" t="s">
        <v>199</v>
      </c>
      <c r="C31" s="45"/>
      <c r="D31" s="45"/>
      <c r="E31" s="45"/>
      <c r="F31" s="45"/>
      <c r="G31" s="45"/>
      <c r="H31" s="45"/>
      <c r="I31" s="45"/>
      <c r="J31" s="45"/>
      <c r="K31" s="45"/>
    </row>
    <row r="32" spans="2:11" ht="14" x14ac:dyDescent="0.3">
      <c r="G32" s="30" t="s">
        <v>85</v>
      </c>
      <c r="H32" s="30" t="s">
        <v>86</v>
      </c>
      <c r="I32" s="30" t="s">
        <v>87</v>
      </c>
      <c r="J32" s="30" t="s">
        <v>88</v>
      </c>
      <c r="K32" s="30" t="s">
        <v>89</v>
      </c>
    </row>
    <row r="33" spans="2:11" ht="14" x14ac:dyDescent="0.3">
      <c r="B33" s="3" t="s">
        <v>200</v>
      </c>
    </row>
    <row r="34" spans="2:11" ht="14" x14ac:dyDescent="0.3">
      <c r="B34" s="4" t="s">
        <v>83</v>
      </c>
      <c r="G34" s="46">
        <v>0.18</v>
      </c>
      <c r="H34" s="46">
        <v>0.17</v>
      </c>
      <c r="I34" s="46">
        <v>0.15</v>
      </c>
      <c r="J34" s="46">
        <v>0.1</v>
      </c>
      <c r="K34" s="46">
        <v>7.0000000000000007E-2</v>
      </c>
    </row>
    <row r="35" spans="2:11" ht="14" x14ac:dyDescent="0.3">
      <c r="B35" s="4" t="s">
        <v>132</v>
      </c>
      <c r="G35" s="46">
        <v>0.25</v>
      </c>
      <c r="H35" s="46">
        <v>0.22</v>
      </c>
      <c r="I35" s="46">
        <v>0.18</v>
      </c>
      <c r="J35" s="46">
        <v>0.13</v>
      </c>
      <c r="K35" s="46">
        <v>0.09</v>
      </c>
    </row>
    <row r="36" spans="2:11" ht="14" x14ac:dyDescent="0.3">
      <c r="B36" s="4" t="s">
        <v>133</v>
      </c>
      <c r="G36" s="46">
        <v>0.187</v>
      </c>
      <c r="H36" s="46">
        <v>0.187</v>
      </c>
      <c r="I36" s="46">
        <v>0.187</v>
      </c>
      <c r="J36" s="46">
        <v>0.1</v>
      </c>
      <c r="K36" s="46">
        <v>7.0000000000000007E-2</v>
      </c>
    </row>
    <row r="37" spans="2:11" ht="14" x14ac:dyDescent="0.3">
      <c r="B37" s="4" t="s">
        <v>134</v>
      </c>
      <c r="G37" s="46">
        <v>0.1</v>
      </c>
      <c r="H37" s="46">
        <v>0.08</v>
      </c>
      <c r="I37" s="46">
        <v>0.06</v>
      </c>
      <c r="J37" s="46">
        <v>0.04</v>
      </c>
      <c r="K37" s="46">
        <v>0.03</v>
      </c>
    </row>
    <row r="38" spans="2:11" ht="14" x14ac:dyDescent="0.3">
      <c r="B38" s="4" t="s">
        <v>135</v>
      </c>
      <c r="G38" s="46">
        <v>0.05</v>
      </c>
      <c r="H38" s="46">
        <v>0.03</v>
      </c>
      <c r="I38" s="46">
        <v>0.02</v>
      </c>
      <c r="J38" s="46">
        <v>0.01</v>
      </c>
      <c r="K38" s="46">
        <v>0.01</v>
      </c>
    </row>
    <row r="40" spans="2:11" ht="14" x14ac:dyDescent="0.3">
      <c r="B40" s="3" t="s">
        <v>201</v>
      </c>
    </row>
    <row r="41" spans="2:11" ht="14" x14ac:dyDescent="0.3">
      <c r="B41" s="4" t="s">
        <v>83</v>
      </c>
      <c r="G41" s="46">
        <v>0.16</v>
      </c>
      <c r="H41" s="46">
        <v>0.17</v>
      </c>
      <c r="I41" s="46">
        <v>0.18</v>
      </c>
      <c r="J41" s="46">
        <v>0.185</v>
      </c>
      <c r="K41" s="46">
        <v>0.19</v>
      </c>
    </row>
    <row r="42" spans="2:11" ht="14" x14ac:dyDescent="0.3">
      <c r="B42" s="4" t="s">
        <v>132</v>
      </c>
      <c r="G42" s="46">
        <v>0.17</v>
      </c>
      <c r="H42" s="46">
        <v>0.185</v>
      </c>
      <c r="I42" s="46">
        <v>0.2</v>
      </c>
      <c r="J42" s="46">
        <v>0.21</v>
      </c>
      <c r="K42" s="46">
        <v>0.22</v>
      </c>
    </row>
    <row r="43" spans="2:11" ht="14" x14ac:dyDescent="0.3">
      <c r="B43" s="4" t="s">
        <v>133</v>
      </c>
      <c r="G43" s="46">
        <v>0.14499999999999999</v>
      </c>
      <c r="H43" s="46">
        <v>0.155</v>
      </c>
      <c r="I43" s="46">
        <v>0.17</v>
      </c>
      <c r="J43" s="46">
        <v>0.18</v>
      </c>
      <c r="K43" s="46">
        <v>0.185</v>
      </c>
    </row>
    <row r="44" spans="2:11" ht="14" x14ac:dyDescent="0.3">
      <c r="B44" s="4" t="s">
        <v>134</v>
      </c>
      <c r="G44" s="46">
        <v>0.14499999999999999</v>
      </c>
      <c r="H44" s="46">
        <v>0.15</v>
      </c>
      <c r="I44" s="46">
        <v>0.155</v>
      </c>
      <c r="J44" s="46">
        <v>0.16</v>
      </c>
      <c r="K44" s="46">
        <v>0.16</v>
      </c>
    </row>
    <row r="45" spans="2:11" ht="14" x14ac:dyDescent="0.3">
      <c r="B45" s="4" t="s">
        <v>135</v>
      </c>
      <c r="G45" s="46">
        <v>0.13500000000000001</v>
      </c>
      <c r="H45" s="46">
        <v>0.13</v>
      </c>
      <c r="I45" s="46">
        <v>0.13</v>
      </c>
      <c r="J45" s="46">
        <v>0.13</v>
      </c>
      <c r="K45" s="46">
        <v>0.13</v>
      </c>
    </row>
    <row r="47" spans="2:11" ht="14" x14ac:dyDescent="0.3">
      <c r="B47" s="3" t="s">
        <v>202</v>
      </c>
    </row>
    <row r="48" spans="2:11" ht="14" x14ac:dyDescent="0.3">
      <c r="B48" s="4" t="s">
        <v>83</v>
      </c>
      <c r="G48" s="46">
        <v>0.08</v>
      </c>
      <c r="H48" s="46">
        <v>7.0000000000000007E-2</v>
      </c>
      <c r="I48" s="46">
        <v>0.06</v>
      </c>
      <c r="J48" s="46">
        <v>0.05</v>
      </c>
      <c r="K48" s="46">
        <v>0.04</v>
      </c>
    </row>
    <row r="49" spans="2:11" ht="14" x14ac:dyDescent="0.3">
      <c r="B49" s="4" t="s">
        <v>132</v>
      </c>
      <c r="G49" s="46">
        <v>0.1</v>
      </c>
      <c r="H49" s="46">
        <v>0.09</v>
      </c>
      <c r="I49" s="46">
        <v>0.08</v>
      </c>
      <c r="J49" s="46">
        <v>7.0000000000000007E-2</v>
      </c>
      <c r="K49" s="46">
        <v>0.05</v>
      </c>
    </row>
    <row r="50" spans="2:11" ht="14" x14ac:dyDescent="0.3">
      <c r="B50" s="4" t="s">
        <v>133</v>
      </c>
      <c r="G50" s="46">
        <v>6.4000000000000001E-2</v>
      </c>
      <c r="H50" s="46">
        <v>6.4000000000000001E-2</v>
      </c>
      <c r="I50" s="46">
        <v>6.4000000000000001E-2</v>
      </c>
      <c r="J50" s="46">
        <v>0.05</v>
      </c>
      <c r="K50" s="46">
        <v>0.04</v>
      </c>
    </row>
    <row r="51" spans="2:11" ht="14" x14ac:dyDescent="0.3">
      <c r="B51" s="4" t="s">
        <v>134</v>
      </c>
      <c r="G51" s="46">
        <v>0.05</v>
      </c>
      <c r="H51" s="46">
        <v>0.04</v>
      </c>
      <c r="I51" s="46">
        <v>0.03</v>
      </c>
      <c r="J51" s="46">
        <v>0.03</v>
      </c>
      <c r="K51" s="46">
        <v>0.02</v>
      </c>
    </row>
    <row r="52" spans="2:11" ht="14" x14ac:dyDescent="0.3">
      <c r="B52" s="4" t="s">
        <v>135</v>
      </c>
      <c r="G52" s="46">
        <v>0.03</v>
      </c>
      <c r="H52" s="46">
        <v>0.02</v>
      </c>
      <c r="I52" s="46">
        <v>0.01</v>
      </c>
      <c r="J52" s="46">
        <v>0.01</v>
      </c>
      <c r="K52" s="46">
        <v>0.01</v>
      </c>
    </row>
    <row r="54" spans="2:11" ht="14" x14ac:dyDescent="0.3">
      <c r="B54" s="3" t="s">
        <v>203</v>
      </c>
    </row>
    <row r="55" spans="2:11" ht="14" x14ac:dyDescent="0.3">
      <c r="B55" s="4" t="s">
        <v>83</v>
      </c>
      <c r="G55" s="46">
        <v>0.17499999999999999</v>
      </c>
      <c r="H55" s="46">
        <v>0.18</v>
      </c>
      <c r="I55" s="46">
        <v>0.185</v>
      </c>
      <c r="J55" s="46">
        <v>0.187</v>
      </c>
      <c r="K55" s="46">
        <v>0.19</v>
      </c>
    </row>
    <row r="56" spans="2:11" ht="14" x14ac:dyDescent="0.3">
      <c r="B56" s="4" t="s">
        <v>132</v>
      </c>
      <c r="G56" s="46">
        <v>0.185</v>
      </c>
      <c r="H56" s="46">
        <v>0.19</v>
      </c>
      <c r="I56" s="46">
        <v>0.19500000000000001</v>
      </c>
      <c r="J56" s="46">
        <v>0.2</v>
      </c>
      <c r="K56" s="46">
        <v>0.20499999999999999</v>
      </c>
    </row>
    <row r="57" spans="2:11" ht="14" x14ac:dyDescent="0.3">
      <c r="B57" s="4" t="s">
        <v>133</v>
      </c>
      <c r="G57" s="46">
        <v>0.16500000000000001</v>
      </c>
      <c r="H57" s="46">
        <v>0.16500000000000001</v>
      </c>
      <c r="I57" s="46">
        <v>0.16500000000000001</v>
      </c>
      <c r="J57" s="46">
        <v>0.17</v>
      </c>
      <c r="K57" s="46">
        <v>0.17499999999999999</v>
      </c>
    </row>
    <row r="58" spans="2:11" ht="14" x14ac:dyDescent="0.3">
      <c r="B58" s="4" t="s">
        <v>134</v>
      </c>
      <c r="G58" s="46">
        <v>0.16</v>
      </c>
      <c r="H58" s="46">
        <v>0.16</v>
      </c>
      <c r="I58" s="46">
        <v>0.16200000000000001</v>
      </c>
      <c r="J58" s="46">
        <v>0.16500000000000001</v>
      </c>
      <c r="K58" s="46">
        <v>0.16500000000000001</v>
      </c>
    </row>
    <row r="59" spans="2:11" ht="14" x14ac:dyDescent="0.3">
      <c r="B59" s="4" t="s">
        <v>135</v>
      </c>
      <c r="G59" s="46">
        <v>0.15</v>
      </c>
      <c r="H59" s="46">
        <v>0.14499999999999999</v>
      </c>
      <c r="I59" s="46">
        <v>0.14499999999999999</v>
      </c>
      <c r="J59" s="46">
        <v>0.14499999999999999</v>
      </c>
      <c r="K59" s="46">
        <v>0.14499999999999999</v>
      </c>
    </row>
    <row r="61" spans="2:11" ht="14" x14ac:dyDescent="0.3">
      <c r="B61" s="3" t="s">
        <v>204</v>
      </c>
    </row>
    <row r="62" spans="2:11" ht="14" x14ac:dyDescent="0.3">
      <c r="B62" s="4" t="s">
        <v>83</v>
      </c>
      <c r="G62" s="46">
        <v>0.05</v>
      </c>
      <c r="H62" s="46">
        <v>0.06</v>
      </c>
      <c r="I62" s="46">
        <v>0.05</v>
      </c>
      <c r="J62" s="46">
        <v>0.03</v>
      </c>
      <c r="K62" s="46">
        <v>0.02</v>
      </c>
    </row>
    <row r="63" spans="2:11" ht="14" x14ac:dyDescent="0.3">
      <c r="B63" s="4" t="s">
        <v>132</v>
      </c>
      <c r="G63" s="46">
        <v>0.08</v>
      </c>
      <c r="H63" s="46">
        <v>0.1</v>
      </c>
      <c r="I63" s="46">
        <v>0.08</v>
      </c>
      <c r="J63" s="46">
        <v>0.05</v>
      </c>
      <c r="K63" s="46">
        <v>0.03</v>
      </c>
    </row>
    <row r="64" spans="2:11" ht="14" x14ac:dyDescent="0.3">
      <c r="B64" s="4" t="s">
        <v>133</v>
      </c>
      <c r="G64" s="46">
        <v>8.8999999999999996E-2</v>
      </c>
      <c r="H64" s="46">
        <v>8.8999999999999996E-2</v>
      </c>
      <c r="I64" s="46">
        <v>8.8999999999999996E-2</v>
      </c>
      <c r="J64" s="46">
        <v>0.04</v>
      </c>
      <c r="K64" s="46">
        <v>0.02</v>
      </c>
    </row>
    <row r="65" spans="2:11" ht="14" x14ac:dyDescent="0.3">
      <c r="B65" s="4" t="s">
        <v>134</v>
      </c>
      <c r="G65" s="46">
        <v>0.01</v>
      </c>
      <c r="H65" s="46">
        <v>0.01</v>
      </c>
      <c r="I65" s="46">
        <v>0.01</v>
      </c>
      <c r="J65" s="46">
        <v>0.01</v>
      </c>
      <c r="K65" s="46">
        <v>0.01</v>
      </c>
    </row>
    <row r="66" spans="2:11" ht="14" x14ac:dyDescent="0.3">
      <c r="B66" s="4" t="s">
        <v>135</v>
      </c>
      <c r="G66" s="46">
        <v>-0.02</v>
      </c>
      <c r="H66" s="46">
        <v>-0.01</v>
      </c>
      <c r="I66" s="46">
        <v>0</v>
      </c>
      <c r="J66" s="46">
        <v>0</v>
      </c>
      <c r="K66" s="46">
        <v>0</v>
      </c>
    </row>
    <row r="68" spans="2:11" ht="14" x14ac:dyDescent="0.3">
      <c r="B68" s="3" t="s">
        <v>205</v>
      </c>
    </row>
    <row r="69" spans="2:11" ht="14" x14ac:dyDescent="0.3">
      <c r="B69" s="4" t="s">
        <v>83</v>
      </c>
      <c r="G69" s="46">
        <v>0.11</v>
      </c>
      <c r="H69" s="46">
        <v>0.12</v>
      </c>
      <c r="I69" s="46">
        <v>0.13</v>
      </c>
      <c r="J69" s="46">
        <v>0.13500000000000001</v>
      </c>
      <c r="K69" s="46">
        <v>0.14000000000000001</v>
      </c>
    </row>
    <row r="70" spans="2:11" ht="14" x14ac:dyDescent="0.3">
      <c r="B70" s="4" t="s">
        <v>132</v>
      </c>
      <c r="G70" s="46">
        <v>0.12</v>
      </c>
      <c r="H70" s="46">
        <v>0.13500000000000001</v>
      </c>
      <c r="I70" s="46">
        <v>0.15</v>
      </c>
      <c r="J70" s="46">
        <v>0.155</v>
      </c>
      <c r="K70" s="46">
        <v>0.16</v>
      </c>
    </row>
    <row r="71" spans="2:11" ht="14" x14ac:dyDescent="0.3">
      <c r="B71" s="4" t="s">
        <v>133</v>
      </c>
      <c r="G71" s="46">
        <v>0.1</v>
      </c>
      <c r="H71" s="46">
        <v>0.105</v>
      </c>
      <c r="I71" s="46">
        <v>0.115</v>
      </c>
      <c r="J71" s="46">
        <v>0.12</v>
      </c>
      <c r="K71" s="46">
        <v>0.125</v>
      </c>
    </row>
    <row r="72" spans="2:11" ht="14" x14ac:dyDescent="0.3">
      <c r="B72" s="4" t="s">
        <v>134</v>
      </c>
      <c r="G72" s="46">
        <v>9.5000000000000001E-2</v>
      </c>
      <c r="H72" s="46">
        <v>9.5000000000000001E-2</v>
      </c>
      <c r="I72" s="46">
        <v>0.1</v>
      </c>
      <c r="J72" s="46">
        <v>0.1</v>
      </c>
      <c r="K72" s="46">
        <v>0.1</v>
      </c>
    </row>
    <row r="73" spans="2:11" ht="14" x14ac:dyDescent="0.3">
      <c r="B73" s="4" t="s">
        <v>135</v>
      </c>
      <c r="G73" s="46">
        <v>8.5000000000000006E-2</v>
      </c>
      <c r="H73" s="46">
        <v>0.08</v>
      </c>
      <c r="I73" s="46">
        <v>0.08</v>
      </c>
      <c r="J73" s="46">
        <v>0.08</v>
      </c>
      <c r="K73" s="46">
        <v>0.08</v>
      </c>
    </row>
    <row r="76" spans="2:11" ht="14" x14ac:dyDescent="0.3">
      <c r="B76" s="47" t="s">
        <v>206</v>
      </c>
      <c r="C76" s="48"/>
      <c r="D76" s="48"/>
      <c r="E76" s="48"/>
      <c r="F76" s="48"/>
      <c r="G76" s="48"/>
      <c r="H76" s="48"/>
      <c r="I76" s="48"/>
      <c r="J76" s="48"/>
      <c r="K76" s="48"/>
    </row>
    <row r="77" spans="2:11" ht="14" x14ac:dyDescent="0.3">
      <c r="G77" s="30" t="s">
        <v>85</v>
      </c>
      <c r="H77" s="30" t="s">
        <v>86</v>
      </c>
      <c r="I77" s="30" t="s">
        <v>87</v>
      </c>
      <c r="J77" s="30" t="s">
        <v>88</v>
      </c>
      <c r="K77" s="30" t="s">
        <v>89</v>
      </c>
    </row>
    <row r="78" spans="2:11" ht="14" x14ac:dyDescent="0.3">
      <c r="B78" s="3" t="s">
        <v>91</v>
      </c>
    </row>
    <row r="79" spans="2:11" ht="14" x14ac:dyDescent="0.3">
      <c r="B79" s="4" t="s">
        <v>83</v>
      </c>
      <c r="G79" s="46">
        <v>0.13300000000000001</v>
      </c>
      <c r="H79" s="46">
        <v>0.13</v>
      </c>
      <c r="I79" s="46">
        <v>0.128</v>
      </c>
      <c r="J79" s="46">
        <v>0.126</v>
      </c>
      <c r="K79" s="46">
        <v>0.125</v>
      </c>
    </row>
    <row r="80" spans="2:11" ht="14" x14ac:dyDescent="0.3">
      <c r="B80" s="4" t="s">
        <v>132</v>
      </c>
      <c r="G80" s="46">
        <v>0.13</v>
      </c>
      <c r="H80" s="46">
        <v>0.125</v>
      </c>
      <c r="I80" s="46">
        <v>0.122</v>
      </c>
      <c r="J80" s="46">
        <v>0.12</v>
      </c>
      <c r="K80" s="46">
        <v>0.11799999999999999</v>
      </c>
    </row>
    <row r="81" spans="2:11" ht="14" x14ac:dyDescent="0.3">
      <c r="B81" s="4" t="s">
        <v>133</v>
      </c>
      <c r="G81" s="46">
        <v>0.14599999999999999</v>
      </c>
      <c r="H81" s="46">
        <v>0.14299999999999999</v>
      </c>
      <c r="I81" s="46">
        <v>0.14000000000000001</v>
      </c>
      <c r="J81" s="46">
        <v>0.13800000000000001</v>
      </c>
      <c r="K81" s="46">
        <v>0.13500000000000001</v>
      </c>
    </row>
    <row r="82" spans="2:11" ht="14" x14ac:dyDescent="0.3">
      <c r="B82" s="4" t="s">
        <v>134</v>
      </c>
      <c r="G82" s="46">
        <v>0.14000000000000001</v>
      </c>
      <c r="H82" s="46">
        <v>0.14199999999999999</v>
      </c>
      <c r="I82" s="46">
        <v>0.14499999999999999</v>
      </c>
      <c r="J82" s="46">
        <v>0.14499999999999999</v>
      </c>
      <c r="K82" s="46">
        <v>0.14499999999999999</v>
      </c>
    </row>
    <row r="83" spans="2:11" ht="14" x14ac:dyDescent="0.3">
      <c r="B83" s="4" t="s">
        <v>135</v>
      </c>
      <c r="G83" s="46">
        <v>0.14799999999999999</v>
      </c>
      <c r="H83" s="46">
        <v>0.15</v>
      </c>
      <c r="I83" s="46">
        <v>0.155</v>
      </c>
      <c r="J83" s="46">
        <v>0.155</v>
      </c>
      <c r="K83" s="46">
        <v>0.15</v>
      </c>
    </row>
  </sheetData>
  <phoneticPr fontId="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0082"/>
  </sheetPr>
  <dimension ref="B2:K20"/>
  <sheetViews>
    <sheetView workbookViewId="0">
      <pane xSplit="2" ySplit="4" topLeftCell="C7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1" width="16" customWidth="1"/>
  </cols>
  <sheetData>
    <row r="2" spans="2:11" ht="18" x14ac:dyDescent="0.4">
      <c r="B2" s="2" t="s">
        <v>207</v>
      </c>
    </row>
    <row r="4" spans="2:11" ht="14" x14ac:dyDescent="0.3">
      <c r="C4" s="10" t="s">
        <v>35</v>
      </c>
      <c r="D4" s="10" t="s">
        <v>36</v>
      </c>
      <c r="E4" s="10" t="s">
        <v>183</v>
      </c>
      <c r="F4" s="10" t="s">
        <v>184</v>
      </c>
      <c r="G4" s="10" t="s">
        <v>85</v>
      </c>
      <c r="H4" s="10" t="s">
        <v>86</v>
      </c>
      <c r="I4" s="10" t="s">
        <v>87</v>
      </c>
      <c r="J4" s="10" t="s">
        <v>88</v>
      </c>
      <c r="K4" s="10" t="s">
        <v>89</v>
      </c>
    </row>
    <row r="5" spans="2:11" ht="14" x14ac:dyDescent="0.3">
      <c r="B5" s="8" t="s">
        <v>208</v>
      </c>
      <c r="C5" s="9"/>
      <c r="D5" s="9"/>
      <c r="E5" s="9"/>
      <c r="F5" s="9"/>
      <c r="G5" s="9"/>
      <c r="H5" s="9"/>
      <c r="I5" s="9"/>
      <c r="J5" s="9"/>
      <c r="K5" s="9"/>
    </row>
    <row r="6" spans="2:11" ht="14" x14ac:dyDescent="0.3">
      <c r="B6" s="4" t="s">
        <v>209</v>
      </c>
      <c r="C6" s="38" t="s">
        <v>186</v>
      </c>
      <c r="D6" s="28">
        <v>4771</v>
      </c>
      <c r="E6" s="28">
        <v>4570</v>
      </c>
      <c r="F6" s="28">
        <v>5084</v>
      </c>
      <c r="G6" s="49">
        <v>5999</v>
      </c>
      <c r="H6" s="49">
        <v>7019</v>
      </c>
      <c r="I6" s="49">
        <v>8072</v>
      </c>
      <c r="J6" s="49">
        <v>8879</v>
      </c>
      <c r="K6" s="49">
        <v>9501</v>
      </c>
    </row>
    <row r="7" spans="2:11" ht="14" x14ac:dyDescent="0.3">
      <c r="B7" s="39" t="s">
        <v>210</v>
      </c>
      <c r="C7" s="38" t="s">
        <v>186</v>
      </c>
      <c r="D7" s="40" t="str">
        <f t="shared" ref="D7:K7" si="0">IFERROR((D6-C6)/C6,"—")</f>
        <v>—</v>
      </c>
      <c r="E7" s="40">
        <f t="shared" si="0"/>
        <v>-4.2129532592747855E-2</v>
      </c>
      <c r="F7" s="40">
        <f t="shared" si="0"/>
        <v>0.112472647702407</v>
      </c>
      <c r="G7" s="40">
        <f t="shared" si="0"/>
        <v>0.17997639653815892</v>
      </c>
      <c r="H7" s="40">
        <f t="shared" si="0"/>
        <v>0.17002833805634274</v>
      </c>
      <c r="I7" s="40">
        <f t="shared" si="0"/>
        <v>0.15002137056560763</v>
      </c>
      <c r="J7" s="40">
        <f t="shared" si="0"/>
        <v>9.997522299306244E-2</v>
      </c>
      <c r="K7" s="40">
        <f t="shared" si="0"/>
        <v>7.0052933888951452E-2</v>
      </c>
    </row>
    <row r="9" spans="2:11" ht="14" x14ac:dyDescent="0.3">
      <c r="B9" s="8" t="s">
        <v>211</v>
      </c>
      <c r="C9" s="9"/>
      <c r="D9" s="9"/>
      <c r="E9" s="9"/>
      <c r="F9" s="9"/>
      <c r="G9" s="9"/>
      <c r="H9" s="9"/>
      <c r="I9" s="9"/>
      <c r="J9" s="9"/>
      <c r="K9" s="9"/>
    </row>
    <row r="10" spans="2:11" ht="14" x14ac:dyDescent="0.3">
      <c r="B10" s="4" t="s">
        <v>212</v>
      </c>
      <c r="C10" s="38" t="s">
        <v>186</v>
      </c>
      <c r="D10" s="38" t="s">
        <v>186</v>
      </c>
      <c r="E10" s="38" t="s">
        <v>186</v>
      </c>
      <c r="F10" s="38" t="s">
        <v>186</v>
      </c>
      <c r="G10" s="31">
        <v>850</v>
      </c>
      <c r="H10" s="31">
        <v>880</v>
      </c>
      <c r="I10" s="31">
        <v>910</v>
      </c>
      <c r="J10" s="31">
        <v>940</v>
      </c>
      <c r="K10" s="31">
        <v>940</v>
      </c>
    </row>
    <row r="11" spans="2:11" ht="14" x14ac:dyDescent="0.3">
      <c r="B11" s="4" t="s">
        <v>213</v>
      </c>
      <c r="C11" s="38" t="s">
        <v>186</v>
      </c>
      <c r="D11" s="38" t="s">
        <v>186</v>
      </c>
      <c r="E11" s="38" t="s">
        <v>186</v>
      </c>
      <c r="F11" s="38" t="s">
        <v>186</v>
      </c>
      <c r="G11" s="46">
        <v>0.93</v>
      </c>
      <c r="H11" s="46">
        <v>0.93</v>
      </c>
      <c r="I11" s="46">
        <v>0.94</v>
      </c>
      <c r="J11" s="46">
        <v>0.94</v>
      </c>
      <c r="K11" s="46">
        <v>0.94</v>
      </c>
    </row>
    <row r="12" spans="2:11" ht="14" x14ac:dyDescent="0.3">
      <c r="B12" s="4" t="s">
        <v>214</v>
      </c>
      <c r="C12" s="38" t="s">
        <v>186</v>
      </c>
      <c r="D12" s="38" t="s">
        <v>186</v>
      </c>
      <c r="E12" s="38" t="s">
        <v>186</v>
      </c>
      <c r="F12" s="38" t="s">
        <v>186</v>
      </c>
      <c r="G12" s="50">
        <v>0.72</v>
      </c>
      <c r="H12" s="50">
        <v>0.74</v>
      </c>
      <c r="I12" s="50">
        <v>0.76</v>
      </c>
      <c r="J12" s="50">
        <v>0.78</v>
      </c>
      <c r="K12" s="50">
        <v>0.78</v>
      </c>
    </row>
    <row r="13" spans="2:11" ht="14" x14ac:dyDescent="0.3">
      <c r="B13" s="4" t="s">
        <v>215</v>
      </c>
      <c r="C13" s="38" t="s">
        <v>186</v>
      </c>
      <c r="D13" s="38" t="s">
        <v>186</v>
      </c>
      <c r="E13" s="38" t="s">
        <v>186</v>
      </c>
      <c r="F13" s="38" t="s">
        <v>186</v>
      </c>
      <c r="G13" s="20">
        <f>G10*G11*G12*12</f>
        <v>6829.92</v>
      </c>
      <c r="H13" s="20">
        <f>H10*H11*H12*12</f>
        <v>7267.3920000000016</v>
      </c>
      <c r="I13" s="20">
        <f>I10*I11*I12*12</f>
        <v>7801.2480000000005</v>
      </c>
      <c r="J13" s="20">
        <f>J10*J11*J12*12</f>
        <v>8270.4959999999992</v>
      </c>
      <c r="K13" s="20">
        <f>K10*K11*K12*12</f>
        <v>8270.4959999999992</v>
      </c>
    </row>
    <row r="14" spans="2:11" ht="14" x14ac:dyDescent="0.3">
      <c r="B14" s="4" t="s">
        <v>216</v>
      </c>
      <c r="C14" s="38" t="s">
        <v>186</v>
      </c>
      <c r="D14" s="38" t="s">
        <v>186</v>
      </c>
      <c r="E14" s="28">
        <v>6058</v>
      </c>
      <c r="F14" s="38" t="s">
        <v>186</v>
      </c>
      <c r="G14" s="49">
        <v>8135</v>
      </c>
      <c r="H14" s="49">
        <v>9496</v>
      </c>
      <c r="I14" s="49">
        <v>10904</v>
      </c>
      <c r="J14" s="49">
        <v>11978</v>
      </c>
      <c r="K14" s="49">
        <v>12823</v>
      </c>
    </row>
    <row r="15" spans="2:11" ht="14" x14ac:dyDescent="0.3">
      <c r="B15" s="4" t="s">
        <v>217</v>
      </c>
      <c r="C15" s="38" t="s">
        <v>186</v>
      </c>
      <c r="D15" s="20">
        <v>10546</v>
      </c>
      <c r="E15" s="20">
        <v>12035</v>
      </c>
      <c r="F15" s="20">
        <v>13695</v>
      </c>
      <c r="G15" s="20">
        <f>G13+G14</f>
        <v>14964.92</v>
      </c>
      <c r="H15" s="20">
        <f>H13+H14</f>
        <v>16763.392</v>
      </c>
      <c r="I15" s="20">
        <f>I13+I14</f>
        <v>18705.248</v>
      </c>
      <c r="J15" s="20">
        <f>J13+J14</f>
        <v>20248.495999999999</v>
      </c>
      <c r="K15" s="20">
        <f>K13+K14</f>
        <v>21093.495999999999</v>
      </c>
    </row>
    <row r="16" spans="2:11" ht="14" x14ac:dyDescent="0.3">
      <c r="B16" s="39" t="s">
        <v>218</v>
      </c>
      <c r="C16" s="40" t="str">
        <f t="shared" ref="C16:K16" si="1">IFERROR(C14/C15,"—")</f>
        <v>—</v>
      </c>
      <c r="D16" s="40" t="str">
        <f t="shared" si="1"/>
        <v>—</v>
      </c>
      <c r="E16" s="40">
        <f t="shared" si="1"/>
        <v>0.50336518487744075</v>
      </c>
      <c r="F16" s="40" t="str">
        <f t="shared" si="1"/>
        <v>—</v>
      </c>
      <c r="G16" s="40">
        <f t="shared" si="1"/>
        <v>0.543604643392681</v>
      </c>
      <c r="H16" s="40">
        <f t="shared" si="1"/>
        <v>0.56647246571576926</v>
      </c>
      <c r="I16" s="40">
        <f t="shared" si="1"/>
        <v>0.58293800755809277</v>
      </c>
      <c r="J16" s="40">
        <f t="shared" si="1"/>
        <v>0.59155010821544474</v>
      </c>
      <c r="K16" s="40">
        <f t="shared" si="1"/>
        <v>0.60791250535236074</v>
      </c>
    </row>
    <row r="18" spans="2:11" ht="14" x14ac:dyDescent="0.3">
      <c r="B18" s="8" t="s">
        <v>219</v>
      </c>
      <c r="C18" s="9"/>
      <c r="D18" s="9"/>
      <c r="E18" s="9"/>
      <c r="F18" s="9"/>
      <c r="G18" s="9"/>
      <c r="H18" s="9"/>
      <c r="I18" s="9"/>
      <c r="J18" s="9"/>
      <c r="K18" s="9"/>
    </row>
    <row r="19" spans="2:11" ht="14" x14ac:dyDescent="0.3">
      <c r="B19" s="4" t="s">
        <v>209</v>
      </c>
      <c r="C19" s="38" t="s">
        <v>186</v>
      </c>
      <c r="D19" s="28">
        <v>8680</v>
      </c>
      <c r="E19" s="28">
        <v>7993</v>
      </c>
      <c r="F19" s="28">
        <v>7751</v>
      </c>
      <c r="G19" s="49">
        <v>8139</v>
      </c>
      <c r="H19" s="49">
        <v>8627</v>
      </c>
      <c r="I19" s="49">
        <v>9058</v>
      </c>
      <c r="J19" s="49">
        <v>9330</v>
      </c>
      <c r="K19" s="49">
        <v>9517</v>
      </c>
    </row>
    <row r="20" spans="2:11" ht="14" x14ac:dyDescent="0.3">
      <c r="B20" s="39" t="s">
        <v>210</v>
      </c>
      <c r="C20" s="38" t="s">
        <v>186</v>
      </c>
      <c r="D20" s="40" t="str">
        <f t="shared" ref="D20:K20" si="2">IFERROR((D19-C19)/C19,"—")</f>
        <v>—</v>
      </c>
      <c r="E20" s="40">
        <f t="shared" si="2"/>
        <v>-7.9147465437788014E-2</v>
      </c>
      <c r="F20" s="40">
        <f t="shared" si="2"/>
        <v>-3.0276491930439135E-2</v>
      </c>
      <c r="G20" s="40">
        <f t="shared" si="2"/>
        <v>5.0058057024900016E-2</v>
      </c>
      <c r="H20" s="40">
        <f t="shared" si="2"/>
        <v>5.9958225826268585E-2</v>
      </c>
      <c r="I20" s="40">
        <f t="shared" si="2"/>
        <v>4.9959429697461456E-2</v>
      </c>
      <c r="J20" s="40">
        <f t="shared" si="2"/>
        <v>3.0028703908147495E-2</v>
      </c>
      <c r="K20" s="40">
        <f t="shared" si="2"/>
        <v>2.0042872454448017E-2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Segment Analysis</vt:lpstr>
      <vt:lpstr>Driver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2026-05-09T02:03:26Z</dcterms:created>
  <dcterms:modified xsi:type="dcterms:W3CDTF">2026-05-09T05:08:51Z</dcterms:modified>
</cp:coreProperties>
</file>