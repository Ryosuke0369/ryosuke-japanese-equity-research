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DF02F90-7F83-45E5-BE07-A1053F569DC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H15" i="6" s="1"/>
  <c r="M6" i="6"/>
  <c r="L6" i="6"/>
  <c r="F16" i="6" s="1"/>
  <c r="C28" i="6" s="1"/>
  <c r="C19" i="1" s="1"/>
  <c r="D19" i="1" s="1"/>
  <c r="K6" i="6"/>
  <c r="E15" i="6" s="1"/>
  <c r="J6" i="6"/>
  <c r="D17" i="6" s="1"/>
  <c r="O5" i="6"/>
  <c r="N5" i="6"/>
  <c r="D5" i="6"/>
  <c r="E5" i="6" s="1"/>
  <c r="C16" i="5"/>
  <c r="C14" i="5"/>
  <c r="C18" i="5" s="1"/>
  <c r="C7" i="5"/>
  <c r="C6" i="5"/>
  <c r="C5" i="5"/>
  <c r="C13" i="4"/>
  <c r="C12" i="4"/>
  <c r="C9" i="4"/>
  <c r="C7" i="4"/>
  <c r="C6" i="4"/>
  <c r="C8" i="4" s="1"/>
  <c r="C10" i="4" s="1"/>
  <c r="D27" i="3"/>
  <c r="G5" i="5" s="1"/>
  <c r="C25" i="3"/>
  <c r="C24" i="3"/>
  <c r="C23" i="3"/>
  <c r="C26" i="3" s="1"/>
  <c r="F16" i="2"/>
  <c r="E16" i="2"/>
  <c r="D16" i="2"/>
  <c r="F15" i="2"/>
  <c r="E15" i="2"/>
  <c r="D15" i="2"/>
  <c r="F14" i="2"/>
  <c r="E14" i="2"/>
  <c r="D14" i="2"/>
  <c r="C14" i="2"/>
  <c r="F13" i="2"/>
  <c r="E13" i="2"/>
  <c r="D13" i="2"/>
  <c r="C13" i="2"/>
  <c r="F8" i="2"/>
  <c r="F9" i="2" s="1"/>
  <c r="E8" i="2"/>
  <c r="E9" i="2" s="1"/>
  <c r="D8" i="2"/>
  <c r="D9" i="2" s="1"/>
  <c r="C8" i="2"/>
  <c r="C9" i="2" s="1"/>
  <c r="C3" i="7" l="1"/>
  <c r="E36" i="4"/>
  <c r="E39" i="4" s="1"/>
  <c r="E46" i="3"/>
  <c r="G15" i="6"/>
  <c r="F15" i="6"/>
  <c r="I16" i="6"/>
  <c r="H16" i="6"/>
  <c r="F6" i="7"/>
  <c r="C70" i="4"/>
  <c r="C71" i="4"/>
  <c r="J5" i="6"/>
  <c r="K5" i="6"/>
  <c r="B13" i="7"/>
  <c r="B12" i="7"/>
  <c r="B11" i="7"/>
  <c r="B10" i="7"/>
  <c r="B9" i="7"/>
  <c r="B8" i="7"/>
  <c r="B7" i="7"/>
  <c r="B24" i="7"/>
  <c r="B23" i="7"/>
  <c r="B22" i="7"/>
  <c r="B21" i="7"/>
  <c r="B20" i="7"/>
  <c r="B19" i="7"/>
  <c r="B18" i="7"/>
  <c r="G6" i="5"/>
  <c r="C31" i="3"/>
  <c r="F32" i="3"/>
  <c r="H36" i="4"/>
  <c r="E45" i="4"/>
  <c r="H5" i="5"/>
  <c r="D7" i="5"/>
  <c r="I15" i="6"/>
  <c r="E17" i="6"/>
  <c r="I6" i="7"/>
  <c r="E30" i="3"/>
  <c r="C32" i="3"/>
  <c r="E46" i="4"/>
  <c r="E5" i="5"/>
  <c r="D31" i="3"/>
  <c r="G32" i="3"/>
  <c r="E41" i="4"/>
  <c r="E7" i="5"/>
  <c r="L5" i="6"/>
  <c r="D16" i="6"/>
  <c r="F17" i="6"/>
  <c r="C17" i="7"/>
  <c r="E31" i="3"/>
  <c r="E38" i="4"/>
  <c r="D6" i="5"/>
  <c r="F7" i="5"/>
  <c r="M5" i="6"/>
  <c r="E16" i="6"/>
  <c r="G17" i="6"/>
  <c r="C6" i="7"/>
  <c r="D17" i="7"/>
  <c r="C30" i="3"/>
  <c r="C33" i="3" s="1"/>
  <c r="F31" i="3"/>
  <c r="C46" i="3"/>
  <c r="E44" i="4"/>
  <c r="E49" i="4" s="1"/>
  <c r="E54" i="4" s="1"/>
  <c r="E6" i="5"/>
  <c r="G7" i="5"/>
  <c r="D15" i="6"/>
  <c r="H17" i="6"/>
  <c r="D6" i="7"/>
  <c r="E17" i="7"/>
  <c r="B25" i="1"/>
  <c r="D30" i="3"/>
  <c r="G31" i="3"/>
  <c r="D46" i="3"/>
  <c r="D36" i="4"/>
  <c r="E40" i="4"/>
  <c r="D5" i="5"/>
  <c r="F6" i="5"/>
  <c r="H7" i="5"/>
  <c r="G16" i="6"/>
  <c r="I17" i="6"/>
  <c r="E6" i="7"/>
  <c r="F17" i="7"/>
  <c r="G17" i="7"/>
  <c r="F30" i="3"/>
  <c r="D32" i="3"/>
  <c r="F46" i="3"/>
  <c r="F36" i="4"/>
  <c r="E43" i="4"/>
  <c r="F5" i="5"/>
  <c r="H6" i="5"/>
  <c r="G6" i="7"/>
  <c r="H17" i="7"/>
  <c r="G30" i="3"/>
  <c r="E32" i="3"/>
  <c r="G46" i="3"/>
  <c r="C11" i="4"/>
  <c r="C24" i="4" s="1"/>
  <c r="C25" i="4" s="1"/>
  <c r="G36" i="4"/>
  <c r="E51" i="4" l="1"/>
  <c r="E56" i="4" s="1"/>
  <c r="E48" i="4"/>
  <c r="E53" i="4" s="1"/>
  <c r="E50" i="4"/>
  <c r="E55" i="4" s="1"/>
  <c r="C29" i="4"/>
  <c r="C27" i="4"/>
  <c r="C26" i="4"/>
  <c r="G46" i="4"/>
  <c r="G40" i="4"/>
  <c r="G38" i="4"/>
  <c r="G41" i="4"/>
  <c r="G45" i="4"/>
  <c r="G39" i="4"/>
  <c r="G43" i="4"/>
  <c r="G44" i="4"/>
  <c r="F43" i="4"/>
  <c r="F46" i="4"/>
  <c r="F44" i="4"/>
  <c r="F38" i="4"/>
  <c r="F41" i="4"/>
  <c r="F45" i="4"/>
  <c r="F39" i="4"/>
  <c r="F40" i="4"/>
  <c r="F50" i="4" s="1"/>
  <c r="F55" i="4" s="1"/>
  <c r="B31" i="1"/>
  <c r="B24" i="1"/>
  <c r="H40" i="4"/>
  <c r="H44" i="4"/>
  <c r="H41" i="4"/>
  <c r="H38" i="4"/>
  <c r="H45" i="4"/>
  <c r="H39" i="4"/>
  <c r="H43" i="4"/>
  <c r="H46" i="4"/>
  <c r="C27" i="6"/>
  <c r="C18" i="1" s="1"/>
  <c r="D18" i="1" s="1"/>
  <c r="C74" i="4"/>
  <c r="C42" i="3"/>
  <c r="C34" i="3"/>
  <c r="D10" i="5" s="1"/>
  <c r="C37" i="3"/>
  <c r="C43" i="3"/>
  <c r="C35" i="3"/>
  <c r="D9" i="5"/>
  <c r="D12" i="5" s="1"/>
  <c r="D33" i="3"/>
  <c r="D45" i="4"/>
  <c r="D39" i="4"/>
  <c r="D46" i="4"/>
  <c r="D43" i="4"/>
  <c r="D40" i="4"/>
  <c r="D44" i="4"/>
  <c r="D38" i="4"/>
  <c r="D48" i="4" s="1"/>
  <c r="D53" i="4" s="1"/>
  <c r="D41" i="4"/>
  <c r="D51" i="4" s="1"/>
  <c r="D56" i="4" s="1"/>
  <c r="F49" i="4" l="1"/>
  <c r="F54" i="4" s="1"/>
  <c r="B78" i="4" s="1"/>
  <c r="D49" i="4"/>
  <c r="D54" i="4" s="1"/>
  <c r="H51" i="4"/>
  <c r="H56" i="4" s="1"/>
  <c r="F51" i="4"/>
  <c r="F56" i="4" s="1"/>
  <c r="G50" i="4"/>
  <c r="G55" i="4" s="1"/>
  <c r="C38" i="3"/>
  <c r="C36" i="3"/>
  <c r="C39" i="3"/>
  <c r="D50" i="4"/>
  <c r="D55" i="4" s="1"/>
  <c r="H49" i="4"/>
  <c r="H54" i="4" s="1"/>
  <c r="D15" i="5"/>
  <c r="D16" i="5" s="1"/>
  <c r="D13" i="5"/>
  <c r="D14" i="5" s="1"/>
  <c r="D18" i="5" s="1"/>
  <c r="D19" i="5" s="1"/>
  <c r="C44" i="3" s="1"/>
  <c r="H48" i="4"/>
  <c r="H53" i="4" s="1"/>
  <c r="G49" i="4"/>
  <c r="G54" i="4" s="1"/>
  <c r="F48" i="4"/>
  <c r="F53" i="4" s="1"/>
  <c r="G51" i="4"/>
  <c r="G56" i="4" s="1"/>
  <c r="D37" i="3"/>
  <c r="E9" i="5"/>
  <c r="E12" i="5" s="1"/>
  <c r="E33" i="3"/>
  <c r="D43" i="3"/>
  <c r="D42" i="3"/>
  <c r="D34" i="3"/>
  <c r="E10" i="5" s="1"/>
  <c r="H50" i="4"/>
  <c r="H55" i="4" s="1"/>
  <c r="G48" i="4"/>
  <c r="G53" i="4" s="1"/>
  <c r="C60" i="4" l="1"/>
  <c r="C67" i="4" s="1"/>
  <c r="D67" i="4" s="1"/>
  <c r="D35" i="3"/>
  <c r="E15" i="5"/>
  <c r="E16" i="5" s="1"/>
  <c r="E13" i="5"/>
  <c r="C40" i="3"/>
  <c r="C41" i="3" s="1"/>
  <c r="C45" i="3" s="1"/>
  <c r="F9" i="5"/>
  <c r="F12" i="5" s="1"/>
  <c r="E43" i="3"/>
  <c r="E42" i="3"/>
  <c r="E34" i="3"/>
  <c r="F10" i="5" s="1"/>
  <c r="F33" i="3"/>
  <c r="E37" i="3"/>
  <c r="E14" i="5"/>
  <c r="C66" i="4"/>
  <c r="D66" i="4" s="1"/>
  <c r="C63" i="4" l="1"/>
  <c r="D63" i="4" s="1"/>
  <c r="C64" i="4"/>
  <c r="D64" i="4" s="1"/>
  <c r="C65" i="4"/>
  <c r="D65" i="4" s="1"/>
  <c r="E18" i="5"/>
  <c r="E19" i="5" s="1"/>
  <c r="D44" i="3" s="1"/>
  <c r="C47" i="3"/>
  <c r="F43" i="3"/>
  <c r="F35" i="3"/>
  <c r="G33" i="3"/>
  <c r="F42" i="3"/>
  <c r="F34" i="3"/>
  <c r="G10" i="5" s="1"/>
  <c r="F37" i="3"/>
  <c r="G9" i="5"/>
  <c r="G12" i="5" s="1"/>
  <c r="F13" i="5"/>
  <c r="F14" i="5" s="1"/>
  <c r="F18" i="5" s="1"/>
  <c r="F19" i="5" s="1"/>
  <c r="E44" i="3" s="1"/>
  <c r="F15" i="5"/>
  <c r="F16" i="5" s="1"/>
  <c r="D38" i="3"/>
  <c r="D36" i="3"/>
  <c r="D39" i="3"/>
  <c r="E35" i="3"/>
  <c r="E36" i="3" l="1"/>
  <c r="E39" i="3"/>
  <c r="E38" i="3"/>
  <c r="G13" i="5"/>
  <c r="G14" i="5" s="1"/>
  <c r="G15" i="5"/>
  <c r="G16" i="5" s="1"/>
  <c r="D40" i="3"/>
  <c r="D41" i="3" s="1"/>
  <c r="D45" i="3" s="1"/>
  <c r="G42" i="3"/>
  <c r="G34" i="3"/>
  <c r="H10" i="5" s="1"/>
  <c r="C16" i="4"/>
  <c r="C28" i="4" s="1"/>
  <c r="G37" i="3"/>
  <c r="H9" i="5"/>
  <c r="H12" i="5" s="1"/>
  <c r="G43" i="3"/>
  <c r="F38" i="3"/>
  <c r="F36" i="3"/>
  <c r="F39" i="3"/>
  <c r="G35" i="3" l="1"/>
  <c r="G18" i="5"/>
  <c r="G19" i="5" s="1"/>
  <c r="F44" i="3" s="1"/>
  <c r="D47" i="3"/>
  <c r="G38" i="3"/>
  <c r="G39" i="3"/>
  <c r="G36" i="3"/>
  <c r="H14" i="5"/>
  <c r="H18" i="5" s="1"/>
  <c r="H19" i="5" s="1"/>
  <c r="G44" i="3" s="1"/>
  <c r="F41" i="3"/>
  <c r="F45" i="3" s="1"/>
  <c r="F47" i="3" s="1"/>
  <c r="F40" i="3"/>
  <c r="H15" i="5"/>
  <c r="H16" i="5" s="1"/>
  <c r="H13" i="5"/>
  <c r="E40" i="3"/>
  <c r="E41" i="3" s="1"/>
  <c r="E45" i="3" s="1"/>
  <c r="C72" i="4"/>
  <c r="C73" i="4"/>
  <c r="E47" i="3" l="1"/>
  <c r="C59" i="3"/>
  <c r="C60" i="3" s="1"/>
  <c r="C61" i="3" s="1"/>
  <c r="G40" i="3"/>
  <c r="G41" i="3" s="1"/>
  <c r="G45" i="3" s="1"/>
  <c r="C51" i="3" l="1"/>
  <c r="C52" i="3" s="1"/>
  <c r="G47" i="3"/>
  <c r="C50" i="3" s="1"/>
  <c r="H22" i="7"/>
  <c r="C20" i="7"/>
  <c r="F12" i="7"/>
  <c r="D19" i="7"/>
  <c r="I8" i="7"/>
  <c r="E8" i="7"/>
  <c r="I13" i="7"/>
  <c r="H11" i="7"/>
  <c r="I18" i="7"/>
  <c r="F21" i="7"/>
  <c r="E12" i="7"/>
  <c r="H12" i="7"/>
  <c r="G18" i="7"/>
  <c r="G19" i="7"/>
  <c r="E21" i="7"/>
  <c r="C10" i="7"/>
  <c r="H10" i="7"/>
  <c r="I19" i="7"/>
  <c r="F22" i="7"/>
  <c r="H20" i="7"/>
  <c r="H23" i="7"/>
  <c r="E20" i="7"/>
  <c r="D21" i="7"/>
  <c r="D24" i="7"/>
  <c r="H24" i="7"/>
  <c r="E11" i="7"/>
  <c r="D22" i="7"/>
  <c r="F7" i="7"/>
  <c r="H7" i="7"/>
  <c r="C11" i="7"/>
  <c r="G21" i="7"/>
  <c r="G24" i="7"/>
  <c r="E23" i="7"/>
  <c r="F10" i="7"/>
  <c r="C9" i="7"/>
  <c r="G23" i="7"/>
  <c r="C12" i="7"/>
  <c r="D12" i="7"/>
  <c r="I12" i="7"/>
  <c r="I22" i="7"/>
  <c r="C8" i="7"/>
  <c r="G10" i="7"/>
  <c r="C13" i="7"/>
  <c r="H19" i="7"/>
  <c r="F8" i="7"/>
  <c r="I11" i="7"/>
  <c r="F24" i="7"/>
  <c r="H21" i="7"/>
  <c r="F9" i="7"/>
  <c r="C24" i="7"/>
  <c r="E18" i="7"/>
  <c r="I24" i="7"/>
  <c r="E19" i="7"/>
  <c r="D10" i="7"/>
  <c r="D11" i="7"/>
  <c r="E13" i="7"/>
  <c r="F20" i="7"/>
  <c r="C7" i="7"/>
  <c r="I23" i="7"/>
  <c r="F13" i="7"/>
  <c r="E22" i="7"/>
  <c r="E9" i="7"/>
  <c r="G8" i="7"/>
  <c r="I20" i="7"/>
  <c r="G22" i="7"/>
  <c r="D7" i="7"/>
  <c r="I9" i="7"/>
  <c r="D20" i="7"/>
  <c r="H13" i="7"/>
  <c r="E10" i="7"/>
  <c r="G11" i="7"/>
  <c r="G12" i="7"/>
  <c r="I10" i="7"/>
  <c r="C18" i="7"/>
  <c r="I21" i="7"/>
  <c r="I7" i="7"/>
  <c r="D23" i="7"/>
  <c r="G13" i="7"/>
  <c r="E24" i="7"/>
  <c r="C21" i="7"/>
  <c r="D8" i="7"/>
  <c r="H8" i="7"/>
  <c r="G9" i="7"/>
  <c r="C22" i="7"/>
  <c r="E7" i="7"/>
  <c r="D13" i="7"/>
  <c r="D9" i="7"/>
  <c r="H9" i="7"/>
  <c r="G20" i="7"/>
  <c r="C23" i="7"/>
  <c r="G7" i="7"/>
  <c r="F18" i="7"/>
  <c r="F11" i="7"/>
  <c r="D18" i="7"/>
  <c r="C19" i="7"/>
  <c r="F19" i="7"/>
  <c r="H18" i="7"/>
  <c r="F23" i="7"/>
  <c r="C58" i="3" l="1"/>
  <c r="C62" i="3" s="1"/>
  <c r="C53" i="3"/>
  <c r="C17" i="4" l="1"/>
  <c r="C54" i="3"/>
  <c r="C55" i="3" s="1"/>
  <c r="C16" i="1" s="1"/>
  <c r="C63" i="3"/>
  <c r="C64" i="3" s="1"/>
  <c r="C17" i="1" s="1"/>
  <c r="D17" i="1" s="1"/>
  <c r="C10" i="1" l="1"/>
  <c r="D16" i="1"/>
  <c r="C21" i="1"/>
  <c r="C19" i="4"/>
  <c r="C20" i="4" s="1"/>
  <c r="B79" i="4"/>
  <c r="B29" i="1" l="1"/>
  <c r="C12" i="1"/>
  <c r="C11" i="1" s="1"/>
  <c r="B26" i="1" l="1"/>
</calcChain>
</file>

<file path=xl/sharedStrings.xml><?xml version="1.0" encoding="utf-8"?>
<sst xmlns="http://schemas.openxmlformats.org/spreadsheetml/2006/main" count="518" uniqueCount="391">
  <si>
    <t>DISCLAIMER: This is a sample analysis for demonstration purposes only. It does not constitute investment advice.</t>
  </si>
  <si>
    <t>日立製作所 (6501.T)</t>
  </si>
  <si>
    <t>Equity Research Report</t>
  </si>
  <si>
    <t>Company</t>
  </si>
  <si>
    <t>日立製作所</t>
  </si>
  <si>
    <t>Ticker</t>
  </si>
  <si>
    <t>6501.T (TSE Prime)</t>
  </si>
  <si>
    <t>Sector</t>
  </si>
  <si>
    <t>電気機器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</si>
  <si>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</si>
  <si>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</si>
  <si>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</si>
  <si>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</si>
  <si>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</si>
  <si>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</si>
  <si>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</si>
  <si>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</si>
  <si>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</si>
  <si>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</si>
  <si>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</si>
  <si>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</si>
  <si>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</si>
  <si>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</si>
  <si>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</si>
  <si>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</si>
  <si>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Revenue has been flat to negative over three years because divestitures offset organic growth, so the base-case growth path rests on the remaining businesses accelerating.</t>
  </si>
  <si>
    <t>日立製作所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</si>
  <si>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</si>
  <si>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</si>
  <si>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</si>
  <si>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</si>
  <si>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</si>
  <si>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</si>
  <si>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</si>
  <si>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</si>
  <si>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</si>
  <si>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</si>
  <si>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</si>
  <si>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</si>
  <si>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</si>
  <si>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</si>
  <si>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</si>
  <si>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</si>
  <si>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</si>
  <si>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</si>
  <si>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</si>
  <si>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</si>
  <si>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</si>
  <si>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</si>
  <si>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</si>
  <si>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</si>
  <si>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</si>
  <si>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</si>
  <si>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</si>
  <si>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</si>
  <si>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日立製作所</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</si>
  <si>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</si>
  <si>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</si>
  <si>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</si>
  <si>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</si>
  <si>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</si>
  <si>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</si>
  <si>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</si>
  <si>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</si>
  <si>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</si>
  <si>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</si>
  <si>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</si>
  <si>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</si>
  <si>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</si>
  <si>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</si>
  <si>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</si>
  <si>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</si>
  <si>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</si>
  <si>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</si>
  <si>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</si>
  <si>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</si>
  <si>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</si>
  <si>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</si>
  <si>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</si>
  <si>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</si>
  <si>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</si>
  <si>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</si>
  <si>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</si>
  <si>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</si>
  <si>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</si>
  <si>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</si>
  <si>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</si>
  <si>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</si>
  <si>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</si>
  <si>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</si>
  <si>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</si>
  <si>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</si>
  <si>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</si>
  <si>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</si>
  <si>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</si>
  <si>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</si>
  <si>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</si>
  <si>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</si>
  <si>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</si>
  <si>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</si>
  <si>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</si>
  <si>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</si>
  <si>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</si>
  <si>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</si>
  <si>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</si>
  <si>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</si>
  <si>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</si>
  <si>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</si>
  <si>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</si>
  <si>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</si>
  <si>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</si>
  <si>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</si>
  <si>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</si>
  <si>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</si>
  <si>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</si>
  <si>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</si>
  <si>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</si>
  <si>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</si>
  <si>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</si>
  <si>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日立製作所 (6501.T)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</si>
  <si>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</si>
  <si>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</si>
  <si>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</si>
  <si>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</si>
  <si>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</si>
  <si>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</si>
  <si>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</si>
  <si>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</si>
  <si>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</si>
  <si>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</si>
  <si>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</si>
  <si>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</si>
  <si>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</si>
  <si>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</si>
  <si>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</si>
  <si>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</si>
  <si>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</si>
  <si>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</si>
  <si>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</si>
  <si>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</si>
  <si>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</si>
  <si>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</si>
  <si>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</si>
  <si>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</si>
  <si>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</si>
  <si>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</si>
  <si>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</si>
  <si>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</si>
  <si>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</si>
  <si>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</si>
  <si>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</si>
  <si>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</si>
  <si>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</si>
  <si>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</si>
  <si>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</si>
  <si>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</si>
  <si>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</si>
  <si>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</si>
  <si>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</si>
  <si>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</si>
  <si>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</si>
  <si>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</si>
  <si>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</si>
  <si>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</si>
  <si>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</si>
  <si>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</si>
  <si>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</si>
  <si>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</si>
  <si>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</si>
  <si>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</si>
  <si>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</si>
  <si>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日立製作所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</si>
  <si>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</si>
  <si>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</si>
  <si>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</si>
  <si>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</si>
  <si>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</si>
  <si>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</si>
  <si>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</si>
  <si>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</si>
  <si>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</si>
  <si>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</si>
  <si>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</si>
  <si>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</si>
  <si>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</si>
  <si>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</si>
  <si>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</si>
  <si>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</si>
  <si>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</si>
  <si>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</si>
  <si>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</si>
  <si>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</si>
  <si>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</si>
  <si>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</si>
  <si>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</si>
  <si>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</si>
  <si>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</si>
  <si>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</si>
  <si>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</si>
  <si>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</si>
  <si>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</si>
  <si>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</si>
  <si>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</si>
  <si>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</si>
  <si>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</si>
  <si>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</si>
  <si>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Hitachi, Ltd.</t>
  </si>
  <si>
    <t>6501.T</t>
  </si>
  <si>
    <t>Mitsubishi Electric Corporation</t>
  </si>
  <si>
    <t>6503.T</t>
  </si>
  <si>
    <t>Panasonic Holdings Corporation</t>
  </si>
  <si>
    <t>6752.T</t>
  </si>
  <si>
    <t>Mitsubishi Heavy Industries, Ltd.</t>
  </si>
  <si>
    <t>7011.T</t>
  </si>
  <si>
    <t>Fujitsu Limited</t>
  </si>
  <si>
    <t>6702.T</t>
  </si>
  <si>
    <t>NEC Corporation</t>
  </si>
  <si>
    <t>6701.T</t>
  </si>
  <si>
    <t>Statistics</t>
  </si>
  <si>
    <t>25th Percentile</t>
  </si>
  <si>
    <t>Median (50th)</t>
  </si>
  <si>
    <t>75th Percentile</t>
  </si>
  <si>
    <t>Implied Valuation for 日立製作所</t>
  </si>
  <si>
    <t>日立製作所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</si>
  <si>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</si>
  <si>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</si>
  <si>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</si>
  <si>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</si>
  <si>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</si>
  <si>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</si>
  <si>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</si>
  <si>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</si>
  <si>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</si>
  <si>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</si>
  <si>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</si>
  <si>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</si>
  <si>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</si>
  <si>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</si>
  <si>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</si>
  <si>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日立製作所</t>
  </si>
  <si>
    <t>日付</t>
  </si>
  <si>
    <t>セル</t>
  </si>
  <si>
    <t>変更内容</t>
  </si>
  <si>
    <t>理由</t>
  </si>
  <si>
    <t>元の値</t>
  </si>
  <si>
    <t>状態</t>
  </si>
  <si>
    <t>2026-09-06</t>
  </si>
  <si>
    <t>-</t>
  </si>
  <si>
    <t>Generated by pipeline on 2026-09-06 11:00,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</si>
  <si>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</si>
  <si>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</si>
  <si>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</si>
  <si>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</si>
  <si>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</si>
  <si>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</si>
  <si>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</si>
  <si>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</si>
  <si>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</si>
  <si>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</si>
  <si>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</si>
  <si>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</si>
  <si>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</si>
  <si>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</si>
  <si>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</si>
  <si>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24,068,206百万円。■テンプレートの自動規則(&gt;=1兆円 -&gt; 0.0%、&gt;=1,000億円 -&gt; 1.5%)とは異なる値であり、明示指定で上書きしている。</t>
  </si>
  <si>
    <t>テンプレ自動値</t>
  </si>
  <si>
    <t>DCF Model!C8</t>
  </si>
  <si>
    <t>Beta = 0.60</t>
  </si>
  <si>
    <t>yfinance実測 0.538 はテンプレのクランプ域 [0.6, 1.75] の下限を下回り、そのまま渡すと【無言で 1.0 に置換】される。追補1 §A に従い max(0.6, min(1.75, 実測)) = 0.60 を明示指定した。**0.60 は実測値ではなくテンプレが受け付ける最小値**であることに注意。</t>
  </si>
  <si>
    <t>yfinance実測 0.538</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</si>
  <si>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</si>
  <si>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</si>
  <si>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</si>
  <si>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</si>
  <si>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</si>
  <si>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</si>
  <si>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</si>
  <si>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ネットキャッシュで D/E = 0 のため、負債コストは WACC に一切寄与しない（WACC = Ke）。実績Kd の算出は結果に影響しないため interest_expense を指定していない。</t>
  </si>
  <si>
    <t>テンプレ既定</t>
  </si>
  <si>
    <t>DCF Model!C13</t>
  </si>
  <si>
    <t>Terminal Growth = 1.0%</t>
  </si>
  <si>
    <t>バッチ共通の固定前提(v2 §1-3)。</t>
  </si>
  <si>
    <t>テンプレ既定 2.0%</t>
  </si>
  <si>
    <t>DCF Model!C14</t>
  </si>
  <si>
    <t>Exit Multiple (EV/EBITDA) = 15.6x</t>
  </si>
  <si>
    <t>Peer 5社の実測EV/EBITDA中央値 15.55x。■**追補4 §Q の判定**: `batch/check_growth_premium.py` で機械判定した結果、**非該当**。（3条件のうち「仮定Exit倍率 &gt; 25倍」を満たさないため。Exit法は Target に算入されたまま） 自社の現在倍率 14.33x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</si>
  <si>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</si>
  <si>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</si>
  <si>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</si>
  <si>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CLEAN。赤字年なしで型Bにも該当しない。■日立キャピタルは2021年に三菱UFJリースへ統合済みで、現在は captive finance を保有していない（Debt/Revenue 0.10）→ **型C に該当しない**。</t>
  </si>
  <si>
    <t>Financial Statements / hist_* / 市場データ / net_debt / core_ebitda</t>
  </si>
  <si>
    <t>追補2 §F-2 + 追補3 §L + 追補2 §G の予防的補完を生成前適用</t>
  </si>
  <si>
    <t>【追補2 §F-2 / 追補3 §L の予防的補完（生成前適用・必須）】根本原因は scripts/generate_dcf.py:66 の _val(data_dict, key, default=0) が欠損値を None ではなく 0 に落とすこと。hist_years を直近4期に置換し hist_revenue / hist_operating_income / hist_net_income / hist_cogs / hist_sga を yfinance連結財務諸表から供給（配列長は全て4で hist_years と一致、契約遵守）。CF/BS 5系列は供給せず Step 4.6 の年度キー再マッピングに委ねる。hist_sga = 売上 − COGS − 営業利益 で逆算。current_price / shares_outstanding / net_debt / core_ebitda も予防的に明示指定（追補3 §L / 追補2 §G）。■**結果として初回生成で合格（リトライ0回）**。</t>
  </si>
  <si>
    <t>EDINET自動抽出値</t>
  </si>
  <si>
    <t>DCF Model!C5 / C18</t>
  </si>
  <si>
    <t>capex / D&amp;A 方式</t>
  </si>
  <si>
    <t>capex_method / da_method とも revenue_pct（capex 4.51% / D&amp;A 4.30%）。実績は capex 3.8-4.7% / D&amp;A 4.3-4.8% で近接。ターミナル比率 1.049x（レンジ内）。</t>
  </si>
  <si>
    <t>Executive Summary(追補4 §Q 判定)</t>
  </si>
  <si>
    <t>**非該当** — Exit は Target に算入したまま</t>
  </si>
  <si>
    <t>batch/check_growth_premium.py による機械判定: WARN11乖離 2.32倍 / PGM逆算Exit 6.74倍 / 仮定Exit 15.60倍。3条件のうち「仮定Exit倍率 &gt; 25倍」を満たさないため §Q の降格は適用しない。■ただし PGM と Exit の乖離自体は存在しており、Target は点推定ではなくレンジの中点として読むこと。</t>
  </si>
  <si>
    <t>DCF Model シナリオ5本</t>
  </si>
  <si>
    <t>**追補8 §AE の rework wave により Base を再設計**</t>
  </si>
  <si>
    <t>【追補8 §AE の rework wave（第8セッション）】追補7 §Y の単調性判定と、追補8 §AE-2 が確定した方向別の定義に従って **Base を再設計**した。■実績OPM: 0.07% → 0.08% → 0.10% → 0.11%。**判定: 単調増加**。■**適用ルール: 単調増加 → 直近水準の維持** により Base 到達OPM = **11.33%**（旧: 10.81%、差 +0.52pt）。■**平均回帰（§4-4 の中央値収束）は使わない**: トレンドに平均回帰を当てるのは統計的な誤りであり、その理由は符号で変わらない（追補8 §AE-2）。**単調増加では『さらなる上積みの外挿はしない』という保守側のガード**を置き、直近水準の維持とした。■Upside / Downside 1 / Downside 2 は本 rework の対象外で、従前の設計を維持している。■COGS% は据え置き、SGA% = 100% − COGS% − 目標OPM で逆算した。</t>
  </si>
  <si>
    <t>rework 前の Base 設計</t>
  </si>
  <si>
    <t>設計判断(追補8 §AE)</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</si>
  <si>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</si>
  <si>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</si>
  <si>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</si>
  <si>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</si>
  <si>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</si>
  <si>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119 / DIH 80 / DPO 76 日</t>
  </si>
  <si>
    <t>実績4期平均。DSO 119日は長納期インフラ案件を反映。</t>
  </si>
  <si>
    <t>Comps Analysis</t>
  </si>
  <si>
    <t>Peer 5社 = 6503 三菱電機 / 6752 パナソニックHD / 7011 三菱重工業 / 6702 富士通 / 6701 NEC</t>
  </si>
  <si>
    <t>■選定理由: 総合電機・ITサービス・大型産業機械。■時価総額バンド（7.22〜72.2兆円）から 6702(6.75兆) / 6701(6.40兆) が僅かに外れるが、総合電機・ITサービスとしての事業比較可能性を優先した。■海外Peer（Siemens / GE / IBM / Accenture 等）は v2 §5 により不使用。■D&amp;A取得状況: 全6社で減価償却費を取得でき統一。**D&amp;A欠損による除外はゼロ**（validate チェック12 PASS）。■**7011 三菱重工の D&amp;A は EDINET 有報（docID S100YHZG）から FY2026/3 の実額 211,214 を取得して補正済み**。</t>
  </si>
  <si>
    <t>Executive Summary!C10 / Target</t>
  </si>
  <si>
    <t>Target Price = 4,240円 = PGM 2,921円 と Exit 5,559円 の2本平均。Comps 2本(EV/EBITDA 5,828円 / PER 4,721円)は [参考・Target不算入]</t>
  </si>
  <si>
    <t>メモ§2 の規約どおり。validate チェック14 PASS(C10 が C16:C17 のみを平均)。EV&lt;net_debt による INVALID 化は発生していない（チェック10・15 とも PASS）。**追補4 §Q は非該当**（仮定Exit倍率が25倍未満）のため Exit は Target に算入されている。 ■**追補8 §AE の rework 後の値に更新**: Target 4,401円 / SELL / -18.2%（rework 前 4,240円）。</t>
  </si>
  <si>
    <t>全体(納品状態)</t>
  </si>
  <si>
    <t>本ファイルは DRAFT。_FINAL は付けない</t>
  </si>
  <si>
    <t>バッチモードでの機械生成物であり人間の検証を経ていない。FINAL化は手順書v2 §6 に従い検証後に行う。</t>
  </si>
  <si>
    <t>DRAFT</t>
  </si>
  <si>
    <t>全体(未解決)</t>
  </si>
  <si>
    <t>4期連続のマージン上昇が構造的か循環的かを判定していない</t>
  </si>
  <si>
    <t>Base は（直近 + p75）/2 = 10.81% を置いた。ポートフォリオ入替による構造的改善なら妥当だが、入替が一巡した今後も同水準を維持できるかは会社の中期計画で確認が必要。</t>
  </si>
  <si>
    <t>未解決</t>
  </si>
  <si>
    <t>売上が3年間ほぼ横ばい（3年CAGR −0.91%）</t>
  </si>
  <si>
    <t>事業売却が有機成長を相殺している。Base の成長パス（Y1 +5.0%）は残存事業の加速を前提としている。</t>
  </si>
  <si>
    <t>DSO 119日の長納期案件</t>
  </si>
  <si>
    <t>インフラ・エネルギー案件の売掛回収が長く、需要減速時にキャッシュが先に拘束される。</t>
  </si>
  <si>
    <t>Pipeline Metadata (do not edit — read by scripts/validate_output.py)</t>
  </si>
  <si>
    <t>key</t>
  </si>
  <si>
    <t>value</t>
  </si>
  <si>
    <t>auto_log_entries</t>
  </si>
  <si>
    <t>0</t>
  </si>
  <si>
    <t>capex_pct_basis</t>
  </si>
  <si>
    <t>assumption</t>
  </si>
  <si>
    <t>capex_pct_c5</t>
  </si>
  <si>
    <t>0.0451</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</si>
  <si>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</si>
  <si>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</si>
  <si>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</si>
  <si>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</si>
  <si>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</si>
  <si>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</si>
  <si>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</si>
  <si>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</si>
  <si>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</si>
  <si>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</si>
  <si>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</si>
  <si>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</si>
  <si>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</si>
  <si>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</si>
  <si>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</si>
  <si>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</si>
  <si>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</si>
  <si>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</si>
  <si>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</si>
  <si>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</si>
  <si>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</si>
  <si>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</si>
  <si>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</si>
  <si>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</si>
  <si>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0.043</t>
  </si>
  <si>
    <t>da_pct_hist3yr</t>
  </si>
  <si>
    <t>0.044593</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</si>
  <si>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</si>
  <si>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</si>
  <si>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</si>
  <si>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</si>
  <si>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</si>
  <si>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</si>
  <si>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</si>
  <si>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</si>
  <si>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</si>
  <si>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11:00:36</t>
  </si>
  <si>
    <t>ltm_revenue_c20</t>
  </si>
  <si>
    <t>10586781.0</t>
  </si>
  <si>
    <t>ltm_revenue_source</t>
  </si>
  <si>
    <t>latest FY (no LTM)</t>
  </si>
  <si>
    <t>narrative_tokens_used</t>
  </si>
  <si>
    <t>pb,per,price,target_price,upside_pct,wacc</t>
  </si>
  <si>
    <t>reverse_dcf_sheet</t>
  </si>
  <si>
    <t>op0=1,199,275(FY2026) peak=1,199,275(FY2026) peak_opm=0.1133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</si>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</sst>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5377</v>
      </c>
    </row>
    <row r="10" spans="2:5" ht="14" customHeight="1" x14ac:dyDescent="0.3">
      <c r="B10" s="4" t="s">
        <v>10</v>
      </c>
      <c r="C10" s="5">
        <f>IF(COUNT(C16:C17)=0,"N/A",ROUND(AVERAGE(C16:C17),0))</f>
        <v>4401</v>
      </c>
    </row>
    <row r="11" spans="2:5" ht="14" customHeight="1" x14ac:dyDescent="0.3">
      <c r="B11" s="4" t="s">
        <v>11</v>
      </c>
      <c r="C11" s="6" t="str">
        <f>IF(NOT(ISNUMBER(C12)),"N/A",IF(C12&gt;0.15,"BUY",IF(C12&gt;0.05,"HOLD","SELL")))</f>
        <v>SELL</v>
      </c>
    </row>
    <row r="12" spans="2:5" ht="14" customHeight="1" x14ac:dyDescent="0.3">
      <c r="B12" s="4" t="s">
        <v>12</v>
      </c>
      <c r="C12" s="7">
        <f>IF(ISNUMBER(C10),(C10-C9)/C9,"N/A")</f>
        <v>-0.18151385530965222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3059</v>
      </c>
      <c r="D16" s="7">
        <f>IF(ISNUMBER(C16),(C16-C9)/C9,"N/A")</f>
        <v>-0.43109540636042404</v>
      </c>
    </row>
    <row r="17" spans="2:5" ht="13.5" customHeight="1" x14ac:dyDescent="0.25">
      <c r="B17" t="s">
        <v>18</v>
      </c>
      <c r="C17" s="11">
        <f>IF('DCF Model'!C62&lt;'DCF Model'!C16,"INVALID (EV &lt; net debt)",'DCF Model'!C64)</f>
        <v>5743</v>
      </c>
      <c r="D17" s="7">
        <f>IF(ISNUMBER(C17),(C17-C9)/C9,"N/A")</f>
        <v>6.806769574111958E-2</v>
      </c>
    </row>
    <row r="18" spans="2:5" ht="13.5" customHeight="1" x14ac:dyDescent="0.25">
      <c r="B18" t="s">
        <v>19</v>
      </c>
      <c r="C18" s="11">
        <f>'Comps Analysis'!C27</f>
        <v>5828</v>
      </c>
      <c r="D18" s="7">
        <f>IF(ISNUMBER(C18),(C18-C9)/C9,"N/A")</f>
        <v>8.3875767156406919E-2</v>
      </c>
    </row>
    <row r="19" spans="2:5" ht="13.5" customHeight="1" x14ac:dyDescent="0.25">
      <c r="B19" t="s">
        <v>20</v>
      </c>
      <c r="C19" s="11">
        <f>'Comps Analysis'!C28</f>
        <v>4721</v>
      </c>
      <c r="D19" s="7">
        <f>IF(ISNUMBER(C19),(C19-C9)/C9,"N/A")</f>
        <v>-0.12200111586386461</v>
      </c>
    </row>
    <row r="20" spans="2:5" ht="14" customHeight="1" x14ac:dyDescent="0.3">
      <c r="B20" s="46" t="s">
        <v>21</v>
      </c>
      <c r="C20" s="45"/>
      <c r="D20" s="45"/>
      <c r="E20" s="45"/>
    </row>
    <row r="21" spans="2:5" ht="14" customHeight="1" x14ac:dyDescent="0.3">
      <c r="B21" s="4" t="s">
        <v>22</v>
      </c>
      <c r="C21" s="6" t="str">
        <f>IF(COUNT(C16:C17)=0,"N/A",MIN(C16:C17)&amp;" - "&amp;MAX(C16:C17))</f>
        <v>3059 - 5743</v>
      </c>
    </row>
    <row r="23" spans="2:5" ht="14" customHeight="1" x14ac:dyDescent="0.3">
      <c r="B23" s="8" t="s">
        <v>23</v>
      </c>
      <c r="C23" s="9"/>
      <c r="D23" s="9"/>
    </row>
    <row r="24" spans="2:5" x14ac:dyDescent="0.2">
      <c r="B24" t="str">
        <f>"Hitachi has reshaped itself into a digital-systems and energy group with Lumada and GlobalLogic at the centre, and the operating margin has risen in each of the last four years to 11.3%; the shares trade at "&amp;TEXT('Comps Analysis'!L5,"0.0""x""")&amp;" earnings and "&amp;TEXT('Comps Analysis'!M5,"0.00""x""")&amp;" book."</f>
        <v>Hitachi has reshaped itself into a digital-systems and energy group with Lumada and GlobalLogic at the centre, and the operating margin has risen in each of the last four years to 11.3%; the shares trade at 30.0x earnings and 3.66x book.</v>
      </c>
    </row>
    <row r="25" spans="2:5" x14ac:dyDescent="0.2">
      <c r="B25" t="str">
        <f>"The captive-finance arm was divested years ago, so this is a clean industrial balance sheet in net cash and the "&amp;TEXT('DCF Model'!C26,"0.00%")&amp;" discount rate is the cost of equity with no leverage assumed."</f>
        <v>The captive-finance arm was divested years ago, so this is a clean industrial balance sheet in net cash and the 7.87% discount rate is the cost of equity with no leverage assumed.</v>
      </c>
    </row>
    <row r="26" spans="2:5" x14ac:dyDescent="0.2">
      <c r="B26" t="str">
        <f>"At "&amp;TEXT(C9,"#,##0")&amp;" the shares are valued in line with the diversified-electronics peer median on EV/EBITDA; a base case that gives back only part of the margin gain supports "&amp;TEXT(C10,"#,##0")&amp;", or "&amp;TEXT(C12,"+0.0%;-0.0%")&amp;" from here."</f>
        <v>At 5,377 the shares are valued in line with the diversified-electronics peer median on EV/EBITDA; a base case that gives back only part of the margin gain supports 4,401, or -18.2% from here.</v>
      </c>
    </row>
    <row r="28" spans="2:5" ht="14" customHeight="1" x14ac:dyDescent="0.3">
      <c r="B28" s="8" t="s">
        <v>24</v>
      </c>
      <c r="C28" s="9"/>
      <c r="D28" s="9"/>
    </row>
    <row r="29" spans="2:5" x14ac:dyDescent="0.2">
      <c r="B29" t="str">
        <f>"The margin has risen for four consecutive years on portfolio pruning that is now largely done; treating that as a plateau rather than a peak is the main way "&amp;TEXT(C10,"#,##0")&amp;" could prove optimistic."</f>
        <v>The margin has risen for four consecutive years on portfolio pruning that is now largely done; treating that as a plateau rather than a peak is the main way 4,401 could prove optimistic.</v>
      </c>
    </row>
    <row r="30" spans="2:5" x14ac:dyDescent="0.2">
      <c r="B30" t="s">
        <v>25</v>
      </c>
    </row>
    <row r="31" spans="2:5" x14ac:dyDescent="0.2">
      <c r="B31" t="str">
        <f>"Receivable days near 120 reflect long-cycle infrastructure contracts, so a slowdown ties up cash before it appears in the "&amp;TEXT('Comps Analysis'!L5,"0.0""x""")&amp;" the market pays."</f>
        <v>Receivable days near 120 reflect long-cycle infrastructure contracts, so a slowdown ties up cash before it appears in the 30.0x the market pays.</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10881150</v>
      </c>
      <c r="D6" s="5">
        <v>9728716</v>
      </c>
      <c r="E6" s="5">
        <v>9783370</v>
      </c>
      <c r="F6" s="5">
        <v>10586781</v>
      </c>
    </row>
    <row r="7" spans="2:6" ht="14" customHeight="1" x14ac:dyDescent="0.3">
      <c r="B7" s="4" t="s">
        <v>33</v>
      </c>
      <c r="C7" s="5">
        <v>8192063</v>
      </c>
      <c r="D7" s="5">
        <v>7146629</v>
      </c>
      <c r="E7" s="5">
        <v>6962527</v>
      </c>
      <c r="F7" s="5">
        <v>7407252</v>
      </c>
    </row>
    <row r="8" spans="2:6" ht="14" customHeight="1" x14ac:dyDescent="0.3">
      <c r="B8" s="4" t="s">
        <v>34</v>
      </c>
      <c r="C8" s="5">
        <f>C6-C7</f>
        <v>2689087</v>
      </c>
      <c r="D8" s="5">
        <f>D6-D7</f>
        <v>2582087</v>
      </c>
      <c r="E8" s="5">
        <f>E6-E7</f>
        <v>2820843</v>
      </c>
      <c r="F8" s="5">
        <f>F6-F7</f>
        <v>3179529</v>
      </c>
    </row>
    <row r="9" spans="2:6" ht="13.5" customHeight="1" x14ac:dyDescent="0.25">
      <c r="B9" t="s">
        <v>35</v>
      </c>
      <c r="C9" s="7">
        <f>C8/C6</f>
        <v>0.24713261006419357</v>
      </c>
      <c r="D9" s="7">
        <f>D8/D6</f>
        <v>0.26540881653858533</v>
      </c>
      <c r="E9" s="7">
        <f>E8/E6</f>
        <v>0.28833040148742201</v>
      </c>
      <c r="F9" s="7">
        <f>F8/F6</f>
        <v>0.30033010033928159</v>
      </c>
    </row>
    <row r="10" spans="2:6" ht="14" customHeight="1" x14ac:dyDescent="0.3">
      <c r="B10" s="4" t="s">
        <v>36</v>
      </c>
      <c r="C10" s="5">
        <v>1940943</v>
      </c>
      <c r="D10" s="5">
        <v>1826271</v>
      </c>
      <c r="E10" s="5">
        <v>1849237</v>
      </c>
      <c r="F10" s="5">
        <v>1980254</v>
      </c>
    </row>
    <row r="11" spans="2:6" ht="14" customHeight="1" x14ac:dyDescent="0.3">
      <c r="B11" s="4" t="s">
        <v>37</v>
      </c>
      <c r="C11" s="5">
        <v>748144</v>
      </c>
      <c r="D11" s="5">
        <v>755816</v>
      </c>
      <c r="E11" s="5">
        <v>971606</v>
      </c>
      <c r="F11" s="5">
        <v>1199275</v>
      </c>
    </row>
    <row r="12" spans="2:6" ht="14" customHeight="1" x14ac:dyDescent="0.3">
      <c r="B12" s="4" t="s">
        <v>38</v>
      </c>
      <c r="C12" s="5">
        <v>649124</v>
      </c>
      <c r="D12" s="5">
        <v>589896</v>
      </c>
      <c r="E12" s="5">
        <v>615724</v>
      </c>
      <c r="F12" s="5">
        <v>802368</v>
      </c>
    </row>
    <row r="13" spans="2:6" ht="13.5" customHeight="1" x14ac:dyDescent="0.25">
      <c r="B13" t="s">
        <v>39</v>
      </c>
      <c r="C13" s="7">
        <f>C11/C6</f>
        <v>6.8755967889423453E-2</v>
      </c>
      <c r="D13" s="7">
        <f>D11/D6</f>
        <v>7.7689183238569201E-2</v>
      </c>
      <c r="E13" s="7">
        <f>E11/E6</f>
        <v>9.9311995764240754E-2</v>
      </c>
      <c r="F13" s="7">
        <f>F11/F6</f>
        <v>0.1132804201768224</v>
      </c>
    </row>
    <row r="14" spans="2:6" ht="13.5" customHeight="1" x14ac:dyDescent="0.25">
      <c r="B14" t="s">
        <v>40</v>
      </c>
      <c r="C14" s="7">
        <f>C12/C6</f>
        <v>5.9655826819775486E-2</v>
      </c>
      <c r="D14" s="7">
        <f>D12/D6</f>
        <v>6.0634517443000698E-2</v>
      </c>
      <c r="E14" s="7">
        <f>E12/E6</f>
        <v>6.293577775347349E-2</v>
      </c>
      <c r="F14" s="7">
        <f>F12/F6</f>
        <v>7.5789609702892696E-2</v>
      </c>
    </row>
    <row r="15" spans="2:6" ht="13.5" customHeight="1" x14ac:dyDescent="0.25">
      <c r="B15" t="s">
        <v>41</v>
      </c>
      <c r="C15" t="s">
        <v>42</v>
      </c>
      <c r="D15" s="7">
        <f>(D6-C6)/C6</f>
        <v>-0.10591104800503623</v>
      </c>
      <c r="E15" s="7">
        <f>(E6-D6)/D6</f>
        <v>5.6178019792128787E-3</v>
      </c>
      <c r="F15" s="7">
        <f>(F6-E6)/E6</f>
        <v>8.2120067011673889E-2</v>
      </c>
    </row>
    <row r="16" spans="2:6" ht="13.5" customHeight="1" x14ac:dyDescent="0.25">
      <c r="B16" t="s">
        <v>43</v>
      </c>
      <c r="C16" t="s">
        <v>42</v>
      </c>
      <c r="D16" s="7">
        <f>(D11-C11)/C11</f>
        <v>1.0254710323146347E-2</v>
      </c>
      <c r="E16" s="7">
        <f>(E11-D11)/D11</f>
        <v>0.28550599616837963</v>
      </c>
      <c r="F16" s="7">
        <f>(F11-E11)/E11</f>
        <v>0.23432234877100389</v>
      </c>
    </row>
    <row r="18" spans="2:6" ht="14" customHeight="1" x14ac:dyDescent="0.3">
      <c r="B18" s="3" t="s">
        <v>44</v>
      </c>
    </row>
    <row r="19" spans="2:6" ht="14" customHeight="1" x14ac:dyDescent="0.3">
      <c r="B19" s="4" t="s">
        <v>45</v>
      </c>
      <c r="C19" s="5">
        <v>827045</v>
      </c>
      <c r="D19" s="5">
        <v>956612</v>
      </c>
      <c r="E19" s="5">
        <v>1172240</v>
      </c>
      <c r="F19" s="5">
        <v>1668061</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833283</v>
      </c>
      <c r="D26" s="5">
        <v>705367</v>
      </c>
      <c r="E26" s="5">
        <v>866242</v>
      </c>
      <c r="F26" s="5">
        <v>1323480</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49</v>
      </c>
      <c r="C5" s="7">
        <v>4.5100000000000001E-2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15.6</v>
      </c>
    </row>
    <row r="15" spans="2:7" ht="14" customHeight="1" x14ac:dyDescent="0.3">
      <c r="B15" s="4" t="s">
        <v>66</v>
      </c>
      <c r="C15" s="15">
        <v>4476140293</v>
      </c>
    </row>
    <row r="16" spans="2:7" ht="14" customHeight="1" x14ac:dyDescent="0.3">
      <c r="B16" s="4" t="s">
        <v>67</v>
      </c>
      <c r="C16" s="5">
        <v>-314443</v>
      </c>
    </row>
    <row r="17" spans="2:7" ht="14" customHeight="1" x14ac:dyDescent="0.3">
      <c r="B17" s="4" t="s">
        <v>68</v>
      </c>
      <c r="C17" s="5">
        <v>10586781</v>
      </c>
    </row>
    <row r="18" spans="2:7" ht="14" customHeight="1" x14ac:dyDescent="0.3">
      <c r="B18" s="4" t="s">
        <v>69</v>
      </c>
      <c r="C18" s="7">
        <v>4.2999999999999997E-2</v>
      </c>
    </row>
    <row r="19" spans="2:7" ht="14" customHeight="1" x14ac:dyDescent="0.3">
      <c r="B19" s="4" t="s">
        <v>70</v>
      </c>
      <c r="C19" s="12">
        <v>1</v>
      </c>
    </row>
    <row r="20" spans="2:7" ht="14" customHeight="1" x14ac:dyDescent="0.3">
      <c r="B20" s="4" t="s">
        <v>71</v>
      </c>
      <c r="C20" s="5">
        <v>10586781</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41</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85</v>
      </c>
      <c r="C31" s="18">
        <f>CHOOSE($D$27,C76,C77,C78,C79,C80)</f>
        <v>0.7</v>
      </c>
      <c r="D31" s="18">
        <f>CHOOSE($D$27,D76,D77,D78,D79,D80)</f>
        <v>0.7</v>
      </c>
      <c r="E31" s="18">
        <f>CHOOSE($D$27,E76,E77,E78,E79,E80)</f>
        <v>0.7</v>
      </c>
      <c r="F31" s="18">
        <f>CHOOSE($D$27,F76,F77,F78,F79,F80)</f>
        <v>0.7</v>
      </c>
      <c r="G31" s="18">
        <f>CHOOSE($D$27,G76,G77,G78,G79,G80)</f>
        <v>0.7</v>
      </c>
    </row>
    <row r="32" spans="2:7" ht="14" customHeight="1" x14ac:dyDescent="0.3">
      <c r="B32" s="4" t="s">
        <v>86</v>
      </c>
      <c r="C32" s="18">
        <f>CHOOSE($D$27,C83,C84,C85,C86,C87)</f>
        <v>0.18672</v>
      </c>
      <c r="D32" s="18">
        <f>CHOOSE($D$27,D83,D84,D85,D86,D87)</f>
        <v>0.18672</v>
      </c>
      <c r="E32" s="18">
        <f>CHOOSE($D$27,E83,E84,E85,E86,E87)</f>
        <v>0.18672</v>
      </c>
      <c r="F32" s="18">
        <f>CHOOSE($D$27,F83,F84,F85,F86,F87)</f>
        <v>0.18672</v>
      </c>
      <c r="G32" s="18">
        <f>CHOOSE($D$27,G83,G84,G85,G86,G87)</f>
        <v>0.18672</v>
      </c>
    </row>
    <row r="33" spans="2:7" ht="14" customHeight="1" x14ac:dyDescent="0.3">
      <c r="B33" s="4" t="s">
        <v>32</v>
      </c>
      <c r="C33" s="5">
        <f>C17*(1+C30)</f>
        <v>11116120.050000001</v>
      </c>
      <c r="D33" s="5">
        <f>C33*(1+D30)</f>
        <v>11616345.45225</v>
      </c>
      <c r="E33" s="5">
        <f>D33*(1+E30)</f>
        <v>12080999.270340001</v>
      </c>
      <c r="F33" s="5">
        <f>E33*(1+F30)</f>
        <v>12503834.244801899</v>
      </c>
      <c r="G33" s="5">
        <f>F33*(1+G30)</f>
        <v>12878949.272145957</v>
      </c>
    </row>
    <row r="34" spans="2:7" ht="14" customHeight="1" x14ac:dyDescent="0.3">
      <c r="B34" s="4" t="s">
        <v>33</v>
      </c>
      <c r="C34" s="5">
        <f>C33*C31</f>
        <v>7781284.0350000001</v>
      </c>
      <c r="D34" s="5">
        <f>D33*D31</f>
        <v>8131441.8165749991</v>
      </c>
      <c r="E34" s="5">
        <f>E33*E31</f>
        <v>8456699.4892379995</v>
      </c>
      <c r="F34" s="5">
        <f>F33*F31</f>
        <v>8752683.9713613298</v>
      </c>
      <c r="G34" s="5">
        <f>G33*G31</f>
        <v>9015264.4905021694</v>
      </c>
    </row>
    <row r="35" spans="2:7" ht="14" customHeight="1" x14ac:dyDescent="0.3">
      <c r="B35" s="4" t="s">
        <v>34</v>
      </c>
      <c r="C35" s="19">
        <f>C33-C34</f>
        <v>3334836.0150000006</v>
      </c>
      <c r="D35" s="19">
        <f>D33-D34</f>
        <v>3484903.635675001</v>
      </c>
      <c r="E35" s="19">
        <f>E33-E34</f>
        <v>3624299.7811020017</v>
      </c>
      <c r="F35" s="19">
        <f>F33-F34</f>
        <v>3751150.2734405696</v>
      </c>
      <c r="G35" s="19">
        <f>G33-G34</f>
        <v>3863684.7816437874</v>
      </c>
    </row>
    <row r="36" spans="2:7" ht="14" customHeight="1" x14ac:dyDescent="0.3">
      <c r="B36" s="4" t="s">
        <v>35</v>
      </c>
      <c r="C36" s="7">
        <f>C35/C33</f>
        <v>0.30000000000000004</v>
      </c>
      <c r="D36" s="7">
        <f>D35/D33</f>
        <v>0.3000000000000001</v>
      </c>
      <c r="E36" s="7">
        <f>E35/E33</f>
        <v>0.3000000000000001</v>
      </c>
      <c r="F36" s="7">
        <f>F35/F33</f>
        <v>0.3</v>
      </c>
      <c r="G36" s="7">
        <f>G35/G33</f>
        <v>0.30000000000000004</v>
      </c>
    </row>
    <row r="37" spans="2:7" ht="14" customHeight="1" x14ac:dyDescent="0.3">
      <c r="B37" s="4" t="s">
        <v>87</v>
      </c>
      <c r="C37" s="5">
        <f>C33*C32</f>
        <v>2075601.9357360001</v>
      </c>
      <c r="D37" s="5">
        <f>D33*D32</f>
        <v>2169004.0228441199</v>
      </c>
      <c r="E37" s="5">
        <f>E33*E32</f>
        <v>2255764.1837578849</v>
      </c>
      <c r="F37" s="5">
        <f>F33*F32</f>
        <v>2334715.9301894107</v>
      </c>
      <c r="G37" s="5">
        <f>G33*G32</f>
        <v>2404757.408095093</v>
      </c>
    </row>
    <row r="38" spans="2:7" ht="14" customHeight="1" x14ac:dyDescent="0.3">
      <c r="B38" s="4" t="s">
        <v>88</v>
      </c>
      <c r="C38" s="7">
        <f>(C35-C37)/C33</f>
        <v>0.11328000000000003</v>
      </c>
      <c r="D38" s="7">
        <f>(D35-D37)/D33</f>
        <v>0.11328000000000009</v>
      </c>
      <c r="E38" s="7">
        <f>(E35-E37)/E33</f>
        <v>0.11328000000000012</v>
      </c>
      <c r="F38" s="7">
        <f>(F35-F37)/F33</f>
        <v>0.11327999999999998</v>
      </c>
      <c r="G38" s="7">
        <f>(G35-G37)/G33</f>
        <v>0.11328000000000003</v>
      </c>
    </row>
    <row r="39" spans="2:7" ht="14" customHeight="1" x14ac:dyDescent="0.3">
      <c r="B39" s="4" t="s">
        <v>89</v>
      </c>
      <c r="C39" s="19">
        <f>C35-C37</f>
        <v>1259234.0792640005</v>
      </c>
      <c r="D39" s="19">
        <f>D35-D37</f>
        <v>1315899.612830881</v>
      </c>
      <c r="E39" s="19">
        <f>E35-E37</f>
        <v>1368535.5973441168</v>
      </c>
      <c r="F39" s="19">
        <f>F35-F37</f>
        <v>1416434.3432511589</v>
      </c>
      <c r="G39" s="19">
        <f>G35-G37</f>
        <v>1458927.3735486944</v>
      </c>
    </row>
    <row r="40" spans="2:7" ht="14" customHeight="1" x14ac:dyDescent="0.3">
      <c r="B40" s="4" t="s">
        <v>90</v>
      </c>
      <c r="C40" s="5">
        <f>MAX(0,C39*C6)</f>
        <v>314808.51981600013</v>
      </c>
      <c r="D40" s="5">
        <f>MAX(0,D39*C6)</f>
        <v>328974.90320772026</v>
      </c>
      <c r="E40" s="5">
        <f>MAX(0,E39*C6)</f>
        <v>342133.89933602919</v>
      </c>
      <c r="F40" s="5">
        <f>MAX(0,F39*C6)</f>
        <v>354108.58581278974</v>
      </c>
      <c r="G40" s="5">
        <f>MAX(0,G39*C6)</f>
        <v>364731.84338717361</v>
      </c>
    </row>
    <row r="41" spans="2:7" ht="14" customHeight="1" x14ac:dyDescent="0.3">
      <c r="B41" s="4" t="s">
        <v>91</v>
      </c>
      <c r="C41" s="19">
        <f>C39-C40</f>
        <v>944425.55944800039</v>
      </c>
      <c r="D41" s="19">
        <f>D39-D40</f>
        <v>986924.70962316077</v>
      </c>
      <c r="E41" s="19">
        <f>E39-E40</f>
        <v>1026401.6980080876</v>
      </c>
      <c r="F41" s="19">
        <f>F39-F40</f>
        <v>1062325.7574383691</v>
      </c>
      <c r="G41" s="19">
        <f>G39-G40</f>
        <v>1094195.5301615209</v>
      </c>
    </row>
    <row r="42" spans="2:7" ht="14" customHeight="1" x14ac:dyDescent="0.3">
      <c r="B42" s="4" t="s">
        <v>92</v>
      </c>
      <c r="C42" s="5">
        <f>C33*C18</f>
        <v>477993.16214999999</v>
      </c>
      <c r="D42" s="5">
        <f>D33*C18</f>
        <v>499502.85444674996</v>
      </c>
      <c r="E42" s="5">
        <f>E33*C18</f>
        <v>519482.96862462</v>
      </c>
      <c r="F42" s="5">
        <f>F33*C18</f>
        <v>537664.87252648163</v>
      </c>
      <c r="G42" s="5">
        <f>G33*C18</f>
        <v>553794.8187022761</v>
      </c>
    </row>
    <row r="43" spans="2:7" ht="14" customHeight="1" x14ac:dyDescent="0.3">
      <c r="B43" s="4" t="s">
        <v>93</v>
      </c>
      <c r="C43" s="5">
        <f>C33*C5</f>
        <v>501337.01425500005</v>
      </c>
      <c r="D43" s="5">
        <f>D33*C5</f>
        <v>523897.17989647499</v>
      </c>
      <c r="E43" s="5">
        <f>E33*C5</f>
        <v>544853.06709233404</v>
      </c>
      <c r="F43" s="5">
        <f>F33*C5</f>
        <v>563922.92444056564</v>
      </c>
      <c r="G43" s="5">
        <f>G33*C5</f>
        <v>580840.61217378266</v>
      </c>
    </row>
    <row r="44" spans="2:7" ht="14" customHeight="1" x14ac:dyDescent="0.3">
      <c r="B44" s="4" t="s">
        <v>94</v>
      </c>
      <c r="C44" s="5">
        <f>'NWC Schedule'!D19</f>
        <v>-407179.96687671216</v>
      </c>
      <c r="D44" s="5">
        <f>'NWC Schedule'!E19</f>
        <v>166924.53149054805</v>
      </c>
      <c r="E44" s="5">
        <f>'NWC Schedule'!F19</f>
        <v>155054.34258455364</v>
      </c>
      <c r="F44" s="5">
        <f>'NWC Schedule'!G19</f>
        <v>141099.45175194321</v>
      </c>
      <c r="G44" s="5">
        <f>'NWC Schedule'!H19</f>
        <v>125175.37076850981</v>
      </c>
    </row>
    <row r="45" spans="2:7" ht="14" customHeight="1" x14ac:dyDescent="0.3">
      <c r="B45" s="4" t="s">
        <v>95</v>
      </c>
      <c r="C45" s="20">
        <f>C41+C42-C43-C44</f>
        <v>1328261.6742197124</v>
      </c>
      <c r="D45" s="20">
        <f>D41+D42-D43-D44</f>
        <v>795605.85268288758</v>
      </c>
      <c r="E45" s="20">
        <f>E41+E42-E43-E44</f>
        <v>845977.25695582002</v>
      </c>
      <c r="F45" s="20">
        <f>F41+F42-F43-F44</f>
        <v>894968.253772342</v>
      </c>
      <c r="G45" s="20">
        <f>G41+G42-G43-G44</f>
        <v>941974.36592150456</v>
      </c>
    </row>
    <row r="46" spans="2:7" ht="14" customHeight="1" x14ac:dyDescent="0.3">
      <c r="B46" s="4" t="s">
        <v>96</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97</v>
      </c>
      <c r="C47" s="19">
        <f>C45*C46</f>
        <v>1231354.1060718573</v>
      </c>
      <c r="D47" s="19">
        <f>D45*D46</f>
        <v>683748.85453606036</v>
      </c>
      <c r="E47" s="19">
        <f>E45*E46</f>
        <v>673994.96396082721</v>
      </c>
      <c r="F47" s="19">
        <f>F45*F46</f>
        <v>661005.259962574</v>
      </c>
      <c r="G47" s="19">
        <f>G45*G46</f>
        <v>644964.32153249101</v>
      </c>
    </row>
    <row r="49" spans="2:7" ht="14" customHeight="1" x14ac:dyDescent="0.3">
      <c r="B49" s="22" t="s">
        <v>98</v>
      </c>
      <c r="C49" s="23"/>
      <c r="D49" s="23"/>
      <c r="E49" s="23"/>
      <c r="F49" s="23"/>
      <c r="G49" s="23"/>
    </row>
    <row r="50" spans="2:7" ht="14" customHeight="1" x14ac:dyDescent="0.3">
      <c r="B50" s="4" t="s">
        <v>99</v>
      </c>
      <c r="C50" s="5">
        <f>SUM(C47:G47)</f>
        <v>3895067.5060638101</v>
      </c>
    </row>
    <row r="51" spans="2:7" ht="14" customHeight="1" x14ac:dyDescent="0.3">
      <c r="B51" s="4" t="s">
        <v>100</v>
      </c>
      <c r="C51" s="5">
        <f>G45*(1+C13)/(C26-C13)</f>
        <v>13848531.434944972</v>
      </c>
    </row>
    <row r="52" spans="2:7" ht="14" customHeight="1" x14ac:dyDescent="0.3">
      <c r="B52" s="4" t="s">
        <v>101</v>
      </c>
      <c r="C52" s="5">
        <f>C51*G46</f>
        <v>9482008.220492227</v>
      </c>
    </row>
    <row r="53" spans="2:7" ht="14" customHeight="1" x14ac:dyDescent="0.3">
      <c r="B53" s="4" t="s">
        <v>102</v>
      </c>
      <c r="C53" s="5">
        <f>C50+C52</f>
        <v>13377075.726556037</v>
      </c>
    </row>
    <row r="54" spans="2:7" ht="14" customHeight="1" x14ac:dyDescent="0.3">
      <c r="B54" s="4" t="s">
        <v>103</v>
      </c>
      <c r="C54" s="5">
        <f>C53-C16</f>
        <v>13691518.726556037</v>
      </c>
    </row>
    <row r="55" spans="2:7" ht="14" customHeight="1" x14ac:dyDescent="0.3">
      <c r="B55" s="4" t="s">
        <v>104</v>
      </c>
      <c r="C55" s="24">
        <f>ROUND(C54*1000000/C15,0)</f>
        <v>3059</v>
      </c>
    </row>
    <row r="57" spans="2:7" ht="14" customHeight="1" x14ac:dyDescent="0.3">
      <c r="B57" s="22" t="s">
        <v>105</v>
      </c>
      <c r="C57" s="23"/>
      <c r="D57" s="23"/>
      <c r="E57" s="23"/>
      <c r="F57" s="23"/>
      <c r="G57" s="23"/>
    </row>
    <row r="58" spans="2:7" ht="14" customHeight="1" x14ac:dyDescent="0.3">
      <c r="B58" s="4" t="s">
        <v>99</v>
      </c>
      <c r="C58" s="5">
        <f>C50</f>
        <v>3895067.5060638101</v>
      </c>
    </row>
    <row r="59" spans="2:7" ht="14" customHeight="1" x14ac:dyDescent="0.3">
      <c r="B59" s="4" t="s">
        <v>106</v>
      </c>
      <c r="C59" s="5">
        <f>G39+G42</f>
        <v>2012722.1922509705</v>
      </c>
    </row>
    <row r="60" spans="2:7" ht="14" customHeight="1" x14ac:dyDescent="0.3">
      <c r="B60" s="4" t="s">
        <v>107</v>
      </c>
      <c r="C60" s="5">
        <f>C59*C14</f>
        <v>31398466.199115139</v>
      </c>
    </row>
    <row r="61" spans="2:7" ht="14" customHeight="1" x14ac:dyDescent="0.3">
      <c r="B61" s="4" t="s">
        <v>101</v>
      </c>
      <c r="C61" s="5">
        <f>C60*G46</f>
        <v>21498345.583387848</v>
      </c>
    </row>
    <row r="62" spans="2:7" ht="14" customHeight="1" x14ac:dyDescent="0.3">
      <c r="B62" s="4" t="s">
        <v>102</v>
      </c>
      <c r="C62" s="5">
        <f>C58+C61</f>
        <v>25393413.089451659</v>
      </c>
    </row>
    <row r="63" spans="2:7" ht="14" customHeight="1" x14ac:dyDescent="0.3">
      <c r="B63" s="4" t="s">
        <v>103</v>
      </c>
      <c r="C63" s="5">
        <f>C62-C16</f>
        <v>25707856.089451659</v>
      </c>
    </row>
    <row r="64" spans="2:7" ht="14" customHeight="1" x14ac:dyDescent="0.3">
      <c r="B64" s="4" t="s">
        <v>108</v>
      </c>
      <c r="C64" s="24">
        <f>ROUND(C63*1000000/C15,0)</f>
        <v>5743</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41</v>
      </c>
    </row>
    <row r="69" spans="2:7" ht="14" customHeight="1" x14ac:dyDescent="0.3">
      <c r="B69" s="4" t="s">
        <v>78</v>
      </c>
      <c r="C69" s="26">
        <v>0.05</v>
      </c>
      <c r="D69" s="26">
        <v>4.4999999999999998E-2</v>
      </c>
      <c r="E69" s="26">
        <v>0.04</v>
      </c>
      <c r="F69" s="26">
        <v>3.5000000000000003E-2</v>
      </c>
      <c r="G69" s="26">
        <v>0.03</v>
      </c>
    </row>
    <row r="70" spans="2:7" ht="14" customHeight="1" x14ac:dyDescent="0.3">
      <c r="B70" s="4" t="s">
        <v>115</v>
      </c>
      <c r="C70" s="26">
        <v>6.5000000000000002E-2</v>
      </c>
      <c r="D70" s="26">
        <v>5.5E-2</v>
      </c>
      <c r="E70" s="26">
        <v>0.05</v>
      </c>
      <c r="F70" s="26">
        <v>4.4999999999999998E-2</v>
      </c>
      <c r="G70" s="26">
        <v>0.04</v>
      </c>
    </row>
    <row r="71" spans="2:7" ht="14" customHeight="1" x14ac:dyDescent="0.3">
      <c r="B71" s="4" t="s">
        <v>116</v>
      </c>
      <c r="C71" s="26">
        <v>0.05</v>
      </c>
      <c r="D71" s="26">
        <v>4.4999999999999998E-2</v>
      </c>
      <c r="E71" s="26">
        <v>0.04</v>
      </c>
      <c r="F71" s="26">
        <v>3.5000000000000003E-2</v>
      </c>
      <c r="G71" s="26">
        <v>0.03</v>
      </c>
    </row>
    <row r="72" spans="2:7" ht="14" customHeight="1" x14ac:dyDescent="0.3">
      <c r="B72" s="4" t="s">
        <v>117</v>
      </c>
      <c r="C72" s="26">
        <v>0.01</v>
      </c>
      <c r="D72" s="26">
        <v>0.01</v>
      </c>
      <c r="E72" s="26">
        <v>0.01</v>
      </c>
      <c r="F72" s="26">
        <v>0.01</v>
      </c>
      <c r="G72" s="26">
        <v>0.01</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0.7</v>
      </c>
      <c r="D76" s="26">
        <v>0.7</v>
      </c>
      <c r="E76" s="26">
        <v>0.7</v>
      </c>
      <c r="F76" s="26">
        <v>0.7</v>
      </c>
      <c r="G76" s="26">
        <v>0.7</v>
      </c>
    </row>
    <row r="77" spans="2:7" ht="14" customHeight="1" x14ac:dyDescent="0.3">
      <c r="B77" s="4" t="s">
        <v>115</v>
      </c>
      <c r="C77" s="26">
        <v>0.69399999999999995</v>
      </c>
      <c r="D77" s="26">
        <v>0.69399999999999995</v>
      </c>
      <c r="E77" s="26">
        <v>0.69399999999999995</v>
      </c>
      <c r="F77" s="26">
        <v>0.69399999999999995</v>
      </c>
      <c r="G77" s="26">
        <v>0.69399999999999995</v>
      </c>
    </row>
    <row r="78" spans="2:7" ht="14" customHeight="1" x14ac:dyDescent="0.3">
      <c r="B78" s="4" t="s">
        <v>116</v>
      </c>
      <c r="C78" s="26">
        <v>0.7</v>
      </c>
      <c r="D78" s="26">
        <v>0.7</v>
      </c>
      <c r="E78" s="26">
        <v>0.7</v>
      </c>
      <c r="F78" s="26">
        <v>0.7</v>
      </c>
      <c r="G78" s="26">
        <v>0.7</v>
      </c>
    </row>
    <row r="79" spans="2:7" ht="14" customHeight="1" x14ac:dyDescent="0.3">
      <c r="B79" s="4" t="s">
        <v>117</v>
      </c>
      <c r="C79" s="26">
        <v>0.71</v>
      </c>
      <c r="D79" s="26">
        <v>0.71</v>
      </c>
      <c r="E79" s="26">
        <v>0.71</v>
      </c>
      <c r="F79" s="26">
        <v>0.71</v>
      </c>
      <c r="G79" s="26">
        <v>0.71</v>
      </c>
    </row>
    <row r="80" spans="2:7" ht="14" customHeight="1" x14ac:dyDescent="0.3">
      <c r="B80" s="4" t="s">
        <v>118</v>
      </c>
      <c r="C80" s="26">
        <v>0.72499999999999998</v>
      </c>
      <c r="D80" s="26">
        <v>0.72499999999999998</v>
      </c>
      <c r="E80" s="26">
        <v>0.72499999999999998</v>
      </c>
      <c r="F80" s="26">
        <v>0.72499999999999998</v>
      </c>
      <c r="G80" s="26">
        <v>0.72499999999999998</v>
      </c>
    </row>
    <row r="82" spans="2:7" ht="14" customHeight="1" x14ac:dyDescent="0.3">
      <c r="B82" s="3" t="s">
        <v>86</v>
      </c>
    </row>
    <row r="83" spans="2:7" ht="14" customHeight="1" x14ac:dyDescent="0.3">
      <c r="B83" s="4" t="s">
        <v>78</v>
      </c>
      <c r="C83" s="26">
        <v>0.18672</v>
      </c>
      <c r="D83" s="26">
        <v>0.18672</v>
      </c>
      <c r="E83" s="26">
        <v>0.18672</v>
      </c>
      <c r="F83" s="26">
        <v>0.18672</v>
      </c>
      <c r="G83" s="26">
        <v>0.18672</v>
      </c>
    </row>
    <row r="84" spans="2:7" ht="14" customHeight="1" x14ac:dyDescent="0.3">
      <c r="B84" s="4" t="s">
        <v>115</v>
      </c>
      <c r="C84" s="26">
        <v>0.19</v>
      </c>
      <c r="D84" s="26">
        <v>0.188</v>
      </c>
      <c r="E84" s="26">
        <v>0.186</v>
      </c>
      <c r="F84" s="26">
        <v>0.184</v>
      </c>
      <c r="G84" s="26">
        <v>0.1827</v>
      </c>
    </row>
    <row r="85" spans="2:7" ht="14" customHeight="1" x14ac:dyDescent="0.3">
      <c r="B85" s="4" t="s">
        <v>116</v>
      </c>
      <c r="C85" s="26">
        <v>0.18672</v>
      </c>
      <c r="D85" s="26">
        <v>0.18672</v>
      </c>
      <c r="E85" s="26">
        <v>0.18672</v>
      </c>
      <c r="F85" s="26">
        <v>0.18672</v>
      </c>
      <c r="G85" s="26">
        <v>0.18672</v>
      </c>
    </row>
    <row r="86" spans="2:7" ht="14" customHeight="1" x14ac:dyDescent="0.3">
      <c r="B86" s="4" t="s">
        <v>117</v>
      </c>
      <c r="C86" s="26">
        <v>0.19</v>
      </c>
      <c r="D86" s="26">
        <v>0.2</v>
      </c>
      <c r="E86" s="26">
        <v>0.20799999999999999</v>
      </c>
      <c r="F86" s="26">
        <v>0.21299999999999999</v>
      </c>
      <c r="G86" s="26">
        <v>0.2145</v>
      </c>
    </row>
    <row r="87" spans="2:7" ht="14" customHeight="1" x14ac:dyDescent="0.3">
      <c r="B87" s="4" t="s">
        <v>118</v>
      </c>
      <c r="C87" s="26">
        <v>0.2</v>
      </c>
      <c r="D87" s="26">
        <v>0.20599999999999999</v>
      </c>
      <c r="E87" s="26">
        <v>0.20599999999999999</v>
      </c>
      <c r="F87" s="26">
        <v>0.20300000000000001</v>
      </c>
      <c r="G87" s="26">
        <v>0.2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5377</v>
      </c>
    </row>
    <row r="7" spans="2:9" ht="14" customHeight="1" x14ac:dyDescent="0.3">
      <c r="B7" s="4" t="s">
        <v>66</v>
      </c>
      <c r="C7" s="15">
        <f>'DCF Model'!C15</f>
        <v>4476140293</v>
      </c>
    </row>
    <row r="8" spans="2:9" ht="14" customHeight="1" x14ac:dyDescent="0.3">
      <c r="B8" s="4" t="s">
        <v>123</v>
      </c>
      <c r="C8" s="5">
        <f>C6*C7/1000000</f>
        <v>24068206.355461001</v>
      </c>
    </row>
    <row r="9" spans="2:9" ht="14" customHeight="1" x14ac:dyDescent="0.3">
      <c r="B9" s="4" t="s">
        <v>67</v>
      </c>
      <c r="C9" s="5">
        <f>'DCF Model'!C16</f>
        <v>-314443</v>
      </c>
    </row>
    <row r="10" spans="2:9" ht="14" customHeight="1" x14ac:dyDescent="0.3">
      <c r="B10" s="4" t="s">
        <v>124</v>
      </c>
      <c r="C10" s="5">
        <f>C8+C9</f>
        <v>23753763.355461001</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1199275</v>
      </c>
    </row>
    <row r="15" spans="2:9" ht="14" customHeight="1" x14ac:dyDescent="0.3">
      <c r="B15" s="4" t="s">
        <v>129</v>
      </c>
      <c r="C15" s="27">
        <v>1199275</v>
      </c>
    </row>
    <row r="16" spans="2:9" ht="14" customHeight="1" x14ac:dyDescent="0.3">
      <c r="B16" s="4" t="s">
        <v>130</v>
      </c>
      <c r="C16" s="5">
        <f>'DCF Model'!G33</f>
        <v>12878949.272145957</v>
      </c>
    </row>
    <row r="17" spans="2:9" ht="14" customHeight="1" x14ac:dyDescent="0.3">
      <c r="B17" s="4" t="s">
        <v>131</v>
      </c>
      <c r="C17" s="5">
        <f>'DCF Model'!C53</f>
        <v>13377075.726556037</v>
      </c>
    </row>
    <row r="18" spans="2:9" ht="14" customHeight="1" x14ac:dyDescent="0.3">
      <c r="B18" s="4" t="s">
        <v>132</v>
      </c>
      <c r="C18" s="26">
        <v>0.1132804201768224</v>
      </c>
    </row>
    <row r="19" spans="2:9" ht="14" customHeight="1" x14ac:dyDescent="0.3">
      <c r="B19" s="4" t="s">
        <v>133</v>
      </c>
      <c r="C19" s="5">
        <f>C10-C17</f>
        <v>10376687.628904965</v>
      </c>
    </row>
    <row r="20" spans="2:9" ht="14" customHeight="1" x14ac:dyDescent="0.3">
      <c r="B20" s="4" t="s">
        <v>134</v>
      </c>
      <c r="C20" s="15">
        <f>IFERROR(ROUND(C19*1000000/C7,0),"N/A")</f>
        <v>2318</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1631883.5425201708</v>
      </c>
    </row>
    <row r="25" spans="2:9" ht="14" customHeight="1" x14ac:dyDescent="0.3">
      <c r="B25" s="4" t="s">
        <v>138</v>
      </c>
      <c r="C25" s="5">
        <f>IFERROR(C24/(1-C13),"N/A")</f>
        <v>2175844.7233602279</v>
      </c>
    </row>
    <row r="26" spans="2:9" ht="13.5" customHeight="1" x14ac:dyDescent="0.25">
      <c r="B26" s="6" t="s">
        <v>139</v>
      </c>
      <c r="C26" s="14">
        <f>IFERROR(C25/C15,"N/A")</f>
        <v>1.8143000757626297</v>
      </c>
    </row>
    <row r="27" spans="2:9" ht="13.5" customHeight="1" x14ac:dyDescent="0.25">
      <c r="B27" s="6" t="s">
        <v>140</v>
      </c>
      <c r="C27" s="14">
        <f>IFERROR(C25/C14,"N/A")</f>
        <v>1.8143000757626297</v>
      </c>
    </row>
    <row r="28" spans="2:9" ht="13.5" customHeight="1" x14ac:dyDescent="0.25">
      <c r="B28" s="6" t="s">
        <v>141</v>
      </c>
      <c r="C28" s="7">
        <f>IFERROR(C25/C16,"N/A")</f>
        <v>0.16894582604390346</v>
      </c>
    </row>
    <row r="29" spans="2:9" ht="13.5" customHeight="1" x14ac:dyDescent="0.25">
      <c r="B29" s="6" t="s">
        <v>142</v>
      </c>
      <c r="C29" s="5">
        <f>IFERROR(C25/C18,"N/A")</f>
        <v>19207597.570382372</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1589205.824165096</v>
      </c>
      <c r="E48" s="5">
        <f t="shared" si="2"/>
        <v>1933622.0631418235</v>
      </c>
      <c r="F48" s="5">
        <f t="shared" si="2"/>
        <v>2284055.2693246203</v>
      </c>
      <c r="G48" s="5">
        <f t="shared" si="2"/>
        <v>2640441.7691233787</v>
      </c>
      <c r="H48" s="5">
        <f t="shared" si="2"/>
        <v>3002718.1553103169</v>
      </c>
    </row>
    <row r="49" spans="2:9" ht="14" customHeight="1" x14ac:dyDescent="0.3">
      <c r="B49" s="4" t="s">
        <v>150</v>
      </c>
      <c r="C49" s="30">
        <v>5</v>
      </c>
      <c r="D49" s="5">
        <f t="shared" si="2"/>
        <v>1637458.9013689584</v>
      </c>
      <c r="E49" s="5">
        <f t="shared" si="2"/>
        <v>2011075.6051181476</v>
      </c>
      <c r="F49" s="5">
        <f t="shared" si="2"/>
        <v>2397350.198248358</v>
      </c>
      <c r="G49" s="5">
        <f t="shared" si="2"/>
        <v>2796236.3831858817</v>
      </c>
      <c r="H49" s="5">
        <f t="shared" si="2"/>
        <v>3207682.3969269181</v>
      </c>
    </row>
    <row r="50" spans="2:9" ht="14" customHeight="1" x14ac:dyDescent="0.3">
      <c r="B50" s="4" t="s">
        <v>151</v>
      </c>
      <c r="C50" s="30">
        <v>7</v>
      </c>
      <c r="D50" s="5">
        <f t="shared" si="2"/>
        <v>1687152.6798686597</v>
      </c>
      <c r="E50" s="5">
        <f t="shared" si="2"/>
        <v>2091455.9242739386</v>
      </c>
      <c r="F50" s="5">
        <f t="shared" si="2"/>
        <v>2515668.1299010483</v>
      </c>
      <c r="G50" s="5">
        <f t="shared" si="2"/>
        <v>2959834.224938733</v>
      </c>
      <c r="H50" s="5">
        <f t="shared" si="2"/>
        <v>3423980.337420702</v>
      </c>
    </row>
    <row r="51" spans="2:9" ht="14" customHeight="1" x14ac:dyDescent="0.3">
      <c r="B51" s="4" t="s">
        <v>152</v>
      </c>
      <c r="C51" s="30">
        <v>10</v>
      </c>
      <c r="D51" s="5">
        <f t="shared" si="2"/>
        <v>1764344.0928180558</v>
      </c>
      <c r="E51" s="5">
        <f t="shared" si="2"/>
        <v>2217410.6749422355</v>
      </c>
      <c r="F51" s="5">
        <f t="shared" si="2"/>
        <v>2702359.5843264712</v>
      </c>
      <c r="G51" s="5">
        <f t="shared" si="2"/>
        <v>3219487.7890147343</v>
      </c>
      <c r="H51" s="5">
        <f t="shared" si="2"/>
        <v>3769034.4767329851</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1.3251387914907724</v>
      </c>
      <c r="E53" s="14">
        <f t="shared" si="3"/>
        <v>1.6123258328088417</v>
      </c>
      <c r="F53" s="14">
        <f t="shared" si="3"/>
        <v>1.9045300446725064</v>
      </c>
      <c r="G53" s="14">
        <f t="shared" si="3"/>
        <v>2.2016983336794134</v>
      </c>
      <c r="H53" s="14">
        <f t="shared" si="3"/>
        <v>2.503777828530001</v>
      </c>
    </row>
    <row r="54" spans="2:9" ht="14" customHeight="1" x14ac:dyDescent="0.3">
      <c r="B54" s="4" t="s">
        <v>150</v>
      </c>
      <c r="C54" s="30">
        <v>5</v>
      </c>
      <c r="D54" s="14">
        <f t="shared" si="3"/>
        <v>1.3653739979312154</v>
      </c>
      <c r="E54" s="14">
        <f t="shared" si="3"/>
        <v>1.6769094704034917</v>
      </c>
      <c r="F54" s="14">
        <f t="shared" si="3"/>
        <v>1.9989995607749331</v>
      </c>
      <c r="G54" s="14">
        <f t="shared" si="3"/>
        <v>2.3316056644104828</v>
      </c>
      <c r="H54" s="14">
        <f t="shared" si="3"/>
        <v>2.6746846193966505</v>
      </c>
    </row>
    <row r="55" spans="2:9" ht="14" customHeight="1" x14ac:dyDescent="0.3">
      <c r="B55" s="4" t="s">
        <v>151</v>
      </c>
      <c r="C55" s="30">
        <v>7</v>
      </c>
      <c r="D55" s="14">
        <f t="shared" si="3"/>
        <v>1.4068105145764396</v>
      </c>
      <c r="E55" s="14">
        <f t="shared" si="3"/>
        <v>1.7439335634228501</v>
      </c>
      <c r="F55" s="14">
        <f t="shared" si="3"/>
        <v>2.0976574429559927</v>
      </c>
      <c r="G55" s="14">
        <f t="shared" si="3"/>
        <v>2.4680196159669241</v>
      </c>
      <c r="H55" s="14">
        <f t="shared" si="3"/>
        <v>2.8550418689797601</v>
      </c>
    </row>
    <row r="56" spans="2:9" ht="14" customHeight="1" x14ac:dyDescent="0.3">
      <c r="B56" s="4" t="s">
        <v>152</v>
      </c>
      <c r="C56" s="30">
        <v>10</v>
      </c>
      <c r="D56" s="14">
        <f t="shared" si="3"/>
        <v>1.4711755792608499</v>
      </c>
      <c r="E56" s="14">
        <f t="shared" si="3"/>
        <v>1.8489593087008696</v>
      </c>
      <c r="F56" s="14">
        <f t="shared" si="3"/>
        <v>2.2533277057609564</v>
      </c>
      <c r="G56" s="14">
        <f t="shared" si="3"/>
        <v>2.6845283934166346</v>
      </c>
      <c r="H56" s="14">
        <f t="shared" si="3"/>
        <v>3.1427608152700466</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2397350.198248358</v>
      </c>
    </row>
    <row r="62" spans="2:9" ht="14" customHeight="1" x14ac:dyDescent="0.3">
      <c r="B62" s="28" t="s">
        <v>159</v>
      </c>
      <c r="C62" s="28" t="s">
        <v>160</v>
      </c>
      <c r="D62" s="28" t="s">
        <v>161</v>
      </c>
    </row>
    <row r="63" spans="2:9" ht="14" customHeight="1" x14ac:dyDescent="0.3">
      <c r="B63" s="31">
        <v>5.6599999999999998E-2</v>
      </c>
      <c r="C63" s="5">
        <f>IFERROR($C$60/B63,"N/A")</f>
        <v>42356010.569758974</v>
      </c>
      <c r="D63" s="14">
        <f>IFERROR(C63/'DCF Model'!C17,"N/A")</f>
        <v>4.0008394024358278</v>
      </c>
    </row>
    <row r="64" spans="2:9" ht="14" customHeight="1" x14ac:dyDescent="0.3">
      <c r="B64" s="31">
        <v>8.5000000000000006E-2</v>
      </c>
      <c r="C64" s="5">
        <f>IFERROR($C$60/B64,"N/A")</f>
        <v>28204119.979392447</v>
      </c>
      <c r="D64" s="14">
        <f>IFERROR(C64/'DCF Model'!C17,"N/A")</f>
        <v>2.6640883550337393</v>
      </c>
    </row>
    <row r="65" spans="2:9" ht="14" customHeight="1" x14ac:dyDescent="0.3">
      <c r="B65" s="4" t="s">
        <v>162</v>
      </c>
      <c r="C65" s="5">
        <f>IFERROR($C$60/$C$18,"N/A")</f>
        <v>21162970.569020409</v>
      </c>
      <c r="D65" s="14">
        <f>IFERROR(C65/'DCF Model'!C17,"N/A")</f>
        <v>1.9989995607749333</v>
      </c>
    </row>
    <row r="66" spans="2:9" ht="14" customHeight="1" x14ac:dyDescent="0.3">
      <c r="B66" s="31">
        <v>0.1416</v>
      </c>
      <c r="C66" s="5">
        <f>IFERROR($C$60/B66,"N/A")</f>
        <v>16930439.25316637</v>
      </c>
      <c r="D66" s="14">
        <f>IFERROR(C66/'DCF Model'!C17,"N/A")</f>
        <v>1.5992055803521741</v>
      </c>
    </row>
    <row r="67" spans="2:9" ht="14" customHeight="1" x14ac:dyDescent="0.3">
      <c r="B67" s="31">
        <v>0.1699</v>
      </c>
      <c r="C67" s="5">
        <f>IFERROR($C$60/B67,"N/A")</f>
        <v>14110360.201579506</v>
      </c>
      <c r="D67" s="14">
        <f>IFERROR(C67/'DCF Model'!C17,"N/A")</f>
        <v>1.3328281941016353</v>
      </c>
    </row>
    <row r="69" spans="2:9" ht="14" customHeight="1" x14ac:dyDescent="0.3">
      <c r="B69" s="8" t="s">
        <v>163</v>
      </c>
      <c r="C69" s="9"/>
      <c r="D69" s="9"/>
      <c r="E69" s="9"/>
      <c r="F69" s="9"/>
      <c r="G69" s="9"/>
      <c r="H69" s="9"/>
      <c r="I69" s="9"/>
    </row>
    <row r="70" spans="2:9" ht="13.5" customHeight="1" x14ac:dyDescent="0.25">
      <c r="B70" s="6" t="s">
        <v>164</v>
      </c>
      <c r="C70" s="14">
        <f>IFERROR(C10/'Comps Analysis'!G5,"N/A")</f>
        <v>14.333258121573236</v>
      </c>
    </row>
    <row r="71" spans="2:9" ht="13.5" customHeight="1" x14ac:dyDescent="0.25">
      <c r="B71" s="6" t="s">
        <v>165</v>
      </c>
      <c r="C71" s="14">
        <f>IFERROR(C10/'Comps Analysis'!F5,"N/A")</f>
        <v>2.2437191583977225</v>
      </c>
    </row>
    <row r="72" spans="2:9" ht="14" customHeight="1" x14ac:dyDescent="0.3">
      <c r="B72" s="4" t="s">
        <v>166</v>
      </c>
      <c r="C72" s="14">
        <f>IFERROR(C10/(C25+'DCF Model'!G42),"N/A")</f>
        <v>8.7021612155840753</v>
      </c>
    </row>
    <row r="73" spans="2:9" ht="14" customHeight="1" x14ac:dyDescent="0.3">
      <c r="B73" s="4" t="s">
        <v>167</v>
      </c>
      <c r="C73" s="14">
        <f>IFERROR(C10/(C60+'DCF Model'!G42),"N/A")</f>
        <v>8.0489990220830769</v>
      </c>
    </row>
    <row r="74" spans="2:9" ht="14" customHeight="1" x14ac:dyDescent="0.3">
      <c r="B74" s="4" t="s">
        <v>168</v>
      </c>
      <c r="C74" s="14">
        <f>IFERROR('Comps Analysis'!D16,"N/A")</f>
        <v>15.552094158010673</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5,377 yen the market is paying for a steady-state operating profit of 2,397,350 mn JPY - 2.00x the FY2026 cycle peak of 1,199,275 mn - reached in 5 years and sustained for ever, against 1,199,275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2,175,845 mn, or 1.81x the peak. The base case supports an EV of only 13,377,076 mn, leaving 2,318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138.07642285223432</v>
      </c>
      <c r="D5" s="34">
        <f>CHOOSE('DCF Model'!$D$27,D25,D26,D27,D28,D29)</f>
        <v>119</v>
      </c>
      <c r="E5" s="34">
        <f>CHOOSE('DCF Model'!$D$27,E25,E26,E27,E28,E29)</f>
        <v>119</v>
      </c>
      <c r="F5" s="34">
        <f>CHOOSE('DCF Model'!$D$27,F25,F26,F27,F28,F29)</f>
        <v>119</v>
      </c>
      <c r="G5" s="34">
        <f>CHOOSE('DCF Model'!$D$27,G25,G26,G27,G28,G29)</f>
        <v>119</v>
      </c>
      <c r="H5" s="34">
        <f>CHOOSE('DCF Model'!$D$27,H25,H26,H27,H28,H29)</f>
        <v>119</v>
      </c>
    </row>
    <row r="6" spans="2:8" ht="14" customHeight="1" x14ac:dyDescent="0.3">
      <c r="B6" s="33" t="s">
        <v>175</v>
      </c>
      <c r="C6" s="34">
        <f>C13/C10*365</f>
        <v>87.242183066000734</v>
      </c>
      <c r="D6" s="34">
        <f>CHOOSE('DCF Model'!$D$27,D32,D33,D34,D35,D36)</f>
        <v>80</v>
      </c>
      <c r="E6" s="34">
        <f>CHOOSE('DCF Model'!$D$27,E32,E33,E34,E35,E36)</f>
        <v>80</v>
      </c>
      <c r="F6" s="34">
        <f>CHOOSE('DCF Model'!$D$27,F32,F33,F34,F35,F36)</f>
        <v>80</v>
      </c>
      <c r="G6" s="34">
        <f>CHOOSE('DCF Model'!$D$27,G32,G33,G34,G35,G36)</f>
        <v>80</v>
      </c>
      <c r="H6" s="34">
        <f>CHOOSE('DCF Model'!$D$27,H32,H33,H34,H35,H36)</f>
        <v>80</v>
      </c>
    </row>
    <row r="7" spans="2:8" ht="14" customHeight="1" x14ac:dyDescent="0.3">
      <c r="B7" s="33" t="s">
        <v>176</v>
      </c>
      <c r="C7" s="34">
        <f>C15/C10*365</f>
        <v>81.736867464479403</v>
      </c>
      <c r="D7" s="34">
        <f>CHOOSE('DCF Model'!$D$27,D39,D40,D41,D42,D43)</f>
        <v>76</v>
      </c>
      <c r="E7" s="34">
        <f>CHOOSE('DCF Model'!$D$27,E39,E40,E41,E42,E43)</f>
        <v>76</v>
      </c>
      <c r="F7" s="34">
        <f>CHOOSE('DCF Model'!$D$27,F39,F40,F41,F42,F43)</f>
        <v>76</v>
      </c>
      <c r="G7" s="34">
        <f>CHOOSE('DCF Model'!$D$27,G39,G40,G41,G42,G43)</f>
        <v>76</v>
      </c>
      <c r="H7" s="34">
        <f>CHOOSE('DCF Model'!$D$27,H39,H40,H41,H42,H43)</f>
        <v>76</v>
      </c>
    </row>
    <row r="8" spans="2:8" ht="14" customHeight="1" x14ac:dyDescent="0.3">
      <c r="B8" s="8" t="s">
        <v>177</v>
      </c>
      <c r="C8" s="9"/>
      <c r="D8" s="9"/>
      <c r="E8" s="9"/>
      <c r="F8" s="9"/>
      <c r="G8" s="9"/>
      <c r="H8" s="9"/>
    </row>
    <row r="9" spans="2:8" ht="14" customHeight="1" x14ac:dyDescent="0.3">
      <c r="B9" s="33" t="s">
        <v>32</v>
      </c>
      <c r="C9" s="35">
        <v>10586781</v>
      </c>
      <c r="D9" s="35">
        <f>'DCF Model'!C33</f>
        <v>11116120.050000001</v>
      </c>
      <c r="E9" s="35">
        <f>'DCF Model'!D33</f>
        <v>11616345.45225</v>
      </c>
      <c r="F9" s="35">
        <f>'DCF Model'!E33</f>
        <v>12080999.270340001</v>
      </c>
      <c r="G9" s="35">
        <f>'DCF Model'!F33</f>
        <v>12503834.244801899</v>
      </c>
      <c r="H9" s="35">
        <f>'DCF Model'!G33</f>
        <v>12878949.272145957</v>
      </c>
    </row>
    <row r="10" spans="2:8" ht="14" customHeight="1" x14ac:dyDescent="0.3">
      <c r="B10" s="33" t="s">
        <v>33</v>
      </c>
      <c r="C10" s="35">
        <v>7407252</v>
      </c>
      <c r="D10" s="35">
        <f>'DCF Model'!C34</f>
        <v>7781284.0350000001</v>
      </c>
      <c r="E10" s="35">
        <f>'DCF Model'!D34</f>
        <v>8131441.8165749991</v>
      </c>
      <c r="F10" s="35">
        <f>'DCF Model'!E34</f>
        <v>8456699.4892379995</v>
      </c>
      <c r="G10" s="35">
        <f>'DCF Model'!F34</f>
        <v>8752683.9713613298</v>
      </c>
      <c r="H10" s="35">
        <f>'DCF Model'!G34</f>
        <v>9015264.4905021694</v>
      </c>
    </row>
    <row r="11" spans="2:8" ht="14" customHeight="1" x14ac:dyDescent="0.3">
      <c r="B11" s="8" t="s">
        <v>178</v>
      </c>
      <c r="C11" s="9"/>
      <c r="D11" s="9"/>
      <c r="E11" s="9"/>
      <c r="F11" s="9"/>
      <c r="G11" s="9"/>
      <c r="H11" s="9"/>
    </row>
    <row r="12" spans="2:8" ht="14" customHeight="1" x14ac:dyDescent="0.3">
      <c r="B12" s="33" t="s">
        <v>179</v>
      </c>
      <c r="C12" s="35">
        <v>4004890</v>
      </c>
      <c r="D12" s="35">
        <f t="shared" ref="D12:H13" si="0">D9*D5/365</f>
        <v>3624159.6875342466</v>
      </c>
      <c r="E12" s="35">
        <f t="shared" si="0"/>
        <v>3787246.8734732876</v>
      </c>
      <c r="F12" s="35">
        <f t="shared" si="0"/>
        <v>3938736.7484122198</v>
      </c>
      <c r="G12" s="35">
        <f t="shared" si="0"/>
        <v>4076592.5346066467</v>
      </c>
      <c r="H12" s="35">
        <f t="shared" si="0"/>
        <v>4198890.3106448464</v>
      </c>
    </row>
    <row r="13" spans="2:8" ht="14" customHeight="1" x14ac:dyDescent="0.3">
      <c r="B13" s="33" t="s">
        <v>180</v>
      </c>
      <c r="C13" s="35">
        <v>1770479</v>
      </c>
      <c r="D13" s="35">
        <f t="shared" si="0"/>
        <v>1705486.9117808219</v>
      </c>
      <c r="E13" s="35">
        <f t="shared" si="0"/>
        <v>1782233.8228109588</v>
      </c>
      <c r="F13" s="35">
        <f t="shared" si="0"/>
        <v>1853523.1757233972</v>
      </c>
      <c r="G13" s="35">
        <f t="shared" si="0"/>
        <v>1918396.4868737161</v>
      </c>
      <c r="H13" s="35">
        <f t="shared" si="0"/>
        <v>1975948.3814799276</v>
      </c>
    </row>
    <row r="14" spans="2:8" ht="14" customHeight="1" x14ac:dyDescent="0.3">
      <c r="B14" s="33" t="s">
        <v>181</v>
      </c>
      <c r="C14" s="35">
        <f t="shared" ref="C14:H14" si="1">C12+C13</f>
        <v>5775369</v>
      </c>
      <c r="D14" s="35">
        <f t="shared" si="1"/>
        <v>5329646.5993150687</v>
      </c>
      <c r="E14" s="35">
        <f t="shared" si="1"/>
        <v>5569480.6962842466</v>
      </c>
      <c r="F14" s="35">
        <f t="shared" si="1"/>
        <v>5792259.924135617</v>
      </c>
      <c r="G14" s="35">
        <f t="shared" si="1"/>
        <v>5994989.0214803629</v>
      </c>
      <c r="H14" s="35">
        <f t="shared" si="1"/>
        <v>6174838.6921247737</v>
      </c>
    </row>
    <row r="15" spans="2:8" ht="14" customHeight="1" x14ac:dyDescent="0.3">
      <c r="B15" s="33" t="s">
        <v>182</v>
      </c>
      <c r="C15" s="35">
        <v>1658755</v>
      </c>
      <c r="D15" s="35">
        <f>D10*D7/365</f>
        <v>1620212.5661917808</v>
      </c>
      <c r="E15" s="35">
        <f>E10*E7/365</f>
        <v>1693122.1316704107</v>
      </c>
      <c r="F15" s="35">
        <f>F10*F7/365</f>
        <v>1760847.0169372275</v>
      </c>
      <c r="G15" s="35">
        <f>G10*G7/365</f>
        <v>1822476.6625300304</v>
      </c>
      <c r="H15" s="35">
        <f>H10*H7/365</f>
        <v>1877150.9624059312</v>
      </c>
    </row>
    <row r="16" spans="2:8" ht="14" customHeight="1" x14ac:dyDescent="0.3">
      <c r="B16" s="33" t="s">
        <v>183</v>
      </c>
      <c r="C16" s="35">
        <f t="shared" ref="C16:H16" si="2">C15</f>
        <v>1658755</v>
      </c>
      <c r="D16" s="35">
        <f t="shared" si="2"/>
        <v>1620212.5661917808</v>
      </c>
      <c r="E16" s="35">
        <f t="shared" si="2"/>
        <v>1693122.1316704107</v>
      </c>
      <c r="F16" s="35">
        <f t="shared" si="2"/>
        <v>1760847.0169372275</v>
      </c>
      <c r="G16" s="35">
        <f t="shared" si="2"/>
        <v>1822476.6625300304</v>
      </c>
      <c r="H16" s="35">
        <f t="shared" si="2"/>
        <v>1877150.9624059312</v>
      </c>
    </row>
    <row r="17" spans="2:8" ht="14" customHeight="1" x14ac:dyDescent="0.3">
      <c r="B17" s="22" t="s">
        <v>184</v>
      </c>
      <c r="C17" s="23"/>
      <c r="D17" s="23"/>
      <c r="E17" s="23"/>
      <c r="F17" s="23"/>
      <c r="G17" s="23"/>
      <c r="H17" s="23"/>
    </row>
    <row r="18" spans="2:8" ht="14" customHeight="1" x14ac:dyDescent="0.3">
      <c r="B18" s="33" t="s">
        <v>185</v>
      </c>
      <c r="C18" s="20">
        <f t="shared" ref="C18:H18" si="3">C14-C16</f>
        <v>4116614</v>
      </c>
      <c r="D18" s="20">
        <f t="shared" si="3"/>
        <v>3709434.0331232878</v>
      </c>
      <c r="E18" s="20">
        <f t="shared" si="3"/>
        <v>3876358.5646138359</v>
      </c>
      <c r="F18" s="20">
        <f t="shared" si="3"/>
        <v>4031412.9071983895</v>
      </c>
      <c r="G18" s="20">
        <f t="shared" si="3"/>
        <v>4172512.3589503327</v>
      </c>
      <c r="H18" s="20">
        <f t="shared" si="3"/>
        <v>4297687.7297188425</v>
      </c>
    </row>
    <row r="19" spans="2:8" ht="14" customHeight="1" x14ac:dyDescent="0.3">
      <c r="B19" s="33" t="s">
        <v>94</v>
      </c>
      <c r="C19" s="36" t="s">
        <v>42</v>
      </c>
      <c r="D19" s="24">
        <f>D18-C18</f>
        <v>-407179.96687671216</v>
      </c>
      <c r="E19" s="24">
        <f>E18-D18</f>
        <v>166924.53149054805</v>
      </c>
      <c r="F19" s="24">
        <f>F18-E18</f>
        <v>155054.34258455364</v>
      </c>
      <c r="G19" s="24">
        <f>G18-F18</f>
        <v>141099.45175194321</v>
      </c>
      <c r="H19" s="24">
        <f>H18-G18</f>
        <v>125175.37076850981</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119</v>
      </c>
      <c r="E25" s="30">
        <v>119</v>
      </c>
      <c r="F25" s="30">
        <v>119</v>
      </c>
      <c r="G25" s="30">
        <v>119</v>
      </c>
      <c r="H25" s="30">
        <v>119</v>
      </c>
    </row>
    <row r="26" spans="2:8" ht="14" customHeight="1" x14ac:dyDescent="0.3">
      <c r="B26" s="4" t="s">
        <v>115</v>
      </c>
      <c r="D26" s="30">
        <v>114</v>
      </c>
      <c r="E26" s="30">
        <v>114</v>
      </c>
      <c r="F26" s="30">
        <v>114</v>
      </c>
      <c r="G26" s="30">
        <v>114</v>
      </c>
      <c r="H26" s="30">
        <v>114</v>
      </c>
    </row>
    <row r="27" spans="2:8" ht="14" customHeight="1" x14ac:dyDescent="0.3">
      <c r="B27" s="4" t="s">
        <v>116</v>
      </c>
      <c r="D27" s="30">
        <v>119</v>
      </c>
      <c r="E27" s="30">
        <v>119</v>
      </c>
      <c r="F27" s="30">
        <v>119</v>
      </c>
      <c r="G27" s="30">
        <v>119</v>
      </c>
      <c r="H27" s="30">
        <v>119</v>
      </c>
    </row>
    <row r="28" spans="2:8" ht="14" customHeight="1" x14ac:dyDescent="0.3">
      <c r="B28" s="4" t="s">
        <v>117</v>
      </c>
      <c r="D28" s="30">
        <v>125</v>
      </c>
      <c r="E28" s="30">
        <v>125</v>
      </c>
      <c r="F28" s="30">
        <v>125</v>
      </c>
      <c r="G28" s="30">
        <v>125</v>
      </c>
      <c r="H28" s="30">
        <v>125</v>
      </c>
    </row>
    <row r="29" spans="2:8" ht="14" customHeight="1" x14ac:dyDescent="0.3">
      <c r="B29" s="4" t="s">
        <v>118</v>
      </c>
      <c r="D29" s="30">
        <v>131</v>
      </c>
      <c r="E29" s="30">
        <v>131</v>
      </c>
      <c r="F29" s="30">
        <v>131</v>
      </c>
      <c r="G29" s="30">
        <v>131</v>
      </c>
      <c r="H29" s="30">
        <v>131</v>
      </c>
    </row>
    <row r="31" spans="2:8" ht="14" customHeight="1" x14ac:dyDescent="0.3">
      <c r="B31" s="3" t="s">
        <v>188</v>
      </c>
    </row>
    <row r="32" spans="2:8" ht="14" customHeight="1" x14ac:dyDescent="0.3">
      <c r="B32" s="4" t="s">
        <v>78</v>
      </c>
      <c r="D32" s="30">
        <v>80</v>
      </c>
      <c r="E32" s="30">
        <v>80</v>
      </c>
      <c r="F32" s="30">
        <v>80</v>
      </c>
      <c r="G32" s="30">
        <v>80</v>
      </c>
      <c r="H32" s="30">
        <v>80</v>
      </c>
    </row>
    <row r="33" spans="2:8" ht="14" customHeight="1" x14ac:dyDescent="0.3">
      <c r="B33" s="4" t="s">
        <v>115</v>
      </c>
      <c r="D33" s="30">
        <v>76</v>
      </c>
      <c r="E33" s="30">
        <v>76</v>
      </c>
      <c r="F33" s="30">
        <v>76</v>
      </c>
      <c r="G33" s="30">
        <v>76</v>
      </c>
      <c r="H33" s="30">
        <v>76</v>
      </c>
    </row>
    <row r="34" spans="2:8" ht="14" customHeight="1" x14ac:dyDescent="0.3">
      <c r="B34" s="4" t="s">
        <v>116</v>
      </c>
      <c r="D34" s="30">
        <v>80</v>
      </c>
      <c r="E34" s="30">
        <v>80</v>
      </c>
      <c r="F34" s="30">
        <v>80</v>
      </c>
      <c r="G34" s="30">
        <v>80</v>
      </c>
      <c r="H34" s="30">
        <v>80</v>
      </c>
    </row>
    <row r="35" spans="2:8" ht="14" customHeight="1" x14ac:dyDescent="0.3">
      <c r="B35" s="4" t="s">
        <v>117</v>
      </c>
      <c r="D35" s="30">
        <v>84</v>
      </c>
      <c r="E35" s="30">
        <v>84</v>
      </c>
      <c r="F35" s="30">
        <v>84</v>
      </c>
      <c r="G35" s="30">
        <v>84</v>
      </c>
      <c r="H35" s="30">
        <v>84</v>
      </c>
    </row>
    <row r="36" spans="2:8" ht="14" customHeight="1" x14ac:dyDescent="0.3">
      <c r="B36" s="4" t="s">
        <v>118</v>
      </c>
      <c r="D36" s="30">
        <v>88</v>
      </c>
      <c r="E36" s="30">
        <v>88</v>
      </c>
      <c r="F36" s="30">
        <v>88</v>
      </c>
      <c r="G36" s="30">
        <v>88</v>
      </c>
      <c r="H36" s="30">
        <v>88</v>
      </c>
    </row>
    <row r="38" spans="2:8" ht="14" customHeight="1" x14ac:dyDescent="0.3">
      <c r="B38" s="3" t="s">
        <v>189</v>
      </c>
    </row>
    <row r="39" spans="2:8" ht="14" customHeight="1" x14ac:dyDescent="0.3">
      <c r="B39" s="4" t="s">
        <v>78</v>
      </c>
      <c r="D39" s="30">
        <v>76</v>
      </c>
      <c r="E39" s="30">
        <v>76</v>
      </c>
      <c r="F39" s="30">
        <v>76</v>
      </c>
      <c r="G39" s="30">
        <v>76</v>
      </c>
      <c r="H39" s="30">
        <v>76</v>
      </c>
    </row>
    <row r="40" spans="2:8" ht="14" customHeight="1" x14ac:dyDescent="0.3">
      <c r="B40" s="4" t="s">
        <v>115</v>
      </c>
      <c r="D40" s="30">
        <v>79</v>
      </c>
      <c r="E40" s="30">
        <v>79</v>
      </c>
      <c r="F40" s="30">
        <v>79</v>
      </c>
      <c r="G40" s="30">
        <v>79</v>
      </c>
      <c r="H40" s="30">
        <v>79</v>
      </c>
    </row>
    <row r="41" spans="2:8" ht="14" customHeight="1" x14ac:dyDescent="0.3">
      <c r="B41" s="4" t="s">
        <v>116</v>
      </c>
      <c r="D41" s="30">
        <v>76</v>
      </c>
      <c r="E41" s="30">
        <v>76</v>
      </c>
      <c r="F41" s="30">
        <v>76</v>
      </c>
      <c r="G41" s="30">
        <v>76</v>
      </c>
      <c r="H41" s="30">
        <v>76</v>
      </c>
    </row>
    <row r="42" spans="2:8" ht="14" customHeight="1" x14ac:dyDescent="0.3">
      <c r="B42" s="4" t="s">
        <v>117</v>
      </c>
      <c r="D42" s="30">
        <v>72</v>
      </c>
      <c r="E42" s="30">
        <v>72</v>
      </c>
      <c r="F42" s="30">
        <v>72</v>
      </c>
      <c r="G42" s="30">
        <v>72</v>
      </c>
      <c r="H42" s="30">
        <v>72</v>
      </c>
    </row>
    <row r="43" spans="2:8" ht="14" customHeight="1" x14ac:dyDescent="0.3">
      <c r="B43" s="4" t="s">
        <v>118</v>
      </c>
      <c r="D43" s="30">
        <v>68</v>
      </c>
      <c r="E43" s="30">
        <v>68</v>
      </c>
      <c r="F43" s="30">
        <v>68</v>
      </c>
      <c r="G43" s="30">
        <v>68</v>
      </c>
      <c r="H43" s="30">
        <v>68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24068206.355461001</v>
      </c>
      <c r="E5" s="37">
        <f>D5+C24</f>
        <v>23753763.355461001</v>
      </c>
      <c r="F5" s="37">
        <v>10586781</v>
      </c>
      <c r="G5" s="37">
        <v>1657248</v>
      </c>
      <c r="H5" s="37">
        <v>1199275</v>
      </c>
      <c r="I5" s="37">
        <v>802368</v>
      </c>
      <c r="J5" s="38">
        <f t="shared" ref="J5:J10" si="0">IFERROR(E5/G5,"")</f>
        <v>14.333258121573236</v>
      </c>
      <c r="K5" s="38">
        <f t="shared" ref="K5:K10" si="1">IFERROR(E5/F5,"")</f>
        <v>2.2437191583977225</v>
      </c>
      <c r="L5" s="38">
        <f t="shared" ref="L5:L10" si="2">IFERROR(D5/I5,"")</f>
        <v>29.996468397868561</v>
      </c>
      <c r="M5" s="38">
        <f t="shared" ref="M5:M10" si="3">IFERROR(D5/P5,"")</f>
        <v>3.6642591723243627</v>
      </c>
      <c r="N5" s="39">
        <f t="shared" ref="N5:N10" si="4">IFERROR(H5/F5,"")</f>
        <v>0.1132804201768224</v>
      </c>
      <c r="O5" s="39">
        <f t="shared" ref="O5:O10" si="5">IFERROR(I5/P5,"")</f>
        <v>0.12215635266532682</v>
      </c>
      <c r="P5" s="37">
        <v>6568369</v>
      </c>
    </row>
    <row r="6" spans="2:17" ht="14" customHeight="1" x14ac:dyDescent="0.3">
      <c r="B6" s="4" t="s">
        <v>208</v>
      </c>
      <c r="C6" t="s">
        <v>209</v>
      </c>
      <c r="D6" s="37">
        <v>10739696</v>
      </c>
      <c r="E6" s="37">
        <v>10371365</v>
      </c>
      <c r="F6" s="37">
        <v>5894747</v>
      </c>
      <c r="G6" s="37">
        <v>666879</v>
      </c>
      <c r="H6" s="37">
        <v>433095</v>
      </c>
      <c r="I6" s="37">
        <v>407758</v>
      </c>
      <c r="J6" s="38">
        <f t="shared" si="0"/>
        <v>15.552094158010673</v>
      </c>
      <c r="K6" s="38">
        <f t="shared" si="1"/>
        <v>1.7594249592052043</v>
      </c>
      <c r="L6" s="38">
        <f t="shared" si="2"/>
        <v>26.338406603917029</v>
      </c>
      <c r="M6" s="38">
        <f t="shared" si="3"/>
        <v>2.3949730011555959</v>
      </c>
      <c r="N6" s="39">
        <f t="shared" si="4"/>
        <v>7.3471346607411656E-2</v>
      </c>
      <c r="O6" s="39">
        <f t="shared" si="5"/>
        <v>9.0930823461409294E-2</v>
      </c>
      <c r="P6" s="37">
        <v>4484266</v>
      </c>
    </row>
    <row r="7" spans="2:17" ht="14" customHeight="1" x14ac:dyDescent="0.3">
      <c r="B7" s="4" t="s">
        <v>210</v>
      </c>
      <c r="C7" t="s">
        <v>211</v>
      </c>
      <c r="D7" s="37">
        <v>9720293</v>
      </c>
      <c r="E7" s="37">
        <v>10553311</v>
      </c>
      <c r="F7" s="37">
        <v>8048722</v>
      </c>
      <c r="G7" s="37">
        <v>614305</v>
      </c>
      <c r="H7" s="37">
        <v>209963</v>
      </c>
      <c r="I7" s="37">
        <v>189540</v>
      </c>
      <c r="J7" s="38">
        <f t="shared" si="0"/>
        <v>17.179269255500117</v>
      </c>
      <c r="K7" s="38">
        <f t="shared" si="1"/>
        <v>1.3111784703211267</v>
      </c>
      <c r="L7" s="38">
        <f t="shared" si="2"/>
        <v>51.28359712989343</v>
      </c>
      <c r="M7" s="38">
        <f t="shared" si="3"/>
        <v>1.865243840659248</v>
      </c>
      <c r="N7" s="39">
        <f t="shared" si="4"/>
        <v>2.608650168312435E-2</v>
      </c>
      <c r="O7" s="39">
        <f t="shared" si="5"/>
        <v>3.6371158519455521E-2</v>
      </c>
      <c r="P7" s="37">
        <v>5211272</v>
      </c>
    </row>
    <row r="8" spans="2:17" ht="14" customHeight="1" x14ac:dyDescent="0.3">
      <c r="B8" s="4" t="s">
        <v>212</v>
      </c>
      <c r="C8" t="s">
        <v>213</v>
      </c>
      <c r="D8" s="37">
        <v>12614226</v>
      </c>
      <c r="E8" s="37">
        <v>12155592</v>
      </c>
      <c r="F8" s="37">
        <v>4361127</v>
      </c>
      <c r="G8" s="37">
        <v>568788</v>
      </c>
      <c r="H8" s="37">
        <v>357574</v>
      </c>
      <c r="I8" s="37">
        <v>245447</v>
      </c>
      <c r="J8" s="38">
        <f t="shared" si="0"/>
        <v>21.371041583155762</v>
      </c>
      <c r="K8" s="38">
        <f t="shared" si="1"/>
        <v>2.7872593483289982</v>
      </c>
      <c r="L8" s="38">
        <f t="shared" si="2"/>
        <v>51.392870966033399</v>
      </c>
      <c r="M8" s="38">
        <f t="shared" si="3"/>
        <v>4.0841691581141539</v>
      </c>
      <c r="N8" s="39">
        <f t="shared" si="4"/>
        <v>8.1991191726358811E-2</v>
      </c>
      <c r="O8" s="39">
        <f t="shared" si="5"/>
        <v>7.946956613522263E-2</v>
      </c>
      <c r="P8" s="37">
        <v>3088566</v>
      </c>
    </row>
    <row r="9" spans="2:17" ht="14" customHeight="1" x14ac:dyDescent="0.3">
      <c r="B9" s="4" t="s">
        <v>214</v>
      </c>
      <c r="C9" t="s">
        <v>215</v>
      </c>
      <c r="D9" s="37">
        <v>6751004</v>
      </c>
      <c r="E9" s="37">
        <v>6433732</v>
      </c>
      <c r="F9" s="37">
        <v>3502971</v>
      </c>
      <c r="G9" s="37">
        <v>489556</v>
      </c>
      <c r="H9" s="37">
        <v>348329</v>
      </c>
      <c r="I9" s="37">
        <v>449408</v>
      </c>
      <c r="J9" s="38">
        <f t="shared" si="0"/>
        <v>13.141973543373997</v>
      </c>
      <c r="K9" s="38">
        <f t="shared" si="1"/>
        <v>1.8366500893099029</v>
      </c>
      <c r="L9" s="38">
        <f t="shared" si="2"/>
        <v>15.021993377954999</v>
      </c>
      <c r="M9" s="38">
        <f t="shared" si="3"/>
        <v>3.3339690801836128</v>
      </c>
      <c r="N9" s="39">
        <f t="shared" si="4"/>
        <v>9.9438162633947016E-2</v>
      </c>
      <c r="O9" s="39">
        <f t="shared" si="5"/>
        <v>0.22193919250931521</v>
      </c>
      <c r="P9" s="37">
        <v>2024915</v>
      </c>
    </row>
    <row r="10" spans="2:17" ht="14" customHeight="1" x14ac:dyDescent="0.3">
      <c r="B10" s="4" t="s">
        <v>216</v>
      </c>
      <c r="C10" t="s">
        <v>217</v>
      </c>
      <c r="D10" s="37">
        <v>6403589</v>
      </c>
      <c r="E10" s="37">
        <v>6233770</v>
      </c>
      <c r="F10" s="37">
        <v>3582733</v>
      </c>
      <c r="G10" s="37">
        <v>514415</v>
      </c>
      <c r="H10" s="37">
        <v>359913</v>
      </c>
      <c r="I10" s="37">
        <v>270228</v>
      </c>
      <c r="J10" s="38">
        <f t="shared" si="0"/>
        <v>12.118173070380918</v>
      </c>
      <c r="K10" s="38">
        <f t="shared" si="1"/>
        <v>1.7399482462131564</v>
      </c>
      <c r="L10" s="38">
        <f t="shared" si="2"/>
        <v>23.696985508533533</v>
      </c>
      <c r="M10" s="38">
        <f t="shared" si="3"/>
        <v>2.9152568222025352</v>
      </c>
      <c r="N10" s="39">
        <f t="shared" si="4"/>
        <v>0.10045766737292453</v>
      </c>
      <c r="O10" s="39">
        <f t="shared" si="5"/>
        <v>0.12302226463162245</v>
      </c>
      <c r="P10" s="37">
        <v>2196578</v>
      </c>
    </row>
    <row r="14" spans="2:17" ht="14" customHeight="1" x14ac:dyDescent="0.3">
      <c r="B14" s="3" t="s">
        <v>218</v>
      </c>
    </row>
    <row r="15" spans="2:17" ht="14" customHeight="1" x14ac:dyDescent="0.3">
      <c r="B15" s="4" t="s">
        <v>219</v>
      </c>
      <c r="D15" s="38">
        <f t="shared" ref="D15:I15" si="6">PERCENTILE(J6:J10,0.25)</f>
        <v>13.141973543373997</v>
      </c>
      <c r="E15" s="38">
        <f t="shared" si="6"/>
        <v>1.7399482462131564</v>
      </c>
      <c r="F15" s="38">
        <f t="shared" si="6"/>
        <v>23.696985508533533</v>
      </c>
      <c r="G15" s="38">
        <f t="shared" si="6"/>
        <v>2.3949730011555959</v>
      </c>
      <c r="H15" s="39">
        <f t="shared" si="6"/>
        <v>7.3471346607411656E-2</v>
      </c>
      <c r="I15" s="39">
        <f t="shared" si="6"/>
        <v>7.946956613522263E-2</v>
      </c>
    </row>
    <row r="16" spans="2:17" ht="14" customHeight="1" x14ac:dyDescent="0.3">
      <c r="B16" s="4" t="s">
        <v>220</v>
      </c>
      <c r="D16" s="38">
        <f t="shared" ref="D16:I16" si="7">MEDIAN(J6:J10)</f>
        <v>15.552094158010673</v>
      </c>
      <c r="E16" s="38">
        <f t="shared" si="7"/>
        <v>1.7594249592052043</v>
      </c>
      <c r="F16" s="38">
        <f t="shared" si="7"/>
        <v>26.338406603917029</v>
      </c>
      <c r="G16" s="38">
        <f t="shared" si="7"/>
        <v>2.9152568222025352</v>
      </c>
      <c r="H16" s="39">
        <f t="shared" si="7"/>
        <v>8.1991191726358811E-2</v>
      </c>
      <c r="I16" s="39">
        <f t="shared" si="7"/>
        <v>9.0930823461409294E-2</v>
      </c>
    </row>
    <row r="17" spans="2:9" ht="14" customHeight="1" x14ac:dyDescent="0.3">
      <c r="B17" s="4" t="s">
        <v>221</v>
      </c>
      <c r="D17" s="38">
        <f t="shared" ref="D17:I17" si="8">PERCENTILE(J6:J10,0.75)</f>
        <v>17.179269255500117</v>
      </c>
      <c r="E17" s="38">
        <f t="shared" si="8"/>
        <v>1.8366500893099029</v>
      </c>
      <c r="F17" s="38">
        <f t="shared" si="8"/>
        <v>51.28359712989343</v>
      </c>
      <c r="G17" s="38">
        <f t="shared" si="8"/>
        <v>3.3339690801836128</v>
      </c>
      <c r="H17" s="39">
        <f t="shared" si="8"/>
        <v>9.9438162633947016E-2</v>
      </c>
      <c r="I17" s="39">
        <f t="shared" si="8"/>
        <v>0.12302226463162245</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1657248</v>
      </c>
    </row>
    <row r="22" spans="2:9" ht="14" customHeight="1" x14ac:dyDescent="0.3">
      <c r="B22" s="4" t="s">
        <v>225</v>
      </c>
      <c r="C22" s="5">
        <v>802368</v>
      </c>
    </row>
    <row r="23" spans="2:9" ht="14" customHeight="1" x14ac:dyDescent="0.3">
      <c r="B23" s="4" t="s">
        <v>226</v>
      </c>
      <c r="C23" s="15">
        <v>4476140293</v>
      </c>
    </row>
    <row r="24" spans="2:9" ht="14" customHeight="1" x14ac:dyDescent="0.3">
      <c r="B24" s="4" t="s">
        <v>67</v>
      </c>
      <c r="C24" s="5">
        <v>-314443</v>
      </c>
    </row>
    <row r="26" spans="2:9" ht="14" customHeight="1" x14ac:dyDescent="0.3">
      <c r="B26" s="3" t="s">
        <v>227</v>
      </c>
    </row>
    <row r="27" spans="2:9" ht="14" customHeight="1" x14ac:dyDescent="0.3">
      <c r="B27" s="4" t="s">
        <v>228</v>
      </c>
      <c r="C27" s="24">
        <f>ROUND((C21*D16-C24)*1000000/C23,0)</f>
        <v>5828</v>
      </c>
    </row>
    <row r="28" spans="2:9" ht="14" customHeight="1" x14ac:dyDescent="0.3">
      <c r="B28" s="4" t="s">
        <v>229</v>
      </c>
      <c r="C28" s="24">
        <f>ROUND(C22*F16*1000000/C23,0)</f>
        <v>4721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7.8699999999999992E-2</v>
      </c>
      <c r="E3" s="4" t="s">
        <v>232</v>
      </c>
      <c r="F3" s="16">
        <f>'DCF Model'!C13</f>
        <v>0.01</v>
      </c>
      <c r="H3" s="4" t="s">
        <v>233</v>
      </c>
      <c r="I3" s="14">
        <f>'DCF Model'!C14</f>
        <v>15.6</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3506</v>
      </c>
      <c r="D7" s="37">
        <f>IFERROR(ROUND(('DCF Model'!C45/(1+$B7)^('DCF Model'!C19+0)+'DCF Model'!D45/(1+$B7)^('DCF Model'!C19+1)+'DCF Model'!E45/(1+$B7)^('DCF Model'!C19+2)+'DCF Model'!F45/(1+$B7)^('DCF Model'!C19+3)+'DCF Model'!G45/(1+$B7)^('DCF Model'!C19+4)+'DCF Model'!G45*(1+D$6)/($B7-D$6)/(1+$B7)^('DCF Model'!C19+4)-'DCF Model'!C16)*1000000/'DCF Model'!C15,0),"")</f>
        <v>3620</v>
      </c>
      <c r="E7" s="37">
        <f>IFERROR(ROUND(('DCF Model'!C45/(1+$B7)^('DCF Model'!C19+0)+'DCF Model'!D45/(1+$B7)^('DCF Model'!C19+1)+'DCF Model'!E45/(1+$B7)^('DCF Model'!C19+2)+'DCF Model'!F45/(1+$B7)^('DCF Model'!C19+3)+'DCF Model'!G45/(1+$B7)^('DCF Model'!C19+4)+'DCF Model'!G45*(1+E$6)/($B7-E$6)/(1+$B7)^('DCF Model'!C19+4)-'DCF Model'!C16)*1000000/'DCF Model'!C15,0),"")</f>
        <v>3745</v>
      </c>
      <c r="F7" s="37">
        <f>IFERROR(ROUND(('DCF Model'!C45/(1+$B7)^('DCF Model'!C19+0)+'DCF Model'!D45/(1+$B7)^('DCF Model'!C19+1)+'DCF Model'!E45/(1+$B7)^('DCF Model'!C19+2)+'DCF Model'!F45/(1+$B7)^('DCF Model'!C19+3)+'DCF Model'!G45/(1+$B7)^('DCF Model'!C19+4)+'DCF Model'!G45*(1+F$6)/($B7-F$6)/(1+$B7)^('DCF Model'!C19+4)-'DCF Model'!C16)*1000000/'DCF Model'!C15,0),"")</f>
        <v>3881</v>
      </c>
      <c r="G7" s="37">
        <f>IFERROR(ROUND(('DCF Model'!C45/(1+$B7)^('DCF Model'!C19+0)+'DCF Model'!D45/(1+$B7)^('DCF Model'!C19+1)+'DCF Model'!E45/(1+$B7)^('DCF Model'!C19+2)+'DCF Model'!F45/(1+$B7)^('DCF Model'!C19+3)+'DCF Model'!G45/(1+$B7)^('DCF Model'!C19+4)+'DCF Model'!G45*(1+G$6)/($B7-G$6)/(1+$B7)^('DCF Model'!C19+4)-'DCF Model'!C16)*1000000/'DCF Model'!C15,0),"")</f>
        <v>4030</v>
      </c>
      <c r="H7" s="37">
        <f>IFERROR(ROUND(('DCF Model'!C45/(1+$B7)^('DCF Model'!C19+0)+'DCF Model'!D45/(1+$B7)^('DCF Model'!C19+1)+'DCF Model'!E45/(1+$B7)^('DCF Model'!C19+2)+'DCF Model'!F45/(1+$B7)^('DCF Model'!C19+3)+'DCF Model'!G45/(1+$B7)^('DCF Model'!C19+4)+'DCF Model'!G45*(1+H$6)/($B7-H$6)/(1+$B7)^('DCF Model'!C19+4)-'DCF Model'!C16)*1000000/'DCF Model'!C15,0),"")</f>
        <v>4195</v>
      </c>
      <c r="I7" s="37">
        <f>IFERROR(ROUND(('DCF Model'!C45/(1+$B7)^('DCF Model'!C19+0)+'DCF Model'!D45/(1+$B7)^('DCF Model'!C19+1)+'DCF Model'!E45/(1+$B7)^('DCF Model'!C19+2)+'DCF Model'!F45/(1+$B7)^('DCF Model'!C19+3)+'DCF Model'!G45/(1+$B7)^('DCF Model'!C19+4)+'DCF Model'!G45*(1+I$6)/($B7-I$6)/(1+$B7)^('DCF Model'!C19+4)-'DCF Model'!C16)*1000000/'DCF Model'!C15,0),"")</f>
        <v>4378</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3249</v>
      </c>
      <c r="D8" s="37">
        <f>IFERROR(ROUND(('DCF Model'!C45/(1+$B8)^('DCF Model'!C19+0)+'DCF Model'!D45/(1+$B8)^('DCF Model'!C19+1)+'DCF Model'!E45/(1+$B8)^('DCF Model'!C19+2)+'DCF Model'!F45/(1+$B8)^('DCF Model'!C19+3)+'DCF Model'!G45/(1+$B8)^('DCF Model'!C19+4)+'DCF Model'!G45*(1+D$6)/($B8-D$6)/(1+$B8)^('DCF Model'!C19+4)-'DCF Model'!C16)*1000000/'DCF Model'!C15,0),"")</f>
        <v>3344</v>
      </c>
      <c r="E8" s="37">
        <f>IFERROR(ROUND(('DCF Model'!C45/(1+$B8)^('DCF Model'!C19+0)+'DCF Model'!D45/(1+$B8)^('DCF Model'!C19+1)+'DCF Model'!E45/(1+$B8)^('DCF Model'!C19+2)+'DCF Model'!F45/(1+$B8)^('DCF Model'!C19+3)+'DCF Model'!G45/(1+$B8)^('DCF Model'!C19+4)+'DCF Model'!G45*(1+E$6)/($B8-E$6)/(1+$B8)^('DCF Model'!C19+4)-'DCF Model'!C16)*1000000/'DCF Model'!C15,0),"")</f>
        <v>3448</v>
      </c>
      <c r="F8" s="37">
        <f>IFERROR(ROUND(('DCF Model'!C45/(1+$B8)^('DCF Model'!C19+0)+'DCF Model'!D45/(1+$B8)^('DCF Model'!C19+1)+'DCF Model'!E45/(1+$B8)^('DCF Model'!C19+2)+'DCF Model'!F45/(1+$B8)^('DCF Model'!C19+3)+'DCF Model'!G45/(1+$B8)^('DCF Model'!C19+4)+'DCF Model'!G45*(1+F$6)/($B8-F$6)/(1+$B8)^('DCF Model'!C19+4)-'DCF Model'!C16)*1000000/'DCF Model'!C15,0),"")</f>
        <v>3560</v>
      </c>
      <c r="G8" s="37">
        <f>IFERROR(ROUND(('DCF Model'!C45/(1+$B8)^('DCF Model'!C19+0)+'DCF Model'!D45/(1+$B8)^('DCF Model'!C19+1)+'DCF Model'!E45/(1+$B8)^('DCF Model'!C19+2)+'DCF Model'!F45/(1+$B8)^('DCF Model'!C19+3)+'DCF Model'!G45/(1+$B8)^('DCF Model'!C19+4)+'DCF Model'!G45*(1+G$6)/($B8-G$6)/(1+$B8)^('DCF Model'!C19+4)-'DCF Model'!C16)*1000000/'DCF Model'!C15,0),"")</f>
        <v>3682</v>
      </c>
      <c r="H8" s="37">
        <f>IFERROR(ROUND(('DCF Model'!C45/(1+$B8)^('DCF Model'!C19+0)+'DCF Model'!D45/(1+$B8)^('DCF Model'!C19+1)+'DCF Model'!E45/(1+$B8)^('DCF Model'!C19+2)+'DCF Model'!F45/(1+$B8)^('DCF Model'!C19+3)+'DCF Model'!G45/(1+$B8)^('DCF Model'!C19+4)+'DCF Model'!G45*(1+H$6)/($B8-H$6)/(1+$B8)^('DCF Model'!C19+4)-'DCF Model'!C16)*1000000/'DCF Model'!C15,0),"")</f>
        <v>3816</v>
      </c>
      <c r="I8" s="37">
        <f>IFERROR(ROUND(('DCF Model'!C45/(1+$B8)^('DCF Model'!C19+0)+'DCF Model'!D45/(1+$B8)^('DCF Model'!C19+1)+'DCF Model'!E45/(1+$B8)^('DCF Model'!C19+2)+'DCF Model'!F45/(1+$B8)^('DCF Model'!C19+3)+'DCF Model'!G45/(1+$B8)^('DCF Model'!C19+4)+'DCF Model'!G45*(1+I$6)/($B8-I$6)/(1+$B8)^('DCF Model'!C19+4)-'DCF Model'!C16)*1000000/'DCF Model'!C15,0),"")</f>
        <v>3963</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3028</v>
      </c>
      <c r="D9" s="37">
        <f>IFERROR(ROUND(('DCF Model'!C45/(1+$B9)^('DCF Model'!C19+0)+'DCF Model'!D45/(1+$B9)^('DCF Model'!C19+1)+'DCF Model'!E45/(1+$B9)^('DCF Model'!C19+2)+'DCF Model'!F45/(1+$B9)^('DCF Model'!C19+3)+'DCF Model'!G45/(1+$B9)^('DCF Model'!C19+4)+'DCF Model'!G45*(1+D$6)/($B9-D$6)/(1+$B9)^('DCF Model'!C19+4)-'DCF Model'!C16)*1000000/'DCF Model'!C15,0),"")</f>
        <v>3109</v>
      </c>
      <c r="E9" s="37">
        <f>IFERROR(ROUND(('DCF Model'!C45/(1+$B9)^('DCF Model'!C19+0)+'DCF Model'!D45/(1+$B9)^('DCF Model'!C19+1)+'DCF Model'!E45/(1+$B9)^('DCF Model'!C19+2)+'DCF Model'!F45/(1+$B9)^('DCF Model'!C19+3)+'DCF Model'!G45/(1+$B9)^('DCF Model'!C19+4)+'DCF Model'!G45*(1+E$6)/($B9-E$6)/(1+$B9)^('DCF Model'!C19+4)-'DCF Model'!C16)*1000000/'DCF Model'!C15,0),"")</f>
        <v>3196</v>
      </c>
      <c r="F9" s="37">
        <f>IFERROR(ROUND(('DCF Model'!C45/(1+$B9)^('DCF Model'!C19+0)+'DCF Model'!D45/(1+$B9)^('DCF Model'!C19+1)+'DCF Model'!E45/(1+$B9)^('DCF Model'!C19+2)+'DCF Model'!F45/(1+$B9)^('DCF Model'!C19+3)+'DCF Model'!G45/(1+$B9)^('DCF Model'!C19+4)+'DCF Model'!G45*(1+F$6)/($B9-F$6)/(1+$B9)^('DCF Model'!C19+4)-'DCF Model'!C16)*1000000/'DCF Model'!C15,0),"")</f>
        <v>3290</v>
      </c>
      <c r="G9" s="37">
        <f>IFERROR(ROUND(('DCF Model'!C45/(1+$B9)^('DCF Model'!C19+0)+'DCF Model'!D45/(1+$B9)^('DCF Model'!C19+1)+'DCF Model'!E45/(1+$B9)^('DCF Model'!C19+2)+'DCF Model'!F45/(1+$B9)^('DCF Model'!C19+3)+'DCF Model'!G45/(1+$B9)^('DCF Model'!C19+4)+'DCF Model'!G45*(1+G$6)/($B9-G$6)/(1+$B9)^('DCF Model'!C19+4)-'DCF Model'!C16)*1000000/'DCF Model'!C15,0),"")</f>
        <v>3391</v>
      </c>
      <c r="H9" s="37">
        <f>IFERROR(ROUND(('DCF Model'!C45/(1+$B9)^('DCF Model'!C19+0)+'DCF Model'!D45/(1+$B9)^('DCF Model'!C19+1)+'DCF Model'!E45/(1+$B9)^('DCF Model'!C19+2)+'DCF Model'!F45/(1+$B9)^('DCF Model'!C19+3)+'DCF Model'!G45/(1+$B9)^('DCF Model'!C19+4)+'DCF Model'!G45*(1+H$6)/($B9-H$6)/(1+$B9)^('DCF Model'!C19+4)-'DCF Model'!C16)*1000000/'DCF Model'!C15,0),"")</f>
        <v>3501</v>
      </c>
      <c r="I9" s="37">
        <f>IFERROR(ROUND(('DCF Model'!C45/(1+$B9)^('DCF Model'!C19+0)+'DCF Model'!D45/(1+$B9)^('DCF Model'!C19+1)+'DCF Model'!E45/(1+$B9)^('DCF Model'!C19+2)+'DCF Model'!F45/(1+$B9)^('DCF Model'!C19+3)+'DCF Model'!G45/(1+$B9)^('DCF Model'!C19+4)+'DCF Model'!G45*(1+I$6)/($B9-I$6)/(1+$B9)^('DCF Model'!C19+4)-'DCF Model'!C16)*1000000/'DCF Model'!C15,0),"")</f>
        <v>3621</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2836</v>
      </c>
      <c r="D10" s="37">
        <f>IFERROR(ROUND(('DCF Model'!C45/(1+$B10)^('DCF Model'!C19+0)+'DCF Model'!D45/(1+$B10)^('DCF Model'!C19+1)+'DCF Model'!E45/(1+$B10)^('DCF Model'!C19+2)+'DCF Model'!F45/(1+$B10)^('DCF Model'!C19+3)+'DCF Model'!G45/(1+$B10)^('DCF Model'!C19+4)+'DCF Model'!G45*(1+D$6)/($B10-D$6)/(1+$B10)^('DCF Model'!C19+4)-'DCF Model'!C16)*1000000/'DCF Model'!C15,0),"")</f>
        <v>2905</v>
      </c>
      <c r="E10" s="37">
        <f>IFERROR(ROUND(('DCF Model'!C45/(1+$B10)^('DCF Model'!C19+0)+'DCF Model'!D45/(1+$B10)^('DCF Model'!C19+1)+'DCF Model'!E45/(1+$B10)^('DCF Model'!C19+2)+'DCF Model'!F45/(1+$B10)^('DCF Model'!C19+3)+'DCF Model'!G45/(1+$B10)^('DCF Model'!C19+4)+'DCF Model'!G45*(1+E$6)/($B10-E$6)/(1+$B10)^('DCF Model'!C19+4)-'DCF Model'!C16)*1000000/'DCF Model'!C15,0),"")</f>
        <v>2979</v>
      </c>
      <c r="F10" s="37">
        <f>IFERROR(ROUND(('DCF Model'!C45/(1+$B10)^('DCF Model'!C19+0)+'DCF Model'!D45/(1+$B10)^('DCF Model'!C19+1)+'DCF Model'!E45/(1+$B10)^('DCF Model'!C19+2)+'DCF Model'!F45/(1+$B10)^('DCF Model'!C19+3)+'DCF Model'!G45/(1+$B10)^('DCF Model'!C19+4)+'DCF Model'!G45*(1+F$6)/($B10-F$6)/(1+$B10)^('DCF Model'!C19+4)-'DCF Model'!C16)*1000000/'DCF Model'!C15,0),"")</f>
        <v>3059</v>
      </c>
      <c r="G10" s="37">
        <f>IFERROR(ROUND(('DCF Model'!C45/(1+$B10)^('DCF Model'!C19+0)+'DCF Model'!D45/(1+$B10)^('DCF Model'!C19+1)+'DCF Model'!E45/(1+$B10)^('DCF Model'!C19+2)+'DCF Model'!F45/(1+$B10)^('DCF Model'!C19+3)+'DCF Model'!G45/(1+$B10)^('DCF Model'!C19+4)+'DCF Model'!G45*(1+G$6)/($B10-G$6)/(1+$B10)^('DCF Model'!C19+4)-'DCF Model'!C16)*1000000/'DCF Model'!C15,0),"")</f>
        <v>3144</v>
      </c>
      <c r="H10" s="37">
        <f>IFERROR(ROUND(('DCF Model'!C45/(1+$B10)^('DCF Model'!C19+0)+'DCF Model'!D45/(1+$B10)^('DCF Model'!C19+1)+'DCF Model'!E45/(1+$B10)^('DCF Model'!C19+2)+'DCF Model'!F45/(1+$B10)^('DCF Model'!C19+3)+'DCF Model'!G45/(1+$B10)^('DCF Model'!C19+4)+'DCF Model'!G45*(1+H$6)/($B10-H$6)/(1+$B10)^('DCF Model'!C19+4)-'DCF Model'!C16)*1000000/'DCF Model'!C15,0),"")</f>
        <v>3236</v>
      </c>
      <c r="I10" s="37">
        <f>IFERROR(ROUND(('DCF Model'!C45/(1+$B10)^('DCF Model'!C19+0)+'DCF Model'!D45/(1+$B10)^('DCF Model'!C19+1)+'DCF Model'!E45/(1+$B10)^('DCF Model'!C19+2)+'DCF Model'!F45/(1+$B10)^('DCF Model'!C19+3)+'DCF Model'!G45/(1+$B10)^('DCF Model'!C19+4)+'DCF Model'!G45*(1+I$6)/($B10-I$6)/(1+$B10)^('DCF Model'!C19+4)-'DCF Model'!C16)*1000000/'DCF Model'!C15,0),"")</f>
        <v>3336</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2668</v>
      </c>
      <c r="D11" s="37">
        <f>IFERROR(ROUND(('DCF Model'!C45/(1+$B11)^('DCF Model'!C19+0)+'DCF Model'!D45/(1+$B11)^('DCF Model'!C19+1)+'DCF Model'!E45/(1+$B11)^('DCF Model'!C19+2)+'DCF Model'!F45/(1+$B11)^('DCF Model'!C19+3)+'DCF Model'!G45/(1+$B11)^('DCF Model'!C19+4)+'DCF Model'!G45*(1+D$6)/($B11-D$6)/(1+$B11)^('DCF Model'!C19+4)-'DCF Model'!C16)*1000000/'DCF Model'!C15,0),"")</f>
        <v>2728</v>
      </c>
      <c r="E11" s="37">
        <f>IFERROR(ROUND(('DCF Model'!C45/(1+$B11)^('DCF Model'!C19+0)+'DCF Model'!D45/(1+$B11)^('DCF Model'!C19+1)+'DCF Model'!E45/(1+$B11)^('DCF Model'!C19+2)+'DCF Model'!F45/(1+$B11)^('DCF Model'!C19+3)+'DCF Model'!G45/(1+$B11)^('DCF Model'!C19+4)+'DCF Model'!G45*(1+E$6)/($B11-E$6)/(1+$B11)^('DCF Model'!C19+4)-'DCF Model'!C16)*1000000/'DCF Model'!C15,0),"")</f>
        <v>2791</v>
      </c>
      <c r="F11" s="37">
        <f>IFERROR(ROUND(('DCF Model'!C45/(1+$B11)^('DCF Model'!C19+0)+'DCF Model'!D45/(1+$B11)^('DCF Model'!C19+1)+'DCF Model'!E45/(1+$B11)^('DCF Model'!C19+2)+'DCF Model'!F45/(1+$B11)^('DCF Model'!C19+3)+'DCF Model'!G45/(1+$B11)^('DCF Model'!C19+4)+'DCF Model'!G45*(1+F$6)/($B11-F$6)/(1+$B11)^('DCF Model'!C19+4)-'DCF Model'!C16)*1000000/'DCF Model'!C15,0),"")</f>
        <v>2859</v>
      </c>
      <c r="G11" s="37">
        <f>IFERROR(ROUND(('DCF Model'!C45/(1+$B11)^('DCF Model'!C19+0)+'DCF Model'!D45/(1+$B11)^('DCF Model'!C19+1)+'DCF Model'!E45/(1+$B11)^('DCF Model'!C19+2)+'DCF Model'!F45/(1+$B11)^('DCF Model'!C19+3)+'DCF Model'!G45/(1+$B11)^('DCF Model'!C19+4)+'DCF Model'!G45*(1+G$6)/($B11-G$6)/(1+$B11)^('DCF Model'!C19+4)-'DCF Model'!C16)*1000000/'DCF Model'!C15,0),"")</f>
        <v>2932</v>
      </c>
      <c r="H11" s="37">
        <f>IFERROR(ROUND(('DCF Model'!C45/(1+$B11)^('DCF Model'!C19+0)+'DCF Model'!D45/(1+$B11)^('DCF Model'!C19+1)+'DCF Model'!E45/(1+$B11)^('DCF Model'!C19+2)+'DCF Model'!F45/(1+$B11)^('DCF Model'!C19+3)+'DCF Model'!G45/(1+$B11)^('DCF Model'!C19+4)+'DCF Model'!G45*(1+H$6)/($B11-H$6)/(1+$B11)^('DCF Model'!C19+4)-'DCF Model'!C16)*1000000/'DCF Model'!C15,0),"")</f>
        <v>3010</v>
      </c>
      <c r="I11" s="37">
        <f>IFERROR(ROUND(('DCF Model'!C45/(1+$B11)^('DCF Model'!C19+0)+'DCF Model'!D45/(1+$B11)^('DCF Model'!C19+1)+'DCF Model'!E45/(1+$B11)^('DCF Model'!C19+2)+'DCF Model'!F45/(1+$B11)^('DCF Model'!C19+3)+'DCF Model'!G45/(1+$B11)^('DCF Model'!C19+4)+'DCF Model'!G45*(1+I$6)/($B11-I$6)/(1+$B11)^('DCF Model'!C19+4)-'DCF Model'!C16)*1000000/'DCF Model'!C15,0),"")</f>
        <v>3094</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2519</v>
      </c>
      <c r="D12" s="37">
        <f>IFERROR(ROUND(('DCF Model'!C45/(1+$B12)^('DCF Model'!C19+0)+'DCF Model'!D45/(1+$B12)^('DCF Model'!C19+1)+'DCF Model'!E45/(1+$B12)^('DCF Model'!C19+2)+'DCF Model'!F45/(1+$B12)^('DCF Model'!C19+3)+'DCF Model'!G45/(1+$B12)^('DCF Model'!C19+4)+'DCF Model'!G45*(1+D$6)/($B12-D$6)/(1+$B12)^('DCF Model'!C19+4)-'DCF Model'!C16)*1000000/'DCF Model'!C15,0),"")</f>
        <v>2571</v>
      </c>
      <c r="E12" s="37">
        <f>IFERROR(ROUND(('DCF Model'!C45/(1+$B12)^('DCF Model'!C19+0)+'DCF Model'!D45/(1+$B12)^('DCF Model'!C19+1)+'DCF Model'!E45/(1+$B12)^('DCF Model'!C19+2)+'DCF Model'!F45/(1+$B12)^('DCF Model'!C19+3)+'DCF Model'!G45/(1+$B12)^('DCF Model'!C19+4)+'DCF Model'!G45*(1+E$6)/($B12-E$6)/(1+$B12)^('DCF Model'!C19+4)-'DCF Model'!C16)*1000000/'DCF Model'!C15,0),"")</f>
        <v>2626</v>
      </c>
      <c r="F12" s="37">
        <f>IFERROR(ROUND(('DCF Model'!C45/(1+$B12)^('DCF Model'!C19+0)+'DCF Model'!D45/(1+$B12)^('DCF Model'!C19+1)+'DCF Model'!E45/(1+$B12)^('DCF Model'!C19+2)+'DCF Model'!F45/(1+$B12)^('DCF Model'!C19+3)+'DCF Model'!G45/(1+$B12)^('DCF Model'!C19+4)+'DCF Model'!G45*(1+F$6)/($B12-F$6)/(1+$B12)^('DCF Model'!C19+4)-'DCF Model'!C16)*1000000/'DCF Model'!C15,0),"")</f>
        <v>2685</v>
      </c>
      <c r="G12" s="37">
        <f>IFERROR(ROUND(('DCF Model'!C45/(1+$B12)^('DCF Model'!C19+0)+'DCF Model'!D45/(1+$B12)^('DCF Model'!C19+1)+'DCF Model'!E45/(1+$B12)^('DCF Model'!C19+2)+'DCF Model'!F45/(1+$B12)^('DCF Model'!C19+3)+'DCF Model'!G45/(1+$B12)^('DCF Model'!C19+4)+'DCF Model'!G45*(1+G$6)/($B12-G$6)/(1+$B12)^('DCF Model'!C19+4)-'DCF Model'!C16)*1000000/'DCF Model'!C15,0),"")</f>
        <v>2747</v>
      </c>
      <c r="H12" s="37">
        <f>IFERROR(ROUND(('DCF Model'!C45/(1+$B12)^('DCF Model'!C19+0)+'DCF Model'!D45/(1+$B12)^('DCF Model'!C19+1)+'DCF Model'!E45/(1+$B12)^('DCF Model'!C19+2)+'DCF Model'!F45/(1+$B12)^('DCF Model'!C19+3)+'DCF Model'!G45/(1+$B12)^('DCF Model'!C19+4)+'DCF Model'!G45*(1+H$6)/($B12-H$6)/(1+$B12)^('DCF Model'!C19+4)-'DCF Model'!C16)*1000000/'DCF Model'!C15,0),"")</f>
        <v>2814</v>
      </c>
      <c r="I12" s="37">
        <f>IFERROR(ROUND(('DCF Model'!C45/(1+$B12)^('DCF Model'!C19+0)+'DCF Model'!D45/(1+$B12)^('DCF Model'!C19+1)+'DCF Model'!E45/(1+$B12)^('DCF Model'!C19+2)+'DCF Model'!F45/(1+$B12)^('DCF Model'!C19+3)+'DCF Model'!G45/(1+$B12)^('DCF Model'!C19+4)+'DCF Model'!G45*(1+I$6)/($B12-I$6)/(1+$B12)^('DCF Model'!C19+4)-'DCF Model'!C16)*1000000/'DCF Model'!C15,0),"")</f>
        <v>2885</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2387</v>
      </c>
      <c r="D13" s="37">
        <f>IFERROR(ROUND(('DCF Model'!C45/(1+$B13)^('DCF Model'!C19+0)+'DCF Model'!D45/(1+$B13)^('DCF Model'!C19+1)+'DCF Model'!E45/(1+$B13)^('DCF Model'!C19+2)+'DCF Model'!F45/(1+$B13)^('DCF Model'!C19+3)+'DCF Model'!G45/(1+$B13)^('DCF Model'!C19+4)+'DCF Model'!G45*(1+D$6)/($B13-D$6)/(1+$B13)^('DCF Model'!C19+4)-'DCF Model'!C16)*1000000/'DCF Model'!C15,0),"")</f>
        <v>2432</v>
      </c>
      <c r="E13" s="37">
        <f>IFERROR(ROUND(('DCF Model'!C45/(1+$B13)^('DCF Model'!C19+0)+'DCF Model'!D45/(1+$B13)^('DCF Model'!C19+1)+'DCF Model'!E45/(1+$B13)^('DCF Model'!C19+2)+'DCF Model'!F45/(1+$B13)^('DCF Model'!C19+3)+'DCF Model'!G45/(1+$B13)^('DCF Model'!C19+4)+'DCF Model'!G45*(1+E$6)/($B13-E$6)/(1+$B13)^('DCF Model'!C19+4)-'DCF Model'!C16)*1000000/'DCF Model'!C15,0),"")</f>
        <v>2481</v>
      </c>
      <c r="F13" s="37">
        <f>IFERROR(ROUND(('DCF Model'!C45/(1+$B13)^('DCF Model'!C19+0)+'DCF Model'!D45/(1+$B13)^('DCF Model'!C19+1)+'DCF Model'!E45/(1+$B13)^('DCF Model'!C19+2)+'DCF Model'!F45/(1+$B13)^('DCF Model'!C19+3)+'DCF Model'!G45/(1+$B13)^('DCF Model'!C19+4)+'DCF Model'!G45*(1+F$6)/($B13-F$6)/(1+$B13)^('DCF Model'!C19+4)-'DCF Model'!C16)*1000000/'DCF Model'!C15,0),"")</f>
        <v>2532</v>
      </c>
      <c r="G13" s="37">
        <f>IFERROR(ROUND(('DCF Model'!C45/(1+$B13)^('DCF Model'!C19+0)+'DCF Model'!D45/(1+$B13)^('DCF Model'!C19+1)+'DCF Model'!E45/(1+$B13)^('DCF Model'!C19+2)+'DCF Model'!F45/(1+$B13)^('DCF Model'!C19+3)+'DCF Model'!G45/(1+$B13)^('DCF Model'!C19+4)+'DCF Model'!G45*(1+G$6)/($B13-G$6)/(1+$B13)^('DCF Model'!C19+4)-'DCF Model'!C16)*1000000/'DCF Model'!C15,0),"")</f>
        <v>2586</v>
      </c>
      <c r="H13" s="37">
        <f>IFERROR(ROUND(('DCF Model'!C45/(1+$B13)^('DCF Model'!C19+0)+'DCF Model'!D45/(1+$B13)^('DCF Model'!C19+1)+'DCF Model'!E45/(1+$B13)^('DCF Model'!C19+2)+'DCF Model'!F45/(1+$B13)^('DCF Model'!C19+3)+'DCF Model'!G45/(1+$B13)^('DCF Model'!C19+4)+'DCF Model'!G45*(1+H$6)/($B13-H$6)/(1+$B13)^('DCF Model'!C19+4)-'DCF Model'!C16)*1000000/'DCF Model'!C15,0),"")</f>
        <v>2643</v>
      </c>
      <c r="I13" s="37">
        <f>IFERROR(ROUND(('DCF Model'!C45/(1+$B13)^('DCF Model'!C19+0)+'DCF Model'!D45/(1+$B13)^('DCF Model'!C19+1)+'DCF Model'!E45/(1+$B13)^('DCF Model'!C19+2)+'DCF Model'!F45/(1+$B13)^('DCF Model'!C19+3)+'DCF Model'!G45/(1+$B13)^('DCF Model'!C19+4)+'DCF Model'!G45*(1+I$6)/($B13-I$6)/(1+$B13)^('DCF Model'!C19+4)-'DCF Model'!C16)*1000000/'DCF Model'!C15,0),"")</f>
        <v>2704</v>
      </c>
    </row>
    <row r="16" spans="2:9" ht="14" customHeight="1" x14ac:dyDescent="0.3">
      <c r="B16" s="3" t="s">
        <v>236</v>
      </c>
    </row>
    <row r="17" spans="2:9" ht="14" customHeight="1" x14ac:dyDescent="0.3">
      <c r="B17" s="40" t="s">
        <v>237</v>
      </c>
      <c r="C17" s="42">
        <f>$I$3-3</f>
        <v>12.6</v>
      </c>
      <c r="D17" s="42">
        <f>$I$3-2</f>
        <v>13.6</v>
      </c>
      <c r="E17" s="42">
        <f>$I$3-1</f>
        <v>14.6</v>
      </c>
      <c r="F17" s="42">
        <f>$I$3</f>
        <v>15.6</v>
      </c>
      <c r="G17" s="42">
        <f>$I$3+1</f>
        <v>16.600000000000001</v>
      </c>
      <c r="H17" s="42">
        <f>$I$3+2</f>
        <v>17.600000000000001</v>
      </c>
      <c r="I17" s="42">
        <f>$I$3+3</f>
        <v>18.600000000000001</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5135</v>
      </c>
      <c r="D18" s="37">
        <f>IFERROR(ROUND(('DCF Model'!C45/(1+$B18)^('DCF Model'!C19+0)+'DCF Model'!D45/(1+$B18)^('DCF Model'!C19+1)+'DCF Model'!E45/(1+$B18)^('DCF Model'!C19+2)+'DCF Model'!F45/(1+$B18)^('DCF Model'!C19+3)+'DCF Model'!G45/(1+$B18)^('DCF Model'!C19+4)+('DCF Model'!G39+'DCF Model'!G42)*D$17/(1+$B18)^('DCF Model'!C19+4)-'DCF Model'!C16)*1000000/'DCF Model'!C15,0),"")</f>
        <v>5465</v>
      </c>
      <c r="E18" s="37">
        <f>IFERROR(ROUND(('DCF Model'!C45/(1+$B18)^('DCF Model'!C19+0)+'DCF Model'!D45/(1+$B18)^('DCF Model'!C19+1)+'DCF Model'!E45/(1+$B18)^('DCF Model'!C19+2)+'DCF Model'!F45/(1+$B18)^('DCF Model'!C19+3)+'DCF Model'!G45/(1+$B18)^('DCF Model'!C19+4)+('DCF Model'!G39+'DCF Model'!G42)*E$17/(1+$B18)^('DCF Model'!C19+4)-'DCF Model'!C16)*1000000/'DCF Model'!C15,0),"")</f>
        <v>5795</v>
      </c>
      <c r="F18" s="37">
        <f>IFERROR(ROUND(('DCF Model'!C45/(1+$B18)^('DCF Model'!C19+0)+'DCF Model'!D45/(1+$B18)^('DCF Model'!C19+1)+'DCF Model'!E45/(1+$B18)^('DCF Model'!C19+2)+'DCF Model'!F45/(1+$B18)^('DCF Model'!C19+3)+'DCF Model'!G45/(1+$B18)^('DCF Model'!C19+4)+('DCF Model'!G39+'DCF Model'!G42)*F$17/(1+$B18)^('DCF Model'!C19+4)-'DCF Model'!C16)*1000000/'DCF Model'!C15,0),"")</f>
        <v>6125</v>
      </c>
      <c r="G18" s="37">
        <f>IFERROR(ROUND(('DCF Model'!C45/(1+$B18)^('DCF Model'!C19+0)+'DCF Model'!D45/(1+$B18)^('DCF Model'!C19+1)+'DCF Model'!E45/(1+$B18)^('DCF Model'!C19+2)+'DCF Model'!F45/(1+$B18)^('DCF Model'!C19+3)+'DCF Model'!G45/(1+$B18)^('DCF Model'!C19+4)+('DCF Model'!G39+'DCF Model'!G42)*G$17/(1+$B18)^('DCF Model'!C19+4)-'DCF Model'!C16)*1000000/'DCF Model'!C15,0),"")</f>
        <v>6455</v>
      </c>
      <c r="H18" s="37">
        <f>IFERROR(ROUND(('DCF Model'!C45/(1+$B18)^('DCF Model'!C19+0)+'DCF Model'!D45/(1+$B18)^('DCF Model'!C19+1)+'DCF Model'!E45/(1+$B18)^('DCF Model'!C19+2)+'DCF Model'!F45/(1+$B18)^('DCF Model'!C19+3)+'DCF Model'!G45/(1+$B18)^('DCF Model'!C19+4)+('DCF Model'!G39+'DCF Model'!G42)*H$17/(1+$B18)^('DCF Model'!C19+4)-'DCF Model'!C16)*1000000/'DCF Model'!C15,0),"")</f>
        <v>6786</v>
      </c>
      <c r="I18" s="37">
        <f>IFERROR(ROUND(('DCF Model'!C45/(1+$B18)^('DCF Model'!C19+0)+'DCF Model'!D45/(1+$B18)^('DCF Model'!C19+1)+'DCF Model'!E45/(1+$B18)^('DCF Model'!C19+2)+'DCF Model'!F45/(1+$B18)^('DCF Model'!C19+3)+'DCF Model'!G45/(1+$B18)^('DCF Model'!C19+4)+('DCF Model'!G39+'DCF Model'!G42)*I$17/(1+$B18)^('DCF Model'!C19+4)-'DCF Model'!C16)*1000000/'DCF Model'!C15,0),"")</f>
        <v>7116</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5027</v>
      </c>
      <c r="D19" s="37">
        <f>IFERROR(ROUND(('DCF Model'!C45/(1+$B19)^('DCF Model'!C19+0)+'DCF Model'!D45/(1+$B19)^('DCF Model'!C19+1)+'DCF Model'!E45/(1+$B19)^('DCF Model'!C19+2)+'DCF Model'!F45/(1+$B19)^('DCF Model'!C19+3)+'DCF Model'!G45/(1+$B19)^('DCF Model'!C19+4)+('DCF Model'!G39+'DCF Model'!G42)*D$17/(1+$B19)^('DCF Model'!C19+4)-'DCF Model'!C16)*1000000/'DCF Model'!C15,0),"")</f>
        <v>5349</v>
      </c>
      <c r="E19" s="37">
        <f>IFERROR(ROUND(('DCF Model'!C45/(1+$B19)^('DCF Model'!C19+0)+'DCF Model'!D45/(1+$B19)^('DCF Model'!C19+1)+'DCF Model'!E45/(1+$B19)^('DCF Model'!C19+2)+'DCF Model'!F45/(1+$B19)^('DCF Model'!C19+3)+'DCF Model'!G45/(1+$B19)^('DCF Model'!C19+4)+('DCF Model'!G39+'DCF Model'!G42)*E$17/(1+$B19)^('DCF Model'!C19+4)-'DCF Model'!C16)*1000000/'DCF Model'!C15,0),"")</f>
        <v>5672</v>
      </c>
      <c r="F19" s="37">
        <f>IFERROR(ROUND(('DCF Model'!C45/(1+$B19)^('DCF Model'!C19+0)+'DCF Model'!D45/(1+$B19)^('DCF Model'!C19+1)+'DCF Model'!E45/(1+$B19)^('DCF Model'!C19+2)+'DCF Model'!F45/(1+$B19)^('DCF Model'!C19+3)+'DCF Model'!G45/(1+$B19)^('DCF Model'!C19+4)+('DCF Model'!G39+'DCF Model'!G42)*F$17/(1+$B19)^('DCF Model'!C19+4)-'DCF Model'!C16)*1000000/'DCF Model'!C15,0),"")</f>
        <v>5994</v>
      </c>
      <c r="G19" s="37">
        <f>IFERROR(ROUND(('DCF Model'!C45/(1+$B19)^('DCF Model'!C19+0)+'DCF Model'!D45/(1+$B19)^('DCF Model'!C19+1)+'DCF Model'!E45/(1+$B19)^('DCF Model'!C19+2)+'DCF Model'!F45/(1+$B19)^('DCF Model'!C19+3)+'DCF Model'!G45/(1+$B19)^('DCF Model'!C19+4)+('DCF Model'!G39+'DCF Model'!G42)*G$17/(1+$B19)^('DCF Model'!C19+4)-'DCF Model'!C16)*1000000/'DCF Model'!C15,0),"")</f>
        <v>6317</v>
      </c>
      <c r="H19" s="37">
        <f>IFERROR(ROUND(('DCF Model'!C45/(1+$B19)^('DCF Model'!C19+0)+'DCF Model'!D45/(1+$B19)^('DCF Model'!C19+1)+'DCF Model'!E45/(1+$B19)^('DCF Model'!C19+2)+'DCF Model'!F45/(1+$B19)^('DCF Model'!C19+3)+'DCF Model'!G45/(1+$B19)^('DCF Model'!C19+4)+('DCF Model'!G39+'DCF Model'!G42)*H$17/(1+$B19)^('DCF Model'!C19+4)-'DCF Model'!C16)*1000000/'DCF Model'!C15,0),"")</f>
        <v>6640</v>
      </c>
      <c r="I19" s="37">
        <f>IFERROR(ROUND(('DCF Model'!C45/(1+$B19)^('DCF Model'!C19+0)+'DCF Model'!D45/(1+$B19)^('DCF Model'!C19+1)+'DCF Model'!E45/(1+$B19)^('DCF Model'!C19+2)+'DCF Model'!F45/(1+$B19)^('DCF Model'!C19+3)+'DCF Model'!G45/(1+$B19)^('DCF Model'!C19+4)+('DCF Model'!G39+'DCF Model'!G42)*I$17/(1+$B19)^('DCF Model'!C19+4)-'DCF Model'!C16)*1000000/'DCF Model'!C15,0),"")</f>
        <v>6962</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4922</v>
      </c>
      <c r="D20" s="37">
        <f>IFERROR(ROUND(('DCF Model'!C45/(1+$B20)^('DCF Model'!C19+0)+'DCF Model'!D45/(1+$B20)^('DCF Model'!C19+1)+'DCF Model'!E45/(1+$B20)^('DCF Model'!C19+2)+'DCF Model'!F45/(1+$B20)^('DCF Model'!C19+3)+'DCF Model'!G45/(1+$B20)^('DCF Model'!C19+4)+('DCF Model'!G39+'DCF Model'!G42)*D$17/(1+$B20)^('DCF Model'!C19+4)-'DCF Model'!C16)*1000000/'DCF Model'!C15,0),"")</f>
        <v>5237</v>
      </c>
      <c r="E20" s="37">
        <f>IFERROR(ROUND(('DCF Model'!C45/(1+$B20)^('DCF Model'!C19+0)+'DCF Model'!D45/(1+$B20)^('DCF Model'!C19+1)+'DCF Model'!E45/(1+$B20)^('DCF Model'!C19+2)+'DCF Model'!F45/(1+$B20)^('DCF Model'!C19+3)+'DCF Model'!G45/(1+$B20)^('DCF Model'!C19+4)+('DCF Model'!G39+'DCF Model'!G42)*E$17/(1+$B20)^('DCF Model'!C19+4)-'DCF Model'!C16)*1000000/'DCF Model'!C15,0),"")</f>
        <v>5552</v>
      </c>
      <c r="F20" s="37">
        <f>IFERROR(ROUND(('DCF Model'!C45/(1+$B20)^('DCF Model'!C19+0)+'DCF Model'!D45/(1+$B20)^('DCF Model'!C19+1)+'DCF Model'!E45/(1+$B20)^('DCF Model'!C19+2)+'DCF Model'!F45/(1+$B20)^('DCF Model'!C19+3)+'DCF Model'!G45/(1+$B20)^('DCF Model'!C19+4)+('DCF Model'!G39+'DCF Model'!G42)*F$17/(1+$B20)^('DCF Model'!C19+4)-'DCF Model'!C16)*1000000/'DCF Model'!C15,0),"")</f>
        <v>5867</v>
      </c>
      <c r="G20" s="37">
        <f>IFERROR(ROUND(('DCF Model'!C45/(1+$B20)^('DCF Model'!C19+0)+'DCF Model'!D45/(1+$B20)^('DCF Model'!C19+1)+'DCF Model'!E45/(1+$B20)^('DCF Model'!C19+2)+'DCF Model'!F45/(1+$B20)^('DCF Model'!C19+3)+'DCF Model'!G45/(1+$B20)^('DCF Model'!C19+4)+('DCF Model'!G39+'DCF Model'!G42)*G$17/(1+$B20)^('DCF Model'!C19+4)-'DCF Model'!C16)*1000000/'DCF Model'!C15,0),"")</f>
        <v>6182</v>
      </c>
      <c r="H20" s="37">
        <f>IFERROR(ROUND(('DCF Model'!C45/(1+$B20)^('DCF Model'!C19+0)+'DCF Model'!D45/(1+$B20)^('DCF Model'!C19+1)+'DCF Model'!E45/(1+$B20)^('DCF Model'!C19+2)+'DCF Model'!F45/(1+$B20)^('DCF Model'!C19+3)+'DCF Model'!G45/(1+$B20)^('DCF Model'!C19+4)+('DCF Model'!G39+'DCF Model'!G42)*H$17/(1+$B20)^('DCF Model'!C19+4)-'DCF Model'!C16)*1000000/'DCF Model'!C15,0),"")</f>
        <v>6497</v>
      </c>
      <c r="I20" s="37">
        <f>IFERROR(ROUND(('DCF Model'!C45/(1+$B20)^('DCF Model'!C19+0)+'DCF Model'!D45/(1+$B20)^('DCF Model'!C19+1)+'DCF Model'!E45/(1+$B20)^('DCF Model'!C19+2)+'DCF Model'!F45/(1+$B20)^('DCF Model'!C19+3)+'DCF Model'!G45/(1+$B20)^('DCF Model'!C19+4)+('DCF Model'!G39+'DCF Model'!G42)*I$17/(1+$B20)^('DCF Model'!C19+4)-'DCF Model'!C16)*1000000/'DCF Model'!C15,0),"")</f>
        <v>6812</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4820</v>
      </c>
      <c r="D21" s="37">
        <f>IFERROR(ROUND(('DCF Model'!C45/(1+$B21)^('DCF Model'!C19+0)+'DCF Model'!D45/(1+$B21)^('DCF Model'!C19+1)+'DCF Model'!E45/(1+$B21)^('DCF Model'!C19+2)+'DCF Model'!F45/(1+$B21)^('DCF Model'!C19+3)+'DCF Model'!G45/(1+$B21)^('DCF Model'!C19+4)+('DCF Model'!G39+'DCF Model'!G42)*D$17/(1+$B21)^('DCF Model'!C19+4)-'DCF Model'!C16)*1000000/'DCF Model'!C15,0),"")</f>
        <v>5128</v>
      </c>
      <c r="E21" s="37">
        <f>IFERROR(ROUND(('DCF Model'!C45/(1+$B21)^('DCF Model'!C19+0)+'DCF Model'!D45/(1+$B21)^('DCF Model'!C19+1)+'DCF Model'!E45/(1+$B21)^('DCF Model'!C19+2)+'DCF Model'!F45/(1+$B21)^('DCF Model'!C19+3)+'DCF Model'!G45/(1+$B21)^('DCF Model'!C19+4)+('DCF Model'!G39+'DCF Model'!G42)*E$17/(1+$B21)^('DCF Model'!C19+4)-'DCF Model'!C16)*1000000/'DCF Model'!C15,0),"")</f>
        <v>5435</v>
      </c>
      <c r="F21" s="37">
        <f>IFERROR(ROUND(('DCF Model'!C45/(1+$B21)^('DCF Model'!C19+0)+'DCF Model'!D45/(1+$B21)^('DCF Model'!C19+1)+'DCF Model'!E45/(1+$B21)^('DCF Model'!C19+2)+'DCF Model'!F45/(1+$B21)^('DCF Model'!C19+3)+'DCF Model'!G45/(1+$B21)^('DCF Model'!C19+4)+('DCF Model'!G39+'DCF Model'!G42)*F$17/(1+$B21)^('DCF Model'!C19+4)-'DCF Model'!C16)*1000000/'DCF Model'!C15,0),"")</f>
        <v>5743</v>
      </c>
      <c r="G21" s="37">
        <f>IFERROR(ROUND(('DCF Model'!C45/(1+$B21)^('DCF Model'!C19+0)+'DCF Model'!D45/(1+$B21)^('DCF Model'!C19+1)+'DCF Model'!E45/(1+$B21)^('DCF Model'!C19+2)+'DCF Model'!F45/(1+$B21)^('DCF Model'!C19+3)+'DCF Model'!G45/(1+$B21)^('DCF Model'!C19+4)+('DCF Model'!G39+'DCF Model'!G42)*G$17/(1+$B21)^('DCF Model'!C19+4)-'DCF Model'!C16)*1000000/'DCF Model'!C15,0),"")</f>
        <v>6051</v>
      </c>
      <c r="H21" s="37">
        <f>IFERROR(ROUND(('DCF Model'!C45/(1+$B21)^('DCF Model'!C19+0)+'DCF Model'!D45/(1+$B21)^('DCF Model'!C19+1)+'DCF Model'!E45/(1+$B21)^('DCF Model'!C19+2)+'DCF Model'!F45/(1+$B21)^('DCF Model'!C19+3)+'DCF Model'!G45/(1+$B21)^('DCF Model'!C19+4)+('DCF Model'!G39+'DCF Model'!G42)*H$17/(1+$B21)^('DCF Model'!C19+4)-'DCF Model'!C16)*1000000/'DCF Model'!C15,0),"")</f>
        <v>6359</v>
      </c>
      <c r="I21" s="37">
        <f>IFERROR(ROUND(('DCF Model'!C45/(1+$B21)^('DCF Model'!C19+0)+'DCF Model'!D45/(1+$B21)^('DCF Model'!C19+1)+'DCF Model'!E45/(1+$B21)^('DCF Model'!C19+2)+'DCF Model'!F45/(1+$B21)^('DCF Model'!C19+3)+'DCF Model'!G45/(1+$B21)^('DCF Model'!C19+4)+('DCF Model'!G39+'DCF Model'!G42)*I$17/(1+$B21)^('DCF Model'!C19+4)-'DCF Model'!C16)*1000000/'DCF Model'!C15,0),"")</f>
        <v>6667</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4720</v>
      </c>
      <c r="D22" s="37">
        <f>IFERROR(ROUND(('DCF Model'!C45/(1+$B22)^('DCF Model'!C19+0)+'DCF Model'!D45/(1+$B22)^('DCF Model'!C19+1)+'DCF Model'!E45/(1+$B22)^('DCF Model'!C19+2)+'DCF Model'!F45/(1+$B22)^('DCF Model'!C19+3)+'DCF Model'!G45/(1+$B22)^('DCF Model'!C19+4)+('DCF Model'!G39+'DCF Model'!G42)*D$17/(1+$B22)^('DCF Model'!C19+4)-'DCF Model'!C16)*1000000/'DCF Model'!C15,0),"")</f>
        <v>5021</v>
      </c>
      <c r="E22" s="37">
        <f>IFERROR(ROUND(('DCF Model'!C45/(1+$B22)^('DCF Model'!C19+0)+'DCF Model'!D45/(1+$B22)^('DCF Model'!C19+1)+'DCF Model'!E45/(1+$B22)^('DCF Model'!C19+2)+'DCF Model'!F45/(1+$B22)^('DCF Model'!C19+3)+'DCF Model'!G45/(1+$B22)^('DCF Model'!C19+4)+('DCF Model'!G39+'DCF Model'!G42)*E$17/(1+$B22)^('DCF Model'!C19+4)-'DCF Model'!C16)*1000000/'DCF Model'!C15,0),"")</f>
        <v>5322</v>
      </c>
      <c r="F22" s="37">
        <f>IFERROR(ROUND(('DCF Model'!C45/(1+$B22)^('DCF Model'!C19+0)+'DCF Model'!D45/(1+$B22)^('DCF Model'!C19+1)+'DCF Model'!E45/(1+$B22)^('DCF Model'!C19+2)+'DCF Model'!F45/(1+$B22)^('DCF Model'!C19+3)+'DCF Model'!G45/(1+$B22)^('DCF Model'!C19+4)+('DCF Model'!G39+'DCF Model'!G42)*F$17/(1+$B22)^('DCF Model'!C19+4)-'DCF Model'!C16)*1000000/'DCF Model'!C15,0),"")</f>
        <v>5623</v>
      </c>
      <c r="G22" s="37">
        <f>IFERROR(ROUND(('DCF Model'!C45/(1+$B22)^('DCF Model'!C19+0)+'DCF Model'!D45/(1+$B22)^('DCF Model'!C19+1)+'DCF Model'!E45/(1+$B22)^('DCF Model'!C19+2)+'DCF Model'!F45/(1+$B22)^('DCF Model'!C19+3)+'DCF Model'!G45/(1+$B22)^('DCF Model'!C19+4)+('DCF Model'!G39+'DCF Model'!G42)*G$17/(1+$B22)^('DCF Model'!C19+4)-'DCF Model'!C16)*1000000/'DCF Model'!C15,0),"")</f>
        <v>5924</v>
      </c>
      <c r="H22" s="37">
        <f>IFERROR(ROUND(('DCF Model'!C45/(1+$B22)^('DCF Model'!C19+0)+'DCF Model'!D45/(1+$B22)^('DCF Model'!C19+1)+'DCF Model'!E45/(1+$B22)^('DCF Model'!C19+2)+'DCF Model'!F45/(1+$B22)^('DCF Model'!C19+3)+'DCF Model'!G45/(1+$B22)^('DCF Model'!C19+4)+('DCF Model'!G39+'DCF Model'!G42)*H$17/(1+$B22)^('DCF Model'!C19+4)-'DCF Model'!C16)*1000000/'DCF Model'!C15,0),"")</f>
        <v>6224</v>
      </c>
      <c r="I22" s="37">
        <f>IFERROR(ROUND(('DCF Model'!C45/(1+$B22)^('DCF Model'!C19+0)+'DCF Model'!D45/(1+$B22)^('DCF Model'!C19+1)+'DCF Model'!E45/(1+$B22)^('DCF Model'!C19+2)+'DCF Model'!F45/(1+$B22)^('DCF Model'!C19+3)+'DCF Model'!G45/(1+$B22)^('DCF Model'!C19+4)+('DCF Model'!G39+'DCF Model'!G42)*I$17/(1+$B22)^('DCF Model'!C19+4)-'DCF Model'!C16)*1000000/'DCF Model'!C15,0),"")</f>
        <v>6525</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4623</v>
      </c>
      <c r="D23" s="37">
        <f>IFERROR(ROUND(('DCF Model'!C45/(1+$B23)^('DCF Model'!C19+0)+'DCF Model'!D45/(1+$B23)^('DCF Model'!C19+1)+'DCF Model'!E45/(1+$B23)^('DCF Model'!C19+2)+'DCF Model'!F45/(1+$B23)^('DCF Model'!C19+3)+'DCF Model'!G45/(1+$B23)^('DCF Model'!C19+4)+('DCF Model'!G39+'DCF Model'!G42)*D$17/(1+$B23)^('DCF Model'!C19+4)-'DCF Model'!C16)*1000000/'DCF Model'!C15,0),"")</f>
        <v>4917</v>
      </c>
      <c r="E23" s="37">
        <f>IFERROR(ROUND(('DCF Model'!C45/(1+$B23)^('DCF Model'!C19+0)+'DCF Model'!D45/(1+$B23)^('DCF Model'!C19+1)+'DCF Model'!E45/(1+$B23)^('DCF Model'!C19+2)+'DCF Model'!F45/(1+$B23)^('DCF Model'!C19+3)+'DCF Model'!G45/(1+$B23)^('DCF Model'!C19+4)+('DCF Model'!G39+'DCF Model'!G42)*E$17/(1+$B23)^('DCF Model'!C19+4)-'DCF Model'!C16)*1000000/'DCF Model'!C15,0),"")</f>
        <v>5211</v>
      </c>
      <c r="F23" s="37">
        <f>IFERROR(ROUND(('DCF Model'!C45/(1+$B23)^('DCF Model'!C19+0)+'DCF Model'!D45/(1+$B23)^('DCF Model'!C19+1)+'DCF Model'!E45/(1+$B23)^('DCF Model'!C19+2)+'DCF Model'!F45/(1+$B23)^('DCF Model'!C19+3)+'DCF Model'!G45/(1+$B23)^('DCF Model'!C19+4)+('DCF Model'!G39+'DCF Model'!G42)*F$17/(1+$B23)^('DCF Model'!C19+4)-'DCF Model'!C16)*1000000/'DCF Model'!C15,0),"")</f>
        <v>5505</v>
      </c>
      <c r="G23" s="37">
        <f>IFERROR(ROUND(('DCF Model'!C45/(1+$B23)^('DCF Model'!C19+0)+'DCF Model'!D45/(1+$B23)^('DCF Model'!C19+1)+'DCF Model'!E45/(1+$B23)^('DCF Model'!C19+2)+'DCF Model'!F45/(1+$B23)^('DCF Model'!C19+3)+'DCF Model'!G45/(1+$B23)^('DCF Model'!C19+4)+('DCF Model'!G39+'DCF Model'!G42)*G$17/(1+$B23)^('DCF Model'!C19+4)-'DCF Model'!C16)*1000000/'DCF Model'!C15,0),"")</f>
        <v>5799</v>
      </c>
      <c r="H23" s="37">
        <f>IFERROR(ROUND(('DCF Model'!C45/(1+$B23)^('DCF Model'!C19+0)+'DCF Model'!D45/(1+$B23)^('DCF Model'!C19+1)+'DCF Model'!E45/(1+$B23)^('DCF Model'!C19+2)+'DCF Model'!F45/(1+$B23)^('DCF Model'!C19+3)+'DCF Model'!G45/(1+$B23)^('DCF Model'!C19+4)+('DCF Model'!G39+'DCF Model'!G42)*H$17/(1+$B23)^('DCF Model'!C19+4)-'DCF Model'!C16)*1000000/'DCF Model'!C15,0),"")</f>
        <v>6093</v>
      </c>
      <c r="I23" s="37">
        <f>IFERROR(ROUND(('DCF Model'!C45/(1+$B23)^('DCF Model'!C19+0)+'DCF Model'!D45/(1+$B23)^('DCF Model'!C19+1)+'DCF Model'!E45/(1+$B23)^('DCF Model'!C19+2)+'DCF Model'!F45/(1+$B23)^('DCF Model'!C19+3)+'DCF Model'!G45/(1+$B23)^('DCF Model'!C19+4)+('DCF Model'!G39+'DCF Model'!G42)*I$17/(1+$B23)^('DCF Model'!C19+4)-'DCF Model'!C16)*1000000/'DCF Model'!C15,0),"")</f>
        <v>6387</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4529</v>
      </c>
      <c r="D24" s="37">
        <f>IFERROR(ROUND(('DCF Model'!C45/(1+$B24)^('DCF Model'!C19+0)+'DCF Model'!D45/(1+$B24)^('DCF Model'!C19+1)+'DCF Model'!E45/(1+$B24)^('DCF Model'!C19+2)+'DCF Model'!F45/(1+$B24)^('DCF Model'!C19+3)+'DCF Model'!G45/(1+$B24)^('DCF Model'!C19+4)+('DCF Model'!G39+'DCF Model'!G42)*D$17/(1+$B24)^('DCF Model'!C19+4)-'DCF Model'!C16)*1000000/'DCF Model'!C15,0),"")</f>
        <v>4817</v>
      </c>
      <c r="E24" s="37">
        <f>IFERROR(ROUND(('DCF Model'!C45/(1+$B24)^('DCF Model'!C19+0)+'DCF Model'!D45/(1+$B24)^('DCF Model'!C19+1)+'DCF Model'!E45/(1+$B24)^('DCF Model'!C19+2)+'DCF Model'!F45/(1+$B24)^('DCF Model'!C19+3)+'DCF Model'!G45/(1+$B24)^('DCF Model'!C19+4)+('DCF Model'!G39+'DCF Model'!G42)*E$17/(1+$B24)^('DCF Model'!C19+4)-'DCF Model'!C16)*1000000/'DCF Model'!C15,0),"")</f>
        <v>5104</v>
      </c>
      <c r="F24" s="37">
        <f>IFERROR(ROUND(('DCF Model'!C45/(1+$B24)^('DCF Model'!C19+0)+'DCF Model'!D45/(1+$B24)^('DCF Model'!C19+1)+'DCF Model'!E45/(1+$B24)^('DCF Model'!C19+2)+'DCF Model'!F45/(1+$B24)^('DCF Model'!C19+3)+'DCF Model'!G45/(1+$B24)^('DCF Model'!C19+4)+('DCF Model'!G39+'DCF Model'!G42)*F$17/(1+$B24)^('DCF Model'!C19+4)-'DCF Model'!C16)*1000000/'DCF Model'!C15,0),"")</f>
        <v>5391</v>
      </c>
      <c r="G24" s="37">
        <f>IFERROR(ROUND(('DCF Model'!C45/(1+$B24)^('DCF Model'!C19+0)+'DCF Model'!D45/(1+$B24)^('DCF Model'!C19+1)+'DCF Model'!E45/(1+$B24)^('DCF Model'!C19+2)+'DCF Model'!F45/(1+$B24)^('DCF Model'!C19+3)+'DCF Model'!G45/(1+$B24)^('DCF Model'!C19+4)+('DCF Model'!G39+'DCF Model'!G42)*G$17/(1+$B24)^('DCF Model'!C19+4)-'DCF Model'!C16)*1000000/'DCF Model'!C15,0),"")</f>
        <v>5679</v>
      </c>
      <c r="H24" s="37">
        <f>IFERROR(ROUND(('DCF Model'!C45/(1+$B24)^('DCF Model'!C19+0)+'DCF Model'!D45/(1+$B24)^('DCF Model'!C19+1)+'DCF Model'!E45/(1+$B24)^('DCF Model'!C19+2)+'DCF Model'!F45/(1+$B24)^('DCF Model'!C19+3)+'DCF Model'!G45/(1+$B24)^('DCF Model'!C19+4)+('DCF Model'!G39+'DCF Model'!G42)*H$17/(1+$B24)^('DCF Model'!C19+4)-'DCF Model'!C16)*1000000/'DCF Model'!C15,0),"")</f>
        <v>5966</v>
      </c>
      <c r="I24" s="37">
        <f>IFERROR(ROUND(('DCF Model'!C45/(1+$B24)^('DCF Model'!C19+0)+'DCF Model'!D45/(1+$B24)^('DCF Model'!C19+1)+'DCF Model'!E45/(1+$B24)^('DCF Model'!C19+2)+'DCF Model'!F45/(1+$B24)^('DCF Model'!C19+3)+'DCF Model'!G45/(1+$B24)^('DCF Model'!C19+4)+('DCF Model'!G39+'DCF Model'!G42)*I$17/(1+$B24)^('DCF Model'!C19+4)-'DCF Model'!C16)*1000000/'DCF Model'!C15,0),"")</f>
        <v>6253</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251</v>
      </c>
      <c r="C6" s="4" t="s">
        <v>252</v>
      </c>
      <c r="D6" s="43" t="s">
        <v>253</v>
      </c>
      <c r="E6" s="43" t="s">
        <v>254</v>
      </c>
      <c r="F6" s="43" t="s">
        <v>255</v>
      </c>
      <c r="G6" s="43" t="s">
        <v>256</v>
      </c>
    </row>
    <row r="7" spans="2:7" ht="30" customHeight="1" x14ac:dyDescent="0.3">
      <c r="B7" s="43" t="s">
        <v>251</v>
      </c>
      <c r="C7" s="4" t="s">
        <v>257</v>
      </c>
      <c r="D7" s="43" t="s">
        <v>258</v>
      </c>
      <c r="E7" s="43" t="s">
        <v>259</v>
      </c>
      <c r="F7" s="43" t="s">
        <v>260</v>
      </c>
      <c r="G7" s="43" t="s">
        <v>261</v>
      </c>
    </row>
    <row r="8" spans="2:7" ht="30" customHeight="1" x14ac:dyDescent="0.3">
      <c r="B8" s="43" t="s">
        <v>251</v>
      </c>
      <c r="C8" s="4" t="s">
        <v>262</v>
      </c>
      <c r="D8" s="43" t="s">
        <v>263</v>
      </c>
      <c r="E8" s="43" t="s">
        <v>264</v>
      </c>
      <c r="F8" s="43" t="s">
        <v>265</v>
      </c>
      <c r="G8" s="43" t="s">
        <v>261</v>
      </c>
    </row>
    <row r="9" spans="2:7" ht="30" customHeight="1" x14ac:dyDescent="0.3">
      <c r="B9" s="43" t="s">
        <v>251</v>
      </c>
      <c r="C9" s="4" t="s">
        <v>266</v>
      </c>
      <c r="D9" s="43" t="s">
        <v>267</v>
      </c>
      <c r="E9" s="43" t="s">
        <v>268</v>
      </c>
      <c r="F9" s="43" t="s">
        <v>269</v>
      </c>
      <c r="G9" s="43" t="s">
        <v>261</v>
      </c>
    </row>
    <row r="10" spans="2:7" ht="30" customHeight="1" x14ac:dyDescent="0.3">
      <c r="B10" s="43" t="s">
        <v>251</v>
      </c>
      <c r="C10" s="4" t="s">
        <v>270</v>
      </c>
      <c r="D10" s="43" t="s">
        <v>271</v>
      </c>
      <c r="E10" s="43" t="s">
        <v>272</v>
      </c>
      <c r="F10" s="43" t="s">
        <v>273</v>
      </c>
      <c r="G10" s="43" t="s">
        <v>274</v>
      </c>
    </row>
    <row r="11" spans="2:7" ht="30" customHeight="1" x14ac:dyDescent="0.3">
      <c r="B11" s="43" t="s">
        <v>251</v>
      </c>
      <c r="C11" s="4" t="s">
        <v>275</v>
      </c>
      <c r="D11" s="43" t="s">
        <v>276</v>
      </c>
      <c r="E11" s="43" t="s">
        <v>277</v>
      </c>
      <c r="F11" s="43" t="s">
        <v>278</v>
      </c>
      <c r="G11" s="43" t="s">
        <v>261</v>
      </c>
    </row>
    <row r="12" spans="2:7" ht="30" customHeight="1" x14ac:dyDescent="0.3">
      <c r="B12" s="43" t="s">
        <v>251</v>
      </c>
      <c r="C12" s="4" t="s">
        <v>279</v>
      </c>
      <c r="D12" s="43" t="s">
        <v>280</v>
      </c>
      <c r="E12" s="43" t="s">
        <v>281</v>
      </c>
      <c r="F12" s="43" t="s">
        <v>282</v>
      </c>
      <c r="G12" s="43" t="s">
        <v>261</v>
      </c>
    </row>
    <row r="13" spans="2:7" ht="30" customHeight="1" x14ac:dyDescent="0.3">
      <c r="B13" s="43" t="s">
        <v>251</v>
      </c>
      <c r="C13" s="4" t="s">
        <v>283</v>
      </c>
      <c r="D13" s="43" t="s">
        <v>284</v>
      </c>
      <c r="E13" s="43" t="s">
        <v>285</v>
      </c>
      <c r="F13" s="43" t="s">
        <v>286</v>
      </c>
      <c r="G13" s="43" t="s">
        <v>261</v>
      </c>
    </row>
    <row r="14" spans="2:7" ht="30" customHeight="1" x14ac:dyDescent="0.3">
      <c r="B14" s="43" t="s">
        <v>251</v>
      </c>
      <c r="C14" s="4" t="s">
        <v>287</v>
      </c>
      <c r="D14" s="43" t="s">
        <v>288</v>
      </c>
      <c r="E14" s="43" t="s">
        <v>289</v>
      </c>
      <c r="F14" s="43" t="s">
        <v>247</v>
      </c>
      <c r="G14" s="43" t="s">
        <v>261</v>
      </c>
    </row>
    <row r="15" spans="2:7" ht="30" customHeight="1" x14ac:dyDescent="0.3">
      <c r="B15" s="43" t="s">
        <v>251</v>
      </c>
      <c r="C15" s="4" t="s">
        <v>290</v>
      </c>
      <c r="D15" s="43" t="s">
        <v>291</v>
      </c>
      <c r="E15" s="43" t="s">
        <v>292</v>
      </c>
      <c r="F15" s="43" t="s">
        <v>293</v>
      </c>
      <c r="G15" s="43" t="s">
        <v>261</v>
      </c>
    </row>
    <row r="16" spans="2:7" ht="30" customHeight="1" x14ac:dyDescent="0.3">
      <c r="B16" s="43" t="s">
        <v>251</v>
      </c>
      <c r="C16" s="4" t="s">
        <v>294</v>
      </c>
      <c r="D16" s="43" t="s">
        <v>295</v>
      </c>
      <c r="E16" s="43" t="s">
        <v>296</v>
      </c>
      <c r="F16" s="43" t="s">
        <v>265</v>
      </c>
      <c r="G16" s="43" t="s">
        <v>261</v>
      </c>
    </row>
    <row r="17" spans="2:7" ht="30" customHeight="1" x14ac:dyDescent="0.3">
      <c r="B17" s="43" t="s">
        <v>251</v>
      </c>
      <c r="C17" s="4" t="s">
        <v>297</v>
      </c>
      <c r="D17" s="43" t="s">
        <v>298</v>
      </c>
      <c r="E17" s="43" t="s">
        <v>299</v>
      </c>
      <c r="F17" s="43" t="s">
        <v>247</v>
      </c>
      <c r="G17" s="43" t="s">
        <v>256</v>
      </c>
    </row>
    <row r="18" spans="2:7" ht="30" customHeight="1" x14ac:dyDescent="0.3">
      <c r="B18" s="43" t="s">
        <v>251</v>
      </c>
      <c r="C18" s="4" t="s">
        <v>300</v>
      </c>
      <c r="D18" s="43" t="s">
        <v>301</v>
      </c>
      <c r="E18" s="43" t="s">
        <v>302</v>
      </c>
      <c r="F18" s="43" t="s">
        <v>303</v>
      </c>
      <c r="G18" s="43" t="s">
        <v>304</v>
      </c>
    </row>
    <row r="19" spans="2:7" ht="30" customHeight="1" x14ac:dyDescent="0.3">
      <c r="B19" s="43" t="s">
        <v>251</v>
      </c>
      <c r="C19" s="4" t="s">
        <v>305</v>
      </c>
      <c r="D19" s="43" t="s">
        <v>306</v>
      </c>
      <c r="E19" s="43" t="s">
        <v>307</v>
      </c>
      <c r="F19" s="43" t="s">
        <v>247</v>
      </c>
      <c r="G19" s="43" t="s">
        <v>308</v>
      </c>
    </row>
    <row r="20" spans="2:7" ht="30" customHeight="1" x14ac:dyDescent="0.3">
      <c r="B20" s="43" t="s">
        <v>251</v>
      </c>
      <c r="C20" s="4" t="s">
        <v>309</v>
      </c>
      <c r="D20" s="43" t="s">
        <v>310</v>
      </c>
      <c r="E20" s="43" t="s">
        <v>311</v>
      </c>
      <c r="F20" s="43" t="s">
        <v>265</v>
      </c>
      <c r="G20" s="43" t="s">
        <v>261</v>
      </c>
    </row>
    <row r="21" spans="2:7" ht="30" customHeight="1" x14ac:dyDescent="0.3">
      <c r="B21" s="43" t="s">
        <v>251</v>
      </c>
      <c r="C21" s="4" t="s">
        <v>312</v>
      </c>
      <c r="D21" s="43" t="s">
        <v>313</v>
      </c>
      <c r="E21" s="43" t="s">
        <v>314</v>
      </c>
      <c r="F21" s="43" t="s">
        <v>247</v>
      </c>
      <c r="G21" s="43" t="s">
        <v>261</v>
      </c>
    </row>
    <row r="22" spans="2:7" ht="30" customHeight="1" x14ac:dyDescent="0.3">
      <c r="B22" s="43" t="s">
        <v>251</v>
      </c>
      <c r="C22" s="4" t="s">
        <v>315</v>
      </c>
      <c r="D22" s="43" t="s">
        <v>316</v>
      </c>
      <c r="E22" s="43" t="s">
        <v>317</v>
      </c>
      <c r="F22" s="43" t="s">
        <v>247</v>
      </c>
      <c r="G22" s="43" t="s">
        <v>256</v>
      </c>
    </row>
    <row r="23" spans="2:7" ht="30" customHeight="1" x14ac:dyDescent="0.3">
      <c r="B23" s="43" t="s">
        <v>251</v>
      </c>
      <c r="C23" s="4" t="s">
        <v>318</v>
      </c>
      <c r="D23" s="43" t="s">
        <v>319</v>
      </c>
      <c r="E23" s="43" t="s">
        <v>320</v>
      </c>
      <c r="F23" s="43" t="s">
        <v>247</v>
      </c>
      <c r="G23" s="43" t="s">
        <v>321</v>
      </c>
    </row>
    <row r="24" spans="2:7" ht="30" customHeight="1" x14ac:dyDescent="0.3">
      <c r="B24" s="43" t="s">
        <v>251</v>
      </c>
      <c r="C24" s="4" t="s">
        <v>322</v>
      </c>
      <c r="D24" s="43" t="s">
        <v>323</v>
      </c>
      <c r="E24" s="43" t="s">
        <v>324</v>
      </c>
      <c r="F24" s="43" t="s">
        <v>247</v>
      </c>
      <c r="G24" s="43" t="s">
        <v>325</v>
      </c>
    </row>
    <row r="25" spans="2:7" ht="30" customHeight="1" x14ac:dyDescent="0.3">
      <c r="B25" s="43" t="s">
        <v>251</v>
      </c>
      <c r="C25" s="4" t="s">
        <v>322</v>
      </c>
      <c r="D25" s="43" t="s">
        <v>326</v>
      </c>
      <c r="E25" s="43" t="s">
        <v>327</v>
      </c>
      <c r="F25" s="43" t="s">
        <v>247</v>
      </c>
      <c r="G25" s="43" t="s">
        <v>325</v>
      </c>
    </row>
    <row r="26" spans="2:7" ht="30" customHeight="1" x14ac:dyDescent="0.3">
      <c r="B26" s="43" t="s">
        <v>251</v>
      </c>
      <c r="C26" s="4" t="s">
        <v>322</v>
      </c>
      <c r="D26" s="43" t="s">
        <v>328</v>
      </c>
      <c r="E26" s="43" t="s">
        <v>329</v>
      </c>
      <c r="F26" s="43" t="s">
        <v>247</v>
      </c>
      <c r="G26" s="43" t="s">
        <v>325</v>
      </c>
    </row>
    <row r="27" spans="2:7" ht="14" customHeight="1" x14ac:dyDescent="0.2"/>
    <row r="28" spans="2:7" ht="14" customHeight="1" x14ac:dyDescent="0.3">
      <c r="B28" s="8" t="s">
        <v>330</v>
      </c>
    </row>
    <row r="29" spans="2:7" ht="14" customHeight="1" x14ac:dyDescent="0.3">
      <c r="B29" s="10" t="s">
        <v>331</v>
      </c>
      <c r="C29" s="10" t="s">
        <v>332</v>
      </c>
    </row>
    <row r="30" spans="2:7" ht="14" customHeight="1" x14ac:dyDescent="0.3">
      <c r="B30" s="4" t="s">
        <v>333</v>
      </c>
      <c r="C30" t="s">
        <v>334</v>
      </c>
    </row>
    <row r="31" spans="2:7" ht="14" customHeight="1" x14ac:dyDescent="0.3">
      <c r="B31" s="4" t="s">
        <v>335</v>
      </c>
      <c r="C31" t="s">
        <v>336</v>
      </c>
    </row>
    <row r="32" spans="2:7" ht="14" customHeight="1" x14ac:dyDescent="0.3">
      <c r="B32" s="4" t="s">
        <v>337</v>
      </c>
      <c r="C32" t="s">
        <v>338</v>
      </c>
    </row>
    <row r="33" spans="2:3" ht="14" customHeight="1" x14ac:dyDescent="0.3">
      <c r="B33" s="4" t="s">
        <v>339</v>
      </c>
      <c r="C33" t="s">
        <v>42</v>
      </c>
    </row>
    <row r="34" spans="2:3" ht="14" customHeight="1" x14ac:dyDescent="0.3">
      <c r="B34" s="4" t="s">
        <v>340</v>
      </c>
      <c r="C34" t="s">
        <v>4</v>
      </c>
    </row>
    <row r="35" spans="2:3" ht="14" customHeight="1" x14ac:dyDescent="0.3">
      <c r="B35" s="4" t="s">
        <v>341</v>
      </c>
      <c r="C35" t="s">
        <v>246</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347</v>
      </c>
    </row>
    <row r="39" spans="2:3" ht="14" customHeight="1" x14ac:dyDescent="0.3">
      <c r="B39" s="4" t="s">
        <v>348</v>
      </c>
      <c r="C39" t="s">
        <v>349</v>
      </c>
    </row>
    <row r="40" spans="2:3" ht="14" customHeight="1" x14ac:dyDescent="0.3">
      <c r="B40" s="4" t="s">
        <v>350</v>
      </c>
      <c r="C40" t="s">
        <v>351</v>
      </c>
    </row>
    <row r="41" spans="2:3" ht="14" customHeight="1" x14ac:dyDescent="0.3">
      <c r="B41" s="4" t="s">
        <v>352</v>
      </c>
      <c r="C41" t="s">
        <v>347</v>
      </c>
    </row>
    <row r="42" spans="2:3" ht="14" customHeight="1" x14ac:dyDescent="0.3">
      <c r="B42" s="4" t="s">
        <v>353</v>
      </c>
      <c r="C42" t="s">
        <v>343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336</v>
      </c>
    </row>
    <row r="47" spans="2:3" ht="14" x14ac:dyDescent="0.3">
      <c r="B47" s="4" t="s">
        <v>361</v>
      </c>
      <c r="C47" t="s">
        <v>336</v>
      </c>
    </row>
    <row r="48" spans="2:3" ht="14" x14ac:dyDescent="0.3">
      <c r="B48" s="4" t="s">
        <v>362</v>
      </c>
      <c r="C48" t="s">
        <v>363</v>
      </c>
    </row>
    <row r="49" spans="2:3" ht="14" x14ac:dyDescent="0.3">
      <c r="B49" s="4" t="s">
        <v>364</v>
      </c>
      <c r="C49" t="s">
        <v>365</v>
      </c>
    </row>
    <row r="50" spans="2:3" ht="14" x14ac:dyDescent="0.3">
      <c r="B50" s="4" t="s">
        <v>366</v>
      </c>
      <c r="C50" t="s">
        <v>367</v>
      </c>
    </row>
    <row r="51" spans="2:3" ht="14" x14ac:dyDescent="0.3">
      <c r="B51" s="4" t="s">
        <v>368</v>
      </c>
      <c r="C51" t="s">
        <v>369</v>
      </c>
    </row>
    <row r="52" spans="2:3" ht="14" x14ac:dyDescent="0.3">
      <c r="B52" s="4" t="s">
        <v>370</v>
      </c>
      <c r="C52" t="s">
        <v>371</v>
      </c>
    </row>
    <row r="53" spans="2:3" ht="14" x14ac:dyDescent="0.3">
      <c r="B53" s="4" t="s">
        <v>372</v>
      </c>
      <c r="C53" t="s">
        <v>373</v>
      </c>
    </row>
    <row r="54" spans="2:3" ht="14" x14ac:dyDescent="0.3">
      <c r="B54" s="4" t="s">
        <v>374</v>
      </c>
      <c r="C54" t="s">
        <v>375</v>
      </c>
    </row>
    <row r="55" spans="2:3" ht="14" x14ac:dyDescent="0.3">
      <c r="B55" s="4" t="s">
        <v>376</v>
      </c>
      <c r="C55" t="s">
        <v>377</v>
      </c>
    </row>
    <row r="56" spans="2:3" ht="14" x14ac:dyDescent="0.3">
      <c r="B56" s="4" t="s">
        <v>378</v>
      </c>
      <c r="C56" t="s">
        <v>379</v>
      </c>
    </row>
    <row r="57" spans="2:3" ht="14" x14ac:dyDescent="0.3">
      <c r="B57" s="4" t="s">
        <v>380</v>
      </c>
      <c r="C57" t="s">
        <v>381</v>
      </c>
    </row>
    <row r="58" spans="2:3" ht="14" x14ac:dyDescent="0.3">
      <c r="B58" s="4" t="s">
        <v>382</v>
      </c>
      <c r="C58" t="s">
        <v>383</v>
      </c>
    </row>
    <row r="59" spans="2:3" ht="14" x14ac:dyDescent="0.3">
      <c r="B59" s="4" t="s">
        <v>384</v>
      </c>
      <c r="C59" t="s">
        <v>385</v>
      </c>
    </row>
    <row r="60" spans="2:3" ht="14" x14ac:dyDescent="0.3">
      <c r="B60" s="4" t="s">
        <v>386</v>
      </c>
      <c r="C60" t="s">
        <v>387</v>
      </c>
    </row>
    <row r="61" spans="2:3" ht="14" x14ac:dyDescent="0.3">
      <c r="B61" s="4" t="s">
        <v>388</v>
      </c>
      <c r="C61" t="s">
        <v>389</v>
      </c>
    </row>
    <row r="62" spans="2:3" ht="14" x14ac:dyDescent="0.3">
      <c r="B62" s="4" t="s">
        <v>390</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2026-09-06T02:00:36Z</dcterms:created>
  <dcterms:modified xsi:type="dcterms:W3CDTF">2026-09-06T02:33:21Z</dcterms:modified>
</cp:coreProperties>
</file>