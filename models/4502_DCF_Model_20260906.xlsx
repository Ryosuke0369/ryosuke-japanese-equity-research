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59788625-05C9-4A13-8940-37189CED76D0}"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D17" i="7" l="1"/>
  <c r="C6" i="7"/>
  <c r="I3" i="7"/>
  <c r="I17" i="7" s="1"/>
  <c r="F3" i="7"/>
  <c r="H6" i="7" s="1"/>
  <c r="O9" i="6"/>
  <c r="N9" i="6"/>
  <c r="M9" i="6"/>
  <c r="L9" i="6"/>
  <c r="K9" i="6"/>
  <c r="J9" i="6"/>
  <c r="O8" i="6"/>
  <c r="N8" i="6"/>
  <c r="M8" i="6"/>
  <c r="L8" i="6"/>
  <c r="K8" i="6"/>
  <c r="J8" i="6"/>
  <c r="O7" i="6"/>
  <c r="N7" i="6"/>
  <c r="M7" i="6"/>
  <c r="L7" i="6"/>
  <c r="K7" i="6"/>
  <c r="J7" i="6"/>
  <c r="O6" i="6"/>
  <c r="N6" i="6"/>
  <c r="H17" i="6" s="1"/>
  <c r="M6" i="6"/>
  <c r="G15" i="6" s="1"/>
  <c r="L6" i="6"/>
  <c r="K6" i="6"/>
  <c r="J6" i="6"/>
  <c r="O5" i="6"/>
  <c r="N5" i="6"/>
  <c r="D5" i="6"/>
  <c r="M5" i="6" s="1"/>
  <c r="B24" i="1" s="1"/>
  <c r="C16" i="5"/>
  <c r="C14" i="5"/>
  <c r="C7" i="5"/>
  <c r="C6" i="5"/>
  <c r="C5" i="5"/>
  <c r="C13" i="4"/>
  <c r="C12" i="4"/>
  <c r="C9" i="4"/>
  <c r="C7" i="4"/>
  <c r="C6" i="4"/>
  <c r="D27" i="3"/>
  <c r="G5" i="5" s="1"/>
  <c r="C25" i="3"/>
  <c r="C26" i="3" s="1"/>
  <c r="C24" i="3"/>
  <c r="C23" i="3"/>
  <c r="F28" i="2"/>
  <c r="E28" i="2"/>
  <c r="D28" i="2"/>
  <c r="C28" i="2"/>
  <c r="F23" i="2"/>
  <c r="E23" i="2"/>
  <c r="D23" i="2"/>
  <c r="C23" i="2"/>
  <c r="F21" i="2"/>
  <c r="F22" i="2" s="1"/>
  <c r="E21" i="2"/>
  <c r="E22" i="2" s="1"/>
  <c r="D21" i="2"/>
  <c r="D22" i="2" s="1"/>
  <c r="C21" i="2"/>
  <c r="C22" i="2" s="1"/>
  <c r="F16" i="2"/>
  <c r="E16" i="2"/>
  <c r="D16" i="2"/>
  <c r="F15" i="2"/>
  <c r="E15" i="2"/>
  <c r="D15" i="2"/>
  <c r="F14" i="2"/>
  <c r="E14" i="2"/>
  <c r="D14" i="2"/>
  <c r="C14" i="2"/>
  <c r="F13" i="2"/>
  <c r="E13" i="2"/>
  <c r="D13" i="2"/>
  <c r="C13" i="2"/>
  <c r="F8" i="2"/>
  <c r="F9" i="2" s="1"/>
  <c r="E8" i="2"/>
  <c r="E9" i="2" s="1"/>
  <c r="D8" i="2"/>
  <c r="D9" i="2" s="1"/>
  <c r="C8" i="2"/>
  <c r="C9" i="2" s="1"/>
  <c r="B29" i="1"/>
  <c r="C19" i="1"/>
  <c r="D19" i="1" s="1"/>
  <c r="E5" i="6" l="1"/>
  <c r="J5" i="6" s="1"/>
  <c r="I16" i="6"/>
  <c r="D15" i="6"/>
  <c r="H16" i="6"/>
  <c r="E15" i="6"/>
  <c r="C8" i="4"/>
  <c r="C10" i="4" s="1"/>
  <c r="C24" i="4" s="1"/>
  <c r="C25" i="4" s="1"/>
  <c r="C18" i="5"/>
  <c r="F16" i="6"/>
  <c r="C3" i="7"/>
  <c r="G36" i="4"/>
  <c r="C11" i="4"/>
  <c r="G46" i="3"/>
  <c r="E36" i="4"/>
  <c r="D36" i="4"/>
  <c r="D46" i="3"/>
  <c r="F46" i="3"/>
  <c r="C46" i="3"/>
  <c r="B30" i="1"/>
  <c r="E46" i="3"/>
  <c r="H36" i="4"/>
  <c r="B25" i="1"/>
  <c r="F36" i="4"/>
  <c r="C71" i="4"/>
  <c r="C70" i="4"/>
  <c r="C31" i="3"/>
  <c r="G32" i="3"/>
  <c r="F5" i="5"/>
  <c r="H6" i="5"/>
  <c r="F15" i="6"/>
  <c r="C30" i="3"/>
  <c r="C33" i="3" s="1"/>
  <c r="F31" i="3"/>
  <c r="H5" i="5"/>
  <c r="D7" i="5"/>
  <c r="K5" i="6"/>
  <c r="H15" i="6"/>
  <c r="D17" i="6"/>
  <c r="I6" i="7"/>
  <c r="D30" i="3"/>
  <c r="G31" i="3"/>
  <c r="E7" i="5"/>
  <c r="I15" i="6"/>
  <c r="E17" i="6"/>
  <c r="C17" i="7"/>
  <c r="E30" i="3"/>
  <c r="C32" i="3"/>
  <c r="D6" i="5"/>
  <c r="F7" i="5"/>
  <c r="D16" i="6"/>
  <c r="F17" i="6"/>
  <c r="F30" i="3"/>
  <c r="D32" i="3"/>
  <c r="E6" i="5"/>
  <c r="G7" i="5"/>
  <c r="E16" i="6"/>
  <c r="G17" i="6"/>
  <c r="D6" i="7"/>
  <c r="E17" i="7"/>
  <c r="F32" i="3"/>
  <c r="D31" i="3"/>
  <c r="G30" i="3"/>
  <c r="E32" i="3"/>
  <c r="D5" i="5"/>
  <c r="F6" i="5"/>
  <c r="H7" i="5"/>
  <c r="E6" i="7"/>
  <c r="F17" i="7"/>
  <c r="E5" i="5"/>
  <c r="G6" i="5"/>
  <c r="G16" i="6"/>
  <c r="I17" i="6"/>
  <c r="F6" i="7"/>
  <c r="G17" i="7"/>
  <c r="G6" i="7"/>
  <c r="H17" i="7"/>
  <c r="E31" i="3"/>
  <c r="C29" i="4" l="1"/>
  <c r="C27" i="4"/>
  <c r="C26" i="4"/>
  <c r="C72" i="4"/>
  <c r="D9" i="5"/>
  <c r="D12" i="5" s="1"/>
  <c r="C43" i="3"/>
  <c r="C34" i="3"/>
  <c r="D10" i="5" s="1"/>
  <c r="C37" i="3"/>
  <c r="D33" i="3"/>
  <c r="F43" i="4"/>
  <c r="F40" i="4"/>
  <c r="F44" i="4"/>
  <c r="F46" i="4"/>
  <c r="F38" i="4"/>
  <c r="F48" i="4" s="1"/>
  <c r="F53" i="4" s="1"/>
  <c r="F41" i="4"/>
  <c r="F51" i="4" s="1"/>
  <c r="F56" i="4" s="1"/>
  <c r="F45" i="4"/>
  <c r="F39" i="4"/>
  <c r="D45" i="4"/>
  <c r="D43" i="4"/>
  <c r="D46" i="4"/>
  <c r="D39" i="4"/>
  <c r="D40" i="4"/>
  <c r="D50" i="4" s="1"/>
  <c r="D55" i="4" s="1"/>
  <c r="D44" i="4"/>
  <c r="D38" i="4"/>
  <c r="D41" i="4"/>
  <c r="E39" i="4"/>
  <c r="E46" i="4"/>
  <c r="E40" i="4"/>
  <c r="E43" i="4"/>
  <c r="E44" i="4"/>
  <c r="E38" i="4"/>
  <c r="E48" i="4" s="1"/>
  <c r="E53" i="4" s="1"/>
  <c r="E41" i="4"/>
  <c r="E45" i="4"/>
  <c r="H40" i="4"/>
  <c r="H38" i="4"/>
  <c r="H41" i="4"/>
  <c r="H45" i="4"/>
  <c r="H39" i="4"/>
  <c r="H49" i="4" s="1"/>
  <c r="H54" i="4" s="1"/>
  <c r="H43" i="4"/>
  <c r="H46" i="4"/>
  <c r="H44" i="4"/>
  <c r="G46" i="4"/>
  <c r="G44" i="4"/>
  <c r="G38" i="4"/>
  <c r="G41" i="4"/>
  <c r="G51" i="4" s="1"/>
  <c r="G56" i="4" s="1"/>
  <c r="G45" i="4"/>
  <c r="G39" i="4"/>
  <c r="G49" i="4" s="1"/>
  <c r="G54" i="4" s="1"/>
  <c r="G43" i="4"/>
  <c r="G40" i="4"/>
  <c r="C27" i="6"/>
  <c r="C18" i="1" s="1"/>
  <c r="D18" i="1" s="1"/>
  <c r="C74" i="4"/>
  <c r="B13" i="7"/>
  <c r="B12" i="7"/>
  <c r="B11" i="7"/>
  <c r="B10" i="7"/>
  <c r="B9" i="7"/>
  <c r="B8" i="7"/>
  <c r="B7" i="7"/>
  <c r="B24" i="7"/>
  <c r="B23" i="7"/>
  <c r="B22" i="7"/>
  <c r="B21" i="7"/>
  <c r="B20" i="7"/>
  <c r="B19" i="7"/>
  <c r="B18" i="7"/>
  <c r="H51" i="4" l="1"/>
  <c r="H56" i="4" s="1"/>
  <c r="F50" i="4"/>
  <c r="F55" i="4" s="1"/>
  <c r="G48" i="4"/>
  <c r="G53" i="4" s="1"/>
  <c r="D51" i="4"/>
  <c r="D56" i="4" s="1"/>
  <c r="F49" i="4"/>
  <c r="F54" i="4" s="1"/>
  <c r="B78" i="4" s="1"/>
  <c r="D49" i="4"/>
  <c r="D54" i="4" s="1"/>
  <c r="E50" i="4"/>
  <c r="E55" i="4" s="1"/>
  <c r="H48" i="4"/>
  <c r="H53" i="4" s="1"/>
  <c r="H50" i="4"/>
  <c r="H55" i="4" s="1"/>
  <c r="E49" i="4"/>
  <c r="E54" i="4" s="1"/>
  <c r="G50" i="4"/>
  <c r="G55" i="4" s="1"/>
  <c r="D37" i="3"/>
  <c r="E9" i="5"/>
  <c r="E12" i="5" s="1"/>
  <c r="D43" i="3"/>
  <c r="D34" i="3"/>
  <c r="E10" i="5" s="1"/>
  <c r="E33" i="3"/>
  <c r="E51" i="4"/>
  <c r="E56" i="4" s="1"/>
  <c r="D48" i="4"/>
  <c r="D53" i="4" s="1"/>
  <c r="C35" i="3"/>
  <c r="D15" i="5"/>
  <c r="D16" i="5" s="1"/>
  <c r="D13" i="5"/>
  <c r="D14" i="5" s="1"/>
  <c r="D18" i="5" s="1"/>
  <c r="D19" i="5" s="1"/>
  <c r="C44" i="3" s="1"/>
  <c r="C60" i="4" l="1"/>
  <c r="C64" i="4" s="1"/>
  <c r="D64" i="4" s="1"/>
  <c r="D35" i="3"/>
  <c r="C39" i="3"/>
  <c r="C38" i="3"/>
  <c r="C36" i="3"/>
  <c r="F9" i="5"/>
  <c r="F12" i="5" s="1"/>
  <c r="E43" i="3"/>
  <c r="E34" i="3"/>
  <c r="F10" i="5" s="1"/>
  <c r="E37" i="3"/>
  <c r="F33" i="3"/>
  <c r="D36" i="3"/>
  <c r="D39" i="3"/>
  <c r="D38" i="3"/>
  <c r="E13" i="5"/>
  <c r="E14" i="5" s="1"/>
  <c r="E18" i="5" s="1"/>
  <c r="E19" i="5" s="1"/>
  <c r="D44" i="3" s="1"/>
  <c r="E15" i="5"/>
  <c r="E16" i="5" s="1"/>
  <c r="C73" i="4" l="1"/>
  <c r="C66" i="4"/>
  <c r="D66" i="4" s="1"/>
  <c r="C67" i="4"/>
  <c r="D67" i="4" s="1"/>
  <c r="E35" i="3"/>
  <c r="E39" i="3" s="1"/>
  <c r="C63" i="4"/>
  <c r="D63" i="4" s="1"/>
  <c r="C65" i="4"/>
  <c r="D65" i="4" s="1"/>
  <c r="F15" i="5"/>
  <c r="F16" i="5" s="1"/>
  <c r="F13" i="5"/>
  <c r="F14" i="5" s="1"/>
  <c r="F18" i="5" s="1"/>
  <c r="F19" i="5" s="1"/>
  <c r="E44" i="3" s="1"/>
  <c r="D40" i="3"/>
  <c r="D41" i="3" s="1"/>
  <c r="D45" i="3" s="1"/>
  <c r="D47" i="3" s="1"/>
  <c r="F43" i="3"/>
  <c r="F34" i="3"/>
  <c r="G10" i="5" s="1"/>
  <c r="F35" i="3"/>
  <c r="F37" i="3"/>
  <c r="G33" i="3"/>
  <c r="G9" i="5"/>
  <c r="G12" i="5" s="1"/>
  <c r="C40" i="3"/>
  <c r="C41" i="3" s="1"/>
  <c r="C45" i="3" s="1"/>
  <c r="E36" i="3" l="1"/>
  <c r="E38" i="3"/>
  <c r="C47" i="3"/>
  <c r="E40" i="3"/>
  <c r="E41" i="3"/>
  <c r="E45" i="3" s="1"/>
  <c r="E47" i="3" s="1"/>
  <c r="G37" i="3"/>
  <c r="C16" i="4"/>
  <c r="C28" i="4" s="1"/>
  <c r="H9" i="5"/>
  <c r="H12" i="5" s="1"/>
  <c r="G43" i="3"/>
  <c r="G34" i="3"/>
  <c r="H10" i="5" s="1"/>
  <c r="F38" i="3"/>
  <c r="F36" i="3"/>
  <c r="F39" i="3"/>
  <c r="G13" i="5"/>
  <c r="G14" i="5" s="1"/>
  <c r="G15" i="5"/>
  <c r="G16" i="5" s="1"/>
  <c r="G18" i="5" l="1"/>
  <c r="G19" i="5" s="1"/>
  <c r="F44" i="3" s="1"/>
  <c r="F40" i="3"/>
  <c r="F41" i="3" s="1"/>
  <c r="F45" i="3" s="1"/>
  <c r="G35" i="3"/>
  <c r="H15" i="5"/>
  <c r="H16" i="5" s="1"/>
  <c r="H13" i="5"/>
  <c r="H14" i="5" s="1"/>
  <c r="H18" i="5" s="1"/>
  <c r="H19" i="5" s="1"/>
  <c r="G44" i="3" s="1"/>
  <c r="F47" i="3" l="1"/>
  <c r="G38" i="3"/>
  <c r="G36" i="3"/>
  <c r="G39" i="3"/>
  <c r="C59" i="3" l="1"/>
  <c r="C60" i="3" s="1"/>
  <c r="C61" i="3" s="1"/>
  <c r="G40" i="3"/>
  <c r="G41" i="3" s="1"/>
  <c r="G45" i="3" s="1"/>
  <c r="G47" i="3" l="1"/>
  <c r="C50" i="3" s="1"/>
  <c r="C51" i="3"/>
  <c r="C52" i="3" s="1"/>
  <c r="C8" i="7"/>
  <c r="E23" i="7"/>
  <c r="G7" i="7"/>
  <c r="I19" i="7"/>
  <c r="C19" i="7"/>
  <c r="F11" i="7"/>
  <c r="H20" i="7"/>
  <c r="G9" i="7"/>
  <c r="E22" i="7"/>
  <c r="H18" i="7"/>
  <c r="C9" i="7"/>
  <c r="D9" i="7"/>
  <c r="G19" i="7"/>
  <c r="I12" i="7"/>
  <c r="E12" i="7"/>
  <c r="I21" i="7"/>
  <c r="I7" i="7"/>
  <c r="E21" i="7"/>
  <c r="D7" i="7"/>
  <c r="H21" i="7"/>
  <c r="H8" i="7"/>
  <c r="C24" i="7"/>
  <c r="E11" i="7"/>
  <c r="F24" i="7"/>
  <c r="I18" i="7"/>
  <c r="D10" i="7"/>
  <c r="H10" i="7"/>
  <c r="F8" i="7"/>
  <c r="D12" i="7"/>
  <c r="D24" i="7"/>
  <c r="I23" i="7"/>
  <c r="D11" i="7"/>
  <c r="F23" i="7"/>
  <c r="E19" i="7"/>
  <c r="H9" i="7"/>
  <c r="D20" i="7"/>
  <c r="C20" i="7"/>
  <c r="D22" i="7"/>
  <c r="I8" i="7"/>
  <c r="H23" i="7"/>
  <c r="G8" i="7"/>
  <c r="D19" i="7"/>
  <c r="D13" i="7"/>
  <c r="G24" i="7"/>
  <c r="G22" i="7"/>
  <c r="C7" i="7"/>
  <c r="H13" i="7"/>
  <c r="C22" i="7"/>
  <c r="G21" i="7"/>
  <c r="I9" i="7"/>
  <c r="E20" i="7"/>
  <c r="D18" i="7"/>
  <c r="F21" i="7"/>
  <c r="E9" i="7"/>
  <c r="F10" i="7"/>
  <c r="H24" i="7"/>
  <c r="C18" i="7"/>
  <c r="H7" i="7"/>
  <c r="F12" i="7"/>
  <c r="F20" i="7"/>
  <c r="F9" i="7"/>
  <c r="G11" i="7"/>
  <c r="D23" i="7"/>
  <c r="I24" i="7"/>
  <c r="G18" i="7"/>
  <c r="C12" i="7"/>
  <c r="C13" i="7"/>
  <c r="G13" i="7"/>
  <c r="F22" i="7"/>
  <c r="E7" i="7"/>
  <c r="F19" i="7"/>
  <c r="H12" i="7"/>
  <c r="G20" i="7"/>
  <c r="G12" i="7"/>
  <c r="H11" i="7"/>
  <c r="D21" i="7"/>
  <c r="H19" i="7"/>
  <c r="I20" i="7"/>
  <c r="F7" i="7"/>
  <c r="C23" i="7"/>
  <c r="G23" i="7"/>
  <c r="C21" i="7"/>
  <c r="C11" i="7"/>
  <c r="F18" i="7"/>
  <c r="E24" i="7"/>
  <c r="I13" i="7"/>
  <c r="D8" i="7"/>
  <c r="I10" i="7"/>
  <c r="I22" i="7"/>
  <c r="E13" i="7"/>
  <c r="I11" i="7"/>
  <c r="H22" i="7"/>
  <c r="G10" i="7"/>
  <c r="E8" i="7"/>
  <c r="C10" i="7"/>
  <c r="E10" i="7"/>
  <c r="F13" i="7"/>
  <c r="E18" i="7"/>
  <c r="C58" i="3" l="1"/>
  <c r="C62" i="3" s="1"/>
  <c r="C53" i="3"/>
  <c r="C17" i="4" l="1"/>
  <c r="C54" i="3"/>
  <c r="C55" i="3" s="1"/>
  <c r="C16" i="1" s="1"/>
  <c r="C63" i="3"/>
  <c r="C64" i="3" s="1"/>
  <c r="C17" i="1"/>
  <c r="D17" i="1" s="1"/>
  <c r="C19" i="4" l="1"/>
  <c r="C20" i="4" s="1"/>
  <c r="B79" i="4" s="1"/>
  <c r="C10" i="1"/>
  <c r="D16" i="1"/>
  <c r="C21" i="1"/>
  <c r="B31" i="1" l="1"/>
  <c r="C12" i="1"/>
  <c r="C11" i="1" s="1"/>
  <c r="B26" i="1" l="1"/>
</calcChain>
</file>

<file path=xl/sharedStrings.xml><?xml version="1.0" encoding="utf-8"?>
<sst xmlns="http://schemas.openxmlformats.org/spreadsheetml/2006/main" count="442" uniqueCount="358">
  <si>
    <t>DISCLAIMER: This is a sample analysis for demonstration purposes only. It does not constitute investment advice.</t>
  </si>
  <si>
    <t>武田薬品工業 (4502.T)</t>
  </si>
  <si>
    <t>Equity Research Report</t>
  </si>
  <si>
    <t>Company</t>
  </si>
  <si>
    <t>武田薬品工業</t>
  </si>
  <si>
    <t>Ticker</t>
  </si>
  <si>
    <t>4502.T (TSE Prime)</t>
  </si>
  <si>
    <t>Sector</t>
  </si>
  <si>
    <t>医薬品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</si>
  <si>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</si>
  <si>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</si>
  <si>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</si>
  <si>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</si>
  <si>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</si>
  <si>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</si>
  <si>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</si>
  <si>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</si>
  <si>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</si>
  <si>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</si>
  <si>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</si>
  <si>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</si>
  <si>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不算入；PER法は赤字（純利益≦0）のため除外（EV&lt;ネットデットで株式価値が負になる手法は INVALID として平均から除外）</t>
  </si>
  <si>
    <t>DCF Valuation Range (PGM - Exit)</t>
  </si>
  <si>
    <t>Key Investment Thesis</t>
  </si>
  <si>
    <t>Key Risks</t>
  </si>
  <si>
    <t>武田薬品工業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</si>
  <si>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</si>
  <si>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</si>
  <si>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</si>
  <si>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</si>
  <si>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</si>
  <si>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</si>
  <si>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</si>
  <si>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</si>
  <si>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</si>
  <si>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</si>
  <si>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</si>
  <si>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</si>
  <si>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</si>
  <si>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</si>
  <si>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</si>
  <si>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</si>
  <si>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</si>
  <si>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</si>
  <si>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</si>
  <si>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</si>
  <si>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</si>
  <si>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</si>
  <si>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</si>
  <si>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</si>
  <si>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</si>
  <si>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</si>
  <si>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</si>
  <si>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</si>
  <si>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武田薬品工業</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</si>
  <si>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</si>
  <si>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</si>
  <si>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</si>
  <si>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</si>
  <si>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</si>
  <si>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</si>
  <si>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</si>
  <si>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</si>
  <si>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</si>
  <si>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</si>
  <si>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</si>
  <si>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</si>
  <si>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</si>
  <si>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 (fallback)</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</si>
  <si>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</si>
  <si>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</si>
  <si>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</si>
  <si>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</si>
  <si>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</si>
  <si>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</si>
  <si>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</si>
  <si>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</si>
  <si>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</si>
  <si>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</si>
  <si>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</si>
  <si>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</si>
  <si>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</si>
  <si>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</si>
  <si>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</si>
  <si>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</si>
  <si>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</si>
  <si>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</si>
  <si>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</si>
  <si>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</si>
  <si>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</si>
  <si>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</si>
  <si>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</si>
  <si>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</si>
  <si>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</si>
  <si>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</si>
  <si>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</si>
  <si>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</si>
  <si>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</si>
  <si>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</si>
  <si>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</si>
  <si>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</si>
  <si>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</si>
  <si>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</si>
  <si>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</si>
  <si>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</si>
  <si>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</si>
  <si>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</si>
  <si>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</si>
  <si>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</si>
  <si>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</si>
  <si>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</si>
  <si>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</si>
  <si>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</si>
  <si>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</si>
  <si>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</si>
  <si>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</si>
  <si>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</si>
  <si>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</si>
  <si>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武田薬品工業 (4502.T)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</si>
  <si>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</si>
  <si>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</si>
  <si>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</si>
  <si>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</si>
  <si>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</si>
  <si>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</si>
  <si>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</si>
  <si>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</si>
  <si>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</si>
  <si>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(FY2023 actual)</t>
  </si>
  <si>
    <t>Terminal-year Revenue, active scenario (JPY mn)</t>
  </si>
  <si>
    <t>Base-case DCF Enterprise Value, PGM (JPY mn)</t>
  </si>
  <si>
    <t>Cycle-peak Operating Margin (FY2023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</si>
  <si>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</si>
  <si>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</si>
  <si>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</si>
  <si>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</si>
  <si>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</si>
  <si>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</si>
  <si>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FY2023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</si>
  <si>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</si>
  <si>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</si>
  <si>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</si>
  <si>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</si>
  <si>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</si>
  <si>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</si>
  <si>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</si>
  <si>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</si>
  <si>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</si>
  <si>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</si>
  <si>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</si>
  <si>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</si>
  <si>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</si>
  <si>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</si>
  <si>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</si>
  <si>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FY2023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</si>
  <si>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</si>
  <si>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</si>
  <si>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</si>
  <si>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</si>
  <si>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</si>
  <si>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</si>
  <si>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(FY2023)</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</si>
  <si>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</si>
  <si>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</si>
  <si>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</si>
  <si>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</si>
  <si>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</si>
  <si>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</si>
  <si>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</si>
  <si>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</si>
  <si>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武田薬品工業</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</si>
  <si>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</si>
  <si>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</si>
  <si>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</si>
  <si>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</si>
  <si>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</si>
  <si>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</si>
  <si>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</si>
  <si>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</si>
  <si>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</si>
  <si>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</si>
  <si>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</si>
  <si>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</si>
  <si>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</si>
  <si>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</si>
  <si>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</si>
  <si>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</si>
  <si>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</si>
  <si>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</si>
  <si>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</si>
  <si>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</si>
  <si>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</si>
  <si>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</si>
  <si>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</si>
  <si>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</si>
  <si>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</si>
  <si>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</si>
  <si>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</si>
  <si>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</si>
  <si>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</si>
  <si>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</si>
  <si>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</si>
  <si>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</si>
  <si>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</si>
  <si>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</si>
  <si>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Takeda Pharmaceutical Company Limited</t>
  </si>
  <si>
    <t>4502.T</t>
  </si>
  <si>
    <t>N/A</t>
  </si>
  <si>
    <t>Daiichi Sankyo Company, Limited</t>
  </si>
  <si>
    <t>4568.T</t>
  </si>
  <si>
    <t>Astellas Pharma Inc.</t>
  </si>
  <si>
    <t>4503.T</t>
  </si>
  <si>
    <t>Otsuka Holdings Co., Ltd.</t>
  </si>
  <si>
    <t>4578.T</t>
  </si>
  <si>
    <t>Shionogi &amp; Co., Ltd.</t>
  </si>
  <si>
    <t>4507.T</t>
  </si>
  <si>
    <t>Statistics</t>
  </si>
  <si>
    <t>25th Percentile</t>
  </si>
  <si>
    <t>Median (50th)</t>
  </si>
  <si>
    <t>75th Percentile</t>
  </si>
  <si>
    <t>Implied Valuation for 武田薬品工業</t>
  </si>
  <si>
    <t>武田薬品工業 Financials</t>
  </si>
  <si>
    <t>EBITDA (JPY mn)</t>
  </si>
  <si>
    <t>Net Income (JPY mn)</t>
  </si>
  <si>
    <t>Shares Outstanding</t>
  </si>
  <si>
    <t>Implied Share Price (Median Multiples)</t>
  </si>
  <si>
    <t>Via EV/EBITDA (Median)</t>
  </si>
  <si>
    <t>Via PER (Median)</t>
  </si>
  <si>
    <t>Net income &lt;= 0 — PER not meaningful</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</si>
  <si>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</si>
  <si>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</si>
  <si>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</si>
  <si>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</si>
  <si>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</si>
  <si>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</si>
  <si>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</si>
  <si>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</si>
  <si>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</si>
  <si>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武田薬品工業</t>
  </si>
  <si>
    <t>日付</t>
  </si>
  <si>
    <t>セル</t>
  </si>
  <si>
    <t>変更内容</t>
  </si>
  <si>
    <t>理由</t>
  </si>
  <si>
    <t>元の値</t>
  </si>
  <si>
    <t>状態</t>
  </si>
  <si>
    <t>2026-09-06</t>
  </si>
  <si>
    <t>-</t>
  </si>
  <si>
    <t>Generated by pipeline on 2026-09-06 18:58, template rev 63983ab</t>
  </si>
  <si>
    <t>初期生成（手修正なし）</t>
  </si>
  <si>
    <t>generated</t>
  </si>
  <si>
    <t>DCF Model!C11</t>
  </si>
  <si>
    <t>After-tax Cost of Debt = 2.36% (実績ベース)</t>
  </si>
  <si>
    <t>実績Kd = 支払利息148,123 ÷ 平均有利子負債4,698,552(期首4,515,265/期末4,881,838、debt_beginning/debt_ending) = 税引前3.15% × (1−25.0%) = 2.36%。【マージナルコスト注記】これは既存借入の実績平均コストであり、新規調達の限界コストではない。テンプレ既定(税引前2.8%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</si>
  <si>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</si>
  <si>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</si>
  <si>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</si>
  <si>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0.527（採用値）</t>
  </si>
  <si>
    <t>実測β(raw) = 0.295 → Blume調整 0.67×raw + 0.33×1.00 = 0.527 → 採用 0.527。クランプ域 [0.3, 2.0] の内側。置換なし。回帰βは平均回帰するため Blume 調整を既定とする（2026-09-05 バッチで85件中57件が旧下限 0.60 に張り付き、両裾の歪みが実証された）。</t>
  </si>
  <si>
    <t>実測 0.295</t>
  </si>
  <si>
    <t>確定</t>
  </si>
  <si>
    <t>Pipeline Metadata (do not edit — read by scripts/validate_output.py)</t>
  </si>
  <si>
    <t>key</t>
  </si>
  <si>
    <t>value</t>
  </si>
  <si>
    <t>auto_log_entries</t>
  </si>
  <si>
    <t>2</t>
  </si>
  <si>
    <t>beta_adopted_c8</t>
  </si>
  <si>
    <t>0.5274</t>
  </si>
  <si>
    <t>beta_basis</t>
  </si>
  <si>
    <t>Blume: 0.67 x 0.295 + 0.33 x 1.00 = 0.527</t>
  </si>
  <si>
    <t>beta_blume_adjusted</t>
  </si>
  <si>
    <t>beta_clamped</t>
  </si>
  <si>
    <t>no</t>
  </si>
  <si>
    <t>beta_raw</t>
  </si>
  <si>
    <t>0.2947</t>
  </si>
  <si>
    <t>capex_pct_basis</t>
  </si>
  <si>
    <t>explicit_override</t>
  </si>
  <si>
    <t>capex_pct_c5</t>
  </si>
  <si>
    <t>0.092</t>
  </si>
  <si>
    <t>capex_pct_hist3yr</t>
  </si>
  <si>
    <t>0.095879</t>
  </si>
  <si>
    <t>company_name</t>
  </si>
  <si>
    <t>comps_asof</t>
  </si>
  <si>
    <t>comps_da_missing</t>
  </si>
  <si>
    <t>none</t>
  </si>
  <si>
    <t>comps_ebitda_excluded</t>
  </si>
  <si>
    <t>comps_ev_ebitda_invalid</t>
  </si>
  <si>
    <t>comps_ev_ebitda_rows</t>
  </si>
  <si>
    <t>6,7,8,9</t>
  </si>
  <si>
    <t>comps_impl_mult_row</t>
  </si>
  <si>
    <t>27</t>
  </si>
  <si>
    <t>comps_impl_per_row</t>
  </si>
  <si>
    <t>28</t>
  </si>
  <si>
    <t>comps_peer_rows</t>
  </si>
  <si>
    <t>comps_per_excluded</t>
  </si>
  <si>
    <t>yes</t>
  </si>
  <si>
    <t>comps_stale_excluded</t>
  </si>
  <si>
    <t>comps_stat_median_row</t>
  </si>
  <si>
    <t>16</t>
  </si>
  <si>
    <t>comps_subject_row</t>
  </si>
  <si>
    <t>5</t>
  </si>
  <si>
    <t>core_ebitda</t>
  </si>
  <si>
    <t>1185578</t>
  </si>
  <si>
    <t>core_net_income</t>
  </si>
  <si>
    <t>-152390.0</t>
  </si>
  <si>
    <t>cost_of_debt_actual</t>
  </si>
  <si>
    <t>interest 148,123 (expense 148,123 + fees 0) / avg debt 4,698,552 (debt_beginning/debt_ending) = 0.031525 pre-tax -&gt; 0.023600 after-tax</t>
  </si>
  <si>
    <t>cost_of_debt_at_c11</t>
  </si>
  <si>
    <t>0.0236</t>
  </si>
  <si>
    <t>cost_of_debt_avg_debt</t>
  </si>
  <si>
    <t>4698551.5</t>
  </si>
  <si>
    <t>cost_of_debt_basis</t>
  </si>
  <si>
    <t>actual</t>
  </si>
  <si>
    <t>cost_of_debt_interest</t>
  </si>
  <si>
    <t>148123.0</t>
  </si>
  <si>
    <t>cost_of_debt_pretax</t>
  </si>
  <si>
    <t>0.031525247727943385</t>
  </si>
  <si>
    <t>da_pct_basis</t>
  </si>
  <si>
    <t>da_pct_c18</t>
  </si>
  <si>
    <t>0.096</t>
  </si>
  <si>
    <t>da_pct_hist3yr</t>
  </si>
  <si>
    <t>0.165659</t>
  </si>
  <si>
    <t>fs_year_coverage</t>
  </si>
  <si>
    <t>OCF 4/4, Cash 4/4, Debt 4/4</t>
  </si>
  <si>
    <t>fs_year_map</t>
  </si>
  <si>
    <t>FY2023&lt;-FY2023[ocf+cash+debt]; FY2024&lt;-FY2024[ocf+cash+debt]; FY2025&lt;-FY2025[ocf+cash+debt]; FY2026&lt;-FY2026[ocf+cash+debt]</t>
  </si>
  <si>
    <t>fs_year_sources</t>
  </si>
  <si>
    <t>overrides: hist_capex, hist_depreciation | EDINET year-key match: hist_ocf, hist_cash, hist_debt</t>
  </si>
  <si>
    <t>fx_sensitivity</t>
  </si>
  <si>
    <t>not enabled</t>
  </si>
  <si>
    <t>generated_at</t>
  </si>
  <si>
    <t>2026-09-06 18:58:10</t>
  </si>
  <si>
    <t>guidance_note</t>
  </si>
  <si>
    <t>TDnet 決算短信 via screener guidance table: FY2027 disclosed 2026-07-30 (net_income=166,000mn, operating_income=420,000mn, revenue=4,640,000mn)</t>
  </si>
  <si>
    <t>guidance_source</t>
  </si>
  <si>
    <t>tdnet_screener_db</t>
  </si>
  <si>
    <t>latest_operating_income</t>
  </si>
  <si>
    <t>464451</t>
  </si>
  <si>
    <t>ltm_revenue_c20</t>
  </si>
  <si>
    <t>4618935.0</t>
  </si>
  <si>
    <t>ltm_revenue_components</t>
  </si>
  <si>
    <t>fy_key=FY2026; fy_revenue_mn=4505720.0; prior_cum_revenue_mn=1106685.0; current_cum_revenue_mn=1219900.0; quarters_used=1; latest_quarter_end=2026-06-30; result_mn=4618935.0</t>
  </si>
  <si>
    <t>ltm_revenue_source</t>
  </si>
  <si>
    <t>hybrid LTM (FY - prior cum + current cum)</t>
  </si>
  <si>
    <t>market_data_source</t>
  </si>
  <si>
    <t>yfinance; from overrides: beta</t>
  </si>
  <si>
    <t>narrative_tokens_used</t>
  </si>
  <si>
    <t>pb,per,price,target_price,upside_pct,wacc</t>
  </si>
  <si>
    <t>net_debt_source</t>
  </si>
  <si>
    <t>EDINET net_debt</t>
  </si>
  <si>
    <t>reverse_dcf_sheet</t>
  </si>
  <si>
    <t>op0=464,451(FY2026) peak=587,812(FY2023) peak_opm=0.1460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</si>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</sst>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0" fontId="5" fillId="0" borderId="6" xfId="0" applyFont="1" applyBorder="1" applyAlignment="1">
      <alignment horizontal="right"/>
    </xf>
    <xf numFmtId="177" fontId="5" fillId="0" borderId="6" xfId="0" applyNumberFormat="1" applyFont="1" applyBorder="1"/>
    <xf numFmtId="0" fontId="5" fillId="0" borderId="4" xfId="0" applyFont="1" applyBorder="1" applyAlignment="1">
      <alignment horizontal="right"/>
    </xf>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7" t="s">
        <v>0</v>
      </c>
      <c r="C1" s="46"/>
      <c r="D1" s="46"/>
      <c r="E1" s="46"/>
    </row>
    <row r="3" spans="2:5" ht="18" x14ac:dyDescent="0.4">
      <c r="B3" s="45" t="s">
        <v>1</v>
      </c>
      <c r="C3" s="46"/>
      <c r="D3" s="46"/>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5753</v>
      </c>
    </row>
    <row r="10" spans="2:5" ht="14" x14ac:dyDescent="0.3">
      <c r="B10" s="4" t="s">
        <v>10</v>
      </c>
      <c r="C10" s="5">
        <f>IF(COUNT(C16:C17)=0,"N/A",ROUND(AVERAGE(C16:C17),0))</f>
        <v>3391</v>
      </c>
    </row>
    <row r="11" spans="2:5" ht="14" x14ac:dyDescent="0.3">
      <c r="B11" s="4" t="s">
        <v>11</v>
      </c>
      <c r="C11" s="6" t="str">
        <f>IF(NOT(ISNUMBER(C12)),"N/A",IF(C12&gt;0.15,"BUY",IF(C12&gt;0.05,"HOLD","SELL")))</f>
        <v>SELL</v>
      </c>
    </row>
    <row r="12" spans="2:5" ht="14" x14ac:dyDescent="0.3">
      <c r="B12" s="4" t="s">
        <v>12</v>
      </c>
      <c r="C12" s="7">
        <f>IF(ISNUMBER(C10),(C10-C9)/C9,"N/A")</f>
        <v>-0.41056839909612375</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2591</v>
      </c>
      <c r="D16" s="7">
        <f>IF(ISNUMBER(C16),(C16-C9)/C9,"N/A")</f>
        <v>-0.54962628193985752</v>
      </c>
    </row>
    <row r="17" spans="2:5" ht="13.5" x14ac:dyDescent="0.25">
      <c r="B17" t="s">
        <v>18</v>
      </c>
      <c r="C17" s="11">
        <f>IF('DCF Model'!C62&lt;'DCF Model'!C16,"INVALID (EV &lt; net debt)",'DCF Model'!C64)</f>
        <v>4191</v>
      </c>
      <c r="D17" s="7">
        <f>IF(ISNUMBER(C17),(C17-C9)/C9,"N/A")</f>
        <v>-0.27151051625239003</v>
      </c>
    </row>
    <row r="18" spans="2:5" ht="13.5" x14ac:dyDescent="0.25">
      <c r="B18" t="s">
        <v>19</v>
      </c>
      <c r="C18" s="11">
        <f>'Comps Analysis'!C27</f>
        <v>5684</v>
      </c>
      <c r="D18" s="7">
        <f>IF(ISNUMBER(C18),(C18-C9)/C9,"N/A")</f>
        <v>-1.1993742395272032E-2</v>
      </c>
    </row>
    <row r="19" spans="2:5" ht="13.5" x14ac:dyDescent="0.25">
      <c r="B19" t="s">
        <v>20</v>
      </c>
      <c r="C19" s="11" t="str">
        <f>'Comps Analysis'!C28</f>
        <v>N/A</v>
      </c>
      <c r="D19" s="7" t="str">
        <f>IF(ISNUMBER(C19),(C19-C9)/C9,"N/A")</f>
        <v>N/A</v>
      </c>
    </row>
    <row r="20" spans="2:5" ht="14" x14ac:dyDescent="0.3">
      <c r="B20" s="47" t="s">
        <v>21</v>
      </c>
      <c r="C20" s="46"/>
      <c r="D20" s="46"/>
      <c r="E20" s="46"/>
    </row>
    <row r="21" spans="2:5" ht="14" x14ac:dyDescent="0.3">
      <c r="B21" s="4" t="s">
        <v>22</v>
      </c>
      <c r="C21" s="6" t="str">
        <f>IF(COUNT(C16:C17)=0,"N/A",MIN(C16:C17)&amp;" - "&amp;MAX(C16:C17))</f>
        <v>2591 - 4191</v>
      </c>
    </row>
    <row r="23" spans="2:5" ht="14" x14ac:dyDescent="0.3">
      <c r="B23" s="8" t="s">
        <v>23</v>
      </c>
      <c r="C23" s="9"/>
      <c r="D23" s="9"/>
    </row>
    <row r="24" spans="2:5" x14ac:dyDescent="0.2">
      <c r="B24" t="str">
        <f>"Takeda is working through the loss of exclusivity on Vyvanse while a late-stage pipeline reaches the market, and the operating margin has stabilised near its four-year median; the shares trade at "&amp;TEXT('Comps Analysis'!L5,"0.0""x""")&amp;" earnings and "&amp;TEXT('Comps Analysis'!M5,"0.00""x""")&amp;" book."</f>
        <v>Takeda is working through the loss of exclusivity on Vyvanse while a late-stage pipeline reaches the market, and the operating margin has stabilised near its four-year median; the shares trade at N/A earnings and 1.24x book.</v>
      </c>
    </row>
    <row r="25" spans="2:5" x14ac:dyDescent="0.2">
      <c r="B25" t="str">
        <f>"Reported depreciation and amortisation runs at nearly twice capital expenditure because of Shire acquisition intangibles, so operating cash flow is far above reported earnings and the "&amp;TEXT('DCF Model'!C26,"0.00%")&amp;" discounting works off cash rather than accounting profit."</f>
        <v>Reported depreciation and amortisation runs at nearly twice capital expenditure because of Shire acquisition intangibles, so operating cash flow is far above reported earnings and the 5.75% discounting works off cash rather than accounting profit.</v>
      </c>
    </row>
    <row r="26" spans="2:5" x14ac:dyDescent="0.2">
      <c r="B26" t="str">
        <f>"At "&amp;TEXT(C9,"#,##0")&amp;" the market is valuing the company on a net loss caused by impairments; on operating economics the base case supports "&amp;TEXT(C10,"#,##0")&amp;", or "&amp;TEXT(C12,"+0.0%;-0.0%")&amp;" from here."</f>
        <v>At 5,753 the market is valuing the company on a net loss caused by impairments; on operating economics the base case supports 3,391, or -41.1% from here.</v>
      </c>
    </row>
    <row r="28" spans="2:5" ht="14" x14ac:dyDescent="0.3">
      <c r="B28" s="8" t="s">
        <v>24</v>
      </c>
      <c r="C28" s="9"/>
      <c r="D28" s="9"/>
    </row>
    <row r="29" spans="2:5" x14ac:dyDescent="0.2">
      <c r="B29" t="str">
        <f>"The company reported a net loss in the latest year on impairments, so the "&amp;TEXT('Comps Analysis'!L5,"0.0""x""")&amp;" the market pays is measured against an earnings base that is not comparable across years and may not have stopped falling."</f>
        <v>The company reported a net loss in the latest year on impairments, so the N/A the market pays is measured against an earnings base that is not comparable across years and may not have stopped falling.</v>
      </c>
    </row>
    <row r="30" spans="2:5" x14ac:dyDescent="0.2">
      <c r="B30" t="str">
        <f>"Net debt is large in absolute terms and dollar-denominated, so a refinancing at wider spreads raises the realised cost of debt embedded in "&amp;TEXT('DCF Model'!C26,"0.00%")&amp;"."</f>
        <v>Net debt is large in absolute terms and dollar-denominated, so a refinancing at wider spreads raises the realised cost of debt embedded in 5.75%.</v>
      </c>
    </row>
    <row r="31" spans="2:5" x14ac:dyDescent="0.2">
      <c r="B31" t="str">
        <f>"The base case assumes Shire intangible amortisation runs off over the projection window; that schedule is an estimate rather than a disclosed figure, and a slower run-off lowers the free cash flow behind "&amp;TEXT(C10,"#,##0")&amp;"."</f>
        <v>The base case assumes Shire intangible amortisation runs off over the projection window; that schedule is an estimate rather than a disclosed figure, and a slower run-off lowers the free cash flow behind 3,391.</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25</v>
      </c>
    </row>
    <row r="4" spans="2:6" ht="14" x14ac:dyDescent="0.3">
      <c r="C4" s="10" t="s">
        <v>26</v>
      </c>
      <c r="D4" s="10" t="s">
        <v>27</v>
      </c>
      <c r="E4" s="10" t="s">
        <v>28</v>
      </c>
      <c r="F4" s="10" t="s">
        <v>29</v>
      </c>
    </row>
    <row r="5" spans="2:6" ht="14" x14ac:dyDescent="0.3">
      <c r="B5" s="3" t="s">
        <v>30</v>
      </c>
    </row>
    <row r="6" spans="2:6" ht="14" x14ac:dyDescent="0.3">
      <c r="B6" s="4" t="s">
        <v>31</v>
      </c>
      <c r="C6" s="5">
        <v>4027478</v>
      </c>
      <c r="D6" s="5">
        <v>4263762</v>
      </c>
      <c r="E6" s="5">
        <v>4581551</v>
      </c>
      <c r="F6" s="5">
        <v>4505720</v>
      </c>
    </row>
    <row r="7" spans="2:6" ht="14" x14ac:dyDescent="0.3">
      <c r="B7" s="4" t="s">
        <v>32</v>
      </c>
      <c r="C7" s="5">
        <v>1244072</v>
      </c>
      <c r="D7" s="5">
        <v>1426678</v>
      </c>
      <c r="E7" s="5">
        <v>1580217</v>
      </c>
      <c r="F7" s="5">
        <v>1571588</v>
      </c>
    </row>
    <row r="8" spans="2:6" ht="14" x14ac:dyDescent="0.3">
      <c r="B8" s="4" t="s">
        <v>33</v>
      </c>
      <c r="C8" s="5">
        <f>C6-C7</f>
        <v>2783406</v>
      </c>
      <c r="D8" s="5">
        <f>D6-D7</f>
        <v>2837084</v>
      </c>
      <c r="E8" s="5">
        <f>E6-E7</f>
        <v>3001334</v>
      </c>
      <c r="F8" s="5">
        <f>F6-F7</f>
        <v>2934132</v>
      </c>
    </row>
    <row r="9" spans="2:6" ht="13.5" x14ac:dyDescent="0.25">
      <c r="B9" t="s">
        <v>34</v>
      </c>
      <c r="C9" s="7">
        <f>C8/C6</f>
        <v>0.69110396133759144</v>
      </c>
      <c r="D9" s="7">
        <f>D8/D6</f>
        <v>0.66539455063392372</v>
      </c>
      <c r="E9" s="7">
        <f>E8/E6</f>
        <v>0.65509125621432562</v>
      </c>
      <c r="F9" s="7">
        <f>F8/F6</f>
        <v>0.65120158376463699</v>
      </c>
    </row>
    <row r="10" spans="2:6" ht="14" x14ac:dyDescent="0.3">
      <c r="B10" s="4" t="s">
        <v>35</v>
      </c>
      <c r="C10" s="5">
        <v>2195594</v>
      </c>
      <c r="D10" s="5">
        <v>2527183</v>
      </c>
      <c r="E10" s="5">
        <v>2534964</v>
      </c>
      <c r="F10" s="5">
        <v>2469681</v>
      </c>
    </row>
    <row r="11" spans="2:6" ht="14" x14ac:dyDescent="0.3">
      <c r="B11" s="4" t="s">
        <v>36</v>
      </c>
      <c r="C11" s="5">
        <v>587812</v>
      </c>
      <c r="D11" s="5">
        <v>309901</v>
      </c>
      <c r="E11" s="5">
        <v>466370</v>
      </c>
      <c r="F11" s="5">
        <v>464451</v>
      </c>
    </row>
    <row r="12" spans="2:6" ht="14" x14ac:dyDescent="0.3">
      <c r="B12" s="4" t="s">
        <v>37</v>
      </c>
      <c r="C12" s="5">
        <v>317017</v>
      </c>
      <c r="D12" s="5">
        <v>144067</v>
      </c>
      <c r="E12" s="5">
        <v>107928</v>
      </c>
      <c r="F12" s="5">
        <v>-152390</v>
      </c>
    </row>
    <row r="13" spans="2:6" ht="13.5" x14ac:dyDescent="0.25">
      <c r="B13" t="s">
        <v>38</v>
      </c>
      <c r="C13" s="7">
        <f>C11/C6</f>
        <v>0.14595039376999699</v>
      </c>
      <c r="D13" s="7">
        <f>D11/D6</f>
        <v>7.2682527777113259E-2</v>
      </c>
      <c r="E13" s="7">
        <f>E11/E6</f>
        <v>0.10179303908217981</v>
      </c>
      <c r="F13" s="7">
        <f>F11/F6</f>
        <v>0.10308030681001039</v>
      </c>
    </row>
    <row r="14" spans="2:6" ht="13.5" x14ac:dyDescent="0.25">
      <c r="B14" t="s">
        <v>39</v>
      </c>
      <c r="C14" s="7">
        <f>C12/C6</f>
        <v>7.8713527423365195E-2</v>
      </c>
      <c r="D14" s="7">
        <f>D12/D6</f>
        <v>3.3788705842399271E-2</v>
      </c>
      <c r="E14" s="7">
        <f>E12/E6</f>
        <v>2.3557087981777351E-2</v>
      </c>
      <c r="F14" s="7">
        <f>F12/F6</f>
        <v>-3.3821453618955458E-2</v>
      </c>
    </row>
    <row r="15" spans="2:6" ht="13.5" x14ac:dyDescent="0.25">
      <c r="B15" t="s">
        <v>40</v>
      </c>
      <c r="C15" t="s">
        <v>41</v>
      </c>
      <c r="D15" s="7">
        <f>(D6-C6)/C6</f>
        <v>5.8667980309265504E-2</v>
      </c>
      <c r="E15" s="7">
        <f>(E6-D6)/D6</f>
        <v>7.4532537228860329E-2</v>
      </c>
      <c r="F15" s="7">
        <f>(F6-E6)/E6</f>
        <v>-1.6551381835539974E-2</v>
      </c>
    </row>
    <row r="16" spans="2:6" ht="13.5" x14ac:dyDescent="0.25">
      <c r="B16" t="s">
        <v>42</v>
      </c>
      <c r="C16" t="s">
        <v>41</v>
      </c>
      <c r="D16" s="7">
        <f>(D11-C11)/C11</f>
        <v>-0.4727889189060448</v>
      </c>
      <c r="E16" s="7">
        <f>(E11-D11)/D11</f>
        <v>0.50489995192012938</v>
      </c>
      <c r="F16" s="7">
        <f>(F11-E11)/E11</f>
        <v>-4.1147586680103784E-3</v>
      </c>
    </row>
    <row r="18" spans="2:6" ht="14" x14ac:dyDescent="0.3">
      <c r="B18" s="3" t="s">
        <v>43</v>
      </c>
    </row>
    <row r="19" spans="2:6" ht="14" x14ac:dyDescent="0.3">
      <c r="B19" s="4" t="s">
        <v>44</v>
      </c>
      <c r="C19" s="5">
        <v>977156</v>
      </c>
      <c r="D19" s="5">
        <v>716344</v>
      </c>
      <c r="E19" s="5">
        <v>1057182</v>
      </c>
      <c r="F19" s="5">
        <v>1041431</v>
      </c>
    </row>
    <row r="20" spans="2:6" ht="14" x14ac:dyDescent="0.3">
      <c r="B20" s="4" t="s">
        <v>45</v>
      </c>
      <c r="C20" s="5">
        <v>633689</v>
      </c>
      <c r="D20" s="5">
        <v>480730</v>
      </c>
      <c r="E20" s="5">
        <v>379625</v>
      </c>
      <c r="F20" s="5">
        <v>414659</v>
      </c>
    </row>
    <row r="21" spans="2:6" ht="14" x14ac:dyDescent="0.3">
      <c r="B21" s="4" t="s">
        <v>46</v>
      </c>
      <c r="C21" s="5">
        <f>C19-C20</f>
        <v>343467</v>
      </c>
      <c r="D21" s="5">
        <f>D19-D20</f>
        <v>235614</v>
      </c>
      <c r="E21" s="5">
        <f>E19-E20</f>
        <v>677557</v>
      </c>
      <c r="F21" s="5">
        <f>F19-F20</f>
        <v>626772</v>
      </c>
    </row>
    <row r="22" spans="2:6" ht="13.5" x14ac:dyDescent="0.25">
      <c r="B22" t="s">
        <v>47</v>
      </c>
      <c r="C22" s="7">
        <f>C21/C6</f>
        <v>8.5280912769728351E-2</v>
      </c>
      <c r="D22" s="7">
        <f>D21/D6</f>
        <v>5.5259650984271637E-2</v>
      </c>
      <c r="E22" s="7">
        <f>E21/E6</f>
        <v>0.14788812784142313</v>
      </c>
      <c r="F22" s="7">
        <f>F21/F6</f>
        <v>0.13910584767806256</v>
      </c>
    </row>
    <row r="23" spans="2:6" ht="13.5" x14ac:dyDescent="0.25">
      <c r="B23" t="s">
        <v>48</v>
      </c>
      <c r="C23" s="7">
        <f>C20/C6</f>
        <v>0.15734139329873434</v>
      </c>
      <c r="D23" s="7">
        <f>D20/D6</f>
        <v>0.11274785037251141</v>
      </c>
      <c r="E23" s="7">
        <f>E20/E6</f>
        <v>8.2859494524889055E-2</v>
      </c>
      <c r="F23" s="7">
        <f>F20/F6</f>
        <v>9.2029464769226674E-2</v>
      </c>
    </row>
    <row r="25" spans="2:6" ht="14" x14ac:dyDescent="0.3">
      <c r="B25" s="3" t="s">
        <v>49</v>
      </c>
    </row>
    <row r="26" spans="2:6" ht="14" x14ac:dyDescent="0.3">
      <c r="B26" s="4" t="s">
        <v>50</v>
      </c>
      <c r="C26" s="5">
        <v>533530</v>
      </c>
      <c r="D26" s="5">
        <v>457800</v>
      </c>
      <c r="E26" s="5">
        <v>385113</v>
      </c>
      <c r="F26" s="5">
        <v>595054</v>
      </c>
    </row>
    <row r="27" spans="2:6" ht="14" x14ac:dyDescent="0.3">
      <c r="B27" s="4" t="s">
        <v>51</v>
      </c>
      <c r="C27" s="5">
        <v>4382341</v>
      </c>
      <c r="D27" s="5">
        <v>4843752</v>
      </c>
      <c r="E27" s="5">
        <v>4515265</v>
      </c>
      <c r="F27" s="5">
        <v>4881838</v>
      </c>
    </row>
    <row r="28" spans="2:6" ht="14" x14ac:dyDescent="0.3">
      <c r="B28" s="4" t="s">
        <v>52</v>
      </c>
      <c r="C28" s="5">
        <f>C27-C26</f>
        <v>3848811</v>
      </c>
      <c r="D28" s="5">
        <f>D27-D26</f>
        <v>4385952</v>
      </c>
      <c r="E28" s="5">
        <f>E27-E26</f>
        <v>4130152</v>
      </c>
      <c r="F28" s="5">
        <f>F27-F26</f>
        <v>4286784</v>
      </c>
    </row>
    <row r="30" spans="2:6" ht="14" x14ac:dyDescent="0.3">
      <c r="B30" s="1" t="s">
        <v>53</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54</v>
      </c>
    </row>
    <row r="4" spans="2:7" ht="14" x14ac:dyDescent="0.3">
      <c r="B4" s="8" t="s">
        <v>55</v>
      </c>
      <c r="C4" s="9"/>
      <c r="D4" s="9"/>
      <c r="E4" s="9"/>
      <c r="F4" s="9"/>
      <c r="G4" s="9"/>
    </row>
    <row r="5" spans="2:7" ht="14" x14ac:dyDescent="0.3">
      <c r="B5" s="4" t="s">
        <v>48</v>
      </c>
      <c r="C5" s="7">
        <v>9.1999999999999998E-2</v>
      </c>
    </row>
    <row r="6" spans="2:7" ht="14" x14ac:dyDescent="0.3">
      <c r="B6" s="4" t="s">
        <v>56</v>
      </c>
      <c r="C6" s="7">
        <v>0.25</v>
      </c>
    </row>
    <row r="7" spans="2:7" ht="14" x14ac:dyDescent="0.3">
      <c r="B7" s="4" t="s">
        <v>57</v>
      </c>
      <c r="C7" s="7">
        <v>2.9700000000000001E-2</v>
      </c>
    </row>
    <row r="8" spans="2:7" ht="14" x14ac:dyDescent="0.3">
      <c r="B8" s="4" t="s">
        <v>58</v>
      </c>
      <c r="C8" s="12">
        <v>0.52739999999999998</v>
      </c>
    </row>
    <row r="9" spans="2:7" ht="14" x14ac:dyDescent="0.3">
      <c r="B9" s="4" t="s">
        <v>59</v>
      </c>
      <c r="C9" s="7">
        <v>6.5000000000000002E-2</v>
      </c>
    </row>
    <row r="10" spans="2:7" ht="14" x14ac:dyDescent="0.3">
      <c r="B10" s="4" t="s">
        <v>60</v>
      </c>
      <c r="C10" s="7">
        <v>0.01</v>
      </c>
    </row>
    <row r="11" spans="2:7" ht="14" x14ac:dyDescent="0.3">
      <c r="B11" s="4" t="s">
        <v>61</v>
      </c>
      <c r="C11" s="7">
        <v>2.3599999999999999E-2</v>
      </c>
    </row>
    <row r="12" spans="2:7" ht="14" x14ac:dyDescent="0.3">
      <c r="B12" s="4" t="s">
        <v>62</v>
      </c>
      <c r="C12" s="13">
        <v>0.48759999999999998</v>
      </c>
    </row>
    <row r="13" spans="2:7" ht="14" x14ac:dyDescent="0.3">
      <c r="B13" s="4" t="s">
        <v>63</v>
      </c>
      <c r="C13" s="7">
        <v>0.01</v>
      </c>
    </row>
    <row r="14" spans="2:7" ht="14" x14ac:dyDescent="0.3">
      <c r="B14" s="4" t="s">
        <v>64</v>
      </c>
      <c r="C14" s="14">
        <v>11.4</v>
      </c>
    </row>
    <row r="15" spans="2:7" ht="14" x14ac:dyDescent="0.3">
      <c r="B15" s="4" t="s">
        <v>65</v>
      </c>
      <c r="C15" s="15">
        <v>1596751439</v>
      </c>
    </row>
    <row r="16" spans="2:7" ht="14" x14ac:dyDescent="0.3">
      <c r="B16" s="4" t="s">
        <v>66</v>
      </c>
      <c r="C16" s="5">
        <v>4478986</v>
      </c>
    </row>
    <row r="17" spans="2:7" ht="14" x14ac:dyDescent="0.3">
      <c r="B17" s="4" t="s">
        <v>67</v>
      </c>
      <c r="C17" s="5">
        <v>4505720</v>
      </c>
    </row>
    <row r="18" spans="2:7" ht="14" x14ac:dyDescent="0.3">
      <c r="B18" s="4" t="s">
        <v>68</v>
      </c>
      <c r="C18" s="7">
        <v>9.6000000000000002E-2</v>
      </c>
    </row>
    <row r="19" spans="2:7" ht="14" x14ac:dyDescent="0.3">
      <c r="B19" s="4" t="s">
        <v>69</v>
      </c>
      <c r="C19" s="12">
        <v>0.75</v>
      </c>
    </row>
    <row r="20" spans="2:7" ht="14" x14ac:dyDescent="0.3">
      <c r="B20" s="4" t="s">
        <v>70</v>
      </c>
      <c r="C20" s="5">
        <v>4618935</v>
      </c>
    </row>
    <row r="22" spans="2:7" ht="14" x14ac:dyDescent="0.3">
      <c r="B22" s="8" t="s">
        <v>71</v>
      </c>
      <c r="C22" s="9"/>
      <c r="D22" s="9"/>
      <c r="E22" s="9"/>
      <c r="F22" s="9"/>
      <c r="G22" s="9"/>
    </row>
    <row r="23" spans="2:7" ht="14" x14ac:dyDescent="0.3">
      <c r="B23" s="4" t="s">
        <v>72</v>
      </c>
      <c r="C23" s="16">
        <f>C7+C8*C9+C10</f>
        <v>7.3980999999999991E-2</v>
      </c>
    </row>
    <row r="24" spans="2:7" ht="14" x14ac:dyDescent="0.3">
      <c r="B24" s="4" t="s">
        <v>73</v>
      </c>
      <c r="C24" s="16">
        <f>1/(1+C12)</f>
        <v>0.67222371605270237</v>
      </c>
    </row>
    <row r="25" spans="2:7" ht="14" x14ac:dyDescent="0.3">
      <c r="B25" s="4" t="s">
        <v>74</v>
      </c>
      <c r="C25" s="16">
        <f>C12/(1+C12)</f>
        <v>0.32777628394729763</v>
      </c>
    </row>
    <row r="26" spans="2:7" ht="14" x14ac:dyDescent="0.3">
      <c r="B26" s="4" t="s">
        <v>75</v>
      </c>
      <c r="C26" s="16">
        <f>C23*C24+C11*C25</f>
        <v>5.7467303038451198E-2</v>
      </c>
    </row>
    <row r="27" spans="2:7" ht="14" x14ac:dyDescent="0.3">
      <c r="B27" s="4" t="s">
        <v>76</v>
      </c>
      <c r="C27" s="17" t="s">
        <v>77</v>
      </c>
      <c r="D27" s="6">
        <f>MATCH(C27,B69:B73,0)</f>
        <v>1</v>
      </c>
    </row>
    <row r="28" spans="2:7" ht="14" x14ac:dyDescent="0.3">
      <c r="B28" s="8" t="s">
        <v>78</v>
      </c>
      <c r="C28" s="9"/>
      <c r="D28" s="9"/>
      <c r="E28" s="9"/>
      <c r="F28" s="9"/>
      <c r="G28" s="9"/>
    </row>
    <row r="29" spans="2:7" ht="14" x14ac:dyDescent="0.3">
      <c r="C29" s="10" t="s">
        <v>79</v>
      </c>
      <c r="D29" s="10" t="s">
        <v>80</v>
      </c>
      <c r="E29" s="10" t="s">
        <v>81</v>
      </c>
      <c r="F29" s="10" t="s">
        <v>82</v>
      </c>
      <c r="G29" s="10" t="s">
        <v>83</v>
      </c>
    </row>
    <row r="30" spans="2:7" ht="14" x14ac:dyDescent="0.3">
      <c r="B30" s="4" t="s">
        <v>40</v>
      </c>
      <c r="C30" s="18">
        <f>CHOOSE($D$27,C69,C70,C71,C72,C73)</f>
        <v>0.01</v>
      </c>
      <c r="D30" s="18">
        <f>CHOOSE($D$27,D69,D70,D71,D72,D73)</f>
        <v>1.4999999999999999E-2</v>
      </c>
      <c r="E30" s="18">
        <f>CHOOSE($D$27,E69,E70,E71,E72,E73)</f>
        <v>0.02</v>
      </c>
      <c r="F30" s="18">
        <f>CHOOSE($D$27,F69,F70,F71,F72,F73)</f>
        <v>0.02</v>
      </c>
      <c r="G30" s="18">
        <f>CHOOSE($D$27,G69,G70,G71,G72,G73)</f>
        <v>0.02</v>
      </c>
    </row>
    <row r="31" spans="2:7" ht="14" x14ac:dyDescent="0.3">
      <c r="B31" s="4" t="s">
        <v>84</v>
      </c>
      <c r="C31" s="18">
        <f>CHOOSE($D$27,C76,C77,C78,C79,C80)</f>
        <v>0.34899999999999998</v>
      </c>
      <c r="D31" s="18">
        <f>CHOOSE($D$27,D76,D77,D78,D79,D80)</f>
        <v>0.34899999999999998</v>
      </c>
      <c r="E31" s="18">
        <f>CHOOSE($D$27,E76,E77,E78,E79,E80)</f>
        <v>0.34899999999999998</v>
      </c>
      <c r="F31" s="18">
        <f>CHOOSE($D$27,F76,F77,F78,F79,F80)</f>
        <v>0.34899999999999998</v>
      </c>
      <c r="G31" s="18">
        <f>CHOOSE($D$27,G76,G77,G78,G79,G80)</f>
        <v>0.34899999999999998</v>
      </c>
    </row>
    <row r="32" spans="2:7" ht="14" x14ac:dyDescent="0.3">
      <c r="B32" s="4" t="s">
        <v>85</v>
      </c>
      <c r="C32" s="18">
        <f>CHOOSE($D$27,C83,C84,C85,C86,C87)</f>
        <v>0.54700000000000004</v>
      </c>
      <c r="D32" s="18">
        <f>CHOOSE($D$27,D83,D84,D85,D86,D87)</f>
        <v>0.54600000000000004</v>
      </c>
      <c r="E32" s="18">
        <f>CHOOSE($D$27,E83,E84,E85,E86,E87)</f>
        <v>0.54500000000000004</v>
      </c>
      <c r="F32" s="18">
        <f>CHOOSE($D$27,F83,F84,F85,F86,F87)</f>
        <v>0.54349999999999998</v>
      </c>
      <c r="G32" s="18">
        <f>CHOOSE($D$27,G83,G84,G85,G86,G87)</f>
        <v>0.54249999999999998</v>
      </c>
    </row>
    <row r="33" spans="2:7" ht="14" x14ac:dyDescent="0.3">
      <c r="B33" s="4" t="s">
        <v>31</v>
      </c>
      <c r="C33" s="5">
        <f>C17*(1+C30)</f>
        <v>4550777.2</v>
      </c>
      <c r="D33" s="5">
        <f>C33*(1+D30)</f>
        <v>4619038.858</v>
      </c>
      <c r="E33" s="5">
        <f>D33*(1+E30)</f>
        <v>4711419.6351600001</v>
      </c>
      <c r="F33" s="5">
        <f>E33*(1+F30)</f>
        <v>4805648.0278631998</v>
      </c>
      <c r="G33" s="5">
        <f>F33*(1+G30)</f>
        <v>4901760.9884204641</v>
      </c>
    </row>
    <row r="34" spans="2:7" ht="14" x14ac:dyDescent="0.3">
      <c r="B34" s="4" t="s">
        <v>32</v>
      </c>
      <c r="C34" s="5">
        <f>C33*C31</f>
        <v>1588221.2427999999</v>
      </c>
      <c r="D34" s="5">
        <f>D33*D31</f>
        <v>1612044.5614419999</v>
      </c>
      <c r="E34" s="5">
        <f>E33*E31</f>
        <v>1644285.4526708398</v>
      </c>
      <c r="F34" s="5">
        <f>F33*F31</f>
        <v>1677171.1617242566</v>
      </c>
      <c r="G34" s="5">
        <f>G33*G31</f>
        <v>1710714.5849587419</v>
      </c>
    </row>
    <row r="35" spans="2:7" ht="14" x14ac:dyDescent="0.3">
      <c r="B35" s="4" t="s">
        <v>33</v>
      </c>
      <c r="C35" s="19">
        <f>C33-C34</f>
        <v>2962555.9572000001</v>
      </c>
      <c r="D35" s="19">
        <f>D33-D34</f>
        <v>3006994.2965580001</v>
      </c>
      <c r="E35" s="19">
        <f>E33-E34</f>
        <v>3067134.1824891604</v>
      </c>
      <c r="F35" s="19">
        <f>F33-F34</f>
        <v>3128476.8661389435</v>
      </c>
      <c r="G35" s="19">
        <f>G33-G34</f>
        <v>3191046.4034617222</v>
      </c>
    </row>
    <row r="36" spans="2:7" ht="14" x14ac:dyDescent="0.3">
      <c r="B36" s="4" t="s">
        <v>34</v>
      </c>
      <c r="C36" s="7">
        <f>C35/C33</f>
        <v>0.65100000000000002</v>
      </c>
      <c r="D36" s="7">
        <f>D35/D33</f>
        <v>0.65100000000000002</v>
      </c>
      <c r="E36" s="7">
        <f>E35/E33</f>
        <v>0.65100000000000013</v>
      </c>
      <c r="F36" s="7">
        <f>F35/F33</f>
        <v>0.65100000000000013</v>
      </c>
      <c r="G36" s="7">
        <f>G35/G33</f>
        <v>0.65100000000000002</v>
      </c>
    </row>
    <row r="37" spans="2:7" ht="14" x14ac:dyDescent="0.3">
      <c r="B37" s="4" t="s">
        <v>86</v>
      </c>
      <c r="C37" s="5">
        <f>C33*C32</f>
        <v>2489275.1284000003</v>
      </c>
      <c r="D37" s="5">
        <f>D33*D32</f>
        <v>2521995.2164680003</v>
      </c>
      <c r="E37" s="5">
        <f>E33*E32</f>
        <v>2567723.7011622004</v>
      </c>
      <c r="F37" s="5">
        <f>F33*F32</f>
        <v>2611869.7031436488</v>
      </c>
      <c r="G37" s="5">
        <f>G33*G32</f>
        <v>2659205.3362181019</v>
      </c>
    </row>
    <row r="38" spans="2:7" ht="14" x14ac:dyDescent="0.3">
      <c r="B38" s="4" t="s">
        <v>87</v>
      </c>
      <c r="C38" s="7">
        <f>(C35-C37)/C33</f>
        <v>0.10399999999999995</v>
      </c>
      <c r="D38" s="7">
        <f>(D35-D37)/D33</f>
        <v>0.10499999999999997</v>
      </c>
      <c r="E38" s="7">
        <f>(E35-E37)/E33</f>
        <v>0.10600000000000001</v>
      </c>
      <c r="F38" s="7">
        <f>(F35-F37)/F33</f>
        <v>0.10750000000000014</v>
      </c>
      <c r="G38" s="7">
        <f>(G35-G37)/G33</f>
        <v>0.10849999999999999</v>
      </c>
    </row>
    <row r="39" spans="2:7" ht="14" x14ac:dyDescent="0.3">
      <c r="B39" s="4" t="s">
        <v>88</v>
      </c>
      <c r="C39" s="19">
        <f>C35-C37</f>
        <v>473280.82879999978</v>
      </c>
      <c r="D39" s="19">
        <f>D35-D37</f>
        <v>484999.08008999983</v>
      </c>
      <c r="E39" s="19">
        <f>E35-E37</f>
        <v>499410.48132696003</v>
      </c>
      <c r="F39" s="19">
        <f>F35-F37</f>
        <v>516607.16299529467</v>
      </c>
      <c r="G39" s="19">
        <f>G35-G37</f>
        <v>531841.06724362029</v>
      </c>
    </row>
    <row r="40" spans="2:7" ht="14" x14ac:dyDescent="0.3">
      <c r="B40" s="4" t="s">
        <v>89</v>
      </c>
      <c r="C40" s="5">
        <f>MAX(0,C39*C6)</f>
        <v>118320.20719999995</v>
      </c>
      <c r="D40" s="5">
        <f>MAX(0,D39*C6)</f>
        <v>121249.77002249996</v>
      </c>
      <c r="E40" s="5">
        <f>MAX(0,E39*C6)</f>
        <v>124852.62033174001</v>
      </c>
      <c r="F40" s="5">
        <f>MAX(0,F39*C6)</f>
        <v>129151.79074882367</v>
      </c>
      <c r="G40" s="5">
        <f>MAX(0,G39*C6)</f>
        <v>132960.26681090507</v>
      </c>
    </row>
    <row r="41" spans="2:7" ht="14" x14ac:dyDescent="0.3">
      <c r="B41" s="4" t="s">
        <v>90</v>
      </c>
      <c r="C41" s="19">
        <f>C39-C40</f>
        <v>354960.62159999984</v>
      </c>
      <c r="D41" s="19">
        <f>D39-D40</f>
        <v>363749.31006749987</v>
      </c>
      <c r="E41" s="19">
        <f>E39-E40</f>
        <v>374557.86099522002</v>
      </c>
      <c r="F41" s="19">
        <f>F39-F40</f>
        <v>387455.372246471</v>
      </c>
      <c r="G41" s="19">
        <f>G39-G40</f>
        <v>398880.80043271522</v>
      </c>
    </row>
    <row r="42" spans="2:7" ht="14" x14ac:dyDescent="0.3">
      <c r="B42" s="4" t="s">
        <v>91</v>
      </c>
      <c r="C42" s="5">
        <v>700000</v>
      </c>
      <c r="D42" s="5">
        <v>640000</v>
      </c>
      <c r="E42" s="5">
        <v>580000</v>
      </c>
      <c r="F42" s="5">
        <v>510000</v>
      </c>
      <c r="G42" s="5">
        <v>470000</v>
      </c>
    </row>
    <row r="43" spans="2:7" ht="14" x14ac:dyDescent="0.3">
      <c r="B43" s="4" t="s">
        <v>92</v>
      </c>
      <c r="C43" s="5">
        <f>C33*C5</f>
        <v>418671.5024</v>
      </c>
      <c r="D43" s="5">
        <f>D33*C5</f>
        <v>424951.57493599999</v>
      </c>
      <c r="E43" s="5">
        <f>E33*C5</f>
        <v>433450.60643471999</v>
      </c>
      <c r="F43" s="5">
        <f>F33*C5</f>
        <v>442119.61856341438</v>
      </c>
      <c r="G43" s="5">
        <f>G33*C5</f>
        <v>450962.01093468268</v>
      </c>
    </row>
    <row r="44" spans="2:7" ht="14" x14ac:dyDescent="0.3">
      <c r="B44" s="4" t="s">
        <v>93</v>
      </c>
      <c r="C44" s="5">
        <f>'NWC Schedule'!D19</f>
        <v>-265091.41134575335</v>
      </c>
      <c r="D44" s="5">
        <f>'NWC Schedule'!E19</f>
        <v>26767.733829813777</v>
      </c>
      <c r="E44" s="5">
        <f>'NWC Schedule'!F19</f>
        <v>36225.666449680924</v>
      </c>
      <c r="F44" s="5">
        <f>'NWC Schedule'!G19</f>
        <v>36950.17977867485</v>
      </c>
      <c r="G44" s="5">
        <f>'NWC Schedule'!H19</f>
        <v>37689.183374248445</v>
      </c>
    </row>
    <row r="45" spans="2:7" ht="14" x14ac:dyDescent="0.3">
      <c r="B45" s="4" t="s">
        <v>94</v>
      </c>
      <c r="C45" s="20">
        <f>C41+C42-C43-C44</f>
        <v>901380.53054575308</v>
      </c>
      <c r="D45" s="20">
        <f>D41+D42-D43-D44</f>
        <v>552030.00130168605</v>
      </c>
      <c r="E45" s="20">
        <f>E41+E42-E43-E44</f>
        <v>484881.58811081911</v>
      </c>
      <c r="F45" s="20">
        <f>F41+F42-F43-F44</f>
        <v>418385.57390438177</v>
      </c>
      <c r="G45" s="20">
        <f>G41+G42-G43-G44</f>
        <v>380229.60612378409</v>
      </c>
    </row>
    <row r="46" spans="2:7" ht="14" x14ac:dyDescent="0.3">
      <c r="B46" s="4" t="s">
        <v>95</v>
      </c>
      <c r="C46" s="21">
        <f>1/(1+C26)^(C19+0)</f>
        <v>0.95895844727480817</v>
      </c>
      <c r="D46" s="21">
        <f>1/(1+C26)^(C19+1)</f>
        <v>0.90684453743336113</v>
      </c>
      <c r="E46" s="21">
        <f>1/(1+C26)^(C19+2)</f>
        <v>0.85756272068904504</v>
      </c>
      <c r="F46" s="21">
        <f>1/(1+C26)^(C19+3)</f>
        <v>0.81095908897134261</v>
      </c>
      <c r="G46" s="21">
        <f>1/(1+C26)^(C19+4)</f>
        <v>0.7668880982335724</v>
      </c>
    </row>
    <row r="47" spans="2:7" ht="14" x14ac:dyDescent="0.3">
      <c r="B47" s="4" t="s">
        <v>96</v>
      </c>
      <c r="C47" s="19">
        <f>C45*C46</f>
        <v>864386.47397589812</v>
      </c>
      <c r="D47" s="19">
        <f>D45*D46</f>
        <v>500605.39117976523</v>
      </c>
      <c r="E47" s="19">
        <f>E45*E46</f>
        <v>415816.37391233892</v>
      </c>
      <c r="F47" s="19">
        <f>F45*F46</f>
        <v>339293.58385224978</v>
      </c>
      <c r="G47" s="19">
        <f>G45*G46</f>
        <v>291593.55953236908</v>
      </c>
    </row>
    <row r="49" spans="2:7" ht="14" x14ac:dyDescent="0.3">
      <c r="B49" s="22" t="s">
        <v>97</v>
      </c>
      <c r="C49" s="23"/>
      <c r="D49" s="23"/>
      <c r="E49" s="23"/>
      <c r="F49" s="23"/>
      <c r="G49" s="23"/>
    </row>
    <row r="50" spans="2:7" ht="14" x14ac:dyDescent="0.3">
      <c r="B50" s="4" t="s">
        <v>98</v>
      </c>
      <c r="C50" s="5">
        <f>SUM(C47:G47)</f>
        <v>2411695.3824526211</v>
      </c>
    </row>
    <row r="51" spans="2:7" ht="14" x14ac:dyDescent="0.3">
      <c r="B51" s="4" t="s">
        <v>99</v>
      </c>
      <c r="C51" s="5">
        <f>G45*(1+C13)/(C26-C13)</f>
        <v>8090451.2707185922</v>
      </c>
    </row>
    <row r="52" spans="2:7" ht="14" x14ac:dyDescent="0.3">
      <c r="B52" s="4" t="s">
        <v>100</v>
      </c>
      <c r="C52" s="5">
        <f>C51*G46</f>
        <v>6204470.7888527708</v>
      </c>
    </row>
    <row r="53" spans="2:7" ht="14" x14ac:dyDescent="0.3">
      <c r="B53" s="4" t="s">
        <v>101</v>
      </c>
      <c r="C53" s="5">
        <f>C50+C52</f>
        <v>8616166.1713053919</v>
      </c>
    </row>
    <row r="54" spans="2:7" ht="14" x14ac:dyDescent="0.3">
      <c r="B54" s="4" t="s">
        <v>102</v>
      </c>
      <c r="C54" s="5">
        <f>C53-C16</f>
        <v>4137180.1713053919</v>
      </c>
    </row>
    <row r="55" spans="2:7" ht="14" x14ac:dyDescent="0.3">
      <c r="B55" s="4" t="s">
        <v>103</v>
      </c>
      <c r="C55" s="24">
        <f>ROUND(C54*1000000/C15,0)</f>
        <v>2591</v>
      </c>
    </row>
    <row r="57" spans="2:7" ht="14" x14ac:dyDescent="0.3">
      <c r="B57" s="22" t="s">
        <v>104</v>
      </c>
      <c r="C57" s="23"/>
      <c r="D57" s="23"/>
      <c r="E57" s="23"/>
      <c r="F57" s="23"/>
      <c r="G57" s="23"/>
    </row>
    <row r="58" spans="2:7" ht="14" x14ac:dyDescent="0.3">
      <c r="B58" s="4" t="s">
        <v>98</v>
      </c>
      <c r="C58" s="5">
        <f>C50</f>
        <v>2411695.3824526211</v>
      </c>
    </row>
    <row r="59" spans="2:7" ht="14" x14ac:dyDescent="0.3">
      <c r="B59" s="4" t="s">
        <v>105</v>
      </c>
      <c r="C59" s="5">
        <f>G39+G42</f>
        <v>1001841.0672436203</v>
      </c>
    </row>
    <row r="60" spans="2:7" ht="14" x14ac:dyDescent="0.3">
      <c r="B60" s="4" t="s">
        <v>106</v>
      </c>
      <c r="C60" s="5">
        <f>C59*C14</f>
        <v>11420988.166577272</v>
      </c>
    </row>
    <row r="61" spans="2:7" ht="14" x14ac:dyDescent="0.3">
      <c r="B61" s="4" t="s">
        <v>100</v>
      </c>
      <c r="C61" s="5">
        <f>C60*G46</f>
        <v>8758619.8950145785</v>
      </c>
    </row>
    <row r="62" spans="2:7" ht="14" x14ac:dyDescent="0.3">
      <c r="B62" s="4" t="s">
        <v>101</v>
      </c>
      <c r="C62" s="5">
        <f>C58+C61</f>
        <v>11170315.277467199</v>
      </c>
    </row>
    <row r="63" spans="2:7" ht="14" x14ac:dyDescent="0.3">
      <c r="B63" s="4" t="s">
        <v>102</v>
      </c>
      <c r="C63" s="5">
        <f>C62-C16</f>
        <v>6691329.2774671987</v>
      </c>
    </row>
    <row r="64" spans="2:7" ht="14" x14ac:dyDescent="0.3">
      <c r="B64" s="4" t="s">
        <v>107</v>
      </c>
      <c r="C64" s="24">
        <f>ROUND(C63*1000000/C15,0)</f>
        <v>4191</v>
      </c>
    </row>
    <row r="66" spans="2:7" ht="14" x14ac:dyDescent="0.3">
      <c r="B66" s="22" t="s">
        <v>108</v>
      </c>
      <c r="C66" s="23"/>
      <c r="D66" s="23"/>
      <c r="E66" s="23"/>
      <c r="F66" s="23"/>
      <c r="G66" s="23"/>
    </row>
    <row r="67" spans="2:7" ht="14" x14ac:dyDescent="0.3">
      <c r="C67" s="25" t="s">
        <v>109</v>
      </c>
      <c r="D67" s="25" t="s">
        <v>110</v>
      </c>
      <c r="E67" s="25" t="s">
        <v>111</v>
      </c>
      <c r="F67" s="25" t="s">
        <v>112</v>
      </c>
      <c r="G67" s="25" t="s">
        <v>113</v>
      </c>
    </row>
    <row r="68" spans="2:7" ht="14" x14ac:dyDescent="0.3">
      <c r="B68" s="3" t="s">
        <v>40</v>
      </c>
    </row>
    <row r="69" spans="2:7" ht="14" x14ac:dyDescent="0.3">
      <c r="B69" s="4" t="s">
        <v>77</v>
      </c>
      <c r="C69" s="26">
        <v>0.01</v>
      </c>
      <c r="D69" s="26">
        <v>1.4999999999999999E-2</v>
      </c>
      <c r="E69" s="26">
        <v>0.02</v>
      </c>
      <c r="F69" s="26">
        <v>0.02</v>
      </c>
      <c r="G69" s="26">
        <v>0.02</v>
      </c>
    </row>
    <row r="70" spans="2:7" ht="14" x14ac:dyDescent="0.3">
      <c r="B70" s="4" t="s">
        <v>114</v>
      </c>
      <c r="C70" s="26">
        <v>2.5000000000000001E-2</v>
      </c>
      <c r="D70" s="26">
        <v>0.03</v>
      </c>
      <c r="E70" s="26">
        <v>0.03</v>
      </c>
      <c r="F70" s="26">
        <v>0.03</v>
      </c>
      <c r="G70" s="26">
        <v>0.03</v>
      </c>
    </row>
    <row r="71" spans="2:7" ht="14" x14ac:dyDescent="0.3">
      <c r="B71" s="4" t="s">
        <v>115</v>
      </c>
      <c r="C71" s="26">
        <v>0.01</v>
      </c>
      <c r="D71" s="26">
        <v>1.4999999999999999E-2</v>
      </c>
      <c r="E71" s="26">
        <v>0.02</v>
      </c>
      <c r="F71" s="26">
        <v>0.02</v>
      </c>
      <c r="G71" s="26">
        <v>0.02</v>
      </c>
    </row>
    <row r="72" spans="2:7" ht="14" x14ac:dyDescent="0.3">
      <c r="B72" s="4" t="s">
        <v>116</v>
      </c>
      <c r="C72" s="26">
        <v>0</v>
      </c>
      <c r="D72" s="26">
        <v>5.0000000000000001E-3</v>
      </c>
      <c r="E72" s="26">
        <v>5.0000000000000001E-3</v>
      </c>
      <c r="F72" s="26">
        <v>5.0000000000000001E-3</v>
      </c>
      <c r="G72" s="26">
        <v>5.0000000000000001E-3</v>
      </c>
    </row>
    <row r="73" spans="2:7" ht="14" x14ac:dyDescent="0.3">
      <c r="B73" s="4" t="s">
        <v>117</v>
      </c>
      <c r="C73" s="26">
        <v>-0.05</v>
      </c>
      <c r="D73" s="26">
        <v>-0.01</v>
      </c>
      <c r="E73" s="26">
        <v>5.0000000000000001E-3</v>
      </c>
      <c r="F73" s="26">
        <v>0.01</v>
      </c>
      <c r="G73" s="26">
        <v>1.4999999999999999E-2</v>
      </c>
    </row>
    <row r="75" spans="2:7" ht="14" x14ac:dyDescent="0.3">
      <c r="B75" s="3" t="s">
        <v>84</v>
      </c>
    </row>
    <row r="76" spans="2:7" ht="14" x14ac:dyDescent="0.3">
      <c r="B76" s="4" t="s">
        <v>77</v>
      </c>
      <c r="C76" s="26">
        <v>0.34899999999999998</v>
      </c>
      <c r="D76" s="26">
        <v>0.34899999999999998</v>
      </c>
      <c r="E76" s="26">
        <v>0.34899999999999998</v>
      </c>
      <c r="F76" s="26">
        <v>0.34899999999999998</v>
      </c>
      <c r="G76" s="26">
        <v>0.34899999999999998</v>
      </c>
    </row>
    <row r="77" spans="2:7" ht="14" x14ac:dyDescent="0.3">
      <c r="B77" s="4" t="s">
        <v>114</v>
      </c>
      <c r="C77" s="26">
        <v>0.34499999999999997</v>
      </c>
      <c r="D77" s="26">
        <v>0.34499999999999997</v>
      </c>
      <c r="E77" s="26">
        <v>0.34499999999999997</v>
      </c>
      <c r="F77" s="26">
        <v>0.34499999999999997</v>
      </c>
      <c r="G77" s="26">
        <v>0.34499999999999997</v>
      </c>
    </row>
    <row r="78" spans="2:7" ht="14" x14ac:dyDescent="0.3">
      <c r="B78" s="4" t="s">
        <v>115</v>
      </c>
      <c r="C78" s="26">
        <v>0.34899999999999998</v>
      </c>
      <c r="D78" s="26">
        <v>0.34899999999999998</v>
      </c>
      <c r="E78" s="26">
        <v>0.34899999999999998</v>
      </c>
      <c r="F78" s="26">
        <v>0.34899999999999998</v>
      </c>
      <c r="G78" s="26">
        <v>0.34899999999999998</v>
      </c>
    </row>
    <row r="79" spans="2:7" ht="14" x14ac:dyDescent="0.3">
      <c r="B79" s="4" t="s">
        <v>116</v>
      </c>
      <c r="C79" s="26">
        <v>0.35299999999999998</v>
      </c>
      <c r="D79" s="26">
        <v>0.35299999999999998</v>
      </c>
      <c r="E79" s="26">
        <v>0.35299999999999998</v>
      </c>
      <c r="F79" s="26">
        <v>0.35299999999999998</v>
      </c>
      <c r="G79" s="26">
        <v>0.35299999999999998</v>
      </c>
    </row>
    <row r="80" spans="2:7" ht="14" x14ac:dyDescent="0.3">
      <c r="B80" s="4" t="s">
        <v>117</v>
      </c>
      <c r="C80" s="26">
        <v>0.36</v>
      </c>
      <c r="D80" s="26">
        <v>0.36</v>
      </c>
      <c r="E80" s="26">
        <v>0.36</v>
      </c>
      <c r="F80" s="26">
        <v>0.36</v>
      </c>
      <c r="G80" s="26">
        <v>0.36</v>
      </c>
    </row>
    <row r="82" spans="2:7" ht="14" x14ac:dyDescent="0.3">
      <c r="B82" s="3" t="s">
        <v>85</v>
      </c>
    </row>
    <row r="83" spans="2:7" ht="14" x14ac:dyDescent="0.3">
      <c r="B83" s="4" t="s">
        <v>77</v>
      </c>
      <c r="C83" s="26">
        <v>0.54700000000000004</v>
      </c>
      <c r="D83" s="26">
        <v>0.54600000000000004</v>
      </c>
      <c r="E83" s="26">
        <v>0.54500000000000004</v>
      </c>
      <c r="F83" s="26">
        <v>0.54349999999999998</v>
      </c>
      <c r="G83" s="26">
        <v>0.54249999999999998</v>
      </c>
    </row>
    <row r="84" spans="2:7" ht="14" x14ac:dyDescent="0.3">
      <c r="B84" s="4" t="s">
        <v>114</v>
      </c>
      <c r="C84" s="26">
        <v>0.54700000000000004</v>
      </c>
      <c r="D84" s="26">
        <v>0.54500000000000004</v>
      </c>
      <c r="E84" s="26">
        <v>0.54300000000000004</v>
      </c>
      <c r="F84" s="26">
        <v>0.54149999999999998</v>
      </c>
      <c r="G84" s="26">
        <v>0.54120000000000001</v>
      </c>
    </row>
    <row r="85" spans="2:7" ht="14" x14ac:dyDescent="0.3">
      <c r="B85" s="4" t="s">
        <v>115</v>
      </c>
      <c r="C85" s="26">
        <v>0.54700000000000004</v>
      </c>
      <c r="D85" s="26">
        <v>0.54600000000000004</v>
      </c>
      <c r="E85" s="26">
        <v>0.54500000000000004</v>
      </c>
      <c r="F85" s="26">
        <v>0.54349999999999998</v>
      </c>
      <c r="G85" s="26">
        <v>0.54249999999999998</v>
      </c>
    </row>
    <row r="86" spans="2:7" ht="14" x14ac:dyDescent="0.3">
      <c r="B86" s="4" t="s">
        <v>116</v>
      </c>
      <c r="C86" s="26">
        <v>0.54700000000000004</v>
      </c>
      <c r="D86" s="26">
        <v>0.54900000000000004</v>
      </c>
      <c r="E86" s="26">
        <v>0.55100000000000005</v>
      </c>
      <c r="F86" s="26">
        <v>0.55200000000000005</v>
      </c>
      <c r="G86" s="26">
        <v>0.55249999999999999</v>
      </c>
    </row>
    <row r="87" spans="2:7" ht="14" x14ac:dyDescent="0.3">
      <c r="B87" s="4" t="s">
        <v>117</v>
      </c>
      <c r="C87" s="26">
        <v>0.56000000000000005</v>
      </c>
      <c r="D87" s="26">
        <v>0.56699999999999995</v>
      </c>
      <c r="E87" s="26">
        <v>0.56699999999999995</v>
      </c>
      <c r="F87" s="26">
        <v>0.56499999999999995</v>
      </c>
      <c r="G87" s="26">
        <v>0.56200000000000006</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118</v>
      </c>
    </row>
    <row r="3" spans="2:9" ht="14" x14ac:dyDescent="0.3">
      <c r="B3" s="1" t="s">
        <v>119</v>
      </c>
    </row>
    <row r="5" spans="2:9" ht="14" x14ac:dyDescent="0.3">
      <c r="B5" s="8" t="s">
        <v>120</v>
      </c>
      <c r="C5" s="9"/>
      <c r="D5" s="9"/>
      <c r="E5" s="9"/>
      <c r="F5" s="9"/>
      <c r="G5" s="9"/>
      <c r="H5" s="9"/>
      <c r="I5" s="9"/>
    </row>
    <row r="6" spans="2:9" ht="14" x14ac:dyDescent="0.3">
      <c r="B6" s="4" t="s">
        <v>121</v>
      </c>
      <c r="C6" s="15">
        <f>'Executive Summary'!C9</f>
        <v>5753</v>
      </c>
    </row>
    <row r="7" spans="2:9" ht="14" x14ac:dyDescent="0.3">
      <c r="B7" s="4" t="s">
        <v>65</v>
      </c>
      <c r="C7" s="15">
        <f>'DCF Model'!C15</f>
        <v>1596751439</v>
      </c>
    </row>
    <row r="8" spans="2:9" ht="14" x14ac:dyDescent="0.3">
      <c r="B8" s="4" t="s">
        <v>122</v>
      </c>
      <c r="C8" s="5">
        <f>C6*C7/1000000</f>
        <v>9186111.0285669994</v>
      </c>
    </row>
    <row r="9" spans="2:9" ht="14" x14ac:dyDescent="0.3">
      <c r="B9" s="4" t="s">
        <v>66</v>
      </c>
      <c r="C9" s="5">
        <f>'DCF Model'!C16</f>
        <v>4478986</v>
      </c>
    </row>
    <row r="10" spans="2:9" ht="14" x14ac:dyDescent="0.3">
      <c r="B10" s="4" t="s">
        <v>123</v>
      </c>
      <c r="C10" s="5">
        <f>C8+C9</f>
        <v>13665097.028566999</v>
      </c>
    </row>
    <row r="11" spans="2:9" ht="14" x14ac:dyDescent="0.3">
      <c r="B11" s="4" t="s">
        <v>124</v>
      </c>
      <c r="C11" s="16">
        <f>'DCF Model'!C26</f>
        <v>5.7467303038451198E-2</v>
      </c>
    </row>
    <row r="12" spans="2:9" ht="14" x14ac:dyDescent="0.3">
      <c r="B12" s="4" t="s">
        <v>125</v>
      </c>
      <c r="C12" s="16">
        <f>'DCF Model'!C13</f>
        <v>0.01</v>
      </c>
    </row>
    <row r="13" spans="2:9" ht="14" x14ac:dyDescent="0.3">
      <c r="B13" s="4" t="s">
        <v>126</v>
      </c>
      <c r="C13" s="16">
        <f>'DCF Model'!C6</f>
        <v>0.25</v>
      </c>
    </row>
    <row r="14" spans="2:9" ht="14" x14ac:dyDescent="0.3">
      <c r="B14" s="4" t="s">
        <v>127</v>
      </c>
      <c r="C14" s="27">
        <v>464451</v>
      </c>
    </row>
    <row r="15" spans="2:9" ht="14" x14ac:dyDescent="0.3">
      <c r="B15" s="4" t="s">
        <v>128</v>
      </c>
      <c r="C15" s="27">
        <v>587812</v>
      </c>
    </row>
    <row r="16" spans="2:9" ht="14" x14ac:dyDescent="0.3">
      <c r="B16" s="4" t="s">
        <v>129</v>
      </c>
      <c r="C16" s="5">
        <f>'DCF Model'!G33</f>
        <v>4901760.9884204641</v>
      </c>
    </row>
    <row r="17" spans="2:9" ht="14" x14ac:dyDescent="0.3">
      <c r="B17" s="4" t="s">
        <v>130</v>
      </c>
      <c r="C17" s="5">
        <f>'DCF Model'!C53</f>
        <v>8616166.1713053919</v>
      </c>
    </row>
    <row r="18" spans="2:9" ht="14" x14ac:dyDescent="0.3">
      <c r="B18" s="4" t="s">
        <v>131</v>
      </c>
      <c r="C18" s="26">
        <v>0.14595039376999699</v>
      </c>
    </row>
    <row r="19" spans="2:9" ht="14" x14ac:dyDescent="0.3">
      <c r="B19" s="4" t="s">
        <v>132</v>
      </c>
      <c r="C19" s="5">
        <f>C10-C17</f>
        <v>5048930.8572616074</v>
      </c>
    </row>
    <row r="20" spans="2:9" ht="14" x14ac:dyDescent="0.3">
      <c r="B20" s="4" t="s">
        <v>133</v>
      </c>
      <c r="C20" s="15">
        <f>IFERROR(ROUND(C19*1000000/C7,0),"N/A")</f>
        <v>3162</v>
      </c>
    </row>
    <row r="22" spans="2:9" ht="14" x14ac:dyDescent="0.3">
      <c r="B22" s="8" t="s">
        <v>134</v>
      </c>
      <c r="C22" s="9"/>
      <c r="D22" s="9"/>
      <c r="E22" s="9"/>
      <c r="F22" s="9"/>
      <c r="G22" s="9"/>
      <c r="H22" s="9"/>
      <c r="I22" s="9"/>
    </row>
    <row r="23" spans="2:9" ht="14" x14ac:dyDescent="0.3">
      <c r="B23" s="1" t="s">
        <v>135</v>
      </c>
    </row>
    <row r="24" spans="2:9" ht="14" x14ac:dyDescent="0.3">
      <c r="B24" s="4" t="s">
        <v>136</v>
      </c>
      <c r="C24" s="5">
        <f>C10*(C11-C12)</f>
        <v>648645.30170482874</v>
      </c>
    </row>
    <row r="25" spans="2:9" ht="14" x14ac:dyDescent="0.3">
      <c r="B25" s="4" t="s">
        <v>137</v>
      </c>
      <c r="C25" s="5">
        <f>IFERROR(C24/(1-C13),"N/A")</f>
        <v>864860.40227310499</v>
      </c>
    </row>
    <row r="26" spans="2:9" ht="13.5" x14ac:dyDescent="0.25">
      <c r="B26" s="6" t="s">
        <v>138</v>
      </c>
      <c r="C26" s="14">
        <f>IFERROR(C25/C15,"N/A")</f>
        <v>1.4713214467773794</v>
      </c>
    </row>
    <row r="27" spans="2:9" ht="13.5" x14ac:dyDescent="0.25">
      <c r="B27" s="6" t="s">
        <v>139</v>
      </c>
      <c r="C27" s="14">
        <f>IFERROR(C25/C14,"N/A")</f>
        <v>1.862113338701187</v>
      </c>
    </row>
    <row r="28" spans="2:9" ht="13.5" x14ac:dyDescent="0.25">
      <c r="B28" s="6" t="s">
        <v>140</v>
      </c>
      <c r="C28" s="7">
        <f>IFERROR(C25/C16,"N/A")</f>
        <v>0.17643871341670542</v>
      </c>
    </row>
    <row r="29" spans="2:9" ht="13.5" x14ac:dyDescent="0.25">
      <c r="B29" s="6" t="s">
        <v>141</v>
      </c>
      <c r="C29" s="5">
        <f>IFERROR(C25/C18,"N/A")</f>
        <v>5925714.757824067</v>
      </c>
    </row>
    <row r="32" spans="2:9" ht="14" x14ac:dyDescent="0.3">
      <c r="B32" s="8" t="s">
        <v>142</v>
      </c>
      <c r="C32" s="9"/>
      <c r="D32" s="9"/>
      <c r="E32" s="9"/>
      <c r="F32" s="9"/>
      <c r="G32" s="9"/>
      <c r="H32" s="9"/>
      <c r="I32" s="9"/>
    </row>
    <row r="33" spans="2:9" ht="14" x14ac:dyDescent="0.3">
      <c r="B33" s="1" t="s">
        <v>143</v>
      </c>
    </row>
    <row r="34" spans="2:9" ht="14" x14ac:dyDescent="0.3">
      <c r="B34" s="1" t="s">
        <v>144</v>
      </c>
    </row>
    <row r="36" spans="2:9" ht="14" x14ac:dyDescent="0.3">
      <c r="B36" s="28" t="s">
        <v>145</v>
      </c>
      <c r="C36" s="28" t="s">
        <v>146</v>
      </c>
      <c r="D36" s="29">
        <f>'DCF Model'!C26-0.02</f>
        <v>3.7467303038451194E-2</v>
      </c>
      <c r="E36" s="29">
        <f>'DCF Model'!C26-0.01</f>
        <v>4.7467303038451196E-2</v>
      </c>
      <c r="F36" s="29">
        <f>'DCF Model'!C26</f>
        <v>5.7467303038451198E-2</v>
      </c>
      <c r="G36" s="29">
        <f>'DCF Model'!C26+0.01</f>
        <v>6.7467303038451193E-2</v>
      </c>
      <c r="H36" s="29">
        <f>'DCF Model'!C26+0.02</f>
        <v>7.7467303038451202E-2</v>
      </c>
    </row>
    <row r="37" spans="2:9" ht="14" x14ac:dyDescent="0.3">
      <c r="B37" s="3" t="s">
        <v>147</v>
      </c>
    </row>
    <row r="38" spans="2:9" ht="14" x14ac:dyDescent="0.3">
      <c r="B38" s="4" t="s">
        <v>148</v>
      </c>
      <c r="C38" s="30">
        <v>3</v>
      </c>
      <c r="D38" s="13">
        <f t="shared" ref="D38:H41" si="0">IFERROR((1-(1+D$36)^(-$C38))/D$36-(1+D$36)/(D$36^2*$C38)*(1-($C38+1)/(1+D$36)^$C38+$C38/(1+D$36)^($C38+1)),"N/A")</f>
        <v>0.95228247676044497</v>
      </c>
      <c r="E38" s="13">
        <f t="shared" si="0"/>
        <v>0.94026283816367551</v>
      </c>
      <c r="F38" s="13">
        <f t="shared" si="0"/>
        <v>0.92852538889002889</v>
      </c>
      <c r="G38" s="13">
        <f t="shared" si="0"/>
        <v>0.91706067096587818</v>
      </c>
      <c r="H38" s="13">
        <f t="shared" si="0"/>
        <v>0.90585963371170775</v>
      </c>
    </row>
    <row r="39" spans="2:9" ht="14" x14ac:dyDescent="0.3">
      <c r="B39" s="4" t="s">
        <v>149</v>
      </c>
      <c r="C39" s="30">
        <v>5</v>
      </c>
      <c r="D39" s="13">
        <f t="shared" si="0"/>
        <v>1.8593997198505936</v>
      </c>
      <c r="E39" s="13">
        <f t="shared" si="0"/>
        <v>1.8247848133772293</v>
      </c>
      <c r="F39" s="13">
        <f t="shared" si="0"/>
        <v>1.7912919193495256</v>
      </c>
      <c r="G39" s="13">
        <f t="shared" si="0"/>
        <v>1.7588715137626796</v>
      </c>
      <c r="H39" s="13">
        <f t="shared" si="0"/>
        <v>1.7274767833483993</v>
      </c>
    </row>
    <row r="40" spans="2:9" ht="14" x14ac:dyDescent="0.3">
      <c r="B40" s="4" t="s">
        <v>150</v>
      </c>
      <c r="C40" s="30">
        <v>7</v>
      </c>
      <c r="D40" s="13">
        <f t="shared" si="0"/>
        <v>2.723758667687985</v>
      </c>
      <c r="E40" s="13">
        <f t="shared" si="0"/>
        <v>2.6572777107044727</v>
      </c>
      <c r="F40" s="13">
        <f t="shared" si="0"/>
        <v>2.5935291322802199</v>
      </c>
      <c r="G40" s="13">
        <f t="shared" si="0"/>
        <v>2.5323640324531618</v>
      </c>
      <c r="H40" s="13">
        <f t="shared" si="0"/>
        <v>2.4736433590185238</v>
      </c>
    </row>
    <row r="41" spans="2:9" ht="14" x14ac:dyDescent="0.3">
      <c r="B41" s="4" t="s">
        <v>151</v>
      </c>
      <c r="C41" s="30">
        <v>10</v>
      </c>
      <c r="D41" s="13">
        <f t="shared" si="0"/>
        <v>3.9450559617404259</v>
      </c>
      <c r="E41" s="13">
        <f t="shared" si="0"/>
        <v>3.8159385733868607</v>
      </c>
      <c r="F41" s="13">
        <f t="shared" si="0"/>
        <v>3.6937511194792751</v>
      </c>
      <c r="G41" s="13">
        <f t="shared" si="0"/>
        <v>3.5780116828122162</v>
      </c>
      <c r="H41" s="13">
        <f t="shared" si="0"/>
        <v>3.4682782201321594</v>
      </c>
    </row>
    <row r="42" spans="2:9" ht="14" x14ac:dyDescent="0.3">
      <c r="B42" s="3" t="s">
        <v>152</v>
      </c>
    </row>
    <row r="43" spans="2:9" ht="14" x14ac:dyDescent="0.3">
      <c r="B43" s="4" t="s">
        <v>148</v>
      </c>
      <c r="C43" s="30">
        <v>3</v>
      </c>
      <c r="D43" s="13">
        <f t="shared" ref="D43:H46" si="1">IFERROR((1+D$36)/(D$36^2*$C43)*(1-($C43+1)/(1+D$36)^$C43+$C43/(1+D$36)^($C43+1))+(1+$C$12)/((D$36-$C$12)*(1+D$36)^$C43),"N/A")</f>
        <v>34.765471913274119</v>
      </c>
      <c r="E43" s="13">
        <f t="shared" si="1"/>
        <v>25.251613081625337</v>
      </c>
      <c r="F43" s="13">
        <f t="shared" si="1"/>
        <v>19.750989406840311</v>
      </c>
      <c r="G43" s="13">
        <f t="shared" si="1"/>
        <v>16.16841396230209</v>
      </c>
      <c r="H43" s="13">
        <f t="shared" si="1"/>
        <v>13.650898838209521</v>
      </c>
    </row>
    <row r="44" spans="2:9" ht="14" x14ac:dyDescent="0.3">
      <c r="B44" s="4" t="s">
        <v>149</v>
      </c>
      <c r="C44" s="30">
        <v>5</v>
      </c>
      <c r="D44" s="13">
        <f t="shared" si="1"/>
        <v>33.218064321300176</v>
      </c>
      <c r="E44" s="13">
        <f t="shared" si="1"/>
        <v>23.913146729124584</v>
      </c>
      <c r="F44" s="13">
        <f t="shared" si="1"/>
        <v>18.541589327266824</v>
      </c>
      <c r="G44" s="13">
        <f t="shared" si="1"/>
        <v>15.049526737064115</v>
      </c>
      <c r="H44" s="13">
        <f t="shared" si="1"/>
        <v>12.600814178903891</v>
      </c>
    </row>
    <row r="45" spans="2:9" ht="14" x14ac:dyDescent="0.3">
      <c r="B45" s="4" t="s">
        <v>150</v>
      </c>
      <c r="C45" s="30">
        <v>7</v>
      </c>
      <c r="D45" s="13">
        <f t="shared" si="1"/>
        <v>31.758827084270063</v>
      </c>
      <c r="E45" s="13">
        <f t="shared" si="1"/>
        <v>22.666919375775112</v>
      </c>
      <c r="F45" s="13">
        <f t="shared" si="1"/>
        <v>17.429369955771222</v>
      </c>
      <c r="G45" s="13">
        <f t="shared" si="1"/>
        <v>14.03287521974787</v>
      </c>
      <c r="H45" s="13">
        <f t="shared" si="1"/>
        <v>11.65785161174942</v>
      </c>
    </row>
    <row r="46" spans="2:9" ht="14" x14ac:dyDescent="0.3">
      <c r="B46" s="4" t="s">
        <v>151</v>
      </c>
      <c r="C46" s="30">
        <v>10</v>
      </c>
      <c r="D46" s="13">
        <f t="shared" si="1"/>
        <v>29.723377354323631</v>
      </c>
      <c r="E46" s="13">
        <f t="shared" si="1"/>
        <v>20.95534614682429</v>
      </c>
      <c r="F46" s="13">
        <f t="shared" si="1"/>
        <v>15.924532033006278</v>
      </c>
      <c r="G46" s="13">
        <f t="shared" si="1"/>
        <v>12.677142647693099</v>
      </c>
      <c r="H46" s="13">
        <f t="shared" si="1"/>
        <v>10.417971471160833</v>
      </c>
    </row>
    <row r="47" spans="2:9" ht="14" x14ac:dyDescent="0.3">
      <c r="B47" s="22" t="s">
        <v>153</v>
      </c>
      <c r="C47" s="23"/>
      <c r="D47" s="23"/>
      <c r="E47" s="23"/>
      <c r="F47" s="23"/>
      <c r="G47" s="23"/>
      <c r="H47" s="23"/>
      <c r="I47" s="23"/>
    </row>
    <row r="48" spans="2:9" ht="14" x14ac:dyDescent="0.3">
      <c r="B48" s="4" t="s">
        <v>148</v>
      </c>
      <c r="C48" s="30">
        <v>3</v>
      </c>
      <c r="D48" s="5">
        <f t="shared" ref="D48:H51" si="2">IFERROR(($C$10/(1-$C$13)-$C$14*D38)/D43,"N/A")</f>
        <v>511364.86417205469</v>
      </c>
      <c r="E48" s="5">
        <f t="shared" si="2"/>
        <v>704249.00375632045</v>
      </c>
      <c r="F48" s="5">
        <f t="shared" si="2"/>
        <v>900657.40300921467</v>
      </c>
      <c r="G48" s="5">
        <f t="shared" si="2"/>
        <v>1100553.1938519417</v>
      </c>
      <c r="H48" s="5">
        <f t="shared" si="2"/>
        <v>1303899.6310531765</v>
      </c>
    </row>
    <row r="49" spans="2:9" ht="14" x14ac:dyDescent="0.3">
      <c r="B49" s="4" t="s">
        <v>149</v>
      </c>
      <c r="C49" s="30">
        <v>5</v>
      </c>
      <c r="D49" s="5">
        <f t="shared" si="2"/>
        <v>522502.730570274</v>
      </c>
      <c r="E49" s="5">
        <f t="shared" si="2"/>
        <v>726487.66960084543</v>
      </c>
      <c r="F49" s="5">
        <f t="shared" si="2"/>
        <v>937792.42659733817</v>
      </c>
      <c r="G49" s="5">
        <f t="shared" si="2"/>
        <v>1156396.4795732256</v>
      </c>
      <c r="H49" s="5">
        <f t="shared" si="2"/>
        <v>1382275.8438165339</v>
      </c>
    </row>
    <row r="50" spans="2:9" ht="14" x14ac:dyDescent="0.3">
      <c r="B50" s="4" t="s">
        <v>150</v>
      </c>
      <c r="C50" s="30">
        <v>7</v>
      </c>
      <c r="D50" s="5">
        <f t="shared" si="2"/>
        <v>533869.74555033399</v>
      </c>
      <c r="E50" s="5">
        <f t="shared" si="2"/>
        <v>749371.97242434777</v>
      </c>
      <c r="F50" s="5">
        <f t="shared" si="2"/>
        <v>976258.01825221954</v>
      </c>
      <c r="G50" s="5">
        <f t="shared" si="2"/>
        <v>1214574.354669705</v>
      </c>
      <c r="H50" s="5">
        <f t="shared" si="2"/>
        <v>1464355.8528809736</v>
      </c>
    </row>
    <row r="51" spans="2:9" ht="14" x14ac:dyDescent="0.3">
      <c r="B51" s="4" t="s">
        <v>151</v>
      </c>
      <c r="C51" s="30">
        <v>10</v>
      </c>
      <c r="D51" s="5">
        <f t="shared" si="2"/>
        <v>551345.29261536128</v>
      </c>
      <c r="E51" s="5">
        <f t="shared" si="2"/>
        <v>784898.17203841207</v>
      </c>
      <c r="F51" s="5">
        <f t="shared" si="2"/>
        <v>1036423.7351540949</v>
      </c>
      <c r="G51" s="5">
        <f t="shared" si="2"/>
        <v>1306155.3953833613</v>
      </c>
      <c r="H51" s="5">
        <f t="shared" si="2"/>
        <v>1594291.569119968</v>
      </c>
    </row>
    <row r="52" spans="2:9" ht="14" x14ac:dyDescent="0.3">
      <c r="B52" s="22" t="s">
        <v>154</v>
      </c>
      <c r="C52" s="23"/>
      <c r="D52" s="23"/>
      <c r="E52" s="23"/>
      <c r="F52" s="23"/>
      <c r="G52" s="23"/>
      <c r="H52" s="23"/>
      <c r="I52" s="23"/>
    </row>
    <row r="53" spans="2:9" ht="14" x14ac:dyDescent="0.3">
      <c r="B53" s="4" t="s">
        <v>148</v>
      </c>
      <c r="C53" s="30">
        <v>3</v>
      </c>
      <c r="D53" s="14">
        <f t="shared" ref="D53:H56" si="3">IFERROR(D48/$C$15,"N/A")</f>
        <v>0.86994628243733485</v>
      </c>
      <c r="E53" s="14">
        <f t="shared" si="3"/>
        <v>1.1980854486746111</v>
      </c>
      <c r="F53" s="14">
        <f t="shared" si="3"/>
        <v>1.532220170750537</v>
      </c>
      <c r="G53" s="14">
        <f t="shared" si="3"/>
        <v>1.8722877277972239</v>
      </c>
      <c r="H53" s="14">
        <f t="shared" si="3"/>
        <v>2.2182256079378719</v>
      </c>
    </row>
    <row r="54" spans="2:9" ht="14" x14ac:dyDescent="0.3">
      <c r="B54" s="4" t="s">
        <v>149</v>
      </c>
      <c r="C54" s="30">
        <v>5</v>
      </c>
      <c r="D54" s="14">
        <f t="shared" si="3"/>
        <v>0.88889429030076628</v>
      </c>
      <c r="E54" s="14">
        <f t="shared" si="3"/>
        <v>1.2359184052058234</v>
      </c>
      <c r="F54" s="14">
        <f t="shared" si="3"/>
        <v>1.5953951715809445</v>
      </c>
      <c r="G54" s="14">
        <f t="shared" si="3"/>
        <v>1.9672896769259995</v>
      </c>
      <c r="H54" s="14">
        <f t="shared" si="3"/>
        <v>2.3515611178685258</v>
      </c>
    </row>
    <row r="55" spans="2:9" ht="14" x14ac:dyDescent="0.3">
      <c r="B55" s="4" t="s">
        <v>150</v>
      </c>
      <c r="C55" s="30">
        <v>7</v>
      </c>
      <c r="D55" s="14">
        <f t="shared" si="3"/>
        <v>0.9082321312772349</v>
      </c>
      <c r="E55" s="14">
        <f t="shared" si="3"/>
        <v>1.2748497349906904</v>
      </c>
      <c r="F55" s="14">
        <f t="shared" si="3"/>
        <v>1.6608337670075117</v>
      </c>
      <c r="G55" s="14">
        <f t="shared" si="3"/>
        <v>2.0662632859991037</v>
      </c>
      <c r="H55" s="14">
        <f t="shared" si="3"/>
        <v>2.491197615701914</v>
      </c>
    </row>
    <row r="56" spans="2:9" ht="14" x14ac:dyDescent="0.3">
      <c r="B56" s="4" t="s">
        <v>151</v>
      </c>
      <c r="C56" s="30">
        <v>10</v>
      </c>
      <c r="D56" s="14">
        <f t="shared" si="3"/>
        <v>0.93796195486883782</v>
      </c>
      <c r="E56" s="14">
        <f t="shared" si="3"/>
        <v>1.3352877655413842</v>
      </c>
      <c r="F56" s="14">
        <f t="shared" si="3"/>
        <v>1.7631891406675857</v>
      </c>
      <c r="G56" s="14">
        <f t="shared" si="3"/>
        <v>2.2220631688079884</v>
      </c>
      <c r="H56" s="14">
        <f t="shared" si="3"/>
        <v>2.7122474007335136</v>
      </c>
    </row>
    <row r="58" spans="2:9" ht="14" x14ac:dyDescent="0.3">
      <c r="B58" s="8" t="s">
        <v>155</v>
      </c>
      <c r="C58" s="9"/>
      <c r="D58" s="9"/>
      <c r="E58" s="9"/>
      <c r="F58" s="9"/>
      <c r="G58" s="9"/>
      <c r="H58" s="9"/>
      <c r="I58" s="9"/>
    </row>
    <row r="59" spans="2:9" ht="14" x14ac:dyDescent="0.3">
      <c r="B59" s="1" t="s">
        <v>156</v>
      </c>
    </row>
    <row r="60" spans="2:9" ht="14" x14ac:dyDescent="0.3">
      <c r="B60" s="4" t="s">
        <v>157</v>
      </c>
      <c r="C60" s="5">
        <f>F49</f>
        <v>937792.42659733817</v>
      </c>
    </row>
    <row r="62" spans="2:9" ht="14" x14ac:dyDescent="0.3">
      <c r="B62" s="28" t="s">
        <v>158</v>
      </c>
      <c r="C62" s="28" t="s">
        <v>159</v>
      </c>
      <c r="D62" s="28" t="s">
        <v>160</v>
      </c>
    </row>
    <row r="63" spans="2:9" ht="14" x14ac:dyDescent="0.3">
      <c r="B63" s="31">
        <v>7.2999999999999995E-2</v>
      </c>
      <c r="C63" s="5">
        <f>IFERROR($C$60/B63,"N/A")</f>
        <v>12846471.597223811</v>
      </c>
      <c r="D63" s="14">
        <f>IFERROR(C63/'DCF Model'!C17,"N/A")</f>
        <v>2.8511473409851944</v>
      </c>
    </row>
    <row r="64" spans="2:9" ht="14" x14ac:dyDescent="0.3">
      <c r="B64" s="31">
        <v>0.1095</v>
      </c>
      <c r="C64" s="5">
        <f>IFERROR($C$60/B64,"N/A")</f>
        <v>8564314.3981492072</v>
      </c>
      <c r="D64" s="14">
        <f>IFERROR(C64/'DCF Model'!C17,"N/A")</f>
        <v>1.9007648939901296</v>
      </c>
    </row>
    <row r="65" spans="2:9" ht="14" x14ac:dyDescent="0.3">
      <c r="B65" s="4" t="s">
        <v>161</v>
      </c>
      <c r="C65" s="5">
        <f>IFERROR($C$60/$C$18,"N/A")</f>
        <v>6425418.9548484795</v>
      </c>
      <c r="D65" s="14">
        <f>IFERROR(C65/'DCF Model'!C17,"N/A")</f>
        <v>1.4260582004315581</v>
      </c>
    </row>
    <row r="66" spans="2:9" ht="14" x14ac:dyDescent="0.3">
      <c r="B66" s="31">
        <v>0.18240000000000001</v>
      </c>
      <c r="C66" s="5">
        <f>IFERROR($C$60/B66,"N/A")</f>
        <v>5141405.8475731257</v>
      </c>
      <c r="D66" s="14">
        <f>IFERROR(C66/'DCF Model'!C17,"N/A")</f>
        <v>1.1410841880039428</v>
      </c>
    </row>
    <row r="67" spans="2:9" ht="14" x14ac:dyDescent="0.3">
      <c r="B67" s="31">
        <v>0.21890000000000001</v>
      </c>
      <c r="C67" s="5">
        <f>IFERROR($C$60/B67,"N/A")</f>
        <v>4284113.4152459484</v>
      </c>
      <c r="D67" s="14">
        <f>IFERROR(C67/'DCF Model'!C17,"N/A")</f>
        <v>0.9508166098306039</v>
      </c>
    </row>
    <row r="69" spans="2:9" ht="14" x14ac:dyDescent="0.3">
      <c r="B69" s="8" t="s">
        <v>162</v>
      </c>
      <c r="C69" s="9"/>
      <c r="D69" s="9"/>
      <c r="E69" s="9"/>
      <c r="F69" s="9"/>
      <c r="G69" s="9"/>
      <c r="H69" s="9"/>
      <c r="I69" s="9"/>
    </row>
    <row r="70" spans="2:9" ht="13.5" x14ac:dyDescent="0.25">
      <c r="B70" s="6" t="s">
        <v>163</v>
      </c>
      <c r="C70" s="14">
        <f>IFERROR(C10/'Comps Analysis'!G5,"N/A")</f>
        <v>11.526105434283531</v>
      </c>
    </row>
    <row r="71" spans="2:9" ht="13.5" x14ac:dyDescent="0.25">
      <c r="B71" s="6" t="s">
        <v>164</v>
      </c>
      <c r="C71" s="14">
        <f>IFERROR(C10/'Comps Analysis'!F5,"N/A")</f>
        <v>3.0328331606418062</v>
      </c>
    </row>
    <row r="72" spans="2:9" ht="14" x14ac:dyDescent="0.3">
      <c r="B72" s="4" t="s">
        <v>165</v>
      </c>
      <c r="C72" s="14">
        <f>IFERROR(C10/(C25+'DCF Model'!G42),"N/A")</f>
        <v>10.237098205398107</v>
      </c>
    </row>
    <row r="73" spans="2:9" ht="14" x14ac:dyDescent="0.3">
      <c r="B73" s="4" t="s">
        <v>166</v>
      </c>
      <c r="C73" s="14">
        <f>IFERROR(C10/(C60+'DCF Model'!G42),"N/A")</f>
        <v>9.7067556057222202</v>
      </c>
    </row>
    <row r="74" spans="2:9" ht="14" x14ac:dyDescent="0.3">
      <c r="B74" s="4" t="s">
        <v>167</v>
      </c>
      <c r="C74" s="14">
        <f>IFERROR('Comps Analysis'!D16,"N/A")</f>
        <v>11.433453957103882</v>
      </c>
    </row>
    <row r="75" spans="2:9" ht="14" x14ac:dyDescent="0.3">
      <c r="B75" s="1" t="s">
        <v>168</v>
      </c>
    </row>
    <row r="77" spans="2:9" ht="14" x14ac:dyDescent="0.3">
      <c r="B77" s="22" t="s">
        <v>169</v>
      </c>
      <c r="C77" s="23"/>
      <c r="D77" s="23"/>
      <c r="E77" s="23"/>
      <c r="F77" s="23"/>
      <c r="G77" s="23"/>
      <c r="H77" s="23"/>
      <c r="I77" s="23"/>
    </row>
    <row r="78" spans="2:9" ht="14" x14ac:dyDescent="0.3">
      <c r="B78" s="4" t="str">
        <f>"At "&amp;TEXT(C6,"#,##0")&amp;" yen the market is paying for a steady-state operating profit of "&amp;TEXT(F49,"#,##0")&amp;" mn JPY - "&amp;TEXT(F54,"0.00")&amp;"x the FY2023 cycle peak of "&amp;TEXT(C15,"#,##0")&amp;" mn - reached in 5 years and sustained for ever, against "&amp;TEXT(C14,"#,##0")&amp;" mn actually earned in FY2026."</f>
        <v>At 5,753 yen the market is paying for a steady-state operating profit of 937,792 mn JPY - 1.60x the FY2023 cycle peak of 587,812 mn - reached in 5 years and sustained for ever, against 464,451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864,860 mn, or 1.47x the peak. The base case supports an EV of only 8,616,166 mn, leaving 3,162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170</v>
      </c>
    </row>
    <row r="4" spans="2:8" ht="14" x14ac:dyDescent="0.3">
      <c r="B4" s="8" t="s">
        <v>171</v>
      </c>
      <c r="C4" s="32" t="s">
        <v>172</v>
      </c>
      <c r="D4" s="32" t="s">
        <v>79</v>
      </c>
      <c r="E4" s="32" t="s">
        <v>80</v>
      </c>
      <c r="F4" s="32" t="s">
        <v>81</v>
      </c>
      <c r="G4" s="32" t="s">
        <v>82</v>
      </c>
      <c r="H4" s="32" t="s">
        <v>83</v>
      </c>
    </row>
    <row r="5" spans="2:8" ht="14" x14ac:dyDescent="0.3">
      <c r="B5" s="33" t="s">
        <v>173</v>
      </c>
      <c r="C5" s="34">
        <f>C12/C9*365</f>
        <v>79.17371141571158</v>
      </c>
      <c r="D5" s="34">
        <f>CHOOSE('DCF Model'!$D$27,D25,D26,D27,D28,D29)</f>
        <v>66</v>
      </c>
      <c r="E5" s="34">
        <f>CHOOSE('DCF Model'!$D$27,E25,E26,E27,E28,E29)</f>
        <v>66</v>
      </c>
      <c r="F5" s="34">
        <f>CHOOSE('DCF Model'!$D$27,F25,F26,F27,F28,F29)</f>
        <v>66</v>
      </c>
      <c r="G5" s="34">
        <f>CHOOSE('DCF Model'!$D$27,G25,G26,G27,G28,G29)</f>
        <v>66</v>
      </c>
      <c r="H5" s="34">
        <f>CHOOSE('DCF Model'!$D$27,H25,H26,H27,H28,H29)</f>
        <v>66</v>
      </c>
    </row>
    <row r="6" spans="2:8" ht="14" x14ac:dyDescent="0.3">
      <c r="B6" s="33" t="s">
        <v>174</v>
      </c>
      <c r="C6" s="34">
        <f>C13/C10*365</f>
        <v>324.36382817888659</v>
      </c>
      <c r="D6" s="34">
        <f>CHOOSE('DCF Model'!$D$27,D32,D33,D34,D35,D36)</f>
        <v>301</v>
      </c>
      <c r="E6" s="34">
        <f>CHOOSE('DCF Model'!$D$27,E32,E33,E34,E35,E36)</f>
        <v>301</v>
      </c>
      <c r="F6" s="34">
        <f>CHOOSE('DCF Model'!$D$27,F32,F33,F34,F35,F36)</f>
        <v>301</v>
      </c>
      <c r="G6" s="34">
        <f>CHOOSE('DCF Model'!$D$27,G32,G33,G34,G35,G36)</f>
        <v>301</v>
      </c>
      <c r="H6" s="34">
        <f>CHOOSE('DCF Model'!$D$27,H32,H33,H34,H35,H36)</f>
        <v>301</v>
      </c>
    </row>
    <row r="7" spans="2:8" ht="14" x14ac:dyDescent="0.3">
      <c r="B7" s="33" t="s">
        <v>175</v>
      </c>
      <c r="C7" s="34">
        <f>C15/C10*365</f>
        <v>75.334197003285851</v>
      </c>
      <c r="D7" s="34">
        <f>CHOOSE('DCF Model'!$D$27,D39,D40,D41,D42,D43)</f>
        <v>80</v>
      </c>
      <c r="E7" s="34">
        <f>CHOOSE('DCF Model'!$D$27,E39,E40,E41,E42,E43)</f>
        <v>80</v>
      </c>
      <c r="F7" s="34">
        <f>CHOOSE('DCF Model'!$D$27,F39,F40,F41,F42,F43)</f>
        <v>80</v>
      </c>
      <c r="G7" s="34">
        <f>CHOOSE('DCF Model'!$D$27,G39,G40,G41,G42,G43)</f>
        <v>80</v>
      </c>
      <c r="H7" s="34">
        <f>CHOOSE('DCF Model'!$D$27,H39,H40,H41,H42,H43)</f>
        <v>80</v>
      </c>
    </row>
    <row r="8" spans="2:8" ht="14" x14ac:dyDescent="0.3">
      <c r="B8" s="8" t="s">
        <v>176</v>
      </c>
      <c r="C8" s="9"/>
      <c r="D8" s="9"/>
      <c r="E8" s="9"/>
      <c r="F8" s="9"/>
      <c r="G8" s="9"/>
      <c r="H8" s="9"/>
    </row>
    <row r="9" spans="2:8" ht="14" x14ac:dyDescent="0.3">
      <c r="B9" s="33" t="s">
        <v>31</v>
      </c>
      <c r="C9" s="35">
        <v>4505720</v>
      </c>
      <c r="D9" s="35">
        <f>'DCF Model'!C33</f>
        <v>4550777.2</v>
      </c>
      <c r="E9" s="35">
        <f>'DCF Model'!D33</f>
        <v>4619038.858</v>
      </c>
      <c r="F9" s="35">
        <f>'DCF Model'!E33</f>
        <v>4711419.6351600001</v>
      </c>
      <c r="G9" s="35">
        <f>'DCF Model'!F33</f>
        <v>4805648.0278631998</v>
      </c>
      <c r="H9" s="35">
        <f>'DCF Model'!G33</f>
        <v>4901760.9884204641</v>
      </c>
    </row>
    <row r="10" spans="2:8" ht="14" x14ac:dyDescent="0.3">
      <c r="B10" s="33" t="s">
        <v>32</v>
      </c>
      <c r="C10" s="35">
        <v>1571588</v>
      </c>
      <c r="D10" s="35">
        <f>'DCF Model'!C34</f>
        <v>1588221.2427999999</v>
      </c>
      <c r="E10" s="35">
        <f>'DCF Model'!D34</f>
        <v>1612044.5614419999</v>
      </c>
      <c r="F10" s="35">
        <f>'DCF Model'!E34</f>
        <v>1644285.4526708398</v>
      </c>
      <c r="G10" s="35">
        <f>'DCF Model'!F34</f>
        <v>1677171.1617242566</v>
      </c>
      <c r="H10" s="35">
        <f>'DCF Model'!G34</f>
        <v>1710714.5849587419</v>
      </c>
    </row>
    <row r="11" spans="2:8" ht="14" x14ac:dyDescent="0.3">
      <c r="B11" s="8" t="s">
        <v>177</v>
      </c>
      <c r="C11" s="9"/>
      <c r="D11" s="9"/>
      <c r="E11" s="9"/>
      <c r="F11" s="9"/>
      <c r="G11" s="9"/>
      <c r="H11" s="9"/>
    </row>
    <row r="12" spans="2:8" ht="14" x14ac:dyDescent="0.3">
      <c r="B12" s="33" t="s">
        <v>178</v>
      </c>
      <c r="C12" s="35">
        <v>977355</v>
      </c>
      <c r="D12" s="35">
        <f t="shared" ref="D12:H13" si="0">D9*D5/365</f>
        <v>822880.26082191779</v>
      </c>
      <c r="E12" s="35">
        <f t="shared" si="0"/>
        <v>835223.46473424661</v>
      </c>
      <c r="F12" s="35">
        <f t="shared" si="0"/>
        <v>851927.93402893154</v>
      </c>
      <c r="G12" s="35">
        <f t="shared" si="0"/>
        <v>868966.49270951014</v>
      </c>
      <c r="H12" s="35">
        <f t="shared" si="0"/>
        <v>886345.82256370026</v>
      </c>
    </row>
    <row r="13" spans="2:8" ht="14" x14ac:dyDescent="0.3">
      <c r="B13" s="33" t="s">
        <v>179</v>
      </c>
      <c r="C13" s="35">
        <v>1396620</v>
      </c>
      <c r="D13" s="35">
        <f t="shared" si="0"/>
        <v>1309738.6139254794</v>
      </c>
      <c r="E13" s="35">
        <f t="shared" si="0"/>
        <v>1329384.6931343616</v>
      </c>
      <c r="F13" s="35">
        <f t="shared" si="0"/>
        <v>1355972.3869970487</v>
      </c>
      <c r="G13" s="35">
        <f t="shared" si="0"/>
        <v>1383091.8347369896</v>
      </c>
      <c r="H13" s="35">
        <f t="shared" si="0"/>
        <v>1410753.6714317296</v>
      </c>
    </row>
    <row r="14" spans="2:8" ht="14" x14ac:dyDescent="0.3">
      <c r="B14" s="33" t="s">
        <v>180</v>
      </c>
      <c r="C14" s="35">
        <f t="shared" ref="C14:H14" si="1">C12+C13</f>
        <v>2373975</v>
      </c>
      <c r="D14" s="35">
        <f t="shared" si="1"/>
        <v>2132618.8747473974</v>
      </c>
      <c r="E14" s="35">
        <f t="shared" si="1"/>
        <v>2164608.1578686084</v>
      </c>
      <c r="F14" s="35">
        <f t="shared" si="1"/>
        <v>2207900.3210259802</v>
      </c>
      <c r="G14" s="35">
        <f t="shared" si="1"/>
        <v>2252058.3274464998</v>
      </c>
      <c r="H14" s="35">
        <f t="shared" si="1"/>
        <v>2297099.4939954299</v>
      </c>
    </row>
    <row r="15" spans="2:8" ht="14" x14ac:dyDescent="0.3">
      <c r="B15" s="33" t="s">
        <v>181</v>
      </c>
      <c r="C15" s="35">
        <v>324368</v>
      </c>
      <c r="D15" s="35">
        <f>D10*D7/365</f>
        <v>348103.28609315067</v>
      </c>
      <c r="E15" s="35">
        <f>E10*E7/365</f>
        <v>353324.83538454794</v>
      </c>
      <c r="F15" s="35">
        <f>F10*F7/365</f>
        <v>360391.33209223888</v>
      </c>
      <c r="G15" s="35">
        <f>G10*G7/365</f>
        <v>367599.15873408364</v>
      </c>
      <c r="H15" s="35">
        <f>H10*H7/365</f>
        <v>374951.1419087653</v>
      </c>
    </row>
    <row r="16" spans="2:8" ht="14" x14ac:dyDescent="0.3">
      <c r="B16" s="33" t="s">
        <v>182</v>
      </c>
      <c r="C16" s="35">
        <f t="shared" ref="C16:H16" si="2">C15</f>
        <v>324368</v>
      </c>
      <c r="D16" s="35">
        <f t="shared" si="2"/>
        <v>348103.28609315067</v>
      </c>
      <c r="E16" s="35">
        <f t="shared" si="2"/>
        <v>353324.83538454794</v>
      </c>
      <c r="F16" s="35">
        <f t="shared" si="2"/>
        <v>360391.33209223888</v>
      </c>
      <c r="G16" s="35">
        <f t="shared" si="2"/>
        <v>367599.15873408364</v>
      </c>
      <c r="H16" s="35">
        <f t="shared" si="2"/>
        <v>374951.1419087653</v>
      </c>
    </row>
    <row r="17" spans="2:8" ht="14" x14ac:dyDescent="0.3">
      <c r="B17" s="22" t="s">
        <v>183</v>
      </c>
      <c r="C17" s="23"/>
      <c r="D17" s="23"/>
      <c r="E17" s="23"/>
      <c r="F17" s="23"/>
      <c r="G17" s="23"/>
      <c r="H17" s="23"/>
    </row>
    <row r="18" spans="2:8" ht="14" x14ac:dyDescent="0.3">
      <c r="B18" s="33" t="s">
        <v>184</v>
      </c>
      <c r="C18" s="20">
        <f t="shared" ref="C18:H18" si="3">C14-C16</f>
        <v>2049607</v>
      </c>
      <c r="D18" s="20">
        <f t="shared" si="3"/>
        <v>1784515.5886542466</v>
      </c>
      <c r="E18" s="20">
        <f t="shared" si="3"/>
        <v>1811283.3224840604</v>
      </c>
      <c r="F18" s="20">
        <f t="shared" si="3"/>
        <v>1847508.9889337413</v>
      </c>
      <c r="G18" s="20">
        <f t="shared" si="3"/>
        <v>1884459.1687124162</v>
      </c>
      <c r="H18" s="20">
        <f t="shared" si="3"/>
        <v>1922148.3520866646</v>
      </c>
    </row>
    <row r="19" spans="2:8" ht="14" x14ac:dyDescent="0.3">
      <c r="B19" s="33" t="s">
        <v>93</v>
      </c>
      <c r="C19" s="36" t="s">
        <v>41</v>
      </c>
      <c r="D19" s="24">
        <f>D18-C18</f>
        <v>-265091.41134575335</v>
      </c>
      <c r="E19" s="24">
        <f>E18-D18</f>
        <v>26767.733829813777</v>
      </c>
      <c r="F19" s="24">
        <f>F18-E18</f>
        <v>36225.666449680924</v>
      </c>
      <c r="G19" s="24">
        <f>G18-F18</f>
        <v>36950.17977867485</v>
      </c>
      <c r="H19" s="24">
        <f>H18-G18</f>
        <v>37689.183374248445</v>
      </c>
    </row>
    <row r="22" spans="2:8" ht="14" x14ac:dyDescent="0.3">
      <c r="B22" s="22" t="s">
        <v>185</v>
      </c>
      <c r="C22" s="23"/>
      <c r="D22" s="23"/>
      <c r="E22" s="23"/>
      <c r="F22" s="23"/>
      <c r="G22" s="23"/>
      <c r="H22" s="23"/>
    </row>
    <row r="23" spans="2:8" ht="14" x14ac:dyDescent="0.3">
      <c r="D23" s="25" t="s">
        <v>79</v>
      </c>
      <c r="E23" s="25" t="s">
        <v>80</v>
      </c>
      <c r="F23" s="25" t="s">
        <v>81</v>
      </c>
      <c r="G23" s="25" t="s">
        <v>82</v>
      </c>
      <c r="H23" s="25" t="s">
        <v>83</v>
      </c>
    </row>
    <row r="24" spans="2:8" ht="14" x14ac:dyDescent="0.3">
      <c r="B24" s="3" t="s">
        <v>186</v>
      </c>
    </row>
    <row r="25" spans="2:8" ht="14" x14ac:dyDescent="0.3">
      <c r="B25" s="4" t="s">
        <v>77</v>
      </c>
      <c r="D25" s="30">
        <v>66</v>
      </c>
      <c r="E25" s="30">
        <v>66</v>
      </c>
      <c r="F25" s="30">
        <v>66</v>
      </c>
      <c r="G25" s="30">
        <v>66</v>
      </c>
      <c r="H25" s="30">
        <v>66</v>
      </c>
    </row>
    <row r="26" spans="2:8" ht="14" x14ac:dyDescent="0.3">
      <c r="B26" s="4" t="s">
        <v>114</v>
      </c>
      <c r="D26" s="30">
        <v>63</v>
      </c>
      <c r="E26" s="30">
        <v>63</v>
      </c>
      <c r="F26" s="30">
        <v>63</v>
      </c>
      <c r="G26" s="30">
        <v>63</v>
      </c>
      <c r="H26" s="30">
        <v>63</v>
      </c>
    </row>
    <row r="27" spans="2:8" ht="14" x14ac:dyDescent="0.3">
      <c r="B27" s="4" t="s">
        <v>115</v>
      </c>
      <c r="D27" s="30">
        <v>66</v>
      </c>
      <c r="E27" s="30">
        <v>66</v>
      </c>
      <c r="F27" s="30">
        <v>66</v>
      </c>
      <c r="G27" s="30">
        <v>66</v>
      </c>
      <c r="H27" s="30">
        <v>66</v>
      </c>
    </row>
    <row r="28" spans="2:8" ht="14" x14ac:dyDescent="0.3">
      <c r="B28" s="4" t="s">
        <v>116</v>
      </c>
      <c r="D28" s="30">
        <v>70</v>
      </c>
      <c r="E28" s="30">
        <v>70</v>
      </c>
      <c r="F28" s="30">
        <v>70</v>
      </c>
      <c r="G28" s="30">
        <v>70</v>
      </c>
      <c r="H28" s="30">
        <v>70</v>
      </c>
    </row>
    <row r="29" spans="2:8" ht="14" x14ac:dyDescent="0.3">
      <c r="B29" s="4" t="s">
        <v>117</v>
      </c>
      <c r="D29" s="30">
        <v>73</v>
      </c>
      <c r="E29" s="30">
        <v>73</v>
      </c>
      <c r="F29" s="30">
        <v>73</v>
      </c>
      <c r="G29" s="30">
        <v>73</v>
      </c>
      <c r="H29" s="30">
        <v>73</v>
      </c>
    </row>
    <row r="31" spans="2:8" ht="14" x14ac:dyDescent="0.3">
      <c r="B31" s="3" t="s">
        <v>187</v>
      </c>
    </row>
    <row r="32" spans="2:8" ht="14" x14ac:dyDescent="0.3">
      <c r="B32" s="4" t="s">
        <v>77</v>
      </c>
      <c r="D32" s="30">
        <v>301</v>
      </c>
      <c r="E32" s="30">
        <v>301</v>
      </c>
      <c r="F32" s="30">
        <v>301</v>
      </c>
      <c r="G32" s="30">
        <v>301</v>
      </c>
      <c r="H32" s="30">
        <v>301</v>
      </c>
    </row>
    <row r="33" spans="2:8" ht="14" x14ac:dyDescent="0.3">
      <c r="B33" s="4" t="s">
        <v>114</v>
      </c>
      <c r="D33" s="30">
        <v>288</v>
      </c>
      <c r="E33" s="30">
        <v>288</v>
      </c>
      <c r="F33" s="30">
        <v>288</v>
      </c>
      <c r="G33" s="30">
        <v>288</v>
      </c>
      <c r="H33" s="30">
        <v>288</v>
      </c>
    </row>
    <row r="34" spans="2:8" ht="14" x14ac:dyDescent="0.3">
      <c r="B34" s="4" t="s">
        <v>115</v>
      </c>
      <c r="D34" s="30">
        <v>301</v>
      </c>
      <c r="E34" s="30">
        <v>301</v>
      </c>
      <c r="F34" s="30">
        <v>301</v>
      </c>
      <c r="G34" s="30">
        <v>301</v>
      </c>
      <c r="H34" s="30">
        <v>301</v>
      </c>
    </row>
    <row r="35" spans="2:8" ht="14" x14ac:dyDescent="0.3">
      <c r="B35" s="4" t="s">
        <v>116</v>
      </c>
      <c r="D35" s="30">
        <v>316</v>
      </c>
      <c r="E35" s="30">
        <v>316</v>
      </c>
      <c r="F35" s="30">
        <v>316</v>
      </c>
      <c r="G35" s="30">
        <v>316</v>
      </c>
      <c r="H35" s="30">
        <v>316</v>
      </c>
    </row>
    <row r="36" spans="2:8" ht="14" x14ac:dyDescent="0.3">
      <c r="B36" s="4" t="s">
        <v>117</v>
      </c>
      <c r="D36" s="30">
        <v>331</v>
      </c>
      <c r="E36" s="30">
        <v>331</v>
      </c>
      <c r="F36" s="30">
        <v>331</v>
      </c>
      <c r="G36" s="30">
        <v>331</v>
      </c>
      <c r="H36" s="30">
        <v>331</v>
      </c>
    </row>
    <row r="38" spans="2:8" ht="14" x14ac:dyDescent="0.3">
      <c r="B38" s="3" t="s">
        <v>188</v>
      </c>
    </row>
    <row r="39" spans="2:8" ht="14" x14ac:dyDescent="0.3">
      <c r="B39" s="4" t="s">
        <v>77</v>
      </c>
      <c r="D39" s="30">
        <v>80</v>
      </c>
      <c r="E39" s="30">
        <v>80</v>
      </c>
      <c r="F39" s="30">
        <v>80</v>
      </c>
      <c r="G39" s="30">
        <v>80</v>
      </c>
      <c r="H39" s="30">
        <v>80</v>
      </c>
    </row>
    <row r="40" spans="2:8" ht="14" x14ac:dyDescent="0.3">
      <c r="B40" s="4" t="s">
        <v>114</v>
      </c>
      <c r="D40" s="30">
        <v>83</v>
      </c>
      <c r="E40" s="30">
        <v>83</v>
      </c>
      <c r="F40" s="30">
        <v>83</v>
      </c>
      <c r="G40" s="30">
        <v>83</v>
      </c>
      <c r="H40" s="30">
        <v>83</v>
      </c>
    </row>
    <row r="41" spans="2:8" ht="14" x14ac:dyDescent="0.3">
      <c r="B41" s="4" t="s">
        <v>115</v>
      </c>
      <c r="D41" s="30">
        <v>80</v>
      </c>
      <c r="E41" s="30">
        <v>80</v>
      </c>
      <c r="F41" s="30">
        <v>80</v>
      </c>
      <c r="G41" s="30">
        <v>80</v>
      </c>
      <c r="H41" s="30">
        <v>80</v>
      </c>
    </row>
    <row r="42" spans="2:8" ht="14" x14ac:dyDescent="0.3">
      <c r="B42" s="4" t="s">
        <v>116</v>
      </c>
      <c r="D42" s="30">
        <v>76</v>
      </c>
      <c r="E42" s="30">
        <v>76</v>
      </c>
      <c r="F42" s="30">
        <v>76</v>
      </c>
      <c r="G42" s="30">
        <v>76</v>
      </c>
      <c r="H42" s="30">
        <v>76</v>
      </c>
    </row>
    <row r="43" spans="2:8" ht="14" x14ac:dyDescent="0.3">
      <c r="B43" s="4" t="s">
        <v>117</v>
      </c>
      <c r="D43" s="30">
        <v>72</v>
      </c>
      <c r="E43" s="30">
        <v>72</v>
      </c>
      <c r="F43" s="30">
        <v>72</v>
      </c>
      <c r="G43" s="30">
        <v>72</v>
      </c>
      <c r="H43" s="30">
        <v>72</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189</v>
      </c>
    </row>
    <row r="3" spans="2:17" ht="14" x14ac:dyDescent="0.3">
      <c r="B3" s="1" t="s">
        <v>190</v>
      </c>
    </row>
    <row r="4" spans="2:17" ht="28" x14ac:dyDescent="0.3">
      <c r="B4" s="10" t="s">
        <v>3</v>
      </c>
      <c r="C4" s="10" t="s">
        <v>5</v>
      </c>
      <c r="D4" s="10" t="s">
        <v>191</v>
      </c>
      <c r="E4" s="10" t="s">
        <v>192</v>
      </c>
      <c r="F4" s="10" t="s">
        <v>193</v>
      </c>
      <c r="G4" s="10" t="s">
        <v>194</v>
      </c>
      <c r="H4" s="10" t="s">
        <v>195</v>
      </c>
      <c r="I4" s="10" t="s">
        <v>196</v>
      </c>
      <c r="J4" s="10" t="s">
        <v>197</v>
      </c>
      <c r="K4" s="10" t="s">
        <v>198</v>
      </c>
      <c r="L4" s="10" t="s">
        <v>199</v>
      </c>
      <c r="M4" s="10" t="s">
        <v>200</v>
      </c>
      <c r="N4" s="10" t="s">
        <v>201</v>
      </c>
      <c r="O4" s="10" t="s">
        <v>202</v>
      </c>
      <c r="P4" s="10" t="s">
        <v>203</v>
      </c>
      <c r="Q4" s="10" t="s">
        <v>204</v>
      </c>
    </row>
    <row r="5" spans="2:17" ht="14" x14ac:dyDescent="0.3">
      <c r="B5" s="4" t="s">
        <v>205</v>
      </c>
      <c r="C5" t="s">
        <v>206</v>
      </c>
      <c r="D5" s="37">
        <f>'Executive Summary'!C9*C23/1000000</f>
        <v>9186111.0285669994</v>
      </c>
      <c r="E5" s="37">
        <f>D5+C24</f>
        <v>13665097.028566999</v>
      </c>
      <c r="F5" s="37">
        <v>4505720</v>
      </c>
      <c r="G5" s="37">
        <v>1185578</v>
      </c>
      <c r="H5" s="37">
        <v>464451</v>
      </c>
      <c r="I5" s="37">
        <v>-152390</v>
      </c>
      <c r="J5" s="38">
        <f>IFERROR(E5/G5,"")</f>
        <v>11.526105434283531</v>
      </c>
      <c r="K5" s="38">
        <f>IFERROR(E5/F5,"")</f>
        <v>3.0328331606418062</v>
      </c>
      <c r="L5" s="39" t="s">
        <v>207</v>
      </c>
      <c r="M5" s="38">
        <f>IFERROR(D5/P5,"")</f>
        <v>1.2364471335820555</v>
      </c>
      <c r="N5" s="40">
        <f>IFERROR(H5/F5,"")</f>
        <v>0.10308030681001039</v>
      </c>
      <c r="O5" s="40">
        <f>IFERROR(I5/P5,"")</f>
        <v>-2.0511637416597023E-2</v>
      </c>
      <c r="P5" s="37">
        <v>7429441</v>
      </c>
    </row>
    <row r="6" spans="2:17" ht="14" x14ac:dyDescent="0.3">
      <c r="B6" s="4" t="s">
        <v>208</v>
      </c>
      <c r="C6" t="s">
        <v>209</v>
      </c>
      <c r="D6" s="37">
        <v>5084111</v>
      </c>
      <c r="E6" s="37">
        <v>4934785</v>
      </c>
      <c r="F6" s="37">
        <v>2123045</v>
      </c>
      <c r="G6" s="37">
        <v>306549</v>
      </c>
      <c r="H6" s="37">
        <v>229089</v>
      </c>
      <c r="I6" s="37">
        <v>259874</v>
      </c>
      <c r="J6" s="38">
        <f>IFERROR(E6/G6,"")</f>
        <v>16.097866898929698</v>
      </c>
      <c r="K6" s="38">
        <f>IFERROR(E6/F6,"")</f>
        <v>2.3243902036932802</v>
      </c>
      <c r="L6" s="38">
        <f>IFERROR(D6/I6,"")</f>
        <v>19.563753973079262</v>
      </c>
      <c r="M6" s="38">
        <f>IFERROR(D6/P6,"")</f>
        <v>3.0550265326025627</v>
      </c>
      <c r="N6" s="40">
        <f>IFERROR(H6/F6,"")</f>
        <v>0.10790586162799187</v>
      </c>
      <c r="O6" s="40">
        <f>IFERROR(I6/P6,"")</f>
        <v>0.1561574806556266</v>
      </c>
      <c r="P6" s="37">
        <v>1664179</v>
      </c>
    </row>
    <row r="7" spans="2:17" ht="14" x14ac:dyDescent="0.3">
      <c r="B7" s="4" t="s">
        <v>210</v>
      </c>
      <c r="C7" t="s">
        <v>211</v>
      </c>
      <c r="D7" s="37">
        <v>4223444</v>
      </c>
      <c r="E7" s="37">
        <v>4507791</v>
      </c>
      <c r="F7" s="37">
        <v>2139245</v>
      </c>
      <c r="G7" s="37">
        <v>574653</v>
      </c>
      <c r="H7" s="37">
        <v>380059</v>
      </c>
      <c r="I7" s="37">
        <v>291535</v>
      </c>
      <c r="J7" s="38">
        <f>IFERROR(E7/G7,"")</f>
        <v>7.8443704287630966</v>
      </c>
      <c r="K7" s="38">
        <f>IFERROR(E7/F7,"")</f>
        <v>2.1071878162622792</v>
      </c>
      <c r="L7" s="38">
        <f>IFERROR(D7/I7,"")</f>
        <v>14.486919237827362</v>
      </c>
      <c r="M7" s="38">
        <f>IFERROR(D7/P7,"")</f>
        <v>2.3090991796807514</v>
      </c>
      <c r="N7" s="40">
        <f>IFERROR(H7/F7,"")</f>
        <v>0.17766034278448706</v>
      </c>
      <c r="O7" s="40">
        <f>IFERROR(I7/P7,"")</f>
        <v>0.15939201025235042</v>
      </c>
      <c r="P7" s="37">
        <v>1829044</v>
      </c>
    </row>
    <row r="8" spans="2:17" ht="14" x14ac:dyDescent="0.3">
      <c r="B8" s="4" t="s">
        <v>212</v>
      </c>
      <c r="C8" t="s">
        <v>213</v>
      </c>
      <c r="D8" s="37">
        <v>6320483</v>
      </c>
      <c r="E8" s="37">
        <v>6013813</v>
      </c>
      <c r="F8" s="37">
        <v>2468892</v>
      </c>
      <c r="G8" s="37">
        <v>588273</v>
      </c>
      <c r="H8" s="37">
        <v>472106</v>
      </c>
      <c r="I8" s="37">
        <v>363150</v>
      </c>
      <c r="J8" s="38">
        <f>IFERROR(E8/G8,"")</f>
        <v>10.222826816801042</v>
      </c>
      <c r="K8" s="38">
        <f>IFERROR(E8/F8,"")</f>
        <v>2.4358347793261106</v>
      </c>
      <c r="L8" s="38">
        <f>IFERROR(D8/I8,"")</f>
        <v>17.404606911744459</v>
      </c>
      <c r="M8" s="38">
        <f>IFERROR(D8/P8,"")</f>
        <v>2.0835996972418149</v>
      </c>
      <c r="N8" s="40">
        <f>IFERROR(H8/F8,"")</f>
        <v>0.191221811241642</v>
      </c>
      <c r="O8" s="40">
        <f>IFERROR(I8/P8,"")</f>
        <v>0.119715412580552</v>
      </c>
      <c r="P8" s="37">
        <v>3033444</v>
      </c>
    </row>
    <row r="9" spans="2:17" ht="14" x14ac:dyDescent="0.3">
      <c r="B9" s="4" t="s">
        <v>214</v>
      </c>
      <c r="C9" t="s">
        <v>215</v>
      </c>
      <c r="D9" s="37">
        <v>2476073</v>
      </c>
      <c r="E9" s="37">
        <v>2449070</v>
      </c>
      <c r="F9" s="37">
        <v>499677</v>
      </c>
      <c r="G9" s="37">
        <v>193693</v>
      </c>
      <c r="H9" s="37">
        <v>166725</v>
      </c>
      <c r="I9" s="37">
        <v>205159</v>
      </c>
      <c r="J9" s="38">
        <f>IFERROR(E9/G9,"")</f>
        <v>12.644081097406721</v>
      </c>
      <c r="K9" s="38">
        <f>IFERROR(E9/F9,"")</f>
        <v>4.9013062438335169</v>
      </c>
      <c r="L9" s="38">
        <f>IFERROR(D9/I9,"")</f>
        <v>12.069044009768033</v>
      </c>
      <c r="M9" s="38">
        <f>IFERROR(D9/P9,"")</f>
        <v>1.4692920487890269</v>
      </c>
      <c r="N9" s="40">
        <f>IFERROR(H9/F9,"")</f>
        <v>0.3336655479439718</v>
      </c>
      <c r="O9" s="40">
        <f>IFERROR(I9/P9,"")</f>
        <v>0.12174054942544422</v>
      </c>
      <c r="P9" s="37">
        <v>1685215</v>
      </c>
    </row>
    <row r="14" spans="2:17" ht="14" x14ac:dyDescent="0.3">
      <c r="B14" s="3" t="s">
        <v>216</v>
      </c>
    </row>
    <row r="15" spans="2:17" ht="14" x14ac:dyDescent="0.3">
      <c r="B15" s="4" t="s">
        <v>217</v>
      </c>
      <c r="D15" s="38">
        <f t="shared" ref="D15:I15" si="0">PERCENTILE(J6:J9,0.25)</f>
        <v>9.6282127197915557</v>
      </c>
      <c r="E15" s="38">
        <f t="shared" si="0"/>
        <v>2.2700896068355298</v>
      </c>
      <c r="F15" s="38">
        <f t="shared" si="0"/>
        <v>13.882450430812529</v>
      </c>
      <c r="G15" s="38">
        <f t="shared" si="0"/>
        <v>1.9300227851286178</v>
      </c>
      <c r="H15" s="40">
        <f t="shared" si="0"/>
        <v>0.16022172249536326</v>
      </c>
      <c r="I15" s="40">
        <f t="shared" si="0"/>
        <v>0.12123426521422118</v>
      </c>
    </row>
    <row r="16" spans="2:17" ht="14" x14ac:dyDescent="0.3">
      <c r="B16" s="4" t="s">
        <v>218</v>
      </c>
      <c r="D16" s="38">
        <f t="shared" ref="D16:I16" si="1">MEDIAN(J6:J9)</f>
        <v>11.433453957103882</v>
      </c>
      <c r="E16" s="38">
        <f t="shared" si="1"/>
        <v>2.3801124915096956</v>
      </c>
      <c r="F16" s="38">
        <f t="shared" si="1"/>
        <v>15.94576307478591</v>
      </c>
      <c r="G16" s="38">
        <f t="shared" si="1"/>
        <v>2.1963494384612829</v>
      </c>
      <c r="H16" s="40">
        <f t="shared" si="1"/>
        <v>0.18444107701306453</v>
      </c>
      <c r="I16" s="40">
        <f t="shared" si="1"/>
        <v>0.13894901504053542</v>
      </c>
    </row>
    <row r="17" spans="2:9" ht="14" x14ac:dyDescent="0.3">
      <c r="B17" s="4" t="s">
        <v>219</v>
      </c>
      <c r="D17" s="38">
        <f t="shared" ref="D17:I17" si="2">PERCENTILE(J6:J9,0.75)</f>
        <v>13.507527547787465</v>
      </c>
      <c r="E17" s="38">
        <f t="shared" si="2"/>
        <v>3.052202645452962</v>
      </c>
      <c r="F17" s="38">
        <f t="shared" si="2"/>
        <v>17.94439367707816</v>
      </c>
      <c r="G17" s="38">
        <f t="shared" si="2"/>
        <v>2.4955810179112041</v>
      </c>
      <c r="H17" s="40">
        <f t="shared" si="2"/>
        <v>0.22683274541722445</v>
      </c>
      <c r="I17" s="40">
        <f t="shared" si="2"/>
        <v>0.15696611305480757</v>
      </c>
    </row>
    <row r="19" spans="2:9" ht="14" x14ac:dyDescent="0.3">
      <c r="B19" s="22" t="s">
        <v>220</v>
      </c>
      <c r="C19" s="23"/>
      <c r="D19" s="23"/>
      <c r="E19" s="23"/>
      <c r="F19" s="23"/>
      <c r="G19" s="23"/>
      <c r="H19" s="23"/>
      <c r="I19" s="23"/>
    </row>
    <row r="20" spans="2:9" ht="14" x14ac:dyDescent="0.3">
      <c r="B20" s="3" t="s">
        <v>221</v>
      </c>
    </row>
    <row r="21" spans="2:9" ht="14" x14ac:dyDescent="0.3">
      <c r="B21" s="4" t="s">
        <v>222</v>
      </c>
      <c r="C21" s="5">
        <v>1185578</v>
      </c>
    </row>
    <row r="22" spans="2:9" ht="14" x14ac:dyDescent="0.3">
      <c r="B22" s="4" t="s">
        <v>223</v>
      </c>
      <c r="C22" s="5">
        <v>-152390</v>
      </c>
    </row>
    <row r="23" spans="2:9" ht="14" x14ac:dyDescent="0.3">
      <c r="B23" s="4" t="s">
        <v>224</v>
      </c>
      <c r="C23" s="15">
        <v>1596751439</v>
      </c>
    </row>
    <row r="24" spans="2:9" ht="14" x14ac:dyDescent="0.3">
      <c r="B24" s="4" t="s">
        <v>66</v>
      </c>
      <c r="C24" s="5">
        <v>4478986</v>
      </c>
    </row>
    <row r="26" spans="2:9" ht="14" x14ac:dyDescent="0.3">
      <c r="B26" s="3" t="s">
        <v>225</v>
      </c>
    </row>
    <row r="27" spans="2:9" ht="14" x14ac:dyDescent="0.3">
      <c r="B27" s="4" t="s">
        <v>226</v>
      </c>
      <c r="C27" s="24">
        <f>ROUND((C21*D16-C24)*1000000/C23,0)</f>
        <v>5684</v>
      </c>
    </row>
    <row r="28" spans="2:9" ht="14" x14ac:dyDescent="0.3">
      <c r="B28" s="4" t="s">
        <v>227</v>
      </c>
      <c r="C28" s="41" t="s">
        <v>207</v>
      </c>
      <c r="D28" s="1" t="s">
        <v>228</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229</v>
      </c>
    </row>
    <row r="3" spans="2:9" ht="14" x14ac:dyDescent="0.3">
      <c r="B3" s="4" t="s">
        <v>230</v>
      </c>
      <c r="C3" s="16">
        <f>'DCF Model'!C26</f>
        <v>5.7467303038451198E-2</v>
      </c>
      <c r="E3" s="4" t="s">
        <v>231</v>
      </c>
      <c r="F3" s="16">
        <f>'DCF Model'!C13</f>
        <v>0.01</v>
      </c>
      <c r="H3" s="4" t="s">
        <v>232</v>
      </c>
      <c r="I3" s="14">
        <f>'DCF Model'!C14</f>
        <v>11.4</v>
      </c>
    </row>
    <row r="5" spans="2:9" ht="14" x14ac:dyDescent="0.3">
      <c r="B5" s="3" t="s">
        <v>233</v>
      </c>
    </row>
    <row r="6" spans="2:9" ht="14" x14ac:dyDescent="0.3">
      <c r="B6" s="42" t="s">
        <v>234</v>
      </c>
      <c r="C6" s="43">
        <f>$F$3-0.0075</f>
        <v>2.5000000000000005E-3</v>
      </c>
      <c r="D6" s="43">
        <f>$F$3-0.005</f>
        <v>5.0000000000000001E-3</v>
      </c>
      <c r="E6" s="43">
        <f>$F$3-0.0025</f>
        <v>7.4999999999999997E-3</v>
      </c>
      <c r="F6" s="43">
        <f>$F$3</f>
        <v>0.01</v>
      </c>
      <c r="G6" s="43">
        <f>$F$3+0.0025</f>
        <v>1.2500000000000001E-2</v>
      </c>
      <c r="H6" s="43">
        <f>$F$3+0.005</f>
        <v>1.4999999999999999E-2</v>
      </c>
      <c r="I6" s="43">
        <f>$F$3+0.0075</f>
        <v>1.7500000000000002E-2</v>
      </c>
    </row>
    <row r="7" spans="2:9" ht="13.5" x14ac:dyDescent="0.25">
      <c r="B7" s="40">
        <f>$C$3-0.015</f>
        <v>4.2467303038451198E-2</v>
      </c>
      <c r="C7" s="37">
        <f>IFERROR(ROUND(('DCF Model'!C45/(1+$B7)^('DCF Model'!C19+0)+'DCF Model'!D45/(1+$B7)^('DCF Model'!C19+1)+'DCF Model'!E45/(1+$B7)^('DCF Model'!C19+2)+'DCF Model'!F45/(1+$B7)^('DCF Model'!C19+3)+'DCF Model'!G45/(1+$B7)^('DCF Model'!C19+4)+'DCF Model'!G45*(1+C$6)/($B7-C$6)/(1+$B7)^('DCF Model'!C19+4)-'DCF Model'!C16)*1000000/'DCF Model'!C15,0),"")</f>
        <v>3656</v>
      </c>
      <c r="D7" s="37">
        <f>IFERROR(ROUND(('DCF Model'!C45/(1+$B7)^('DCF Model'!C19+0)+'DCF Model'!D45/(1+$B7)^('DCF Model'!C19+1)+'DCF Model'!E45/(1+$B7)^('DCF Model'!C19+2)+'DCF Model'!F45/(1+$B7)^('DCF Model'!C19+3)+'DCF Model'!G45/(1+$B7)^('DCF Model'!C19+4)+'DCF Model'!G45*(1+D$6)/($B7-D$6)/(1+$B7)^('DCF Model'!C19+4)-'DCF Model'!C16)*1000000/'DCF Model'!C15,0),"")</f>
        <v>3996</v>
      </c>
      <c r="E7" s="37">
        <f>IFERROR(ROUND(('DCF Model'!C45/(1+$B7)^('DCF Model'!C19+0)+'DCF Model'!D45/(1+$B7)^('DCF Model'!C19+1)+'DCF Model'!E45/(1+$B7)^('DCF Model'!C19+2)+'DCF Model'!F45/(1+$B7)^('DCF Model'!C19+3)+'DCF Model'!G45/(1+$B7)^('DCF Model'!C19+4)+'DCF Model'!G45*(1+E$6)/($B7-E$6)/(1+$B7)^('DCF Model'!C19+4)-'DCF Model'!C16)*1000000/'DCF Model'!C15,0),"")</f>
        <v>4385</v>
      </c>
      <c r="F7" s="37">
        <f>IFERROR(ROUND(('DCF Model'!C45/(1+$B7)^('DCF Model'!C19+0)+'DCF Model'!D45/(1+$B7)^('DCF Model'!C19+1)+'DCF Model'!E45/(1+$B7)^('DCF Model'!C19+2)+'DCF Model'!F45/(1+$B7)^('DCF Model'!C19+3)+'DCF Model'!G45/(1+$B7)^('DCF Model'!C19+4)+'DCF Model'!G45*(1+F$6)/($B7-F$6)/(1+$B7)^('DCF Model'!C19+4)-'DCF Model'!C16)*1000000/'DCF Model'!C15,0),"")</f>
        <v>4834</v>
      </c>
      <c r="G7" s="37">
        <f>IFERROR(ROUND(('DCF Model'!C45/(1+$B7)^('DCF Model'!C19+0)+'DCF Model'!D45/(1+$B7)^('DCF Model'!C19+1)+'DCF Model'!E45/(1+$B7)^('DCF Model'!C19+2)+'DCF Model'!F45/(1+$B7)^('DCF Model'!C19+3)+'DCF Model'!G45/(1+$B7)^('DCF Model'!C19+4)+'DCF Model'!G45*(1+G$6)/($B7-G$6)/(1+$B7)^('DCF Model'!C19+4)-'DCF Model'!C16)*1000000/'DCF Model'!C15,0),"")</f>
        <v>5357</v>
      </c>
      <c r="H7" s="37">
        <f>IFERROR(ROUND(('DCF Model'!C45/(1+$B7)^('DCF Model'!C19+0)+'DCF Model'!D45/(1+$B7)^('DCF Model'!C19+1)+'DCF Model'!E45/(1+$B7)^('DCF Model'!C19+2)+'DCF Model'!F45/(1+$B7)^('DCF Model'!C19+3)+'DCF Model'!G45/(1+$B7)^('DCF Model'!C19+4)+'DCF Model'!G45*(1+H$6)/($B7-H$6)/(1+$B7)^('DCF Model'!C19+4)-'DCF Model'!C16)*1000000/'DCF Model'!C15,0),"")</f>
        <v>5976</v>
      </c>
      <c r="I7" s="37">
        <f>IFERROR(ROUND(('DCF Model'!C45/(1+$B7)^('DCF Model'!C19+0)+'DCF Model'!D45/(1+$B7)^('DCF Model'!C19+1)+'DCF Model'!E45/(1+$B7)^('DCF Model'!C19+2)+'DCF Model'!F45/(1+$B7)^('DCF Model'!C19+3)+'DCF Model'!G45/(1+$B7)^('DCF Model'!C19+4)+'DCF Model'!G45*(1+I$6)/($B7-I$6)/(1+$B7)^('DCF Model'!C19+4)-'DCF Model'!C16)*1000000/'DCF Model'!C15,0),"")</f>
        <v>6719</v>
      </c>
    </row>
    <row r="8" spans="2:9" ht="13.5" x14ac:dyDescent="0.25">
      <c r="B8" s="40">
        <f>$C$3-0.01</f>
        <v>4.7467303038451196E-2</v>
      </c>
      <c r="C8" s="37">
        <f>IFERROR(ROUND(('DCF Model'!C45/(1+$B8)^('DCF Model'!C19+0)+'DCF Model'!D45/(1+$B8)^('DCF Model'!C19+1)+'DCF Model'!E45/(1+$B8)^('DCF Model'!C19+2)+'DCF Model'!F45/(1+$B8)^('DCF Model'!C19+3)+'DCF Model'!G45/(1+$B8)^('DCF Model'!C19+4)+'DCF Model'!G45*(1+C$6)/($B8-C$6)/(1+$B8)^('DCF Model'!C19+4)-'DCF Model'!C16)*1000000/'DCF Model'!C15,0),"")</f>
        <v>2997</v>
      </c>
      <c r="D8" s="37">
        <f>IFERROR(ROUND(('DCF Model'!C45/(1+$B8)^('DCF Model'!C19+0)+'DCF Model'!D45/(1+$B8)^('DCF Model'!C19+1)+'DCF Model'!E45/(1+$B8)^('DCF Model'!C19+2)+'DCF Model'!F45/(1+$B8)^('DCF Model'!C19+3)+'DCF Model'!G45/(1+$B8)^('DCF Model'!C19+4)+'DCF Model'!G45*(1+D$6)/($B8-D$6)/(1+$B8)^('DCF Model'!C19+4)-'DCF Model'!C16)*1000000/'DCF Model'!C15,0),"")</f>
        <v>3259</v>
      </c>
      <c r="E8" s="37">
        <f>IFERROR(ROUND(('DCF Model'!C45/(1+$B8)^('DCF Model'!C19+0)+'DCF Model'!D45/(1+$B8)^('DCF Model'!C19+1)+'DCF Model'!E45/(1+$B8)^('DCF Model'!C19+2)+'DCF Model'!F45/(1+$B8)^('DCF Model'!C19+3)+'DCF Model'!G45/(1+$B8)^('DCF Model'!C19+4)+'DCF Model'!G45*(1+E$6)/($B8-E$6)/(1+$B8)^('DCF Model'!C19+4)-'DCF Model'!C16)*1000000/'DCF Model'!C15,0),"")</f>
        <v>3553</v>
      </c>
      <c r="F8" s="37">
        <f>IFERROR(ROUND(('DCF Model'!C45/(1+$B8)^('DCF Model'!C19+0)+'DCF Model'!D45/(1+$B8)^('DCF Model'!C19+1)+'DCF Model'!E45/(1+$B8)^('DCF Model'!C19+2)+'DCF Model'!F45/(1+$B8)^('DCF Model'!C19+3)+'DCF Model'!G45/(1+$B8)^('DCF Model'!C19+4)+'DCF Model'!G45*(1+F$6)/($B8-F$6)/(1+$B8)^('DCF Model'!C19+4)-'DCF Model'!C16)*1000000/'DCF Model'!C15,0),"")</f>
        <v>3888</v>
      </c>
      <c r="G8" s="37">
        <f>IFERROR(ROUND(('DCF Model'!C45/(1+$B8)^('DCF Model'!C19+0)+'DCF Model'!D45/(1+$B8)^('DCF Model'!C19+1)+'DCF Model'!E45/(1+$B8)^('DCF Model'!C19+2)+'DCF Model'!F45/(1+$B8)^('DCF Model'!C19+3)+'DCF Model'!G45/(1+$B8)^('DCF Model'!C19+4)+'DCF Model'!G45*(1+G$6)/($B8-G$6)/(1+$B8)^('DCF Model'!C19+4)-'DCF Model'!C16)*1000000/'DCF Model'!C15,0),"")</f>
        <v>4269</v>
      </c>
      <c r="H8" s="37">
        <f>IFERROR(ROUND(('DCF Model'!C45/(1+$B8)^('DCF Model'!C19+0)+'DCF Model'!D45/(1+$B8)^('DCF Model'!C19+1)+'DCF Model'!E45/(1+$B8)^('DCF Model'!C19+2)+'DCF Model'!F45/(1+$B8)^('DCF Model'!C19+3)+'DCF Model'!G45/(1+$B8)^('DCF Model'!C19+4)+'DCF Model'!G45*(1+H$6)/($B8-H$6)/(1+$B8)^('DCF Model'!C19+4)-'DCF Model'!C16)*1000000/'DCF Model'!C15,0),"")</f>
        <v>4710</v>
      </c>
      <c r="I8" s="37">
        <f>IFERROR(ROUND(('DCF Model'!C45/(1+$B8)^('DCF Model'!C19+0)+'DCF Model'!D45/(1+$B8)^('DCF Model'!C19+1)+'DCF Model'!E45/(1+$B8)^('DCF Model'!C19+2)+'DCF Model'!F45/(1+$B8)^('DCF Model'!C19+3)+'DCF Model'!G45/(1+$B8)^('DCF Model'!C19+4)+'DCF Model'!G45*(1+I$6)/($B8-I$6)/(1+$B8)^('DCF Model'!C19+4)-'DCF Model'!C16)*1000000/'DCF Model'!C15,0),"")</f>
        <v>5224</v>
      </c>
    </row>
    <row r="9" spans="2:9" ht="13.5" x14ac:dyDescent="0.25">
      <c r="B9" s="40">
        <f>$C$3-0.005</f>
        <v>5.24673030384512E-2</v>
      </c>
      <c r="C9" s="37">
        <f>IFERROR(ROUND(('DCF Model'!C45/(1+$B9)^('DCF Model'!C19+0)+'DCF Model'!D45/(1+$B9)^('DCF Model'!C19+1)+'DCF Model'!E45/(1+$B9)^('DCF Model'!C19+2)+'DCF Model'!F45/(1+$B9)^('DCF Model'!C19+3)+'DCF Model'!G45/(1+$B9)^('DCF Model'!C19+4)+'DCF Model'!G45*(1+C$6)/($B9-C$6)/(1+$B9)^('DCF Model'!C19+4)-'DCF Model'!C16)*1000000/'DCF Model'!C15,0),"")</f>
        <v>2469</v>
      </c>
      <c r="D9" s="37">
        <f>IFERROR(ROUND(('DCF Model'!C45/(1+$B9)^('DCF Model'!C19+0)+'DCF Model'!D45/(1+$B9)^('DCF Model'!C19+1)+'DCF Model'!E45/(1+$B9)^('DCF Model'!C19+2)+'DCF Model'!F45/(1+$B9)^('DCF Model'!C19+3)+'DCF Model'!G45/(1+$B9)^('DCF Model'!C19+4)+'DCF Model'!G45*(1+D$6)/($B9-D$6)/(1+$B9)^('DCF Model'!C19+4)-'DCF Model'!C16)*1000000/'DCF Model'!C15,0),"")</f>
        <v>2676</v>
      </c>
      <c r="E9" s="37">
        <f>IFERROR(ROUND(('DCF Model'!C45/(1+$B9)^('DCF Model'!C19+0)+'DCF Model'!D45/(1+$B9)^('DCF Model'!C19+1)+'DCF Model'!E45/(1+$B9)^('DCF Model'!C19+2)+'DCF Model'!F45/(1+$B9)^('DCF Model'!C19+3)+'DCF Model'!G45/(1+$B9)^('DCF Model'!C19+4)+'DCF Model'!G45*(1+E$6)/($B9-E$6)/(1+$B9)^('DCF Model'!C19+4)-'DCF Model'!C16)*1000000/'DCF Model'!C15,0),"")</f>
        <v>2906</v>
      </c>
      <c r="F9" s="37">
        <f>IFERROR(ROUND(('DCF Model'!C45/(1+$B9)^('DCF Model'!C19+0)+'DCF Model'!D45/(1+$B9)^('DCF Model'!C19+1)+'DCF Model'!E45/(1+$B9)^('DCF Model'!C19+2)+'DCF Model'!F45/(1+$B9)^('DCF Model'!C19+3)+'DCF Model'!G45/(1+$B9)^('DCF Model'!C19+4)+'DCF Model'!G45*(1+F$6)/($B9-F$6)/(1+$B9)^('DCF Model'!C19+4)-'DCF Model'!C16)*1000000/'DCF Model'!C15,0),"")</f>
        <v>3163</v>
      </c>
      <c r="G9" s="37">
        <f>IFERROR(ROUND(('DCF Model'!C45/(1+$B9)^('DCF Model'!C19+0)+'DCF Model'!D45/(1+$B9)^('DCF Model'!C19+1)+'DCF Model'!E45/(1+$B9)^('DCF Model'!C19+2)+'DCF Model'!F45/(1+$B9)^('DCF Model'!C19+3)+'DCF Model'!G45/(1+$B9)^('DCF Model'!C19+4)+'DCF Model'!G45*(1+G$6)/($B9-G$6)/(1+$B9)^('DCF Model'!C19+4)-'DCF Model'!C16)*1000000/'DCF Model'!C15,0),"")</f>
        <v>3453</v>
      </c>
      <c r="H9" s="37">
        <f>IFERROR(ROUND(('DCF Model'!C45/(1+$B9)^('DCF Model'!C19+0)+'DCF Model'!D45/(1+$B9)^('DCF Model'!C19+1)+'DCF Model'!E45/(1+$B9)^('DCF Model'!C19+2)+'DCF Model'!F45/(1+$B9)^('DCF Model'!C19+3)+'DCF Model'!G45/(1+$B9)^('DCF Model'!C19+4)+'DCF Model'!G45*(1+H$6)/($B9-H$6)/(1+$B9)^('DCF Model'!C19+4)-'DCF Model'!C16)*1000000/'DCF Model'!C15,0),"")</f>
        <v>3781</v>
      </c>
      <c r="I9" s="37">
        <f>IFERROR(ROUND(('DCF Model'!C45/(1+$B9)^('DCF Model'!C19+0)+'DCF Model'!D45/(1+$B9)^('DCF Model'!C19+1)+'DCF Model'!E45/(1+$B9)^('DCF Model'!C19+2)+'DCF Model'!F45/(1+$B9)^('DCF Model'!C19+3)+'DCF Model'!G45/(1+$B9)^('DCF Model'!C19+4)+'DCF Model'!G45*(1+I$6)/($B9-I$6)/(1+$B9)^('DCF Model'!C19+4)-'DCF Model'!C16)*1000000/'DCF Model'!C15,0),"")</f>
        <v>4156</v>
      </c>
    </row>
    <row r="10" spans="2:9" ht="13.5" x14ac:dyDescent="0.25">
      <c r="B10" s="40">
        <f>$C$3</f>
        <v>5.7467303038451198E-2</v>
      </c>
      <c r="C10" s="37">
        <f>IFERROR(ROUND(('DCF Model'!C45/(1+$B10)^('DCF Model'!C19+0)+'DCF Model'!D45/(1+$B10)^('DCF Model'!C19+1)+'DCF Model'!E45/(1+$B10)^('DCF Model'!C19+2)+'DCF Model'!F45/(1+$B10)^('DCF Model'!C19+3)+'DCF Model'!G45/(1+$B10)^('DCF Model'!C19+4)+'DCF Model'!G45*(1+C$6)/($B10-C$6)/(1+$B10)^('DCF Model'!C19+4)-'DCF Model'!C16)*1000000/'DCF Model'!C15,0),"")</f>
        <v>2036</v>
      </c>
      <c r="D10" s="37">
        <f>IFERROR(ROUND(('DCF Model'!C45/(1+$B10)^('DCF Model'!C19+0)+'DCF Model'!D45/(1+$B10)^('DCF Model'!C19+1)+'DCF Model'!E45/(1+$B10)^('DCF Model'!C19+2)+'DCF Model'!F45/(1+$B10)^('DCF Model'!C19+3)+'DCF Model'!G45/(1+$B10)^('DCF Model'!C19+4)+'DCF Model'!G45*(1+D$6)/($B10-D$6)/(1+$B10)^('DCF Model'!C19+4)-'DCF Model'!C16)*1000000/'DCF Model'!C15,0),"")</f>
        <v>2203</v>
      </c>
      <c r="E10" s="37">
        <f>IFERROR(ROUND(('DCF Model'!C45/(1+$B10)^('DCF Model'!C19+0)+'DCF Model'!D45/(1+$B10)^('DCF Model'!C19+1)+'DCF Model'!E45/(1+$B10)^('DCF Model'!C19+2)+'DCF Model'!F45/(1+$B10)^('DCF Model'!C19+3)+'DCF Model'!G45/(1+$B10)^('DCF Model'!C19+4)+'DCF Model'!G45*(1+E$6)/($B10-E$6)/(1+$B10)^('DCF Model'!C19+4)-'DCF Model'!C16)*1000000/'DCF Model'!C15,0),"")</f>
        <v>2387</v>
      </c>
      <c r="F10" s="37">
        <f>IFERROR(ROUND(('DCF Model'!C45/(1+$B10)^('DCF Model'!C19+0)+'DCF Model'!D45/(1+$B10)^('DCF Model'!C19+1)+'DCF Model'!E45/(1+$B10)^('DCF Model'!C19+2)+'DCF Model'!F45/(1+$B10)^('DCF Model'!C19+3)+'DCF Model'!G45/(1+$B10)^('DCF Model'!C19+4)+'DCF Model'!G45*(1+F$6)/($B10-F$6)/(1+$B10)^('DCF Model'!C19+4)-'DCF Model'!C16)*1000000/'DCF Model'!C15,0),"")</f>
        <v>2591</v>
      </c>
      <c r="G10" s="37">
        <f>IFERROR(ROUND(('DCF Model'!C45/(1+$B10)^('DCF Model'!C19+0)+'DCF Model'!D45/(1+$B10)^('DCF Model'!C19+1)+'DCF Model'!E45/(1+$B10)^('DCF Model'!C19+2)+'DCF Model'!F45/(1+$B10)^('DCF Model'!C19+3)+'DCF Model'!G45/(1+$B10)^('DCF Model'!C19+4)+'DCF Model'!G45*(1+G$6)/($B10-G$6)/(1+$B10)^('DCF Model'!C19+4)-'DCF Model'!C16)*1000000/'DCF Model'!C15,0),"")</f>
        <v>2817</v>
      </c>
      <c r="H10" s="37">
        <f>IFERROR(ROUND(('DCF Model'!C45/(1+$B10)^('DCF Model'!C19+0)+'DCF Model'!D45/(1+$B10)^('DCF Model'!C19+1)+'DCF Model'!E45/(1+$B10)^('DCF Model'!C19+2)+'DCF Model'!F45/(1+$B10)^('DCF Model'!C19+3)+'DCF Model'!G45/(1+$B10)^('DCF Model'!C19+4)+'DCF Model'!G45*(1+H$6)/($B10-H$6)/(1+$B10)^('DCF Model'!C19+4)-'DCF Model'!C16)*1000000/'DCF Model'!C15,0),"")</f>
        <v>3070</v>
      </c>
      <c r="I10" s="37">
        <f>IFERROR(ROUND(('DCF Model'!C45/(1+$B10)^('DCF Model'!C19+0)+'DCF Model'!D45/(1+$B10)^('DCF Model'!C19+1)+'DCF Model'!E45/(1+$B10)^('DCF Model'!C19+2)+'DCF Model'!F45/(1+$B10)^('DCF Model'!C19+3)+'DCF Model'!G45/(1+$B10)^('DCF Model'!C19+4)+'DCF Model'!G45*(1+I$6)/($B10-I$6)/(1+$B10)^('DCF Model'!C19+4)-'DCF Model'!C16)*1000000/'DCF Model'!C15,0),"")</f>
        <v>3354</v>
      </c>
    </row>
    <row r="11" spans="2:9" ht="13.5" x14ac:dyDescent="0.25">
      <c r="B11" s="40">
        <f>$C$3+0.005</f>
        <v>6.2467303038451195E-2</v>
      </c>
      <c r="C11" s="37">
        <f>IFERROR(ROUND(('DCF Model'!C45/(1+$B11)^('DCF Model'!C19+0)+'DCF Model'!D45/(1+$B11)^('DCF Model'!C19+1)+'DCF Model'!E45/(1+$B11)^('DCF Model'!C19+2)+'DCF Model'!F45/(1+$B11)^('DCF Model'!C19+3)+'DCF Model'!G45/(1+$B11)^('DCF Model'!C19+4)+'DCF Model'!G45*(1+C$6)/($B11-C$6)/(1+$B11)^('DCF Model'!C19+4)-'DCF Model'!C16)*1000000/'DCF Model'!C15,0),"")</f>
        <v>1675</v>
      </c>
      <c r="D11" s="37">
        <f>IFERROR(ROUND(('DCF Model'!C45/(1+$B11)^('DCF Model'!C19+0)+'DCF Model'!D45/(1+$B11)^('DCF Model'!C19+1)+'DCF Model'!E45/(1+$B11)^('DCF Model'!C19+2)+'DCF Model'!F45/(1+$B11)^('DCF Model'!C19+3)+'DCF Model'!G45/(1+$B11)^('DCF Model'!C19+4)+'DCF Model'!G45*(1+D$6)/($B11-D$6)/(1+$B11)^('DCF Model'!C19+4)-'DCF Model'!C16)*1000000/'DCF Model'!C15,0),"")</f>
        <v>1813</v>
      </c>
      <c r="E11" s="37">
        <f>IFERROR(ROUND(('DCF Model'!C45/(1+$B11)^('DCF Model'!C19+0)+'DCF Model'!D45/(1+$B11)^('DCF Model'!C19+1)+'DCF Model'!E45/(1+$B11)^('DCF Model'!C19+2)+'DCF Model'!F45/(1+$B11)^('DCF Model'!C19+3)+'DCF Model'!G45/(1+$B11)^('DCF Model'!C19+4)+'DCF Model'!G45*(1+E$6)/($B11-E$6)/(1+$B11)^('DCF Model'!C19+4)-'DCF Model'!C16)*1000000/'DCF Model'!C15,0),"")</f>
        <v>1963</v>
      </c>
      <c r="F11" s="37">
        <f>IFERROR(ROUND(('DCF Model'!C45/(1+$B11)^('DCF Model'!C19+0)+'DCF Model'!D45/(1+$B11)^('DCF Model'!C19+1)+'DCF Model'!E45/(1+$B11)^('DCF Model'!C19+2)+'DCF Model'!F45/(1+$B11)^('DCF Model'!C19+3)+'DCF Model'!G45/(1+$B11)^('DCF Model'!C19+4)+'DCF Model'!G45*(1+F$6)/($B11-F$6)/(1+$B11)^('DCF Model'!C19+4)-'DCF Model'!C16)*1000000/'DCF Model'!C15,0),"")</f>
        <v>2127</v>
      </c>
      <c r="G11" s="37">
        <f>IFERROR(ROUND(('DCF Model'!C45/(1+$B11)^('DCF Model'!C19+0)+'DCF Model'!D45/(1+$B11)^('DCF Model'!C19+1)+'DCF Model'!E45/(1+$B11)^('DCF Model'!C19+2)+'DCF Model'!F45/(1+$B11)^('DCF Model'!C19+3)+'DCF Model'!G45/(1+$B11)^('DCF Model'!C19+4)+'DCF Model'!G45*(1+G$6)/($B11-G$6)/(1+$B11)^('DCF Model'!C19+4)-'DCF Model'!C16)*1000000/'DCF Model'!C15,0),"")</f>
        <v>2308</v>
      </c>
      <c r="H11" s="37">
        <f>IFERROR(ROUND(('DCF Model'!C45/(1+$B11)^('DCF Model'!C19+0)+'DCF Model'!D45/(1+$B11)^('DCF Model'!C19+1)+'DCF Model'!E45/(1+$B11)^('DCF Model'!C19+2)+'DCF Model'!F45/(1+$B11)^('DCF Model'!C19+3)+'DCF Model'!G45/(1+$B11)^('DCF Model'!C19+4)+'DCF Model'!G45*(1+H$6)/($B11-H$6)/(1+$B11)^('DCF Model'!C19+4)-'DCF Model'!C16)*1000000/'DCF Model'!C15,0),"")</f>
        <v>2508</v>
      </c>
      <c r="I11" s="37">
        <f>IFERROR(ROUND(('DCF Model'!C45/(1+$B11)^('DCF Model'!C19+0)+'DCF Model'!D45/(1+$B11)^('DCF Model'!C19+1)+'DCF Model'!E45/(1+$B11)^('DCF Model'!C19+2)+'DCF Model'!F45/(1+$B11)^('DCF Model'!C19+3)+'DCF Model'!G45/(1+$B11)^('DCF Model'!C19+4)+'DCF Model'!G45*(1+I$6)/($B11-I$6)/(1+$B11)^('DCF Model'!C19+4)-'DCF Model'!C16)*1000000/'DCF Model'!C15,0),"")</f>
        <v>2730</v>
      </c>
    </row>
    <row r="12" spans="2:9" ht="13.5" x14ac:dyDescent="0.25">
      <c r="B12" s="40">
        <f>$C$3+0.01</f>
        <v>6.7467303038451193E-2</v>
      </c>
      <c r="C12" s="37">
        <f>IFERROR(ROUND(('DCF Model'!C45/(1+$B12)^('DCF Model'!C19+0)+'DCF Model'!D45/(1+$B12)^('DCF Model'!C19+1)+'DCF Model'!E45/(1+$B12)^('DCF Model'!C19+2)+'DCF Model'!F45/(1+$B12)^('DCF Model'!C19+3)+'DCF Model'!G45/(1+$B12)^('DCF Model'!C19+4)+'DCF Model'!G45*(1+C$6)/($B12-C$6)/(1+$B12)^('DCF Model'!C19+4)-'DCF Model'!C16)*1000000/'DCF Model'!C15,0),"")</f>
        <v>1369</v>
      </c>
      <c r="D12" s="37">
        <f>IFERROR(ROUND(('DCF Model'!C45/(1+$B12)^('DCF Model'!C19+0)+'DCF Model'!D45/(1+$B12)^('DCF Model'!C19+1)+'DCF Model'!E45/(1+$B12)^('DCF Model'!C19+2)+'DCF Model'!F45/(1+$B12)^('DCF Model'!C19+3)+'DCF Model'!G45/(1+$B12)^('DCF Model'!C19+4)+'DCF Model'!G45*(1+D$6)/($B12-D$6)/(1+$B12)^('DCF Model'!C19+4)-'DCF Model'!C16)*1000000/'DCF Model'!C15,0),"")</f>
        <v>1484</v>
      </c>
      <c r="E12" s="37">
        <f>IFERROR(ROUND(('DCF Model'!C45/(1+$B12)^('DCF Model'!C19+0)+'DCF Model'!D45/(1+$B12)^('DCF Model'!C19+1)+'DCF Model'!E45/(1+$B12)^('DCF Model'!C19+2)+'DCF Model'!F45/(1+$B12)^('DCF Model'!C19+3)+'DCF Model'!G45/(1+$B12)^('DCF Model'!C19+4)+'DCF Model'!G45*(1+E$6)/($B12-E$6)/(1+$B12)^('DCF Model'!C19+4)-'DCF Model'!C16)*1000000/'DCF Model'!C15,0),"")</f>
        <v>1608</v>
      </c>
      <c r="F12" s="37">
        <f>IFERROR(ROUND(('DCF Model'!C45/(1+$B12)^('DCF Model'!C19+0)+'DCF Model'!D45/(1+$B12)^('DCF Model'!C19+1)+'DCF Model'!E45/(1+$B12)^('DCF Model'!C19+2)+'DCF Model'!F45/(1+$B12)^('DCF Model'!C19+3)+'DCF Model'!G45/(1+$B12)^('DCF Model'!C19+4)+'DCF Model'!G45*(1+F$6)/($B12-F$6)/(1+$B12)^('DCF Model'!C19+4)-'DCF Model'!C16)*1000000/'DCF Model'!C15,0),"")</f>
        <v>1744</v>
      </c>
      <c r="G12" s="37">
        <f>IFERROR(ROUND(('DCF Model'!C45/(1+$B12)^('DCF Model'!C19+0)+'DCF Model'!D45/(1+$B12)^('DCF Model'!C19+1)+'DCF Model'!E45/(1+$B12)^('DCF Model'!C19+2)+'DCF Model'!F45/(1+$B12)^('DCF Model'!C19+3)+'DCF Model'!G45/(1+$B12)^('DCF Model'!C19+4)+'DCF Model'!G45*(1+G$6)/($B12-G$6)/(1+$B12)^('DCF Model'!C19+4)-'DCF Model'!C16)*1000000/'DCF Model'!C15,0),"")</f>
        <v>1891</v>
      </c>
      <c r="H12" s="37">
        <f>IFERROR(ROUND(('DCF Model'!C45/(1+$B12)^('DCF Model'!C19+0)+'DCF Model'!D45/(1+$B12)^('DCF Model'!C19+1)+'DCF Model'!E45/(1+$B12)^('DCF Model'!C19+2)+'DCF Model'!F45/(1+$B12)^('DCF Model'!C19+3)+'DCF Model'!G45/(1+$B12)^('DCF Model'!C19+4)+'DCF Model'!G45*(1+H$6)/($B12-H$6)/(1+$B12)^('DCF Model'!C19+4)-'DCF Model'!C16)*1000000/'DCF Model'!C15,0),"")</f>
        <v>2053</v>
      </c>
      <c r="I12" s="37">
        <f>IFERROR(ROUND(('DCF Model'!C45/(1+$B12)^('DCF Model'!C19+0)+'DCF Model'!D45/(1+$B12)^('DCF Model'!C19+1)+'DCF Model'!E45/(1+$B12)^('DCF Model'!C19+2)+'DCF Model'!F45/(1+$B12)^('DCF Model'!C19+3)+'DCF Model'!G45/(1+$B12)^('DCF Model'!C19+4)+'DCF Model'!G45*(1+I$6)/($B12-I$6)/(1+$B12)^('DCF Model'!C19+4)-'DCF Model'!C16)*1000000/'DCF Model'!C15,0),"")</f>
        <v>2230</v>
      </c>
    </row>
    <row r="13" spans="2:9" ht="13.5" x14ac:dyDescent="0.25">
      <c r="B13" s="40">
        <f>$C$3+0.015</f>
        <v>7.2467303038451197E-2</v>
      </c>
      <c r="C13" s="37">
        <f>IFERROR(ROUND(('DCF Model'!C45/(1+$B13)^('DCF Model'!C19+0)+'DCF Model'!D45/(1+$B13)^('DCF Model'!C19+1)+'DCF Model'!E45/(1+$B13)^('DCF Model'!C19+2)+'DCF Model'!F45/(1+$B13)^('DCF Model'!C19+3)+'DCF Model'!G45/(1+$B13)^('DCF Model'!C19+4)+'DCF Model'!G45*(1+C$6)/($B13-C$6)/(1+$B13)^('DCF Model'!C19+4)-'DCF Model'!C16)*1000000/'DCF Model'!C15,0),"")</f>
        <v>1107</v>
      </c>
      <c r="D13" s="37">
        <f>IFERROR(ROUND(('DCF Model'!C45/(1+$B13)^('DCF Model'!C19+0)+'DCF Model'!D45/(1+$B13)^('DCF Model'!C19+1)+'DCF Model'!E45/(1+$B13)^('DCF Model'!C19+2)+'DCF Model'!F45/(1+$B13)^('DCF Model'!C19+3)+'DCF Model'!G45/(1+$B13)^('DCF Model'!C19+4)+'DCF Model'!G45*(1+D$6)/($B13-D$6)/(1+$B13)^('DCF Model'!C19+4)-'DCF Model'!C16)*1000000/'DCF Model'!C15,0),"")</f>
        <v>1204</v>
      </c>
      <c r="E13" s="37">
        <f>IFERROR(ROUND(('DCF Model'!C45/(1+$B13)^('DCF Model'!C19+0)+'DCF Model'!D45/(1+$B13)^('DCF Model'!C19+1)+'DCF Model'!E45/(1+$B13)^('DCF Model'!C19+2)+'DCF Model'!F45/(1+$B13)^('DCF Model'!C19+3)+'DCF Model'!G45/(1+$B13)^('DCF Model'!C19+4)+'DCF Model'!G45*(1+E$6)/($B13-E$6)/(1+$B13)^('DCF Model'!C19+4)-'DCF Model'!C16)*1000000/'DCF Model'!C15,0),"")</f>
        <v>1308</v>
      </c>
      <c r="F13" s="37">
        <f>IFERROR(ROUND(('DCF Model'!C45/(1+$B13)^('DCF Model'!C19+0)+'DCF Model'!D45/(1+$B13)^('DCF Model'!C19+1)+'DCF Model'!E45/(1+$B13)^('DCF Model'!C19+2)+'DCF Model'!F45/(1+$B13)^('DCF Model'!C19+3)+'DCF Model'!G45/(1+$B13)^('DCF Model'!C19+4)+'DCF Model'!G45*(1+F$6)/($B13-F$6)/(1+$B13)^('DCF Model'!C19+4)-'DCF Model'!C16)*1000000/'DCF Model'!C15,0),"")</f>
        <v>1421</v>
      </c>
      <c r="G13" s="37">
        <f>IFERROR(ROUND(('DCF Model'!C45/(1+$B13)^('DCF Model'!C19+0)+'DCF Model'!D45/(1+$B13)^('DCF Model'!C19+1)+'DCF Model'!E45/(1+$B13)^('DCF Model'!C19+2)+'DCF Model'!F45/(1+$B13)^('DCF Model'!C19+3)+'DCF Model'!G45/(1+$B13)^('DCF Model'!C19+4)+'DCF Model'!G45*(1+G$6)/($B13-G$6)/(1+$B13)^('DCF Model'!C19+4)-'DCF Model'!C16)*1000000/'DCF Model'!C15,0),"")</f>
        <v>1543</v>
      </c>
      <c r="H13" s="37">
        <f>IFERROR(ROUND(('DCF Model'!C45/(1+$B13)^('DCF Model'!C19+0)+'DCF Model'!D45/(1+$B13)^('DCF Model'!C19+1)+'DCF Model'!E45/(1+$B13)^('DCF Model'!C19+2)+'DCF Model'!F45/(1+$B13)^('DCF Model'!C19+3)+'DCF Model'!G45/(1+$B13)^('DCF Model'!C19+4)+'DCF Model'!G45*(1+H$6)/($B13-H$6)/(1+$B13)^('DCF Model'!C19+4)-'DCF Model'!C16)*1000000/'DCF Model'!C15,0),"")</f>
        <v>1676</v>
      </c>
      <c r="I13" s="37">
        <f>IFERROR(ROUND(('DCF Model'!C45/(1+$B13)^('DCF Model'!C19+0)+'DCF Model'!D45/(1+$B13)^('DCF Model'!C19+1)+'DCF Model'!E45/(1+$B13)^('DCF Model'!C19+2)+'DCF Model'!F45/(1+$B13)^('DCF Model'!C19+3)+'DCF Model'!G45/(1+$B13)^('DCF Model'!C19+4)+'DCF Model'!G45*(1+I$6)/($B13-I$6)/(1+$B13)^('DCF Model'!C19+4)-'DCF Model'!C16)*1000000/'DCF Model'!C15,0),"")</f>
        <v>1821</v>
      </c>
    </row>
    <row r="16" spans="2:9" ht="14" x14ac:dyDescent="0.3">
      <c r="B16" s="3" t="s">
        <v>235</v>
      </c>
    </row>
    <row r="17" spans="2:9" ht="14" x14ac:dyDescent="0.3">
      <c r="B17" s="42" t="s">
        <v>236</v>
      </c>
      <c r="C17" s="44">
        <f>$I$3-3</f>
        <v>8.4</v>
      </c>
      <c r="D17" s="44">
        <f>$I$3-2</f>
        <v>9.4</v>
      </c>
      <c r="E17" s="44">
        <f>$I$3-1</f>
        <v>10.4</v>
      </c>
      <c r="F17" s="44">
        <f>$I$3</f>
        <v>11.4</v>
      </c>
      <c r="G17" s="44">
        <f>$I$3+1</f>
        <v>12.4</v>
      </c>
      <c r="H17" s="44">
        <f>$I$3+2</f>
        <v>13.4</v>
      </c>
      <c r="I17" s="44">
        <f>$I$3+3</f>
        <v>14.4</v>
      </c>
    </row>
    <row r="18" spans="2:9" ht="13.5" x14ac:dyDescent="0.25">
      <c r="B18" s="40">
        <f>$C$3-0.015</f>
        <v>4.2467303038451198E-2</v>
      </c>
      <c r="C18" s="37">
        <f>IFERROR(ROUND(('DCF Model'!C45/(1+$B18)^('DCF Model'!C19+0)+'DCF Model'!D45/(1+$B18)^('DCF Model'!C19+1)+'DCF Model'!E45/(1+$B18)^('DCF Model'!C19+2)+'DCF Model'!F45/(1+$B18)^('DCF Model'!C19+3)+'DCF Model'!G45/(1+$B18)^('DCF Model'!C19+4)+('DCF Model'!G39+'DCF Model'!G42)*C$17/(1+$B18)^('DCF Model'!C19+4)-'DCF Model'!C16)*1000000/'DCF Model'!C15,0),"")</f>
        <v>3080</v>
      </c>
      <c r="D18" s="37">
        <f>IFERROR(ROUND(('DCF Model'!C45/(1+$B18)^('DCF Model'!C19+0)+'DCF Model'!D45/(1+$B18)^('DCF Model'!C19+1)+'DCF Model'!E45/(1+$B18)^('DCF Model'!C19+2)+'DCF Model'!F45/(1+$B18)^('DCF Model'!C19+3)+'DCF Model'!G45/(1+$B18)^('DCF Model'!C19+4)+('DCF Model'!G39+'DCF Model'!G42)*D$17/(1+$B18)^('DCF Model'!C19+4)-'DCF Model'!C16)*1000000/'DCF Model'!C15,0),"")</f>
        <v>3595</v>
      </c>
      <c r="E18" s="37">
        <f>IFERROR(ROUND(('DCF Model'!C45/(1+$B18)^('DCF Model'!C19+0)+'DCF Model'!D45/(1+$B18)^('DCF Model'!C19+1)+'DCF Model'!E45/(1+$B18)^('DCF Model'!C19+2)+'DCF Model'!F45/(1+$B18)^('DCF Model'!C19+3)+'DCF Model'!G45/(1+$B18)^('DCF Model'!C19+4)+('DCF Model'!G39+'DCF Model'!G42)*E$17/(1+$B18)^('DCF Model'!C19+4)-'DCF Model'!C16)*1000000/'DCF Model'!C15,0),"")</f>
        <v>4110</v>
      </c>
      <c r="F18" s="37">
        <f>IFERROR(ROUND(('DCF Model'!C45/(1+$B18)^('DCF Model'!C19+0)+'DCF Model'!D45/(1+$B18)^('DCF Model'!C19+1)+'DCF Model'!E45/(1+$B18)^('DCF Model'!C19+2)+'DCF Model'!F45/(1+$B18)^('DCF Model'!C19+3)+'DCF Model'!G45/(1+$B18)^('DCF Model'!C19+4)+('DCF Model'!G39+'DCF Model'!G42)*F$17/(1+$B18)^('DCF Model'!C19+4)-'DCF Model'!C16)*1000000/'DCF Model'!C15,0),"")</f>
        <v>4624</v>
      </c>
      <c r="G18" s="37">
        <f>IFERROR(ROUND(('DCF Model'!C45/(1+$B18)^('DCF Model'!C19+0)+'DCF Model'!D45/(1+$B18)^('DCF Model'!C19+1)+'DCF Model'!E45/(1+$B18)^('DCF Model'!C19+2)+'DCF Model'!F45/(1+$B18)^('DCF Model'!C19+3)+'DCF Model'!G45/(1+$B18)^('DCF Model'!C19+4)+('DCF Model'!G39+'DCF Model'!G42)*G$17/(1+$B18)^('DCF Model'!C19+4)-'DCF Model'!C16)*1000000/'DCF Model'!C15,0),"")</f>
        <v>5139</v>
      </c>
      <c r="H18" s="37">
        <f>IFERROR(ROUND(('DCF Model'!C45/(1+$B18)^('DCF Model'!C19+0)+'DCF Model'!D45/(1+$B18)^('DCF Model'!C19+1)+'DCF Model'!E45/(1+$B18)^('DCF Model'!C19+2)+'DCF Model'!F45/(1+$B18)^('DCF Model'!C19+3)+'DCF Model'!G45/(1+$B18)^('DCF Model'!C19+4)+('DCF Model'!G39+'DCF Model'!G42)*H$17/(1+$B18)^('DCF Model'!C19+4)-'DCF Model'!C16)*1000000/'DCF Model'!C15,0),"")</f>
        <v>5654</v>
      </c>
      <c r="I18" s="37">
        <f>IFERROR(ROUND(('DCF Model'!C45/(1+$B18)^('DCF Model'!C19+0)+'DCF Model'!D45/(1+$B18)^('DCF Model'!C19+1)+'DCF Model'!E45/(1+$B18)^('DCF Model'!C19+2)+'DCF Model'!F45/(1+$B18)^('DCF Model'!C19+3)+'DCF Model'!G45/(1+$B18)^('DCF Model'!C19+4)+('DCF Model'!G39+'DCF Model'!G42)*I$17/(1+$B18)^('DCF Model'!C19+4)-'DCF Model'!C16)*1000000/'DCF Model'!C15,0),"")</f>
        <v>6169</v>
      </c>
    </row>
    <row r="19" spans="2:9" ht="13.5" x14ac:dyDescent="0.25">
      <c r="B19" s="40">
        <f>$C$3-0.01</f>
        <v>4.7467303038451196E-2</v>
      </c>
      <c r="C19" s="37">
        <f>IFERROR(ROUND(('DCF Model'!C45/(1+$B19)^('DCF Model'!C19+0)+'DCF Model'!D45/(1+$B19)^('DCF Model'!C19+1)+'DCF Model'!E45/(1+$B19)^('DCF Model'!C19+2)+'DCF Model'!F45/(1+$B19)^('DCF Model'!C19+3)+'DCF Model'!G45/(1+$B19)^('DCF Model'!C19+4)+('DCF Model'!G39+'DCF Model'!G42)*C$17/(1+$B19)^('DCF Model'!C19+4)-'DCF Model'!C16)*1000000/'DCF Model'!C15,0),"")</f>
        <v>2966</v>
      </c>
      <c r="D19" s="37">
        <f>IFERROR(ROUND(('DCF Model'!C45/(1+$B19)^('DCF Model'!C19+0)+'DCF Model'!D45/(1+$B19)^('DCF Model'!C19+1)+'DCF Model'!E45/(1+$B19)^('DCF Model'!C19+2)+'DCF Model'!F45/(1+$B19)^('DCF Model'!C19+3)+'DCF Model'!G45/(1+$B19)^('DCF Model'!C19+4)+('DCF Model'!G39+'DCF Model'!G42)*D$17/(1+$B19)^('DCF Model'!C19+4)-'DCF Model'!C16)*1000000/'DCF Model'!C15,0),"")</f>
        <v>3469</v>
      </c>
      <c r="E19" s="37">
        <f>IFERROR(ROUND(('DCF Model'!C45/(1+$B19)^('DCF Model'!C19+0)+'DCF Model'!D45/(1+$B19)^('DCF Model'!C19+1)+'DCF Model'!E45/(1+$B19)^('DCF Model'!C19+2)+'DCF Model'!F45/(1+$B19)^('DCF Model'!C19+3)+'DCF Model'!G45/(1+$B19)^('DCF Model'!C19+4)+('DCF Model'!G39+'DCF Model'!G42)*E$17/(1+$B19)^('DCF Model'!C19+4)-'DCF Model'!C16)*1000000/'DCF Model'!C15,0),"")</f>
        <v>3973</v>
      </c>
      <c r="F19" s="37">
        <f>IFERROR(ROUND(('DCF Model'!C45/(1+$B19)^('DCF Model'!C19+0)+'DCF Model'!D45/(1+$B19)^('DCF Model'!C19+1)+'DCF Model'!E45/(1+$B19)^('DCF Model'!C19+2)+'DCF Model'!F45/(1+$B19)^('DCF Model'!C19+3)+'DCF Model'!G45/(1+$B19)^('DCF Model'!C19+4)+('DCF Model'!G39+'DCF Model'!G42)*F$17/(1+$B19)^('DCF Model'!C19+4)-'DCF Model'!C16)*1000000/'DCF Model'!C15,0),"")</f>
        <v>4476</v>
      </c>
      <c r="G19" s="37">
        <f>IFERROR(ROUND(('DCF Model'!C45/(1+$B19)^('DCF Model'!C19+0)+'DCF Model'!D45/(1+$B19)^('DCF Model'!C19+1)+'DCF Model'!E45/(1+$B19)^('DCF Model'!C19+2)+'DCF Model'!F45/(1+$B19)^('DCF Model'!C19+3)+'DCF Model'!G45/(1+$B19)^('DCF Model'!C19+4)+('DCF Model'!G39+'DCF Model'!G42)*G$17/(1+$B19)^('DCF Model'!C19+4)-'DCF Model'!C16)*1000000/'DCF Model'!C15,0),"")</f>
        <v>4979</v>
      </c>
      <c r="H19" s="37">
        <f>IFERROR(ROUND(('DCF Model'!C45/(1+$B19)^('DCF Model'!C19+0)+'DCF Model'!D45/(1+$B19)^('DCF Model'!C19+1)+'DCF Model'!E45/(1+$B19)^('DCF Model'!C19+2)+'DCF Model'!F45/(1+$B19)^('DCF Model'!C19+3)+'DCF Model'!G45/(1+$B19)^('DCF Model'!C19+4)+('DCF Model'!G39+'DCF Model'!G42)*H$17/(1+$B19)^('DCF Model'!C19+4)-'DCF Model'!C16)*1000000/'DCF Model'!C15,0),"")</f>
        <v>5483</v>
      </c>
      <c r="I19" s="37">
        <f>IFERROR(ROUND(('DCF Model'!C45/(1+$B19)^('DCF Model'!C19+0)+'DCF Model'!D45/(1+$B19)^('DCF Model'!C19+1)+'DCF Model'!E45/(1+$B19)^('DCF Model'!C19+2)+'DCF Model'!F45/(1+$B19)^('DCF Model'!C19+3)+'DCF Model'!G45/(1+$B19)^('DCF Model'!C19+4)+('DCF Model'!G39+'DCF Model'!G42)*I$17/(1+$B19)^('DCF Model'!C19+4)-'DCF Model'!C16)*1000000/'DCF Model'!C15,0),"")</f>
        <v>5986</v>
      </c>
    </row>
    <row r="20" spans="2:9" ht="13.5" x14ac:dyDescent="0.25">
      <c r="B20" s="40">
        <f>$C$3-0.005</f>
        <v>5.24673030384512E-2</v>
      </c>
      <c r="C20" s="37">
        <f>IFERROR(ROUND(('DCF Model'!C45/(1+$B20)^('DCF Model'!C19+0)+'DCF Model'!D45/(1+$B20)^('DCF Model'!C19+1)+'DCF Model'!E45/(1+$B20)^('DCF Model'!C19+2)+'DCF Model'!F45/(1+$B20)^('DCF Model'!C19+3)+'DCF Model'!G45/(1+$B20)^('DCF Model'!C19+4)+('DCF Model'!G39+'DCF Model'!G42)*C$17/(1+$B20)^('DCF Model'!C19+4)-'DCF Model'!C16)*1000000/'DCF Model'!C15,0),"")</f>
        <v>2855</v>
      </c>
      <c r="D20" s="37">
        <f>IFERROR(ROUND(('DCF Model'!C45/(1+$B20)^('DCF Model'!C19+0)+'DCF Model'!D45/(1+$B20)^('DCF Model'!C19+1)+'DCF Model'!E45/(1+$B20)^('DCF Model'!C19+2)+'DCF Model'!F45/(1+$B20)^('DCF Model'!C19+3)+'DCF Model'!G45/(1+$B20)^('DCF Model'!C19+4)+('DCF Model'!G39+'DCF Model'!G42)*D$17/(1+$B20)^('DCF Model'!C19+4)-'DCF Model'!C16)*1000000/'DCF Model'!C15,0),"")</f>
        <v>3347</v>
      </c>
      <c r="E20" s="37">
        <f>IFERROR(ROUND(('DCF Model'!C45/(1+$B20)^('DCF Model'!C19+0)+'DCF Model'!D45/(1+$B20)^('DCF Model'!C19+1)+'DCF Model'!E45/(1+$B20)^('DCF Model'!C19+2)+'DCF Model'!F45/(1+$B20)^('DCF Model'!C19+3)+'DCF Model'!G45/(1+$B20)^('DCF Model'!C19+4)+('DCF Model'!G39+'DCF Model'!G42)*E$17/(1+$B20)^('DCF Model'!C19+4)-'DCF Model'!C16)*1000000/'DCF Model'!C15,0),"")</f>
        <v>3839</v>
      </c>
      <c r="F20" s="37">
        <f>IFERROR(ROUND(('DCF Model'!C45/(1+$B20)^('DCF Model'!C19+0)+'DCF Model'!D45/(1+$B20)^('DCF Model'!C19+1)+'DCF Model'!E45/(1+$B20)^('DCF Model'!C19+2)+'DCF Model'!F45/(1+$B20)^('DCF Model'!C19+3)+'DCF Model'!G45/(1+$B20)^('DCF Model'!C19+4)+('DCF Model'!G39+'DCF Model'!G42)*F$17/(1+$B20)^('DCF Model'!C19+4)-'DCF Model'!C16)*1000000/'DCF Model'!C15,0),"")</f>
        <v>4331</v>
      </c>
      <c r="G20" s="37">
        <f>IFERROR(ROUND(('DCF Model'!C45/(1+$B20)^('DCF Model'!C19+0)+'DCF Model'!D45/(1+$B20)^('DCF Model'!C19+1)+'DCF Model'!E45/(1+$B20)^('DCF Model'!C19+2)+'DCF Model'!F45/(1+$B20)^('DCF Model'!C19+3)+'DCF Model'!G45/(1+$B20)^('DCF Model'!C19+4)+('DCF Model'!G39+'DCF Model'!G42)*G$17/(1+$B20)^('DCF Model'!C19+4)-'DCF Model'!C16)*1000000/'DCF Model'!C15,0),"")</f>
        <v>4824</v>
      </c>
      <c r="H20" s="37">
        <f>IFERROR(ROUND(('DCF Model'!C45/(1+$B20)^('DCF Model'!C19+0)+'DCF Model'!D45/(1+$B20)^('DCF Model'!C19+1)+'DCF Model'!E45/(1+$B20)^('DCF Model'!C19+2)+'DCF Model'!F45/(1+$B20)^('DCF Model'!C19+3)+'DCF Model'!G45/(1+$B20)^('DCF Model'!C19+4)+('DCF Model'!G39+'DCF Model'!G42)*H$17/(1+$B20)^('DCF Model'!C19+4)-'DCF Model'!C16)*1000000/'DCF Model'!C15,0),"")</f>
        <v>5316</v>
      </c>
      <c r="I20" s="37">
        <f>IFERROR(ROUND(('DCF Model'!C45/(1+$B20)^('DCF Model'!C19+0)+'DCF Model'!D45/(1+$B20)^('DCF Model'!C19+1)+'DCF Model'!E45/(1+$B20)^('DCF Model'!C19+2)+'DCF Model'!F45/(1+$B20)^('DCF Model'!C19+3)+'DCF Model'!G45/(1+$B20)^('DCF Model'!C19+4)+('DCF Model'!G39+'DCF Model'!G42)*I$17/(1+$B20)^('DCF Model'!C19+4)-'DCF Model'!C16)*1000000/'DCF Model'!C15,0),"")</f>
        <v>5808</v>
      </c>
    </row>
    <row r="21" spans="2:9" ht="13.5" x14ac:dyDescent="0.25">
      <c r="B21" s="40">
        <f>$C$3</f>
        <v>5.7467303038451198E-2</v>
      </c>
      <c r="C21" s="37">
        <f>IFERROR(ROUND(('DCF Model'!C45/(1+$B21)^('DCF Model'!C19+0)+'DCF Model'!D45/(1+$B21)^('DCF Model'!C19+1)+'DCF Model'!E45/(1+$B21)^('DCF Model'!C19+2)+'DCF Model'!F45/(1+$B21)^('DCF Model'!C19+3)+'DCF Model'!G45/(1+$B21)^('DCF Model'!C19+4)+('DCF Model'!G39+'DCF Model'!G42)*C$17/(1+$B21)^('DCF Model'!C19+4)-'DCF Model'!C16)*1000000/'DCF Model'!C15,0),"")</f>
        <v>2747</v>
      </c>
      <c r="D21" s="37">
        <f>IFERROR(ROUND(('DCF Model'!C45/(1+$B21)^('DCF Model'!C19+0)+'DCF Model'!D45/(1+$B21)^('DCF Model'!C19+1)+'DCF Model'!E45/(1+$B21)^('DCF Model'!C19+2)+'DCF Model'!F45/(1+$B21)^('DCF Model'!C19+3)+'DCF Model'!G45/(1+$B21)^('DCF Model'!C19+4)+('DCF Model'!G39+'DCF Model'!G42)*D$17/(1+$B21)^('DCF Model'!C19+4)-'DCF Model'!C16)*1000000/'DCF Model'!C15,0),"")</f>
        <v>3228</v>
      </c>
      <c r="E21" s="37">
        <f>IFERROR(ROUND(('DCF Model'!C45/(1+$B21)^('DCF Model'!C19+0)+'DCF Model'!D45/(1+$B21)^('DCF Model'!C19+1)+'DCF Model'!E45/(1+$B21)^('DCF Model'!C19+2)+'DCF Model'!F45/(1+$B21)^('DCF Model'!C19+3)+'DCF Model'!G45/(1+$B21)^('DCF Model'!C19+4)+('DCF Model'!G39+'DCF Model'!G42)*E$17/(1+$B21)^('DCF Model'!C19+4)-'DCF Model'!C16)*1000000/'DCF Model'!C15,0),"")</f>
        <v>3709</v>
      </c>
      <c r="F21" s="37">
        <f>IFERROR(ROUND(('DCF Model'!C45/(1+$B21)^('DCF Model'!C19+0)+'DCF Model'!D45/(1+$B21)^('DCF Model'!C19+1)+'DCF Model'!E45/(1+$B21)^('DCF Model'!C19+2)+'DCF Model'!F45/(1+$B21)^('DCF Model'!C19+3)+'DCF Model'!G45/(1+$B21)^('DCF Model'!C19+4)+('DCF Model'!G39+'DCF Model'!G42)*F$17/(1+$B21)^('DCF Model'!C19+4)-'DCF Model'!C16)*1000000/'DCF Model'!C15,0),"")</f>
        <v>4191</v>
      </c>
      <c r="G21" s="37">
        <f>IFERROR(ROUND(('DCF Model'!C45/(1+$B21)^('DCF Model'!C19+0)+'DCF Model'!D45/(1+$B21)^('DCF Model'!C19+1)+'DCF Model'!E45/(1+$B21)^('DCF Model'!C19+2)+'DCF Model'!F45/(1+$B21)^('DCF Model'!C19+3)+'DCF Model'!G45/(1+$B21)^('DCF Model'!C19+4)+('DCF Model'!G39+'DCF Model'!G42)*G$17/(1+$B21)^('DCF Model'!C19+4)-'DCF Model'!C16)*1000000/'DCF Model'!C15,0),"")</f>
        <v>4672</v>
      </c>
      <c r="H21" s="37">
        <f>IFERROR(ROUND(('DCF Model'!C45/(1+$B21)^('DCF Model'!C19+0)+'DCF Model'!D45/(1+$B21)^('DCF Model'!C19+1)+'DCF Model'!E45/(1+$B21)^('DCF Model'!C19+2)+'DCF Model'!F45/(1+$B21)^('DCF Model'!C19+3)+'DCF Model'!G45/(1+$B21)^('DCF Model'!C19+4)+('DCF Model'!G39+'DCF Model'!G42)*H$17/(1+$B21)^('DCF Model'!C19+4)-'DCF Model'!C16)*1000000/'DCF Model'!C15,0),"")</f>
        <v>5153</v>
      </c>
      <c r="I21" s="37">
        <f>IFERROR(ROUND(('DCF Model'!C45/(1+$B21)^('DCF Model'!C19+0)+'DCF Model'!D45/(1+$B21)^('DCF Model'!C19+1)+'DCF Model'!E45/(1+$B21)^('DCF Model'!C19+2)+'DCF Model'!F45/(1+$B21)^('DCF Model'!C19+3)+'DCF Model'!G45/(1+$B21)^('DCF Model'!C19+4)+('DCF Model'!G39+'DCF Model'!G42)*I$17/(1+$B21)^('DCF Model'!C19+4)-'DCF Model'!C16)*1000000/'DCF Model'!C15,0),"")</f>
        <v>5634</v>
      </c>
    </row>
    <row r="22" spans="2:9" ht="13.5" x14ac:dyDescent="0.25">
      <c r="B22" s="40">
        <f>$C$3+0.005</f>
        <v>6.2467303038451195E-2</v>
      </c>
      <c r="C22" s="37">
        <f>IFERROR(ROUND(('DCF Model'!C45/(1+$B22)^('DCF Model'!C19+0)+'DCF Model'!D45/(1+$B22)^('DCF Model'!C19+1)+'DCF Model'!E45/(1+$B22)^('DCF Model'!C19+2)+'DCF Model'!F45/(1+$B22)^('DCF Model'!C19+3)+'DCF Model'!G45/(1+$B22)^('DCF Model'!C19+4)+('DCF Model'!G39+'DCF Model'!G42)*C$17/(1+$B22)^('DCF Model'!C19+4)-'DCF Model'!C16)*1000000/'DCF Model'!C15,0),"")</f>
        <v>2642</v>
      </c>
      <c r="D22" s="37">
        <f>IFERROR(ROUND(('DCF Model'!C45/(1+$B22)^('DCF Model'!C19+0)+'DCF Model'!D45/(1+$B22)^('DCF Model'!C19+1)+'DCF Model'!E45/(1+$B22)^('DCF Model'!C19+2)+'DCF Model'!F45/(1+$B22)^('DCF Model'!C19+3)+'DCF Model'!G45/(1+$B22)^('DCF Model'!C19+4)+('DCF Model'!G39+'DCF Model'!G42)*D$17/(1+$B22)^('DCF Model'!C19+4)-'DCF Model'!C16)*1000000/'DCF Model'!C15,0),"")</f>
        <v>3112</v>
      </c>
      <c r="E22" s="37">
        <f>IFERROR(ROUND(('DCF Model'!C45/(1+$B22)^('DCF Model'!C19+0)+'DCF Model'!D45/(1+$B22)^('DCF Model'!C19+1)+'DCF Model'!E45/(1+$B22)^('DCF Model'!C19+2)+'DCF Model'!F45/(1+$B22)^('DCF Model'!C19+3)+'DCF Model'!G45/(1+$B22)^('DCF Model'!C19+4)+('DCF Model'!G39+'DCF Model'!G42)*E$17/(1+$B22)^('DCF Model'!C19+4)-'DCF Model'!C16)*1000000/'DCF Model'!C15,0),"")</f>
        <v>3583</v>
      </c>
      <c r="F22" s="37">
        <f>IFERROR(ROUND(('DCF Model'!C45/(1+$B22)^('DCF Model'!C19+0)+'DCF Model'!D45/(1+$B22)^('DCF Model'!C19+1)+'DCF Model'!E45/(1+$B22)^('DCF Model'!C19+2)+'DCF Model'!F45/(1+$B22)^('DCF Model'!C19+3)+'DCF Model'!G45/(1+$B22)^('DCF Model'!C19+4)+('DCF Model'!G39+'DCF Model'!G42)*F$17/(1+$B22)^('DCF Model'!C19+4)-'DCF Model'!C16)*1000000/'DCF Model'!C15,0),"")</f>
        <v>4053</v>
      </c>
      <c r="G22" s="37">
        <f>IFERROR(ROUND(('DCF Model'!C45/(1+$B22)^('DCF Model'!C19+0)+'DCF Model'!D45/(1+$B22)^('DCF Model'!C19+1)+'DCF Model'!E45/(1+$B22)^('DCF Model'!C19+2)+'DCF Model'!F45/(1+$B22)^('DCF Model'!C19+3)+'DCF Model'!G45/(1+$B22)^('DCF Model'!C19+4)+('DCF Model'!G39+'DCF Model'!G42)*G$17/(1+$B22)^('DCF Model'!C19+4)-'DCF Model'!C16)*1000000/'DCF Model'!C15,0),"")</f>
        <v>4524</v>
      </c>
      <c r="H22" s="37">
        <f>IFERROR(ROUND(('DCF Model'!C45/(1+$B22)^('DCF Model'!C19+0)+'DCF Model'!D45/(1+$B22)^('DCF Model'!C19+1)+'DCF Model'!E45/(1+$B22)^('DCF Model'!C19+2)+'DCF Model'!F45/(1+$B22)^('DCF Model'!C19+3)+'DCF Model'!G45/(1+$B22)^('DCF Model'!C19+4)+('DCF Model'!G39+'DCF Model'!G42)*H$17/(1+$B22)^('DCF Model'!C19+4)-'DCF Model'!C16)*1000000/'DCF Model'!C15,0),"")</f>
        <v>4994</v>
      </c>
      <c r="I22" s="37">
        <f>IFERROR(ROUND(('DCF Model'!C45/(1+$B22)^('DCF Model'!C19+0)+'DCF Model'!D45/(1+$B22)^('DCF Model'!C19+1)+'DCF Model'!E45/(1+$B22)^('DCF Model'!C19+2)+'DCF Model'!F45/(1+$B22)^('DCF Model'!C19+3)+'DCF Model'!G45/(1+$B22)^('DCF Model'!C19+4)+('DCF Model'!G39+'DCF Model'!G42)*I$17/(1+$B22)^('DCF Model'!C19+4)-'DCF Model'!C16)*1000000/'DCF Model'!C15,0),"")</f>
        <v>5465</v>
      </c>
    </row>
    <row r="23" spans="2:9" ht="13.5" x14ac:dyDescent="0.25">
      <c r="B23" s="40">
        <f>$C$3+0.01</f>
        <v>6.7467303038451193E-2</v>
      </c>
      <c r="C23" s="37">
        <f>IFERROR(ROUND(('DCF Model'!C45/(1+$B23)^('DCF Model'!C19+0)+'DCF Model'!D45/(1+$B23)^('DCF Model'!C19+1)+'DCF Model'!E45/(1+$B23)^('DCF Model'!C19+2)+'DCF Model'!F45/(1+$B23)^('DCF Model'!C19+3)+'DCF Model'!G45/(1+$B23)^('DCF Model'!C19+4)+('DCF Model'!G39+'DCF Model'!G42)*C$17/(1+$B23)^('DCF Model'!C19+4)-'DCF Model'!C16)*1000000/'DCF Model'!C15,0),"")</f>
        <v>2539</v>
      </c>
      <c r="D23" s="37">
        <f>IFERROR(ROUND(('DCF Model'!C45/(1+$B23)^('DCF Model'!C19+0)+'DCF Model'!D45/(1+$B23)^('DCF Model'!C19+1)+'DCF Model'!E45/(1+$B23)^('DCF Model'!C19+2)+'DCF Model'!F45/(1+$B23)^('DCF Model'!C19+3)+'DCF Model'!G45/(1+$B23)^('DCF Model'!C19+4)+('DCF Model'!G39+'DCF Model'!G42)*D$17/(1+$B23)^('DCF Model'!C19+4)-'DCF Model'!C16)*1000000/'DCF Model'!C15,0),"")</f>
        <v>3000</v>
      </c>
      <c r="E23" s="37">
        <f>IFERROR(ROUND(('DCF Model'!C45/(1+$B23)^('DCF Model'!C19+0)+'DCF Model'!D45/(1+$B23)^('DCF Model'!C19+1)+'DCF Model'!E45/(1+$B23)^('DCF Model'!C19+2)+'DCF Model'!F45/(1+$B23)^('DCF Model'!C19+3)+'DCF Model'!G45/(1+$B23)^('DCF Model'!C19+4)+('DCF Model'!G39+'DCF Model'!G42)*E$17/(1+$B23)^('DCF Model'!C19+4)-'DCF Model'!C16)*1000000/'DCF Model'!C15,0),"")</f>
        <v>3460</v>
      </c>
      <c r="F23" s="37">
        <f>IFERROR(ROUND(('DCF Model'!C45/(1+$B23)^('DCF Model'!C19+0)+'DCF Model'!D45/(1+$B23)^('DCF Model'!C19+1)+'DCF Model'!E45/(1+$B23)^('DCF Model'!C19+2)+'DCF Model'!F45/(1+$B23)^('DCF Model'!C19+3)+'DCF Model'!G45/(1+$B23)^('DCF Model'!C19+4)+('DCF Model'!G39+'DCF Model'!G42)*F$17/(1+$B23)^('DCF Model'!C19+4)-'DCF Model'!C16)*1000000/'DCF Model'!C15,0),"")</f>
        <v>3920</v>
      </c>
      <c r="G23" s="37">
        <f>IFERROR(ROUND(('DCF Model'!C45/(1+$B23)^('DCF Model'!C19+0)+'DCF Model'!D45/(1+$B23)^('DCF Model'!C19+1)+'DCF Model'!E45/(1+$B23)^('DCF Model'!C19+2)+'DCF Model'!F45/(1+$B23)^('DCF Model'!C19+3)+'DCF Model'!G45/(1+$B23)^('DCF Model'!C19+4)+('DCF Model'!G39+'DCF Model'!G42)*G$17/(1+$B23)^('DCF Model'!C19+4)-'DCF Model'!C16)*1000000/'DCF Model'!C15,0),"")</f>
        <v>4380</v>
      </c>
      <c r="H23" s="37">
        <f>IFERROR(ROUND(('DCF Model'!C45/(1+$B23)^('DCF Model'!C19+0)+'DCF Model'!D45/(1+$B23)^('DCF Model'!C19+1)+'DCF Model'!E45/(1+$B23)^('DCF Model'!C19+2)+'DCF Model'!F45/(1+$B23)^('DCF Model'!C19+3)+'DCF Model'!G45/(1+$B23)^('DCF Model'!C19+4)+('DCF Model'!G39+'DCF Model'!G42)*H$17/(1+$B23)^('DCF Model'!C19+4)-'DCF Model'!C16)*1000000/'DCF Model'!C15,0),"")</f>
        <v>4840</v>
      </c>
      <c r="I23" s="37">
        <f>IFERROR(ROUND(('DCF Model'!C45/(1+$B23)^('DCF Model'!C19+0)+'DCF Model'!D45/(1+$B23)^('DCF Model'!C19+1)+'DCF Model'!E45/(1+$B23)^('DCF Model'!C19+2)+'DCF Model'!F45/(1+$B23)^('DCF Model'!C19+3)+'DCF Model'!G45/(1+$B23)^('DCF Model'!C19+4)+('DCF Model'!G39+'DCF Model'!G42)*I$17/(1+$B23)^('DCF Model'!C19+4)-'DCF Model'!C16)*1000000/'DCF Model'!C15,0),"")</f>
        <v>5300</v>
      </c>
    </row>
    <row r="24" spans="2:9" ht="13.5" x14ac:dyDescent="0.25">
      <c r="B24" s="40">
        <f>$C$3+0.015</f>
        <v>7.2467303038451197E-2</v>
      </c>
      <c r="C24" s="37">
        <f>IFERROR(ROUND(('DCF Model'!C45/(1+$B24)^('DCF Model'!C19+0)+'DCF Model'!D45/(1+$B24)^('DCF Model'!C19+1)+'DCF Model'!E45/(1+$B24)^('DCF Model'!C19+2)+'DCF Model'!F45/(1+$B24)^('DCF Model'!C19+3)+'DCF Model'!G45/(1+$B24)^('DCF Model'!C19+4)+('DCF Model'!G39+'DCF Model'!G42)*C$17/(1+$B24)^('DCF Model'!C19+4)-'DCF Model'!C16)*1000000/'DCF Model'!C15,0),"")</f>
        <v>2440</v>
      </c>
      <c r="D24" s="37">
        <f>IFERROR(ROUND(('DCF Model'!C45/(1+$B24)^('DCF Model'!C19+0)+'DCF Model'!D45/(1+$B24)^('DCF Model'!C19+1)+'DCF Model'!E45/(1+$B24)^('DCF Model'!C19+2)+'DCF Model'!F45/(1+$B24)^('DCF Model'!C19+3)+'DCF Model'!G45/(1+$B24)^('DCF Model'!C19+4)+('DCF Model'!G39+'DCF Model'!G42)*D$17/(1+$B24)^('DCF Model'!C19+4)-'DCF Model'!C16)*1000000/'DCF Model'!C15,0),"")</f>
        <v>2890</v>
      </c>
      <c r="E24" s="37">
        <f>IFERROR(ROUND(('DCF Model'!C45/(1+$B24)^('DCF Model'!C19+0)+'DCF Model'!D45/(1+$B24)^('DCF Model'!C19+1)+'DCF Model'!E45/(1+$B24)^('DCF Model'!C19+2)+'DCF Model'!F45/(1+$B24)^('DCF Model'!C19+3)+'DCF Model'!G45/(1+$B24)^('DCF Model'!C19+4)+('DCF Model'!G39+'DCF Model'!G42)*E$17/(1+$B24)^('DCF Model'!C19+4)-'DCF Model'!C16)*1000000/'DCF Model'!C15,0),"")</f>
        <v>3340</v>
      </c>
      <c r="F24" s="37">
        <f>IFERROR(ROUND(('DCF Model'!C45/(1+$B24)^('DCF Model'!C19+0)+'DCF Model'!D45/(1+$B24)^('DCF Model'!C19+1)+'DCF Model'!E45/(1+$B24)^('DCF Model'!C19+2)+'DCF Model'!F45/(1+$B24)^('DCF Model'!C19+3)+'DCF Model'!G45/(1+$B24)^('DCF Model'!C19+4)+('DCF Model'!G39+'DCF Model'!G42)*F$17/(1+$B24)^('DCF Model'!C19+4)-'DCF Model'!C16)*1000000/'DCF Model'!C15,0),"")</f>
        <v>3790</v>
      </c>
      <c r="G24" s="37">
        <f>IFERROR(ROUND(('DCF Model'!C45/(1+$B24)^('DCF Model'!C19+0)+'DCF Model'!D45/(1+$B24)^('DCF Model'!C19+1)+'DCF Model'!E45/(1+$B24)^('DCF Model'!C19+2)+'DCF Model'!F45/(1+$B24)^('DCF Model'!C19+3)+'DCF Model'!G45/(1+$B24)^('DCF Model'!C19+4)+('DCF Model'!G39+'DCF Model'!G42)*G$17/(1+$B24)^('DCF Model'!C19+4)-'DCF Model'!C16)*1000000/'DCF Model'!C15,0),"")</f>
        <v>4240</v>
      </c>
      <c r="H24" s="37">
        <f>IFERROR(ROUND(('DCF Model'!C45/(1+$B24)^('DCF Model'!C19+0)+'DCF Model'!D45/(1+$B24)^('DCF Model'!C19+1)+'DCF Model'!E45/(1+$B24)^('DCF Model'!C19+2)+'DCF Model'!F45/(1+$B24)^('DCF Model'!C19+3)+'DCF Model'!G45/(1+$B24)^('DCF Model'!C19+4)+('DCF Model'!G39+'DCF Model'!G42)*H$17/(1+$B24)^('DCF Model'!C19+4)-'DCF Model'!C16)*1000000/'DCF Model'!C15,0),"")</f>
        <v>4690</v>
      </c>
      <c r="I24" s="37">
        <f>IFERROR(ROUND(('DCF Model'!C45/(1+$B24)^('DCF Model'!C19+0)+'DCF Model'!D45/(1+$B24)^('DCF Model'!C19+1)+'DCF Model'!E45/(1+$B24)^('DCF Model'!C19+2)+'DCF Model'!F45/(1+$B24)^('DCF Model'!C19+3)+'DCF Model'!G45/(1+$B24)^('DCF Model'!C19+4)+('DCF Model'!G39+'DCF Model'!G42)*I$17/(1+$B24)^('DCF Model'!C19+4)-'DCF Model'!C16)*1000000/'DCF Model'!C15,0),"")</f>
        <v>5140</v>
      </c>
    </row>
    <row r="26" spans="2:9" ht="14" x14ac:dyDescent="0.3">
      <c r="B26" s="47" t="s">
        <v>237</v>
      </c>
      <c r="C26" s="46"/>
      <c r="D26" s="46"/>
      <c r="E26" s="46"/>
      <c r="F26" s="46"/>
      <c r="G26" s="46"/>
      <c r="H26" s="46"/>
      <c r="I26" s="46"/>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5"/>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238</v>
      </c>
    </row>
    <row r="4" spans="2:7" ht="14" x14ac:dyDescent="0.3">
      <c r="B4" s="10" t="s">
        <v>239</v>
      </c>
      <c r="C4" s="10" t="s">
        <v>240</v>
      </c>
      <c r="D4" s="10" t="s">
        <v>241</v>
      </c>
      <c r="E4" s="10" t="s">
        <v>242</v>
      </c>
      <c r="F4" s="10" t="s">
        <v>243</v>
      </c>
      <c r="G4" s="10" t="s">
        <v>244</v>
      </c>
    </row>
    <row r="5" spans="2:7" x14ac:dyDescent="0.2">
      <c r="B5" t="s">
        <v>245</v>
      </c>
      <c r="C5" t="s">
        <v>246</v>
      </c>
      <c r="D5" t="s">
        <v>247</v>
      </c>
      <c r="E5" t="s">
        <v>248</v>
      </c>
      <c r="F5" t="s">
        <v>246</v>
      </c>
      <c r="G5" t="s">
        <v>249</v>
      </c>
    </row>
    <row r="6" spans="2:7" ht="30" customHeight="1" x14ac:dyDescent="0.3">
      <c r="B6" t="s">
        <v>245</v>
      </c>
      <c r="C6" s="4" t="s">
        <v>250</v>
      </c>
      <c r="D6" t="s">
        <v>251</v>
      </c>
      <c r="E6" t="s">
        <v>252</v>
      </c>
      <c r="F6" t="s">
        <v>253</v>
      </c>
      <c r="G6" t="s">
        <v>254</v>
      </c>
    </row>
    <row r="7" spans="2:7" ht="30" customHeight="1" x14ac:dyDescent="0.3">
      <c r="B7" t="s">
        <v>245</v>
      </c>
      <c r="C7" s="4" t="s">
        <v>255</v>
      </c>
      <c r="D7" t="s">
        <v>256</v>
      </c>
      <c r="E7" t="s">
        <v>257</v>
      </c>
      <c r="F7" t="s">
        <v>258</v>
      </c>
      <c r="G7" t="s">
        <v>259</v>
      </c>
    </row>
    <row r="12" spans="2:7" ht="14" x14ac:dyDescent="0.3">
      <c r="B12" s="8" t="s">
        <v>260</v>
      </c>
    </row>
    <row r="13" spans="2:7" ht="14" x14ac:dyDescent="0.3">
      <c r="B13" s="10" t="s">
        <v>261</v>
      </c>
      <c r="C13" s="10" t="s">
        <v>262</v>
      </c>
    </row>
    <row r="14" spans="2:7" ht="14" x14ac:dyDescent="0.3">
      <c r="B14" s="4" t="s">
        <v>263</v>
      </c>
      <c r="C14" t="s">
        <v>264</v>
      </c>
    </row>
    <row r="15" spans="2:7" ht="14" x14ac:dyDescent="0.3">
      <c r="B15" s="4" t="s">
        <v>265</v>
      </c>
      <c r="C15" t="s">
        <v>266</v>
      </c>
    </row>
    <row r="16" spans="2:7" ht="14" x14ac:dyDescent="0.3">
      <c r="B16" s="4" t="s">
        <v>267</v>
      </c>
      <c r="C16" t="s">
        <v>268</v>
      </c>
    </row>
    <row r="17" spans="2:3" ht="14" x14ac:dyDescent="0.3">
      <c r="B17" s="4" t="s">
        <v>269</v>
      </c>
      <c r="C17" t="s">
        <v>266</v>
      </c>
    </row>
    <row r="18" spans="2:3" ht="14" x14ac:dyDescent="0.3">
      <c r="B18" s="4" t="s">
        <v>270</v>
      </c>
      <c r="C18" t="s">
        <v>271</v>
      </c>
    </row>
    <row r="19" spans="2:3" ht="14" x14ac:dyDescent="0.3">
      <c r="B19" s="4" t="s">
        <v>272</v>
      </c>
      <c r="C19" t="s">
        <v>273</v>
      </c>
    </row>
    <row r="20" spans="2:3" ht="14" x14ac:dyDescent="0.3">
      <c r="B20" s="4" t="s">
        <v>274</v>
      </c>
      <c r="C20" t="s">
        <v>275</v>
      </c>
    </row>
    <row r="21" spans="2:3" ht="14" x14ac:dyDescent="0.3">
      <c r="B21" s="4" t="s">
        <v>276</v>
      </c>
      <c r="C21" t="s">
        <v>277</v>
      </c>
    </row>
    <row r="22" spans="2:3" ht="14" x14ac:dyDescent="0.3">
      <c r="B22" s="4" t="s">
        <v>278</v>
      </c>
      <c r="C22" t="s">
        <v>279</v>
      </c>
    </row>
    <row r="23" spans="2:3" ht="14" x14ac:dyDescent="0.3">
      <c r="B23" s="4" t="s">
        <v>280</v>
      </c>
      <c r="C23" t="s">
        <v>4</v>
      </c>
    </row>
    <row r="24" spans="2:3" ht="14" x14ac:dyDescent="0.3">
      <c r="B24" s="4" t="s">
        <v>281</v>
      </c>
      <c r="C24" t="s">
        <v>245</v>
      </c>
    </row>
    <row r="25" spans="2:3" ht="14" x14ac:dyDescent="0.3">
      <c r="B25" s="4" t="s">
        <v>282</v>
      </c>
      <c r="C25" t="s">
        <v>283</v>
      </c>
    </row>
    <row r="26" spans="2:3" ht="14" x14ac:dyDescent="0.3">
      <c r="B26" s="4" t="s">
        <v>284</v>
      </c>
      <c r="C26" t="s">
        <v>271</v>
      </c>
    </row>
    <row r="27" spans="2:3" ht="14" x14ac:dyDescent="0.3">
      <c r="B27" s="4" t="s">
        <v>285</v>
      </c>
      <c r="C27" t="s">
        <v>271</v>
      </c>
    </row>
    <row r="28" spans="2:3" ht="14" x14ac:dyDescent="0.3">
      <c r="B28" s="4" t="s">
        <v>286</v>
      </c>
      <c r="C28" t="s">
        <v>287</v>
      </c>
    </row>
    <row r="29" spans="2:3" ht="14" x14ac:dyDescent="0.3">
      <c r="B29" s="4" t="s">
        <v>288</v>
      </c>
      <c r="C29" t="s">
        <v>289</v>
      </c>
    </row>
    <row r="30" spans="2:3" ht="14" x14ac:dyDescent="0.3">
      <c r="B30" s="4" t="s">
        <v>290</v>
      </c>
      <c r="C30" t="s">
        <v>291</v>
      </c>
    </row>
    <row r="31" spans="2:3" ht="14" x14ac:dyDescent="0.3">
      <c r="B31" s="4" t="s">
        <v>292</v>
      </c>
      <c r="C31" t="s">
        <v>287</v>
      </c>
    </row>
    <row r="32" spans="2:3" ht="14" x14ac:dyDescent="0.3">
      <c r="B32" s="4" t="s">
        <v>293</v>
      </c>
      <c r="C32" t="s">
        <v>294</v>
      </c>
    </row>
    <row r="33" spans="2:3" ht="14" x14ac:dyDescent="0.3">
      <c r="B33" s="4" t="s">
        <v>295</v>
      </c>
      <c r="C33" t="s">
        <v>283</v>
      </c>
    </row>
    <row r="34" spans="2:3" ht="14" x14ac:dyDescent="0.3">
      <c r="B34" s="4" t="s">
        <v>296</v>
      </c>
      <c r="C34" t="s">
        <v>297</v>
      </c>
    </row>
    <row r="35" spans="2:3" ht="14" x14ac:dyDescent="0.3">
      <c r="B35" s="4" t="s">
        <v>298</v>
      </c>
      <c r="C35" t="s">
        <v>299</v>
      </c>
    </row>
    <row r="36" spans="2:3" ht="14" x14ac:dyDescent="0.3">
      <c r="B36" s="4" t="s">
        <v>300</v>
      </c>
      <c r="C36" t="s">
        <v>301</v>
      </c>
    </row>
    <row r="37" spans="2:3" ht="14" x14ac:dyDescent="0.3">
      <c r="B37" s="4" t="s">
        <v>302</v>
      </c>
      <c r="C37" t="s">
        <v>303</v>
      </c>
    </row>
    <row r="38" spans="2:3" ht="14" x14ac:dyDescent="0.3">
      <c r="B38" s="4" t="s">
        <v>304</v>
      </c>
      <c r="C38" t="s">
        <v>305</v>
      </c>
    </row>
    <row r="39" spans="2:3" ht="14" x14ac:dyDescent="0.3">
      <c r="B39" s="4" t="s">
        <v>306</v>
      </c>
      <c r="C39" t="s">
        <v>307</v>
      </c>
    </row>
    <row r="40" spans="2:3" ht="14" x14ac:dyDescent="0.3">
      <c r="B40" s="4" t="s">
        <v>308</v>
      </c>
      <c r="C40" t="s">
        <v>309</v>
      </c>
    </row>
    <row r="41" spans="2:3" ht="14" x14ac:dyDescent="0.3">
      <c r="B41" s="4" t="s">
        <v>310</v>
      </c>
      <c r="C41" t="s">
        <v>311</v>
      </c>
    </row>
    <row r="42" spans="2:3" ht="14" x14ac:dyDescent="0.3">
      <c r="B42" s="4" t="s">
        <v>312</v>
      </c>
      <c r="C42" t="s">
        <v>313</v>
      </c>
    </row>
    <row r="43" spans="2:3" ht="14" x14ac:dyDescent="0.3">
      <c r="B43" s="4" t="s">
        <v>314</v>
      </c>
      <c r="C43" t="s">
        <v>315</v>
      </c>
    </row>
    <row r="44" spans="2:3" ht="14" x14ac:dyDescent="0.3">
      <c r="B44" s="4" t="s">
        <v>316</v>
      </c>
      <c r="C44" t="s">
        <v>275</v>
      </c>
    </row>
    <row r="45" spans="2:3" ht="14" x14ac:dyDescent="0.3">
      <c r="B45" s="4" t="s">
        <v>317</v>
      </c>
      <c r="C45" t="s">
        <v>318</v>
      </c>
    </row>
    <row r="46" spans="2:3" ht="14" x14ac:dyDescent="0.3">
      <c r="B46" s="4" t="s">
        <v>319</v>
      </c>
      <c r="C46" t="s">
        <v>320</v>
      </c>
    </row>
    <row r="47" spans="2:3" ht="14" x14ac:dyDescent="0.3">
      <c r="B47" s="4" t="s">
        <v>321</v>
      </c>
      <c r="C47" t="s">
        <v>322</v>
      </c>
    </row>
    <row r="48" spans="2:3" ht="14" x14ac:dyDescent="0.3">
      <c r="B48" s="4" t="s">
        <v>323</v>
      </c>
      <c r="C48" t="s">
        <v>324</v>
      </c>
    </row>
    <row r="49" spans="2:3" ht="14" x14ac:dyDescent="0.3">
      <c r="B49" s="4" t="s">
        <v>325</v>
      </c>
      <c r="C49" t="s">
        <v>326</v>
      </c>
    </row>
    <row r="50" spans="2:3" ht="14" x14ac:dyDescent="0.3">
      <c r="B50" s="4" t="s">
        <v>327</v>
      </c>
      <c r="C50" t="s">
        <v>328</v>
      </c>
    </row>
    <row r="51" spans="2:3" ht="14" x14ac:dyDescent="0.3">
      <c r="B51" s="4" t="s">
        <v>329</v>
      </c>
      <c r="C51" t="s">
        <v>330</v>
      </c>
    </row>
    <row r="52" spans="2:3" ht="14" x14ac:dyDescent="0.3">
      <c r="B52" s="4" t="s">
        <v>331</v>
      </c>
      <c r="C52" t="s">
        <v>332</v>
      </c>
    </row>
    <row r="53" spans="2:3" ht="14" x14ac:dyDescent="0.3">
      <c r="B53" s="4" t="s">
        <v>333</v>
      </c>
      <c r="C53" t="s">
        <v>334</v>
      </c>
    </row>
    <row r="54" spans="2:3" ht="14" x14ac:dyDescent="0.3">
      <c r="B54" s="4" t="s">
        <v>335</v>
      </c>
      <c r="C54" t="s">
        <v>336</v>
      </c>
    </row>
    <row r="55" spans="2:3" ht="14" x14ac:dyDescent="0.3">
      <c r="B55" s="4" t="s">
        <v>337</v>
      </c>
      <c r="C55" t="s">
        <v>338</v>
      </c>
    </row>
    <row r="56" spans="2:3" ht="14" x14ac:dyDescent="0.3">
      <c r="B56" s="4" t="s">
        <v>339</v>
      </c>
      <c r="C56" t="s">
        <v>340</v>
      </c>
    </row>
    <row r="57" spans="2:3" ht="14" x14ac:dyDescent="0.3">
      <c r="B57" s="4" t="s">
        <v>341</v>
      </c>
      <c r="C57" t="s">
        <v>342</v>
      </c>
    </row>
    <row r="58" spans="2:3" ht="14" x14ac:dyDescent="0.3">
      <c r="B58" s="4" t="s">
        <v>343</v>
      </c>
      <c r="C58" t="s">
        <v>344</v>
      </c>
    </row>
    <row r="59" spans="2:3" ht="14" x14ac:dyDescent="0.3">
      <c r="B59" s="4" t="s">
        <v>345</v>
      </c>
      <c r="C59" t="s">
        <v>346</v>
      </c>
    </row>
    <row r="60" spans="2:3" ht="14" x14ac:dyDescent="0.3">
      <c r="B60" s="4" t="s">
        <v>347</v>
      </c>
      <c r="C60" t="s">
        <v>348</v>
      </c>
    </row>
    <row r="61" spans="2:3" ht="14" x14ac:dyDescent="0.3">
      <c r="B61" s="4" t="s">
        <v>349</v>
      </c>
      <c r="C61" t="s">
        <v>350</v>
      </c>
    </row>
    <row r="62" spans="2:3" ht="14" x14ac:dyDescent="0.3">
      <c r="B62" s="4" t="s">
        <v>351</v>
      </c>
      <c r="C62" t="s">
        <v>352</v>
      </c>
    </row>
    <row r="63" spans="2:3" ht="14" x14ac:dyDescent="0.3">
      <c r="B63" s="4" t="s">
        <v>353</v>
      </c>
      <c r="C63" t="s">
        <v>354</v>
      </c>
    </row>
    <row r="64" spans="2:3" ht="14" x14ac:dyDescent="0.3">
      <c r="B64" s="4" t="s">
        <v>355</v>
      </c>
      <c r="C64" t="s">
        <v>356</v>
      </c>
    </row>
    <row r="65" spans="2:3" ht="14" x14ac:dyDescent="0.3">
      <c r="B65" s="4" t="s">
        <v>357</v>
      </c>
      <c r="C65" t="s">
        <v>206</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2026-09-06T09:58:10Z</dcterms:created>
  <dcterms:modified xsi:type="dcterms:W3CDTF">2026-09-06T09:58:13Z</dcterms:modified>
</cp:coreProperties>
</file>