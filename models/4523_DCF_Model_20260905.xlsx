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B397CE4-75FC-42E3-90FC-B59A365E3ED5}"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K7" i="6"/>
  <c r="J7" i="6"/>
  <c r="O6" i="6"/>
  <c r="N6" i="6"/>
  <c r="M6" i="6"/>
  <c r="G15" i="6" s="1"/>
  <c r="L6" i="6"/>
  <c r="F15" i="6" s="1"/>
  <c r="K6" i="6"/>
  <c r="J6" i="6"/>
  <c r="O5" i="6"/>
  <c r="N5" i="6"/>
  <c r="D5" i="6"/>
  <c r="L5" i="6" s="1"/>
  <c r="B29" i="1" s="1"/>
  <c r="C16" i="5"/>
  <c r="C14" i="5"/>
  <c r="C18" i="5" s="1"/>
  <c r="C7" i="5"/>
  <c r="C6" i="5"/>
  <c r="C5" i="5"/>
  <c r="C13" i="4"/>
  <c r="C12" i="4"/>
  <c r="C9" i="4"/>
  <c r="C7" i="4"/>
  <c r="C6" i="4"/>
  <c r="D27" i="3"/>
  <c r="E7" i="5" s="1"/>
  <c r="C25" i="3"/>
  <c r="C24" i="3"/>
  <c r="C23" i="3"/>
  <c r="F16" i="2"/>
  <c r="E16" i="2"/>
  <c r="D16" i="2"/>
  <c r="F15" i="2"/>
  <c r="E15" i="2"/>
  <c r="D15" i="2"/>
  <c r="F14" i="2"/>
  <c r="E14" i="2"/>
  <c r="D14" i="2"/>
  <c r="C14" i="2"/>
  <c r="F13" i="2"/>
  <c r="E13" i="2"/>
  <c r="D13" i="2"/>
  <c r="C13" i="2"/>
  <c r="D9" i="2"/>
  <c r="F8" i="2"/>
  <c r="F9" i="2" s="1"/>
  <c r="E8" i="2"/>
  <c r="E9" i="2" s="1"/>
  <c r="D8" i="2"/>
  <c r="C8" i="2"/>
  <c r="C9" i="2" s="1"/>
  <c r="C32" i="3" l="1"/>
  <c r="C26" i="3"/>
  <c r="C3" i="7" s="1"/>
  <c r="C8" i="4"/>
  <c r="C10" i="4" s="1"/>
  <c r="H15" i="6"/>
  <c r="I16" i="6"/>
  <c r="C30" i="3"/>
  <c r="C33" i="3" s="1"/>
  <c r="C43" i="3" s="1"/>
  <c r="E30" i="3"/>
  <c r="D17" i="6"/>
  <c r="F31" i="3"/>
  <c r="E15" i="6"/>
  <c r="C71" i="4"/>
  <c r="C70" i="4"/>
  <c r="G36" i="4"/>
  <c r="C11" i="4"/>
  <c r="C24" i="4" s="1"/>
  <c r="C25" i="4" s="1"/>
  <c r="E46" i="3"/>
  <c r="H36" i="4"/>
  <c r="G46" i="3"/>
  <c r="F36" i="4"/>
  <c r="F46" i="3"/>
  <c r="E36" i="4"/>
  <c r="D36" i="4"/>
  <c r="D46" i="3"/>
  <c r="B25" i="1"/>
  <c r="C46" i="3"/>
  <c r="E31" i="3"/>
  <c r="D6" i="5"/>
  <c r="F7" i="5"/>
  <c r="M5" i="6"/>
  <c r="B24" i="1" s="1"/>
  <c r="I15" i="6"/>
  <c r="E17" i="6"/>
  <c r="I6" i="7"/>
  <c r="F17" i="6"/>
  <c r="C17" i="7"/>
  <c r="E6" i="5"/>
  <c r="G7" i="5"/>
  <c r="D16" i="6"/>
  <c r="D30" i="3"/>
  <c r="G31" i="3"/>
  <c r="D5" i="5"/>
  <c r="F6" i="5"/>
  <c r="H7" i="5"/>
  <c r="E16" i="6"/>
  <c r="G17" i="6"/>
  <c r="C6" i="7"/>
  <c r="D17" i="7"/>
  <c r="H17" i="6"/>
  <c r="D6" i="7"/>
  <c r="E17" i="7"/>
  <c r="E5" i="5"/>
  <c r="G6" i="5"/>
  <c r="D15" i="6"/>
  <c r="F16" i="6"/>
  <c r="C28" i="6" s="1"/>
  <c r="C19" i="1" s="1"/>
  <c r="D19" i="1" s="1"/>
  <c r="F30" i="3"/>
  <c r="D32" i="3"/>
  <c r="F5" i="5"/>
  <c r="H6" i="5"/>
  <c r="E5" i="6"/>
  <c r="G16" i="6"/>
  <c r="I17" i="6"/>
  <c r="E6" i="7"/>
  <c r="F17" i="7"/>
  <c r="H16" i="6"/>
  <c r="F6" i="7"/>
  <c r="G17" i="7"/>
  <c r="G30" i="3"/>
  <c r="G5" i="5"/>
  <c r="C31" i="3"/>
  <c r="C34" i="3" s="1"/>
  <c r="F32" i="3"/>
  <c r="H5" i="5"/>
  <c r="D7" i="5"/>
  <c r="G6" i="7"/>
  <c r="H17" i="7"/>
  <c r="E32" i="3"/>
  <c r="D31" i="3"/>
  <c r="G32" i="3"/>
  <c r="C37" i="3" l="1"/>
  <c r="D9" i="5"/>
  <c r="C42" i="3"/>
  <c r="D33" i="3"/>
  <c r="E33" i="3" s="1"/>
  <c r="D42" i="3"/>
  <c r="D34" i="3"/>
  <c r="E10" i="5" s="1"/>
  <c r="D37" i="3"/>
  <c r="E9" i="5"/>
  <c r="E12" i="5" s="1"/>
  <c r="D10" i="5"/>
  <c r="C35" i="3"/>
  <c r="C27" i="4"/>
  <c r="C26" i="4"/>
  <c r="C29" i="4"/>
  <c r="K5" i="6"/>
  <c r="J5" i="6"/>
  <c r="D38" i="4"/>
  <c r="D45" i="4"/>
  <c r="D41" i="4"/>
  <c r="D39" i="4"/>
  <c r="D49" i="4" s="1"/>
  <c r="D54" i="4" s="1"/>
  <c r="D43" i="4"/>
  <c r="D46" i="4"/>
  <c r="D40" i="4"/>
  <c r="D44" i="4"/>
  <c r="G39" i="4"/>
  <c r="G43" i="4"/>
  <c r="G46" i="4"/>
  <c r="G40" i="4"/>
  <c r="G50" i="4" s="1"/>
  <c r="G55" i="4" s="1"/>
  <c r="G44" i="4"/>
  <c r="G38" i="4"/>
  <c r="G48" i="4" s="1"/>
  <c r="G53" i="4" s="1"/>
  <c r="G41" i="4"/>
  <c r="G51" i="4" s="1"/>
  <c r="G56" i="4" s="1"/>
  <c r="G45" i="4"/>
  <c r="D12" i="5"/>
  <c r="E41" i="4"/>
  <c r="E45" i="4"/>
  <c r="E39" i="4"/>
  <c r="E49" i="4" s="1"/>
  <c r="E54" i="4" s="1"/>
  <c r="E43" i="4"/>
  <c r="E46" i="4"/>
  <c r="E40" i="4"/>
  <c r="E50" i="4" s="1"/>
  <c r="E55" i="4" s="1"/>
  <c r="E44" i="4"/>
  <c r="E38" i="4"/>
  <c r="B13" i="7"/>
  <c r="B12" i="7"/>
  <c r="B11" i="7"/>
  <c r="B10" i="7"/>
  <c r="B9" i="7"/>
  <c r="B8" i="7"/>
  <c r="B7" i="7"/>
  <c r="B24" i="7"/>
  <c r="B23" i="7"/>
  <c r="B22" i="7"/>
  <c r="B21" i="7"/>
  <c r="B20" i="7"/>
  <c r="B19" i="7"/>
  <c r="B18" i="7"/>
  <c r="H43" i="4"/>
  <c r="H40" i="4"/>
  <c r="H46" i="4"/>
  <c r="H44" i="4"/>
  <c r="H38" i="4"/>
  <c r="H48" i="4" s="1"/>
  <c r="H53" i="4" s="1"/>
  <c r="H41" i="4"/>
  <c r="H51" i="4" s="1"/>
  <c r="H56" i="4" s="1"/>
  <c r="H45" i="4"/>
  <c r="H39" i="4"/>
  <c r="H49" i="4" s="1"/>
  <c r="H54" i="4" s="1"/>
  <c r="C74" i="4"/>
  <c r="C27" i="6"/>
  <c r="C18" i="1" s="1"/>
  <c r="D18" i="1" s="1"/>
  <c r="F45" i="4"/>
  <c r="F39" i="4"/>
  <c r="F43" i="4"/>
  <c r="F46" i="4"/>
  <c r="F40" i="4"/>
  <c r="F50" i="4" s="1"/>
  <c r="F55" i="4" s="1"/>
  <c r="F44" i="4"/>
  <c r="F38" i="4"/>
  <c r="F41" i="4"/>
  <c r="D35" i="3" l="1"/>
  <c r="D43" i="3"/>
  <c r="D50" i="4"/>
  <c r="D55" i="4" s="1"/>
  <c r="D39" i="3"/>
  <c r="D38" i="3"/>
  <c r="D36" i="3"/>
  <c r="E42" i="3"/>
  <c r="E34" i="3"/>
  <c r="F10" i="5" s="1"/>
  <c r="E37" i="3"/>
  <c r="F9" i="5"/>
  <c r="F12" i="5" s="1"/>
  <c r="E43" i="3"/>
  <c r="F33" i="3"/>
  <c r="F49" i="4"/>
  <c r="D51" i="4"/>
  <c r="D56" i="4" s="1"/>
  <c r="D15" i="5"/>
  <c r="D16" i="5" s="1"/>
  <c r="D13" i="5"/>
  <c r="D14" i="5" s="1"/>
  <c r="D18" i="5" s="1"/>
  <c r="D19" i="5" s="1"/>
  <c r="C44" i="3" s="1"/>
  <c r="E51" i="4"/>
  <c r="E56" i="4" s="1"/>
  <c r="H50" i="4"/>
  <c r="H55" i="4" s="1"/>
  <c r="E48" i="4"/>
  <c r="E53" i="4" s="1"/>
  <c r="G49" i="4"/>
  <c r="G54" i="4" s="1"/>
  <c r="D48" i="4"/>
  <c r="D53" i="4" s="1"/>
  <c r="E15" i="5"/>
  <c r="E16" i="5" s="1"/>
  <c r="E13" i="5"/>
  <c r="E14" i="5" s="1"/>
  <c r="E18" i="5" s="1"/>
  <c r="F51" i="4"/>
  <c r="F56" i="4" s="1"/>
  <c r="F48" i="4"/>
  <c r="F53" i="4" s="1"/>
  <c r="C36" i="3"/>
  <c r="C39" i="3"/>
  <c r="C38" i="3"/>
  <c r="E19" i="5" l="1"/>
  <c r="D44" i="3" s="1"/>
  <c r="F15" i="5"/>
  <c r="F16" i="5" s="1"/>
  <c r="F13" i="5"/>
  <c r="F14" i="5" s="1"/>
  <c r="F18" i="5" s="1"/>
  <c r="F19" i="5" s="1"/>
  <c r="E44" i="3" s="1"/>
  <c r="C40" i="3"/>
  <c r="C41" i="3" s="1"/>
  <c r="C45" i="3" s="1"/>
  <c r="C60" i="4"/>
  <c r="F54" i="4"/>
  <c r="B78" i="4" s="1"/>
  <c r="F37" i="3"/>
  <c r="G9" i="5"/>
  <c r="G12" i="5" s="1"/>
  <c r="F43" i="3"/>
  <c r="G33" i="3"/>
  <c r="F42" i="3"/>
  <c r="F34" i="3"/>
  <c r="G10" i="5" s="1"/>
  <c r="E35" i="3"/>
  <c r="D40" i="3"/>
  <c r="D41" i="3" s="1"/>
  <c r="D45" i="3" s="1"/>
  <c r="D47" i="3" s="1"/>
  <c r="C47" i="3" l="1"/>
  <c r="G13" i="5"/>
  <c r="G14" i="5" s="1"/>
  <c r="G15" i="5"/>
  <c r="G16" i="5" s="1"/>
  <c r="C66" i="4"/>
  <c r="D66" i="4" s="1"/>
  <c r="C65" i="4"/>
  <c r="D65" i="4" s="1"/>
  <c r="C64" i="4"/>
  <c r="D64" i="4" s="1"/>
  <c r="C67" i="4"/>
  <c r="D67" i="4" s="1"/>
  <c r="C63" i="4"/>
  <c r="D63" i="4" s="1"/>
  <c r="F35" i="3"/>
  <c r="H9" i="5"/>
  <c r="H12" i="5" s="1"/>
  <c r="G43" i="3"/>
  <c r="G42" i="3"/>
  <c r="C72" i="4" s="1"/>
  <c r="C16" i="4"/>
  <c r="C28" i="4" s="1"/>
  <c r="G37" i="3"/>
  <c r="G34" i="3"/>
  <c r="H10" i="5" s="1"/>
  <c r="E39" i="3"/>
  <c r="E38" i="3"/>
  <c r="E36" i="3"/>
  <c r="G35" i="3" l="1"/>
  <c r="G18" i="5"/>
  <c r="G19" i="5" s="1"/>
  <c r="F44" i="3" s="1"/>
  <c r="F38" i="3"/>
  <c r="F36" i="3"/>
  <c r="F39" i="3"/>
  <c r="H13" i="5"/>
  <c r="H15" i="5"/>
  <c r="H16" i="5" s="1"/>
  <c r="H14" i="5"/>
  <c r="C73" i="4"/>
  <c r="G38" i="3"/>
  <c r="G39" i="3"/>
  <c r="G36" i="3"/>
  <c r="E40" i="3"/>
  <c r="E41" i="3" s="1"/>
  <c r="E45" i="3" s="1"/>
  <c r="H18" i="5" l="1"/>
  <c r="H19" i="5" s="1"/>
  <c r="G44" i="3" s="1"/>
  <c r="E47" i="3"/>
  <c r="F40" i="3"/>
  <c r="F41" i="3" s="1"/>
  <c r="F45" i="3" s="1"/>
  <c r="G40" i="3"/>
  <c r="G41" i="3" s="1"/>
  <c r="G45" i="3" s="1"/>
  <c r="D9" i="7" s="1"/>
  <c r="C59" i="3"/>
  <c r="C60" i="3" s="1"/>
  <c r="C61" i="3" s="1"/>
  <c r="F47" i="3" l="1"/>
  <c r="C9" i="7"/>
  <c r="G18" i="7"/>
  <c r="F12" i="7"/>
  <c r="H11" i="7"/>
  <c r="H23" i="7"/>
  <c r="H20" i="7"/>
  <c r="E10" i="7"/>
  <c r="F19" i="7"/>
  <c r="F13" i="7"/>
  <c r="D22" i="7"/>
  <c r="G13" i="7"/>
  <c r="F21" i="7"/>
  <c r="H13" i="7"/>
  <c r="D21" i="7"/>
  <c r="H8" i="7"/>
  <c r="I11" i="7"/>
  <c r="D11" i="7"/>
  <c r="I9" i="7"/>
  <c r="C23" i="7"/>
  <c r="H9" i="7"/>
  <c r="C8" i="7"/>
  <c r="F18" i="7"/>
  <c r="E18" i="7"/>
  <c r="C21" i="7"/>
  <c r="G10" i="7"/>
  <c r="I19" i="7"/>
  <c r="H10" i="7"/>
  <c r="F9" i="7"/>
  <c r="H19" i="7"/>
  <c r="I20" i="7"/>
  <c r="G21" i="7"/>
  <c r="I21" i="7"/>
  <c r="F23" i="7"/>
  <c r="E13" i="7"/>
  <c r="G22" i="7"/>
  <c r="I7" i="7"/>
  <c r="F8" i="7"/>
  <c r="E20" i="7"/>
  <c r="C11" i="7"/>
  <c r="H22" i="7"/>
  <c r="F11" i="7"/>
  <c r="I13" i="7"/>
  <c r="D19" i="7"/>
  <c r="E24" i="7"/>
  <c r="G12" i="7"/>
  <c r="E23" i="7"/>
  <c r="C13" i="7"/>
  <c r="C12" i="7"/>
  <c r="I18" i="7"/>
  <c r="E22" i="7"/>
  <c r="C22" i="7"/>
  <c r="H18" i="7"/>
  <c r="F7" i="7"/>
  <c r="I12" i="7"/>
  <c r="I8" i="7"/>
  <c r="G20" i="7"/>
  <c r="G24" i="7"/>
  <c r="D23" i="7"/>
  <c r="H12" i="7"/>
  <c r="G7" i="7"/>
  <c r="D12" i="7"/>
  <c r="D24" i="7"/>
  <c r="H24" i="7"/>
  <c r="D7" i="7"/>
  <c r="F20" i="7"/>
  <c r="E19" i="7"/>
  <c r="F10" i="7"/>
  <c r="E12" i="7"/>
  <c r="E8" i="7"/>
  <c r="D10" i="7"/>
  <c r="G19" i="7"/>
  <c r="D8" i="7"/>
  <c r="C20" i="7"/>
  <c r="G9" i="7"/>
  <c r="C7" i="7"/>
  <c r="D13" i="7"/>
  <c r="I24" i="7"/>
  <c r="C51" i="3"/>
  <c r="C52" i="3" s="1"/>
  <c r="G47" i="3"/>
  <c r="H7" i="7"/>
  <c r="I23" i="7"/>
  <c r="G23" i="7"/>
  <c r="I22" i="7"/>
  <c r="I10" i="7"/>
  <c r="C18" i="7"/>
  <c r="E21" i="7"/>
  <c r="D20" i="7"/>
  <c r="G11" i="7"/>
  <c r="E9" i="7"/>
  <c r="D18" i="7"/>
  <c r="F24" i="7"/>
  <c r="C24" i="7"/>
  <c r="C19" i="7"/>
  <c r="G8" i="7"/>
  <c r="F22" i="7"/>
  <c r="C10" i="7"/>
  <c r="H21" i="7"/>
  <c r="E11" i="7"/>
  <c r="E7" i="7"/>
  <c r="C50" i="3"/>
  <c r="C53" i="3" l="1"/>
  <c r="C58" i="3"/>
  <c r="C62" i="3" s="1"/>
  <c r="C63" i="3" l="1"/>
  <c r="C64" i="3" s="1"/>
  <c r="C17" i="1"/>
  <c r="D17" i="1" s="1"/>
  <c r="C54" i="3"/>
  <c r="C55" i="3" s="1"/>
  <c r="C17" i="4"/>
  <c r="C16" i="1"/>
  <c r="C10" i="1" l="1"/>
  <c r="C21" i="1"/>
  <c r="D16" i="1"/>
  <c r="C19" i="4"/>
  <c r="C20" i="4" s="1"/>
  <c r="B79" i="4" s="1"/>
  <c r="C12" i="1" l="1"/>
  <c r="C11" i="1" s="1"/>
  <c r="B31" i="1"/>
  <c r="B26" i="1"/>
</calcChain>
</file>

<file path=xl/sharedStrings.xml><?xml version="1.0" encoding="utf-8"?>
<sst xmlns="http://schemas.openxmlformats.org/spreadsheetml/2006/main" count="528" uniqueCount="396">
  <si>
    <t>DISCLAIMER: This is a sample analysis for demonstration purposes only. It does not constitute investment advice.</t>
  </si>
  <si>
    <t>エーザイ (4523.T)</t>
  </si>
  <si>
    <t>Equity Research Report</t>
  </si>
  <si>
    <t>Company</t>
  </si>
  <si>
    <t>エーザイ</t>
  </si>
  <si>
    <t>Ticker</t>
  </si>
  <si>
    <t>4523.T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</si>
  <si>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</si>
  <si>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</si>
  <si>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</si>
  <si>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</si>
  <si>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</si>
  <si>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</si>
  <si>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</si>
  <si>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</si>
  <si>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</si>
  <si>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</si>
  <si>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</si>
  <si>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</si>
  <si>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</si>
  <si>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</si>
  <si>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</si>
  <si>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</si>
  <si>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</si>
  <si>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</si>
  <si>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operating margin has stayed in a narrow low-single-digit band while revenue grew, so the base-case recovery depends on operating leverage the filings have not yet shown.</t>
  </si>
  <si>
    <t>エーザイ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</si>
  <si>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</si>
  <si>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</si>
  <si>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</si>
  <si>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</si>
  <si>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</si>
  <si>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</si>
  <si>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</si>
  <si>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</si>
  <si>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</si>
  <si>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</si>
  <si>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</si>
  <si>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</si>
  <si>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</si>
  <si>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</si>
  <si>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</si>
  <si>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</si>
  <si>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</si>
  <si>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</si>
  <si>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</si>
  <si>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</si>
  <si>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</si>
  <si>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</si>
  <si>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</si>
  <si>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</si>
  <si>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</si>
  <si>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</si>
  <si>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</si>
  <si>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</si>
  <si>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エーザイ</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</si>
  <si>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</si>
  <si>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</si>
  <si>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</si>
  <si>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</si>
  <si>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</si>
  <si>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</si>
  <si>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</si>
  <si>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</si>
  <si>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</si>
  <si>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</si>
  <si>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</si>
  <si>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</si>
  <si>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</si>
  <si>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</si>
  <si>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</si>
  <si>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</si>
  <si>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</si>
  <si>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</si>
  <si>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</si>
  <si>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</si>
  <si>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</si>
  <si>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</si>
  <si>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</si>
  <si>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</si>
  <si>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</si>
  <si>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</si>
  <si>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</si>
  <si>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</si>
  <si>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</si>
  <si>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</si>
  <si>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</si>
  <si>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</si>
  <si>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</si>
  <si>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</si>
  <si>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</si>
  <si>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</si>
  <si>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</si>
  <si>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</si>
  <si>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</si>
  <si>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</si>
  <si>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</si>
  <si>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</si>
  <si>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</si>
  <si>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</si>
  <si>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</si>
  <si>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</si>
  <si>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</si>
  <si>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</si>
  <si>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</si>
  <si>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</si>
  <si>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</si>
  <si>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</si>
  <si>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</si>
  <si>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</si>
  <si>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</si>
  <si>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</si>
  <si>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</si>
  <si>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</si>
  <si>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</si>
  <si>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</si>
  <si>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</si>
  <si>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</si>
  <si>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</si>
  <si>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エーザイ (4523.T)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</si>
  <si>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</si>
  <si>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</si>
  <si>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</si>
  <si>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</si>
  <si>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</si>
  <si>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</si>
  <si>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</si>
  <si>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</si>
  <si>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</si>
  <si>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</si>
  <si>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</si>
  <si>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</si>
  <si>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</si>
  <si>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</si>
  <si>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</si>
  <si>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</si>
  <si>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</si>
  <si>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</si>
  <si>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</si>
  <si>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</si>
  <si>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</si>
  <si>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</si>
  <si>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</si>
  <si>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</si>
  <si>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</si>
  <si>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</si>
  <si>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</si>
  <si>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</si>
  <si>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</si>
  <si>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</si>
  <si>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</si>
  <si>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</si>
  <si>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</si>
  <si>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</si>
  <si>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</si>
  <si>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</si>
  <si>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</si>
  <si>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</si>
  <si>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</si>
  <si>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</si>
  <si>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</si>
  <si>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</si>
  <si>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</si>
  <si>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</si>
  <si>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</si>
  <si>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</si>
  <si>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</si>
  <si>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</si>
  <si>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</si>
  <si>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</si>
  <si>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</si>
  <si>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エーザイ</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</si>
  <si>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</si>
  <si>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</si>
  <si>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</si>
  <si>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</si>
  <si>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</si>
  <si>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</si>
  <si>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</si>
  <si>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</si>
  <si>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</si>
  <si>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</si>
  <si>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</si>
  <si>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</si>
  <si>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</si>
  <si>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</si>
  <si>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</si>
  <si>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</si>
  <si>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</si>
  <si>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</si>
  <si>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</si>
  <si>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</si>
  <si>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</si>
  <si>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</si>
  <si>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</si>
  <si>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</si>
  <si>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</si>
  <si>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</si>
  <si>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</si>
  <si>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</si>
  <si>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</si>
  <si>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</si>
  <si>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</si>
  <si>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</si>
  <si>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</si>
  <si>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</si>
  <si>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Eisai Co., Ltd.</t>
  </si>
  <si>
    <t>4523.T</t>
  </si>
  <si>
    <t>Shionogi &amp; Co., Ltd.</t>
  </si>
  <si>
    <t>4507.T</t>
  </si>
  <si>
    <t>Kyowa Kirin Co., Ltd.</t>
  </si>
  <si>
    <t>4151.T</t>
  </si>
  <si>
    <t>Astellas Pharma Inc.</t>
  </si>
  <si>
    <t>4503.T</t>
  </si>
  <si>
    <t>Daiichi Sankyo Company, Limited</t>
  </si>
  <si>
    <t>4568.T</t>
  </si>
  <si>
    <t>Statistics</t>
  </si>
  <si>
    <t>25th Percentile</t>
  </si>
  <si>
    <t>Median (50th)</t>
  </si>
  <si>
    <t>75th Percentile</t>
  </si>
  <si>
    <t>Implied Valuation for エーザイ</t>
  </si>
  <si>
    <t>エーザイ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</si>
  <si>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</si>
  <si>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</si>
  <si>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</si>
  <si>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</si>
  <si>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</si>
  <si>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</si>
  <si>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</si>
  <si>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</si>
  <si>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</si>
  <si>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</si>
  <si>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</si>
  <si>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</si>
  <si>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</si>
  <si>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</si>
  <si>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</si>
  <si>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エーザイ</t>
  </si>
  <si>
    <t>日付</t>
  </si>
  <si>
    <t>セル</t>
  </si>
  <si>
    <t>変更内容</t>
  </si>
  <si>
    <t>理由</t>
  </si>
  <si>
    <t>元の値</t>
  </si>
  <si>
    <t>状態</t>
  </si>
  <si>
    <t>2026-09-05</t>
  </si>
  <si>
    <t>-</t>
  </si>
  <si>
    <t>Generated by pipeline on 2026-09-05 17:03,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</si>
  <si>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</si>
  <si>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</si>
  <si>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</si>
  <si>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</si>
  <si>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</si>
  <si>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</si>
  <si>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</si>
  <si>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</si>
  <si>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</si>
  <si>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</si>
  <si>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</si>
  <si>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</si>
  <si>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</si>
  <si>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</si>
  <si>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1,324,816百万円。■テンプレートの自動規則(&gt;=1兆円 -&gt; 0.0%、&gt;=1,000億円 -&gt; 1.5%)とは異なる値であり、明示指定で上書きしている。</t>
  </si>
  <si>
    <t>テンプレ自動値</t>
  </si>
  <si>
    <t>DCF Model!C8</t>
  </si>
  <si>
    <t>Beta = 0.60</t>
  </si>
  <si>
    <t>yfinance実測 **−0.053** はテンプレのクランプ域 [0.6, 1.75] の下限を大きく下回り、そのまま渡すと【無言で 1.0 に置換】される。追補1 §A に従い max(0.6, min(1.75, 実測)) = 0.60 を明示指定した。**0.60 は実測値ではなくテンプレが受け付ける最小値**であることに注意。</t>
  </si>
  <si>
    <t>yfinance実測 -0.053</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</si>
  <si>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</si>
  <si>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</si>
  <si>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</si>
  <si>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</si>
  <si>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</si>
  <si>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</si>
  <si>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</si>
  <si>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net_debt がネットキャッシュ（−59,342百万円）で D/E = 0 のため、負債コストは WACC に一切寄与しない（WACC = Ke = 7.87%）。実績Kd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</si>
  <si>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</si>
  <si>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</si>
  <si>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</si>
  <si>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</si>
  <si>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</si>
  <si>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</si>
  <si>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10.4x</t>
  </si>
  <si>
    <t>Peer 4社の実測EV/EBITDA中央値 10.37x（4507 12.64 / 4151 8.10 / 4503 7.84 / 4568 16.10）。 自社の現在倍率 15.12x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</si>
  <si>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</si>
  <si>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</si>
  <si>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</si>
  <si>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S100YB05。金融事業専用科目は1件も検出されず）。銀行・captive finance なし（Debt/Revenue 0.23）。NonOp/OP +15.5%。OPMレンジ1.9pt・赤字年なしで型Bにも該当しない。</t>
  </si>
  <si>
    <t>DCF Model!C16</t>
  </si>
  <si>
    <t>net_debt = −59,342百万円 を明示指定（ネットキャッシュ）</t>
  </si>
  <si>
    <t>【リトライ1回目・EDINET自動値の誤りを訂正】初回生成の net_debt 自動値は **0** だった。原因は EDINET が当社の有利子負債を1年も抽出できていないこと（FS align が [ocf+cash] のみ、**Debt 0/4**）。根本原因は scripts/generate_dcf.py:169 の net_debt = _val(base_data, 'net_debt') が欠損を 0 に落とすこと（§6-1 と同一原因、2801 キッコーマン・2897 日清食品HD と同型の3例目）。実際は 有利子負債 186,081 − 現金及び現金同等物 245,423 = −59,342（FY2026/3期末、yfinance連結BS）。■差 59,342百万円 は1株あたり約210円（株数282,236,007）に相当し無視できない。■**validate は FAIL 0 のままこの誤りを通す**。追補1 §D / 追補2 §F-4 が数値照合を必須とする理由の実例。■なお本件は _val 由来の**既知パターン**であり、追補2 §I により『3銘柄連続』のカウント対象外である。</t>
  </si>
  <si>
    <t>EDINET自動算出値 0（誤り）</t>
  </si>
  <si>
    <t>Financial Statements / hist_* 系列</t>
  </si>
  <si>
    <t>hist_years を FY2023-FY2026 の4期に置換し P/L 5系列を yfinance連結財務諸表から供給（予防的）</t>
  </si>
  <si>
    <t>【追補2 §F-2 の予防的 EDINET 補完（生成前適用・必須）】根本原因は scripts/generate_dcf.py:66 の _val(data_dict, key, default=0) が欠損値を None ではなく 0 に落とすことで、hist_* 全系列・net_debt・core_ebitda に波及する。hist_years を直近4期に置換し hist_revenue / hist_operating_income / hist_net_income / hist_cogs / hist_sga を yfinance連結財務諸表から供給（配列長は全て4で hist_years と一致、契約遵守）。■hist_ocf / hist_cash / hist_debt / hist_capex / hist_depreciation は【供給していない】 — Step 4.6 が最終 hist_years に会計年度キーで再マッピングするため EDINET を一次ソースのまま使える。■hist_sga = 売上 − COGS − 営業利益 で逆算。■#DIV/0! は発生していない。</t>
  </si>
  <si>
    <t>EDINET自動抽出値</t>
  </si>
  <si>
    <t>Comps Analysis / core_ebitda</t>
  </si>
  <si>
    <t>core_ebitda = 83,689百万円 を明示指定（営業利益 44,139 + D&amp;A 39,550）</t>
  </si>
  <si>
    <t>【追補2 §G】core_ebitda を明示指定（= 直近営業利益 + 直近CF計算書D&amp;A）。Comps の『自社 Financials』EBITDA と Via EV/EBITDA 参考株価は config の core_ebitda を使うが、EDINET 由来の D&amp;A は銘柄により信頼できず、破綻しても validate は FAIL 0 のまま通る。Peer と同一定義に揃えるため予防的に明示指定し、生成後に batch/check_core_ebitda.py で一致を確認した。</t>
  </si>
  <si>
    <t>EDINET由来の自動計算値</t>
  </si>
  <si>
    <t>DCF Model!C5 / C18</t>
  </si>
  <si>
    <t>capex_method / da_method とも revenue_pct(capex 5.04% / D&amp;A 4.80%)</t>
  </si>
  <si>
    <t>実績は capex 2.9-5.0% / D&amp;A 4.8-5.4% で近接しており direct 方式の必要がない。ターミナル比率 1.050x でレンジ[0.90,1.15]内（validate チェック9 PASS）。</t>
  </si>
  <si>
    <t>DCF Model シナリオ5本</t>
  </si>
  <si>
    <t>実績OPM分布からの導出(min 5.35 / p25 5.37 / med 6.13 / p75 6.97 / max 7.20%)</t>
  </si>
  <si>
    <t>直近 5.35%(観測窓の最低)が中央値を下回るため Base は実績中央値 6.13% へ収束(Y1 5.5% -&gt; Y5 6.13%)。Upside は max(p75 6.97, 直近+1.0pt = 6.35) = 6.97%。Downside 1 は min(p25 5.37, 直近 5.35) = 5.35% を下回る 4.10%。Downside 2 は実績トラフ(5.35%)が直近実績そのものでトラフとして機能しないため、売上-6%+OPM半減アーム(2.7-3.1%)。■製薬の恒等式: COGS% を実績 23.2% に固定し SGA% = 100% - COGS% - 目標OPM で逆算した。既存銘柄からの流用なし。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</si>
  <si>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</si>
  <si>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</si>
  <si>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</si>
  <si>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</si>
  <si>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</si>
  <si>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</si>
  <si>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100 / DIH **414** / DPO 173 日</t>
  </si>
  <si>
    <t>実績4期平均。DIH 414日は本バッチ最長級で、医薬品の製造リードタイムと在庫方針を反映している。DPO 173日がある程度相殺する。</t>
  </si>
  <si>
    <t>Comps Analysis</t>
  </si>
  <si>
    <t>Peer 4社 = 4507 塩野義製薬 / 4151 協和キリン / 4503 アステラス製薬 / 4568 第一三共</t>
  </si>
  <si>
    <t>■選定理由: TSE33業種『医薬品』。■**時価総額バンドの逸脱**: v2 §5 の 0.3〜3倍は 0.397〜3.97兆円で、バンド内は 4507(2.48兆) と 4151(1.26兆) の**2社のみ**。3社以上を確保するためバンドを緩和し、4503(4.22兆)・4568(5.08兆)を業種同一性で採用した（Peer 4社構成）。■**除外: 4519 中外製薬**（減価償却費が取得できず EBITDA を算出できない。v2 §5 に従い除外。4519 自体もキュー送り）。■海外Peer（Biogen 等、レカネマブの共同開発パートナー）は真の比較対象だが v2 §5 により不使用。■D&amp;A取得状況: 採用5社すべてで減価償却費を取得でき統一。**D&amp;A欠損による除外はゼロ**（validate チェック12 PASS）。</t>
  </si>
  <si>
    <t>Executive Summary!C10 / Target</t>
  </si>
  <si>
    <t>Target Price = 2,669円 = PGM 1,961円 と Exit 3,377円 の2本平均。Comps 2本(EV/EBITDA 3,285円 / PER 2,272円)は [参考・Target不算入]</t>
  </si>
  <si>
    <t>メモ§2 の規約どおり。validate チェック14 PASS(C10 が C16:C17 のみを平均)。EV&lt;net_debt による INVALID 化は発生していない（ネットキャッシュのため、チェック10・15 とも PASS）。■**自社の実測 EV/EBITDA 15.12x は Peer中央値 10.37x の 1.46倍**。本モデルの Exit 法は Peer中央値をそのまま用いるため、これが乖離の主要因のひとつである。</t>
  </si>
  <si>
    <t>全体(解釈の確定)</t>
  </si>
  <si>
    <t>説明不能部分（1株2,733円＝現値の58%）を「新薬オプションのプレミアム」と解釈する</t>
  </si>
  <si>
    <t>【追補3 §N の解釈確定・再生成なし】Target −43.1%（SELL）と WARN 11（PGM逆算Exit 4.73x vs 仮定 10.40x、乖離2.20倍で本バッチ最大）は**数値の誤りではなく事業構造に由来する**とユーザー判断で確定した。逆算DCF が示すとおり、現値 4,694円 は定常営業利益 130,475百万円（FY2025 サイクルピーク 54,377百万の **2.40倍**）を織り込んでおり、Base が支える EV 494,068百万円 との差 **1株あたり 2,733円（現値の58%）** は**レカネマブ（Leqembi）のオプション価値＝新薬の将来キャッシュフローに対するプレミアムの値段**と解釈する。■これは『DCFフォーマット標準メモ §4』の**「希少性/イベント型」**（DCFで説明できない価格差＝プレミアムの値段として定量化する）に該当する類型であり、ミッドサイクル正常化DCFの守備範囲外である。Base シナリオを新薬の成功前提に書き換えて Target を現値に近づけることはしない（それは DCF ではなく現値の追認になる）。■**Reverse DCF シートの Block E（取引ベンチマーク）が代替アンカー**として機能する。■したがって本モデルの読み方は「レカネマブを除いた既存事業の下限値＝2,669円」であり、**現値との差はオプション価値として別途評価すべき**である。再生成は不要。</t>
  </si>
  <si>
    <t>確定(追補3 §N)</t>
  </si>
  <si>
    <t>全体(納品状態)</t>
  </si>
  <si>
    <t>本ファイルは DRAFT。_FINAL は付けない</t>
  </si>
  <si>
    <t>バッチモードでの機械生成物であり人間の検証を経ていない。FINAL化は手順書v2 §6 に従い検証後に行う。</t>
  </si>
  <si>
    <t>DRAFT</t>
  </si>
  <si>
    <t>全体(未解決)</t>
  </si>
  <si>
    <t>**現値の58%（1株2,733円）がミッドサイクル経済性で説明できない — 本バッチ最大級のギャップ**</t>
  </si>
  <si>
    <t>逆算DCF は現値がサイクルピークの **2.40倍** の定常営業利益を織り込むことを示す。市場はレカネマブ（Leqembi）の将来キャッシュフローを織り込んでいるが、本モデルは連結ベースのミッドサイクル正常化であり、**単一製品の立ち上がりを別建てで評価していない**。アルツハイマー病治療薬の市場規模想定を置いた別建ての評価（セグメント/製品別 DCF）が必要かは人間の判断を要する。</t>
  </si>
  <si>
    <t>未解決</t>
  </si>
  <si>
    <t>PGM 1,961円 と Exit 3,377円 の 2.2倍の開き（WARN 11・本バッチ最大）</t>
  </si>
  <si>
    <t>当社の営業利益率が 5〜7% と Peer より大幅に低いことが原因。Target 2,669円 はその中間で、どちらの世界観を採るかで結論が大きく変わる。</t>
  </si>
  <si>
    <t>営業利益率が構造的に低い水準にとどまる要因</t>
  </si>
  <si>
    <t>COGS 23.2% に対し SGA（研究開発費込み）が 52.7% と極めて高い。レカネマブの販売費・開発費が一巡すればマージンは改善するが、その時期は本モデルでは判定していない。</t>
  </si>
  <si>
    <t>Pipeline Metadata (do not edit — read by scripts/validate_output.py)</t>
  </si>
  <si>
    <t>key</t>
  </si>
  <si>
    <t>value</t>
  </si>
  <si>
    <t>auto_log_entries</t>
  </si>
  <si>
    <t>0</t>
  </si>
  <si>
    <t>capex_pct_basis</t>
  </si>
  <si>
    <t>assumption</t>
  </si>
  <si>
    <t>capex_pct_c5</t>
  </si>
  <si>
    <t>0.0504</t>
  </si>
  <si>
    <t>capex_pct_hist3yr</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</si>
  <si>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</si>
  <si>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</si>
  <si>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</si>
  <si>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</si>
  <si>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</si>
  <si>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</si>
  <si>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</si>
  <si>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</si>
  <si>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</si>
  <si>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</si>
  <si>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</si>
  <si>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</si>
  <si>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</si>
  <si>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</si>
  <si>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</si>
  <si>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</si>
  <si>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</si>
  <si>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</si>
  <si>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</si>
  <si>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</si>
  <si>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</si>
  <si>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</si>
  <si>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</si>
  <si>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0.048</t>
  </si>
  <si>
    <t>da_pct_hist3yr</t>
  </si>
  <si>
    <t>0.050528</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</si>
  <si>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</si>
  <si>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</si>
  <si>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</si>
  <si>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</si>
  <si>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</si>
  <si>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</si>
  <si>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</si>
  <si>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</si>
  <si>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</si>
  <si>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2026-09-05 17:03:02</t>
  </si>
  <si>
    <t>ltm_revenue_c20</t>
  </si>
  <si>
    <t>825378.0</t>
  </si>
  <si>
    <t>ltm_revenue_source</t>
  </si>
  <si>
    <t>latest FY (no LTM)</t>
  </si>
  <si>
    <t>narrative_tokens_used</t>
  </si>
  <si>
    <t>pb,per,price,target_price,upside_pct,wacc</t>
  </si>
  <si>
    <t>reverse_dcf_sheet</t>
  </si>
  <si>
    <t>op0=44,139(FY2026) peak=54,377(FY2025) peak_opm=0.0689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</si>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</sst>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4694</v>
      </c>
    </row>
    <row r="10" spans="2:5" ht="14" customHeight="1" x14ac:dyDescent="0.3">
      <c r="B10" s="4" t="s">
        <v>10</v>
      </c>
      <c r="C10" s="5">
        <f>IF(COUNT(C16:C17)=0,"N/A",ROUND(AVERAGE(C16:C17),0))</f>
        <v>2669</v>
      </c>
    </row>
    <row r="11" spans="2:5" ht="14" customHeight="1" x14ac:dyDescent="0.3">
      <c r="B11" s="4" t="s">
        <v>11</v>
      </c>
      <c r="C11" s="6" t="str">
        <f>IF(NOT(ISNUMBER(C12)),"N/A",IF(C12&gt;0.15,"BUY",IF(C12&gt;0.05,"HOLD","SELL")))</f>
        <v>SELL</v>
      </c>
    </row>
    <row r="12" spans="2:5" ht="14" customHeight="1" x14ac:dyDescent="0.3">
      <c r="B12" s="4" t="s">
        <v>12</v>
      </c>
      <c r="C12" s="7">
        <f>IF(ISNUMBER(C10),(C10-C9)/C9,"N/A")</f>
        <v>-0.43140178951853431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1961</v>
      </c>
      <c r="D16" s="7">
        <f>IF(ISNUMBER(C16),(C16-C9)/C9,"N/A")</f>
        <v>-0.58223263740945885</v>
      </c>
    </row>
    <row r="17" spans="2:5" ht="13.5" customHeight="1" x14ac:dyDescent="0.25">
      <c r="B17" t="s">
        <v>18</v>
      </c>
      <c r="C17" s="11">
        <f>IF('DCF Model'!C62&lt;'DCF Model'!C16,"INVALID (EV &lt; net debt)",'DCF Model'!C64)</f>
        <v>3377</v>
      </c>
      <c r="D17" s="7">
        <f>IF(ISNUMBER(C17),(C17-C9)/C9,"N/A")</f>
        <v>-0.2805709416276097</v>
      </c>
    </row>
    <row r="18" spans="2:5" ht="13.5" customHeight="1" x14ac:dyDescent="0.25">
      <c r="B18" t="s">
        <v>19</v>
      </c>
      <c r="C18" s="11">
        <f>'Comps Analysis'!C27</f>
        <v>3285</v>
      </c>
      <c r="D18" s="7">
        <f>IF(ISNUMBER(C18),(C18-C9)/C9,"N/A")</f>
        <v>-0.3001704303365999</v>
      </c>
    </row>
    <row r="19" spans="2:5" ht="13.5" customHeight="1" x14ac:dyDescent="0.25">
      <c r="B19" t="s">
        <v>20</v>
      </c>
      <c r="C19" s="11">
        <f>'Comps Analysis'!C28</f>
        <v>2272</v>
      </c>
      <c r="D19" s="7">
        <f>IF(ISNUMBER(C19),(C19-C9)/C9,"N/A")</f>
        <v>-0.51597784405624203</v>
      </c>
    </row>
    <row r="20" spans="2:5" ht="14" customHeight="1" x14ac:dyDescent="0.3">
      <c r="B20" s="46" t="s">
        <v>21</v>
      </c>
      <c r="C20" s="45"/>
      <c r="D20" s="45"/>
      <c r="E20" s="45"/>
    </row>
    <row r="21" spans="2:5" ht="14" customHeight="1" x14ac:dyDescent="0.3">
      <c r="B21" s="4" t="s">
        <v>22</v>
      </c>
      <c r="C21" s="6" t="str">
        <f>IF(COUNT(C16:C17)=0,"N/A",MIN(C16:C17)&amp;" - "&amp;MAX(C16:C17))</f>
        <v>1961 - 3377</v>
      </c>
    </row>
    <row r="23" spans="2:5" ht="14" customHeight="1" x14ac:dyDescent="0.3">
      <c r="B23" s="8" t="s">
        <v>23</v>
      </c>
      <c r="C23" s="9"/>
      <c r="D23" s="9"/>
    </row>
    <row r="24" spans="2:5" x14ac:dyDescent="0.2">
      <c r="B24" t="str">
        <f>"Eisai has taken Leqembi through launch in Alzheimer's disease while the legacy neurology portfolio funds the spend; the shares trade at "&amp;TEXT('Comps Analysis'!L5,"0.0""x""")&amp;" earnings and "&amp;TEXT('Comps Analysis'!M5,"0.00""x""")&amp;" book."</f>
        <v>Eisai has taken Leqembi through launch in Alzheimer's disease while the legacy neurology portfolio funds the spend; the shares trade at 34.4x earnings and 1.47x book.</v>
      </c>
    </row>
    <row r="25" spans="2:5" x14ac:dyDescent="0.2">
      <c r="B25" t="str">
        <f>"The balance sheet holds net cash, so enterprise value sits below market capitalisation and the "&amp;TEXT('DCF Model'!C26,"0.00%")&amp;" discount rate is the cost of equity with no leverage assumed."</f>
        <v>The balance sheet holds net cash, so enterprise value sits below market capitalisation and the 7.87% discount rate is the cost of equity with no leverage assumed.</v>
      </c>
    </row>
    <row r="26" spans="2:5" x14ac:dyDescent="0.2">
      <c r="B26" t="str">
        <f>"At "&amp;TEXT(C9,"#,##0")&amp;" the market capitalises the latest-year margin, the lowest of the four observed years; a return to the median supports "&amp;TEXT(C10,"#,##0")&amp;", or "&amp;TEXT(C12,"+0.0%;-0.0%")&amp;" from here."</f>
        <v>At 4,694 the market capitalises the latest-year margin, the lowest of the four observed years; a return to the median supports 2,669, or -43.1% from here.</v>
      </c>
    </row>
    <row r="28" spans="2:5" ht="14" customHeight="1" x14ac:dyDescent="0.3">
      <c r="B28" s="8" t="s">
        <v>24</v>
      </c>
      <c r="C28" s="9"/>
      <c r="D28" s="9"/>
    </row>
    <row r="29" spans="2:5" x14ac:dyDescent="0.2">
      <c r="B29" t="str">
        <f>"Leqembi uptake has been slower than the launch case assumed, and the research spend behind it is what compressed the margin to the level implied by today's "&amp;TEXT(C9,"#,##0")&amp;" and "&amp;TEXT('Comps Analysis'!L5,"0.0""x""")&amp;"."</f>
        <v>Leqembi uptake has been slower than the launch case assumed, and the research spend behind it is what compressed the margin to the level implied by today's 4,694 and 34.4x.</v>
      </c>
    </row>
    <row r="30" spans="2:5" x14ac:dyDescent="0.2">
      <c r="B30" t="s">
        <v>25</v>
      </c>
    </row>
    <row r="31" spans="2:5" x14ac:dyDescent="0.2">
      <c r="B31" t="str">
        <f>"Inventory days are among the longest in this batch; a demand miss on a launch product ties up working capital before it appears in the "&amp;TEXT(C10,"#,##0")&amp;" margin path."</f>
        <v>Inventory days are among the longest in this batch; a demand miss on a launch product ties up working capital before it appears in the 2,669 margin path.</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744402</v>
      </c>
      <c r="D6" s="5">
        <v>741751</v>
      </c>
      <c r="E6" s="5">
        <v>789400</v>
      </c>
      <c r="F6" s="5">
        <v>825378</v>
      </c>
    </row>
    <row r="7" spans="2:6" ht="14" customHeight="1" x14ac:dyDescent="0.3">
      <c r="B7" s="4" t="s">
        <v>33</v>
      </c>
      <c r="C7" s="5">
        <v>177837</v>
      </c>
      <c r="D7" s="5">
        <v>155333</v>
      </c>
      <c r="E7" s="5">
        <v>168807</v>
      </c>
      <c r="F7" s="5">
        <v>191223</v>
      </c>
    </row>
    <row r="8" spans="2:6" ht="14" customHeight="1" x14ac:dyDescent="0.3">
      <c r="B8" s="4" t="s">
        <v>34</v>
      </c>
      <c r="C8" s="5">
        <f>C6-C7</f>
        <v>566565</v>
      </c>
      <c r="D8" s="5">
        <f>D6-D7</f>
        <v>586418</v>
      </c>
      <c r="E8" s="5">
        <f>E6-E7</f>
        <v>620593</v>
      </c>
      <c r="F8" s="5">
        <f>F6-F7</f>
        <v>634155</v>
      </c>
    </row>
    <row r="9" spans="2:6" ht="13.5" customHeight="1" x14ac:dyDescent="0.25">
      <c r="B9" t="s">
        <v>35</v>
      </c>
      <c r="C9" s="7">
        <f>C8/C6</f>
        <v>0.76110085679511874</v>
      </c>
      <c r="D9" s="7">
        <f>D8/D6</f>
        <v>0.79058605920315572</v>
      </c>
      <c r="E9" s="7">
        <f>E8/E6</f>
        <v>0.78615784139853051</v>
      </c>
      <c r="F9" s="7">
        <f>F8/F6</f>
        <v>0.76832069669896697</v>
      </c>
    </row>
    <row r="10" spans="2:6" ht="14" customHeight="1" x14ac:dyDescent="0.3">
      <c r="B10" s="4" t="s">
        <v>36</v>
      </c>
      <c r="C10" s="5">
        <v>526525</v>
      </c>
      <c r="D10" s="5">
        <v>533011</v>
      </c>
      <c r="E10" s="5">
        <v>566216</v>
      </c>
      <c r="F10" s="5">
        <v>590016</v>
      </c>
    </row>
    <row r="11" spans="2:6" ht="14" customHeight="1" x14ac:dyDescent="0.3">
      <c r="B11" s="4" t="s">
        <v>37</v>
      </c>
      <c r="C11" s="5">
        <v>40040</v>
      </c>
      <c r="D11" s="5">
        <v>53407</v>
      </c>
      <c r="E11" s="5">
        <v>54377</v>
      </c>
      <c r="F11" s="5">
        <v>44139</v>
      </c>
    </row>
    <row r="12" spans="2:6" ht="14" customHeight="1" x14ac:dyDescent="0.3">
      <c r="B12" s="4" t="s">
        <v>38</v>
      </c>
      <c r="C12" s="5">
        <v>55432</v>
      </c>
      <c r="D12" s="5">
        <v>42406</v>
      </c>
      <c r="E12" s="5">
        <v>46432</v>
      </c>
      <c r="F12" s="5">
        <v>38558</v>
      </c>
    </row>
    <row r="13" spans="2:6" ht="13.5" customHeight="1" x14ac:dyDescent="0.25">
      <c r="B13" t="s">
        <v>39</v>
      </c>
      <c r="C13" s="7">
        <f>C11/C6</f>
        <v>5.3788141353730917E-2</v>
      </c>
      <c r="D13" s="7">
        <f>D11/D6</f>
        <v>7.2001251093695859E-2</v>
      </c>
      <c r="E13" s="7">
        <f>E11/E6</f>
        <v>6.8883962503166959E-2</v>
      </c>
      <c r="F13" s="7">
        <f>F11/F6</f>
        <v>5.3477315848011457E-2</v>
      </c>
    </row>
    <row r="14" spans="2:6" ht="13.5" customHeight="1" x14ac:dyDescent="0.25">
      <c r="B14" t="s">
        <v>40</v>
      </c>
      <c r="C14" s="7">
        <f>C12/C6</f>
        <v>7.4465141146853445E-2</v>
      </c>
      <c r="D14" s="7">
        <f>D12/D6</f>
        <v>5.7170128520217703E-2</v>
      </c>
      <c r="E14" s="7">
        <f>E12/E6</f>
        <v>5.8819356473270835E-2</v>
      </c>
      <c r="F14" s="7">
        <f>F12/F6</f>
        <v>4.6715565474243319E-2</v>
      </c>
    </row>
    <row r="15" spans="2:6" ht="13.5" customHeight="1" x14ac:dyDescent="0.25">
      <c r="B15" t="s">
        <v>41</v>
      </c>
      <c r="C15" t="s">
        <v>42</v>
      </c>
      <c r="D15" s="7">
        <f>(D6-C6)/C6</f>
        <v>-3.5612478203981184E-3</v>
      </c>
      <c r="E15" s="7">
        <f>(E6-D6)/D6</f>
        <v>6.4238538269581036E-2</v>
      </c>
      <c r="F15" s="7">
        <f>(F6-E6)/E6</f>
        <v>4.5576387129465414E-2</v>
      </c>
    </row>
    <row r="16" spans="2:6" ht="13.5" customHeight="1" x14ac:dyDescent="0.25">
      <c r="B16" t="s">
        <v>43</v>
      </c>
      <c r="C16" t="s">
        <v>42</v>
      </c>
      <c r="D16" s="7">
        <f>(D11-C11)/C11</f>
        <v>0.33384115884115884</v>
      </c>
      <c r="E16" s="7">
        <f>(E11-D11)/D11</f>
        <v>1.816241316681334E-2</v>
      </c>
      <c r="F16" s="7">
        <f>(F11-E11)/E11</f>
        <v>-0.18827813229858212</v>
      </c>
    </row>
    <row r="18" spans="2:6" ht="14" customHeight="1" x14ac:dyDescent="0.3">
      <c r="B18" s="3" t="s">
        <v>44</v>
      </c>
    </row>
    <row r="19" spans="2:6" ht="14" customHeight="1" x14ac:dyDescent="0.3">
      <c r="B19" s="4" t="s">
        <v>45</v>
      </c>
      <c r="C19" s="5">
        <v>-1772</v>
      </c>
      <c r="D19" s="5">
        <v>55993</v>
      </c>
      <c r="E19" s="5">
        <v>30117</v>
      </c>
      <c r="F19" s="5">
        <v>61323</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267350</v>
      </c>
      <c r="D26" s="5">
        <v>304678</v>
      </c>
      <c r="E26" s="5">
        <v>265561</v>
      </c>
      <c r="F26" s="5">
        <v>245423</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5.04E-2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10.4</v>
      </c>
    </row>
    <row r="15" spans="2:7" ht="14" customHeight="1" x14ac:dyDescent="0.3">
      <c r="B15" s="4" t="s">
        <v>66</v>
      </c>
      <c r="C15" s="15">
        <v>282236007</v>
      </c>
    </row>
    <row r="16" spans="2:7" ht="14" customHeight="1" x14ac:dyDescent="0.3">
      <c r="B16" s="4" t="s">
        <v>67</v>
      </c>
      <c r="C16" s="5">
        <v>-59342</v>
      </c>
    </row>
    <row r="17" spans="2:7" ht="14" customHeight="1" x14ac:dyDescent="0.3">
      <c r="B17" s="4" t="s">
        <v>68</v>
      </c>
      <c r="C17" s="5">
        <v>825378</v>
      </c>
    </row>
    <row r="18" spans="2:7" ht="14" customHeight="1" x14ac:dyDescent="0.3">
      <c r="B18" s="4" t="s">
        <v>69</v>
      </c>
      <c r="C18" s="7">
        <v>4.8000000000000001E-2</v>
      </c>
    </row>
    <row r="19" spans="2:7" ht="14" customHeight="1" x14ac:dyDescent="0.3">
      <c r="B19" s="4" t="s">
        <v>70</v>
      </c>
      <c r="C19" s="12">
        <v>1</v>
      </c>
    </row>
    <row r="20" spans="2:7" ht="14" customHeight="1" x14ac:dyDescent="0.3">
      <c r="B20" s="4" t="s">
        <v>71</v>
      </c>
      <c r="C20" s="5">
        <v>825378</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3.5000000000000003E-2</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85</v>
      </c>
      <c r="C31" s="18">
        <f>CHOOSE($D$27,C76,C77,C78,C79,C80)</f>
        <v>0.23200000000000001</v>
      </c>
      <c r="D31" s="18">
        <f>CHOOSE($D$27,D76,D77,D78,D79,D80)</f>
        <v>0.23200000000000001</v>
      </c>
      <c r="E31" s="18">
        <f>CHOOSE($D$27,E76,E77,E78,E79,E80)</f>
        <v>0.23200000000000001</v>
      </c>
      <c r="F31" s="18">
        <f>CHOOSE($D$27,F76,F77,F78,F79,F80)</f>
        <v>0.23200000000000001</v>
      </c>
      <c r="G31" s="18">
        <f>CHOOSE($D$27,G76,G77,G78,G79,G80)</f>
        <v>0.23200000000000001</v>
      </c>
    </row>
    <row r="32" spans="2:7" ht="14" customHeight="1" x14ac:dyDescent="0.3">
      <c r="B32" s="4" t="s">
        <v>86</v>
      </c>
      <c r="C32" s="18">
        <f>CHOOSE($D$27,C83,C84,C85,C86,C87)</f>
        <v>0.71299999999999997</v>
      </c>
      <c r="D32" s="18">
        <f>CHOOSE($D$27,D83,D84,D85,D86,D87)</f>
        <v>0.71099999999999997</v>
      </c>
      <c r="E32" s="18">
        <f>CHOOSE($D$27,E83,E84,E85,E86,E87)</f>
        <v>0.70899999999999996</v>
      </c>
      <c r="F32" s="18">
        <f>CHOOSE($D$27,F83,F84,F85,F86,F87)</f>
        <v>0.70750000000000002</v>
      </c>
      <c r="G32" s="18">
        <f>CHOOSE($D$27,G83,G84,G85,G86,G87)</f>
        <v>0.70669999999999999</v>
      </c>
    </row>
    <row r="33" spans="2:7" ht="14" customHeight="1" x14ac:dyDescent="0.3">
      <c r="B33" s="4" t="s">
        <v>32</v>
      </c>
      <c r="C33" s="5">
        <f>C17*(1+C30)</f>
        <v>854266.23</v>
      </c>
      <c r="D33" s="5">
        <f>C33*(1+D30)</f>
        <v>879894.2169</v>
      </c>
      <c r="E33" s="5">
        <f>D33*(1+E30)</f>
        <v>901891.57232249994</v>
      </c>
      <c r="F33" s="5">
        <f>E33*(1+F30)</f>
        <v>924438.86163056234</v>
      </c>
      <c r="G33" s="5">
        <f>F33*(1+G30)</f>
        <v>942927.63886317366</v>
      </c>
    </row>
    <row r="34" spans="2:7" ht="14" customHeight="1" x14ac:dyDescent="0.3">
      <c r="B34" s="4" t="s">
        <v>33</v>
      </c>
      <c r="C34" s="5">
        <f>C33*C31</f>
        <v>198189.76536000002</v>
      </c>
      <c r="D34" s="5">
        <f>D33*D31</f>
        <v>204135.45832080001</v>
      </c>
      <c r="E34" s="5">
        <f>E33*E31</f>
        <v>209238.84477882</v>
      </c>
      <c r="F34" s="5">
        <f>F33*F31</f>
        <v>214469.81589829049</v>
      </c>
      <c r="G34" s="5">
        <f>G33*G31</f>
        <v>218759.2122162563</v>
      </c>
    </row>
    <row r="35" spans="2:7" ht="14" customHeight="1" x14ac:dyDescent="0.3">
      <c r="B35" s="4" t="s">
        <v>34</v>
      </c>
      <c r="C35" s="19">
        <f>C33-C34</f>
        <v>656076.4646399999</v>
      </c>
      <c r="D35" s="19">
        <f>D33-D34</f>
        <v>675758.75857920002</v>
      </c>
      <c r="E35" s="19">
        <f>E33-E34</f>
        <v>692652.72754368</v>
      </c>
      <c r="F35" s="19">
        <f>F33-F34</f>
        <v>709969.04573227186</v>
      </c>
      <c r="G35" s="19">
        <f>G33-G34</f>
        <v>724168.42664691736</v>
      </c>
    </row>
    <row r="36" spans="2:7" ht="14" customHeight="1" x14ac:dyDescent="0.3">
      <c r="B36" s="4" t="s">
        <v>35</v>
      </c>
      <c r="C36" s="7">
        <f>C35/C33</f>
        <v>0.7679999999999999</v>
      </c>
      <c r="D36" s="7">
        <f>D35/D33</f>
        <v>0.76800000000000002</v>
      </c>
      <c r="E36" s="7">
        <f>E35/E33</f>
        <v>0.76800000000000002</v>
      </c>
      <c r="F36" s="7">
        <f>F35/F33</f>
        <v>0.76800000000000002</v>
      </c>
      <c r="G36" s="7">
        <f>G35/G33</f>
        <v>0.76800000000000002</v>
      </c>
    </row>
    <row r="37" spans="2:7" ht="14" customHeight="1" x14ac:dyDescent="0.3">
      <c r="B37" s="4" t="s">
        <v>87</v>
      </c>
      <c r="C37" s="5">
        <f>C33*C32</f>
        <v>609091.82198999997</v>
      </c>
      <c r="D37" s="5">
        <f>D33*D32</f>
        <v>625604.78821589996</v>
      </c>
      <c r="E37" s="5">
        <f>E33*E32</f>
        <v>639441.12477665243</v>
      </c>
      <c r="F37" s="5">
        <f>F33*F32</f>
        <v>654040.49460362282</v>
      </c>
      <c r="G37" s="5">
        <f>G33*G32</f>
        <v>666366.96238460485</v>
      </c>
    </row>
    <row r="38" spans="2:7" ht="14" customHeight="1" x14ac:dyDescent="0.3">
      <c r="B38" s="4" t="s">
        <v>88</v>
      </c>
      <c r="C38" s="7">
        <f>(C35-C37)/C33</f>
        <v>5.4999999999999924E-2</v>
      </c>
      <c r="D38" s="7">
        <f>(D35-D37)/D33</f>
        <v>5.7000000000000071E-2</v>
      </c>
      <c r="E38" s="7">
        <f>(E35-E37)/E33</f>
        <v>5.9000000000000073E-2</v>
      </c>
      <c r="F38" s="7">
        <f>(F35-F37)/F33</f>
        <v>6.0500000000000019E-2</v>
      </c>
      <c r="G38" s="7">
        <f>(G35-G37)/G33</f>
        <v>6.1299999999999966E-2</v>
      </c>
    </row>
    <row r="39" spans="2:7" ht="14" customHeight="1" x14ac:dyDescent="0.3">
      <c r="B39" s="4" t="s">
        <v>89</v>
      </c>
      <c r="C39" s="19">
        <f>C35-C37</f>
        <v>46984.642649999936</v>
      </c>
      <c r="D39" s="19">
        <f>D35-D37</f>
        <v>50153.970363300061</v>
      </c>
      <c r="E39" s="19">
        <f>E35-E37</f>
        <v>53211.602767027565</v>
      </c>
      <c r="F39" s="19">
        <f>F35-F37</f>
        <v>55928.551128649036</v>
      </c>
      <c r="G39" s="19">
        <f>G35-G37</f>
        <v>57801.464262312511</v>
      </c>
    </row>
    <row r="40" spans="2:7" ht="14" customHeight="1" x14ac:dyDescent="0.3">
      <c r="B40" s="4" t="s">
        <v>90</v>
      </c>
      <c r="C40" s="5">
        <f>MAX(0,C39*C6)</f>
        <v>11746.160662499984</v>
      </c>
      <c r="D40" s="5">
        <f>MAX(0,D39*C6)</f>
        <v>12538.492590825015</v>
      </c>
      <c r="E40" s="5">
        <f>MAX(0,E39*C6)</f>
        <v>13302.900691756891</v>
      </c>
      <c r="F40" s="5">
        <f>MAX(0,F39*C6)</f>
        <v>13982.137782162259</v>
      </c>
      <c r="G40" s="5">
        <f>MAX(0,G39*C6)</f>
        <v>14450.366065578128</v>
      </c>
    </row>
    <row r="41" spans="2:7" ht="14" customHeight="1" x14ac:dyDescent="0.3">
      <c r="B41" s="4" t="s">
        <v>91</v>
      </c>
      <c r="C41" s="19">
        <f>C39-C40</f>
        <v>35238.481987499952</v>
      </c>
      <c r="D41" s="19">
        <f>D39-D40</f>
        <v>37615.477772475046</v>
      </c>
      <c r="E41" s="19">
        <f>E39-E40</f>
        <v>39908.702075270674</v>
      </c>
      <c r="F41" s="19">
        <f>F39-F40</f>
        <v>41946.413346486777</v>
      </c>
      <c r="G41" s="19">
        <f>G39-G40</f>
        <v>43351.098196734383</v>
      </c>
    </row>
    <row r="42" spans="2:7" ht="14" customHeight="1" x14ac:dyDescent="0.3">
      <c r="B42" s="4" t="s">
        <v>92</v>
      </c>
      <c r="C42" s="5">
        <f>C33*C18</f>
        <v>41004.779040000001</v>
      </c>
      <c r="D42" s="5">
        <f>D33*C18</f>
        <v>42234.922411200001</v>
      </c>
      <c r="E42" s="5">
        <f>E33*C18</f>
        <v>43290.79547148</v>
      </c>
      <c r="F42" s="5">
        <f>F33*C18</f>
        <v>44373.065358266991</v>
      </c>
      <c r="G42" s="5">
        <f>G33*C18</f>
        <v>45260.526665432335</v>
      </c>
    </row>
    <row r="43" spans="2:7" ht="14" customHeight="1" x14ac:dyDescent="0.3">
      <c r="B43" s="4" t="s">
        <v>93</v>
      </c>
      <c r="C43" s="5">
        <f>C33*C5</f>
        <v>43055.017992000001</v>
      </c>
      <c r="D43" s="5">
        <f>D33*C5</f>
        <v>44346.668531759999</v>
      </c>
      <c r="E43" s="5">
        <f>E33*C5</f>
        <v>45455.335245053997</v>
      </c>
      <c r="F43" s="5">
        <f>F33*C5</f>
        <v>46591.718626180344</v>
      </c>
      <c r="G43" s="5">
        <f>G33*C5</f>
        <v>47523.552998703955</v>
      </c>
    </row>
    <row r="44" spans="2:7" ht="14" customHeight="1" x14ac:dyDescent="0.3">
      <c r="B44" s="4" t="s">
        <v>94</v>
      </c>
      <c r="C44" s="5">
        <f>'NWC Schedule'!D19</f>
        <v>-43751.91383079451</v>
      </c>
      <c r="D44" s="5">
        <f>'NWC Schedule'!E19</f>
        <v>10947.152585076168</v>
      </c>
      <c r="E44" s="5">
        <f>'NWC Schedule'!F19</f>
        <v>9396.3059688569629</v>
      </c>
      <c r="F44" s="5">
        <f>'NWC Schedule'!G19</f>
        <v>9631.2136180785019</v>
      </c>
      <c r="G44" s="5">
        <f>'NWC Schedule'!H19</f>
        <v>7897.5951668243506</v>
      </c>
    </row>
    <row r="45" spans="2:7" ht="14" customHeight="1" x14ac:dyDescent="0.3">
      <c r="B45" s="4" t="s">
        <v>95</v>
      </c>
      <c r="C45" s="20">
        <f>C41+C42-C43-C44</f>
        <v>76940.156866294448</v>
      </c>
      <c r="D45" s="20">
        <f>D41+D42-D43-D44</f>
        <v>24556.579066838887</v>
      </c>
      <c r="E45" s="20">
        <f>E41+E42-E43-E44</f>
        <v>28347.856332839714</v>
      </c>
      <c r="F45" s="20">
        <f>F41+F42-F43-F44</f>
        <v>30096.546460494923</v>
      </c>
      <c r="G45" s="20">
        <f>G41+G42-G43-G44</f>
        <v>33190.476696638412</v>
      </c>
    </row>
    <row r="46" spans="2:7" ht="14" customHeight="1" x14ac:dyDescent="0.3">
      <c r="B46" s="4" t="s">
        <v>96</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97</v>
      </c>
      <c r="C47" s="19">
        <f>C45*C46</f>
        <v>71326.742251130476</v>
      </c>
      <c r="D47" s="19">
        <f>D45*D46</f>
        <v>21104.084078385549</v>
      </c>
      <c r="E47" s="19">
        <f>E45*E46</f>
        <v>22584.900776377268</v>
      </c>
      <c r="F47" s="19">
        <f>F45*F46</f>
        <v>22228.694071818631</v>
      </c>
      <c r="G47" s="19">
        <f>G45*G46</f>
        <v>22725.324656840166</v>
      </c>
    </row>
    <row r="49" spans="2:7" ht="14" customHeight="1" x14ac:dyDescent="0.3">
      <c r="B49" s="22" t="s">
        <v>98</v>
      </c>
      <c r="C49" s="23"/>
      <c r="D49" s="23"/>
      <c r="E49" s="23"/>
      <c r="F49" s="23"/>
      <c r="G49" s="23"/>
    </row>
    <row r="50" spans="2:7" ht="14" customHeight="1" x14ac:dyDescent="0.3">
      <c r="B50" s="4" t="s">
        <v>99</v>
      </c>
      <c r="C50" s="5">
        <f>SUM(C47:G47)</f>
        <v>159969.7458345521</v>
      </c>
    </row>
    <row r="51" spans="2:7" ht="14" customHeight="1" x14ac:dyDescent="0.3">
      <c r="B51" s="4" t="s">
        <v>100</v>
      </c>
      <c r="C51" s="5">
        <f>G45*(1+C13)/(C26-C13)</f>
        <v>487953.15085305384</v>
      </c>
    </row>
    <row r="52" spans="2:7" ht="14" customHeight="1" x14ac:dyDescent="0.3">
      <c r="B52" s="4" t="s">
        <v>101</v>
      </c>
      <c r="C52" s="5">
        <f>C51*G46</f>
        <v>334098.65943826153</v>
      </c>
    </row>
    <row r="53" spans="2:7" ht="14" customHeight="1" x14ac:dyDescent="0.3">
      <c r="B53" s="4" t="s">
        <v>102</v>
      </c>
      <c r="C53" s="5">
        <f>C50+C52</f>
        <v>494068.40527281363</v>
      </c>
    </row>
    <row r="54" spans="2:7" ht="14" customHeight="1" x14ac:dyDescent="0.3">
      <c r="B54" s="4" t="s">
        <v>103</v>
      </c>
      <c r="C54" s="5">
        <f>C53-C16</f>
        <v>553410.40527281363</v>
      </c>
    </row>
    <row r="55" spans="2:7" ht="14" customHeight="1" x14ac:dyDescent="0.3">
      <c r="B55" s="4" t="s">
        <v>104</v>
      </c>
      <c r="C55" s="24">
        <f>ROUND(C54*1000000/C15,0)</f>
        <v>1961</v>
      </c>
    </row>
    <row r="57" spans="2:7" ht="14" customHeight="1" x14ac:dyDescent="0.3">
      <c r="B57" s="22" t="s">
        <v>105</v>
      </c>
      <c r="C57" s="23"/>
      <c r="D57" s="23"/>
      <c r="E57" s="23"/>
      <c r="F57" s="23"/>
      <c r="G57" s="23"/>
    </row>
    <row r="58" spans="2:7" ht="14" customHeight="1" x14ac:dyDescent="0.3">
      <c r="B58" s="4" t="s">
        <v>99</v>
      </c>
      <c r="C58" s="5">
        <f>C50</f>
        <v>159969.7458345521</v>
      </c>
    </row>
    <row r="59" spans="2:7" ht="14" customHeight="1" x14ac:dyDescent="0.3">
      <c r="B59" s="4" t="s">
        <v>106</v>
      </c>
      <c r="C59" s="5">
        <f>G39+G42</f>
        <v>103061.99092774485</v>
      </c>
    </row>
    <row r="60" spans="2:7" ht="14" customHeight="1" x14ac:dyDescent="0.3">
      <c r="B60" s="4" t="s">
        <v>107</v>
      </c>
      <c r="C60" s="5">
        <f>C59*C14</f>
        <v>1071844.7056485463</v>
      </c>
    </row>
    <row r="61" spans="2:7" ht="14" customHeight="1" x14ac:dyDescent="0.3">
      <c r="B61" s="4" t="s">
        <v>101</v>
      </c>
      <c r="C61" s="5">
        <f>C60*G46</f>
        <v>733885.7811597964</v>
      </c>
    </row>
    <row r="62" spans="2:7" ht="14" customHeight="1" x14ac:dyDescent="0.3">
      <c r="B62" s="4" t="s">
        <v>102</v>
      </c>
      <c r="C62" s="5">
        <f>C58+C61</f>
        <v>893855.5269943485</v>
      </c>
    </row>
    <row r="63" spans="2:7" ht="14" customHeight="1" x14ac:dyDescent="0.3">
      <c r="B63" s="4" t="s">
        <v>103</v>
      </c>
      <c r="C63" s="5">
        <f>C62-C16</f>
        <v>953197.5269943485</v>
      </c>
    </row>
    <row r="64" spans="2:7" ht="14" customHeight="1" x14ac:dyDescent="0.3">
      <c r="B64" s="4" t="s">
        <v>108</v>
      </c>
      <c r="C64" s="24">
        <f>ROUND(C63*1000000/C15,0)</f>
        <v>3377</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3.5000000000000003E-2</v>
      </c>
      <c r="D69" s="26">
        <v>0.03</v>
      </c>
      <c r="E69" s="26">
        <v>2.5000000000000001E-2</v>
      </c>
      <c r="F69" s="26">
        <v>2.5000000000000001E-2</v>
      </c>
      <c r="G69" s="26">
        <v>0.02</v>
      </c>
    </row>
    <row r="70" spans="2:7" ht="14" customHeight="1" x14ac:dyDescent="0.3">
      <c r="B70" s="4" t="s">
        <v>115</v>
      </c>
      <c r="C70" s="26">
        <v>0.05</v>
      </c>
      <c r="D70" s="26">
        <v>4.4999999999999998E-2</v>
      </c>
      <c r="E70" s="26">
        <v>3.5000000000000003E-2</v>
      </c>
      <c r="F70" s="26">
        <v>0.03</v>
      </c>
      <c r="G70" s="26">
        <v>0.03</v>
      </c>
    </row>
    <row r="71" spans="2:7" ht="14" customHeight="1" x14ac:dyDescent="0.3">
      <c r="B71" s="4" t="s">
        <v>116</v>
      </c>
      <c r="C71" s="26">
        <v>3.5000000000000003E-2</v>
      </c>
      <c r="D71" s="26">
        <v>0.03</v>
      </c>
      <c r="E71" s="26">
        <v>2.5000000000000001E-2</v>
      </c>
      <c r="F71" s="26">
        <v>2.5000000000000001E-2</v>
      </c>
      <c r="G71" s="26">
        <v>0.02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-0.06</v>
      </c>
      <c r="D73" s="26">
        <v>-0.01</v>
      </c>
      <c r="E73" s="26">
        <v>5.0000000000000001E-3</v>
      </c>
      <c r="F73" s="26">
        <v>0.01</v>
      </c>
      <c r="G73" s="26">
        <v>1.4999999999999999E-2</v>
      </c>
    </row>
    <row r="75" spans="2:7" ht="14" customHeight="1" x14ac:dyDescent="0.3">
      <c r="B75" s="3" t="s">
        <v>85</v>
      </c>
    </row>
    <row r="76" spans="2:7" ht="14" customHeight="1" x14ac:dyDescent="0.3">
      <c r="B76" s="4" t="s">
        <v>78</v>
      </c>
      <c r="C76" s="26">
        <v>0.23200000000000001</v>
      </c>
      <c r="D76" s="26">
        <v>0.23200000000000001</v>
      </c>
      <c r="E76" s="26">
        <v>0.23200000000000001</v>
      </c>
      <c r="F76" s="26">
        <v>0.23200000000000001</v>
      </c>
      <c r="G76" s="26">
        <v>0.23200000000000001</v>
      </c>
    </row>
    <row r="77" spans="2:7" ht="14" customHeight="1" x14ac:dyDescent="0.3">
      <c r="B77" s="4" t="s">
        <v>115</v>
      </c>
      <c r="C77" s="26">
        <v>0.22800000000000001</v>
      </c>
      <c r="D77" s="26">
        <v>0.22800000000000001</v>
      </c>
      <c r="E77" s="26">
        <v>0.22800000000000001</v>
      </c>
      <c r="F77" s="26">
        <v>0.22800000000000001</v>
      </c>
      <c r="G77" s="26">
        <v>0.22800000000000001</v>
      </c>
    </row>
    <row r="78" spans="2:7" ht="14" customHeight="1" x14ac:dyDescent="0.3">
      <c r="B78" s="4" t="s">
        <v>116</v>
      </c>
      <c r="C78" s="26">
        <v>0.23200000000000001</v>
      </c>
      <c r="D78" s="26">
        <v>0.23200000000000001</v>
      </c>
      <c r="E78" s="26">
        <v>0.23200000000000001</v>
      </c>
      <c r="F78" s="26">
        <v>0.23200000000000001</v>
      </c>
      <c r="G78" s="26">
        <v>0.23200000000000001</v>
      </c>
    </row>
    <row r="79" spans="2:7" ht="14" customHeight="1" x14ac:dyDescent="0.3">
      <c r="B79" s="4" t="s">
        <v>117</v>
      </c>
      <c r="C79" s="26">
        <v>0.23799999999999999</v>
      </c>
      <c r="D79" s="26">
        <v>0.23799999999999999</v>
      </c>
      <c r="E79" s="26">
        <v>0.23799999999999999</v>
      </c>
      <c r="F79" s="26">
        <v>0.23799999999999999</v>
      </c>
      <c r="G79" s="26">
        <v>0.23799999999999999</v>
      </c>
    </row>
    <row r="80" spans="2:7" ht="14" customHeight="1" x14ac:dyDescent="0.3">
      <c r="B80" s="4" t="s">
        <v>118</v>
      </c>
      <c r="C80" s="26">
        <v>0.245</v>
      </c>
      <c r="D80" s="26">
        <v>0.245</v>
      </c>
      <c r="E80" s="26">
        <v>0.245</v>
      </c>
      <c r="F80" s="26">
        <v>0.245</v>
      </c>
      <c r="G80" s="26">
        <v>0.245</v>
      </c>
    </row>
    <row r="82" spans="2:7" ht="14" customHeight="1" x14ac:dyDescent="0.3">
      <c r="B82" s="3" t="s">
        <v>86</v>
      </c>
    </row>
    <row r="83" spans="2:7" ht="14" customHeight="1" x14ac:dyDescent="0.3">
      <c r="B83" s="4" t="s">
        <v>78</v>
      </c>
      <c r="C83" s="26">
        <v>0.71299999999999997</v>
      </c>
      <c r="D83" s="26">
        <v>0.71099999999999997</v>
      </c>
      <c r="E83" s="26">
        <v>0.70899999999999996</v>
      </c>
      <c r="F83" s="26">
        <v>0.70750000000000002</v>
      </c>
      <c r="G83" s="26">
        <v>0.70669999999999999</v>
      </c>
    </row>
    <row r="84" spans="2:7" ht="14" customHeight="1" x14ac:dyDescent="0.3">
      <c r="B84" s="4" t="s">
        <v>115</v>
      </c>
      <c r="C84" s="26">
        <v>0.71299999999999997</v>
      </c>
      <c r="D84" s="26">
        <v>0.70899999999999996</v>
      </c>
      <c r="E84" s="26">
        <v>0.70599999999999996</v>
      </c>
      <c r="F84" s="26">
        <v>0.70299999999999996</v>
      </c>
      <c r="G84" s="26">
        <v>0.70230000000000004</v>
      </c>
    </row>
    <row r="85" spans="2:7" ht="14" customHeight="1" x14ac:dyDescent="0.3">
      <c r="B85" s="4" t="s">
        <v>116</v>
      </c>
      <c r="C85" s="26">
        <v>0.71299999999999997</v>
      </c>
      <c r="D85" s="26">
        <v>0.71099999999999997</v>
      </c>
      <c r="E85" s="26">
        <v>0.70899999999999996</v>
      </c>
      <c r="F85" s="26">
        <v>0.70750000000000002</v>
      </c>
      <c r="G85" s="26">
        <v>0.70669999999999999</v>
      </c>
    </row>
    <row r="86" spans="2:7" ht="14" customHeight="1" x14ac:dyDescent="0.3">
      <c r="B86" s="4" t="s">
        <v>117</v>
      </c>
      <c r="C86" s="26">
        <v>0.71199999999999997</v>
      </c>
      <c r="D86" s="26">
        <v>0.71599999999999997</v>
      </c>
      <c r="E86" s="26">
        <v>0.71899999999999997</v>
      </c>
      <c r="F86" s="26">
        <v>0.72099999999999997</v>
      </c>
      <c r="G86" s="26">
        <v>0.72099999999999997</v>
      </c>
    </row>
    <row r="87" spans="2:7" ht="14" customHeight="1" x14ac:dyDescent="0.3">
      <c r="B87" s="4" t="s">
        <v>118</v>
      </c>
      <c r="C87" s="26">
        <v>0.72499999999999998</v>
      </c>
      <c r="D87" s="26">
        <v>0.72799999999999998</v>
      </c>
      <c r="E87" s="26">
        <v>0.72799999999999998</v>
      </c>
      <c r="F87" s="26">
        <v>0.72599999999999998</v>
      </c>
      <c r="G87" s="26">
        <v>0.72399999999999998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4694</v>
      </c>
    </row>
    <row r="7" spans="2:9" ht="14" customHeight="1" x14ac:dyDescent="0.3">
      <c r="B7" s="4" t="s">
        <v>66</v>
      </c>
      <c r="C7" s="15">
        <f>'DCF Model'!C15</f>
        <v>282236007</v>
      </c>
    </row>
    <row r="8" spans="2:9" ht="14" customHeight="1" x14ac:dyDescent="0.3">
      <c r="B8" s="4" t="s">
        <v>123</v>
      </c>
      <c r="C8" s="5">
        <f>C6*C7/1000000</f>
        <v>1324815.8168579999</v>
      </c>
    </row>
    <row r="9" spans="2:9" ht="14" customHeight="1" x14ac:dyDescent="0.3">
      <c r="B9" s="4" t="s">
        <v>67</v>
      </c>
      <c r="C9" s="5">
        <f>'DCF Model'!C16</f>
        <v>-59342</v>
      </c>
    </row>
    <row r="10" spans="2:9" ht="14" customHeight="1" x14ac:dyDescent="0.3">
      <c r="B10" s="4" t="s">
        <v>124</v>
      </c>
      <c r="C10" s="5">
        <f>C8+C9</f>
        <v>1265473.8168579999</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44139</v>
      </c>
    </row>
    <row r="15" spans="2:9" ht="14" customHeight="1" x14ac:dyDescent="0.3">
      <c r="B15" s="4" t="s">
        <v>129</v>
      </c>
      <c r="C15" s="27">
        <v>54377</v>
      </c>
    </row>
    <row r="16" spans="2:9" ht="14" customHeight="1" x14ac:dyDescent="0.3">
      <c r="B16" s="4" t="s">
        <v>130</v>
      </c>
      <c r="C16" s="5">
        <f>'DCF Model'!G33</f>
        <v>942927.63886317366</v>
      </c>
    </row>
    <row r="17" spans="2:9" ht="14" customHeight="1" x14ac:dyDescent="0.3">
      <c r="B17" s="4" t="s">
        <v>131</v>
      </c>
      <c r="C17" s="5">
        <f>'DCF Model'!C53</f>
        <v>494068.40527281363</v>
      </c>
    </row>
    <row r="18" spans="2:9" ht="14" customHeight="1" x14ac:dyDescent="0.3">
      <c r="B18" s="4" t="s">
        <v>132</v>
      </c>
      <c r="C18" s="26">
        <v>6.8883962503166959E-2</v>
      </c>
    </row>
    <row r="19" spans="2:9" ht="14" customHeight="1" x14ac:dyDescent="0.3">
      <c r="B19" s="4" t="s">
        <v>133</v>
      </c>
      <c r="C19" s="5">
        <f>C10-C17</f>
        <v>771405.41158518626</v>
      </c>
    </row>
    <row r="20" spans="2:9" ht="14" customHeight="1" x14ac:dyDescent="0.3">
      <c r="B20" s="4" t="s">
        <v>134</v>
      </c>
      <c r="C20" s="15">
        <f>IFERROR(ROUND(C19*1000000/C7,0),"N/A")</f>
        <v>2733</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86938.051218144596</v>
      </c>
    </row>
    <row r="25" spans="2:9" ht="14" customHeight="1" x14ac:dyDescent="0.3">
      <c r="B25" s="4" t="s">
        <v>138</v>
      </c>
      <c r="C25" s="5">
        <f>IFERROR(C24/(1-C13),"N/A")</f>
        <v>115917.40162419279</v>
      </c>
    </row>
    <row r="26" spans="2:9" ht="13.5" customHeight="1" x14ac:dyDescent="0.25">
      <c r="B26" s="6" t="s">
        <v>139</v>
      </c>
      <c r="C26" s="14">
        <f>IFERROR(C25/C15,"N/A")</f>
        <v>2.1317358740679477</v>
      </c>
    </row>
    <row r="27" spans="2:9" ht="13.5" customHeight="1" x14ac:dyDescent="0.25">
      <c r="B27" s="6" t="s">
        <v>140</v>
      </c>
      <c r="C27" s="14">
        <f>IFERROR(C25/C14,"N/A")</f>
        <v>2.6261900275083891</v>
      </c>
    </row>
    <row r="28" spans="2:9" ht="13.5" customHeight="1" x14ac:dyDescent="0.25">
      <c r="B28" s="6" t="s">
        <v>141</v>
      </c>
      <c r="C28" s="7">
        <f>IFERROR(C25/C16,"N/A")</f>
        <v>0.12293350713947343</v>
      </c>
    </row>
    <row r="29" spans="2:9" ht="13.5" customHeight="1" x14ac:dyDescent="0.25">
      <c r="B29" s="6" t="s">
        <v>142</v>
      </c>
      <c r="C29" s="5">
        <f>IFERROR(C25/C18,"N/A")</f>
        <v>1682792.298989238</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85616.690896937638</v>
      </c>
      <c r="E48" s="5">
        <f t="shared" si="2"/>
        <v>104156.93132022947</v>
      </c>
      <c r="F48" s="5">
        <f t="shared" si="2"/>
        <v>123016.3813214723</v>
      </c>
      <c r="G48" s="5">
        <f t="shared" si="2"/>
        <v>142191.65247362966</v>
      </c>
      <c r="H48" s="5">
        <f t="shared" si="2"/>
        <v>161679.37088589036</v>
      </c>
    </row>
    <row r="49" spans="2:9" ht="14" customHeight="1" x14ac:dyDescent="0.3">
      <c r="B49" s="4" t="s">
        <v>150</v>
      </c>
      <c r="C49" s="30">
        <v>5</v>
      </c>
      <c r="D49" s="5">
        <f t="shared" si="2"/>
        <v>89192.68173889177</v>
      </c>
      <c r="E49" s="5">
        <f t="shared" si="2"/>
        <v>109497.1189244768</v>
      </c>
      <c r="F49" s="5">
        <f t="shared" si="2"/>
        <v>130475.04905888562</v>
      </c>
      <c r="G49" s="5">
        <f t="shared" si="2"/>
        <v>152123.9149290788</v>
      </c>
      <c r="H49" s="5">
        <f t="shared" si="2"/>
        <v>174440.87185231908</v>
      </c>
    </row>
    <row r="50" spans="2:9" ht="14" customHeight="1" x14ac:dyDescent="0.3">
      <c r="B50" s="4" t="s">
        <v>151</v>
      </c>
      <c r="C50" s="30">
        <v>7</v>
      </c>
      <c r="D50" s="5">
        <f t="shared" si="2"/>
        <v>92898.627793680702</v>
      </c>
      <c r="E50" s="5">
        <f t="shared" si="2"/>
        <v>115063.22787962444</v>
      </c>
      <c r="F50" s="5">
        <f t="shared" si="2"/>
        <v>138289.82235789805</v>
      </c>
      <c r="G50" s="5">
        <f t="shared" si="2"/>
        <v>162580.49692782018</v>
      </c>
      <c r="H50" s="5">
        <f t="shared" si="2"/>
        <v>187936.3450304154</v>
      </c>
    </row>
    <row r="51" spans="2:9" ht="14" customHeight="1" x14ac:dyDescent="0.3">
      <c r="B51" s="4" t="s">
        <v>152</v>
      </c>
      <c r="C51" s="30">
        <v>10</v>
      </c>
      <c r="D51" s="5">
        <f t="shared" si="2"/>
        <v>98698.382020073375</v>
      </c>
      <c r="E51" s="5">
        <f t="shared" si="2"/>
        <v>123829.62063404906</v>
      </c>
      <c r="F51" s="5">
        <f t="shared" si="2"/>
        <v>150666.85053598633</v>
      </c>
      <c r="G51" s="5">
        <f t="shared" si="2"/>
        <v>179224.95456389111</v>
      </c>
      <c r="H51" s="5">
        <f t="shared" si="2"/>
        <v>209515.75936544649</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1.5745019198730648</v>
      </c>
      <c r="E53" s="14">
        <f t="shared" si="3"/>
        <v>1.9154593177304646</v>
      </c>
      <c r="F53" s="14">
        <f t="shared" si="3"/>
        <v>2.2622870206424097</v>
      </c>
      <c r="G53" s="14">
        <f t="shared" si="3"/>
        <v>2.6149227150013727</v>
      </c>
      <c r="H53" s="14">
        <f t="shared" si="3"/>
        <v>2.9733043545228748</v>
      </c>
    </row>
    <row r="54" spans="2:9" ht="14" customHeight="1" x14ac:dyDescent="0.3">
      <c r="B54" s="4" t="s">
        <v>150</v>
      </c>
      <c r="C54" s="30">
        <v>5</v>
      </c>
      <c r="D54" s="14">
        <f t="shared" si="3"/>
        <v>1.6402648498242229</v>
      </c>
      <c r="E54" s="14">
        <f t="shared" si="3"/>
        <v>2.0136660522735128</v>
      </c>
      <c r="F54" s="14">
        <f t="shared" si="3"/>
        <v>2.3994528763794549</v>
      </c>
      <c r="G54" s="14">
        <f t="shared" si="3"/>
        <v>2.7975782946664731</v>
      </c>
      <c r="H54" s="14">
        <f t="shared" si="3"/>
        <v>3.2079899930543996</v>
      </c>
    </row>
    <row r="55" spans="2:9" ht="14" customHeight="1" x14ac:dyDescent="0.3">
      <c r="B55" s="4" t="s">
        <v>151</v>
      </c>
      <c r="C55" s="30">
        <v>7</v>
      </c>
      <c r="D55" s="14">
        <f t="shared" si="3"/>
        <v>1.7084176727969675</v>
      </c>
      <c r="E55" s="14">
        <f t="shared" si="3"/>
        <v>2.1160275094180339</v>
      </c>
      <c r="F55" s="14">
        <f t="shared" si="3"/>
        <v>2.5431675590396319</v>
      </c>
      <c r="G55" s="14">
        <f t="shared" si="3"/>
        <v>2.9898761779395731</v>
      </c>
      <c r="H55" s="14">
        <f t="shared" si="3"/>
        <v>3.4561734746384571</v>
      </c>
    </row>
    <row r="56" spans="2:9" ht="14" customHeight="1" x14ac:dyDescent="0.3">
      <c r="B56" s="4" t="s">
        <v>152</v>
      </c>
      <c r="C56" s="30">
        <v>10</v>
      </c>
      <c r="D56" s="14">
        <f t="shared" si="3"/>
        <v>1.8150758964281475</v>
      </c>
      <c r="E56" s="14">
        <f t="shared" si="3"/>
        <v>2.2772425958410554</v>
      </c>
      <c r="F56" s="14">
        <f t="shared" si="3"/>
        <v>2.7707826937121638</v>
      </c>
      <c r="G56" s="14">
        <f t="shared" si="3"/>
        <v>3.295969887340072</v>
      </c>
      <c r="H56" s="14">
        <f t="shared" si="3"/>
        <v>3.8530216702916027</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130475.04905888562</v>
      </c>
    </row>
    <row r="62" spans="2:9" ht="14" customHeight="1" x14ac:dyDescent="0.3">
      <c r="B62" s="28" t="s">
        <v>159</v>
      </c>
      <c r="C62" s="28" t="s">
        <v>160</v>
      </c>
      <c r="D62" s="28" t="s">
        <v>161</v>
      </c>
    </row>
    <row r="63" spans="2:9" ht="14" customHeight="1" x14ac:dyDescent="0.3">
      <c r="B63" s="31">
        <v>3.44E-2</v>
      </c>
      <c r="C63" s="5">
        <f>IFERROR($C$60/B63,"N/A")</f>
        <v>3792879.3331071399</v>
      </c>
      <c r="D63" s="14">
        <f>IFERROR(C63/'DCF Model'!C17,"N/A")</f>
        <v>4.595324000769514</v>
      </c>
    </row>
    <row r="64" spans="2:9" ht="14" customHeight="1" x14ac:dyDescent="0.3">
      <c r="B64" s="31">
        <v>5.1700000000000003E-2</v>
      </c>
      <c r="C64" s="5">
        <f>IFERROR($C$60/B64,"N/A")</f>
        <v>2523695.3396302825</v>
      </c>
      <c r="D64" s="14">
        <f>IFERROR(C64/'DCF Model'!C17,"N/A")</f>
        <v>3.0576237065081484</v>
      </c>
    </row>
    <row r="65" spans="2:9" ht="14" customHeight="1" x14ac:dyDescent="0.3">
      <c r="B65" s="4" t="s">
        <v>162</v>
      </c>
      <c r="C65" s="5">
        <f>IFERROR($C$60/$C$18,"N/A")</f>
        <v>1894128.1006139417</v>
      </c>
      <c r="D65" s="14">
        <f>IFERROR(C65/'DCF Model'!C17,"N/A")</f>
        <v>2.2948613854669517</v>
      </c>
    </row>
    <row r="66" spans="2:9" ht="14" customHeight="1" x14ac:dyDescent="0.3">
      <c r="B66" s="31">
        <v>8.6099999999999996E-2</v>
      </c>
      <c r="C66" s="5">
        <f>IFERROR($C$60/B66,"N/A")</f>
        <v>1515389.6522518655</v>
      </c>
      <c r="D66" s="14">
        <f>IFERROR(C66/'DCF Model'!C17,"N/A")</f>
        <v>1.8359947227232438</v>
      </c>
    </row>
    <row r="67" spans="2:9" ht="14" customHeight="1" x14ac:dyDescent="0.3">
      <c r="B67" s="31">
        <v>0.1033</v>
      </c>
      <c r="C67" s="5">
        <f>IFERROR($C$60/B67,"N/A")</f>
        <v>1263069.2067655916</v>
      </c>
      <c r="D67" s="14">
        <f>IFERROR(C67/'DCF Model'!C17,"N/A")</f>
        <v>1.5302918260064984</v>
      </c>
    </row>
    <row r="69" spans="2:9" ht="14" customHeight="1" x14ac:dyDescent="0.3">
      <c r="B69" s="8" t="s">
        <v>163</v>
      </c>
      <c r="C69" s="9"/>
      <c r="D69" s="9"/>
      <c r="E69" s="9"/>
      <c r="F69" s="9"/>
      <c r="G69" s="9"/>
      <c r="H69" s="9"/>
      <c r="I69" s="9"/>
    </row>
    <row r="70" spans="2:9" ht="13.5" customHeight="1" x14ac:dyDescent="0.25">
      <c r="B70" s="6" t="s">
        <v>164</v>
      </c>
      <c r="C70" s="14">
        <f>IFERROR(C10/'Comps Analysis'!G5,"N/A")</f>
        <v>15.121148739475915</v>
      </c>
    </row>
    <row r="71" spans="2:9" ht="13.5" customHeight="1" x14ac:dyDescent="0.25">
      <c r="B71" s="6" t="s">
        <v>165</v>
      </c>
      <c r="C71" s="14">
        <f>IFERROR(C10/'Comps Analysis'!F5,"N/A")</f>
        <v>1.5332051700651095</v>
      </c>
    </row>
    <row r="72" spans="2:9" ht="14" customHeight="1" x14ac:dyDescent="0.3">
      <c r="B72" s="4" t="s">
        <v>166</v>
      </c>
      <c r="C72" s="14">
        <f>IFERROR(C10/(C25+'DCF Model'!G42),"N/A")</f>
        <v>7.851408876431484</v>
      </c>
    </row>
    <row r="73" spans="2:9" ht="14" customHeight="1" x14ac:dyDescent="0.3">
      <c r="B73" s="4" t="s">
        <v>167</v>
      </c>
      <c r="C73" s="14">
        <f>IFERROR(C10/(C60+'DCF Model'!G42),"N/A")</f>
        <v>7.2010110169336992</v>
      </c>
    </row>
    <row r="74" spans="2:9" ht="14" customHeight="1" x14ac:dyDescent="0.3">
      <c r="B74" s="4" t="s">
        <v>168</v>
      </c>
      <c r="C74" s="14">
        <f>IFERROR('Comps Analysis'!D16,"N/A")</f>
        <v>10.370004635014576</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4,694 yen the market is paying for a steady-state operating profit of 130,475 mn JPY - 2.40x the FY2025 cycle peak of 54,377 mn - reached in 5 years and sustained for ever, against 44,139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115,917 mn, or 2.13x the peak. The base case supports an EV of only 494,068 mn, leaving 2,733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100.3851932084451</v>
      </c>
      <c r="D5" s="34">
        <f>CHOOSE('DCF Model'!$D$27,D25,D26,D27,D28,D29)</f>
        <v>100</v>
      </c>
      <c r="E5" s="34">
        <f>CHOOSE('DCF Model'!$D$27,E25,E26,E27,E28,E29)</f>
        <v>100</v>
      </c>
      <c r="F5" s="34">
        <f>CHOOSE('DCF Model'!$D$27,F25,F26,F27,F28,F29)</f>
        <v>100</v>
      </c>
      <c r="G5" s="34">
        <f>CHOOSE('DCF Model'!$D$27,G25,G26,G27,G28,G29)</f>
        <v>100</v>
      </c>
      <c r="H5" s="34">
        <f>CHOOSE('DCF Model'!$D$27,H25,H26,H27,H28,H29)</f>
        <v>100</v>
      </c>
    </row>
    <row r="6" spans="2:8" ht="14" customHeight="1" x14ac:dyDescent="0.3">
      <c r="B6" s="33" t="s">
        <v>175</v>
      </c>
      <c r="C6" s="34">
        <f>C13/C10*365</f>
        <v>491.5970097739289</v>
      </c>
      <c r="D6" s="34">
        <f>CHOOSE('DCF Model'!$D$27,D32,D33,D34,D35,D36)</f>
        <v>414</v>
      </c>
      <c r="E6" s="34">
        <f>CHOOSE('DCF Model'!$D$27,E32,E33,E34,E35,E36)</f>
        <v>414</v>
      </c>
      <c r="F6" s="34">
        <f>CHOOSE('DCF Model'!$D$27,F32,F33,F34,F35,F36)</f>
        <v>414</v>
      </c>
      <c r="G6" s="34">
        <f>CHOOSE('DCF Model'!$D$27,G32,G33,G34,G35,G36)</f>
        <v>414</v>
      </c>
      <c r="H6" s="34">
        <f>CHOOSE('DCF Model'!$D$27,H32,H33,H34,H35,H36)</f>
        <v>414</v>
      </c>
    </row>
    <row r="7" spans="2:8" ht="14" customHeight="1" x14ac:dyDescent="0.3">
      <c r="B7" s="33" t="s">
        <v>176</v>
      </c>
      <c r="C7" s="34">
        <f>C15/C10*365</f>
        <v>144.86008482243244</v>
      </c>
      <c r="D7" s="34">
        <f>CHOOSE('DCF Model'!$D$27,D39,D40,D41,D42,D43)</f>
        <v>173</v>
      </c>
      <c r="E7" s="34">
        <f>CHOOSE('DCF Model'!$D$27,E39,E40,E41,E42,E43)</f>
        <v>173</v>
      </c>
      <c r="F7" s="34">
        <f>CHOOSE('DCF Model'!$D$27,F39,F40,F41,F42,F43)</f>
        <v>173</v>
      </c>
      <c r="G7" s="34">
        <f>CHOOSE('DCF Model'!$D$27,G39,G40,G41,G42,G43)</f>
        <v>173</v>
      </c>
      <c r="H7" s="34">
        <f>CHOOSE('DCF Model'!$D$27,H39,H40,H41,H42,H43)</f>
        <v>173</v>
      </c>
    </row>
    <row r="8" spans="2:8" ht="14" customHeight="1" x14ac:dyDescent="0.3">
      <c r="B8" s="8" t="s">
        <v>177</v>
      </c>
      <c r="C8" s="9"/>
      <c r="D8" s="9"/>
      <c r="E8" s="9"/>
      <c r="F8" s="9"/>
      <c r="G8" s="9"/>
      <c r="H8" s="9"/>
    </row>
    <row r="9" spans="2:8" ht="14" customHeight="1" x14ac:dyDescent="0.3">
      <c r="B9" s="33" t="s">
        <v>32</v>
      </c>
      <c r="C9" s="35">
        <v>825378</v>
      </c>
      <c r="D9" s="35">
        <f>'DCF Model'!C33</f>
        <v>854266.23</v>
      </c>
      <c r="E9" s="35">
        <f>'DCF Model'!D33</f>
        <v>879894.2169</v>
      </c>
      <c r="F9" s="35">
        <f>'DCF Model'!E33</f>
        <v>901891.57232249994</v>
      </c>
      <c r="G9" s="35">
        <f>'DCF Model'!F33</f>
        <v>924438.86163056234</v>
      </c>
      <c r="H9" s="35">
        <f>'DCF Model'!G33</f>
        <v>942927.63886317366</v>
      </c>
    </row>
    <row r="10" spans="2:8" ht="14" customHeight="1" x14ac:dyDescent="0.3">
      <c r="B10" s="33" t="s">
        <v>33</v>
      </c>
      <c r="C10" s="35">
        <v>191223</v>
      </c>
      <c r="D10" s="35">
        <f>'DCF Model'!C34</f>
        <v>198189.76536000002</v>
      </c>
      <c r="E10" s="35">
        <f>'DCF Model'!D34</f>
        <v>204135.45832080001</v>
      </c>
      <c r="F10" s="35">
        <f>'DCF Model'!E34</f>
        <v>209238.84477882</v>
      </c>
      <c r="G10" s="35">
        <f>'DCF Model'!F34</f>
        <v>214469.81589829049</v>
      </c>
      <c r="H10" s="35">
        <f>'DCF Model'!G34</f>
        <v>218759.2122162563</v>
      </c>
    </row>
    <row r="11" spans="2:8" ht="14" customHeight="1" x14ac:dyDescent="0.3">
      <c r="B11" s="8" t="s">
        <v>178</v>
      </c>
      <c r="C11" s="9"/>
      <c r="D11" s="9"/>
      <c r="E11" s="9"/>
      <c r="F11" s="9"/>
      <c r="G11" s="9"/>
      <c r="H11" s="9"/>
    </row>
    <row r="12" spans="2:8" ht="14" customHeight="1" x14ac:dyDescent="0.3">
      <c r="B12" s="33" t="s">
        <v>179</v>
      </c>
      <c r="C12" s="35">
        <v>227002</v>
      </c>
      <c r="D12" s="35">
        <f t="shared" ref="D12:H13" si="0">D9*D5/365</f>
        <v>234045.54246575342</v>
      </c>
      <c r="E12" s="35">
        <f t="shared" si="0"/>
        <v>241066.90873972603</v>
      </c>
      <c r="F12" s="35">
        <f t="shared" si="0"/>
        <v>247093.58145821915</v>
      </c>
      <c r="G12" s="35">
        <f t="shared" si="0"/>
        <v>253270.92099467464</v>
      </c>
      <c r="H12" s="35">
        <f t="shared" si="0"/>
        <v>258336.33941456815</v>
      </c>
    </row>
    <row r="13" spans="2:8" ht="14" customHeight="1" x14ac:dyDescent="0.3">
      <c r="B13" s="33" t="s">
        <v>180</v>
      </c>
      <c r="C13" s="35">
        <v>257547</v>
      </c>
      <c r="D13" s="35">
        <f t="shared" si="0"/>
        <v>224796.06262750688</v>
      </c>
      <c r="E13" s="35">
        <f t="shared" si="0"/>
        <v>231539.94450633207</v>
      </c>
      <c r="F13" s="35">
        <f t="shared" si="0"/>
        <v>237328.44311899037</v>
      </c>
      <c r="G13" s="35">
        <f t="shared" si="0"/>
        <v>243261.65419696507</v>
      </c>
      <c r="H13" s="35">
        <f t="shared" si="0"/>
        <v>248126.8872809044</v>
      </c>
    </row>
    <row r="14" spans="2:8" ht="14" customHeight="1" x14ac:dyDescent="0.3">
      <c r="B14" s="33" t="s">
        <v>181</v>
      </c>
      <c r="C14" s="35">
        <f t="shared" ref="C14:H14" si="1">C12+C13</f>
        <v>484549</v>
      </c>
      <c r="D14" s="35">
        <f t="shared" si="1"/>
        <v>458841.6050932603</v>
      </c>
      <c r="E14" s="35">
        <f t="shared" si="1"/>
        <v>472606.8532460581</v>
      </c>
      <c r="F14" s="35">
        <f t="shared" si="1"/>
        <v>484422.02457720949</v>
      </c>
      <c r="G14" s="35">
        <f t="shared" si="1"/>
        <v>496532.57519163971</v>
      </c>
      <c r="H14" s="35">
        <f t="shared" si="1"/>
        <v>506463.22669547255</v>
      </c>
    </row>
    <row r="15" spans="2:8" ht="14" customHeight="1" x14ac:dyDescent="0.3">
      <c r="B15" s="33" t="s">
        <v>182</v>
      </c>
      <c r="C15" s="35">
        <v>75892</v>
      </c>
      <c r="D15" s="35">
        <f>D10*D7/365</f>
        <v>93936.518924054806</v>
      </c>
      <c r="E15" s="35">
        <f>E10*E7/365</f>
        <v>96754.614491776447</v>
      </c>
      <c r="F15" s="35">
        <f>F10*F7/365</f>
        <v>99173.479854070858</v>
      </c>
      <c r="G15" s="35">
        <f>G10*G7/365</f>
        <v>101652.81685042261</v>
      </c>
      <c r="H15" s="35">
        <f>H10*H7/365</f>
        <v>103685.87318743106</v>
      </c>
    </row>
    <row r="16" spans="2:8" ht="14" customHeight="1" x14ac:dyDescent="0.3">
      <c r="B16" s="33" t="s">
        <v>183</v>
      </c>
      <c r="C16" s="35">
        <f t="shared" ref="C16:H16" si="2">C15</f>
        <v>75892</v>
      </c>
      <c r="D16" s="35">
        <f t="shared" si="2"/>
        <v>93936.518924054806</v>
      </c>
      <c r="E16" s="35">
        <f t="shared" si="2"/>
        <v>96754.614491776447</v>
      </c>
      <c r="F16" s="35">
        <f t="shared" si="2"/>
        <v>99173.479854070858</v>
      </c>
      <c r="G16" s="35">
        <f t="shared" si="2"/>
        <v>101652.81685042261</v>
      </c>
      <c r="H16" s="35">
        <f t="shared" si="2"/>
        <v>103685.87318743106</v>
      </c>
    </row>
    <row r="17" spans="2:8" ht="14" customHeight="1" x14ac:dyDescent="0.3">
      <c r="B17" s="22" t="s">
        <v>184</v>
      </c>
      <c r="C17" s="23"/>
      <c r="D17" s="23"/>
      <c r="E17" s="23"/>
      <c r="F17" s="23"/>
      <c r="G17" s="23"/>
      <c r="H17" s="23"/>
    </row>
    <row r="18" spans="2:8" ht="14" customHeight="1" x14ac:dyDescent="0.3">
      <c r="B18" s="33" t="s">
        <v>185</v>
      </c>
      <c r="C18" s="20">
        <f t="shared" ref="C18:H18" si="3">C14-C16</f>
        <v>408657</v>
      </c>
      <c r="D18" s="20">
        <f t="shared" si="3"/>
        <v>364905.08616920549</v>
      </c>
      <c r="E18" s="20">
        <f t="shared" si="3"/>
        <v>375852.23875428166</v>
      </c>
      <c r="F18" s="20">
        <f t="shared" si="3"/>
        <v>385248.54472313862</v>
      </c>
      <c r="G18" s="20">
        <f t="shared" si="3"/>
        <v>394879.75834121712</v>
      </c>
      <c r="H18" s="20">
        <f t="shared" si="3"/>
        <v>402777.35350804147</v>
      </c>
    </row>
    <row r="19" spans="2:8" ht="14" customHeight="1" x14ac:dyDescent="0.3">
      <c r="B19" s="33" t="s">
        <v>94</v>
      </c>
      <c r="C19" s="36" t="s">
        <v>42</v>
      </c>
      <c r="D19" s="24">
        <f>D18-C18</f>
        <v>-43751.91383079451</v>
      </c>
      <c r="E19" s="24">
        <f>E18-D18</f>
        <v>10947.152585076168</v>
      </c>
      <c r="F19" s="24">
        <f>F18-E18</f>
        <v>9396.3059688569629</v>
      </c>
      <c r="G19" s="24">
        <f>G18-F18</f>
        <v>9631.2136180785019</v>
      </c>
      <c r="H19" s="24">
        <f>H18-G18</f>
        <v>7897.5951668243506</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100</v>
      </c>
      <c r="E25" s="30">
        <v>100</v>
      </c>
      <c r="F25" s="30">
        <v>100</v>
      </c>
      <c r="G25" s="30">
        <v>100</v>
      </c>
      <c r="H25" s="30">
        <v>100</v>
      </c>
    </row>
    <row r="26" spans="2:8" ht="14" customHeight="1" x14ac:dyDescent="0.3">
      <c r="B26" s="4" t="s">
        <v>115</v>
      </c>
      <c r="D26" s="30">
        <v>96</v>
      </c>
      <c r="E26" s="30">
        <v>96</v>
      </c>
      <c r="F26" s="30">
        <v>96</v>
      </c>
      <c r="G26" s="30">
        <v>96</v>
      </c>
      <c r="H26" s="30">
        <v>96</v>
      </c>
    </row>
    <row r="27" spans="2:8" ht="14" customHeight="1" x14ac:dyDescent="0.3">
      <c r="B27" s="4" t="s">
        <v>116</v>
      </c>
      <c r="D27" s="30">
        <v>100</v>
      </c>
      <c r="E27" s="30">
        <v>100</v>
      </c>
      <c r="F27" s="30">
        <v>100</v>
      </c>
      <c r="G27" s="30">
        <v>100</v>
      </c>
      <c r="H27" s="30">
        <v>100</v>
      </c>
    </row>
    <row r="28" spans="2:8" ht="14" customHeight="1" x14ac:dyDescent="0.3">
      <c r="B28" s="4" t="s">
        <v>117</v>
      </c>
      <c r="D28" s="30">
        <v>105</v>
      </c>
      <c r="E28" s="30">
        <v>105</v>
      </c>
      <c r="F28" s="30">
        <v>105</v>
      </c>
      <c r="G28" s="30">
        <v>105</v>
      </c>
      <c r="H28" s="30">
        <v>105</v>
      </c>
    </row>
    <row r="29" spans="2:8" ht="14" customHeight="1" x14ac:dyDescent="0.3">
      <c r="B29" s="4" t="s">
        <v>118</v>
      </c>
      <c r="D29" s="30">
        <v>110</v>
      </c>
      <c r="E29" s="30">
        <v>110</v>
      </c>
      <c r="F29" s="30">
        <v>110</v>
      </c>
      <c r="G29" s="30">
        <v>110</v>
      </c>
      <c r="H29" s="30">
        <v>110</v>
      </c>
    </row>
    <row r="31" spans="2:8" ht="14" customHeight="1" x14ac:dyDescent="0.3">
      <c r="B31" s="3" t="s">
        <v>188</v>
      </c>
    </row>
    <row r="32" spans="2:8" ht="14" customHeight="1" x14ac:dyDescent="0.3">
      <c r="B32" s="4" t="s">
        <v>78</v>
      </c>
      <c r="D32" s="30">
        <v>414</v>
      </c>
      <c r="E32" s="30">
        <v>414</v>
      </c>
      <c r="F32" s="30">
        <v>414</v>
      </c>
      <c r="G32" s="30">
        <v>414</v>
      </c>
      <c r="H32" s="30">
        <v>414</v>
      </c>
    </row>
    <row r="33" spans="2:8" ht="14" customHeight="1" x14ac:dyDescent="0.3">
      <c r="B33" s="4" t="s">
        <v>115</v>
      </c>
      <c r="D33" s="30">
        <v>398</v>
      </c>
      <c r="E33" s="30">
        <v>398</v>
      </c>
      <c r="F33" s="30">
        <v>398</v>
      </c>
      <c r="G33" s="30">
        <v>398</v>
      </c>
      <c r="H33" s="30">
        <v>398</v>
      </c>
    </row>
    <row r="34" spans="2:8" ht="14" customHeight="1" x14ac:dyDescent="0.3">
      <c r="B34" s="4" t="s">
        <v>116</v>
      </c>
      <c r="D34" s="30">
        <v>414</v>
      </c>
      <c r="E34" s="30">
        <v>414</v>
      </c>
      <c r="F34" s="30">
        <v>414</v>
      </c>
      <c r="G34" s="30">
        <v>414</v>
      </c>
      <c r="H34" s="30">
        <v>414</v>
      </c>
    </row>
    <row r="35" spans="2:8" ht="14" customHeight="1" x14ac:dyDescent="0.3">
      <c r="B35" s="4" t="s">
        <v>117</v>
      </c>
      <c r="D35" s="30">
        <v>435</v>
      </c>
      <c r="E35" s="30">
        <v>435</v>
      </c>
      <c r="F35" s="30">
        <v>435</v>
      </c>
      <c r="G35" s="30">
        <v>435</v>
      </c>
      <c r="H35" s="30">
        <v>435</v>
      </c>
    </row>
    <row r="36" spans="2:8" ht="14" customHeight="1" x14ac:dyDescent="0.3">
      <c r="B36" s="4" t="s">
        <v>118</v>
      </c>
      <c r="D36" s="30">
        <v>455</v>
      </c>
      <c r="E36" s="30">
        <v>455</v>
      </c>
      <c r="F36" s="30">
        <v>455</v>
      </c>
      <c r="G36" s="30">
        <v>455</v>
      </c>
      <c r="H36" s="30">
        <v>455</v>
      </c>
    </row>
    <row r="38" spans="2:8" ht="14" customHeight="1" x14ac:dyDescent="0.3">
      <c r="B38" s="3" t="s">
        <v>189</v>
      </c>
    </row>
    <row r="39" spans="2:8" ht="14" customHeight="1" x14ac:dyDescent="0.3">
      <c r="B39" s="4" t="s">
        <v>78</v>
      </c>
      <c r="D39" s="30">
        <v>173</v>
      </c>
      <c r="E39" s="30">
        <v>173</v>
      </c>
      <c r="F39" s="30">
        <v>173</v>
      </c>
      <c r="G39" s="30">
        <v>173</v>
      </c>
      <c r="H39" s="30">
        <v>173</v>
      </c>
    </row>
    <row r="40" spans="2:8" ht="14" customHeight="1" x14ac:dyDescent="0.3">
      <c r="B40" s="4" t="s">
        <v>115</v>
      </c>
      <c r="D40" s="30">
        <v>179</v>
      </c>
      <c r="E40" s="30">
        <v>179</v>
      </c>
      <c r="F40" s="30">
        <v>179</v>
      </c>
      <c r="G40" s="30">
        <v>179</v>
      </c>
      <c r="H40" s="30">
        <v>179</v>
      </c>
    </row>
    <row r="41" spans="2:8" ht="14" customHeight="1" x14ac:dyDescent="0.3">
      <c r="B41" s="4" t="s">
        <v>116</v>
      </c>
      <c r="D41" s="30">
        <v>173</v>
      </c>
      <c r="E41" s="30">
        <v>173</v>
      </c>
      <c r="F41" s="30">
        <v>173</v>
      </c>
      <c r="G41" s="30">
        <v>173</v>
      </c>
      <c r="H41" s="30">
        <v>173</v>
      </c>
    </row>
    <row r="42" spans="2:8" ht="14" customHeight="1" x14ac:dyDescent="0.3">
      <c r="B42" s="4" t="s">
        <v>117</v>
      </c>
      <c r="D42" s="30">
        <v>167</v>
      </c>
      <c r="E42" s="30">
        <v>167</v>
      </c>
      <c r="F42" s="30">
        <v>167</v>
      </c>
      <c r="G42" s="30">
        <v>167</v>
      </c>
      <c r="H42" s="30">
        <v>167</v>
      </c>
    </row>
    <row r="43" spans="2:8" ht="14" customHeight="1" x14ac:dyDescent="0.3">
      <c r="B43" s="4" t="s">
        <v>118</v>
      </c>
      <c r="D43" s="30">
        <v>161</v>
      </c>
      <c r="E43" s="30">
        <v>161</v>
      </c>
      <c r="F43" s="30">
        <v>161</v>
      </c>
      <c r="G43" s="30">
        <v>161</v>
      </c>
      <c r="H43" s="30">
        <v>161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1324815.8168579999</v>
      </c>
      <c r="E5" s="37">
        <f>D5+C24</f>
        <v>1265473.8168579999</v>
      </c>
      <c r="F5" s="37">
        <v>825378</v>
      </c>
      <c r="G5" s="37">
        <v>83689</v>
      </c>
      <c r="H5" s="37">
        <v>44139</v>
      </c>
      <c r="I5" s="37">
        <v>38558</v>
      </c>
      <c r="J5" s="38">
        <f>IFERROR(E5/G5,"")</f>
        <v>15.121148739475915</v>
      </c>
      <c r="K5" s="38">
        <f>IFERROR(E5/F5,"")</f>
        <v>1.5332051700651095</v>
      </c>
      <c r="L5" s="38">
        <f>IFERROR(D5/I5,"")</f>
        <v>34.359038769075156</v>
      </c>
      <c r="M5" s="38">
        <f>IFERROR(D5/P5,"")</f>
        <v>1.4736680825391104</v>
      </c>
      <c r="N5" s="39">
        <f>IFERROR(H5/F5,"")</f>
        <v>5.3477315848011457E-2</v>
      </c>
      <c r="O5" s="39">
        <f>IFERROR(I5/P5,"")</f>
        <v>4.289025931265239E-2</v>
      </c>
      <c r="P5" s="37">
        <v>898992</v>
      </c>
    </row>
    <row r="6" spans="2:17" ht="14" customHeight="1" x14ac:dyDescent="0.3">
      <c r="B6" s="4" t="s">
        <v>208</v>
      </c>
      <c r="C6" t="s">
        <v>209</v>
      </c>
      <c r="D6" s="37">
        <v>2476073</v>
      </c>
      <c r="E6" s="37">
        <v>2449070</v>
      </c>
      <c r="F6" s="37">
        <v>499677</v>
      </c>
      <c r="G6" s="37">
        <v>193693</v>
      </c>
      <c r="H6" s="37">
        <v>166725</v>
      </c>
      <c r="I6" s="37">
        <v>205159</v>
      </c>
      <c r="J6" s="38">
        <f>IFERROR(E6/G6,"")</f>
        <v>12.644081097406721</v>
      </c>
      <c r="K6" s="38">
        <f>IFERROR(E6/F6,"")</f>
        <v>4.9013062438335169</v>
      </c>
      <c r="L6" s="38">
        <f>IFERROR(D6/I6,"")</f>
        <v>12.069044009768033</v>
      </c>
      <c r="M6" s="38">
        <f>IFERROR(D6/P6,"")</f>
        <v>1.4692920487890269</v>
      </c>
      <c r="N6" s="39">
        <f>IFERROR(H6/F6,"")</f>
        <v>0.3336655479439718</v>
      </c>
      <c r="O6" s="39">
        <f>IFERROR(I6/P6,"")</f>
        <v>0.12174054942544422</v>
      </c>
      <c r="P6" s="37">
        <v>1685215</v>
      </c>
    </row>
    <row r="7" spans="2:17" ht="14" customHeight="1" x14ac:dyDescent="0.3">
      <c r="B7" s="4" t="s">
        <v>210</v>
      </c>
      <c r="C7" t="s">
        <v>211</v>
      </c>
      <c r="D7" s="37">
        <v>1258440</v>
      </c>
      <c r="E7" s="37">
        <v>1039671</v>
      </c>
      <c r="F7" s="37">
        <v>496826</v>
      </c>
      <c r="G7" s="37">
        <v>128419</v>
      </c>
      <c r="H7" s="37">
        <v>102275</v>
      </c>
      <c r="I7" s="37">
        <v>67040</v>
      </c>
      <c r="J7" s="38">
        <f>IFERROR(E7/G7,"")</f>
        <v>8.0959281726224308</v>
      </c>
      <c r="K7" s="38">
        <f>IFERROR(E7/F7,"")</f>
        <v>2.0926259897831434</v>
      </c>
      <c r="L7" s="38">
        <f>IFERROR(D7/I7,"")</f>
        <v>18.771479713603817</v>
      </c>
      <c r="M7" s="38">
        <f>IFERROR(D7/P7,"")</f>
        <v>1.4087035950799927</v>
      </c>
      <c r="N7" s="39">
        <f>IFERROR(H7/F7,"")</f>
        <v>0.20585677883202569</v>
      </c>
      <c r="O7" s="39">
        <f>IFERROR(I7/P7,"")</f>
        <v>7.5044888126698697E-2</v>
      </c>
      <c r="P7" s="37">
        <v>893332</v>
      </c>
    </row>
    <row r="8" spans="2:17" ht="14" customHeight="1" x14ac:dyDescent="0.3">
      <c r="B8" s="4" t="s">
        <v>212</v>
      </c>
      <c r="C8" t="s">
        <v>213</v>
      </c>
      <c r="D8" s="37">
        <v>4223444</v>
      </c>
      <c r="E8" s="37">
        <v>4507791</v>
      </c>
      <c r="F8" s="37">
        <v>2139245</v>
      </c>
      <c r="G8" s="37">
        <v>574653</v>
      </c>
      <c r="H8" s="37">
        <v>380059</v>
      </c>
      <c r="I8" s="37">
        <v>291535</v>
      </c>
      <c r="J8" s="38">
        <f>IFERROR(E8/G8,"")</f>
        <v>7.8443704287630966</v>
      </c>
      <c r="K8" s="38">
        <f>IFERROR(E8/F8,"")</f>
        <v>2.1071878162622792</v>
      </c>
      <c r="L8" s="38">
        <f>IFERROR(D8/I8,"")</f>
        <v>14.486919237827362</v>
      </c>
      <c r="M8" s="38">
        <f>IFERROR(D8/P8,"")</f>
        <v>2.3090991796807514</v>
      </c>
      <c r="N8" s="39">
        <f>IFERROR(H8/F8,"")</f>
        <v>0.17766034278448706</v>
      </c>
      <c r="O8" s="39">
        <f>IFERROR(I8/P8,"")</f>
        <v>0.15939201025235042</v>
      </c>
      <c r="P8" s="37">
        <v>1829044</v>
      </c>
    </row>
    <row r="9" spans="2:17" ht="14" customHeight="1" x14ac:dyDescent="0.3">
      <c r="B9" s="4" t="s">
        <v>214</v>
      </c>
      <c r="C9" t="s">
        <v>215</v>
      </c>
      <c r="D9" s="37">
        <v>5084111</v>
      </c>
      <c r="E9" s="37">
        <v>4934785</v>
      </c>
      <c r="F9" s="37">
        <v>2123045</v>
      </c>
      <c r="G9" s="37">
        <v>306549</v>
      </c>
      <c r="H9" s="37">
        <v>229089</v>
      </c>
      <c r="I9" s="37">
        <v>259874</v>
      </c>
      <c r="J9" s="38">
        <f>IFERROR(E9/G9,"")</f>
        <v>16.097866898929698</v>
      </c>
      <c r="K9" s="38">
        <f>IFERROR(E9/F9,"")</f>
        <v>2.3243902036932802</v>
      </c>
      <c r="L9" s="38">
        <f>IFERROR(D9/I9,"")</f>
        <v>19.563753973079262</v>
      </c>
      <c r="M9" s="38">
        <f>IFERROR(D9/P9,"")</f>
        <v>3.0550265326025627</v>
      </c>
      <c r="N9" s="39">
        <f>IFERROR(H9/F9,"")</f>
        <v>0.10790586162799187</v>
      </c>
      <c r="O9" s="39">
        <f>IFERROR(I9/P9,"")</f>
        <v>0.1561574806556266</v>
      </c>
      <c r="P9" s="37">
        <v>1664179</v>
      </c>
    </row>
    <row r="14" spans="2:17" ht="14" customHeight="1" x14ac:dyDescent="0.3">
      <c r="B14" s="3" t="s">
        <v>216</v>
      </c>
    </row>
    <row r="15" spans="2:17" ht="14" customHeight="1" x14ac:dyDescent="0.3">
      <c r="B15" s="4" t="s">
        <v>217</v>
      </c>
      <c r="D15" s="38">
        <f t="shared" ref="D15:I15" si="0">PERCENTILE(J6:J9,0.25)</f>
        <v>8.0330387366575966</v>
      </c>
      <c r="E15" s="38">
        <f t="shared" si="0"/>
        <v>2.1035473596424952</v>
      </c>
      <c r="F15" s="38">
        <f t="shared" si="0"/>
        <v>13.882450430812529</v>
      </c>
      <c r="G15" s="38">
        <f t="shared" si="0"/>
        <v>1.4541449353617684</v>
      </c>
      <c r="H15" s="39">
        <f t="shared" si="0"/>
        <v>0.16022172249536326</v>
      </c>
      <c r="I15" s="39">
        <f t="shared" si="0"/>
        <v>0.11006663410075784</v>
      </c>
    </row>
    <row r="16" spans="2:17" ht="14" customHeight="1" x14ac:dyDescent="0.3">
      <c r="B16" s="4" t="s">
        <v>218</v>
      </c>
      <c r="D16" s="38">
        <f t="shared" ref="D16:I16" si="1">MEDIAN(J6:J9)</f>
        <v>10.370004635014576</v>
      </c>
      <c r="E16" s="38">
        <f t="shared" si="1"/>
        <v>2.2157890099777795</v>
      </c>
      <c r="F16" s="38">
        <f t="shared" si="1"/>
        <v>16.629199475715588</v>
      </c>
      <c r="G16" s="38">
        <f t="shared" si="1"/>
        <v>1.8891956142348891</v>
      </c>
      <c r="H16" s="39">
        <f t="shared" si="1"/>
        <v>0.19175856080825637</v>
      </c>
      <c r="I16" s="39">
        <f t="shared" si="1"/>
        <v>0.13894901504053542</v>
      </c>
    </row>
    <row r="17" spans="2:9" ht="14" customHeight="1" x14ac:dyDescent="0.3">
      <c r="B17" s="4" t="s">
        <v>219</v>
      </c>
      <c r="D17" s="38">
        <f t="shared" ref="D17:I17" si="2">PERCENTILE(J6:J9,0.75)</f>
        <v>13.507527547787465</v>
      </c>
      <c r="E17" s="38">
        <f t="shared" si="2"/>
        <v>2.9686192137283394</v>
      </c>
      <c r="F17" s="38">
        <f t="shared" si="2"/>
        <v>18.969548278472679</v>
      </c>
      <c r="G17" s="38">
        <f t="shared" si="2"/>
        <v>2.4955810179112041</v>
      </c>
      <c r="H17" s="39">
        <f t="shared" si="2"/>
        <v>0.2378089711100122</v>
      </c>
      <c r="I17" s="39">
        <f t="shared" si="2"/>
        <v>0.15696611305480757</v>
      </c>
    </row>
    <row r="19" spans="2:9" ht="14" customHeight="1" x14ac:dyDescent="0.3">
      <c r="B19" s="22" t="s">
        <v>220</v>
      </c>
      <c r="C19" s="23"/>
      <c r="D19" s="23"/>
      <c r="E19" s="23"/>
      <c r="F19" s="23"/>
      <c r="G19" s="23"/>
      <c r="H19" s="23"/>
      <c r="I19" s="23"/>
    </row>
    <row r="20" spans="2:9" ht="14" customHeight="1" x14ac:dyDescent="0.3">
      <c r="B20" s="3" t="s">
        <v>221</v>
      </c>
    </row>
    <row r="21" spans="2:9" ht="14" customHeight="1" x14ac:dyDescent="0.3">
      <c r="B21" s="4" t="s">
        <v>222</v>
      </c>
      <c r="C21" s="5">
        <v>83689</v>
      </c>
    </row>
    <row r="22" spans="2:9" ht="14" customHeight="1" x14ac:dyDescent="0.3">
      <c r="B22" s="4" t="s">
        <v>223</v>
      </c>
      <c r="C22" s="5">
        <v>38558</v>
      </c>
    </row>
    <row r="23" spans="2:9" ht="14" customHeight="1" x14ac:dyDescent="0.3">
      <c r="B23" s="4" t="s">
        <v>224</v>
      </c>
      <c r="C23" s="15">
        <v>282236007</v>
      </c>
    </row>
    <row r="24" spans="2:9" ht="14" customHeight="1" x14ac:dyDescent="0.3">
      <c r="B24" s="4" t="s">
        <v>67</v>
      </c>
      <c r="C24" s="5">
        <v>-59342</v>
      </c>
    </row>
    <row r="26" spans="2:9" ht="14" customHeight="1" x14ac:dyDescent="0.3">
      <c r="B26" s="3" t="s">
        <v>225</v>
      </c>
    </row>
    <row r="27" spans="2:9" ht="14" customHeight="1" x14ac:dyDescent="0.3">
      <c r="B27" s="4" t="s">
        <v>226</v>
      </c>
      <c r="C27" s="24">
        <f>ROUND((C21*D16-C24)*1000000/C23,0)</f>
        <v>3285</v>
      </c>
    </row>
    <row r="28" spans="2:9" ht="14" customHeight="1" x14ac:dyDescent="0.3">
      <c r="B28" s="4" t="s">
        <v>227</v>
      </c>
      <c r="C28" s="24">
        <f>ROUND(C22*F16*1000000/C23,0)</f>
        <v>2272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228</v>
      </c>
    </row>
    <row r="3" spans="2:9" ht="14" customHeight="1" x14ac:dyDescent="0.3">
      <c r="B3" s="4" t="s">
        <v>229</v>
      </c>
      <c r="C3" s="16">
        <f>'DCF Model'!C26</f>
        <v>7.8699999999999992E-2</v>
      </c>
      <c r="E3" s="4" t="s">
        <v>230</v>
      </c>
      <c r="F3" s="16">
        <f>'DCF Model'!C13</f>
        <v>0.01</v>
      </c>
      <c r="H3" s="4" t="s">
        <v>231</v>
      </c>
      <c r="I3" s="14">
        <f>'DCF Model'!C14</f>
        <v>10.4</v>
      </c>
    </row>
    <row r="5" spans="2:9" ht="14" customHeight="1" x14ac:dyDescent="0.3">
      <c r="B5" s="3" t="s">
        <v>232</v>
      </c>
    </row>
    <row r="6" spans="2:9" ht="14" customHeight="1" x14ac:dyDescent="0.3">
      <c r="B6" s="40" t="s">
        <v>233</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2211</v>
      </c>
      <c r="D7" s="37">
        <f>IFERROR(ROUND(('DCF Model'!C45/(1+$B7)^('DCF Model'!C19+0)+'DCF Model'!D45/(1+$B7)^('DCF Model'!C19+1)+'DCF Model'!E45/(1+$B7)^('DCF Model'!C19+2)+'DCF Model'!F45/(1+$B7)^('DCF Model'!C19+3)+'DCF Model'!G45/(1+$B7)^('DCF Model'!C19+4)+'DCF Model'!G45*(1+D$6)/($B7-D$6)/(1+$B7)^('DCF Model'!C19+4)-'DCF Model'!C16)*1000000/'DCF Model'!C15,0),"")</f>
        <v>2275</v>
      </c>
      <c r="E7" s="37">
        <f>IFERROR(ROUND(('DCF Model'!C45/(1+$B7)^('DCF Model'!C19+0)+'DCF Model'!D45/(1+$B7)^('DCF Model'!C19+1)+'DCF Model'!E45/(1+$B7)^('DCF Model'!C19+2)+'DCF Model'!F45/(1+$B7)^('DCF Model'!C19+3)+'DCF Model'!G45/(1+$B7)^('DCF Model'!C19+4)+'DCF Model'!G45*(1+E$6)/($B7-E$6)/(1+$B7)^('DCF Model'!C19+4)-'DCF Model'!C16)*1000000/'DCF Model'!C15,0),"")</f>
        <v>2345</v>
      </c>
      <c r="F7" s="37">
        <f>IFERROR(ROUND(('DCF Model'!C45/(1+$B7)^('DCF Model'!C19+0)+'DCF Model'!D45/(1+$B7)^('DCF Model'!C19+1)+'DCF Model'!E45/(1+$B7)^('DCF Model'!C19+2)+'DCF Model'!F45/(1+$B7)^('DCF Model'!C19+3)+'DCF Model'!G45/(1+$B7)^('DCF Model'!C19+4)+'DCF Model'!G45*(1+F$6)/($B7-F$6)/(1+$B7)^('DCF Model'!C19+4)-'DCF Model'!C16)*1000000/'DCF Model'!C15,0),"")</f>
        <v>2421</v>
      </c>
      <c r="G7" s="37">
        <f>IFERROR(ROUND(('DCF Model'!C45/(1+$B7)^('DCF Model'!C19+0)+'DCF Model'!D45/(1+$B7)^('DCF Model'!C19+1)+'DCF Model'!E45/(1+$B7)^('DCF Model'!C19+2)+'DCF Model'!F45/(1+$B7)^('DCF Model'!C19+3)+'DCF Model'!G45/(1+$B7)^('DCF Model'!C19+4)+'DCF Model'!G45*(1+G$6)/($B7-G$6)/(1+$B7)^('DCF Model'!C19+4)-'DCF Model'!C16)*1000000/'DCF Model'!C15,0),"")</f>
        <v>2504</v>
      </c>
      <c r="H7" s="37">
        <f>IFERROR(ROUND(('DCF Model'!C45/(1+$B7)^('DCF Model'!C19+0)+'DCF Model'!D45/(1+$B7)^('DCF Model'!C19+1)+'DCF Model'!E45/(1+$B7)^('DCF Model'!C19+2)+'DCF Model'!F45/(1+$B7)^('DCF Model'!C19+3)+'DCF Model'!G45/(1+$B7)^('DCF Model'!C19+4)+'DCF Model'!G45*(1+H$6)/($B7-H$6)/(1+$B7)^('DCF Model'!C19+4)-'DCF Model'!C16)*1000000/'DCF Model'!C15,0),"")</f>
        <v>2596</v>
      </c>
      <c r="I7" s="37">
        <f>IFERROR(ROUND(('DCF Model'!C45/(1+$B7)^('DCF Model'!C19+0)+'DCF Model'!D45/(1+$B7)^('DCF Model'!C19+1)+'DCF Model'!E45/(1+$B7)^('DCF Model'!C19+2)+'DCF Model'!F45/(1+$B7)^('DCF Model'!C19+3)+'DCF Model'!G45/(1+$B7)^('DCF Model'!C19+4)+'DCF Model'!G45*(1+I$6)/($B7-I$6)/(1+$B7)^('DCF Model'!C19+4)-'DCF Model'!C16)*1000000/'DCF Model'!C15,0),"")</f>
        <v>2698</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2067</v>
      </c>
      <c r="D8" s="37">
        <f>IFERROR(ROUND(('DCF Model'!C45/(1+$B8)^('DCF Model'!C19+0)+'DCF Model'!D45/(1+$B8)^('DCF Model'!C19+1)+'DCF Model'!E45/(1+$B8)^('DCF Model'!C19+2)+'DCF Model'!F45/(1+$B8)^('DCF Model'!C19+3)+'DCF Model'!G45/(1+$B8)^('DCF Model'!C19+4)+'DCF Model'!G45*(1+D$6)/($B8-D$6)/(1+$B8)^('DCF Model'!C19+4)-'DCF Model'!C16)*1000000/'DCF Model'!C15,0),"")</f>
        <v>2121</v>
      </c>
      <c r="E8" s="37">
        <f>IFERROR(ROUND(('DCF Model'!C45/(1+$B8)^('DCF Model'!C19+0)+'DCF Model'!D45/(1+$B8)^('DCF Model'!C19+1)+'DCF Model'!E45/(1+$B8)^('DCF Model'!C19+2)+'DCF Model'!F45/(1+$B8)^('DCF Model'!C19+3)+'DCF Model'!G45/(1+$B8)^('DCF Model'!C19+4)+'DCF Model'!G45*(1+E$6)/($B8-E$6)/(1+$B8)^('DCF Model'!C19+4)-'DCF Model'!C16)*1000000/'DCF Model'!C15,0),"")</f>
        <v>2179</v>
      </c>
      <c r="F8" s="37">
        <f>IFERROR(ROUND(('DCF Model'!C45/(1+$B8)^('DCF Model'!C19+0)+'DCF Model'!D45/(1+$B8)^('DCF Model'!C19+1)+'DCF Model'!E45/(1+$B8)^('DCF Model'!C19+2)+'DCF Model'!F45/(1+$B8)^('DCF Model'!C19+3)+'DCF Model'!G45/(1+$B8)^('DCF Model'!C19+4)+'DCF Model'!G45*(1+F$6)/($B8-F$6)/(1+$B8)^('DCF Model'!C19+4)-'DCF Model'!C16)*1000000/'DCF Model'!C15,0),"")</f>
        <v>2241</v>
      </c>
      <c r="G8" s="37">
        <f>IFERROR(ROUND(('DCF Model'!C45/(1+$B8)^('DCF Model'!C19+0)+'DCF Model'!D45/(1+$B8)^('DCF Model'!C19+1)+'DCF Model'!E45/(1+$B8)^('DCF Model'!C19+2)+'DCF Model'!F45/(1+$B8)^('DCF Model'!C19+3)+'DCF Model'!G45/(1+$B8)^('DCF Model'!C19+4)+'DCF Model'!G45*(1+G$6)/($B8-G$6)/(1+$B8)^('DCF Model'!C19+4)-'DCF Model'!C16)*1000000/'DCF Model'!C15,0),"")</f>
        <v>2310</v>
      </c>
      <c r="H8" s="37">
        <f>IFERROR(ROUND(('DCF Model'!C45/(1+$B8)^('DCF Model'!C19+0)+'DCF Model'!D45/(1+$B8)^('DCF Model'!C19+1)+'DCF Model'!E45/(1+$B8)^('DCF Model'!C19+2)+'DCF Model'!F45/(1+$B8)^('DCF Model'!C19+3)+'DCF Model'!G45/(1+$B8)^('DCF Model'!C19+4)+'DCF Model'!G45*(1+H$6)/($B8-H$6)/(1+$B8)^('DCF Model'!C19+4)-'DCF Model'!C16)*1000000/'DCF Model'!C15,0),"")</f>
        <v>2384</v>
      </c>
      <c r="I8" s="37">
        <f>IFERROR(ROUND(('DCF Model'!C45/(1+$B8)^('DCF Model'!C19+0)+'DCF Model'!D45/(1+$B8)^('DCF Model'!C19+1)+'DCF Model'!E45/(1+$B8)^('DCF Model'!C19+2)+'DCF Model'!F45/(1+$B8)^('DCF Model'!C19+3)+'DCF Model'!G45/(1+$B8)^('DCF Model'!C19+4)+'DCF Model'!G45*(1+I$6)/($B8-I$6)/(1+$B8)^('DCF Model'!C19+4)-'DCF Model'!C16)*1000000/'DCF Model'!C15,0),"")</f>
        <v>2466</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1944</v>
      </c>
      <c r="D9" s="37">
        <f>IFERROR(ROUND(('DCF Model'!C45/(1+$B9)^('DCF Model'!C19+0)+'DCF Model'!D45/(1+$B9)^('DCF Model'!C19+1)+'DCF Model'!E45/(1+$B9)^('DCF Model'!C19+2)+'DCF Model'!F45/(1+$B9)^('DCF Model'!C19+3)+'DCF Model'!G45/(1+$B9)^('DCF Model'!C19+4)+'DCF Model'!G45*(1+D$6)/($B9-D$6)/(1+$B9)^('DCF Model'!C19+4)-'DCF Model'!C16)*1000000/'DCF Model'!C15,0),"")</f>
        <v>1989</v>
      </c>
      <c r="E9" s="37">
        <f>IFERROR(ROUND(('DCF Model'!C45/(1+$B9)^('DCF Model'!C19+0)+'DCF Model'!D45/(1+$B9)^('DCF Model'!C19+1)+'DCF Model'!E45/(1+$B9)^('DCF Model'!C19+2)+'DCF Model'!F45/(1+$B9)^('DCF Model'!C19+3)+'DCF Model'!G45/(1+$B9)^('DCF Model'!C19+4)+'DCF Model'!G45*(1+E$6)/($B9-E$6)/(1+$B9)^('DCF Model'!C19+4)-'DCF Model'!C16)*1000000/'DCF Model'!C15,0),"")</f>
        <v>2038</v>
      </c>
      <c r="F9" s="37">
        <f>IFERROR(ROUND(('DCF Model'!C45/(1+$B9)^('DCF Model'!C19+0)+'DCF Model'!D45/(1+$B9)^('DCF Model'!C19+1)+'DCF Model'!E45/(1+$B9)^('DCF Model'!C19+2)+'DCF Model'!F45/(1+$B9)^('DCF Model'!C19+3)+'DCF Model'!G45/(1+$B9)^('DCF Model'!C19+4)+'DCF Model'!G45*(1+F$6)/($B9-F$6)/(1+$B9)^('DCF Model'!C19+4)-'DCF Model'!C16)*1000000/'DCF Model'!C15,0),"")</f>
        <v>2090</v>
      </c>
      <c r="G9" s="37">
        <f>IFERROR(ROUND(('DCF Model'!C45/(1+$B9)^('DCF Model'!C19+0)+'DCF Model'!D45/(1+$B9)^('DCF Model'!C19+1)+'DCF Model'!E45/(1+$B9)^('DCF Model'!C19+2)+'DCF Model'!F45/(1+$B9)^('DCF Model'!C19+3)+'DCF Model'!G45/(1+$B9)^('DCF Model'!C19+4)+'DCF Model'!G45*(1+G$6)/($B9-G$6)/(1+$B9)^('DCF Model'!C19+4)-'DCF Model'!C16)*1000000/'DCF Model'!C15,0),"")</f>
        <v>2147</v>
      </c>
      <c r="H9" s="37">
        <f>IFERROR(ROUND(('DCF Model'!C45/(1+$B9)^('DCF Model'!C19+0)+'DCF Model'!D45/(1+$B9)^('DCF Model'!C19+1)+'DCF Model'!E45/(1+$B9)^('DCF Model'!C19+2)+'DCF Model'!F45/(1+$B9)^('DCF Model'!C19+3)+'DCF Model'!G45/(1+$B9)^('DCF Model'!C19+4)+'DCF Model'!G45*(1+H$6)/($B9-H$6)/(1+$B9)^('DCF Model'!C19+4)-'DCF Model'!C16)*1000000/'DCF Model'!C15,0),"")</f>
        <v>2208</v>
      </c>
      <c r="I9" s="37">
        <f>IFERROR(ROUND(('DCF Model'!C45/(1+$B9)^('DCF Model'!C19+0)+'DCF Model'!D45/(1+$B9)^('DCF Model'!C19+1)+'DCF Model'!E45/(1+$B9)^('DCF Model'!C19+2)+'DCF Model'!F45/(1+$B9)^('DCF Model'!C19+3)+'DCF Model'!G45/(1+$B9)^('DCF Model'!C19+4)+'DCF Model'!G45*(1+I$6)/($B9-I$6)/(1+$B9)^('DCF Model'!C19+4)-'DCF Model'!C16)*1000000/'DCF Model'!C15,0),"")</f>
        <v>2275</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1836</v>
      </c>
      <c r="D10" s="37">
        <f>IFERROR(ROUND(('DCF Model'!C45/(1+$B10)^('DCF Model'!C19+0)+'DCF Model'!D45/(1+$B10)^('DCF Model'!C19+1)+'DCF Model'!E45/(1+$B10)^('DCF Model'!C19+2)+'DCF Model'!F45/(1+$B10)^('DCF Model'!C19+3)+'DCF Model'!G45/(1+$B10)^('DCF Model'!C19+4)+'DCF Model'!G45*(1+D$6)/($B10-D$6)/(1+$B10)^('DCF Model'!C19+4)-'DCF Model'!C16)*1000000/'DCF Model'!C15,0),"")</f>
        <v>1875</v>
      </c>
      <c r="E10" s="37">
        <f>IFERROR(ROUND(('DCF Model'!C45/(1+$B10)^('DCF Model'!C19+0)+'DCF Model'!D45/(1+$B10)^('DCF Model'!C19+1)+'DCF Model'!E45/(1+$B10)^('DCF Model'!C19+2)+'DCF Model'!F45/(1+$B10)^('DCF Model'!C19+3)+'DCF Model'!G45/(1+$B10)^('DCF Model'!C19+4)+'DCF Model'!G45*(1+E$6)/($B10-E$6)/(1+$B10)^('DCF Model'!C19+4)-'DCF Model'!C16)*1000000/'DCF Model'!C15,0),"")</f>
        <v>1916</v>
      </c>
      <c r="F10" s="37">
        <f>IFERROR(ROUND(('DCF Model'!C45/(1+$B10)^('DCF Model'!C19+0)+'DCF Model'!D45/(1+$B10)^('DCF Model'!C19+1)+'DCF Model'!E45/(1+$B10)^('DCF Model'!C19+2)+'DCF Model'!F45/(1+$B10)^('DCF Model'!C19+3)+'DCF Model'!G45/(1+$B10)^('DCF Model'!C19+4)+'DCF Model'!G45*(1+F$6)/($B10-F$6)/(1+$B10)^('DCF Model'!C19+4)-'DCF Model'!C16)*1000000/'DCF Model'!C15,0),"")</f>
        <v>1961</v>
      </c>
      <c r="G10" s="37">
        <f>IFERROR(ROUND(('DCF Model'!C45/(1+$B10)^('DCF Model'!C19+0)+'DCF Model'!D45/(1+$B10)^('DCF Model'!C19+1)+'DCF Model'!E45/(1+$B10)^('DCF Model'!C19+2)+'DCF Model'!F45/(1+$B10)^('DCF Model'!C19+3)+'DCF Model'!G45/(1+$B10)^('DCF Model'!C19+4)+'DCF Model'!G45*(1+G$6)/($B10-G$6)/(1+$B10)^('DCF Model'!C19+4)-'DCF Model'!C16)*1000000/'DCF Model'!C15,0),"")</f>
        <v>2009</v>
      </c>
      <c r="H10" s="37">
        <f>IFERROR(ROUND(('DCF Model'!C45/(1+$B10)^('DCF Model'!C19+0)+'DCF Model'!D45/(1+$B10)^('DCF Model'!C19+1)+'DCF Model'!E45/(1+$B10)^('DCF Model'!C19+2)+'DCF Model'!F45/(1+$B10)^('DCF Model'!C19+3)+'DCF Model'!G45/(1+$B10)^('DCF Model'!C19+4)+'DCF Model'!G45*(1+H$6)/($B10-H$6)/(1+$B10)^('DCF Model'!C19+4)-'DCF Model'!C16)*1000000/'DCF Model'!C15,0),"")</f>
        <v>2060</v>
      </c>
      <c r="I10" s="37">
        <f>IFERROR(ROUND(('DCF Model'!C45/(1+$B10)^('DCF Model'!C19+0)+'DCF Model'!D45/(1+$B10)^('DCF Model'!C19+1)+'DCF Model'!E45/(1+$B10)^('DCF Model'!C19+2)+'DCF Model'!F45/(1+$B10)^('DCF Model'!C19+3)+'DCF Model'!G45/(1+$B10)^('DCF Model'!C19+4)+'DCF Model'!G45*(1+I$6)/($B10-I$6)/(1+$B10)^('DCF Model'!C19+4)-'DCF Model'!C16)*1000000/'DCF Model'!C15,0),"")</f>
        <v>2116</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1742</v>
      </c>
      <c r="D11" s="37">
        <f>IFERROR(ROUND(('DCF Model'!C45/(1+$B11)^('DCF Model'!C19+0)+'DCF Model'!D45/(1+$B11)^('DCF Model'!C19+1)+'DCF Model'!E45/(1+$B11)^('DCF Model'!C19+2)+'DCF Model'!F45/(1+$B11)^('DCF Model'!C19+3)+'DCF Model'!G45/(1+$B11)^('DCF Model'!C19+4)+'DCF Model'!G45*(1+D$6)/($B11-D$6)/(1+$B11)^('DCF Model'!C19+4)-'DCF Model'!C16)*1000000/'DCF Model'!C15,0),"")</f>
        <v>1776</v>
      </c>
      <c r="E11" s="37">
        <f>IFERROR(ROUND(('DCF Model'!C45/(1+$B11)^('DCF Model'!C19+0)+'DCF Model'!D45/(1+$B11)^('DCF Model'!C19+1)+'DCF Model'!E45/(1+$B11)^('DCF Model'!C19+2)+'DCF Model'!F45/(1+$B11)^('DCF Model'!C19+3)+'DCF Model'!G45/(1+$B11)^('DCF Model'!C19+4)+'DCF Model'!G45*(1+E$6)/($B11-E$6)/(1+$B11)^('DCF Model'!C19+4)-'DCF Model'!C16)*1000000/'DCF Model'!C15,0),"")</f>
        <v>1811</v>
      </c>
      <c r="F11" s="37">
        <f>IFERROR(ROUND(('DCF Model'!C45/(1+$B11)^('DCF Model'!C19+0)+'DCF Model'!D45/(1+$B11)^('DCF Model'!C19+1)+'DCF Model'!E45/(1+$B11)^('DCF Model'!C19+2)+'DCF Model'!F45/(1+$B11)^('DCF Model'!C19+3)+'DCF Model'!G45/(1+$B11)^('DCF Model'!C19+4)+'DCF Model'!G45*(1+F$6)/($B11-F$6)/(1+$B11)^('DCF Model'!C19+4)-'DCF Model'!C16)*1000000/'DCF Model'!C15,0),"")</f>
        <v>1849</v>
      </c>
      <c r="G11" s="37">
        <f>IFERROR(ROUND(('DCF Model'!C45/(1+$B11)^('DCF Model'!C19+0)+'DCF Model'!D45/(1+$B11)^('DCF Model'!C19+1)+'DCF Model'!E45/(1+$B11)^('DCF Model'!C19+2)+'DCF Model'!F45/(1+$B11)^('DCF Model'!C19+3)+'DCF Model'!G45/(1+$B11)^('DCF Model'!C19+4)+'DCF Model'!G45*(1+G$6)/($B11-G$6)/(1+$B11)^('DCF Model'!C19+4)-'DCF Model'!C16)*1000000/'DCF Model'!C15,0),"")</f>
        <v>1890</v>
      </c>
      <c r="H11" s="37">
        <f>IFERROR(ROUND(('DCF Model'!C45/(1+$B11)^('DCF Model'!C19+0)+'DCF Model'!D45/(1+$B11)^('DCF Model'!C19+1)+'DCF Model'!E45/(1+$B11)^('DCF Model'!C19+2)+'DCF Model'!F45/(1+$B11)^('DCF Model'!C19+3)+'DCF Model'!G45/(1+$B11)^('DCF Model'!C19+4)+'DCF Model'!G45*(1+H$6)/($B11-H$6)/(1+$B11)^('DCF Model'!C19+4)-'DCF Model'!C16)*1000000/'DCF Model'!C15,0),"")</f>
        <v>1933</v>
      </c>
      <c r="I11" s="37">
        <f>IFERROR(ROUND(('DCF Model'!C45/(1+$B11)^('DCF Model'!C19+0)+'DCF Model'!D45/(1+$B11)^('DCF Model'!C19+1)+'DCF Model'!E45/(1+$B11)^('DCF Model'!C19+2)+'DCF Model'!F45/(1+$B11)^('DCF Model'!C19+3)+'DCF Model'!G45/(1+$B11)^('DCF Model'!C19+4)+'DCF Model'!G45*(1+I$6)/($B11-I$6)/(1+$B11)^('DCF Model'!C19+4)-'DCF Model'!C16)*1000000/'DCF Model'!C15,0),"")</f>
        <v>1980</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1659</v>
      </c>
      <c r="D12" s="37">
        <f>IFERROR(ROUND(('DCF Model'!C45/(1+$B12)^('DCF Model'!C19+0)+'DCF Model'!D45/(1+$B12)^('DCF Model'!C19+1)+'DCF Model'!E45/(1+$B12)^('DCF Model'!C19+2)+'DCF Model'!F45/(1+$B12)^('DCF Model'!C19+3)+'DCF Model'!G45/(1+$B12)^('DCF Model'!C19+4)+'DCF Model'!G45*(1+D$6)/($B12-D$6)/(1+$B12)^('DCF Model'!C19+4)-'DCF Model'!C16)*1000000/'DCF Model'!C15,0),"")</f>
        <v>1688</v>
      </c>
      <c r="E12" s="37">
        <f>IFERROR(ROUND(('DCF Model'!C45/(1+$B12)^('DCF Model'!C19+0)+'DCF Model'!D45/(1+$B12)^('DCF Model'!C19+1)+'DCF Model'!E45/(1+$B12)^('DCF Model'!C19+2)+'DCF Model'!F45/(1+$B12)^('DCF Model'!C19+3)+'DCF Model'!G45/(1+$B12)^('DCF Model'!C19+4)+'DCF Model'!G45*(1+E$6)/($B12-E$6)/(1+$B12)^('DCF Model'!C19+4)-'DCF Model'!C16)*1000000/'DCF Model'!C15,0),"")</f>
        <v>1719</v>
      </c>
      <c r="F12" s="37">
        <f>IFERROR(ROUND(('DCF Model'!C45/(1+$B12)^('DCF Model'!C19+0)+'DCF Model'!D45/(1+$B12)^('DCF Model'!C19+1)+'DCF Model'!E45/(1+$B12)^('DCF Model'!C19+2)+'DCF Model'!F45/(1+$B12)^('DCF Model'!C19+3)+'DCF Model'!G45/(1+$B12)^('DCF Model'!C19+4)+'DCF Model'!G45*(1+F$6)/($B12-F$6)/(1+$B12)^('DCF Model'!C19+4)-'DCF Model'!C16)*1000000/'DCF Model'!C15,0),"")</f>
        <v>1751</v>
      </c>
      <c r="G12" s="37">
        <f>IFERROR(ROUND(('DCF Model'!C45/(1+$B12)^('DCF Model'!C19+0)+'DCF Model'!D45/(1+$B12)^('DCF Model'!C19+1)+'DCF Model'!E45/(1+$B12)^('DCF Model'!C19+2)+'DCF Model'!F45/(1+$B12)^('DCF Model'!C19+3)+'DCF Model'!G45/(1+$B12)^('DCF Model'!C19+4)+'DCF Model'!G45*(1+G$6)/($B12-G$6)/(1+$B12)^('DCF Model'!C19+4)-'DCF Model'!C16)*1000000/'DCF Model'!C15,0),"")</f>
        <v>1786</v>
      </c>
      <c r="H12" s="37">
        <f>IFERROR(ROUND(('DCF Model'!C45/(1+$B12)^('DCF Model'!C19+0)+'DCF Model'!D45/(1+$B12)^('DCF Model'!C19+1)+'DCF Model'!E45/(1+$B12)^('DCF Model'!C19+2)+'DCF Model'!F45/(1+$B12)^('DCF Model'!C19+3)+'DCF Model'!G45/(1+$B12)^('DCF Model'!C19+4)+'DCF Model'!G45*(1+H$6)/($B12-H$6)/(1+$B12)^('DCF Model'!C19+4)-'DCF Model'!C16)*1000000/'DCF Model'!C15,0),"")</f>
        <v>1824</v>
      </c>
      <c r="I12" s="37">
        <f>IFERROR(ROUND(('DCF Model'!C45/(1+$B12)^('DCF Model'!C19+0)+'DCF Model'!D45/(1+$B12)^('DCF Model'!C19+1)+'DCF Model'!E45/(1+$B12)^('DCF Model'!C19+2)+'DCF Model'!F45/(1+$B12)^('DCF Model'!C19+3)+'DCF Model'!G45/(1+$B12)^('DCF Model'!C19+4)+'DCF Model'!G45*(1+I$6)/($B12-I$6)/(1+$B12)^('DCF Model'!C19+4)-'DCF Model'!C16)*1000000/'DCF Model'!C15,0),"")</f>
        <v>1863</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1585</v>
      </c>
      <c r="D13" s="37">
        <f>IFERROR(ROUND(('DCF Model'!C45/(1+$B13)^('DCF Model'!C19+0)+'DCF Model'!D45/(1+$B13)^('DCF Model'!C19+1)+'DCF Model'!E45/(1+$B13)^('DCF Model'!C19+2)+'DCF Model'!F45/(1+$B13)^('DCF Model'!C19+3)+'DCF Model'!G45/(1+$B13)^('DCF Model'!C19+4)+'DCF Model'!G45*(1+D$6)/($B13-D$6)/(1+$B13)^('DCF Model'!C19+4)-'DCF Model'!C16)*1000000/'DCF Model'!C15,0),"")</f>
        <v>1610</v>
      </c>
      <c r="E13" s="37">
        <f>IFERROR(ROUND(('DCF Model'!C45/(1+$B13)^('DCF Model'!C19+0)+'DCF Model'!D45/(1+$B13)^('DCF Model'!C19+1)+'DCF Model'!E45/(1+$B13)^('DCF Model'!C19+2)+'DCF Model'!F45/(1+$B13)^('DCF Model'!C19+3)+'DCF Model'!G45/(1+$B13)^('DCF Model'!C19+4)+'DCF Model'!G45*(1+E$6)/($B13-E$6)/(1+$B13)^('DCF Model'!C19+4)-'DCF Model'!C16)*1000000/'DCF Model'!C15,0),"")</f>
        <v>1637</v>
      </c>
      <c r="F13" s="37">
        <f>IFERROR(ROUND(('DCF Model'!C45/(1+$B13)^('DCF Model'!C19+0)+'DCF Model'!D45/(1+$B13)^('DCF Model'!C19+1)+'DCF Model'!E45/(1+$B13)^('DCF Model'!C19+2)+'DCF Model'!F45/(1+$B13)^('DCF Model'!C19+3)+'DCF Model'!G45/(1+$B13)^('DCF Model'!C19+4)+'DCF Model'!G45*(1+F$6)/($B13-F$6)/(1+$B13)^('DCF Model'!C19+4)-'DCF Model'!C16)*1000000/'DCF Model'!C15,0),"")</f>
        <v>1665</v>
      </c>
      <c r="G13" s="37">
        <f>IFERROR(ROUND(('DCF Model'!C45/(1+$B13)^('DCF Model'!C19+0)+'DCF Model'!D45/(1+$B13)^('DCF Model'!C19+1)+'DCF Model'!E45/(1+$B13)^('DCF Model'!C19+2)+'DCF Model'!F45/(1+$B13)^('DCF Model'!C19+3)+'DCF Model'!G45/(1+$B13)^('DCF Model'!C19+4)+'DCF Model'!G45*(1+G$6)/($B13-G$6)/(1+$B13)^('DCF Model'!C19+4)-'DCF Model'!C16)*1000000/'DCF Model'!C15,0),"")</f>
        <v>1696</v>
      </c>
      <c r="H13" s="37">
        <f>IFERROR(ROUND(('DCF Model'!C45/(1+$B13)^('DCF Model'!C19+0)+'DCF Model'!D45/(1+$B13)^('DCF Model'!C19+1)+'DCF Model'!E45/(1+$B13)^('DCF Model'!C19+2)+'DCF Model'!F45/(1+$B13)^('DCF Model'!C19+3)+'DCF Model'!G45/(1+$B13)^('DCF Model'!C19+4)+'DCF Model'!G45*(1+H$6)/($B13-H$6)/(1+$B13)^('DCF Model'!C19+4)-'DCF Model'!C16)*1000000/'DCF Model'!C15,0),"")</f>
        <v>1728</v>
      </c>
      <c r="I13" s="37">
        <f>IFERROR(ROUND(('DCF Model'!C45/(1+$B13)^('DCF Model'!C19+0)+'DCF Model'!D45/(1+$B13)^('DCF Model'!C19+1)+'DCF Model'!E45/(1+$B13)^('DCF Model'!C19+2)+'DCF Model'!F45/(1+$B13)^('DCF Model'!C19+3)+'DCF Model'!G45/(1+$B13)^('DCF Model'!C19+4)+'DCF Model'!G45*(1+I$6)/($B13-I$6)/(1+$B13)^('DCF Model'!C19+4)-'DCF Model'!C16)*1000000/'DCF Model'!C15,0),"")</f>
        <v>1762</v>
      </c>
    </row>
    <row r="16" spans="2:9" ht="14" customHeight="1" x14ac:dyDescent="0.3">
      <c r="B16" s="3" t="s">
        <v>234</v>
      </c>
    </row>
    <row r="17" spans="2:9" ht="14" customHeight="1" x14ac:dyDescent="0.3">
      <c r="B17" s="40" t="s">
        <v>235</v>
      </c>
      <c r="C17" s="42">
        <f>$I$3-3</f>
        <v>7.4</v>
      </c>
      <c r="D17" s="42">
        <f>$I$3-2</f>
        <v>8.4</v>
      </c>
      <c r="E17" s="42">
        <f>$I$3-1</f>
        <v>9.4</v>
      </c>
      <c r="F17" s="42">
        <f>$I$3</f>
        <v>10.4</v>
      </c>
      <c r="G17" s="42">
        <f>$I$3+1</f>
        <v>11.4</v>
      </c>
      <c r="H17" s="42">
        <f>$I$3+2</f>
        <v>12.4</v>
      </c>
      <c r="I17" s="42">
        <f>$I$3+3</f>
        <v>13.4</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2781</v>
      </c>
      <c r="D18" s="37">
        <f>IFERROR(ROUND(('DCF Model'!C45/(1+$B18)^('DCF Model'!C19+0)+'DCF Model'!D45/(1+$B18)^('DCF Model'!C19+1)+'DCF Model'!E45/(1+$B18)^('DCF Model'!C19+2)+'DCF Model'!F45/(1+$B18)^('DCF Model'!C19+3)+'DCF Model'!G45/(1+$B18)^('DCF Model'!C19+4)+('DCF Model'!G39+'DCF Model'!G42)*D$17/(1+$B18)^('DCF Model'!C19+4)-'DCF Model'!C16)*1000000/'DCF Model'!C15,0),"")</f>
        <v>3049</v>
      </c>
      <c r="E18" s="37">
        <f>IFERROR(ROUND(('DCF Model'!C45/(1+$B18)^('DCF Model'!C19+0)+'DCF Model'!D45/(1+$B18)^('DCF Model'!C19+1)+'DCF Model'!E45/(1+$B18)^('DCF Model'!C19+2)+'DCF Model'!F45/(1+$B18)^('DCF Model'!C19+3)+'DCF Model'!G45/(1+$B18)^('DCF Model'!C19+4)+('DCF Model'!G39+'DCF Model'!G42)*E$17/(1+$B18)^('DCF Model'!C19+4)-'DCF Model'!C16)*1000000/'DCF Model'!C15,0),"")</f>
        <v>3317</v>
      </c>
      <c r="F18" s="37">
        <f>IFERROR(ROUND(('DCF Model'!C45/(1+$B18)^('DCF Model'!C19+0)+'DCF Model'!D45/(1+$B18)^('DCF Model'!C19+1)+'DCF Model'!E45/(1+$B18)^('DCF Model'!C19+2)+'DCF Model'!F45/(1+$B18)^('DCF Model'!C19+3)+'DCF Model'!G45/(1+$B18)^('DCF Model'!C19+4)+('DCF Model'!G39+'DCF Model'!G42)*F$17/(1+$B18)^('DCF Model'!C19+4)-'DCF Model'!C16)*1000000/'DCF Model'!C15,0),"")</f>
        <v>3585</v>
      </c>
      <c r="G18" s="37">
        <f>IFERROR(ROUND(('DCF Model'!C45/(1+$B18)^('DCF Model'!C19+0)+'DCF Model'!D45/(1+$B18)^('DCF Model'!C19+1)+'DCF Model'!E45/(1+$B18)^('DCF Model'!C19+2)+'DCF Model'!F45/(1+$B18)^('DCF Model'!C19+3)+'DCF Model'!G45/(1+$B18)^('DCF Model'!C19+4)+('DCF Model'!G39+'DCF Model'!G42)*G$17/(1+$B18)^('DCF Model'!C19+4)-'DCF Model'!C16)*1000000/'DCF Model'!C15,0),"")</f>
        <v>3854</v>
      </c>
      <c r="H18" s="37">
        <f>IFERROR(ROUND(('DCF Model'!C45/(1+$B18)^('DCF Model'!C19+0)+'DCF Model'!D45/(1+$B18)^('DCF Model'!C19+1)+'DCF Model'!E45/(1+$B18)^('DCF Model'!C19+2)+'DCF Model'!F45/(1+$B18)^('DCF Model'!C19+3)+'DCF Model'!G45/(1+$B18)^('DCF Model'!C19+4)+('DCF Model'!G39+'DCF Model'!G42)*H$17/(1+$B18)^('DCF Model'!C19+4)-'DCF Model'!C16)*1000000/'DCF Model'!C15,0),"")</f>
        <v>4122</v>
      </c>
      <c r="I18" s="37">
        <f>IFERROR(ROUND(('DCF Model'!C45/(1+$B18)^('DCF Model'!C19+0)+'DCF Model'!D45/(1+$B18)^('DCF Model'!C19+1)+'DCF Model'!E45/(1+$B18)^('DCF Model'!C19+2)+'DCF Model'!F45/(1+$B18)^('DCF Model'!C19+3)+'DCF Model'!G45/(1+$B18)^('DCF Model'!C19+4)+('DCF Model'!G39+'DCF Model'!G42)*I$17/(1+$B18)^('DCF Model'!C19+4)-'DCF Model'!C16)*1000000/'DCF Model'!C15,0),"")</f>
        <v>4390</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2728</v>
      </c>
      <c r="D19" s="37">
        <f>IFERROR(ROUND(('DCF Model'!C45/(1+$B19)^('DCF Model'!C19+0)+'DCF Model'!D45/(1+$B19)^('DCF Model'!C19+1)+'DCF Model'!E45/(1+$B19)^('DCF Model'!C19+2)+'DCF Model'!F45/(1+$B19)^('DCF Model'!C19+3)+'DCF Model'!G45/(1+$B19)^('DCF Model'!C19+4)+('DCF Model'!G39+'DCF Model'!G42)*D$17/(1+$B19)^('DCF Model'!C19+4)-'DCF Model'!C16)*1000000/'DCF Model'!C15,0),"")</f>
        <v>2990</v>
      </c>
      <c r="E19" s="37">
        <f>IFERROR(ROUND(('DCF Model'!C45/(1+$B19)^('DCF Model'!C19+0)+'DCF Model'!D45/(1+$B19)^('DCF Model'!C19+1)+'DCF Model'!E45/(1+$B19)^('DCF Model'!C19+2)+'DCF Model'!F45/(1+$B19)^('DCF Model'!C19+3)+'DCF Model'!G45/(1+$B19)^('DCF Model'!C19+4)+('DCF Model'!G39+'DCF Model'!G42)*E$17/(1+$B19)^('DCF Model'!C19+4)-'DCF Model'!C16)*1000000/'DCF Model'!C15,0),"")</f>
        <v>3252</v>
      </c>
      <c r="F19" s="37">
        <f>IFERROR(ROUND(('DCF Model'!C45/(1+$B19)^('DCF Model'!C19+0)+'DCF Model'!D45/(1+$B19)^('DCF Model'!C19+1)+'DCF Model'!E45/(1+$B19)^('DCF Model'!C19+2)+'DCF Model'!F45/(1+$B19)^('DCF Model'!C19+3)+'DCF Model'!G45/(1+$B19)^('DCF Model'!C19+4)+('DCF Model'!G39+'DCF Model'!G42)*F$17/(1+$B19)^('DCF Model'!C19+4)-'DCF Model'!C16)*1000000/'DCF Model'!C15,0),"")</f>
        <v>3514</v>
      </c>
      <c r="G19" s="37">
        <f>IFERROR(ROUND(('DCF Model'!C45/(1+$B19)^('DCF Model'!C19+0)+'DCF Model'!D45/(1+$B19)^('DCF Model'!C19+1)+'DCF Model'!E45/(1+$B19)^('DCF Model'!C19+2)+'DCF Model'!F45/(1+$B19)^('DCF Model'!C19+3)+'DCF Model'!G45/(1+$B19)^('DCF Model'!C19+4)+('DCF Model'!G39+'DCF Model'!G42)*G$17/(1+$B19)^('DCF Model'!C19+4)-'DCF Model'!C16)*1000000/'DCF Model'!C15,0),"")</f>
        <v>3776</v>
      </c>
      <c r="H19" s="37">
        <f>IFERROR(ROUND(('DCF Model'!C45/(1+$B19)^('DCF Model'!C19+0)+'DCF Model'!D45/(1+$B19)^('DCF Model'!C19+1)+'DCF Model'!E45/(1+$B19)^('DCF Model'!C19+2)+'DCF Model'!F45/(1+$B19)^('DCF Model'!C19+3)+'DCF Model'!G45/(1+$B19)^('DCF Model'!C19+4)+('DCF Model'!G39+'DCF Model'!G42)*H$17/(1+$B19)^('DCF Model'!C19+4)-'DCF Model'!C16)*1000000/'DCF Model'!C15,0),"")</f>
        <v>4038</v>
      </c>
      <c r="I19" s="37">
        <f>IFERROR(ROUND(('DCF Model'!C45/(1+$B19)^('DCF Model'!C19+0)+'DCF Model'!D45/(1+$B19)^('DCF Model'!C19+1)+'DCF Model'!E45/(1+$B19)^('DCF Model'!C19+2)+'DCF Model'!F45/(1+$B19)^('DCF Model'!C19+3)+'DCF Model'!G45/(1+$B19)^('DCF Model'!C19+4)+('DCF Model'!G39+'DCF Model'!G42)*I$17/(1+$B19)^('DCF Model'!C19+4)-'DCF Model'!C16)*1000000/'DCF Model'!C15,0),"")</f>
        <v>4300</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2677</v>
      </c>
      <c r="D20" s="37">
        <f>IFERROR(ROUND(('DCF Model'!C45/(1+$B20)^('DCF Model'!C19+0)+'DCF Model'!D45/(1+$B20)^('DCF Model'!C19+1)+'DCF Model'!E45/(1+$B20)^('DCF Model'!C19+2)+'DCF Model'!F45/(1+$B20)^('DCF Model'!C19+3)+'DCF Model'!G45/(1+$B20)^('DCF Model'!C19+4)+('DCF Model'!G39+'DCF Model'!G42)*D$17/(1+$B20)^('DCF Model'!C19+4)-'DCF Model'!C16)*1000000/'DCF Model'!C15,0),"")</f>
        <v>2933</v>
      </c>
      <c r="E20" s="37">
        <f>IFERROR(ROUND(('DCF Model'!C45/(1+$B20)^('DCF Model'!C19+0)+'DCF Model'!D45/(1+$B20)^('DCF Model'!C19+1)+'DCF Model'!E45/(1+$B20)^('DCF Model'!C19+2)+'DCF Model'!F45/(1+$B20)^('DCF Model'!C19+3)+'DCF Model'!G45/(1+$B20)^('DCF Model'!C19+4)+('DCF Model'!G39+'DCF Model'!G42)*E$17/(1+$B20)^('DCF Model'!C19+4)-'DCF Model'!C16)*1000000/'DCF Model'!C15,0),"")</f>
        <v>3189</v>
      </c>
      <c r="F20" s="37">
        <f>IFERROR(ROUND(('DCF Model'!C45/(1+$B20)^('DCF Model'!C19+0)+'DCF Model'!D45/(1+$B20)^('DCF Model'!C19+1)+'DCF Model'!E45/(1+$B20)^('DCF Model'!C19+2)+'DCF Model'!F45/(1+$B20)^('DCF Model'!C19+3)+'DCF Model'!G45/(1+$B20)^('DCF Model'!C19+4)+('DCF Model'!G39+'DCF Model'!G42)*F$17/(1+$B20)^('DCF Model'!C19+4)-'DCF Model'!C16)*1000000/'DCF Model'!C15,0),"")</f>
        <v>3445</v>
      </c>
      <c r="G20" s="37">
        <f>IFERROR(ROUND(('DCF Model'!C45/(1+$B20)^('DCF Model'!C19+0)+'DCF Model'!D45/(1+$B20)^('DCF Model'!C19+1)+'DCF Model'!E45/(1+$B20)^('DCF Model'!C19+2)+'DCF Model'!F45/(1+$B20)^('DCF Model'!C19+3)+'DCF Model'!G45/(1+$B20)^('DCF Model'!C19+4)+('DCF Model'!G39+'DCF Model'!G42)*G$17/(1+$B20)^('DCF Model'!C19+4)-'DCF Model'!C16)*1000000/'DCF Model'!C15,0),"")</f>
        <v>3701</v>
      </c>
      <c r="H20" s="37">
        <f>IFERROR(ROUND(('DCF Model'!C45/(1+$B20)^('DCF Model'!C19+0)+'DCF Model'!D45/(1+$B20)^('DCF Model'!C19+1)+'DCF Model'!E45/(1+$B20)^('DCF Model'!C19+2)+'DCF Model'!F45/(1+$B20)^('DCF Model'!C19+3)+'DCF Model'!G45/(1+$B20)^('DCF Model'!C19+4)+('DCF Model'!G39+'DCF Model'!G42)*H$17/(1+$B20)^('DCF Model'!C19+4)-'DCF Model'!C16)*1000000/'DCF Model'!C15,0),"")</f>
        <v>3957</v>
      </c>
      <c r="I20" s="37">
        <f>IFERROR(ROUND(('DCF Model'!C45/(1+$B20)^('DCF Model'!C19+0)+'DCF Model'!D45/(1+$B20)^('DCF Model'!C19+1)+'DCF Model'!E45/(1+$B20)^('DCF Model'!C19+2)+'DCF Model'!F45/(1+$B20)^('DCF Model'!C19+3)+'DCF Model'!G45/(1+$B20)^('DCF Model'!C19+4)+('DCF Model'!G39+'DCF Model'!G42)*I$17/(1+$B20)^('DCF Model'!C19+4)-'DCF Model'!C16)*1000000/'DCF Model'!C15,0),"")</f>
        <v>4212</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2627</v>
      </c>
      <c r="D21" s="37">
        <f>IFERROR(ROUND(('DCF Model'!C45/(1+$B21)^('DCF Model'!C19+0)+'DCF Model'!D45/(1+$B21)^('DCF Model'!C19+1)+'DCF Model'!E45/(1+$B21)^('DCF Model'!C19+2)+'DCF Model'!F45/(1+$B21)^('DCF Model'!C19+3)+'DCF Model'!G45/(1+$B21)^('DCF Model'!C19+4)+('DCF Model'!G39+'DCF Model'!G42)*D$17/(1+$B21)^('DCF Model'!C19+4)-'DCF Model'!C16)*1000000/'DCF Model'!C15,0),"")</f>
        <v>2877</v>
      </c>
      <c r="E21" s="37">
        <f>IFERROR(ROUND(('DCF Model'!C45/(1+$B21)^('DCF Model'!C19+0)+'DCF Model'!D45/(1+$B21)^('DCF Model'!C19+1)+'DCF Model'!E45/(1+$B21)^('DCF Model'!C19+2)+'DCF Model'!F45/(1+$B21)^('DCF Model'!C19+3)+'DCF Model'!G45/(1+$B21)^('DCF Model'!C19+4)+('DCF Model'!G39+'DCF Model'!G42)*E$17/(1+$B21)^('DCF Model'!C19+4)-'DCF Model'!C16)*1000000/'DCF Model'!C15,0),"")</f>
        <v>3127</v>
      </c>
      <c r="F21" s="37">
        <f>IFERROR(ROUND(('DCF Model'!C45/(1+$B21)^('DCF Model'!C19+0)+'DCF Model'!D45/(1+$B21)^('DCF Model'!C19+1)+'DCF Model'!E45/(1+$B21)^('DCF Model'!C19+2)+'DCF Model'!F45/(1+$B21)^('DCF Model'!C19+3)+'DCF Model'!G45/(1+$B21)^('DCF Model'!C19+4)+('DCF Model'!G39+'DCF Model'!G42)*F$17/(1+$B21)^('DCF Model'!C19+4)-'DCF Model'!C16)*1000000/'DCF Model'!C15,0),"")</f>
        <v>3377</v>
      </c>
      <c r="G21" s="37">
        <f>IFERROR(ROUND(('DCF Model'!C45/(1+$B21)^('DCF Model'!C19+0)+'DCF Model'!D45/(1+$B21)^('DCF Model'!C19+1)+'DCF Model'!E45/(1+$B21)^('DCF Model'!C19+2)+'DCF Model'!F45/(1+$B21)^('DCF Model'!C19+3)+'DCF Model'!G45/(1+$B21)^('DCF Model'!C19+4)+('DCF Model'!G39+'DCF Model'!G42)*G$17/(1+$B21)^('DCF Model'!C19+4)-'DCF Model'!C16)*1000000/'DCF Model'!C15,0),"")</f>
        <v>3627</v>
      </c>
      <c r="H21" s="37">
        <f>IFERROR(ROUND(('DCF Model'!C45/(1+$B21)^('DCF Model'!C19+0)+'DCF Model'!D45/(1+$B21)^('DCF Model'!C19+1)+'DCF Model'!E45/(1+$B21)^('DCF Model'!C19+2)+'DCF Model'!F45/(1+$B21)^('DCF Model'!C19+3)+'DCF Model'!G45/(1+$B21)^('DCF Model'!C19+4)+('DCF Model'!G39+'DCF Model'!G42)*H$17/(1+$B21)^('DCF Model'!C19+4)-'DCF Model'!C16)*1000000/'DCF Model'!C15,0),"")</f>
        <v>3877</v>
      </c>
      <c r="I21" s="37">
        <f>IFERROR(ROUND(('DCF Model'!C45/(1+$B21)^('DCF Model'!C19+0)+'DCF Model'!D45/(1+$B21)^('DCF Model'!C19+1)+'DCF Model'!E45/(1+$B21)^('DCF Model'!C19+2)+'DCF Model'!F45/(1+$B21)^('DCF Model'!C19+3)+'DCF Model'!G45/(1+$B21)^('DCF Model'!C19+4)+('DCF Model'!G39+'DCF Model'!G42)*I$17/(1+$B21)^('DCF Model'!C19+4)-'DCF Model'!C16)*1000000/'DCF Model'!C15,0),"")</f>
        <v>4127</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2579</v>
      </c>
      <c r="D22" s="37">
        <f>IFERROR(ROUND(('DCF Model'!C45/(1+$B22)^('DCF Model'!C19+0)+'DCF Model'!D45/(1+$B22)^('DCF Model'!C19+1)+'DCF Model'!E45/(1+$B22)^('DCF Model'!C19+2)+'DCF Model'!F45/(1+$B22)^('DCF Model'!C19+3)+'DCF Model'!G45/(1+$B22)^('DCF Model'!C19+4)+('DCF Model'!G39+'DCF Model'!G42)*D$17/(1+$B22)^('DCF Model'!C19+4)-'DCF Model'!C16)*1000000/'DCF Model'!C15,0),"")</f>
        <v>2823</v>
      </c>
      <c r="E22" s="37">
        <f>IFERROR(ROUND(('DCF Model'!C45/(1+$B22)^('DCF Model'!C19+0)+'DCF Model'!D45/(1+$B22)^('DCF Model'!C19+1)+'DCF Model'!E45/(1+$B22)^('DCF Model'!C19+2)+'DCF Model'!F45/(1+$B22)^('DCF Model'!C19+3)+'DCF Model'!G45/(1+$B22)^('DCF Model'!C19+4)+('DCF Model'!G39+'DCF Model'!G42)*E$17/(1+$B22)^('DCF Model'!C19+4)-'DCF Model'!C16)*1000000/'DCF Model'!C15,0),"")</f>
        <v>3067</v>
      </c>
      <c r="F22" s="37">
        <f>IFERROR(ROUND(('DCF Model'!C45/(1+$B22)^('DCF Model'!C19+0)+'DCF Model'!D45/(1+$B22)^('DCF Model'!C19+1)+'DCF Model'!E45/(1+$B22)^('DCF Model'!C19+2)+'DCF Model'!F45/(1+$B22)^('DCF Model'!C19+3)+'DCF Model'!G45/(1+$B22)^('DCF Model'!C19+4)+('DCF Model'!G39+'DCF Model'!G42)*F$17/(1+$B22)^('DCF Model'!C19+4)-'DCF Model'!C16)*1000000/'DCF Model'!C15,0),"")</f>
        <v>3312</v>
      </c>
      <c r="G22" s="37">
        <f>IFERROR(ROUND(('DCF Model'!C45/(1+$B22)^('DCF Model'!C19+0)+'DCF Model'!D45/(1+$B22)^('DCF Model'!C19+1)+'DCF Model'!E45/(1+$B22)^('DCF Model'!C19+2)+'DCF Model'!F45/(1+$B22)^('DCF Model'!C19+3)+'DCF Model'!G45/(1+$B22)^('DCF Model'!C19+4)+('DCF Model'!G39+'DCF Model'!G42)*G$17/(1+$B22)^('DCF Model'!C19+4)-'DCF Model'!C16)*1000000/'DCF Model'!C15,0),"")</f>
        <v>3556</v>
      </c>
      <c r="H22" s="37">
        <f>IFERROR(ROUND(('DCF Model'!C45/(1+$B22)^('DCF Model'!C19+0)+'DCF Model'!D45/(1+$B22)^('DCF Model'!C19+1)+'DCF Model'!E45/(1+$B22)^('DCF Model'!C19+2)+'DCF Model'!F45/(1+$B22)^('DCF Model'!C19+3)+'DCF Model'!G45/(1+$B22)^('DCF Model'!C19+4)+('DCF Model'!G39+'DCF Model'!G42)*H$17/(1+$B22)^('DCF Model'!C19+4)-'DCF Model'!C16)*1000000/'DCF Model'!C15,0),"")</f>
        <v>3800</v>
      </c>
      <c r="I22" s="37">
        <f>IFERROR(ROUND(('DCF Model'!C45/(1+$B22)^('DCF Model'!C19+0)+'DCF Model'!D45/(1+$B22)^('DCF Model'!C19+1)+'DCF Model'!E45/(1+$B22)^('DCF Model'!C19+2)+'DCF Model'!F45/(1+$B22)^('DCF Model'!C19+3)+'DCF Model'!G45/(1+$B22)^('DCF Model'!C19+4)+('DCF Model'!G39+'DCF Model'!G42)*I$17/(1+$B22)^('DCF Model'!C19+4)-'DCF Model'!C16)*1000000/'DCF Model'!C15,0),"")</f>
        <v>4045</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2531</v>
      </c>
      <c r="D23" s="37">
        <f>IFERROR(ROUND(('DCF Model'!C45/(1+$B23)^('DCF Model'!C19+0)+'DCF Model'!D45/(1+$B23)^('DCF Model'!C19+1)+'DCF Model'!E45/(1+$B23)^('DCF Model'!C19+2)+'DCF Model'!F45/(1+$B23)^('DCF Model'!C19+3)+'DCF Model'!G45/(1+$B23)^('DCF Model'!C19+4)+('DCF Model'!G39+'DCF Model'!G42)*D$17/(1+$B23)^('DCF Model'!C19+4)-'DCF Model'!C16)*1000000/'DCF Model'!C15,0),"")</f>
        <v>2770</v>
      </c>
      <c r="E23" s="37">
        <f>IFERROR(ROUND(('DCF Model'!C45/(1+$B23)^('DCF Model'!C19+0)+'DCF Model'!D45/(1+$B23)^('DCF Model'!C19+1)+'DCF Model'!E45/(1+$B23)^('DCF Model'!C19+2)+'DCF Model'!F45/(1+$B23)^('DCF Model'!C19+3)+'DCF Model'!G45/(1+$B23)^('DCF Model'!C19+4)+('DCF Model'!G39+'DCF Model'!G42)*E$17/(1+$B23)^('DCF Model'!C19+4)-'DCF Model'!C16)*1000000/'DCF Model'!C15,0),"")</f>
        <v>3009</v>
      </c>
      <c r="F23" s="37">
        <f>IFERROR(ROUND(('DCF Model'!C45/(1+$B23)^('DCF Model'!C19+0)+'DCF Model'!D45/(1+$B23)^('DCF Model'!C19+1)+'DCF Model'!E45/(1+$B23)^('DCF Model'!C19+2)+'DCF Model'!F45/(1+$B23)^('DCF Model'!C19+3)+'DCF Model'!G45/(1+$B23)^('DCF Model'!C19+4)+('DCF Model'!G39+'DCF Model'!G42)*F$17/(1+$B23)^('DCF Model'!C19+4)-'DCF Model'!C16)*1000000/'DCF Model'!C15,0),"")</f>
        <v>3248</v>
      </c>
      <c r="G23" s="37">
        <f>IFERROR(ROUND(('DCF Model'!C45/(1+$B23)^('DCF Model'!C19+0)+'DCF Model'!D45/(1+$B23)^('DCF Model'!C19+1)+'DCF Model'!E45/(1+$B23)^('DCF Model'!C19+2)+'DCF Model'!F45/(1+$B23)^('DCF Model'!C19+3)+'DCF Model'!G45/(1+$B23)^('DCF Model'!C19+4)+('DCF Model'!G39+'DCF Model'!G42)*G$17/(1+$B23)^('DCF Model'!C19+4)-'DCF Model'!C16)*1000000/'DCF Model'!C15,0),"")</f>
        <v>3486</v>
      </c>
      <c r="H23" s="37">
        <f>IFERROR(ROUND(('DCF Model'!C45/(1+$B23)^('DCF Model'!C19+0)+'DCF Model'!D45/(1+$B23)^('DCF Model'!C19+1)+'DCF Model'!E45/(1+$B23)^('DCF Model'!C19+2)+'DCF Model'!F45/(1+$B23)^('DCF Model'!C19+3)+'DCF Model'!G45/(1+$B23)^('DCF Model'!C19+4)+('DCF Model'!G39+'DCF Model'!G42)*H$17/(1+$B23)^('DCF Model'!C19+4)-'DCF Model'!C16)*1000000/'DCF Model'!C15,0),"")</f>
        <v>3725</v>
      </c>
      <c r="I23" s="37">
        <f>IFERROR(ROUND(('DCF Model'!C45/(1+$B23)^('DCF Model'!C19+0)+'DCF Model'!D45/(1+$B23)^('DCF Model'!C19+1)+'DCF Model'!E45/(1+$B23)^('DCF Model'!C19+2)+'DCF Model'!F45/(1+$B23)^('DCF Model'!C19+3)+'DCF Model'!G45/(1+$B23)^('DCF Model'!C19+4)+('DCF Model'!G39+'DCF Model'!G42)*I$17/(1+$B23)^('DCF Model'!C19+4)-'DCF Model'!C16)*1000000/'DCF Model'!C15,0),"")</f>
        <v>3964</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2485</v>
      </c>
      <c r="D24" s="37">
        <f>IFERROR(ROUND(('DCF Model'!C45/(1+$B24)^('DCF Model'!C19+0)+'DCF Model'!D45/(1+$B24)^('DCF Model'!C19+1)+'DCF Model'!E45/(1+$B24)^('DCF Model'!C19+2)+'DCF Model'!F45/(1+$B24)^('DCF Model'!C19+3)+'DCF Model'!G45/(1+$B24)^('DCF Model'!C19+4)+('DCF Model'!G39+'DCF Model'!G42)*D$17/(1+$B24)^('DCF Model'!C19+4)-'DCF Model'!C16)*1000000/'DCF Model'!C15,0),"")</f>
        <v>2719</v>
      </c>
      <c r="E24" s="37">
        <f>IFERROR(ROUND(('DCF Model'!C45/(1+$B24)^('DCF Model'!C19+0)+'DCF Model'!D45/(1+$B24)^('DCF Model'!C19+1)+'DCF Model'!E45/(1+$B24)^('DCF Model'!C19+2)+'DCF Model'!F45/(1+$B24)^('DCF Model'!C19+3)+'DCF Model'!G45/(1+$B24)^('DCF Model'!C19+4)+('DCF Model'!G39+'DCF Model'!G42)*E$17/(1+$B24)^('DCF Model'!C19+4)-'DCF Model'!C16)*1000000/'DCF Model'!C15,0),"")</f>
        <v>2952</v>
      </c>
      <c r="F24" s="37">
        <f>IFERROR(ROUND(('DCF Model'!C45/(1+$B24)^('DCF Model'!C19+0)+'DCF Model'!D45/(1+$B24)^('DCF Model'!C19+1)+'DCF Model'!E45/(1+$B24)^('DCF Model'!C19+2)+'DCF Model'!F45/(1+$B24)^('DCF Model'!C19+3)+'DCF Model'!G45/(1+$B24)^('DCF Model'!C19+4)+('DCF Model'!G39+'DCF Model'!G42)*F$17/(1+$B24)^('DCF Model'!C19+4)-'DCF Model'!C16)*1000000/'DCF Model'!C15,0),"")</f>
        <v>3185</v>
      </c>
      <c r="G24" s="37">
        <f>IFERROR(ROUND(('DCF Model'!C45/(1+$B24)^('DCF Model'!C19+0)+'DCF Model'!D45/(1+$B24)^('DCF Model'!C19+1)+'DCF Model'!E45/(1+$B24)^('DCF Model'!C19+2)+'DCF Model'!F45/(1+$B24)^('DCF Model'!C19+3)+'DCF Model'!G45/(1+$B24)^('DCF Model'!C19+4)+('DCF Model'!G39+'DCF Model'!G42)*G$17/(1+$B24)^('DCF Model'!C19+4)-'DCF Model'!C16)*1000000/'DCF Model'!C15,0),"")</f>
        <v>3419</v>
      </c>
      <c r="H24" s="37">
        <f>IFERROR(ROUND(('DCF Model'!C45/(1+$B24)^('DCF Model'!C19+0)+'DCF Model'!D45/(1+$B24)^('DCF Model'!C19+1)+'DCF Model'!E45/(1+$B24)^('DCF Model'!C19+2)+'DCF Model'!F45/(1+$B24)^('DCF Model'!C19+3)+'DCF Model'!G45/(1+$B24)^('DCF Model'!C19+4)+('DCF Model'!G39+'DCF Model'!G42)*H$17/(1+$B24)^('DCF Model'!C19+4)-'DCF Model'!C16)*1000000/'DCF Model'!C15,0),"")</f>
        <v>3652</v>
      </c>
      <c r="I24" s="37">
        <f>IFERROR(ROUND(('DCF Model'!C45/(1+$B24)^('DCF Model'!C19+0)+'DCF Model'!D45/(1+$B24)^('DCF Model'!C19+1)+'DCF Model'!E45/(1+$B24)^('DCF Model'!C19+2)+'DCF Model'!F45/(1+$B24)^('DCF Model'!C19+3)+'DCF Model'!G45/(1+$B24)^('DCF Model'!C19+4)+('DCF Model'!G39+'DCF Model'!G42)*I$17/(1+$B24)^('DCF Model'!C19+4)-'DCF Model'!C16)*1000000/'DCF Model'!C15,0),"")</f>
        <v>3885</v>
      </c>
    </row>
    <row r="26" spans="2:9" ht="14" customHeight="1" x14ac:dyDescent="0.3">
      <c r="B26" s="46" t="s">
        <v>236</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237</v>
      </c>
    </row>
    <row r="4" spans="2:7" ht="14" customHeight="1" x14ac:dyDescent="0.3">
      <c r="B4" s="10" t="s">
        <v>238</v>
      </c>
      <c r="C4" s="10" t="s">
        <v>239</v>
      </c>
      <c r="D4" s="10" t="s">
        <v>240</v>
      </c>
      <c r="E4" s="10" t="s">
        <v>241</v>
      </c>
      <c r="F4" s="10" t="s">
        <v>242</v>
      </c>
      <c r="G4" s="10" t="s">
        <v>243</v>
      </c>
    </row>
    <row r="5" spans="2:7" x14ac:dyDescent="0.2">
      <c r="B5" t="s">
        <v>244</v>
      </c>
      <c r="C5" t="s">
        <v>245</v>
      </c>
      <c r="D5" t="s">
        <v>246</v>
      </c>
      <c r="E5" t="s">
        <v>247</v>
      </c>
      <c r="F5" t="s">
        <v>245</v>
      </c>
      <c r="G5" t="s">
        <v>248</v>
      </c>
    </row>
    <row r="6" spans="2:7" ht="30" customHeight="1" x14ac:dyDescent="0.3">
      <c r="B6" s="43" t="s">
        <v>244</v>
      </c>
      <c r="C6" s="4" t="s">
        <v>249</v>
      </c>
      <c r="D6" s="43" t="s">
        <v>250</v>
      </c>
      <c r="E6" s="43" t="s">
        <v>251</v>
      </c>
      <c r="F6" s="43" t="s">
        <v>252</v>
      </c>
      <c r="G6" s="43" t="s">
        <v>253</v>
      </c>
    </row>
    <row r="7" spans="2:7" ht="30" customHeight="1" x14ac:dyDescent="0.3">
      <c r="B7" s="43" t="s">
        <v>244</v>
      </c>
      <c r="C7" s="4" t="s">
        <v>254</v>
      </c>
      <c r="D7" s="43" t="s">
        <v>255</v>
      </c>
      <c r="E7" s="43" t="s">
        <v>256</v>
      </c>
      <c r="F7" s="43" t="s">
        <v>257</v>
      </c>
      <c r="G7" s="43" t="s">
        <v>258</v>
      </c>
    </row>
    <row r="8" spans="2:7" ht="30" customHeight="1" x14ac:dyDescent="0.3">
      <c r="B8" s="43" t="s">
        <v>244</v>
      </c>
      <c r="C8" s="4" t="s">
        <v>259</v>
      </c>
      <c r="D8" s="43" t="s">
        <v>260</v>
      </c>
      <c r="E8" s="43" t="s">
        <v>261</v>
      </c>
      <c r="F8" s="43" t="s">
        <v>262</v>
      </c>
      <c r="G8" s="43" t="s">
        <v>258</v>
      </c>
    </row>
    <row r="9" spans="2:7" ht="30" customHeight="1" x14ac:dyDescent="0.3">
      <c r="B9" s="43" t="s">
        <v>244</v>
      </c>
      <c r="C9" s="4" t="s">
        <v>263</v>
      </c>
      <c r="D9" s="43" t="s">
        <v>264</v>
      </c>
      <c r="E9" s="43" t="s">
        <v>265</v>
      </c>
      <c r="F9" s="43" t="s">
        <v>266</v>
      </c>
      <c r="G9" s="43" t="s">
        <v>258</v>
      </c>
    </row>
    <row r="10" spans="2:7" ht="30" customHeight="1" x14ac:dyDescent="0.3">
      <c r="B10" s="43" t="s">
        <v>244</v>
      </c>
      <c r="C10" s="4" t="s">
        <v>267</v>
      </c>
      <c r="D10" s="43" t="s">
        <v>268</v>
      </c>
      <c r="E10" s="43" t="s">
        <v>269</v>
      </c>
      <c r="F10" s="43" t="s">
        <v>270</v>
      </c>
      <c r="G10" s="43" t="s">
        <v>271</v>
      </c>
    </row>
    <row r="11" spans="2:7" ht="30" customHeight="1" x14ac:dyDescent="0.3">
      <c r="B11" s="43" t="s">
        <v>244</v>
      </c>
      <c r="C11" s="4" t="s">
        <v>272</v>
      </c>
      <c r="D11" s="43" t="s">
        <v>273</v>
      </c>
      <c r="E11" s="43" t="s">
        <v>274</v>
      </c>
      <c r="F11" s="43" t="s">
        <v>275</v>
      </c>
      <c r="G11" s="43" t="s">
        <v>258</v>
      </c>
    </row>
    <row r="12" spans="2:7" ht="30" customHeight="1" x14ac:dyDescent="0.3">
      <c r="B12" s="43" t="s">
        <v>244</v>
      </c>
      <c r="C12" s="4" t="s">
        <v>276</v>
      </c>
      <c r="D12" s="43" t="s">
        <v>277</v>
      </c>
      <c r="E12" s="43" t="s">
        <v>278</v>
      </c>
      <c r="F12" s="43" t="s">
        <v>279</v>
      </c>
      <c r="G12" s="43" t="s">
        <v>258</v>
      </c>
    </row>
    <row r="13" spans="2:7" ht="30" customHeight="1" x14ac:dyDescent="0.3">
      <c r="B13" s="43" t="s">
        <v>244</v>
      </c>
      <c r="C13" s="4" t="s">
        <v>280</v>
      </c>
      <c r="D13" s="43" t="s">
        <v>281</v>
      </c>
      <c r="E13" s="43" t="s">
        <v>282</v>
      </c>
      <c r="F13" s="43" t="s">
        <v>283</v>
      </c>
      <c r="G13" s="43" t="s">
        <v>258</v>
      </c>
    </row>
    <row r="14" spans="2:7" ht="30" customHeight="1" x14ac:dyDescent="0.3">
      <c r="B14" s="43" t="s">
        <v>244</v>
      </c>
      <c r="C14" s="4" t="s">
        <v>284</v>
      </c>
      <c r="D14" s="43" t="s">
        <v>285</v>
      </c>
      <c r="E14" s="43" t="s">
        <v>286</v>
      </c>
      <c r="F14" s="43" t="s">
        <v>245</v>
      </c>
      <c r="G14" s="43" t="s">
        <v>258</v>
      </c>
    </row>
    <row r="15" spans="2:7" ht="30" customHeight="1" x14ac:dyDescent="0.3">
      <c r="B15" s="43" t="s">
        <v>244</v>
      </c>
      <c r="C15" s="4" t="s">
        <v>287</v>
      </c>
      <c r="D15" s="43" t="s">
        <v>288</v>
      </c>
      <c r="E15" s="43" t="s">
        <v>289</v>
      </c>
      <c r="F15" s="43" t="s">
        <v>290</v>
      </c>
      <c r="G15" s="43" t="s">
        <v>258</v>
      </c>
    </row>
    <row r="16" spans="2:7" ht="30" customHeight="1" x14ac:dyDescent="0.3">
      <c r="B16" s="43" t="s">
        <v>244</v>
      </c>
      <c r="C16" s="4" t="s">
        <v>291</v>
      </c>
      <c r="D16" s="43" t="s">
        <v>292</v>
      </c>
      <c r="E16" s="43" t="s">
        <v>293</v>
      </c>
      <c r="F16" s="43" t="s">
        <v>294</v>
      </c>
      <c r="G16" s="43" t="s">
        <v>258</v>
      </c>
    </row>
    <row r="17" spans="2:7" ht="30" customHeight="1" x14ac:dyDescent="0.3">
      <c r="B17" s="43" t="s">
        <v>244</v>
      </c>
      <c r="C17" s="4" t="s">
        <v>295</v>
      </c>
      <c r="D17" s="43" t="s">
        <v>296</v>
      </c>
      <c r="E17" s="43" t="s">
        <v>297</v>
      </c>
      <c r="F17" s="43" t="s">
        <v>298</v>
      </c>
      <c r="G17" s="43" t="s">
        <v>258</v>
      </c>
    </row>
    <row r="18" spans="2:7" ht="30" customHeight="1" x14ac:dyDescent="0.3">
      <c r="B18" s="43" t="s">
        <v>244</v>
      </c>
      <c r="C18" s="4" t="s">
        <v>299</v>
      </c>
      <c r="D18" s="43" t="s">
        <v>300</v>
      </c>
      <c r="E18" s="43" t="s">
        <v>301</v>
      </c>
      <c r="F18" s="43" t="s">
        <v>262</v>
      </c>
      <c r="G18" s="43" t="s">
        <v>258</v>
      </c>
    </row>
    <row r="19" spans="2:7" ht="30" customHeight="1" x14ac:dyDescent="0.3">
      <c r="B19" s="43" t="s">
        <v>244</v>
      </c>
      <c r="C19" s="4" t="s">
        <v>302</v>
      </c>
      <c r="D19" s="43" t="s">
        <v>303</v>
      </c>
      <c r="E19" s="43" t="s">
        <v>304</v>
      </c>
      <c r="F19" s="43" t="s">
        <v>305</v>
      </c>
      <c r="G19" s="43" t="s">
        <v>258</v>
      </c>
    </row>
    <row r="20" spans="2:7" ht="30" customHeight="1" x14ac:dyDescent="0.3">
      <c r="B20" s="43" t="s">
        <v>244</v>
      </c>
      <c r="C20" s="4" t="s">
        <v>306</v>
      </c>
      <c r="D20" s="43" t="s">
        <v>307</v>
      </c>
      <c r="E20" s="43" t="s">
        <v>308</v>
      </c>
      <c r="F20" s="43" t="s">
        <v>245</v>
      </c>
      <c r="G20" s="43" t="s">
        <v>309</v>
      </c>
    </row>
    <row r="21" spans="2:7" ht="30" customHeight="1" x14ac:dyDescent="0.3">
      <c r="B21" s="43" t="s">
        <v>244</v>
      </c>
      <c r="C21" s="4" t="s">
        <v>310</v>
      </c>
      <c r="D21" s="43" t="s">
        <v>311</v>
      </c>
      <c r="E21" s="43" t="s">
        <v>312</v>
      </c>
      <c r="F21" s="43" t="s">
        <v>262</v>
      </c>
      <c r="G21" s="43" t="s">
        <v>258</v>
      </c>
    </row>
    <row r="22" spans="2:7" ht="30" customHeight="1" x14ac:dyDescent="0.3">
      <c r="B22" s="43" t="s">
        <v>244</v>
      </c>
      <c r="C22" s="4" t="s">
        <v>313</v>
      </c>
      <c r="D22" s="43" t="s">
        <v>314</v>
      </c>
      <c r="E22" s="43" t="s">
        <v>315</v>
      </c>
      <c r="F22" s="43" t="s">
        <v>245</v>
      </c>
      <c r="G22" s="43" t="s">
        <v>258</v>
      </c>
    </row>
    <row r="23" spans="2:7" ht="30" customHeight="1" x14ac:dyDescent="0.3">
      <c r="B23" s="43" t="s">
        <v>244</v>
      </c>
      <c r="C23" s="4" t="s">
        <v>316</v>
      </c>
      <c r="D23" s="43" t="s">
        <v>317</v>
      </c>
      <c r="E23" s="43" t="s">
        <v>318</v>
      </c>
      <c r="F23" s="43" t="s">
        <v>245</v>
      </c>
      <c r="G23" s="43" t="s">
        <v>253</v>
      </c>
    </row>
    <row r="24" spans="2:7" ht="30" customHeight="1" x14ac:dyDescent="0.3">
      <c r="B24" s="43" t="s">
        <v>244</v>
      </c>
      <c r="C24" s="4" t="s">
        <v>319</v>
      </c>
      <c r="D24" s="43" t="s">
        <v>320</v>
      </c>
      <c r="E24" s="43" t="s">
        <v>321</v>
      </c>
      <c r="F24" s="43" t="s">
        <v>245</v>
      </c>
      <c r="G24" s="43" t="s">
        <v>322</v>
      </c>
    </row>
    <row r="25" spans="2:7" ht="30" customHeight="1" x14ac:dyDescent="0.3">
      <c r="B25" s="43" t="s">
        <v>244</v>
      </c>
      <c r="C25" s="4" t="s">
        <v>323</v>
      </c>
      <c r="D25" s="43" t="s">
        <v>324</v>
      </c>
      <c r="E25" s="43" t="s">
        <v>325</v>
      </c>
      <c r="F25" s="43" t="s">
        <v>245</v>
      </c>
      <c r="G25" s="43" t="s">
        <v>326</v>
      </c>
    </row>
    <row r="26" spans="2:7" ht="30" customHeight="1" x14ac:dyDescent="0.3">
      <c r="B26" s="43" t="s">
        <v>244</v>
      </c>
      <c r="C26" s="4" t="s">
        <v>327</v>
      </c>
      <c r="D26" s="43" t="s">
        <v>328</v>
      </c>
      <c r="E26" s="43" t="s">
        <v>329</v>
      </c>
      <c r="F26" s="43" t="s">
        <v>245</v>
      </c>
      <c r="G26" s="43" t="s">
        <v>330</v>
      </c>
    </row>
    <row r="27" spans="2:7" ht="30" customHeight="1" x14ac:dyDescent="0.3">
      <c r="B27" s="43" t="s">
        <v>244</v>
      </c>
      <c r="C27" s="4" t="s">
        <v>327</v>
      </c>
      <c r="D27" s="43" t="s">
        <v>331</v>
      </c>
      <c r="E27" s="43" t="s">
        <v>332</v>
      </c>
      <c r="F27" s="43" t="s">
        <v>245</v>
      </c>
      <c r="G27" s="43" t="s">
        <v>330</v>
      </c>
    </row>
    <row r="28" spans="2:7" ht="30" customHeight="1" x14ac:dyDescent="0.3">
      <c r="B28" s="43" t="s">
        <v>244</v>
      </c>
      <c r="C28" s="4" t="s">
        <v>327</v>
      </c>
      <c r="D28" s="43" t="s">
        <v>333</v>
      </c>
      <c r="E28" s="43" t="s">
        <v>334</v>
      </c>
      <c r="F28" s="43" t="s">
        <v>245</v>
      </c>
      <c r="G28" s="43" t="s">
        <v>330</v>
      </c>
    </row>
    <row r="29" spans="2:7" ht="14" customHeight="1" x14ac:dyDescent="0.2"/>
    <row r="30" spans="2:7" ht="14" customHeight="1" x14ac:dyDescent="0.3">
      <c r="B30" s="8" t="s">
        <v>335</v>
      </c>
    </row>
    <row r="31" spans="2:7" ht="14" customHeight="1" x14ac:dyDescent="0.3">
      <c r="B31" s="10" t="s">
        <v>336</v>
      </c>
      <c r="C31" s="10" t="s">
        <v>337</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42</v>
      </c>
    </row>
    <row r="36" spans="2:3" ht="14" customHeight="1" x14ac:dyDescent="0.3">
      <c r="B36" s="4" t="s">
        <v>345</v>
      </c>
      <c r="C36" t="s">
        <v>4</v>
      </c>
    </row>
    <row r="37" spans="2:3" ht="14" customHeight="1" x14ac:dyDescent="0.3">
      <c r="B37" s="4" t="s">
        <v>346</v>
      </c>
      <c r="C37" t="s">
        <v>244</v>
      </c>
    </row>
    <row r="38" spans="2:3" ht="14" customHeight="1" x14ac:dyDescent="0.3">
      <c r="B38" s="4" t="s">
        <v>347</v>
      </c>
      <c r="C38" t="s">
        <v>348</v>
      </c>
    </row>
    <row r="39" spans="2:3" ht="14" customHeight="1" x14ac:dyDescent="0.3">
      <c r="B39" s="4" t="s">
        <v>349</v>
      </c>
      <c r="C39" t="s">
        <v>350</v>
      </c>
    </row>
    <row r="40" spans="2:3" ht="14" customHeight="1" x14ac:dyDescent="0.3">
      <c r="B40" s="4" t="s">
        <v>351</v>
      </c>
      <c r="C40" t="s">
        <v>352</v>
      </c>
    </row>
    <row r="41" spans="2:3" ht="14" customHeight="1" x14ac:dyDescent="0.3">
      <c r="B41" s="4" t="s">
        <v>353</v>
      </c>
      <c r="C41" t="s">
        <v>354</v>
      </c>
    </row>
    <row r="42" spans="2:3" ht="14" customHeight="1" x14ac:dyDescent="0.3">
      <c r="B42" s="4" t="s">
        <v>355</v>
      </c>
      <c r="C42" t="s">
        <v>356</v>
      </c>
    </row>
    <row r="43" spans="2:3" ht="14" customHeight="1" x14ac:dyDescent="0.3">
      <c r="B43" s="4" t="s">
        <v>357</v>
      </c>
      <c r="C43" t="s">
        <v>352</v>
      </c>
    </row>
    <row r="44" spans="2:3" ht="14" customHeight="1" x14ac:dyDescent="0.3">
      <c r="B44" s="4" t="s">
        <v>358</v>
      </c>
      <c r="C44" t="s">
        <v>348</v>
      </c>
    </row>
    <row r="45" spans="2:3" ht="14" customHeight="1" x14ac:dyDescent="0.3">
      <c r="B45" s="4" t="s">
        <v>359</v>
      </c>
      <c r="C45" t="s">
        <v>360</v>
      </c>
    </row>
    <row r="46" spans="2:3" ht="14" customHeight="1" x14ac:dyDescent="0.3">
      <c r="B46" s="4" t="s">
        <v>361</v>
      </c>
      <c r="C46" t="s">
        <v>362</v>
      </c>
    </row>
    <row r="47" spans="2:3" ht="14" customHeight="1" x14ac:dyDescent="0.3">
      <c r="B47" s="4" t="s">
        <v>363</v>
      </c>
      <c r="C47" t="s">
        <v>364</v>
      </c>
    </row>
    <row r="48" spans="2:3" ht="14" customHeight="1" x14ac:dyDescent="0.3">
      <c r="B48" s="4" t="s">
        <v>365</v>
      </c>
      <c r="C48" t="s">
        <v>341</v>
      </c>
    </row>
    <row r="49" spans="2:3" ht="14" customHeight="1" x14ac:dyDescent="0.3">
      <c r="B49" s="4" t="s">
        <v>366</v>
      </c>
      <c r="C49" t="s">
        <v>341</v>
      </c>
    </row>
    <row r="50" spans="2:3" ht="14" customHeight="1" x14ac:dyDescent="0.3">
      <c r="B50" s="4" t="s">
        <v>367</v>
      </c>
      <c r="C50" t="s">
        <v>368</v>
      </c>
    </row>
    <row r="51" spans="2:3" ht="14" customHeight="1" x14ac:dyDescent="0.3">
      <c r="B51" s="4" t="s">
        <v>369</v>
      </c>
      <c r="C51" t="s">
        <v>370</v>
      </c>
    </row>
    <row r="52" spans="2:3" ht="14" customHeight="1" x14ac:dyDescent="0.3">
      <c r="B52" s="4" t="s">
        <v>371</v>
      </c>
      <c r="C52" t="s">
        <v>372</v>
      </c>
    </row>
    <row r="53" spans="2:3" ht="14" customHeight="1" x14ac:dyDescent="0.3">
      <c r="B53" s="4" t="s">
        <v>373</v>
      </c>
      <c r="C53" t="s">
        <v>374</v>
      </c>
    </row>
    <row r="54" spans="2:3" ht="14" customHeight="1" x14ac:dyDescent="0.3">
      <c r="B54" s="4" t="s">
        <v>375</v>
      </c>
      <c r="C54" t="s">
        <v>376</v>
      </c>
    </row>
    <row r="55" spans="2:3" ht="14" customHeight="1" x14ac:dyDescent="0.3">
      <c r="B55" s="4" t="s">
        <v>377</v>
      </c>
      <c r="C55" t="s">
        <v>378</v>
      </c>
    </row>
    <row r="56" spans="2:3" ht="14" customHeight="1" x14ac:dyDescent="0.3">
      <c r="B56" s="4" t="s">
        <v>379</v>
      </c>
      <c r="C56" t="s">
        <v>380</v>
      </c>
    </row>
    <row r="57" spans="2:3" ht="14" customHeight="1" x14ac:dyDescent="0.3">
      <c r="B57" s="4" t="s">
        <v>381</v>
      </c>
      <c r="C57" t="s">
        <v>382</v>
      </c>
    </row>
    <row r="58" spans="2:3" ht="14" customHeight="1" x14ac:dyDescent="0.3">
      <c r="B58" s="4" t="s">
        <v>383</v>
      </c>
      <c r="C58" t="s">
        <v>384</v>
      </c>
    </row>
    <row r="59" spans="2:3" ht="14" customHeight="1" x14ac:dyDescent="0.3">
      <c r="B59" s="4" t="s">
        <v>385</v>
      </c>
      <c r="C59" t="s">
        <v>386</v>
      </c>
    </row>
    <row r="60" spans="2:3" ht="14" customHeight="1" x14ac:dyDescent="0.3">
      <c r="B60" s="4" t="s">
        <v>387</v>
      </c>
      <c r="C60" t="s">
        <v>388</v>
      </c>
    </row>
    <row r="61" spans="2:3" ht="14" customHeight="1" x14ac:dyDescent="0.3">
      <c r="B61" s="4" t="s">
        <v>389</v>
      </c>
      <c r="C61" t="s">
        <v>390</v>
      </c>
    </row>
    <row r="62" spans="2:3" ht="14" customHeight="1" x14ac:dyDescent="0.3">
      <c r="B62" s="4" t="s">
        <v>391</v>
      </c>
      <c r="C62" t="s">
        <v>392</v>
      </c>
    </row>
    <row r="63" spans="2:3" ht="14" customHeight="1" x14ac:dyDescent="0.3">
      <c r="B63" s="4" t="s">
        <v>393</v>
      </c>
      <c r="C63" t="s">
        <v>394</v>
      </c>
    </row>
    <row r="64" spans="2:3" ht="14" x14ac:dyDescent="0.3">
      <c r="B64" s="4" t="s">
        <v>395</v>
      </c>
      <c r="C64"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2026-09-05T08:03:02Z</dcterms:created>
  <dcterms:modified xsi:type="dcterms:W3CDTF">2026-09-05T08:31:30Z</dcterms:modified>
</cp:coreProperties>
</file>