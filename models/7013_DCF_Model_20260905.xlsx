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94AD760D-A641-4D2C-BD29-051ABF1E2C25}" xr6:coauthVersionLast="47" xr6:coauthVersionMax="47" xr10:uidLastSave="{00000000-0000-0000-0000-000000000000}"/>
  <bookViews>
    <workbookView xWindow="9720" yWindow="5480" windowWidth="4820" windowHeight="46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L8" i="6"/>
  <c r="K8" i="6"/>
  <c r="J8" i="6"/>
  <c r="O7" i="6"/>
  <c r="N7" i="6"/>
  <c r="M7" i="6"/>
  <c r="L7" i="6"/>
  <c r="K7" i="6"/>
  <c r="J7" i="6"/>
  <c r="O6" i="6"/>
  <c r="I15" i="6" s="1"/>
  <c r="N6" i="6"/>
  <c r="M6" i="6"/>
  <c r="L6" i="6"/>
  <c r="F15" i="6" s="1"/>
  <c r="K6" i="6"/>
  <c r="E15" i="6" s="1"/>
  <c r="J6" i="6"/>
  <c r="O5" i="6"/>
  <c r="N5" i="6"/>
  <c r="D5" i="6"/>
  <c r="E5" i="6" s="1"/>
  <c r="C16" i="5"/>
  <c r="C14" i="5"/>
  <c r="C18" i="5" s="1"/>
  <c r="C7" i="5"/>
  <c r="C6" i="5"/>
  <c r="C5" i="5"/>
  <c r="C13" i="4"/>
  <c r="C12" i="4"/>
  <c r="C9" i="4"/>
  <c r="C7" i="4"/>
  <c r="C6" i="4"/>
  <c r="C8" i="4" s="1"/>
  <c r="C10" i="4" s="1"/>
  <c r="D27" i="3"/>
  <c r="G5" i="5" s="1"/>
  <c r="C25" i="3"/>
  <c r="C24" i="3"/>
  <c r="C23" i="3"/>
  <c r="C26" i="3" s="1"/>
  <c r="F28" i="2"/>
  <c r="E28" i="2"/>
  <c r="D28" i="2"/>
  <c r="C28" i="2"/>
  <c r="F23" i="2"/>
  <c r="E23" i="2"/>
  <c r="D23" i="2"/>
  <c r="C23" i="2"/>
  <c r="D22" i="2"/>
  <c r="C22" i="2"/>
  <c r="F21" i="2"/>
  <c r="F22" i="2" s="1"/>
  <c r="E21" i="2"/>
  <c r="E22" i="2" s="1"/>
  <c r="D21" i="2"/>
  <c r="C21" i="2"/>
  <c r="F16" i="2"/>
  <c r="E16" i="2"/>
  <c r="D16" i="2"/>
  <c r="F15" i="2"/>
  <c r="E15" i="2"/>
  <c r="D15" i="2"/>
  <c r="F14" i="2"/>
  <c r="E14" i="2"/>
  <c r="D14" i="2"/>
  <c r="C14" i="2"/>
  <c r="F13" i="2"/>
  <c r="E13" i="2"/>
  <c r="D13" i="2"/>
  <c r="C13" i="2"/>
  <c r="F8" i="2"/>
  <c r="F9" i="2" s="1"/>
  <c r="E8" i="2"/>
  <c r="E9" i="2" s="1"/>
  <c r="D8" i="2"/>
  <c r="D9" i="2" s="1"/>
  <c r="C8" i="2"/>
  <c r="C9" i="2" s="1"/>
  <c r="G15" i="6" l="1"/>
  <c r="M5" i="6"/>
  <c r="I16" i="6"/>
  <c r="H15" i="6"/>
  <c r="D17" i="6"/>
  <c r="C24" i="4"/>
  <c r="C25" i="4" s="1"/>
  <c r="C71" i="4"/>
  <c r="C70" i="4"/>
  <c r="J5" i="6"/>
  <c r="K5" i="6"/>
  <c r="C3" i="7"/>
  <c r="G36" i="4"/>
  <c r="C11" i="4"/>
  <c r="G46" i="3"/>
  <c r="E46" i="3"/>
  <c r="H36" i="4"/>
  <c r="F36" i="4"/>
  <c r="F46" i="3"/>
  <c r="B30" i="1"/>
  <c r="E36" i="4"/>
  <c r="D36" i="4"/>
  <c r="D46" i="3"/>
  <c r="C46" i="3"/>
  <c r="B25" i="1"/>
  <c r="E17" i="6"/>
  <c r="I6" i="7"/>
  <c r="D31" i="3"/>
  <c r="G32" i="3"/>
  <c r="E7" i="5"/>
  <c r="L5" i="6"/>
  <c r="D16" i="6"/>
  <c r="F17" i="6"/>
  <c r="C17" i="7"/>
  <c r="E31" i="3"/>
  <c r="D6" i="5"/>
  <c r="F7" i="5"/>
  <c r="E16" i="6"/>
  <c r="G17" i="6"/>
  <c r="C6" i="7"/>
  <c r="D17" i="7"/>
  <c r="C30" i="3"/>
  <c r="C33" i="3" s="1"/>
  <c r="F31" i="3"/>
  <c r="E6" i="5"/>
  <c r="G7" i="5"/>
  <c r="D15" i="6"/>
  <c r="F16" i="6"/>
  <c r="C28" i="6" s="1"/>
  <c r="C19" i="1" s="1"/>
  <c r="D19" i="1" s="1"/>
  <c r="H17" i="6"/>
  <c r="D6" i="7"/>
  <c r="E17" i="7"/>
  <c r="C31" i="3"/>
  <c r="F32" i="3"/>
  <c r="H5" i="5"/>
  <c r="D30" i="3"/>
  <c r="G31" i="3"/>
  <c r="D5" i="5"/>
  <c r="F6" i="5"/>
  <c r="H7" i="5"/>
  <c r="G16" i="6"/>
  <c r="I17" i="6"/>
  <c r="E6" i="7"/>
  <c r="F17" i="7"/>
  <c r="E5" i="5"/>
  <c r="G6" i="5"/>
  <c r="H16" i="6"/>
  <c r="F6" i="7"/>
  <c r="G17" i="7"/>
  <c r="F30" i="3"/>
  <c r="D32" i="3"/>
  <c r="F5" i="5"/>
  <c r="H6" i="5"/>
  <c r="G6" i="7"/>
  <c r="H17" i="7"/>
  <c r="D7" i="5"/>
  <c r="E30" i="3"/>
  <c r="C32" i="3"/>
  <c r="G30" i="3"/>
  <c r="E32" i="3"/>
  <c r="C27" i="6" l="1"/>
  <c r="C18" i="1" s="1"/>
  <c r="D18" i="1" s="1"/>
  <c r="C74" i="4"/>
  <c r="C26" i="4"/>
  <c r="C29" i="4"/>
  <c r="C27" i="4"/>
  <c r="D45" i="4"/>
  <c r="D41" i="4"/>
  <c r="D39" i="4"/>
  <c r="D43" i="4"/>
  <c r="D46" i="4"/>
  <c r="D40" i="4"/>
  <c r="D44" i="4"/>
  <c r="D38" i="4"/>
  <c r="D48" i="4" s="1"/>
  <c r="D53" i="4" s="1"/>
  <c r="B13" i="7"/>
  <c r="B12" i="7"/>
  <c r="B11" i="7"/>
  <c r="B10" i="7"/>
  <c r="B9" i="7"/>
  <c r="B8" i="7"/>
  <c r="B7" i="7"/>
  <c r="B24" i="7"/>
  <c r="B23" i="7"/>
  <c r="B22" i="7"/>
  <c r="B21" i="7"/>
  <c r="B20" i="7"/>
  <c r="B19" i="7"/>
  <c r="B18" i="7"/>
  <c r="G46" i="4"/>
  <c r="G40" i="4"/>
  <c r="G50" i="4" s="1"/>
  <c r="G55" i="4" s="1"/>
  <c r="G44" i="4"/>
  <c r="G38" i="4"/>
  <c r="G43" i="4"/>
  <c r="G41" i="4"/>
  <c r="G45" i="4"/>
  <c r="G39" i="4"/>
  <c r="E39" i="4"/>
  <c r="E49" i="4" s="1"/>
  <c r="E54" i="4" s="1"/>
  <c r="E45" i="4"/>
  <c r="E43" i="4"/>
  <c r="E46" i="4"/>
  <c r="E40" i="4"/>
  <c r="E44" i="4"/>
  <c r="E38" i="4"/>
  <c r="E41" i="4"/>
  <c r="C42" i="3"/>
  <c r="C34" i="3"/>
  <c r="D10" i="5" s="1"/>
  <c r="C37" i="3"/>
  <c r="D9" i="5"/>
  <c r="D12" i="5" s="1"/>
  <c r="C43" i="3"/>
  <c r="D33" i="3"/>
  <c r="F43" i="4"/>
  <c r="F46" i="4"/>
  <c r="F40" i="4"/>
  <c r="F50" i="4" s="1"/>
  <c r="F55" i="4" s="1"/>
  <c r="F44" i="4"/>
  <c r="F39" i="4"/>
  <c r="F49" i="4" s="1"/>
  <c r="F38" i="4"/>
  <c r="F41" i="4"/>
  <c r="F45" i="4"/>
  <c r="H40" i="4"/>
  <c r="H44" i="4"/>
  <c r="H38" i="4"/>
  <c r="H48" i="4" s="1"/>
  <c r="H53" i="4" s="1"/>
  <c r="H41" i="4"/>
  <c r="H46" i="4"/>
  <c r="H45" i="4"/>
  <c r="H39" i="4"/>
  <c r="H43" i="4"/>
  <c r="B31" i="1"/>
  <c r="B24" i="1"/>
  <c r="E51" i="4" l="1"/>
  <c r="E56" i="4" s="1"/>
  <c r="G49" i="4"/>
  <c r="G54" i="4" s="1"/>
  <c r="H50" i="4"/>
  <c r="H55" i="4" s="1"/>
  <c r="E48" i="4"/>
  <c r="E53" i="4" s="1"/>
  <c r="G48" i="4"/>
  <c r="G53" i="4" s="1"/>
  <c r="D50" i="4"/>
  <c r="D55" i="4" s="1"/>
  <c r="H49" i="4"/>
  <c r="H54" i="4" s="1"/>
  <c r="F51" i="4"/>
  <c r="F56" i="4" s="1"/>
  <c r="C35" i="3"/>
  <c r="G51" i="4"/>
  <c r="G56" i="4" s="1"/>
  <c r="D15" i="5"/>
  <c r="D16" i="5" s="1"/>
  <c r="D13" i="5"/>
  <c r="D14" i="5" s="1"/>
  <c r="D18" i="5" s="1"/>
  <c r="D19" i="5" s="1"/>
  <c r="C44" i="3" s="1"/>
  <c r="D37" i="3"/>
  <c r="D43" i="3"/>
  <c r="D42" i="3"/>
  <c r="E9" i="5"/>
  <c r="E12" i="5" s="1"/>
  <c r="E33" i="3"/>
  <c r="D34" i="3"/>
  <c r="E10" i="5" s="1"/>
  <c r="F48" i="4"/>
  <c r="F53" i="4" s="1"/>
  <c r="E50" i="4"/>
  <c r="E55" i="4" s="1"/>
  <c r="F54" i="4"/>
  <c r="C60" i="4"/>
  <c r="B78" i="4"/>
  <c r="D49" i="4"/>
  <c r="D54" i="4" s="1"/>
  <c r="H51" i="4"/>
  <c r="H56" i="4" s="1"/>
  <c r="D51" i="4"/>
  <c r="D56" i="4" s="1"/>
  <c r="C39" i="3" l="1"/>
  <c r="C38" i="3"/>
  <c r="C36" i="3"/>
  <c r="E15" i="5"/>
  <c r="E16" i="5" s="1"/>
  <c r="E13" i="5"/>
  <c r="E14" i="5" s="1"/>
  <c r="F9" i="5"/>
  <c r="F12" i="5" s="1"/>
  <c r="F33" i="3"/>
  <c r="E37" i="3"/>
  <c r="E43" i="3"/>
  <c r="E42" i="3"/>
  <c r="E34" i="3"/>
  <c r="F10" i="5" s="1"/>
  <c r="C66" i="4"/>
  <c r="D66" i="4" s="1"/>
  <c r="C65" i="4"/>
  <c r="D65" i="4" s="1"/>
  <c r="C64" i="4"/>
  <c r="D64" i="4" s="1"/>
  <c r="C67" i="4"/>
  <c r="D67" i="4" s="1"/>
  <c r="C63" i="4"/>
  <c r="D63" i="4" s="1"/>
  <c r="D35" i="3"/>
  <c r="E18" i="5" l="1"/>
  <c r="E19" i="5" s="1"/>
  <c r="D44" i="3" s="1"/>
  <c r="D38" i="3"/>
  <c r="D36" i="3"/>
  <c r="D39" i="3"/>
  <c r="E35" i="3"/>
  <c r="F43" i="3"/>
  <c r="F35" i="3"/>
  <c r="G33" i="3"/>
  <c r="G9" i="5"/>
  <c r="G12" i="5" s="1"/>
  <c r="F42" i="3"/>
  <c r="F34" i="3"/>
  <c r="G10" i="5" s="1"/>
  <c r="F37" i="3"/>
  <c r="F13" i="5"/>
  <c r="F14" i="5" s="1"/>
  <c r="F18" i="5" s="1"/>
  <c r="F19" i="5" s="1"/>
  <c r="E44" i="3" s="1"/>
  <c r="F15" i="5"/>
  <c r="F16" i="5" s="1"/>
  <c r="C40" i="3"/>
  <c r="C41" i="3" s="1"/>
  <c r="C45" i="3" s="1"/>
  <c r="C47" i="3" l="1"/>
  <c r="G13" i="5"/>
  <c r="G14" i="5" s="1"/>
  <c r="G15" i="5"/>
  <c r="G16" i="5" s="1"/>
  <c r="F38" i="3"/>
  <c r="F36" i="3"/>
  <c r="F39" i="3"/>
  <c r="E38" i="3"/>
  <c r="E36" i="3"/>
  <c r="E39" i="3"/>
  <c r="D40" i="3"/>
  <c r="D41" i="3"/>
  <c r="D45" i="3" s="1"/>
  <c r="D47" i="3" s="1"/>
  <c r="G43" i="3"/>
  <c r="G42" i="3"/>
  <c r="G34" i="3"/>
  <c r="H10" i="5" s="1"/>
  <c r="C16" i="4"/>
  <c r="C28" i="4" s="1"/>
  <c r="G37" i="3"/>
  <c r="H9" i="5"/>
  <c r="H12" i="5" s="1"/>
  <c r="G35" i="3" l="1"/>
  <c r="G18" i="5"/>
  <c r="G19" i="5" s="1"/>
  <c r="F44" i="3" s="1"/>
  <c r="E40" i="3"/>
  <c r="E41" i="3" s="1"/>
  <c r="E45" i="3" s="1"/>
  <c r="G38" i="3"/>
  <c r="G36" i="3"/>
  <c r="G39" i="3"/>
  <c r="F40" i="3"/>
  <c r="F41" i="3" s="1"/>
  <c r="F45" i="3" s="1"/>
  <c r="F47" i="3" s="1"/>
  <c r="H13" i="5"/>
  <c r="H14" i="5" s="1"/>
  <c r="H18" i="5" s="1"/>
  <c r="H19" i="5" s="1"/>
  <c r="G44" i="3" s="1"/>
  <c r="H15" i="5"/>
  <c r="H16" i="5" s="1"/>
  <c r="C72" i="4"/>
  <c r="C73" i="4"/>
  <c r="E47" i="3" l="1"/>
  <c r="C59" i="3"/>
  <c r="C60" i="3" s="1"/>
  <c r="C61" i="3" s="1"/>
  <c r="G40" i="3"/>
  <c r="G41" i="3" s="1"/>
  <c r="G45" i="3" s="1"/>
  <c r="C51" i="3" l="1"/>
  <c r="C52" i="3" s="1"/>
  <c r="G47" i="3"/>
  <c r="D10" i="7"/>
  <c r="C12" i="7"/>
  <c r="H12" i="7"/>
  <c r="G19" i="7"/>
  <c r="D20" i="7"/>
  <c r="D11" i="7"/>
  <c r="E20" i="7"/>
  <c r="E24" i="7"/>
  <c r="F13" i="7"/>
  <c r="G24" i="7"/>
  <c r="D7" i="7"/>
  <c r="I8" i="7"/>
  <c r="H11" i="7"/>
  <c r="I18" i="7"/>
  <c r="H9" i="7"/>
  <c r="F11" i="7"/>
  <c r="C23" i="7"/>
  <c r="I23" i="7"/>
  <c r="H21" i="7"/>
  <c r="C18" i="7"/>
  <c r="D21" i="7"/>
  <c r="G18" i="7"/>
  <c r="C20" i="7"/>
  <c r="I21" i="7"/>
  <c r="H10" i="7"/>
  <c r="G23" i="7"/>
  <c r="I9" i="7"/>
  <c r="F18" i="7"/>
  <c r="I13" i="7"/>
  <c r="I10" i="7"/>
  <c r="D19" i="7"/>
  <c r="G7" i="7"/>
  <c r="H8" i="7"/>
  <c r="F24" i="7"/>
  <c r="H13" i="7"/>
  <c r="C7" i="7"/>
  <c r="I20" i="7"/>
  <c r="F12" i="7"/>
  <c r="C22" i="7"/>
  <c r="C9" i="7"/>
  <c r="H23" i="7"/>
  <c r="E7" i="7"/>
  <c r="E11" i="7"/>
  <c r="G11" i="7"/>
  <c r="E12" i="7"/>
  <c r="F22" i="7"/>
  <c r="I12" i="7"/>
  <c r="E13" i="7"/>
  <c r="D12" i="7"/>
  <c r="C13" i="7"/>
  <c r="I19" i="7"/>
  <c r="D13" i="7"/>
  <c r="H7" i="7"/>
  <c r="G22" i="7"/>
  <c r="E8" i="7"/>
  <c r="H20" i="7"/>
  <c r="G20" i="7"/>
  <c r="F20" i="7"/>
  <c r="I22" i="7"/>
  <c r="F10" i="7"/>
  <c r="D23" i="7"/>
  <c r="C19" i="7"/>
  <c r="G12" i="7"/>
  <c r="E23" i="7"/>
  <c r="H24" i="7"/>
  <c r="C8" i="7"/>
  <c r="D22" i="7"/>
  <c r="C24" i="7"/>
  <c r="F7" i="7"/>
  <c r="G9" i="7"/>
  <c r="D18" i="7"/>
  <c r="C21" i="7"/>
  <c r="D8" i="7"/>
  <c r="E19" i="7"/>
  <c r="F23" i="7"/>
  <c r="H18" i="7"/>
  <c r="E9" i="7"/>
  <c r="I24" i="7"/>
  <c r="G21" i="7"/>
  <c r="F9" i="7"/>
  <c r="G13" i="7"/>
  <c r="E18" i="7"/>
  <c r="G10" i="7"/>
  <c r="E21" i="7"/>
  <c r="G8" i="7"/>
  <c r="I7" i="7"/>
  <c r="D9" i="7"/>
  <c r="F8" i="7"/>
  <c r="C10" i="7"/>
  <c r="E22" i="7"/>
  <c r="C11" i="7"/>
  <c r="E10" i="7"/>
  <c r="I11" i="7"/>
  <c r="H22" i="7"/>
  <c r="D24" i="7"/>
  <c r="F21" i="7"/>
  <c r="H19" i="7"/>
  <c r="F19" i="7"/>
  <c r="C50" i="3"/>
  <c r="C53" i="3" l="1"/>
  <c r="C58" i="3"/>
  <c r="C62" i="3" s="1"/>
  <c r="C63" i="3" l="1"/>
  <c r="C64" i="3" s="1"/>
  <c r="C17" i="1" s="1"/>
  <c r="D17" i="1" s="1"/>
  <c r="C17" i="4"/>
  <c r="C54" i="3"/>
  <c r="C55" i="3" s="1"/>
  <c r="C16" i="1" s="1"/>
  <c r="C10" i="1" l="1"/>
  <c r="D16" i="1"/>
  <c r="C21" i="1"/>
  <c r="C19" i="4"/>
  <c r="C20" i="4" s="1"/>
  <c r="B79" i="4" s="1"/>
  <c r="B29" i="1" l="1"/>
  <c r="C12" i="1"/>
  <c r="C11" i="1" s="1"/>
  <c r="B26" i="1" l="1"/>
</calcChain>
</file>

<file path=xl/sharedStrings.xml><?xml version="1.0" encoding="utf-8"?>
<sst xmlns="http://schemas.openxmlformats.org/spreadsheetml/2006/main" count="525" uniqueCount="400">
  <si>
    <t>DISCLAIMER: This is a sample analysis for demonstration purposes only. It does not constitute investment advice.</t>
  </si>
  <si>
    <t>IHI (7013.T)</t>
  </si>
  <si>
    <t>Equity Research Report</t>
  </si>
  <si>
    <t>Company</t>
  </si>
  <si>
    <t>IHI</t>
  </si>
  <si>
    <t>Ticker</t>
  </si>
  <si>
    <t>7013.T (TSE Prime)</t>
  </si>
  <si>
    <t>Sector</t>
  </si>
  <si>
    <t>機械</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</si>
  <si>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</si>
  <si>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</si>
  <si>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</si>
  <si>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</si>
  <si>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</si>
  <si>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</si>
  <si>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</si>
  <si>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</si>
  <si>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</si>
  <si>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</si>
  <si>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</si>
  <si>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</si>
  <si>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</si>
  <si>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</si>
  <si>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</si>
  <si>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Key Risks</t>
  </si>
  <si>
    <t>IHI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</si>
  <si>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</si>
  <si>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</si>
  <si>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</si>
  <si>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</si>
  <si>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</si>
  <si>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</si>
  <si>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</si>
  <si>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</si>
  <si>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</si>
  <si>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</si>
  <si>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</si>
  <si>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</si>
  <si>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</si>
  <si>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</si>
  <si>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</si>
  <si>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</si>
  <si>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</si>
  <si>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</si>
  <si>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</si>
  <si>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</si>
  <si>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</si>
  <si>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</si>
  <si>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</si>
  <si>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</si>
  <si>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</si>
  <si>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</si>
  <si>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</si>
  <si>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</si>
  <si>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IHI</t>
  </si>
  <si>
    <t>Assumptions</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</si>
  <si>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</si>
  <si>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</si>
  <si>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</si>
  <si>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</si>
  <si>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</si>
  <si>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</si>
  <si>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</si>
  <si>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</si>
  <si>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</si>
  <si>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</si>
  <si>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</si>
  <si>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</si>
  <si>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</si>
  <si>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</si>
  <si>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</si>
  <si>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</si>
  <si>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</si>
  <si>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</si>
  <si>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</si>
  <si>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</si>
  <si>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</si>
  <si>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</si>
  <si>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</si>
  <si>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</si>
  <si>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</si>
  <si>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</si>
  <si>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</si>
  <si>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</si>
  <si>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</si>
  <si>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</si>
  <si>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</si>
  <si>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</si>
  <si>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</si>
  <si>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</si>
  <si>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</si>
  <si>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</si>
  <si>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</si>
  <si>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</si>
  <si>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</si>
  <si>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</si>
  <si>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</si>
  <si>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</si>
  <si>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</si>
  <si>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</si>
  <si>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</si>
  <si>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</si>
  <si>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</si>
  <si>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</si>
  <si>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</si>
  <si>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</si>
  <si>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</si>
  <si>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</si>
  <si>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</si>
  <si>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</si>
  <si>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</si>
  <si>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</si>
  <si>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</si>
  <si>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</si>
  <si>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</si>
  <si>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</si>
  <si>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</si>
  <si>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</si>
  <si>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IHI (7013.T)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</si>
  <si>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</si>
  <si>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</si>
  <si>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</si>
  <si>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</si>
  <si>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</si>
  <si>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</si>
  <si>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</si>
  <si>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</si>
  <si>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</si>
  <si>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</si>
  <si>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</si>
  <si>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</si>
  <si>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</si>
  <si>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</si>
  <si>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</si>
  <si>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</si>
  <si>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</si>
  <si>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</si>
  <si>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</si>
  <si>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</si>
  <si>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</si>
  <si>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</si>
  <si>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</si>
  <si>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</si>
  <si>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</si>
  <si>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</si>
  <si>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</si>
  <si>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</si>
  <si>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</si>
  <si>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</si>
  <si>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</si>
  <si>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</si>
  <si>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</si>
  <si>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</si>
  <si>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</si>
  <si>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</si>
  <si>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</si>
  <si>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</si>
  <si>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</si>
  <si>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</si>
  <si>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</si>
  <si>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</si>
  <si>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</si>
  <si>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</si>
  <si>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</si>
  <si>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</si>
  <si>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</si>
  <si>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</si>
  <si>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</si>
  <si>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</si>
  <si>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</si>
  <si>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IHI</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</si>
  <si>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</si>
  <si>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</si>
  <si>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</si>
  <si>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</si>
  <si>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</si>
  <si>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</si>
  <si>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</si>
  <si>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</si>
  <si>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</si>
  <si>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</si>
  <si>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</si>
  <si>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</si>
  <si>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</si>
  <si>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</si>
  <si>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</si>
  <si>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</si>
  <si>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</si>
  <si>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</si>
  <si>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</si>
  <si>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2026-09-05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</si>
  <si>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</si>
  <si>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</si>
  <si>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</si>
  <si>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</si>
  <si>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</si>
  <si>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</si>
  <si>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</si>
  <si>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</si>
  <si>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</si>
  <si>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</si>
  <si>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</si>
  <si>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</si>
  <si>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</si>
  <si>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</si>
  <si>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IHI Corporation</t>
  </si>
  <si>
    <t>7013.T</t>
  </si>
  <si>
    <t>Kawasaki Heavy Industries, Ltd.</t>
  </si>
  <si>
    <t>7012.T</t>
  </si>
  <si>
    <t>Mitsubishi Heavy Industries, Ltd.</t>
  </si>
  <si>
    <t>7011.T</t>
  </si>
  <si>
    <t>Hitachi, Ltd.</t>
  </si>
  <si>
    <t>6501.T</t>
  </si>
  <si>
    <t>Mitsubishi Electric Corporation</t>
  </si>
  <si>
    <t>6503.T</t>
  </si>
  <si>
    <t>Daikin Industries,Ltd.</t>
  </si>
  <si>
    <t>6367.T</t>
  </si>
  <si>
    <t>Statistics</t>
  </si>
  <si>
    <t>25th Percentile</t>
  </si>
  <si>
    <t>Median (50th)</t>
  </si>
  <si>
    <t>75th Percentile</t>
  </si>
  <si>
    <t>Implied Valuation for IHI</t>
  </si>
  <si>
    <t>IHI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</si>
  <si>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</si>
  <si>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</si>
  <si>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</si>
  <si>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</si>
  <si>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</si>
  <si>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</si>
  <si>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</si>
  <si>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</si>
  <si>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</si>
  <si>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</si>
  <si>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</si>
  <si>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</si>
  <si>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</si>
  <si>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</si>
  <si>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</si>
  <si>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IHI</t>
  </si>
  <si>
    <t>日付</t>
  </si>
  <si>
    <t>セル</t>
  </si>
  <si>
    <t>変更内容</t>
  </si>
  <si>
    <t>理由</t>
  </si>
  <si>
    <t>元の値</t>
  </si>
  <si>
    <t>状態</t>
  </si>
  <si>
    <t>2026-09-05</t>
  </si>
  <si>
    <t>-</t>
  </si>
  <si>
    <t>Generated by pipeline on 2026-09-05 18:14, template rev c9b5dd9</t>
  </si>
  <si>
    <t>初期生成（手修正なし）</t>
  </si>
  <si>
    <t>generated</t>
  </si>
  <si>
    <t>DCF Model!C7</t>
  </si>
  <si>
    <t>Risk-Free Rate = 2.97%</t>
  </si>
  <si>
    <t>財務省 国債金利情報 jgbcm.csv 10年物 R8.9.3(2026-09-03) 2.966% を四捨五入。バッチ全銘柄共通の一次ソース。yfinance は日本国債利回りを返さないため使用しない。</t>
  </si>
  <si>
    <t>テンプレ既定 2.2%</t>
  </si>
  <si>
    <t>確定</t>
  </si>
  <si>
    <t>DCF Model!C9</t>
  </si>
  <si>
    <t>Equity Risk Premium = 6.5%</t>
  </si>
  <si>
    <t>バッチ共通の固定前提(v2 §1-3)。銘柄固有の調整はしていない。</t>
  </si>
  <si>
    <t>テンプレ既定 6.5%(同値)</t>
  </si>
  <si>
    <t>設計判断</t>
  </si>
  <si>
    <t>DCF Model!C10</t>
  </si>
  <si>
    <t>Size Premium = 1.0%</t>
  </si>
  <si>
    <t>時価総額バンドによる機械決定(&gt;3,000億円 -&gt; 1.0%)。当社時価総額 2,782,395百万円。■テンプレートの自動規則(&gt;=1兆円 -&gt; 0.0%、&gt;=1,000億円 -&gt; 1.5%)とは異なる値であり、明示指定で上書きしている。</t>
  </si>
  <si>
    <t>テンプレ自動値</t>
  </si>
  <si>
    <t>DCF Model!C8</t>
  </si>
  <si>
    <t>Beta = 0.87</t>
  </si>
  <si>
    <t>yfinance実測 **0.869** はテンプレのクランプ域 [0.6, 1.75] の**内側**のため素通し（置換なし）。</t>
  </si>
  <si>
    <t>yfinance実測 0.869</t>
  </si>
  <si>
    <t>DCF Model!C6</t>
  </si>
  <si>
    <t>Effective Tax Rate = 25%</t>
  </si>
  <si>
    <t>バッチ共通の既定値(v2 §1-3)。当社の実績税負担率を個別に検証したものではない。</t>
  </si>
  <si>
    <t>テンプレ既定 30%</t>
  </si>
  <si>
    <t>推定</t>
  </si>
  <si>
    <t>DCF Model!C11</t>
  </si>
  <si>
    <t>After-tax Cost of Debt = 1.35%(実績ベース)</t>
  </si>
  <si>
    <t>支払利息 9,059百万円 ÷ 平均有利子負債 ((514,723 + 489,893)/2 = 502,308) = 1.80%(税引前)、× (1 − 25%) = 1.35%（validate チェック17 PASS）。■マージナルコスト注記: 既存借入の平均コストであり新規調達の限界コストではない。■出所は yfinance の Interest Expense で EDINET 有報の支払利息と未突合。</t>
  </si>
  <si>
    <t>テンプレ既定(推定値)</t>
  </si>
  <si>
    <t>推定(出所が二次ソース・要確認)</t>
  </si>
  <si>
    <t>DCF Model!C13</t>
  </si>
  <si>
    <t>Terminal Growth = 1.0%</t>
  </si>
  <si>
    <t>バッチ共通の固定前提(v2 §1-3)。</t>
  </si>
  <si>
    <t>テンプレ既定 2.0%</t>
  </si>
  <si>
    <t>DCF Model!C14</t>
  </si>
  <si>
    <t>Exit Multiple (EV/EBITDA) = 14.3x</t>
  </si>
  <si>
    <t>Peer 5社の実測EV/EBITDA中央値 14.33x（7012 / 7011 / 6501 / 6503 / 6367）。 自社の現在倍率 12.35x は算式に入れていない(市場価格への循環参照回避)。■マージン品質調整式はバッチ全体で棄却済み(EV/EBITDA が既に資本集約度を織り込むため、営業利益率による上方調整は資本集約型で逆方向に働く)。</t>
  </si>
  <si>
    <t>テンプレ既定 10.0x</t>
  </si>
  <si>
    <t>全体(型判定・プレスクリーン)</t>
  </si>
  <si>
    <t>型B(シクリカル・航空エンジン/エネルギー)として処理</t>
  </si>
  <si>
    <t>追補1 §B に従い、型判定の前に batch/prescreen.py で EDINET有報XBRL の金融事業専用科目(ForFinancialBusiness / Banking / Deposits / CallLoan / InstallmentReceivable 系)を機械チェックした。検出結果: **CLEAN**（金融事業専用科目は1件も検出されず）。**実績OPM に赤字年あり**（FY2024/3 −5.30%、民間航空エンジン関連の一過性費用）。レンジ15.4pt。直近は 10.07% と観測窓の最高。</t>
  </si>
  <si>
    <t>Financial Statements / hist_* / 市場データ / net_debt</t>
  </si>
  <si>
    <t>追補2 §F-2 + 追補3 §L の予防的補完を生成前適用</t>
  </si>
  <si>
    <t>【追補2 §F-2 / 追補3 §L の予防的補完（生成前適用・必須）】根本原因は scripts/generate_dcf.py:66 の _val(data_dict, key, default=0) が欠損値を None ではなく 0 に落とすこと。hist_years を直近4期に置換し hist_revenue / hist_operating_income / hist_net_income / hist_cogs / hist_sga を yfinance連結財務諸表から供給（配列長は全て4で hist_years と一致、契約遵守）。CF/BS 5系列は供給せず Step 4.6 の年度キー再マッピングに委ねる。hist_sga = 売上 − COGS − 営業利益 で逆算。**追補3 §L に従い current_price / shares_outstanding も予防的に明示指定**。**net_debt も明示指定**（EDINET の有利子負債抽出が 0 に落ちる既知パターンの予防）。</t>
  </si>
  <si>
    <t>EDINET自動抽出値</t>
  </si>
  <si>
    <t>Comps Analysis / core_ebitda</t>
  </si>
  <si>
    <t>core_ebitda = 252,356百万円 を明示指定（営業利益 165,534 + D&amp;A 86,822）</t>
  </si>
  <si>
    <t>【追補2 §G】core_ebitda を明示指定（= 直近営業利益 + 直近CF計算書D&amp;A）。Peer と同一定義に揃えるため予防的に指定し、生成後に batch/check_core_ebitda.py で comps CSV 自社行との一致を確認済み（品質ゲート合格）。</t>
  </si>
  <si>
    <t>EDINET由来の自動計算値</t>
  </si>
  <si>
    <t>DCF Model!C5 / C18</t>
  </si>
  <si>
    <t>capex_method / da_method とも revenue_pct(capex 5.57% / D&amp;A 5.30%)</t>
  </si>
  <si>
    <t>実績 D&amp;A は 4.7-5.7%、capex は yfinance が FY2026/3 のみ収録（売上比 5.6%）。ターミナル比率 1.051x でレンジ内。</t>
  </si>
  <si>
    <t>DCF Model シナリオ5本</t>
  </si>
  <si>
    <t>実績OPM分布からの導出(min -5.30 / p25 3.22 / med 7.44 / p75 9.13 / max 10.07%)</t>
  </si>
  <si>
    <t>【§4-4 からの意図的な逸脱】トラフ(-5.30%)は民間航空エンジン関連の一過性費用による赤字年であって営業上の谷ではなく、そのまま適用すると Base 到達OPMが 2.39% という実勢とかけ離れた値になる。したがって Base 到達OPM = (直近実績 10.07% + 実績中央値 7.44%)/2 = 8.76% とした(Y1 9.8% -&gt; Y5 8.76%)。Upside は max(実績max 10.07, 直近+1.0pt = 11.07) = 11.07%。Downside 1 は p25(3.22%)が赤字年に汚染されているため実績中央値 7.44% を到達点とした。Downside 2 は赤字年の再現ではなく事業悪化として設計し、売上-10% + OPM 2.0-4.0% とした。■COGS% を直近実績 76.9% に固定し SGA% を逆算。既存銘柄からの流用なし。</t>
  </si>
  <si>
    <t>テンプレ自動生成シナリオ</t>
  </si>
  <si>
    <t>DCF Model Management シナリオ</t>
  </si>
  <si>
    <t>Management = Base と同一</t>
  </si>
  <si>
    <t>EDINET XBRL・TDnet短信のいずれからも会社業績予想を取得できなかった(生成ログ Step 3: 'No guidance data found')。v2 §7-2 に従い Management=Base で続行。■本バッチではここまで生成した全銘柄で同じ結果になっており、銘柄固有ではなくパイプラインの構造的な取得失敗である。</t>
  </si>
  <si>
    <t>フォールバック使用(会社予想未取得)</t>
  </si>
  <si>
    <t>DCF Model NWC(dso/dih/dpo)</t>
  </si>
  <si>
    <t>Base: DSO 117 / DIH 133 / DPO 91 日</t>
  </si>
  <si>
    <t>実績4期平均。DSO+DIH が250日を超え、長納期プロジェクトの運転資本負担が重い。</t>
  </si>
  <si>
    <t>Comps Analysis</t>
  </si>
  <si>
    <t>Peer 5社 = 7012 川崎重工業 / 7011 三菱重工業 / 6501 日立製作所 / 6503 三菱電機 / 6367 ダイキン工業</t>
  </si>
  <si>
    <t>■選定理由: 重工業・大型産業機械。■時価総額バンド（0.835〜8.35兆円）に収まるのは 7012(2.12兆) / 6367(5.71兆) で、7011(12.61兆) / 6501(24.1兆) / 6503(10.7兆) はバンド外だが**重工業としての事業比較可能性を優先**して採用した。■年度混在の開示: **7012 川崎重工の D&amp;A は FY2025/3 の値**（yfinance が FY2026/3 の CF計算書を未収録）。7011 三菱重工については EDINET 有報（docID S100YHZG）から FY2026/3 の実額 211,214 を取得して補正済み。■海外Peer（GE Aerospace / Rolls-Royce / Safran）は真の比較対象だが v2 §5 により不使用。■D&amp;A取得状況: 全6社で減価償却費を取得でき統一。**D&amp;A欠損による除外はゼロ**（validate チェック12 PASS）。</t>
  </si>
  <si>
    <t>Executive Summary!C10 / Target</t>
  </si>
  <si>
    <t>Target Price = 1,658円 = PGM 875円 と Exit 2,441円 の2本平均。Comps 2本(EV/EBITDA 3,096円 / PER 4,000円)は [参考・Target不算入]</t>
  </si>
  <si>
    <t>メモ§2 の規約どおり。validate チェック14 PASS(C10 が C16:C17 のみを平均)。EV&lt;net_debt による INVALID 化は発生していない（チェック10・15 とも PASS）。**PGM 875円 と Exit 2,441円 が2.8倍乖離しており、Target 1,658円 はその中点にすぎない**。</t>
  </si>
  <si>
    <t>全体(納品状態)</t>
  </si>
  <si>
    <t>本ファイルは DRAFT。_FINAL は付けない</t>
  </si>
  <si>
    <t>バッチモードでの機械生成物であり人間の検証を経ていない。FINAL化は手順書v2 §6 に従い検証後に行う。</t>
  </si>
  <si>
    <t>DRAFT</t>
  </si>
  <si>
    <t>全体(未解決)</t>
  </si>
  <si>
    <t>**赤字年（FY2024/3 −5.30%）を「営業上の谷」とみなすかどうか**</t>
  </si>
  <si>
    <t>本モデルは一過性費用による赤字であり営業サイクルの谷ではないと判断し、Base・Downside 1 の導出から除外した。民間航空エンジンの費用計上が再発性であれば、Downside はより深く設計すべきである。</t>
  </si>
  <si>
    <t>未解決</t>
  </si>
  <si>
    <t>PGM 875円 と Exit 2,441円 の 2.8倍の開き</t>
  </si>
  <si>
    <t>永久成長率 1.0% 固定という前提が PGM を構造的に低く出すことが主因。Target 1,658円 はその中点。</t>
  </si>
  <si>
    <t>運転資本の重さ</t>
  </si>
  <si>
    <t>DSO+DIH が250日を超え、売上減少時にキャッシュが先に拘束される。5年単一パスの DCF はこのタイミング差を表現していない。</t>
  </si>
  <si>
    <t>Pipeline Metadata (do not edit — read by scripts/validate_output.py)</t>
  </si>
  <si>
    <t>key</t>
  </si>
  <si>
    <t>value</t>
  </si>
  <si>
    <t>auto_log_entries</t>
  </si>
  <si>
    <t>1</t>
  </si>
  <si>
    <t>capex_pct_basis</t>
  </si>
  <si>
    <t>assumption</t>
  </si>
  <si>
    <t>capex_pct_c5</t>
  </si>
  <si>
    <t>0.0557</t>
  </si>
  <si>
    <t>capex_pct_hist3yr</t>
  </si>
  <si>
    <t>0.046331</t>
  </si>
  <si>
    <t>company_name</t>
  </si>
  <si>
    <t>comps_asof</t>
  </si>
  <si>
    <t>comps_da_missing</t>
  </si>
  <si>
    <t>none</t>
  </si>
  <si>
    <t>comps_ev_ebitda_invalid</t>
  </si>
  <si>
    <t>no</t>
  </si>
  <si>
    <t>comps_ev_ebitda_rows</t>
  </si>
  <si>
    <t>6,7,8,9,10</t>
  </si>
  <si>
    <t>comps_impl_mult_row</t>
  </si>
  <si>
    <t>27</t>
  </si>
  <si>
    <t>comps_impl_per_row</t>
  </si>
  <si>
    <t>28</t>
  </si>
  <si>
    <t>comps_peer_rows</t>
  </si>
  <si>
    <t>comps_stale_excluded</t>
  </si>
  <si>
    <t>comps_stat_median_row</t>
  </si>
  <si>
    <t>16</t>
  </si>
  <si>
    <t>comps_subject_row</t>
  </si>
  <si>
    <t>5</t>
  </si>
  <si>
    <t>cost_of_debt_actual</t>
  </si>
  <si>
    <t>interest 9,059 (expense 9,059 + fees 0) / avg debt 502,308 (debt_beginning/debt_ending) = 0.018035 pre-tax -&gt; 0.013500 after-tax</t>
  </si>
  <si>
    <t>cost_of_debt_at_c11</t>
  </si>
  <si>
    <t>0.0135</t>
  </si>
  <si>
    <t>cost_of_debt_avg_debt</t>
  </si>
  <si>
    <t>502308.0</t>
  </si>
  <si>
    <t>cost_of_debt_basis</t>
  </si>
  <si>
    <t>actual</t>
  </si>
  <si>
    <t>cost_of_debt_interest</t>
  </si>
  <si>
    <t>9059.0</t>
  </si>
  <si>
    <t>cost_of_debt_pretax</t>
  </si>
  <si>
    <t>0.018034751586675904</t>
  </si>
  <si>
    <t>da_pct_basis</t>
  </si>
  <si>
    <t>da_pct_c18</t>
  </si>
  <si>
    <t>0.053</t>
  </si>
  <si>
    <t>da_pct_hist3yr</t>
  </si>
  <si>
    <t>0.048104</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</si>
  <si>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</si>
  <si>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</si>
  <si>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</si>
  <si>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</si>
  <si>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</si>
  <si>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</si>
  <si>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</si>
  <si>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</si>
  <si>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</si>
  <si>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2026-09-05 18:14:11</t>
  </si>
  <si>
    <t>ltm_revenue_c20</t>
  </si>
  <si>
    <t>1643402.0</t>
  </si>
  <si>
    <t>ltm_revenue_source</t>
  </si>
  <si>
    <t>latest FY (no LTM)</t>
  </si>
  <si>
    <t>narrative_tokens_used</t>
  </si>
  <si>
    <t>pb,per,price,target_price,upside_pct,wacc</t>
  </si>
  <si>
    <t>reverse_dcf_sheet</t>
  </si>
  <si>
    <t>op0=165,534(FY2026) peak=165,534(FY2026) peak_opm=0.1007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</si>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</sst>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0"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sz val="10"/>
      <name val="Arial"/>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9" fillId="0" borderId="0" xfId="0" applyFont="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6" t="s">
        <v>0</v>
      </c>
      <c r="C1" s="45"/>
      <c r="D1" s="45"/>
      <c r="E1" s="45"/>
    </row>
    <row r="3" spans="2:5" ht="18" customHeight="1" x14ac:dyDescent="0.4">
      <c r="B3" s="44" t="s">
        <v>1</v>
      </c>
      <c r="C3" s="45"/>
      <c r="D3" s="45"/>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2624.5</v>
      </c>
    </row>
    <row r="10" spans="2:5" ht="14" customHeight="1" x14ac:dyDescent="0.3">
      <c r="B10" s="4" t="s">
        <v>10</v>
      </c>
      <c r="C10" s="5">
        <f>IF(COUNT(C16:C17)=0,"N/A",ROUND(AVERAGE(C16:C17),0))</f>
        <v>1658</v>
      </c>
    </row>
    <row r="11" spans="2:5" ht="14" customHeight="1" x14ac:dyDescent="0.3">
      <c r="B11" s="4" t="s">
        <v>11</v>
      </c>
      <c r="C11" s="6" t="str">
        <f>IF(NOT(ISNUMBER(C12)),"N/A",IF(C12&gt;0.15,"BUY",IF(C12&gt;0.05,"HOLD","SELL")))</f>
        <v>SELL</v>
      </c>
    </row>
    <row r="12" spans="2:5" ht="14" customHeight="1" x14ac:dyDescent="0.3">
      <c r="B12" s="4" t="s">
        <v>12</v>
      </c>
      <c r="C12" s="7">
        <f>IF(ISNUMBER(C10),(C10-C9)/C9,"N/A")</f>
        <v>-0.36826062107068014</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875</v>
      </c>
      <c r="D16" s="7">
        <f>IF(ISNUMBER(C16),(C16-C9)/C9,"N/A")</f>
        <v>-0.66660316250714424</v>
      </c>
    </row>
    <row r="17" spans="2:5" ht="13.5" customHeight="1" x14ac:dyDescent="0.25">
      <c r="B17" t="s">
        <v>18</v>
      </c>
      <c r="C17" s="11">
        <f>IF('DCF Model'!C62&lt;'DCF Model'!C16,"INVALID (EV &lt; net debt)",'DCF Model'!C64)</f>
        <v>2441</v>
      </c>
      <c r="D17" s="7">
        <f>IF(ISNUMBER(C17),(C17-C9)/C9,"N/A")</f>
        <v>-6.9918079634216035E-2</v>
      </c>
    </row>
    <row r="18" spans="2:5" ht="13.5" customHeight="1" x14ac:dyDescent="0.25">
      <c r="B18" t="s">
        <v>19</v>
      </c>
      <c r="C18" s="11">
        <f>'Comps Analysis'!C27</f>
        <v>3096</v>
      </c>
      <c r="D18" s="7">
        <f>IF(ISNUMBER(C18),(C18-C9)/C9,"N/A")</f>
        <v>0.17965326728900743</v>
      </c>
    </row>
    <row r="19" spans="2:5" ht="13.5" customHeight="1" x14ac:dyDescent="0.25">
      <c r="B19" t="s">
        <v>20</v>
      </c>
      <c r="C19" s="11">
        <f>'Comps Analysis'!C28</f>
        <v>4000</v>
      </c>
      <c r="D19" s="7">
        <f>IF(ISNUMBER(C19),(C19-C9)/C9,"N/A")</f>
        <v>0.52409982853876924</v>
      </c>
    </row>
    <row r="20" spans="2:5" ht="14" customHeight="1" x14ac:dyDescent="0.3">
      <c r="B20" s="46" t="s">
        <v>21</v>
      </c>
      <c r="C20" s="45"/>
      <c r="D20" s="45"/>
      <c r="E20" s="45"/>
    </row>
    <row r="21" spans="2:5" ht="14" customHeight="1" x14ac:dyDescent="0.3">
      <c r="B21" s="4" t="s">
        <v>22</v>
      </c>
      <c r="C21" s="6" t="str">
        <f>IF(COUNT(C16:C17)=0,"N/A",MIN(C16:C17)&amp;" - "&amp;MAX(C16:C17))</f>
        <v>875 - 2441</v>
      </c>
    </row>
    <row r="23" spans="2:5" ht="14" customHeight="1" x14ac:dyDescent="0.3">
      <c r="B23" s="8" t="s">
        <v>23</v>
      </c>
      <c r="C23" s="9"/>
      <c r="D23" s="9"/>
    </row>
    <row r="24" spans="2:5" x14ac:dyDescent="0.2">
      <c r="B24" t="str">
        <f>"IHI has turned its civil aero-engine spare-parts business from a loss into the group's profit engine, and the operating margin has reached the top of its four-year range; the shares trade at "&amp;TEXT('Comps Analysis'!L5,"0.0""x""")&amp;" earnings and "&amp;TEXT('Comps Analysis'!M5,"0.00""x""")&amp;" book."</f>
        <v>IHI has turned its civil aero-engine spare-parts business from a loss into the group's profit engine, and the operating margin has reached the top of its four-year range; the shares trade at 17.3x earnings and 4.27x book.</v>
      </c>
    </row>
    <row r="25" spans="2:5" x14ac:dyDescent="0.2">
      <c r="B25" t="str">
        <f>"The stock is valued slightly below the heavy-machinery peer median on EV/EBITDA, which is where the exit leg of this model finds value against a "&amp;TEXT('DCF Model'!C26,"0.00%")&amp;" cost of capital."</f>
        <v>The stock is valued slightly below the heavy-machinery peer median on EV/EBITDA, which is where the exit leg of this model finds value against a 8.74% cost of capital.</v>
      </c>
    </row>
    <row r="26" spans="2:5" x14ac:dyDescent="0.2">
      <c r="B26" t="str">
        <f>"At "&amp;TEXT(C9,"#,##0")&amp;" the market has not fully re-rated the earnings recovery; a base case that normalises only partway back toward the cycle median supports "&amp;TEXT(C10,"#,##0")&amp;", or "&amp;TEXT(C12,"+0.0%;-0.0%")&amp;" from here."</f>
        <v>At 2,625 the market has not fully re-rated the earnings recovery; a base case that normalises only partway back toward the cycle median supports 1,658, or -36.8% from here.</v>
      </c>
    </row>
    <row r="28" spans="2:5" ht="14" customHeight="1" x14ac:dyDescent="0.3">
      <c r="B28" s="8" t="s">
        <v>24</v>
      </c>
      <c r="C28" s="9"/>
      <c r="D28" s="9"/>
    </row>
    <row r="29" spans="2:5" x14ac:dyDescent="0.2">
      <c r="B29" t="str">
        <f>"The company posted an operating loss two years ago on civil aero-engine charges; that year is excluded from the mid-cycle calculation as a one-off, and if such charges prove recurrent the base case behind "&amp;TEXT(C10,"#,##0")&amp;" is too generous."</f>
        <v>The company posted an operating loss two years ago on civil aero-engine charges; that year is excluded from the mid-cycle calculation as a one-off, and if such charges prove recurrent the base case behind 1,658 is too generous.</v>
      </c>
    </row>
    <row r="30" spans="2:5" x14ac:dyDescent="0.2">
      <c r="B30" t="str">
        <f>"Aero-engine spare-parts revenue depends on flight hours and on programme share that is contractually fixed years ahead, so a demand shock feeds through with a lag the "&amp;TEXT('DCF Model'!C26,"0.00%")&amp;" single-path discounting does not represent."</f>
        <v>Aero-engine spare-parts revenue depends on flight hours and on programme share that is contractually fixed years ahead, so a demand shock feeds through with a lag the 8.74% single-path discounting does not represent.</v>
      </c>
    </row>
    <row r="31" spans="2:5" x14ac:dyDescent="0.2">
      <c r="B31" t="str">
        <f>"Working capital is heavy — receivable and inventory days together exceed two hundred and fifty — so a revenue decline ties up cash before it appears in the "&amp;TEXT('Comps Analysis'!L5,"0.0""x""")&amp;" the market pays."</f>
        <v>Working capital is heavy — receivable and inventory days together exceed two hundred and fifty — so a revenue decline ties up cash before it appears in the 17.3x the market pays.</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25</v>
      </c>
    </row>
    <row r="4" spans="2:6" ht="14" customHeight="1" x14ac:dyDescent="0.3">
      <c r="C4" s="10" t="s">
        <v>26</v>
      </c>
      <c r="D4" s="10" t="s">
        <v>27</v>
      </c>
      <c r="E4" s="10" t="s">
        <v>28</v>
      </c>
      <c r="F4" s="10" t="s">
        <v>29</v>
      </c>
    </row>
    <row r="5" spans="2:6" ht="14" customHeight="1" x14ac:dyDescent="0.3">
      <c r="B5" s="3" t="s">
        <v>30</v>
      </c>
    </row>
    <row r="6" spans="2:6" ht="14" customHeight="1" x14ac:dyDescent="0.3">
      <c r="B6" s="4" t="s">
        <v>31</v>
      </c>
      <c r="C6" s="5">
        <v>1352940</v>
      </c>
      <c r="D6" s="5">
        <v>1322591</v>
      </c>
      <c r="E6" s="5">
        <v>1626831</v>
      </c>
      <c r="F6" s="5">
        <v>1643402</v>
      </c>
    </row>
    <row r="7" spans="2:6" ht="14" customHeight="1" x14ac:dyDescent="0.3">
      <c r="B7" s="4" t="s">
        <v>32</v>
      </c>
      <c r="C7" s="5">
        <v>1070935</v>
      </c>
      <c r="D7" s="5">
        <v>1177736</v>
      </c>
      <c r="E7" s="5">
        <v>1252317</v>
      </c>
      <c r="F7" s="5">
        <v>1263891</v>
      </c>
    </row>
    <row r="8" spans="2:6" ht="14" customHeight="1" x14ac:dyDescent="0.3">
      <c r="B8" s="4" t="s">
        <v>33</v>
      </c>
      <c r="C8" s="5">
        <f>C6-C7</f>
        <v>282005</v>
      </c>
      <c r="D8" s="5">
        <f>D6-D7</f>
        <v>144855</v>
      </c>
      <c r="E8" s="5">
        <f>E6-E7</f>
        <v>374514</v>
      </c>
      <c r="F8" s="5">
        <f>F6-F7</f>
        <v>379511</v>
      </c>
    </row>
    <row r="9" spans="2:6" ht="13.5" customHeight="1" x14ac:dyDescent="0.25">
      <c r="B9" t="s">
        <v>34</v>
      </c>
      <c r="C9" s="7">
        <f>C8/C6</f>
        <v>0.20843865951187784</v>
      </c>
      <c r="D9" s="7">
        <f>D8/D6</f>
        <v>0.10952365470504487</v>
      </c>
      <c r="E9" s="7">
        <f>E8/E6</f>
        <v>0.23021075944581829</v>
      </c>
      <c r="F9" s="7">
        <f>F8/F6</f>
        <v>0.23093010718010565</v>
      </c>
    </row>
    <row r="10" spans="2:6" ht="14" customHeight="1" x14ac:dyDescent="0.3">
      <c r="B10" s="4" t="s">
        <v>35</v>
      </c>
      <c r="C10" s="5">
        <v>200020</v>
      </c>
      <c r="D10" s="5">
        <v>214993</v>
      </c>
      <c r="E10" s="5">
        <v>230997</v>
      </c>
      <c r="F10" s="5">
        <v>213977</v>
      </c>
    </row>
    <row r="11" spans="2:6" ht="14" customHeight="1" x14ac:dyDescent="0.3">
      <c r="B11" s="4" t="s">
        <v>36</v>
      </c>
      <c r="C11" s="5">
        <v>81985</v>
      </c>
      <c r="D11" s="5">
        <v>-70138</v>
      </c>
      <c r="E11" s="5">
        <v>143517</v>
      </c>
      <c r="F11" s="5">
        <v>165534</v>
      </c>
    </row>
    <row r="12" spans="2:6" ht="14" customHeight="1" x14ac:dyDescent="0.3">
      <c r="B12" s="4" t="s">
        <v>37</v>
      </c>
      <c r="C12" s="5">
        <v>44545</v>
      </c>
      <c r="D12" s="5">
        <v>-68214</v>
      </c>
      <c r="E12" s="5">
        <v>112740</v>
      </c>
      <c r="F12" s="5">
        <v>160992</v>
      </c>
    </row>
    <row r="13" spans="2:6" ht="13.5" customHeight="1" x14ac:dyDescent="0.25">
      <c r="B13" t="s">
        <v>38</v>
      </c>
      <c r="C13" s="7">
        <f>C11/C6</f>
        <v>6.0597661389270772E-2</v>
      </c>
      <c r="D13" s="7">
        <f>D11/D6</f>
        <v>-5.3030755539694434E-2</v>
      </c>
      <c r="E13" s="7">
        <f>E11/E6</f>
        <v>8.8218751671193876E-2</v>
      </c>
      <c r="F13" s="7">
        <f>F11/F6</f>
        <v>0.10072641995080936</v>
      </c>
    </row>
    <row r="14" spans="2:6" ht="13.5" customHeight="1" x14ac:dyDescent="0.25">
      <c r="B14" t="s">
        <v>39</v>
      </c>
      <c r="C14" s="7">
        <f>C12/C6</f>
        <v>3.2924593847472913E-2</v>
      </c>
      <c r="D14" s="7">
        <f>D12/D6</f>
        <v>-5.1576035221773023E-2</v>
      </c>
      <c r="E14" s="7">
        <f>E12/E6</f>
        <v>6.9300376007096001E-2</v>
      </c>
      <c r="F14" s="7">
        <f>F12/F6</f>
        <v>9.7962640911961898E-2</v>
      </c>
    </row>
    <row r="15" spans="2:6" ht="13.5" customHeight="1" x14ac:dyDescent="0.25">
      <c r="B15" t="s">
        <v>40</v>
      </c>
      <c r="C15" t="s">
        <v>41</v>
      </c>
      <c r="D15" s="7">
        <f>(D6-C6)/C6</f>
        <v>-2.2431889071207887E-2</v>
      </c>
      <c r="E15" s="7">
        <f>(E6-D6)/D6</f>
        <v>0.23003332095863346</v>
      </c>
      <c r="F15" s="7">
        <f>(F6-E6)/E6</f>
        <v>1.0186061121284264E-2</v>
      </c>
    </row>
    <row r="16" spans="2:6" ht="13.5" customHeight="1" x14ac:dyDescent="0.25">
      <c r="B16" t="s">
        <v>42</v>
      </c>
      <c r="C16" t="s">
        <v>41</v>
      </c>
      <c r="D16" s="7">
        <f>(D11-C11)/C11</f>
        <v>-1.8554979569433432</v>
      </c>
      <c r="E16" s="7">
        <f>(E11-D11)/D11</f>
        <v>-3.046208902449457</v>
      </c>
      <c r="F16" s="7">
        <f>(F11-E11)/E11</f>
        <v>0.15341039737452705</v>
      </c>
    </row>
    <row r="18" spans="2:6" ht="14" customHeight="1" x14ac:dyDescent="0.3">
      <c r="B18" s="3" t="s">
        <v>43</v>
      </c>
    </row>
    <row r="19" spans="2:6" ht="14" customHeight="1" x14ac:dyDescent="0.3">
      <c r="B19" s="4" t="s">
        <v>44</v>
      </c>
      <c r="C19" s="5">
        <v>54116</v>
      </c>
      <c r="D19" s="5">
        <v>62117</v>
      </c>
      <c r="E19" s="5">
        <v>177634</v>
      </c>
      <c r="F19" s="5">
        <v>121360</v>
      </c>
    </row>
    <row r="20" spans="2:6" ht="14" customHeight="1" x14ac:dyDescent="0.3">
      <c r="B20" s="4" t="s">
        <v>45</v>
      </c>
      <c r="C20" s="5">
        <v>62577</v>
      </c>
      <c r="D20" s="5">
        <v>60993</v>
      </c>
      <c r="E20" s="5">
        <v>60249</v>
      </c>
      <c r="F20" s="5">
        <v>91770</v>
      </c>
    </row>
    <row r="21" spans="2:6" ht="14" customHeight="1" x14ac:dyDescent="0.3">
      <c r="B21" s="4" t="s">
        <v>46</v>
      </c>
      <c r="C21" s="5">
        <f>C19-C20</f>
        <v>-8461</v>
      </c>
      <c r="D21" s="5">
        <f>D19-D20</f>
        <v>1124</v>
      </c>
      <c r="E21" s="5">
        <f>E19-E20</f>
        <v>117385</v>
      </c>
      <c r="F21" s="5">
        <f>F19-F20</f>
        <v>29590</v>
      </c>
    </row>
    <row r="22" spans="2:6" ht="13.5" customHeight="1" x14ac:dyDescent="0.25">
      <c r="B22" t="s">
        <v>47</v>
      </c>
      <c r="C22" s="7">
        <f>C21/C6</f>
        <v>-6.2537880467722143E-3</v>
      </c>
      <c r="D22" s="7">
        <f>D21/D6</f>
        <v>8.4984700485637662E-4</v>
      </c>
      <c r="E22" s="7">
        <f>E21/E6</f>
        <v>7.2155620344092286E-2</v>
      </c>
      <c r="F22" s="7">
        <f>F21/F6</f>
        <v>1.8005332840047659E-2</v>
      </c>
    </row>
    <row r="23" spans="2:6" ht="13.5" customHeight="1" x14ac:dyDescent="0.25">
      <c r="B23" t="s">
        <v>48</v>
      </c>
      <c r="C23" s="7">
        <f>C20/C6</f>
        <v>4.6252605437048205E-2</v>
      </c>
      <c r="D23" s="7">
        <f>D20/D6</f>
        <v>4.611629747971973E-2</v>
      </c>
      <c r="E23" s="7">
        <f>E20/E6</f>
        <v>3.7034578269039622E-2</v>
      </c>
      <c r="F23" s="7">
        <f>F20/F6</f>
        <v>5.5841480051746314E-2</v>
      </c>
    </row>
    <row r="25" spans="2:6" ht="14" customHeight="1" x14ac:dyDescent="0.3">
      <c r="B25" s="3" t="s">
        <v>49</v>
      </c>
    </row>
    <row r="26" spans="2:6" ht="14" customHeight="1" x14ac:dyDescent="0.3">
      <c r="B26" s="4" t="s">
        <v>50</v>
      </c>
      <c r="C26" s="5">
        <v>124749</v>
      </c>
      <c r="D26" s="5">
        <v>138805</v>
      </c>
      <c r="E26" s="5">
        <v>136809</v>
      </c>
      <c r="F26" s="5">
        <v>155084</v>
      </c>
    </row>
    <row r="27" spans="2:6" ht="14" customHeight="1" x14ac:dyDescent="0.3">
      <c r="B27" s="4" t="s">
        <v>51</v>
      </c>
      <c r="C27" s="5">
        <v>393661</v>
      </c>
      <c r="D27" s="5">
        <v>449153</v>
      </c>
      <c r="E27" s="5">
        <v>389396</v>
      </c>
      <c r="F27" s="5">
        <v>359533</v>
      </c>
    </row>
    <row r="28" spans="2:6" ht="14" customHeight="1" x14ac:dyDescent="0.3">
      <c r="B28" s="4" t="s">
        <v>52</v>
      </c>
      <c r="C28" s="5">
        <f>C27-C26</f>
        <v>268912</v>
      </c>
      <c r="D28" s="5">
        <f>D27-D26</f>
        <v>310348</v>
      </c>
      <c r="E28" s="5">
        <f>E27-E26</f>
        <v>252587</v>
      </c>
      <c r="F28" s="5">
        <f>F27-F26</f>
        <v>204449</v>
      </c>
    </row>
    <row r="30" spans="2:6" ht="14" customHeight="1" x14ac:dyDescent="0.3">
      <c r="B30" s="1" t="s">
        <v>53</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54</v>
      </c>
    </row>
    <row r="4" spans="2:7" ht="14" customHeight="1" x14ac:dyDescent="0.3">
      <c r="B4" s="8" t="s">
        <v>55</v>
      </c>
      <c r="C4" s="9"/>
      <c r="D4" s="9"/>
      <c r="E4" s="9"/>
      <c r="F4" s="9"/>
      <c r="G4" s="9"/>
    </row>
    <row r="5" spans="2:7" ht="14" customHeight="1" x14ac:dyDescent="0.3">
      <c r="B5" s="4" t="s">
        <v>48</v>
      </c>
      <c r="C5" s="7">
        <v>5.57E-2</v>
      </c>
    </row>
    <row r="6" spans="2:7" ht="14" customHeight="1" x14ac:dyDescent="0.3">
      <c r="B6" s="4" t="s">
        <v>56</v>
      </c>
      <c r="C6" s="7">
        <v>0.25</v>
      </c>
    </row>
    <row r="7" spans="2:7" ht="14" customHeight="1" x14ac:dyDescent="0.3">
      <c r="B7" s="4" t="s">
        <v>57</v>
      </c>
      <c r="C7" s="7">
        <v>2.9700000000000001E-2</v>
      </c>
    </row>
    <row r="8" spans="2:7" ht="14" customHeight="1" x14ac:dyDescent="0.3">
      <c r="B8" s="4" t="s">
        <v>58</v>
      </c>
      <c r="C8" s="12">
        <v>0.87</v>
      </c>
    </row>
    <row r="9" spans="2:7" ht="14" customHeight="1" x14ac:dyDescent="0.3">
      <c r="B9" s="4" t="s">
        <v>59</v>
      </c>
      <c r="C9" s="7">
        <v>6.5000000000000002E-2</v>
      </c>
    </row>
    <row r="10" spans="2:7" ht="14" customHeight="1" x14ac:dyDescent="0.3">
      <c r="B10" s="4" t="s">
        <v>60</v>
      </c>
      <c r="C10" s="7">
        <v>0.01</v>
      </c>
    </row>
    <row r="11" spans="2:7" ht="14" customHeight="1" x14ac:dyDescent="0.3">
      <c r="B11" s="4" t="s">
        <v>61</v>
      </c>
      <c r="C11" s="7">
        <v>1.35E-2</v>
      </c>
    </row>
    <row r="12" spans="2:7" ht="14" customHeight="1" x14ac:dyDescent="0.3">
      <c r="B12" s="4" t="s">
        <v>62</v>
      </c>
      <c r="C12" s="13">
        <v>0.1203</v>
      </c>
    </row>
    <row r="13" spans="2:7" ht="14" customHeight="1" x14ac:dyDescent="0.3">
      <c r="B13" s="4" t="s">
        <v>63</v>
      </c>
      <c r="C13" s="7">
        <v>0.01</v>
      </c>
    </row>
    <row r="14" spans="2:7" ht="14" customHeight="1" x14ac:dyDescent="0.3">
      <c r="B14" s="4" t="s">
        <v>64</v>
      </c>
      <c r="C14" s="14">
        <v>14.3</v>
      </c>
    </row>
    <row r="15" spans="2:7" ht="14" customHeight="1" x14ac:dyDescent="0.3">
      <c r="B15" s="4" t="s">
        <v>65</v>
      </c>
      <c r="C15" s="15">
        <v>1060161928</v>
      </c>
    </row>
    <row r="16" spans="2:7" ht="14" customHeight="1" x14ac:dyDescent="0.3">
      <c r="B16" s="4" t="s">
        <v>66</v>
      </c>
      <c r="C16" s="5">
        <v>334809</v>
      </c>
    </row>
    <row r="17" spans="2:7" ht="14" customHeight="1" x14ac:dyDescent="0.3">
      <c r="B17" s="4" t="s">
        <v>67</v>
      </c>
      <c r="C17" s="5">
        <v>1643402</v>
      </c>
    </row>
    <row r="18" spans="2:7" ht="14" customHeight="1" x14ac:dyDescent="0.3">
      <c r="B18" s="4" t="s">
        <v>68</v>
      </c>
      <c r="C18" s="7">
        <v>5.2999999999999999E-2</v>
      </c>
    </row>
    <row r="19" spans="2:7" ht="14" customHeight="1" x14ac:dyDescent="0.3">
      <c r="B19" s="4" t="s">
        <v>69</v>
      </c>
      <c r="C19" s="12">
        <v>1</v>
      </c>
    </row>
    <row r="20" spans="2:7" ht="14" customHeight="1" x14ac:dyDescent="0.3">
      <c r="B20" s="4" t="s">
        <v>70</v>
      </c>
      <c r="C20" s="5">
        <v>1643402</v>
      </c>
    </row>
    <row r="22" spans="2:7" ht="14" customHeight="1" x14ac:dyDescent="0.3">
      <c r="B22" s="8" t="s">
        <v>71</v>
      </c>
      <c r="C22" s="9"/>
      <c r="D22" s="9"/>
      <c r="E22" s="9"/>
      <c r="F22" s="9"/>
      <c r="G22" s="9"/>
    </row>
    <row r="23" spans="2:7" ht="14" customHeight="1" x14ac:dyDescent="0.3">
      <c r="B23" s="4" t="s">
        <v>72</v>
      </c>
      <c r="C23" s="16">
        <f>C7+C8*C9+C10</f>
        <v>9.6250000000000002E-2</v>
      </c>
    </row>
    <row r="24" spans="2:7" ht="14" customHeight="1" x14ac:dyDescent="0.3">
      <c r="B24" s="4" t="s">
        <v>73</v>
      </c>
      <c r="C24" s="16">
        <f>1/(1+C12)</f>
        <v>0.89261804873694539</v>
      </c>
    </row>
    <row r="25" spans="2:7" ht="14" customHeight="1" x14ac:dyDescent="0.3">
      <c r="B25" s="4" t="s">
        <v>74</v>
      </c>
      <c r="C25" s="16">
        <f>C12/(1+C12)</f>
        <v>0.10738195126305454</v>
      </c>
    </row>
    <row r="26" spans="2:7" ht="14" customHeight="1" x14ac:dyDescent="0.3">
      <c r="B26" s="4" t="s">
        <v>75</v>
      </c>
      <c r="C26" s="16">
        <f>C23*C24+C11*C25</f>
        <v>8.7364143532982233E-2</v>
      </c>
    </row>
    <row r="27" spans="2:7" ht="14" customHeight="1" x14ac:dyDescent="0.3">
      <c r="B27" s="4" t="s">
        <v>76</v>
      </c>
      <c r="C27" s="17" t="s">
        <v>77</v>
      </c>
      <c r="D27" s="6">
        <f>MATCH(C27,B69:B73,0)</f>
        <v>1</v>
      </c>
    </row>
    <row r="28" spans="2:7" ht="14" customHeight="1" x14ac:dyDescent="0.3">
      <c r="B28" s="8" t="s">
        <v>78</v>
      </c>
      <c r="C28" s="9"/>
      <c r="D28" s="9"/>
      <c r="E28" s="9"/>
      <c r="F28" s="9"/>
      <c r="G28" s="9"/>
    </row>
    <row r="29" spans="2:7" ht="14" customHeight="1" x14ac:dyDescent="0.3">
      <c r="C29" s="10" t="s">
        <v>79</v>
      </c>
      <c r="D29" s="10" t="s">
        <v>80</v>
      </c>
      <c r="E29" s="10" t="s">
        <v>81</v>
      </c>
      <c r="F29" s="10" t="s">
        <v>82</v>
      </c>
      <c r="G29" s="10" t="s">
        <v>83</v>
      </c>
    </row>
    <row r="30" spans="2:7" ht="14" customHeight="1" x14ac:dyDescent="0.3">
      <c r="B30" s="4" t="s">
        <v>40</v>
      </c>
      <c r="C30" s="18">
        <f>CHOOSE($D$27,C69,C70,C71,C72,C73)</f>
        <v>0.04</v>
      </c>
      <c r="D30" s="18">
        <f>CHOOSE($D$27,D69,D70,D71,D72,D73)</f>
        <v>3.5000000000000003E-2</v>
      </c>
      <c r="E30" s="18">
        <f>CHOOSE($D$27,E69,E70,E71,E72,E73)</f>
        <v>0.03</v>
      </c>
      <c r="F30" s="18">
        <f>CHOOSE($D$27,F69,F70,F71,F72,F73)</f>
        <v>2.5000000000000001E-2</v>
      </c>
      <c r="G30" s="18">
        <f>CHOOSE($D$27,G69,G70,G71,G72,G73)</f>
        <v>2.5000000000000001E-2</v>
      </c>
    </row>
    <row r="31" spans="2:7" ht="14" customHeight="1" x14ac:dyDescent="0.3">
      <c r="B31" s="4" t="s">
        <v>84</v>
      </c>
      <c r="C31" s="18">
        <f>CHOOSE($D$27,C76,C77,C78,C79,C80)</f>
        <v>0.76900000000000002</v>
      </c>
      <c r="D31" s="18">
        <f>CHOOSE($D$27,D76,D77,D78,D79,D80)</f>
        <v>0.76900000000000002</v>
      </c>
      <c r="E31" s="18">
        <f>CHOOSE($D$27,E76,E77,E78,E79,E80)</f>
        <v>0.76900000000000002</v>
      </c>
      <c r="F31" s="18">
        <f>CHOOSE($D$27,F76,F77,F78,F79,F80)</f>
        <v>0.76900000000000002</v>
      </c>
      <c r="G31" s="18">
        <f>CHOOSE($D$27,G76,G77,G78,G79,G80)</f>
        <v>0.76900000000000002</v>
      </c>
    </row>
    <row r="32" spans="2:7" ht="14" customHeight="1" x14ac:dyDescent="0.3">
      <c r="B32" s="4" t="s">
        <v>85</v>
      </c>
      <c r="C32" s="18">
        <f>CHOOSE($D$27,C83,C84,C85,C86,C87)</f>
        <v>0.13300000000000001</v>
      </c>
      <c r="D32" s="18">
        <f>CHOOSE($D$27,D83,D84,D85,D86,D87)</f>
        <v>0.13600000000000001</v>
      </c>
      <c r="E32" s="18">
        <f>CHOOSE($D$27,E83,E84,E85,E86,E87)</f>
        <v>0.13900000000000001</v>
      </c>
      <c r="F32" s="18">
        <f>CHOOSE($D$27,F83,F84,F85,F86,F87)</f>
        <v>0.14199999999999999</v>
      </c>
      <c r="G32" s="18">
        <f>CHOOSE($D$27,G83,G84,G85,G86,G87)</f>
        <v>0.1434</v>
      </c>
    </row>
    <row r="33" spans="2:7" ht="14" customHeight="1" x14ac:dyDescent="0.3">
      <c r="B33" s="4" t="s">
        <v>31</v>
      </c>
      <c r="C33" s="5">
        <f>C17*(1+C30)</f>
        <v>1709138.08</v>
      </c>
      <c r="D33" s="5">
        <f>C33*(1+D30)</f>
        <v>1768957.9128</v>
      </c>
      <c r="E33" s="5">
        <f>D33*(1+E30)</f>
        <v>1822026.6501840001</v>
      </c>
      <c r="F33" s="5">
        <f>E33*(1+F30)</f>
        <v>1867577.3164386</v>
      </c>
      <c r="G33" s="5">
        <f>F33*(1+G30)</f>
        <v>1914266.7493495648</v>
      </c>
    </row>
    <row r="34" spans="2:7" ht="14" customHeight="1" x14ac:dyDescent="0.3">
      <c r="B34" s="4" t="s">
        <v>32</v>
      </c>
      <c r="C34" s="5">
        <f>C33*C31</f>
        <v>1314327.1835200002</v>
      </c>
      <c r="D34" s="5">
        <f>D33*D31</f>
        <v>1360328.6349432</v>
      </c>
      <c r="E34" s="5">
        <f>E33*E31</f>
        <v>1401138.493991496</v>
      </c>
      <c r="F34" s="5">
        <f>F33*F31</f>
        <v>1436166.9563412834</v>
      </c>
      <c r="G34" s="5">
        <f>G33*G31</f>
        <v>1472071.1302498153</v>
      </c>
    </row>
    <row r="35" spans="2:7" ht="14" customHeight="1" x14ac:dyDescent="0.3">
      <c r="B35" s="4" t="s">
        <v>33</v>
      </c>
      <c r="C35" s="19">
        <f>C33-C34</f>
        <v>394810.89647999988</v>
      </c>
      <c r="D35" s="19">
        <f>D33-D34</f>
        <v>408629.27785680001</v>
      </c>
      <c r="E35" s="19">
        <f>E33-E34</f>
        <v>420888.1561925041</v>
      </c>
      <c r="F35" s="19">
        <f>F33-F34</f>
        <v>431410.36009731656</v>
      </c>
      <c r="G35" s="19">
        <f>G33-G34</f>
        <v>442195.61909974949</v>
      </c>
    </row>
    <row r="36" spans="2:7" ht="14" customHeight="1" x14ac:dyDescent="0.3">
      <c r="B36" s="4" t="s">
        <v>34</v>
      </c>
      <c r="C36" s="7">
        <f>C35/C33</f>
        <v>0.23099999999999993</v>
      </c>
      <c r="D36" s="7">
        <f>D35/D33</f>
        <v>0.23100000000000001</v>
      </c>
      <c r="E36" s="7">
        <f>E35/E33</f>
        <v>0.23100000000000004</v>
      </c>
      <c r="F36" s="7">
        <f>F35/F33</f>
        <v>0.23099999999999998</v>
      </c>
      <c r="G36" s="7">
        <f>G35/G33</f>
        <v>0.23100000000000001</v>
      </c>
    </row>
    <row r="37" spans="2:7" ht="14" customHeight="1" x14ac:dyDescent="0.3">
      <c r="B37" s="4" t="s">
        <v>86</v>
      </c>
      <c r="C37" s="5">
        <f>C33*C32</f>
        <v>227315.36464000001</v>
      </c>
      <c r="D37" s="5">
        <f>D33*D32</f>
        <v>240578.27614080004</v>
      </c>
      <c r="E37" s="5">
        <f>E33*E32</f>
        <v>253261.70437557605</v>
      </c>
      <c r="F37" s="5">
        <f>F33*F32</f>
        <v>265195.97893428116</v>
      </c>
      <c r="G37" s="5">
        <f>G33*G32</f>
        <v>274505.85185672756</v>
      </c>
    </row>
    <row r="38" spans="2:7" ht="14" customHeight="1" x14ac:dyDescent="0.3">
      <c r="B38" s="4" t="s">
        <v>87</v>
      </c>
      <c r="C38" s="7">
        <f>(C35-C37)/C33</f>
        <v>9.7999999999999921E-2</v>
      </c>
      <c r="D38" s="7">
        <f>(D35-D37)/D33</f>
        <v>9.4999999999999973E-2</v>
      </c>
      <c r="E38" s="7">
        <f>(E35-E37)/E33</f>
        <v>9.2000000000000026E-2</v>
      </c>
      <c r="F38" s="7">
        <f>(F35-F37)/F33</f>
        <v>8.900000000000001E-2</v>
      </c>
      <c r="G38" s="7">
        <f>(G35-G37)/G33</f>
        <v>8.7600000000000025E-2</v>
      </c>
    </row>
    <row r="39" spans="2:7" ht="14" customHeight="1" x14ac:dyDescent="0.3">
      <c r="B39" s="4" t="s">
        <v>88</v>
      </c>
      <c r="C39" s="19">
        <f>C35-C37</f>
        <v>167495.53183999987</v>
      </c>
      <c r="D39" s="19">
        <f>D35-D37</f>
        <v>168051.00171599997</v>
      </c>
      <c r="E39" s="19">
        <f>E35-E37</f>
        <v>167626.45181692805</v>
      </c>
      <c r="F39" s="19">
        <f>F35-F37</f>
        <v>166214.3811630354</v>
      </c>
      <c r="G39" s="19">
        <f>G35-G37</f>
        <v>167689.76724302192</v>
      </c>
    </row>
    <row r="40" spans="2:7" ht="14" customHeight="1" x14ac:dyDescent="0.3">
      <c r="B40" s="4" t="s">
        <v>89</v>
      </c>
      <c r="C40" s="5">
        <f>MAX(0,C39*C6)</f>
        <v>41873.882959999966</v>
      </c>
      <c r="D40" s="5">
        <f>MAX(0,D39*C6)</f>
        <v>42012.750428999992</v>
      </c>
      <c r="E40" s="5">
        <f>MAX(0,E39*C6)</f>
        <v>41906.612954232012</v>
      </c>
      <c r="F40" s="5">
        <f>MAX(0,F39*C6)</f>
        <v>41553.595290758851</v>
      </c>
      <c r="G40" s="5">
        <f>MAX(0,G39*C6)</f>
        <v>41922.441810755481</v>
      </c>
    </row>
    <row r="41" spans="2:7" ht="14" customHeight="1" x14ac:dyDescent="0.3">
      <c r="B41" s="4" t="s">
        <v>90</v>
      </c>
      <c r="C41" s="19">
        <f>C39-C40</f>
        <v>125621.64887999991</v>
      </c>
      <c r="D41" s="19">
        <f>D39-D40</f>
        <v>126038.25128699998</v>
      </c>
      <c r="E41" s="19">
        <f>E39-E40</f>
        <v>125719.83886269604</v>
      </c>
      <c r="F41" s="19">
        <f>F39-F40</f>
        <v>124660.78587227655</v>
      </c>
      <c r="G41" s="19">
        <f>G39-G40</f>
        <v>125767.32543226644</v>
      </c>
    </row>
    <row r="42" spans="2:7" ht="14" customHeight="1" x14ac:dyDescent="0.3">
      <c r="B42" s="4" t="s">
        <v>91</v>
      </c>
      <c r="C42" s="5">
        <f>C33*C18</f>
        <v>90584.318240000008</v>
      </c>
      <c r="D42" s="5">
        <f>D33*C18</f>
        <v>93754.7693784</v>
      </c>
      <c r="E42" s="5">
        <f>E33*C18</f>
        <v>96567.412459751999</v>
      </c>
      <c r="F42" s="5">
        <f>F33*C18</f>
        <v>98981.597771245797</v>
      </c>
      <c r="G42" s="5">
        <f>G33*C18</f>
        <v>101456.13771552693</v>
      </c>
    </row>
    <row r="43" spans="2:7" ht="14" customHeight="1" x14ac:dyDescent="0.3">
      <c r="B43" s="4" t="s">
        <v>92</v>
      </c>
      <c r="C43" s="5">
        <f>C33*C5</f>
        <v>95198.991055999999</v>
      </c>
      <c r="D43" s="5">
        <f>D33*C5</f>
        <v>98530.955742959995</v>
      </c>
      <c r="E43" s="5">
        <f>E33*C5</f>
        <v>101486.8844152488</v>
      </c>
      <c r="F43" s="5">
        <f>F33*C5</f>
        <v>104024.05652563002</v>
      </c>
      <c r="G43" s="5">
        <f>G33*C5</f>
        <v>106624.65793877076</v>
      </c>
    </row>
    <row r="44" spans="2:7" ht="14" customHeight="1" x14ac:dyDescent="0.3">
      <c r="B44" s="4" t="s">
        <v>93</v>
      </c>
      <c r="C44" s="5">
        <f>'NWC Schedule'!D19</f>
        <v>20337.348131068517</v>
      </c>
      <c r="D44" s="5">
        <f>'NWC Schedule'!E19</f>
        <v>24468.442184587358</v>
      </c>
      <c r="E44" s="5">
        <f>'NWC Schedule'!F19</f>
        <v>21707.003709469805</v>
      </c>
      <c r="F44" s="5">
        <f>'NWC Schedule'!G19</f>
        <v>18631.844850628171</v>
      </c>
      <c r="G44" s="5">
        <f>'NWC Schedule'!H19</f>
        <v>19097.640971893677</v>
      </c>
    </row>
    <row r="45" spans="2:7" ht="14" customHeight="1" x14ac:dyDescent="0.3">
      <c r="B45" s="4" t="s">
        <v>94</v>
      </c>
      <c r="C45" s="20">
        <f>C41+C42-C43-C44</f>
        <v>100669.62793293141</v>
      </c>
      <c r="D45" s="20">
        <f>D41+D42-D43-D44</f>
        <v>96793.622737852609</v>
      </c>
      <c r="E45" s="20">
        <f>E41+E42-E43-E44</f>
        <v>99093.363197729414</v>
      </c>
      <c r="F45" s="20">
        <f>F41+F42-F43-F44</f>
        <v>100986.48226726415</v>
      </c>
      <c r="G45" s="20">
        <f>G41+G42-G43-G44</f>
        <v>101501.16423712893</v>
      </c>
    </row>
    <row r="46" spans="2:7" ht="14" customHeight="1" x14ac:dyDescent="0.3">
      <c r="B46" s="4" t="s">
        <v>95</v>
      </c>
      <c r="C46" s="21">
        <f>1/(1+C26)^(C19+0)</f>
        <v>0.91965511824849666</v>
      </c>
      <c r="D46" s="21">
        <f>1/(1+C26)^(C19+1)</f>
        <v>0.84576553652065645</v>
      </c>
      <c r="E46" s="21">
        <f>1/(1+C26)^(C19+2)</f>
        <v>0.77781260449940748</v>
      </c>
      <c r="F46" s="21">
        <f>1/(1+C26)^(C19+3)</f>
        <v>0.71531934276607378</v>
      </c>
      <c r="G46" s="21">
        <f>1/(1+C26)^(C19+4)</f>
        <v>0.65784709475697045</v>
      </c>
    </row>
    <row r="47" spans="2:7" ht="14" customHeight="1" x14ac:dyDescent="0.3">
      <c r="B47" s="4" t="s">
        <v>96</v>
      </c>
      <c r="C47" s="19">
        <f>C45*C46</f>
        <v>92581.338580692202</v>
      </c>
      <c r="D47" s="19">
        <f>D45*D46</f>
        <v>81864.71026665793</v>
      </c>
      <c r="E47" s="19">
        <f>E45*E46</f>
        <v>77076.066917431643</v>
      </c>
      <c r="F47" s="19">
        <f>F45*F46</f>
        <v>72237.584123677152</v>
      </c>
      <c r="G47" s="19">
        <f>G45*G46</f>
        <v>66772.246007845373</v>
      </c>
    </row>
    <row r="49" spans="2:7" ht="14" customHeight="1" x14ac:dyDescent="0.3">
      <c r="B49" s="22" t="s">
        <v>97</v>
      </c>
      <c r="C49" s="23"/>
      <c r="D49" s="23"/>
      <c r="E49" s="23"/>
      <c r="F49" s="23"/>
      <c r="G49" s="23"/>
    </row>
    <row r="50" spans="2:7" ht="14" customHeight="1" x14ac:dyDescent="0.3">
      <c r="B50" s="4" t="s">
        <v>98</v>
      </c>
      <c r="C50" s="5">
        <f>SUM(C47:G47)</f>
        <v>390531.94589630433</v>
      </c>
    </row>
    <row r="51" spans="2:7" ht="14" customHeight="1" x14ac:dyDescent="0.3">
      <c r="B51" s="4" t="s">
        <v>99</v>
      </c>
      <c r="C51" s="5">
        <f>G45*(1+C13)/(C26-C13)</f>
        <v>1325112.2703348361</v>
      </c>
    </row>
    <row r="52" spans="2:7" ht="14" customHeight="1" x14ac:dyDescent="0.3">
      <c r="B52" s="4" t="s">
        <v>100</v>
      </c>
      <c r="C52" s="5">
        <f>C51*G46</f>
        <v>871721.25726658513</v>
      </c>
    </row>
    <row r="53" spans="2:7" ht="14" customHeight="1" x14ac:dyDescent="0.3">
      <c r="B53" s="4" t="s">
        <v>101</v>
      </c>
      <c r="C53" s="5">
        <f>C50+C52</f>
        <v>1262253.2031628895</v>
      </c>
    </row>
    <row r="54" spans="2:7" ht="14" customHeight="1" x14ac:dyDescent="0.3">
      <c r="B54" s="4" t="s">
        <v>102</v>
      </c>
      <c r="C54" s="5">
        <f>C53-C16</f>
        <v>927444.20316288946</v>
      </c>
    </row>
    <row r="55" spans="2:7" ht="14" customHeight="1" x14ac:dyDescent="0.3">
      <c r="B55" s="4" t="s">
        <v>103</v>
      </c>
      <c r="C55" s="24">
        <f>ROUND(C54*1000000/C15,0)</f>
        <v>875</v>
      </c>
    </row>
    <row r="57" spans="2:7" ht="14" customHeight="1" x14ac:dyDescent="0.3">
      <c r="B57" s="22" t="s">
        <v>104</v>
      </c>
      <c r="C57" s="23"/>
      <c r="D57" s="23"/>
      <c r="E57" s="23"/>
      <c r="F57" s="23"/>
      <c r="G57" s="23"/>
    </row>
    <row r="58" spans="2:7" ht="14" customHeight="1" x14ac:dyDescent="0.3">
      <c r="B58" s="4" t="s">
        <v>98</v>
      </c>
      <c r="C58" s="5">
        <f>C50</f>
        <v>390531.94589630433</v>
      </c>
    </row>
    <row r="59" spans="2:7" ht="14" customHeight="1" x14ac:dyDescent="0.3">
      <c r="B59" s="4" t="s">
        <v>105</v>
      </c>
      <c r="C59" s="5">
        <f>G39+G42</f>
        <v>269145.90495854884</v>
      </c>
    </row>
    <row r="60" spans="2:7" ht="14" customHeight="1" x14ac:dyDescent="0.3">
      <c r="B60" s="4" t="s">
        <v>106</v>
      </c>
      <c r="C60" s="5">
        <f>C59*C14</f>
        <v>3848786.4409072488</v>
      </c>
    </row>
    <row r="61" spans="2:7" ht="14" customHeight="1" x14ac:dyDescent="0.3">
      <c r="B61" s="4" t="s">
        <v>100</v>
      </c>
      <c r="C61" s="5">
        <f>C60*G46</f>
        <v>2531912.9784908541</v>
      </c>
    </row>
    <row r="62" spans="2:7" ht="14" customHeight="1" x14ac:dyDescent="0.3">
      <c r="B62" s="4" t="s">
        <v>101</v>
      </c>
      <c r="C62" s="5">
        <f>C58+C61</f>
        <v>2922444.9243871584</v>
      </c>
    </row>
    <row r="63" spans="2:7" ht="14" customHeight="1" x14ac:dyDescent="0.3">
      <c r="B63" s="4" t="s">
        <v>102</v>
      </c>
      <c r="C63" s="5">
        <f>C62-C16</f>
        <v>2587635.9243871584</v>
      </c>
    </row>
    <row r="64" spans="2:7" ht="14" customHeight="1" x14ac:dyDescent="0.3">
      <c r="B64" s="4" t="s">
        <v>107</v>
      </c>
      <c r="C64" s="24">
        <f>ROUND(C63*1000000/C15,0)</f>
        <v>2441</v>
      </c>
    </row>
    <row r="66" spans="2:7" ht="14" customHeight="1" x14ac:dyDescent="0.3">
      <c r="B66" s="22" t="s">
        <v>108</v>
      </c>
      <c r="C66" s="23"/>
      <c r="D66" s="23"/>
      <c r="E66" s="23"/>
      <c r="F66" s="23"/>
      <c r="G66" s="23"/>
    </row>
    <row r="67" spans="2:7" ht="14" customHeight="1" x14ac:dyDescent="0.3">
      <c r="C67" s="25" t="s">
        <v>109</v>
      </c>
      <c r="D67" s="25" t="s">
        <v>110</v>
      </c>
      <c r="E67" s="25" t="s">
        <v>111</v>
      </c>
      <c r="F67" s="25" t="s">
        <v>112</v>
      </c>
      <c r="G67" s="25" t="s">
        <v>113</v>
      </c>
    </row>
    <row r="68" spans="2:7" ht="14" customHeight="1" x14ac:dyDescent="0.3">
      <c r="B68" s="3" t="s">
        <v>40</v>
      </c>
    </row>
    <row r="69" spans="2:7" ht="14" customHeight="1" x14ac:dyDescent="0.3">
      <c r="B69" s="4" t="s">
        <v>77</v>
      </c>
      <c r="C69" s="26">
        <v>0.04</v>
      </c>
      <c r="D69" s="26">
        <v>3.5000000000000003E-2</v>
      </c>
      <c r="E69" s="26">
        <v>0.03</v>
      </c>
      <c r="F69" s="26">
        <v>2.5000000000000001E-2</v>
      </c>
      <c r="G69" s="26">
        <v>2.5000000000000001E-2</v>
      </c>
    </row>
    <row r="70" spans="2:7" ht="14" customHeight="1" x14ac:dyDescent="0.3">
      <c r="B70" s="4" t="s">
        <v>114</v>
      </c>
      <c r="C70" s="26">
        <v>0.06</v>
      </c>
      <c r="D70" s="26">
        <v>0.05</v>
      </c>
      <c r="E70" s="26">
        <v>0.04</v>
      </c>
      <c r="F70" s="26">
        <v>3.5000000000000003E-2</v>
      </c>
      <c r="G70" s="26">
        <v>0.03</v>
      </c>
    </row>
    <row r="71" spans="2:7" ht="14" customHeight="1" x14ac:dyDescent="0.3">
      <c r="B71" s="4" t="s">
        <v>115</v>
      </c>
      <c r="C71" s="26">
        <v>0.04</v>
      </c>
      <c r="D71" s="26">
        <v>3.5000000000000003E-2</v>
      </c>
      <c r="E71" s="26">
        <v>0.03</v>
      </c>
      <c r="F71" s="26">
        <v>2.5000000000000001E-2</v>
      </c>
      <c r="G71" s="26">
        <v>2.5000000000000001E-2</v>
      </c>
    </row>
    <row r="72" spans="2:7" ht="14" customHeight="1" x14ac:dyDescent="0.3">
      <c r="B72" s="4" t="s">
        <v>116</v>
      </c>
      <c r="C72" s="26">
        <v>0.01</v>
      </c>
      <c r="D72" s="26">
        <v>0.01</v>
      </c>
      <c r="E72" s="26">
        <v>5.0000000000000001E-3</v>
      </c>
      <c r="F72" s="26">
        <v>5.0000000000000001E-3</v>
      </c>
      <c r="G72" s="26">
        <v>5.0000000000000001E-3</v>
      </c>
    </row>
    <row r="73" spans="2:7" ht="14" customHeight="1" x14ac:dyDescent="0.3">
      <c r="B73" s="4" t="s">
        <v>117</v>
      </c>
      <c r="C73" s="26">
        <v>-0.1</v>
      </c>
      <c r="D73" s="26">
        <v>-0.02</v>
      </c>
      <c r="E73" s="26">
        <v>0.01</v>
      </c>
      <c r="F73" s="26">
        <v>0.02</v>
      </c>
      <c r="G73" s="26">
        <v>2.5000000000000001E-2</v>
      </c>
    </row>
    <row r="75" spans="2:7" ht="14" customHeight="1" x14ac:dyDescent="0.3">
      <c r="B75" s="3" t="s">
        <v>84</v>
      </c>
    </row>
    <row r="76" spans="2:7" ht="14" customHeight="1" x14ac:dyDescent="0.3">
      <c r="B76" s="4" t="s">
        <v>77</v>
      </c>
      <c r="C76" s="26">
        <v>0.76900000000000002</v>
      </c>
      <c r="D76" s="26">
        <v>0.76900000000000002</v>
      </c>
      <c r="E76" s="26">
        <v>0.76900000000000002</v>
      </c>
      <c r="F76" s="26">
        <v>0.76900000000000002</v>
      </c>
      <c r="G76" s="26">
        <v>0.76900000000000002</v>
      </c>
    </row>
    <row r="77" spans="2:7" ht="14" customHeight="1" x14ac:dyDescent="0.3">
      <c r="B77" s="4" t="s">
        <v>114</v>
      </c>
      <c r="C77" s="26">
        <v>0.76300000000000001</v>
      </c>
      <c r="D77" s="26">
        <v>0.76300000000000001</v>
      </c>
      <c r="E77" s="26">
        <v>0.76300000000000001</v>
      </c>
      <c r="F77" s="26">
        <v>0.76300000000000001</v>
      </c>
      <c r="G77" s="26">
        <v>0.76300000000000001</v>
      </c>
    </row>
    <row r="78" spans="2:7" ht="14" customHeight="1" x14ac:dyDescent="0.3">
      <c r="B78" s="4" t="s">
        <v>115</v>
      </c>
      <c r="C78" s="26">
        <v>0.76900000000000002</v>
      </c>
      <c r="D78" s="26">
        <v>0.76900000000000002</v>
      </c>
      <c r="E78" s="26">
        <v>0.76900000000000002</v>
      </c>
      <c r="F78" s="26">
        <v>0.76900000000000002</v>
      </c>
      <c r="G78" s="26">
        <v>0.76900000000000002</v>
      </c>
    </row>
    <row r="79" spans="2:7" ht="14" customHeight="1" x14ac:dyDescent="0.3">
      <c r="B79" s="4" t="s">
        <v>116</v>
      </c>
      <c r="C79" s="26">
        <v>0.77800000000000002</v>
      </c>
      <c r="D79" s="26">
        <v>0.77800000000000002</v>
      </c>
      <c r="E79" s="26">
        <v>0.77800000000000002</v>
      </c>
      <c r="F79" s="26">
        <v>0.77800000000000002</v>
      </c>
      <c r="G79" s="26">
        <v>0.77800000000000002</v>
      </c>
    </row>
    <row r="80" spans="2:7" ht="14" customHeight="1" x14ac:dyDescent="0.3">
      <c r="B80" s="4" t="s">
        <v>117</v>
      </c>
      <c r="C80" s="26">
        <v>0.8</v>
      </c>
      <c r="D80" s="26">
        <v>0.8</v>
      </c>
      <c r="E80" s="26">
        <v>0.8</v>
      </c>
      <c r="F80" s="26">
        <v>0.8</v>
      </c>
      <c r="G80" s="26">
        <v>0.8</v>
      </c>
    </row>
    <row r="82" spans="2:7" ht="14" customHeight="1" x14ac:dyDescent="0.3">
      <c r="B82" s="3" t="s">
        <v>85</v>
      </c>
    </row>
    <row r="83" spans="2:7" ht="14" customHeight="1" x14ac:dyDescent="0.3">
      <c r="B83" s="4" t="s">
        <v>77</v>
      </c>
      <c r="C83" s="26">
        <v>0.13300000000000001</v>
      </c>
      <c r="D83" s="26">
        <v>0.13600000000000001</v>
      </c>
      <c r="E83" s="26">
        <v>0.13900000000000001</v>
      </c>
      <c r="F83" s="26">
        <v>0.14199999999999999</v>
      </c>
      <c r="G83" s="26">
        <v>0.1434</v>
      </c>
    </row>
    <row r="84" spans="2:7" ht="14" customHeight="1" x14ac:dyDescent="0.3">
      <c r="B84" s="4" t="s">
        <v>114</v>
      </c>
      <c r="C84" s="26">
        <v>0.13400000000000001</v>
      </c>
      <c r="D84" s="26">
        <v>0.13200000000000001</v>
      </c>
      <c r="E84" s="26">
        <v>0.13</v>
      </c>
      <c r="F84" s="26">
        <v>0.128</v>
      </c>
      <c r="G84" s="26">
        <v>0.1263</v>
      </c>
    </row>
    <row r="85" spans="2:7" ht="14" customHeight="1" x14ac:dyDescent="0.3">
      <c r="B85" s="4" t="s">
        <v>115</v>
      </c>
      <c r="C85" s="26">
        <v>0.13300000000000001</v>
      </c>
      <c r="D85" s="26">
        <v>0.13600000000000001</v>
      </c>
      <c r="E85" s="26">
        <v>0.13900000000000001</v>
      </c>
      <c r="F85" s="26">
        <v>0.14199999999999999</v>
      </c>
      <c r="G85" s="26">
        <v>0.1434</v>
      </c>
    </row>
    <row r="86" spans="2:7" ht="14" customHeight="1" x14ac:dyDescent="0.3">
      <c r="B86" s="4" t="s">
        <v>116</v>
      </c>
      <c r="C86" s="26">
        <v>0.13</v>
      </c>
      <c r="D86" s="26">
        <v>0.13600000000000001</v>
      </c>
      <c r="E86" s="26">
        <v>0.14199999999999999</v>
      </c>
      <c r="F86" s="26">
        <v>0.14599999999999999</v>
      </c>
      <c r="G86" s="26">
        <v>0.14760000000000001</v>
      </c>
    </row>
    <row r="87" spans="2:7" ht="14" customHeight="1" x14ac:dyDescent="0.3">
      <c r="B87" s="4" t="s">
        <v>117</v>
      </c>
      <c r="C87" s="26">
        <v>0.17</v>
      </c>
      <c r="D87" s="26">
        <v>0.18</v>
      </c>
      <c r="E87" s="26">
        <v>0.17499999999999999</v>
      </c>
      <c r="F87" s="26">
        <v>0.16500000000000001</v>
      </c>
      <c r="G87" s="26">
        <v>0.16</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118</v>
      </c>
    </row>
    <row r="3" spans="2:9" ht="14" customHeight="1" x14ac:dyDescent="0.3">
      <c r="B3" s="1" t="s">
        <v>119</v>
      </c>
    </row>
    <row r="5" spans="2:9" ht="14" customHeight="1" x14ac:dyDescent="0.3">
      <c r="B5" s="8" t="s">
        <v>120</v>
      </c>
      <c r="C5" s="9"/>
      <c r="D5" s="9"/>
      <c r="E5" s="9"/>
      <c r="F5" s="9"/>
      <c r="G5" s="9"/>
      <c r="H5" s="9"/>
      <c r="I5" s="9"/>
    </row>
    <row r="6" spans="2:9" ht="14" customHeight="1" x14ac:dyDescent="0.3">
      <c r="B6" s="4" t="s">
        <v>121</v>
      </c>
      <c r="C6" s="15">
        <f>'Executive Summary'!C9</f>
        <v>2624.5</v>
      </c>
    </row>
    <row r="7" spans="2:9" ht="14" customHeight="1" x14ac:dyDescent="0.3">
      <c r="B7" s="4" t="s">
        <v>65</v>
      </c>
      <c r="C7" s="15">
        <f>'DCF Model'!C15</f>
        <v>1060161928</v>
      </c>
    </row>
    <row r="8" spans="2:9" ht="14" customHeight="1" x14ac:dyDescent="0.3">
      <c r="B8" s="4" t="s">
        <v>122</v>
      </c>
      <c r="C8" s="5">
        <f>C6*C7/1000000</f>
        <v>2782394.9800359998</v>
      </c>
    </row>
    <row r="9" spans="2:9" ht="14" customHeight="1" x14ac:dyDescent="0.3">
      <c r="B9" s="4" t="s">
        <v>66</v>
      </c>
      <c r="C9" s="5">
        <f>'DCF Model'!C16</f>
        <v>334809</v>
      </c>
    </row>
    <row r="10" spans="2:9" ht="14" customHeight="1" x14ac:dyDescent="0.3">
      <c r="B10" s="4" t="s">
        <v>123</v>
      </c>
      <c r="C10" s="5">
        <f>C8+C9</f>
        <v>3117203.9800359998</v>
      </c>
    </row>
    <row r="11" spans="2:9" ht="14" customHeight="1" x14ac:dyDescent="0.3">
      <c r="B11" s="4" t="s">
        <v>124</v>
      </c>
      <c r="C11" s="16">
        <f>'DCF Model'!C26</f>
        <v>8.7364143532982233E-2</v>
      </c>
    </row>
    <row r="12" spans="2:9" ht="14" customHeight="1" x14ac:dyDescent="0.3">
      <c r="B12" s="4" t="s">
        <v>125</v>
      </c>
      <c r="C12" s="16">
        <f>'DCF Model'!C13</f>
        <v>0.01</v>
      </c>
    </row>
    <row r="13" spans="2:9" ht="14" customHeight="1" x14ac:dyDescent="0.3">
      <c r="B13" s="4" t="s">
        <v>126</v>
      </c>
      <c r="C13" s="16">
        <f>'DCF Model'!C6</f>
        <v>0.25</v>
      </c>
    </row>
    <row r="14" spans="2:9" ht="14" customHeight="1" x14ac:dyDescent="0.3">
      <c r="B14" s="4" t="s">
        <v>127</v>
      </c>
      <c r="C14" s="27">
        <v>165534</v>
      </c>
    </row>
    <row r="15" spans="2:9" ht="14" customHeight="1" x14ac:dyDescent="0.3">
      <c r="B15" s="4" t="s">
        <v>128</v>
      </c>
      <c r="C15" s="27">
        <v>165534</v>
      </c>
    </row>
    <row r="16" spans="2:9" ht="14" customHeight="1" x14ac:dyDescent="0.3">
      <c r="B16" s="4" t="s">
        <v>129</v>
      </c>
      <c r="C16" s="5">
        <f>'DCF Model'!G33</f>
        <v>1914266.7493495648</v>
      </c>
    </row>
    <row r="17" spans="2:9" ht="14" customHeight="1" x14ac:dyDescent="0.3">
      <c r="B17" s="4" t="s">
        <v>130</v>
      </c>
      <c r="C17" s="5">
        <f>'DCF Model'!C53</f>
        <v>1262253.2031628895</v>
      </c>
    </row>
    <row r="18" spans="2:9" ht="14" customHeight="1" x14ac:dyDescent="0.3">
      <c r="B18" s="4" t="s">
        <v>131</v>
      </c>
      <c r="C18" s="26">
        <v>0.1007264199508094</v>
      </c>
    </row>
    <row r="19" spans="2:9" ht="14" customHeight="1" x14ac:dyDescent="0.3">
      <c r="B19" s="4" t="s">
        <v>132</v>
      </c>
      <c r="C19" s="5">
        <f>C10-C17</f>
        <v>1854950.7768731103</v>
      </c>
    </row>
    <row r="20" spans="2:9" ht="14" customHeight="1" x14ac:dyDescent="0.3">
      <c r="B20" s="4" t="s">
        <v>133</v>
      </c>
      <c r="C20" s="15">
        <f>IFERROR(ROUND(C19*1000000/C7,0),"N/A")</f>
        <v>1750</v>
      </c>
    </row>
    <row r="22" spans="2:9" ht="14" customHeight="1" x14ac:dyDescent="0.3">
      <c r="B22" s="8" t="s">
        <v>134</v>
      </c>
      <c r="C22" s="9"/>
      <c r="D22" s="9"/>
      <c r="E22" s="9"/>
      <c r="F22" s="9"/>
      <c r="G22" s="9"/>
      <c r="H22" s="9"/>
      <c r="I22" s="9"/>
    </row>
    <row r="23" spans="2:9" ht="14" customHeight="1" x14ac:dyDescent="0.3">
      <c r="B23" s="1" t="s">
        <v>135</v>
      </c>
    </row>
    <row r="24" spans="2:9" ht="14" customHeight="1" x14ac:dyDescent="0.3">
      <c r="B24" s="4" t="s">
        <v>136</v>
      </c>
      <c r="C24" s="5">
        <f>C10*(C11-C12)</f>
        <v>241159.81613308858</v>
      </c>
    </row>
    <row r="25" spans="2:9" ht="14" customHeight="1" x14ac:dyDescent="0.3">
      <c r="B25" s="4" t="s">
        <v>137</v>
      </c>
      <c r="C25" s="5">
        <f>IFERROR(C24/(1-C13),"N/A")</f>
        <v>321546.42151078477</v>
      </c>
    </row>
    <row r="26" spans="2:9" ht="13.5" customHeight="1" x14ac:dyDescent="0.25">
      <c r="B26" s="6" t="s">
        <v>138</v>
      </c>
      <c r="C26" s="14">
        <f>IFERROR(C25/C15,"N/A")</f>
        <v>1.9424796205660757</v>
      </c>
    </row>
    <row r="27" spans="2:9" ht="13.5" customHeight="1" x14ac:dyDescent="0.25">
      <c r="B27" s="6" t="s">
        <v>139</v>
      </c>
      <c r="C27" s="14">
        <f>IFERROR(C25/C14,"N/A")</f>
        <v>1.9424796205660757</v>
      </c>
    </row>
    <row r="28" spans="2:9" ht="13.5" customHeight="1" x14ac:dyDescent="0.25">
      <c r="B28" s="6" t="s">
        <v>140</v>
      </c>
      <c r="C28" s="7">
        <f>IFERROR(C25/C16,"N/A")</f>
        <v>0.16797367536161864</v>
      </c>
    </row>
    <row r="29" spans="2:9" ht="13.5" customHeight="1" x14ac:dyDescent="0.25">
      <c r="B29" s="6" t="s">
        <v>141</v>
      </c>
      <c r="C29" s="5">
        <f>IFERROR(C25/C18,"N/A")</f>
        <v>3192274.8933975287</v>
      </c>
    </row>
    <row r="32" spans="2:9" ht="14" customHeight="1" x14ac:dyDescent="0.3">
      <c r="B32" s="8" t="s">
        <v>142</v>
      </c>
      <c r="C32" s="9"/>
      <c r="D32" s="9"/>
      <c r="E32" s="9"/>
      <c r="F32" s="9"/>
      <c r="G32" s="9"/>
      <c r="H32" s="9"/>
      <c r="I32" s="9"/>
    </row>
    <row r="33" spans="2:9" ht="14" customHeight="1" x14ac:dyDescent="0.3">
      <c r="B33" s="1" t="s">
        <v>143</v>
      </c>
    </row>
    <row r="34" spans="2:9" ht="14" customHeight="1" x14ac:dyDescent="0.3">
      <c r="B34" s="1" t="s">
        <v>144</v>
      </c>
    </row>
    <row r="36" spans="2:9" ht="14" customHeight="1" x14ac:dyDescent="0.3">
      <c r="B36" s="28" t="s">
        <v>145</v>
      </c>
      <c r="C36" s="28" t="s">
        <v>146</v>
      </c>
      <c r="D36" s="29">
        <f>'DCF Model'!C26-0.02</f>
        <v>6.7364143532982229E-2</v>
      </c>
      <c r="E36" s="29">
        <f>'DCF Model'!C26-0.01</f>
        <v>7.7364143532982238E-2</v>
      </c>
      <c r="F36" s="29">
        <f>'DCF Model'!C26</f>
        <v>8.7364143532982233E-2</v>
      </c>
      <c r="G36" s="29">
        <f>'DCF Model'!C26+0.01</f>
        <v>9.7364143532982228E-2</v>
      </c>
      <c r="H36" s="29">
        <f>'DCF Model'!C26+0.02</f>
        <v>0.10736414353298224</v>
      </c>
    </row>
    <row r="37" spans="2:9" ht="14" customHeight="1" x14ac:dyDescent="0.3">
      <c r="B37" s="3" t="s">
        <v>147</v>
      </c>
    </row>
    <row r="38" spans="2:9" ht="14" customHeight="1" x14ac:dyDescent="0.3">
      <c r="B38" s="4" t="s">
        <v>148</v>
      </c>
      <c r="C38" s="30">
        <v>3</v>
      </c>
      <c r="D38" s="13">
        <f t="shared" ref="D38:H41" si="0">IFERROR((1-(1+D$36)^(-$C38))/D$36-(1+D$36)/(D$36^2*$C38)*(1-($C38+1)/(1+D$36)^$C38+$C38/(1+D$36)^($C38+1)),"N/A")</f>
        <v>0.91717757917869491</v>
      </c>
      <c r="E38" s="13">
        <f t="shared" si="0"/>
        <v>0.90597386668499569</v>
      </c>
      <c r="F38" s="13">
        <f t="shared" si="0"/>
        <v>0.89502525767254659</v>
      </c>
      <c r="G38" s="13">
        <f t="shared" si="0"/>
        <v>0.88432344981677247</v>
      </c>
      <c r="H38" s="13">
        <f t="shared" si="0"/>
        <v>0.87386048823340112</v>
      </c>
    </row>
    <row r="39" spans="2:9" ht="14" customHeight="1" x14ac:dyDescent="0.3">
      <c r="B39" s="4" t="s">
        <v>149</v>
      </c>
      <c r="C39" s="30">
        <v>5</v>
      </c>
      <c r="D39" s="13">
        <f t="shared" si="0"/>
        <v>1.7592006469793589</v>
      </c>
      <c r="E39" s="13">
        <f t="shared" si="0"/>
        <v>1.7277955659940365</v>
      </c>
      <c r="F39" s="13">
        <f t="shared" si="0"/>
        <v>1.6973723268641643</v>
      </c>
      <c r="G39" s="13">
        <f t="shared" si="0"/>
        <v>1.6678890015559387</v>
      </c>
      <c r="H39" s="13">
        <f t="shared" si="0"/>
        <v>1.6393058865729278</v>
      </c>
    </row>
    <row r="40" spans="2:9" ht="14" customHeight="1" x14ac:dyDescent="0.3">
      <c r="B40" s="4" t="s">
        <v>150</v>
      </c>
      <c r="C40" s="30">
        <v>7</v>
      </c>
      <c r="D40" s="13">
        <f t="shared" si="0"/>
        <v>2.5329822993465312</v>
      </c>
      <c r="E40" s="13">
        <f t="shared" si="0"/>
        <v>2.4742370877643305</v>
      </c>
      <c r="F40" s="13">
        <f t="shared" si="0"/>
        <v>2.4178076393745971</v>
      </c>
      <c r="G40" s="13">
        <f t="shared" si="0"/>
        <v>2.3635723133465887</v>
      </c>
      <c r="H40" s="13">
        <f t="shared" si="0"/>
        <v>2.3114172465434151</v>
      </c>
    </row>
    <row r="41" spans="2:9" ht="14" customHeight="1" x14ac:dyDescent="0.3">
      <c r="B41" s="4" t="s">
        <v>151</v>
      </c>
      <c r="C41" s="30">
        <v>10</v>
      </c>
      <c r="D41" s="13">
        <f t="shared" si="0"/>
        <v>3.5791742581943629</v>
      </c>
      <c r="E41" s="13">
        <f t="shared" si="0"/>
        <v>3.4693809694410604</v>
      </c>
      <c r="F41" s="13">
        <f t="shared" si="0"/>
        <v>3.3651917388021277</v>
      </c>
      <c r="G41" s="13">
        <f t="shared" si="0"/>
        <v>3.2662330590655002</v>
      </c>
      <c r="H41" s="13">
        <f t="shared" si="0"/>
        <v>3.1721611801354728</v>
      </c>
    </row>
    <row r="42" spans="2:9" ht="14" customHeight="1" x14ac:dyDescent="0.3">
      <c r="B42" s="3" t="s">
        <v>152</v>
      </c>
    </row>
    <row r="43" spans="2:9" ht="14" customHeight="1" x14ac:dyDescent="0.3">
      <c r="B43" s="4" t="s">
        <v>148</v>
      </c>
      <c r="C43" s="30">
        <v>3</v>
      </c>
      <c r="D43" s="13">
        <f t="shared" ref="D43:H46" si="1">IFERROR((1+D$36)/(D$36^2*$C43)*(1-($C43+1)/(1+D$36)^$C43+$C43/(1+D$36)^($C43+1))+(1+$C$12)/((D$36-$C$12)*(1+D$36)^$C43),"N/A")</f>
        <v>16.198976972978823</v>
      </c>
      <c r="E43" s="13">
        <f t="shared" si="1"/>
        <v>13.673038724589649</v>
      </c>
      <c r="F43" s="13">
        <f t="shared" si="1"/>
        <v>11.802663213906154</v>
      </c>
      <c r="G43" s="13">
        <f t="shared" si="1"/>
        <v>10.362659604369245</v>
      </c>
      <c r="H43" s="13">
        <f t="shared" si="1"/>
        <v>9.2203549264347817</v>
      </c>
    </row>
    <row r="44" spans="2:9" ht="14" customHeight="1" x14ac:dyDescent="0.3">
      <c r="B44" s="4" t="s">
        <v>149</v>
      </c>
      <c r="C44" s="30">
        <v>5</v>
      </c>
      <c r="D44" s="13">
        <f t="shared" si="1"/>
        <v>15.07928577945793</v>
      </c>
      <c r="E44" s="13">
        <f t="shared" si="1"/>
        <v>12.622323362406819</v>
      </c>
      <c r="F44" s="13">
        <f t="shared" si="1"/>
        <v>10.8073156306419</v>
      </c>
      <c r="G44" s="13">
        <f t="shared" si="1"/>
        <v>9.4135408626507484</v>
      </c>
      <c r="H44" s="13">
        <f t="shared" si="1"/>
        <v>8.3109704520346384</v>
      </c>
    </row>
    <row r="45" spans="2:9" ht="14" customHeight="1" x14ac:dyDescent="0.3">
      <c r="B45" s="4" t="s">
        <v>150</v>
      </c>
      <c r="C45" s="30">
        <v>7</v>
      </c>
      <c r="D45" s="13">
        <f t="shared" si="1"/>
        <v>14.061778716744392</v>
      </c>
      <c r="E45" s="13">
        <f t="shared" si="1"/>
        <v>11.678681012599775</v>
      </c>
      <c r="F45" s="13">
        <f t="shared" si="1"/>
        <v>9.9236471347980633</v>
      </c>
      <c r="G45" s="13">
        <f t="shared" si="1"/>
        <v>8.5803786591339275</v>
      </c>
      <c r="H45" s="13">
        <f t="shared" si="1"/>
        <v>7.5214780943092858</v>
      </c>
    </row>
    <row r="46" spans="2:9" ht="14" customHeight="1" x14ac:dyDescent="0.3">
      <c r="B46" s="4" t="s">
        <v>151</v>
      </c>
      <c r="C46" s="30">
        <v>10</v>
      </c>
      <c r="D46" s="13">
        <f t="shared" si="1"/>
        <v>12.704705240656299</v>
      </c>
      <c r="E46" s="13">
        <f t="shared" si="1"/>
        <v>10.437729246698716</v>
      </c>
      <c r="F46" s="13">
        <f t="shared" si="1"/>
        <v>8.7773806016773133</v>
      </c>
      <c r="G46" s="13">
        <f t="shared" si="1"/>
        <v>7.5139492943727628</v>
      </c>
      <c r="H46" s="13">
        <f t="shared" si="1"/>
        <v>6.5239918652161872</v>
      </c>
    </row>
    <row r="47" spans="2:9" ht="14" customHeight="1" x14ac:dyDescent="0.3">
      <c r="B47" s="22" t="s">
        <v>153</v>
      </c>
      <c r="C47" s="23"/>
      <c r="D47" s="23"/>
      <c r="E47" s="23"/>
      <c r="F47" s="23"/>
      <c r="G47" s="23"/>
      <c r="H47" s="23"/>
      <c r="I47" s="23"/>
    </row>
    <row r="48" spans="2:9" ht="14" customHeight="1" x14ac:dyDescent="0.3">
      <c r="B48" s="4" t="s">
        <v>148</v>
      </c>
      <c r="C48" s="30">
        <v>3</v>
      </c>
      <c r="D48" s="5">
        <f t="shared" ref="D48:H51" si="2">IFERROR(($C$10/(1-$C$13)-$C$14*D38)/D43,"N/A")</f>
        <v>247203.75284620153</v>
      </c>
      <c r="E48" s="5">
        <f t="shared" si="2"/>
        <v>293007.47083591216</v>
      </c>
      <c r="F48" s="5">
        <f t="shared" si="2"/>
        <v>339594.10598578444</v>
      </c>
      <c r="G48" s="5">
        <f t="shared" si="2"/>
        <v>386955.33082536655</v>
      </c>
      <c r="H48" s="5">
        <f t="shared" si="2"/>
        <v>435082.855630729</v>
      </c>
    </row>
    <row r="49" spans="2:9" ht="14" customHeight="1" x14ac:dyDescent="0.3">
      <c r="B49" s="4" t="s">
        <v>149</v>
      </c>
      <c r="C49" s="30">
        <v>5</v>
      </c>
      <c r="D49" s="5">
        <f t="shared" si="2"/>
        <v>256316.14852405785</v>
      </c>
      <c r="E49" s="5">
        <f t="shared" si="2"/>
        <v>306620.49695913482</v>
      </c>
      <c r="F49" s="5">
        <f t="shared" si="2"/>
        <v>358581.1014567386</v>
      </c>
      <c r="G49" s="5">
        <f t="shared" si="2"/>
        <v>412191.29889718851</v>
      </c>
      <c r="H49" s="5">
        <f t="shared" si="2"/>
        <v>467443.7401955016</v>
      </c>
    </row>
    <row r="50" spans="2:9" ht="14" customHeight="1" x14ac:dyDescent="0.3">
      <c r="B50" s="4" t="s">
        <v>150</v>
      </c>
      <c r="C50" s="30">
        <v>7</v>
      </c>
      <c r="D50" s="5">
        <f t="shared" si="2"/>
        <v>265754.23754829902</v>
      </c>
      <c r="E50" s="5">
        <f t="shared" si="2"/>
        <v>320815.4762728042</v>
      </c>
      <c r="F50" s="5">
        <f t="shared" si="2"/>
        <v>378494.17180849111</v>
      </c>
      <c r="G50" s="5">
        <f t="shared" si="2"/>
        <v>438794.20053984498</v>
      </c>
      <c r="H50" s="5">
        <f t="shared" si="2"/>
        <v>501717.05395873502</v>
      </c>
    </row>
    <row r="51" spans="2:9" ht="14" customHeight="1" x14ac:dyDescent="0.3">
      <c r="B51" s="4" t="s">
        <v>151</v>
      </c>
      <c r="C51" s="30">
        <v>10</v>
      </c>
      <c r="D51" s="5">
        <f t="shared" si="2"/>
        <v>280510.00587726256</v>
      </c>
      <c r="E51" s="5">
        <f t="shared" si="2"/>
        <v>343175.35733347328</v>
      </c>
      <c r="F51" s="5">
        <f t="shared" si="2"/>
        <v>410056.08477347664</v>
      </c>
      <c r="G51" s="5">
        <f t="shared" si="2"/>
        <v>481184.95461364457</v>
      </c>
      <c r="H51" s="5">
        <f t="shared" si="2"/>
        <v>556587.36546699551</v>
      </c>
    </row>
    <row r="52" spans="2:9" ht="14" customHeight="1" x14ac:dyDescent="0.3">
      <c r="B52" s="22" t="s">
        <v>154</v>
      </c>
      <c r="C52" s="23"/>
      <c r="D52" s="23"/>
      <c r="E52" s="23"/>
      <c r="F52" s="23"/>
      <c r="G52" s="23"/>
      <c r="H52" s="23"/>
      <c r="I52" s="23"/>
    </row>
    <row r="53" spans="2:9" ht="14" customHeight="1" x14ac:dyDescent="0.3">
      <c r="B53" s="4" t="s">
        <v>148</v>
      </c>
      <c r="C53" s="30">
        <v>3</v>
      </c>
      <c r="D53" s="14">
        <f t="shared" ref="D53:H56" si="3">IFERROR(D48/$C$15,"N/A")</f>
        <v>1.4933714695845055</v>
      </c>
      <c r="E53" s="14">
        <f t="shared" si="3"/>
        <v>1.7700742496158623</v>
      </c>
      <c r="F53" s="14">
        <f t="shared" si="3"/>
        <v>2.0515066752799087</v>
      </c>
      <c r="G53" s="14">
        <f t="shared" si="3"/>
        <v>2.3376184398695528</v>
      </c>
      <c r="H53" s="14">
        <f t="shared" si="3"/>
        <v>2.6283594647065196</v>
      </c>
    </row>
    <row r="54" spans="2:9" ht="14" customHeight="1" x14ac:dyDescent="0.3">
      <c r="B54" s="4" t="s">
        <v>149</v>
      </c>
      <c r="C54" s="30">
        <v>5</v>
      </c>
      <c r="D54" s="14">
        <f t="shared" si="3"/>
        <v>1.5484199531459268</v>
      </c>
      <c r="E54" s="14">
        <f t="shared" si="3"/>
        <v>1.8523112892767335</v>
      </c>
      <c r="F54" s="14">
        <f t="shared" si="3"/>
        <v>2.1662081593916573</v>
      </c>
      <c r="G54" s="14">
        <f t="shared" si="3"/>
        <v>2.4900703112181697</v>
      </c>
      <c r="H54" s="14">
        <f t="shared" si="3"/>
        <v>2.8238533485296169</v>
      </c>
    </row>
    <row r="55" spans="2:9" ht="14" customHeight="1" x14ac:dyDescent="0.3">
      <c r="B55" s="4" t="s">
        <v>150</v>
      </c>
      <c r="C55" s="30">
        <v>7</v>
      </c>
      <c r="D55" s="14">
        <f t="shared" si="3"/>
        <v>1.6054359681292001</v>
      </c>
      <c r="E55" s="14">
        <f t="shared" si="3"/>
        <v>1.9380639401742494</v>
      </c>
      <c r="F55" s="14">
        <f t="shared" si="3"/>
        <v>2.2865041128015462</v>
      </c>
      <c r="G55" s="14">
        <f t="shared" si="3"/>
        <v>2.6507799034630044</v>
      </c>
      <c r="H55" s="14">
        <f t="shared" si="3"/>
        <v>3.0309003223430535</v>
      </c>
    </row>
    <row r="56" spans="2:9" ht="14" customHeight="1" x14ac:dyDescent="0.3">
      <c r="B56" s="4" t="s">
        <v>151</v>
      </c>
      <c r="C56" s="30">
        <v>10</v>
      </c>
      <c r="D56" s="14">
        <f t="shared" si="3"/>
        <v>1.6945763763170258</v>
      </c>
      <c r="E56" s="14">
        <f t="shared" si="3"/>
        <v>2.0731412116753858</v>
      </c>
      <c r="F56" s="14">
        <f t="shared" si="3"/>
        <v>2.4771713652390241</v>
      </c>
      <c r="G56" s="14">
        <f t="shared" si="3"/>
        <v>2.9068647807317203</v>
      </c>
      <c r="H56" s="14">
        <f t="shared" si="3"/>
        <v>3.3623748925718915</v>
      </c>
    </row>
    <row r="58" spans="2:9" ht="14" customHeight="1" x14ac:dyDescent="0.3">
      <c r="B58" s="8" t="s">
        <v>155</v>
      </c>
      <c r="C58" s="9"/>
      <c r="D58" s="9"/>
      <c r="E58" s="9"/>
      <c r="F58" s="9"/>
      <c r="G58" s="9"/>
      <c r="H58" s="9"/>
      <c r="I58" s="9"/>
    </row>
    <row r="59" spans="2:9" ht="14" customHeight="1" x14ac:dyDescent="0.3">
      <c r="B59" s="1" t="s">
        <v>156</v>
      </c>
    </row>
    <row r="60" spans="2:9" ht="14" customHeight="1" x14ac:dyDescent="0.3">
      <c r="B60" s="4" t="s">
        <v>157</v>
      </c>
      <c r="C60" s="5">
        <f>F49</f>
        <v>358581.1014567386</v>
      </c>
    </row>
    <row r="62" spans="2:9" ht="14" customHeight="1" x14ac:dyDescent="0.3">
      <c r="B62" s="28" t="s">
        <v>158</v>
      </c>
      <c r="C62" s="28" t="s">
        <v>159</v>
      </c>
      <c r="D62" s="28" t="s">
        <v>160</v>
      </c>
    </row>
    <row r="63" spans="2:9" ht="14" customHeight="1" x14ac:dyDescent="0.3">
      <c r="B63" s="31">
        <v>5.04E-2</v>
      </c>
      <c r="C63" s="5">
        <f>IFERROR($C$60/B63,"N/A")</f>
        <v>7114704.3939829087</v>
      </c>
      <c r="D63" s="14">
        <f>IFERROR(C63/'DCF Model'!C17,"N/A")</f>
        <v>4.3292538246776555</v>
      </c>
    </row>
    <row r="64" spans="2:9" ht="14" customHeight="1" x14ac:dyDescent="0.3">
      <c r="B64" s="31">
        <v>7.5499999999999998E-2</v>
      </c>
      <c r="C64" s="5">
        <f>IFERROR($C$60/B64,"N/A")</f>
        <v>4749418.5623409087</v>
      </c>
      <c r="D64" s="14">
        <f>IFERROR(C64/'DCF Model'!C17,"N/A")</f>
        <v>2.8899919571358126</v>
      </c>
    </row>
    <row r="65" spans="2:9" ht="14" customHeight="1" x14ac:dyDescent="0.3">
      <c r="B65" s="4" t="s">
        <v>161</v>
      </c>
      <c r="C65" s="5">
        <f>IFERROR($C$60/$C$18,"N/A")</f>
        <v>3559950.8215605668</v>
      </c>
      <c r="D65" s="14">
        <f>IFERROR(C65/'DCF Model'!C17,"N/A")</f>
        <v>2.1662081593916565</v>
      </c>
    </row>
    <row r="66" spans="2:9" ht="14" customHeight="1" x14ac:dyDescent="0.3">
      <c r="B66" s="31">
        <v>0.12590000000000001</v>
      </c>
      <c r="C66" s="5">
        <f>IFERROR($C$60/B66,"N/A")</f>
        <v>2848142.187901021</v>
      </c>
      <c r="D66" s="14">
        <f>IFERROR(C66/'DCF Model'!C17,"N/A")</f>
        <v>1.7330769877978858</v>
      </c>
    </row>
    <row r="67" spans="2:9" ht="14" customHeight="1" x14ac:dyDescent="0.3">
      <c r="B67" s="31">
        <v>0.15110000000000001</v>
      </c>
      <c r="C67" s="5">
        <f>IFERROR($C$60/B67,"N/A")</f>
        <v>2373137.6668215655</v>
      </c>
      <c r="D67" s="14">
        <f>IFERROR(C67/'DCF Model'!C17,"N/A")</f>
        <v>1.4440396609116732</v>
      </c>
    </row>
    <row r="69" spans="2:9" ht="14" customHeight="1" x14ac:dyDescent="0.3">
      <c r="B69" s="8" t="s">
        <v>162</v>
      </c>
      <c r="C69" s="9"/>
      <c r="D69" s="9"/>
      <c r="E69" s="9"/>
      <c r="F69" s="9"/>
      <c r="G69" s="9"/>
      <c r="H69" s="9"/>
      <c r="I69" s="9"/>
    </row>
    <row r="70" spans="2:9" ht="13.5" customHeight="1" x14ac:dyDescent="0.25">
      <c r="B70" s="6" t="s">
        <v>163</v>
      </c>
      <c r="C70" s="14">
        <f>IFERROR(C10/'Comps Analysis'!G5,"N/A")</f>
        <v>12.352406838101729</v>
      </c>
    </row>
    <row r="71" spans="2:9" ht="13.5" customHeight="1" x14ac:dyDescent="0.25">
      <c r="B71" s="6" t="s">
        <v>164</v>
      </c>
      <c r="C71" s="14">
        <f>IFERROR(C10/'Comps Analysis'!F5,"N/A")</f>
        <v>1.8967994319320529</v>
      </c>
    </row>
    <row r="72" spans="2:9" ht="14" customHeight="1" x14ac:dyDescent="0.3">
      <c r="B72" s="4" t="s">
        <v>165</v>
      </c>
      <c r="C72" s="14">
        <f>IFERROR(C10/(C25+'DCF Model'!G42),"N/A")</f>
        <v>7.3692319633656318</v>
      </c>
    </row>
    <row r="73" spans="2:9" ht="14" customHeight="1" x14ac:dyDescent="0.3">
      <c r="B73" s="4" t="s">
        <v>166</v>
      </c>
      <c r="C73" s="14">
        <f>IFERROR(C10/(C60+'DCF Model'!G42),"N/A")</f>
        <v>6.7759818436540344</v>
      </c>
    </row>
    <row r="74" spans="2:9" ht="14" customHeight="1" x14ac:dyDescent="0.3">
      <c r="B74" s="4" t="s">
        <v>167</v>
      </c>
      <c r="C74" s="14">
        <f>IFERROR('Comps Analysis'!D16,"N/A")</f>
        <v>14.333259113904496</v>
      </c>
    </row>
    <row r="75" spans="2:9" ht="14" customHeight="1" x14ac:dyDescent="0.3">
      <c r="B75" s="1" t="s">
        <v>168</v>
      </c>
    </row>
    <row r="77" spans="2:9" ht="14" customHeight="1" x14ac:dyDescent="0.3">
      <c r="B77" s="22" t="s">
        <v>169</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2,625 yen the market is paying for a steady-state operating profit of 358,581 mn JPY - 2.17x the FY2026 cycle peak of 165,534 mn - reached in 5 years and sustained for ever, against 165,534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321,546 mn, or 1.94x the peak. The base case supports an EV of only 1,262,253 mn, leaving 1,750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170</v>
      </c>
    </row>
    <row r="4" spans="2:8" ht="14" customHeight="1" x14ac:dyDescent="0.3">
      <c r="B4" s="8" t="s">
        <v>171</v>
      </c>
      <c r="C4" s="32" t="s">
        <v>172</v>
      </c>
      <c r="D4" s="32" t="s">
        <v>79</v>
      </c>
      <c r="E4" s="32" t="s">
        <v>80</v>
      </c>
      <c r="F4" s="32" t="s">
        <v>81</v>
      </c>
      <c r="G4" s="32" t="s">
        <v>82</v>
      </c>
      <c r="H4" s="32" t="s">
        <v>83</v>
      </c>
    </row>
    <row r="5" spans="2:8" ht="14" customHeight="1" x14ac:dyDescent="0.3">
      <c r="B5" s="33" t="s">
        <v>173</v>
      </c>
      <c r="C5" s="34">
        <f>C12/C9*365</f>
        <v>127.92197222590698</v>
      </c>
      <c r="D5" s="34">
        <f>CHOOSE('DCF Model'!$D$27,D25,D26,D27,D28,D29)</f>
        <v>117</v>
      </c>
      <c r="E5" s="34">
        <f>CHOOSE('DCF Model'!$D$27,E25,E26,E27,E28,E29)</f>
        <v>117</v>
      </c>
      <c r="F5" s="34">
        <f>CHOOSE('DCF Model'!$D$27,F25,F26,F27,F28,F29)</f>
        <v>117</v>
      </c>
      <c r="G5" s="34">
        <f>CHOOSE('DCF Model'!$D$27,G25,G26,G27,G28,G29)</f>
        <v>117</v>
      </c>
      <c r="H5" s="34">
        <f>CHOOSE('DCF Model'!$D$27,H25,H26,H27,H28,H29)</f>
        <v>117</v>
      </c>
    </row>
    <row r="6" spans="2:8" ht="14" customHeight="1" x14ac:dyDescent="0.3">
      <c r="B6" s="33" t="s">
        <v>174</v>
      </c>
      <c r="C6" s="34">
        <f>C13/C10*365</f>
        <v>145.61492644539757</v>
      </c>
      <c r="D6" s="34">
        <f>CHOOSE('DCF Model'!$D$27,D32,D33,D34,D35,D36)</f>
        <v>133</v>
      </c>
      <c r="E6" s="34">
        <f>CHOOSE('DCF Model'!$D$27,E32,E33,E34,E35,E36)</f>
        <v>133</v>
      </c>
      <c r="F6" s="34">
        <f>CHOOSE('DCF Model'!$D$27,F32,F33,F34,F35,F36)</f>
        <v>133</v>
      </c>
      <c r="G6" s="34">
        <f>CHOOSE('DCF Model'!$D$27,G32,G33,G34,G35,G36)</f>
        <v>133</v>
      </c>
      <c r="H6" s="34">
        <f>CHOOSE('DCF Model'!$D$27,H32,H33,H34,H35,H36)</f>
        <v>133</v>
      </c>
    </row>
    <row r="7" spans="2:8" ht="14" customHeight="1" x14ac:dyDescent="0.3">
      <c r="B7" s="33" t="s">
        <v>175</v>
      </c>
      <c r="C7" s="34">
        <f>C15/C10*365</f>
        <v>115.92839493279088</v>
      </c>
      <c r="D7" s="34">
        <f>CHOOSE('DCF Model'!$D$27,D39,D40,D41,D42,D43)</f>
        <v>91</v>
      </c>
      <c r="E7" s="34">
        <f>CHOOSE('DCF Model'!$D$27,E39,E40,E41,E42,E43)</f>
        <v>91</v>
      </c>
      <c r="F7" s="34">
        <f>CHOOSE('DCF Model'!$D$27,F39,F40,F41,F42,F43)</f>
        <v>91</v>
      </c>
      <c r="G7" s="34">
        <f>CHOOSE('DCF Model'!$D$27,G39,G40,G41,G42,G43)</f>
        <v>91</v>
      </c>
      <c r="H7" s="34">
        <f>CHOOSE('DCF Model'!$D$27,H39,H40,H41,H42,H43)</f>
        <v>91</v>
      </c>
    </row>
    <row r="8" spans="2:8" ht="14" customHeight="1" x14ac:dyDescent="0.3">
      <c r="B8" s="8" t="s">
        <v>176</v>
      </c>
      <c r="C8" s="9"/>
      <c r="D8" s="9"/>
      <c r="E8" s="9"/>
      <c r="F8" s="9"/>
      <c r="G8" s="9"/>
      <c r="H8" s="9"/>
    </row>
    <row r="9" spans="2:8" ht="14" customHeight="1" x14ac:dyDescent="0.3">
      <c r="B9" s="33" t="s">
        <v>31</v>
      </c>
      <c r="C9" s="35">
        <v>1643402</v>
      </c>
      <c r="D9" s="35">
        <f>'DCF Model'!C33</f>
        <v>1709138.08</v>
      </c>
      <c r="E9" s="35">
        <f>'DCF Model'!D33</f>
        <v>1768957.9128</v>
      </c>
      <c r="F9" s="35">
        <f>'DCF Model'!E33</f>
        <v>1822026.6501840001</v>
      </c>
      <c r="G9" s="35">
        <f>'DCF Model'!F33</f>
        <v>1867577.3164386</v>
      </c>
      <c r="H9" s="35">
        <f>'DCF Model'!G33</f>
        <v>1914266.7493495648</v>
      </c>
    </row>
    <row r="10" spans="2:8" ht="14" customHeight="1" x14ac:dyDescent="0.3">
      <c r="B10" s="33" t="s">
        <v>32</v>
      </c>
      <c r="C10" s="35">
        <v>1263891</v>
      </c>
      <c r="D10" s="35">
        <f>'DCF Model'!C34</f>
        <v>1314327.1835200002</v>
      </c>
      <c r="E10" s="35">
        <f>'DCF Model'!D34</f>
        <v>1360328.6349432</v>
      </c>
      <c r="F10" s="35">
        <f>'DCF Model'!E34</f>
        <v>1401138.493991496</v>
      </c>
      <c r="G10" s="35">
        <f>'DCF Model'!F34</f>
        <v>1436166.9563412834</v>
      </c>
      <c r="H10" s="35">
        <f>'DCF Model'!G34</f>
        <v>1472071.1302498153</v>
      </c>
    </row>
    <row r="11" spans="2:8" ht="14" customHeight="1" x14ac:dyDescent="0.3">
      <c r="B11" s="8" t="s">
        <v>177</v>
      </c>
      <c r="C11" s="9"/>
      <c r="D11" s="9"/>
      <c r="E11" s="9"/>
      <c r="F11" s="9"/>
      <c r="G11" s="9"/>
      <c r="H11" s="9"/>
    </row>
    <row r="12" spans="2:8" ht="14" customHeight="1" x14ac:dyDescent="0.3">
      <c r="B12" s="33" t="s">
        <v>178</v>
      </c>
      <c r="C12" s="35">
        <v>575965</v>
      </c>
      <c r="D12" s="35">
        <f t="shared" ref="D12:H13" si="0">D9*D5/365</f>
        <v>547860.69961643836</v>
      </c>
      <c r="E12" s="35">
        <f t="shared" si="0"/>
        <v>567035.82410301373</v>
      </c>
      <c r="F12" s="35">
        <f t="shared" si="0"/>
        <v>584046.89882610412</v>
      </c>
      <c r="G12" s="35">
        <f t="shared" si="0"/>
        <v>598648.07129675674</v>
      </c>
      <c r="H12" s="35">
        <f t="shared" si="0"/>
        <v>613614.27307917562</v>
      </c>
    </row>
    <row r="13" spans="2:8" ht="14" customHeight="1" x14ac:dyDescent="0.3">
      <c r="B13" s="33" t="s">
        <v>179</v>
      </c>
      <c r="C13" s="35">
        <v>504223</v>
      </c>
      <c r="D13" s="35">
        <f t="shared" si="0"/>
        <v>478919.22029632883</v>
      </c>
      <c r="E13" s="35">
        <f t="shared" si="0"/>
        <v>495681.39300670027</v>
      </c>
      <c r="F13" s="35">
        <f t="shared" si="0"/>
        <v>510551.83479690127</v>
      </c>
      <c r="G13" s="35">
        <f t="shared" si="0"/>
        <v>523315.63066682382</v>
      </c>
      <c r="H13" s="35">
        <f t="shared" si="0"/>
        <v>536398.5214334944</v>
      </c>
    </row>
    <row r="14" spans="2:8" ht="14" customHeight="1" x14ac:dyDescent="0.3">
      <c r="B14" s="33" t="s">
        <v>180</v>
      </c>
      <c r="C14" s="35">
        <f t="shared" ref="C14:H14" si="1">C12+C13</f>
        <v>1080188</v>
      </c>
      <c r="D14" s="35">
        <f t="shared" si="1"/>
        <v>1026779.9199127671</v>
      </c>
      <c r="E14" s="35">
        <f t="shared" si="1"/>
        <v>1062717.2171097139</v>
      </c>
      <c r="F14" s="35">
        <f t="shared" si="1"/>
        <v>1094598.7336230054</v>
      </c>
      <c r="G14" s="35">
        <f t="shared" si="1"/>
        <v>1121963.7019635807</v>
      </c>
      <c r="H14" s="35">
        <f t="shared" si="1"/>
        <v>1150012.79451267</v>
      </c>
    </row>
    <row r="15" spans="2:8" ht="14" customHeight="1" x14ac:dyDescent="0.3">
      <c r="B15" s="33" t="s">
        <v>181</v>
      </c>
      <c r="C15" s="35">
        <v>401427</v>
      </c>
      <c r="D15" s="35">
        <f>D10*D7/365</f>
        <v>327681.57178169867</v>
      </c>
      <c r="E15" s="35">
        <f>E10*E7/365</f>
        <v>339150.42679405806</v>
      </c>
      <c r="F15" s="35">
        <f>F10*F7/365</f>
        <v>349324.93959787983</v>
      </c>
      <c r="G15" s="35">
        <f>G10*G7/365</f>
        <v>358058.06308782683</v>
      </c>
      <c r="H15" s="35">
        <f>H10*H7/365</f>
        <v>367009.51466502243</v>
      </c>
    </row>
    <row r="16" spans="2:8" ht="14" customHeight="1" x14ac:dyDescent="0.3">
      <c r="B16" s="33" t="s">
        <v>182</v>
      </c>
      <c r="C16" s="35">
        <f t="shared" ref="C16:H16" si="2">C15</f>
        <v>401427</v>
      </c>
      <c r="D16" s="35">
        <f t="shared" si="2"/>
        <v>327681.57178169867</v>
      </c>
      <c r="E16" s="35">
        <f t="shared" si="2"/>
        <v>339150.42679405806</v>
      </c>
      <c r="F16" s="35">
        <f t="shared" si="2"/>
        <v>349324.93959787983</v>
      </c>
      <c r="G16" s="35">
        <f t="shared" si="2"/>
        <v>358058.06308782683</v>
      </c>
      <c r="H16" s="35">
        <f t="shared" si="2"/>
        <v>367009.51466502243</v>
      </c>
    </row>
    <row r="17" spans="2:8" ht="14" customHeight="1" x14ac:dyDescent="0.3">
      <c r="B17" s="22" t="s">
        <v>183</v>
      </c>
      <c r="C17" s="23"/>
      <c r="D17" s="23"/>
      <c r="E17" s="23"/>
      <c r="F17" s="23"/>
      <c r="G17" s="23"/>
      <c r="H17" s="23"/>
    </row>
    <row r="18" spans="2:8" ht="14" customHeight="1" x14ac:dyDescent="0.3">
      <c r="B18" s="33" t="s">
        <v>184</v>
      </c>
      <c r="C18" s="20">
        <f t="shared" ref="C18:H18" si="3">C14-C16</f>
        <v>678761</v>
      </c>
      <c r="D18" s="20">
        <f t="shared" si="3"/>
        <v>699098.34813106852</v>
      </c>
      <c r="E18" s="20">
        <f t="shared" si="3"/>
        <v>723566.79031565588</v>
      </c>
      <c r="F18" s="20">
        <f t="shared" si="3"/>
        <v>745273.79402512568</v>
      </c>
      <c r="G18" s="20">
        <f t="shared" si="3"/>
        <v>763905.63887575385</v>
      </c>
      <c r="H18" s="20">
        <f t="shared" si="3"/>
        <v>783003.27984764753</v>
      </c>
    </row>
    <row r="19" spans="2:8" ht="14" customHeight="1" x14ac:dyDescent="0.3">
      <c r="B19" s="33" t="s">
        <v>93</v>
      </c>
      <c r="C19" s="36" t="s">
        <v>41</v>
      </c>
      <c r="D19" s="24">
        <f>D18-C18</f>
        <v>20337.348131068517</v>
      </c>
      <c r="E19" s="24">
        <f>E18-D18</f>
        <v>24468.442184587358</v>
      </c>
      <c r="F19" s="24">
        <f>F18-E18</f>
        <v>21707.003709469805</v>
      </c>
      <c r="G19" s="24">
        <f>G18-F18</f>
        <v>18631.844850628171</v>
      </c>
      <c r="H19" s="24">
        <f>H18-G18</f>
        <v>19097.640971893677</v>
      </c>
    </row>
    <row r="22" spans="2:8" ht="14" customHeight="1" x14ac:dyDescent="0.3">
      <c r="B22" s="22" t="s">
        <v>185</v>
      </c>
      <c r="C22" s="23"/>
      <c r="D22" s="23"/>
      <c r="E22" s="23"/>
      <c r="F22" s="23"/>
      <c r="G22" s="23"/>
      <c r="H22" s="23"/>
    </row>
    <row r="23" spans="2:8" ht="14" customHeight="1" x14ac:dyDescent="0.3">
      <c r="D23" s="25" t="s">
        <v>79</v>
      </c>
      <c r="E23" s="25" t="s">
        <v>80</v>
      </c>
      <c r="F23" s="25" t="s">
        <v>81</v>
      </c>
      <c r="G23" s="25" t="s">
        <v>82</v>
      </c>
      <c r="H23" s="25" t="s">
        <v>83</v>
      </c>
    </row>
    <row r="24" spans="2:8" ht="14" customHeight="1" x14ac:dyDescent="0.3">
      <c r="B24" s="3" t="s">
        <v>186</v>
      </c>
    </row>
    <row r="25" spans="2:8" ht="14" customHeight="1" x14ac:dyDescent="0.3">
      <c r="B25" s="4" t="s">
        <v>77</v>
      </c>
      <c r="D25" s="30">
        <v>117</v>
      </c>
      <c r="E25" s="30">
        <v>117</v>
      </c>
      <c r="F25" s="30">
        <v>117</v>
      </c>
      <c r="G25" s="30">
        <v>117</v>
      </c>
      <c r="H25" s="30">
        <v>117</v>
      </c>
    </row>
    <row r="26" spans="2:8" ht="14" customHeight="1" x14ac:dyDescent="0.3">
      <c r="B26" s="4" t="s">
        <v>114</v>
      </c>
      <c r="D26" s="30">
        <v>112</v>
      </c>
      <c r="E26" s="30">
        <v>112</v>
      </c>
      <c r="F26" s="30">
        <v>112</v>
      </c>
      <c r="G26" s="30">
        <v>112</v>
      </c>
      <c r="H26" s="30">
        <v>112</v>
      </c>
    </row>
    <row r="27" spans="2:8" ht="14" customHeight="1" x14ac:dyDescent="0.3">
      <c r="B27" s="4" t="s">
        <v>115</v>
      </c>
      <c r="D27" s="30">
        <v>117</v>
      </c>
      <c r="E27" s="30">
        <v>117</v>
      </c>
      <c r="F27" s="30">
        <v>117</v>
      </c>
      <c r="G27" s="30">
        <v>117</v>
      </c>
      <c r="H27" s="30">
        <v>117</v>
      </c>
    </row>
    <row r="28" spans="2:8" ht="14" customHeight="1" x14ac:dyDescent="0.3">
      <c r="B28" s="4" t="s">
        <v>116</v>
      </c>
      <c r="D28" s="30">
        <v>123</v>
      </c>
      <c r="E28" s="30">
        <v>123</v>
      </c>
      <c r="F28" s="30">
        <v>123</v>
      </c>
      <c r="G28" s="30">
        <v>123</v>
      </c>
      <c r="H28" s="30">
        <v>123</v>
      </c>
    </row>
    <row r="29" spans="2:8" ht="14" customHeight="1" x14ac:dyDescent="0.3">
      <c r="B29" s="4" t="s">
        <v>117</v>
      </c>
      <c r="D29" s="30">
        <v>129</v>
      </c>
      <c r="E29" s="30">
        <v>129</v>
      </c>
      <c r="F29" s="30">
        <v>129</v>
      </c>
      <c r="G29" s="30">
        <v>129</v>
      </c>
      <c r="H29" s="30">
        <v>129</v>
      </c>
    </row>
    <row r="31" spans="2:8" ht="14" customHeight="1" x14ac:dyDescent="0.3">
      <c r="B31" s="3" t="s">
        <v>187</v>
      </c>
    </row>
    <row r="32" spans="2:8" ht="14" customHeight="1" x14ac:dyDescent="0.3">
      <c r="B32" s="4" t="s">
        <v>77</v>
      </c>
      <c r="D32" s="30">
        <v>133</v>
      </c>
      <c r="E32" s="30">
        <v>133</v>
      </c>
      <c r="F32" s="30">
        <v>133</v>
      </c>
      <c r="G32" s="30">
        <v>133</v>
      </c>
      <c r="H32" s="30">
        <v>133</v>
      </c>
    </row>
    <row r="33" spans="2:8" ht="14" customHeight="1" x14ac:dyDescent="0.3">
      <c r="B33" s="4" t="s">
        <v>114</v>
      </c>
      <c r="D33" s="30">
        <v>127</v>
      </c>
      <c r="E33" s="30">
        <v>127</v>
      </c>
      <c r="F33" s="30">
        <v>127</v>
      </c>
      <c r="G33" s="30">
        <v>127</v>
      </c>
      <c r="H33" s="30">
        <v>127</v>
      </c>
    </row>
    <row r="34" spans="2:8" ht="14" customHeight="1" x14ac:dyDescent="0.3">
      <c r="B34" s="4" t="s">
        <v>115</v>
      </c>
      <c r="D34" s="30">
        <v>133</v>
      </c>
      <c r="E34" s="30">
        <v>133</v>
      </c>
      <c r="F34" s="30">
        <v>133</v>
      </c>
      <c r="G34" s="30">
        <v>133</v>
      </c>
      <c r="H34" s="30">
        <v>133</v>
      </c>
    </row>
    <row r="35" spans="2:8" ht="14" customHeight="1" x14ac:dyDescent="0.3">
      <c r="B35" s="4" t="s">
        <v>116</v>
      </c>
      <c r="D35" s="30">
        <v>140</v>
      </c>
      <c r="E35" s="30">
        <v>140</v>
      </c>
      <c r="F35" s="30">
        <v>140</v>
      </c>
      <c r="G35" s="30">
        <v>140</v>
      </c>
      <c r="H35" s="30">
        <v>140</v>
      </c>
    </row>
    <row r="36" spans="2:8" ht="14" customHeight="1" x14ac:dyDescent="0.3">
      <c r="B36" s="4" t="s">
        <v>117</v>
      </c>
      <c r="D36" s="30">
        <v>147</v>
      </c>
      <c r="E36" s="30">
        <v>147</v>
      </c>
      <c r="F36" s="30">
        <v>147</v>
      </c>
      <c r="G36" s="30">
        <v>147</v>
      </c>
      <c r="H36" s="30">
        <v>147</v>
      </c>
    </row>
    <row r="38" spans="2:8" ht="14" customHeight="1" x14ac:dyDescent="0.3">
      <c r="B38" s="3" t="s">
        <v>188</v>
      </c>
    </row>
    <row r="39" spans="2:8" ht="14" customHeight="1" x14ac:dyDescent="0.3">
      <c r="B39" s="4" t="s">
        <v>77</v>
      </c>
      <c r="D39" s="30">
        <v>91</v>
      </c>
      <c r="E39" s="30">
        <v>91</v>
      </c>
      <c r="F39" s="30">
        <v>91</v>
      </c>
      <c r="G39" s="30">
        <v>91</v>
      </c>
      <c r="H39" s="30">
        <v>91</v>
      </c>
    </row>
    <row r="40" spans="2:8" ht="14" customHeight="1" x14ac:dyDescent="0.3">
      <c r="B40" s="4" t="s">
        <v>114</v>
      </c>
      <c r="D40" s="30">
        <v>95</v>
      </c>
      <c r="E40" s="30">
        <v>95</v>
      </c>
      <c r="F40" s="30">
        <v>95</v>
      </c>
      <c r="G40" s="30">
        <v>95</v>
      </c>
      <c r="H40" s="30">
        <v>95</v>
      </c>
    </row>
    <row r="41" spans="2:8" ht="14" customHeight="1" x14ac:dyDescent="0.3">
      <c r="B41" s="4" t="s">
        <v>115</v>
      </c>
      <c r="D41" s="30">
        <v>91</v>
      </c>
      <c r="E41" s="30">
        <v>91</v>
      </c>
      <c r="F41" s="30">
        <v>91</v>
      </c>
      <c r="G41" s="30">
        <v>91</v>
      </c>
      <c r="H41" s="30">
        <v>91</v>
      </c>
    </row>
    <row r="42" spans="2:8" ht="14" customHeight="1" x14ac:dyDescent="0.3">
      <c r="B42" s="4" t="s">
        <v>116</v>
      </c>
      <c r="D42" s="30">
        <v>86</v>
      </c>
      <c r="E42" s="30">
        <v>86</v>
      </c>
      <c r="F42" s="30">
        <v>86</v>
      </c>
      <c r="G42" s="30">
        <v>86</v>
      </c>
      <c r="H42" s="30">
        <v>86</v>
      </c>
    </row>
    <row r="43" spans="2:8" ht="14" customHeight="1" x14ac:dyDescent="0.3">
      <c r="B43" s="4" t="s">
        <v>117</v>
      </c>
      <c r="D43" s="30">
        <v>82</v>
      </c>
      <c r="E43" s="30">
        <v>82</v>
      </c>
      <c r="F43" s="30">
        <v>82</v>
      </c>
      <c r="G43" s="30">
        <v>82</v>
      </c>
      <c r="H43" s="30">
        <v>82</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189</v>
      </c>
    </row>
    <row r="3" spans="2:17" ht="14" customHeight="1" x14ac:dyDescent="0.3">
      <c r="B3" s="1" t="s">
        <v>190</v>
      </c>
    </row>
    <row r="4" spans="2:17" ht="28" customHeight="1" x14ac:dyDescent="0.3">
      <c r="B4" s="10" t="s">
        <v>3</v>
      </c>
      <c r="C4" s="10" t="s">
        <v>5</v>
      </c>
      <c r="D4" s="10" t="s">
        <v>191</v>
      </c>
      <c r="E4" s="10" t="s">
        <v>192</v>
      </c>
      <c r="F4" s="10" t="s">
        <v>193</v>
      </c>
      <c r="G4" s="10" t="s">
        <v>194</v>
      </c>
      <c r="H4" s="10" t="s">
        <v>195</v>
      </c>
      <c r="I4" s="10" t="s">
        <v>196</v>
      </c>
      <c r="J4" s="10" t="s">
        <v>197</v>
      </c>
      <c r="K4" s="10" t="s">
        <v>198</v>
      </c>
      <c r="L4" s="10" t="s">
        <v>199</v>
      </c>
      <c r="M4" s="10" t="s">
        <v>200</v>
      </c>
      <c r="N4" s="10" t="s">
        <v>201</v>
      </c>
      <c r="O4" s="10" t="s">
        <v>202</v>
      </c>
      <c r="P4" s="10" t="s">
        <v>203</v>
      </c>
      <c r="Q4" s="10" t="s">
        <v>204</v>
      </c>
    </row>
    <row r="5" spans="2:17" ht="14" customHeight="1" x14ac:dyDescent="0.3">
      <c r="B5" s="4" t="s">
        <v>205</v>
      </c>
      <c r="C5" t="s">
        <v>206</v>
      </c>
      <c r="D5" s="37">
        <f>'Executive Summary'!C9*C23/1000000</f>
        <v>2782394.9800359998</v>
      </c>
      <c r="E5" s="37">
        <f>D5+C24</f>
        <v>3117203.9800359998</v>
      </c>
      <c r="F5" s="37">
        <v>1643402</v>
      </c>
      <c r="G5" s="37">
        <v>252356</v>
      </c>
      <c r="H5" s="37">
        <v>165534</v>
      </c>
      <c r="I5" s="37">
        <v>160992</v>
      </c>
      <c r="J5" s="38">
        <f t="shared" ref="J5:J10" si="0">IFERROR(E5/G5,"")</f>
        <v>12.352406838101729</v>
      </c>
      <c r="K5" s="38">
        <f t="shared" ref="K5:K10" si="1">IFERROR(E5/F5,"")</f>
        <v>1.8967994319320529</v>
      </c>
      <c r="L5" s="38">
        <f t="shared" ref="L5:L10" si="2">IFERROR(D5/I5,"")</f>
        <v>17.282815171163783</v>
      </c>
      <c r="M5" s="38">
        <f t="shared" ref="M5:M10" si="3">IFERROR(D5/P5,"")</f>
        <v>4.2658870697516109</v>
      </c>
      <c r="N5" s="39">
        <f t="shared" ref="N5:N10" si="4">IFERROR(H5/F5,"")</f>
        <v>0.10072641995080936</v>
      </c>
      <c r="O5" s="39">
        <f t="shared" ref="O5:O10" si="5">IFERROR(I5/P5,"")</f>
        <v>0.24682825266043484</v>
      </c>
      <c r="P5" s="37">
        <v>652243</v>
      </c>
    </row>
    <row r="6" spans="2:17" ht="14" customHeight="1" x14ac:dyDescent="0.3">
      <c r="B6" s="4" t="s">
        <v>207</v>
      </c>
      <c r="C6" t="s">
        <v>208</v>
      </c>
      <c r="D6" s="37">
        <v>2124926</v>
      </c>
      <c r="E6" s="37">
        <v>2009512</v>
      </c>
      <c r="F6" s="37">
        <v>2311267</v>
      </c>
      <c r="G6" s="37">
        <v>214393</v>
      </c>
      <c r="H6" s="37">
        <v>120962</v>
      </c>
      <c r="I6" s="37">
        <v>108157</v>
      </c>
      <c r="J6" s="38">
        <f t="shared" si="0"/>
        <v>9.3730299030285504</v>
      </c>
      <c r="K6" s="38">
        <f t="shared" si="1"/>
        <v>0.86944173909807909</v>
      </c>
      <c r="L6" s="38">
        <f t="shared" si="2"/>
        <v>19.646680288839374</v>
      </c>
      <c r="M6" s="38">
        <f t="shared" si="3"/>
        <v>2.4198555779898214</v>
      </c>
      <c r="N6" s="39">
        <f t="shared" si="4"/>
        <v>5.2335796772938828E-2</v>
      </c>
      <c r="O6" s="39">
        <f t="shared" si="5"/>
        <v>0.12316867493204239</v>
      </c>
      <c r="P6" s="37">
        <v>878121</v>
      </c>
    </row>
    <row r="7" spans="2:17" ht="14" customHeight="1" x14ac:dyDescent="0.3">
      <c r="B7" s="4" t="s">
        <v>209</v>
      </c>
      <c r="C7" t="s">
        <v>210</v>
      </c>
      <c r="D7" s="37">
        <v>12614226</v>
      </c>
      <c r="E7" s="37">
        <v>12155592</v>
      </c>
      <c r="F7" s="37">
        <v>4361127</v>
      </c>
      <c r="G7" s="37">
        <v>518217</v>
      </c>
      <c r="H7" s="37">
        <v>357574</v>
      </c>
      <c r="I7" s="37">
        <v>245447</v>
      </c>
      <c r="J7" s="38">
        <f t="shared" si="0"/>
        <v>23.456567422527627</v>
      </c>
      <c r="K7" s="38">
        <f t="shared" si="1"/>
        <v>2.7872593483289982</v>
      </c>
      <c r="L7" s="38">
        <f t="shared" si="2"/>
        <v>51.392870966033399</v>
      </c>
      <c r="M7" s="38">
        <f t="shared" si="3"/>
        <v>4.0841691581141539</v>
      </c>
      <c r="N7" s="39">
        <f t="shared" si="4"/>
        <v>8.1991191726358811E-2</v>
      </c>
      <c r="O7" s="39">
        <f t="shared" si="5"/>
        <v>7.946956613522263E-2</v>
      </c>
      <c r="P7" s="37">
        <v>3088566</v>
      </c>
    </row>
    <row r="8" spans="2:17" ht="14" customHeight="1" x14ac:dyDescent="0.3">
      <c r="B8" s="4" t="s">
        <v>211</v>
      </c>
      <c r="C8" t="s">
        <v>212</v>
      </c>
      <c r="D8" s="37">
        <v>24068208</v>
      </c>
      <c r="E8" s="37">
        <v>23753765</v>
      </c>
      <c r="F8" s="37">
        <v>10586781</v>
      </c>
      <c r="G8" s="37">
        <v>1657248</v>
      </c>
      <c r="H8" s="37">
        <v>1199275</v>
      </c>
      <c r="I8" s="37">
        <v>802368</v>
      </c>
      <c r="J8" s="38">
        <f t="shared" si="0"/>
        <v>14.333259113904496</v>
      </c>
      <c r="K8" s="38">
        <f t="shared" si="1"/>
        <v>2.2437193137366305</v>
      </c>
      <c r="L8" s="38">
        <f t="shared" si="2"/>
        <v>29.996470447475474</v>
      </c>
      <c r="M8" s="38">
        <f t="shared" si="3"/>
        <v>3.6642594226968672</v>
      </c>
      <c r="N8" s="39">
        <f t="shared" si="4"/>
        <v>0.1132804201768224</v>
      </c>
      <c r="O8" s="39">
        <f t="shared" si="5"/>
        <v>0.12215635266532682</v>
      </c>
      <c r="P8" s="37">
        <v>6568369</v>
      </c>
    </row>
    <row r="9" spans="2:17" ht="14" customHeight="1" x14ac:dyDescent="0.3">
      <c r="B9" s="4" t="s">
        <v>213</v>
      </c>
      <c r="C9" t="s">
        <v>214</v>
      </c>
      <c r="D9" s="37">
        <v>10739696</v>
      </c>
      <c r="E9" s="37">
        <v>10371365</v>
      </c>
      <c r="F9" s="37">
        <v>5894747</v>
      </c>
      <c r="G9" s="37">
        <v>666879</v>
      </c>
      <c r="H9" s="37">
        <v>433095</v>
      </c>
      <c r="I9" s="37">
        <v>407758</v>
      </c>
      <c r="J9" s="38">
        <f t="shared" si="0"/>
        <v>15.552094158010673</v>
      </c>
      <c r="K9" s="38">
        <f t="shared" si="1"/>
        <v>1.7594249592052043</v>
      </c>
      <c r="L9" s="38">
        <f t="shared" si="2"/>
        <v>26.338406603917029</v>
      </c>
      <c r="M9" s="38">
        <f t="shared" si="3"/>
        <v>2.3949730011555959</v>
      </c>
      <c r="N9" s="39">
        <f t="shared" si="4"/>
        <v>7.3471346607411656E-2</v>
      </c>
      <c r="O9" s="39">
        <f t="shared" si="5"/>
        <v>9.0930823461409294E-2</v>
      </c>
      <c r="P9" s="37">
        <v>4484266</v>
      </c>
    </row>
    <row r="10" spans="2:17" ht="14" customHeight="1" x14ac:dyDescent="0.3">
      <c r="B10" s="4" t="s">
        <v>215</v>
      </c>
      <c r="C10" t="s">
        <v>216</v>
      </c>
      <c r="D10" s="37">
        <v>5705891</v>
      </c>
      <c r="E10" s="37">
        <v>5866992</v>
      </c>
      <c r="F10" s="37">
        <v>5015036</v>
      </c>
      <c r="G10" s="37">
        <v>691198</v>
      </c>
      <c r="H10" s="37">
        <v>414992</v>
      </c>
      <c r="I10" s="37">
        <v>275229</v>
      </c>
      <c r="J10" s="38">
        <f t="shared" si="0"/>
        <v>8.4881495606179413</v>
      </c>
      <c r="K10" s="38">
        <f t="shared" si="1"/>
        <v>1.1698803358540197</v>
      </c>
      <c r="L10" s="38">
        <f t="shared" si="2"/>
        <v>20.731430917526861</v>
      </c>
      <c r="M10" s="38">
        <f t="shared" si="3"/>
        <v>1.7531493382395413</v>
      </c>
      <c r="N10" s="39">
        <f t="shared" si="4"/>
        <v>8.2749555536590372E-2</v>
      </c>
      <c r="O10" s="39">
        <f t="shared" si="5"/>
        <v>8.4564801398121822E-2</v>
      </c>
      <c r="P10" s="37">
        <v>3254652</v>
      </c>
    </row>
    <row r="14" spans="2:17" ht="14" customHeight="1" x14ac:dyDescent="0.3">
      <c r="B14" s="3" t="s">
        <v>217</v>
      </c>
    </row>
    <row r="15" spans="2:17" ht="14" customHeight="1" x14ac:dyDescent="0.3">
      <c r="B15" s="4" t="s">
        <v>218</v>
      </c>
      <c r="D15" s="38">
        <f t="shared" ref="D15:I15" si="6">PERCENTILE(J6:J10,0.25)</f>
        <v>9.3730299030285504</v>
      </c>
      <c r="E15" s="38">
        <f t="shared" si="6"/>
        <v>1.1698803358540197</v>
      </c>
      <c r="F15" s="38">
        <f t="shared" si="6"/>
        <v>20.731430917526861</v>
      </c>
      <c r="G15" s="38">
        <f t="shared" si="6"/>
        <v>2.3949730011555959</v>
      </c>
      <c r="H15" s="39">
        <f t="shared" si="6"/>
        <v>7.3471346607411656E-2</v>
      </c>
      <c r="I15" s="39">
        <f t="shared" si="6"/>
        <v>8.4564801398121822E-2</v>
      </c>
    </row>
    <row r="16" spans="2:17" ht="14" customHeight="1" x14ac:dyDescent="0.3">
      <c r="B16" s="4" t="s">
        <v>219</v>
      </c>
      <c r="D16" s="38">
        <f t="shared" ref="D16:I16" si="7">MEDIAN(J6:J10)</f>
        <v>14.333259113904496</v>
      </c>
      <c r="E16" s="38">
        <f t="shared" si="7"/>
        <v>1.7594249592052043</v>
      </c>
      <c r="F16" s="38">
        <f t="shared" si="7"/>
        <v>26.338406603917029</v>
      </c>
      <c r="G16" s="38">
        <f t="shared" si="7"/>
        <v>2.4198555779898214</v>
      </c>
      <c r="H16" s="39">
        <f t="shared" si="7"/>
        <v>8.1991191726358811E-2</v>
      </c>
      <c r="I16" s="39">
        <f t="shared" si="7"/>
        <v>9.0930823461409294E-2</v>
      </c>
    </row>
    <row r="17" spans="2:9" ht="14" customHeight="1" x14ac:dyDescent="0.3">
      <c r="B17" s="4" t="s">
        <v>220</v>
      </c>
      <c r="D17" s="38">
        <f t="shared" ref="D17:I17" si="8">PERCENTILE(J6:J10,0.75)</f>
        <v>15.552094158010673</v>
      </c>
      <c r="E17" s="38">
        <f t="shared" si="8"/>
        <v>2.2437193137366305</v>
      </c>
      <c r="F17" s="38">
        <f t="shared" si="8"/>
        <v>29.996470447475474</v>
      </c>
      <c r="G17" s="38">
        <f t="shared" si="8"/>
        <v>3.6642594226968672</v>
      </c>
      <c r="H17" s="39">
        <f t="shared" si="8"/>
        <v>8.2749555536590372E-2</v>
      </c>
      <c r="I17" s="39">
        <f t="shared" si="8"/>
        <v>0.12215635266532682</v>
      </c>
    </row>
    <row r="19" spans="2:9" ht="14" customHeight="1" x14ac:dyDescent="0.3">
      <c r="B19" s="22" t="s">
        <v>221</v>
      </c>
      <c r="C19" s="23"/>
      <c r="D19" s="23"/>
      <c r="E19" s="23"/>
      <c r="F19" s="23"/>
      <c r="G19" s="23"/>
      <c r="H19" s="23"/>
      <c r="I19" s="23"/>
    </row>
    <row r="20" spans="2:9" ht="14" customHeight="1" x14ac:dyDescent="0.3">
      <c r="B20" s="3" t="s">
        <v>222</v>
      </c>
    </row>
    <row r="21" spans="2:9" ht="14" customHeight="1" x14ac:dyDescent="0.3">
      <c r="B21" s="4" t="s">
        <v>223</v>
      </c>
      <c r="C21" s="5">
        <v>252356</v>
      </c>
    </row>
    <row r="22" spans="2:9" ht="14" customHeight="1" x14ac:dyDescent="0.3">
      <c r="B22" s="4" t="s">
        <v>224</v>
      </c>
      <c r="C22" s="5">
        <v>160992</v>
      </c>
    </row>
    <row r="23" spans="2:9" ht="14" customHeight="1" x14ac:dyDescent="0.3">
      <c r="B23" s="4" t="s">
        <v>225</v>
      </c>
      <c r="C23" s="15">
        <v>1060161928</v>
      </c>
    </row>
    <row r="24" spans="2:9" ht="14" customHeight="1" x14ac:dyDescent="0.3">
      <c r="B24" s="4" t="s">
        <v>66</v>
      </c>
      <c r="C24" s="5">
        <v>334809</v>
      </c>
    </row>
    <row r="26" spans="2:9" ht="14" customHeight="1" x14ac:dyDescent="0.3">
      <c r="B26" s="3" t="s">
        <v>226</v>
      </c>
    </row>
    <row r="27" spans="2:9" ht="14" customHeight="1" x14ac:dyDescent="0.3">
      <c r="B27" s="4" t="s">
        <v>227</v>
      </c>
      <c r="C27" s="24">
        <f>ROUND((C21*D16-C24)*1000000/C23,0)</f>
        <v>3096</v>
      </c>
    </row>
    <row r="28" spans="2:9" ht="14" customHeight="1" x14ac:dyDescent="0.3">
      <c r="B28" s="4" t="s">
        <v>228</v>
      </c>
      <c r="C28" s="24">
        <f>ROUND(C22*F16*1000000/C23,0)</f>
        <v>4000</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229</v>
      </c>
    </row>
    <row r="3" spans="2:9" ht="14" customHeight="1" x14ac:dyDescent="0.3">
      <c r="B3" s="4" t="s">
        <v>230</v>
      </c>
      <c r="C3" s="16">
        <f>'DCF Model'!C26</f>
        <v>8.7364143532982233E-2</v>
      </c>
      <c r="E3" s="4" t="s">
        <v>231</v>
      </c>
      <c r="F3" s="16">
        <f>'DCF Model'!C13</f>
        <v>0.01</v>
      </c>
      <c r="H3" s="4" t="s">
        <v>232</v>
      </c>
      <c r="I3" s="14">
        <f>'DCF Model'!C14</f>
        <v>14.3</v>
      </c>
    </row>
    <row r="5" spans="2:9" ht="14" customHeight="1" x14ac:dyDescent="0.3">
      <c r="B5" s="3" t="s">
        <v>233</v>
      </c>
    </row>
    <row r="6" spans="2:9" ht="14" customHeight="1" x14ac:dyDescent="0.3">
      <c r="B6" s="40" t="s">
        <v>234</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7.2364143532982234E-2</v>
      </c>
      <c r="C7" s="37">
        <f>IFERROR(ROUND(('DCF Model'!C45/(1+$B7)^('DCF Model'!C19+0)+'DCF Model'!D45/(1+$B7)^('DCF Model'!C19+1)+'DCF Model'!E45/(1+$B7)^('DCF Model'!C19+2)+'DCF Model'!F45/(1+$B7)^('DCF Model'!C19+3)+'DCF Model'!G45/(1+$B7)^('DCF Model'!C19+4)+'DCF Model'!G45*(1+C$6)/($B7-C$6)/(1+$B7)^('DCF Model'!C19+4)-'DCF Model'!C16)*1000000/'DCF Model'!C15,0),"")</f>
        <v>1036</v>
      </c>
      <c r="D7" s="37">
        <f>IFERROR(ROUND(('DCF Model'!C45/(1+$B7)^('DCF Model'!C19+0)+'DCF Model'!D45/(1+$B7)^('DCF Model'!C19+1)+'DCF Model'!E45/(1+$B7)^('DCF Model'!C19+2)+'DCF Model'!F45/(1+$B7)^('DCF Model'!C19+3)+'DCF Model'!G45/(1+$B7)^('DCF Model'!C19+4)+'DCF Model'!G45*(1+D$6)/($B7-D$6)/(1+$B7)^('DCF Model'!C19+4)-'DCF Model'!C16)*1000000/'DCF Model'!C15,0),"")</f>
        <v>1075</v>
      </c>
      <c r="E7" s="37">
        <f>IFERROR(ROUND(('DCF Model'!C45/(1+$B7)^('DCF Model'!C19+0)+'DCF Model'!D45/(1+$B7)^('DCF Model'!C19+1)+'DCF Model'!E45/(1+$B7)^('DCF Model'!C19+2)+'DCF Model'!F45/(1+$B7)^('DCF Model'!C19+3)+'DCF Model'!G45/(1+$B7)^('DCF Model'!C19+4)+'DCF Model'!G45*(1+E$6)/($B7-E$6)/(1+$B7)^('DCF Model'!C19+4)-'DCF Model'!C16)*1000000/'DCF Model'!C15,0),"")</f>
        <v>1116</v>
      </c>
      <c r="F7" s="37">
        <f>IFERROR(ROUND(('DCF Model'!C45/(1+$B7)^('DCF Model'!C19+0)+'DCF Model'!D45/(1+$B7)^('DCF Model'!C19+1)+'DCF Model'!E45/(1+$B7)^('DCF Model'!C19+2)+'DCF Model'!F45/(1+$B7)^('DCF Model'!C19+3)+'DCF Model'!G45/(1+$B7)^('DCF Model'!C19+4)+'DCF Model'!G45*(1+F$6)/($B7-F$6)/(1+$B7)^('DCF Model'!C19+4)-'DCF Model'!C16)*1000000/'DCF Model'!C15,0),"")</f>
        <v>1161</v>
      </c>
      <c r="G7" s="37">
        <f>IFERROR(ROUND(('DCF Model'!C45/(1+$B7)^('DCF Model'!C19+0)+'DCF Model'!D45/(1+$B7)^('DCF Model'!C19+1)+'DCF Model'!E45/(1+$B7)^('DCF Model'!C19+2)+'DCF Model'!F45/(1+$B7)^('DCF Model'!C19+3)+'DCF Model'!G45/(1+$B7)^('DCF Model'!C19+4)+'DCF Model'!G45*(1+G$6)/($B7-G$6)/(1+$B7)^('DCF Model'!C19+4)-'DCF Model'!C16)*1000000/'DCF Model'!C15,0),"")</f>
        <v>1209</v>
      </c>
      <c r="H7" s="37">
        <f>IFERROR(ROUND(('DCF Model'!C45/(1+$B7)^('DCF Model'!C19+0)+'DCF Model'!D45/(1+$B7)^('DCF Model'!C19+1)+'DCF Model'!E45/(1+$B7)^('DCF Model'!C19+2)+'DCF Model'!F45/(1+$B7)^('DCF Model'!C19+3)+'DCF Model'!G45/(1+$B7)^('DCF Model'!C19+4)+'DCF Model'!G45*(1+H$6)/($B7-H$6)/(1+$B7)^('DCF Model'!C19+4)-'DCF Model'!C16)*1000000/'DCF Model'!C15,0),"")</f>
        <v>1262</v>
      </c>
      <c r="I7" s="37">
        <f>IFERROR(ROUND(('DCF Model'!C45/(1+$B7)^('DCF Model'!C19+0)+'DCF Model'!D45/(1+$B7)^('DCF Model'!C19+1)+'DCF Model'!E45/(1+$B7)^('DCF Model'!C19+2)+'DCF Model'!F45/(1+$B7)^('DCF Model'!C19+3)+'DCF Model'!G45/(1+$B7)^('DCF Model'!C19+4)+'DCF Model'!G45*(1+I$6)/($B7-I$6)/(1+$B7)^('DCF Model'!C19+4)-'DCF Model'!C16)*1000000/'DCF Model'!C15,0),"")</f>
        <v>1320</v>
      </c>
    </row>
    <row r="8" spans="2:9" ht="13.5" customHeight="1" x14ac:dyDescent="0.25">
      <c r="B8" s="39">
        <f>$C$3-0.01</f>
        <v>7.7364143532982238E-2</v>
      </c>
      <c r="C8" s="37">
        <f>IFERROR(ROUND(('DCF Model'!C45/(1+$B8)^('DCF Model'!C19+0)+'DCF Model'!D45/(1+$B8)^('DCF Model'!C19+1)+'DCF Model'!E45/(1+$B8)^('DCF Model'!C19+2)+'DCF Model'!F45/(1+$B8)^('DCF Model'!C19+3)+'DCF Model'!G45/(1+$B8)^('DCF Model'!C19+4)+'DCF Model'!G45*(1+C$6)/($B8-C$6)/(1+$B8)^('DCF Model'!C19+4)-'DCF Model'!C16)*1000000/'DCF Model'!C15,0),"")</f>
        <v>946</v>
      </c>
      <c r="D8" s="37">
        <f>IFERROR(ROUND(('DCF Model'!C45/(1+$B8)^('DCF Model'!C19+0)+'DCF Model'!D45/(1+$B8)^('DCF Model'!C19+1)+'DCF Model'!E45/(1+$B8)^('DCF Model'!C19+2)+'DCF Model'!F45/(1+$B8)^('DCF Model'!C19+3)+'DCF Model'!G45/(1+$B8)^('DCF Model'!C19+4)+'DCF Model'!G45*(1+D$6)/($B8-D$6)/(1+$B8)^('DCF Model'!C19+4)-'DCF Model'!C16)*1000000/'DCF Model'!C15,0),"")</f>
        <v>978</v>
      </c>
      <c r="E8" s="37">
        <f>IFERROR(ROUND(('DCF Model'!C45/(1+$B8)^('DCF Model'!C19+0)+'DCF Model'!D45/(1+$B8)^('DCF Model'!C19+1)+'DCF Model'!E45/(1+$B8)^('DCF Model'!C19+2)+'DCF Model'!F45/(1+$B8)^('DCF Model'!C19+3)+'DCF Model'!G45/(1+$B8)^('DCF Model'!C19+4)+'DCF Model'!G45*(1+E$6)/($B8-E$6)/(1+$B8)^('DCF Model'!C19+4)-'DCF Model'!C16)*1000000/'DCF Model'!C15,0),"")</f>
        <v>1014</v>
      </c>
      <c r="F8" s="37">
        <f>IFERROR(ROUND(('DCF Model'!C45/(1+$B8)^('DCF Model'!C19+0)+'DCF Model'!D45/(1+$B8)^('DCF Model'!C19+1)+'DCF Model'!E45/(1+$B8)^('DCF Model'!C19+2)+'DCF Model'!F45/(1+$B8)^('DCF Model'!C19+3)+'DCF Model'!G45/(1+$B8)^('DCF Model'!C19+4)+'DCF Model'!G45*(1+F$6)/($B8-F$6)/(1+$B8)^('DCF Model'!C19+4)-'DCF Model'!C16)*1000000/'DCF Model'!C15,0),"")</f>
        <v>1051</v>
      </c>
      <c r="G8" s="37">
        <f>IFERROR(ROUND(('DCF Model'!C45/(1+$B8)^('DCF Model'!C19+0)+'DCF Model'!D45/(1+$B8)^('DCF Model'!C19+1)+'DCF Model'!E45/(1+$B8)^('DCF Model'!C19+2)+'DCF Model'!F45/(1+$B8)^('DCF Model'!C19+3)+'DCF Model'!G45/(1+$B8)^('DCF Model'!C19+4)+'DCF Model'!G45*(1+G$6)/($B8-G$6)/(1+$B8)^('DCF Model'!C19+4)-'DCF Model'!C16)*1000000/'DCF Model'!C15,0),"")</f>
        <v>1092</v>
      </c>
      <c r="H8" s="37">
        <f>IFERROR(ROUND(('DCF Model'!C45/(1+$B8)^('DCF Model'!C19+0)+'DCF Model'!D45/(1+$B8)^('DCF Model'!C19+1)+'DCF Model'!E45/(1+$B8)^('DCF Model'!C19+2)+'DCF Model'!F45/(1+$B8)^('DCF Model'!C19+3)+'DCF Model'!G45/(1+$B8)^('DCF Model'!C19+4)+'DCF Model'!G45*(1+H$6)/($B8-H$6)/(1+$B8)^('DCF Model'!C19+4)-'DCF Model'!C16)*1000000/'DCF Model'!C15,0),"")</f>
        <v>1136</v>
      </c>
      <c r="I8" s="37">
        <f>IFERROR(ROUND(('DCF Model'!C45/(1+$B8)^('DCF Model'!C19+0)+'DCF Model'!D45/(1+$B8)^('DCF Model'!C19+1)+'DCF Model'!E45/(1+$B8)^('DCF Model'!C19+2)+'DCF Model'!F45/(1+$B8)^('DCF Model'!C19+3)+'DCF Model'!G45/(1+$B8)^('DCF Model'!C19+4)+'DCF Model'!G45*(1+I$6)/($B8-I$6)/(1+$B8)^('DCF Model'!C19+4)-'DCF Model'!C16)*1000000/'DCF Model'!C15,0),"")</f>
        <v>1184</v>
      </c>
    </row>
    <row r="9" spans="2:9" ht="13.5" customHeight="1" x14ac:dyDescent="0.25">
      <c r="B9" s="39">
        <f>$C$3-0.005</f>
        <v>8.2364143532982229E-2</v>
      </c>
      <c r="C9" s="37">
        <f>IFERROR(ROUND(('DCF Model'!C45/(1+$B9)^('DCF Model'!C19+0)+'DCF Model'!D45/(1+$B9)^('DCF Model'!C19+1)+'DCF Model'!E45/(1+$B9)^('DCF Model'!C19+2)+'DCF Model'!F45/(1+$B9)^('DCF Model'!C19+3)+'DCF Model'!G45/(1+$B9)^('DCF Model'!C19+4)+'DCF Model'!G45*(1+C$6)/($B9-C$6)/(1+$B9)^('DCF Model'!C19+4)-'DCF Model'!C16)*1000000/'DCF Model'!C15,0),"")</f>
        <v>866</v>
      </c>
      <c r="D9" s="37">
        <f>IFERROR(ROUND(('DCF Model'!C45/(1+$B9)^('DCF Model'!C19+0)+'DCF Model'!D45/(1+$B9)^('DCF Model'!C19+1)+'DCF Model'!E45/(1+$B9)^('DCF Model'!C19+2)+'DCF Model'!F45/(1+$B9)^('DCF Model'!C19+3)+'DCF Model'!G45/(1+$B9)^('DCF Model'!C19+4)+'DCF Model'!G45*(1+D$6)/($B9-D$6)/(1+$B9)^('DCF Model'!C19+4)-'DCF Model'!C16)*1000000/'DCF Model'!C15,0),"")</f>
        <v>895</v>
      </c>
      <c r="E9" s="37">
        <f>IFERROR(ROUND(('DCF Model'!C45/(1+$B9)^('DCF Model'!C19+0)+'DCF Model'!D45/(1+$B9)^('DCF Model'!C19+1)+'DCF Model'!E45/(1+$B9)^('DCF Model'!C19+2)+'DCF Model'!F45/(1+$B9)^('DCF Model'!C19+3)+'DCF Model'!G45/(1+$B9)^('DCF Model'!C19+4)+'DCF Model'!G45*(1+E$6)/($B9-E$6)/(1+$B9)^('DCF Model'!C19+4)-'DCF Model'!C16)*1000000/'DCF Model'!C15,0),"")</f>
        <v>925</v>
      </c>
      <c r="F9" s="37">
        <f>IFERROR(ROUND(('DCF Model'!C45/(1+$B9)^('DCF Model'!C19+0)+'DCF Model'!D45/(1+$B9)^('DCF Model'!C19+1)+'DCF Model'!E45/(1+$B9)^('DCF Model'!C19+2)+'DCF Model'!F45/(1+$B9)^('DCF Model'!C19+3)+'DCF Model'!G45/(1+$B9)^('DCF Model'!C19+4)+'DCF Model'!G45*(1+F$6)/($B9-F$6)/(1+$B9)^('DCF Model'!C19+4)-'DCF Model'!C16)*1000000/'DCF Model'!C15,0),"")</f>
        <v>957</v>
      </c>
      <c r="G9" s="37">
        <f>IFERROR(ROUND(('DCF Model'!C45/(1+$B9)^('DCF Model'!C19+0)+'DCF Model'!D45/(1+$B9)^('DCF Model'!C19+1)+'DCF Model'!E45/(1+$B9)^('DCF Model'!C19+2)+'DCF Model'!F45/(1+$B9)^('DCF Model'!C19+3)+'DCF Model'!G45/(1+$B9)^('DCF Model'!C19+4)+'DCF Model'!G45*(1+G$6)/($B9-G$6)/(1+$B9)^('DCF Model'!C19+4)-'DCF Model'!C16)*1000000/'DCF Model'!C15,0),"")</f>
        <v>991</v>
      </c>
      <c r="H9" s="37">
        <f>IFERROR(ROUND(('DCF Model'!C45/(1+$B9)^('DCF Model'!C19+0)+'DCF Model'!D45/(1+$B9)^('DCF Model'!C19+1)+'DCF Model'!E45/(1+$B9)^('DCF Model'!C19+2)+'DCF Model'!F45/(1+$B9)^('DCF Model'!C19+3)+'DCF Model'!G45/(1+$B9)^('DCF Model'!C19+4)+'DCF Model'!G45*(1+H$6)/($B9-H$6)/(1+$B9)^('DCF Model'!C19+4)-'DCF Model'!C16)*1000000/'DCF Model'!C15,0),"")</f>
        <v>1029</v>
      </c>
      <c r="I9" s="37">
        <f>IFERROR(ROUND(('DCF Model'!C45/(1+$B9)^('DCF Model'!C19+0)+'DCF Model'!D45/(1+$B9)^('DCF Model'!C19+1)+'DCF Model'!E45/(1+$B9)^('DCF Model'!C19+2)+'DCF Model'!F45/(1+$B9)^('DCF Model'!C19+3)+'DCF Model'!G45/(1+$B9)^('DCF Model'!C19+4)+'DCF Model'!G45*(1+I$6)/($B9-I$6)/(1+$B9)^('DCF Model'!C19+4)-'DCF Model'!C16)*1000000/'DCF Model'!C15,0),"")</f>
        <v>1068</v>
      </c>
    </row>
    <row r="10" spans="2:9" ht="13.5" customHeight="1" x14ac:dyDescent="0.25">
      <c r="B10" s="39">
        <f>$C$3</f>
        <v>8.7364143532982233E-2</v>
      </c>
      <c r="C10" s="37">
        <f>IFERROR(ROUND(('DCF Model'!C45/(1+$B10)^('DCF Model'!C19+0)+'DCF Model'!D45/(1+$B10)^('DCF Model'!C19+1)+'DCF Model'!E45/(1+$B10)^('DCF Model'!C19+2)+'DCF Model'!F45/(1+$B10)^('DCF Model'!C19+3)+'DCF Model'!G45/(1+$B10)^('DCF Model'!C19+4)+'DCF Model'!G45*(1+C$6)/($B10-C$6)/(1+$B10)^('DCF Model'!C19+4)-'DCF Model'!C16)*1000000/'DCF Model'!C15,0),"")</f>
        <v>797</v>
      </c>
      <c r="D10" s="37">
        <f>IFERROR(ROUND(('DCF Model'!C45/(1+$B10)^('DCF Model'!C19+0)+'DCF Model'!D45/(1+$B10)^('DCF Model'!C19+1)+'DCF Model'!E45/(1+$B10)^('DCF Model'!C19+2)+'DCF Model'!F45/(1+$B10)^('DCF Model'!C19+3)+'DCF Model'!G45/(1+$B10)^('DCF Model'!C19+4)+'DCF Model'!G45*(1+D$6)/($B10-D$6)/(1+$B10)^('DCF Model'!C19+4)-'DCF Model'!C16)*1000000/'DCF Model'!C15,0),"")</f>
        <v>821</v>
      </c>
      <c r="E10" s="37">
        <f>IFERROR(ROUND(('DCF Model'!C45/(1+$B10)^('DCF Model'!C19+0)+'DCF Model'!D45/(1+$B10)^('DCF Model'!C19+1)+'DCF Model'!E45/(1+$B10)^('DCF Model'!C19+2)+'DCF Model'!F45/(1+$B10)^('DCF Model'!C19+3)+'DCF Model'!G45/(1+$B10)^('DCF Model'!C19+4)+'DCF Model'!G45*(1+E$6)/($B10-E$6)/(1+$B10)^('DCF Model'!C19+4)-'DCF Model'!C16)*1000000/'DCF Model'!C15,0),"")</f>
        <v>847</v>
      </c>
      <c r="F10" s="37">
        <f>IFERROR(ROUND(('DCF Model'!C45/(1+$B10)^('DCF Model'!C19+0)+'DCF Model'!D45/(1+$B10)^('DCF Model'!C19+1)+'DCF Model'!E45/(1+$B10)^('DCF Model'!C19+2)+'DCF Model'!F45/(1+$B10)^('DCF Model'!C19+3)+'DCF Model'!G45/(1+$B10)^('DCF Model'!C19+4)+'DCF Model'!G45*(1+F$6)/($B10-F$6)/(1+$B10)^('DCF Model'!C19+4)-'DCF Model'!C16)*1000000/'DCF Model'!C15,0),"")</f>
        <v>875</v>
      </c>
      <c r="G10" s="37">
        <f>IFERROR(ROUND(('DCF Model'!C45/(1+$B10)^('DCF Model'!C19+0)+'DCF Model'!D45/(1+$B10)^('DCF Model'!C19+1)+'DCF Model'!E45/(1+$B10)^('DCF Model'!C19+2)+'DCF Model'!F45/(1+$B10)^('DCF Model'!C19+3)+'DCF Model'!G45/(1+$B10)^('DCF Model'!C19+4)+'DCF Model'!G45*(1+G$6)/($B10-G$6)/(1+$B10)^('DCF Model'!C19+4)-'DCF Model'!C16)*1000000/'DCF Model'!C15,0),"")</f>
        <v>904</v>
      </c>
      <c r="H10" s="37">
        <f>IFERROR(ROUND(('DCF Model'!C45/(1+$B10)^('DCF Model'!C19+0)+'DCF Model'!D45/(1+$B10)^('DCF Model'!C19+1)+'DCF Model'!E45/(1+$B10)^('DCF Model'!C19+2)+'DCF Model'!F45/(1+$B10)^('DCF Model'!C19+3)+'DCF Model'!G45/(1+$B10)^('DCF Model'!C19+4)+'DCF Model'!G45*(1+H$6)/($B10-H$6)/(1+$B10)^('DCF Model'!C19+4)-'DCF Model'!C16)*1000000/'DCF Model'!C15,0),"")</f>
        <v>936</v>
      </c>
      <c r="I10" s="37">
        <f>IFERROR(ROUND(('DCF Model'!C45/(1+$B10)^('DCF Model'!C19+0)+'DCF Model'!D45/(1+$B10)^('DCF Model'!C19+1)+'DCF Model'!E45/(1+$B10)^('DCF Model'!C19+2)+'DCF Model'!F45/(1+$B10)^('DCF Model'!C19+3)+'DCF Model'!G45/(1+$B10)^('DCF Model'!C19+4)+'DCF Model'!G45*(1+I$6)/($B10-I$6)/(1+$B10)^('DCF Model'!C19+4)-'DCF Model'!C16)*1000000/'DCF Model'!C15,0),"")</f>
        <v>970</v>
      </c>
    </row>
    <row r="11" spans="2:9" ht="13.5" customHeight="1" x14ac:dyDescent="0.25">
      <c r="B11" s="39">
        <f>$C$3+0.005</f>
        <v>9.2364143532982237E-2</v>
      </c>
      <c r="C11" s="37">
        <f>IFERROR(ROUND(('DCF Model'!C45/(1+$B11)^('DCF Model'!C19+0)+'DCF Model'!D45/(1+$B11)^('DCF Model'!C19+1)+'DCF Model'!E45/(1+$B11)^('DCF Model'!C19+2)+'DCF Model'!F45/(1+$B11)^('DCF Model'!C19+3)+'DCF Model'!G45/(1+$B11)^('DCF Model'!C19+4)+'DCF Model'!G45*(1+C$6)/($B11-C$6)/(1+$B11)^('DCF Model'!C19+4)-'DCF Model'!C16)*1000000/'DCF Model'!C15,0),"")</f>
        <v>734</v>
      </c>
      <c r="D11" s="37">
        <f>IFERROR(ROUND(('DCF Model'!C45/(1+$B11)^('DCF Model'!C19+0)+'DCF Model'!D45/(1+$B11)^('DCF Model'!C19+1)+'DCF Model'!E45/(1+$B11)^('DCF Model'!C19+2)+'DCF Model'!F45/(1+$B11)^('DCF Model'!C19+3)+'DCF Model'!G45/(1+$B11)^('DCF Model'!C19+4)+'DCF Model'!G45*(1+D$6)/($B11-D$6)/(1+$B11)^('DCF Model'!C19+4)-'DCF Model'!C16)*1000000/'DCF Model'!C15,0),"")</f>
        <v>756</v>
      </c>
      <c r="E11" s="37">
        <f>IFERROR(ROUND(('DCF Model'!C45/(1+$B11)^('DCF Model'!C19+0)+'DCF Model'!D45/(1+$B11)^('DCF Model'!C19+1)+'DCF Model'!E45/(1+$B11)^('DCF Model'!C19+2)+'DCF Model'!F45/(1+$B11)^('DCF Model'!C19+3)+'DCF Model'!G45/(1+$B11)^('DCF Model'!C19+4)+'DCF Model'!G45*(1+E$6)/($B11-E$6)/(1+$B11)^('DCF Model'!C19+4)-'DCF Model'!C16)*1000000/'DCF Model'!C15,0),"")</f>
        <v>779</v>
      </c>
      <c r="F11" s="37">
        <f>IFERROR(ROUND(('DCF Model'!C45/(1+$B11)^('DCF Model'!C19+0)+'DCF Model'!D45/(1+$B11)^('DCF Model'!C19+1)+'DCF Model'!E45/(1+$B11)^('DCF Model'!C19+2)+'DCF Model'!F45/(1+$B11)^('DCF Model'!C19+3)+'DCF Model'!G45/(1+$B11)^('DCF Model'!C19+4)+'DCF Model'!G45*(1+F$6)/($B11-F$6)/(1+$B11)^('DCF Model'!C19+4)-'DCF Model'!C16)*1000000/'DCF Model'!C15,0),"")</f>
        <v>803</v>
      </c>
      <c r="G11" s="37">
        <f>IFERROR(ROUND(('DCF Model'!C45/(1+$B11)^('DCF Model'!C19+0)+'DCF Model'!D45/(1+$B11)^('DCF Model'!C19+1)+'DCF Model'!E45/(1+$B11)^('DCF Model'!C19+2)+'DCF Model'!F45/(1+$B11)^('DCF Model'!C19+3)+'DCF Model'!G45/(1+$B11)^('DCF Model'!C19+4)+'DCF Model'!G45*(1+G$6)/($B11-G$6)/(1+$B11)^('DCF Model'!C19+4)-'DCF Model'!C16)*1000000/'DCF Model'!C15,0),"")</f>
        <v>828</v>
      </c>
      <c r="H11" s="37">
        <f>IFERROR(ROUND(('DCF Model'!C45/(1+$B11)^('DCF Model'!C19+0)+'DCF Model'!D45/(1+$B11)^('DCF Model'!C19+1)+'DCF Model'!E45/(1+$B11)^('DCF Model'!C19+2)+'DCF Model'!F45/(1+$B11)^('DCF Model'!C19+3)+'DCF Model'!G45/(1+$B11)^('DCF Model'!C19+4)+'DCF Model'!G45*(1+H$6)/($B11-H$6)/(1+$B11)^('DCF Model'!C19+4)-'DCF Model'!C16)*1000000/'DCF Model'!C15,0),"")</f>
        <v>855</v>
      </c>
      <c r="I11" s="37">
        <f>IFERROR(ROUND(('DCF Model'!C45/(1+$B11)^('DCF Model'!C19+0)+'DCF Model'!D45/(1+$B11)^('DCF Model'!C19+1)+'DCF Model'!E45/(1+$B11)^('DCF Model'!C19+2)+'DCF Model'!F45/(1+$B11)^('DCF Model'!C19+3)+'DCF Model'!G45/(1+$B11)^('DCF Model'!C19+4)+'DCF Model'!G45*(1+I$6)/($B11-I$6)/(1+$B11)^('DCF Model'!C19+4)-'DCF Model'!C16)*1000000/'DCF Model'!C15,0),"")</f>
        <v>884</v>
      </c>
    </row>
    <row r="12" spans="2:9" ht="13.5" customHeight="1" x14ac:dyDescent="0.25">
      <c r="B12" s="39">
        <f>$C$3+0.01</f>
        <v>9.7364143532982228E-2</v>
      </c>
      <c r="C12" s="37">
        <f>IFERROR(ROUND(('DCF Model'!C45/(1+$B12)^('DCF Model'!C19+0)+'DCF Model'!D45/(1+$B12)^('DCF Model'!C19+1)+'DCF Model'!E45/(1+$B12)^('DCF Model'!C19+2)+'DCF Model'!F45/(1+$B12)^('DCF Model'!C19+3)+'DCF Model'!G45/(1+$B12)^('DCF Model'!C19+4)+'DCF Model'!G45*(1+C$6)/($B12-C$6)/(1+$B12)^('DCF Model'!C19+4)-'DCF Model'!C16)*1000000/'DCF Model'!C15,0),"")</f>
        <v>679</v>
      </c>
      <c r="D12" s="37">
        <f>IFERROR(ROUND(('DCF Model'!C45/(1+$B12)^('DCF Model'!C19+0)+'DCF Model'!D45/(1+$B12)^('DCF Model'!C19+1)+'DCF Model'!E45/(1+$B12)^('DCF Model'!C19+2)+'DCF Model'!F45/(1+$B12)^('DCF Model'!C19+3)+'DCF Model'!G45/(1+$B12)^('DCF Model'!C19+4)+'DCF Model'!G45*(1+D$6)/($B12-D$6)/(1+$B12)^('DCF Model'!C19+4)-'DCF Model'!C16)*1000000/'DCF Model'!C15,0),"")</f>
        <v>698</v>
      </c>
      <c r="E12" s="37">
        <f>IFERROR(ROUND(('DCF Model'!C45/(1+$B12)^('DCF Model'!C19+0)+'DCF Model'!D45/(1+$B12)^('DCF Model'!C19+1)+'DCF Model'!E45/(1+$B12)^('DCF Model'!C19+2)+'DCF Model'!F45/(1+$B12)^('DCF Model'!C19+3)+'DCF Model'!G45/(1+$B12)^('DCF Model'!C19+4)+'DCF Model'!G45*(1+E$6)/($B12-E$6)/(1+$B12)^('DCF Model'!C19+4)-'DCF Model'!C16)*1000000/'DCF Model'!C15,0),"")</f>
        <v>718</v>
      </c>
      <c r="F12" s="37">
        <f>IFERROR(ROUND(('DCF Model'!C45/(1+$B12)^('DCF Model'!C19+0)+'DCF Model'!D45/(1+$B12)^('DCF Model'!C19+1)+'DCF Model'!E45/(1+$B12)^('DCF Model'!C19+2)+'DCF Model'!F45/(1+$B12)^('DCF Model'!C19+3)+'DCF Model'!G45/(1+$B12)^('DCF Model'!C19+4)+'DCF Model'!G45*(1+F$6)/($B12-F$6)/(1+$B12)^('DCF Model'!C19+4)-'DCF Model'!C16)*1000000/'DCF Model'!C15,0),"")</f>
        <v>739</v>
      </c>
      <c r="G12" s="37">
        <f>IFERROR(ROUND(('DCF Model'!C45/(1+$B12)^('DCF Model'!C19+0)+'DCF Model'!D45/(1+$B12)^('DCF Model'!C19+1)+'DCF Model'!E45/(1+$B12)^('DCF Model'!C19+2)+'DCF Model'!F45/(1+$B12)^('DCF Model'!C19+3)+'DCF Model'!G45/(1+$B12)^('DCF Model'!C19+4)+'DCF Model'!G45*(1+G$6)/($B12-G$6)/(1+$B12)^('DCF Model'!C19+4)-'DCF Model'!C16)*1000000/'DCF Model'!C15,0),"")</f>
        <v>761</v>
      </c>
      <c r="H12" s="37">
        <f>IFERROR(ROUND(('DCF Model'!C45/(1+$B12)^('DCF Model'!C19+0)+'DCF Model'!D45/(1+$B12)^('DCF Model'!C19+1)+'DCF Model'!E45/(1+$B12)^('DCF Model'!C19+2)+'DCF Model'!F45/(1+$B12)^('DCF Model'!C19+3)+'DCF Model'!G45/(1+$B12)^('DCF Model'!C19+4)+'DCF Model'!G45*(1+H$6)/($B12-H$6)/(1+$B12)^('DCF Model'!C19+4)-'DCF Model'!C16)*1000000/'DCF Model'!C15,0),"")</f>
        <v>785</v>
      </c>
      <c r="I12" s="37">
        <f>IFERROR(ROUND(('DCF Model'!C45/(1+$B12)^('DCF Model'!C19+0)+'DCF Model'!D45/(1+$B12)^('DCF Model'!C19+1)+'DCF Model'!E45/(1+$B12)^('DCF Model'!C19+2)+'DCF Model'!F45/(1+$B12)^('DCF Model'!C19+3)+'DCF Model'!G45/(1+$B12)^('DCF Model'!C19+4)+'DCF Model'!G45*(1+I$6)/($B12-I$6)/(1+$B12)^('DCF Model'!C19+4)-'DCF Model'!C16)*1000000/'DCF Model'!C15,0),"")</f>
        <v>810</v>
      </c>
    </row>
    <row r="13" spans="2:9" ht="13.5" customHeight="1" x14ac:dyDescent="0.25">
      <c r="B13" s="39">
        <f>$C$3+0.015</f>
        <v>0.10236414353298223</v>
      </c>
      <c r="C13" s="37">
        <f>IFERROR(ROUND(('DCF Model'!C45/(1+$B13)^('DCF Model'!C19+0)+'DCF Model'!D45/(1+$B13)^('DCF Model'!C19+1)+'DCF Model'!E45/(1+$B13)^('DCF Model'!C19+2)+'DCF Model'!F45/(1+$B13)^('DCF Model'!C19+3)+'DCF Model'!G45/(1+$B13)^('DCF Model'!C19+4)+'DCF Model'!G45*(1+C$6)/($B13-C$6)/(1+$B13)^('DCF Model'!C19+4)-'DCF Model'!C16)*1000000/'DCF Model'!C15,0),"")</f>
        <v>629</v>
      </c>
      <c r="D13" s="37">
        <f>IFERROR(ROUND(('DCF Model'!C45/(1+$B13)^('DCF Model'!C19+0)+'DCF Model'!D45/(1+$B13)^('DCF Model'!C19+1)+'DCF Model'!E45/(1+$B13)^('DCF Model'!C19+2)+'DCF Model'!F45/(1+$B13)^('DCF Model'!C19+3)+'DCF Model'!G45/(1+$B13)^('DCF Model'!C19+4)+'DCF Model'!G45*(1+D$6)/($B13-D$6)/(1+$B13)^('DCF Model'!C19+4)-'DCF Model'!C16)*1000000/'DCF Model'!C15,0),"")</f>
        <v>646</v>
      </c>
      <c r="E13" s="37">
        <f>IFERROR(ROUND(('DCF Model'!C45/(1+$B13)^('DCF Model'!C19+0)+'DCF Model'!D45/(1+$B13)^('DCF Model'!C19+1)+'DCF Model'!E45/(1+$B13)^('DCF Model'!C19+2)+'DCF Model'!F45/(1+$B13)^('DCF Model'!C19+3)+'DCF Model'!G45/(1+$B13)^('DCF Model'!C19+4)+'DCF Model'!G45*(1+E$6)/($B13-E$6)/(1+$B13)^('DCF Model'!C19+4)-'DCF Model'!C16)*1000000/'DCF Model'!C15,0),"")</f>
        <v>663</v>
      </c>
      <c r="F13" s="37">
        <f>IFERROR(ROUND(('DCF Model'!C45/(1+$B13)^('DCF Model'!C19+0)+'DCF Model'!D45/(1+$B13)^('DCF Model'!C19+1)+'DCF Model'!E45/(1+$B13)^('DCF Model'!C19+2)+'DCF Model'!F45/(1+$B13)^('DCF Model'!C19+3)+'DCF Model'!G45/(1+$B13)^('DCF Model'!C19+4)+'DCF Model'!G45*(1+F$6)/($B13-F$6)/(1+$B13)^('DCF Model'!C19+4)-'DCF Model'!C16)*1000000/'DCF Model'!C15,0),"")</f>
        <v>682</v>
      </c>
      <c r="G13" s="37">
        <f>IFERROR(ROUND(('DCF Model'!C45/(1+$B13)^('DCF Model'!C19+0)+'DCF Model'!D45/(1+$B13)^('DCF Model'!C19+1)+'DCF Model'!E45/(1+$B13)^('DCF Model'!C19+2)+'DCF Model'!F45/(1+$B13)^('DCF Model'!C19+3)+'DCF Model'!G45/(1+$B13)^('DCF Model'!C19+4)+'DCF Model'!G45*(1+G$6)/($B13-G$6)/(1+$B13)^('DCF Model'!C19+4)-'DCF Model'!C16)*1000000/'DCF Model'!C15,0),"")</f>
        <v>701</v>
      </c>
      <c r="H13" s="37">
        <f>IFERROR(ROUND(('DCF Model'!C45/(1+$B13)^('DCF Model'!C19+0)+'DCF Model'!D45/(1+$B13)^('DCF Model'!C19+1)+'DCF Model'!E45/(1+$B13)^('DCF Model'!C19+2)+'DCF Model'!F45/(1+$B13)^('DCF Model'!C19+3)+'DCF Model'!G45/(1+$B13)^('DCF Model'!C19+4)+'DCF Model'!G45*(1+H$6)/($B13-H$6)/(1+$B13)^('DCF Model'!C19+4)-'DCF Model'!C16)*1000000/'DCF Model'!C15,0),"")</f>
        <v>722</v>
      </c>
      <c r="I13" s="37">
        <f>IFERROR(ROUND(('DCF Model'!C45/(1+$B13)^('DCF Model'!C19+0)+'DCF Model'!D45/(1+$B13)^('DCF Model'!C19+1)+'DCF Model'!E45/(1+$B13)^('DCF Model'!C19+2)+'DCF Model'!F45/(1+$B13)^('DCF Model'!C19+3)+'DCF Model'!G45/(1+$B13)^('DCF Model'!C19+4)+'DCF Model'!G45*(1+I$6)/($B13-I$6)/(1+$B13)^('DCF Model'!C19+4)-'DCF Model'!C16)*1000000/'DCF Model'!C15,0),"")</f>
        <v>744</v>
      </c>
    </row>
    <row r="16" spans="2:9" ht="14" customHeight="1" x14ac:dyDescent="0.3">
      <c r="B16" s="3" t="s">
        <v>235</v>
      </c>
    </row>
    <row r="17" spans="2:9" ht="14" customHeight="1" x14ac:dyDescent="0.3">
      <c r="B17" s="40" t="s">
        <v>236</v>
      </c>
      <c r="C17" s="42">
        <f>$I$3-3</f>
        <v>11.3</v>
      </c>
      <c r="D17" s="42">
        <f>$I$3-2</f>
        <v>12.3</v>
      </c>
      <c r="E17" s="42">
        <f>$I$3-1</f>
        <v>13.3</v>
      </c>
      <c r="F17" s="42">
        <f>$I$3</f>
        <v>14.3</v>
      </c>
      <c r="G17" s="42">
        <f>$I$3+1</f>
        <v>15.3</v>
      </c>
      <c r="H17" s="42">
        <f>$I$3+2</f>
        <v>16.3</v>
      </c>
      <c r="I17" s="42">
        <f>$I$3+3</f>
        <v>17.3</v>
      </c>
    </row>
    <row r="18" spans="2:9" ht="13.5" customHeight="1" x14ac:dyDescent="0.25">
      <c r="B18" s="39">
        <f>$C$3-0.015</f>
        <v>7.2364143532982234E-2</v>
      </c>
      <c r="C18" s="37">
        <f>IFERROR(ROUND(('DCF Model'!C45/(1+$B18)^('DCF Model'!C19+0)+'DCF Model'!D45/(1+$B18)^('DCF Model'!C19+1)+'DCF Model'!E45/(1+$B18)^('DCF Model'!C19+2)+'DCF Model'!F45/(1+$B18)^('DCF Model'!C19+3)+'DCF Model'!G45/(1+$B18)^('DCF Model'!C19+4)+('DCF Model'!G39+'DCF Model'!G42)*C$17/(1+$B18)^('DCF Model'!C19+4)-'DCF Model'!C16)*1000000/'DCF Model'!C15,0),"")</f>
        <v>2090</v>
      </c>
      <c r="D18" s="37">
        <f>IFERROR(ROUND(('DCF Model'!C45/(1+$B18)^('DCF Model'!C19+0)+'DCF Model'!D45/(1+$B18)^('DCF Model'!C19+1)+'DCF Model'!E45/(1+$B18)^('DCF Model'!C19+2)+'DCF Model'!F45/(1+$B18)^('DCF Model'!C19+3)+'DCF Model'!G45/(1+$B18)^('DCF Model'!C19+4)+('DCF Model'!G39+'DCF Model'!G42)*D$17/(1+$B18)^('DCF Model'!C19+4)-'DCF Model'!C16)*1000000/'DCF Model'!C15,0),"")</f>
        <v>2269</v>
      </c>
      <c r="E18" s="37">
        <f>IFERROR(ROUND(('DCF Model'!C45/(1+$B18)^('DCF Model'!C19+0)+'DCF Model'!D45/(1+$B18)^('DCF Model'!C19+1)+'DCF Model'!E45/(1+$B18)^('DCF Model'!C19+2)+'DCF Model'!F45/(1+$B18)^('DCF Model'!C19+3)+'DCF Model'!G45/(1+$B18)^('DCF Model'!C19+4)+('DCF Model'!G39+'DCF Model'!G42)*E$17/(1+$B18)^('DCF Model'!C19+4)-'DCF Model'!C16)*1000000/'DCF Model'!C15,0),"")</f>
        <v>2448</v>
      </c>
      <c r="F18" s="37">
        <f>IFERROR(ROUND(('DCF Model'!C45/(1+$B18)^('DCF Model'!C19+0)+'DCF Model'!D45/(1+$B18)^('DCF Model'!C19+1)+'DCF Model'!E45/(1+$B18)^('DCF Model'!C19+2)+'DCF Model'!F45/(1+$B18)^('DCF Model'!C19+3)+'DCF Model'!G45/(1+$B18)^('DCF Model'!C19+4)+('DCF Model'!G39+'DCF Model'!G42)*F$17/(1+$B18)^('DCF Model'!C19+4)-'DCF Model'!C16)*1000000/'DCF Model'!C15,0),"")</f>
        <v>2627</v>
      </c>
      <c r="G18" s="37">
        <f>IFERROR(ROUND(('DCF Model'!C45/(1+$B18)^('DCF Model'!C19+0)+'DCF Model'!D45/(1+$B18)^('DCF Model'!C19+1)+'DCF Model'!E45/(1+$B18)^('DCF Model'!C19+2)+'DCF Model'!F45/(1+$B18)^('DCF Model'!C19+3)+'DCF Model'!G45/(1+$B18)^('DCF Model'!C19+4)+('DCF Model'!G39+'DCF Model'!G42)*G$17/(1+$B18)^('DCF Model'!C19+4)-'DCF Model'!C16)*1000000/'DCF Model'!C15,0),"")</f>
        <v>2806</v>
      </c>
      <c r="H18" s="37">
        <f>IFERROR(ROUND(('DCF Model'!C45/(1+$B18)^('DCF Model'!C19+0)+'DCF Model'!D45/(1+$B18)^('DCF Model'!C19+1)+'DCF Model'!E45/(1+$B18)^('DCF Model'!C19+2)+'DCF Model'!F45/(1+$B18)^('DCF Model'!C19+3)+'DCF Model'!G45/(1+$B18)^('DCF Model'!C19+4)+('DCF Model'!G39+'DCF Model'!G42)*H$17/(1+$B18)^('DCF Model'!C19+4)-'DCF Model'!C16)*1000000/'DCF Model'!C15,0),"")</f>
        <v>2986</v>
      </c>
      <c r="I18" s="37">
        <f>IFERROR(ROUND(('DCF Model'!C45/(1+$B18)^('DCF Model'!C19+0)+'DCF Model'!D45/(1+$B18)^('DCF Model'!C19+1)+'DCF Model'!E45/(1+$B18)^('DCF Model'!C19+2)+'DCF Model'!F45/(1+$B18)^('DCF Model'!C19+3)+'DCF Model'!G45/(1+$B18)^('DCF Model'!C19+4)+('DCF Model'!G39+'DCF Model'!G42)*I$17/(1+$B18)^('DCF Model'!C19+4)-'DCF Model'!C16)*1000000/'DCF Model'!C15,0),"")</f>
        <v>3165</v>
      </c>
    </row>
    <row r="19" spans="2:9" ht="13.5" customHeight="1" x14ac:dyDescent="0.25">
      <c r="B19" s="39">
        <f>$C$3-0.01</f>
        <v>7.7364143532982238E-2</v>
      </c>
      <c r="C19" s="37">
        <f>IFERROR(ROUND(('DCF Model'!C45/(1+$B19)^('DCF Model'!C19+0)+'DCF Model'!D45/(1+$B19)^('DCF Model'!C19+1)+'DCF Model'!E45/(1+$B19)^('DCF Model'!C19+2)+'DCF Model'!F45/(1+$B19)^('DCF Model'!C19+3)+'DCF Model'!G45/(1+$B19)^('DCF Model'!C19+4)+('DCF Model'!G39+'DCF Model'!G42)*C$17/(1+$B19)^('DCF Model'!C19+4)-'DCF Model'!C16)*1000000/'DCF Model'!C15,0),"")</f>
        <v>2039</v>
      </c>
      <c r="D19" s="37">
        <f>IFERROR(ROUND(('DCF Model'!C45/(1+$B19)^('DCF Model'!C19+0)+'DCF Model'!D45/(1+$B19)^('DCF Model'!C19+1)+'DCF Model'!E45/(1+$B19)^('DCF Model'!C19+2)+'DCF Model'!F45/(1+$B19)^('DCF Model'!C19+3)+'DCF Model'!G45/(1+$B19)^('DCF Model'!C19+4)+('DCF Model'!G39+'DCF Model'!G42)*D$17/(1+$B19)^('DCF Model'!C19+4)-'DCF Model'!C16)*1000000/'DCF Model'!C15,0),"")</f>
        <v>2214</v>
      </c>
      <c r="E19" s="37">
        <f>IFERROR(ROUND(('DCF Model'!C45/(1+$B19)^('DCF Model'!C19+0)+'DCF Model'!D45/(1+$B19)^('DCF Model'!C19+1)+'DCF Model'!E45/(1+$B19)^('DCF Model'!C19+2)+'DCF Model'!F45/(1+$B19)^('DCF Model'!C19+3)+'DCF Model'!G45/(1+$B19)^('DCF Model'!C19+4)+('DCF Model'!G39+'DCF Model'!G42)*E$17/(1+$B19)^('DCF Model'!C19+4)-'DCF Model'!C16)*1000000/'DCF Model'!C15,0),"")</f>
        <v>2389</v>
      </c>
      <c r="F19" s="37">
        <f>IFERROR(ROUND(('DCF Model'!C45/(1+$B19)^('DCF Model'!C19+0)+'DCF Model'!D45/(1+$B19)^('DCF Model'!C19+1)+'DCF Model'!E45/(1+$B19)^('DCF Model'!C19+2)+'DCF Model'!F45/(1+$B19)^('DCF Model'!C19+3)+'DCF Model'!G45/(1+$B19)^('DCF Model'!C19+4)+('DCF Model'!G39+'DCF Model'!G42)*F$17/(1+$B19)^('DCF Model'!C19+4)-'DCF Model'!C16)*1000000/'DCF Model'!C15,0),"")</f>
        <v>2564</v>
      </c>
      <c r="G19" s="37">
        <f>IFERROR(ROUND(('DCF Model'!C45/(1+$B19)^('DCF Model'!C19+0)+'DCF Model'!D45/(1+$B19)^('DCF Model'!C19+1)+'DCF Model'!E45/(1+$B19)^('DCF Model'!C19+2)+'DCF Model'!F45/(1+$B19)^('DCF Model'!C19+3)+'DCF Model'!G45/(1+$B19)^('DCF Model'!C19+4)+('DCF Model'!G39+'DCF Model'!G42)*G$17/(1+$B19)^('DCF Model'!C19+4)-'DCF Model'!C16)*1000000/'DCF Model'!C15,0),"")</f>
        <v>2738</v>
      </c>
      <c r="H19" s="37">
        <f>IFERROR(ROUND(('DCF Model'!C45/(1+$B19)^('DCF Model'!C19+0)+'DCF Model'!D45/(1+$B19)^('DCF Model'!C19+1)+'DCF Model'!E45/(1+$B19)^('DCF Model'!C19+2)+'DCF Model'!F45/(1+$B19)^('DCF Model'!C19+3)+'DCF Model'!G45/(1+$B19)^('DCF Model'!C19+4)+('DCF Model'!G39+'DCF Model'!G42)*H$17/(1+$B19)^('DCF Model'!C19+4)-'DCF Model'!C16)*1000000/'DCF Model'!C15,0),"")</f>
        <v>2913</v>
      </c>
      <c r="I19" s="37">
        <f>IFERROR(ROUND(('DCF Model'!C45/(1+$B19)^('DCF Model'!C19+0)+'DCF Model'!D45/(1+$B19)^('DCF Model'!C19+1)+'DCF Model'!E45/(1+$B19)^('DCF Model'!C19+2)+'DCF Model'!F45/(1+$B19)^('DCF Model'!C19+3)+'DCF Model'!G45/(1+$B19)^('DCF Model'!C19+4)+('DCF Model'!G39+'DCF Model'!G42)*I$17/(1+$B19)^('DCF Model'!C19+4)-'DCF Model'!C16)*1000000/'DCF Model'!C15,0),"")</f>
        <v>3088</v>
      </c>
    </row>
    <row r="20" spans="2:9" ht="13.5" customHeight="1" x14ac:dyDescent="0.25">
      <c r="B20" s="39">
        <f>$C$3-0.005</f>
        <v>8.2364143532982229E-2</v>
      </c>
      <c r="C20" s="37">
        <f>IFERROR(ROUND(('DCF Model'!C45/(1+$B20)^('DCF Model'!C19+0)+'DCF Model'!D45/(1+$B20)^('DCF Model'!C19+1)+'DCF Model'!E45/(1+$B20)^('DCF Model'!C19+2)+'DCF Model'!F45/(1+$B20)^('DCF Model'!C19+3)+'DCF Model'!G45/(1+$B20)^('DCF Model'!C19+4)+('DCF Model'!G39+'DCF Model'!G42)*C$17/(1+$B20)^('DCF Model'!C19+4)-'DCF Model'!C16)*1000000/'DCF Model'!C15,0),"")</f>
        <v>1989</v>
      </c>
      <c r="D20" s="37">
        <f>IFERROR(ROUND(('DCF Model'!C45/(1+$B20)^('DCF Model'!C19+0)+'DCF Model'!D45/(1+$B20)^('DCF Model'!C19+1)+'DCF Model'!E45/(1+$B20)^('DCF Model'!C19+2)+'DCF Model'!F45/(1+$B20)^('DCF Model'!C19+3)+'DCF Model'!G45/(1+$B20)^('DCF Model'!C19+4)+('DCF Model'!G39+'DCF Model'!G42)*D$17/(1+$B20)^('DCF Model'!C19+4)-'DCF Model'!C16)*1000000/'DCF Model'!C15,0),"")</f>
        <v>2160</v>
      </c>
      <c r="E20" s="37">
        <f>IFERROR(ROUND(('DCF Model'!C45/(1+$B20)^('DCF Model'!C19+0)+'DCF Model'!D45/(1+$B20)^('DCF Model'!C19+1)+'DCF Model'!E45/(1+$B20)^('DCF Model'!C19+2)+'DCF Model'!F45/(1+$B20)^('DCF Model'!C19+3)+'DCF Model'!G45/(1+$B20)^('DCF Model'!C19+4)+('DCF Model'!G39+'DCF Model'!G42)*E$17/(1+$B20)^('DCF Model'!C19+4)-'DCF Model'!C16)*1000000/'DCF Model'!C15,0),"")</f>
        <v>2330</v>
      </c>
      <c r="F20" s="37">
        <f>IFERROR(ROUND(('DCF Model'!C45/(1+$B20)^('DCF Model'!C19+0)+'DCF Model'!D45/(1+$B20)^('DCF Model'!C19+1)+'DCF Model'!E45/(1+$B20)^('DCF Model'!C19+2)+'DCF Model'!F45/(1+$B20)^('DCF Model'!C19+3)+'DCF Model'!G45/(1+$B20)^('DCF Model'!C19+4)+('DCF Model'!G39+'DCF Model'!G42)*F$17/(1+$B20)^('DCF Model'!C19+4)-'DCF Model'!C16)*1000000/'DCF Model'!C15,0),"")</f>
        <v>2501</v>
      </c>
      <c r="G20" s="37">
        <f>IFERROR(ROUND(('DCF Model'!C45/(1+$B20)^('DCF Model'!C19+0)+'DCF Model'!D45/(1+$B20)^('DCF Model'!C19+1)+'DCF Model'!E45/(1+$B20)^('DCF Model'!C19+2)+'DCF Model'!F45/(1+$B20)^('DCF Model'!C19+3)+'DCF Model'!G45/(1+$B20)^('DCF Model'!C19+4)+('DCF Model'!G39+'DCF Model'!G42)*G$17/(1+$B20)^('DCF Model'!C19+4)-'DCF Model'!C16)*1000000/'DCF Model'!C15,0),"")</f>
        <v>2672</v>
      </c>
      <c r="H20" s="37">
        <f>IFERROR(ROUND(('DCF Model'!C45/(1+$B20)^('DCF Model'!C19+0)+'DCF Model'!D45/(1+$B20)^('DCF Model'!C19+1)+'DCF Model'!E45/(1+$B20)^('DCF Model'!C19+2)+'DCF Model'!F45/(1+$B20)^('DCF Model'!C19+3)+'DCF Model'!G45/(1+$B20)^('DCF Model'!C19+4)+('DCF Model'!G39+'DCF Model'!G42)*H$17/(1+$B20)^('DCF Model'!C19+4)-'DCF Model'!C16)*1000000/'DCF Model'!C15,0),"")</f>
        <v>2843</v>
      </c>
      <c r="I20" s="37">
        <f>IFERROR(ROUND(('DCF Model'!C45/(1+$B20)^('DCF Model'!C19+0)+'DCF Model'!D45/(1+$B20)^('DCF Model'!C19+1)+'DCF Model'!E45/(1+$B20)^('DCF Model'!C19+2)+'DCF Model'!F45/(1+$B20)^('DCF Model'!C19+3)+'DCF Model'!G45/(1+$B20)^('DCF Model'!C19+4)+('DCF Model'!G39+'DCF Model'!G42)*I$17/(1+$B20)^('DCF Model'!C19+4)-'DCF Model'!C16)*1000000/'DCF Model'!C15,0),"")</f>
        <v>3014</v>
      </c>
    </row>
    <row r="21" spans="2:9" ht="13.5" customHeight="1" x14ac:dyDescent="0.25">
      <c r="B21" s="39">
        <f>$C$3</f>
        <v>8.7364143532982233E-2</v>
      </c>
      <c r="C21" s="37">
        <f>IFERROR(ROUND(('DCF Model'!C45/(1+$B21)^('DCF Model'!C19+0)+'DCF Model'!D45/(1+$B21)^('DCF Model'!C19+1)+'DCF Model'!E45/(1+$B21)^('DCF Model'!C19+2)+'DCF Model'!F45/(1+$B21)^('DCF Model'!C19+3)+'DCF Model'!G45/(1+$B21)^('DCF Model'!C19+4)+('DCF Model'!G39+'DCF Model'!G42)*C$17/(1+$B21)^('DCF Model'!C19+4)-'DCF Model'!C16)*1000000/'DCF Model'!C15,0),"")</f>
        <v>1940</v>
      </c>
      <c r="D21" s="37">
        <f>IFERROR(ROUND(('DCF Model'!C45/(1+$B21)^('DCF Model'!C19+0)+'DCF Model'!D45/(1+$B21)^('DCF Model'!C19+1)+'DCF Model'!E45/(1+$B21)^('DCF Model'!C19+2)+'DCF Model'!F45/(1+$B21)^('DCF Model'!C19+3)+'DCF Model'!G45/(1+$B21)^('DCF Model'!C19+4)+('DCF Model'!G39+'DCF Model'!G42)*D$17/(1+$B21)^('DCF Model'!C19+4)-'DCF Model'!C16)*1000000/'DCF Model'!C15,0),"")</f>
        <v>2107</v>
      </c>
      <c r="E21" s="37">
        <f>IFERROR(ROUND(('DCF Model'!C45/(1+$B21)^('DCF Model'!C19+0)+'DCF Model'!D45/(1+$B21)^('DCF Model'!C19+1)+'DCF Model'!E45/(1+$B21)^('DCF Model'!C19+2)+'DCF Model'!F45/(1+$B21)^('DCF Model'!C19+3)+'DCF Model'!G45/(1+$B21)^('DCF Model'!C19+4)+('DCF Model'!G39+'DCF Model'!G42)*E$17/(1+$B21)^('DCF Model'!C19+4)-'DCF Model'!C16)*1000000/'DCF Model'!C15,0),"")</f>
        <v>2274</v>
      </c>
      <c r="F21" s="37">
        <f>IFERROR(ROUND(('DCF Model'!C45/(1+$B21)^('DCF Model'!C19+0)+'DCF Model'!D45/(1+$B21)^('DCF Model'!C19+1)+'DCF Model'!E45/(1+$B21)^('DCF Model'!C19+2)+'DCF Model'!F45/(1+$B21)^('DCF Model'!C19+3)+'DCF Model'!G45/(1+$B21)^('DCF Model'!C19+4)+('DCF Model'!G39+'DCF Model'!G42)*F$17/(1+$B21)^('DCF Model'!C19+4)-'DCF Model'!C16)*1000000/'DCF Model'!C15,0),"")</f>
        <v>2441</v>
      </c>
      <c r="G21" s="37">
        <f>IFERROR(ROUND(('DCF Model'!C45/(1+$B21)^('DCF Model'!C19+0)+'DCF Model'!D45/(1+$B21)^('DCF Model'!C19+1)+'DCF Model'!E45/(1+$B21)^('DCF Model'!C19+2)+'DCF Model'!F45/(1+$B21)^('DCF Model'!C19+3)+'DCF Model'!G45/(1+$B21)^('DCF Model'!C19+4)+('DCF Model'!G39+'DCF Model'!G42)*G$17/(1+$B21)^('DCF Model'!C19+4)-'DCF Model'!C16)*1000000/'DCF Model'!C15,0),"")</f>
        <v>2608</v>
      </c>
      <c r="H21" s="37">
        <f>IFERROR(ROUND(('DCF Model'!C45/(1+$B21)^('DCF Model'!C19+0)+'DCF Model'!D45/(1+$B21)^('DCF Model'!C19+1)+'DCF Model'!E45/(1+$B21)^('DCF Model'!C19+2)+'DCF Model'!F45/(1+$B21)^('DCF Model'!C19+3)+'DCF Model'!G45/(1+$B21)^('DCF Model'!C19+4)+('DCF Model'!G39+'DCF Model'!G42)*H$17/(1+$B21)^('DCF Model'!C19+4)-'DCF Model'!C16)*1000000/'DCF Model'!C15,0),"")</f>
        <v>2775</v>
      </c>
      <c r="I21" s="37">
        <f>IFERROR(ROUND(('DCF Model'!C45/(1+$B21)^('DCF Model'!C19+0)+'DCF Model'!D45/(1+$B21)^('DCF Model'!C19+1)+'DCF Model'!E45/(1+$B21)^('DCF Model'!C19+2)+'DCF Model'!F45/(1+$B21)^('DCF Model'!C19+3)+'DCF Model'!G45/(1+$B21)^('DCF Model'!C19+4)+('DCF Model'!G39+'DCF Model'!G42)*I$17/(1+$B21)^('DCF Model'!C19+4)-'DCF Model'!C16)*1000000/'DCF Model'!C15,0),"")</f>
        <v>2942</v>
      </c>
    </row>
    <row r="22" spans="2:9" ht="13.5" customHeight="1" x14ac:dyDescent="0.25">
      <c r="B22" s="39">
        <f>$C$3+0.005</f>
        <v>9.2364143532982237E-2</v>
      </c>
      <c r="C22" s="37">
        <f>IFERROR(ROUND(('DCF Model'!C45/(1+$B22)^('DCF Model'!C19+0)+'DCF Model'!D45/(1+$B22)^('DCF Model'!C19+1)+'DCF Model'!E45/(1+$B22)^('DCF Model'!C19+2)+'DCF Model'!F45/(1+$B22)^('DCF Model'!C19+3)+'DCF Model'!G45/(1+$B22)^('DCF Model'!C19+4)+('DCF Model'!G39+'DCF Model'!G42)*C$17/(1+$B22)^('DCF Model'!C19+4)-'DCF Model'!C16)*1000000/'DCF Model'!C15,0),"")</f>
        <v>1892</v>
      </c>
      <c r="D22" s="37">
        <f>IFERROR(ROUND(('DCF Model'!C45/(1+$B22)^('DCF Model'!C19+0)+'DCF Model'!D45/(1+$B22)^('DCF Model'!C19+1)+'DCF Model'!E45/(1+$B22)^('DCF Model'!C19+2)+'DCF Model'!F45/(1+$B22)^('DCF Model'!C19+3)+'DCF Model'!G45/(1+$B22)^('DCF Model'!C19+4)+('DCF Model'!G39+'DCF Model'!G42)*D$17/(1+$B22)^('DCF Model'!C19+4)-'DCF Model'!C16)*1000000/'DCF Model'!C15,0),"")</f>
        <v>2055</v>
      </c>
      <c r="E22" s="37">
        <f>IFERROR(ROUND(('DCF Model'!C45/(1+$B22)^('DCF Model'!C19+0)+'DCF Model'!D45/(1+$B22)^('DCF Model'!C19+1)+'DCF Model'!E45/(1+$B22)^('DCF Model'!C19+2)+'DCF Model'!F45/(1+$B22)^('DCF Model'!C19+3)+'DCF Model'!G45/(1+$B22)^('DCF Model'!C19+4)+('DCF Model'!G39+'DCF Model'!G42)*E$17/(1+$B22)^('DCF Model'!C19+4)-'DCF Model'!C16)*1000000/'DCF Model'!C15,0),"")</f>
        <v>2219</v>
      </c>
      <c r="F22" s="37">
        <f>IFERROR(ROUND(('DCF Model'!C45/(1+$B22)^('DCF Model'!C19+0)+'DCF Model'!D45/(1+$B22)^('DCF Model'!C19+1)+'DCF Model'!E45/(1+$B22)^('DCF Model'!C19+2)+'DCF Model'!F45/(1+$B22)^('DCF Model'!C19+3)+'DCF Model'!G45/(1+$B22)^('DCF Model'!C19+4)+('DCF Model'!G39+'DCF Model'!G42)*F$17/(1+$B22)^('DCF Model'!C19+4)-'DCF Model'!C16)*1000000/'DCF Model'!C15,0),"")</f>
        <v>2382</v>
      </c>
      <c r="G22" s="37">
        <f>IFERROR(ROUND(('DCF Model'!C45/(1+$B22)^('DCF Model'!C19+0)+'DCF Model'!D45/(1+$B22)^('DCF Model'!C19+1)+'DCF Model'!E45/(1+$B22)^('DCF Model'!C19+2)+'DCF Model'!F45/(1+$B22)^('DCF Model'!C19+3)+'DCF Model'!G45/(1+$B22)^('DCF Model'!C19+4)+('DCF Model'!G39+'DCF Model'!G42)*G$17/(1+$B22)^('DCF Model'!C19+4)-'DCF Model'!C16)*1000000/'DCF Model'!C15,0),"")</f>
        <v>2545</v>
      </c>
      <c r="H22" s="37">
        <f>IFERROR(ROUND(('DCF Model'!C45/(1+$B22)^('DCF Model'!C19+0)+'DCF Model'!D45/(1+$B22)^('DCF Model'!C19+1)+'DCF Model'!E45/(1+$B22)^('DCF Model'!C19+2)+'DCF Model'!F45/(1+$B22)^('DCF Model'!C19+3)+'DCF Model'!G45/(1+$B22)^('DCF Model'!C19+4)+('DCF Model'!G39+'DCF Model'!G42)*H$17/(1+$B22)^('DCF Model'!C19+4)-'DCF Model'!C16)*1000000/'DCF Model'!C15,0),"")</f>
        <v>2708</v>
      </c>
      <c r="I22" s="37">
        <f>IFERROR(ROUND(('DCF Model'!C45/(1+$B22)^('DCF Model'!C19+0)+'DCF Model'!D45/(1+$B22)^('DCF Model'!C19+1)+'DCF Model'!E45/(1+$B22)^('DCF Model'!C19+2)+'DCF Model'!F45/(1+$B22)^('DCF Model'!C19+3)+'DCF Model'!G45/(1+$B22)^('DCF Model'!C19+4)+('DCF Model'!G39+'DCF Model'!G42)*I$17/(1+$B22)^('DCF Model'!C19+4)-'DCF Model'!C16)*1000000/'DCF Model'!C15,0),"")</f>
        <v>2872</v>
      </c>
    </row>
    <row r="23" spans="2:9" ht="13.5" customHeight="1" x14ac:dyDescent="0.25">
      <c r="B23" s="39">
        <f>$C$3+0.01</f>
        <v>9.7364143532982228E-2</v>
      </c>
      <c r="C23" s="37">
        <f>IFERROR(ROUND(('DCF Model'!C45/(1+$B23)^('DCF Model'!C19+0)+'DCF Model'!D45/(1+$B23)^('DCF Model'!C19+1)+'DCF Model'!E45/(1+$B23)^('DCF Model'!C19+2)+'DCF Model'!F45/(1+$B23)^('DCF Model'!C19+3)+'DCF Model'!G45/(1+$B23)^('DCF Model'!C19+4)+('DCF Model'!G39+'DCF Model'!G42)*C$17/(1+$B23)^('DCF Model'!C19+4)-'DCF Model'!C16)*1000000/'DCF Model'!C15,0),"")</f>
        <v>1846</v>
      </c>
      <c r="D23" s="37">
        <f>IFERROR(ROUND(('DCF Model'!C45/(1+$B23)^('DCF Model'!C19+0)+'DCF Model'!D45/(1+$B23)^('DCF Model'!C19+1)+'DCF Model'!E45/(1+$B23)^('DCF Model'!C19+2)+'DCF Model'!F45/(1+$B23)^('DCF Model'!C19+3)+'DCF Model'!G45/(1+$B23)^('DCF Model'!C19+4)+('DCF Model'!G39+'DCF Model'!G42)*D$17/(1+$B23)^('DCF Model'!C19+4)-'DCF Model'!C16)*1000000/'DCF Model'!C15,0),"")</f>
        <v>2005</v>
      </c>
      <c r="E23" s="37">
        <f>IFERROR(ROUND(('DCF Model'!C45/(1+$B23)^('DCF Model'!C19+0)+'DCF Model'!D45/(1+$B23)^('DCF Model'!C19+1)+'DCF Model'!E45/(1+$B23)^('DCF Model'!C19+2)+'DCF Model'!F45/(1+$B23)^('DCF Model'!C19+3)+'DCF Model'!G45/(1+$B23)^('DCF Model'!C19+4)+('DCF Model'!G39+'DCF Model'!G42)*E$17/(1+$B23)^('DCF Model'!C19+4)-'DCF Model'!C16)*1000000/'DCF Model'!C15,0),"")</f>
        <v>2165</v>
      </c>
      <c r="F23" s="37">
        <f>IFERROR(ROUND(('DCF Model'!C45/(1+$B23)^('DCF Model'!C19+0)+'DCF Model'!D45/(1+$B23)^('DCF Model'!C19+1)+'DCF Model'!E45/(1+$B23)^('DCF Model'!C19+2)+'DCF Model'!F45/(1+$B23)^('DCF Model'!C19+3)+'DCF Model'!G45/(1+$B23)^('DCF Model'!C19+4)+('DCF Model'!G39+'DCF Model'!G42)*F$17/(1+$B23)^('DCF Model'!C19+4)-'DCF Model'!C16)*1000000/'DCF Model'!C15,0),"")</f>
        <v>2325</v>
      </c>
      <c r="G23" s="37">
        <f>IFERROR(ROUND(('DCF Model'!C45/(1+$B23)^('DCF Model'!C19+0)+'DCF Model'!D45/(1+$B23)^('DCF Model'!C19+1)+'DCF Model'!E45/(1+$B23)^('DCF Model'!C19+2)+'DCF Model'!F45/(1+$B23)^('DCF Model'!C19+3)+'DCF Model'!G45/(1+$B23)^('DCF Model'!C19+4)+('DCF Model'!G39+'DCF Model'!G42)*G$17/(1+$B23)^('DCF Model'!C19+4)-'DCF Model'!C16)*1000000/'DCF Model'!C15,0),"")</f>
        <v>2484</v>
      </c>
      <c r="H23" s="37">
        <f>IFERROR(ROUND(('DCF Model'!C45/(1+$B23)^('DCF Model'!C19+0)+'DCF Model'!D45/(1+$B23)^('DCF Model'!C19+1)+'DCF Model'!E45/(1+$B23)^('DCF Model'!C19+2)+'DCF Model'!F45/(1+$B23)^('DCF Model'!C19+3)+'DCF Model'!G45/(1+$B23)^('DCF Model'!C19+4)+('DCF Model'!G39+'DCF Model'!G42)*H$17/(1+$B23)^('DCF Model'!C19+4)-'DCF Model'!C16)*1000000/'DCF Model'!C15,0),"")</f>
        <v>2644</v>
      </c>
      <c r="I23" s="37">
        <f>IFERROR(ROUND(('DCF Model'!C45/(1+$B23)^('DCF Model'!C19+0)+'DCF Model'!D45/(1+$B23)^('DCF Model'!C19+1)+'DCF Model'!E45/(1+$B23)^('DCF Model'!C19+2)+'DCF Model'!F45/(1+$B23)^('DCF Model'!C19+3)+'DCF Model'!G45/(1+$B23)^('DCF Model'!C19+4)+('DCF Model'!G39+'DCF Model'!G42)*I$17/(1+$B23)^('DCF Model'!C19+4)-'DCF Model'!C16)*1000000/'DCF Model'!C15,0),"")</f>
        <v>2803</v>
      </c>
    </row>
    <row r="24" spans="2:9" ht="13.5" customHeight="1" x14ac:dyDescent="0.25">
      <c r="B24" s="39">
        <f>$C$3+0.015</f>
        <v>0.10236414353298223</v>
      </c>
      <c r="C24" s="37">
        <f>IFERROR(ROUND(('DCF Model'!C45/(1+$B24)^('DCF Model'!C19+0)+'DCF Model'!D45/(1+$B24)^('DCF Model'!C19+1)+'DCF Model'!E45/(1+$B24)^('DCF Model'!C19+2)+'DCF Model'!F45/(1+$B24)^('DCF Model'!C19+3)+'DCF Model'!G45/(1+$B24)^('DCF Model'!C19+4)+('DCF Model'!G39+'DCF Model'!G42)*C$17/(1+$B24)^('DCF Model'!C19+4)-'DCF Model'!C16)*1000000/'DCF Model'!C15,0),"")</f>
        <v>1801</v>
      </c>
      <c r="D24" s="37">
        <f>IFERROR(ROUND(('DCF Model'!C45/(1+$B24)^('DCF Model'!C19+0)+'DCF Model'!D45/(1+$B24)^('DCF Model'!C19+1)+'DCF Model'!E45/(1+$B24)^('DCF Model'!C19+2)+'DCF Model'!F45/(1+$B24)^('DCF Model'!C19+3)+'DCF Model'!G45/(1+$B24)^('DCF Model'!C19+4)+('DCF Model'!G39+'DCF Model'!G42)*D$17/(1+$B24)^('DCF Model'!C19+4)-'DCF Model'!C16)*1000000/'DCF Model'!C15,0),"")</f>
        <v>1957</v>
      </c>
      <c r="E24" s="37">
        <f>IFERROR(ROUND(('DCF Model'!C45/(1+$B24)^('DCF Model'!C19+0)+'DCF Model'!D45/(1+$B24)^('DCF Model'!C19+1)+'DCF Model'!E45/(1+$B24)^('DCF Model'!C19+2)+'DCF Model'!F45/(1+$B24)^('DCF Model'!C19+3)+'DCF Model'!G45/(1+$B24)^('DCF Model'!C19+4)+('DCF Model'!G39+'DCF Model'!G42)*E$17/(1+$B24)^('DCF Model'!C19+4)-'DCF Model'!C16)*1000000/'DCF Model'!C15,0),"")</f>
        <v>2113</v>
      </c>
      <c r="F24" s="37">
        <f>IFERROR(ROUND(('DCF Model'!C45/(1+$B24)^('DCF Model'!C19+0)+'DCF Model'!D45/(1+$B24)^('DCF Model'!C19+1)+'DCF Model'!E45/(1+$B24)^('DCF Model'!C19+2)+'DCF Model'!F45/(1+$B24)^('DCF Model'!C19+3)+'DCF Model'!G45/(1+$B24)^('DCF Model'!C19+4)+('DCF Model'!G39+'DCF Model'!G42)*F$17/(1+$B24)^('DCF Model'!C19+4)-'DCF Model'!C16)*1000000/'DCF Model'!C15,0),"")</f>
        <v>2269</v>
      </c>
      <c r="G24" s="37">
        <f>IFERROR(ROUND(('DCF Model'!C45/(1+$B24)^('DCF Model'!C19+0)+'DCF Model'!D45/(1+$B24)^('DCF Model'!C19+1)+'DCF Model'!E45/(1+$B24)^('DCF Model'!C19+2)+'DCF Model'!F45/(1+$B24)^('DCF Model'!C19+3)+'DCF Model'!G45/(1+$B24)^('DCF Model'!C19+4)+('DCF Model'!G39+'DCF Model'!G42)*G$17/(1+$B24)^('DCF Model'!C19+4)-'DCF Model'!C16)*1000000/'DCF Model'!C15,0),"")</f>
        <v>2425</v>
      </c>
      <c r="H24" s="37">
        <f>IFERROR(ROUND(('DCF Model'!C45/(1+$B24)^('DCF Model'!C19+0)+'DCF Model'!D45/(1+$B24)^('DCF Model'!C19+1)+'DCF Model'!E45/(1+$B24)^('DCF Model'!C19+2)+'DCF Model'!F45/(1+$B24)^('DCF Model'!C19+3)+'DCF Model'!G45/(1+$B24)^('DCF Model'!C19+4)+('DCF Model'!G39+'DCF Model'!G42)*H$17/(1+$B24)^('DCF Model'!C19+4)-'DCF Model'!C16)*1000000/'DCF Model'!C15,0),"")</f>
        <v>2581</v>
      </c>
      <c r="I24" s="37">
        <f>IFERROR(ROUND(('DCF Model'!C45/(1+$B24)^('DCF Model'!C19+0)+'DCF Model'!D45/(1+$B24)^('DCF Model'!C19+1)+'DCF Model'!E45/(1+$B24)^('DCF Model'!C19+2)+'DCF Model'!F45/(1+$B24)^('DCF Model'!C19+3)+'DCF Model'!G45/(1+$B24)^('DCF Model'!C19+4)+('DCF Model'!G39+'DCF Model'!G42)*I$17/(1+$B24)^('DCF Model'!C19+4)-'DCF Model'!C16)*1000000/'DCF Model'!C15,0),"")</f>
        <v>2737</v>
      </c>
    </row>
    <row r="26" spans="2:9" ht="14" customHeight="1" x14ac:dyDescent="0.3">
      <c r="B26" s="46" t="s">
        <v>237</v>
      </c>
      <c r="C26" s="45"/>
      <c r="D26" s="45"/>
      <c r="E26" s="45"/>
      <c r="F26" s="45"/>
      <c r="G26" s="45"/>
      <c r="H26" s="45"/>
      <c r="I26" s="45"/>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6"/>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238</v>
      </c>
    </row>
    <row r="4" spans="2:7" ht="14" customHeight="1" x14ac:dyDescent="0.3">
      <c r="B4" s="10" t="s">
        <v>239</v>
      </c>
      <c r="C4" s="10" t="s">
        <v>240</v>
      </c>
      <c r="D4" s="10" t="s">
        <v>241</v>
      </c>
      <c r="E4" s="10" t="s">
        <v>242</v>
      </c>
      <c r="F4" s="10" t="s">
        <v>243</v>
      </c>
      <c r="G4" s="10" t="s">
        <v>244</v>
      </c>
    </row>
    <row r="5" spans="2:7" x14ac:dyDescent="0.2">
      <c r="B5" t="s">
        <v>245</v>
      </c>
      <c r="C5" t="s">
        <v>246</v>
      </c>
      <c r="D5" t="s">
        <v>247</v>
      </c>
      <c r="E5" t="s">
        <v>248</v>
      </c>
      <c r="F5" t="s">
        <v>246</v>
      </c>
      <c r="G5" t="s">
        <v>249</v>
      </c>
    </row>
    <row r="6" spans="2:7" ht="30" customHeight="1" x14ac:dyDescent="0.3">
      <c r="B6" s="43" t="s">
        <v>245</v>
      </c>
      <c r="C6" s="4" t="s">
        <v>250</v>
      </c>
      <c r="D6" s="43" t="s">
        <v>251</v>
      </c>
      <c r="E6" s="43" t="s">
        <v>252</v>
      </c>
      <c r="F6" s="43" t="s">
        <v>253</v>
      </c>
      <c r="G6" s="43" t="s">
        <v>254</v>
      </c>
    </row>
    <row r="7" spans="2:7" ht="30" customHeight="1" x14ac:dyDescent="0.3">
      <c r="B7" s="43" t="s">
        <v>245</v>
      </c>
      <c r="C7" s="4" t="s">
        <v>255</v>
      </c>
      <c r="D7" s="43" t="s">
        <v>256</v>
      </c>
      <c r="E7" s="43" t="s">
        <v>257</v>
      </c>
      <c r="F7" s="43" t="s">
        <v>258</v>
      </c>
      <c r="G7" s="43" t="s">
        <v>259</v>
      </c>
    </row>
    <row r="8" spans="2:7" ht="30" customHeight="1" x14ac:dyDescent="0.3">
      <c r="B8" s="43" t="s">
        <v>245</v>
      </c>
      <c r="C8" s="4" t="s">
        <v>260</v>
      </c>
      <c r="D8" s="43" t="s">
        <v>261</v>
      </c>
      <c r="E8" s="43" t="s">
        <v>262</v>
      </c>
      <c r="F8" s="43" t="s">
        <v>263</v>
      </c>
      <c r="G8" s="43" t="s">
        <v>259</v>
      </c>
    </row>
    <row r="9" spans="2:7" ht="30" customHeight="1" x14ac:dyDescent="0.3">
      <c r="B9" s="43" t="s">
        <v>245</v>
      </c>
      <c r="C9" s="4" t="s">
        <v>264</v>
      </c>
      <c r="D9" s="43" t="s">
        <v>265</v>
      </c>
      <c r="E9" s="43" t="s">
        <v>266</v>
      </c>
      <c r="F9" s="43" t="s">
        <v>267</v>
      </c>
      <c r="G9" s="43" t="s">
        <v>254</v>
      </c>
    </row>
    <row r="10" spans="2:7" ht="30" customHeight="1" x14ac:dyDescent="0.3">
      <c r="B10" s="43" t="s">
        <v>245</v>
      </c>
      <c r="C10" s="4" t="s">
        <v>268</v>
      </c>
      <c r="D10" s="43" t="s">
        <v>269</v>
      </c>
      <c r="E10" s="43" t="s">
        <v>270</v>
      </c>
      <c r="F10" s="43" t="s">
        <v>271</v>
      </c>
      <c r="G10" s="43" t="s">
        <v>272</v>
      </c>
    </row>
    <row r="11" spans="2:7" ht="30" customHeight="1" x14ac:dyDescent="0.3">
      <c r="B11" s="43" t="s">
        <v>245</v>
      </c>
      <c r="C11" s="4" t="s">
        <v>273</v>
      </c>
      <c r="D11" s="43" t="s">
        <v>274</v>
      </c>
      <c r="E11" s="43" t="s">
        <v>275</v>
      </c>
      <c r="F11" s="43" t="s">
        <v>276</v>
      </c>
      <c r="G11" s="43" t="s">
        <v>277</v>
      </c>
    </row>
    <row r="12" spans="2:7" ht="30" customHeight="1" x14ac:dyDescent="0.3">
      <c r="B12" s="43" t="s">
        <v>245</v>
      </c>
      <c r="C12" s="4" t="s">
        <v>278</v>
      </c>
      <c r="D12" s="43" t="s">
        <v>279</v>
      </c>
      <c r="E12" s="43" t="s">
        <v>280</v>
      </c>
      <c r="F12" s="43" t="s">
        <v>281</v>
      </c>
      <c r="G12" s="43" t="s">
        <v>259</v>
      </c>
    </row>
    <row r="13" spans="2:7" ht="30" customHeight="1" x14ac:dyDescent="0.3">
      <c r="B13" s="43" t="s">
        <v>245</v>
      </c>
      <c r="C13" s="4" t="s">
        <v>282</v>
      </c>
      <c r="D13" s="43" t="s">
        <v>283</v>
      </c>
      <c r="E13" s="43" t="s">
        <v>284</v>
      </c>
      <c r="F13" s="43" t="s">
        <v>285</v>
      </c>
      <c r="G13" s="43" t="s">
        <v>259</v>
      </c>
    </row>
    <row r="14" spans="2:7" ht="30" customHeight="1" x14ac:dyDescent="0.3">
      <c r="B14" s="43" t="s">
        <v>245</v>
      </c>
      <c r="C14" s="4" t="s">
        <v>286</v>
      </c>
      <c r="D14" s="43" t="s">
        <v>287</v>
      </c>
      <c r="E14" s="43" t="s">
        <v>288</v>
      </c>
      <c r="F14" s="43" t="s">
        <v>246</v>
      </c>
      <c r="G14" s="43" t="s">
        <v>259</v>
      </c>
    </row>
    <row r="15" spans="2:7" ht="30" customHeight="1" x14ac:dyDescent="0.3">
      <c r="B15" s="43" t="s">
        <v>245</v>
      </c>
      <c r="C15" s="4" t="s">
        <v>289</v>
      </c>
      <c r="D15" s="43" t="s">
        <v>290</v>
      </c>
      <c r="E15" s="43" t="s">
        <v>291</v>
      </c>
      <c r="F15" s="43" t="s">
        <v>292</v>
      </c>
      <c r="G15" s="43" t="s">
        <v>259</v>
      </c>
    </row>
    <row r="16" spans="2:7" ht="30" customHeight="1" x14ac:dyDescent="0.3">
      <c r="B16" s="43" t="s">
        <v>245</v>
      </c>
      <c r="C16" s="4" t="s">
        <v>293</v>
      </c>
      <c r="D16" s="43" t="s">
        <v>294</v>
      </c>
      <c r="E16" s="43" t="s">
        <v>295</v>
      </c>
      <c r="F16" s="43" t="s">
        <v>296</v>
      </c>
      <c r="G16" s="43" t="s">
        <v>259</v>
      </c>
    </row>
    <row r="17" spans="2:7" ht="30" customHeight="1" x14ac:dyDescent="0.3">
      <c r="B17" s="43" t="s">
        <v>245</v>
      </c>
      <c r="C17" s="4" t="s">
        <v>297</v>
      </c>
      <c r="D17" s="43" t="s">
        <v>298</v>
      </c>
      <c r="E17" s="43" t="s">
        <v>299</v>
      </c>
      <c r="F17" s="43" t="s">
        <v>263</v>
      </c>
      <c r="G17" s="43" t="s">
        <v>259</v>
      </c>
    </row>
    <row r="18" spans="2:7" ht="30" customHeight="1" x14ac:dyDescent="0.3">
      <c r="B18" s="43" t="s">
        <v>245</v>
      </c>
      <c r="C18" s="4" t="s">
        <v>300</v>
      </c>
      <c r="D18" s="43" t="s">
        <v>301</v>
      </c>
      <c r="E18" s="43" t="s">
        <v>302</v>
      </c>
      <c r="F18" s="43" t="s">
        <v>303</v>
      </c>
      <c r="G18" s="43" t="s">
        <v>259</v>
      </c>
    </row>
    <row r="19" spans="2:7" ht="30" customHeight="1" x14ac:dyDescent="0.3">
      <c r="B19" s="43" t="s">
        <v>245</v>
      </c>
      <c r="C19" s="4" t="s">
        <v>304</v>
      </c>
      <c r="D19" s="43" t="s">
        <v>305</v>
      </c>
      <c r="E19" s="43" t="s">
        <v>306</v>
      </c>
      <c r="F19" s="43" t="s">
        <v>246</v>
      </c>
      <c r="G19" s="43" t="s">
        <v>307</v>
      </c>
    </row>
    <row r="20" spans="2:7" ht="30" customHeight="1" x14ac:dyDescent="0.3">
      <c r="B20" s="43" t="s">
        <v>245</v>
      </c>
      <c r="C20" s="4" t="s">
        <v>308</v>
      </c>
      <c r="D20" s="43" t="s">
        <v>309</v>
      </c>
      <c r="E20" s="43" t="s">
        <v>310</v>
      </c>
      <c r="F20" s="43" t="s">
        <v>263</v>
      </c>
      <c r="G20" s="43" t="s">
        <v>259</v>
      </c>
    </row>
    <row r="21" spans="2:7" ht="30" customHeight="1" x14ac:dyDescent="0.3">
      <c r="B21" s="43" t="s">
        <v>245</v>
      </c>
      <c r="C21" s="4" t="s">
        <v>311</v>
      </c>
      <c r="D21" s="43" t="s">
        <v>312</v>
      </c>
      <c r="E21" s="43" t="s">
        <v>313</v>
      </c>
      <c r="F21" s="43" t="s">
        <v>246</v>
      </c>
      <c r="G21" s="43" t="s">
        <v>259</v>
      </c>
    </row>
    <row r="22" spans="2:7" ht="30" customHeight="1" x14ac:dyDescent="0.3">
      <c r="B22" s="43" t="s">
        <v>245</v>
      </c>
      <c r="C22" s="4" t="s">
        <v>314</v>
      </c>
      <c r="D22" s="43" t="s">
        <v>315</v>
      </c>
      <c r="E22" s="43" t="s">
        <v>316</v>
      </c>
      <c r="F22" s="43" t="s">
        <v>246</v>
      </c>
      <c r="G22" s="43" t="s">
        <v>254</v>
      </c>
    </row>
    <row r="23" spans="2:7" ht="30" customHeight="1" x14ac:dyDescent="0.3">
      <c r="B23" s="43" t="s">
        <v>245</v>
      </c>
      <c r="C23" s="4" t="s">
        <v>317</v>
      </c>
      <c r="D23" s="43" t="s">
        <v>318</v>
      </c>
      <c r="E23" s="43" t="s">
        <v>319</v>
      </c>
      <c r="F23" s="43" t="s">
        <v>246</v>
      </c>
      <c r="G23" s="43" t="s">
        <v>320</v>
      </c>
    </row>
    <row r="24" spans="2:7" ht="30" customHeight="1" x14ac:dyDescent="0.3">
      <c r="B24" s="43" t="s">
        <v>245</v>
      </c>
      <c r="C24" s="4" t="s">
        <v>321</v>
      </c>
      <c r="D24" s="43" t="s">
        <v>322</v>
      </c>
      <c r="E24" s="43" t="s">
        <v>323</v>
      </c>
      <c r="F24" s="43" t="s">
        <v>246</v>
      </c>
      <c r="G24" s="43" t="s">
        <v>324</v>
      </c>
    </row>
    <row r="25" spans="2:7" ht="30" customHeight="1" x14ac:dyDescent="0.3">
      <c r="B25" s="43" t="s">
        <v>245</v>
      </c>
      <c r="C25" s="4" t="s">
        <v>321</v>
      </c>
      <c r="D25" s="43" t="s">
        <v>325</v>
      </c>
      <c r="E25" s="43" t="s">
        <v>326</v>
      </c>
      <c r="F25" s="43" t="s">
        <v>246</v>
      </c>
      <c r="G25" s="43" t="s">
        <v>324</v>
      </c>
    </row>
    <row r="26" spans="2:7" ht="30" customHeight="1" x14ac:dyDescent="0.3">
      <c r="B26" s="43" t="s">
        <v>245</v>
      </c>
      <c r="C26" s="4" t="s">
        <v>321</v>
      </c>
      <c r="D26" s="43" t="s">
        <v>327</v>
      </c>
      <c r="E26" s="43" t="s">
        <v>328</v>
      </c>
      <c r="F26" s="43" t="s">
        <v>246</v>
      </c>
      <c r="G26" s="43" t="s">
        <v>324</v>
      </c>
    </row>
    <row r="27" spans="2:7" ht="14" customHeight="1" x14ac:dyDescent="0.2"/>
    <row r="28" spans="2:7" ht="14" customHeight="1" x14ac:dyDescent="0.3">
      <c r="B28" s="8" t="s">
        <v>329</v>
      </c>
    </row>
    <row r="29" spans="2:7" ht="14" customHeight="1" x14ac:dyDescent="0.3">
      <c r="B29" s="10" t="s">
        <v>330</v>
      </c>
      <c r="C29" s="10" t="s">
        <v>331</v>
      </c>
    </row>
    <row r="30" spans="2:7" ht="14" customHeight="1" x14ac:dyDescent="0.3">
      <c r="B30" s="4" t="s">
        <v>332</v>
      </c>
      <c r="C30" t="s">
        <v>333</v>
      </c>
    </row>
    <row r="31" spans="2:7" ht="14" customHeight="1" x14ac:dyDescent="0.3">
      <c r="B31" s="4" t="s">
        <v>334</v>
      </c>
      <c r="C31" t="s">
        <v>335</v>
      </c>
    </row>
    <row r="32" spans="2:7" ht="14" customHeight="1" x14ac:dyDescent="0.3">
      <c r="B32" s="4" t="s">
        <v>336</v>
      </c>
      <c r="C32" t="s">
        <v>337</v>
      </c>
    </row>
    <row r="33" spans="2:3" ht="14" customHeight="1" x14ac:dyDescent="0.3">
      <c r="B33" s="4" t="s">
        <v>338</v>
      </c>
      <c r="C33" t="s">
        <v>339</v>
      </c>
    </row>
    <row r="34" spans="2:3" ht="14" customHeight="1" x14ac:dyDescent="0.3">
      <c r="B34" s="4" t="s">
        <v>340</v>
      </c>
      <c r="C34" t="s">
        <v>4</v>
      </c>
    </row>
    <row r="35" spans="2:3" ht="14" customHeight="1" x14ac:dyDescent="0.3">
      <c r="B35" s="4" t="s">
        <v>341</v>
      </c>
      <c r="C35" t="s">
        <v>245</v>
      </c>
    </row>
    <row r="36" spans="2:3" ht="14" customHeight="1" x14ac:dyDescent="0.3">
      <c r="B36" s="4" t="s">
        <v>342</v>
      </c>
      <c r="C36" t="s">
        <v>343</v>
      </c>
    </row>
    <row r="37" spans="2:3" ht="14" customHeight="1" x14ac:dyDescent="0.3">
      <c r="B37" s="4" t="s">
        <v>344</v>
      </c>
      <c r="C37" t="s">
        <v>345</v>
      </c>
    </row>
    <row r="38" spans="2:3" ht="14" customHeight="1" x14ac:dyDescent="0.3">
      <c r="B38" s="4" t="s">
        <v>346</v>
      </c>
      <c r="C38" t="s">
        <v>347</v>
      </c>
    </row>
    <row r="39" spans="2:3" ht="14" customHeight="1" x14ac:dyDescent="0.3">
      <c r="B39" s="4" t="s">
        <v>348</v>
      </c>
      <c r="C39" t="s">
        <v>349</v>
      </c>
    </row>
    <row r="40" spans="2:3" ht="14" customHeight="1" x14ac:dyDescent="0.3">
      <c r="B40" s="4" t="s">
        <v>350</v>
      </c>
      <c r="C40" t="s">
        <v>351</v>
      </c>
    </row>
    <row r="41" spans="2:3" ht="14" customHeight="1" x14ac:dyDescent="0.3">
      <c r="B41" s="4" t="s">
        <v>352</v>
      </c>
      <c r="C41" t="s">
        <v>347</v>
      </c>
    </row>
    <row r="42" spans="2:3" ht="14" customHeight="1" x14ac:dyDescent="0.3">
      <c r="B42" s="4" t="s">
        <v>353</v>
      </c>
      <c r="C42" t="s">
        <v>343</v>
      </c>
    </row>
    <row r="43" spans="2:3" ht="14" customHeight="1" x14ac:dyDescent="0.3">
      <c r="B43" s="4" t="s">
        <v>354</v>
      </c>
      <c r="C43" t="s">
        <v>355</v>
      </c>
    </row>
    <row r="44" spans="2:3" ht="14" customHeight="1" x14ac:dyDescent="0.3">
      <c r="B44" s="4" t="s">
        <v>356</v>
      </c>
      <c r="C44" t="s">
        <v>357</v>
      </c>
    </row>
    <row r="45" spans="2:3" ht="14" customHeight="1" x14ac:dyDescent="0.3">
      <c r="B45" s="4" t="s">
        <v>358</v>
      </c>
      <c r="C45" t="s">
        <v>359</v>
      </c>
    </row>
    <row r="46" spans="2:3" ht="14" customHeight="1" x14ac:dyDescent="0.3">
      <c r="B46" s="4" t="s">
        <v>360</v>
      </c>
      <c r="C46" t="s">
        <v>361</v>
      </c>
    </row>
    <row r="47" spans="2:3" ht="14" customHeight="1" x14ac:dyDescent="0.3">
      <c r="B47" s="4" t="s">
        <v>362</v>
      </c>
      <c r="C47" t="s">
        <v>363</v>
      </c>
    </row>
    <row r="48" spans="2:3" ht="14" customHeight="1" x14ac:dyDescent="0.3">
      <c r="B48" s="4" t="s">
        <v>364</v>
      </c>
      <c r="C48" t="s">
        <v>365</v>
      </c>
    </row>
    <row r="49" spans="2:3" ht="14" customHeight="1" x14ac:dyDescent="0.3">
      <c r="B49" s="4" t="s">
        <v>366</v>
      </c>
      <c r="C49" t="s">
        <v>367</v>
      </c>
    </row>
    <row r="50" spans="2:3" ht="14" customHeight="1" x14ac:dyDescent="0.3">
      <c r="B50" s="4" t="s">
        <v>368</v>
      </c>
      <c r="C50" t="s">
        <v>369</v>
      </c>
    </row>
    <row r="51" spans="2:3" ht="14" x14ac:dyDescent="0.3">
      <c r="B51" s="4" t="s">
        <v>370</v>
      </c>
      <c r="C51" t="s">
        <v>335</v>
      </c>
    </row>
    <row r="52" spans="2:3" ht="14" x14ac:dyDescent="0.3">
      <c r="B52" s="4" t="s">
        <v>371</v>
      </c>
      <c r="C52" t="s">
        <v>372</v>
      </c>
    </row>
    <row r="53" spans="2:3" ht="14" x14ac:dyDescent="0.3">
      <c r="B53" s="4" t="s">
        <v>373</v>
      </c>
      <c r="C53" t="s">
        <v>374</v>
      </c>
    </row>
    <row r="54" spans="2:3" ht="14" x14ac:dyDescent="0.3">
      <c r="B54" s="4" t="s">
        <v>375</v>
      </c>
      <c r="C54" t="s">
        <v>376</v>
      </c>
    </row>
    <row r="55" spans="2:3" ht="14" x14ac:dyDescent="0.3">
      <c r="B55" s="4" t="s">
        <v>377</v>
      </c>
      <c r="C55" t="s">
        <v>378</v>
      </c>
    </row>
    <row r="56" spans="2:3" ht="14" x14ac:dyDescent="0.3">
      <c r="B56" s="4" t="s">
        <v>379</v>
      </c>
      <c r="C56" t="s">
        <v>380</v>
      </c>
    </row>
    <row r="57" spans="2:3" ht="14" x14ac:dyDescent="0.3">
      <c r="B57" s="4" t="s">
        <v>381</v>
      </c>
      <c r="C57" t="s">
        <v>382</v>
      </c>
    </row>
    <row r="58" spans="2:3" ht="14" x14ac:dyDescent="0.3">
      <c r="B58" s="4" t="s">
        <v>383</v>
      </c>
      <c r="C58" t="s">
        <v>384</v>
      </c>
    </row>
    <row r="59" spans="2:3" ht="14" x14ac:dyDescent="0.3">
      <c r="B59" s="4" t="s">
        <v>385</v>
      </c>
      <c r="C59" t="s">
        <v>386</v>
      </c>
    </row>
    <row r="60" spans="2:3" ht="14" x14ac:dyDescent="0.3">
      <c r="B60" s="4" t="s">
        <v>387</v>
      </c>
      <c r="C60" t="s">
        <v>388</v>
      </c>
    </row>
    <row r="61" spans="2:3" ht="14" x14ac:dyDescent="0.3">
      <c r="B61" s="4" t="s">
        <v>389</v>
      </c>
      <c r="C61" t="s">
        <v>390</v>
      </c>
    </row>
    <row r="62" spans="2:3" ht="14" x14ac:dyDescent="0.3">
      <c r="B62" s="4" t="s">
        <v>391</v>
      </c>
      <c r="C62" t="s">
        <v>392</v>
      </c>
    </row>
    <row r="63" spans="2:3" ht="14" x14ac:dyDescent="0.3">
      <c r="B63" s="4" t="s">
        <v>393</v>
      </c>
      <c r="C63" t="s">
        <v>394</v>
      </c>
    </row>
    <row r="64" spans="2:3" ht="14" x14ac:dyDescent="0.3">
      <c r="B64" s="4" t="s">
        <v>395</v>
      </c>
      <c r="C64" t="s">
        <v>396</v>
      </c>
    </row>
    <row r="65" spans="2:3" ht="14" x14ac:dyDescent="0.3">
      <c r="B65" s="4" t="s">
        <v>397</v>
      </c>
      <c r="C65" t="s">
        <v>398</v>
      </c>
    </row>
    <row r="66" spans="2:3" ht="14" x14ac:dyDescent="0.3">
      <c r="B66" s="4" t="s">
        <v>399</v>
      </c>
      <c r="C66" t="s">
        <v>206</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2026-09-05T09:14:11Z</dcterms:created>
  <dcterms:modified xsi:type="dcterms:W3CDTF">2026-09-05T09:33:57Z</dcterms:modified>
</cp:coreProperties>
</file>