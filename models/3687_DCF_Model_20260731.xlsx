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3D737B6F-6DB1-415E-85AC-31B3839468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Adjustments Log" sheetId="7" r:id="rId7"/>
  </sheets>
  <calcPr calcId="181029"/>
</workbook>
</file>

<file path=xl/calcChain.xml><?xml version="1.0" encoding="utf-8"?>
<calcChain xmlns="http://schemas.openxmlformats.org/spreadsheetml/2006/main">
  <c r="I3" i="6" l="1"/>
  <c r="I17" i="6" s="1"/>
  <c r="F3" i="6"/>
  <c r="H6" i="6" s="1"/>
  <c r="I16" i="5"/>
  <c r="G15" i="5"/>
  <c r="O10" i="5"/>
  <c r="N10" i="5"/>
  <c r="M10" i="5"/>
  <c r="L10" i="5"/>
  <c r="K10" i="5"/>
  <c r="J10" i="5"/>
  <c r="O9" i="5"/>
  <c r="N9" i="5"/>
  <c r="M9" i="5"/>
  <c r="L9" i="5"/>
  <c r="K9" i="5"/>
  <c r="J9" i="5"/>
  <c r="O8" i="5"/>
  <c r="N8" i="5"/>
  <c r="M8" i="5"/>
  <c r="L8" i="5"/>
  <c r="K8" i="5"/>
  <c r="J8" i="5"/>
  <c r="O7" i="5"/>
  <c r="N7" i="5"/>
  <c r="M7" i="5"/>
  <c r="L7" i="5"/>
  <c r="K7" i="5"/>
  <c r="J7" i="5"/>
  <c r="O6" i="5"/>
  <c r="N6" i="5"/>
  <c r="M6" i="5"/>
  <c r="L6" i="5"/>
  <c r="K6" i="5"/>
  <c r="J6" i="5"/>
  <c r="O5" i="5"/>
  <c r="N5" i="5"/>
  <c r="E5" i="5"/>
  <c r="J5" i="5" s="1"/>
  <c r="D5" i="5"/>
  <c r="M5" i="5" s="1"/>
  <c r="C16" i="4"/>
  <c r="C14" i="4"/>
  <c r="C18" i="4" s="1"/>
  <c r="C7" i="4"/>
  <c r="C6" i="4"/>
  <c r="C5" i="4"/>
  <c r="D27" i="3"/>
  <c r="G5" i="4" s="1"/>
  <c r="C25" i="3"/>
  <c r="C24" i="3"/>
  <c r="C23" i="3"/>
  <c r="E28" i="2"/>
  <c r="D28" i="2"/>
  <c r="C28" i="2"/>
  <c r="F23" i="2"/>
  <c r="E23" i="2"/>
  <c r="D23" i="2"/>
  <c r="C23" i="2"/>
  <c r="F21" i="2"/>
  <c r="F22" i="2" s="1"/>
  <c r="E21" i="2"/>
  <c r="E22" i="2" s="1"/>
  <c r="D21" i="2"/>
  <c r="D22" i="2" s="1"/>
  <c r="C21" i="2"/>
  <c r="C22" i="2" s="1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F8" i="2"/>
  <c r="F9" i="2" s="1"/>
  <c r="E8" i="2"/>
  <c r="E9" i="2" s="1"/>
  <c r="D8" i="2"/>
  <c r="D9" i="2" s="1"/>
  <c r="C8" i="2"/>
  <c r="C9" i="2" s="1"/>
  <c r="D17" i="5" l="1"/>
  <c r="C26" i="3"/>
  <c r="F46" i="3" s="1"/>
  <c r="G16" i="5"/>
  <c r="E15" i="5"/>
  <c r="F15" i="5"/>
  <c r="H15" i="5"/>
  <c r="I17" i="5"/>
  <c r="C3" i="6"/>
  <c r="D46" i="3"/>
  <c r="C46" i="3"/>
  <c r="E46" i="3"/>
  <c r="G46" i="3"/>
  <c r="E30" i="3"/>
  <c r="C32" i="3"/>
  <c r="H5" i="4"/>
  <c r="D7" i="4"/>
  <c r="K5" i="5"/>
  <c r="I15" i="5"/>
  <c r="E17" i="5"/>
  <c r="I6" i="6"/>
  <c r="F30" i="3"/>
  <c r="D32" i="3"/>
  <c r="E7" i="4"/>
  <c r="L5" i="5"/>
  <c r="D16" i="5"/>
  <c r="C27" i="5" s="1"/>
  <c r="C18" i="1" s="1"/>
  <c r="D18" i="1" s="1"/>
  <c r="F17" i="5"/>
  <c r="C17" i="6"/>
  <c r="C30" i="3"/>
  <c r="C33" i="3" s="1"/>
  <c r="F31" i="3"/>
  <c r="F5" i="4"/>
  <c r="G30" i="3"/>
  <c r="E32" i="3"/>
  <c r="D6" i="4"/>
  <c r="F7" i="4"/>
  <c r="E16" i="5"/>
  <c r="G17" i="5"/>
  <c r="C6" i="6"/>
  <c r="D17" i="6"/>
  <c r="C31" i="3"/>
  <c r="F32" i="3"/>
  <c r="E6" i="4"/>
  <c r="G7" i="4"/>
  <c r="D15" i="5"/>
  <c r="F16" i="5"/>
  <c r="C28" i="5" s="1"/>
  <c r="C19" i="1" s="1"/>
  <c r="D19" i="1" s="1"/>
  <c r="H17" i="5"/>
  <c r="D6" i="6"/>
  <c r="E17" i="6"/>
  <c r="H6" i="4"/>
  <c r="D31" i="3"/>
  <c r="G32" i="3"/>
  <c r="D5" i="4"/>
  <c r="F6" i="4"/>
  <c r="H7" i="4"/>
  <c r="E6" i="6"/>
  <c r="F17" i="6"/>
  <c r="E31" i="3"/>
  <c r="E5" i="4"/>
  <c r="G6" i="4"/>
  <c r="H16" i="5"/>
  <c r="F6" i="6"/>
  <c r="G17" i="6"/>
  <c r="G6" i="6"/>
  <c r="H17" i="6"/>
  <c r="D30" i="3"/>
  <c r="G31" i="3"/>
  <c r="D9" i="4" l="1"/>
  <c r="D12" i="4" s="1"/>
  <c r="C34" i="3"/>
  <c r="D10" i="4" s="1"/>
  <c r="C37" i="3"/>
  <c r="D33" i="3"/>
  <c r="B13" i="6"/>
  <c r="B12" i="6"/>
  <c r="B11" i="6"/>
  <c r="B10" i="6"/>
  <c r="B9" i="6"/>
  <c r="B8" i="6"/>
  <c r="B7" i="6"/>
  <c r="B24" i="6"/>
  <c r="B23" i="6"/>
  <c r="B22" i="6"/>
  <c r="B21" i="6"/>
  <c r="B20" i="6"/>
  <c r="B19" i="6"/>
  <c r="B18" i="6"/>
  <c r="E33" i="3" l="1"/>
  <c r="D34" i="3"/>
  <c r="E10" i="4" s="1"/>
  <c r="D37" i="3"/>
  <c r="E9" i="4"/>
  <c r="E12" i="4" s="1"/>
  <c r="D15" i="4"/>
  <c r="D16" i="4" s="1"/>
  <c r="D13" i="4"/>
  <c r="D14" i="4"/>
  <c r="D18" i="4" s="1"/>
  <c r="D19" i="4" s="1"/>
  <c r="C44" i="3" s="1"/>
  <c r="C35" i="3"/>
  <c r="D35" i="3" l="1"/>
  <c r="D38" i="3"/>
  <c r="D36" i="3"/>
  <c r="D39" i="3"/>
  <c r="E13" i="4"/>
  <c r="E14" i="4" s="1"/>
  <c r="E15" i="4"/>
  <c r="E16" i="4" s="1"/>
  <c r="C36" i="3"/>
  <c r="C39" i="3"/>
  <c r="C38" i="3"/>
  <c r="F9" i="4"/>
  <c r="F12" i="4" s="1"/>
  <c r="E34" i="3"/>
  <c r="F10" i="4" s="1"/>
  <c r="E37" i="3"/>
  <c r="E35" i="3"/>
  <c r="F33" i="3"/>
  <c r="E18" i="4" l="1"/>
  <c r="E19" i="4" s="1"/>
  <c r="D44" i="3" s="1"/>
  <c r="C40" i="3"/>
  <c r="C41" i="3" s="1"/>
  <c r="C45" i="3" s="1"/>
  <c r="F34" i="3"/>
  <c r="G10" i="4" s="1"/>
  <c r="F37" i="3"/>
  <c r="F35" i="3"/>
  <c r="G33" i="3"/>
  <c r="G9" i="4"/>
  <c r="G12" i="4" s="1"/>
  <c r="E39" i="3"/>
  <c r="E36" i="3"/>
  <c r="E38" i="3"/>
  <c r="F13" i="4"/>
  <c r="F15" i="4"/>
  <c r="F16" i="4" s="1"/>
  <c r="D40" i="3"/>
  <c r="D41" i="3" s="1"/>
  <c r="D45" i="3" s="1"/>
  <c r="D47" i="3" s="1"/>
  <c r="F14" i="4"/>
  <c r="F18" i="4" s="1"/>
  <c r="F19" i="4" s="1"/>
  <c r="E44" i="3" s="1"/>
  <c r="C47" i="3" l="1"/>
  <c r="F36" i="3"/>
  <c r="F39" i="3"/>
  <c r="F38" i="3"/>
  <c r="E40" i="3"/>
  <c r="E41" i="3" s="1"/>
  <c r="E45" i="3" s="1"/>
  <c r="G37" i="3"/>
  <c r="G34" i="3"/>
  <c r="H10" i="4" s="1"/>
  <c r="H9" i="4"/>
  <c r="H12" i="4" s="1"/>
  <c r="G13" i="4"/>
  <c r="G14" i="4" s="1"/>
  <c r="G15" i="4"/>
  <c r="G16" i="4" s="1"/>
  <c r="G35" i="3" l="1"/>
  <c r="G18" i="4"/>
  <c r="G19" i="4" s="1"/>
  <c r="F44" i="3" s="1"/>
  <c r="E47" i="3"/>
  <c r="F40" i="3"/>
  <c r="F41" i="3" s="1"/>
  <c r="F45" i="3" s="1"/>
  <c r="G39" i="3"/>
  <c r="G38" i="3"/>
  <c r="G36" i="3"/>
  <c r="H15" i="4"/>
  <c r="H16" i="4" s="1"/>
  <c r="H13" i="4"/>
  <c r="H14" i="4" s="1"/>
  <c r="H18" i="4" l="1"/>
  <c r="H19" i="4" s="1"/>
  <c r="G44" i="3" s="1"/>
  <c r="F47" i="3"/>
  <c r="C59" i="3"/>
  <c r="C60" i="3" s="1"/>
  <c r="C61" i="3" s="1"/>
  <c r="G40" i="3"/>
  <c r="G41" i="3" s="1"/>
  <c r="G45" i="3" s="1"/>
  <c r="C51" i="3" l="1"/>
  <c r="C52" i="3" s="1"/>
  <c r="G47" i="3"/>
  <c r="C50" i="3" s="1"/>
  <c r="E7" i="6"/>
  <c r="D22" i="6"/>
  <c r="E21" i="6"/>
  <c r="F8" i="6"/>
  <c r="G19" i="6"/>
  <c r="I7" i="6"/>
  <c r="C21" i="6"/>
  <c r="I24" i="6"/>
  <c r="F9" i="6"/>
  <c r="I8" i="6"/>
  <c r="F7" i="6"/>
  <c r="G22" i="6"/>
  <c r="C8" i="6"/>
  <c r="D8" i="6"/>
  <c r="F24" i="6"/>
  <c r="I21" i="6"/>
  <c r="I13" i="6"/>
  <c r="D11" i="6"/>
  <c r="E8" i="6"/>
  <c r="D13" i="6"/>
  <c r="D12" i="6"/>
  <c r="E9" i="6"/>
  <c r="E22" i="6"/>
  <c r="I22" i="6"/>
  <c r="I11" i="6"/>
  <c r="G10" i="6"/>
  <c r="H7" i="6"/>
  <c r="F12" i="6"/>
  <c r="D9" i="6"/>
  <c r="F19" i="6"/>
  <c r="G8" i="6"/>
  <c r="G11" i="6"/>
  <c r="G12" i="6"/>
  <c r="C12" i="6"/>
  <c r="E11" i="6"/>
  <c r="F18" i="6"/>
  <c r="F10" i="6"/>
  <c r="D18" i="6"/>
  <c r="G7" i="6"/>
  <c r="D7" i="6"/>
  <c r="G18" i="6"/>
  <c r="G21" i="6"/>
  <c r="H22" i="6"/>
  <c r="C7" i="6"/>
  <c r="G23" i="6"/>
  <c r="C10" i="6"/>
  <c r="I20" i="6"/>
  <c r="I12" i="6"/>
  <c r="G9" i="6"/>
  <c r="H24" i="6"/>
  <c r="F23" i="6"/>
  <c r="D10" i="6"/>
  <c r="C23" i="6"/>
  <c r="C20" i="6"/>
  <c r="C13" i="6"/>
  <c r="D24" i="6"/>
  <c r="H8" i="6"/>
  <c r="H21" i="6"/>
  <c r="H9" i="6"/>
  <c r="H11" i="6"/>
  <c r="C19" i="6"/>
  <c r="C11" i="6"/>
  <c r="E13" i="6"/>
  <c r="E19" i="6"/>
  <c r="D19" i="6"/>
  <c r="G24" i="6"/>
  <c r="I19" i="6"/>
  <c r="E23" i="6"/>
  <c r="F21" i="6"/>
  <c r="I23" i="6"/>
  <c r="E12" i="6"/>
  <c r="I10" i="6"/>
  <c r="E10" i="6"/>
  <c r="D20" i="6"/>
  <c r="H19" i="6"/>
  <c r="H10" i="6"/>
  <c r="H13" i="6"/>
  <c r="G20" i="6"/>
  <c r="G13" i="6"/>
  <c r="I18" i="6"/>
  <c r="H18" i="6"/>
  <c r="E18" i="6"/>
  <c r="F13" i="6"/>
  <c r="H12" i="6"/>
  <c r="D23" i="6"/>
  <c r="E20" i="6"/>
  <c r="F11" i="6"/>
  <c r="C18" i="6"/>
  <c r="D21" i="6"/>
  <c r="I9" i="6"/>
  <c r="F20" i="6"/>
  <c r="C22" i="6"/>
  <c r="C24" i="6"/>
  <c r="E24" i="6"/>
  <c r="C9" i="6"/>
  <c r="H23" i="6"/>
  <c r="F22" i="6"/>
  <c r="H20" i="6"/>
  <c r="C58" i="3" l="1"/>
  <c r="C62" i="3" s="1"/>
  <c r="C63" i="3" s="1"/>
  <c r="C64" i="3" s="1"/>
  <c r="C17" i="1" s="1"/>
  <c r="D17" i="1" s="1"/>
  <c r="C53" i="3"/>
  <c r="C54" i="3" l="1"/>
  <c r="C55" i="3" s="1"/>
  <c r="C16" i="1" s="1"/>
  <c r="D16" i="1" l="1"/>
  <c r="C21" i="1"/>
  <c r="C10" i="1"/>
  <c r="C12" i="1" s="1"/>
  <c r="C11" i="1" s="1"/>
</calcChain>
</file>

<file path=xl/sharedStrings.xml><?xml version="1.0" encoding="utf-8"?>
<sst xmlns="http://schemas.openxmlformats.org/spreadsheetml/2006/main" count="318" uniqueCount="254">
  <si>
    <t>DISCLAIMER: This is a sample analysis for demonstration purposes only. It does not constitute investment advice.</t>
  </si>
  <si>
    <t>株式会社フィックスターズ (3687.T)</t>
  </si>
  <si>
    <t>Equity Research Report</t>
  </si>
  <si>
    <t>Company</t>
  </si>
  <si>
    <t>株式会社フィックスターズ</t>
  </si>
  <si>
    <t>Ticker</t>
  </si>
  <si>
    <t>3687.T (TSE)</t>
  </si>
  <si>
    <t>Sector</t>
  </si>
  <si>
    <t>Information &amp; Communication (software / AI optimization)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</si>
  <si>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</si>
  <si>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</si>
  <si>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</si>
  <si>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</si>
  <si>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</si>
  <si>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</si>
  <si>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</si>
  <si>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</si>
  <si>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</si>
  <si>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</si>
  <si>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</si>
  <si>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</si>
  <si>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</si>
  <si>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</si>
  <si>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The consolidated 26.8% operating margin understates the core franchise. The Solution segment earned 3,236 on 9,171 of revenue, a 35.3% margin, up from 32.0% a year earlier. The gap to the consolidated figure is deliberate investment: SaaS lost 424 and the CVC book took a 232 securities writedown that runs through cost of sales. Strip both and the normalised margin is about 29%.</t>
  </si>
  <si>
    <t>2. Asset-light compounding with no leverage. Revenue grew from 6,311 to 9,618 over three years, a 15.1% CAGR, on capex averaging under 1.5% of revenue and D&amp;A of 1.7%. Long-term borrowings were fully repaid in FY2025/9, leaving net cash of 5,131 and an interest coverage ratio of 3,597x. ROE is 26.0% with an 83.6% equity ratio.</t>
  </si>
  <si>
    <t>3. AI demand is the stated growth vector and it is already showing in the mix. Revenue recognised over time rose from 1,465 to 2,466 (+68%), indicating a shift toward longer, stickier engagements, while the "Speed up your AI" repositioning targets AI development acceleration where the company's optimisation expertise transfers directly.</t>
  </si>
  <si>
    <t>Key Risks</t>
  </si>
  <si>
    <t>1. Customer concentration is severe and cyclically exposed. Kioxia alone was 1,647 of revenue, or 17.1%, and Nexty Electronics 1,119, or 11.6% - 28.8% from two names. Renesas was a further 16.0% in the prior year. These are semiconductor customers whose R&amp;D budgets move with the NAND and MCU cycles, so a memory downcycle transmits directly into Solution revenue.</t>
  </si>
  <si>
    <t>2. FY2026/9 guidance is for a 17.8% fall in parent net income. Management cites headquarters relocation costs, higher rent, large wage increases, and the reversal of a one-off tax benefit from the Sider liquidation. Operating profit is guided merely flat at 2,600 (+0.8%), so the growth narrative pauses for a year even on the company's own numbers.</t>
  </si>
  <si>
    <t>3. Valuation leaves no margin for error. At 2,079 the shares trade at 34.5x trailing and 41.9x guided earnings, 8.13x book and 22.6x EV/EBITDA, against an exit multiple assumption of 12.0x. The SaaS segment has consumed 575 of cumulative operating losses over two years with no revenue inflection yet - 446 of revenue against a 424 loss.</t>
  </si>
  <si>
    <t>株式会社フィックスターズ - Historical Financials (JPY mn)</t>
  </si>
  <si>
    <t>FY2022/9</t>
  </si>
  <si>
    <t>FY2023/9</t>
  </si>
  <si>
    <t>FY2024/9</t>
  </si>
  <si>
    <t>FY2025/9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</si>
  <si>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</si>
  <si>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</si>
  <si>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</si>
  <si>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</si>
  <si>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</si>
  <si>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</si>
  <si>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</si>
  <si>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</si>
  <si>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</si>
  <si>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</si>
  <si>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</si>
  <si>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</si>
  <si>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</si>
  <si>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</si>
  <si>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</si>
  <si>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</si>
  <si>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</si>
  <si>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</si>
  <si>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</si>
  <si>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</si>
  <si>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</si>
  <si>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</si>
  <si>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</si>
  <si>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Note: OCF / Cash / Debt coverage OCF 4/4, Cash 4/4, Debt 3/4 — blank cells are years with no year-key match in the source data (verify against 決算短信 or set hist_ocf / hist_cash / hist_debt in overrides).</t>
  </si>
  <si>
    <t>DCF Valuation Model - 株式会社フィックスターズ</t>
  </si>
  <si>
    <t>Assumptions</t>
  </si>
  <si>
    <t>Capex / Revenue (hist 3yr avg, 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</si>
  <si>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</si>
  <si>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</si>
  <si>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</si>
  <si>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</si>
  <si>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</si>
  <si>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</si>
  <si>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</si>
  <si>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</si>
  <si>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</si>
  <si>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</si>
  <si>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</si>
  <si>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</si>
  <si>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 (hist 3yr avg, fallback)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</si>
  <si>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</si>
  <si>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</si>
  <si>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</si>
  <si>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</si>
  <si>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</si>
  <si>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</si>
  <si>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</si>
  <si>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</si>
  <si>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</si>
  <si>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</si>
  <si>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</si>
  <si>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</si>
  <si>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</si>
  <si>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</si>
  <si>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</si>
  <si>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</si>
  <si>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</si>
  <si>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</si>
  <si>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</si>
  <si>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</si>
  <si>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</si>
  <si>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</si>
  <si>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</si>
  <si>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</si>
  <si>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</si>
  <si>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</si>
  <si>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</si>
  <si>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</si>
  <si>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</si>
  <si>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</si>
  <si>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</si>
  <si>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</si>
  <si>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</si>
  <si>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</si>
  <si>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</si>
  <si>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</si>
  <si>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</si>
  <si>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</si>
  <si>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</si>
  <si>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</si>
  <si>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</si>
  <si>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</si>
  <si>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</si>
  <si>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</si>
  <si>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</si>
  <si>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</si>
  <si>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</si>
  <si>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</si>
  <si>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</si>
  <si>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株式会社フィックスターズ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</si>
  <si>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</si>
  <si>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</si>
  <si>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</si>
  <si>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</si>
  <si>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</si>
  <si>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</si>
  <si>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</si>
  <si>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</si>
  <si>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</si>
  <si>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</si>
  <si>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</si>
  <si>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</si>
  <si>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</si>
  <si>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</si>
  <si>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</si>
  <si>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</si>
  <si>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</si>
  <si>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</si>
  <si>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</si>
  <si>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2026-07-31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</si>
  <si>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</si>
  <si>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</si>
  <si>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</si>
  <si>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</si>
  <si>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</si>
  <si>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</si>
  <si>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</si>
  <si>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</si>
  <si>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</si>
  <si>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</si>
  <si>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</si>
  <si>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</si>
  <si>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</si>
  <si>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</si>
  <si>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Fixstars</t>
  </si>
  <si>
    <t>3687.T</t>
  </si>
  <si>
    <t>Base Corporation</t>
  </si>
  <si>
    <t>4481.T</t>
  </si>
  <si>
    <t>PKSHA Technology</t>
  </si>
  <si>
    <t>3993.T</t>
  </si>
  <si>
    <t>Baycurrent Consulting</t>
  </si>
  <si>
    <t>6532.T</t>
  </si>
  <si>
    <t>TIS Inc.</t>
  </si>
  <si>
    <t>3626.T</t>
  </si>
  <si>
    <t>FRONTEO</t>
  </si>
  <si>
    <t>2158.T</t>
  </si>
  <si>
    <t>Statistics</t>
  </si>
  <si>
    <t>25th Percentile</t>
  </si>
  <si>
    <t>Median (50th)</t>
  </si>
  <si>
    <t>75th Percentile</t>
  </si>
  <si>
    <t>Implied Valuation for 株式会社フィックスターズ</t>
  </si>
  <si>
    <t>株式会社フィックスターズ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</si>
  <si>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</si>
  <si>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</si>
  <si>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</si>
  <si>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</si>
  <si>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</si>
  <si>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</si>
  <si>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</si>
  <si>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</si>
  <si>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</si>
  <si>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</si>
  <si>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</si>
  <si>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</si>
  <si>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</si>
  <si>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</si>
  <si>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</si>
  <si>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株式会社フィックスターズ</t>
  </si>
  <si>
    <t>日付</t>
  </si>
  <si>
    <t>セル</t>
  </si>
  <si>
    <t>変更内容</t>
  </si>
  <si>
    <t>理由</t>
  </si>
  <si>
    <t>元の値</t>
  </si>
  <si>
    <t>状態</t>
  </si>
  <si>
    <t>2026-07-31</t>
  </si>
  <si>
    <t>-</t>
  </si>
  <si>
    <t>Generated by pipeline on 2026-07-31 13:44, template rev f61d242</t>
  </si>
  <si>
    <t>初期生成（手修正なし）</t>
  </si>
  <si>
    <t>generated</t>
  </si>
  <si>
    <t>Pipeline Metadata (do not edit — read by scripts/validate_output.py)</t>
  </si>
  <si>
    <t>key</t>
  </si>
  <si>
    <t>value</t>
  </si>
  <si>
    <t>capex_pct_basis</t>
  </si>
  <si>
    <t>hist_3yr_avg</t>
  </si>
  <si>
    <t>capex_pct_c5</t>
  </si>
  <si>
    <t>0.0125</t>
  </si>
  <si>
    <t>capex_pct_hist3yr</t>
  </si>
  <si>
    <t>0.012491</t>
  </si>
  <si>
    <t>company_name</t>
  </si>
  <si>
    <t>comps_asof</t>
  </si>
  <si>
    <t>comps_da_missing</t>
  </si>
  <si>
    <t>none</t>
  </si>
  <si>
    <t>comps_ev_ebitda_invalid</t>
  </si>
  <si>
    <t>no</t>
  </si>
  <si>
    <t>comps_ev_ebitda_rows</t>
  </si>
  <si>
    <t>6,7,8,9,10</t>
  </si>
  <si>
    <t>comps_impl_mult_row</t>
  </si>
  <si>
    <t>27</t>
  </si>
  <si>
    <t>comps_impl_per_row</t>
  </si>
  <si>
    <t>28</t>
  </si>
  <si>
    <t>comps_peer_rows</t>
  </si>
  <si>
    <t>comps_stale_excluded</t>
  </si>
  <si>
    <t>comps_stat_median_row</t>
  </si>
  <si>
    <t>16</t>
  </si>
  <si>
    <t>comps_subject_row</t>
  </si>
  <si>
    <t>5</t>
  </si>
  <si>
    <t>da_pct_basis</t>
  </si>
  <si>
    <t>da_pct_c18</t>
  </si>
  <si>
    <t>0.0183</t>
  </si>
  <si>
    <t>da_pct_hist3yr</t>
  </si>
  <si>
    <t>0.018316</t>
  </si>
  <si>
    <t>fs_year_coverage</t>
  </si>
  <si>
    <t>OCF 4/4, Cash 4/4, Debt 3/4</t>
  </si>
  <si>
    <t>fs_year_map</t>
  </si>
  <si>
    <t>FY2022/9&lt;-FY2022[ocf+cash+debt]; FY2023/9&lt;-FY2023[ocf+cash+debt]; FY2024/9&lt;-FY2024[ocf+cash+debt]; FY2025/9&lt;-FY2025[ocf+cash]</t>
  </si>
  <si>
    <t>fs_year_sources</t>
  </si>
  <si>
    <t>overrides: hist_capex, hist_depreciation | EDINET year-key match: hist_ocf, hist_cash, hist_debt</t>
  </si>
  <si>
    <t>generated_at</t>
  </si>
  <si>
    <t>2026-07-31 13:44:28</t>
  </si>
  <si>
    <t>ltm_revenue_c20</t>
  </si>
  <si>
    <t>10276.9</t>
  </si>
  <si>
    <t>ltm_revenue_source</t>
  </si>
  <si>
    <t>LTM row</t>
  </si>
  <si>
    <t>narrative_tokens_used</t>
  </si>
  <si>
    <t>scenario_index_range</t>
  </si>
  <si>
    <t>B69:B73</t>
  </si>
  <si>
    <t>template_rev</t>
  </si>
  <si>
    <t>f61d242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</si>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</sst>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1" t="s">
        <v>0</v>
      </c>
      <c r="C1" s="40"/>
      <c r="D1" s="40"/>
      <c r="E1" s="40"/>
    </row>
    <row r="3" spans="2:5" ht="18" x14ac:dyDescent="0.4">
      <c r="B3" s="39" t="s">
        <v>1</v>
      </c>
      <c r="C3" s="40"/>
      <c r="D3" s="40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2079</v>
      </c>
    </row>
    <row r="10" spans="2:5" ht="14" x14ac:dyDescent="0.3">
      <c r="B10" s="4" t="s">
        <v>10</v>
      </c>
      <c r="C10" s="5">
        <f>ROUND(AVERAGE(C16:C19),0)</f>
        <v>1431</v>
      </c>
    </row>
    <row r="11" spans="2:5" ht="14" x14ac:dyDescent="0.3">
      <c r="B11" s="4" t="s">
        <v>11</v>
      </c>
      <c r="C11" s="6" t="str">
        <f>IF(C12&gt;0.15,"BUY",IF(C12&gt;0.05,"HOLD","SELL"))</f>
        <v>SELL</v>
      </c>
    </row>
    <row r="12" spans="2:5" ht="14" x14ac:dyDescent="0.3">
      <c r="B12" s="4" t="s">
        <v>12</v>
      </c>
      <c r="C12" s="7">
        <f>(C10-C9)/C9</f>
        <v>-0.31168831168831168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1064</v>
      </c>
      <c r="D16" s="7">
        <f>IF(ISNUMBER(C16),(C16-C9)/C9,"N/A")</f>
        <v>-0.48821548821548821</v>
      </c>
    </row>
    <row r="17" spans="2:4" ht="13.5" x14ac:dyDescent="0.25">
      <c r="B17" t="s">
        <v>18</v>
      </c>
      <c r="C17" s="11">
        <f>'DCF Model'!C64</f>
        <v>1666</v>
      </c>
      <c r="D17" s="7">
        <f>(C17-C9)/C9</f>
        <v>-0.19865319865319866</v>
      </c>
    </row>
    <row r="18" spans="2:4" ht="13.5" x14ac:dyDescent="0.25">
      <c r="B18" t="s">
        <v>19</v>
      </c>
      <c r="C18" s="11">
        <f>'Comps Analysis'!C27</f>
        <v>1256</v>
      </c>
      <c r="D18" s="7">
        <f>IF(ISNUMBER(C18),(C18-C9)/C9,"N/A")</f>
        <v>-0.39586339586339586</v>
      </c>
    </row>
    <row r="19" spans="2:4" ht="13.5" x14ac:dyDescent="0.25">
      <c r="B19" t="s">
        <v>20</v>
      </c>
      <c r="C19" s="11">
        <f>'Comps Analysis'!C28</f>
        <v>1737</v>
      </c>
      <c r="D19" s="7">
        <f>IF(ISNUMBER(C19),(C19-C9)/C9,"N/A")</f>
        <v>-0.16450216450216451</v>
      </c>
    </row>
    <row r="21" spans="2:4" ht="14" x14ac:dyDescent="0.3">
      <c r="B21" s="4" t="s">
        <v>21</v>
      </c>
      <c r="C21" s="6" t="str">
        <f>MIN(C16:C19)&amp;" - "&amp;MAX(C16:C19)</f>
        <v>1064 - 1737</v>
      </c>
    </row>
    <row r="23" spans="2:4" ht="14" x14ac:dyDescent="0.3">
      <c r="B23" s="8" t="s">
        <v>22</v>
      </c>
      <c r="C23" s="9"/>
      <c r="D23" s="9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8" spans="2:4" ht="14" x14ac:dyDescent="0.3">
      <c r="B28" s="8" t="s">
        <v>26</v>
      </c>
      <c r="C28" s="9"/>
      <c r="D28" s="9"/>
    </row>
    <row r="29" spans="2:4" x14ac:dyDescent="0.2">
      <c r="B29" t="s">
        <v>27</v>
      </c>
    </row>
    <row r="30" spans="2:4" x14ac:dyDescent="0.2">
      <c r="B30" t="s">
        <v>28</v>
      </c>
    </row>
    <row r="31" spans="2:4" x14ac:dyDescent="0.2">
      <c r="B31" t="s">
        <v>29</v>
      </c>
    </row>
  </sheetData>
  <mergeCells count="2">
    <mergeCell ref="B3:D3"/>
    <mergeCell ref="B1:E1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2" t="s">
        <v>30</v>
      </c>
    </row>
    <row r="4" spans="2:6" ht="14" x14ac:dyDescent="0.3">
      <c r="C4" s="10" t="s">
        <v>31</v>
      </c>
      <c r="D4" s="10" t="s">
        <v>32</v>
      </c>
      <c r="E4" s="10" t="s">
        <v>33</v>
      </c>
      <c r="F4" s="10" t="s">
        <v>34</v>
      </c>
    </row>
    <row r="5" spans="2:6" ht="14" x14ac:dyDescent="0.3">
      <c r="B5" s="3" t="s">
        <v>35</v>
      </c>
    </row>
    <row r="6" spans="2:6" ht="14" x14ac:dyDescent="0.3">
      <c r="B6" s="4" t="s">
        <v>36</v>
      </c>
      <c r="C6" s="5">
        <v>6311</v>
      </c>
      <c r="D6" s="5">
        <v>7038</v>
      </c>
      <c r="E6" s="5">
        <v>7995</v>
      </c>
      <c r="F6" s="5">
        <v>9618</v>
      </c>
    </row>
    <row r="7" spans="2:6" ht="14" x14ac:dyDescent="0.3">
      <c r="B7" s="4" t="s">
        <v>37</v>
      </c>
      <c r="C7" s="5">
        <v>3285</v>
      </c>
      <c r="D7" s="5">
        <v>3463</v>
      </c>
      <c r="E7" s="5">
        <v>3817</v>
      </c>
      <c r="F7" s="5">
        <v>4611</v>
      </c>
    </row>
    <row r="8" spans="2:6" ht="14" x14ac:dyDescent="0.3">
      <c r="B8" s="4" t="s">
        <v>38</v>
      </c>
      <c r="C8" s="5">
        <f>C6-C7</f>
        <v>3026</v>
      </c>
      <c r="D8" s="5">
        <f>D6-D7</f>
        <v>3575</v>
      </c>
      <c r="E8" s="5">
        <f>E6-E7</f>
        <v>4178</v>
      </c>
      <c r="F8" s="5">
        <f>F6-F7</f>
        <v>5007</v>
      </c>
    </row>
    <row r="9" spans="2:6" ht="13.5" x14ac:dyDescent="0.25">
      <c r="B9" t="s">
        <v>39</v>
      </c>
      <c r="C9" s="7">
        <f>C8/C6</f>
        <v>0.47948027254000952</v>
      </c>
      <c r="D9" s="7">
        <f>D8/D6</f>
        <v>0.50795680591077008</v>
      </c>
      <c r="E9" s="7">
        <f>E8/E6</f>
        <v>0.52257661038148839</v>
      </c>
      <c r="F9" s="7">
        <f>F8/F6</f>
        <v>0.52058640049906424</v>
      </c>
    </row>
    <row r="10" spans="2:6" ht="14" x14ac:dyDescent="0.3">
      <c r="B10" s="4" t="s">
        <v>40</v>
      </c>
      <c r="C10" s="5">
        <v>1402</v>
      </c>
      <c r="D10" s="5">
        <v>1489</v>
      </c>
      <c r="E10" s="5">
        <v>1874</v>
      </c>
      <c r="F10" s="5">
        <v>2428</v>
      </c>
    </row>
    <row r="11" spans="2:6" ht="14" x14ac:dyDescent="0.3">
      <c r="B11" s="4" t="s">
        <v>41</v>
      </c>
      <c r="C11" s="5">
        <v>1624</v>
      </c>
      <c r="D11" s="5">
        <v>2086</v>
      </c>
      <c r="E11" s="5">
        <v>2304</v>
      </c>
      <c r="F11" s="5">
        <v>2578</v>
      </c>
    </row>
    <row r="12" spans="2:6" ht="14" x14ac:dyDescent="0.3">
      <c r="B12" s="4" t="s">
        <v>42</v>
      </c>
      <c r="C12" s="5">
        <v>1083</v>
      </c>
      <c r="D12" s="5">
        <v>1448</v>
      </c>
      <c r="E12" s="5">
        <v>1494</v>
      </c>
      <c r="F12" s="5">
        <v>1945</v>
      </c>
    </row>
    <row r="13" spans="2:6" ht="13.5" x14ac:dyDescent="0.25">
      <c r="B13" t="s">
        <v>43</v>
      </c>
      <c r="C13" s="7">
        <f>C11/C6</f>
        <v>0.25732847409285375</v>
      </c>
      <c r="D13" s="7">
        <f>D11/D6</f>
        <v>0.2963910201761864</v>
      </c>
      <c r="E13" s="7">
        <f>E11/E6</f>
        <v>0.28818011257035647</v>
      </c>
      <c r="F13" s="7">
        <f>F11/F6</f>
        <v>0.26803909336660431</v>
      </c>
    </row>
    <row r="14" spans="2:6" ht="13.5" x14ac:dyDescent="0.25">
      <c r="B14" t="s">
        <v>44</v>
      </c>
      <c r="C14" s="7">
        <f>C12/C6</f>
        <v>0.17160513389320234</v>
      </c>
      <c r="D14" s="7">
        <f>D12/D6</f>
        <v>0.2057402671213413</v>
      </c>
      <c r="E14" s="7">
        <f>E12/E6</f>
        <v>0.18686679174484053</v>
      </c>
      <c r="F14" s="7">
        <f>F12/F6</f>
        <v>0.20222499480141401</v>
      </c>
    </row>
    <row r="15" spans="2:6" ht="13.5" x14ac:dyDescent="0.25">
      <c r="B15" t="s">
        <v>45</v>
      </c>
      <c r="C15" t="s">
        <v>46</v>
      </c>
      <c r="D15" s="7">
        <f>(D6-C6)/C6</f>
        <v>0.11519569006496594</v>
      </c>
      <c r="E15" s="7">
        <f>(E6-D6)/D6</f>
        <v>0.13597612958226768</v>
      </c>
      <c r="F15" s="7">
        <f>(F6-E6)/E6</f>
        <v>0.20300187617260787</v>
      </c>
    </row>
    <row r="16" spans="2:6" ht="13.5" x14ac:dyDescent="0.25">
      <c r="B16" t="s">
        <v>47</v>
      </c>
      <c r="C16" t="s">
        <v>46</v>
      </c>
      <c r="D16" s="7">
        <f>(D11-C11)/C11</f>
        <v>0.28448275862068967</v>
      </c>
      <c r="E16" s="7">
        <f>(E11-D11)/D11</f>
        <v>0.10450623202301054</v>
      </c>
      <c r="F16" s="7">
        <f>(F11-E11)/E11</f>
        <v>0.1189236111111111</v>
      </c>
    </row>
    <row r="18" spans="2:6" ht="14" x14ac:dyDescent="0.3">
      <c r="B18" s="3" t="s">
        <v>48</v>
      </c>
    </row>
    <row r="19" spans="2:6" ht="14" x14ac:dyDescent="0.3">
      <c r="B19" s="4" t="s">
        <v>49</v>
      </c>
      <c r="C19" s="5">
        <v>1488.0340000000001</v>
      </c>
      <c r="D19" s="5">
        <v>719.45</v>
      </c>
      <c r="E19" s="5">
        <v>1656.0740000000001</v>
      </c>
      <c r="F19" s="5">
        <v>1978.6089999999999</v>
      </c>
    </row>
    <row r="20" spans="2:6" ht="14" x14ac:dyDescent="0.3">
      <c r="B20" s="4" t="s">
        <v>50</v>
      </c>
      <c r="C20" s="5">
        <v>41</v>
      </c>
      <c r="D20" s="5">
        <v>38</v>
      </c>
      <c r="E20" s="5">
        <v>165</v>
      </c>
      <c r="F20" s="5">
        <v>110</v>
      </c>
    </row>
    <row r="21" spans="2:6" ht="14" x14ac:dyDescent="0.3">
      <c r="B21" s="4" t="s">
        <v>51</v>
      </c>
      <c r="C21" s="5">
        <f>C19-C20</f>
        <v>1447.0340000000001</v>
      </c>
      <c r="D21" s="5">
        <f>D19-D20</f>
        <v>681.45</v>
      </c>
      <c r="E21" s="5">
        <f>E19-E20</f>
        <v>1491.0740000000001</v>
      </c>
      <c r="F21" s="5">
        <f>F19-F20</f>
        <v>1868.6089999999999</v>
      </c>
    </row>
    <row r="22" spans="2:6" ht="13.5" x14ac:dyDescent="0.25">
      <c r="B22" t="s">
        <v>52</v>
      </c>
      <c r="C22" s="7">
        <f>C21/C6</f>
        <v>0.22928759309142768</v>
      </c>
      <c r="D22" s="7">
        <f>D21/D6</f>
        <v>9.6824381926683717E-2</v>
      </c>
      <c r="E22" s="7">
        <f>E21/E6</f>
        <v>0.1865008130081301</v>
      </c>
      <c r="F22" s="7">
        <f>F21/F6</f>
        <v>0.19428249116240381</v>
      </c>
    </row>
    <row r="23" spans="2:6" ht="13.5" x14ac:dyDescent="0.25">
      <c r="B23" t="s">
        <v>53</v>
      </c>
      <c r="C23" s="7">
        <f>C20/C6</f>
        <v>6.4965932498811602E-3</v>
      </c>
      <c r="D23" s="7">
        <f>D20/D6</f>
        <v>5.3992611537368573E-3</v>
      </c>
      <c r="E23" s="7">
        <f>E20/E6</f>
        <v>2.0637898686679174E-2</v>
      </c>
      <c r="F23" s="7">
        <f>F20/F6</f>
        <v>1.1436889166146809E-2</v>
      </c>
    </row>
    <row r="25" spans="2:6" ht="14" x14ac:dyDescent="0.3">
      <c r="B25" s="3" t="s">
        <v>54</v>
      </c>
    </row>
    <row r="26" spans="2:6" ht="14" x14ac:dyDescent="0.3">
      <c r="B26" s="4" t="s">
        <v>55</v>
      </c>
      <c r="C26" s="5">
        <v>5056.616</v>
      </c>
      <c r="D26" s="5">
        <v>4629.1120000000001</v>
      </c>
      <c r="E26" s="5">
        <v>4856.4799999999996</v>
      </c>
      <c r="F26" s="5">
        <v>5178.1499999999996</v>
      </c>
    </row>
    <row r="27" spans="2:6" ht="14" x14ac:dyDescent="0.3">
      <c r="B27" s="4" t="s">
        <v>56</v>
      </c>
      <c r="C27" s="5">
        <v>2085</v>
      </c>
      <c r="D27" s="5">
        <v>1297.3</v>
      </c>
      <c r="E27" s="5">
        <v>493</v>
      </c>
      <c r="F27" s="5"/>
    </row>
    <row r="28" spans="2:6" ht="14" x14ac:dyDescent="0.3">
      <c r="B28" s="4" t="s">
        <v>57</v>
      </c>
      <c r="C28" s="5">
        <f>C27-C26</f>
        <v>-2971.616</v>
      </c>
      <c r="D28" s="5">
        <f>D27-D26</f>
        <v>-3331.8119999999999</v>
      </c>
      <c r="E28" s="5">
        <f>E27-E26</f>
        <v>-4363.4799999999996</v>
      </c>
    </row>
    <row r="30" spans="2:6" ht="14" x14ac:dyDescent="0.3">
      <c r="B30" s="1" t="s">
        <v>58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59</v>
      </c>
    </row>
    <row r="4" spans="2:7" ht="14" x14ac:dyDescent="0.3">
      <c r="B4" s="8" t="s">
        <v>60</v>
      </c>
      <c r="C4" s="9"/>
      <c r="D4" s="9"/>
      <c r="E4" s="9"/>
      <c r="F4" s="9"/>
      <c r="G4" s="9"/>
    </row>
    <row r="5" spans="2:7" ht="14" x14ac:dyDescent="0.3">
      <c r="B5" s="4" t="s">
        <v>61</v>
      </c>
      <c r="C5" s="7">
        <v>1.2500000000000001E-2</v>
      </c>
    </row>
    <row r="6" spans="2:7" ht="14" x14ac:dyDescent="0.3">
      <c r="B6" s="4" t="s">
        <v>62</v>
      </c>
      <c r="C6" s="7">
        <v>0.32</v>
      </c>
    </row>
    <row r="7" spans="2:7" ht="14" x14ac:dyDescent="0.3">
      <c r="B7" s="4" t="s">
        <v>63</v>
      </c>
      <c r="C7" s="7">
        <v>2.3E-2</v>
      </c>
    </row>
    <row r="8" spans="2:7" ht="14" x14ac:dyDescent="0.3">
      <c r="B8" s="4" t="s">
        <v>64</v>
      </c>
      <c r="C8" s="12">
        <v>1.04</v>
      </c>
    </row>
    <row r="9" spans="2:7" ht="14" x14ac:dyDescent="0.3">
      <c r="B9" s="4" t="s">
        <v>65</v>
      </c>
      <c r="C9" s="7">
        <v>0.06</v>
      </c>
    </row>
    <row r="10" spans="2:7" ht="14" x14ac:dyDescent="0.3">
      <c r="B10" s="4" t="s">
        <v>66</v>
      </c>
      <c r="C10" s="7">
        <v>2.5000000000000001E-2</v>
      </c>
    </row>
    <row r="11" spans="2:7" ht="14" x14ac:dyDescent="0.3">
      <c r="B11" s="4" t="s">
        <v>67</v>
      </c>
      <c r="C11" s="7">
        <v>8.0000000000000002E-3</v>
      </c>
    </row>
    <row r="12" spans="2:7" ht="14" x14ac:dyDescent="0.3">
      <c r="B12" s="4" t="s">
        <v>68</v>
      </c>
      <c r="C12" s="13">
        <v>0</v>
      </c>
    </row>
    <row r="13" spans="2:7" ht="14" x14ac:dyDescent="0.3">
      <c r="B13" s="4" t="s">
        <v>69</v>
      </c>
      <c r="C13" s="7">
        <v>1.4999999999999999E-2</v>
      </c>
    </row>
    <row r="14" spans="2:7" ht="14" x14ac:dyDescent="0.3">
      <c r="B14" s="4" t="s">
        <v>70</v>
      </c>
      <c r="C14" s="14">
        <v>12</v>
      </c>
    </row>
    <row r="15" spans="2:7" ht="14" x14ac:dyDescent="0.3">
      <c r="B15" s="4" t="s">
        <v>71</v>
      </c>
      <c r="C15" s="15">
        <v>32252858</v>
      </c>
    </row>
    <row r="16" spans="2:7" ht="14" x14ac:dyDescent="0.3">
      <c r="B16" s="4" t="s">
        <v>72</v>
      </c>
      <c r="C16" s="5">
        <v>-4856</v>
      </c>
    </row>
    <row r="17" spans="2:7" ht="14" x14ac:dyDescent="0.3">
      <c r="B17" s="4" t="s">
        <v>73</v>
      </c>
      <c r="C17" s="5">
        <v>9618</v>
      </c>
    </row>
    <row r="18" spans="2:7" ht="14" x14ac:dyDescent="0.3">
      <c r="B18" s="4" t="s">
        <v>74</v>
      </c>
      <c r="C18" s="7">
        <v>1.83E-2</v>
      </c>
    </row>
    <row r="19" spans="2:7" ht="14" x14ac:dyDescent="0.3">
      <c r="B19" s="4" t="s">
        <v>75</v>
      </c>
      <c r="C19" s="12">
        <v>0.5</v>
      </c>
    </row>
    <row r="20" spans="2:7" ht="14" x14ac:dyDescent="0.3">
      <c r="B20" s="4" t="s">
        <v>76</v>
      </c>
      <c r="C20" s="5">
        <v>10276.9</v>
      </c>
    </row>
    <row r="22" spans="2:7" ht="14" x14ac:dyDescent="0.3">
      <c r="B22" s="8" t="s">
        <v>77</v>
      </c>
      <c r="C22" s="9"/>
      <c r="D22" s="9"/>
      <c r="E22" s="9"/>
      <c r="F22" s="9"/>
      <c r="G22" s="9"/>
    </row>
    <row r="23" spans="2:7" ht="14" x14ac:dyDescent="0.3">
      <c r="B23" s="4" t="s">
        <v>78</v>
      </c>
      <c r="C23" s="16">
        <f>C7+C8*C9+C10</f>
        <v>0.1104</v>
      </c>
    </row>
    <row r="24" spans="2:7" ht="14" x14ac:dyDescent="0.3">
      <c r="B24" s="4" t="s">
        <v>79</v>
      </c>
      <c r="C24" s="16">
        <f>1/(1+C12)</f>
        <v>1</v>
      </c>
    </row>
    <row r="25" spans="2:7" ht="14" x14ac:dyDescent="0.3">
      <c r="B25" s="4" t="s">
        <v>80</v>
      </c>
      <c r="C25" s="16">
        <f>C12/(1+C12)</f>
        <v>0</v>
      </c>
    </row>
    <row r="26" spans="2:7" ht="14" x14ac:dyDescent="0.3">
      <c r="B26" s="4" t="s">
        <v>81</v>
      </c>
      <c r="C26" s="16">
        <f>C23*C24+C11*C25</f>
        <v>0.1104</v>
      </c>
    </row>
    <row r="27" spans="2:7" ht="14" x14ac:dyDescent="0.3">
      <c r="B27" s="4" t="s">
        <v>82</v>
      </c>
      <c r="C27" s="17" t="s">
        <v>83</v>
      </c>
      <c r="D27" s="6">
        <f>MATCH(C27,B69:B73,0)</f>
        <v>1</v>
      </c>
    </row>
    <row r="28" spans="2:7" ht="14" x14ac:dyDescent="0.3">
      <c r="B28" s="8" t="s">
        <v>84</v>
      </c>
      <c r="C28" s="9"/>
      <c r="D28" s="9"/>
      <c r="E28" s="9"/>
      <c r="F28" s="9"/>
      <c r="G28" s="9"/>
    </row>
    <row r="29" spans="2:7" ht="14" x14ac:dyDescent="0.3">
      <c r="C29" s="10" t="s">
        <v>85</v>
      </c>
      <c r="D29" s="10" t="s">
        <v>86</v>
      </c>
      <c r="E29" s="10" t="s">
        <v>87</v>
      </c>
      <c r="F29" s="10" t="s">
        <v>88</v>
      </c>
      <c r="G29" s="10" t="s">
        <v>89</v>
      </c>
    </row>
    <row r="30" spans="2:7" ht="14" x14ac:dyDescent="0.3">
      <c r="B30" s="4" t="s">
        <v>45</v>
      </c>
      <c r="C30" s="18">
        <f>CHOOSE($D$27,C69,C70,C71,C72,C73)</f>
        <v>0.12</v>
      </c>
      <c r="D30" s="18">
        <f>CHOOSE($D$27,D69,D70,D71,D72,D73)</f>
        <v>0.13</v>
      </c>
      <c r="E30" s="18">
        <f>CHOOSE($D$27,E69,E70,E71,E72,E73)</f>
        <v>0.12</v>
      </c>
      <c r="F30" s="18">
        <f>CHOOSE($D$27,F69,F70,F71,F72,F73)</f>
        <v>0.1</v>
      </c>
      <c r="G30" s="18">
        <f>CHOOSE($D$27,G69,G70,G71,G72,G73)</f>
        <v>0.09</v>
      </c>
    </row>
    <row r="31" spans="2:7" ht="14" x14ac:dyDescent="0.3">
      <c r="B31" s="4" t="s">
        <v>90</v>
      </c>
      <c r="C31" s="18">
        <f>CHOOSE($D$27,C76,C77,C78,C79,C80)</f>
        <v>0.46500000000000002</v>
      </c>
      <c r="D31" s="18">
        <f>CHOOSE($D$27,D76,D77,D78,D79,D80)</f>
        <v>0.46</v>
      </c>
      <c r="E31" s="18">
        <f>CHOOSE($D$27,E76,E77,E78,E79,E80)</f>
        <v>0.45500000000000002</v>
      </c>
      <c r="F31" s="18">
        <f>CHOOSE($D$27,F76,F77,F78,F79,F80)</f>
        <v>0.45300000000000001</v>
      </c>
      <c r="G31" s="18">
        <f>CHOOSE($D$27,G76,G77,G78,G79,G80)</f>
        <v>0.45</v>
      </c>
    </row>
    <row r="32" spans="2:7" ht="14" x14ac:dyDescent="0.3">
      <c r="B32" s="4" t="s">
        <v>91</v>
      </c>
      <c r="C32" s="18">
        <f>CHOOSE($D$27,C83,C84,C85,C86,C87)</f>
        <v>0.255</v>
      </c>
      <c r="D32" s="18">
        <f>CHOOSE($D$27,D83,D84,D85,D86,D87)</f>
        <v>0.25</v>
      </c>
      <c r="E32" s="18">
        <f>CHOOSE($D$27,E83,E84,E85,E86,E87)</f>
        <v>0.245</v>
      </c>
      <c r="F32" s="18">
        <f>CHOOSE($D$27,F83,F84,F85,F86,F87)</f>
        <v>0.24199999999999999</v>
      </c>
      <c r="G32" s="18">
        <f>CHOOSE($D$27,G83,G84,G85,G86,G87)</f>
        <v>0.24</v>
      </c>
    </row>
    <row r="33" spans="2:7" ht="14" x14ac:dyDescent="0.3">
      <c r="B33" s="4" t="s">
        <v>36</v>
      </c>
      <c r="C33" s="5">
        <f>C17*(1+C30)</f>
        <v>10772.160000000002</v>
      </c>
      <c r="D33" s="5">
        <f>C33*(1+D30)</f>
        <v>12172.540800000001</v>
      </c>
      <c r="E33" s="5">
        <f>D33*(1+E30)</f>
        <v>13633.245696000002</v>
      </c>
      <c r="F33" s="5">
        <f>E33*(1+F30)</f>
        <v>14996.570265600003</v>
      </c>
      <c r="G33" s="5">
        <f>F33*(1+G30)</f>
        <v>16346.261589504005</v>
      </c>
    </row>
    <row r="34" spans="2:7" ht="14" x14ac:dyDescent="0.3">
      <c r="B34" s="4" t="s">
        <v>37</v>
      </c>
      <c r="C34" s="5">
        <f>C33*C31</f>
        <v>5009.0544000000009</v>
      </c>
      <c r="D34" s="5">
        <f>D33*D31</f>
        <v>5599.3687680000003</v>
      </c>
      <c r="E34" s="5">
        <f>E33*E31</f>
        <v>6203.1267916800007</v>
      </c>
      <c r="F34" s="5">
        <f>F33*F31</f>
        <v>6793.4463303168013</v>
      </c>
      <c r="G34" s="5">
        <f>G33*G31</f>
        <v>7355.8177152768021</v>
      </c>
    </row>
    <row r="35" spans="2:7" ht="14" x14ac:dyDescent="0.3">
      <c r="B35" s="4" t="s">
        <v>38</v>
      </c>
      <c r="C35" s="19">
        <f>C33-C34</f>
        <v>5763.1056000000008</v>
      </c>
      <c r="D35" s="19">
        <f>D33-D34</f>
        <v>6573.1720320000004</v>
      </c>
      <c r="E35" s="19">
        <f>E33-E34</f>
        <v>7430.1189043200011</v>
      </c>
      <c r="F35" s="19">
        <f>F33-F34</f>
        <v>8203.1239352832017</v>
      </c>
      <c r="G35" s="19">
        <f>G33-G34</f>
        <v>8990.4438742272032</v>
      </c>
    </row>
    <row r="36" spans="2:7" ht="14" x14ac:dyDescent="0.3">
      <c r="B36" s="4" t="s">
        <v>39</v>
      </c>
      <c r="C36" s="7">
        <f>C35/C33</f>
        <v>0.53500000000000003</v>
      </c>
      <c r="D36" s="7">
        <f>D35/D33</f>
        <v>0.54</v>
      </c>
      <c r="E36" s="7">
        <f>E35/E33</f>
        <v>0.54500000000000004</v>
      </c>
      <c r="F36" s="7">
        <f>F35/F33</f>
        <v>0.54700000000000004</v>
      </c>
      <c r="G36" s="7">
        <f>G35/G33</f>
        <v>0.55000000000000004</v>
      </c>
    </row>
    <row r="37" spans="2:7" ht="14" x14ac:dyDescent="0.3">
      <c r="B37" s="4" t="s">
        <v>92</v>
      </c>
      <c r="C37" s="5">
        <f>C33*C32</f>
        <v>2746.9008000000003</v>
      </c>
      <c r="D37" s="5">
        <f>D33*D32</f>
        <v>3043.1352000000002</v>
      </c>
      <c r="E37" s="5">
        <f>E33*E32</f>
        <v>3340.1451955200005</v>
      </c>
      <c r="F37" s="5">
        <f>F33*F32</f>
        <v>3629.1700042752004</v>
      </c>
      <c r="G37" s="5">
        <f>G33*G32</f>
        <v>3923.1027814809613</v>
      </c>
    </row>
    <row r="38" spans="2:7" ht="14" x14ac:dyDescent="0.3">
      <c r="B38" s="4" t="s">
        <v>93</v>
      </c>
      <c r="C38" s="7">
        <f>(C35-C37)/C33</f>
        <v>0.27999999999999997</v>
      </c>
      <c r="D38" s="7">
        <f>(D35-D37)/D33</f>
        <v>0.28999999999999998</v>
      </c>
      <c r="E38" s="7">
        <f>(E35-E37)/E33</f>
        <v>0.3</v>
      </c>
      <c r="F38" s="7">
        <f>(F35-F37)/F33</f>
        <v>0.30500000000000005</v>
      </c>
      <c r="G38" s="7">
        <f>(G35-G37)/G33</f>
        <v>0.31</v>
      </c>
    </row>
    <row r="39" spans="2:7" ht="14" x14ac:dyDescent="0.3">
      <c r="B39" s="4" t="s">
        <v>94</v>
      </c>
      <c r="C39" s="19">
        <f>C35-C37</f>
        <v>3016.2048000000004</v>
      </c>
      <c r="D39" s="19">
        <f>D35-D37</f>
        <v>3530.0368320000002</v>
      </c>
      <c r="E39" s="19">
        <f>E35-E37</f>
        <v>4089.9737088000006</v>
      </c>
      <c r="F39" s="19">
        <f>F35-F37</f>
        <v>4573.9539310080017</v>
      </c>
      <c r="G39" s="19">
        <f>G35-G37</f>
        <v>5067.3410927462419</v>
      </c>
    </row>
    <row r="40" spans="2:7" ht="14" x14ac:dyDescent="0.3">
      <c r="B40" s="4" t="s">
        <v>95</v>
      </c>
      <c r="C40" s="5">
        <f>MAX(0,C39*C6)</f>
        <v>965.18553600000018</v>
      </c>
      <c r="D40" s="5">
        <f>MAX(0,D39*C6)</f>
        <v>1129.6117862400001</v>
      </c>
      <c r="E40" s="5">
        <f>MAX(0,E39*C6)</f>
        <v>1308.7915868160003</v>
      </c>
      <c r="F40" s="5">
        <f>MAX(0,F39*C6)</f>
        <v>1463.6652579225606</v>
      </c>
      <c r="G40" s="5">
        <f>MAX(0,G39*C6)</f>
        <v>1621.5491496787974</v>
      </c>
    </row>
    <row r="41" spans="2:7" ht="14" x14ac:dyDescent="0.3">
      <c r="B41" s="4" t="s">
        <v>96</v>
      </c>
      <c r="C41" s="19">
        <f>C39-C40</f>
        <v>2051.0192640000005</v>
      </c>
      <c r="D41" s="19">
        <f>D39-D40</f>
        <v>2400.4250457600001</v>
      </c>
      <c r="E41" s="19">
        <f>E39-E40</f>
        <v>2781.1821219840003</v>
      </c>
      <c r="F41" s="19">
        <f>F39-F40</f>
        <v>3110.2886730854411</v>
      </c>
      <c r="G41" s="19">
        <f>G39-G40</f>
        <v>3445.7919430674447</v>
      </c>
    </row>
    <row r="42" spans="2:7" ht="14" x14ac:dyDescent="0.3">
      <c r="B42" s="4" t="s">
        <v>97</v>
      </c>
      <c r="C42" s="5">
        <v>200</v>
      </c>
      <c r="D42" s="5">
        <v>230</v>
      </c>
      <c r="E42" s="5">
        <v>250</v>
      </c>
      <c r="F42" s="5">
        <v>265</v>
      </c>
      <c r="G42" s="5">
        <v>280</v>
      </c>
    </row>
    <row r="43" spans="2:7" ht="14" x14ac:dyDescent="0.3">
      <c r="B43" s="4" t="s">
        <v>98</v>
      </c>
      <c r="C43" s="5">
        <v>400</v>
      </c>
      <c r="D43" s="5">
        <v>250</v>
      </c>
      <c r="E43" s="5">
        <v>220</v>
      </c>
      <c r="F43" s="5">
        <v>230</v>
      </c>
      <c r="G43" s="5">
        <v>240</v>
      </c>
    </row>
    <row r="44" spans="2:7" ht="14" x14ac:dyDescent="0.3">
      <c r="B44" s="4" t="s">
        <v>99</v>
      </c>
      <c r="C44" s="5">
        <f>'NWC Schedule'!D19</f>
        <v>343.63171506849358</v>
      </c>
      <c r="D44" s="5">
        <f>'NWC Schedule'!E19</f>
        <v>394.34959430136996</v>
      </c>
      <c r="E44" s="5">
        <f>'NWC Schedule'!F19</f>
        <v>411.66532502794507</v>
      </c>
      <c r="F44" s="5">
        <f>'NWC Schedule'!G19</f>
        <v>383.48639331734785</v>
      </c>
      <c r="G44" s="5">
        <f>'NWC Schedule'!H19</f>
        <v>380.25550084418774</v>
      </c>
    </row>
    <row r="45" spans="2:7" ht="14" x14ac:dyDescent="0.3">
      <c r="B45" s="4" t="s">
        <v>100</v>
      </c>
      <c r="C45" s="20">
        <f>C41+C42-C43-C44</f>
        <v>1507.3875489315069</v>
      </c>
      <c r="D45" s="20">
        <f>D41+D42-D43-D44</f>
        <v>1986.0754514586301</v>
      </c>
      <c r="E45" s="20">
        <f>E41+E42-E43-E44</f>
        <v>2399.5167969560553</v>
      </c>
      <c r="F45" s="20">
        <f>F41+F42-F43-F44</f>
        <v>2761.8022797680933</v>
      </c>
      <c r="G45" s="20">
        <f>G41+G42-G43-G44</f>
        <v>3105.5364422232569</v>
      </c>
    </row>
    <row r="46" spans="2:7" ht="14" x14ac:dyDescent="0.3">
      <c r="B46" s="4" t="s">
        <v>101</v>
      </c>
      <c r="C46" s="21">
        <f>1/(1+C26)^(C19+0)</f>
        <v>0.94898702250140421</v>
      </c>
      <c r="D46" s="21">
        <f>1/(1+C26)^(C19+1)</f>
        <v>0.85463528683483814</v>
      </c>
      <c r="E46" s="21">
        <f>1/(1+C26)^(C19+2)</f>
        <v>0.76966434333108613</v>
      </c>
      <c r="F46" s="21">
        <f>1/(1+C26)^(C19+3)</f>
        <v>0.69314151957050263</v>
      </c>
      <c r="G46" s="21">
        <f>1/(1+C26)^(C19+4)</f>
        <v>0.62422687281205191</v>
      </c>
    </row>
    <row r="47" spans="2:7" ht="14" x14ac:dyDescent="0.3">
      <c r="B47" s="4" t="s">
        <v>102</v>
      </c>
      <c r="C47" s="19">
        <f>C45*C46</f>
        <v>1430.4912218162006</v>
      </c>
      <c r="D47" s="19">
        <f>D45*D46</f>
        <v>1697.370163132977</v>
      </c>
      <c r="E47" s="19">
        <f>E45*E46</f>
        <v>1846.8225198410935</v>
      </c>
      <c r="F47" s="19">
        <f>F45*F46</f>
        <v>1914.3198289517345</v>
      </c>
      <c r="G47" s="19">
        <f>G45*G46</f>
        <v>1938.5593017328893</v>
      </c>
    </row>
    <row r="49" spans="2:7" ht="14" x14ac:dyDescent="0.3">
      <c r="B49" s="22" t="s">
        <v>103</v>
      </c>
      <c r="C49" s="23"/>
      <c r="D49" s="23"/>
      <c r="E49" s="23"/>
      <c r="F49" s="23"/>
      <c r="G49" s="23"/>
    </row>
    <row r="50" spans="2:7" ht="14" x14ac:dyDescent="0.3">
      <c r="B50" s="4" t="s">
        <v>104</v>
      </c>
      <c r="C50" s="5">
        <f>SUM(C47:G47)</f>
        <v>8827.5630354748937</v>
      </c>
    </row>
    <row r="51" spans="2:7" ht="14" x14ac:dyDescent="0.3">
      <c r="B51" s="4" t="s">
        <v>105</v>
      </c>
      <c r="C51" s="5">
        <f>G45*(1+C13)/(C26-C13)</f>
        <v>33041.08478885331</v>
      </c>
    </row>
    <row r="52" spans="2:7" ht="14" x14ac:dyDescent="0.3">
      <c r="B52" s="4" t="s">
        <v>106</v>
      </c>
      <c r="C52" s="5">
        <f>C51*G46</f>
        <v>20625.133032063757</v>
      </c>
    </row>
    <row r="53" spans="2:7" ht="14" x14ac:dyDescent="0.3">
      <c r="B53" s="4" t="s">
        <v>107</v>
      </c>
      <c r="C53" s="5">
        <f>C50+C52</f>
        <v>29452.696067538651</v>
      </c>
    </row>
    <row r="54" spans="2:7" ht="14" x14ac:dyDescent="0.3">
      <c r="B54" s="4" t="s">
        <v>108</v>
      </c>
      <c r="C54" s="5">
        <f>C53-C16</f>
        <v>34308.696067538651</v>
      </c>
    </row>
    <row r="55" spans="2:7" ht="14" x14ac:dyDescent="0.3">
      <c r="B55" s="4" t="s">
        <v>109</v>
      </c>
      <c r="C55" s="24">
        <f>ROUND(C54*1000000/C15,0)</f>
        <v>1064</v>
      </c>
    </row>
    <row r="57" spans="2:7" ht="14" x14ac:dyDescent="0.3">
      <c r="B57" s="22" t="s">
        <v>110</v>
      </c>
      <c r="C57" s="23"/>
      <c r="D57" s="23"/>
      <c r="E57" s="23"/>
      <c r="F57" s="23"/>
      <c r="G57" s="23"/>
    </row>
    <row r="58" spans="2:7" ht="14" x14ac:dyDescent="0.3">
      <c r="B58" s="4" t="s">
        <v>104</v>
      </c>
      <c r="C58" s="5">
        <f>C50</f>
        <v>8827.5630354748937</v>
      </c>
    </row>
    <row r="59" spans="2:7" ht="14" x14ac:dyDescent="0.3">
      <c r="B59" s="4" t="s">
        <v>111</v>
      </c>
      <c r="C59" s="5">
        <f>G39+G42</f>
        <v>5347.3410927462419</v>
      </c>
    </row>
    <row r="60" spans="2:7" ht="14" x14ac:dyDescent="0.3">
      <c r="B60" s="4" t="s">
        <v>112</v>
      </c>
      <c r="C60" s="5">
        <f>C59*C14</f>
        <v>64168.093112954899</v>
      </c>
    </row>
    <row r="61" spans="2:7" ht="14" x14ac:dyDescent="0.3">
      <c r="B61" s="4" t="s">
        <v>106</v>
      </c>
      <c r="C61" s="5">
        <f>C60*G46</f>
        <v>40055.448098212401</v>
      </c>
    </row>
    <row r="62" spans="2:7" ht="14" x14ac:dyDescent="0.3">
      <c r="B62" s="4" t="s">
        <v>107</v>
      </c>
      <c r="C62" s="5">
        <f>C58+C61</f>
        <v>48883.011133687294</v>
      </c>
    </row>
    <row r="63" spans="2:7" ht="14" x14ac:dyDescent="0.3">
      <c r="B63" s="4" t="s">
        <v>108</v>
      </c>
      <c r="C63" s="5">
        <f>C62-C16</f>
        <v>53739.011133687294</v>
      </c>
    </row>
    <row r="64" spans="2:7" ht="14" x14ac:dyDescent="0.3">
      <c r="B64" s="4" t="s">
        <v>113</v>
      </c>
      <c r="C64" s="24">
        <f>ROUND(C63*1000000/C15,0)</f>
        <v>1666</v>
      </c>
    </row>
    <row r="66" spans="2:7" ht="14" x14ac:dyDescent="0.3">
      <c r="B66" s="22" t="s">
        <v>114</v>
      </c>
      <c r="C66" s="23"/>
      <c r="D66" s="23"/>
      <c r="E66" s="23"/>
      <c r="F66" s="23"/>
      <c r="G66" s="23"/>
    </row>
    <row r="67" spans="2:7" ht="14" x14ac:dyDescent="0.3">
      <c r="C67" s="25" t="s">
        <v>115</v>
      </c>
      <c r="D67" s="25" t="s">
        <v>116</v>
      </c>
      <c r="E67" s="25" t="s">
        <v>117</v>
      </c>
      <c r="F67" s="25" t="s">
        <v>118</v>
      </c>
      <c r="G67" s="25" t="s">
        <v>119</v>
      </c>
    </row>
    <row r="68" spans="2:7" ht="14" x14ac:dyDescent="0.3">
      <c r="B68" s="3" t="s">
        <v>45</v>
      </c>
    </row>
    <row r="69" spans="2:7" ht="14" x14ac:dyDescent="0.3">
      <c r="B69" s="4" t="s">
        <v>83</v>
      </c>
      <c r="C69" s="26">
        <v>0.12</v>
      </c>
      <c r="D69" s="26">
        <v>0.13</v>
      </c>
      <c r="E69" s="26">
        <v>0.12</v>
      </c>
      <c r="F69" s="26">
        <v>0.1</v>
      </c>
      <c r="G69" s="26">
        <v>0.09</v>
      </c>
    </row>
    <row r="70" spans="2:7" ht="14" x14ac:dyDescent="0.3">
      <c r="B70" s="4" t="s">
        <v>120</v>
      </c>
      <c r="C70" s="26">
        <v>0.16</v>
      </c>
      <c r="D70" s="26">
        <v>0.2</v>
      </c>
      <c r="E70" s="26">
        <v>0.18</v>
      </c>
      <c r="F70" s="26">
        <v>0.16</v>
      </c>
      <c r="G70" s="26">
        <v>0.14000000000000001</v>
      </c>
    </row>
    <row r="71" spans="2:7" ht="14" x14ac:dyDescent="0.3">
      <c r="B71" s="4" t="s">
        <v>121</v>
      </c>
      <c r="C71" s="26">
        <v>0.123</v>
      </c>
      <c r="D71" s="26">
        <v>0.1</v>
      </c>
      <c r="E71" s="26">
        <v>0.09</v>
      </c>
      <c r="F71" s="26">
        <v>0.08</v>
      </c>
      <c r="G71" s="26">
        <v>7.0000000000000007E-2</v>
      </c>
    </row>
    <row r="72" spans="2:7" ht="14" x14ac:dyDescent="0.3">
      <c r="B72" s="4" t="s">
        <v>122</v>
      </c>
      <c r="C72" s="26">
        <v>0.03</v>
      </c>
      <c r="D72" s="26">
        <v>-0.02</v>
      </c>
      <c r="E72" s="26">
        <v>0.02</v>
      </c>
      <c r="F72" s="26">
        <v>0.04</v>
      </c>
      <c r="G72" s="26">
        <v>0.04</v>
      </c>
    </row>
    <row r="73" spans="2:7" ht="14" x14ac:dyDescent="0.3">
      <c r="B73" s="4" t="s">
        <v>123</v>
      </c>
      <c r="C73" s="26">
        <v>-0.05</v>
      </c>
      <c r="D73" s="26">
        <v>-0.1</v>
      </c>
      <c r="E73" s="26">
        <v>-0.05</v>
      </c>
      <c r="F73" s="26">
        <v>0</v>
      </c>
      <c r="G73" s="26">
        <v>0.02</v>
      </c>
    </row>
    <row r="75" spans="2:7" ht="14" x14ac:dyDescent="0.3">
      <c r="B75" s="3" t="s">
        <v>90</v>
      </c>
    </row>
    <row r="76" spans="2:7" ht="14" x14ac:dyDescent="0.3">
      <c r="B76" s="4" t="s">
        <v>83</v>
      </c>
      <c r="C76" s="26">
        <v>0.46500000000000002</v>
      </c>
      <c r="D76" s="26">
        <v>0.46</v>
      </c>
      <c r="E76" s="26">
        <v>0.45500000000000002</v>
      </c>
      <c r="F76" s="26">
        <v>0.45300000000000001</v>
      </c>
      <c r="G76" s="26">
        <v>0.45</v>
      </c>
    </row>
    <row r="77" spans="2:7" ht="14" x14ac:dyDescent="0.3">
      <c r="B77" s="4" t="s">
        <v>120</v>
      </c>
      <c r="C77" s="26">
        <v>0.46</v>
      </c>
      <c r="D77" s="26">
        <v>0.45</v>
      </c>
      <c r="E77" s="26">
        <v>0.44</v>
      </c>
      <c r="F77" s="26">
        <v>0.435</v>
      </c>
      <c r="G77" s="26">
        <v>0.43</v>
      </c>
    </row>
    <row r="78" spans="2:7" ht="14" x14ac:dyDescent="0.3">
      <c r="B78" s="4" t="s">
        <v>121</v>
      </c>
      <c r="C78" s="26">
        <v>0.46710000000000002</v>
      </c>
      <c r="D78" s="26">
        <v>0.47499999999999998</v>
      </c>
      <c r="E78" s="26">
        <v>0.47</v>
      </c>
      <c r="F78" s="26">
        <v>0.46800000000000003</v>
      </c>
      <c r="G78" s="26">
        <v>0.46500000000000002</v>
      </c>
    </row>
    <row r="79" spans="2:7" ht="14" x14ac:dyDescent="0.3">
      <c r="B79" s="4" t="s">
        <v>122</v>
      </c>
      <c r="C79" s="26">
        <v>0.51</v>
      </c>
      <c r="D79" s="26">
        <v>0.54</v>
      </c>
      <c r="E79" s="26">
        <v>0.53</v>
      </c>
      <c r="F79" s="26">
        <v>0.52</v>
      </c>
      <c r="G79" s="26">
        <v>0.51500000000000001</v>
      </c>
    </row>
    <row r="80" spans="2:7" ht="14" x14ac:dyDescent="0.3">
      <c r="B80" s="4" t="s">
        <v>123</v>
      </c>
      <c r="C80" s="26">
        <v>0.54</v>
      </c>
      <c r="D80" s="26">
        <v>0.57999999999999996</v>
      </c>
      <c r="E80" s="26">
        <v>0.56999999999999995</v>
      </c>
      <c r="F80" s="26">
        <v>0.55500000000000005</v>
      </c>
      <c r="G80" s="26">
        <v>0.55000000000000004</v>
      </c>
    </row>
    <row r="82" spans="2:7" ht="14" x14ac:dyDescent="0.3">
      <c r="B82" s="3" t="s">
        <v>91</v>
      </c>
    </row>
    <row r="83" spans="2:7" ht="14" x14ac:dyDescent="0.3">
      <c r="B83" s="4" t="s">
        <v>83</v>
      </c>
      <c r="C83" s="26">
        <v>0.255</v>
      </c>
      <c r="D83" s="26">
        <v>0.25</v>
      </c>
      <c r="E83" s="26">
        <v>0.245</v>
      </c>
      <c r="F83" s="26">
        <v>0.24199999999999999</v>
      </c>
      <c r="G83" s="26">
        <v>0.24</v>
      </c>
    </row>
    <row r="84" spans="2:7" ht="14" x14ac:dyDescent="0.3">
      <c r="B84" s="4" t="s">
        <v>120</v>
      </c>
      <c r="C84" s="26">
        <v>0.25</v>
      </c>
      <c r="D84" s="26">
        <v>0.23499999999999999</v>
      </c>
      <c r="E84" s="26">
        <v>0.23</v>
      </c>
      <c r="F84" s="26">
        <v>0.22500000000000001</v>
      </c>
      <c r="G84" s="26">
        <v>0.22500000000000001</v>
      </c>
    </row>
    <row r="85" spans="2:7" ht="14" x14ac:dyDescent="0.3">
      <c r="B85" s="4" t="s">
        <v>121</v>
      </c>
      <c r="C85" s="26">
        <v>0.24590000000000001</v>
      </c>
      <c r="D85" s="26">
        <v>0.255</v>
      </c>
      <c r="E85" s="26">
        <v>0.25</v>
      </c>
      <c r="F85" s="26">
        <v>0.247</v>
      </c>
      <c r="G85" s="26">
        <v>0.245</v>
      </c>
    </row>
    <row r="86" spans="2:7" ht="14" x14ac:dyDescent="0.3">
      <c r="B86" s="4" t="s">
        <v>122</v>
      </c>
      <c r="C86" s="26">
        <v>0.27</v>
      </c>
      <c r="D86" s="26">
        <v>0.28000000000000003</v>
      </c>
      <c r="E86" s="26">
        <v>0.28000000000000003</v>
      </c>
      <c r="F86" s="26">
        <v>0.28000000000000003</v>
      </c>
      <c r="G86" s="26">
        <v>0.28000000000000003</v>
      </c>
    </row>
    <row r="87" spans="2:7" ht="14" x14ac:dyDescent="0.3">
      <c r="B87" s="4" t="s">
        <v>123</v>
      </c>
      <c r="C87" s="26">
        <v>0.28999999999999998</v>
      </c>
      <c r="D87" s="26">
        <v>0.32</v>
      </c>
      <c r="E87" s="26">
        <v>0.32</v>
      </c>
      <c r="F87" s="26">
        <v>0.315</v>
      </c>
      <c r="G87" s="26">
        <v>0.31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124</v>
      </c>
    </row>
    <row r="4" spans="2:8" ht="14" x14ac:dyDescent="0.3">
      <c r="B4" s="8" t="s">
        <v>125</v>
      </c>
      <c r="C4" s="27" t="s">
        <v>126</v>
      </c>
      <c r="D4" s="27" t="s">
        <v>85</v>
      </c>
      <c r="E4" s="27" t="s">
        <v>86</v>
      </c>
      <c r="F4" s="27" t="s">
        <v>87</v>
      </c>
      <c r="G4" s="27" t="s">
        <v>88</v>
      </c>
      <c r="H4" s="27" t="s">
        <v>89</v>
      </c>
    </row>
    <row r="5" spans="2:8" ht="14" x14ac:dyDescent="0.3">
      <c r="B5" s="28" t="s">
        <v>127</v>
      </c>
      <c r="C5" s="29">
        <f>C12/C9*365</f>
        <v>106.82834269078811</v>
      </c>
      <c r="D5" s="29">
        <f>CHOOSE('DCF Model'!$D$27,D25,D26,D27,D28,D29)</f>
        <v>107</v>
      </c>
      <c r="E5" s="29">
        <f>CHOOSE('DCF Model'!$D$27,E25,E26,E27,E28,E29)</f>
        <v>107</v>
      </c>
      <c r="F5" s="29">
        <f>CHOOSE('DCF Model'!$D$27,F25,F26,F27,F28,F29)</f>
        <v>107</v>
      </c>
      <c r="G5" s="29">
        <f>CHOOSE('DCF Model'!$D$27,G25,G26,G27,G28,G29)</f>
        <v>107</v>
      </c>
      <c r="H5" s="29">
        <f>CHOOSE('DCF Model'!$D$27,H25,H26,H27,H28,H29)</f>
        <v>107</v>
      </c>
    </row>
    <row r="6" spans="2:8" ht="14" x14ac:dyDescent="0.3">
      <c r="B6" s="28" t="s">
        <v>128</v>
      </c>
      <c r="C6" s="29">
        <f>C13/C10*365</f>
        <v>0.31663413576230753</v>
      </c>
      <c r="D6" s="29">
        <f>CHOOSE('DCF Model'!$D$27,D32,D33,D34,D35,D36)</f>
        <v>1</v>
      </c>
      <c r="E6" s="29">
        <f>CHOOSE('DCF Model'!$D$27,E32,E33,E34,E35,E36)</f>
        <v>1</v>
      </c>
      <c r="F6" s="29">
        <f>CHOOSE('DCF Model'!$D$27,F32,F33,F34,F35,F36)</f>
        <v>1</v>
      </c>
      <c r="G6" s="29">
        <f>CHOOSE('DCF Model'!$D$27,G32,G33,G34,G35,G36)</f>
        <v>1</v>
      </c>
      <c r="H6" s="29">
        <f>CHOOSE('DCF Model'!$D$27,H32,H33,H34,H35,H36)</f>
        <v>1</v>
      </c>
    </row>
    <row r="7" spans="2:8" ht="14" x14ac:dyDescent="0.3">
      <c r="B7" s="28" t="s">
        <v>129</v>
      </c>
      <c r="C7" s="29">
        <f>C15/C10*365</f>
        <v>11.240511819561918</v>
      </c>
      <c r="D7" s="29">
        <f>CHOOSE('DCF Model'!$D$27,D39,D40,D41,D42,D43)</f>
        <v>11</v>
      </c>
      <c r="E7" s="29">
        <f>CHOOSE('DCF Model'!$D$27,E39,E40,E41,E42,E43)</f>
        <v>11</v>
      </c>
      <c r="F7" s="29">
        <f>CHOOSE('DCF Model'!$D$27,F39,F40,F41,F42,F43)</f>
        <v>11</v>
      </c>
      <c r="G7" s="29">
        <f>CHOOSE('DCF Model'!$D$27,G39,G40,G41,G42,G43)</f>
        <v>11</v>
      </c>
      <c r="H7" s="29">
        <f>CHOOSE('DCF Model'!$D$27,H39,H40,H41,H42,H43)</f>
        <v>11</v>
      </c>
    </row>
    <row r="8" spans="2:8" ht="14" x14ac:dyDescent="0.3">
      <c r="B8" s="8" t="s">
        <v>130</v>
      </c>
      <c r="C8" s="9"/>
      <c r="D8" s="9"/>
      <c r="E8" s="9"/>
      <c r="F8" s="9"/>
      <c r="G8" s="9"/>
      <c r="H8" s="9"/>
    </row>
    <row r="9" spans="2:8" ht="14" x14ac:dyDescent="0.3">
      <c r="B9" s="28" t="s">
        <v>36</v>
      </c>
      <c r="C9" s="30">
        <v>9618</v>
      </c>
      <c r="D9" s="30">
        <f>'DCF Model'!C33</f>
        <v>10772.160000000002</v>
      </c>
      <c r="E9" s="30">
        <f>'DCF Model'!D33</f>
        <v>12172.540800000001</v>
      </c>
      <c r="F9" s="30">
        <f>'DCF Model'!E33</f>
        <v>13633.245696000002</v>
      </c>
      <c r="G9" s="30">
        <f>'DCF Model'!F33</f>
        <v>14996.570265600003</v>
      </c>
      <c r="H9" s="30">
        <f>'DCF Model'!G33</f>
        <v>16346.261589504005</v>
      </c>
    </row>
    <row r="10" spans="2:8" ht="14" x14ac:dyDescent="0.3">
      <c r="B10" s="28" t="s">
        <v>37</v>
      </c>
      <c r="C10" s="30">
        <v>4611</v>
      </c>
      <c r="D10" s="30">
        <f>'DCF Model'!C34</f>
        <v>5009.0544000000009</v>
      </c>
      <c r="E10" s="30">
        <f>'DCF Model'!D34</f>
        <v>5599.3687680000003</v>
      </c>
      <c r="F10" s="30">
        <f>'DCF Model'!E34</f>
        <v>6203.1267916800007</v>
      </c>
      <c r="G10" s="30">
        <f>'DCF Model'!F34</f>
        <v>6793.4463303168013</v>
      </c>
      <c r="H10" s="30">
        <f>'DCF Model'!G34</f>
        <v>7355.8177152768021</v>
      </c>
    </row>
    <row r="11" spans="2:8" ht="14" x14ac:dyDescent="0.3">
      <c r="B11" s="8" t="s">
        <v>131</v>
      </c>
      <c r="C11" s="9"/>
      <c r="D11" s="9"/>
      <c r="E11" s="9"/>
      <c r="F11" s="9"/>
      <c r="G11" s="9"/>
      <c r="H11" s="9"/>
    </row>
    <row r="12" spans="2:8" ht="14" x14ac:dyDescent="0.3">
      <c r="B12" s="28" t="s">
        <v>132</v>
      </c>
      <c r="C12" s="30">
        <v>2815</v>
      </c>
      <c r="D12" s="30">
        <f t="shared" ref="D12:H13" si="0">D9*D5/365</f>
        <v>3157.8660821917811</v>
      </c>
      <c r="E12" s="30">
        <f t="shared" si="0"/>
        <v>3568.3886728767129</v>
      </c>
      <c r="F12" s="30">
        <f t="shared" si="0"/>
        <v>3996.5953136219182</v>
      </c>
      <c r="G12" s="30">
        <f t="shared" si="0"/>
        <v>4396.2548449841106</v>
      </c>
      <c r="H12" s="30">
        <f t="shared" si="0"/>
        <v>4791.917781032681</v>
      </c>
    </row>
    <row r="13" spans="2:8" ht="14" x14ac:dyDescent="0.3">
      <c r="B13" s="28" t="s">
        <v>133</v>
      </c>
      <c r="C13" s="30">
        <v>4</v>
      </c>
      <c r="D13" s="30">
        <f t="shared" si="0"/>
        <v>13.72343671232877</v>
      </c>
      <c r="E13" s="30">
        <f t="shared" si="0"/>
        <v>15.340736350684931</v>
      </c>
      <c r="F13" s="30">
        <f t="shared" si="0"/>
        <v>16.994867922410961</v>
      </c>
      <c r="G13" s="30">
        <f t="shared" si="0"/>
        <v>18.612181726895347</v>
      </c>
      <c r="H13" s="30">
        <f t="shared" si="0"/>
        <v>20.152925247333705</v>
      </c>
    </row>
    <row r="14" spans="2:8" ht="14" x14ac:dyDescent="0.3">
      <c r="B14" s="28" t="s">
        <v>134</v>
      </c>
      <c r="C14" s="30">
        <f t="shared" ref="C14:H14" si="1">C12+C13</f>
        <v>2819</v>
      </c>
      <c r="D14" s="30">
        <f t="shared" si="1"/>
        <v>3171.5895189041098</v>
      </c>
      <c r="E14" s="30">
        <f t="shared" si="1"/>
        <v>3583.7294092273978</v>
      </c>
      <c r="F14" s="30">
        <f t="shared" si="1"/>
        <v>4013.590181544329</v>
      </c>
      <c r="G14" s="30">
        <f t="shared" si="1"/>
        <v>4414.8670267110056</v>
      </c>
      <c r="H14" s="30">
        <f t="shared" si="1"/>
        <v>4812.0707062800147</v>
      </c>
    </row>
    <row r="15" spans="2:8" ht="14" x14ac:dyDescent="0.3">
      <c r="B15" s="28" t="s">
        <v>135</v>
      </c>
      <c r="C15" s="30">
        <v>142</v>
      </c>
      <c r="D15" s="30">
        <f>D10*D7/365</f>
        <v>150.95780383561646</v>
      </c>
      <c r="E15" s="30">
        <f>E10*E7/365</f>
        <v>168.74809985753424</v>
      </c>
      <c r="F15" s="30">
        <f>F10*F7/365</f>
        <v>186.94354714652056</v>
      </c>
      <c r="G15" s="30">
        <f>G10*G7/365</f>
        <v>204.73399899584879</v>
      </c>
      <c r="H15" s="30">
        <f>H10*H7/365</f>
        <v>221.68217772067075</v>
      </c>
    </row>
    <row r="16" spans="2:8" ht="14" x14ac:dyDescent="0.3">
      <c r="B16" s="28" t="s">
        <v>136</v>
      </c>
      <c r="C16" s="30">
        <f t="shared" ref="C16:H16" si="2">C15</f>
        <v>142</v>
      </c>
      <c r="D16" s="30">
        <f t="shared" si="2"/>
        <v>150.95780383561646</v>
      </c>
      <c r="E16" s="30">
        <f t="shared" si="2"/>
        <v>168.74809985753424</v>
      </c>
      <c r="F16" s="30">
        <f t="shared" si="2"/>
        <v>186.94354714652056</v>
      </c>
      <c r="G16" s="30">
        <f t="shared" si="2"/>
        <v>204.73399899584879</v>
      </c>
      <c r="H16" s="30">
        <f t="shared" si="2"/>
        <v>221.68217772067075</v>
      </c>
    </row>
    <row r="17" spans="2:8" ht="14" x14ac:dyDescent="0.3">
      <c r="B17" s="22" t="s">
        <v>137</v>
      </c>
      <c r="C17" s="23"/>
      <c r="D17" s="23"/>
      <c r="E17" s="23"/>
      <c r="F17" s="23"/>
      <c r="G17" s="23"/>
      <c r="H17" s="23"/>
    </row>
    <row r="18" spans="2:8" ht="14" x14ac:dyDescent="0.3">
      <c r="B18" s="28" t="s">
        <v>138</v>
      </c>
      <c r="C18" s="20">
        <f t="shared" ref="C18:H18" si="3">C14-C16</f>
        <v>2677</v>
      </c>
      <c r="D18" s="20">
        <f t="shared" si="3"/>
        <v>3020.6317150684936</v>
      </c>
      <c r="E18" s="20">
        <f t="shared" si="3"/>
        <v>3414.9813093698635</v>
      </c>
      <c r="F18" s="20">
        <f t="shared" si="3"/>
        <v>3826.6466343978086</v>
      </c>
      <c r="G18" s="20">
        <f t="shared" si="3"/>
        <v>4210.1330277151565</v>
      </c>
      <c r="H18" s="20">
        <f t="shared" si="3"/>
        <v>4590.3885285593442</v>
      </c>
    </row>
    <row r="19" spans="2:8" ht="14" x14ac:dyDescent="0.3">
      <c r="B19" s="28" t="s">
        <v>99</v>
      </c>
      <c r="C19" s="31" t="s">
        <v>46</v>
      </c>
      <c r="D19" s="24">
        <f>D18-C18</f>
        <v>343.63171506849358</v>
      </c>
      <c r="E19" s="24">
        <f>E18-D18</f>
        <v>394.34959430136996</v>
      </c>
      <c r="F19" s="24">
        <f>F18-E18</f>
        <v>411.66532502794507</v>
      </c>
      <c r="G19" s="24">
        <f>G18-F18</f>
        <v>383.48639331734785</v>
      </c>
      <c r="H19" s="24">
        <f>H18-G18</f>
        <v>380.25550084418774</v>
      </c>
    </row>
    <row r="22" spans="2:8" ht="14" x14ac:dyDescent="0.3">
      <c r="B22" s="22" t="s">
        <v>139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85</v>
      </c>
      <c r="E23" s="25" t="s">
        <v>86</v>
      </c>
      <c r="F23" s="25" t="s">
        <v>87</v>
      </c>
      <c r="G23" s="25" t="s">
        <v>88</v>
      </c>
      <c r="H23" s="25" t="s">
        <v>89</v>
      </c>
    </row>
    <row r="24" spans="2:8" ht="14" x14ac:dyDescent="0.3">
      <c r="B24" s="3" t="s">
        <v>140</v>
      </c>
    </row>
    <row r="25" spans="2:8" ht="14" x14ac:dyDescent="0.3">
      <c r="B25" s="4" t="s">
        <v>83</v>
      </c>
      <c r="D25" s="32">
        <v>107</v>
      </c>
      <c r="E25" s="32">
        <v>107</v>
      </c>
      <c r="F25" s="32">
        <v>107</v>
      </c>
      <c r="G25" s="32">
        <v>107</v>
      </c>
      <c r="H25" s="32">
        <v>107</v>
      </c>
    </row>
    <row r="26" spans="2:8" ht="14" x14ac:dyDescent="0.3">
      <c r="B26" s="4" t="s">
        <v>120</v>
      </c>
      <c r="D26" s="32">
        <v>105</v>
      </c>
      <c r="E26" s="32">
        <v>103</v>
      </c>
      <c r="F26" s="32">
        <v>101</v>
      </c>
      <c r="G26" s="32">
        <v>100</v>
      </c>
      <c r="H26" s="32">
        <v>100</v>
      </c>
    </row>
    <row r="27" spans="2:8" ht="14" x14ac:dyDescent="0.3">
      <c r="B27" s="4" t="s">
        <v>121</v>
      </c>
      <c r="D27" s="32">
        <v>107</v>
      </c>
      <c r="E27" s="32">
        <v>107</v>
      </c>
      <c r="F27" s="32">
        <v>107</v>
      </c>
      <c r="G27" s="32">
        <v>107</v>
      </c>
      <c r="H27" s="32">
        <v>107</v>
      </c>
    </row>
    <row r="28" spans="2:8" ht="14" x14ac:dyDescent="0.3">
      <c r="B28" s="4" t="s">
        <v>122</v>
      </c>
      <c r="D28" s="32">
        <v>110</v>
      </c>
      <c r="E28" s="32">
        <v>115</v>
      </c>
      <c r="F28" s="32">
        <v>113</v>
      </c>
      <c r="G28" s="32">
        <v>112</v>
      </c>
      <c r="H28" s="32">
        <v>112</v>
      </c>
    </row>
    <row r="29" spans="2:8" ht="14" x14ac:dyDescent="0.3">
      <c r="B29" s="4" t="s">
        <v>123</v>
      </c>
      <c r="D29" s="32">
        <v>115</v>
      </c>
      <c r="E29" s="32">
        <v>125</v>
      </c>
      <c r="F29" s="32">
        <v>122</v>
      </c>
      <c r="G29" s="32">
        <v>120</v>
      </c>
      <c r="H29" s="32">
        <v>120</v>
      </c>
    </row>
    <row r="31" spans="2:8" ht="14" x14ac:dyDescent="0.3">
      <c r="B31" s="3" t="s">
        <v>141</v>
      </c>
    </row>
    <row r="32" spans="2:8" ht="14" x14ac:dyDescent="0.3">
      <c r="B32" s="4" t="s">
        <v>83</v>
      </c>
      <c r="D32" s="32">
        <v>1</v>
      </c>
      <c r="E32" s="32">
        <v>1</v>
      </c>
      <c r="F32" s="32">
        <v>1</v>
      </c>
      <c r="G32" s="32">
        <v>1</v>
      </c>
      <c r="H32" s="32">
        <v>1</v>
      </c>
    </row>
    <row r="33" spans="2:8" ht="14" x14ac:dyDescent="0.3">
      <c r="B33" s="4" t="s">
        <v>120</v>
      </c>
      <c r="D33" s="32">
        <v>1</v>
      </c>
      <c r="E33" s="32">
        <v>1</v>
      </c>
      <c r="F33" s="32">
        <v>1</v>
      </c>
      <c r="G33" s="32">
        <v>1</v>
      </c>
      <c r="H33" s="32">
        <v>1</v>
      </c>
    </row>
    <row r="34" spans="2:8" ht="14" x14ac:dyDescent="0.3">
      <c r="B34" s="4" t="s">
        <v>121</v>
      </c>
      <c r="D34" s="32">
        <v>1</v>
      </c>
      <c r="E34" s="32">
        <v>1</v>
      </c>
      <c r="F34" s="32">
        <v>1</v>
      </c>
      <c r="G34" s="32">
        <v>1</v>
      </c>
      <c r="H34" s="32">
        <v>1</v>
      </c>
    </row>
    <row r="35" spans="2:8" ht="14" x14ac:dyDescent="0.3">
      <c r="B35" s="4" t="s">
        <v>122</v>
      </c>
      <c r="D35" s="32">
        <v>1</v>
      </c>
      <c r="E35" s="32">
        <v>1</v>
      </c>
      <c r="F35" s="32">
        <v>1</v>
      </c>
      <c r="G35" s="32">
        <v>1</v>
      </c>
      <c r="H35" s="32">
        <v>1</v>
      </c>
    </row>
    <row r="36" spans="2:8" ht="14" x14ac:dyDescent="0.3">
      <c r="B36" s="4" t="s">
        <v>123</v>
      </c>
      <c r="D36" s="32">
        <v>2</v>
      </c>
      <c r="E36" s="32">
        <v>2</v>
      </c>
      <c r="F36" s="32">
        <v>2</v>
      </c>
      <c r="G36" s="32">
        <v>2</v>
      </c>
      <c r="H36" s="32">
        <v>2</v>
      </c>
    </row>
    <row r="38" spans="2:8" ht="14" x14ac:dyDescent="0.3">
      <c r="B38" s="3" t="s">
        <v>142</v>
      </c>
    </row>
    <row r="39" spans="2:8" ht="14" x14ac:dyDescent="0.3">
      <c r="B39" s="4" t="s">
        <v>83</v>
      </c>
      <c r="D39" s="32">
        <v>11</v>
      </c>
      <c r="E39" s="32">
        <v>11</v>
      </c>
      <c r="F39" s="32">
        <v>11</v>
      </c>
      <c r="G39" s="32">
        <v>11</v>
      </c>
      <c r="H39" s="32">
        <v>11</v>
      </c>
    </row>
    <row r="40" spans="2:8" ht="14" x14ac:dyDescent="0.3">
      <c r="B40" s="4" t="s">
        <v>120</v>
      </c>
      <c r="D40" s="32">
        <v>12</v>
      </c>
      <c r="E40" s="32">
        <v>12</v>
      </c>
      <c r="F40" s="32">
        <v>12</v>
      </c>
      <c r="G40" s="32">
        <v>12</v>
      </c>
      <c r="H40" s="32">
        <v>12</v>
      </c>
    </row>
    <row r="41" spans="2:8" ht="14" x14ac:dyDescent="0.3">
      <c r="B41" s="4" t="s">
        <v>121</v>
      </c>
      <c r="D41" s="32">
        <v>11</v>
      </c>
      <c r="E41" s="32">
        <v>11</v>
      </c>
      <c r="F41" s="32">
        <v>11</v>
      </c>
      <c r="G41" s="32">
        <v>11</v>
      </c>
      <c r="H41" s="32">
        <v>11</v>
      </c>
    </row>
    <row r="42" spans="2:8" ht="14" x14ac:dyDescent="0.3">
      <c r="B42" s="4" t="s">
        <v>122</v>
      </c>
      <c r="D42" s="32">
        <v>11</v>
      </c>
      <c r="E42" s="32">
        <v>11</v>
      </c>
      <c r="F42" s="32">
        <v>11</v>
      </c>
      <c r="G42" s="32">
        <v>11</v>
      </c>
      <c r="H42" s="32">
        <v>11</v>
      </c>
    </row>
    <row r="43" spans="2:8" ht="14" x14ac:dyDescent="0.3">
      <c r="B43" s="4" t="s">
        <v>123</v>
      </c>
      <c r="D43" s="32">
        <v>10</v>
      </c>
      <c r="E43" s="32">
        <v>10</v>
      </c>
      <c r="F43" s="32">
        <v>10</v>
      </c>
      <c r="G43" s="32">
        <v>10</v>
      </c>
      <c r="H43" s="32">
        <v>10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143</v>
      </c>
    </row>
    <row r="3" spans="2:17" ht="14" x14ac:dyDescent="0.3">
      <c r="B3" s="1" t="s">
        <v>144</v>
      </c>
    </row>
    <row r="4" spans="2:17" ht="28" x14ac:dyDescent="0.3">
      <c r="B4" s="10" t="s">
        <v>3</v>
      </c>
      <c r="C4" s="10" t="s">
        <v>5</v>
      </c>
      <c r="D4" s="10" t="s">
        <v>145</v>
      </c>
      <c r="E4" s="10" t="s">
        <v>146</v>
      </c>
      <c r="F4" s="10" t="s">
        <v>147</v>
      </c>
      <c r="G4" s="10" t="s">
        <v>148</v>
      </c>
      <c r="H4" s="10" t="s">
        <v>149</v>
      </c>
      <c r="I4" s="10" t="s">
        <v>150</v>
      </c>
      <c r="J4" s="10" t="s">
        <v>151</v>
      </c>
      <c r="K4" s="10" t="s">
        <v>152</v>
      </c>
      <c r="L4" s="10" t="s">
        <v>153</v>
      </c>
      <c r="M4" s="10" t="s">
        <v>154</v>
      </c>
      <c r="N4" s="10" t="s">
        <v>155</v>
      </c>
      <c r="O4" s="10" t="s">
        <v>156</v>
      </c>
      <c r="P4" s="10" t="s">
        <v>157</v>
      </c>
      <c r="Q4" s="10" t="s">
        <v>158</v>
      </c>
    </row>
    <row r="5" spans="2:17" ht="14" x14ac:dyDescent="0.3">
      <c r="B5" s="4" t="s">
        <v>159</v>
      </c>
      <c r="C5" t="s">
        <v>160</v>
      </c>
      <c r="D5" s="33">
        <f>'Executive Summary'!C9*C23/1000000</f>
        <v>67053.691781999994</v>
      </c>
      <c r="E5" s="33">
        <f>D5+C24</f>
        <v>62197.691781999994</v>
      </c>
      <c r="F5" s="33">
        <v>9618</v>
      </c>
      <c r="G5" s="33">
        <v>2745</v>
      </c>
      <c r="H5" s="33">
        <v>2578</v>
      </c>
      <c r="I5" s="33">
        <v>1945</v>
      </c>
      <c r="J5" s="34">
        <f t="shared" ref="J5:J10" si="0">IFERROR(E5/G5,"")</f>
        <v>22.658539811293259</v>
      </c>
      <c r="K5" s="34">
        <f t="shared" ref="K5:K10" si="1">IFERROR(E5/F5,"")</f>
        <v>6.4668009754626734</v>
      </c>
      <c r="L5" s="34">
        <f t="shared" ref="L5:L10" si="2">IFERROR(D5/I5,"")</f>
        <v>34.474905800514136</v>
      </c>
      <c r="M5" s="34">
        <f t="shared" ref="M5:M10" si="3">IFERROR(D5/P5,"")</f>
        <v>8.1306768257548185</v>
      </c>
      <c r="N5" s="35">
        <f t="shared" ref="N5:N10" si="4">IFERROR(H5/F5,"")</f>
        <v>0.26803909336660431</v>
      </c>
      <c r="O5" s="35">
        <f t="shared" ref="O5:O10" si="5">IFERROR(I5/P5,"")</f>
        <v>0.23584333697101975</v>
      </c>
      <c r="P5" s="33">
        <v>8247</v>
      </c>
    </row>
    <row r="6" spans="2:17" ht="14" x14ac:dyDescent="0.3">
      <c r="B6" s="4" t="s">
        <v>161</v>
      </c>
      <c r="C6" t="s">
        <v>162</v>
      </c>
      <c r="D6" s="33">
        <v>59170</v>
      </c>
      <c r="E6" s="33">
        <v>46234</v>
      </c>
      <c r="F6" s="33">
        <v>21787</v>
      </c>
      <c r="G6" s="33">
        <v>5766</v>
      </c>
      <c r="H6" s="33">
        <v>5750</v>
      </c>
      <c r="I6" s="33">
        <v>4221</v>
      </c>
      <c r="J6" s="34">
        <f t="shared" si="0"/>
        <v>8.0183836281651057</v>
      </c>
      <c r="K6" s="34">
        <f t="shared" si="1"/>
        <v>2.1220911552760819</v>
      </c>
      <c r="L6" s="34">
        <f t="shared" si="2"/>
        <v>14.018005212035062</v>
      </c>
      <c r="M6" s="34">
        <f t="shared" si="3"/>
        <v>4.0474724673370268</v>
      </c>
      <c r="N6" s="35">
        <f t="shared" si="4"/>
        <v>0.26391885069077892</v>
      </c>
      <c r="O6" s="35">
        <f t="shared" si="5"/>
        <v>0.28873383952390724</v>
      </c>
      <c r="P6" s="33">
        <v>14619</v>
      </c>
    </row>
    <row r="7" spans="2:17" ht="14" x14ac:dyDescent="0.3">
      <c r="B7" s="4" t="s">
        <v>163</v>
      </c>
      <c r="C7" t="s">
        <v>164</v>
      </c>
      <c r="D7" s="33">
        <v>85980</v>
      </c>
      <c r="E7" s="33">
        <v>77823</v>
      </c>
      <c r="F7" s="33">
        <v>21771</v>
      </c>
      <c r="G7" s="33">
        <v>5991</v>
      </c>
      <c r="H7" s="33">
        <v>4005</v>
      </c>
      <c r="I7" s="33">
        <v>2683</v>
      </c>
      <c r="J7" s="34">
        <f t="shared" si="0"/>
        <v>12.9899849774662</v>
      </c>
      <c r="K7" s="34">
        <f t="shared" si="1"/>
        <v>3.5746176105828855</v>
      </c>
      <c r="L7" s="34">
        <f t="shared" si="2"/>
        <v>32.046216921356688</v>
      </c>
      <c r="M7" s="34">
        <f t="shared" si="3"/>
        <v>2.3680079319177065</v>
      </c>
      <c r="N7" s="35">
        <f t="shared" si="4"/>
        <v>0.18396031417941297</v>
      </c>
      <c r="O7" s="35">
        <f t="shared" si="5"/>
        <v>7.3893525021344567E-2</v>
      </c>
      <c r="P7" s="33">
        <v>36309</v>
      </c>
    </row>
    <row r="8" spans="2:17" ht="14" x14ac:dyDescent="0.3">
      <c r="B8" s="4" t="s">
        <v>165</v>
      </c>
      <c r="C8" t="s">
        <v>166</v>
      </c>
      <c r="D8" s="33">
        <v>1090000</v>
      </c>
      <c r="E8" s="33">
        <v>1024267</v>
      </c>
      <c r="F8" s="33">
        <v>148332</v>
      </c>
      <c r="G8" s="33">
        <v>53456</v>
      </c>
      <c r="H8" s="33">
        <v>50931</v>
      </c>
      <c r="I8" s="33">
        <v>37840</v>
      </c>
      <c r="J8" s="34">
        <f t="shared" si="0"/>
        <v>19.160936096976954</v>
      </c>
      <c r="K8" s="34">
        <f t="shared" si="1"/>
        <v>6.9052328560256724</v>
      </c>
      <c r="L8" s="34">
        <f t="shared" si="2"/>
        <v>28.805496828752641</v>
      </c>
      <c r="M8" s="34">
        <f t="shared" si="3"/>
        <v>9.3132145115261711</v>
      </c>
      <c r="N8" s="35">
        <f t="shared" si="4"/>
        <v>0.34335814254510155</v>
      </c>
      <c r="O8" s="35">
        <f t="shared" si="5"/>
        <v>0.32331379551940398</v>
      </c>
      <c r="P8" s="33">
        <v>117038</v>
      </c>
    </row>
    <row r="9" spans="2:17" ht="14" x14ac:dyDescent="0.3">
      <c r="B9" s="4" t="s">
        <v>167</v>
      </c>
      <c r="C9" t="s">
        <v>168</v>
      </c>
      <c r="D9" s="33">
        <v>826510</v>
      </c>
      <c r="E9" s="33">
        <v>771009</v>
      </c>
      <c r="F9" s="33">
        <v>596479</v>
      </c>
      <c r="G9" s="33">
        <v>94915</v>
      </c>
      <c r="H9" s="33">
        <v>76229</v>
      </c>
      <c r="I9" s="33">
        <v>46624</v>
      </c>
      <c r="J9" s="34">
        <f t="shared" si="0"/>
        <v>8.1231522941579311</v>
      </c>
      <c r="K9" s="34">
        <f t="shared" si="1"/>
        <v>1.2926004100731123</v>
      </c>
      <c r="L9" s="34">
        <f t="shared" si="2"/>
        <v>17.727136238846946</v>
      </c>
      <c r="M9" s="34">
        <f t="shared" si="3"/>
        <v>2.5452221845841159</v>
      </c>
      <c r="N9" s="35">
        <f t="shared" si="4"/>
        <v>0.12779829633566311</v>
      </c>
      <c r="O9" s="35">
        <f t="shared" si="5"/>
        <v>0.14357774150833</v>
      </c>
      <c r="P9" s="33">
        <v>324730</v>
      </c>
    </row>
    <row r="10" spans="2:17" ht="14" x14ac:dyDescent="0.3">
      <c r="B10" s="4" t="s">
        <v>169</v>
      </c>
      <c r="C10" t="s">
        <v>170</v>
      </c>
      <c r="D10" s="33">
        <v>24100</v>
      </c>
      <c r="E10" s="33">
        <v>26389</v>
      </c>
      <c r="F10" s="33">
        <v>7643</v>
      </c>
      <c r="G10" s="33">
        <v>1163</v>
      </c>
      <c r="H10" s="33">
        <v>721</v>
      </c>
      <c r="I10" s="33">
        <v>544</v>
      </c>
      <c r="J10" s="34">
        <f t="shared" si="0"/>
        <v>22.690455717970764</v>
      </c>
      <c r="K10" s="34">
        <f t="shared" si="1"/>
        <v>3.4527018186575953</v>
      </c>
      <c r="L10" s="34">
        <f t="shared" si="2"/>
        <v>44.301470588235297</v>
      </c>
      <c r="M10" s="34">
        <f t="shared" si="3"/>
        <v>6.2727745965642896</v>
      </c>
      <c r="N10" s="35">
        <f t="shared" si="4"/>
        <v>9.4334685332984433E-2</v>
      </c>
      <c r="O10" s="35">
        <f t="shared" si="5"/>
        <v>0.1415929203539823</v>
      </c>
      <c r="P10" s="33">
        <v>3842</v>
      </c>
    </row>
    <row r="14" spans="2:17" ht="14" x14ac:dyDescent="0.3">
      <c r="B14" s="3" t="s">
        <v>171</v>
      </c>
    </row>
    <row r="15" spans="2:17" ht="14" x14ac:dyDescent="0.3">
      <c r="B15" s="4" t="s">
        <v>172</v>
      </c>
      <c r="D15" s="34">
        <f t="shared" ref="D15:I15" si="6">PERCENTILE(J6:J10,0.25)</f>
        <v>8.1231522941579311</v>
      </c>
      <c r="E15" s="34">
        <f t="shared" si="6"/>
        <v>2.1220911552760819</v>
      </c>
      <c r="F15" s="34">
        <f t="shared" si="6"/>
        <v>17.727136238846946</v>
      </c>
      <c r="G15" s="34">
        <f t="shared" si="6"/>
        <v>2.5452221845841159</v>
      </c>
      <c r="H15" s="35">
        <f t="shared" si="6"/>
        <v>0.12779829633566311</v>
      </c>
      <c r="I15" s="35">
        <f t="shared" si="6"/>
        <v>0.1415929203539823</v>
      </c>
    </row>
    <row r="16" spans="2:17" ht="14" x14ac:dyDescent="0.3">
      <c r="B16" s="4" t="s">
        <v>173</v>
      </c>
      <c r="D16" s="34">
        <f t="shared" ref="D16:I16" si="7">MEDIAN(J6:J10)</f>
        <v>12.9899849774662</v>
      </c>
      <c r="E16" s="34">
        <f t="shared" si="7"/>
        <v>3.4527018186575953</v>
      </c>
      <c r="F16" s="34">
        <f t="shared" si="7"/>
        <v>28.805496828752641</v>
      </c>
      <c r="G16" s="34">
        <f t="shared" si="7"/>
        <v>4.0474724673370268</v>
      </c>
      <c r="H16" s="35">
        <f t="shared" si="7"/>
        <v>0.18396031417941297</v>
      </c>
      <c r="I16" s="35">
        <f t="shared" si="7"/>
        <v>0.14357774150833</v>
      </c>
    </row>
    <row r="17" spans="2:9" ht="14" x14ac:dyDescent="0.3">
      <c r="B17" s="4" t="s">
        <v>174</v>
      </c>
      <c r="D17" s="34">
        <f t="shared" ref="D17:I17" si="8">PERCENTILE(J6:J10,0.75)</f>
        <v>19.160936096976954</v>
      </c>
      <c r="E17" s="34">
        <f t="shared" si="8"/>
        <v>3.5746176105828855</v>
      </c>
      <c r="F17" s="34">
        <f t="shared" si="8"/>
        <v>32.046216921356688</v>
      </c>
      <c r="G17" s="34">
        <f t="shared" si="8"/>
        <v>6.2727745965642896</v>
      </c>
      <c r="H17" s="35">
        <f t="shared" si="8"/>
        <v>0.26391885069077892</v>
      </c>
      <c r="I17" s="35">
        <f t="shared" si="8"/>
        <v>0.28873383952390724</v>
      </c>
    </row>
    <row r="19" spans="2:9" ht="14" x14ac:dyDescent="0.3">
      <c r="B19" s="22" t="s">
        <v>175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176</v>
      </c>
    </row>
    <row r="21" spans="2:9" ht="14" x14ac:dyDescent="0.3">
      <c r="B21" s="4" t="s">
        <v>177</v>
      </c>
      <c r="C21" s="5">
        <v>2745</v>
      </c>
    </row>
    <row r="22" spans="2:9" ht="14" x14ac:dyDescent="0.3">
      <c r="B22" s="4" t="s">
        <v>178</v>
      </c>
      <c r="C22" s="5">
        <v>1945</v>
      </c>
    </row>
    <row r="23" spans="2:9" ht="14" x14ac:dyDescent="0.3">
      <c r="B23" s="4" t="s">
        <v>179</v>
      </c>
      <c r="C23" s="15">
        <v>32252858</v>
      </c>
    </row>
    <row r="24" spans="2:9" ht="14" x14ac:dyDescent="0.3">
      <c r="B24" s="4" t="s">
        <v>72</v>
      </c>
      <c r="C24" s="5">
        <v>-4856</v>
      </c>
    </row>
    <row r="26" spans="2:9" ht="14" x14ac:dyDescent="0.3">
      <c r="B26" s="3" t="s">
        <v>180</v>
      </c>
    </row>
    <row r="27" spans="2:9" ht="14" x14ac:dyDescent="0.3">
      <c r="B27" s="4" t="s">
        <v>181</v>
      </c>
      <c r="C27" s="24">
        <f>ROUND((C21*D16-C24)*1000000/C23,0)</f>
        <v>1256</v>
      </c>
    </row>
    <row r="28" spans="2:9" ht="14" x14ac:dyDescent="0.3">
      <c r="B28" s="4" t="s">
        <v>182</v>
      </c>
      <c r="C28" s="24">
        <f>ROUND(C22*F16*1000000/C23,0)</f>
        <v>1737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183</v>
      </c>
    </row>
    <row r="3" spans="2:9" ht="14" x14ac:dyDescent="0.3">
      <c r="B3" s="4" t="s">
        <v>184</v>
      </c>
      <c r="C3" s="16">
        <f>'DCF Model'!C26</f>
        <v>0.1104</v>
      </c>
      <c r="E3" s="4" t="s">
        <v>185</v>
      </c>
      <c r="F3" s="16">
        <f>'DCF Model'!C13</f>
        <v>1.4999999999999999E-2</v>
      </c>
      <c r="H3" s="4" t="s">
        <v>186</v>
      </c>
      <c r="I3" s="14">
        <f>'DCF Model'!C14</f>
        <v>12</v>
      </c>
    </row>
    <row r="5" spans="2:9" ht="14" x14ac:dyDescent="0.3">
      <c r="B5" s="3" t="s">
        <v>187</v>
      </c>
    </row>
    <row r="6" spans="2:9" ht="14" x14ac:dyDescent="0.3">
      <c r="B6" s="36" t="s">
        <v>188</v>
      </c>
      <c r="C6" s="37">
        <f>$F$3-0.0075</f>
        <v>7.4999999999999997E-3</v>
      </c>
      <c r="D6" s="37">
        <f>$F$3-0.005</f>
        <v>9.9999999999999985E-3</v>
      </c>
      <c r="E6" s="37">
        <f>$F$3-0.0025</f>
        <v>1.2499999999999999E-2</v>
      </c>
      <c r="F6" s="37">
        <f>$F$3</f>
        <v>1.4999999999999999E-2</v>
      </c>
      <c r="G6" s="37">
        <f>$F$3+0.0025</f>
        <v>1.7499999999999998E-2</v>
      </c>
      <c r="H6" s="37">
        <f>$F$3+0.005</f>
        <v>0.02</v>
      </c>
      <c r="I6" s="37">
        <f>$F$3+0.0075</f>
        <v>2.2499999999999999E-2</v>
      </c>
    </row>
    <row r="7" spans="2:9" ht="13.5" x14ac:dyDescent="0.25">
      <c r="B7" s="35">
        <f>$C$3-0.015</f>
        <v>9.5399999999999999E-2</v>
      </c>
      <c r="C7" s="33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1167</v>
      </c>
      <c r="D7" s="33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1190</v>
      </c>
      <c r="E7" s="33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1215</v>
      </c>
      <c r="F7" s="33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1241</v>
      </c>
      <c r="G7" s="33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1269</v>
      </c>
      <c r="H7" s="33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1299</v>
      </c>
      <c r="I7" s="33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1331</v>
      </c>
    </row>
    <row r="8" spans="2:9" ht="13.5" x14ac:dyDescent="0.25">
      <c r="B8" s="35">
        <f>$C$3-0.01</f>
        <v>0.1004</v>
      </c>
      <c r="C8" s="33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1110</v>
      </c>
      <c r="D8" s="33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1130</v>
      </c>
      <c r="E8" s="33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1152</v>
      </c>
      <c r="F8" s="33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1175</v>
      </c>
      <c r="G8" s="33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1199</v>
      </c>
      <c r="H8" s="33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1225</v>
      </c>
      <c r="I8" s="33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1253</v>
      </c>
    </row>
    <row r="9" spans="2:9" ht="13.5" x14ac:dyDescent="0.25">
      <c r="B9" s="35">
        <f>$C$3-0.005</f>
        <v>0.10539999999999999</v>
      </c>
      <c r="C9" s="33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1059</v>
      </c>
      <c r="D9" s="33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1077</v>
      </c>
      <c r="E9" s="33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1096</v>
      </c>
      <c r="F9" s="33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1116</v>
      </c>
      <c r="G9" s="33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1138</v>
      </c>
      <c r="H9" s="33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1160</v>
      </c>
      <c r="I9" s="33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1184</v>
      </c>
    </row>
    <row r="10" spans="2:9" ht="13.5" x14ac:dyDescent="0.25">
      <c r="B10" s="35">
        <f>$C$3</f>
        <v>0.1104</v>
      </c>
      <c r="C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1013</v>
      </c>
      <c r="D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1029</v>
      </c>
      <c r="E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1046</v>
      </c>
      <c r="F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1064</v>
      </c>
      <c r="G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1083</v>
      </c>
      <c r="H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1102</v>
      </c>
      <c r="I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1123</v>
      </c>
    </row>
    <row r="11" spans="2:9" ht="13.5" x14ac:dyDescent="0.25">
      <c r="B11" s="35">
        <f>$C$3+0.005</f>
        <v>0.1154</v>
      </c>
      <c r="C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971</v>
      </c>
      <c r="D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985</v>
      </c>
      <c r="E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1001</v>
      </c>
      <c r="F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1017</v>
      </c>
      <c r="G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1033</v>
      </c>
      <c r="H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1051</v>
      </c>
      <c r="I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1069</v>
      </c>
    </row>
    <row r="12" spans="2:9" ht="13.5" x14ac:dyDescent="0.25">
      <c r="B12" s="35">
        <f>$C$3+0.01</f>
        <v>0.12039999999999999</v>
      </c>
      <c r="C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933</v>
      </c>
      <c r="D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946</v>
      </c>
      <c r="E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960</v>
      </c>
      <c r="F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974</v>
      </c>
      <c r="G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989</v>
      </c>
      <c r="H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1004</v>
      </c>
      <c r="I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1021</v>
      </c>
    </row>
    <row r="13" spans="2:9" ht="13.5" x14ac:dyDescent="0.25">
      <c r="B13" s="35">
        <f>$C$3+0.015</f>
        <v>0.12540000000000001</v>
      </c>
      <c r="C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898</v>
      </c>
      <c r="D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910</v>
      </c>
      <c r="E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922</v>
      </c>
      <c r="F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935</v>
      </c>
      <c r="G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948</v>
      </c>
      <c r="H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962</v>
      </c>
      <c r="I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977</v>
      </c>
    </row>
    <row r="16" spans="2:9" ht="14" x14ac:dyDescent="0.3">
      <c r="B16" s="3" t="s">
        <v>189</v>
      </c>
    </row>
    <row r="17" spans="2:9" ht="14" x14ac:dyDescent="0.3">
      <c r="B17" s="36" t="s">
        <v>190</v>
      </c>
      <c r="C17" s="38">
        <f>$I$3-3</f>
        <v>9</v>
      </c>
      <c r="D17" s="38">
        <f>$I$3-2</f>
        <v>10</v>
      </c>
      <c r="E17" s="38">
        <f>$I$3-1</f>
        <v>11</v>
      </c>
      <c r="F17" s="38">
        <f>$I$3</f>
        <v>12</v>
      </c>
      <c r="G17" s="38">
        <f>$I$3+1</f>
        <v>13</v>
      </c>
      <c r="H17" s="38">
        <f>$I$3+2</f>
        <v>14</v>
      </c>
      <c r="I17" s="38">
        <f>$I$3+3</f>
        <v>15</v>
      </c>
    </row>
    <row r="18" spans="2:9" ht="13.5" x14ac:dyDescent="0.25">
      <c r="B18" s="35">
        <f>$C$3-0.015</f>
        <v>9.5399999999999999E-2</v>
      </c>
      <c r="C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1425</v>
      </c>
      <c r="D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1535</v>
      </c>
      <c r="E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1645</v>
      </c>
      <c r="F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1755</v>
      </c>
      <c r="G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1865</v>
      </c>
      <c r="H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1975</v>
      </c>
      <c r="I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2085</v>
      </c>
    </row>
    <row r="19" spans="2:9" ht="13.5" x14ac:dyDescent="0.25">
      <c r="B19" s="35">
        <f>$C$3-0.01</f>
        <v>0.1004</v>
      </c>
      <c r="C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1401</v>
      </c>
      <c r="D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1509</v>
      </c>
      <c r="E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1617</v>
      </c>
      <c r="F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1724</v>
      </c>
      <c r="G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1832</v>
      </c>
      <c r="H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1940</v>
      </c>
      <c r="I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2048</v>
      </c>
    </row>
    <row r="20" spans="2:9" ht="13.5" x14ac:dyDescent="0.25">
      <c r="B20" s="35">
        <f>$C$3-0.005</f>
        <v>0.10539999999999999</v>
      </c>
      <c r="C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1378</v>
      </c>
      <c r="D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1484</v>
      </c>
      <c r="E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1589</v>
      </c>
      <c r="F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1695</v>
      </c>
      <c r="G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1801</v>
      </c>
      <c r="H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1906</v>
      </c>
      <c r="I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2012</v>
      </c>
    </row>
    <row r="21" spans="2:9" ht="13.5" x14ac:dyDescent="0.25">
      <c r="B21" s="35">
        <f>$C$3</f>
        <v>0.1104</v>
      </c>
      <c r="C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1356</v>
      </c>
      <c r="D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1459</v>
      </c>
      <c r="E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1563</v>
      </c>
      <c r="F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1666</v>
      </c>
      <c r="G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1770</v>
      </c>
      <c r="H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1873</v>
      </c>
      <c r="I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1977</v>
      </c>
    </row>
    <row r="22" spans="2:9" ht="13.5" x14ac:dyDescent="0.25">
      <c r="B22" s="35">
        <f>$C$3+0.005</f>
        <v>0.1154</v>
      </c>
      <c r="C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1334</v>
      </c>
      <c r="D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1435</v>
      </c>
      <c r="E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1537</v>
      </c>
      <c r="F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1638</v>
      </c>
      <c r="G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1740</v>
      </c>
      <c r="H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1841</v>
      </c>
      <c r="I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1942</v>
      </c>
    </row>
    <row r="23" spans="2:9" ht="13.5" x14ac:dyDescent="0.25">
      <c r="B23" s="35">
        <f>$C$3+0.01</f>
        <v>0.12039999999999999</v>
      </c>
      <c r="C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1312</v>
      </c>
      <c r="D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1412</v>
      </c>
      <c r="E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1511</v>
      </c>
      <c r="F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1611</v>
      </c>
      <c r="G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1710</v>
      </c>
      <c r="H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1809</v>
      </c>
      <c r="I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1909</v>
      </c>
    </row>
    <row r="24" spans="2:9" ht="13.5" x14ac:dyDescent="0.25">
      <c r="B24" s="35">
        <f>$C$3+0.015</f>
        <v>0.12540000000000001</v>
      </c>
      <c r="C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1292</v>
      </c>
      <c r="D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1389</v>
      </c>
      <c r="E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1486</v>
      </c>
      <c r="F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1584</v>
      </c>
      <c r="G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1681</v>
      </c>
      <c r="H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1779</v>
      </c>
      <c r="I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1876</v>
      </c>
    </row>
    <row r="26" spans="2:9" ht="14" x14ac:dyDescent="0.3">
      <c r="B26" s="41" t="s">
        <v>191</v>
      </c>
      <c r="C26" s="40"/>
      <c r="D26" s="40"/>
      <c r="E26" s="40"/>
      <c r="F26" s="40"/>
      <c r="G26" s="40"/>
      <c r="H26" s="40"/>
      <c r="I26" s="40"/>
    </row>
  </sheetData>
  <mergeCells count="1">
    <mergeCell ref="B26:I26"/>
  </mergeCells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B2:G40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192</v>
      </c>
    </row>
    <row r="4" spans="2:7" ht="14" x14ac:dyDescent="0.3">
      <c r="B4" s="10" t="s">
        <v>193</v>
      </c>
      <c r="C4" s="10" t="s">
        <v>194</v>
      </c>
      <c r="D4" s="10" t="s">
        <v>195</v>
      </c>
      <c r="E4" s="10" t="s">
        <v>196</v>
      </c>
      <c r="F4" s="10" t="s">
        <v>197</v>
      </c>
      <c r="G4" s="10" t="s">
        <v>198</v>
      </c>
    </row>
    <row r="5" spans="2:7" x14ac:dyDescent="0.2">
      <c r="B5" t="s">
        <v>199</v>
      </c>
      <c r="C5" t="s">
        <v>200</v>
      </c>
      <c r="D5" t="s">
        <v>201</v>
      </c>
      <c r="E5" t="s">
        <v>202</v>
      </c>
      <c r="F5" t="s">
        <v>200</v>
      </c>
      <c r="G5" t="s">
        <v>203</v>
      </c>
    </row>
    <row r="12" spans="2:7" ht="14" x14ac:dyDescent="0.3">
      <c r="B12" s="8" t="s">
        <v>204</v>
      </c>
    </row>
    <row r="13" spans="2:7" ht="14" x14ac:dyDescent="0.3">
      <c r="B13" s="10" t="s">
        <v>205</v>
      </c>
      <c r="C13" s="10" t="s">
        <v>206</v>
      </c>
    </row>
    <row r="14" spans="2:7" ht="14" x14ac:dyDescent="0.3">
      <c r="B14" s="4" t="s">
        <v>207</v>
      </c>
      <c r="C14" t="s">
        <v>208</v>
      </c>
    </row>
    <row r="15" spans="2:7" ht="14" x14ac:dyDescent="0.3">
      <c r="B15" s="4" t="s">
        <v>209</v>
      </c>
      <c r="C15" t="s">
        <v>210</v>
      </c>
    </row>
    <row r="16" spans="2:7" ht="14" x14ac:dyDescent="0.3">
      <c r="B16" s="4" t="s">
        <v>211</v>
      </c>
      <c r="C16" t="s">
        <v>212</v>
      </c>
    </row>
    <row r="17" spans="2:3" ht="14" x14ac:dyDescent="0.3">
      <c r="B17" s="4" t="s">
        <v>213</v>
      </c>
      <c r="C17" t="s">
        <v>4</v>
      </c>
    </row>
    <row r="18" spans="2:3" ht="14" x14ac:dyDescent="0.3">
      <c r="B18" s="4" t="s">
        <v>214</v>
      </c>
      <c r="C18" t="s">
        <v>199</v>
      </c>
    </row>
    <row r="19" spans="2:3" ht="14" x14ac:dyDescent="0.3">
      <c r="B19" s="4" t="s">
        <v>215</v>
      </c>
      <c r="C19" t="s">
        <v>216</v>
      </c>
    </row>
    <row r="20" spans="2:3" ht="14" x14ac:dyDescent="0.3">
      <c r="B20" s="4" t="s">
        <v>217</v>
      </c>
      <c r="C20" t="s">
        <v>218</v>
      </c>
    </row>
    <row r="21" spans="2:3" ht="14" x14ac:dyDescent="0.3">
      <c r="B21" s="4" t="s">
        <v>219</v>
      </c>
      <c r="C21" t="s">
        <v>220</v>
      </c>
    </row>
    <row r="22" spans="2:3" ht="14" x14ac:dyDescent="0.3">
      <c r="B22" s="4" t="s">
        <v>221</v>
      </c>
      <c r="C22" t="s">
        <v>222</v>
      </c>
    </row>
    <row r="23" spans="2:3" ht="14" x14ac:dyDescent="0.3">
      <c r="B23" s="4" t="s">
        <v>223</v>
      </c>
      <c r="C23" t="s">
        <v>224</v>
      </c>
    </row>
    <row r="24" spans="2:3" ht="14" x14ac:dyDescent="0.3">
      <c r="B24" s="4" t="s">
        <v>225</v>
      </c>
      <c r="C24" t="s">
        <v>220</v>
      </c>
    </row>
    <row r="25" spans="2:3" ht="14" x14ac:dyDescent="0.3">
      <c r="B25" s="4" t="s">
        <v>226</v>
      </c>
      <c r="C25" t="s">
        <v>216</v>
      </c>
    </row>
    <row r="26" spans="2:3" ht="14" x14ac:dyDescent="0.3">
      <c r="B26" s="4" t="s">
        <v>227</v>
      </c>
      <c r="C26" t="s">
        <v>228</v>
      </c>
    </row>
    <row r="27" spans="2:3" ht="14" x14ac:dyDescent="0.3">
      <c r="B27" s="4" t="s">
        <v>229</v>
      </c>
      <c r="C27" t="s">
        <v>230</v>
      </c>
    </row>
    <row r="28" spans="2:3" ht="14" x14ac:dyDescent="0.3">
      <c r="B28" s="4" t="s">
        <v>231</v>
      </c>
      <c r="C28" t="s">
        <v>208</v>
      </c>
    </row>
    <row r="29" spans="2:3" ht="14" x14ac:dyDescent="0.3">
      <c r="B29" s="4" t="s">
        <v>232</v>
      </c>
      <c r="C29" t="s">
        <v>233</v>
      </c>
    </row>
    <row r="30" spans="2:3" ht="14" x14ac:dyDescent="0.3">
      <c r="B30" s="4" t="s">
        <v>234</v>
      </c>
      <c r="C30" t="s">
        <v>235</v>
      </c>
    </row>
    <row r="31" spans="2:3" ht="14" x14ac:dyDescent="0.3">
      <c r="B31" s="4" t="s">
        <v>236</v>
      </c>
      <c r="C31" t="s">
        <v>237</v>
      </c>
    </row>
    <row r="32" spans="2:3" ht="14" x14ac:dyDescent="0.3">
      <c r="B32" s="4" t="s">
        <v>238</v>
      </c>
      <c r="C32" t="s">
        <v>239</v>
      </c>
    </row>
    <row r="33" spans="2:3" ht="14" x14ac:dyDescent="0.3">
      <c r="B33" s="4" t="s">
        <v>240</v>
      </c>
      <c r="C33" t="s">
        <v>241</v>
      </c>
    </row>
    <row r="34" spans="2:3" ht="14" x14ac:dyDescent="0.3">
      <c r="B34" s="4" t="s">
        <v>242</v>
      </c>
      <c r="C34" t="s">
        <v>243</v>
      </c>
    </row>
    <row r="35" spans="2:3" ht="14" x14ac:dyDescent="0.3">
      <c r="B35" s="4" t="s">
        <v>244</v>
      </c>
      <c r="C35" t="s">
        <v>245</v>
      </c>
    </row>
    <row r="36" spans="2:3" ht="14" x14ac:dyDescent="0.3">
      <c r="B36" s="4" t="s">
        <v>246</v>
      </c>
      <c r="C36" t="s">
        <v>247</v>
      </c>
    </row>
    <row r="37" spans="2:3" ht="14" x14ac:dyDescent="0.3">
      <c r="B37" s="4" t="s">
        <v>248</v>
      </c>
      <c r="C37" t="s">
        <v>216</v>
      </c>
    </row>
    <row r="38" spans="2:3" ht="14" x14ac:dyDescent="0.3">
      <c r="B38" s="4" t="s">
        <v>249</v>
      </c>
      <c r="C38" t="s">
        <v>250</v>
      </c>
    </row>
    <row r="39" spans="2:3" ht="14" x14ac:dyDescent="0.3">
      <c r="B39" s="4" t="s">
        <v>251</v>
      </c>
      <c r="C39" t="s">
        <v>252</v>
      </c>
    </row>
    <row r="40" spans="2:3" ht="14" x14ac:dyDescent="0.3">
      <c r="B40" s="4" t="s">
        <v>253</v>
      </c>
      <c r="C40" t="s">
        <v>160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2026-07-31T04:44:27Z</dcterms:created>
  <dcterms:modified xsi:type="dcterms:W3CDTF">2026-07-31T04:44:31Z</dcterms:modified>
</cp:coreProperties>
</file>