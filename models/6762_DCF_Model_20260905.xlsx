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EBAF506-8F88-4CFA-9167-F4D0813D0FA7}"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7" i="6" s="1"/>
  <c r="K6" i="6"/>
  <c r="J6" i="6"/>
  <c r="O5" i="6"/>
  <c r="N5" i="6"/>
  <c r="D5" i="6"/>
  <c r="E5" i="6" s="1"/>
  <c r="C16" i="5"/>
  <c r="C14" i="5"/>
  <c r="C18" i="5" s="1"/>
  <c r="C7" i="5"/>
  <c r="C6" i="5"/>
  <c r="C5" i="5"/>
  <c r="C13" i="4"/>
  <c r="C12" i="4"/>
  <c r="C9" i="4"/>
  <c r="C7" i="4"/>
  <c r="C6" i="4"/>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E15" i="6" l="1"/>
  <c r="G15" i="6"/>
  <c r="D32" i="3"/>
  <c r="C8" i="4"/>
  <c r="C10" i="4" s="1"/>
  <c r="C71" i="4" s="1"/>
  <c r="H15" i="6"/>
  <c r="I16" i="6"/>
  <c r="C26" i="3"/>
  <c r="D36" i="4" s="1"/>
  <c r="F16" i="6"/>
  <c r="C28" i="6" s="1"/>
  <c r="C19" i="1" s="1"/>
  <c r="D19" i="1" s="1"/>
  <c r="D17" i="6"/>
  <c r="F15" i="6"/>
  <c r="H16" i="6"/>
  <c r="G46" i="3"/>
  <c r="F36" i="4"/>
  <c r="F46" i="3"/>
  <c r="C46" i="3"/>
  <c r="H36" i="4"/>
  <c r="C70" i="4"/>
  <c r="J5" i="6"/>
  <c r="K5" i="6"/>
  <c r="C30" i="3"/>
  <c r="C33" i="3" s="1"/>
  <c r="F31" i="3"/>
  <c r="H5" i="5"/>
  <c r="D7" i="5"/>
  <c r="I15" i="6"/>
  <c r="E17" i="6"/>
  <c r="I6" i="7"/>
  <c r="F32" i="3"/>
  <c r="G6" i="5"/>
  <c r="D30" i="3"/>
  <c r="E7" i="5"/>
  <c r="L5" i="6"/>
  <c r="D16" i="6"/>
  <c r="C17" i="7"/>
  <c r="C31" i="3"/>
  <c r="G31" i="3"/>
  <c r="E30" i="3"/>
  <c r="C32" i="3"/>
  <c r="D6" i="5"/>
  <c r="F7" i="5"/>
  <c r="M5" i="6"/>
  <c r="E16" i="6"/>
  <c r="G17" i="6"/>
  <c r="C6" i="7"/>
  <c r="D17" i="7"/>
  <c r="H17" i="6"/>
  <c r="D6" i="7"/>
  <c r="E17" i="7"/>
  <c r="E6" i="5"/>
  <c r="G7" i="5"/>
  <c r="D15" i="6"/>
  <c r="G30" i="3"/>
  <c r="E32" i="3"/>
  <c r="D5" i="5"/>
  <c r="F6" i="5"/>
  <c r="H7" i="5"/>
  <c r="G16" i="6"/>
  <c r="I17" i="6"/>
  <c r="E6" i="7"/>
  <c r="F17" i="7"/>
  <c r="F30" i="3"/>
  <c r="F6" i="7"/>
  <c r="G17" i="7"/>
  <c r="E5" i="5"/>
  <c r="D31" i="3"/>
  <c r="G32" i="3"/>
  <c r="F5" i="5"/>
  <c r="H6" i="5"/>
  <c r="G6" i="7"/>
  <c r="H17" i="7"/>
  <c r="E31" i="3"/>
  <c r="E46" i="3" l="1"/>
  <c r="E36" i="4"/>
  <c r="G36" i="4"/>
  <c r="C3" i="7"/>
  <c r="D46" i="3"/>
  <c r="C11" i="4"/>
  <c r="C24" i="4" s="1"/>
  <c r="C25" i="4" s="1"/>
  <c r="C29" i="4" s="1"/>
  <c r="D45" i="4"/>
  <c r="D39" i="4"/>
  <c r="D46" i="4"/>
  <c r="D40" i="4"/>
  <c r="D44" i="4"/>
  <c r="D38" i="4"/>
  <c r="D43" i="4"/>
  <c r="D41" i="4"/>
  <c r="C27" i="6"/>
  <c r="C18" i="1" s="1"/>
  <c r="D18" i="1" s="1"/>
  <c r="C74" i="4"/>
  <c r="F43" i="4"/>
  <c r="F46" i="4"/>
  <c r="F44" i="4"/>
  <c r="F38" i="4"/>
  <c r="F41" i="4"/>
  <c r="F51" i="4" s="1"/>
  <c r="F56" i="4" s="1"/>
  <c r="F45" i="4"/>
  <c r="F40" i="4"/>
  <c r="F39" i="4"/>
  <c r="H40" i="4"/>
  <c r="H44" i="4"/>
  <c r="H38" i="4"/>
  <c r="H41" i="4"/>
  <c r="H45" i="4"/>
  <c r="H39" i="4"/>
  <c r="H43" i="4"/>
  <c r="H46" i="4"/>
  <c r="E39" i="4"/>
  <c r="E43" i="4"/>
  <c r="E40" i="4"/>
  <c r="E44" i="4"/>
  <c r="E38" i="4"/>
  <c r="E48" i="4" s="1"/>
  <c r="E53" i="4" s="1"/>
  <c r="E46" i="4"/>
  <c r="E41" i="4"/>
  <c r="E51" i="4" s="1"/>
  <c r="E56" i="4" s="1"/>
  <c r="E45" i="4"/>
  <c r="G46" i="4"/>
  <c r="G40" i="4"/>
  <c r="G44" i="4"/>
  <c r="G38" i="4"/>
  <c r="G41" i="4"/>
  <c r="G51" i="4" s="1"/>
  <c r="G56" i="4" s="1"/>
  <c r="G45" i="4"/>
  <c r="G39" i="4"/>
  <c r="G43" i="4"/>
  <c r="C42" i="3"/>
  <c r="C34" i="3"/>
  <c r="D10" i="5" s="1"/>
  <c r="C37" i="3"/>
  <c r="C35" i="3"/>
  <c r="D9" i="5"/>
  <c r="D12" i="5" s="1"/>
  <c r="D33" i="3"/>
  <c r="B13" i="7"/>
  <c r="B12" i="7"/>
  <c r="B11" i="7"/>
  <c r="B10" i="7"/>
  <c r="B9" i="7"/>
  <c r="B8" i="7"/>
  <c r="B7" i="7"/>
  <c r="B24" i="7"/>
  <c r="B23" i="7"/>
  <c r="B22" i="7"/>
  <c r="B21" i="7"/>
  <c r="B20" i="7"/>
  <c r="B19" i="7"/>
  <c r="B18" i="7"/>
  <c r="F50" i="4" l="1"/>
  <c r="F55" i="4" s="1"/>
  <c r="H51" i="4"/>
  <c r="H56" i="4" s="1"/>
  <c r="D48" i="4"/>
  <c r="D53" i="4" s="1"/>
  <c r="C26" i="4"/>
  <c r="H48" i="4"/>
  <c r="H53" i="4" s="1"/>
  <c r="G49" i="4"/>
  <c r="G54" i="4" s="1"/>
  <c r="C27" i="4"/>
  <c r="D50" i="4"/>
  <c r="D55" i="4" s="1"/>
  <c r="H50" i="4"/>
  <c r="H55" i="4" s="1"/>
  <c r="F48" i="4"/>
  <c r="F53" i="4" s="1"/>
  <c r="E9" i="5"/>
  <c r="E12" i="5" s="1"/>
  <c r="D42" i="3"/>
  <c r="D34" i="3"/>
  <c r="E10" i="5" s="1"/>
  <c r="D37" i="3"/>
  <c r="D35" i="3"/>
  <c r="E33" i="3"/>
  <c r="C36" i="3"/>
  <c r="C39" i="3"/>
  <c r="C38" i="3"/>
  <c r="E50" i="4"/>
  <c r="E55" i="4" s="1"/>
  <c r="F49" i="4"/>
  <c r="D49" i="4"/>
  <c r="D54" i="4" s="1"/>
  <c r="G48" i="4"/>
  <c r="G53" i="4" s="1"/>
  <c r="G50" i="4"/>
  <c r="G55" i="4" s="1"/>
  <c r="D15" i="5"/>
  <c r="D16" i="5" s="1"/>
  <c r="D13" i="5"/>
  <c r="D14" i="5" s="1"/>
  <c r="D18" i="5" s="1"/>
  <c r="D19" i="5" s="1"/>
  <c r="C44" i="3" s="1"/>
  <c r="E49" i="4"/>
  <c r="E54" i="4" s="1"/>
  <c r="H49" i="4"/>
  <c r="H54" i="4" s="1"/>
  <c r="D51" i="4"/>
  <c r="D56" i="4" s="1"/>
  <c r="F9" i="5" l="1"/>
  <c r="F12" i="5" s="1"/>
  <c r="E42" i="3"/>
  <c r="E34" i="3"/>
  <c r="F10" i="5" s="1"/>
  <c r="E37" i="3"/>
  <c r="F33" i="3"/>
  <c r="E35" i="3"/>
  <c r="D36" i="3"/>
  <c r="D39" i="3"/>
  <c r="D38" i="3"/>
  <c r="F54" i="4"/>
  <c r="C60" i="4"/>
  <c r="B78" i="4"/>
  <c r="E13" i="5"/>
  <c r="E14" i="5" s="1"/>
  <c r="E15" i="5"/>
  <c r="E16" i="5" s="1"/>
  <c r="C40" i="3"/>
  <c r="C41" i="3" s="1"/>
  <c r="C45" i="3" s="1"/>
  <c r="E18" i="5" l="1"/>
  <c r="E19" i="5" s="1"/>
  <c r="D44" i="3" s="1"/>
  <c r="C47" i="3"/>
  <c r="D40" i="3"/>
  <c r="D41" i="3" s="1"/>
  <c r="D45" i="3" s="1"/>
  <c r="E39" i="3"/>
  <c r="E38" i="3"/>
  <c r="E36" i="3"/>
  <c r="F42" i="3"/>
  <c r="F34" i="3"/>
  <c r="G10" i="5" s="1"/>
  <c r="F37" i="3"/>
  <c r="G33" i="3"/>
  <c r="G9" i="5"/>
  <c r="G12" i="5" s="1"/>
  <c r="C65" i="4"/>
  <c r="D65" i="4" s="1"/>
  <c r="C64" i="4"/>
  <c r="D64" i="4" s="1"/>
  <c r="C67" i="4"/>
  <c r="D67" i="4" s="1"/>
  <c r="C63" i="4"/>
  <c r="D63" i="4" s="1"/>
  <c r="C66" i="4"/>
  <c r="D66" i="4" s="1"/>
  <c r="F13" i="5"/>
  <c r="F15" i="5"/>
  <c r="F16" i="5" s="1"/>
  <c r="F14" i="5"/>
  <c r="F18" i="5" s="1"/>
  <c r="F19" i="5" s="1"/>
  <c r="E44" i="3" s="1"/>
  <c r="F35" i="3" l="1"/>
  <c r="D47" i="3"/>
  <c r="E40" i="3"/>
  <c r="E41" i="3"/>
  <c r="E45" i="3" s="1"/>
  <c r="E47" i="3" s="1"/>
  <c r="F38" i="3"/>
  <c r="F36" i="3"/>
  <c r="F39" i="3"/>
  <c r="G37" i="3"/>
  <c r="C16" i="4"/>
  <c r="C28" i="4" s="1"/>
  <c r="H9" i="5"/>
  <c r="H12" i="5" s="1"/>
  <c r="G42" i="3"/>
  <c r="G34" i="3"/>
  <c r="H10" i="5" s="1"/>
  <c r="G13" i="5"/>
  <c r="G14" i="5" s="1"/>
  <c r="G18" i="5" s="1"/>
  <c r="G19" i="5" s="1"/>
  <c r="F44" i="3" s="1"/>
  <c r="G15" i="5"/>
  <c r="G16" i="5" s="1"/>
  <c r="H15" i="5" l="1"/>
  <c r="H16" i="5" s="1"/>
  <c r="H13" i="5"/>
  <c r="C72" i="4"/>
  <c r="C73" i="4"/>
  <c r="H14" i="5"/>
  <c r="G35" i="3"/>
  <c r="F40" i="3"/>
  <c r="F41" i="3" s="1"/>
  <c r="F45" i="3" s="1"/>
  <c r="F47" i="3" l="1"/>
  <c r="G38" i="3"/>
  <c r="G36" i="3"/>
  <c r="G39" i="3"/>
  <c r="H18" i="5"/>
  <c r="H19" i="5" s="1"/>
  <c r="G44" i="3" s="1"/>
  <c r="G40" i="3" l="1"/>
  <c r="G41" i="3" s="1"/>
  <c r="G45" i="3" s="1"/>
  <c r="C59" i="3"/>
  <c r="C60" i="3" s="1"/>
  <c r="C61" i="3" s="1"/>
  <c r="C51" i="3" l="1"/>
  <c r="C52" i="3" s="1"/>
  <c r="G47" i="3"/>
  <c r="C50" i="3" s="1"/>
  <c r="D21" i="7"/>
  <c r="I10" i="7"/>
  <c r="C19" i="7"/>
  <c r="C8" i="7"/>
  <c r="H8" i="7"/>
  <c r="E23" i="7"/>
  <c r="I7" i="7"/>
  <c r="H13" i="7"/>
  <c r="C13" i="7"/>
  <c r="E20" i="7"/>
  <c r="C23" i="7"/>
  <c r="F7" i="7"/>
  <c r="H12" i="7"/>
  <c r="G23" i="7"/>
  <c r="E21" i="7"/>
  <c r="E9" i="7"/>
  <c r="H9" i="7"/>
  <c r="H20" i="7"/>
  <c r="F20" i="7"/>
  <c r="C18" i="7"/>
  <c r="I22" i="7"/>
  <c r="G18" i="7"/>
  <c r="H21" i="7"/>
  <c r="D23" i="7"/>
  <c r="G10" i="7"/>
  <c r="C20" i="7"/>
  <c r="E18" i="7"/>
  <c r="E19" i="7"/>
  <c r="C12" i="7"/>
  <c r="E22" i="7"/>
  <c r="G8" i="7"/>
  <c r="G13" i="7"/>
  <c r="F12" i="7"/>
  <c r="D13" i="7"/>
  <c r="E12" i="7"/>
  <c r="I20" i="7"/>
  <c r="E7" i="7"/>
  <c r="E13" i="7"/>
  <c r="E8" i="7"/>
  <c r="D10" i="7"/>
  <c r="E11" i="7"/>
  <c r="I13" i="7"/>
  <c r="G22" i="7"/>
  <c r="G11" i="7"/>
  <c r="D18" i="7"/>
  <c r="C10" i="7"/>
  <c r="E24" i="7"/>
  <c r="H10" i="7"/>
  <c r="C22" i="7"/>
  <c r="I11" i="7"/>
  <c r="G20" i="7"/>
  <c r="H22" i="7"/>
  <c r="D9" i="7"/>
  <c r="F11" i="7"/>
  <c r="G12" i="7"/>
  <c r="I18" i="7"/>
  <c r="I23" i="7"/>
  <c r="I9" i="7"/>
  <c r="F19" i="7"/>
  <c r="G21" i="7"/>
  <c r="F13" i="7"/>
  <c r="F18" i="7"/>
  <c r="I24" i="7"/>
  <c r="F10" i="7"/>
  <c r="I12" i="7"/>
  <c r="C7" i="7"/>
  <c r="D22" i="7"/>
  <c r="G7" i="7"/>
  <c r="F23" i="7"/>
  <c r="E10" i="7"/>
  <c r="C9" i="7"/>
  <c r="G9" i="7"/>
  <c r="H11" i="7"/>
  <c r="D12" i="7"/>
  <c r="I19" i="7"/>
  <c r="G24" i="7"/>
  <c r="D20" i="7"/>
  <c r="D8" i="7"/>
  <c r="H18" i="7"/>
  <c r="F22" i="7"/>
  <c r="D24" i="7"/>
  <c r="H24" i="7"/>
  <c r="D7" i="7"/>
  <c r="I21" i="7"/>
  <c r="H23" i="7"/>
  <c r="F9" i="7"/>
  <c r="C21" i="7"/>
  <c r="D19" i="7"/>
  <c r="F24" i="7"/>
  <c r="F8" i="7"/>
  <c r="H19" i="7"/>
  <c r="C11" i="7"/>
  <c r="D11" i="7"/>
  <c r="I8" i="7"/>
  <c r="F21" i="7"/>
  <c r="H7" i="7"/>
  <c r="G19" i="7"/>
  <c r="C24" i="7"/>
  <c r="C58" i="3" l="1"/>
  <c r="C62" i="3" s="1"/>
  <c r="C53" i="3"/>
  <c r="C17" i="4" l="1"/>
  <c r="C54" i="3"/>
  <c r="C55" i="3" s="1"/>
  <c r="C16" i="1"/>
  <c r="C63" i="3"/>
  <c r="C64" i="3" s="1"/>
  <c r="C17" i="1" s="1"/>
  <c r="C10" i="1" l="1"/>
  <c r="C12" i="1" s="1"/>
  <c r="C11" i="1" s="1"/>
  <c r="D17" i="1"/>
  <c r="D16" i="1"/>
  <c r="C21" i="1"/>
  <c r="C19" i="4"/>
  <c r="C20" i="4" s="1"/>
  <c r="B79" i="4" s="1"/>
</calcChain>
</file>

<file path=xl/sharedStrings.xml><?xml version="1.0" encoding="utf-8"?>
<sst xmlns="http://schemas.openxmlformats.org/spreadsheetml/2006/main" count="525" uniqueCount="406">
  <si>
    <t>DISCLAIMER: This is a sample analysis for demonstration purposes only. It does not constitute investment advice.</t>
  </si>
  <si>
    <t>TDK (6762.T)</t>
  </si>
  <si>
    <t>Equity Research Report</t>
  </si>
  <si>
    <t>Company</t>
  </si>
  <si>
    <t>TDK</t>
  </si>
  <si>
    <t>Ticker</t>
  </si>
  <si>
    <t>6762.T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</si>
  <si>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</si>
  <si>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</si>
  <si>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</si>
  <si>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</si>
  <si>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</si>
  <si>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</si>
  <si>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</si>
  <si>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</si>
  <si>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</si>
  <si>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</si>
  <si>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</si>
  <si>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</si>
  <si>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</si>
  <si>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</si>
  <si>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**3.70倍** で 3.0倍を超えたため、**乖離そのものを裁定トリガーとする追補6 §X により中点平均を禁止**し、どちらの脚を落とすかを判定した。■**観測倍率バンドテスト**: Peer の実測 EV/EBITDA の第1〜第3四分位バンドは **17.19〜27.15倍**。これに対し **PGM逆算 4.90倍 / 仮定Exit 18.10倍**。**PGM法のみがバンドの外にあるため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追補8 §AE の rework wave 後の再裁定である**（Base 到達OPM 10.62% → 10.88%、単調増加につき直近水準の維持）。乖離は 3.75倍 → 3.70倍 とほぼ変わらず、裁定結果も同一。■**追補7 §AA のバンド不安定フラグ付き**（p75/p25 = 1.58）。■**追補8 §AF: 本銘柄の Target は「相対評価（Peer倍率準拠）」である。**内在価値としての BUY ではなく、当社が Peer 並みの EV/EBITDA 倍率へ再評価されることに依存した判定である。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</si>
  <si>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</si>
  <si>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</si>
  <si>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</si>
  <si>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</si>
  <si>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</si>
  <si>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</si>
  <si>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</si>
  <si>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</si>
  <si>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</si>
  <si>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TDK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</si>
  <si>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</si>
  <si>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</si>
  <si>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</si>
  <si>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</si>
  <si>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</si>
  <si>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</si>
  <si>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</si>
  <si>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</si>
  <si>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</si>
  <si>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</si>
  <si>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</si>
  <si>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</si>
  <si>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</si>
  <si>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</si>
  <si>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</si>
  <si>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</si>
  <si>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</si>
  <si>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</si>
  <si>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</si>
  <si>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</si>
  <si>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</si>
  <si>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</si>
  <si>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</si>
  <si>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</si>
  <si>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</si>
  <si>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</si>
  <si>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</si>
  <si>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</si>
  <si>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TDK</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</si>
  <si>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</si>
  <si>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</si>
  <si>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</si>
  <si>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</si>
  <si>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</si>
  <si>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</si>
  <si>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</si>
  <si>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</si>
  <si>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</si>
  <si>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</si>
  <si>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</si>
  <si>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</si>
  <si>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</si>
  <si>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</si>
  <si>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</si>
  <si>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</si>
  <si>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</si>
  <si>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</si>
  <si>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</si>
  <si>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</si>
  <si>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</si>
  <si>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</si>
  <si>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</si>
  <si>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</si>
  <si>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</si>
  <si>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</si>
  <si>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</si>
  <si>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</si>
  <si>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</si>
  <si>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</si>
  <si>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</si>
  <si>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</si>
  <si>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</si>
  <si>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</si>
  <si>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</si>
  <si>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</si>
  <si>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</si>
  <si>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</si>
  <si>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</si>
  <si>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</si>
  <si>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</si>
  <si>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</si>
  <si>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</si>
  <si>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</si>
  <si>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</si>
  <si>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</si>
  <si>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</si>
  <si>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</si>
  <si>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</si>
  <si>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</si>
  <si>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</si>
  <si>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</si>
  <si>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</si>
  <si>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</si>
  <si>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</si>
  <si>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</si>
  <si>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</si>
  <si>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</si>
  <si>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</si>
  <si>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</si>
  <si>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</si>
  <si>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</si>
  <si>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</si>
  <si>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</si>
  <si>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TDK (6762.T)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</si>
  <si>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</si>
  <si>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</si>
  <si>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</si>
  <si>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</si>
  <si>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</si>
  <si>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</si>
  <si>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</si>
  <si>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</si>
  <si>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</si>
  <si>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</si>
  <si>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</si>
  <si>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</si>
  <si>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</si>
  <si>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</si>
  <si>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</si>
  <si>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</si>
  <si>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</si>
  <si>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</si>
  <si>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</si>
  <si>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</si>
  <si>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</si>
  <si>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</si>
  <si>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</si>
  <si>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</si>
  <si>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</si>
  <si>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</si>
  <si>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</si>
  <si>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</si>
  <si>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</si>
  <si>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</si>
  <si>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</si>
  <si>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</si>
  <si>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</si>
  <si>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</si>
  <si>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</si>
  <si>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</si>
  <si>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</si>
  <si>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</si>
  <si>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</si>
  <si>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</si>
  <si>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</si>
  <si>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</si>
  <si>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</si>
  <si>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</si>
  <si>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</si>
  <si>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</si>
  <si>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</si>
  <si>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</si>
  <si>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</si>
  <si>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</si>
  <si>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</si>
  <si>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TDK</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</si>
  <si>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</si>
  <si>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</si>
  <si>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</si>
  <si>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</si>
  <si>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</si>
  <si>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</si>
  <si>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</si>
  <si>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</si>
  <si>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</si>
  <si>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</si>
  <si>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</si>
  <si>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</si>
  <si>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</si>
  <si>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</si>
  <si>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</si>
  <si>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</si>
  <si>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</si>
  <si>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</si>
  <si>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</si>
  <si>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</si>
  <si>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</si>
  <si>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</si>
  <si>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</si>
  <si>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</si>
  <si>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</si>
  <si>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</si>
  <si>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</si>
  <si>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</si>
  <si>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</si>
  <si>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</si>
  <si>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</si>
  <si>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</si>
  <si>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</si>
  <si>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</si>
  <si>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TDK Corporation</t>
  </si>
  <si>
    <t>6762.T</t>
  </si>
  <si>
    <t>Murata Manufacturing Co., Ltd.</t>
  </si>
  <si>
    <t>6981.T</t>
  </si>
  <si>
    <t>Kyocera Corporation</t>
  </si>
  <si>
    <t>6971.T</t>
  </si>
  <si>
    <t>Taiyo Yuden Co., Ltd.</t>
  </si>
  <si>
    <t>6976.T</t>
  </si>
  <si>
    <t>Ibiden Co.,Ltd.</t>
  </si>
  <si>
    <t>4062.T</t>
  </si>
  <si>
    <t>Hirose Electric Co.,Ltd.</t>
  </si>
  <si>
    <t>6806.T</t>
  </si>
  <si>
    <t>Statistics</t>
  </si>
  <si>
    <t>25th Percentile</t>
  </si>
  <si>
    <t>Median (50th)</t>
  </si>
  <si>
    <t>75th Percentile</t>
  </si>
  <si>
    <t>Implied Valuation for TDK</t>
  </si>
  <si>
    <t>TDK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</si>
  <si>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</si>
  <si>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</si>
  <si>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</si>
  <si>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</si>
  <si>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</si>
  <si>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</si>
  <si>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</si>
  <si>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</si>
  <si>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</si>
  <si>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</si>
  <si>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</si>
  <si>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</si>
  <si>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</si>
  <si>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</si>
  <si>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</si>
  <si>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TDK</t>
  </si>
  <si>
    <t>日付</t>
  </si>
  <si>
    <t>セル</t>
  </si>
  <si>
    <t>変更内容</t>
  </si>
  <si>
    <t>理由</t>
  </si>
  <si>
    <t>元の値</t>
  </si>
  <si>
    <t>状態</t>
  </si>
  <si>
    <t>2026-09-06</t>
  </si>
  <si>
    <t>-</t>
  </si>
  <si>
    <t>Generated by pipeline on 2026-09-06 11:17,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</si>
  <si>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</si>
  <si>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</si>
  <si>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</si>
  <si>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</si>
  <si>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</si>
  <si>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</si>
  <si>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</si>
  <si>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</si>
  <si>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</si>
  <si>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</si>
  <si>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</si>
  <si>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</si>
  <si>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</si>
  <si>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</si>
  <si>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</si>
  <si>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5,518,933百万円。■テンプレートの自動規則(&gt;=1兆円 -&gt; 0.0%、&gt;=1,000億円 -&gt; 1.5%)とは異なる値であり、明示指定で上書きしている。</t>
  </si>
  <si>
    <t>テンプレ自動値</t>
  </si>
  <si>
    <t>DCF Model!C8</t>
  </si>
  <si>
    <t>Beta = 0.70</t>
  </si>
  <si>
    <t>yfinance実測 **0.697** はテンプレのクランプ域 [0.6, 1.75] の**内側**のため素通し（置換なし）。</t>
  </si>
  <si>
    <t>yfinance実測 0.697</t>
  </si>
  <si>
    <t>DCF Model!C6</t>
  </si>
  <si>
    <t>Effective Tax Rate = 25%</t>
  </si>
  <si>
    <t>バッチ共通の既定値(v2 §1-3)。当社の実績税負担率を個別に検証したものではない。</t>
  </si>
  <si>
    <t>テンプレ既定 30%</t>
  </si>
  <si>
    <t>推定</t>
  </si>
  <si>
    <t>DCF Model!C11</t>
  </si>
  <si>
    <t>After-tax Cost of Debt = 4.01%(実績ベース)</t>
  </si>
  <si>
    <t>支払利息 32,710百万円 ÷ 平均有利子負債 ((608,400 + 615,970)/2 = 612,185) = 5.34%(税引前)、× (1 − 25%) = 4.01%（validate チェック17 PASS）。■**税引前 5.34% は日本の大企業の調達コストとして高く、外貨建て負債（米ドル建て）の比率が高いことを示唆する**。ネットキャッシュのため WACC への寄与は小さい。出所は yfinance で EDINET 有報と未突合。</t>
  </si>
  <si>
    <t>テンプレ既定(推定値)</t>
  </si>
  <si>
    <t>推定(出所が二次ソース・要確認)</t>
  </si>
  <si>
    <t>DCF Model!C13</t>
  </si>
  <si>
    <t>Terminal Growth = 1.0%</t>
  </si>
  <si>
    <t>バッチ共通の固定前提(v2 §1-3)。</t>
  </si>
  <si>
    <t>テンプレ既定 2.0%</t>
  </si>
  <si>
    <t>DCF Model!C14</t>
  </si>
  <si>
    <t>Exit Multiple (EV/EBITDA) = 18.1x</t>
  </si>
  <si>
    <t>Peer 5社の実測EV/EBITDA中央値 18.09x。 自社の現在倍率 11.10x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</si>
  <si>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</si>
  <si>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</si>
  <si>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</si>
  <si>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CLEAN。赤字年なし。直近が観測窓の最高であり追補5 §U の第1条件（直近OPM ≤ p25）には該当しない。</t>
  </si>
  <si>
    <t>DCF Model シナリオ5本</t>
  </si>
  <si>
    <t>**追補8 §AE の rework wave により Base を再設計**</t>
  </si>
  <si>
    <t>【追補8 §AE の rework wave（第8セッション）】追補7 §Y の単調性判定と、追補8 §AE-2 が確定した方向別の定義に従って **Base を再設計**した。■実績OPM: 0.08% → 0.08% → 0.10% → 0.11%。**判定: 単調増加**。■**適用ルール: 単調増加 → 直近水準の維持** により Base 到達OPM = **10.88%**（旧: 10.62%、差 +0.26pt）。■**平均回帰（§4-4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</si>
  <si>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</si>
  <si>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</si>
  <si>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</si>
  <si>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</si>
  <si>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</si>
  <si>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</si>
  <si>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</si>
  <si>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100 / DIH 106 / DPO 103 日</t>
  </si>
  <si>
    <t>実績4期の平均（DSO 100 / DIH 106 / DPO 103）。■直近期（FY2026/3）は DSO 114 / DIH 124 / DPO 150 と**買掛の回転が急に伸びており**、平均を採ることで直近の一時的な支払サイト延長を織り込みすぎないようにした。</t>
  </si>
  <si>
    <t>Comps Analysis</t>
  </si>
  <si>
    <t>Peer 5社 = 6981 村田製作所 / 6971 京セラ / 6976 太陽誘電 / 4062 イビデン / 6806 ヒロセ電機</t>
  </si>
  <si>
    <t>電子部品で事業比較可能性を優先。■**6963 ロームを Peer から除外した**: 直近OPM が **2.3%** まで落ちており、EV/EBITDA 27.38x は分母(EBITDA)がサイクルの谷にあることによる機械的な押し上げでバリュエーション水準を表していない（**追補5 §U が個別銘柄について指摘した『分母トラフ』と同じ現象が Peer 側で起きているケース**）。代替として 6806 ヒロセ電機(11.68x)を採用。■4062 イビデン(44.07x)は OPM 14.9% で分母が健全であり、AI基板需要による実際の再評価と判断して残した（データ由来の異常値ではないため除外しない）。■**Peer の分散は大きい（11.68x〜44.07x）**。中央値 18.09x に対し自社は 11.10x で、市場は当社を同業内で割安に評価している。</t>
  </si>
  <si>
    <t>Executive Summary!C10 / C16 / Target</t>
  </si>
  <si>
    <t>**Target Price = 4,095円 = Exit 単独**（PGM 1,390円 は [参考・Target不算入 — 追補6 §X] に降格）／ +40.8%</t>
  </si>
  <si>
    <t>【追補6 §X の裁定】PGM 1,390円 と Exit 4,095円 の乖離が **3.75倍** で 3.0倍を超えたため、**乖離そのものを単独の裁定トリガーとする追補6 §X により中点平均（2,743円）を禁止**し、どちらの脚を落とすかを判定した。■**レジーム判定**: 仮定Exit 18.10倍 ≤ 25倍 のため成長プレミアム・レジーム（§Q）ではない。■**観測倍率バンドテスト**: Peer の実測 EV/EBITDA の第1〜第3四分位バンドは **17.19〜27.15倍**。これに対し **PGM逆算 4.83倍 / 仮定Exit 18.10倍**。**PGM法のみがバンドの外にあるため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本銘柄は裁定により判定が反転した（SELL → BUY）**。中点平均では Target 2,743円 / −5.7% / **SELL** だったが、PGM降格後は Target 4,095円 / +40.8% / **BUY** になる。第6セッションのサマリーで『この銘柄は判定が BUY と SELL のどちらにも振れる』と記録していた懸念がそのまま現実になった形であり、**中点平均が判定そのものを歪めていた実例**である。■なお Peer バンド 17.19〜27.15倍 は本バッチで最も広く（電子部品セクターの評価分散が大きい）、仮定Exit 18.10倍 はバンドのほぼ下端にある。**Exit法を採ってもなお同業内で保守的な水準**である点は目視レビューで確認すること。■降格処理は `batch/demote_dcf_leg.py --leg pgm --rule x` で機械適用（B16ラベル / C10数式 / B20注記の3点）。裁定の全件走査は `batch/arbitrate_divergence.py` による。 ■**追補8 §AE の rework 後の値に更新**: Target 4,150円 / BUY / 42.7%（rework 前 4,095円）。</t>
  </si>
  <si>
    <t>PGM 1,390円 と Exit 4,095円 の2本平均 2,743円</t>
  </si>
  <si>
    <t>設計判断(追補6 §X)</t>
  </si>
  <si>
    <t>全体(納品状態)</t>
  </si>
  <si>
    <t>本ファイルは DRAFT。_FINAL は付けない</t>
  </si>
  <si>
    <t>バッチモードでの機械生成物であり人間の検証を経ていない。FINAL化は手順書v2 §6 に従い検証後に行う。</t>
  </si>
  <si>
    <t>DRAFT</t>
  </si>
  <si>
    <t>全体(未解決)</t>
  </si>
  <si>
    <t>**乖離 3.75倍だが降格ルールが発火せず、2本平均のまま Target を出している**</t>
  </si>
  <si>
    <t>PGM 1,390円 と Exit 4,095円 は **3.75倍**開いており、§U で処理した 6506（3.40倍）より**大きい**。しかし直近OPM が観測窓の最高であるため §U の第1条件を満たさず、§Q も仮定Exit 18.10倍 ≤ 25倍で非該当。**結果として中点 2,743円 がそのまま Target になっている**（ルール設計上の穴。バッチレポートで報告済み）。目視レビューでは Exit 単独 4,095円（+40.8%）と PGM 単独 1,390円（−52.2%）の両端を必ず併せて見ること。**この銘柄は判定が BUY と SELL のどちらにも振れる**。</t>
  </si>
  <si>
    <t>未解決</t>
  </si>
  <si>
    <t>capex/D&amp;A 1.46倍の逓減が本モデルの仮定である点</t>
  </si>
  <si>
    <t>車載電池・受動部品の能力投資が現行水準（売上比 11.9%）で続く前提では PGM は本モデルより低く出る。会社の中期投資計画を一次ソースで確認していない。</t>
  </si>
  <si>
    <t>Peer の分散が極めて大きい（11.68x〜44.07x）</t>
  </si>
  <si>
    <t>中央値 18.09x は 6976 太陽誘電 に依存している。4062 イビデン(44.07x) の AI 基板再評価が続くか、6806 ヒロセ電機(11.68x) の水準に収斂するかで Exit 法の結論が大きく変わる。</t>
  </si>
  <si>
    <t>Executive Summary!B16 / B20（手順書§6-4 の除外注記）</t>
  </si>
  <si>
    <t>PGM行のラベルに `[参考・Target不算入 — 追補6 §X]` を付し、B20 に銘柄固有の除外理由文を追記した</t>
  </si>
  <si>
    <t>手順書§6-4 は『Targetから除外した手法は、その銘柄固有の理由を Exec Summary の注記に明記する』ことを求めている。テンプレート既定の総称文だけでは PGM 降格の理由が読み取れないため、`batch/demote_dcf_leg.py --rule x` が追補6 §X のバンドテストの数値（Peerバンド・PGM逆算・仮定Exit）を追記した。■手順書§5-5 に従いラベルは `=` で始まらないことをスクリプト内で assert している。</t>
  </si>
  <si>
    <t>テンプレート既定の総称注記のみ</t>
  </si>
  <si>
    <t>Executive Summary / Comps Analysis（追補7 §AA）</t>
  </si>
  <si>
    <t>**バンド不安定・要目視レビュー**（p75/p25 = 1.58 &gt; 1.5）／ Block F は BUY を裏付けない</t>
  </si>
  <si>
    <t>追補7 §AA の機械判定により、Peer EV/EBITDA バンド 17.19〜27.15倍 の **p75/p25 = 1.58** が閾値 1.5 を超えたため**バンド不安定フラグ**を付与した（本バッチで最も広いバンド）。■**Target 感応度（Sensitivity Analysis Table 2 の実測）**: Exit倍率 1.0x あたり 204円。バンド下端 17.19x → 3,910円（+34.5%）／ 採用 18.10x → 4,095円（+40.8%）／ バンド上端 27.15x → 5,940円（+104.3%）。レンジ中点 4,925円 / 半幅 **±20.6%**。**判定方向はバンド全域で BUY のまま**だが、**+40.8% という幅は不精確**であり、水準を一次情報として使ってはならない。採用値 18.10x はバンドのほぼ下端で、バンド内では控えめ側の選択である。■**追補7 §AA-2 の Block F 併記（重要な不一致）**: Block F は『現値 2,908円 は FY2026 ピークの **2.16倍** の定常営業利益を要求しており、ベースケースが支えるEVは 2,411,584百万円にすぎず、**1株あたり 1,518円 がミッドサイクルの経済性で説明できない**』としている。**すなわち Block F は BUY 判定を裏付けず、むしろ逆を示している**。§AA-2 の狙い（市場の織り込みで判定方向を裏強する）は本銘柄では成立しなかった。■**構造の整理**: 市場EV 5,292,078（現EBITDA比 11.10倍）は PGM脚 2,411,584（5.06倍）と Exit脚 7,546,136（15.83倍）の**ちょうど中間**にある。**BUY の根拠は『TDK が Peer 並みの EBITDA 倍率へ再評価されること』に完全に依存しており、再評価が起きなければ成立しない**。capex/D&amp;A 1.46倍の資本集約度が続く限り2脚の乖離は構造的に解消しない。■**FINAL化時は Peer セットの再検討を必須とする（§AA-3）**: 4062 イビデン 44.07倍（AI基板の再評価で TDK と収益構造が異なる）を除くとバンドは 11.68〜18.09倍 に縮む。対象自身のヒストリカル倍率レンジとの比較も推奨（本モデルでは未取得、現在値 11.10倍のみ）。</t>
  </si>
  <si>
    <t>設計判断・要目視レビュー(追補7 §AA)</t>
  </si>
  <si>
    <t>Pipeline Metadata (do not edit — read by scripts/validate_output.py)</t>
  </si>
  <si>
    <t>key</t>
  </si>
  <si>
    <t>value</t>
  </si>
  <si>
    <t>auto_log_entries</t>
  </si>
  <si>
    <t>1</t>
  </si>
  <si>
    <t>capex_pct_basis</t>
  </si>
  <si>
    <t>assumption</t>
  </si>
  <si>
    <t>capex_pct_c5</t>
  </si>
  <si>
    <t>0.0861</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</si>
  <si>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</si>
  <si>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</si>
  <si>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</si>
  <si>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</si>
  <si>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</si>
  <si>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</si>
  <si>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</si>
  <si>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</si>
  <si>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</si>
  <si>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</si>
  <si>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</si>
  <si>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</si>
  <si>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</si>
  <si>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</si>
  <si>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</si>
  <si>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</si>
  <si>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</si>
  <si>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</si>
  <si>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</si>
  <si>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</si>
  <si>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32,710 (expense 32,710 + fees 0) / avg debt 612,185 (debt_beginning/debt_ending) = 0.053432 pre-tax -&gt; 0.040100 after-tax</t>
  </si>
  <si>
    <t>cost_of_debt_at_c11</t>
  </si>
  <si>
    <t>0.0401</t>
  </si>
  <si>
    <t>cost_of_debt_avg_debt</t>
  </si>
  <si>
    <t>612185.0</t>
  </si>
  <si>
    <t>cost_of_debt_basis</t>
  </si>
  <si>
    <t>actual</t>
  </si>
  <si>
    <t>cost_of_debt_interest</t>
  </si>
  <si>
    <t>32710.0</t>
  </si>
  <si>
    <t>cost_of_debt_pretax</t>
  </si>
  <si>
    <t>0.053431560721023875</t>
  </si>
  <si>
    <t>da_pct_basis</t>
  </si>
  <si>
    <t>da_pct_c18</t>
  </si>
  <si>
    <t>0.082</t>
  </si>
  <si>
    <t>da_pct_hist3yr</t>
  </si>
  <si>
    <t>0.08703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</si>
  <si>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</si>
  <si>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</si>
  <si>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</si>
  <si>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</si>
  <si>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</si>
  <si>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</si>
  <si>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</si>
  <si>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</si>
  <si>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</si>
  <si>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11:17:39</t>
  </si>
  <si>
    <t>ltm_revenue_c20</t>
  </si>
  <si>
    <t>2504820.0</t>
  </si>
  <si>
    <t>ltm_revenue_source</t>
  </si>
  <si>
    <t>latest FY (no LTM)</t>
  </si>
  <si>
    <t>narrative_tokens_used</t>
  </si>
  <si>
    <t>reverse_dcf_sheet</t>
  </si>
  <si>
    <t>op0=272,414(FY2026) peak=272,414(FY2026) peak_opm=0.1088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</si>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</sst>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2907.5</v>
      </c>
    </row>
    <row r="10" spans="2:5" ht="14" customHeight="1" x14ac:dyDescent="0.3">
      <c r="B10" s="4" t="s">
        <v>10</v>
      </c>
      <c r="C10" s="5">
        <f>IF(ISNUMBER(C17),ROUND(C17,0),"N/A")</f>
        <v>4150</v>
      </c>
    </row>
    <row r="11" spans="2:5" ht="14" customHeight="1" x14ac:dyDescent="0.3">
      <c r="B11" s="4" t="s">
        <v>11</v>
      </c>
      <c r="C11" s="6" t="str">
        <f>IF(NOT(ISNUMBER(C12)),"N/A",IF(C12&gt;0.15,"BUY",IF(C12&gt;0.05,"HOLD","SELL")))</f>
        <v>BUY</v>
      </c>
    </row>
    <row r="12" spans="2:5" ht="14" customHeight="1" x14ac:dyDescent="0.3">
      <c r="B12" s="4" t="s">
        <v>12</v>
      </c>
      <c r="C12" s="7">
        <f>IF(ISNUMBER(C10),(C10-C9)/C9,"N/A")</f>
        <v>0.42734307824591572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1423</v>
      </c>
      <c r="D16" s="7">
        <f>IF(ISNUMBER(C16),(C16-C9)/C9,"N/A")</f>
        <v>-0.51057609630266554</v>
      </c>
    </row>
    <row r="17" spans="2:5" ht="13.5" customHeight="1" x14ac:dyDescent="0.25">
      <c r="B17" t="s">
        <v>18</v>
      </c>
      <c r="C17" s="11">
        <f>IF('DCF Model'!C62&lt;'DCF Model'!C16,"INVALID (EV &lt; net debt)",'DCF Model'!C64)</f>
        <v>4150</v>
      </c>
      <c r="D17" s="7">
        <f>IF(ISNUMBER(C17),(C17-C9)/C9,"N/A")</f>
        <v>0.42734307824591572</v>
      </c>
    </row>
    <row r="18" spans="2:5" ht="13.5" customHeight="1" x14ac:dyDescent="0.25">
      <c r="B18" t="s">
        <v>19</v>
      </c>
      <c r="C18" s="11">
        <f>'Comps Analysis'!C27</f>
        <v>4662</v>
      </c>
      <c r="D18" s="7">
        <f>IF(ISNUMBER(C18),(C18-C9)/C9,"N/A")</f>
        <v>0.6034393809114359</v>
      </c>
    </row>
    <row r="19" spans="2:5" ht="13.5" customHeight="1" x14ac:dyDescent="0.25">
      <c r="B19" t="s">
        <v>20</v>
      </c>
      <c r="C19" s="11">
        <f>'Comps Analysis'!C28</f>
        <v>5768</v>
      </c>
      <c r="D19" s="7">
        <f>IF(ISNUMBER(C19),(C19-C9)/C9,"N/A")</f>
        <v>0.98383490971625109</v>
      </c>
    </row>
    <row r="20" spans="2:5" ht="14" customHeight="1" x14ac:dyDescent="0.3">
      <c r="B20" s="46" t="s">
        <v>21</v>
      </c>
      <c r="C20" s="45"/>
      <c r="D20" s="45"/>
      <c r="E20" s="45"/>
    </row>
    <row r="21" spans="2:5" ht="14" customHeight="1" x14ac:dyDescent="0.3">
      <c r="B21" s="4" t="s">
        <v>22</v>
      </c>
      <c r="C21" s="6" t="str">
        <f>IF(COUNT(C16:C17)=0,"N/A",MIN(C16:C17)&amp;" - "&amp;MAX(C16:C17))</f>
        <v>1423 - 4150</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2180817</v>
      </c>
      <c r="D6" s="5">
        <v>2103876</v>
      </c>
      <c r="E6" s="5">
        <v>2204806</v>
      </c>
      <c r="F6" s="5">
        <v>2504820</v>
      </c>
    </row>
    <row r="7" spans="2:6" ht="14" customHeight="1" x14ac:dyDescent="0.3">
      <c r="B7" s="4" t="s">
        <v>38</v>
      </c>
      <c r="C7" s="5">
        <v>1596295</v>
      </c>
      <c r="D7" s="5">
        <v>1500858</v>
      </c>
      <c r="E7" s="5">
        <v>1516764</v>
      </c>
      <c r="F7" s="5">
        <v>1721416</v>
      </c>
    </row>
    <row r="8" spans="2:6" ht="14" customHeight="1" x14ac:dyDescent="0.3">
      <c r="B8" s="4" t="s">
        <v>39</v>
      </c>
      <c r="C8" s="5">
        <f>C6-C7</f>
        <v>584522</v>
      </c>
      <c r="D8" s="5">
        <f>D6-D7</f>
        <v>603018</v>
      </c>
      <c r="E8" s="5">
        <f>E6-E7</f>
        <v>688042</v>
      </c>
      <c r="F8" s="5">
        <f>F6-F7</f>
        <v>783404</v>
      </c>
    </row>
    <row r="9" spans="2:6" ht="13.5" customHeight="1" x14ac:dyDescent="0.25">
      <c r="B9" t="s">
        <v>40</v>
      </c>
      <c r="C9" s="7">
        <f>C8/C6</f>
        <v>0.26802890843202343</v>
      </c>
      <c r="D9" s="7">
        <f>D8/D6</f>
        <v>0.2866224055029859</v>
      </c>
      <c r="E9" s="7">
        <f>E8/E6</f>
        <v>0.31206464423627295</v>
      </c>
      <c r="F9" s="7">
        <f>F8/F6</f>
        <v>0.31275860141646905</v>
      </c>
    </row>
    <row r="10" spans="2:6" ht="14" customHeight="1" x14ac:dyDescent="0.3">
      <c r="B10" s="4" t="s">
        <v>41</v>
      </c>
      <c r="C10" s="5">
        <v>415695</v>
      </c>
      <c r="D10" s="5">
        <v>430125</v>
      </c>
      <c r="E10" s="5">
        <v>463850</v>
      </c>
      <c r="F10" s="5">
        <v>510990</v>
      </c>
    </row>
    <row r="11" spans="2:6" ht="14" customHeight="1" x14ac:dyDescent="0.3">
      <c r="B11" s="4" t="s">
        <v>42</v>
      </c>
      <c r="C11" s="5">
        <v>168827</v>
      </c>
      <c r="D11" s="5">
        <v>172893</v>
      </c>
      <c r="E11" s="5">
        <v>224192</v>
      </c>
      <c r="F11" s="5">
        <v>272414</v>
      </c>
    </row>
    <row r="12" spans="2:6" ht="14" customHeight="1" x14ac:dyDescent="0.3">
      <c r="B12" s="4" t="s">
        <v>43</v>
      </c>
      <c r="C12" s="5">
        <v>114187</v>
      </c>
      <c r="D12" s="5">
        <v>124687</v>
      </c>
      <c r="E12" s="5">
        <v>167161</v>
      </c>
      <c r="F12" s="5">
        <v>195663</v>
      </c>
    </row>
    <row r="13" spans="2:6" ht="13.5" customHeight="1" x14ac:dyDescent="0.25">
      <c r="B13" t="s">
        <v>44</v>
      </c>
      <c r="C13" s="7">
        <f>C11/C6</f>
        <v>7.7414565275307379E-2</v>
      </c>
      <c r="D13" s="7">
        <f>D11/D6</f>
        <v>8.2178322296561204E-2</v>
      </c>
      <c r="E13" s="7">
        <f>E11/E6</f>
        <v>0.10168332270503617</v>
      </c>
      <c r="F13" s="7">
        <f>F11/F6</f>
        <v>0.10875591858896048</v>
      </c>
    </row>
    <row r="14" spans="2:6" ht="13.5" customHeight="1" x14ac:dyDescent="0.25">
      <c r="B14" t="s">
        <v>45</v>
      </c>
      <c r="C14" s="7">
        <f>C12/C6</f>
        <v>5.2359734906688639E-2</v>
      </c>
      <c r="D14" s="7">
        <f>D12/D6</f>
        <v>5.9265374955558218E-2</v>
      </c>
      <c r="E14" s="7">
        <f>E12/E6</f>
        <v>7.5816647813911967E-2</v>
      </c>
      <c r="F14" s="7">
        <f>F12/F6</f>
        <v>7.8114595060722922E-2</v>
      </c>
    </row>
    <row r="15" spans="2:6" ht="13.5" customHeight="1" x14ac:dyDescent="0.25">
      <c r="B15" t="s">
        <v>46</v>
      </c>
      <c r="C15" t="s">
        <v>47</v>
      </c>
      <c r="D15" s="7">
        <f>(D6-C6)/C6</f>
        <v>-3.5280814483746231E-2</v>
      </c>
      <c r="E15" s="7">
        <f>(E6-D6)/D6</f>
        <v>4.7973359646671189E-2</v>
      </c>
      <c r="F15" s="7">
        <f>(F6-E6)/E6</f>
        <v>0.13607274290799282</v>
      </c>
    </row>
    <row r="16" spans="2:6" ht="13.5" customHeight="1" x14ac:dyDescent="0.25">
      <c r="B16" t="s">
        <v>48</v>
      </c>
      <c r="C16" t="s">
        <v>47</v>
      </c>
      <c r="D16" s="7">
        <f>(D11-C11)/C11</f>
        <v>2.40838254544593E-2</v>
      </c>
      <c r="E16" s="7">
        <f>(E11-D11)/D11</f>
        <v>0.29670952554470104</v>
      </c>
      <c r="F16" s="7">
        <f>(F11-E11)/E11</f>
        <v>0.21509242078218671</v>
      </c>
    </row>
    <row r="18" spans="2:6" ht="14" customHeight="1" x14ac:dyDescent="0.3">
      <c r="B18" s="3" t="s">
        <v>49</v>
      </c>
    </row>
    <row r="19" spans="2:6" ht="14" customHeight="1" x14ac:dyDescent="0.3">
      <c r="B19" s="4" t="s">
        <v>50</v>
      </c>
      <c r="C19" s="5">
        <v>262772</v>
      </c>
      <c r="D19" s="5">
        <v>447007</v>
      </c>
      <c r="E19" s="5">
        <v>445839</v>
      </c>
      <c r="F19" s="5">
        <v>507672</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506185</v>
      </c>
      <c r="D26" s="5">
        <v>649998</v>
      </c>
      <c r="E26" s="5">
        <v>697307</v>
      </c>
      <c r="F26" s="5">
        <v>842775</v>
      </c>
    </row>
    <row r="27" spans="2:6" ht="14" customHeight="1" x14ac:dyDescent="0.3">
      <c r="B27" s="4" t="s">
        <v>57</v>
      </c>
      <c r="C27" s="5">
        <v>448656</v>
      </c>
      <c r="D27" s="5">
        <v>613166</v>
      </c>
      <c r="E27" s="5">
        <v>533146</v>
      </c>
      <c r="F27" s="5">
        <v>543631</v>
      </c>
    </row>
    <row r="28" spans="2:6" ht="14" customHeight="1" x14ac:dyDescent="0.3">
      <c r="B28" s="4" t="s">
        <v>58</v>
      </c>
      <c r="C28" s="5">
        <f>C27-C26</f>
        <v>-57529</v>
      </c>
      <c r="D28" s="5">
        <f>D27-D26</f>
        <v>-36832</v>
      </c>
      <c r="E28" s="5">
        <f>E27-E26</f>
        <v>-164161</v>
      </c>
      <c r="F28" s="5">
        <f>F27-F26</f>
        <v>-299144</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8.6099999999999996E-2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0.69699999999999995</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4.0099999999999997E-2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18.100000000000001</v>
      </c>
    </row>
    <row r="15" spans="2:7" ht="14" customHeight="1" x14ac:dyDescent="0.3">
      <c r="B15" s="4" t="s">
        <v>72</v>
      </c>
      <c r="C15" s="15">
        <v>1898154125</v>
      </c>
    </row>
    <row r="16" spans="2:7" ht="14" customHeight="1" x14ac:dyDescent="0.3">
      <c r="B16" s="4" t="s">
        <v>73</v>
      </c>
      <c r="C16" s="5">
        <v>-226805</v>
      </c>
    </row>
    <row r="17" spans="2:7" ht="14" customHeight="1" x14ac:dyDescent="0.3">
      <c r="B17" s="4" t="s">
        <v>74</v>
      </c>
      <c r="C17" s="5">
        <v>2504820</v>
      </c>
    </row>
    <row r="18" spans="2:7" ht="14" customHeight="1" x14ac:dyDescent="0.3">
      <c r="B18" s="4" t="s">
        <v>75</v>
      </c>
      <c r="C18" s="7">
        <v>8.2000000000000003E-2</v>
      </c>
    </row>
    <row r="19" spans="2:7" ht="14" customHeight="1" x14ac:dyDescent="0.3">
      <c r="B19" s="4" t="s">
        <v>76</v>
      </c>
      <c r="C19" s="12">
        <v>1</v>
      </c>
    </row>
    <row r="20" spans="2:7" ht="14" customHeight="1" x14ac:dyDescent="0.3">
      <c r="B20" s="4" t="s">
        <v>77</v>
      </c>
      <c r="C20" s="5">
        <v>2504820</v>
      </c>
    </row>
    <row r="22" spans="2:7" ht="14" customHeight="1" x14ac:dyDescent="0.3">
      <c r="B22" s="8" t="s">
        <v>78</v>
      </c>
      <c r="C22" s="9"/>
      <c r="D22" s="9"/>
      <c r="E22" s="9"/>
      <c r="F22" s="9"/>
      <c r="G22" s="9"/>
    </row>
    <row r="23" spans="2:7" ht="14" customHeight="1" x14ac:dyDescent="0.3">
      <c r="B23" s="4" t="s">
        <v>79</v>
      </c>
      <c r="C23" s="16">
        <f>C7+C8*C9+C10</f>
        <v>8.5004999999999997E-2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8.5004999999999997E-2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0.06</v>
      </c>
      <c r="D30" s="18">
        <f>CHOOSE($D$27,D69,D70,D71,D72,D73)</f>
        <v>0.05</v>
      </c>
      <c r="E30" s="18">
        <f>CHOOSE($D$27,E69,E70,E71,E72,E73)</f>
        <v>0.04</v>
      </c>
      <c r="F30" s="18">
        <f>CHOOSE($D$27,F69,F70,F71,F72,F73)</f>
        <v>3.5000000000000003E-2</v>
      </c>
      <c r="G30" s="18">
        <f>CHOOSE($D$27,G69,G70,G71,G72,G73)</f>
        <v>0.03</v>
      </c>
    </row>
    <row r="31" spans="2:7" ht="14" customHeight="1" x14ac:dyDescent="0.3">
      <c r="B31" s="4" t="s">
        <v>91</v>
      </c>
      <c r="C31" s="18">
        <f>CHOOSE($D$27,C76,C77,C78,C79,C80)</f>
        <v>0.68700000000000006</v>
      </c>
      <c r="D31" s="18">
        <f>CHOOSE($D$27,D76,D77,D78,D79,D80)</f>
        <v>0.68700000000000006</v>
      </c>
      <c r="E31" s="18">
        <f>CHOOSE($D$27,E76,E77,E78,E79,E80)</f>
        <v>0.68700000000000006</v>
      </c>
      <c r="F31" s="18">
        <f>CHOOSE($D$27,F76,F77,F78,F79,F80)</f>
        <v>0.68700000000000006</v>
      </c>
      <c r="G31" s="18">
        <f>CHOOSE($D$27,G76,G77,G78,G79,G80)</f>
        <v>0.68700000000000006</v>
      </c>
    </row>
    <row r="32" spans="2:7" ht="14" customHeight="1" x14ac:dyDescent="0.3">
      <c r="B32" s="4" t="s">
        <v>92</v>
      </c>
      <c r="C32" s="18">
        <f>CHOOSE($D$27,C83,C84,C85,C86,C87)</f>
        <v>0.20424400000000001</v>
      </c>
      <c r="D32" s="18">
        <f>CHOOSE($D$27,D83,D84,D85,D86,D87)</f>
        <v>0.20424400000000001</v>
      </c>
      <c r="E32" s="18">
        <f>CHOOSE($D$27,E83,E84,E85,E86,E87)</f>
        <v>0.20424400000000001</v>
      </c>
      <c r="F32" s="18">
        <f>CHOOSE($D$27,F83,F84,F85,F86,F87)</f>
        <v>0.20424400000000001</v>
      </c>
      <c r="G32" s="18">
        <f>CHOOSE($D$27,G83,G84,G85,G86,G87)</f>
        <v>0.20424400000000001</v>
      </c>
    </row>
    <row r="33" spans="2:7" ht="14" customHeight="1" x14ac:dyDescent="0.3">
      <c r="B33" s="4" t="s">
        <v>37</v>
      </c>
      <c r="C33" s="5">
        <f>C17*(1+C30)</f>
        <v>2655109.2000000002</v>
      </c>
      <c r="D33" s="5">
        <f>C33*(1+D30)</f>
        <v>2787864.66</v>
      </c>
      <c r="E33" s="5">
        <f>D33*(1+E30)</f>
        <v>2899379.2464000001</v>
      </c>
      <c r="F33" s="5">
        <f>E33*(1+F30)</f>
        <v>3000857.5200239997</v>
      </c>
      <c r="G33" s="5">
        <f>F33*(1+G30)</f>
        <v>3090883.2456247197</v>
      </c>
    </row>
    <row r="34" spans="2:7" ht="14" customHeight="1" x14ac:dyDescent="0.3">
      <c r="B34" s="4" t="s">
        <v>38</v>
      </c>
      <c r="C34" s="5">
        <f>C33*C31</f>
        <v>1824060.0204000003</v>
      </c>
      <c r="D34" s="5">
        <f>D33*D31</f>
        <v>1915263.0214200004</v>
      </c>
      <c r="E34" s="5">
        <f>E33*E31</f>
        <v>1991873.5422768001</v>
      </c>
      <c r="F34" s="5">
        <f>F33*F31</f>
        <v>2061589.116256488</v>
      </c>
      <c r="G34" s="5">
        <f>G33*G31</f>
        <v>2123436.7897441825</v>
      </c>
    </row>
    <row r="35" spans="2:7" ht="14" customHeight="1" x14ac:dyDescent="0.3">
      <c r="B35" s="4" t="s">
        <v>39</v>
      </c>
      <c r="C35" s="19">
        <f>C33-C34</f>
        <v>831049.17959999992</v>
      </c>
      <c r="D35" s="19">
        <f>D33-D34</f>
        <v>872601.6385799998</v>
      </c>
      <c r="E35" s="19">
        <f>E33-E34</f>
        <v>907505.70412319992</v>
      </c>
      <c r="F35" s="19">
        <f>F33-F34</f>
        <v>939268.40376751171</v>
      </c>
      <c r="G35" s="19">
        <f>G33-G34</f>
        <v>967446.45588053716</v>
      </c>
    </row>
    <row r="36" spans="2:7" ht="14" customHeight="1" x14ac:dyDescent="0.3">
      <c r="B36" s="4" t="s">
        <v>40</v>
      </c>
      <c r="C36" s="7">
        <f>C35/C33</f>
        <v>0.31299999999999994</v>
      </c>
      <c r="D36" s="7">
        <f>D35/D33</f>
        <v>0.31299999999999989</v>
      </c>
      <c r="E36" s="7">
        <f>E35/E33</f>
        <v>0.31299999999999994</v>
      </c>
      <c r="F36" s="7">
        <f>F35/F33</f>
        <v>0.31299999999999994</v>
      </c>
      <c r="G36" s="7">
        <f>G35/G33</f>
        <v>0.31299999999999994</v>
      </c>
    </row>
    <row r="37" spans="2:7" ht="14" customHeight="1" x14ac:dyDescent="0.3">
      <c r="B37" s="4" t="s">
        <v>93</v>
      </c>
      <c r="C37" s="5">
        <f>C33*C32</f>
        <v>542290.12344480003</v>
      </c>
      <c r="D37" s="5">
        <f>D33*D32</f>
        <v>569404.62961704005</v>
      </c>
      <c r="E37" s="5">
        <f>E33*E32</f>
        <v>592180.8148017216</v>
      </c>
      <c r="F37" s="5">
        <f>F33*F32</f>
        <v>612907.14331978187</v>
      </c>
      <c r="G37" s="5">
        <f>G33*G32</f>
        <v>631294.35761937522</v>
      </c>
    </row>
    <row r="38" spans="2:7" ht="14" customHeight="1" x14ac:dyDescent="0.3">
      <c r="B38" s="4" t="s">
        <v>94</v>
      </c>
      <c r="C38" s="7">
        <f>(C35-C37)/C33</f>
        <v>0.10875599999999995</v>
      </c>
      <c r="D38" s="7">
        <f>(D35-D37)/D33</f>
        <v>0.10875599999999991</v>
      </c>
      <c r="E38" s="7">
        <f>(E35-E37)/E33</f>
        <v>0.10875599999999996</v>
      </c>
      <c r="F38" s="7">
        <f>(F35-F37)/F33</f>
        <v>0.10875599999999991</v>
      </c>
      <c r="G38" s="7">
        <f>(G35-G37)/G33</f>
        <v>0.10875599999999998</v>
      </c>
    </row>
    <row r="39" spans="2:7" ht="14" customHeight="1" x14ac:dyDescent="0.3">
      <c r="B39" s="4" t="s">
        <v>95</v>
      </c>
      <c r="C39" s="19">
        <f>C35-C37</f>
        <v>288759.05615519988</v>
      </c>
      <c r="D39" s="19">
        <f>D35-D37</f>
        <v>303197.00896295975</v>
      </c>
      <c r="E39" s="19">
        <f>E35-E37</f>
        <v>315324.88932147832</v>
      </c>
      <c r="F39" s="19">
        <f>F35-F37</f>
        <v>326361.26044772984</v>
      </c>
      <c r="G39" s="19">
        <f>G35-G37</f>
        <v>336152.09826116194</v>
      </c>
    </row>
    <row r="40" spans="2:7" ht="14" customHeight="1" x14ac:dyDescent="0.3">
      <c r="B40" s="4" t="s">
        <v>96</v>
      </c>
      <c r="C40" s="5">
        <f>MAX(0,C39*C6)</f>
        <v>72189.764038799971</v>
      </c>
      <c r="D40" s="5">
        <f>MAX(0,D39*C6)</f>
        <v>75799.252240739937</v>
      </c>
      <c r="E40" s="5">
        <f>MAX(0,E39*C6)</f>
        <v>78831.222330369579</v>
      </c>
      <c r="F40" s="5">
        <f>MAX(0,F39*C6)</f>
        <v>81590.315111932461</v>
      </c>
      <c r="G40" s="5">
        <f>MAX(0,G39*C6)</f>
        <v>84038.024565290485</v>
      </c>
    </row>
    <row r="41" spans="2:7" ht="14" customHeight="1" x14ac:dyDescent="0.3">
      <c r="B41" s="4" t="s">
        <v>97</v>
      </c>
      <c r="C41" s="19">
        <f>C39-C40</f>
        <v>216569.29211639991</v>
      </c>
      <c r="D41" s="19">
        <f>D39-D40</f>
        <v>227397.75672221981</v>
      </c>
      <c r="E41" s="19">
        <f>E39-E40</f>
        <v>236493.66699110874</v>
      </c>
      <c r="F41" s="19">
        <f>F39-F40</f>
        <v>244770.94533579738</v>
      </c>
      <c r="G41" s="19">
        <f>G39-G40</f>
        <v>252114.07369587146</v>
      </c>
    </row>
    <row r="42" spans="2:7" ht="14" customHeight="1" x14ac:dyDescent="0.3">
      <c r="B42" s="4" t="s">
        <v>98</v>
      </c>
      <c r="C42" s="5">
        <f>C33*C18</f>
        <v>217718.95440000002</v>
      </c>
      <c r="D42" s="5">
        <f>D33*C18</f>
        <v>228604.90212000001</v>
      </c>
      <c r="E42" s="5">
        <f>E33*C18</f>
        <v>237749.09820480002</v>
      </c>
      <c r="F42" s="5">
        <f>F33*C18</f>
        <v>246070.31664196798</v>
      </c>
      <c r="G42" s="5">
        <f>G33*C18</f>
        <v>253452.42614122701</v>
      </c>
    </row>
    <row r="43" spans="2:7" ht="14" customHeight="1" x14ac:dyDescent="0.3">
      <c r="B43" s="4" t="s">
        <v>99</v>
      </c>
      <c r="C43" s="5">
        <v>300000</v>
      </c>
      <c r="D43" s="5">
        <v>295000</v>
      </c>
      <c r="E43" s="5">
        <v>285000</v>
      </c>
      <c r="F43" s="5">
        <v>275000</v>
      </c>
      <c r="G43" s="5">
        <v>266000</v>
      </c>
    </row>
    <row r="44" spans="2:7" ht="14" customHeight="1" x14ac:dyDescent="0.3">
      <c r="B44" s="4" t="s">
        <v>100</v>
      </c>
      <c r="C44" s="5">
        <f>'NWC Schedule'!D19</f>
        <v>83120.45222246577</v>
      </c>
      <c r="D44" s="5">
        <f>'NWC Schedule'!E19</f>
        <v>37120.972611123347</v>
      </c>
      <c r="E44" s="5">
        <f>'NWC Schedule'!F19</f>
        <v>31181.616993343574</v>
      </c>
      <c r="F44" s="5">
        <f>'NWC Schedule'!G19</f>
        <v>28375.271463942481</v>
      </c>
      <c r="G44" s="5">
        <f>'NWC Schedule'!H19</f>
        <v>25172.919398726197</v>
      </c>
    </row>
    <row r="45" spans="2:7" ht="14" customHeight="1" x14ac:dyDescent="0.3">
      <c r="B45" s="4" t="s">
        <v>101</v>
      </c>
      <c r="C45" s="20">
        <f>C41+C42-C43-C44</f>
        <v>51167.79429393413</v>
      </c>
      <c r="D45" s="20">
        <f>D41+D42-D43-D44</f>
        <v>123881.68623109651</v>
      </c>
      <c r="E45" s="20">
        <f>E41+E42-E43-E44</f>
        <v>158061.14820256515</v>
      </c>
      <c r="F45" s="20">
        <f>F41+F42-F43-F44</f>
        <v>187465.99051382288</v>
      </c>
      <c r="G45" s="20">
        <f>G41+G42-G43-G44</f>
        <v>214393.58043837227</v>
      </c>
    </row>
    <row r="46" spans="2:7" ht="14" customHeight="1" x14ac:dyDescent="0.3">
      <c r="B46" s="4" t="s">
        <v>102</v>
      </c>
      <c r="C46" s="21">
        <f>1/(1+C26)^(C19+0)</f>
        <v>0.92165473891825389</v>
      </c>
      <c r="D46" s="21">
        <f>1/(1+C26)^(C19+1)</f>
        <v>0.8494474577704747</v>
      </c>
      <c r="E46" s="21">
        <f>1/(1+C26)^(C19+2)</f>
        <v>0.78289727491622119</v>
      </c>
      <c r="F46" s="21">
        <f>1/(1+C26)^(C19+3)</f>
        <v>0.72156098351272235</v>
      </c>
      <c r="G46" s="21">
        <f>1/(1+C26)^(C19+4)</f>
        <v>0.66503009987301653</v>
      </c>
    </row>
    <row r="47" spans="2:7" ht="14" customHeight="1" x14ac:dyDescent="0.3">
      <c r="B47" s="4" t="s">
        <v>103</v>
      </c>
      <c r="C47" s="19">
        <f>C45*C46</f>
        <v>47159.04009099878</v>
      </c>
      <c r="D47" s="19">
        <f>D45*D46</f>
        <v>105230.98343332455</v>
      </c>
      <c r="E47" s="19">
        <f>E45*E46</f>
        <v>123745.64219791723</v>
      </c>
      <c r="F47" s="19">
        <f>F45*F46</f>
        <v>135268.14449034072</v>
      </c>
      <c r="G47" s="19">
        <f>G45*G46</f>
        <v>142578.1842110643</v>
      </c>
    </row>
    <row r="49" spans="2:7" ht="14" customHeight="1" x14ac:dyDescent="0.3">
      <c r="B49" s="22" t="s">
        <v>104</v>
      </c>
      <c r="C49" s="23"/>
      <c r="D49" s="23"/>
      <c r="E49" s="23"/>
      <c r="F49" s="23"/>
      <c r="G49" s="23"/>
    </row>
    <row r="50" spans="2:7" ht="14" customHeight="1" x14ac:dyDescent="0.3">
      <c r="B50" s="4" t="s">
        <v>105</v>
      </c>
      <c r="C50" s="5">
        <f>SUM(C47:G47)</f>
        <v>553981.99442364555</v>
      </c>
    </row>
    <row r="51" spans="2:7" ht="14" customHeight="1" x14ac:dyDescent="0.3">
      <c r="B51" s="4" t="s">
        <v>106</v>
      </c>
      <c r="C51" s="5">
        <f>G45*(1+C13)/(C26-C13)</f>
        <v>2886974.4182755281</v>
      </c>
    </row>
    <row r="52" spans="2:7" ht="14" customHeight="1" x14ac:dyDescent="0.3">
      <c r="B52" s="4" t="s">
        <v>107</v>
      </c>
      <c r="C52" s="5">
        <f>C51*G46</f>
        <v>1919924.8857166183</v>
      </c>
    </row>
    <row r="53" spans="2:7" ht="14" customHeight="1" x14ac:dyDescent="0.3">
      <c r="B53" s="4" t="s">
        <v>108</v>
      </c>
      <c r="C53" s="5">
        <f>C50+C52</f>
        <v>2473906.8801402636</v>
      </c>
    </row>
    <row r="54" spans="2:7" ht="14" customHeight="1" x14ac:dyDescent="0.3">
      <c r="B54" s="4" t="s">
        <v>109</v>
      </c>
      <c r="C54" s="5">
        <f>C53-C16</f>
        <v>2700711.8801402636</v>
      </c>
    </row>
    <row r="55" spans="2:7" ht="14" customHeight="1" x14ac:dyDescent="0.3">
      <c r="B55" s="4" t="s">
        <v>110</v>
      </c>
      <c r="C55" s="24">
        <f>ROUND(C54*1000000/C15,0)</f>
        <v>1423</v>
      </c>
    </row>
    <row r="57" spans="2:7" ht="14" customHeight="1" x14ac:dyDescent="0.3">
      <c r="B57" s="22" t="s">
        <v>111</v>
      </c>
      <c r="C57" s="23"/>
      <c r="D57" s="23"/>
      <c r="E57" s="23"/>
      <c r="F57" s="23"/>
      <c r="G57" s="23"/>
    </row>
    <row r="58" spans="2:7" ht="14" customHeight="1" x14ac:dyDescent="0.3">
      <c r="B58" s="4" t="s">
        <v>105</v>
      </c>
      <c r="C58" s="5">
        <f>C50</f>
        <v>553981.99442364555</v>
      </c>
    </row>
    <row r="59" spans="2:7" ht="14" customHeight="1" x14ac:dyDescent="0.3">
      <c r="B59" s="4" t="s">
        <v>112</v>
      </c>
      <c r="C59" s="5">
        <f>G39+G42</f>
        <v>589604.52440238895</v>
      </c>
    </row>
    <row r="60" spans="2:7" ht="14" customHeight="1" x14ac:dyDescent="0.3">
      <c r="B60" s="4" t="s">
        <v>113</v>
      </c>
      <c r="C60" s="5">
        <f>C59*C14</f>
        <v>10671841.891683241</v>
      </c>
    </row>
    <row r="61" spans="2:7" ht="14" customHeight="1" x14ac:dyDescent="0.3">
      <c r="B61" s="4" t="s">
        <v>107</v>
      </c>
      <c r="C61" s="5">
        <f>C60*G46</f>
        <v>7097096.0790551472</v>
      </c>
    </row>
    <row r="62" spans="2:7" ht="14" customHeight="1" x14ac:dyDescent="0.3">
      <c r="B62" s="4" t="s">
        <v>108</v>
      </c>
      <c r="C62" s="5">
        <f>C58+C61</f>
        <v>7651078.0734787928</v>
      </c>
    </row>
    <row r="63" spans="2:7" ht="14" customHeight="1" x14ac:dyDescent="0.3">
      <c r="B63" s="4" t="s">
        <v>109</v>
      </c>
      <c r="C63" s="5">
        <f>C62-C16</f>
        <v>7877883.0734787928</v>
      </c>
    </row>
    <row r="64" spans="2:7" ht="14" customHeight="1" x14ac:dyDescent="0.3">
      <c r="B64" s="4" t="s">
        <v>114</v>
      </c>
      <c r="C64" s="24">
        <f>ROUND(C63*1000000/C15,0)</f>
        <v>4150</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0.06</v>
      </c>
      <c r="D69" s="26">
        <v>0.05</v>
      </c>
      <c r="E69" s="26">
        <v>0.04</v>
      </c>
      <c r="F69" s="26">
        <v>3.5000000000000003E-2</v>
      </c>
      <c r="G69" s="26">
        <v>0.03</v>
      </c>
    </row>
    <row r="70" spans="2:7" ht="14" customHeight="1" x14ac:dyDescent="0.3">
      <c r="B70" s="4" t="s">
        <v>121</v>
      </c>
      <c r="C70" s="26">
        <v>0.09</v>
      </c>
      <c r="D70" s="26">
        <v>7.0000000000000007E-2</v>
      </c>
      <c r="E70" s="26">
        <v>5.5E-2</v>
      </c>
      <c r="F70" s="26">
        <v>4.4999999999999998E-2</v>
      </c>
      <c r="G70" s="26">
        <v>0.04</v>
      </c>
    </row>
    <row r="71" spans="2:7" ht="14" customHeight="1" x14ac:dyDescent="0.3">
      <c r="B71" s="4" t="s">
        <v>122</v>
      </c>
      <c r="C71" s="26">
        <v>0.06</v>
      </c>
      <c r="D71" s="26">
        <v>0.05</v>
      </c>
      <c r="E71" s="26">
        <v>0.04</v>
      </c>
      <c r="F71" s="26">
        <v>3.5000000000000003E-2</v>
      </c>
      <c r="G71" s="26">
        <v>0.03</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-0.1</v>
      </c>
      <c r="D73" s="26">
        <v>-0.01</v>
      </c>
      <c r="E73" s="26">
        <v>1.4999999999999999E-2</v>
      </c>
      <c r="F73" s="26">
        <v>0.02</v>
      </c>
      <c r="G73" s="26">
        <v>0.02</v>
      </c>
    </row>
    <row r="75" spans="2:7" ht="14" customHeight="1" x14ac:dyDescent="0.3">
      <c r="B75" s="3" t="s">
        <v>91</v>
      </c>
    </row>
    <row r="76" spans="2:7" ht="14" customHeight="1" x14ac:dyDescent="0.3">
      <c r="B76" s="4" t="s">
        <v>84</v>
      </c>
      <c r="C76" s="26">
        <v>0.68700000000000006</v>
      </c>
      <c r="D76" s="26">
        <v>0.68700000000000006</v>
      </c>
      <c r="E76" s="26">
        <v>0.68700000000000006</v>
      </c>
      <c r="F76" s="26">
        <v>0.68700000000000006</v>
      </c>
      <c r="G76" s="26">
        <v>0.68700000000000006</v>
      </c>
    </row>
    <row r="77" spans="2:7" ht="14" customHeight="1" x14ac:dyDescent="0.3">
      <c r="B77" s="4" t="s">
        <v>121</v>
      </c>
      <c r="C77" s="26">
        <v>0.67900000000000005</v>
      </c>
      <c r="D77" s="26">
        <v>0.67900000000000005</v>
      </c>
      <c r="E77" s="26">
        <v>0.67900000000000005</v>
      </c>
      <c r="F77" s="26">
        <v>0.67900000000000005</v>
      </c>
      <c r="G77" s="26">
        <v>0.67900000000000005</v>
      </c>
    </row>
    <row r="78" spans="2:7" ht="14" customHeight="1" x14ac:dyDescent="0.3">
      <c r="B78" s="4" t="s">
        <v>122</v>
      </c>
      <c r="C78" s="26">
        <v>0.68700000000000006</v>
      </c>
      <c r="D78" s="26">
        <v>0.68700000000000006</v>
      </c>
      <c r="E78" s="26">
        <v>0.68700000000000006</v>
      </c>
      <c r="F78" s="26">
        <v>0.68700000000000006</v>
      </c>
      <c r="G78" s="26">
        <v>0.68700000000000006</v>
      </c>
    </row>
    <row r="79" spans="2:7" ht="14" customHeight="1" x14ac:dyDescent="0.3">
      <c r="B79" s="4" t="s">
        <v>123</v>
      </c>
      <c r="C79" s="26">
        <v>0.70199999999999996</v>
      </c>
      <c r="D79" s="26">
        <v>0.70199999999999996</v>
      </c>
      <c r="E79" s="26">
        <v>0.70199999999999996</v>
      </c>
      <c r="F79" s="26">
        <v>0.70199999999999996</v>
      </c>
      <c r="G79" s="26">
        <v>0.70199999999999996</v>
      </c>
    </row>
    <row r="80" spans="2:7" ht="14" customHeight="1" x14ac:dyDescent="0.3">
      <c r="B80" s="4" t="s">
        <v>124</v>
      </c>
      <c r="C80" s="26">
        <v>0.72</v>
      </c>
      <c r="D80" s="26">
        <v>0.72</v>
      </c>
      <c r="E80" s="26">
        <v>0.72</v>
      </c>
      <c r="F80" s="26">
        <v>0.72</v>
      </c>
      <c r="G80" s="26">
        <v>0.72</v>
      </c>
    </row>
    <row r="82" spans="2:7" ht="14" customHeight="1" x14ac:dyDescent="0.3">
      <c r="B82" s="3" t="s">
        <v>92</v>
      </c>
    </row>
    <row r="83" spans="2:7" ht="14" customHeight="1" x14ac:dyDescent="0.3">
      <c r="B83" s="4" t="s">
        <v>84</v>
      </c>
      <c r="C83" s="26">
        <v>0.20424400000000001</v>
      </c>
      <c r="D83" s="26">
        <v>0.20424400000000001</v>
      </c>
      <c r="E83" s="26">
        <v>0.20424400000000001</v>
      </c>
      <c r="F83" s="26">
        <v>0.20424400000000001</v>
      </c>
      <c r="G83" s="26">
        <v>0.20424400000000001</v>
      </c>
    </row>
    <row r="84" spans="2:7" ht="14" customHeight="1" x14ac:dyDescent="0.3">
      <c r="B84" s="4" t="s">
        <v>121</v>
      </c>
      <c r="C84" s="26">
        <v>0.20899999999999999</v>
      </c>
      <c r="D84" s="26">
        <v>0.20699999999999999</v>
      </c>
      <c r="E84" s="26">
        <v>0.20499999999999999</v>
      </c>
      <c r="F84" s="26">
        <v>0.20349999999999999</v>
      </c>
      <c r="G84" s="26">
        <v>0.20219999999999999</v>
      </c>
    </row>
    <row r="85" spans="2:7" ht="14" customHeight="1" x14ac:dyDescent="0.3">
      <c r="B85" s="4" t="s">
        <v>122</v>
      </c>
      <c r="C85" s="26">
        <v>0.20424400000000001</v>
      </c>
      <c r="D85" s="26">
        <v>0.20424400000000001</v>
      </c>
      <c r="E85" s="26">
        <v>0.20424400000000001</v>
      </c>
      <c r="F85" s="26">
        <v>0.20424400000000001</v>
      </c>
      <c r="G85" s="26">
        <v>0.20424400000000001</v>
      </c>
    </row>
    <row r="86" spans="2:7" ht="14" customHeight="1" x14ac:dyDescent="0.3">
      <c r="B86" s="4" t="s">
        <v>123</v>
      </c>
      <c r="C86" s="26">
        <v>0.20300000000000001</v>
      </c>
      <c r="D86" s="26">
        <v>0.20799999999999999</v>
      </c>
      <c r="E86" s="26">
        <v>0.21199999999999999</v>
      </c>
      <c r="F86" s="26">
        <v>0.215</v>
      </c>
      <c r="G86" s="26">
        <v>0.217</v>
      </c>
    </row>
    <row r="87" spans="2:7" ht="14" customHeight="1" x14ac:dyDescent="0.3">
      <c r="B87" s="4" t="s">
        <v>124</v>
      </c>
      <c r="C87" s="26">
        <v>0.214</v>
      </c>
      <c r="D87" s="26">
        <v>0.218</v>
      </c>
      <c r="E87" s="26">
        <v>0.22</v>
      </c>
      <c r="F87" s="26">
        <v>0.22</v>
      </c>
      <c r="G87" s="26">
        <v>0.22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2907.5</v>
      </c>
    </row>
    <row r="7" spans="2:9" ht="14" customHeight="1" x14ac:dyDescent="0.3">
      <c r="B7" s="4" t="s">
        <v>72</v>
      </c>
      <c r="C7" s="15">
        <f>'DCF Model'!C15</f>
        <v>1898154125</v>
      </c>
    </row>
    <row r="8" spans="2:9" ht="14" customHeight="1" x14ac:dyDescent="0.3">
      <c r="B8" s="4" t="s">
        <v>129</v>
      </c>
      <c r="C8" s="5">
        <f>C6*C7/1000000</f>
        <v>5518883.1184374997</v>
      </c>
    </row>
    <row r="9" spans="2:9" ht="14" customHeight="1" x14ac:dyDescent="0.3">
      <c r="B9" s="4" t="s">
        <v>73</v>
      </c>
      <c r="C9" s="5">
        <f>'DCF Model'!C16</f>
        <v>-226805</v>
      </c>
    </row>
    <row r="10" spans="2:9" ht="14" customHeight="1" x14ac:dyDescent="0.3">
      <c r="B10" s="4" t="s">
        <v>130</v>
      </c>
      <c r="C10" s="5">
        <f>C8+C9</f>
        <v>5292078.1184374997</v>
      </c>
    </row>
    <row r="11" spans="2:9" ht="14" customHeight="1" x14ac:dyDescent="0.3">
      <c r="B11" s="4" t="s">
        <v>131</v>
      </c>
      <c r="C11" s="16">
        <f>'DCF Model'!C26</f>
        <v>8.5004999999999997E-2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272414</v>
      </c>
    </row>
    <row r="15" spans="2:9" ht="14" customHeight="1" x14ac:dyDescent="0.3">
      <c r="B15" s="4" t="s">
        <v>135</v>
      </c>
      <c r="C15" s="27">
        <v>272414</v>
      </c>
    </row>
    <row r="16" spans="2:9" ht="14" customHeight="1" x14ac:dyDescent="0.3">
      <c r="B16" s="4" t="s">
        <v>136</v>
      </c>
      <c r="C16" s="5">
        <f>'DCF Model'!G33</f>
        <v>3090883.2456247197</v>
      </c>
    </row>
    <row r="17" spans="2:9" ht="14" customHeight="1" x14ac:dyDescent="0.3">
      <c r="B17" s="4" t="s">
        <v>137</v>
      </c>
      <c r="C17" s="5">
        <f>'DCF Model'!C53</f>
        <v>2473906.8801402636</v>
      </c>
    </row>
    <row r="18" spans="2:9" ht="14" customHeight="1" x14ac:dyDescent="0.3">
      <c r="B18" s="4" t="s">
        <v>138</v>
      </c>
      <c r="C18" s="26">
        <v>0.1087559185889605</v>
      </c>
    </row>
    <row r="19" spans="2:9" ht="14" customHeight="1" x14ac:dyDescent="0.3">
      <c r="B19" s="4" t="s">
        <v>139</v>
      </c>
      <c r="C19" s="5">
        <f>C10-C17</f>
        <v>2818171.2382972362</v>
      </c>
    </row>
    <row r="20" spans="2:9" ht="14" customHeight="1" x14ac:dyDescent="0.3">
      <c r="B20" s="4" t="s">
        <v>140</v>
      </c>
      <c r="C20" s="15">
        <f>IFERROR(ROUND(C19*1000000/C7,0),"N/A")</f>
        <v>1485</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396932.31927340466</v>
      </c>
    </row>
    <row r="25" spans="2:9" ht="14" customHeight="1" x14ac:dyDescent="0.3">
      <c r="B25" s="4" t="s">
        <v>144</v>
      </c>
      <c r="C25" s="5">
        <f>IFERROR(C24/(1-C13),"N/A")</f>
        <v>529243.09236453951</v>
      </c>
    </row>
    <row r="26" spans="2:9" ht="13.5" customHeight="1" x14ac:dyDescent="0.25">
      <c r="B26" s="6" t="s">
        <v>145</v>
      </c>
      <c r="C26" s="14">
        <f>IFERROR(C25/C15,"N/A")</f>
        <v>1.9427896230169504</v>
      </c>
    </row>
    <row r="27" spans="2:9" ht="13.5" customHeight="1" x14ac:dyDescent="0.25">
      <c r="B27" s="6" t="s">
        <v>146</v>
      </c>
      <c r="C27" s="14">
        <f>IFERROR(C25/C14,"N/A")</f>
        <v>1.9427896230169504</v>
      </c>
    </row>
    <row r="28" spans="2:9" ht="13.5" customHeight="1" x14ac:dyDescent="0.25">
      <c r="B28" s="6" t="s">
        <v>147</v>
      </c>
      <c r="C28" s="7">
        <f>IFERROR(C25/C16,"N/A")</f>
        <v>0.17122713810484633</v>
      </c>
    </row>
    <row r="29" spans="2:9" ht="13.5" customHeight="1" x14ac:dyDescent="0.25">
      <c r="B29" s="6" t="s">
        <v>148</v>
      </c>
      <c r="C29" s="5">
        <f>IFERROR(C25/C18,"N/A")</f>
        <v>4866338.3035253165</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6.5004999999999993E-2</v>
      </c>
      <c r="E36" s="29">
        <f>'DCF Model'!C26-0.01</f>
        <v>7.5005000000000002E-2</v>
      </c>
      <c r="F36" s="29">
        <f>'DCF Model'!C26</f>
        <v>8.5004999999999997E-2</v>
      </c>
      <c r="G36" s="29">
        <f>'DCF Model'!C26+0.01</f>
        <v>9.5004999999999992E-2</v>
      </c>
      <c r="H36" s="29">
        <f>'DCF Model'!C26+0.02</f>
        <v>0.105005</v>
      </c>
    </row>
    <row r="37" spans="2:9" ht="14" customHeight="1" x14ac:dyDescent="0.3">
      <c r="B37" s="3" t="s">
        <v>154</v>
      </c>
    </row>
    <row r="38" spans="2:9" ht="14" customHeight="1" x14ac:dyDescent="0.3">
      <c r="B38" s="4" t="s">
        <v>155</v>
      </c>
      <c r="C38" s="30">
        <v>3</v>
      </c>
      <c r="D38" s="13">
        <f t="shared" ref="D38:H41" si="0">IFERROR((1-(1+D$36)^(-$C38))/D$36-(1+D$36)/(D$36^2*$C38)*(1-($C38+1)/(1+D$36)^$C38+$C38/(1+D$36)^($C38+1)),"N/A")</f>
        <v>0.91985882002886132</v>
      </c>
      <c r="E38" s="13">
        <f t="shared" si="0"/>
        <v>0.90859367522214463</v>
      </c>
      <c r="F38" s="13">
        <f t="shared" si="0"/>
        <v>0.89758564520229456</v>
      </c>
      <c r="G38" s="13">
        <f t="shared" si="0"/>
        <v>0.88682634298369822</v>
      </c>
      <c r="H38" s="13">
        <f t="shared" si="0"/>
        <v>0.876307733347784</v>
      </c>
    </row>
    <row r="39" spans="2:9" ht="14" customHeight="1" x14ac:dyDescent="0.3">
      <c r="B39" s="4" t="s">
        <v>156</v>
      </c>
      <c r="C39" s="30">
        <v>5</v>
      </c>
      <c r="D39" s="13">
        <f t="shared" si="0"/>
        <v>1.7667574564184467</v>
      </c>
      <c r="E39" s="13">
        <f t="shared" si="0"/>
        <v>1.7351143775968492</v>
      </c>
      <c r="F39" s="13">
        <f t="shared" si="0"/>
        <v>1.7044633724659244</v>
      </c>
      <c r="G39" s="13">
        <f t="shared" si="0"/>
        <v>1.6747619666852946</v>
      </c>
      <c r="H39" s="13">
        <f t="shared" si="0"/>
        <v>1.6459699449230096</v>
      </c>
    </row>
    <row r="40" spans="2:9" ht="14" customHeight="1" x14ac:dyDescent="0.3">
      <c r="B40" s="4" t="s">
        <v>157</v>
      </c>
      <c r="C40" s="30">
        <v>7</v>
      </c>
      <c r="D40" s="13">
        <f t="shared" si="0"/>
        <v>2.5471926883279812</v>
      </c>
      <c r="E40" s="13">
        <f t="shared" si="0"/>
        <v>2.4878825217509482</v>
      </c>
      <c r="F40" s="13">
        <f t="shared" si="0"/>
        <v>2.4309180164831727</v>
      </c>
      <c r="G40" s="13">
        <f t="shared" si="0"/>
        <v>2.3761756068651341</v>
      </c>
      <c r="H40" s="13">
        <f t="shared" si="0"/>
        <v>2.3235396488800952</v>
      </c>
    </row>
    <row r="41" spans="2:9" ht="14" customHeight="1" x14ac:dyDescent="0.3">
      <c r="B41" s="4" t="s">
        <v>158</v>
      </c>
      <c r="C41" s="30">
        <v>10</v>
      </c>
      <c r="D41" s="13">
        <f t="shared" si="0"/>
        <v>3.6059364788614756</v>
      </c>
      <c r="E41" s="13">
        <f t="shared" si="0"/>
        <v>3.494763166357604</v>
      </c>
      <c r="F41" s="13">
        <f t="shared" si="0"/>
        <v>3.3892866871387528</v>
      </c>
      <c r="G41" s="13">
        <f t="shared" si="0"/>
        <v>3.2891260857147349</v>
      </c>
      <c r="H41" s="13">
        <f t="shared" si="0"/>
        <v>3.193930847123323</v>
      </c>
    </row>
    <row r="42" spans="2:9" ht="14" customHeight="1" x14ac:dyDescent="0.3">
      <c r="B42" s="3" t="s">
        <v>159</v>
      </c>
    </row>
    <row r="43" spans="2:9" ht="14" customHeight="1" x14ac:dyDescent="0.3">
      <c r="B43" s="4" t="s">
        <v>155</v>
      </c>
      <c r="C43" s="30">
        <v>3</v>
      </c>
      <c r="D43" s="13">
        <f t="shared" ref="D43:H46" si="1">IFERROR((1+D$36)/(D$36^2*$C43)*(1-($C43+1)/(1+D$36)^$C43+$C43/(1+D$36)^($C43+1))+(1+$C$12)/((D$36-$C$12)*(1+D$36)^$C43),"N/A")</f>
        <v>16.929316030946129</v>
      </c>
      <c r="E43" s="13">
        <f t="shared" si="1"/>
        <v>14.198620724567119</v>
      </c>
      <c r="F43" s="13">
        <f t="shared" si="1"/>
        <v>12.198727641020126</v>
      </c>
      <c r="G43" s="13">
        <f t="shared" si="1"/>
        <v>10.671641842434276</v>
      </c>
      <c r="H43" s="13">
        <f t="shared" si="1"/>
        <v>9.4679952065628044</v>
      </c>
    </row>
    <row r="44" spans="2:9" ht="14" customHeight="1" x14ac:dyDescent="0.3">
      <c r="B44" s="4" t="s">
        <v>156</v>
      </c>
      <c r="C44" s="30">
        <v>5</v>
      </c>
      <c r="D44" s="13">
        <f t="shared" si="1"/>
        <v>15.790599209752344</v>
      </c>
      <c r="E44" s="13">
        <f t="shared" si="1"/>
        <v>13.133082110282276</v>
      </c>
      <c r="F44" s="13">
        <f t="shared" si="1"/>
        <v>11.191268851370133</v>
      </c>
      <c r="G44" s="13">
        <f t="shared" si="1"/>
        <v>9.7122804194360715</v>
      </c>
      <c r="H44" s="13">
        <f t="shared" si="1"/>
        <v>8.5497224260399083</v>
      </c>
    </row>
    <row r="45" spans="2:9" ht="14" customHeight="1" x14ac:dyDescent="0.3">
      <c r="B45" s="4" t="s">
        <v>157</v>
      </c>
      <c r="C45" s="30">
        <v>7</v>
      </c>
      <c r="D45" s="13">
        <f t="shared" si="1"/>
        <v>14.752882182126221</v>
      </c>
      <c r="E45" s="13">
        <f t="shared" si="1"/>
        <v>12.173485896033455</v>
      </c>
      <c r="F45" s="13">
        <f t="shared" si="1"/>
        <v>10.294431133831882</v>
      </c>
      <c r="G45" s="13">
        <f t="shared" si="1"/>
        <v>8.8678970882365142</v>
      </c>
      <c r="H45" s="13">
        <f t="shared" si="1"/>
        <v>7.7504441378484525</v>
      </c>
    </row>
    <row r="46" spans="2:9" ht="14" customHeight="1" x14ac:dyDescent="0.3">
      <c r="B46" s="4" t="s">
        <v>158</v>
      </c>
      <c r="C46" s="30">
        <v>10</v>
      </c>
      <c r="D46" s="13">
        <f t="shared" si="1"/>
        <v>13.36416424072473</v>
      </c>
      <c r="E46" s="13">
        <f t="shared" si="1"/>
        <v>10.907397761713543</v>
      </c>
      <c r="F46" s="13">
        <f t="shared" si="1"/>
        <v>9.1273539566053046</v>
      </c>
      <c r="G46" s="13">
        <f t="shared" si="1"/>
        <v>7.783732479985316</v>
      </c>
      <c r="H46" s="13">
        <f t="shared" si="1"/>
        <v>6.7375240327274053</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401996.26050320611</v>
      </c>
      <c r="E48" s="5">
        <f t="shared" si="2"/>
        <v>479524.7829033251</v>
      </c>
      <c r="F48" s="5">
        <f t="shared" si="2"/>
        <v>558385.22364082432</v>
      </c>
      <c r="G48" s="5">
        <f t="shared" si="2"/>
        <v>638563.43261278945</v>
      </c>
      <c r="H48" s="5">
        <f t="shared" si="2"/>
        <v>720045.32261686679</v>
      </c>
    </row>
    <row r="49" spans="2:9" ht="14" customHeight="1" x14ac:dyDescent="0.3">
      <c r="B49" s="4" t="s">
        <v>156</v>
      </c>
      <c r="C49" s="30">
        <v>5</v>
      </c>
      <c r="D49" s="5">
        <f t="shared" si="2"/>
        <v>416375.24990965868</v>
      </c>
      <c r="E49" s="5">
        <f t="shared" si="2"/>
        <v>501286.34349309624</v>
      </c>
      <c r="F49" s="5">
        <f t="shared" si="2"/>
        <v>589011.35879357508</v>
      </c>
      <c r="G49" s="5">
        <f t="shared" si="2"/>
        <v>679539.22935714305</v>
      </c>
      <c r="H49" s="5">
        <f t="shared" si="2"/>
        <v>772857.71070359729</v>
      </c>
    </row>
    <row r="50" spans="2:9" ht="14" customHeight="1" x14ac:dyDescent="0.3">
      <c r="B50" s="4" t="s">
        <v>157</v>
      </c>
      <c r="C50" s="30">
        <v>7</v>
      </c>
      <c r="D50" s="5">
        <f t="shared" si="2"/>
        <v>431252.22111694177</v>
      </c>
      <c r="E50" s="5">
        <f t="shared" si="2"/>
        <v>523955.93038101745</v>
      </c>
      <c r="F50" s="5">
        <f t="shared" si="2"/>
        <v>621101.63973620464</v>
      </c>
      <c r="G50" s="5">
        <f t="shared" si="2"/>
        <v>722696.77832070703</v>
      </c>
      <c r="H50" s="5">
        <f t="shared" si="2"/>
        <v>828744.69046747137</v>
      </c>
    </row>
    <row r="51" spans="2:9" ht="14" customHeight="1" x14ac:dyDescent="0.3">
      <c r="B51" s="4" t="s">
        <v>158</v>
      </c>
      <c r="C51" s="30">
        <v>10</v>
      </c>
      <c r="D51" s="5">
        <f t="shared" si="2"/>
        <v>454483.83217675262</v>
      </c>
      <c r="E51" s="5">
        <f t="shared" si="2"/>
        <v>559627.68371230457</v>
      </c>
      <c r="F51" s="5">
        <f t="shared" si="2"/>
        <v>671915.98391867336</v>
      </c>
      <c r="G51" s="5">
        <f t="shared" si="2"/>
        <v>791406.97348508984</v>
      </c>
      <c r="H51" s="5">
        <f t="shared" si="2"/>
        <v>918146.2878766543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1.4756813544942848</v>
      </c>
      <c r="E53" s="14">
        <f t="shared" si="3"/>
        <v>1.760279511711311</v>
      </c>
      <c r="F53" s="14">
        <f t="shared" si="3"/>
        <v>2.0497669856939229</v>
      </c>
      <c r="G53" s="14">
        <f t="shared" si="3"/>
        <v>2.3440918330658094</v>
      </c>
      <c r="H53" s="14">
        <f t="shared" si="3"/>
        <v>2.6432023413512771</v>
      </c>
    </row>
    <row r="54" spans="2:9" ht="14" customHeight="1" x14ac:dyDescent="0.3">
      <c r="B54" s="4" t="s">
        <v>156</v>
      </c>
      <c r="C54" s="30">
        <v>5</v>
      </c>
      <c r="D54" s="14">
        <f t="shared" si="3"/>
        <v>1.5284649464038511</v>
      </c>
      <c r="E54" s="14">
        <f t="shared" si="3"/>
        <v>1.8401636607997249</v>
      </c>
      <c r="F54" s="14">
        <f t="shared" si="3"/>
        <v>2.1621919534002476</v>
      </c>
      <c r="G54" s="14">
        <f t="shared" si="3"/>
        <v>2.4945092005445502</v>
      </c>
      <c r="H54" s="14">
        <f t="shared" si="3"/>
        <v>2.8370704541748855</v>
      </c>
    </row>
    <row r="55" spans="2:9" ht="14" customHeight="1" x14ac:dyDescent="0.3">
      <c r="B55" s="4" t="s">
        <v>157</v>
      </c>
      <c r="C55" s="30">
        <v>7</v>
      </c>
      <c r="D55" s="14">
        <f t="shared" si="3"/>
        <v>1.5830765713837827</v>
      </c>
      <c r="E55" s="14">
        <f t="shared" si="3"/>
        <v>1.9233810684510246</v>
      </c>
      <c r="F55" s="14">
        <f t="shared" si="3"/>
        <v>2.2799916294177414</v>
      </c>
      <c r="G55" s="14">
        <f t="shared" si="3"/>
        <v>2.6529355257832088</v>
      </c>
      <c r="H55" s="14">
        <f t="shared" si="3"/>
        <v>3.0422250342033501</v>
      </c>
    </row>
    <row r="56" spans="2:9" ht="14" customHeight="1" x14ac:dyDescent="0.3">
      <c r="B56" s="4" t="s">
        <v>158</v>
      </c>
      <c r="C56" s="30">
        <v>10</v>
      </c>
      <c r="D56" s="14">
        <f t="shared" si="3"/>
        <v>1.6683571041750886</v>
      </c>
      <c r="E56" s="14">
        <f t="shared" si="3"/>
        <v>2.0543279116062485</v>
      </c>
      <c r="F56" s="14">
        <f t="shared" si="3"/>
        <v>2.4665251562646318</v>
      </c>
      <c r="G56" s="14">
        <f t="shared" si="3"/>
        <v>2.9051626329230138</v>
      </c>
      <c r="H56" s="14">
        <f t="shared" si="3"/>
        <v>3.3704078640475683</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589011.35879357508</v>
      </c>
    </row>
    <row r="62" spans="2:9" ht="14" customHeight="1" x14ac:dyDescent="0.3">
      <c r="B62" s="28" t="s">
        <v>165</v>
      </c>
      <c r="C62" s="28" t="s">
        <v>166</v>
      </c>
      <c r="D62" s="28" t="s">
        <v>167</v>
      </c>
    </row>
    <row r="63" spans="2:9" ht="14" customHeight="1" x14ac:dyDescent="0.3">
      <c r="B63" s="31">
        <v>5.4399999999999997E-2</v>
      </c>
      <c r="C63" s="5">
        <f>IFERROR($C$60/B63,"N/A")</f>
        <v>10827414.683705425</v>
      </c>
      <c r="D63" s="14">
        <f>IFERROR(C63/'DCF Model'!C17,"N/A")</f>
        <v>4.3226318392960073</v>
      </c>
    </row>
    <row r="64" spans="2:9" ht="14" customHeight="1" x14ac:dyDescent="0.3">
      <c r="B64" s="31">
        <v>8.1600000000000006E-2</v>
      </c>
      <c r="C64" s="5">
        <f>IFERROR($C$60/B64,"N/A")</f>
        <v>7218276.455803616</v>
      </c>
      <c r="D64" s="14">
        <f>IFERROR(C64/'DCF Model'!C17,"N/A")</f>
        <v>2.8817545595306711</v>
      </c>
    </row>
    <row r="65" spans="2:9" ht="14" customHeight="1" x14ac:dyDescent="0.3">
      <c r="B65" s="4" t="s">
        <v>168</v>
      </c>
      <c r="C65" s="5">
        <f>IFERROR($C$60/$C$18,"N/A")</f>
        <v>5415901.6487160074</v>
      </c>
      <c r="D65" s="14">
        <f>IFERROR(C65/'DCF Model'!C17,"N/A")</f>
        <v>2.1621919534002472</v>
      </c>
    </row>
    <row r="66" spans="2:9" ht="14" customHeight="1" x14ac:dyDescent="0.3">
      <c r="B66" s="31">
        <v>0.13589999999999999</v>
      </c>
      <c r="C66" s="5">
        <f>IFERROR($C$60/B66,"N/A")</f>
        <v>4334152.7505045999</v>
      </c>
      <c r="D66" s="14">
        <f>IFERROR(C66/'DCF Model'!C17,"N/A")</f>
        <v>1.7303250335371803</v>
      </c>
    </row>
    <row r="67" spans="2:9" ht="14" customHeight="1" x14ac:dyDescent="0.3">
      <c r="B67" s="31">
        <v>0.16309999999999999</v>
      </c>
      <c r="C67" s="5">
        <f>IFERROR($C$60/B67,"N/A")</f>
        <v>3611351.0655645314</v>
      </c>
      <c r="D67" s="14">
        <f>IFERROR(C67/'DCF Model'!C17,"N/A")</f>
        <v>1.4417607115738982</v>
      </c>
    </row>
    <row r="69" spans="2:9" ht="14" customHeight="1" x14ac:dyDescent="0.3">
      <c r="B69" s="8" t="s">
        <v>169</v>
      </c>
      <c r="C69" s="9"/>
      <c r="D69" s="9"/>
      <c r="E69" s="9"/>
      <c r="F69" s="9"/>
      <c r="G69" s="9"/>
      <c r="H69" s="9"/>
      <c r="I69" s="9"/>
    </row>
    <row r="70" spans="2:9" ht="13.5" customHeight="1" x14ac:dyDescent="0.25">
      <c r="B70" s="6" t="s">
        <v>170</v>
      </c>
      <c r="C70" s="14">
        <f>IFERROR(C10/'Comps Analysis'!G5,"N/A")</f>
        <v>11.103674981929517</v>
      </c>
    </row>
    <row r="71" spans="2:9" ht="13.5" customHeight="1" x14ac:dyDescent="0.25">
      <c r="B71" s="6" t="s">
        <v>171</v>
      </c>
      <c r="C71" s="14">
        <f>IFERROR(C10/'Comps Analysis'!F5,"N/A")</f>
        <v>2.1127578502397375</v>
      </c>
    </row>
    <row r="72" spans="2:9" ht="14" customHeight="1" x14ac:dyDescent="0.3">
      <c r="B72" s="4" t="s">
        <v>172</v>
      </c>
      <c r="C72" s="14">
        <f>IFERROR(C10/(C25+'DCF Model'!G42),"N/A")</f>
        <v>6.761349711750662</v>
      </c>
    </row>
    <row r="73" spans="2:9" ht="14" customHeight="1" x14ac:dyDescent="0.3">
      <c r="B73" s="4" t="s">
        <v>173</v>
      </c>
      <c r="C73" s="14">
        <f>IFERROR(C10/(C60+'DCF Model'!G42),"N/A")</f>
        <v>6.2816683791897967</v>
      </c>
    </row>
    <row r="74" spans="2:9" ht="14" customHeight="1" x14ac:dyDescent="0.3">
      <c r="B74" s="4" t="s">
        <v>174</v>
      </c>
      <c r="C74" s="14">
        <f>IFERROR('Comps Analysis'!D16,"N/A")</f>
        <v>18.089422075668171</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2,908 yen the market is paying for a steady-state operating profit of 589,011 mn JPY - 2.16x the FY2026 cycle peak of 272,414 mn - reached in 5 years and sustained for ever, against 272,414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529,243 mn, or 1.94x the peak. The base case supports an EV of only 2,473,907 mn, leaving 1,485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113.74537890946256</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customHeight="1" x14ac:dyDescent="0.3">
      <c r="B6" s="33" t="s">
        <v>181</v>
      </c>
      <c r="C6" s="34">
        <f>C13/C10*365</f>
        <v>124.13531650687574</v>
      </c>
      <c r="D6" s="34">
        <f>CHOOSE('DCF Model'!$D$27,D32,D33,D34,D35,D36)</f>
        <v>106</v>
      </c>
      <c r="E6" s="34">
        <f>CHOOSE('DCF Model'!$D$27,E32,E33,E34,E35,E36)</f>
        <v>106</v>
      </c>
      <c r="F6" s="34">
        <f>CHOOSE('DCF Model'!$D$27,F32,F33,F34,F35,F36)</f>
        <v>106</v>
      </c>
      <c r="G6" s="34">
        <f>CHOOSE('DCF Model'!$D$27,G32,G33,G34,G35,G36)</f>
        <v>106</v>
      </c>
      <c r="H6" s="34">
        <f>CHOOSE('DCF Model'!$D$27,H32,H33,H34,H35,H36)</f>
        <v>106</v>
      </c>
    </row>
    <row r="7" spans="2:8" ht="14" customHeight="1" x14ac:dyDescent="0.3">
      <c r="B7" s="33" t="s">
        <v>182</v>
      </c>
      <c r="C7" s="34">
        <f>C15/C10*365</f>
        <v>149.85110223211589</v>
      </c>
      <c r="D7" s="34">
        <f>CHOOSE('DCF Model'!$D$27,D39,D40,D41,D42,D43)</f>
        <v>103</v>
      </c>
      <c r="E7" s="34">
        <f>CHOOSE('DCF Model'!$D$27,E39,E40,E41,E42,E43)</f>
        <v>103</v>
      </c>
      <c r="F7" s="34">
        <f>CHOOSE('DCF Model'!$D$27,F39,F40,F41,F42,F43)</f>
        <v>103</v>
      </c>
      <c r="G7" s="34">
        <f>CHOOSE('DCF Model'!$D$27,G39,G40,G41,G42,G43)</f>
        <v>103</v>
      </c>
      <c r="H7" s="34">
        <f>CHOOSE('DCF Model'!$D$27,H39,H40,H41,H42,H43)</f>
        <v>103</v>
      </c>
    </row>
    <row r="8" spans="2:8" ht="14" customHeight="1" x14ac:dyDescent="0.3">
      <c r="B8" s="8" t="s">
        <v>183</v>
      </c>
      <c r="C8" s="9"/>
      <c r="D8" s="9"/>
      <c r="E8" s="9"/>
      <c r="F8" s="9"/>
      <c r="G8" s="9"/>
      <c r="H8" s="9"/>
    </row>
    <row r="9" spans="2:8" ht="14" customHeight="1" x14ac:dyDescent="0.3">
      <c r="B9" s="33" t="s">
        <v>37</v>
      </c>
      <c r="C9" s="35">
        <v>2504820</v>
      </c>
      <c r="D9" s="35">
        <f>'DCF Model'!C33</f>
        <v>2655109.2000000002</v>
      </c>
      <c r="E9" s="35">
        <f>'DCF Model'!D33</f>
        <v>2787864.66</v>
      </c>
      <c r="F9" s="35">
        <f>'DCF Model'!E33</f>
        <v>2899379.2464000001</v>
      </c>
      <c r="G9" s="35">
        <f>'DCF Model'!F33</f>
        <v>3000857.5200239997</v>
      </c>
      <c r="H9" s="35">
        <f>'DCF Model'!G33</f>
        <v>3090883.2456247197</v>
      </c>
    </row>
    <row r="10" spans="2:8" ht="14" customHeight="1" x14ac:dyDescent="0.3">
      <c r="B10" s="33" t="s">
        <v>38</v>
      </c>
      <c r="C10" s="35">
        <v>1721416</v>
      </c>
      <c r="D10" s="35">
        <f>'DCF Model'!C34</f>
        <v>1824060.0204000003</v>
      </c>
      <c r="E10" s="35">
        <f>'DCF Model'!D34</f>
        <v>1915263.0214200004</v>
      </c>
      <c r="F10" s="35">
        <f>'DCF Model'!E34</f>
        <v>1991873.5422768001</v>
      </c>
      <c r="G10" s="35">
        <f>'DCF Model'!F34</f>
        <v>2061589.116256488</v>
      </c>
      <c r="H10" s="35">
        <f>'DCF Model'!G34</f>
        <v>2123436.7897441825</v>
      </c>
    </row>
    <row r="11" spans="2:8" ht="14" customHeight="1" x14ac:dyDescent="0.3">
      <c r="B11" s="8" t="s">
        <v>184</v>
      </c>
      <c r="C11" s="9"/>
      <c r="D11" s="9"/>
      <c r="E11" s="9"/>
      <c r="F11" s="9"/>
      <c r="G11" s="9"/>
      <c r="H11" s="9"/>
    </row>
    <row r="12" spans="2:8" ht="14" customHeight="1" x14ac:dyDescent="0.3">
      <c r="B12" s="33" t="s">
        <v>185</v>
      </c>
      <c r="C12" s="35">
        <v>780580</v>
      </c>
      <c r="D12" s="35">
        <f t="shared" ref="D12:H13" si="0">D9*D5/365</f>
        <v>727427.17808219185</v>
      </c>
      <c r="E12" s="35">
        <f t="shared" si="0"/>
        <v>763798.53698630142</v>
      </c>
      <c r="F12" s="35">
        <f t="shared" si="0"/>
        <v>794350.47846575337</v>
      </c>
      <c r="G12" s="35">
        <f t="shared" si="0"/>
        <v>822152.7452120547</v>
      </c>
      <c r="H12" s="35">
        <f t="shared" si="0"/>
        <v>846817.32756841637</v>
      </c>
    </row>
    <row r="13" spans="2:8" ht="14" customHeight="1" x14ac:dyDescent="0.3">
      <c r="B13" s="33" t="s">
        <v>186</v>
      </c>
      <c r="C13" s="35">
        <v>585448</v>
      </c>
      <c r="D13" s="35">
        <f t="shared" si="0"/>
        <v>529727.0196230138</v>
      </c>
      <c r="E13" s="35">
        <f t="shared" si="0"/>
        <v>556213.37060416443</v>
      </c>
      <c r="F13" s="35">
        <f t="shared" si="0"/>
        <v>578461.905428331</v>
      </c>
      <c r="G13" s="35">
        <f t="shared" si="0"/>
        <v>598708.0721183226</v>
      </c>
      <c r="H13" s="35">
        <f t="shared" si="0"/>
        <v>616669.31428187224</v>
      </c>
    </row>
    <row r="14" spans="2:8" ht="14" customHeight="1" x14ac:dyDescent="0.3">
      <c r="B14" s="33" t="s">
        <v>187</v>
      </c>
      <c r="C14" s="35">
        <f t="shared" ref="C14:H14" si="1">C12+C13</f>
        <v>1366028</v>
      </c>
      <c r="D14" s="35">
        <f t="shared" si="1"/>
        <v>1257154.1977052055</v>
      </c>
      <c r="E14" s="35">
        <f t="shared" si="1"/>
        <v>1320011.9075904659</v>
      </c>
      <c r="F14" s="35">
        <f t="shared" si="1"/>
        <v>1372812.3838940845</v>
      </c>
      <c r="G14" s="35">
        <f t="shared" si="1"/>
        <v>1420860.8173303772</v>
      </c>
      <c r="H14" s="35">
        <f t="shared" si="1"/>
        <v>1463486.6418502885</v>
      </c>
    </row>
    <row r="15" spans="2:8" ht="14" customHeight="1" x14ac:dyDescent="0.3">
      <c r="B15" s="33" t="s">
        <v>188</v>
      </c>
      <c r="C15" s="35">
        <v>706729</v>
      </c>
      <c r="D15" s="35">
        <f>D10*D7/365</f>
        <v>514734.74548273976</v>
      </c>
      <c r="E15" s="35">
        <f>E10*E7/365</f>
        <v>540471.48275687674</v>
      </c>
      <c r="F15" s="35">
        <f>F10*F7/365</f>
        <v>562090.3420671518</v>
      </c>
      <c r="G15" s="35">
        <f>G10*G7/365</f>
        <v>581763.504039502</v>
      </c>
      <c r="H15" s="35">
        <f>H10*H7/365</f>
        <v>599216.40916068712</v>
      </c>
    </row>
    <row r="16" spans="2:8" ht="14" customHeight="1" x14ac:dyDescent="0.3">
      <c r="B16" s="33" t="s">
        <v>189</v>
      </c>
      <c r="C16" s="35">
        <f t="shared" ref="C16:H16" si="2">C15</f>
        <v>706729</v>
      </c>
      <c r="D16" s="35">
        <f t="shared" si="2"/>
        <v>514734.74548273976</v>
      </c>
      <c r="E16" s="35">
        <f t="shared" si="2"/>
        <v>540471.48275687674</v>
      </c>
      <c r="F16" s="35">
        <f t="shared" si="2"/>
        <v>562090.3420671518</v>
      </c>
      <c r="G16" s="35">
        <f t="shared" si="2"/>
        <v>581763.504039502</v>
      </c>
      <c r="H16" s="35">
        <f t="shared" si="2"/>
        <v>599216.40916068712</v>
      </c>
    </row>
    <row r="17" spans="2:8" ht="14" customHeight="1" x14ac:dyDescent="0.3">
      <c r="B17" s="22" t="s">
        <v>190</v>
      </c>
      <c r="C17" s="23"/>
      <c r="D17" s="23"/>
      <c r="E17" s="23"/>
      <c r="F17" s="23"/>
      <c r="G17" s="23"/>
      <c r="H17" s="23"/>
    </row>
    <row r="18" spans="2:8" ht="14" customHeight="1" x14ac:dyDescent="0.3">
      <c r="B18" s="33" t="s">
        <v>191</v>
      </c>
      <c r="C18" s="20">
        <f t="shared" ref="C18:H18" si="3">C14-C16</f>
        <v>659299</v>
      </c>
      <c r="D18" s="20">
        <f t="shared" si="3"/>
        <v>742419.45222246577</v>
      </c>
      <c r="E18" s="20">
        <f t="shared" si="3"/>
        <v>779540.42483358912</v>
      </c>
      <c r="F18" s="20">
        <f t="shared" si="3"/>
        <v>810722.04182693269</v>
      </c>
      <c r="G18" s="20">
        <f t="shared" si="3"/>
        <v>839097.31329087517</v>
      </c>
      <c r="H18" s="20">
        <f t="shared" si="3"/>
        <v>864270.23268960137</v>
      </c>
    </row>
    <row r="19" spans="2:8" ht="14" customHeight="1" x14ac:dyDescent="0.3">
      <c r="B19" s="33" t="s">
        <v>100</v>
      </c>
      <c r="C19" s="36" t="s">
        <v>47</v>
      </c>
      <c r="D19" s="24">
        <f>D18-C18</f>
        <v>83120.45222246577</v>
      </c>
      <c r="E19" s="24">
        <f>E18-D18</f>
        <v>37120.972611123347</v>
      </c>
      <c r="F19" s="24">
        <f>F18-E18</f>
        <v>31181.616993343574</v>
      </c>
      <c r="G19" s="24">
        <f>G18-F18</f>
        <v>28375.271463942481</v>
      </c>
      <c r="H19" s="24">
        <f>H18-G18</f>
        <v>25172.919398726197</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100</v>
      </c>
      <c r="E25" s="30">
        <v>100</v>
      </c>
      <c r="F25" s="30">
        <v>100</v>
      </c>
      <c r="G25" s="30">
        <v>100</v>
      </c>
      <c r="H25" s="30">
        <v>100</v>
      </c>
    </row>
    <row r="26" spans="2:8" ht="14" customHeight="1" x14ac:dyDescent="0.3">
      <c r="B26" s="4" t="s">
        <v>121</v>
      </c>
      <c r="D26" s="30">
        <v>97</v>
      </c>
      <c r="E26" s="30">
        <v>97</v>
      </c>
      <c r="F26" s="30">
        <v>97</v>
      </c>
      <c r="G26" s="30">
        <v>97</v>
      </c>
      <c r="H26" s="30">
        <v>97</v>
      </c>
    </row>
    <row r="27" spans="2:8" ht="14" customHeight="1" x14ac:dyDescent="0.3">
      <c r="B27" s="4" t="s">
        <v>122</v>
      </c>
      <c r="D27" s="30">
        <v>100</v>
      </c>
      <c r="E27" s="30">
        <v>100</v>
      </c>
      <c r="F27" s="30">
        <v>100</v>
      </c>
      <c r="G27" s="30">
        <v>100</v>
      </c>
      <c r="H27" s="30">
        <v>100</v>
      </c>
    </row>
    <row r="28" spans="2:8" ht="14" customHeight="1" x14ac:dyDescent="0.3">
      <c r="B28" s="4" t="s">
        <v>123</v>
      </c>
      <c r="D28" s="30">
        <v>105</v>
      </c>
      <c r="E28" s="30">
        <v>105</v>
      </c>
      <c r="F28" s="30">
        <v>105</v>
      </c>
      <c r="G28" s="30">
        <v>105</v>
      </c>
      <c r="H28" s="30">
        <v>105</v>
      </c>
    </row>
    <row r="29" spans="2:8" ht="14" customHeight="1" x14ac:dyDescent="0.3">
      <c r="B29" s="4" t="s">
        <v>124</v>
      </c>
      <c r="D29" s="30">
        <v>112</v>
      </c>
      <c r="E29" s="30">
        <v>112</v>
      </c>
      <c r="F29" s="30">
        <v>112</v>
      </c>
      <c r="G29" s="30">
        <v>112</v>
      </c>
      <c r="H29" s="30">
        <v>112</v>
      </c>
    </row>
    <row r="31" spans="2:8" ht="14" customHeight="1" x14ac:dyDescent="0.3">
      <c r="B31" s="3" t="s">
        <v>194</v>
      </c>
    </row>
    <row r="32" spans="2:8" ht="14" customHeight="1" x14ac:dyDescent="0.3">
      <c r="B32" s="4" t="s">
        <v>84</v>
      </c>
      <c r="D32" s="30">
        <v>106</v>
      </c>
      <c r="E32" s="30">
        <v>106</v>
      </c>
      <c r="F32" s="30">
        <v>106</v>
      </c>
      <c r="G32" s="30">
        <v>106</v>
      </c>
      <c r="H32" s="30">
        <v>106</v>
      </c>
    </row>
    <row r="33" spans="2:8" ht="14" customHeight="1" x14ac:dyDescent="0.3">
      <c r="B33" s="4" t="s">
        <v>121</v>
      </c>
      <c r="D33" s="30">
        <v>102</v>
      </c>
      <c r="E33" s="30">
        <v>102</v>
      </c>
      <c r="F33" s="30">
        <v>102</v>
      </c>
      <c r="G33" s="30">
        <v>102</v>
      </c>
      <c r="H33" s="30">
        <v>102</v>
      </c>
    </row>
    <row r="34" spans="2:8" ht="14" customHeight="1" x14ac:dyDescent="0.3">
      <c r="B34" s="4" t="s">
        <v>122</v>
      </c>
      <c r="D34" s="30">
        <v>106</v>
      </c>
      <c r="E34" s="30">
        <v>106</v>
      </c>
      <c r="F34" s="30">
        <v>106</v>
      </c>
      <c r="G34" s="30">
        <v>106</v>
      </c>
      <c r="H34" s="30">
        <v>106</v>
      </c>
    </row>
    <row r="35" spans="2:8" ht="14" customHeight="1" x14ac:dyDescent="0.3">
      <c r="B35" s="4" t="s">
        <v>123</v>
      </c>
      <c r="D35" s="30">
        <v>112</v>
      </c>
      <c r="E35" s="30">
        <v>112</v>
      </c>
      <c r="F35" s="30">
        <v>112</v>
      </c>
      <c r="G35" s="30">
        <v>112</v>
      </c>
      <c r="H35" s="30">
        <v>112</v>
      </c>
    </row>
    <row r="36" spans="2:8" ht="14" customHeight="1" x14ac:dyDescent="0.3">
      <c r="B36" s="4" t="s">
        <v>124</v>
      </c>
      <c r="D36" s="30">
        <v>120</v>
      </c>
      <c r="E36" s="30">
        <v>120</v>
      </c>
      <c r="F36" s="30">
        <v>120</v>
      </c>
      <c r="G36" s="30">
        <v>120</v>
      </c>
      <c r="H36" s="30">
        <v>120</v>
      </c>
    </row>
    <row r="38" spans="2:8" ht="14" customHeight="1" x14ac:dyDescent="0.3">
      <c r="B38" s="3" t="s">
        <v>195</v>
      </c>
    </row>
    <row r="39" spans="2:8" ht="14" customHeight="1" x14ac:dyDescent="0.3">
      <c r="B39" s="4" t="s">
        <v>84</v>
      </c>
      <c r="D39" s="30">
        <v>103</v>
      </c>
      <c r="E39" s="30">
        <v>103</v>
      </c>
      <c r="F39" s="30">
        <v>103</v>
      </c>
      <c r="G39" s="30">
        <v>103</v>
      </c>
      <c r="H39" s="30">
        <v>103</v>
      </c>
    </row>
    <row r="40" spans="2:8" ht="14" customHeight="1" x14ac:dyDescent="0.3">
      <c r="B40" s="4" t="s">
        <v>121</v>
      </c>
      <c r="D40" s="30">
        <v>106</v>
      </c>
      <c r="E40" s="30">
        <v>106</v>
      </c>
      <c r="F40" s="30">
        <v>106</v>
      </c>
      <c r="G40" s="30">
        <v>106</v>
      </c>
      <c r="H40" s="30">
        <v>106</v>
      </c>
    </row>
    <row r="41" spans="2:8" ht="14" customHeight="1" x14ac:dyDescent="0.3">
      <c r="B41" s="4" t="s">
        <v>122</v>
      </c>
      <c r="D41" s="30">
        <v>103</v>
      </c>
      <c r="E41" s="30">
        <v>103</v>
      </c>
      <c r="F41" s="30">
        <v>103</v>
      </c>
      <c r="G41" s="30">
        <v>103</v>
      </c>
      <c r="H41" s="30">
        <v>103</v>
      </c>
    </row>
    <row r="42" spans="2:8" ht="14" customHeight="1" x14ac:dyDescent="0.3">
      <c r="B42" s="4" t="s">
        <v>123</v>
      </c>
      <c r="D42" s="30">
        <v>99</v>
      </c>
      <c r="E42" s="30">
        <v>99</v>
      </c>
      <c r="F42" s="30">
        <v>99</v>
      </c>
      <c r="G42" s="30">
        <v>99</v>
      </c>
      <c r="H42" s="30">
        <v>99</v>
      </c>
    </row>
    <row r="43" spans="2:8" ht="14" customHeight="1" x14ac:dyDescent="0.3">
      <c r="B43" s="4" t="s">
        <v>124</v>
      </c>
      <c r="D43" s="30">
        <v>94</v>
      </c>
      <c r="E43" s="30">
        <v>94</v>
      </c>
      <c r="F43" s="30">
        <v>94</v>
      </c>
      <c r="G43" s="30">
        <v>94</v>
      </c>
      <c r="H43" s="30">
        <v>94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5518883.1184374997</v>
      </c>
      <c r="E5" s="37">
        <f>D5+C24</f>
        <v>5292078.1184374997</v>
      </c>
      <c r="F5" s="37">
        <v>2504820</v>
      </c>
      <c r="G5" s="37">
        <v>476606</v>
      </c>
      <c r="H5" s="37">
        <v>272414</v>
      </c>
      <c r="I5" s="37">
        <v>195663</v>
      </c>
      <c r="J5" s="38">
        <f t="shared" ref="J5:J10" si="0">IFERROR(E5/G5,"")</f>
        <v>11.103674981929517</v>
      </c>
      <c r="K5" s="38">
        <f t="shared" ref="K5:K10" si="1">IFERROR(E5/F5,"")</f>
        <v>2.1127578502397375</v>
      </c>
      <c r="L5" s="38">
        <f t="shared" ref="L5:L10" si="2">IFERROR(D5/I5,"")</f>
        <v>28.206064092023016</v>
      </c>
      <c r="M5" s="38">
        <f t="shared" ref="M5:M10" si="3">IFERROR(D5/P5,"")</f>
        <v>2.5232248211382502</v>
      </c>
      <c r="N5" s="39">
        <f t="shared" ref="N5:N10" si="4">IFERROR(H5/F5,"")</f>
        <v>0.10875591858896048</v>
      </c>
      <c r="O5" s="39">
        <f t="shared" ref="O5:O10" si="5">IFERROR(I5/P5,"")</f>
        <v>8.9456820806552928E-2</v>
      </c>
      <c r="P5" s="37">
        <v>2187234</v>
      </c>
    </row>
    <row r="6" spans="2:17" ht="14" customHeight="1" x14ac:dyDescent="0.3">
      <c r="B6" s="4" t="s">
        <v>214</v>
      </c>
      <c r="C6" t="s">
        <v>215</v>
      </c>
      <c r="D6" s="37">
        <v>13089866</v>
      </c>
      <c r="E6" s="37">
        <v>12491933</v>
      </c>
      <c r="F6" s="37">
        <v>1830856</v>
      </c>
      <c r="G6" s="37">
        <v>460047</v>
      </c>
      <c r="H6" s="37">
        <v>281835</v>
      </c>
      <c r="I6" s="37">
        <v>233920</v>
      </c>
      <c r="J6" s="38">
        <f t="shared" si="0"/>
        <v>27.153601697217894</v>
      </c>
      <c r="K6" s="38">
        <f t="shared" si="1"/>
        <v>6.8230013720358125</v>
      </c>
      <c r="L6" s="38">
        <f t="shared" si="2"/>
        <v>55.958729480164159</v>
      </c>
      <c r="M6" s="38">
        <f t="shared" si="3"/>
        <v>4.814675752728375</v>
      </c>
      <c r="N6" s="39">
        <f t="shared" si="4"/>
        <v>0.15393619159562522</v>
      </c>
      <c r="O6" s="39">
        <f t="shared" si="5"/>
        <v>8.6039761757547517E-2</v>
      </c>
      <c r="P6" s="37">
        <v>2718743</v>
      </c>
    </row>
    <row r="7" spans="2:17" ht="14" customHeight="1" x14ac:dyDescent="0.3">
      <c r="B7" s="4" t="s">
        <v>216</v>
      </c>
      <c r="C7" t="s">
        <v>217</v>
      </c>
      <c r="D7" s="37">
        <v>4475178</v>
      </c>
      <c r="E7" s="37">
        <v>4352015</v>
      </c>
      <c r="F7" s="37">
        <v>2070203</v>
      </c>
      <c r="G7" s="37">
        <v>253210</v>
      </c>
      <c r="H7" s="37">
        <v>95021</v>
      </c>
      <c r="I7" s="37">
        <v>140969</v>
      </c>
      <c r="J7" s="38">
        <f t="shared" si="0"/>
        <v>17.187374116346117</v>
      </c>
      <c r="K7" s="38">
        <f t="shared" si="1"/>
        <v>2.1022165459136133</v>
      </c>
      <c r="L7" s="38">
        <f t="shared" si="2"/>
        <v>31.745830643616681</v>
      </c>
      <c r="M7" s="38">
        <f t="shared" si="3"/>
        <v>1.3401019515001209</v>
      </c>
      <c r="N7" s="39">
        <f t="shared" si="4"/>
        <v>4.5899363492372489E-2</v>
      </c>
      <c r="O7" s="39">
        <f t="shared" si="5"/>
        <v>4.2213478883079185E-2</v>
      </c>
      <c r="P7" s="37">
        <v>3339431</v>
      </c>
    </row>
    <row r="8" spans="2:17" ht="14" customHeight="1" x14ac:dyDescent="0.3">
      <c r="B8" s="4" t="s">
        <v>218</v>
      </c>
      <c r="C8" t="s">
        <v>219</v>
      </c>
      <c r="D8" s="37">
        <v>1179635</v>
      </c>
      <c r="E8" s="37">
        <v>1250775</v>
      </c>
      <c r="F8" s="37">
        <v>355341</v>
      </c>
      <c r="G8" s="37">
        <v>69144</v>
      </c>
      <c r="H8" s="37">
        <v>19996</v>
      </c>
      <c r="I8" s="37">
        <v>14806</v>
      </c>
      <c r="J8" s="38">
        <f t="shared" si="0"/>
        <v>18.089422075668171</v>
      </c>
      <c r="K8" s="38">
        <f t="shared" si="1"/>
        <v>3.5199287445017604</v>
      </c>
      <c r="L8" s="38">
        <f t="shared" si="2"/>
        <v>79.672767796839125</v>
      </c>
      <c r="M8" s="38">
        <f t="shared" si="3"/>
        <v>3.4250693936332066</v>
      </c>
      <c r="N8" s="39">
        <f t="shared" si="4"/>
        <v>5.6272707061667523E-2</v>
      </c>
      <c r="O8" s="39">
        <f t="shared" si="5"/>
        <v>4.2989210596611038E-2</v>
      </c>
      <c r="P8" s="37">
        <v>344412</v>
      </c>
    </row>
    <row r="9" spans="2:17" ht="14" customHeight="1" x14ac:dyDescent="0.3">
      <c r="B9" s="4" t="s">
        <v>220</v>
      </c>
      <c r="C9" t="s">
        <v>221</v>
      </c>
      <c r="D9" s="37">
        <v>5755433</v>
      </c>
      <c r="E9" s="37">
        <v>5652289</v>
      </c>
      <c r="F9" s="37">
        <v>416201</v>
      </c>
      <c r="G9" s="37">
        <v>128264</v>
      </c>
      <c r="H9" s="37">
        <v>62028</v>
      </c>
      <c r="I9" s="37">
        <v>63713</v>
      </c>
      <c r="J9" s="38">
        <f t="shared" si="0"/>
        <v>44.067618349653841</v>
      </c>
      <c r="K9" s="38">
        <f t="shared" si="1"/>
        <v>13.580671358310047</v>
      </c>
      <c r="L9" s="38">
        <f t="shared" si="2"/>
        <v>90.333730949727681</v>
      </c>
      <c r="M9" s="38">
        <f t="shared" si="3"/>
        <v>10.463072948764795</v>
      </c>
      <c r="N9" s="39">
        <f t="shared" si="4"/>
        <v>0.14903376013032166</v>
      </c>
      <c r="O9" s="39">
        <f t="shared" si="5"/>
        <v>0.11582686598639085</v>
      </c>
      <c r="P9" s="37">
        <v>550071</v>
      </c>
    </row>
    <row r="10" spans="2:17" ht="14" customHeight="1" x14ac:dyDescent="0.3">
      <c r="B10" s="4" t="s">
        <v>222</v>
      </c>
      <c r="C10" t="s">
        <v>223</v>
      </c>
      <c r="D10" s="37">
        <v>810546</v>
      </c>
      <c r="E10" s="37">
        <v>729436</v>
      </c>
      <c r="F10" s="37">
        <v>211264</v>
      </c>
      <c r="G10" s="37">
        <v>62460</v>
      </c>
      <c r="H10" s="37">
        <v>42995</v>
      </c>
      <c r="I10" s="37">
        <v>33142</v>
      </c>
      <c r="J10" s="38">
        <f t="shared" si="0"/>
        <v>11.678450208133205</v>
      </c>
      <c r="K10" s="38">
        <f t="shared" si="1"/>
        <v>3.4527226598000604</v>
      </c>
      <c r="L10" s="38">
        <f t="shared" si="2"/>
        <v>24.456761812805503</v>
      </c>
      <c r="M10" s="38">
        <f t="shared" si="3"/>
        <v>2.1438762150366992</v>
      </c>
      <c r="N10" s="39">
        <f t="shared" si="4"/>
        <v>0.2035131399575886</v>
      </c>
      <c r="O10" s="39">
        <f t="shared" si="5"/>
        <v>8.7659855848707266E-2</v>
      </c>
      <c r="P10" s="37">
        <v>378075</v>
      </c>
    </row>
    <row r="14" spans="2:17" ht="14" customHeight="1" x14ac:dyDescent="0.3">
      <c r="B14" s="3" t="s">
        <v>224</v>
      </c>
    </row>
    <row r="15" spans="2:17" ht="14" customHeight="1" x14ac:dyDescent="0.3">
      <c r="B15" s="4" t="s">
        <v>225</v>
      </c>
      <c r="D15" s="38">
        <f t="shared" ref="D15:I15" si="6">PERCENTILE(J6:J10,0.25)</f>
        <v>17.187374116346117</v>
      </c>
      <c r="E15" s="38">
        <f t="shared" si="6"/>
        <v>3.4527226598000604</v>
      </c>
      <c r="F15" s="38">
        <f t="shared" si="6"/>
        <v>31.745830643616681</v>
      </c>
      <c r="G15" s="38">
        <f t="shared" si="6"/>
        <v>2.1438762150366992</v>
      </c>
      <c r="H15" s="39">
        <f t="shared" si="6"/>
        <v>5.6272707061667523E-2</v>
      </c>
      <c r="I15" s="39">
        <f t="shared" si="6"/>
        <v>4.2989210596611038E-2</v>
      </c>
    </row>
    <row r="16" spans="2:17" ht="14" customHeight="1" x14ac:dyDescent="0.3">
      <c r="B16" s="4" t="s">
        <v>226</v>
      </c>
      <c r="D16" s="38">
        <f t="shared" ref="D16:I16" si="7">MEDIAN(J6:J10)</f>
        <v>18.089422075668171</v>
      </c>
      <c r="E16" s="38">
        <f t="shared" si="7"/>
        <v>3.5199287445017604</v>
      </c>
      <c r="F16" s="38">
        <f t="shared" si="7"/>
        <v>55.958729480164159</v>
      </c>
      <c r="G16" s="38">
        <f t="shared" si="7"/>
        <v>3.4250693936332066</v>
      </c>
      <c r="H16" s="39">
        <f t="shared" si="7"/>
        <v>0.14903376013032166</v>
      </c>
      <c r="I16" s="39">
        <f t="shared" si="7"/>
        <v>8.6039761757547517E-2</v>
      </c>
    </row>
    <row r="17" spans="2:9" ht="14" customHeight="1" x14ac:dyDescent="0.3">
      <c r="B17" s="4" t="s">
        <v>227</v>
      </c>
      <c r="D17" s="38">
        <f t="shared" ref="D17:I17" si="8">PERCENTILE(J6:J10,0.75)</f>
        <v>27.153601697217894</v>
      </c>
      <c r="E17" s="38">
        <f t="shared" si="8"/>
        <v>6.8230013720358125</v>
      </c>
      <c r="F17" s="38">
        <f t="shared" si="8"/>
        <v>79.672767796839125</v>
      </c>
      <c r="G17" s="38">
        <f t="shared" si="8"/>
        <v>4.814675752728375</v>
      </c>
      <c r="H17" s="39">
        <f t="shared" si="8"/>
        <v>0.15393619159562522</v>
      </c>
      <c r="I17" s="39">
        <f t="shared" si="8"/>
        <v>8.7659855848707266E-2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476606</v>
      </c>
    </row>
    <row r="22" spans="2:9" ht="14" customHeight="1" x14ac:dyDescent="0.3">
      <c r="B22" s="4" t="s">
        <v>231</v>
      </c>
      <c r="C22" s="5">
        <v>195663</v>
      </c>
    </row>
    <row r="23" spans="2:9" ht="14" customHeight="1" x14ac:dyDescent="0.3">
      <c r="B23" s="4" t="s">
        <v>232</v>
      </c>
      <c r="C23" s="15">
        <v>1898154125</v>
      </c>
    </row>
    <row r="24" spans="2:9" ht="14" customHeight="1" x14ac:dyDescent="0.3">
      <c r="B24" s="4" t="s">
        <v>73</v>
      </c>
      <c r="C24" s="5">
        <v>-226805</v>
      </c>
    </row>
    <row r="26" spans="2:9" ht="14" customHeight="1" x14ac:dyDescent="0.3">
      <c r="B26" s="3" t="s">
        <v>233</v>
      </c>
    </row>
    <row r="27" spans="2:9" ht="14" customHeight="1" x14ac:dyDescent="0.3">
      <c r="B27" s="4" t="s">
        <v>234</v>
      </c>
      <c r="C27" s="24">
        <f>ROUND((C21*D16-C24)*1000000/C23,0)</f>
        <v>4662</v>
      </c>
    </row>
    <row r="28" spans="2:9" ht="14" customHeight="1" x14ac:dyDescent="0.3">
      <c r="B28" s="4" t="s">
        <v>235</v>
      </c>
      <c r="C28" s="24">
        <f>ROUND(C22*F16*1000000/C23,0)</f>
        <v>5768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8.5004999999999997E-2</v>
      </c>
      <c r="E3" s="4" t="s">
        <v>238</v>
      </c>
      <c r="F3" s="16">
        <f>'DCF Model'!C13</f>
        <v>0.01</v>
      </c>
      <c r="H3" s="4" t="s">
        <v>239</v>
      </c>
      <c r="I3" s="14">
        <f>'DCF Model'!C14</f>
        <v>18.100000000000001</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7.0004999999999998E-2</v>
      </c>
      <c r="C7" s="37">
        <f>IFERROR(ROUND(('DCF Model'!C45/(1+$B7)^('DCF Model'!C19+0)+'DCF Model'!D45/(1+$B7)^('DCF Model'!C19+1)+'DCF Model'!E45/(1+$B7)^('DCF Model'!C19+2)+'DCF Model'!F45/(1+$B7)^('DCF Model'!C19+3)+'DCF Model'!G45/(1+$B7)^('DCF Model'!C19+4)+'DCF Model'!G45*(1+C$6)/($B7-C$6)/(1+$B7)^('DCF Model'!C19+4)-'DCF Model'!C16)*1000000/'DCF Model'!C15,0),"")</f>
        <v>1621</v>
      </c>
      <c r="D7" s="37">
        <f>IFERROR(ROUND(('DCF Model'!C45/(1+$B7)^('DCF Model'!C19+0)+'DCF Model'!D45/(1+$B7)^('DCF Model'!C19+1)+'DCF Model'!E45/(1+$B7)^('DCF Model'!C19+2)+'DCF Model'!F45/(1+$B7)^('DCF Model'!C19+3)+'DCF Model'!G45/(1+$B7)^('DCF Model'!C19+4)+'DCF Model'!G45*(1+D$6)/($B7-D$6)/(1+$B7)^('DCF Model'!C19+4)-'DCF Model'!C16)*1000000/'DCF Model'!C15,0),"")</f>
        <v>1671</v>
      </c>
      <c r="E7" s="37">
        <f>IFERROR(ROUND(('DCF Model'!C45/(1+$B7)^('DCF Model'!C19+0)+'DCF Model'!D45/(1+$B7)^('DCF Model'!C19+1)+'DCF Model'!E45/(1+$B7)^('DCF Model'!C19+2)+'DCF Model'!F45/(1+$B7)^('DCF Model'!C19+3)+'DCF Model'!G45/(1+$B7)^('DCF Model'!C19+4)+'DCF Model'!G45*(1+E$6)/($B7-E$6)/(1+$B7)^('DCF Model'!C19+4)-'DCF Model'!C16)*1000000/'DCF Model'!C15,0),"")</f>
        <v>1724</v>
      </c>
      <c r="F7" s="37">
        <f>IFERROR(ROUND(('DCF Model'!C45/(1+$B7)^('DCF Model'!C19+0)+'DCF Model'!D45/(1+$B7)^('DCF Model'!C19+1)+'DCF Model'!E45/(1+$B7)^('DCF Model'!C19+2)+'DCF Model'!F45/(1+$B7)^('DCF Model'!C19+3)+'DCF Model'!G45/(1+$B7)^('DCF Model'!C19+4)+'DCF Model'!G45*(1+F$6)/($B7-F$6)/(1+$B7)^('DCF Model'!C19+4)-'DCF Model'!C16)*1000000/'DCF Model'!C15,0),"")</f>
        <v>1781</v>
      </c>
      <c r="G7" s="37">
        <f>IFERROR(ROUND(('DCF Model'!C45/(1+$B7)^('DCF Model'!C19+0)+'DCF Model'!D45/(1+$B7)^('DCF Model'!C19+1)+'DCF Model'!E45/(1+$B7)^('DCF Model'!C19+2)+'DCF Model'!F45/(1+$B7)^('DCF Model'!C19+3)+'DCF Model'!G45/(1+$B7)^('DCF Model'!C19+4)+'DCF Model'!G45*(1+G$6)/($B7-G$6)/(1+$B7)^('DCF Model'!C19+4)-'DCF Model'!C16)*1000000/'DCF Model'!C15,0),"")</f>
        <v>1843</v>
      </c>
      <c r="H7" s="37">
        <f>IFERROR(ROUND(('DCF Model'!C45/(1+$B7)^('DCF Model'!C19+0)+'DCF Model'!D45/(1+$B7)^('DCF Model'!C19+1)+'DCF Model'!E45/(1+$B7)^('DCF Model'!C19+2)+'DCF Model'!F45/(1+$B7)^('DCF Model'!C19+3)+'DCF Model'!G45/(1+$B7)^('DCF Model'!C19+4)+'DCF Model'!G45*(1+H$6)/($B7-H$6)/(1+$B7)^('DCF Model'!C19+4)-'DCF Model'!C16)*1000000/'DCF Model'!C15,0),"")</f>
        <v>1912</v>
      </c>
      <c r="I7" s="37">
        <f>IFERROR(ROUND(('DCF Model'!C45/(1+$B7)^('DCF Model'!C19+0)+'DCF Model'!D45/(1+$B7)^('DCF Model'!C19+1)+'DCF Model'!E45/(1+$B7)^('DCF Model'!C19+2)+'DCF Model'!F45/(1+$B7)^('DCF Model'!C19+3)+'DCF Model'!G45/(1+$B7)^('DCF Model'!C19+4)+'DCF Model'!G45*(1+I$6)/($B7-I$6)/(1+$B7)^('DCF Model'!C19+4)-'DCF Model'!C16)*1000000/'DCF Model'!C15,0),"")</f>
        <v>1986</v>
      </c>
    </row>
    <row r="8" spans="2:9" ht="13.5" customHeight="1" x14ac:dyDescent="0.25">
      <c r="B8" s="39">
        <f>$C$3-0.01</f>
        <v>7.5005000000000002E-2</v>
      </c>
      <c r="C8" s="37">
        <f>IFERROR(ROUND(('DCF Model'!C45/(1+$B8)^('DCF Model'!C19+0)+'DCF Model'!D45/(1+$B8)^('DCF Model'!C19+1)+'DCF Model'!E45/(1+$B8)^('DCF Model'!C19+2)+'DCF Model'!F45/(1+$B8)^('DCF Model'!C19+3)+'DCF Model'!G45/(1+$B8)^('DCF Model'!C19+4)+'DCF Model'!G45*(1+C$6)/($B8-C$6)/(1+$B8)^('DCF Model'!C19+4)-'DCF Model'!C16)*1000000/'DCF Model'!C15,0),"")</f>
        <v>1508</v>
      </c>
      <c r="D8" s="37">
        <f>IFERROR(ROUND(('DCF Model'!C45/(1+$B8)^('DCF Model'!C19+0)+'DCF Model'!D45/(1+$B8)^('DCF Model'!C19+1)+'DCF Model'!E45/(1+$B8)^('DCF Model'!C19+2)+'DCF Model'!F45/(1+$B8)^('DCF Model'!C19+3)+'DCF Model'!G45/(1+$B8)^('DCF Model'!C19+4)+'DCF Model'!G45*(1+D$6)/($B8-D$6)/(1+$B8)^('DCF Model'!C19+4)-'DCF Model'!C16)*1000000/'DCF Model'!C15,0),"")</f>
        <v>1550</v>
      </c>
      <c r="E8" s="37">
        <f>IFERROR(ROUND(('DCF Model'!C45/(1+$B8)^('DCF Model'!C19+0)+'DCF Model'!D45/(1+$B8)^('DCF Model'!C19+1)+'DCF Model'!E45/(1+$B8)^('DCF Model'!C19+2)+'DCF Model'!F45/(1+$B8)^('DCF Model'!C19+3)+'DCF Model'!G45/(1+$B8)^('DCF Model'!C19+4)+'DCF Model'!G45*(1+E$6)/($B8-E$6)/(1+$B8)^('DCF Model'!C19+4)-'DCF Model'!C16)*1000000/'DCF Model'!C15,0),"")</f>
        <v>1595</v>
      </c>
      <c r="F8" s="37">
        <f>IFERROR(ROUND(('DCF Model'!C45/(1+$B8)^('DCF Model'!C19+0)+'DCF Model'!D45/(1+$B8)^('DCF Model'!C19+1)+'DCF Model'!E45/(1+$B8)^('DCF Model'!C19+2)+'DCF Model'!F45/(1+$B8)^('DCF Model'!C19+3)+'DCF Model'!G45/(1+$B8)^('DCF Model'!C19+4)+'DCF Model'!G45*(1+F$6)/($B8-F$6)/(1+$B8)^('DCF Model'!C19+4)-'DCF Model'!C16)*1000000/'DCF Model'!C15,0),"")</f>
        <v>1643</v>
      </c>
      <c r="G8" s="37">
        <f>IFERROR(ROUND(('DCF Model'!C45/(1+$B8)^('DCF Model'!C19+0)+'DCF Model'!D45/(1+$B8)^('DCF Model'!C19+1)+'DCF Model'!E45/(1+$B8)^('DCF Model'!C19+2)+'DCF Model'!F45/(1+$B8)^('DCF Model'!C19+3)+'DCF Model'!G45/(1+$B8)^('DCF Model'!C19+4)+'DCF Model'!G45*(1+G$6)/($B8-G$6)/(1+$B8)^('DCF Model'!C19+4)-'DCF Model'!C16)*1000000/'DCF Model'!C15,0),"")</f>
        <v>1695</v>
      </c>
      <c r="H8" s="37">
        <f>IFERROR(ROUND(('DCF Model'!C45/(1+$B8)^('DCF Model'!C19+0)+'DCF Model'!D45/(1+$B8)^('DCF Model'!C19+1)+'DCF Model'!E45/(1+$B8)^('DCF Model'!C19+2)+'DCF Model'!F45/(1+$B8)^('DCF Model'!C19+3)+'DCF Model'!G45/(1+$B8)^('DCF Model'!C19+4)+'DCF Model'!G45*(1+H$6)/($B8-H$6)/(1+$B8)^('DCF Model'!C19+4)-'DCF Model'!C16)*1000000/'DCF Model'!C15,0),"")</f>
        <v>1751</v>
      </c>
      <c r="I8" s="37">
        <f>IFERROR(ROUND(('DCF Model'!C45/(1+$B8)^('DCF Model'!C19+0)+'DCF Model'!D45/(1+$B8)^('DCF Model'!C19+1)+'DCF Model'!E45/(1+$B8)^('DCF Model'!C19+2)+'DCF Model'!F45/(1+$B8)^('DCF Model'!C19+3)+'DCF Model'!G45/(1+$B8)^('DCF Model'!C19+4)+'DCF Model'!G45*(1+I$6)/($B8-I$6)/(1+$B8)^('DCF Model'!C19+4)-'DCF Model'!C16)*1000000/'DCF Model'!C15,0),"")</f>
        <v>1813</v>
      </c>
    </row>
    <row r="9" spans="2:9" ht="13.5" customHeight="1" x14ac:dyDescent="0.25">
      <c r="B9" s="39">
        <f>$C$3-0.005</f>
        <v>8.0004999999999993E-2</v>
      </c>
      <c r="C9" s="37">
        <f>IFERROR(ROUND(('DCF Model'!C45/(1+$B9)^('DCF Model'!C19+0)+'DCF Model'!D45/(1+$B9)^('DCF Model'!C19+1)+'DCF Model'!E45/(1+$B9)^('DCF Model'!C19+2)+'DCF Model'!F45/(1+$B9)^('DCF Model'!C19+3)+'DCF Model'!G45/(1+$B9)^('DCF Model'!C19+4)+'DCF Model'!G45*(1+C$6)/($B9-C$6)/(1+$B9)^('DCF Model'!C19+4)-'DCF Model'!C16)*1000000/'DCF Model'!C15,0),"")</f>
        <v>1410</v>
      </c>
      <c r="D9" s="37">
        <f>IFERROR(ROUND(('DCF Model'!C45/(1+$B9)^('DCF Model'!C19+0)+'DCF Model'!D45/(1+$B9)^('DCF Model'!C19+1)+'DCF Model'!E45/(1+$B9)^('DCF Model'!C19+2)+'DCF Model'!F45/(1+$B9)^('DCF Model'!C19+3)+'DCF Model'!G45/(1+$B9)^('DCF Model'!C19+4)+'DCF Model'!G45*(1+D$6)/($B9-D$6)/(1+$B9)^('DCF Model'!C19+4)-'DCF Model'!C16)*1000000/'DCF Model'!C15,0),"")</f>
        <v>1446</v>
      </c>
      <c r="E9" s="37">
        <f>IFERROR(ROUND(('DCF Model'!C45/(1+$B9)^('DCF Model'!C19+0)+'DCF Model'!D45/(1+$B9)^('DCF Model'!C19+1)+'DCF Model'!E45/(1+$B9)^('DCF Model'!C19+2)+'DCF Model'!F45/(1+$B9)^('DCF Model'!C19+3)+'DCF Model'!G45/(1+$B9)^('DCF Model'!C19+4)+'DCF Model'!G45*(1+E$6)/($B9-E$6)/(1+$B9)^('DCF Model'!C19+4)-'DCF Model'!C16)*1000000/'DCF Model'!C15,0),"")</f>
        <v>1484</v>
      </c>
      <c r="F9" s="37">
        <f>IFERROR(ROUND(('DCF Model'!C45/(1+$B9)^('DCF Model'!C19+0)+'DCF Model'!D45/(1+$B9)^('DCF Model'!C19+1)+'DCF Model'!E45/(1+$B9)^('DCF Model'!C19+2)+'DCF Model'!F45/(1+$B9)^('DCF Model'!C19+3)+'DCF Model'!G45/(1+$B9)^('DCF Model'!C19+4)+'DCF Model'!G45*(1+F$6)/($B9-F$6)/(1+$B9)^('DCF Model'!C19+4)-'DCF Model'!C16)*1000000/'DCF Model'!C15,0),"")</f>
        <v>1525</v>
      </c>
      <c r="G9" s="37">
        <f>IFERROR(ROUND(('DCF Model'!C45/(1+$B9)^('DCF Model'!C19+0)+'DCF Model'!D45/(1+$B9)^('DCF Model'!C19+1)+'DCF Model'!E45/(1+$B9)^('DCF Model'!C19+2)+'DCF Model'!F45/(1+$B9)^('DCF Model'!C19+3)+'DCF Model'!G45/(1+$B9)^('DCF Model'!C19+4)+'DCF Model'!G45*(1+G$6)/($B9-G$6)/(1+$B9)^('DCF Model'!C19+4)-'DCF Model'!C16)*1000000/'DCF Model'!C15,0),"")</f>
        <v>1569</v>
      </c>
      <c r="H9" s="37">
        <f>IFERROR(ROUND(('DCF Model'!C45/(1+$B9)^('DCF Model'!C19+0)+'DCF Model'!D45/(1+$B9)^('DCF Model'!C19+1)+'DCF Model'!E45/(1+$B9)^('DCF Model'!C19+2)+'DCF Model'!F45/(1+$B9)^('DCF Model'!C19+3)+'DCF Model'!G45/(1+$B9)^('DCF Model'!C19+4)+'DCF Model'!G45*(1+H$6)/($B9-H$6)/(1+$B9)^('DCF Model'!C19+4)-'DCF Model'!C16)*1000000/'DCF Model'!C15,0),"")</f>
        <v>1616</v>
      </c>
      <c r="I9" s="37">
        <f>IFERROR(ROUND(('DCF Model'!C45/(1+$B9)^('DCF Model'!C19+0)+'DCF Model'!D45/(1+$B9)^('DCF Model'!C19+1)+'DCF Model'!E45/(1+$B9)^('DCF Model'!C19+2)+'DCF Model'!F45/(1+$B9)^('DCF Model'!C19+3)+'DCF Model'!G45/(1+$B9)^('DCF Model'!C19+4)+'DCF Model'!G45*(1+I$6)/($B9-I$6)/(1+$B9)^('DCF Model'!C19+4)-'DCF Model'!C16)*1000000/'DCF Model'!C15,0),"")</f>
        <v>1667</v>
      </c>
    </row>
    <row r="10" spans="2:9" ht="13.5" customHeight="1" x14ac:dyDescent="0.25">
      <c r="B10" s="39">
        <f>$C$3</f>
        <v>8.5004999999999997E-2</v>
      </c>
      <c r="C10" s="37">
        <f>IFERROR(ROUND(('DCF Model'!C45/(1+$B10)^('DCF Model'!C19+0)+'DCF Model'!D45/(1+$B10)^('DCF Model'!C19+1)+'DCF Model'!E45/(1+$B10)^('DCF Model'!C19+2)+'DCF Model'!F45/(1+$B10)^('DCF Model'!C19+3)+'DCF Model'!G45/(1+$B10)^('DCF Model'!C19+4)+'DCF Model'!G45*(1+C$6)/($B10-C$6)/(1+$B10)^('DCF Model'!C19+4)-'DCF Model'!C16)*1000000/'DCF Model'!C15,0),"")</f>
        <v>1324</v>
      </c>
      <c r="D10" s="37">
        <f>IFERROR(ROUND(('DCF Model'!C45/(1+$B10)^('DCF Model'!C19+0)+'DCF Model'!D45/(1+$B10)^('DCF Model'!C19+1)+'DCF Model'!E45/(1+$B10)^('DCF Model'!C19+2)+'DCF Model'!F45/(1+$B10)^('DCF Model'!C19+3)+'DCF Model'!G45/(1+$B10)^('DCF Model'!C19+4)+'DCF Model'!G45*(1+D$6)/($B10-D$6)/(1+$B10)^('DCF Model'!C19+4)-'DCF Model'!C16)*1000000/'DCF Model'!C15,0),"")</f>
        <v>1355</v>
      </c>
      <c r="E10" s="37">
        <f>IFERROR(ROUND(('DCF Model'!C45/(1+$B10)^('DCF Model'!C19+0)+'DCF Model'!D45/(1+$B10)^('DCF Model'!C19+1)+'DCF Model'!E45/(1+$B10)^('DCF Model'!C19+2)+'DCF Model'!F45/(1+$B10)^('DCF Model'!C19+3)+'DCF Model'!G45/(1+$B10)^('DCF Model'!C19+4)+'DCF Model'!G45*(1+E$6)/($B10-E$6)/(1+$B10)^('DCF Model'!C19+4)-'DCF Model'!C16)*1000000/'DCF Model'!C15,0),"")</f>
        <v>1388</v>
      </c>
      <c r="F10" s="37">
        <f>IFERROR(ROUND(('DCF Model'!C45/(1+$B10)^('DCF Model'!C19+0)+'DCF Model'!D45/(1+$B10)^('DCF Model'!C19+1)+'DCF Model'!E45/(1+$B10)^('DCF Model'!C19+2)+'DCF Model'!F45/(1+$B10)^('DCF Model'!C19+3)+'DCF Model'!G45/(1+$B10)^('DCF Model'!C19+4)+'DCF Model'!G45*(1+F$6)/($B10-F$6)/(1+$B10)^('DCF Model'!C19+4)-'DCF Model'!C16)*1000000/'DCF Model'!C15,0),"")</f>
        <v>1423</v>
      </c>
      <c r="G10" s="37">
        <f>IFERROR(ROUND(('DCF Model'!C45/(1+$B10)^('DCF Model'!C19+0)+'DCF Model'!D45/(1+$B10)^('DCF Model'!C19+1)+'DCF Model'!E45/(1+$B10)^('DCF Model'!C19+2)+'DCF Model'!F45/(1+$B10)^('DCF Model'!C19+3)+'DCF Model'!G45/(1+$B10)^('DCF Model'!C19+4)+'DCF Model'!G45*(1+G$6)/($B10-G$6)/(1+$B10)^('DCF Model'!C19+4)-'DCF Model'!C16)*1000000/'DCF Model'!C15,0),"")</f>
        <v>1460</v>
      </c>
      <c r="H10" s="37">
        <f>IFERROR(ROUND(('DCF Model'!C45/(1+$B10)^('DCF Model'!C19+0)+'DCF Model'!D45/(1+$B10)^('DCF Model'!C19+1)+'DCF Model'!E45/(1+$B10)^('DCF Model'!C19+2)+'DCF Model'!F45/(1+$B10)^('DCF Model'!C19+3)+'DCF Model'!G45/(1+$B10)^('DCF Model'!C19+4)+'DCF Model'!G45*(1+H$6)/($B10-H$6)/(1+$B10)^('DCF Model'!C19+4)-'DCF Model'!C16)*1000000/'DCF Model'!C15,0),"")</f>
        <v>1500</v>
      </c>
      <c r="I10" s="37">
        <f>IFERROR(ROUND(('DCF Model'!C45/(1+$B10)^('DCF Model'!C19+0)+'DCF Model'!D45/(1+$B10)^('DCF Model'!C19+1)+'DCF Model'!E45/(1+$B10)^('DCF Model'!C19+2)+'DCF Model'!F45/(1+$B10)^('DCF Model'!C19+3)+'DCF Model'!G45/(1+$B10)^('DCF Model'!C19+4)+'DCF Model'!G45*(1+I$6)/($B10-I$6)/(1+$B10)^('DCF Model'!C19+4)-'DCF Model'!C16)*1000000/'DCF Model'!C15,0),"")</f>
        <v>1544</v>
      </c>
    </row>
    <row r="11" spans="2:9" ht="13.5" customHeight="1" x14ac:dyDescent="0.25">
      <c r="B11" s="39">
        <f>$C$3+0.005</f>
        <v>9.0005000000000002E-2</v>
      </c>
      <c r="C11" s="37">
        <f>IFERROR(ROUND(('DCF Model'!C45/(1+$B11)^('DCF Model'!C19+0)+'DCF Model'!D45/(1+$B11)^('DCF Model'!C19+1)+'DCF Model'!E45/(1+$B11)^('DCF Model'!C19+2)+'DCF Model'!F45/(1+$B11)^('DCF Model'!C19+3)+'DCF Model'!G45/(1+$B11)^('DCF Model'!C19+4)+'DCF Model'!G45*(1+C$6)/($B11-C$6)/(1+$B11)^('DCF Model'!C19+4)-'DCF Model'!C16)*1000000/'DCF Model'!C15,0),"")</f>
        <v>1248</v>
      </c>
      <c r="D11" s="37">
        <f>IFERROR(ROUND(('DCF Model'!C45/(1+$B11)^('DCF Model'!C19+0)+'DCF Model'!D45/(1+$B11)^('DCF Model'!C19+1)+'DCF Model'!E45/(1+$B11)^('DCF Model'!C19+2)+'DCF Model'!F45/(1+$B11)^('DCF Model'!C19+3)+'DCF Model'!G45/(1+$B11)^('DCF Model'!C19+4)+'DCF Model'!G45*(1+D$6)/($B11-D$6)/(1+$B11)^('DCF Model'!C19+4)-'DCF Model'!C16)*1000000/'DCF Model'!C15,0),"")</f>
        <v>1275</v>
      </c>
      <c r="E11" s="37">
        <f>IFERROR(ROUND(('DCF Model'!C45/(1+$B11)^('DCF Model'!C19+0)+'DCF Model'!D45/(1+$B11)^('DCF Model'!C19+1)+'DCF Model'!E45/(1+$B11)^('DCF Model'!C19+2)+'DCF Model'!F45/(1+$B11)^('DCF Model'!C19+3)+'DCF Model'!G45/(1+$B11)^('DCF Model'!C19+4)+'DCF Model'!G45*(1+E$6)/($B11-E$6)/(1+$B11)^('DCF Model'!C19+4)-'DCF Model'!C16)*1000000/'DCF Model'!C15,0),"")</f>
        <v>1303</v>
      </c>
      <c r="F11" s="37">
        <f>IFERROR(ROUND(('DCF Model'!C45/(1+$B11)^('DCF Model'!C19+0)+'DCF Model'!D45/(1+$B11)^('DCF Model'!C19+1)+'DCF Model'!E45/(1+$B11)^('DCF Model'!C19+2)+'DCF Model'!F45/(1+$B11)^('DCF Model'!C19+3)+'DCF Model'!G45/(1+$B11)^('DCF Model'!C19+4)+'DCF Model'!G45*(1+F$6)/($B11-F$6)/(1+$B11)^('DCF Model'!C19+4)-'DCF Model'!C16)*1000000/'DCF Model'!C15,0),"")</f>
        <v>1334</v>
      </c>
      <c r="G11" s="37">
        <f>IFERROR(ROUND(('DCF Model'!C45/(1+$B11)^('DCF Model'!C19+0)+'DCF Model'!D45/(1+$B11)^('DCF Model'!C19+1)+'DCF Model'!E45/(1+$B11)^('DCF Model'!C19+2)+'DCF Model'!F45/(1+$B11)^('DCF Model'!C19+3)+'DCF Model'!G45/(1+$B11)^('DCF Model'!C19+4)+'DCF Model'!G45*(1+G$6)/($B11-G$6)/(1+$B11)^('DCF Model'!C19+4)-'DCF Model'!C16)*1000000/'DCF Model'!C15,0),"")</f>
        <v>1366</v>
      </c>
      <c r="H11" s="37">
        <f>IFERROR(ROUND(('DCF Model'!C45/(1+$B11)^('DCF Model'!C19+0)+'DCF Model'!D45/(1+$B11)^('DCF Model'!C19+1)+'DCF Model'!E45/(1+$B11)^('DCF Model'!C19+2)+'DCF Model'!F45/(1+$B11)^('DCF Model'!C19+3)+'DCF Model'!G45/(1+$B11)^('DCF Model'!C19+4)+'DCF Model'!G45*(1+H$6)/($B11-H$6)/(1+$B11)^('DCF Model'!C19+4)-'DCF Model'!C16)*1000000/'DCF Model'!C15,0),"")</f>
        <v>1400</v>
      </c>
      <c r="I11" s="37">
        <f>IFERROR(ROUND(('DCF Model'!C45/(1+$B11)^('DCF Model'!C19+0)+'DCF Model'!D45/(1+$B11)^('DCF Model'!C19+1)+'DCF Model'!E45/(1+$B11)^('DCF Model'!C19+2)+'DCF Model'!F45/(1+$B11)^('DCF Model'!C19+3)+'DCF Model'!G45/(1+$B11)^('DCF Model'!C19+4)+'DCF Model'!G45*(1+I$6)/($B11-I$6)/(1+$B11)^('DCF Model'!C19+4)-'DCF Model'!C16)*1000000/'DCF Model'!C15,0),"")</f>
        <v>1437</v>
      </c>
    </row>
    <row r="12" spans="2:9" ht="13.5" customHeight="1" x14ac:dyDescent="0.25">
      <c r="B12" s="39">
        <f>$C$3+0.01</f>
        <v>9.5004999999999992E-2</v>
      </c>
      <c r="C12" s="37">
        <f>IFERROR(ROUND(('DCF Model'!C45/(1+$B12)^('DCF Model'!C19+0)+'DCF Model'!D45/(1+$B12)^('DCF Model'!C19+1)+'DCF Model'!E45/(1+$B12)^('DCF Model'!C19+2)+'DCF Model'!F45/(1+$B12)^('DCF Model'!C19+3)+'DCF Model'!G45/(1+$B12)^('DCF Model'!C19+4)+'DCF Model'!G45*(1+C$6)/($B12-C$6)/(1+$B12)^('DCF Model'!C19+4)-'DCF Model'!C16)*1000000/'DCF Model'!C15,0),"")</f>
        <v>1180</v>
      </c>
      <c r="D12" s="37">
        <f>IFERROR(ROUND(('DCF Model'!C45/(1+$B12)^('DCF Model'!C19+0)+'DCF Model'!D45/(1+$B12)^('DCF Model'!C19+1)+'DCF Model'!E45/(1+$B12)^('DCF Model'!C19+2)+'DCF Model'!F45/(1+$B12)^('DCF Model'!C19+3)+'DCF Model'!G45/(1+$B12)^('DCF Model'!C19+4)+'DCF Model'!G45*(1+D$6)/($B12-D$6)/(1+$B12)^('DCF Model'!C19+4)-'DCF Model'!C16)*1000000/'DCF Model'!C15,0),"")</f>
        <v>1204</v>
      </c>
      <c r="E12" s="37">
        <f>IFERROR(ROUND(('DCF Model'!C45/(1+$B12)^('DCF Model'!C19+0)+'DCF Model'!D45/(1+$B12)^('DCF Model'!C19+1)+'DCF Model'!E45/(1+$B12)^('DCF Model'!C19+2)+'DCF Model'!F45/(1+$B12)^('DCF Model'!C19+3)+'DCF Model'!G45/(1+$B12)^('DCF Model'!C19+4)+'DCF Model'!G45*(1+E$6)/($B12-E$6)/(1+$B12)^('DCF Model'!C19+4)-'DCF Model'!C16)*1000000/'DCF Model'!C15,0),"")</f>
        <v>1228</v>
      </c>
      <c r="F12" s="37">
        <f>IFERROR(ROUND(('DCF Model'!C45/(1+$B12)^('DCF Model'!C19+0)+'DCF Model'!D45/(1+$B12)^('DCF Model'!C19+1)+'DCF Model'!E45/(1+$B12)^('DCF Model'!C19+2)+'DCF Model'!F45/(1+$B12)^('DCF Model'!C19+3)+'DCF Model'!G45/(1+$B12)^('DCF Model'!C19+4)+'DCF Model'!G45*(1+F$6)/($B12-F$6)/(1+$B12)^('DCF Model'!C19+4)-'DCF Model'!C16)*1000000/'DCF Model'!C15,0),"")</f>
        <v>1255</v>
      </c>
      <c r="G12" s="37">
        <f>IFERROR(ROUND(('DCF Model'!C45/(1+$B12)^('DCF Model'!C19+0)+'DCF Model'!D45/(1+$B12)^('DCF Model'!C19+1)+'DCF Model'!E45/(1+$B12)^('DCF Model'!C19+2)+'DCF Model'!F45/(1+$B12)^('DCF Model'!C19+3)+'DCF Model'!G45/(1+$B12)^('DCF Model'!C19+4)+'DCF Model'!G45*(1+G$6)/($B12-G$6)/(1+$B12)^('DCF Model'!C19+4)-'DCF Model'!C16)*1000000/'DCF Model'!C15,0),"")</f>
        <v>1283</v>
      </c>
      <c r="H12" s="37">
        <f>IFERROR(ROUND(('DCF Model'!C45/(1+$B12)^('DCF Model'!C19+0)+'DCF Model'!D45/(1+$B12)^('DCF Model'!C19+1)+'DCF Model'!E45/(1+$B12)^('DCF Model'!C19+2)+'DCF Model'!F45/(1+$B12)^('DCF Model'!C19+3)+'DCF Model'!G45/(1+$B12)^('DCF Model'!C19+4)+'DCF Model'!G45*(1+H$6)/($B12-H$6)/(1+$B12)^('DCF Model'!C19+4)-'DCF Model'!C16)*1000000/'DCF Model'!C15,0),"")</f>
        <v>1313</v>
      </c>
      <c r="I12" s="37">
        <f>IFERROR(ROUND(('DCF Model'!C45/(1+$B12)^('DCF Model'!C19+0)+'DCF Model'!D45/(1+$B12)^('DCF Model'!C19+1)+'DCF Model'!E45/(1+$B12)^('DCF Model'!C19+2)+'DCF Model'!F45/(1+$B12)^('DCF Model'!C19+3)+'DCF Model'!G45/(1+$B12)^('DCF Model'!C19+4)+'DCF Model'!G45*(1+I$6)/($B12-I$6)/(1+$B12)^('DCF Model'!C19+4)-'DCF Model'!C16)*1000000/'DCF Model'!C15,0),"")</f>
        <v>1344</v>
      </c>
    </row>
    <row r="13" spans="2:9" ht="13.5" customHeight="1" x14ac:dyDescent="0.25">
      <c r="B13" s="39">
        <f>$C$3+0.015</f>
        <v>0.100005</v>
      </c>
      <c r="C13" s="37">
        <f>IFERROR(ROUND(('DCF Model'!C45/(1+$B13)^('DCF Model'!C19+0)+'DCF Model'!D45/(1+$B13)^('DCF Model'!C19+1)+'DCF Model'!E45/(1+$B13)^('DCF Model'!C19+2)+'DCF Model'!F45/(1+$B13)^('DCF Model'!C19+3)+'DCF Model'!G45/(1+$B13)^('DCF Model'!C19+4)+'DCF Model'!G45*(1+C$6)/($B13-C$6)/(1+$B13)^('DCF Model'!C19+4)-'DCF Model'!C16)*1000000/'DCF Model'!C15,0),"")</f>
        <v>1119</v>
      </c>
      <c r="D13" s="37">
        <f>IFERROR(ROUND(('DCF Model'!C45/(1+$B13)^('DCF Model'!C19+0)+'DCF Model'!D45/(1+$B13)^('DCF Model'!C19+1)+'DCF Model'!E45/(1+$B13)^('DCF Model'!C19+2)+'DCF Model'!F45/(1+$B13)^('DCF Model'!C19+3)+'DCF Model'!G45/(1+$B13)^('DCF Model'!C19+4)+'DCF Model'!G45*(1+D$6)/($B13-D$6)/(1+$B13)^('DCF Model'!C19+4)-'DCF Model'!C16)*1000000/'DCF Model'!C15,0),"")</f>
        <v>1140</v>
      </c>
      <c r="E13" s="37">
        <f>IFERROR(ROUND(('DCF Model'!C45/(1+$B13)^('DCF Model'!C19+0)+'DCF Model'!D45/(1+$B13)^('DCF Model'!C19+1)+'DCF Model'!E45/(1+$B13)^('DCF Model'!C19+2)+'DCF Model'!F45/(1+$B13)^('DCF Model'!C19+3)+'DCF Model'!G45/(1+$B13)^('DCF Model'!C19+4)+'DCF Model'!G45*(1+E$6)/($B13-E$6)/(1+$B13)^('DCF Model'!C19+4)-'DCF Model'!C16)*1000000/'DCF Model'!C15,0),"")</f>
        <v>1162</v>
      </c>
      <c r="F13" s="37">
        <f>IFERROR(ROUND(('DCF Model'!C45/(1+$B13)^('DCF Model'!C19+0)+'DCF Model'!D45/(1+$B13)^('DCF Model'!C19+1)+'DCF Model'!E45/(1+$B13)^('DCF Model'!C19+2)+'DCF Model'!F45/(1+$B13)^('DCF Model'!C19+3)+'DCF Model'!G45/(1+$B13)^('DCF Model'!C19+4)+'DCF Model'!G45*(1+F$6)/($B13-F$6)/(1+$B13)^('DCF Model'!C19+4)-'DCF Model'!C16)*1000000/'DCF Model'!C15,0),"")</f>
        <v>1185</v>
      </c>
      <c r="G13" s="37">
        <f>IFERROR(ROUND(('DCF Model'!C45/(1+$B13)^('DCF Model'!C19+0)+'DCF Model'!D45/(1+$B13)^('DCF Model'!C19+1)+'DCF Model'!E45/(1+$B13)^('DCF Model'!C19+2)+'DCF Model'!F45/(1+$B13)^('DCF Model'!C19+3)+'DCF Model'!G45/(1+$B13)^('DCF Model'!C19+4)+'DCF Model'!G45*(1+G$6)/($B13-G$6)/(1+$B13)^('DCF Model'!C19+4)-'DCF Model'!C16)*1000000/'DCF Model'!C15,0),"")</f>
        <v>1210</v>
      </c>
      <c r="H13" s="37">
        <f>IFERROR(ROUND(('DCF Model'!C45/(1+$B13)^('DCF Model'!C19+0)+'DCF Model'!D45/(1+$B13)^('DCF Model'!C19+1)+'DCF Model'!E45/(1+$B13)^('DCF Model'!C19+2)+'DCF Model'!F45/(1+$B13)^('DCF Model'!C19+3)+'DCF Model'!G45/(1+$B13)^('DCF Model'!C19+4)+'DCF Model'!G45*(1+H$6)/($B13-H$6)/(1+$B13)^('DCF Model'!C19+4)-'DCF Model'!C16)*1000000/'DCF Model'!C15,0),"")</f>
        <v>1235</v>
      </c>
      <c r="I13" s="37">
        <f>IFERROR(ROUND(('DCF Model'!C45/(1+$B13)^('DCF Model'!C19+0)+'DCF Model'!D45/(1+$B13)^('DCF Model'!C19+1)+'DCF Model'!E45/(1+$B13)^('DCF Model'!C19+2)+'DCF Model'!F45/(1+$B13)^('DCF Model'!C19+3)+'DCF Model'!G45/(1+$B13)^('DCF Model'!C19+4)+'DCF Model'!G45*(1+I$6)/($B13-I$6)/(1+$B13)^('DCF Model'!C19+4)-'DCF Model'!C16)*1000000/'DCF Model'!C15,0),"")</f>
        <v>1263</v>
      </c>
    </row>
    <row r="16" spans="2:9" ht="14" customHeight="1" x14ac:dyDescent="0.3">
      <c r="B16" s="3" t="s">
        <v>242</v>
      </c>
    </row>
    <row r="17" spans="2:9" ht="14" customHeight="1" x14ac:dyDescent="0.3">
      <c r="B17" s="40" t="s">
        <v>243</v>
      </c>
      <c r="C17" s="42">
        <f>$I$3-3</f>
        <v>15.100000000000001</v>
      </c>
      <c r="D17" s="42">
        <f>$I$3-2</f>
        <v>16.100000000000001</v>
      </c>
      <c r="E17" s="42">
        <f>$I$3-1</f>
        <v>17.100000000000001</v>
      </c>
      <c r="F17" s="42">
        <f>$I$3</f>
        <v>18.100000000000001</v>
      </c>
      <c r="G17" s="42">
        <f>$I$3+1</f>
        <v>19.100000000000001</v>
      </c>
      <c r="H17" s="42">
        <f>$I$3+2</f>
        <v>20.100000000000001</v>
      </c>
      <c r="I17" s="42">
        <f>$I$3+3</f>
        <v>21.1</v>
      </c>
    </row>
    <row r="18" spans="2:9" ht="13.5" customHeight="1" x14ac:dyDescent="0.25">
      <c r="B18" s="39">
        <f>$C$3-0.015</f>
        <v>7.0004999999999998E-2</v>
      </c>
      <c r="C18" s="37">
        <f>IFERROR(ROUND(('DCF Model'!C45/(1+$B18)^('DCF Model'!C19+0)+'DCF Model'!D45/(1+$B18)^('DCF Model'!C19+1)+'DCF Model'!E45/(1+$B18)^('DCF Model'!C19+2)+'DCF Model'!F45/(1+$B18)^('DCF Model'!C19+3)+'DCF Model'!G45/(1+$B18)^('DCF Model'!C19+4)+('DCF Model'!G39+'DCF Model'!G42)*C$17/(1+$B18)^('DCF Model'!C19+4)-'DCF Model'!C16)*1000000/'DCF Model'!C15,0),"")</f>
        <v>3770</v>
      </c>
      <c r="D18" s="37">
        <f>IFERROR(ROUND(('DCF Model'!C45/(1+$B18)^('DCF Model'!C19+0)+'DCF Model'!D45/(1+$B18)^('DCF Model'!C19+1)+'DCF Model'!E45/(1+$B18)^('DCF Model'!C19+2)+'DCF Model'!F45/(1+$B18)^('DCF Model'!C19+3)+'DCF Model'!G45/(1+$B18)^('DCF Model'!C19+4)+('DCF Model'!G39+'DCF Model'!G42)*D$17/(1+$B18)^('DCF Model'!C19+4)-'DCF Model'!C16)*1000000/'DCF Model'!C15,0),"")</f>
        <v>3991</v>
      </c>
      <c r="E18" s="37">
        <f>IFERROR(ROUND(('DCF Model'!C45/(1+$B18)^('DCF Model'!C19+0)+'DCF Model'!D45/(1+$B18)^('DCF Model'!C19+1)+'DCF Model'!E45/(1+$B18)^('DCF Model'!C19+2)+'DCF Model'!F45/(1+$B18)^('DCF Model'!C19+3)+'DCF Model'!G45/(1+$B18)^('DCF Model'!C19+4)+('DCF Model'!G39+'DCF Model'!G42)*E$17/(1+$B18)^('DCF Model'!C19+4)-'DCF Model'!C16)*1000000/'DCF Model'!C15,0),"")</f>
        <v>4213</v>
      </c>
      <c r="F18" s="37">
        <f>IFERROR(ROUND(('DCF Model'!C45/(1+$B18)^('DCF Model'!C19+0)+'DCF Model'!D45/(1+$B18)^('DCF Model'!C19+1)+'DCF Model'!E45/(1+$B18)^('DCF Model'!C19+2)+'DCF Model'!F45/(1+$B18)^('DCF Model'!C19+3)+'DCF Model'!G45/(1+$B18)^('DCF Model'!C19+4)+('DCF Model'!G39+'DCF Model'!G42)*F$17/(1+$B18)^('DCF Model'!C19+4)-'DCF Model'!C16)*1000000/'DCF Model'!C15,0),"")</f>
        <v>4434</v>
      </c>
      <c r="G18" s="37">
        <f>IFERROR(ROUND(('DCF Model'!C45/(1+$B18)^('DCF Model'!C19+0)+'DCF Model'!D45/(1+$B18)^('DCF Model'!C19+1)+'DCF Model'!E45/(1+$B18)^('DCF Model'!C19+2)+'DCF Model'!F45/(1+$B18)^('DCF Model'!C19+3)+'DCF Model'!G45/(1+$B18)^('DCF Model'!C19+4)+('DCF Model'!G39+'DCF Model'!G42)*G$17/(1+$B18)^('DCF Model'!C19+4)-'DCF Model'!C16)*1000000/'DCF Model'!C15,0),"")</f>
        <v>4655</v>
      </c>
      <c r="H18" s="37">
        <f>IFERROR(ROUND(('DCF Model'!C45/(1+$B18)^('DCF Model'!C19+0)+'DCF Model'!D45/(1+$B18)^('DCF Model'!C19+1)+'DCF Model'!E45/(1+$B18)^('DCF Model'!C19+2)+'DCF Model'!F45/(1+$B18)^('DCF Model'!C19+3)+'DCF Model'!G45/(1+$B18)^('DCF Model'!C19+4)+('DCF Model'!G39+'DCF Model'!G42)*H$17/(1+$B18)^('DCF Model'!C19+4)-'DCF Model'!C16)*1000000/'DCF Model'!C15,0),"")</f>
        <v>4877</v>
      </c>
      <c r="I18" s="37">
        <f>IFERROR(ROUND(('DCF Model'!C45/(1+$B18)^('DCF Model'!C19+0)+'DCF Model'!D45/(1+$B18)^('DCF Model'!C19+1)+'DCF Model'!E45/(1+$B18)^('DCF Model'!C19+2)+'DCF Model'!F45/(1+$B18)^('DCF Model'!C19+3)+'DCF Model'!G45/(1+$B18)^('DCF Model'!C19+4)+('DCF Model'!G39+'DCF Model'!G42)*I$17/(1+$B18)^('DCF Model'!C19+4)-'DCF Model'!C16)*1000000/'DCF Model'!C15,0),"")</f>
        <v>5098</v>
      </c>
    </row>
    <row r="19" spans="2:9" ht="13.5" customHeight="1" x14ac:dyDescent="0.25">
      <c r="B19" s="39">
        <f>$C$3-0.01</f>
        <v>7.5005000000000002E-2</v>
      </c>
      <c r="C19" s="37">
        <f>IFERROR(ROUND(('DCF Model'!C45/(1+$B19)^('DCF Model'!C19+0)+'DCF Model'!D45/(1+$B19)^('DCF Model'!C19+1)+'DCF Model'!E45/(1+$B19)^('DCF Model'!C19+2)+'DCF Model'!F45/(1+$B19)^('DCF Model'!C19+3)+'DCF Model'!G45/(1+$B19)^('DCF Model'!C19+4)+('DCF Model'!G39+'DCF Model'!G42)*C$17/(1+$B19)^('DCF Model'!C19+4)-'DCF Model'!C16)*1000000/'DCF Model'!C15,0),"")</f>
        <v>3688</v>
      </c>
      <c r="D19" s="37">
        <f>IFERROR(ROUND(('DCF Model'!C45/(1+$B19)^('DCF Model'!C19+0)+'DCF Model'!D45/(1+$B19)^('DCF Model'!C19+1)+'DCF Model'!E45/(1+$B19)^('DCF Model'!C19+2)+'DCF Model'!F45/(1+$B19)^('DCF Model'!C19+3)+'DCF Model'!G45/(1+$B19)^('DCF Model'!C19+4)+('DCF Model'!G39+'DCF Model'!G42)*D$17/(1+$B19)^('DCF Model'!C19+4)-'DCF Model'!C16)*1000000/'DCF Model'!C15,0),"")</f>
        <v>3904</v>
      </c>
      <c r="E19" s="37">
        <f>IFERROR(ROUND(('DCF Model'!C45/(1+$B19)^('DCF Model'!C19+0)+'DCF Model'!D45/(1+$B19)^('DCF Model'!C19+1)+'DCF Model'!E45/(1+$B19)^('DCF Model'!C19+2)+'DCF Model'!F45/(1+$B19)^('DCF Model'!C19+3)+'DCF Model'!G45/(1+$B19)^('DCF Model'!C19+4)+('DCF Model'!G39+'DCF Model'!G42)*E$17/(1+$B19)^('DCF Model'!C19+4)-'DCF Model'!C16)*1000000/'DCF Model'!C15,0),"")</f>
        <v>4120</v>
      </c>
      <c r="F19" s="37">
        <f>IFERROR(ROUND(('DCF Model'!C45/(1+$B19)^('DCF Model'!C19+0)+'DCF Model'!D45/(1+$B19)^('DCF Model'!C19+1)+'DCF Model'!E45/(1+$B19)^('DCF Model'!C19+2)+'DCF Model'!F45/(1+$B19)^('DCF Model'!C19+3)+'DCF Model'!G45/(1+$B19)^('DCF Model'!C19+4)+('DCF Model'!G39+'DCF Model'!G42)*F$17/(1+$B19)^('DCF Model'!C19+4)-'DCF Model'!C16)*1000000/'DCF Model'!C15,0),"")</f>
        <v>4337</v>
      </c>
      <c r="G19" s="37">
        <f>IFERROR(ROUND(('DCF Model'!C45/(1+$B19)^('DCF Model'!C19+0)+'DCF Model'!D45/(1+$B19)^('DCF Model'!C19+1)+'DCF Model'!E45/(1+$B19)^('DCF Model'!C19+2)+'DCF Model'!F45/(1+$B19)^('DCF Model'!C19+3)+'DCF Model'!G45/(1+$B19)^('DCF Model'!C19+4)+('DCF Model'!G39+'DCF Model'!G42)*G$17/(1+$B19)^('DCF Model'!C19+4)-'DCF Model'!C16)*1000000/'DCF Model'!C15,0),"")</f>
        <v>4553</v>
      </c>
      <c r="H19" s="37">
        <f>IFERROR(ROUND(('DCF Model'!C45/(1+$B19)^('DCF Model'!C19+0)+'DCF Model'!D45/(1+$B19)^('DCF Model'!C19+1)+'DCF Model'!E45/(1+$B19)^('DCF Model'!C19+2)+'DCF Model'!F45/(1+$B19)^('DCF Model'!C19+3)+'DCF Model'!G45/(1+$B19)^('DCF Model'!C19+4)+('DCF Model'!G39+'DCF Model'!G42)*H$17/(1+$B19)^('DCF Model'!C19+4)-'DCF Model'!C16)*1000000/'DCF Model'!C15,0),"")</f>
        <v>4770</v>
      </c>
      <c r="I19" s="37">
        <f>IFERROR(ROUND(('DCF Model'!C45/(1+$B19)^('DCF Model'!C19+0)+'DCF Model'!D45/(1+$B19)^('DCF Model'!C19+1)+'DCF Model'!E45/(1+$B19)^('DCF Model'!C19+2)+'DCF Model'!F45/(1+$B19)^('DCF Model'!C19+3)+'DCF Model'!G45/(1+$B19)^('DCF Model'!C19+4)+('DCF Model'!G39+'DCF Model'!G42)*I$17/(1+$B19)^('DCF Model'!C19+4)-'DCF Model'!C16)*1000000/'DCF Model'!C15,0),"")</f>
        <v>4986</v>
      </c>
    </row>
    <row r="20" spans="2:9" ht="13.5" customHeight="1" x14ac:dyDescent="0.25">
      <c r="B20" s="39">
        <f>$C$3-0.005</f>
        <v>8.0004999999999993E-2</v>
      </c>
      <c r="C20" s="37">
        <f>IFERROR(ROUND(('DCF Model'!C45/(1+$B20)^('DCF Model'!C19+0)+'DCF Model'!D45/(1+$B20)^('DCF Model'!C19+1)+'DCF Model'!E45/(1+$B20)^('DCF Model'!C19+2)+'DCF Model'!F45/(1+$B20)^('DCF Model'!C19+3)+'DCF Model'!G45/(1+$B20)^('DCF Model'!C19+4)+('DCF Model'!G39+'DCF Model'!G42)*C$17/(1+$B20)^('DCF Model'!C19+4)-'DCF Model'!C16)*1000000/'DCF Model'!C15,0),"")</f>
        <v>3608</v>
      </c>
      <c r="D20" s="37">
        <f>IFERROR(ROUND(('DCF Model'!C45/(1+$B20)^('DCF Model'!C19+0)+'DCF Model'!D45/(1+$B20)^('DCF Model'!C19+1)+'DCF Model'!E45/(1+$B20)^('DCF Model'!C19+2)+'DCF Model'!F45/(1+$B20)^('DCF Model'!C19+3)+'DCF Model'!G45/(1+$B20)^('DCF Model'!C19+4)+('DCF Model'!G39+'DCF Model'!G42)*D$17/(1+$B20)^('DCF Model'!C19+4)-'DCF Model'!C16)*1000000/'DCF Model'!C15,0),"")</f>
        <v>3819</v>
      </c>
      <c r="E20" s="37">
        <f>IFERROR(ROUND(('DCF Model'!C45/(1+$B20)^('DCF Model'!C19+0)+'DCF Model'!D45/(1+$B20)^('DCF Model'!C19+1)+'DCF Model'!E45/(1+$B20)^('DCF Model'!C19+2)+'DCF Model'!F45/(1+$B20)^('DCF Model'!C19+3)+'DCF Model'!G45/(1+$B20)^('DCF Model'!C19+4)+('DCF Model'!G39+'DCF Model'!G42)*E$17/(1+$B20)^('DCF Model'!C19+4)-'DCF Model'!C16)*1000000/'DCF Model'!C15,0),"")</f>
        <v>4031</v>
      </c>
      <c r="F20" s="37">
        <f>IFERROR(ROUND(('DCF Model'!C45/(1+$B20)^('DCF Model'!C19+0)+'DCF Model'!D45/(1+$B20)^('DCF Model'!C19+1)+'DCF Model'!E45/(1+$B20)^('DCF Model'!C19+2)+'DCF Model'!F45/(1+$B20)^('DCF Model'!C19+3)+'DCF Model'!G45/(1+$B20)^('DCF Model'!C19+4)+('DCF Model'!G39+'DCF Model'!G42)*F$17/(1+$B20)^('DCF Model'!C19+4)-'DCF Model'!C16)*1000000/'DCF Model'!C15,0),"")</f>
        <v>4242</v>
      </c>
      <c r="G20" s="37">
        <f>IFERROR(ROUND(('DCF Model'!C45/(1+$B20)^('DCF Model'!C19+0)+'DCF Model'!D45/(1+$B20)^('DCF Model'!C19+1)+'DCF Model'!E45/(1+$B20)^('DCF Model'!C19+2)+'DCF Model'!F45/(1+$B20)^('DCF Model'!C19+3)+'DCF Model'!G45/(1+$B20)^('DCF Model'!C19+4)+('DCF Model'!G39+'DCF Model'!G42)*G$17/(1+$B20)^('DCF Model'!C19+4)-'DCF Model'!C16)*1000000/'DCF Model'!C15,0),"")</f>
        <v>4454</v>
      </c>
      <c r="H20" s="37">
        <f>IFERROR(ROUND(('DCF Model'!C45/(1+$B20)^('DCF Model'!C19+0)+'DCF Model'!D45/(1+$B20)^('DCF Model'!C19+1)+'DCF Model'!E45/(1+$B20)^('DCF Model'!C19+2)+'DCF Model'!F45/(1+$B20)^('DCF Model'!C19+3)+'DCF Model'!G45/(1+$B20)^('DCF Model'!C19+4)+('DCF Model'!G39+'DCF Model'!G42)*H$17/(1+$B20)^('DCF Model'!C19+4)-'DCF Model'!C16)*1000000/'DCF Model'!C15,0),"")</f>
        <v>4665</v>
      </c>
      <c r="I20" s="37">
        <f>IFERROR(ROUND(('DCF Model'!C45/(1+$B20)^('DCF Model'!C19+0)+'DCF Model'!D45/(1+$B20)^('DCF Model'!C19+1)+'DCF Model'!E45/(1+$B20)^('DCF Model'!C19+2)+'DCF Model'!F45/(1+$B20)^('DCF Model'!C19+3)+'DCF Model'!G45/(1+$B20)^('DCF Model'!C19+4)+('DCF Model'!G39+'DCF Model'!G42)*I$17/(1+$B20)^('DCF Model'!C19+4)-'DCF Model'!C16)*1000000/'DCF Model'!C15,0),"")</f>
        <v>4876</v>
      </c>
    </row>
    <row r="21" spans="2:9" ht="13.5" customHeight="1" x14ac:dyDescent="0.25">
      <c r="B21" s="39">
        <f>$C$3</f>
        <v>8.5004999999999997E-2</v>
      </c>
      <c r="C21" s="37">
        <f>IFERROR(ROUND(('DCF Model'!C45/(1+$B21)^('DCF Model'!C19+0)+'DCF Model'!D45/(1+$B21)^('DCF Model'!C19+1)+'DCF Model'!E45/(1+$B21)^('DCF Model'!C19+2)+'DCF Model'!F45/(1+$B21)^('DCF Model'!C19+3)+'DCF Model'!G45/(1+$B21)^('DCF Model'!C19+4)+('DCF Model'!G39+'DCF Model'!G42)*C$17/(1+$B21)^('DCF Model'!C19+4)-'DCF Model'!C16)*1000000/'DCF Model'!C15,0),"")</f>
        <v>3531</v>
      </c>
      <c r="D21" s="37">
        <f>IFERROR(ROUND(('DCF Model'!C45/(1+$B21)^('DCF Model'!C19+0)+'DCF Model'!D45/(1+$B21)^('DCF Model'!C19+1)+'DCF Model'!E45/(1+$B21)^('DCF Model'!C19+2)+'DCF Model'!F45/(1+$B21)^('DCF Model'!C19+3)+'DCF Model'!G45/(1+$B21)^('DCF Model'!C19+4)+('DCF Model'!G39+'DCF Model'!G42)*D$17/(1+$B21)^('DCF Model'!C19+4)-'DCF Model'!C16)*1000000/'DCF Model'!C15,0),"")</f>
        <v>3737</v>
      </c>
      <c r="E21" s="37">
        <f>IFERROR(ROUND(('DCF Model'!C45/(1+$B21)^('DCF Model'!C19+0)+'DCF Model'!D45/(1+$B21)^('DCF Model'!C19+1)+'DCF Model'!E45/(1+$B21)^('DCF Model'!C19+2)+'DCF Model'!F45/(1+$B21)^('DCF Model'!C19+3)+'DCF Model'!G45/(1+$B21)^('DCF Model'!C19+4)+('DCF Model'!G39+'DCF Model'!G42)*E$17/(1+$B21)^('DCF Model'!C19+4)-'DCF Model'!C16)*1000000/'DCF Model'!C15,0),"")</f>
        <v>3944</v>
      </c>
      <c r="F21" s="37">
        <f>IFERROR(ROUND(('DCF Model'!C45/(1+$B21)^('DCF Model'!C19+0)+'DCF Model'!D45/(1+$B21)^('DCF Model'!C19+1)+'DCF Model'!E45/(1+$B21)^('DCF Model'!C19+2)+'DCF Model'!F45/(1+$B21)^('DCF Model'!C19+3)+'DCF Model'!G45/(1+$B21)^('DCF Model'!C19+4)+('DCF Model'!G39+'DCF Model'!G42)*F$17/(1+$B21)^('DCF Model'!C19+4)-'DCF Model'!C16)*1000000/'DCF Model'!C15,0),"")</f>
        <v>4150</v>
      </c>
      <c r="G21" s="37">
        <f>IFERROR(ROUND(('DCF Model'!C45/(1+$B21)^('DCF Model'!C19+0)+'DCF Model'!D45/(1+$B21)^('DCF Model'!C19+1)+'DCF Model'!E45/(1+$B21)^('DCF Model'!C19+2)+'DCF Model'!F45/(1+$B21)^('DCF Model'!C19+3)+'DCF Model'!G45/(1+$B21)^('DCF Model'!C19+4)+('DCF Model'!G39+'DCF Model'!G42)*G$17/(1+$B21)^('DCF Model'!C19+4)-'DCF Model'!C16)*1000000/'DCF Model'!C15,0),"")</f>
        <v>4357</v>
      </c>
      <c r="H21" s="37">
        <f>IFERROR(ROUND(('DCF Model'!C45/(1+$B21)^('DCF Model'!C19+0)+'DCF Model'!D45/(1+$B21)^('DCF Model'!C19+1)+'DCF Model'!E45/(1+$B21)^('DCF Model'!C19+2)+'DCF Model'!F45/(1+$B21)^('DCF Model'!C19+3)+'DCF Model'!G45/(1+$B21)^('DCF Model'!C19+4)+('DCF Model'!G39+'DCF Model'!G42)*H$17/(1+$B21)^('DCF Model'!C19+4)-'DCF Model'!C16)*1000000/'DCF Model'!C15,0),"")</f>
        <v>4563</v>
      </c>
      <c r="I21" s="37">
        <f>IFERROR(ROUND(('DCF Model'!C45/(1+$B21)^('DCF Model'!C19+0)+'DCF Model'!D45/(1+$B21)^('DCF Model'!C19+1)+'DCF Model'!E45/(1+$B21)^('DCF Model'!C19+2)+'DCF Model'!F45/(1+$B21)^('DCF Model'!C19+3)+'DCF Model'!G45/(1+$B21)^('DCF Model'!C19+4)+('DCF Model'!G39+'DCF Model'!G42)*I$17/(1+$B21)^('DCF Model'!C19+4)-'DCF Model'!C16)*1000000/'DCF Model'!C15,0),"")</f>
        <v>4770</v>
      </c>
    </row>
    <row r="22" spans="2:9" ht="13.5" customHeight="1" x14ac:dyDescent="0.25">
      <c r="B22" s="39">
        <f>$C$3+0.005</f>
        <v>9.0005000000000002E-2</v>
      </c>
      <c r="C22" s="37">
        <f>IFERROR(ROUND(('DCF Model'!C45/(1+$B22)^('DCF Model'!C19+0)+'DCF Model'!D45/(1+$B22)^('DCF Model'!C19+1)+'DCF Model'!E45/(1+$B22)^('DCF Model'!C19+2)+'DCF Model'!F45/(1+$B22)^('DCF Model'!C19+3)+'DCF Model'!G45/(1+$B22)^('DCF Model'!C19+4)+('DCF Model'!G39+'DCF Model'!G42)*C$17/(1+$B22)^('DCF Model'!C19+4)-'DCF Model'!C16)*1000000/'DCF Model'!C15,0),"")</f>
        <v>3455</v>
      </c>
      <c r="D22" s="37">
        <f>IFERROR(ROUND(('DCF Model'!C45/(1+$B22)^('DCF Model'!C19+0)+'DCF Model'!D45/(1+$B22)^('DCF Model'!C19+1)+'DCF Model'!E45/(1+$B22)^('DCF Model'!C19+2)+'DCF Model'!F45/(1+$B22)^('DCF Model'!C19+3)+'DCF Model'!G45/(1+$B22)^('DCF Model'!C19+4)+('DCF Model'!G39+'DCF Model'!G42)*D$17/(1+$B22)^('DCF Model'!C19+4)-'DCF Model'!C16)*1000000/'DCF Model'!C15,0),"")</f>
        <v>3657</v>
      </c>
      <c r="E22" s="37">
        <f>IFERROR(ROUND(('DCF Model'!C45/(1+$B22)^('DCF Model'!C19+0)+'DCF Model'!D45/(1+$B22)^('DCF Model'!C19+1)+'DCF Model'!E45/(1+$B22)^('DCF Model'!C19+2)+'DCF Model'!F45/(1+$B22)^('DCF Model'!C19+3)+'DCF Model'!G45/(1+$B22)^('DCF Model'!C19+4)+('DCF Model'!G39+'DCF Model'!G42)*E$17/(1+$B22)^('DCF Model'!C19+4)-'DCF Model'!C16)*1000000/'DCF Model'!C15,0),"")</f>
        <v>3859</v>
      </c>
      <c r="F22" s="37">
        <f>IFERROR(ROUND(('DCF Model'!C45/(1+$B22)^('DCF Model'!C19+0)+'DCF Model'!D45/(1+$B22)^('DCF Model'!C19+1)+'DCF Model'!E45/(1+$B22)^('DCF Model'!C19+2)+'DCF Model'!F45/(1+$B22)^('DCF Model'!C19+3)+'DCF Model'!G45/(1+$B22)^('DCF Model'!C19+4)+('DCF Model'!G39+'DCF Model'!G42)*F$17/(1+$B22)^('DCF Model'!C19+4)-'DCF Model'!C16)*1000000/'DCF Model'!C15,0),"")</f>
        <v>4061</v>
      </c>
      <c r="G22" s="37">
        <f>IFERROR(ROUND(('DCF Model'!C45/(1+$B22)^('DCF Model'!C19+0)+'DCF Model'!D45/(1+$B22)^('DCF Model'!C19+1)+'DCF Model'!E45/(1+$B22)^('DCF Model'!C19+2)+'DCF Model'!F45/(1+$B22)^('DCF Model'!C19+3)+'DCF Model'!G45/(1+$B22)^('DCF Model'!C19+4)+('DCF Model'!G39+'DCF Model'!G42)*G$17/(1+$B22)^('DCF Model'!C19+4)-'DCF Model'!C16)*1000000/'DCF Model'!C15,0),"")</f>
        <v>4263</v>
      </c>
      <c r="H22" s="37">
        <f>IFERROR(ROUND(('DCF Model'!C45/(1+$B22)^('DCF Model'!C19+0)+'DCF Model'!D45/(1+$B22)^('DCF Model'!C19+1)+'DCF Model'!E45/(1+$B22)^('DCF Model'!C19+2)+'DCF Model'!F45/(1+$B22)^('DCF Model'!C19+3)+'DCF Model'!G45/(1+$B22)^('DCF Model'!C19+4)+('DCF Model'!G39+'DCF Model'!G42)*H$17/(1+$B22)^('DCF Model'!C19+4)-'DCF Model'!C16)*1000000/'DCF Model'!C15,0),"")</f>
        <v>4465</v>
      </c>
      <c r="I22" s="37">
        <f>IFERROR(ROUND(('DCF Model'!C45/(1+$B22)^('DCF Model'!C19+0)+'DCF Model'!D45/(1+$B22)^('DCF Model'!C19+1)+'DCF Model'!E45/(1+$B22)^('DCF Model'!C19+2)+'DCF Model'!F45/(1+$B22)^('DCF Model'!C19+3)+'DCF Model'!G45/(1+$B22)^('DCF Model'!C19+4)+('DCF Model'!G39+'DCF Model'!G42)*I$17/(1+$B22)^('DCF Model'!C19+4)-'DCF Model'!C16)*1000000/'DCF Model'!C15,0),"")</f>
        <v>4666</v>
      </c>
    </row>
    <row r="23" spans="2:9" ht="13.5" customHeight="1" x14ac:dyDescent="0.25">
      <c r="B23" s="39">
        <f>$C$3+0.01</f>
        <v>9.5004999999999992E-2</v>
      </c>
      <c r="C23" s="37">
        <f>IFERROR(ROUND(('DCF Model'!C45/(1+$B23)^('DCF Model'!C19+0)+'DCF Model'!D45/(1+$B23)^('DCF Model'!C19+1)+'DCF Model'!E45/(1+$B23)^('DCF Model'!C19+2)+'DCF Model'!F45/(1+$B23)^('DCF Model'!C19+3)+'DCF Model'!G45/(1+$B23)^('DCF Model'!C19+4)+('DCF Model'!G39+'DCF Model'!G42)*C$17/(1+$B23)^('DCF Model'!C19+4)-'DCF Model'!C16)*1000000/'DCF Model'!C15,0),"")</f>
        <v>3382</v>
      </c>
      <c r="D23" s="37">
        <f>IFERROR(ROUND(('DCF Model'!C45/(1+$B23)^('DCF Model'!C19+0)+'DCF Model'!D45/(1+$B23)^('DCF Model'!C19+1)+'DCF Model'!E45/(1+$B23)^('DCF Model'!C19+2)+'DCF Model'!F45/(1+$B23)^('DCF Model'!C19+3)+'DCF Model'!G45/(1+$B23)^('DCF Model'!C19+4)+('DCF Model'!G39+'DCF Model'!G42)*D$17/(1+$B23)^('DCF Model'!C19+4)-'DCF Model'!C16)*1000000/'DCF Model'!C15,0),"")</f>
        <v>3579</v>
      </c>
      <c r="E23" s="37">
        <f>IFERROR(ROUND(('DCF Model'!C45/(1+$B23)^('DCF Model'!C19+0)+'DCF Model'!D45/(1+$B23)^('DCF Model'!C19+1)+'DCF Model'!E45/(1+$B23)^('DCF Model'!C19+2)+'DCF Model'!F45/(1+$B23)^('DCF Model'!C19+3)+'DCF Model'!G45/(1+$B23)^('DCF Model'!C19+4)+('DCF Model'!G39+'DCF Model'!G42)*E$17/(1+$B23)^('DCF Model'!C19+4)-'DCF Model'!C16)*1000000/'DCF Model'!C15,0),"")</f>
        <v>3776</v>
      </c>
      <c r="F23" s="37">
        <f>IFERROR(ROUND(('DCF Model'!C45/(1+$B23)^('DCF Model'!C19+0)+'DCF Model'!D45/(1+$B23)^('DCF Model'!C19+1)+'DCF Model'!E45/(1+$B23)^('DCF Model'!C19+2)+'DCF Model'!F45/(1+$B23)^('DCF Model'!C19+3)+'DCF Model'!G45/(1+$B23)^('DCF Model'!C19+4)+('DCF Model'!G39+'DCF Model'!G42)*F$17/(1+$B23)^('DCF Model'!C19+4)-'DCF Model'!C16)*1000000/'DCF Model'!C15,0),"")</f>
        <v>3974</v>
      </c>
      <c r="G23" s="37">
        <f>IFERROR(ROUND(('DCF Model'!C45/(1+$B23)^('DCF Model'!C19+0)+'DCF Model'!D45/(1+$B23)^('DCF Model'!C19+1)+'DCF Model'!E45/(1+$B23)^('DCF Model'!C19+2)+'DCF Model'!F45/(1+$B23)^('DCF Model'!C19+3)+'DCF Model'!G45/(1+$B23)^('DCF Model'!C19+4)+('DCF Model'!G39+'DCF Model'!G42)*G$17/(1+$B23)^('DCF Model'!C19+4)-'DCF Model'!C16)*1000000/'DCF Model'!C15,0),"")</f>
        <v>4171</v>
      </c>
      <c r="H23" s="37">
        <f>IFERROR(ROUND(('DCF Model'!C45/(1+$B23)^('DCF Model'!C19+0)+'DCF Model'!D45/(1+$B23)^('DCF Model'!C19+1)+'DCF Model'!E45/(1+$B23)^('DCF Model'!C19+2)+'DCF Model'!F45/(1+$B23)^('DCF Model'!C19+3)+'DCF Model'!G45/(1+$B23)^('DCF Model'!C19+4)+('DCF Model'!G39+'DCF Model'!G42)*H$17/(1+$B23)^('DCF Model'!C19+4)-'DCF Model'!C16)*1000000/'DCF Model'!C15,0),"")</f>
        <v>4368</v>
      </c>
      <c r="I23" s="37">
        <f>IFERROR(ROUND(('DCF Model'!C45/(1+$B23)^('DCF Model'!C19+0)+'DCF Model'!D45/(1+$B23)^('DCF Model'!C19+1)+'DCF Model'!E45/(1+$B23)^('DCF Model'!C19+2)+'DCF Model'!F45/(1+$B23)^('DCF Model'!C19+3)+'DCF Model'!G45/(1+$B23)^('DCF Model'!C19+4)+('DCF Model'!G39+'DCF Model'!G42)*I$17/(1+$B23)^('DCF Model'!C19+4)-'DCF Model'!C16)*1000000/'DCF Model'!C15,0),"")</f>
        <v>4566</v>
      </c>
    </row>
    <row r="24" spans="2:9" ht="13.5" customHeight="1" x14ac:dyDescent="0.25">
      <c r="B24" s="39">
        <f>$C$3+0.015</f>
        <v>0.100005</v>
      </c>
      <c r="C24" s="37">
        <f>IFERROR(ROUND(('DCF Model'!C45/(1+$B24)^('DCF Model'!C19+0)+'DCF Model'!D45/(1+$B24)^('DCF Model'!C19+1)+'DCF Model'!E45/(1+$B24)^('DCF Model'!C19+2)+'DCF Model'!F45/(1+$B24)^('DCF Model'!C19+3)+'DCF Model'!G45/(1+$B24)^('DCF Model'!C19+4)+('DCF Model'!G39+'DCF Model'!G42)*C$17/(1+$B24)^('DCF Model'!C19+4)-'DCF Model'!C16)*1000000/'DCF Model'!C15,0),"")</f>
        <v>3310</v>
      </c>
      <c r="D24" s="37">
        <f>IFERROR(ROUND(('DCF Model'!C45/(1+$B24)^('DCF Model'!C19+0)+'DCF Model'!D45/(1+$B24)^('DCF Model'!C19+1)+'DCF Model'!E45/(1+$B24)^('DCF Model'!C19+2)+'DCF Model'!F45/(1+$B24)^('DCF Model'!C19+3)+'DCF Model'!G45/(1+$B24)^('DCF Model'!C19+4)+('DCF Model'!G39+'DCF Model'!G42)*D$17/(1+$B24)^('DCF Model'!C19+4)-'DCF Model'!C16)*1000000/'DCF Model'!C15,0),"")</f>
        <v>3503</v>
      </c>
      <c r="E24" s="37">
        <f>IFERROR(ROUND(('DCF Model'!C45/(1+$B24)^('DCF Model'!C19+0)+'DCF Model'!D45/(1+$B24)^('DCF Model'!C19+1)+'DCF Model'!E45/(1+$B24)^('DCF Model'!C19+2)+'DCF Model'!F45/(1+$B24)^('DCF Model'!C19+3)+'DCF Model'!G45/(1+$B24)^('DCF Model'!C19+4)+('DCF Model'!G39+'DCF Model'!G42)*E$17/(1+$B24)^('DCF Model'!C19+4)-'DCF Model'!C16)*1000000/'DCF Model'!C15,0),"")</f>
        <v>3696</v>
      </c>
      <c r="F24" s="37">
        <f>IFERROR(ROUND(('DCF Model'!C45/(1+$B24)^('DCF Model'!C19+0)+'DCF Model'!D45/(1+$B24)^('DCF Model'!C19+1)+'DCF Model'!E45/(1+$B24)^('DCF Model'!C19+2)+'DCF Model'!F45/(1+$B24)^('DCF Model'!C19+3)+'DCF Model'!G45/(1+$B24)^('DCF Model'!C19+4)+('DCF Model'!G39+'DCF Model'!G42)*F$17/(1+$B24)^('DCF Model'!C19+4)-'DCF Model'!C16)*1000000/'DCF Model'!C15,0),"")</f>
        <v>3889</v>
      </c>
      <c r="G24" s="37">
        <f>IFERROR(ROUND(('DCF Model'!C45/(1+$B24)^('DCF Model'!C19+0)+'DCF Model'!D45/(1+$B24)^('DCF Model'!C19+1)+'DCF Model'!E45/(1+$B24)^('DCF Model'!C19+2)+'DCF Model'!F45/(1+$B24)^('DCF Model'!C19+3)+'DCF Model'!G45/(1+$B24)^('DCF Model'!C19+4)+('DCF Model'!G39+'DCF Model'!G42)*G$17/(1+$B24)^('DCF Model'!C19+4)-'DCF Model'!C16)*1000000/'DCF Model'!C15,0),"")</f>
        <v>4082</v>
      </c>
      <c r="H24" s="37">
        <f>IFERROR(ROUND(('DCF Model'!C45/(1+$B24)^('DCF Model'!C19+0)+'DCF Model'!D45/(1+$B24)^('DCF Model'!C19+1)+'DCF Model'!E45/(1+$B24)^('DCF Model'!C19+2)+'DCF Model'!F45/(1+$B24)^('DCF Model'!C19+3)+'DCF Model'!G45/(1+$B24)^('DCF Model'!C19+4)+('DCF Model'!G39+'DCF Model'!G42)*H$17/(1+$B24)^('DCF Model'!C19+4)-'DCF Model'!C16)*1000000/'DCF Model'!C15,0),"")</f>
        <v>4275</v>
      </c>
      <c r="I24" s="37">
        <f>IFERROR(ROUND(('DCF Model'!C45/(1+$B24)^('DCF Model'!C19+0)+'DCF Model'!D45/(1+$B24)^('DCF Model'!C19+1)+'DCF Model'!E45/(1+$B24)^('DCF Model'!C19+2)+'DCF Model'!F45/(1+$B24)^('DCF Model'!C19+3)+'DCF Model'!G45/(1+$B24)^('DCF Model'!C19+4)+('DCF Model'!G39+'DCF Model'!G42)*I$17/(1+$B24)^('DCF Model'!C19+4)-'DCF Model'!C16)*1000000/'DCF Model'!C15,0),"")</f>
        <v>4468</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262</v>
      </c>
    </row>
    <row r="10" spans="2:7" ht="30" customHeight="1" x14ac:dyDescent="0.3">
      <c r="B10" s="43" t="s">
        <v>257</v>
      </c>
      <c r="C10" s="4" t="s">
        <v>276</v>
      </c>
      <c r="D10" s="43" t="s">
        <v>277</v>
      </c>
      <c r="E10" s="43" t="s">
        <v>278</v>
      </c>
      <c r="F10" s="43" t="s">
        <v>279</v>
      </c>
      <c r="G10" s="43" t="s">
        <v>280</v>
      </c>
    </row>
    <row r="11" spans="2:7" ht="30" customHeight="1" x14ac:dyDescent="0.3">
      <c r="B11" s="43" t="s">
        <v>257</v>
      </c>
      <c r="C11" s="4" t="s">
        <v>281</v>
      </c>
      <c r="D11" s="43" t="s">
        <v>282</v>
      </c>
      <c r="E11" s="43" t="s">
        <v>283</v>
      </c>
      <c r="F11" s="43" t="s">
        <v>284</v>
      </c>
      <c r="G11" s="43" t="s">
        <v>285</v>
      </c>
    </row>
    <row r="12" spans="2:7" ht="30" customHeight="1" x14ac:dyDescent="0.3">
      <c r="B12" s="43" t="s">
        <v>257</v>
      </c>
      <c r="C12" s="4" t="s">
        <v>286</v>
      </c>
      <c r="D12" s="43" t="s">
        <v>287</v>
      </c>
      <c r="E12" s="43" t="s">
        <v>288</v>
      </c>
      <c r="F12" s="43" t="s">
        <v>289</v>
      </c>
      <c r="G12" s="43" t="s">
        <v>267</v>
      </c>
    </row>
    <row r="13" spans="2:7" ht="30" customHeight="1" x14ac:dyDescent="0.3">
      <c r="B13" s="43" t="s">
        <v>257</v>
      </c>
      <c r="C13" s="4" t="s">
        <v>290</v>
      </c>
      <c r="D13" s="43" t="s">
        <v>291</v>
      </c>
      <c r="E13" s="43" t="s">
        <v>292</v>
      </c>
      <c r="F13" s="43" t="s">
        <v>293</v>
      </c>
      <c r="G13" s="43" t="s">
        <v>267</v>
      </c>
    </row>
    <row r="14" spans="2:7" ht="30" customHeight="1" x14ac:dyDescent="0.3">
      <c r="B14" s="43" t="s">
        <v>257</v>
      </c>
      <c r="C14" s="4" t="s">
        <v>294</v>
      </c>
      <c r="D14" s="43" t="s">
        <v>295</v>
      </c>
      <c r="E14" s="43" t="s">
        <v>296</v>
      </c>
      <c r="F14" s="43" t="s">
        <v>253</v>
      </c>
      <c r="G14" s="43" t="s">
        <v>267</v>
      </c>
    </row>
    <row r="15" spans="2:7" ht="30" customHeight="1" x14ac:dyDescent="0.3">
      <c r="B15" s="43" t="s">
        <v>257</v>
      </c>
      <c r="C15" s="4" t="s">
        <v>297</v>
      </c>
      <c r="D15" s="43" t="s">
        <v>298</v>
      </c>
      <c r="E15" s="43" t="s">
        <v>299</v>
      </c>
      <c r="F15" s="43" t="s">
        <v>300</v>
      </c>
      <c r="G15" s="43" t="s">
        <v>301</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315</v>
      </c>
      <c r="G19" s="43" t="s">
        <v>316</v>
      </c>
    </row>
    <row r="20" spans="2:7" ht="30" customHeight="1" x14ac:dyDescent="0.3">
      <c r="B20" s="43" t="s">
        <v>257</v>
      </c>
      <c r="C20" s="4" t="s">
        <v>317</v>
      </c>
      <c r="D20" s="43" t="s">
        <v>318</v>
      </c>
      <c r="E20" s="43" t="s">
        <v>319</v>
      </c>
      <c r="F20" s="43" t="s">
        <v>253</v>
      </c>
      <c r="G20" s="43" t="s">
        <v>320</v>
      </c>
    </row>
    <row r="21" spans="2:7" ht="30" customHeight="1" x14ac:dyDescent="0.3">
      <c r="B21" s="43" t="s">
        <v>257</v>
      </c>
      <c r="C21" s="4" t="s">
        <v>321</v>
      </c>
      <c r="D21" s="43" t="s">
        <v>322</v>
      </c>
      <c r="E21" s="43" t="s">
        <v>323</v>
      </c>
      <c r="F21" s="43" t="s">
        <v>253</v>
      </c>
      <c r="G21" s="43" t="s">
        <v>324</v>
      </c>
    </row>
    <row r="22" spans="2:7" ht="30" customHeight="1" x14ac:dyDescent="0.3">
      <c r="B22" s="43" t="s">
        <v>257</v>
      </c>
      <c r="C22" s="4" t="s">
        <v>321</v>
      </c>
      <c r="D22" s="43" t="s">
        <v>325</v>
      </c>
      <c r="E22" s="43" t="s">
        <v>326</v>
      </c>
      <c r="F22" s="43" t="s">
        <v>253</v>
      </c>
      <c r="G22" s="43" t="s">
        <v>324</v>
      </c>
    </row>
    <row r="23" spans="2:7" ht="30" customHeight="1" x14ac:dyDescent="0.3">
      <c r="B23" s="43" t="s">
        <v>257</v>
      </c>
      <c r="C23" s="4" t="s">
        <v>321</v>
      </c>
      <c r="D23" s="43" t="s">
        <v>327</v>
      </c>
      <c r="E23" s="43" t="s">
        <v>328</v>
      </c>
      <c r="F23" s="43" t="s">
        <v>253</v>
      </c>
      <c r="G23" s="43" t="s">
        <v>324</v>
      </c>
    </row>
    <row r="24" spans="2:7" ht="30" customHeight="1" x14ac:dyDescent="0.3">
      <c r="B24" s="43" t="s">
        <v>257</v>
      </c>
      <c r="C24" s="4" t="s">
        <v>329</v>
      </c>
      <c r="D24" s="43" t="s">
        <v>330</v>
      </c>
      <c r="E24" s="43" t="s">
        <v>331</v>
      </c>
      <c r="F24" s="43" t="s">
        <v>332</v>
      </c>
      <c r="G24" s="43" t="s">
        <v>267</v>
      </c>
    </row>
    <row r="25" spans="2:7" ht="30" customHeight="1" x14ac:dyDescent="0.3">
      <c r="B25" s="43" t="s">
        <v>257</v>
      </c>
      <c r="C25" s="4" t="s">
        <v>333</v>
      </c>
      <c r="D25" s="43" t="s">
        <v>334</v>
      </c>
      <c r="E25" s="43" t="s">
        <v>335</v>
      </c>
      <c r="F25" s="43" t="s">
        <v>253</v>
      </c>
      <c r="G25" s="43" t="s">
        <v>336</v>
      </c>
    </row>
    <row r="26" spans="2:7" ht="14" customHeight="1" x14ac:dyDescent="0.2"/>
    <row r="27" spans="2:7" ht="14" customHeight="1" x14ac:dyDescent="0.3">
      <c r="B27" s="8" t="s">
        <v>337</v>
      </c>
    </row>
    <row r="28" spans="2:7" ht="14" customHeight="1" x14ac:dyDescent="0.3">
      <c r="B28" s="10" t="s">
        <v>338</v>
      </c>
      <c r="C28" s="10" t="s">
        <v>339</v>
      </c>
    </row>
    <row r="29" spans="2:7" ht="14" customHeight="1" x14ac:dyDescent="0.3">
      <c r="B29" s="4" t="s">
        <v>340</v>
      </c>
      <c r="C29" t="s">
        <v>341</v>
      </c>
    </row>
    <row r="30" spans="2:7" ht="14" customHeight="1" x14ac:dyDescent="0.3">
      <c r="B30" s="4" t="s">
        <v>342</v>
      </c>
      <c r="C30" t="s">
        <v>343</v>
      </c>
    </row>
    <row r="31" spans="2:7" ht="14" customHeight="1" x14ac:dyDescent="0.3">
      <c r="B31" s="4" t="s">
        <v>344</v>
      </c>
      <c r="C31" t="s">
        <v>345</v>
      </c>
    </row>
    <row r="32" spans="2:7" ht="14" customHeight="1" x14ac:dyDescent="0.3">
      <c r="B32" s="4" t="s">
        <v>346</v>
      </c>
      <c r="C32" t="s">
        <v>47</v>
      </c>
    </row>
    <row r="33" spans="2:3" ht="14" customHeight="1" x14ac:dyDescent="0.3">
      <c r="B33" s="4" t="s">
        <v>347</v>
      </c>
      <c r="C33" t="s">
        <v>4</v>
      </c>
    </row>
    <row r="34" spans="2:3" ht="14" customHeight="1" x14ac:dyDescent="0.3">
      <c r="B34" s="4" t="s">
        <v>348</v>
      </c>
      <c r="C34" t="s">
        <v>252</v>
      </c>
    </row>
    <row r="35" spans="2:3" ht="14" customHeight="1" x14ac:dyDescent="0.3">
      <c r="B35" s="4" t="s">
        <v>349</v>
      </c>
      <c r="C35" t="s">
        <v>350</v>
      </c>
    </row>
    <row r="36" spans="2:3" ht="14" customHeight="1" x14ac:dyDescent="0.3">
      <c r="B36" s="4" t="s">
        <v>351</v>
      </c>
      <c r="C36" t="s">
        <v>352</v>
      </c>
    </row>
    <row r="37" spans="2:3" ht="14" customHeight="1" x14ac:dyDescent="0.3">
      <c r="B37" s="4" t="s">
        <v>353</v>
      </c>
      <c r="C37" t="s">
        <v>354</v>
      </c>
    </row>
    <row r="38" spans="2:3" ht="14" customHeight="1" x14ac:dyDescent="0.3">
      <c r="B38" s="4" t="s">
        <v>355</v>
      </c>
      <c r="C38" t="s">
        <v>356</v>
      </c>
    </row>
    <row r="39" spans="2:3" ht="14" customHeight="1" x14ac:dyDescent="0.3">
      <c r="B39" s="4" t="s">
        <v>357</v>
      </c>
      <c r="C39" t="s">
        <v>358</v>
      </c>
    </row>
    <row r="40" spans="2:3" ht="14" customHeight="1" x14ac:dyDescent="0.3">
      <c r="B40" s="4" t="s">
        <v>359</v>
      </c>
      <c r="C40" t="s">
        <v>354</v>
      </c>
    </row>
    <row r="41" spans="2:3" ht="14" customHeight="1" x14ac:dyDescent="0.3">
      <c r="B41" s="4" t="s">
        <v>360</v>
      </c>
      <c r="C41" t="s">
        <v>350</v>
      </c>
    </row>
    <row r="42" spans="2:3" ht="14" customHeight="1" x14ac:dyDescent="0.3">
      <c r="B42" s="4" t="s">
        <v>361</v>
      </c>
      <c r="C42" t="s">
        <v>362</v>
      </c>
    </row>
    <row r="43" spans="2:3" ht="14" customHeight="1" x14ac:dyDescent="0.3">
      <c r="B43" s="4" t="s">
        <v>363</v>
      </c>
      <c r="C43" t="s">
        <v>364</v>
      </c>
    </row>
    <row r="44" spans="2:3" ht="14" customHeight="1" x14ac:dyDescent="0.3">
      <c r="B44" s="4" t="s">
        <v>365</v>
      </c>
      <c r="C44" t="s">
        <v>366</v>
      </c>
    </row>
    <row r="45" spans="2:3" ht="14" customHeight="1" x14ac:dyDescent="0.3">
      <c r="B45" s="4" t="s">
        <v>367</v>
      </c>
      <c r="C45" t="s">
        <v>368</v>
      </c>
    </row>
    <row r="46" spans="2:3" ht="14" customHeight="1" x14ac:dyDescent="0.3">
      <c r="B46" s="4" t="s">
        <v>369</v>
      </c>
      <c r="C46" t="s">
        <v>370</v>
      </c>
    </row>
    <row r="47" spans="2:3" ht="14" customHeight="1" x14ac:dyDescent="0.3">
      <c r="B47" s="4" t="s">
        <v>371</v>
      </c>
      <c r="C47" t="s">
        <v>372</v>
      </c>
    </row>
    <row r="48" spans="2:3" ht="14" customHeight="1" x14ac:dyDescent="0.3">
      <c r="B48" s="4" t="s">
        <v>373</v>
      </c>
      <c r="C48" t="s">
        <v>374</v>
      </c>
    </row>
    <row r="49" spans="2:3" ht="14" customHeight="1" x14ac:dyDescent="0.3">
      <c r="B49" s="4" t="s">
        <v>375</v>
      </c>
      <c r="C49" t="s">
        <v>376</v>
      </c>
    </row>
    <row r="50" spans="2:3" ht="14" customHeight="1" x14ac:dyDescent="0.3">
      <c r="B50" s="4" t="s">
        <v>377</v>
      </c>
      <c r="C50" t="s">
        <v>343</v>
      </c>
    </row>
    <row r="51" spans="2:3" ht="14" x14ac:dyDescent="0.3">
      <c r="B51" s="4" t="s">
        <v>378</v>
      </c>
      <c r="C51" t="s">
        <v>379</v>
      </c>
    </row>
    <row r="52" spans="2:3" ht="14" x14ac:dyDescent="0.3">
      <c r="B52" s="4" t="s">
        <v>380</v>
      </c>
      <c r="C52" t="s">
        <v>381</v>
      </c>
    </row>
    <row r="53" spans="2:3" ht="14" x14ac:dyDescent="0.3">
      <c r="B53" s="4" t="s">
        <v>382</v>
      </c>
      <c r="C53" t="s">
        <v>383</v>
      </c>
    </row>
    <row r="54" spans="2:3" ht="14" x14ac:dyDescent="0.3">
      <c r="B54" s="4" t="s">
        <v>384</v>
      </c>
      <c r="C54" t="s">
        <v>385</v>
      </c>
    </row>
    <row r="55" spans="2:3" ht="14" x14ac:dyDescent="0.3">
      <c r="B55" s="4" t="s">
        <v>386</v>
      </c>
      <c r="C55" t="s">
        <v>387</v>
      </c>
    </row>
    <row r="56" spans="2:3" ht="14" x14ac:dyDescent="0.3">
      <c r="B56" s="4" t="s">
        <v>388</v>
      </c>
      <c r="C56" t="s">
        <v>389</v>
      </c>
    </row>
    <row r="57" spans="2:3" ht="14" x14ac:dyDescent="0.3">
      <c r="B57" s="4" t="s">
        <v>390</v>
      </c>
      <c r="C57" t="s">
        <v>391</v>
      </c>
    </row>
    <row r="58" spans="2:3" ht="14" x14ac:dyDescent="0.3">
      <c r="B58" s="4" t="s">
        <v>392</v>
      </c>
      <c r="C58" t="s">
        <v>393</v>
      </c>
    </row>
    <row r="59" spans="2:3" ht="14" x14ac:dyDescent="0.3">
      <c r="B59" s="4" t="s">
        <v>394</v>
      </c>
      <c r="C59" t="s">
        <v>395</v>
      </c>
    </row>
    <row r="60" spans="2:3" ht="14" x14ac:dyDescent="0.3">
      <c r="B60" s="4" t="s">
        <v>396</v>
      </c>
      <c r="C60" t="s">
        <v>350</v>
      </c>
    </row>
    <row r="61" spans="2:3" ht="14" x14ac:dyDescent="0.3">
      <c r="B61" s="4" t="s">
        <v>397</v>
      </c>
      <c r="C61" t="s">
        <v>398</v>
      </c>
    </row>
    <row r="62" spans="2:3" ht="14" x14ac:dyDescent="0.3">
      <c r="B62" s="4" t="s">
        <v>399</v>
      </c>
      <c r="C62" t="s">
        <v>400</v>
      </c>
    </row>
    <row r="63" spans="2:3" ht="14" x14ac:dyDescent="0.3">
      <c r="B63" s="4" t="s">
        <v>401</v>
      </c>
      <c r="C63" t="s">
        <v>402</v>
      </c>
    </row>
    <row r="64" spans="2:3" ht="14" x14ac:dyDescent="0.3">
      <c r="B64" s="4" t="s">
        <v>403</v>
      </c>
      <c r="C64" t="s">
        <v>404</v>
      </c>
    </row>
    <row r="65" spans="2:3" ht="14" x14ac:dyDescent="0.3">
      <c r="B65" s="4" t="s">
        <v>405</v>
      </c>
      <c r="C65"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2026-09-06T02:17:39Z</dcterms:created>
  <dcterms:modified xsi:type="dcterms:W3CDTF">2026-09-06T02:33:44Z</dcterms:modified>
</cp:coreProperties>
</file>