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519DEC6F-DB30-4E6B-A0D2-78A38209936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C26" i="3" l="1"/>
  <c r="G6" i="6"/>
  <c r="F6" i="6"/>
  <c r="E6" i="6"/>
  <c r="I3" i="6"/>
  <c r="I17" i="6" s="1"/>
  <c r="F3" i="6"/>
  <c r="H6" i="6" s="1"/>
  <c r="I17" i="5"/>
  <c r="G17" i="5"/>
  <c r="I16" i="5"/>
  <c r="G16" i="5"/>
  <c r="I15" i="5"/>
  <c r="G15" i="5"/>
  <c r="N8" i="5"/>
  <c r="L8" i="5"/>
  <c r="K8" i="5"/>
  <c r="J8" i="5"/>
  <c r="N7" i="5"/>
  <c r="K7" i="5"/>
  <c r="N6" i="5"/>
  <c r="L6" i="5"/>
  <c r="K6" i="5"/>
  <c r="J6" i="5"/>
  <c r="D15" i="5" s="1"/>
  <c r="N5" i="5"/>
  <c r="H15" i="5" s="1"/>
  <c r="L5" i="5"/>
  <c r="F15" i="5" s="1"/>
  <c r="K5" i="5"/>
  <c r="E15" i="5" s="1"/>
  <c r="J5" i="5"/>
  <c r="D17" i="5" s="1"/>
  <c r="C16" i="4"/>
  <c r="C14" i="4"/>
  <c r="C18" i="4" s="1"/>
  <c r="C7" i="4"/>
  <c r="C6" i="4"/>
  <c r="C5" i="4"/>
  <c r="D27" i="3"/>
  <c r="G5" i="4" s="1"/>
  <c r="C25" i="3"/>
  <c r="C24" i="3"/>
  <c r="C23" i="3"/>
  <c r="F28" i="2"/>
  <c r="E28" i="2"/>
  <c r="D28" i="2"/>
  <c r="C28" i="2"/>
  <c r="F23" i="2"/>
  <c r="E23" i="2"/>
  <c r="D23" i="2"/>
  <c r="C23" i="2"/>
  <c r="F22" i="2"/>
  <c r="C22" i="2"/>
  <c r="F21" i="2"/>
  <c r="E21" i="2"/>
  <c r="E22" i="2" s="1"/>
  <c r="D21" i="2"/>
  <c r="D22" i="2" s="1"/>
  <c r="C21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9" i="2"/>
  <c r="D9" i="2"/>
  <c r="F8" i="2"/>
  <c r="E8" i="2"/>
  <c r="E9" i="2" s="1"/>
  <c r="D8" i="2"/>
  <c r="C8" i="2"/>
  <c r="C9" i="2" s="1"/>
  <c r="C3" i="6" l="1"/>
  <c r="F46" i="3"/>
  <c r="E46" i="3"/>
  <c r="D46" i="3"/>
  <c r="C46" i="3"/>
  <c r="G46" i="3"/>
  <c r="G30" i="3"/>
  <c r="E32" i="3"/>
  <c r="H5" i="4"/>
  <c r="D7" i="4"/>
  <c r="E17" i="5"/>
  <c r="I6" i="6"/>
  <c r="F17" i="5"/>
  <c r="C17" i="6"/>
  <c r="E7" i="4"/>
  <c r="D16" i="5"/>
  <c r="C27" i="5" s="1"/>
  <c r="C18" i="1" s="1"/>
  <c r="D18" i="1" s="1"/>
  <c r="D31" i="3"/>
  <c r="G32" i="3"/>
  <c r="D6" i="4"/>
  <c r="F7" i="4"/>
  <c r="E16" i="5"/>
  <c r="C6" i="6"/>
  <c r="D17" i="6"/>
  <c r="E31" i="3"/>
  <c r="E6" i="4"/>
  <c r="G7" i="4"/>
  <c r="F16" i="5"/>
  <c r="C28" i="5" s="1"/>
  <c r="C19" i="1" s="1"/>
  <c r="D19" i="1" s="1"/>
  <c r="H17" i="5"/>
  <c r="D6" i="6"/>
  <c r="E17" i="6"/>
  <c r="F32" i="3"/>
  <c r="C30" i="3"/>
  <c r="C33" i="3" s="1"/>
  <c r="F31" i="3"/>
  <c r="D5" i="4"/>
  <c r="F6" i="4"/>
  <c r="H7" i="4"/>
  <c r="F17" i="6"/>
  <c r="C31" i="3"/>
  <c r="D30" i="3"/>
  <c r="G31" i="3"/>
  <c r="E5" i="4"/>
  <c r="G6" i="4"/>
  <c r="H16" i="5"/>
  <c r="G17" i="6"/>
  <c r="E30" i="3"/>
  <c r="C32" i="3"/>
  <c r="F5" i="4"/>
  <c r="H6" i="4"/>
  <c r="H17" i="6"/>
  <c r="F30" i="3"/>
  <c r="D32" i="3"/>
  <c r="B13" i="6" l="1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C37" i="3"/>
  <c r="D9" i="4"/>
  <c r="D12" i="4" s="1"/>
  <c r="C43" i="3"/>
  <c r="D33" i="3"/>
  <c r="C42" i="3"/>
  <c r="C34" i="3"/>
  <c r="D10" i="4" s="1"/>
  <c r="D15" i="4" l="1"/>
  <c r="D16" i="4" s="1"/>
  <c r="D13" i="4"/>
  <c r="D14" i="4" s="1"/>
  <c r="D18" i="4" s="1"/>
  <c r="D19" i="4" s="1"/>
  <c r="C44" i="3" s="1"/>
  <c r="E9" i="4"/>
  <c r="E12" i="4" s="1"/>
  <c r="D43" i="3"/>
  <c r="E33" i="3"/>
  <c r="D42" i="3"/>
  <c r="D34" i="3"/>
  <c r="E10" i="4" s="1"/>
  <c r="D37" i="3"/>
  <c r="C35" i="3"/>
  <c r="D35" i="3" l="1"/>
  <c r="F9" i="4"/>
  <c r="F12" i="4" s="1"/>
  <c r="E43" i="3"/>
  <c r="F33" i="3"/>
  <c r="E37" i="3"/>
  <c r="E42" i="3"/>
  <c r="E34" i="3"/>
  <c r="F10" i="4" s="1"/>
  <c r="D38" i="3"/>
  <c r="D36" i="3"/>
  <c r="D39" i="3"/>
  <c r="C39" i="3"/>
  <c r="C38" i="3"/>
  <c r="C36" i="3"/>
  <c r="E13" i="4"/>
  <c r="E14" i="4" s="1"/>
  <c r="E15" i="4"/>
  <c r="E16" i="4" s="1"/>
  <c r="E18" i="4" l="1"/>
  <c r="E19" i="4" s="1"/>
  <c r="D44" i="3" s="1"/>
  <c r="C40" i="3"/>
  <c r="C41" i="3" s="1"/>
  <c r="C45" i="3" s="1"/>
  <c r="G33" i="3"/>
  <c r="F42" i="3"/>
  <c r="F34" i="3"/>
  <c r="G10" i="4" s="1"/>
  <c r="F37" i="3"/>
  <c r="G9" i="4"/>
  <c r="G12" i="4" s="1"/>
  <c r="F43" i="3"/>
  <c r="F13" i="4"/>
  <c r="F14" i="4" s="1"/>
  <c r="F18" i="4" s="1"/>
  <c r="F19" i="4" s="1"/>
  <c r="E44" i="3" s="1"/>
  <c r="F15" i="4"/>
  <c r="F16" i="4" s="1"/>
  <c r="D40" i="3"/>
  <c r="D41" i="3" s="1"/>
  <c r="E35" i="3"/>
  <c r="D45" i="3" l="1"/>
  <c r="D47" i="3" s="1"/>
  <c r="G13" i="4"/>
  <c r="G14" i="4" s="1"/>
  <c r="G15" i="4"/>
  <c r="G16" i="4" s="1"/>
  <c r="E38" i="3"/>
  <c r="E36" i="3"/>
  <c r="E39" i="3"/>
  <c r="G42" i="3"/>
  <c r="G34" i="3"/>
  <c r="H10" i="4" s="1"/>
  <c r="G43" i="3"/>
  <c r="G37" i="3"/>
  <c r="H9" i="4"/>
  <c r="H12" i="4" s="1"/>
  <c r="C47" i="3"/>
  <c r="F35" i="3"/>
  <c r="G18" i="4" l="1"/>
  <c r="G19" i="4" s="1"/>
  <c r="F44" i="3" s="1"/>
  <c r="G35" i="3"/>
  <c r="G36" i="3" s="1"/>
  <c r="F38" i="3"/>
  <c r="F36" i="3"/>
  <c r="F39" i="3"/>
  <c r="E40" i="3"/>
  <c r="E41" i="3" s="1"/>
  <c r="E45" i="3" s="1"/>
  <c r="H15" i="4"/>
  <c r="H16" i="4" s="1"/>
  <c r="H13" i="4"/>
  <c r="H14" i="4" s="1"/>
  <c r="G38" i="3" l="1"/>
  <c r="G39" i="3"/>
  <c r="C59" i="3" s="1"/>
  <c r="C60" i="3" s="1"/>
  <c r="C61" i="3" s="1"/>
  <c r="H18" i="4"/>
  <c r="H19" i="4" s="1"/>
  <c r="G44" i="3" s="1"/>
  <c r="F40" i="3"/>
  <c r="F41" i="3" s="1"/>
  <c r="F45" i="3" s="1"/>
  <c r="E47" i="3"/>
  <c r="G40" i="3" l="1"/>
  <c r="G41" i="3" s="1"/>
  <c r="G45" i="3" s="1"/>
  <c r="F47" i="3"/>
  <c r="F23" i="6"/>
  <c r="E19" i="6"/>
  <c r="G24" i="6"/>
  <c r="I12" i="6"/>
  <c r="G13" i="6"/>
  <c r="H24" i="6"/>
  <c r="H12" i="6"/>
  <c r="C21" i="6"/>
  <c r="E24" i="6"/>
  <c r="H21" i="6"/>
  <c r="C19" i="6"/>
  <c r="E22" i="6"/>
  <c r="C23" i="6"/>
  <c r="G23" i="6"/>
  <c r="G12" i="6"/>
  <c r="H23" i="6"/>
  <c r="D12" i="6"/>
  <c r="I21" i="6"/>
  <c r="E9" i="6"/>
  <c r="G22" i="6"/>
  <c r="D22" i="6"/>
  <c r="D20" i="6"/>
  <c r="F10" i="6"/>
  <c r="H20" i="6"/>
  <c r="I7" i="6"/>
  <c r="E8" i="6"/>
  <c r="F9" i="6"/>
  <c r="G8" i="6"/>
  <c r="D8" i="6"/>
  <c r="G20" i="6"/>
  <c r="C11" i="6"/>
  <c r="E11" i="6"/>
  <c r="F12" i="6"/>
  <c r="F21" i="6"/>
  <c r="I23" i="6"/>
  <c r="G9" i="6"/>
  <c r="D10" i="6"/>
  <c r="D7" i="6"/>
  <c r="H11" i="6"/>
  <c r="G19" i="6"/>
  <c r="I11" i="6"/>
  <c r="G21" i="6"/>
  <c r="F7" i="6"/>
  <c r="D19" i="6"/>
  <c r="D24" i="6"/>
  <c r="C20" i="6"/>
  <c r="C7" i="6"/>
  <c r="C12" i="6"/>
  <c r="E23" i="6"/>
  <c r="E7" i="6"/>
  <c r="E21" i="6"/>
  <c r="E18" i="6"/>
  <c r="F22" i="6"/>
  <c r="G11" i="6"/>
  <c r="H9" i="6"/>
  <c r="H22" i="6"/>
  <c r="H8" i="6"/>
  <c r="F20" i="6"/>
  <c r="E13" i="6"/>
  <c r="H19" i="6"/>
  <c r="I10" i="6"/>
  <c r="I8" i="6"/>
  <c r="I9" i="6"/>
  <c r="F24" i="6"/>
  <c r="I20" i="6"/>
  <c r="D9" i="6"/>
  <c r="D23" i="6"/>
  <c r="E10" i="6"/>
  <c r="C13" i="6"/>
  <c r="C10" i="6"/>
  <c r="C8" i="6"/>
  <c r="E20" i="6"/>
  <c r="G10" i="6"/>
  <c r="I19" i="6"/>
  <c r="F19" i="6"/>
  <c r="G18" i="6"/>
  <c r="I22" i="6"/>
  <c r="G7" i="6"/>
  <c r="I13" i="6"/>
  <c r="H7" i="6"/>
  <c r="D18" i="6"/>
  <c r="C9" i="6"/>
  <c r="F8" i="6"/>
  <c r="F13" i="6"/>
  <c r="F11" i="6"/>
  <c r="H18" i="6"/>
  <c r="C24" i="6"/>
  <c r="I18" i="6"/>
  <c r="H13" i="6"/>
  <c r="I24" i="6"/>
  <c r="D13" i="6"/>
  <c r="F18" i="6"/>
  <c r="H10" i="6"/>
  <c r="D21" i="6"/>
  <c r="E12" i="6"/>
  <c r="C18" i="6"/>
  <c r="C22" i="6"/>
  <c r="D11" i="6"/>
  <c r="C51" i="3"/>
  <c r="C52" i="3" s="1"/>
  <c r="G47" i="3"/>
  <c r="C50" i="3" s="1"/>
  <c r="C58" i="3" l="1"/>
  <c r="C62" i="3" s="1"/>
  <c r="C63" i="3" s="1"/>
  <c r="C64" i="3" s="1"/>
  <c r="C17" i="1" s="1"/>
  <c r="D17" i="1" s="1"/>
  <c r="C53" i="3"/>
  <c r="C54" i="3" s="1"/>
  <c r="C55" i="3" s="1"/>
  <c r="C16" i="1" s="1"/>
  <c r="C10" i="1" l="1"/>
  <c r="C12" i="1" s="1"/>
  <c r="C11" i="1" s="1"/>
  <c r="C21" i="1"/>
  <c r="D16" i="1"/>
</calcChain>
</file>

<file path=xl/sharedStrings.xml><?xml version="1.0" encoding="utf-8"?>
<sst xmlns="http://schemas.openxmlformats.org/spreadsheetml/2006/main" count="242" uniqueCount="183">
  <si>
    <t>DISCLAIMER: This is a sample analysis for demonstration purposes only. It does not constitute investment advice.</t>
  </si>
  <si>
    <t>株式会社TENTIAL (325A)</t>
  </si>
  <si>
    <t>Equity Research Report</t>
  </si>
  <si>
    <t>Company</t>
  </si>
  <si>
    <t>株式会社TENTIAL</t>
  </si>
  <si>
    <t>Ticker</t>
  </si>
  <si>
    <t>325A (TSE)</t>
  </si>
  <si>
    <t>Sector</t>
  </si>
  <si>
    <t>N/A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</si>
  <si>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</si>
  <si>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</si>
  <si>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</si>
  <si>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</si>
  <si>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</si>
  <si>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</si>
  <si>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</si>
  <si>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</si>
  <si>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</si>
  <si>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</si>
  <si>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</si>
  <si>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</si>
  <si>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</si>
  <si>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</si>
  <si>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Category-defining D2C wellness brand: BAKUNE recovery wear leads the recovery-wear category (1M+ sets sold), expanding横展開 into bedding and sandals; on-ground store rollout accelerating (confirmed across 5 cities)</t>
  </si>
  <si>
    <t>2. Growth re-accelerating: 1H FY2026/8 revenue 16,471mn (half-year already exceeds prior full 12-month FY2025/1 of 12,837), OP margin recovered to 13.3% from the 9.3% dip; high product quality drives repeat/brand pull</t>
  </si>
  <si>
    <t>3. Healthy finance: net cash ~2,101mn, conducting share buyback (625mn) signaling management confidence; high gross margin (~73%) D2C economics</t>
  </si>
  <si>
    <t>Key Risks</t>
  </si>
  <si>
    <t>1. Inventory risk: inventory ballooned to 4,861mn (from 1,795mn), ~150+ days; durable if growth continues but a write-down/markdown risk if growth stalls (single-brand concentration amplifies this)</t>
  </si>
  <si>
    <t>2. Competition &amp; brand saturation: MTG (ReD/ReFa recovery wear, JAL/ANA adoption), Phiten, VENEX, Workman entering recovery-wear; BAKUNE could saturate or face price competition</t>
  </si>
  <si>
    <t>3. Single-brand / consumer-discretionary cyclicality: heavy dependence on BAKUNE franchise; SGA (ad/store) intensity pressures margins during expansion (margin dipped to 9.3% in 7m period before recovering)</t>
  </si>
  <si>
    <t>株式会社TENTIAL - Historical Financials (JPY mn)</t>
  </si>
  <si>
    <t>FY2024/1(12m)</t>
  </si>
  <si>
    <t>FY2025/1(12m)</t>
  </si>
  <si>
    <t>FY2025/8(7m)</t>
  </si>
  <si>
    <t>FY2026/8E(12m)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</si>
  <si>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</si>
  <si>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</si>
  <si>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</si>
  <si>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</si>
  <si>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</si>
  <si>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</si>
  <si>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</si>
  <si>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</si>
  <si>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</si>
  <si>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</si>
  <si>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</si>
  <si>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</si>
  <si>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</si>
  <si>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</si>
  <si>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</si>
  <si>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</si>
  <si>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</si>
  <si>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</si>
  <si>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</si>
  <si>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</si>
  <si>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</si>
  <si>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</si>
  <si>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</si>
  <si>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株式会社TENTIAL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</si>
  <si>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</si>
  <si>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</si>
  <si>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</si>
  <si>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</si>
  <si>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</si>
  <si>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</si>
  <si>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</si>
  <si>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</si>
  <si>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</si>
  <si>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</si>
  <si>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</si>
  <si>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</si>
  <si>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</si>
  <si>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</si>
  <si>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</si>
  <si>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</si>
  <si>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</si>
  <si>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</si>
  <si>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</si>
  <si>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</si>
  <si>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</si>
  <si>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</si>
  <si>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</si>
  <si>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</si>
  <si>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</si>
  <si>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</si>
  <si>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</si>
  <si>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</si>
  <si>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</si>
  <si>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</si>
  <si>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</si>
  <si>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</si>
  <si>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</si>
  <si>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</si>
  <si>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</si>
  <si>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</si>
  <si>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</si>
  <si>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</si>
  <si>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</si>
  <si>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</si>
  <si>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</si>
  <si>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</si>
  <si>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</si>
  <si>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</si>
  <si>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</si>
  <si>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</si>
  <si>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</si>
  <si>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</si>
  <si>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</si>
  <si>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</si>
  <si>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</si>
  <si>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</si>
  <si>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</si>
  <si>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</si>
  <si>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</si>
  <si>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</si>
  <si>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</si>
  <si>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</si>
  <si>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</si>
  <si>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</si>
  <si>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</si>
  <si>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</si>
  <si>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</si>
  <si>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株式会社TENTIAL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</si>
  <si>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</si>
  <si>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</si>
  <si>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</si>
  <si>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</si>
  <si>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</si>
  <si>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</si>
  <si>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</si>
  <si>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</si>
  <si>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</si>
  <si>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</si>
  <si>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</si>
  <si>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</si>
  <si>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</si>
  <si>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</si>
  <si>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</si>
  <si>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</si>
  <si>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</si>
  <si>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</si>
  <si>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</si>
  <si>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</si>
  <si>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</si>
  <si>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</si>
  <si>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</si>
  <si>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</si>
  <si>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</si>
  <si>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</si>
  <si>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</si>
  <si>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</si>
  <si>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</si>
  <si>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</si>
  <si>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</si>
  <si>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MTG</t>
  </si>
  <si>
    <t>7806.T</t>
  </si>
  <si>
    <t>Kitanotatsujin</t>
  </si>
  <si>
    <t>2930.T</t>
  </si>
  <si>
    <t>YA-MAN</t>
  </si>
  <si>
    <t>6630.T</t>
  </si>
  <si>
    <t>PremierAntiAging</t>
  </si>
  <si>
    <t>4934.T</t>
  </si>
  <si>
    <t>Statistics</t>
  </si>
  <si>
    <t>25th Percentile</t>
  </si>
  <si>
    <t>Median (50th)</t>
  </si>
  <si>
    <t>75th Percentile</t>
  </si>
  <si>
    <t>Implied Valuation for 株式会社TENTIAL</t>
  </si>
  <si>
    <t>株式会社TENTIAL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</si>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</sst>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6600"/>
      <name val="Arial"/>
      <family val="2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13" workbookViewId="0">
      <selection activeCell="C10" sqref="C10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1" t="s">
        <v>0</v>
      </c>
      <c r="C1" s="40"/>
      <c r="D1" s="40"/>
      <c r="E1" s="40"/>
    </row>
    <row r="3" spans="2:5" ht="18" x14ac:dyDescent="0.4">
      <c r="B3" s="39" t="s">
        <v>1</v>
      </c>
      <c r="C3" s="40"/>
      <c r="D3" s="40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3675</v>
      </c>
    </row>
    <row r="10" spans="2:5" ht="14" x14ac:dyDescent="0.3">
      <c r="B10" s="3" t="s">
        <v>10</v>
      </c>
      <c r="C10" s="4">
        <f>ROUND(AVERAGE(C16:C19),0)</f>
        <v>7012</v>
      </c>
    </row>
    <row r="11" spans="2:5" ht="14" x14ac:dyDescent="0.3">
      <c r="B11" s="3" t="s">
        <v>11</v>
      </c>
      <c r="C11" s="5" t="str">
        <f>IF(C12&gt;0.15,"BUY",IF(C12&gt;0.05,"HOLD","SELL"))</f>
        <v>BUY</v>
      </c>
    </row>
    <row r="12" spans="2:5" ht="14" x14ac:dyDescent="0.3">
      <c r="B12" s="3" t="s">
        <v>12</v>
      </c>
      <c r="C12" s="6">
        <f>(C10-C9)/C9</f>
        <v>0.90802721088435379</v>
      </c>
    </row>
    <row r="14" spans="2:5" ht="14" x14ac:dyDescent="0.3">
      <c r="B14" s="7" t="s">
        <v>13</v>
      </c>
      <c r="C14" s="8"/>
      <c r="D14" s="8"/>
    </row>
    <row r="15" spans="2:5" ht="14" x14ac:dyDescent="0.3">
      <c r="B15" s="9" t="s">
        <v>14</v>
      </c>
      <c r="C15" s="9" t="s">
        <v>15</v>
      </c>
      <c r="D15" s="9" t="s">
        <v>16</v>
      </c>
    </row>
    <row r="16" spans="2:5" ht="13.5" x14ac:dyDescent="0.25">
      <c r="B16" t="s">
        <v>17</v>
      </c>
      <c r="C16" s="10">
        <f>'DCF Model'!C55</f>
        <v>8379</v>
      </c>
      <c r="D16" s="6">
        <f>(C16-C9)/C9</f>
        <v>1.28</v>
      </c>
    </row>
    <row r="17" spans="2:4" ht="13.5" x14ac:dyDescent="0.25">
      <c r="B17" t="s">
        <v>18</v>
      </c>
      <c r="C17" s="10">
        <f>'DCF Model'!C64</f>
        <v>12641</v>
      </c>
      <c r="D17" s="6">
        <f>(C17-C9)/C9</f>
        <v>2.4397278911564624</v>
      </c>
    </row>
    <row r="18" spans="2:4" ht="13.5" x14ac:dyDescent="0.25">
      <c r="B18" t="s">
        <v>19</v>
      </c>
      <c r="C18" s="10">
        <f>'Comps Analysis'!C27</f>
        <v>3582</v>
      </c>
      <c r="D18" s="6">
        <f>IF(ISNUMBER(C18),(C18-C9)/C9,"N/A")</f>
        <v>-2.5306122448979593E-2</v>
      </c>
    </row>
    <row r="19" spans="2:4" ht="13.5" x14ac:dyDescent="0.25">
      <c r="B19" t="s">
        <v>20</v>
      </c>
      <c r="C19" s="10">
        <f>'Comps Analysis'!C28</f>
        <v>3446</v>
      </c>
      <c r="D19" s="6">
        <f>IF(ISNUMBER(C19),(C19-C9)/C9,"N/A")</f>
        <v>-6.2312925170068027E-2</v>
      </c>
    </row>
    <row r="21" spans="2:4" ht="14" x14ac:dyDescent="0.3">
      <c r="B21" s="3" t="s">
        <v>21</v>
      </c>
      <c r="C21" s="5" t="str">
        <f>MIN(C16:C19)&amp;" - "&amp;MAX(C16:C19)</f>
        <v>3446 - 12641</v>
      </c>
    </row>
    <row r="23" spans="2:4" ht="14" x14ac:dyDescent="0.3">
      <c r="B23" s="7" t="s">
        <v>22</v>
      </c>
      <c r="C23" s="8"/>
      <c r="D23" s="8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7" t="s">
        <v>26</v>
      </c>
      <c r="C28" s="8"/>
      <c r="D28" s="8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28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1" t="s">
        <v>30</v>
      </c>
    </row>
    <row r="4" spans="2:6" ht="14" x14ac:dyDescent="0.3">
      <c r="C4" s="9" t="s">
        <v>31</v>
      </c>
      <c r="D4" s="9" t="s">
        <v>32</v>
      </c>
      <c r="E4" s="9" t="s">
        <v>33</v>
      </c>
      <c r="F4" s="9" t="s">
        <v>34</v>
      </c>
    </row>
    <row r="5" spans="2:6" ht="14" x14ac:dyDescent="0.3">
      <c r="B5" s="2" t="s">
        <v>35</v>
      </c>
    </row>
    <row r="6" spans="2:6" ht="14" x14ac:dyDescent="0.3">
      <c r="B6" s="3" t="s">
        <v>36</v>
      </c>
      <c r="C6" s="4">
        <v>4735</v>
      </c>
      <c r="D6" s="4">
        <v>12837</v>
      </c>
      <c r="E6" s="4">
        <v>11134</v>
      </c>
      <c r="F6" s="4">
        <v>30200</v>
      </c>
    </row>
    <row r="7" spans="2:6" ht="14" x14ac:dyDescent="0.3">
      <c r="B7" s="3" t="s">
        <v>37</v>
      </c>
      <c r="C7" s="4">
        <v>1420</v>
      </c>
      <c r="D7" s="4">
        <v>3600</v>
      </c>
      <c r="E7" s="4">
        <v>3052</v>
      </c>
      <c r="F7" s="4">
        <v>8200</v>
      </c>
    </row>
    <row r="8" spans="2:6" ht="14" x14ac:dyDescent="0.3">
      <c r="B8" s="3" t="s">
        <v>38</v>
      </c>
      <c r="C8" s="4">
        <f>C6-C7</f>
        <v>3315</v>
      </c>
      <c r="D8" s="4">
        <f>D6-D7</f>
        <v>9237</v>
      </c>
      <c r="E8" s="4">
        <f>E6-E7</f>
        <v>8082</v>
      </c>
      <c r="F8" s="4">
        <f>F6-F7</f>
        <v>22000</v>
      </c>
    </row>
    <row r="9" spans="2:6" ht="13.5" x14ac:dyDescent="0.25">
      <c r="B9" t="s">
        <v>39</v>
      </c>
      <c r="C9" s="6">
        <f>C8/C6</f>
        <v>0.7001055966209081</v>
      </c>
      <c r="D9" s="6">
        <f>D8/D6</f>
        <v>0.71956064501051653</v>
      </c>
      <c r="E9" s="6">
        <f>E8/E6</f>
        <v>0.72588467756421771</v>
      </c>
      <c r="F9" s="6">
        <f>F8/F6</f>
        <v>0.72847682119205293</v>
      </c>
    </row>
    <row r="10" spans="2:6" ht="14" x14ac:dyDescent="0.3">
      <c r="B10" s="3" t="s">
        <v>40</v>
      </c>
      <c r="C10" s="4">
        <v>2809</v>
      </c>
      <c r="D10" s="4">
        <v>7784</v>
      </c>
      <c r="E10" s="4">
        <v>6914</v>
      </c>
      <c r="F10" s="4">
        <v>19600</v>
      </c>
    </row>
    <row r="11" spans="2:6" ht="14" x14ac:dyDescent="0.3">
      <c r="B11" s="3" t="s">
        <v>41</v>
      </c>
      <c r="C11" s="4">
        <v>506</v>
      </c>
      <c r="D11" s="4">
        <v>1452</v>
      </c>
      <c r="E11" s="4">
        <v>1167</v>
      </c>
      <c r="F11" s="4">
        <v>2400</v>
      </c>
    </row>
    <row r="12" spans="2:6" ht="14" x14ac:dyDescent="0.3">
      <c r="B12" s="3" t="s">
        <v>42</v>
      </c>
      <c r="C12" s="4">
        <v>477</v>
      </c>
      <c r="D12" s="4">
        <v>1061</v>
      </c>
      <c r="E12" s="4">
        <v>817</v>
      </c>
      <c r="F12" s="4">
        <v>1600</v>
      </c>
    </row>
    <row r="13" spans="2:6" ht="13.5" x14ac:dyDescent="0.25">
      <c r="B13" t="s">
        <v>43</v>
      </c>
      <c r="C13" s="6">
        <f>C11/C6</f>
        <v>0.10686378035902851</v>
      </c>
      <c r="D13" s="6">
        <f>D11/D6</f>
        <v>0.11311053984575835</v>
      </c>
      <c r="E13" s="6">
        <f>E11/E6</f>
        <v>0.10481408298904257</v>
      </c>
      <c r="F13" s="6">
        <f>F11/F6</f>
        <v>7.9470198675496692E-2</v>
      </c>
    </row>
    <row r="14" spans="2:6" ht="13.5" x14ac:dyDescent="0.25">
      <c r="B14" t="s">
        <v>44</v>
      </c>
      <c r="C14" s="6">
        <f>C12/C6</f>
        <v>0.10073917634635692</v>
      </c>
      <c r="D14" s="6">
        <f>D12/D6</f>
        <v>8.2651709901067225E-2</v>
      </c>
      <c r="E14" s="6">
        <f>E12/E6</f>
        <v>7.3378839590443681E-2</v>
      </c>
      <c r="F14" s="6">
        <f>F12/F6</f>
        <v>5.2980132450331126E-2</v>
      </c>
    </row>
    <row r="15" spans="2:6" ht="13.5" x14ac:dyDescent="0.25">
      <c r="B15" t="s">
        <v>45</v>
      </c>
      <c r="C15" t="s">
        <v>46</v>
      </c>
      <c r="D15" s="6">
        <f>(D6-C6)/C6</f>
        <v>1.7110876451953538</v>
      </c>
      <c r="E15" s="6">
        <f>(E6-D6)/D6</f>
        <v>-0.13266339487419179</v>
      </c>
      <c r="F15" s="6">
        <f>(F6-E6)/E6</f>
        <v>1.7124124303933896</v>
      </c>
    </row>
    <row r="16" spans="2:6" ht="13.5" x14ac:dyDescent="0.25">
      <c r="B16" t="s">
        <v>47</v>
      </c>
      <c r="C16" t="s">
        <v>46</v>
      </c>
      <c r="D16" s="6">
        <f>(D11-C11)/C11</f>
        <v>1.8695652173913044</v>
      </c>
      <c r="E16" s="6">
        <f>(E11-D11)/D11</f>
        <v>-0.1962809917355372</v>
      </c>
      <c r="F16" s="6">
        <f>(F11-E11)/E11</f>
        <v>1.0565552699228791</v>
      </c>
    </row>
    <row r="18" spans="2:6" ht="14" x14ac:dyDescent="0.3">
      <c r="B18" s="2" t="s">
        <v>48</v>
      </c>
    </row>
    <row r="19" spans="2:6" ht="14" x14ac:dyDescent="0.3">
      <c r="B19" s="3" t="s">
        <v>49</v>
      </c>
      <c r="C19" s="4">
        <v>2607.712</v>
      </c>
      <c r="D19" s="4"/>
      <c r="E19" s="4"/>
      <c r="F19" s="4"/>
    </row>
    <row r="20" spans="2:6" ht="14" x14ac:dyDescent="0.3">
      <c r="B20" s="3" t="s">
        <v>50</v>
      </c>
      <c r="C20" s="4">
        <v>80</v>
      </c>
      <c r="D20" s="4">
        <v>228</v>
      </c>
      <c r="E20" s="4">
        <v>126</v>
      </c>
      <c r="F20" s="4">
        <v>350</v>
      </c>
    </row>
    <row r="21" spans="2:6" ht="14" x14ac:dyDescent="0.3">
      <c r="B21" s="3" t="s">
        <v>51</v>
      </c>
      <c r="C21" s="4">
        <f>C19-C20</f>
        <v>2527.712</v>
      </c>
      <c r="D21" s="4">
        <f>D19-D20</f>
        <v>-228</v>
      </c>
      <c r="E21" s="4">
        <f>E19-E20</f>
        <v>-126</v>
      </c>
      <c r="F21" s="4">
        <f>F19-F20</f>
        <v>-350</v>
      </c>
    </row>
    <row r="22" spans="2:6" ht="13.5" x14ac:dyDescent="0.25">
      <c r="B22" t="s">
        <v>52</v>
      </c>
      <c r="C22" s="6">
        <f>C21/C6</f>
        <v>0.53383569165786693</v>
      </c>
      <c r="D22" s="6">
        <f>D21/D6</f>
        <v>-1.7761159149333957E-2</v>
      </c>
      <c r="E22" s="6">
        <f>E21/E6</f>
        <v>-1.13166876234956E-2</v>
      </c>
      <c r="F22" s="6">
        <f>F21/F6</f>
        <v>-1.1589403973509934E-2</v>
      </c>
    </row>
    <row r="23" spans="2:6" ht="13.5" x14ac:dyDescent="0.25">
      <c r="B23" t="s">
        <v>53</v>
      </c>
      <c r="C23" s="6">
        <f>C20/C6</f>
        <v>1.6895459345300949E-2</v>
      </c>
      <c r="D23" s="6">
        <f>D20/D6</f>
        <v>1.7761159149333957E-2</v>
      </c>
      <c r="E23" s="6">
        <f>E20/E6</f>
        <v>1.13166876234956E-2</v>
      </c>
      <c r="F23" s="6">
        <f>F20/F6</f>
        <v>1.1589403973509934E-2</v>
      </c>
    </row>
    <row r="25" spans="2:6" ht="14" x14ac:dyDescent="0.3">
      <c r="B25" s="2" t="s">
        <v>54</v>
      </c>
    </row>
    <row r="26" spans="2:6" ht="14" x14ac:dyDescent="0.3">
      <c r="B26" s="3" t="s">
        <v>55</v>
      </c>
      <c r="C26" s="4">
        <v>4158.8980000000001</v>
      </c>
      <c r="D26" s="4"/>
      <c r="E26" s="4"/>
      <c r="F26" s="4"/>
    </row>
    <row r="27" spans="2:6" ht="14" x14ac:dyDescent="0.3">
      <c r="B27" s="3" t="s">
        <v>56</v>
      </c>
      <c r="C27" s="4">
        <v>1248.4000000000001</v>
      </c>
      <c r="D27" s="4">
        <v>0</v>
      </c>
      <c r="E27" s="4">
        <v>0</v>
      </c>
      <c r="F27" s="4">
        <v>0</v>
      </c>
    </row>
    <row r="28" spans="2:6" ht="14" x14ac:dyDescent="0.3">
      <c r="B28" s="3" t="s">
        <v>57</v>
      </c>
      <c r="C28" s="4">
        <f>C27-C26</f>
        <v>-2910.498</v>
      </c>
      <c r="D28" s="4">
        <f>D27-D26</f>
        <v>0</v>
      </c>
      <c r="E28" s="4">
        <f>E27-E26</f>
        <v>0</v>
      </c>
      <c r="F28" s="4">
        <f>F27-F26</f>
        <v>0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abSelected="1" topLeftCell="A17" workbookViewId="0">
      <selection activeCell="C26" sqref="C26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58</v>
      </c>
    </row>
    <row r="4" spans="2:7" ht="14" x14ac:dyDescent="0.3">
      <c r="B4" s="7" t="s">
        <v>59</v>
      </c>
      <c r="C4" s="8"/>
      <c r="D4" s="8"/>
      <c r="E4" s="8"/>
      <c r="F4" s="8"/>
      <c r="G4" s="8"/>
    </row>
    <row r="5" spans="2:7" ht="14" x14ac:dyDescent="0.3">
      <c r="B5" s="3" t="s">
        <v>53</v>
      </c>
      <c r="C5" s="6">
        <v>1.7999999999999999E-2</v>
      </c>
    </row>
    <row r="6" spans="2:7" ht="14" x14ac:dyDescent="0.3">
      <c r="B6" s="3" t="s">
        <v>60</v>
      </c>
      <c r="C6" s="6">
        <v>0.31</v>
      </c>
    </row>
    <row r="7" spans="2:7" ht="14" x14ac:dyDescent="0.3">
      <c r="B7" s="3" t="s">
        <v>61</v>
      </c>
      <c r="C7" s="6">
        <v>2.3E-2</v>
      </c>
    </row>
    <row r="8" spans="2:7" ht="14" x14ac:dyDescent="0.3">
      <c r="B8" s="3" t="s">
        <v>62</v>
      </c>
      <c r="C8" s="11">
        <v>1.3</v>
      </c>
    </row>
    <row r="9" spans="2:7" ht="14" x14ac:dyDescent="0.3">
      <c r="B9" s="3" t="s">
        <v>63</v>
      </c>
      <c r="C9" s="6">
        <v>6.5000000000000002E-2</v>
      </c>
    </row>
    <row r="10" spans="2:7" ht="14" x14ac:dyDescent="0.3">
      <c r="B10" s="3" t="s">
        <v>64</v>
      </c>
      <c r="C10" s="6">
        <v>0.04</v>
      </c>
    </row>
    <row r="11" spans="2:7" ht="14" x14ac:dyDescent="0.3">
      <c r="B11" s="3" t="s">
        <v>65</v>
      </c>
      <c r="C11" s="6">
        <v>0.01</v>
      </c>
    </row>
    <row r="12" spans="2:7" ht="14" x14ac:dyDescent="0.3">
      <c r="B12" s="3" t="s">
        <v>66</v>
      </c>
      <c r="C12" s="12">
        <v>0.03</v>
      </c>
    </row>
    <row r="13" spans="2:7" ht="14" x14ac:dyDescent="0.3">
      <c r="B13" s="3" t="s">
        <v>67</v>
      </c>
      <c r="C13" s="6">
        <v>1.4999999999999999E-2</v>
      </c>
    </row>
    <row r="14" spans="2:7" ht="14" x14ac:dyDescent="0.3">
      <c r="B14" s="3" t="s">
        <v>68</v>
      </c>
      <c r="C14" s="13">
        <v>8</v>
      </c>
    </row>
    <row r="15" spans="2:7" ht="14" x14ac:dyDescent="0.3">
      <c r="B15" s="3" t="s">
        <v>69</v>
      </c>
      <c r="C15" s="14">
        <v>7280000</v>
      </c>
    </row>
    <row r="16" spans="2:7" ht="14" x14ac:dyDescent="0.3">
      <c r="B16" s="3" t="s">
        <v>70</v>
      </c>
      <c r="C16" s="4">
        <v>-2101</v>
      </c>
    </row>
    <row r="17" spans="2:7" ht="14" x14ac:dyDescent="0.3">
      <c r="B17" s="3" t="s">
        <v>71</v>
      </c>
      <c r="C17" s="4">
        <v>19087</v>
      </c>
    </row>
    <row r="18" spans="2:7" ht="14" x14ac:dyDescent="0.3">
      <c r="B18" s="3" t="s">
        <v>72</v>
      </c>
      <c r="C18" s="6">
        <v>1.2999999999999999E-2</v>
      </c>
    </row>
    <row r="19" spans="2:7" ht="14" x14ac:dyDescent="0.3">
      <c r="B19" s="3" t="s">
        <v>73</v>
      </c>
      <c r="C19" s="11">
        <v>0.5</v>
      </c>
    </row>
    <row r="20" spans="2:7" ht="14" x14ac:dyDescent="0.3">
      <c r="B20" s="3" t="s">
        <v>74</v>
      </c>
      <c r="C20" s="4">
        <v>16471.724999999999</v>
      </c>
    </row>
    <row r="22" spans="2:7" ht="14" x14ac:dyDescent="0.3">
      <c r="B22" s="7" t="s">
        <v>75</v>
      </c>
      <c r="C22" s="8"/>
      <c r="D22" s="8"/>
      <c r="E22" s="8"/>
      <c r="F22" s="8"/>
      <c r="G22" s="8"/>
    </row>
    <row r="23" spans="2:7" ht="14" x14ac:dyDescent="0.3">
      <c r="B23" s="3" t="s">
        <v>76</v>
      </c>
      <c r="C23" s="15">
        <f>C7+C8*C9+C10</f>
        <v>0.14750000000000002</v>
      </c>
    </row>
    <row r="24" spans="2:7" ht="14" x14ac:dyDescent="0.3">
      <c r="B24" s="3" t="s">
        <v>77</v>
      </c>
      <c r="C24" s="15">
        <f>1/(1+C12)</f>
        <v>0.970873786407767</v>
      </c>
    </row>
    <row r="25" spans="2:7" ht="14" x14ac:dyDescent="0.3">
      <c r="B25" s="3" t="s">
        <v>78</v>
      </c>
      <c r="C25" s="15">
        <f>C12/(1+C12)</f>
        <v>2.9126213592233007E-2</v>
      </c>
    </row>
    <row r="26" spans="2:7" ht="14" x14ac:dyDescent="0.3">
      <c r="B26" s="3" t="s">
        <v>79</v>
      </c>
      <c r="C26" s="15">
        <f>C23*C24+C11*C25</f>
        <v>0.14349514563106799</v>
      </c>
    </row>
    <row r="27" spans="2:7" ht="14" x14ac:dyDescent="0.3">
      <c r="B27" s="3" t="s">
        <v>80</v>
      </c>
      <c r="C27" s="16" t="s">
        <v>81</v>
      </c>
      <c r="D27" s="5">
        <f>MATCH(C27,B69:B73,0)</f>
        <v>1</v>
      </c>
    </row>
    <row r="28" spans="2:7" ht="14" x14ac:dyDescent="0.3">
      <c r="B28" s="7" t="s">
        <v>82</v>
      </c>
      <c r="C28" s="8"/>
      <c r="D28" s="8"/>
      <c r="E28" s="8"/>
      <c r="F28" s="8"/>
      <c r="G28" s="8"/>
    </row>
    <row r="29" spans="2:7" ht="14" x14ac:dyDescent="0.3">
      <c r="C29" s="9" t="s">
        <v>83</v>
      </c>
      <c r="D29" s="9" t="s">
        <v>84</v>
      </c>
      <c r="E29" s="9" t="s">
        <v>85</v>
      </c>
      <c r="F29" s="9" t="s">
        <v>86</v>
      </c>
      <c r="G29" s="9" t="s">
        <v>87</v>
      </c>
    </row>
    <row r="30" spans="2:7" ht="14" x14ac:dyDescent="0.3">
      <c r="B30" s="3" t="s">
        <v>45</v>
      </c>
      <c r="C30" s="17">
        <f>CHOOSE($D$27,C69,C70,C71,C72,C73)</f>
        <v>0.73</v>
      </c>
      <c r="D30" s="17">
        <f>CHOOSE($D$27,D69,D70,D71,D72,D73)</f>
        <v>0.28999999999999998</v>
      </c>
      <c r="E30" s="17">
        <f>CHOOSE($D$27,E69,E70,E71,E72,E73)</f>
        <v>0.24</v>
      </c>
      <c r="F30" s="17">
        <f>CHOOSE($D$27,F69,F70,F71,F72,F73)</f>
        <v>0.2</v>
      </c>
      <c r="G30" s="17">
        <f>CHOOSE($D$27,G69,G70,G71,G72,G73)</f>
        <v>0.16</v>
      </c>
    </row>
    <row r="31" spans="2:7" ht="14" x14ac:dyDescent="0.3">
      <c r="B31" s="3" t="s">
        <v>88</v>
      </c>
      <c r="C31" s="17">
        <f>CHOOSE($D$27,C76,C77,C78,C79,C80)</f>
        <v>0.27500000000000002</v>
      </c>
      <c r="D31" s="17">
        <f>CHOOSE($D$27,D76,D77,D78,D79,D80)</f>
        <v>0.27500000000000002</v>
      </c>
      <c r="E31" s="17">
        <f>CHOOSE($D$27,E76,E77,E78,E79,E80)</f>
        <v>0.27500000000000002</v>
      </c>
      <c r="F31" s="17">
        <f>CHOOSE($D$27,F76,F77,F78,F79,F80)</f>
        <v>0.27500000000000002</v>
      </c>
      <c r="G31" s="17">
        <f>CHOOSE($D$27,G76,G77,G78,G79,G80)</f>
        <v>0.27500000000000002</v>
      </c>
    </row>
    <row r="32" spans="2:7" ht="14" x14ac:dyDescent="0.3">
      <c r="B32" s="3" t="s">
        <v>89</v>
      </c>
      <c r="C32" s="17">
        <f>CHOOSE($D$27,C83,C84,C85,C86,C87)</f>
        <v>0.56000000000000005</v>
      </c>
      <c r="D32" s="17">
        <f>CHOOSE($D$27,D83,D84,D85,D86,D87)</f>
        <v>0.55000000000000004</v>
      </c>
      <c r="E32" s="17">
        <f>CHOOSE($D$27,E83,E84,E85,E86,E87)</f>
        <v>0.54</v>
      </c>
      <c r="F32" s="17">
        <f>CHOOSE($D$27,F83,F84,F85,F86,F87)</f>
        <v>0.53</v>
      </c>
      <c r="G32" s="17">
        <f>CHOOSE($D$27,G83,G84,G85,G86,G87)</f>
        <v>0.52</v>
      </c>
    </row>
    <row r="33" spans="2:7" ht="14" x14ac:dyDescent="0.3">
      <c r="B33" s="3" t="s">
        <v>36</v>
      </c>
      <c r="C33" s="4">
        <f>C17*(1+C30)</f>
        <v>33020.51</v>
      </c>
      <c r="D33" s="4">
        <f>C33*(1+D30)</f>
        <v>42596.457900000001</v>
      </c>
      <c r="E33" s="4">
        <f>D33*(1+E30)</f>
        <v>52819.607796000004</v>
      </c>
      <c r="F33" s="4">
        <f>E33*(1+F30)</f>
        <v>63383.5293552</v>
      </c>
      <c r="G33" s="4">
        <f>F33*(1+G30)</f>
        <v>73524.894052031988</v>
      </c>
    </row>
    <row r="34" spans="2:7" ht="14" x14ac:dyDescent="0.3">
      <c r="B34" s="3" t="s">
        <v>37</v>
      </c>
      <c r="C34" s="4">
        <f>C33*C31</f>
        <v>9080.6402500000022</v>
      </c>
      <c r="D34" s="4">
        <f>D33*D31</f>
        <v>11714.025922500001</v>
      </c>
      <c r="E34" s="4">
        <f>E33*E31</f>
        <v>14525.392143900002</v>
      </c>
      <c r="F34" s="4">
        <f>F33*F31</f>
        <v>17430.470572680002</v>
      </c>
      <c r="G34" s="4">
        <f>G33*G31</f>
        <v>20219.345864308798</v>
      </c>
    </row>
    <row r="35" spans="2:7" ht="14" x14ac:dyDescent="0.3">
      <c r="B35" s="3" t="s">
        <v>38</v>
      </c>
      <c r="C35" s="18">
        <f>C33-C34</f>
        <v>23939.869749999998</v>
      </c>
      <c r="D35" s="18">
        <f>D33-D34</f>
        <v>30882.4319775</v>
      </c>
      <c r="E35" s="18">
        <f>E33-E34</f>
        <v>38294.2156521</v>
      </c>
      <c r="F35" s="18">
        <f>F33-F34</f>
        <v>45953.058782519998</v>
      </c>
      <c r="G35" s="18">
        <f>G33-G34</f>
        <v>53305.548187723194</v>
      </c>
    </row>
    <row r="36" spans="2:7" ht="14" x14ac:dyDescent="0.3">
      <c r="B36" s="3" t="s">
        <v>39</v>
      </c>
      <c r="C36" s="6">
        <f>C35/C33</f>
        <v>0.72499999999999987</v>
      </c>
      <c r="D36" s="6">
        <f>D35/D33</f>
        <v>0.72499999999999998</v>
      </c>
      <c r="E36" s="6">
        <f>E35/E33</f>
        <v>0.72499999999999998</v>
      </c>
      <c r="F36" s="6">
        <f>F35/F33</f>
        <v>0.72499999999999998</v>
      </c>
      <c r="G36" s="6">
        <f>G35/G33</f>
        <v>0.72500000000000009</v>
      </c>
    </row>
    <row r="37" spans="2:7" ht="14" x14ac:dyDescent="0.3">
      <c r="B37" s="3" t="s">
        <v>90</v>
      </c>
      <c r="C37" s="4">
        <f>C33*C32</f>
        <v>18491.485600000004</v>
      </c>
      <c r="D37" s="4">
        <f>D33*D32</f>
        <v>23428.051845000002</v>
      </c>
      <c r="E37" s="4">
        <f>E33*E32</f>
        <v>28522.588209840003</v>
      </c>
      <c r="F37" s="4">
        <f>F33*F32</f>
        <v>33593.270558256001</v>
      </c>
      <c r="G37" s="4">
        <f>G33*G32</f>
        <v>38232.944907056633</v>
      </c>
    </row>
    <row r="38" spans="2:7" ht="14" x14ac:dyDescent="0.3">
      <c r="B38" s="3" t="s">
        <v>91</v>
      </c>
      <c r="C38" s="6">
        <f>(C35-C37)/C33</f>
        <v>0.16499999999999981</v>
      </c>
      <c r="D38" s="6">
        <f>(D35-D37)/D33</f>
        <v>0.17499999999999996</v>
      </c>
      <c r="E38" s="6">
        <f>(E35-E37)/E33</f>
        <v>0.18499999999999991</v>
      </c>
      <c r="F38" s="6">
        <f>(F35-F37)/F33</f>
        <v>0.19499999999999995</v>
      </c>
      <c r="G38" s="6">
        <f>(G35-G37)/G33</f>
        <v>0.20500000000000004</v>
      </c>
    </row>
    <row r="39" spans="2:7" ht="14" x14ac:dyDescent="0.3">
      <c r="B39" s="3" t="s">
        <v>92</v>
      </c>
      <c r="C39" s="18">
        <f>C35-C37</f>
        <v>5448.3841499999944</v>
      </c>
      <c r="D39" s="18">
        <f>D35-D37</f>
        <v>7454.3801324999986</v>
      </c>
      <c r="E39" s="18">
        <f>E35-E37</f>
        <v>9771.6274422599963</v>
      </c>
      <c r="F39" s="18">
        <f>F35-F37</f>
        <v>12359.788224263997</v>
      </c>
      <c r="G39" s="18">
        <f>G35-G37</f>
        <v>15072.603280666561</v>
      </c>
    </row>
    <row r="40" spans="2:7" ht="14" x14ac:dyDescent="0.3">
      <c r="B40" s="3" t="s">
        <v>93</v>
      </c>
      <c r="C40" s="4">
        <f>MAX(0,C39*C6)</f>
        <v>1688.9990864999982</v>
      </c>
      <c r="D40" s="4">
        <f>MAX(0,D39*C6)</f>
        <v>2310.8578410749997</v>
      </c>
      <c r="E40" s="4">
        <f>MAX(0,E39*C6)</f>
        <v>3029.2045071005987</v>
      </c>
      <c r="F40" s="4">
        <f>MAX(0,F39*C6)</f>
        <v>3831.534349521839</v>
      </c>
      <c r="G40" s="4">
        <f>MAX(0,G39*C6)</f>
        <v>4672.5070170066338</v>
      </c>
    </row>
    <row r="41" spans="2:7" ht="14" x14ac:dyDescent="0.3">
      <c r="B41" s="3" t="s">
        <v>94</v>
      </c>
      <c r="C41" s="18">
        <f>C39-C40</f>
        <v>3759.3850634999962</v>
      </c>
      <c r="D41" s="18">
        <f>D39-D40</f>
        <v>5143.5222914249989</v>
      </c>
      <c r="E41" s="18">
        <f>E39-E40</f>
        <v>6742.4229351593976</v>
      </c>
      <c r="F41" s="18">
        <f>F39-F40</f>
        <v>8528.2538747421586</v>
      </c>
      <c r="G41" s="18">
        <f>G39-G40</f>
        <v>10400.096263659927</v>
      </c>
    </row>
    <row r="42" spans="2:7" ht="14" x14ac:dyDescent="0.3">
      <c r="B42" s="3" t="s">
        <v>95</v>
      </c>
      <c r="C42" s="4">
        <f>C33*C18</f>
        <v>429.26663000000002</v>
      </c>
      <c r="D42" s="4">
        <f>D33*C18</f>
        <v>553.75395270000001</v>
      </c>
      <c r="E42" s="4">
        <f>E33*C18</f>
        <v>686.65490134800007</v>
      </c>
      <c r="F42" s="4">
        <f>F33*C18</f>
        <v>823.98588161759994</v>
      </c>
      <c r="G42" s="4">
        <f>G33*C18</f>
        <v>955.82362267641577</v>
      </c>
    </row>
    <row r="43" spans="2:7" ht="14" x14ac:dyDescent="0.3">
      <c r="B43" s="3" t="s">
        <v>96</v>
      </c>
      <c r="C43" s="4">
        <f>C33*C5</f>
        <v>594.36918000000003</v>
      </c>
      <c r="D43" s="4">
        <f>D33*C5</f>
        <v>766.73624219999999</v>
      </c>
      <c r="E43" s="4">
        <f>E33*C5</f>
        <v>950.75294032800002</v>
      </c>
      <c r="F43" s="4">
        <f>F33*C5</f>
        <v>1140.9035283936</v>
      </c>
      <c r="G43" s="4">
        <f>G33*C5</f>
        <v>1323.4480929365757</v>
      </c>
    </row>
    <row r="44" spans="2:7" ht="14" x14ac:dyDescent="0.3">
      <c r="B44" s="3" t="s">
        <v>97</v>
      </c>
      <c r="C44" s="4">
        <f>'NWC Schedule'!D19</f>
        <v>-126.18443493150698</v>
      </c>
      <c r="D44" s="4">
        <f>'NWC Schedule'!E19</f>
        <v>1134.9104053424653</v>
      </c>
      <c r="E44" s="4">
        <f>'NWC Schedule'!F19</f>
        <v>1145.4362583246593</v>
      </c>
      <c r="F44" s="4">
        <f>'NWC Schedule'!G19</f>
        <v>1110.6588762583542</v>
      </c>
      <c r="G44" s="4">
        <f>'NWC Schedule'!H19</f>
        <v>980.27403619206507</v>
      </c>
    </row>
    <row r="45" spans="2:7" ht="14" x14ac:dyDescent="0.3">
      <c r="B45" s="3" t="s">
        <v>98</v>
      </c>
      <c r="C45" s="19">
        <f>C41+C42-C43-C44</f>
        <v>3720.4669484315032</v>
      </c>
      <c r="D45" s="19">
        <f>D41+D42-D43-D44</f>
        <v>3795.6295965825338</v>
      </c>
      <c r="E45" s="19">
        <f>E41+E42-E43-E44</f>
        <v>5332.8886378547386</v>
      </c>
      <c r="F45" s="19">
        <f>F41+F42-F43-F44</f>
        <v>7100.6773517078054</v>
      </c>
      <c r="G45" s="19">
        <f>G41+G42-G43-G44</f>
        <v>9052.1977572077012</v>
      </c>
    </row>
    <row r="46" spans="2:7" ht="14" x14ac:dyDescent="0.3">
      <c r="B46" s="3" t="s">
        <v>99</v>
      </c>
      <c r="C46" s="20">
        <f>1/(1+C26)^(C19+0)</f>
        <v>0.93515335729714388</v>
      </c>
      <c r="D46" s="20">
        <f>1/(1+C26)^(C19+1)</f>
        <v>0.81780264732217534</v>
      </c>
      <c r="E46" s="20">
        <f>1/(1+C26)^(C19+2)</f>
        <v>0.71517806651540206</v>
      </c>
      <c r="F46" s="20">
        <f>1/(1+C26)^(C19+3)</f>
        <v>0.62543165945904566</v>
      </c>
      <c r="G46" s="20">
        <f>1/(1+C26)^(C19+4)</f>
        <v>0.54694736733131011</v>
      </c>
    </row>
    <row r="47" spans="2:7" ht="14" x14ac:dyDescent="0.3">
      <c r="B47" s="3" t="s">
        <v>100</v>
      </c>
      <c r="C47" s="18">
        <f>C45*C46</f>
        <v>3479.2071575387799</v>
      </c>
      <c r="D47" s="18">
        <f>D45*D46</f>
        <v>3104.0759323395964</v>
      </c>
      <c r="E47" s="18">
        <f>E45*E46</f>
        <v>3813.9649849629081</v>
      </c>
      <c r="F47" s="18">
        <f>F45*F46</f>
        <v>4440.9884193618745</v>
      </c>
      <c r="G47" s="18">
        <f>G45*G46</f>
        <v>4951.0757318671422</v>
      </c>
    </row>
    <row r="49" spans="2:7" ht="14" x14ac:dyDescent="0.3">
      <c r="B49" s="21" t="s">
        <v>101</v>
      </c>
      <c r="C49" s="22"/>
      <c r="D49" s="22"/>
      <c r="E49" s="22"/>
      <c r="F49" s="22"/>
      <c r="G49" s="22"/>
    </row>
    <row r="50" spans="2:7" ht="14" x14ac:dyDescent="0.3">
      <c r="B50" s="3" t="s">
        <v>102</v>
      </c>
      <c r="C50" s="4">
        <f>SUM(C47:G47)</f>
        <v>19789.312226070302</v>
      </c>
    </row>
    <row r="51" spans="2:7" ht="14" x14ac:dyDescent="0.3">
      <c r="B51" s="3" t="s">
        <v>103</v>
      </c>
      <c r="C51" s="4">
        <f>G45*(1+C13)/(C26-C13)</f>
        <v>71504.496753100015</v>
      </c>
    </row>
    <row r="52" spans="2:7" ht="14" x14ac:dyDescent="0.3">
      <c r="B52" s="3" t="s">
        <v>104</v>
      </c>
      <c r="C52" s="4">
        <f>C51*G46</f>
        <v>39109.196251458263</v>
      </c>
    </row>
    <row r="53" spans="2:7" ht="14" x14ac:dyDescent="0.3">
      <c r="B53" s="3" t="s">
        <v>105</v>
      </c>
      <c r="C53" s="4">
        <f>C50+C52</f>
        <v>58898.508477528565</v>
      </c>
    </row>
    <row r="54" spans="2:7" ht="14" x14ac:dyDescent="0.3">
      <c r="B54" s="3" t="s">
        <v>106</v>
      </c>
      <c r="C54" s="4">
        <f>C53-C16</f>
        <v>60999.508477528565</v>
      </c>
    </row>
    <row r="55" spans="2:7" ht="14" x14ac:dyDescent="0.3">
      <c r="B55" s="3" t="s">
        <v>107</v>
      </c>
      <c r="C55" s="23">
        <f>ROUND(C54*1000000/C15,0)</f>
        <v>8379</v>
      </c>
    </row>
    <row r="57" spans="2:7" ht="14" x14ac:dyDescent="0.3">
      <c r="B57" s="21" t="s">
        <v>108</v>
      </c>
      <c r="C57" s="22"/>
      <c r="D57" s="22"/>
      <c r="E57" s="22"/>
      <c r="F57" s="22"/>
      <c r="G57" s="22"/>
    </row>
    <row r="58" spans="2:7" ht="14" x14ac:dyDescent="0.3">
      <c r="B58" s="3" t="s">
        <v>102</v>
      </c>
      <c r="C58" s="4">
        <f>C50</f>
        <v>19789.312226070302</v>
      </c>
    </row>
    <row r="59" spans="2:7" ht="14" x14ac:dyDescent="0.3">
      <c r="B59" s="3" t="s">
        <v>109</v>
      </c>
      <c r="C59" s="4">
        <f>G39+G42</f>
        <v>16028.426903342977</v>
      </c>
    </row>
    <row r="60" spans="2:7" ht="14" x14ac:dyDescent="0.3">
      <c r="B60" s="3" t="s">
        <v>110</v>
      </c>
      <c r="C60" s="4">
        <f>C59*C14</f>
        <v>128227.41522674382</v>
      </c>
    </row>
    <row r="61" spans="2:7" ht="14" x14ac:dyDescent="0.3">
      <c r="B61" s="3" t="s">
        <v>104</v>
      </c>
      <c r="C61" s="4">
        <f>C60*G46</f>
        <v>70133.647177966282</v>
      </c>
    </row>
    <row r="62" spans="2:7" ht="14" x14ac:dyDescent="0.3">
      <c r="B62" s="3" t="s">
        <v>105</v>
      </c>
      <c r="C62" s="4">
        <f>C58+C61</f>
        <v>89922.959404036577</v>
      </c>
    </row>
    <row r="63" spans="2:7" ht="14" x14ac:dyDescent="0.3">
      <c r="B63" s="3" t="s">
        <v>106</v>
      </c>
      <c r="C63" s="4">
        <f>C62-C16</f>
        <v>92023.959404036577</v>
      </c>
    </row>
    <row r="64" spans="2:7" ht="14" x14ac:dyDescent="0.3">
      <c r="B64" s="3" t="s">
        <v>111</v>
      </c>
      <c r="C64" s="23">
        <f>ROUND(C63*1000000/C15,0)</f>
        <v>12641</v>
      </c>
    </row>
    <row r="66" spans="2:7" ht="14" x14ac:dyDescent="0.3">
      <c r="B66" s="21" t="s">
        <v>112</v>
      </c>
      <c r="C66" s="22"/>
      <c r="D66" s="22"/>
      <c r="E66" s="22"/>
      <c r="F66" s="22"/>
      <c r="G66" s="22"/>
    </row>
    <row r="67" spans="2:7" ht="14" x14ac:dyDescent="0.3">
      <c r="C67" s="24" t="s">
        <v>113</v>
      </c>
      <c r="D67" s="24" t="s">
        <v>114</v>
      </c>
      <c r="E67" s="24" t="s">
        <v>115</v>
      </c>
      <c r="F67" s="24" t="s">
        <v>116</v>
      </c>
      <c r="G67" s="24" t="s">
        <v>117</v>
      </c>
    </row>
    <row r="68" spans="2:7" ht="14" x14ac:dyDescent="0.3">
      <c r="B68" s="2" t="s">
        <v>45</v>
      </c>
    </row>
    <row r="69" spans="2:7" ht="14" x14ac:dyDescent="0.3">
      <c r="B69" s="3" t="s">
        <v>81</v>
      </c>
      <c r="C69" s="25">
        <v>0.73</v>
      </c>
      <c r="D69" s="25">
        <v>0.28999999999999998</v>
      </c>
      <c r="E69" s="25">
        <v>0.24</v>
      </c>
      <c r="F69" s="25">
        <v>0.2</v>
      </c>
      <c r="G69" s="25">
        <v>0.16</v>
      </c>
    </row>
    <row r="70" spans="2:7" ht="14" x14ac:dyDescent="0.3">
      <c r="B70" s="3" t="s">
        <v>118</v>
      </c>
      <c r="C70" s="25">
        <v>0.57999999999999996</v>
      </c>
      <c r="D70" s="25">
        <v>0.45</v>
      </c>
      <c r="E70" s="25">
        <v>0.35</v>
      </c>
      <c r="F70" s="25">
        <v>0.28000000000000003</v>
      </c>
      <c r="G70" s="25">
        <v>0.22</v>
      </c>
    </row>
    <row r="71" spans="2:7" ht="14" x14ac:dyDescent="0.3">
      <c r="B71" s="3" t="s">
        <v>119</v>
      </c>
      <c r="C71" s="25">
        <v>0.57999999999999996</v>
      </c>
      <c r="D71" s="25">
        <v>0.4</v>
      </c>
      <c r="E71" s="25">
        <v>0.3</v>
      </c>
      <c r="F71" s="25">
        <v>0.25</v>
      </c>
      <c r="G71" s="25">
        <v>0.2</v>
      </c>
    </row>
    <row r="72" spans="2:7" ht="14" x14ac:dyDescent="0.3">
      <c r="B72" s="3" t="s">
        <v>120</v>
      </c>
      <c r="C72" s="25">
        <v>0.2</v>
      </c>
      <c r="D72" s="25">
        <v>0.12</v>
      </c>
      <c r="E72" s="25">
        <v>0.08</v>
      </c>
      <c r="F72" s="25">
        <v>0.06</v>
      </c>
      <c r="G72" s="25">
        <v>0.04</v>
      </c>
    </row>
    <row r="73" spans="2:7" ht="14" x14ac:dyDescent="0.3">
      <c r="B73" s="3" t="s">
        <v>121</v>
      </c>
      <c r="C73" s="25">
        <v>0.08</v>
      </c>
      <c r="D73" s="25">
        <v>0.03</v>
      </c>
      <c r="E73" s="25">
        <v>0</v>
      </c>
      <c r="F73" s="25">
        <v>-0.02</v>
      </c>
      <c r="G73" s="25">
        <v>-0.03</v>
      </c>
    </row>
    <row r="75" spans="2:7" ht="14" x14ac:dyDescent="0.3">
      <c r="B75" s="2" t="s">
        <v>88</v>
      </c>
    </row>
    <row r="76" spans="2:7" ht="14" x14ac:dyDescent="0.3">
      <c r="B76" s="3" t="s">
        <v>81</v>
      </c>
      <c r="C76" s="25">
        <v>0.27500000000000002</v>
      </c>
      <c r="D76" s="25">
        <v>0.27500000000000002</v>
      </c>
      <c r="E76" s="25">
        <v>0.27500000000000002</v>
      </c>
      <c r="F76" s="25">
        <v>0.27500000000000002</v>
      </c>
      <c r="G76" s="25">
        <v>0.27500000000000002</v>
      </c>
    </row>
    <row r="77" spans="2:7" ht="14" x14ac:dyDescent="0.3">
      <c r="B77" s="3" t="s">
        <v>118</v>
      </c>
      <c r="C77" s="25">
        <v>0.27</v>
      </c>
      <c r="D77" s="25">
        <v>0.26500000000000001</v>
      </c>
      <c r="E77" s="25">
        <v>0.26</v>
      </c>
      <c r="F77" s="25">
        <v>0.26</v>
      </c>
      <c r="G77" s="25">
        <v>0.255</v>
      </c>
    </row>
    <row r="78" spans="2:7" ht="14" x14ac:dyDescent="0.3">
      <c r="B78" s="3" t="s">
        <v>119</v>
      </c>
      <c r="C78" s="25">
        <v>0.27500000000000002</v>
      </c>
      <c r="D78" s="25">
        <v>0.27500000000000002</v>
      </c>
      <c r="E78" s="25">
        <v>0.27500000000000002</v>
      </c>
      <c r="F78" s="25">
        <v>0.27500000000000002</v>
      </c>
      <c r="G78" s="25">
        <v>0.27500000000000002</v>
      </c>
    </row>
    <row r="79" spans="2:7" ht="14" x14ac:dyDescent="0.3">
      <c r="B79" s="3" t="s">
        <v>120</v>
      </c>
      <c r="C79" s="25">
        <v>0.28999999999999998</v>
      </c>
      <c r="D79" s="25">
        <v>0.3</v>
      </c>
      <c r="E79" s="25">
        <v>0.31</v>
      </c>
      <c r="F79" s="25">
        <v>0.31</v>
      </c>
      <c r="G79" s="25">
        <v>0.32</v>
      </c>
    </row>
    <row r="80" spans="2:7" ht="14" x14ac:dyDescent="0.3">
      <c r="B80" s="3" t="s">
        <v>121</v>
      </c>
      <c r="C80" s="25">
        <v>0.31</v>
      </c>
      <c r="D80" s="25">
        <v>0.32</v>
      </c>
      <c r="E80" s="25">
        <v>0.33</v>
      </c>
      <c r="F80" s="25">
        <v>0.34</v>
      </c>
      <c r="G80" s="25">
        <v>0.35</v>
      </c>
    </row>
    <row r="82" spans="2:7" ht="14" x14ac:dyDescent="0.3">
      <c r="B82" s="2" t="s">
        <v>89</v>
      </c>
    </row>
    <row r="83" spans="2:7" ht="14" x14ac:dyDescent="0.3">
      <c r="B83" s="3" t="s">
        <v>81</v>
      </c>
      <c r="C83" s="25">
        <v>0.56000000000000005</v>
      </c>
      <c r="D83" s="25">
        <v>0.55000000000000004</v>
      </c>
      <c r="E83" s="25">
        <v>0.54</v>
      </c>
      <c r="F83" s="25">
        <v>0.53</v>
      </c>
      <c r="G83" s="25">
        <v>0.52</v>
      </c>
    </row>
    <row r="84" spans="2:7" ht="14" x14ac:dyDescent="0.3">
      <c r="B84" s="3" t="s">
        <v>118</v>
      </c>
      <c r="C84" s="25">
        <v>0.55000000000000004</v>
      </c>
      <c r="D84" s="25">
        <v>0.52</v>
      </c>
      <c r="E84" s="25">
        <v>0.5</v>
      </c>
      <c r="F84" s="25">
        <v>0.48</v>
      </c>
      <c r="G84" s="25">
        <v>0.46</v>
      </c>
    </row>
    <row r="85" spans="2:7" ht="14" x14ac:dyDescent="0.3">
      <c r="B85" s="3" t="s">
        <v>119</v>
      </c>
      <c r="C85" s="25">
        <v>0.56000000000000005</v>
      </c>
      <c r="D85" s="25">
        <v>0.54</v>
      </c>
      <c r="E85" s="25">
        <v>0.53</v>
      </c>
      <c r="F85" s="25">
        <v>0.52</v>
      </c>
      <c r="G85" s="25">
        <v>0.51</v>
      </c>
    </row>
    <row r="86" spans="2:7" ht="14" x14ac:dyDescent="0.3">
      <c r="B86" s="3" t="s">
        <v>120</v>
      </c>
      <c r="C86" s="25">
        <v>0.57999999999999996</v>
      </c>
      <c r="D86" s="25">
        <v>0.59</v>
      </c>
      <c r="E86" s="25">
        <v>0.6</v>
      </c>
      <c r="F86" s="25">
        <v>0.6</v>
      </c>
      <c r="G86" s="25">
        <v>0.61</v>
      </c>
    </row>
    <row r="87" spans="2:7" ht="14" x14ac:dyDescent="0.3">
      <c r="B87" s="3" t="s">
        <v>121</v>
      </c>
      <c r="C87" s="25">
        <v>0.61</v>
      </c>
      <c r="D87" s="25">
        <v>0.63</v>
      </c>
      <c r="E87" s="25">
        <v>0.64</v>
      </c>
      <c r="F87" s="25">
        <v>0.65</v>
      </c>
      <c r="G87" s="25">
        <v>0.66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122</v>
      </c>
    </row>
    <row r="4" spans="2:8" ht="14" x14ac:dyDescent="0.3">
      <c r="B4" s="7" t="s">
        <v>123</v>
      </c>
      <c r="C4" s="26" t="s">
        <v>124</v>
      </c>
      <c r="D4" s="26" t="s">
        <v>83</v>
      </c>
      <c r="E4" s="26" t="s">
        <v>84</v>
      </c>
      <c r="F4" s="26" t="s">
        <v>85</v>
      </c>
      <c r="G4" s="26" t="s">
        <v>86</v>
      </c>
      <c r="H4" s="26" t="s">
        <v>87</v>
      </c>
    </row>
    <row r="5" spans="2:8" ht="14" x14ac:dyDescent="0.3">
      <c r="B5" s="27" t="s">
        <v>125</v>
      </c>
      <c r="C5" s="28">
        <f>C12/C9*365</f>
        <v>15.317493582019175</v>
      </c>
      <c r="D5" s="28">
        <f>CHOOSE('DCF Model'!$D$27,D25,D26,D27,D28,D29)</f>
        <v>15</v>
      </c>
      <c r="E5" s="28">
        <f>CHOOSE('DCF Model'!$D$27,E25,E26,E27,E28,E29)</f>
        <v>15</v>
      </c>
      <c r="F5" s="28">
        <f>CHOOSE('DCF Model'!$D$27,F25,F26,F27,F28,F29)</f>
        <v>15</v>
      </c>
      <c r="G5" s="28">
        <f>CHOOSE('DCF Model'!$D$27,G25,G26,G27,G28,G29)</f>
        <v>15</v>
      </c>
      <c r="H5" s="28">
        <f>CHOOSE('DCF Model'!$D$27,H25,H26,H27,H28,H29)</f>
        <v>15</v>
      </c>
    </row>
    <row r="6" spans="2:8" ht="14" x14ac:dyDescent="0.3">
      <c r="B6" s="27" t="s">
        <v>126</v>
      </c>
      <c r="C6" s="28">
        <f>C13/C10*365</f>
        <v>339.11792813455656</v>
      </c>
      <c r="D6" s="28">
        <f>CHOOSE('DCF Model'!$D$27,D32,D33,D34,D35,D36)</f>
        <v>150</v>
      </c>
      <c r="E6" s="28">
        <f>CHOOSE('DCF Model'!$D$27,E32,E33,E34,E35,E36)</f>
        <v>145</v>
      </c>
      <c r="F6" s="28">
        <f>CHOOSE('DCF Model'!$D$27,F32,F33,F34,F35,F36)</f>
        <v>140</v>
      </c>
      <c r="G6" s="28">
        <f>CHOOSE('DCF Model'!$D$27,G32,G33,G34,G35,G36)</f>
        <v>135</v>
      </c>
      <c r="H6" s="28">
        <f>CHOOSE('DCF Model'!$D$27,H32,H33,H34,H35,H36)</f>
        <v>130</v>
      </c>
    </row>
    <row r="7" spans="2:8" ht="14" x14ac:dyDescent="0.3">
      <c r="B7" s="27" t="s">
        <v>127</v>
      </c>
      <c r="C7" s="28">
        <f>C15/C10*365</f>
        <v>74.576643730886843</v>
      </c>
      <c r="D7" s="28">
        <f>CHOOSE('DCF Model'!$D$27,D39,D40,D41,D42,D43)</f>
        <v>25</v>
      </c>
      <c r="E7" s="28">
        <f>CHOOSE('DCF Model'!$D$27,E39,E40,E41,E42,E43)</f>
        <v>25</v>
      </c>
      <c r="F7" s="28">
        <f>CHOOSE('DCF Model'!$D$27,F39,F40,F41,F42,F43)</f>
        <v>25</v>
      </c>
      <c r="G7" s="28">
        <f>CHOOSE('DCF Model'!$D$27,G39,G40,G41,G42,G43)</f>
        <v>25</v>
      </c>
      <c r="H7" s="28">
        <f>CHOOSE('DCF Model'!$D$27,H39,H40,H41,H42,H43)</f>
        <v>25</v>
      </c>
    </row>
    <row r="8" spans="2:8" ht="14" x14ac:dyDescent="0.3">
      <c r="B8" s="7" t="s">
        <v>128</v>
      </c>
      <c r="C8" s="8"/>
      <c r="D8" s="8"/>
      <c r="E8" s="8"/>
      <c r="F8" s="8"/>
      <c r="G8" s="8"/>
      <c r="H8" s="8"/>
    </row>
    <row r="9" spans="2:8" ht="14" x14ac:dyDescent="0.3">
      <c r="B9" s="27" t="s">
        <v>36</v>
      </c>
      <c r="C9" s="29">
        <v>19087</v>
      </c>
      <c r="D9" s="29">
        <f>'DCF Model'!C33</f>
        <v>33020.51</v>
      </c>
      <c r="E9" s="29">
        <f>'DCF Model'!D33</f>
        <v>42596.457900000001</v>
      </c>
      <c r="F9" s="29">
        <f>'DCF Model'!E33</f>
        <v>52819.607796000004</v>
      </c>
      <c r="G9" s="29">
        <f>'DCF Model'!F33</f>
        <v>63383.5293552</v>
      </c>
      <c r="H9" s="29">
        <f>'DCF Model'!G33</f>
        <v>73524.894052031988</v>
      </c>
    </row>
    <row r="10" spans="2:8" ht="14" x14ac:dyDescent="0.3">
      <c r="B10" s="27" t="s">
        <v>37</v>
      </c>
      <c r="C10" s="29">
        <v>5232</v>
      </c>
      <c r="D10" s="29">
        <f>'DCF Model'!C34</f>
        <v>9080.6402500000022</v>
      </c>
      <c r="E10" s="29">
        <f>'DCF Model'!D34</f>
        <v>11714.025922500001</v>
      </c>
      <c r="F10" s="29">
        <f>'DCF Model'!E34</f>
        <v>14525.392143900002</v>
      </c>
      <c r="G10" s="29">
        <f>'DCF Model'!F34</f>
        <v>17430.470572680002</v>
      </c>
      <c r="H10" s="29">
        <f>'DCF Model'!G34</f>
        <v>20219.345864308798</v>
      </c>
    </row>
    <row r="11" spans="2:8" ht="14" x14ac:dyDescent="0.3">
      <c r="B11" s="7" t="s">
        <v>129</v>
      </c>
      <c r="C11" s="8"/>
      <c r="D11" s="8"/>
      <c r="E11" s="8"/>
      <c r="F11" s="8"/>
      <c r="G11" s="8"/>
      <c r="H11" s="8"/>
    </row>
    <row r="12" spans="2:8" ht="14" x14ac:dyDescent="0.3">
      <c r="B12" s="27" t="s">
        <v>130</v>
      </c>
      <c r="C12" s="29">
        <v>801</v>
      </c>
      <c r="D12" s="29">
        <f t="shared" ref="D12:H13" si="0">D9*D5/365</f>
        <v>1357.0072602739726</v>
      </c>
      <c r="E12" s="29">
        <f t="shared" si="0"/>
        <v>1750.5393657534246</v>
      </c>
      <c r="F12" s="29">
        <f t="shared" si="0"/>
        <v>2170.668813534247</v>
      </c>
      <c r="G12" s="29">
        <f t="shared" si="0"/>
        <v>2604.8025762410957</v>
      </c>
      <c r="H12" s="29">
        <f t="shared" si="0"/>
        <v>3021.5709884396711</v>
      </c>
    </row>
    <row r="13" spans="2:8" ht="14" x14ac:dyDescent="0.3">
      <c r="B13" s="27" t="s">
        <v>131</v>
      </c>
      <c r="C13" s="29">
        <v>4861</v>
      </c>
      <c r="D13" s="29">
        <f t="shared" si="0"/>
        <v>3731.7699657534254</v>
      </c>
      <c r="E13" s="29">
        <f t="shared" si="0"/>
        <v>4653.5171472945203</v>
      </c>
      <c r="F13" s="29">
        <f t="shared" si="0"/>
        <v>5571.3832880712334</v>
      </c>
      <c r="G13" s="29">
        <f t="shared" si="0"/>
        <v>6446.8863761967123</v>
      </c>
      <c r="H13" s="29">
        <f t="shared" si="0"/>
        <v>7201.4108557812151</v>
      </c>
    </row>
    <row r="14" spans="2:8" ht="14" x14ac:dyDescent="0.3">
      <c r="B14" s="27" t="s">
        <v>132</v>
      </c>
      <c r="C14" s="29">
        <f t="shared" ref="C14:H14" si="1">C12+C13</f>
        <v>5662</v>
      </c>
      <c r="D14" s="29">
        <f t="shared" si="1"/>
        <v>5088.7772260273978</v>
      </c>
      <c r="E14" s="29">
        <f t="shared" si="1"/>
        <v>6404.0565130479445</v>
      </c>
      <c r="F14" s="29">
        <f t="shared" si="1"/>
        <v>7742.0521016054809</v>
      </c>
      <c r="G14" s="29">
        <f t="shared" si="1"/>
        <v>9051.6889524378075</v>
      </c>
      <c r="H14" s="29">
        <f t="shared" si="1"/>
        <v>10222.981844220885</v>
      </c>
    </row>
    <row r="15" spans="2:8" ht="14" x14ac:dyDescent="0.3">
      <c r="B15" s="27" t="s">
        <v>133</v>
      </c>
      <c r="C15" s="29">
        <v>1069</v>
      </c>
      <c r="D15" s="29">
        <f>D10*D7/365</f>
        <v>621.9616609589043</v>
      </c>
      <c r="E15" s="29">
        <f>E10*E7/365</f>
        <v>802.33054263698625</v>
      </c>
      <c r="F15" s="29">
        <f>F10*F7/365</f>
        <v>994.88987286986321</v>
      </c>
      <c r="G15" s="29">
        <f>G10*G7/365</f>
        <v>1193.8678474438357</v>
      </c>
      <c r="H15" s="29">
        <f>H10*H7/365</f>
        <v>1384.8867030348492</v>
      </c>
    </row>
    <row r="16" spans="2:8" ht="14" x14ac:dyDescent="0.3">
      <c r="B16" s="27" t="s">
        <v>134</v>
      </c>
      <c r="C16" s="29">
        <f t="shared" ref="C16:H16" si="2">C15</f>
        <v>1069</v>
      </c>
      <c r="D16" s="29">
        <f t="shared" si="2"/>
        <v>621.9616609589043</v>
      </c>
      <c r="E16" s="29">
        <f t="shared" si="2"/>
        <v>802.33054263698625</v>
      </c>
      <c r="F16" s="29">
        <f t="shared" si="2"/>
        <v>994.88987286986321</v>
      </c>
      <c r="G16" s="29">
        <f t="shared" si="2"/>
        <v>1193.8678474438357</v>
      </c>
      <c r="H16" s="29">
        <f t="shared" si="2"/>
        <v>1384.8867030348492</v>
      </c>
    </row>
    <row r="17" spans="2:8" ht="14" x14ac:dyDescent="0.3">
      <c r="B17" s="21" t="s">
        <v>135</v>
      </c>
      <c r="C17" s="22"/>
      <c r="D17" s="22"/>
      <c r="E17" s="22"/>
      <c r="F17" s="22"/>
      <c r="G17" s="22"/>
      <c r="H17" s="22"/>
    </row>
    <row r="18" spans="2:8" ht="14" x14ac:dyDescent="0.3">
      <c r="B18" s="27" t="s">
        <v>136</v>
      </c>
      <c r="C18" s="19">
        <f t="shared" ref="C18:H18" si="3">C14-C16</f>
        <v>4593</v>
      </c>
      <c r="D18" s="19">
        <f t="shared" si="3"/>
        <v>4466.815565068493</v>
      </c>
      <c r="E18" s="19">
        <f t="shared" si="3"/>
        <v>5601.7259704109583</v>
      </c>
      <c r="F18" s="19">
        <f t="shared" si="3"/>
        <v>6747.1622287356176</v>
      </c>
      <c r="G18" s="19">
        <f t="shared" si="3"/>
        <v>7857.8211049939719</v>
      </c>
      <c r="H18" s="19">
        <f t="shared" si="3"/>
        <v>8838.0951411860369</v>
      </c>
    </row>
    <row r="19" spans="2:8" ht="14" x14ac:dyDescent="0.3">
      <c r="B19" s="27" t="s">
        <v>97</v>
      </c>
      <c r="C19" s="30" t="s">
        <v>46</v>
      </c>
      <c r="D19" s="23">
        <f>D18-C18</f>
        <v>-126.18443493150698</v>
      </c>
      <c r="E19" s="23">
        <f>E18-D18</f>
        <v>1134.9104053424653</v>
      </c>
      <c r="F19" s="23">
        <f>F18-E18</f>
        <v>1145.4362583246593</v>
      </c>
      <c r="G19" s="23">
        <f>G18-F18</f>
        <v>1110.6588762583542</v>
      </c>
      <c r="H19" s="23">
        <f>H18-G18</f>
        <v>980.27403619206507</v>
      </c>
    </row>
    <row r="22" spans="2:8" ht="14" x14ac:dyDescent="0.3">
      <c r="B22" s="21" t="s">
        <v>137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83</v>
      </c>
      <c r="E23" s="24" t="s">
        <v>84</v>
      </c>
      <c r="F23" s="24" t="s">
        <v>85</v>
      </c>
      <c r="G23" s="24" t="s">
        <v>86</v>
      </c>
      <c r="H23" s="24" t="s">
        <v>87</v>
      </c>
    </row>
    <row r="24" spans="2:8" ht="14" x14ac:dyDescent="0.3">
      <c r="B24" s="2" t="s">
        <v>138</v>
      </c>
    </row>
    <row r="25" spans="2:8" ht="14" x14ac:dyDescent="0.3">
      <c r="B25" s="3" t="s">
        <v>81</v>
      </c>
      <c r="D25" s="31">
        <v>15</v>
      </c>
      <c r="E25" s="31">
        <v>15</v>
      </c>
      <c r="F25" s="31">
        <v>15</v>
      </c>
      <c r="G25" s="31">
        <v>15</v>
      </c>
      <c r="H25" s="31">
        <v>15</v>
      </c>
    </row>
    <row r="26" spans="2:8" ht="14" x14ac:dyDescent="0.3">
      <c r="B26" s="3" t="s">
        <v>118</v>
      </c>
      <c r="D26" s="31">
        <v>15</v>
      </c>
      <c r="E26" s="31">
        <v>15</v>
      </c>
      <c r="F26" s="31">
        <v>15</v>
      </c>
      <c r="G26" s="31">
        <v>15</v>
      </c>
      <c r="H26" s="31">
        <v>15</v>
      </c>
    </row>
    <row r="27" spans="2:8" ht="14" x14ac:dyDescent="0.3">
      <c r="B27" s="3" t="s">
        <v>119</v>
      </c>
      <c r="D27" s="31">
        <v>15</v>
      </c>
      <c r="E27" s="31">
        <v>15</v>
      </c>
      <c r="F27" s="31">
        <v>15</v>
      </c>
      <c r="G27" s="31">
        <v>15</v>
      </c>
      <c r="H27" s="31">
        <v>15</v>
      </c>
    </row>
    <row r="28" spans="2:8" ht="14" x14ac:dyDescent="0.3">
      <c r="B28" s="3" t="s">
        <v>120</v>
      </c>
      <c r="D28" s="31">
        <v>17</v>
      </c>
      <c r="E28" s="31">
        <v>17</v>
      </c>
      <c r="F28" s="31">
        <v>17</v>
      </c>
      <c r="G28" s="31">
        <v>17</v>
      </c>
      <c r="H28" s="31">
        <v>17</v>
      </c>
    </row>
    <row r="29" spans="2:8" ht="14" x14ac:dyDescent="0.3">
      <c r="B29" s="3" t="s">
        <v>121</v>
      </c>
      <c r="D29" s="31">
        <v>20</v>
      </c>
      <c r="E29" s="31">
        <v>20</v>
      </c>
      <c r="F29" s="31">
        <v>20</v>
      </c>
      <c r="G29" s="31">
        <v>20</v>
      </c>
      <c r="H29" s="31">
        <v>20</v>
      </c>
    </row>
    <row r="31" spans="2:8" ht="14" x14ac:dyDescent="0.3">
      <c r="B31" s="2" t="s">
        <v>139</v>
      </c>
    </row>
    <row r="32" spans="2:8" ht="14" x14ac:dyDescent="0.3">
      <c r="B32" s="3" t="s">
        <v>81</v>
      </c>
      <c r="D32" s="31">
        <v>150</v>
      </c>
      <c r="E32" s="31">
        <v>145</v>
      </c>
      <c r="F32" s="31">
        <v>140</v>
      </c>
      <c r="G32" s="31">
        <v>135</v>
      </c>
      <c r="H32" s="31">
        <v>130</v>
      </c>
    </row>
    <row r="33" spans="2:8" ht="14" x14ac:dyDescent="0.3">
      <c r="B33" s="3" t="s">
        <v>118</v>
      </c>
      <c r="D33" s="31">
        <v>150</v>
      </c>
      <c r="E33" s="31">
        <v>140</v>
      </c>
      <c r="F33" s="31">
        <v>130</v>
      </c>
      <c r="G33" s="31">
        <v>120</v>
      </c>
      <c r="H33" s="31">
        <v>110</v>
      </c>
    </row>
    <row r="34" spans="2:8" ht="14" x14ac:dyDescent="0.3">
      <c r="B34" s="3" t="s">
        <v>119</v>
      </c>
      <c r="D34" s="31">
        <v>150</v>
      </c>
      <c r="E34" s="31">
        <v>145</v>
      </c>
      <c r="F34" s="31">
        <v>140</v>
      </c>
      <c r="G34" s="31">
        <v>135</v>
      </c>
      <c r="H34" s="31">
        <v>130</v>
      </c>
    </row>
    <row r="35" spans="2:8" ht="14" x14ac:dyDescent="0.3">
      <c r="B35" s="3" t="s">
        <v>120</v>
      </c>
      <c r="D35" s="31">
        <v>165</v>
      </c>
      <c r="E35" s="31">
        <v>170</v>
      </c>
      <c r="F35" s="31">
        <v>175</v>
      </c>
      <c r="G35" s="31">
        <v>180</v>
      </c>
      <c r="H35" s="31">
        <v>185</v>
      </c>
    </row>
    <row r="36" spans="2:8" ht="14" x14ac:dyDescent="0.3">
      <c r="B36" s="3" t="s">
        <v>121</v>
      </c>
      <c r="D36" s="31">
        <v>185</v>
      </c>
      <c r="E36" s="31">
        <v>195</v>
      </c>
      <c r="F36" s="31">
        <v>205</v>
      </c>
      <c r="G36" s="31">
        <v>215</v>
      </c>
      <c r="H36" s="31">
        <v>225</v>
      </c>
    </row>
    <row r="38" spans="2:8" ht="14" x14ac:dyDescent="0.3">
      <c r="B38" s="2" t="s">
        <v>140</v>
      </c>
    </row>
    <row r="39" spans="2:8" ht="14" x14ac:dyDescent="0.3">
      <c r="B39" s="3" t="s">
        <v>81</v>
      </c>
      <c r="D39" s="31">
        <v>25</v>
      </c>
      <c r="E39" s="31">
        <v>25</v>
      </c>
      <c r="F39" s="31">
        <v>25</v>
      </c>
      <c r="G39" s="31">
        <v>25</v>
      </c>
      <c r="H39" s="31">
        <v>25</v>
      </c>
    </row>
    <row r="40" spans="2:8" ht="14" x14ac:dyDescent="0.3">
      <c r="B40" s="3" t="s">
        <v>118</v>
      </c>
      <c r="D40" s="31">
        <v>25</v>
      </c>
      <c r="E40" s="31">
        <v>25</v>
      </c>
      <c r="F40" s="31">
        <v>25</v>
      </c>
      <c r="G40" s="31">
        <v>25</v>
      </c>
      <c r="H40" s="31">
        <v>25</v>
      </c>
    </row>
    <row r="41" spans="2:8" ht="14" x14ac:dyDescent="0.3">
      <c r="B41" s="3" t="s">
        <v>119</v>
      </c>
      <c r="D41" s="31">
        <v>25</v>
      </c>
      <c r="E41" s="31">
        <v>25</v>
      </c>
      <c r="F41" s="31">
        <v>25</v>
      </c>
      <c r="G41" s="31">
        <v>25</v>
      </c>
      <c r="H41" s="31">
        <v>25</v>
      </c>
    </row>
    <row r="42" spans="2:8" ht="14" x14ac:dyDescent="0.3">
      <c r="B42" s="3" t="s">
        <v>120</v>
      </c>
      <c r="D42" s="31">
        <v>23</v>
      </c>
      <c r="E42" s="31">
        <v>23</v>
      </c>
      <c r="F42" s="31">
        <v>23</v>
      </c>
      <c r="G42" s="31">
        <v>23</v>
      </c>
      <c r="H42" s="31">
        <v>23</v>
      </c>
    </row>
    <row r="43" spans="2:8" ht="14" x14ac:dyDescent="0.3">
      <c r="B43" s="3" t="s">
        <v>121</v>
      </c>
      <c r="D43" s="31">
        <v>20</v>
      </c>
      <c r="E43" s="31">
        <v>20</v>
      </c>
      <c r="F43" s="31">
        <v>20</v>
      </c>
      <c r="G43" s="31">
        <v>20</v>
      </c>
      <c r="H43" s="31">
        <v>20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141</v>
      </c>
    </row>
    <row r="4" spans="2:15" ht="28" x14ac:dyDescent="0.3">
      <c r="B4" s="9" t="s">
        <v>3</v>
      </c>
      <c r="C4" s="9" t="s">
        <v>5</v>
      </c>
      <c r="D4" s="9" t="s">
        <v>142</v>
      </c>
      <c r="E4" s="9" t="s">
        <v>143</v>
      </c>
      <c r="F4" s="9" t="s">
        <v>144</v>
      </c>
      <c r="G4" s="9" t="s">
        <v>145</v>
      </c>
      <c r="H4" s="9" t="s">
        <v>146</v>
      </c>
      <c r="I4" s="9" t="s">
        <v>147</v>
      </c>
      <c r="J4" s="9" t="s">
        <v>148</v>
      </c>
      <c r="K4" s="9" t="s">
        <v>149</v>
      </c>
      <c r="L4" s="9" t="s">
        <v>150</v>
      </c>
      <c r="M4" s="9" t="s">
        <v>151</v>
      </c>
      <c r="N4" s="9" t="s">
        <v>152</v>
      </c>
      <c r="O4" s="9" t="s">
        <v>153</v>
      </c>
    </row>
    <row r="5" spans="2:15" ht="14" x14ac:dyDescent="0.3">
      <c r="B5" s="3" t="s">
        <v>154</v>
      </c>
      <c r="C5" t="s">
        <v>155</v>
      </c>
      <c r="D5" s="32">
        <v>285568.33587200003</v>
      </c>
      <c r="E5" s="32">
        <v>289282.33587200003</v>
      </c>
      <c r="F5" s="32">
        <v>98810</v>
      </c>
      <c r="G5" s="32">
        <v>13065</v>
      </c>
      <c r="H5" s="32">
        <v>10665</v>
      </c>
      <c r="I5" s="32">
        <v>7934</v>
      </c>
      <c r="J5" s="33">
        <f>E5/G5</f>
        <v>22.141778482357445</v>
      </c>
      <c r="K5" s="33">
        <f>E5/F5</f>
        <v>2.92766254298148</v>
      </c>
      <c r="L5" s="33">
        <f>D5/I5</f>
        <v>35.992984102848503</v>
      </c>
      <c r="M5" s="33">
        <v>5.5994889286456599</v>
      </c>
      <c r="N5" s="34">
        <f>H5/F5</f>
        <v>0.10793441959315858</v>
      </c>
      <c r="O5" s="34">
        <v>0.15557167787603679</v>
      </c>
    </row>
    <row r="6" spans="2:15" ht="14" x14ac:dyDescent="0.3">
      <c r="B6" s="3" t="s">
        <v>156</v>
      </c>
      <c r="C6" t="s">
        <v>157</v>
      </c>
      <c r="D6" s="32">
        <v>16454.293504000001</v>
      </c>
      <c r="E6" s="32">
        <v>16454.293504000001</v>
      </c>
      <c r="F6" s="32">
        <v>11210</v>
      </c>
      <c r="G6" s="32">
        <v>1053</v>
      </c>
      <c r="H6" s="32">
        <v>1001</v>
      </c>
      <c r="I6" s="32">
        <v>696</v>
      </c>
      <c r="J6" s="33">
        <f>E6/G6</f>
        <v>15.626109690408358</v>
      </c>
      <c r="K6" s="33">
        <f>E6/F6</f>
        <v>1.4678227925066905</v>
      </c>
      <c r="L6" s="33">
        <f>D6/I6</f>
        <v>23.641226298850576</v>
      </c>
      <c r="M6" s="33">
        <v>2.0445195705765409</v>
      </c>
      <c r="N6" s="34">
        <f>H6/F6</f>
        <v>8.9295272078501339E-2</v>
      </c>
      <c r="O6" s="34">
        <v>8.6481113320079517E-2</v>
      </c>
    </row>
    <row r="7" spans="2:15" ht="14" x14ac:dyDescent="0.3">
      <c r="B7" s="3" t="s">
        <v>158</v>
      </c>
      <c r="C7" t="s">
        <v>159</v>
      </c>
      <c r="D7" s="32">
        <v>39285.125119999997</v>
      </c>
      <c r="E7" s="32">
        <v>39403.125119999997</v>
      </c>
      <c r="F7" s="32">
        <v>16500</v>
      </c>
      <c r="G7" s="32">
        <v>-556</v>
      </c>
      <c r="H7" s="32">
        <v>-800</v>
      </c>
      <c r="I7" s="32">
        <v>-1400</v>
      </c>
      <c r="J7" s="35" t="s">
        <v>8</v>
      </c>
      <c r="K7" s="33">
        <f>E7/F7</f>
        <v>2.3880681890909088</v>
      </c>
      <c r="L7" s="35" t="s">
        <v>8</v>
      </c>
      <c r="M7" s="33">
        <v>1.610970438776347</v>
      </c>
      <c r="N7" s="34">
        <f>H7/F7</f>
        <v>-4.8484848484848485E-2</v>
      </c>
      <c r="O7" s="34">
        <v>-5.740998933814484E-2</v>
      </c>
    </row>
    <row r="8" spans="2:15" ht="14" x14ac:dyDescent="0.3">
      <c r="B8" s="3" t="s">
        <v>160</v>
      </c>
      <c r="C8" t="s">
        <v>161</v>
      </c>
      <c r="D8" s="32">
        <v>5171.1846400000004</v>
      </c>
      <c r="E8" s="32">
        <v>6278.1846400000004</v>
      </c>
      <c r="F8" s="32">
        <v>16160</v>
      </c>
      <c r="G8" s="32">
        <v>874</v>
      </c>
      <c r="H8" s="32">
        <v>617</v>
      </c>
      <c r="I8" s="32">
        <v>471</v>
      </c>
      <c r="J8" s="33">
        <f>E8/G8</f>
        <v>7.1832776201373001</v>
      </c>
      <c r="K8" s="33">
        <f>E8/F8</f>
        <v>0.38850152475247529</v>
      </c>
      <c r="L8" s="33">
        <f>D8/I8</f>
        <v>10.979160594479831</v>
      </c>
      <c r="M8" s="33">
        <v>0.78232747957639948</v>
      </c>
      <c r="N8" s="34">
        <f>H8/F8</f>
        <v>3.818069306930693E-2</v>
      </c>
      <c r="O8" s="34">
        <v>7.125567322239032E-2</v>
      </c>
    </row>
    <row r="14" spans="2:15" ht="14" x14ac:dyDescent="0.3">
      <c r="B14" s="2" t="s">
        <v>162</v>
      </c>
    </row>
    <row r="15" spans="2:15" ht="14" x14ac:dyDescent="0.3">
      <c r="B15" s="3" t="s">
        <v>163</v>
      </c>
      <c r="D15" s="33">
        <f t="shared" ref="D15:I15" si="0">PERCENTILE(J5:J8,0.25)</f>
        <v>11.40469365527283</v>
      </c>
      <c r="E15" s="33">
        <f t="shared" si="0"/>
        <v>1.1979924755681366</v>
      </c>
      <c r="F15" s="33">
        <f t="shared" si="0"/>
        <v>17.310193446665203</v>
      </c>
      <c r="G15" s="33">
        <f t="shared" si="0"/>
        <v>1.4038096989763602</v>
      </c>
      <c r="H15" s="34">
        <f t="shared" si="0"/>
        <v>1.651430768076808E-2</v>
      </c>
      <c r="I15" s="34">
        <f t="shared" si="0"/>
        <v>3.9089257582256537E-2</v>
      </c>
    </row>
    <row r="16" spans="2:15" ht="14" x14ac:dyDescent="0.3">
      <c r="B16" s="3" t="s">
        <v>164</v>
      </c>
      <c r="D16" s="33">
        <f t="shared" ref="D16:I16" si="1">MEDIAN(J5:J8)</f>
        <v>15.626109690408358</v>
      </c>
      <c r="E16" s="33">
        <f t="shared" si="1"/>
        <v>1.9279454907987996</v>
      </c>
      <c r="F16" s="33">
        <f t="shared" si="1"/>
        <v>23.641226298850576</v>
      </c>
      <c r="G16" s="33">
        <f t="shared" si="1"/>
        <v>1.8277450046764439</v>
      </c>
      <c r="H16" s="34">
        <f t="shared" si="1"/>
        <v>6.3737982573904131E-2</v>
      </c>
      <c r="I16" s="34">
        <f t="shared" si="1"/>
        <v>7.8868393271234918E-2</v>
      </c>
    </row>
    <row r="17" spans="2:9" ht="14" x14ac:dyDescent="0.3">
      <c r="B17" s="3" t="s">
        <v>165</v>
      </c>
      <c r="D17" s="33">
        <f t="shared" ref="D17:I17" si="2">PERCENTILE(J5:J8,0.75)</f>
        <v>18.8839440863829</v>
      </c>
      <c r="E17" s="33">
        <f t="shared" si="2"/>
        <v>2.5229667775635516</v>
      </c>
      <c r="F17" s="33">
        <f t="shared" si="2"/>
        <v>29.817105200849539</v>
      </c>
      <c r="G17" s="33">
        <f t="shared" si="2"/>
        <v>2.9332619100938206</v>
      </c>
      <c r="H17" s="34">
        <f t="shared" si="2"/>
        <v>9.3955058957165646E-2</v>
      </c>
      <c r="I17" s="34">
        <f t="shared" si="2"/>
        <v>0.10375375445906884</v>
      </c>
    </row>
    <row r="19" spans="2:9" ht="14" x14ac:dyDescent="0.3">
      <c r="B19" s="21" t="s">
        <v>166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167</v>
      </c>
    </row>
    <row r="21" spans="2:9" ht="14" x14ac:dyDescent="0.3">
      <c r="B21" s="3" t="s">
        <v>168</v>
      </c>
      <c r="C21" s="4">
        <v>1534.4380000000001</v>
      </c>
    </row>
    <row r="22" spans="2:9" ht="14" x14ac:dyDescent="0.3">
      <c r="B22" s="3" t="s">
        <v>169</v>
      </c>
      <c r="C22" s="4">
        <v>1061.1679999999999</v>
      </c>
    </row>
    <row r="23" spans="2:9" ht="14" x14ac:dyDescent="0.3">
      <c r="B23" s="3" t="s">
        <v>170</v>
      </c>
      <c r="C23" s="14">
        <v>7280000</v>
      </c>
    </row>
    <row r="24" spans="2:9" ht="14" x14ac:dyDescent="0.3">
      <c r="B24" s="3" t="s">
        <v>70</v>
      </c>
      <c r="C24" s="4">
        <v>-2101</v>
      </c>
    </row>
    <row r="26" spans="2:9" ht="14" x14ac:dyDescent="0.3">
      <c r="B26" s="2" t="s">
        <v>171</v>
      </c>
    </row>
    <row r="27" spans="2:9" ht="14" x14ac:dyDescent="0.3">
      <c r="B27" s="3" t="s">
        <v>172</v>
      </c>
      <c r="C27" s="23">
        <f>ROUND((C21*D16-C24)*1000000/C23,0)</f>
        <v>3582</v>
      </c>
    </row>
    <row r="28" spans="2:9" ht="14" x14ac:dyDescent="0.3">
      <c r="B28" s="3" t="s">
        <v>173</v>
      </c>
      <c r="C28" s="23">
        <f>ROUND(C22*F16*1000000/C23,0)</f>
        <v>3446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174</v>
      </c>
    </row>
    <row r="3" spans="2:9" ht="14" x14ac:dyDescent="0.3">
      <c r="B3" s="3" t="s">
        <v>175</v>
      </c>
      <c r="C3" s="15">
        <f>'DCF Model'!C26</f>
        <v>0.14349514563106799</v>
      </c>
      <c r="E3" s="3" t="s">
        <v>176</v>
      </c>
      <c r="F3" s="15">
        <f>'DCF Model'!C13</f>
        <v>1.4999999999999999E-2</v>
      </c>
      <c r="H3" s="3" t="s">
        <v>177</v>
      </c>
      <c r="I3" s="13">
        <f>'DCF Model'!C14</f>
        <v>8</v>
      </c>
    </row>
    <row r="5" spans="2:9" ht="14" x14ac:dyDescent="0.3">
      <c r="B5" s="2" t="s">
        <v>178</v>
      </c>
    </row>
    <row r="6" spans="2:9" ht="14" x14ac:dyDescent="0.3">
      <c r="B6" s="36" t="s">
        <v>179</v>
      </c>
      <c r="C6" s="37">
        <f>$F$3-0.0075</f>
        <v>7.4999999999999997E-3</v>
      </c>
      <c r="D6" s="37">
        <f>$F$3-0.005</f>
        <v>9.9999999999999985E-3</v>
      </c>
      <c r="E6" s="37">
        <f>$F$3-0.0025</f>
        <v>1.2499999999999999E-2</v>
      </c>
      <c r="F6" s="37">
        <f>$F$3</f>
        <v>1.4999999999999999E-2</v>
      </c>
      <c r="G6" s="37">
        <f>$F$3+0.0025</f>
        <v>1.7499999999999998E-2</v>
      </c>
      <c r="H6" s="37">
        <f>$F$3+0.005</f>
        <v>0.02</v>
      </c>
      <c r="I6" s="37">
        <f>$F$3+0.0075</f>
        <v>2.2499999999999999E-2</v>
      </c>
    </row>
    <row r="7" spans="2:9" ht="13.5" x14ac:dyDescent="0.25">
      <c r="B7" s="34">
        <f>$C$3-0.015</f>
        <v>0.12849514563106801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9116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9258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9407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9561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9723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9892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10069</v>
      </c>
    </row>
    <row r="8" spans="2:9" ht="13.5" x14ac:dyDescent="0.25">
      <c r="B8" s="34">
        <f>$C$3-0.01</f>
        <v>0.13349514563106799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8730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8859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8993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9133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9279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9431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9590</v>
      </c>
    </row>
    <row r="9" spans="2:9" ht="13.5" x14ac:dyDescent="0.25">
      <c r="B9" s="34">
        <f>$C$3-0.005</f>
        <v>0.13849514563106799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8374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8492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8614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8740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8873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9010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9154</v>
      </c>
    </row>
    <row r="10" spans="2:9" ht="13.5" x14ac:dyDescent="0.25">
      <c r="B10" s="34">
        <f>$C$3</f>
        <v>0.14349514563106799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8045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8152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8264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8379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8499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8624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8754</v>
      </c>
    </row>
    <row r="11" spans="2:9" ht="13.5" x14ac:dyDescent="0.25">
      <c r="B11" s="34">
        <f>$C$3+0.005</f>
        <v>0.148495145631068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7740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7838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7940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8045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8155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8269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8387</v>
      </c>
    </row>
    <row r="12" spans="2:9" ht="13.5" x14ac:dyDescent="0.25">
      <c r="B12" s="34">
        <f>$C$3+0.01</f>
        <v>0.153495145631068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7457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7547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7640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7736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7836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7940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8048</v>
      </c>
    </row>
    <row r="13" spans="2:9" ht="13.5" x14ac:dyDescent="0.25">
      <c r="B13" s="34">
        <f>$C$3+0.015</f>
        <v>0.15849514563106798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7192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7275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7361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7449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7541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7636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7735</v>
      </c>
    </row>
    <row r="16" spans="2:9" ht="14" x14ac:dyDescent="0.3">
      <c r="B16" s="2" t="s">
        <v>180</v>
      </c>
    </row>
    <row r="17" spans="2:9" ht="14" x14ac:dyDescent="0.3">
      <c r="B17" s="36" t="s">
        <v>181</v>
      </c>
      <c r="C17" s="38">
        <f>$I$3-3</f>
        <v>5</v>
      </c>
      <c r="D17" s="38">
        <f>$I$3-2</f>
        <v>6</v>
      </c>
      <c r="E17" s="38">
        <f>$I$3-1</f>
        <v>7</v>
      </c>
      <c r="F17" s="38">
        <f>$I$3</f>
        <v>8</v>
      </c>
      <c r="G17" s="38">
        <f>$I$3+1</f>
        <v>9</v>
      </c>
      <c r="H17" s="38">
        <f>$I$3+2</f>
        <v>10</v>
      </c>
      <c r="I17" s="38">
        <f>$I$3+3</f>
        <v>11</v>
      </c>
    </row>
    <row r="18" spans="2:9" ht="13.5" x14ac:dyDescent="0.25">
      <c r="B18" s="34">
        <f>$C$3-0.015</f>
        <v>0.12849514563106801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9496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10774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12052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13330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14608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15886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17164</v>
      </c>
    </row>
    <row r="19" spans="2:9" ht="13.5" x14ac:dyDescent="0.25">
      <c r="B19" s="34">
        <f>$C$3-0.01</f>
        <v>0.13349514563106799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9337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10589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11842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13095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14348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15600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16853</v>
      </c>
    </row>
    <row r="20" spans="2:9" ht="13.5" x14ac:dyDescent="0.25">
      <c r="B20" s="34">
        <f>$C$3-0.005</f>
        <v>0.13849514563106799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9181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10409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11637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12865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14093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15322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16550</v>
      </c>
    </row>
    <row r="21" spans="2:9" ht="13.5" x14ac:dyDescent="0.25">
      <c r="B21" s="34">
        <f>$C$3</f>
        <v>0.14349514563106799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9028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10232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11436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12641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13845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15049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16253</v>
      </c>
    </row>
    <row r="22" spans="2:9" ht="13.5" x14ac:dyDescent="0.25">
      <c r="B22" s="34">
        <f>$C$3+0.005</f>
        <v>0.148495145631068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8879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10060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11241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12421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13602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14783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15964</v>
      </c>
    </row>
    <row r="23" spans="2:9" ht="13.5" x14ac:dyDescent="0.25">
      <c r="B23" s="34">
        <f>$C$3+0.01</f>
        <v>0.153495145631068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8733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9891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11049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12207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13365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14523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15681</v>
      </c>
    </row>
    <row r="24" spans="2:9" ht="13.5" x14ac:dyDescent="0.25">
      <c r="B24" s="34">
        <f>$C$3+0.015</f>
        <v>0.15849514563106798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8591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9727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10862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11998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13133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14269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15405</v>
      </c>
    </row>
    <row r="26" spans="2:9" ht="14" x14ac:dyDescent="0.3">
      <c r="B26" s="41" t="s">
        <v>182</v>
      </c>
      <c r="C26" s="40"/>
      <c r="D26" s="40"/>
      <c r="E26" s="40"/>
      <c r="F26" s="40"/>
      <c r="G26" s="40"/>
      <c r="H26" s="40"/>
      <c r="I26" s="40"/>
    </row>
  </sheetData>
  <mergeCells count="1">
    <mergeCell ref="B26:I26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2026-06-16T10:14:27Z</dcterms:created>
  <dcterms:modified xsi:type="dcterms:W3CDTF">2026-06-17T02:58:17Z</dcterms:modified>
</cp:coreProperties>
</file>