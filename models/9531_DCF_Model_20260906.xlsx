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2383C9E-8C4D-4D2F-985C-D42906F8AEA4}"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E15" i="6" s="1"/>
  <c r="J6" i="6"/>
  <c r="D17" i="6" s="1"/>
  <c r="O5" i="6"/>
  <c r="N5" i="6"/>
  <c r="D5" i="6"/>
  <c r="M5" i="6" s="1"/>
  <c r="C16" i="5"/>
  <c r="C14" i="5"/>
  <c r="C18" i="5" s="1"/>
  <c r="C7" i="5"/>
  <c r="C6" i="5"/>
  <c r="C5" i="5"/>
  <c r="C13" i="4"/>
  <c r="C12" i="4"/>
  <c r="C9" i="4"/>
  <c r="C8" i="4"/>
  <c r="C10" i="4" s="1"/>
  <c r="C7" i="4"/>
  <c r="C6" i="4"/>
  <c r="D27" i="3"/>
  <c r="G5" i="5" s="1"/>
  <c r="C25" i="3"/>
  <c r="C24" i="3"/>
  <c r="C23" i="3"/>
  <c r="F28" i="2"/>
  <c r="E28" i="2"/>
  <c r="D28" i="2"/>
  <c r="C28" i="2"/>
  <c r="F23" i="2"/>
  <c r="E23" i="2"/>
  <c r="D23" i="2"/>
  <c r="C23" i="2"/>
  <c r="D22" i="2"/>
  <c r="C22" i="2"/>
  <c r="F21" i="2"/>
  <c r="F22" i="2" s="1"/>
  <c r="E21" i="2"/>
  <c r="E22" i="2" s="1"/>
  <c r="D21" i="2"/>
  <c r="C21" i="2"/>
  <c r="F16" i="2"/>
  <c r="E16" i="2"/>
  <c r="D16" i="2"/>
  <c r="F15" i="2"/>
  <c r="E15" i="2"/>
  <c r="D15" i="2"/>
  <c r="F14" i="2"/>
  <c r="E14" i="2"/>
  <c r="D14" i="2"/>
  <c r="C14" i="2"/>
  <c r="F13" i="2"/>
  <c r="E13" i="2"/>
  <c r="D13" i="2"/>
  <c r="C13" i="2"/>
  <c r="F8" i="2"/>
  <c r="F9" i="2" s="1"/>
  <c r="E8" i="2"/>
  <c r="E9" i="2" s="1"/>
  <c r="D8" i="2"/>
  <c r="D9" i="2" s="1"/>
  <c r="C8" i="2"/>
  <c r="C9" i="2" s="1"/>
  <c r="F15" i="6" l="1"/>
  <c r="C26" i="3"/>
  <c r="D36" i="4" s="1"/>
  <c r="G15" i="6"/>
  <c r="D16" i="6"/>
  <c r="C27" i="6" s="1"/>
  <c r="C18" i="1" s="1"/>
  <c r="D18" i="1" s="1"/>
  <c r="L5" i="6"/>
  <c r="E5" i="6"/>
  <c r="I16" i="6"/>
  <c r="H15" i="6"/>
  <c r="I17" i="6"/>
  <c r="C3" i="7"/>
  <c r="G36" i="4"/>
  <c r="C11" i="4"/>
  <c r="C24" i="4" s="1"/>
  <c r="C25" i="4" s="1"/>
  <c r="G46" i="3"/>
  <c r="F36" i="4"/>
  <c r="F46" i="3"/>
  <c r="E36" i="4"/>
  <c r="D46" i="3"/>
  <c r="C46" i="3"/>
  <c r="H36" i="4"/>
  <c r="E46" i="3"/>
  <c r="C74" i="4"/>
  <c r="C31" i="3"/>
  <c r="C30" i="3"/>
  <c r="C33" i="3" s="1"/>
  <c r="H5" i="5"/>
  <c r="D7" i="5"/>
  <c r="I15" i="6"/>
  <c r="E17" i="6"/>
  <c r="I6" i="7"/>
  <c r="F32" i="3"/>
  <c r="D30" i="3"/>
  <c r="F17" i="6"/>
  <c r="C17" i="7"/>
  <c r="G31" i="3"/>
  <c r="E7" i="5"/>
  <c r="E30" i="3"/>
  <c r="C32" i="3"/>
  <c r="D6" i="5"/>
  <c r="F7" i="5"/>
  <c r="E16" i="6"/>
  <c r="G17" i="6"/>
  <c r="C6" i="7"/>
  <c r="D17" i="7"/>
  <c r="F31" i="3"/>
  <c r="F30" i="3"/>
  <c r="D32" i="3"/>
  <c r="E6" i="5"/>
  <c r="G7" i="5"/>
  <c r="D15" i="6"/>
  <c r="F16" i="6"/>
  <c r="C28" i="6" s="1"/>
  <c r="C19" i="1" s="1"/>
  <c r="D19" i="1" s="1"/>
  <c r="H17" i="6"/>
  <c r="D6" i="7"/>
  <c r="E17" i="7"/>
  <c r="G30" i="3"/>
  <c r="E32" i="3"/>
  <c r="C70" i="4"/>
  <c r="D5" i="5"/>
  <c r="F6" i="5"/>
  <c r="H7" i="5"/>
  <c r="G16" i="6"/>
  <c r="E6" i="7"/>
  <c r="F17" i="7"/>
  <c r="C71" i="4"/>
  <c r="E5" i="5"/>
  <c r="G6" i="5"/>
  <c r="H16" i="6"/>
  <c r="F6" i="7"/>
  <c r="G17" i="7"/>
  <c r="D31" i="3"/>
  <c r="G32" i="3"/>
  <c r="F5" i="5"/>
  <c r="H6" i="5"/>
  <c r="G6" i="7"/>
  <c r="H17" i="7"/>
  <c r="E31" i="3"/>
  <c r="J5" i="6" l="1"/>
  <c r="K5" i="6"/>
  <c r="C29" i="4"/>
  <c r="C27" i="4"/>
  <c r="C26" i="4"/>
  <c r="D45" i="4"/>
  <c r="D39" i="4"/>
  <c r="D49" i="4" s="1"/>
  <c r="D54" i="4" s="1"/>
  <c r="D43" i="4"/>
  <c r="D46" i="4"/>
  <c r="D40" i="4"/>
  <c r="D44" i="4"/>
  <c r="D38" i="4"/>
  <c r="D41" i="4"/>
  <c r="H40" i="4"/>
  <c r="H44" i="4"/>
  <c r="H38" i="4"/>
  <c r="H41" i="4"/>
  <c r="H45" i="4"/>
  <c r="H43" i="4"/>
  <c r="H39" i="4"/>
  <c r="H46" i="4"/>
  <c r="E39" i="4"/>
  <c r="E43" i="4"/>
  <c r="E46" i="4"/>
  <c r="E40" i="4"/>
  <c r="E44" i="4"/>
  <c r="E38" i="4"/>
  <c r="E41" i="4"/>
  <c r="E45" i="4"/>
  <c r="F43" i="4"/>
  <c r="F46" i="4"/>
  <c r="F40" i="4"/>
  <c r="F44" i="4"/>
  <c r="F38" i="4"/>
  <c r="F41" i="4"/>
  <c r="F45" i="4"/>
  <c r="F39" i="4"/>
  <c r="G46" i="4"/>
  <c r="G40" i="4"/>
  <c r="G50" i="4" s="1"/>
  <c r="G55" i="4" s="1"/>
  <c r="G44" i="4"/>
  <c r="G38" i="4"/>
  <c r="G41" i="4"/>
  <c r="G39" i="4"/>
  <c r="G45" i="4"/>
  <c r="G43" i="4"/>
  <c r="D9" i="5"/>
  <c r="D12" i="5" s="1"/>
  <c r="C42" i="3"/>
  <c r="C34" i="3"/>
  <c r="D10" i="5" s="1"/>
  <c r="C37" i="3"/>
  <c r="D33" i="3"/>
  <c r="B13" i="7"/>
  <c r="B12" i="7"/>
  <c r="B11" i="7"/>
  <c r="B10" i="7"/>
  <c r="B9" i="7"/>
  <c r="B8" i="7"/>
  <c r="B7" i="7"/>
  <c r="B24" i="7"/>
  <c r="B23" i="7"/>
  <c r="B22" i="7"/>
  <c r="B21" i="7"/>
  <c r="B20" i="7"/>
  <c r="B19" i="7"/>
  <c r="B18" i="7"/>
  <c r="E51" i="4" l="1"/>
  <c r="E56" i="4" s="1"/>
  <c r="G49" i="4"/>
  <c r="G54" i="4" s="1"/>
  <c r="C35" i="3"/>
  <c r="C39" i="3" s="1"/>
  <c r="G51" i="4"/>
  <c r="G56" i="4" s="1"/>
  <c r="F48" i="4"/>
  <c r="F53" i="4" s="1"/>
  <c r="D50" i="4"/>
  <c r="D55" i="4" s="1"/>
  <c r="D48" i="4"/>
  <c r="D53" i="4" s="1"/>
  <c r="G48" i="4"/>
  <c r="G53" i="4" s="1"/>
  <c r="E50" i="4"/>
  <c r="E55" i="4" s="1"/>
  <c r="H51" i="4"/>
  <c r="H56" i="4" s="1"/>
  <c r="E49" i="4"/>
  <c r="E54" i="4" s="1"/>
  <c r="H50" i="4"/>
  <c r="H55" i="4" s="1"/>
  <c r="F49" i="4"/>
  <c r="D51" i="4"/>
  <c r="D56" i="4" s="1"/>
  <c r="H49" i="4"/>
  <c r="H54" i="4" s="1"/>
  <c r="E9" i="5"/>
  <c r="E12" i="5" s="1"/>
  <c r="D37" i="3"/>
  <c r="E33" i="3"/>
  <c r="D42" i="3"/>
  <c r="D34" i="3"/>
  <c r="E10" i="5" s="1"/>
  <c r="F51" i="4"/>
  <c r="F56" i="4" s="1"/>
  <c r="E48" i="4"/>
  <c r="E53" i="4" s="1"/>
  <c r="C36" i="3"/>
  <c r="C38" i="3"/>
  <c r="D15" i="5"/>
  <c r="D16" i="5" s="1"/>
  <c r="D13" i="5"/>
  <c r="D14" i="5" s="1"/>
  <c r="D18" i="5" s="1"/>
  <c r="D19" i="5" s="1"/>
  <c r="C44" i="3" s="1"/>
  <c r="F50" i="4"/>
  <c r="F55" i="4" s="1"/>
  <c r="H48" i="4"/>
  <c r="H53" i="4" s="1"/>
  <c r="E13" i="5" l="1"/>
  <c r="E14" i="5" s="1"/>
  <c r="E15" i="5"/>
  <c r="E16" i="5" s="1"/>
  <c r="D35" i="3"/>
  <c r="F54" i="4"/>
  <c r="B78" i="4"/>
  <c r="C60" i="4"/>
  <c r="C40" i="3"/>
  <c r="C41" i="3" s="1"/>
  <c r="C45" i="3" s="1"/>
  <c r="F9" i="5"/>
  <c r="F12" i="5" s="1"/>
  <c r="E42" i="3"/>
  <c r="E34" i="3"/>
  <c r="F10" i="5" s="1"/>
  <c r="E35" i="3"/>
  <c r="F33" i="3"/>
  <c r="E37" i="3"/>
  <c r="E18" i="5" l="1"/>
  <c r="E19" i="5" s="1"/>
  <c r="D44" i="3" s="1"/>
  <c r="C47" i="3"/>
  <c r="F42" i="3"/>
  <c r="F34" i="3"/>
  <c r="G10" i="5" s="1"/>
  <c r="F37" i="3"/>
  <c r="G33" i="3"/>
  <c r="G9" i="5"/>
  <c r="G12" i="5" s="1"/>
  <c r="E39" i="3"/>
  <c r="E36" i="3"/>
  <c r="E38" i="3"/>
  <c r="F13" i="5"/>
  <c r="F15" i="5"/>
  <c r="F16" i="5" s="1"/>
  <c r="D36" i="3"/>
  <c r="D39" i="3"/>
  <c r="D38" i="3"/>
  <c r="C65" i="4"/>
  <c r="D65" i="4" s="1"/>
  <c r="C64" i="4"/>
  <c r="D64" i="4" s="1"/>
  <c r="C67" i="4"/>
  <c r="D67" i="4" s="1"/>
  <c r="C63" i="4"/>
  <c r="D63" i="4" s="1"/>
  <c r="C66" i="4"/>
  <c r="D66" i="4" s="1"/>
  <c r="F14" i="5"/>
  <c r="E40" i="3" l="1"/>
  <c r="E41" i="3"/>
  <c r="F18" i="5"/>
  <c r="F19" i="5" s="1"/>
  <c r="E44" i="3" s="1"/>
  <c r="D40" i="3"/>
  <c r="D41" i="3" s="1"/>
  <c r="D45" i="3" s="1"/>
  <c r="G37" i="3"/>
  <c r="G35" i="3"/>
  <c r="G42" i="3"/>
  <c r="C16" i="4"/>
  <c r="C28" i="4" s="1"/>
  <c r="H9" i="5"/>
  <c r="H12" i="5" s="1"/>
  <c r="G34" i="3"/>
  <c r="H10" i="5" s="1"/>
  <c r="F35" i="3"/>
  <c r="G13" i="5"/>
  <c r="G14" i="5" s="1"/>
  <c r="G15" i="5"/>
  <c r="G16" i="5" s="1"/>
  <c r="G18" i="5" l="1"/>
  <c r="G19" i="5" s="1"/>
  <c r="F44" i="3" s="1"/>
  <c r="E45" i="3"/>
  <c r="E47" i="3" s="1"/>
  <c r="D47" i="3"/>
  <c r="H15" i="5"/>
  <c r="H16" i="5" s="1"/>
  <c r="H13" i="5"/>
  <c r="C72" i="4"/>
  <c r="C73" i="4"/>
  <c r="G38" i="3"/>
  <c r="G36" i="3"/>
  <c r="G39" i="3"/>
  <c r="F38" i="3"/>
  <c r="F36" i="3"/>
  <c r="F39" i="3"/>
  <c r="H14" i="5"/>
  <c r="H18" i="5" s="1"/>
  <c r="H19" i="5" s="1"/>
  <c r="G44" i="3" s="1"/>
  <c r="F40" i="3" l="1"/>
  <c r="F41" i="3"/>
  <c r="F45" i="3" s="1"/>
  <c r="G40" i="3"/>
  <c r="G41" i="3" s="1"/>
  <c r="G45" i="3" s="1"/>
  <c r="C59" i="3"/>
  <c r="C60" i="3" s="1"/>
  <c r="C61" i="3" s="1"/>
  <c r="C51" i="3" l="1"/>
  <c r="C52" i="3" s="1"/>
  <c r="G47" i="3"/>
  <c r="F47" i="3"/>
  <c r="C50" i="3" s="1"/>
  <c r="I21" i="7"/>
  <c r="D9" i="7"/>
  <c r="F11" i="7"/>
  <c r="D12" i="7"/>
  <c r="D10" i="7"/>
  <c r="E10" i="7"/>
  <c r="D22" i="7"/>
  <c r="G22" i="7"/>
  <c r="I10" i="7"/>
  <c r="D13" i="7"/>
  <c r="G10" i="7"/>
  <c r="F7" i="7"/>
  <c r="D20" i="7"/>
  <c r="E8" i="7"/>
  <c r="I22" i="7"/>
  <c r="C13" i="7"/>
  <c r="H18" i="7"/>
  <c r="G21" i="7"/>
  <c r="G23" i="7"/>
  <c r="G12" i="7"/>
  <c r="E12" i="7"/>
  <c r="H9" i="7"/>
  <c r="D19" i="7"/>
  <c r="F21" i="7"/>
  <c r="C20" i="7"/>
  <c r="C18" i="7"/>
  <c r="E20" i="7"/>
  <c r="G19" i="7"/>
  <c r="F10" i="7"/>
  <c r="H13" i="7"/>
  <c r="D23" i="7"/>
  <c r="F8" i="7"/>
  <c r="E23" i="7"/>
  <c r="C8" i="7"/>
  <c r="G11" i="7"/>
  <c r="I12" i="7"/>
  <c r="C24" i="7"/>
  <c r="I9" i="7"/>
  <c r="E7" i="7"/>
  <c r="H19" i="7"/>
  <c r="C7" i="7"/>
  <c r="E9" i="7"/>
  <c r="H21" i="7"/>
  <c r="I20" i="7"/>
  <c r="D8" i="7"/>
  <c r="C19" i="7"/>
  <c r="F20" i="7"/>
  <c r="H23" i="7"/>
  <c r="C11" i="7"/>
  <c r="E24" i="7"/>
  <c r="C9" i="7"/>
  <c r="C10" i="7"/>
  <c r="F13" i="7"/>
  <c r="D11" i="7"/>
  <c r="E18" i="7"/>
  <c r="I8" i="7"/>
  <c r="H10" i="7"/>
  <c r="H12" i="7"/>
  <c r="G18" i="7"/>
  <c r="F24" i="7"/>
  <c r="F22" i="7"/>
  <c r="H22" i="7"/>
  <c r="G7" i="7"/>
  <c r="I13" i="7"/>
  <c r="E19" i="7"/>
  <c r="E13" i="7"/>
  <c r="H8" i="7"/>
  <c r="D18" i="7"/>
  <c r="H20" i="7"/>
  <c r="C21" i="7"/>
  <c r="E22" i="7"/>
  <c r="C12" i="7"/>
  <c r="E21" i="7"/>
  <c r="C22" i="7"/>
  <c r="F23" i="7"/>
  <c r="I19" i="7"/>
  <c r="C23" i="7"/>
  <c r="D21" i="7"/>
  <c r="G24" i="7"/>
  <c r="G13" i="7"/>
  <c r="I18" i="7"/>
  <c r="D24" i="7"/>
  <c r="F9" i="7"/>
  <c r="I24" i="7"/>
  <c r="I23" i="7"/>
  <c r="G8" i="7"/>
  <c r="E11" i="7"/>
  <c r="H7" i="7"/>
  <c r="I11" i="7"/>
  <c r="I7" i="7"/>
  <c r="F12" i="7"/>
  <c r="D7" i="7"/>
  <c r="H24" i="7"/>
  <c r="F19" i="7"/>
  <c r="H11" i="7"/>
  <c r="F18" i="7"/>
  <c r="G20" i="7"/>
  <c r="G9" i="7"/>
  <c r="C58" i="3" l="1"/>
  <c r="C62" i="3" s="1"/>
  <c r="C53" i="3"/>
  <c r="C17" i="4" l="1"/>
  <c r="C54" i="3"/>
  <c r="C55" i="3" s="1"/>
  <c r="C16" i="1" s="1"/>
  <c r="C17" i="1"/>
  <c r="D17" i="1" s="1"/>
  <c r="C63" i="3"/>
  <c r="C64" i="3" s="1"/>
  <c r="C21" i="1" l="1"/>
  <c r="C10" i="1"/>
  <c r="C12" i="1" s="1"/>
  <c r="C11" i="1" s="1"/>
  <c r="D16" i="1"/>
  <c r="C19" i="4"/>
  <c r="C20" i="4" s="1"/>
  <c r="B79" i="4" s="1"/>
</calcChain>
</file>

<file path=xl/sharedStrings.xml><?xml version="1.0" encoding="utf-8"?>
<sst xmlns="http://schemas.openxmlformats.org/spreadsheetml/2006/main" count="445" uniqueCount="361">
  <si>
    <t>DISCLAIMER: This is a sample analysis for demonstration purposes only. It does not constitute investment advice.</t>
  </si>
  <si>
    <t>東京ガス (9531.T)</t>
  </si>
  <si>
    <t>Equity Research Report</t>
  </si>
  <si>
    <t>Company</t>
  </si>
  <si>
    <t>東京ガス</t>
  </si>
  <si>
    <t>Ticker</t>
  </si>
  <si>
    <t>9531.T (TSE Prime)</t>
  </si>
  <si>
    <t>Sector</t>
  </si>
  <si>
    <t>電気・ガス業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</si>
  <si>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</si>
  <si>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</si>
  <si>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</si>
  <si>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</si>
  <si>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</si>
  <si>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</si>
  <si>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</si>
  <si>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</si>
  <si>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</si>
  <si>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</si>
  <si>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</si>
  <si>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</si>
  <si>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</si>
  <si>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</si>
  <si>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</si>
  <si>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</si>
  <si>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</si>
  <si>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</si>
  <si>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</si>
  <si>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</si>
  <si>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</si>
  <si>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</si>
  <si>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東京ガス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</si>
  <si>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</si>
  <si>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</si>
  <si>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</si>
  <si>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</si>
  <si>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</si>
  <si>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</si>
  <si>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</si>
  <si>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</si>
  <si>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</si>
  <si>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</si>
  <si>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</si>
  <si>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</si>
  <si>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</si>
  <si>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</si>
  <si>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</si>
  <si>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</si>
  <si>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</si>
  <si>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</si>
  <si>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</si>
  <si>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</si>
  <si>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</si>
  <si>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</si>
  <si>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</si>
  <si>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</si>
  <si>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</si>
  <si>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</si>
  <si>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</si>
  <si>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</si>
  <si>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東京ガス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</si>
  <si>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</si>
  <si>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</si>
  <si>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</si>
  <si>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</si>
  <si>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</si>
  <si>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</si>
  <si>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</si>
  <si>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</si>
  <si>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</si>
  <si>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</si>
  <si>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</si>
  <si>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</si>
  <si>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</si>
  <si>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</si>
  <si>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</si>
  <si>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</si>
  <si>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</si>
  <si>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</si>
  <si>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</si>
  <si>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</si>
  <si>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</si>
  <si>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</si>
  <si>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</si>
  <si>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</si>
  <si>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</si>
  <si>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</si>
  <si>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</si>
  <si>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</si>
  <si>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</si>
  <si>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</si>
  <si>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</si>
  <si>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</si>
  <si>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</si>
  <si>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</si>
  <si>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</si>
  <si>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</si>
  <si>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</si>
  <si>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</si>
  <si>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</si>
  <si>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</si>
  <si>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</si>
  <si>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</si>
  <si>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</si>
  <si>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</si>
  <si>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</si>
  <si>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</si>
  <si>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</si>
  <si>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</si>
  <si>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</si>
  <si>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</si>
  <si>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</si>
  <si>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</si>
  <si>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</si>
  <si>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</si>
  <si>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</si>
  <si>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</si>
  <si>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</si>
  <si>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</si>
  <si>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</si>
  <si>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</si>
  <si>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</si>
  <si>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</si>
  <si>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</si>
  <si>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</si>
  <si>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東京ガス (9531.T)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</si>
  <si>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</si>
  <si>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</si>
  <si>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</si>
  <si>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</si>
  <si>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</si>
  <si>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</si>
  <si>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</si>
  <si>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</si>
  <si>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</si>
  <si>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</si>
  <si>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</si>
  <si>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</si>
  <si>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</si>
  <si>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</si>
  <si>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</si>
  <si>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</si>
  <si>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</si>
  <si>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</si>
  <si>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</si>
  <si>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</si>
  <si>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</si>
  <si>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</si>
  <si>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</si>
  <si>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</si>
  <si>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</si>
  <si>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</si>
  <si>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</si>
  <si>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</si>
  <si>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</si>
  <si>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</si>
  <si>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</si>
  <si>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</si>
  <si>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</si>
  <si>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</si>
  <si>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</si>
  <si>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</si>
  <si>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</si>
  <si>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</si>
  <si>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</si>
  <si>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</si>
  <si>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</si>
  <si>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</si>
  <si>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</si>
  <si>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</si>
  <si>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</si>
  <si>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</si>
  <si>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</si>
  <si>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</si>
  <si>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</si>
  <si>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</si>
  <si>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</si>
  <si>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東京ガス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</si>
  <si>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</si>
  <si>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</si>
  <si>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</si>
  <si>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</si>
  <si>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</si>
  <si>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</si>
  <si>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</si>
  <si>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</si>
  <si>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</si>
  <si>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</si>
  <si>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</si>
  <si>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</si>
  <si>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</si>
  <si>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</si>
  <si>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</si>
  <si>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</si>
  <si>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</si>
  <si>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</si>
  <si>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</si>
  <si>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</si>
  <si>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</si>
  <si>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</si>
  <si>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</si>
  <si>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</si>
  <si>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</si>
  <si>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</si>
  <si>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</si>
  <si>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</si>
  <si>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</si>
  <si>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</si>
  <si>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</si>
  <si>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</si>
  <si>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</si>
  <si>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</si>
  <si>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Tokyo Gas Co.,Ltd.</t>
  </si>
  <si>
    <t>9531.T</t>
  </si>
  <si>
    <t>Osaka Gas Co., Ltd.</t>
  </si>
  <si>
    <t>9532.T</t>
  </si>
  <si>
    <t>Toho Gas Co., Ltd.</t>
  </si>
  <si>
    <t>9533.T</t>
  </si>
  <si>
    <t>Saibu Gas Holdings Co.,Ltd.</t>
  </si>
  <si>
    <t>9536.T</t>
  </si>
  <si>
    <t>Chubu Electric Power Company, Incorporated</t>
  </si>
  <si>
    <t>9502.T</t>
  </si>
  <si>
    <t>The Kansai Electric Power Company, Incorporated</t>
  </si>
  <si>
    <t>9503.T</t>
  </si>
  <si>
    <t>Statistics</t>
  </si>
  <si>
    <t>25th Percentile</t>
  </si>
  <si>
    <t>Median (50th)</t>
  </si>
  <si>
    <t>75th Percentile</t>
  </si>
  <si>
    <t>Implied Valuation for 東京ガス</t>
  </si>
  <si>
    <t>東京ガス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</si>
  <si>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</si>
  <si>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</si>
  <si>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</si>
  <si>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</si>
  <si>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</si>
  <si>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</si>
  <si>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</si>
  <si>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</si>
  <si>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</si>
  <si>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</si>
  <si>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</si>
  <si>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</si>
  <si>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</si>
  <si>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</si>
  <si>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</si>
  <si>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東京ガス</t>
  </si>
  <si>
    <t>日付</t>
  </si>
  <si>
    <t>セル</t>
  </si>
  <si>
    <t>変更内容</t>
  </si>
  <si>
    <t>理由</t>
  </si>
  <si>
    <t>元の値</t>
  </si>
  <si>
    <t>状態</t>
  </si>
  <si>
    <t>2026-09-06</t>
  </si>
  <si>
    <t>-</t>
  </si>
  <si>
    <t>Generated by pipeline on 2026-09-06 19:34, template rev 63983ab</t>
  </si>
  <si>
    <t>初期生成（手修正なし）</t>
  </si>
  <si>
    <t>generated</t>
  </si>
  <si>
    <t>DCF Model!C11</t>
  </si>
  <si>
    <t>After-tax Cost of Debt = 1.22% (実績ベース)</t>
  </si>
  <si>
    <t>実績Kd = 支払利息18,897 ÷ 平均有利子負債1,164,834(期首1,120,000/期末1,209,669、debt_beginning/debt_ending) = 税引前1.62% × (1−25.0%) = 1.22%。【マージナルコスト注記】これは既存借入の実績平均コストであり、新規調達の限界コストではない。テンプレ既定(税引前2.8%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</si>
  <si>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</si>
  <si>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</si>
  <si>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</si>
  <si>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0.633（採用値）</t>
  </si>
  <si>
    <t>実測β(raw) = 0.452 → Blume調整 0.67×raw + 0.33×1.00 = 0.633 → 採用 0.633。クランプ域 [0.3, 2.0] の内側。置換なし。回帰βは平均回帰するため Blume 調整を既定とする（2026-09-05 バッチで85件中57件が旧下限 0.60 に張り付き、両裾の歪みが実証された）。</t>
  </si>
  <si>
    <t>実測 0.452</t>
  </si>
  <si>
    <t>確定</t>
  </si>
  <si>
    <t>Pipeline Metadata (do not edit — read by scripts/validate_output.py)</t>
  </si>
  <si>
    <t>key</t>
  </si>
  <si>
    <t>value</t>
  </si>
  <si>
    <t>auto_log_entries</t>
  </si>
  <si>
    <t>2</t>
  </si>
  <si>
    <t>beta_adopted_c8</t>
  </si>
  <si>
    <t>0.633</t>
  </si>
  <si>
    <t>beta_basis</t>
  </si>
  <si>
    <t>Blume: 0.67 x 0.452 + 0.33 x 1.00 = 0.633</t>
  </si>
  <si>
    <t>beta_blume_adjusted</t>
  </si>
  <si>
    <t>beta_clamped</t>
  </si>
  <si>
    <t>no</t>
  </si>
  <si>
    <t>beta_raw</t>
  </si>
  <si>
    <t>0.4523</t>
  </si>
  <si>
    <t>capex_pct_basis</t>
  </si>
  <si>
    <t>explicit_override</t>
  </si>
  <si>
    <t>capex_pct_c5</t>
  </si>
  <si>
    <t>0.09786</t>
  </si>
  <si>
    <t>capex_pct_hist3yr</t>
  </si>
  <si>
    <t>0.065049</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</si>
  <si>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</si>
  <si>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</si>
  <si>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</si>
  <si>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</si>
  <si>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</si>
  <si>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</si>
  <si>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</si>
  <si>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</si>
  <si>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</si>
  <si>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</si>
  <si>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</si>
  <si>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</si>
  <si>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</si>
  <si>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</si>
  <si>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</si>
  <si>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</si>
  <si>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</si>
  <si>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</si>
  <si>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</si>
  <si>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</si>
  <si>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461976.0</t>
  </si>
  <si>
    <t>core_net_income</t>
  </si>
  <si>
    <t>226857.0</t>
  </si>
  <si>
    <t>cost_of_debt_actual</t>
  </si>
  <si>
    <t>interest 18,897 (expense 18,897 + fees 0) / avg debt 1,164,834 (debt_beginning/debt_ending) = 0.016223 pre-tax -&gt; 0.012200 after-tax</t>
  </si>
  <si>
    <t>cost_of_debt_at_c11</t>
  </si>
  <si>
    <t>0.0122</t>
  </si>
  <si>
    <t>cost_of_debt_avg_debt</t>
  </si>
  <si>
    <t>1164834.5</t>
  </si>
  <si>
    <t>cost_of_debt_basis</t>
  </si>
  <si>
    <t>actual</t>
  </si>
  <si>
    <t>cost_of_debt_interest</t>
  </si>
  <si>
    <t>18897.0</t>
  </si>
  <si>
    <t>cost_of_debt_pretax</t>
  </si>
  <si>
    <t>0.016222905485714922</t>
  </si>
  <si>
    <t>da_pct_basis</t>
  </si>
  <si>
    <t>da_pct_c18</t>
  </si>
  <si>
    <t>0.0932</t>
  </si>
  <si>
    <t>da_pct_hist3yr</t>
  </si>
  <si>
    <t>0.090694</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</si>
  <si>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</si>
  <si>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</si>
  <si>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</si>
  <si>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</si>
  <si>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</si>
  <si>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</si>
  <si>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</si>
  <si>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</si>
  <si>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</si>
  <si>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19:34:00</t>
  </si>
  <si>
    <t>guidance_note</t>
  </si>
  <si>
    <t>TDnet 決算短信 via screener guidance table: FY2027 disclosed 2026-07-30 (net_income=137,000mn, operating_income=186,000mn, revenue=2,947,000mn)</t>
  </si>
  <si>
    <t>guidance_source</t>
  </si>
  <si>
    <t>tdnet_screener_db</t>
  </si>
  <si>
    <t>latest_operating_income</t>
  </si>
  <si>
    <t>197677.0</t>
  </si>
  <si>
    <t>ltm_revenue_c20</t>
  </si>
  <si>
    <t>2834749.0</t>
  </si>
  <si>
    <t>ltm_revenue_source</t>
  </si>
  <si>
    <t>latest FY (no LTM)</t>
  </si>
  <si>
    <t>market_data_source</t>
  </si>
  <si>
    <t>yfinance; from overrides: beta, current_price, shares_outstanding</t>
  </si>
  <si>
    <t>narrative_tokens_used</t>
  </si>
  <si>
    <t>net_debt_source</t>
  </si>
  <si>
    <t>EDINET net_debt</t>
  </si>
  <si>
    <t>reverse_dcf_sheet</t>
  </si>
  <si>
    <t>op0=197,677(FY2026) peak=421,477(FY2023) peak_opm=0.1281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</si>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</sst>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6128</v>
      </c>
    </row>
    <row r="10" spans="2:5" ht="14" x14ac:dyDescent="0.3">
      <c r="B10" s="4" t="s">
        <v>10</v>
      </c>
      <c r="C10" s="5">
        <f>IF(COUNT(C16:C17)=0,"N/A",ROUND(AVERAGE(C16:C17),0))</f>
        <v>7964</v>
      </c>
    </row>
    <row r="11" spans="2:5" ht="14" x14ac:dyDescent="0.3">
      <c r="B11" s="4" t="s">
        <v>11</v>
      </c>
      <c r="C11" s="6" t="str">
        <f>IF(NOT(ISNUMBER(C12)),"N/A",IF(C12&gt;0.15,"BUY",IF(C12&gt;0.05,"HOLD","SELL")))</f>
        <v>BUY</v>
      </c>
    </row>
    <row r="12" spans="2:5" ht="14" x14ac:dyDescent="0.3">
      <c r="B12" s="4" t="s">
        <v>12</v>
      </c>
      <c r="C12" s="7">
        <f>IF(ISNUMBER(C10),(C10-C9)/C9,"N/A")</f>
        <v>0.29960835509138384</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6042</v>
      </c>
      <c r="D16" s="7">
        <f>IF(ISNUMBER(C16),(C16-C9)/C9,"N/A")</f>
        <v>-1.4033942558746737E-2</v>
      </c>
    </row>
    <row r="17" spans="2:5" ht="13.5" x14ac:dyDescent="0.25">
      <c r="B17" t="s">
        <v>18</v>
      </c>
      <c r="C17" s="11">
        <f>IF('DCF Model'!C62&lt;'DCF Model'!C16,"INVALID (EV &lt; net debt)",'DCF Model'!C64)</f>
        <v>9885</v>
      </c>
      <c r="D17" s="7">
        <f>IF(ISNUMBER(C17),(C17-C9)/C9,"N/A")</f>
        <v>0.6130874673629243</v>
      </c>
    </row>
    <row r="18" spans="2:5" ht="13.5" x14ac:dyDescent="0.25">
      <c r="B18" t="s">
        <v>19</v>
      </c>
      <c r="C18" s="11">
        <f>'Comps Analysis'!C27</f>
        <v>10071</v>
      </c>
      <c r="D18" s="7">
        <f>IF(ISNUMBER(C18),(C18-C9)/C9,"N/A")</f>
        <v>0.64343994778067881</v>
      </c>
    </row>
    <row r="19" spans="2:5" ht="13.5" x14ac:dyDescent="0.25">
      <c r="B19" t="s">
        <v>20</v>
      </c>
      <c r="C19" s="11">
        <f>'Comps Analysis'!C28</f>
        <v>8705</v>
      </c>
      <c r="D19" s="7">
        <f>IF(ISNUMBER(C19),(C19-C9)/C9,"N/A")</f>
        <v>0.42052872062663188</v>
      </c>
    </row>
    <row r="20" spans="2:5" ht="14" x14ac:dyDescent="0.3">
      <c r="B20" s="45" t="s">
        <v>21</v>
      </c>
      <c r="C20" s="44"/>
      <c r="D20" s="44"/>
      <c r="E20" s="44"/>
    </row>
    <row r="21" spans="2:5" ht="14" x14ac:dyDescent="0.3">
      <c r="B21" s="4" t="s">
        <v>22</v>
      </c>
      <c r="C21" s="6" t="str">
        <f>IF(COUNT(C16:C17)=0,"N/A",MIN(C16:C17)&amp;" - "&amp;MAX(C16:C17))</f>
        <v>6042 - 9885</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3289634</v>
      </c>
      <c r="D6" s="5">
        <v>2662420</v>
      </c>
      <c r="E6" s="5">
        <v>2636809</v>
      </c>
      <c r="F6" s="5">
        <v>2834749</v>
      </c>
    </row>
    <row r="7" spans="2:6" ht="14" x14ac:dyDescent="0.3">
      <c r="B7" s="4" t="s">
        <v>38</v>
      </c>
      <c r="C7" s="5">
        <v>1212624</v>
      </c>
      <c r="D7" s="5">
        <v>1766392</v>
      </c>
      <c r="E7" s="5">
        <v>2596462</v>
      </c>
      <c r="F7" s="5">
        <v>2190796</v>
      </c>
    </row>
    <row r="8" spans="2:6" ht="14" x14ac:dyDescent="0.3">
      <c r="B8" s="4" t="s">
        <v>39</v>
      </c>
      <c r="C8" s="5">
        <f>C6-C7</f>
        <v>2077010</v>
      </c>
      <c r="D8" s="5">
        <f>D6-D7</f>
        <v>896028</v>
      </c>
      <c r="E8" s="5">
        <f>E6-E7</f>
        <v>40347</v>
      </c>
      <c r="F8" s="5">
        <f>F6-F7</f>
        <v>643953</v>
      </c>
    </row>
    <row r="9" spans="2:6" ht="13.5" x14ac:dyDescent="0.25">
      <c r="B9" t="s">
        <v>40</v>
      </c>
      <c r="C9" s="7">
        <f>C8/C6</f>
        <v>0.63138026905120748</v>
      </c>
      <c r="D9" s="7">
        <f>D8/D6</f>
        <v>0.33654645022197849</v>
      </c>
      <c r="E9" s="7">
        <f>E8/E6</f>
        <v>1.5301449593049781E-2</v>
      </c>
      <c r="F9" s="7">
        <f>F8/F6</f>
        <v>0.22716402757351709</v>
      </c>
    </row>
    <row r="10" spans="2:6" ht="14" x14ac:dyDescent="0.3">
      <c r="B10" s="4" t="s">
        <v>41</v>
      </c>
      <c r="C10" s="5"/>
      <c r="D10" s="5">
        <v>260941</v>
      </c>
      <c r="E10" s="5">
        <v>271695</v>
      </c>
      <c r="F10" s="5">
        <v>254480</v>
      </c>
    </row>
    <row r="11" spans="2:6" ht="14" x14ac:dyDescent="0.3">
      <c r="B11" s="4" t="s">
        <v>42</v>
      </c>
      <c r="C11" s="5">
        <v>421477</v>
      </c>
      <c r="D11" s="5">
        <v>217144</v>
      </c>
      <c r="E11" s="5">
        <v>133091</v>
      </c>
      <c r="F11" s="5">
        <v>197677</v>
      </c>
    </row>
    <row r="12" spans="2:6" ht="14" x14ac:dyDescent="0.3">
      <c r="B12" s="4" t="s">
        <v>43</v>
      </c>
      <c r="C12" s="5">
        <v>280916</v>
      </c>
      <c r="D12" s="5">
        <v>165481</v>
      </c>
      <c r="E12" s="5">
        <v>74194</v>
      </c>
      <c r="F12" s="5">
        <v>226857</v>
      </c>
    </row>
    <row r="13" spans="2:6" ht="13.5" x14ac:dyDescent="0.25">
      <c r="B13" t="s">
        <v>44</v>
      </c>
      <c r="C13" s="7">
        <f>C11/C6</f>
        <v>0.12812276380898299</v>
      </c>
      <c r="D13" s="7">
        <f>D11/D6</f>
        <v>8.1558882520413753E-2</v>
      </c>
      <c r="E13" s="7">
        <f>E11/E6</f>
        <v>5.047426643340492E-2</v>
      </c>
      <c r="F13" s="7">
        <f>F11/F6</f>
        <v>6.9733510797605008E-2</v>
      </c>
    </row>
    <row r="14" spans="2:6" ht="13.5" x14ac:dyDescent="0.25">
      <c r="B14" t="s">
        <v>45</v>
      </c>
      <c r="C14" s="7">
        <f>C12/C6</f>
        <v>8.5394302223286853E-2</v>
      </c>
      <c r="D14" s="7">
        <f>D12/D6</f>
        <v>6.2154355811630022E-2</v>
      </c>
      <c r="E14" s="7">
        <f>E12/E6</f>
        <v>2.8137798376750078E-2</v>
      </c>
      <c r="F14" s="7">
        <f>F12/F6</f>
        <v>8.0027191119919253E-2</v>
      </c>
    </row>
    <row r="15" spans="2:6" ht="13.5" x14ac:dyDescent="0.25">
      <c r="B15" t="s">
        <v>46</v>
      </c>
      <c r="C15" t="s">
        <v>47</v>
      </c>
      <c r="D15" s="7">
        <f>(D6-C6)/C6</f>
        <v>-0.19066376381080691</v>
      </c>
      <c r="E15" s="7">
        <f>(E6-D6)/D6</f>
        <v>-9.6194439645134883E-3</v>
      </c>
      <c r="F15" s="7">
        <f>(F6-E6)/E6</f>
        <v>7.5068008338867162E-2</v>
      </c>
    </row>
    <row r="16" spans="2:6" ht="13.5" x14ac:dyDescent="0.25">
      <c r="B16" t="s">
        <v>48</v>
      </c>
      <c r="C16" t="s">
        <v>47</v>
      </c>
      <c r="D16" s="7">
        <f>(D11-C11)/C11</f>
        <v>-0.48480225492731516</v>
      </c>
      <c r="E16" s="7">
        <f>(E11-D11)/D11</f>
        <v>-0.38708414692554249</v>
      </c>
      <c r="F16" s="7">
        <f>(F11-E11)/E11</f>
        <v>0.48527699093101712</v>
      </c>
    </row>
    <row r="18" spans="2:6" ht="14" x14ac:dyDescent="0.3">
      <c r="B18" s="3" t="s">
        <v>49</v>
      </c>
    </row>
    <row r="19" spans="2:6" ht="14" x14ac:dyDescent="0.3">
      <c r="B19" s="4" t="s">
        <v>50</v>
      </c>
      <c r="C19" s="5">
        <v>487030</v>
      </c>
      <c r="D19" s="5">
        <v>316323</v>
      </c>
      <c r="E19" s="5">
        <v>363120</v>
      </c>
      <c r="F19" s="5">
        <v>451837</v>
      </c>
    </row>
    <row r="20" spans="2:6" ht="14" x14ac:dyDescent="0.3">
      <c r="B20" s="4" t="s">
        <v>51</v>
      </c>
      <c r="C20" s="5">
        <v>150647</v>
      </c>
      <c r="D20" s="5">
        <v>180715</v>
      </c>
      <c r="E20" s="5">
        <v>185918</v>
      </c>
      <c r="F20" s="5">
        <v>160909</v>
      </c>
    </row>
    <row r="21" spans="2:6" ht="14" x14ac:dyDescent="0.3">
      <c r="B21" s="4" t="s">
        <v>52</v>
      </c>
      <c r="C21" s="5">
        <f>C19-C20</f>
        <v>336383</v>
      </c>
      <c r="D21" s="5">
        <f>D19-D20</f>
        <v>135608</v>
      </c>
      <c r="E21" s="5">
        <f>E19-E20</f>
        <v>177202</v>
      </c>
      <c r="F21" s="5">
        <f>F19-F20</f>
        <v>290928</v>
      </c>
    </row>
    <row r="22" spans="2:6" ht="13.5" x14ac:dyDescent="0.25">
      <c r="B22" t="s">
        <v>53</v>
      </c>
      <c r="C22" s="7">
        <f>C21/C6</f>
        <v>0.10225544847846295</v>
      </c>
      <c r="D22" s="7">
        <f>D21/D6</f>
        <v>5.0934112574274534E-2</v>
      </c>
      <c r="E22" s="7">
        <f>E21/E6</f>
        <v>6.7203199018207233E-2</v>
      </c>
      <c r="F22" s="7">
        <f>F21/F6</f>
        <v>0.10262919221419603</v>
      </c>
    </row>
    <row r="23" spans="2:6" ht="13.5" x14ac:dyDescent="0.25">
      <c r="B23" t="s">
        <v>54</v>
      </c>
      <c r="C23" s="7">
        <f>C20/C6</f>
        <v>4.5794456161384521E-2</v>
      </c>
      <c r="D23" s="7">
        <f>D20/D6</f>
        <v>6.7876217876969069E-2</v>
      </c>
      <c r="E23" s="7">
        <f>E20/E6</f>
        <v>7.0508709580405712E-2</v>
      </c>
      <c r="F23" s="7">
        <f>F20/F6</f>
        <v>5.6763050273586829E-2</v>
      </c>
    </row>
    <row r="25" spans="2:6" ht="14" x14ac:dyDescent="0.3">
      <c r="B25" s="3" t="s">
        <v>55</v>
      </c>
    </row>
    <row r="26" spans="2:6" ht="14" x14ac:dyDescent="0.3">
      <c r="B26" s="4" t="s">
        <v>56</v>
      </c>
      <c r="C26" s="5">
        <v>453432</v>
      </c>
      <c r="D26" s="5">
        <v>363883</v>
      </c>
      <c r="E26" s="5">
        <v>244388</v>
      </c>
      <c r="F26" s="5">
        <v>187102</v>
      </c>
    </row>
    <row r="27" spans="2:6" ht="14" x14ac:dyDescent="0.3">
      <c r="B27" s="4" t="s">
        <v>57</v>
      </c>
      <c r="C27" s="5">
        <v>1222885</v>
      </c>
      <c r="D27" s="5">
        <v>1323123</v>
      </c>
      <c r="E27" s="5">
        <v>1308007</v>
      </c>
      <c r="F27" s="5">
        <v>1199652</v>
      </c>
    </row>
    <row r="28" spans="2:6" ht="14" x14ac:dyDescent="0.3">
      <c r="B28" s="4" t="s">
        <v>58</v>
      </c>
      <c r="C28" s="5">
        <f>C27-C26</f>
        <v>769453</v>
      </c>
      <c r="D28" s="5">
        <f>D27-D26</f>
        <v>959240</v>
      </c>
      <c r="E28" s="5">
        <f>E27-E26</f>
        <v>1063619</v>
      </c>
      <c r="F28" s="5">
        <f>F27-F26</f>
        <v>1012550</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9.7860000000000003E-2</v>
      </c>
    </row>
    <row r="6" spans="2:7" ht="14" x14ac:dyDescent="0.3">
      <c r="B6" s="4" t="s">
        <v>63</v>
      </c>
      <c r="C6" s="7">
        <v>0.25</v>
      </c>
    </row>
    <row r="7" spans="2:7" ht="14" x14ac:dyDescent="0.3">
      <c r="B7" s="4" t="s">
        <v>64</v>
      </c>
      <c r="C7" s="7">
        <v>2.9700000000000001E-2</v>
      </c>
    </row>
    <row r="8" spans="2:7" ht="14" x14ac:dyDescent="0.3">
      <c r="B8" s="4" t="s">
        <v>65</v>
      </c>
      <c r="C8" s="12">
        <v>0.63300000000000001</v>
      </c>
    </row>
    <row r="9" spans="2:7" ht="14" x14ac:dyDescent="0.3">
      <c r="B9" s="4" t="s">
        <v>66</v>
      </c>
      <c r="C9" s="7">
        <v>6.5000000000000002E-2</v>
      </c>
    </row>
    <row r="10" spans="2:7" ht="14" x14ac:dyDescent="0.3">
      <c r="B10" s="4" t="s">
        <v>67</v>
      </c>
      <c r="C10" s="7">
        <v>0.01</v>
      </c>
    </row>
    <row r="11" spans="2:7" ht="14" x14ac:dyDescent="0.3">
      <c r="B11" s="4" t="s">
        <v>68</v>
      </c>
      <c r="C11" s="7">
        <v>1.2200000000000001E-2</v>
      </c>
    </row>
    <row r="12" spans="2:7" ht="14" x14ac:dyDescent="0.3">
      <c r="B12" s="4" t="s">
        <v>69</v>
      </c>
      <c r="C12" s="13">
        <v>0.50800000000000001</v>
      </c>
    </row>
    <row r="13" spans="2:7" ht="14" x14ac:dyDescent="0.3">
      <c r="B13" s="4" t="s">
        <v>70</v>
      </c>
      <c r="C13" s="7">
        <v>0.01</v>
      </c>
    </row>
    <row r="14" spans="2:7" ht="14" x14ac:dyDescent="0.3">
      <c r="B14" s="4" t="s">
        <v>71</v>
      </c>
      <c r="C14" s="14">
        <v>9.4</v>
      </c>
    </row>
    <row r="15" spans="2:7" ht="14" x14ac:dyDescent="0.3">
      <c r="B15" s="4" t="s">
        <v>72</v>
      </c>
      <c r="C15" s="15">
        <v>328504948</v>
      </c>
    </row>
    <row r="16" spans="2:7" ht="14" x14ac:dyDescent="0.3">
      <c r="B16" s="4" t="s">
        <v>73</v>
      </c>
      <c r="C16" s="5">
        <v>1022567</v>
      </c>
    </row>
    <row r="17" spans="2:7" ht="14" x14ac:dyDescent="0.3">
      <c r="B17" s="4" t="s">
        <v>74</v>
      </c>
      <c r="C17" s="5">
        <v>2834749</v>
      </c>
    </row>
    <row r="18" spans="2:7" ht="14" x14ac:dyDescent="0.3">
      <c r="B18" s="4" t="s">
        <v>75</v>
      </c>
      <c r="C18" s="7">
        <v>9.3200000000000005E-2</v>
      </c>
    </row>
    <row r="19" spans="2:7" ht="14" x14ac:dyDescent="0.3">
      <c r="B19" s="4" t="s">
        <v>76</v>
      </c>
      <c r="C19" s="12">
        <v>1</v>
      </c>
    </row>
    <row r="20" spans="2:7" ht="14" x14ac:dyDescent="0.3">
      <c r="B20" s="4" t="s">
        <v>77</v>
      </c>
      <c r="C20" s="5">
        <v>2834749</v>
      </c>
    </row>
    <row r="22" spans="2:7" ht="14" x14ac:dyDescent="0.3">
      <c r="B22" s="8" t="s">
        <v>78</v>
      </c>
      <c r="C22" s="9"/>
      <c r="D22" s="9"/>
      <c r="E22" s="9"/>
      <c r="F22" s="9"/>
      <c r="G22" s="9"/>
    </row>
    <row r="23" spans="2:7" ht="14" x14ac:dyDescent="0.3">
      <c r="B23" s="4" t="s">
        <v>79</v>
      </c>
      <c r="C23" s="16">
        <f>C7+C8*C9+C10</f>
        <v>8.0845E-2</v>
      </c>
    </row>
    <row r="24" spans="2:7" ht="14" x14ac:dyDescent="0.3">
      <c r="B24" s="4" t="s">
        <v>80</v>
      </c>
      <c r="C24" s="16">
        <f>1/(1+C12)</f>
        <v>0.66312997347480107</v>
      </c>
    </row>
    <row r="25" spans="2:7" ht="14" x14ac:dyDescent="0.3">
      <c r="B25" s="4" t="s">
        <v>81</v>
      </c>
      <c r="C25" s="16">
        <f>C12/(1+C12)</f>
        <v>0.33687002652519893</v>
      </c>
    </row>
    <row r="26" spans="2:7" ht="14" x14ac:dyDescent="0.3">
      <c r="B26" s="4" t="s">
        <v>82</v>
      </c>
      <c r="C26" s="16">
        <f>C23*C24+C11*C25</f>
        <v>5.7720557029177721E-2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1.4999999999999999E-2</v>
      </c>
      <c r="D30" s="18">
        <f>CHOOSE($D$27,D69,D70,D71,D72,D73)</f>
        <v>0.02</v>
      </c>
      <c r="E30" s="18">
        <f>CHOOSE($D$27,E69,E70,E71,E72,E73)</f>
        <v>0.02</v>
      </c>
      <c r="F30" s="18">
        <f>CHOOSE($D$27,F69,F70,F71,F72,F73)</f>
        <v>0.02</v>
      </c>
      <c r="G30" s="18">
        <f>CHOOSE($D$27,G69,G70,G71,G72,G73)</f>
        <v>1.4999999999999999E-2</v>
      </c>
    </row>
    <row r="31" spans="2:7" ht="14" x14ac:dyDescent="0.3">
      <c r="B31" s="4" t="s">
        <v>91</v>
      </c>
      <c r="C31" s="18">
        <f>CHOOSE($D$27,C76,C77,C78,C79,C80)</f>
        <v>0.82099999999999995</v>
      </c>
      <c r="D31" s="18">
        <f>CHOOSE($D$27,D76,D77,D78,D79,D80)</f>
        <v>0.82099999999999995</v>
      </c>
      <c r="E31" s="18">
        <f>CHOOSE($D$27,E76,E77,E78,E79,E80)</f>
        <v>0.82099999999999995</v>
      </c>
      <c r="F31" s="18">
        <f>CHOOSE($D$27,F76,F77,F78,F79,F80)</f>
        <v>0.82099999999999995</v>
      </c>
      <c r="G31" s="18">
        <f>CHOOSE($D$27,G76,G77,G78,G79,G80)</f>
        <v>0.82099999999999995</v>
      </c>
    </row>
    <row r="32" spans="2:7" ht="14" x14ac:dyDescent="0.3">
      <c r="B32" s="4" t="s">
        <v>92</v>
      </c>
      <c r="C32" s="18">
        <f>CHOOSE($D$27,C83,C84,C85,C86,C87)</f>
        <v>0.108</v>
      </c>
      <c r="D32" s="18">
        <f>CHOOSE($D$27,D83,D84,D85,D86,D87)</f>
        <v>0.10680000000000001</v>
      </c>
      <c r="E32" s="18">
        <f>CHOOSE($D$27,E83,E84,E85,E86,E87)</f>
        <v>0.1055</v>
      </c>
      <c r="F32" s="18">
        <f>CHOOSE($D$27,F83,F84,F85,F86,F87)</f>
        <v>0.1043</v>
      </c>
      <c r="G32" s="18">
        <f>CHOOSE($D$27,G83,G84,G85,G86,G87)</f>
        <v>0.10340000000000001</v>
      </c>
    </row>
    <row r="33" spans="2:7" ht="14" x14ac:dyDescent="0.3">
      <c r="B33" s="4" t="s">
        <v>37</v>
      </c>
      <c r="C33" s="5">
        <f>C17*(1+C30)</f>
        <v>2877270.2349999999</v>
      </c>
      <c r="D33" s="5">
        <f>C33*(1+D30)</f>
        <v>2934815.6396999997</v>
      </c>
      <c r="E33" s="5">
        <f>D33*(1+E30)</f>
        <v>2993511.9524939996</v>
      </c>
      <c r="F33" s="5">
        <f>E33*(1+F30)</f>
        <v>3053382.1915438795</v>
      </c>
      <c r="G33" s="5">
        <f>F33*(1+G30)</f>
        <v>3099182.9244170375</v>
      </c>
    </row>
    <row r="34" spans="2:7" ht="14" x14ac:dyDescent="0.3">
      <c r="B34" s="4" t="s">
        <v>38</v>
      </c>
      <c r="C34" s="5">
        <f>C33*C31</f>
        <v>2362238.8629349996</v>
      </c>
      <c r="D34" s="5">
        <f>D33*D31</f>
        <v>2409483.6401936994</v>
      </c>
      <c r="E34" s="5">
        <f>E33*E31</f>
        <v>2457673.3129975735</v>
      </c>
      <c r="F34" s="5">
        <f>F33*F31</f>
        <v>2506826.7792575248</v>
      </c>
      <c r="G34" s="5">
        <f>G33*G31</f>
        <v>2544429.1809463878</v>
      </c>
    </row>
    <row r="35" spans="2:7" ht="14" x14ac:dyDescent="0.3">
      <c r="B35" s="4" t="s">
        <v>39</v>
      </c>
      <c r="C35" s="19">
        <f>C33-C34</f>
        <v>515031.37206500024</v>
      </c>
      <c r="D35" s="19">
        <f>D33-D34</f>
        <v>525331.99950630032</v>
      </c>
      <c r="E35" s="19">
        <f>E33-E34</f>
        <v>535838.6394964261</v>
      </c>
      <c r="F35" s="19">
        <f>F33-F34</f>
        <v>546555.41228635469</v>
      </c>
      <c r="G35" s="19">
        <f>G33-G34</f>
        <v>554753.7434706497</v>
      </c>
    </row>
    <row r="36" spans="2:7" ht="14" x14ac:dyDescent="0.3">
      <c r="B36" s="4" t="s">
        <v>40</v>
      </c>
      <c r="C36" s="7">
        <f>C35/C33</f>
        <v>0.1790000000000001</v>
      </c>
      <c r="D36" s="7">
        <f>D35/D33</f>
        <v>0.17900000000000013</v>
      </c>
      <c r="E36" s="7">
        <f>E35/E33</f>
        <v>0.17900000000000005</v>
      </c>
      <c r="F36" s="7">
        <f>F35/F33</f>
        <v>0.17900000000000008</v>
      </c>
      <c r="G36" s="7">
        <f>G35/G33</f>
        <v>0.17899999999999999</v>
      </c>
    </row>
    <row r="37" spans="2:7" ht="14" x14ac:dyDescent="0.3">
      <c r="B37" s="4" t="s">
        <v>93</v>
      </c>
      <c r="C37" s="5">
        <f>C33*C32</f>
        <v>310745.18537999998</v>
      </c>
      <c r="D37" s="5">
        <f>D33*D32</f>
        <v>313438.31031996</v>
      </c>
      <c r="E37" s="5">
        <f>E33*E32</f>
        <v>315815.51098811696</v>
      </c>
      <c r="F37" s="5">
        <f>F33*F32</f>
        <v>318467.76257802662</v>
      </c>
      <c r="G37" s="5">
        <f>G33*G32</f>
        <v>320455.5143847217</v>
      </c>
    </row>
    <row r="38" spans="2:7" ht="14" x14ac:dyDescent="0.3">
      <c r="B38" s="4" t="s">
        <v>94</v>
      </c>
      <c r="C38" s="7">
        <f>(C35-C37)/C33</f>
        <v>7.1000000000000091E-2</v>
      </c>
      <c r="D38" s="7">
        <f>(D35-D37)/D33</f>
        <v>7.2200000000000111E-2</v>
      </c>
      <c r="E38" s="7">
        <f>(E35-E37)/E33</f>
        <v>7.3500000000000051E-2</v>
      </c>
      <c r="F38" s="7">
        <f>(F35-F37)/F33</f>
        <v>7.4700000000000086E-2</v>
      </c>
      <c r="G38" s="7">
        <f>(G35-G37)/G33</f>
        <v>7.5599999999999987E-2</v>
      </c>
    </row>
    <row r="39" spans="2:7" ht="14" x14ac:dyDescent="0.3">
      <c r="B39" s="4" t="s">
        <v>95</v>
      </c>
      <c r="C39" s="19">
        <f>C35-C37</f>
        <v>204286.18668500026</v>
      </c>
      <c r="D39" s="19">
        <f>D35-D37</f>
        <v>211893.68918634031</v>
      </c>
      <c r="E39" s="19">
        <f>E35-E37</f>
        <v>220023.12850830914</v>
      </c>
      <c r="F39" s="19">
        <f>F35-F37</f>
        <v>228087.64970832807</v>
      </c>
      <c r="G39" s="19">
        <f>G35-G37</f>
        <v>234298.229085928</v>
      </c>
    </row>
    <row r="40" spans="2:7" ht="14" x14ac:dyDescent="0.3">
      <c r="B40" s="4" t="s">
        <v>96</v>
      </c>
      <c r="C40" s="5">
        <f>MAX(0,C39*C6)</f>
        <v>51071.546671250064</v>
      </c>
      <c r="D40" s="5">
        <f>MAX(0,D39*C6)</f>
        <v>52973.422296585079</v>
      </c>
      <c r="E40" s="5">
        <f>MAX(0,E39*C6)</f>
        <v>55005.782127077284</v>
      </c>
      <c r="F40" s="5">
        <f>MAX(0,F39*C6)</f>
        <v>57021.912427082018</v>
      </c>
      <c r="G40" s="5">
        <f>MAX(0,G39*C6)</f>
        <v>58574.557271482001</v>
      </c>
    </row>
    <row r="41" spans="2:7" ht="14" x14ac:dyDescent="0.3">
      <c r="B41" s="4" t="s">
        <v>97</v>
      </c>
      <c r="C41" s="19">
        <f>C39-C40</f>
        <v>153214.64001375018</v>
      </c>
      <c r="D41" s="19">
        <f>D39-D40</f>
        <v>158920.26688975524</v>
      </c>
      <c r="E41" s="19">
        <f>E39-E40</f>
        <v>165017.34638123185</v>
      </c>
      <c r="F41" s="19">
        <f>F39-F40</f>
        <v>171065.73728124605</v>
      </c>
      <c r="G41" s="19">
        <f>G39-G40</f>
        <v>175723.67181444599</v>
      </c>
    </row>
    <row r="42" spans="2:7" ht="14" x14ac:dyDescent="0.3">
      <c r="B42" s="4" t="s">
        <v>98</v>
      </c>
      <c r="C42" s="5">
        <f>C33*C18</f>
        <v>268161.58590200002</v>
      </c>
      <c r="D42" s="5">
        <f>D33*C18</f>
        <v>273524.81762003998</v>
      </c>
      <c r="E42" s="5">
        <f>E33*C18</f>
        <v>278995.31397244078</v>
      </c>
      <c r="F42" s="5">
        <f>F33*C18</f>
        <v>284575.22025188961</v>
      </c>
      <c r="G42" s="5">
        <f>G33*C18</f>
        <v>288843.84855566791</v>
      </c>
    </row>
    <row r="43" spans="2:7" ht="14" x14ac:dyDescent="0.3">
      <c r="B43" s="4" t="s">
        <v>99</v>
      </c>
      <c r="C43" s="5">
        <v>297100</v>
      </c>
      <c r="D43" s="5">
        <v>298700</v>
      </c>
      <c r="E43" s="5">
        <v>300200</v>
      </c>
      <c r="F43" s="5">
        <v>301800</v>
      </c>
      <c r="G43" s="5">
        <v>303300</v>
      </c>
    </row>
    <row r="44" spans="2:7" ht="14" x14ac:dyDescent="0.3">
      <c r="B44" s="4" t="s">
        <v>100</v>
      </c>
      <c r="C44" s="5">
        <f>'NWC Schedule'!D19</f>
        <v>17459.343659027363</v>
      </c>
      <c r="D44" s="5">
        <f>'NWC Schedule'!E19</f>
        <v>9892.6068731804844</v>
      </c>
      <c r="E44" s="5">
        <f>'NWC Schedule'!F19</f>
        <v>10090.459010644176</v>
      </c>
      <c r="F44" s="5">
        <f>'NWC Schedule'!G19</f>
        <v>10292.268190856965</v>
      </c>
      <c r="G44" s="5">
        <f>'NWC Schedule'!H19</f>
        <v>7873.585166005767</v>
      </c>
    </row>
    <row r="45" spans="2:7" ht="14" x14ac:dyDescent="0.3">
      <c r="B45" s="4" t="s">
        <v>101</v>
      </c>
      <c r="C45" s="20">
        <f>C41+C42-C43-C44</f>
        <v>106816.88225672283</v>
      </c>
      <c r="D45" s="20">
        <f>D41+D42-D43-D44</f>
        <v>123852.4776366147</v>
      </c>
      <c r="E45" s="20">
        <f>E41+E42-E43-E44</f>
        <v>133722.20134302846</v>
      </c>
      <c r="F45" s="20">
        <f>F41+F42-F43-F44</f>
        <v>143548.6893422787</v>
      </c>
      <c r="G45" s="20">
        <f>G41+G42-G43-G44</f>
        <v>153393.93520410813</v>
      </c>
    </row>
    <row r="46" spans="2:7" ht="14" x14ac:dyDescent="0.3">
      <c r="B46" s="4" t="s">
        <v>102</v>
      </c>
      <c r="C46" s="21">
        <f>1/(1+C26)^(C19+0)</f>
        <v>0.94542929449031643</v>
      </c>
      <c r="D46" s="21">
        <f>1/(1+C26)^(C19+1)</f>
        <v>0.89383655088045755</v>
      </c>
      <c r="E46" s="21">
        <f>1/(1+C26)^(C19+2)</f>
        <v>0.84505925968856899</v>
      </c>
      <c r="F46" s="21">
        <f>1/(1+C26)^(C19+3)</f>
        <v>0.79894377968987285</v>
      </c>
      <c r="G46" s="21">
        <f>1/(1+C26)^(C19+4)</f>
        <v>0.75534485396962336</v>
      </c>
    </row>
    <row r="47" spans="2:7" ht="14" x14ac:dyDescent="0.3">
      <c r="B47" s="4" t="s">
        <v>103</v>
      </c>
      <c r="C47" s="19">
        <f>C45*C46</f>
        <v>100987.80963162867</v>
      </c>
      <c r="D47" s="19">
        <f>D45*D46</f>
        <v>110703.87142871068</v>
      </c>
      <c r="E47" s="19">
        <f>E45*E46</f>
        <v>113003.1844708654</v>
      </c>
      <c r="F47" s="19">
        <f>F45*F46</f>
        <v>114687.33243264751</v>
      </c>
      <c r="G47" s="19">
        <f>G45*G46</f>
        <v>115865.31958657292</v>
      </c>
    </row>
    <row r="49" spans="2:7" ht="14" x14ac:dyDescent="0.3">
      <c r="B49" s="22" t="s">
        <v>104</v>
      </c>
      <c r="C49" s="23"/>
      <c r="D49" s="23"/>
      <c r="E49" s="23"/>
      <c r="F49" s="23"/>
      <c r="G49" s="23"/>
    </row>
    <row r="50" spans="2:7" ht="14" x14ac:dyDescent="0.3">
      <c r="B50" s="4" t="s">
        <v>105</v>
      </c>
      <c r="C50" s="5">
        <f>SUM(C47:G47)</f>
        <v>555247.51755042514</v>
      </c>
    </row>
    <row r="51" spans="2:7" ht="14" x14ac:dyDescent="0.3">
      <c r="B51" s="4" t="s">
        <v>106</v>
      </c>
      <c r="C51" s="5">
        <f>G45*(1+C13)/(C26-C13)</f>
        <v>3246564.6715192753</v>
      </c>
    </row>
    <row r="52" spans="2:7" ht="14" x14ac:dyDescent="0.3">
      <c r="B52" s="4" t="s">
        <v>107</v>
      </c>
      <c r="C52" s="5">
        <f>C51*G46</f>
        <v>2452275.9177116654</v>
      </c>
    </row>
    <row r="53" spans="2:7" ht="14" x14ac:dyDescent="0.3">
      <c r="B53" s="4" t="s">
        <v>108</v>
      </c>
      <c r="C53" s="5">
        <f>C50+C52</f>
        <v>3007523.4352620905</v>
      </c>
    </row>
    <row r="54" spans="2:7" ht="14" x14ac:dyDescent="0.3">
      <c r="B54" s="4" t="s">
        <v>109</v>
      </c>
      <c r="C54" s="5">
        <f>C53-C16</f>
        <v>1984956.4352620905</v>
      </c>
    </row>
    <row r="55" spans="2:7" ht="14" x14ac:dyDescent="0.3">
      <c r="B55" s="4" t="s">
        <v>110</v>
      </c>
      <c r="C55" s="24">
        <f>ROUND(C54*1000000/C15,0)</f>
        <v>6042</v>
      </c>
    </row>
    <row r="57" spans="2:7" ht="14" x14ac:dyDescent="0.3">
      <c r="B57" s="22" t="s">
        <v>111</v>
      </c>
      <c r="C57" s="23"/>
      <c r="D57" s="23"/>
      <c r="E57" s="23"/>
      <c r="F57" s="23"/>
      <c r="G57" s="23"/>
    </row>
    <row r="58" spans="2:7" ht="14" x14ac:dyDescent="0.3">
      <c r="B58" s="4" t="s">
        <v>105</v>
      </c>
      <c r="C58" s="5">
        <f>C50</f>
        <v>555247.51755042514</v>
      </c>
    </row>
    <row r="59" spans="2:7" ht="14" x14ac:dyDescent="0.3">
      <c r="B59" s="4" t="s">
        <v>112</v>
      </c>
      <c r="C59" s="5">
        <f>G39+G42</f>
        <v>523142.07764159591</v>
      </c>
    </row>
    <row r="60" spans="2:7" ht="14" x14ac:dyDescent="0.3">
      <c r="B60" s="4" t="s">
        <v>113</v>
      </c>
      <c r="C60" s="5">
        <f>C59*C14</f>
        <v>4917535.5298310015</v>
      </c>
    </row>
    <row r="61" spans="2:7" ht="14" x14ac:dyDescent="0.3">
      <c r="B61" s="4" t="s">
        <v>107</v>
      </c>
      <c r="C61" s="5">
        <f>C60*G46</f>
        <v>3714435.1566706323</v>
      </c>
    </row>
    <row r="62" spans="2:7" ht="14" x14ac:dyDescent="0.3">
      <c r="B62" s="4" t="s">
        <v>108</v>
      </c>
      <c r="C62" s="5">
        <f>C58+C61</f>
        <v>4269682.6742210574</v>
      </c>
    </row>
    <row r="63" spans="2:7" ht="14" x14ac:dyDescent="0.3">
      <c r="B63" s="4" t="s">
        <v>109</v>
      </c>
      <c r="C63" s="5">
        <f>C62-C16</f>
        <v>3247115.6742210574</v>
      </c>
    </row>
    <row r="64" spans="2:7" ht="14" x14ac:dyDescent="0.3">
      <c r="B64" s="4" t="s">
        <v>114</v>
      </c>
      <c r="C64" s="24">
        <f>ROUND(C63*1000000/C15,0)</f>
        <v>9885</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1.4999999999999999E-2</v>
      </c>
      <c r="D69" s="26">
        <v>0.02</v>
      </c>
      <c r="E69" s="26">
        <v>0.02</v>
      </c>
      <c r="F69" s="26">
        <v>0.02</v>
      </c>
      <c r="G69" s="26">
        <v>1.4999999999999999E-2</v>
      </c>
    </row>
    <row r="70" spans="2:7" ht="14" x14ac:dyDescent="0.3">
      <c r="B70" s="4" t="s">
        <v>121</v>
      </c>
      <c r="C70" s="26">
        <v>0.03</v>
      </c>
      <c r="D70" s="26">
        <v>2.5000000000000001E-2</v>
      </c>
      <c r="E70" s="26">
        <v>2.5000000000000001E-2</v>
      </c>
      <c r="F70" s="26">
        <v>0.02</v>
      </c>
      <c r="G70" s="26">
        <v>0.02</v>
      </c>
    </row>
    <row r="71" spans="2:7" ht="14" x14ac:dyDescent="0.3">
      <c r="B71" s="4" t="s">
        <v>122</v>
      </c>
      <c r="C71" s="26">
        <v>1.4999999999999999E-2</v>
      </c>
      <c r="D71" s="26">
        <v>0.02</v>
      </c>
      <c r="E71" s="26">
        <v>0.02</v>
      </c>
      <c r="F71" s="26">
        <v>0.02</v>
      </c>
      <c r="G71" s="26">
        <v>1.4999999999999999E-2</v>
      </c>
    </row>
    <row r="72" spans="2:7" ht="14" x14ac:dyDescent="0.3">
      <c r="B72" s="4" t="s">
        <v>123</v>
      </c>
      <c r="C72" s="26">
        <v>5.0000000000000001E-3</v>
      </c>
      <c r="D72" s="26">
        <v>0.01</v>
      </c>
      <c r="E72" s="26">
        <v>1.4999999999999999E-2</v>
      </c>
      <c r="F72" s="26">
        <v>1.4999999999999999E-2</v>
      </c>
      <c r="G72" s="26">
        <v>1.4999999999999999E-2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0.82099999999999995</v>
      </c>
      <c r="D76" s="26">
        <v>0.82099999999999995</v>
      </c>
      <c r="E76" s="26">
        <v>0.82099999999999995</v>
      </c>
      <c r="F76" s="26">
        <v>0.82099999999999995</v>
      </c>
      <c r="G76" s="26">
        <v>0.82099999999999995</v>
      </c>
    </row>
    <row r="77" spans="2:7" ht="14" x14ac:dyDescent="0.3">
      <c r="B77" s="4" t="s">
        <v>121</v>
      </c>
      <c r="C77" s="26">
        <v>0.81100000000000005</v>
      </c>
      <c r="D77" s="26">
        <v>0.81100000000000005</v>
      </c>
      <c r="E77" s="26">
        <v>0.81100000000000005</v>
      </c>
      <c r="F77" s="26">
        <v>0.81100000000000005</v>
      </c>
      <c r="G77" s="26">
        <v>0.81100000000000005</v>
      </c>
    </row>
    <row r="78" spans="2:7" ht="14" x14ac:dyDescent="0.3">
      <c r="B78" s="4" t="s">
        <v>122</v>
      </c>
      <c r="C78" s="26">
        <v>0.82099999999999995</v>
      </c>
      <c r="D78" s="26">
        <v>0.82099999999999995</v>
      </c>
      <c r="E78" s="26">
        <v>0.82099999999999995</v>
      </c>
      <c r="F78" s="26">
        <v>0.82099999999999995</v>
      </c>
      <c r="G78" s="26">
        <v>0.82099999999999995</v>
      </c>
    </row>
    <row r="79" spans="2:7" ht="14" x14ac:dyDescent="0.3">
      <c r="B79" s="4" t="s">
        <v>123</v>
      </c>
      <c r="C79" s="26">
        <v>0.82899999999999996</v>
      </c>
      <c r="D79" s="26">
        <v>0.82899999999999996</v>
      </c>
      <c r="E79" s="26">
        <v>0.82899999999999996</v>
      </c>
      <c r="F79" s="26">
        <v>0.82899999999999996</v>
      </c>
      <c r="G79" s="26">
        <v>0.82899999999999996</v>
      </c>
    </row>
    <row r="80" spans="2:7" ht="14" x14ac:dyDescent="0.3">
      <c r="B80" s="4" t="s">
        <v>124</v>
      </c>
      <c r="C80" s="26">
        <v>0.84299999999999997</v>
      </c>
      <c r="D80" s="26">
        <v>0.84299999999999997</v>
      </c>
      <c r="E80" s="26">
        <v>0.84299999999999997</v>
      </c>
      <c r="F80" s="26">
        <v>0.84299999999999997</v>
      </c>
      <c r="G80" s="26">
        <v>0.84299999999999997</v>
      </c>
    </row>
    <row r="82" spans="2:7" ht="14" x14ac:dyDescent="0.3">
      <c r="B82" s="3" t="s">
        <v>92</v>
      </c>
    </row>
    <row r="83" spans="2:7" ht="14" x14ac:dyDescent="0.3">
      <c r="B83" s="4" t="s">
        <v>84</v>
      </c>
      <c r="C83" s="26">
        <v>0.108</v>
      </c>
      <c r="D83" s="26">
        <v>0.10680000000000001</v>
      </c>
      <c r="E83" s="26">
        <v>0.1055</v>
      </c>
      <c r="F83" s="26">
        <v>0.1043</v>
      </c>
      <c r="G83" s="26">
        <v>0.10340000000000001</v>
      </c>
    </row>
    <row r="84" spans="2:7" ht="14" x14ac:dyDescent="0.3">
      <c r="B84" s="4" t="s">
        <v>121</v>
      </c>
      <c r="C84" s="26">
        <v>0.109</v>
      </c>
      <c r="D84" s="26">
        <v>0.1045</v>
      </c>
      <c r="E84" s="26">
        <v>0.10050000000000001</v>
      </c>
      <c r="F84" s="26">
        <v>9.7799999999999998E-2</v>
      </c>
      <c r="G84" s="26">
        <v>9.5799999999999996E-2</v>
      </c>
    </row>
    <row r="85" spans="2:7" ht="14" x14ac:dyDescent="0.3">
      <c r="B85" s="4" t="s">
        <v>122</v>
      </c>
      <c r="C85" s="26">
        <v>0.108</v>
      </c>
      <c r="D85" s="26">
        <v>0.10680000000000001</v>
      </c>
      <c r="E85" s="26">
        <v>0.1055</v>
      </c>
      <c r="F85" s="26">
        <v>0.1043</v>
      </c>
      <c r="G85" s="26">
        <v>0.10340000000000001</v>
      </c>
    </row>
    <row r="86" spans="2:7" ht="14" x14ac:dyDescent="0.3">
      <c r="B86" s="4" t="s">
        <v>123</v>
      </c>
      <c r="C86" s="26">
        <v>0.104</v>
      </c>
      <c r="D86" s="26">
        <v>0.105</v>
      </c>
      <c r="E86" s="26">
        <v>0.1055</v>
      </c>
      <c r="F86" s="26">
        <v>0.10589999999999999</v>
      </c>
      <c r="G86" s="26">
        <v>0.1061</v>
      </c>
    </row>
    <row r="87" spans="2:7" ht="14" x14ac:dyDescent="0.3">
      <c r="B87" s="4" t="s">
        <v>124</v>
      </c>
      <c r="C87" s="26">
        <v>0.105</v>
      </c>
      <c r="D87" s="26">
        <v>0.111</v>
      </c>
      <c r="E87" s="26">
        <v>0.113</v>
      </c>
      <c r="F87" s="26">
        <v>0.113</v>
      </c>
      <c r="G87" s="26">
        <v>0.112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6128</v>
      </c>
    </row>
    <row r="7" spans="2:9" ht="14" x14ac:dyDescent="0.3">
      <c r="B7" s="4" t="s">
        <v>72</v>
      </c>
      <c r="C7" s="15">
        <f>'DCF Model'!C15</f>
        <v>328504948</v>
      </c>
    </row>
    <row r="8" spans="2:9" ht="14" x14ac:dyDescent="0.3">
      <c r="B8" s="4" t="s">
        <v>129</v>
      </c>
      <c r="C8" s="5">
        <f>C6*C7/1000000</f>
        <v>2013078.3213440001</v>
      </c>
    </row>
    <row r="9" spans="2:9" ht="14" x14ac:dyDescent="0.3">
      <c r="B9" s="4" t="s">
        <v>73</v>
      </c>
      <c r="C9" s="5">
        <f>'DCF Model'!C16</f>
        <v>1022567</v>
      </c>
    </row>
    <row r="10" spans="2:9" ht="14" x14ac:dyDescent="0.3">
      <c r="B10" s="4" t="s">
        <v>130</v>
      </c>
      <c r="C10" s="5">
        <f>C8+C9</f>
        <v>3035645.3213440003</v>
      </c>
    </row>
    <row r="11" spans="2:9" ht="14" x14ac:dyDescent="0.3">
      <c r="B11" s="4" t="s">
        <v>131</v>
      </c>
      <c r="C11" s="16">
        <f>'DCF Model'!C26</f>
        <v>5.7720557029177721E-2</v>
      </c>
    </row>
    <row r="12" spans="2:9" ht="14" x14ac:dyDescent="0.3">
      <c r="B12" s="4" t="s">
        <v>132</v>
      </c>
      <c r="C12" s="16">
        <f>'DCF Model'!C13</f>
        <v>0.01</v>
      </c>
    </row>
    <row r="13" spans="2:9" ht="14" x14ac:dyDescent="0.3">
      <c r="B13" s="4" t="s">
        <v>133</v>
      </c>
      <c r="C13" s="16">
        <f>'DCF Model'!C6</f>
        <v>0.25</v>
      </c>
    </row>
    <row r="14" spans="2:9" ht="14" x14ac:dyDescent="0.3">
      <c r="B14" s="4" t="s">
        <v>134</v>
      </c>
      <c r="C14" s="27">
        <v>197677</v>
      </c>
    </row>
    <row r="15" spans="2:9" ht="14" x14ac:dyDescent="0.3">
      <c r="B15" s="4" t="s">
        <v>135</v>
      </c>
      <c r="C15" s="27">
        <v>421477</v>
      </c>
    </row>
    <row r="16" spans="2:9" ht="14" x14ac:dyDescent="0.3">
      <c r="B16" s="4" t="s">
        <v>136</v>
      </c>
      <c r="C16" s="5">
        <f>'DCF Model'!G33</f>
        <v>3099182.9244170375</v>
      </c>
    </row>
    <row r="17" spans="2:9" ht="14" x14ac:dyDescent="0.3">
      <c r="B17" s="4" t="s">
        <v>137</v>
      </c>
      <c r="C17" s="5">
        <f>'DCF Model'!C53</f>
        <v>3007523.4352620905</v>
      </c>
    </row>
    <row r="18" spans="2:9" ht="14" x14ac:dyDescent="0.3">
      <c r="B18" s="4" t="s">
        <v>138</v>
      </c>
      <c r="C18" s="26">
        <v>0.12812276380898299</v>
      </c>
    </row>
    <row r="19" spans="2:9" ht="14" x14ac:dyDescent="0.3">
      <c r="B19" s="4" t="s">
        <v>139</v>
      </c>
      <c r="C19" s="5">
        <f>C10-C17</f>
        <v>28121.886081909761</v>
      </c>
    </row>
    <row r="20" spans="2:9" ht="14" x14ac:dyDescent="0.3">
      <c r="B20" s="4" t="s">
        <v>140</v>
      </c>
      <c r="C20" s="15">
        <f>IFERROR(ROUND(C19*1000000/C7,0),"N/A")</f>
        <v>86</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144862.68567755289</v>
      </c>
    </row>
    <row r="25" spans="2:9" ht="14" x14ac:dyDescent="0.3">
      <c r="B25" s="4" t="s">
        <v>144</v>
      </c>
      <c r="C25" s="5">
        <f>IFERROR(C24/(1-C13),"N/A")</f>
        <v>193150.24757007053</v>
      </c>
    </row>
    <row r="26" spans="2:9" ht="13.5" x14ac:dyDescent="0.25">
      <c r="B26" s="6" t="s">
        <v>145</v>
      </c>
      <c r="C26" s="14">
        <f>IFERROR(C25/C15,"N/A")</f>
        <v>0.45826995914384538</v>
      </c>
    </row>
    <row r="27" spans="2:9" ht="13.5" x14ac:dyDescent="0.25">
      <c r="B27" s="6" t="s">
        <v>146</v>
      </c>
      <c r="C27" s="14">
        <f>IFERROR(C25/C14,"N/A")</f>
        <v>0.97710025733934913</v>
      </c>
    </row>
    <row r="28" spans="2:9" ht="13.5" x14ac:dyDescent="0.25">
      <c r="B28" s="6" t="s">
        <v>147</v>
      </c>
      <c r="C28" s="7">
        <f>IFERROR(C25/C16,"N/A")</f>
        <v>6.2322958108838471E-2</v>
      </c>
    </row>
    <row r="29" spans="2:9" ht="13.5" x14ac:dyDescent="0.25">
      <c r="B29" s="6" t="s">
        <v>148</v>
      </c>
      <c r="C29" s="5">
        <f>IFERROR(C25/C18,"N/A")</f>
        <v>1507540.4387782048</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3.7720557029177718E-2</v>
      </c>
      <c r="E36" s="29">
        <f>'DCF Model'!C26-0.01</f>
        <v>4.772055702917772E-2</v>
      </c>
      <c r="F36" s="29">
        <f>'DCF Model'!C26</f>
        <v>5.7720557029177721E-2</v>
      </c>
      <c r="G36" s="29">
        <f>'DCF Model'!C26+0.01</f>
        <v>6.7720557029177716E-2</v>
      </c>
      <c r="H36" s="29">
        <f>'DCF Model'!C26+0.02</f>
        <v>7.7720557029177725E-2</v>
      </c>
    </row>
    <row r="37" spans="2:9" ht="14" x14ac:dyDescent="0.3">
      <c r="B37" s="3" t="s">
        <v>154</v>
      </c>
    </row>
    <row r="38" spans="2:9" ht="14" x14ac:dyDescent="0.3">
      <c r="B38" s="4" t="s">
        <v>155</v>
      </c>
      <c r="C38" s="30">
        <v>3</v>
      </c>
      <c r="D38" s="13">
        <f t="shared" ref="D38:H41" si="0">IFERROR((1-(1+D$36)^(-$C38))/D$36-(1+D$36)/(D$36^2*$C38)*(1-($C38+1)/(1+D$36)^$C38+$C38/(1+D$36)^($C38+1)),"N/A")</f>
        <v>0.95197451242906816</v>
      </c>
      <c r="E38" s="13">
        <f t="shared" si="0"/>
        <v>0.93996214056408389</v>
      </c>
      <c r="F38" s="13">
        <f t="shared" si="0"/>
        <v>0.92823171328704346</v>
      </c>
      <c r="G38" s="13">
        <f t="shared" si="0"/>
        <v>0.91677378321323544</v>
      </c>
      <c r="H38" s="13">
        <f t="shared" si="0"/>
        <v>0.90557930969591571</v>
      </c>
    </row>
    <row r="39" spans="2:9" ht="14" x14ac:dyDescent="0.3">
      <c r="B39" s="4" t="s">
        <v>156</v>
      </c>
      <c r="C39" s="30">
        <v>5</v>
      </c>
      <c r="D39" s="13">
        <f t="shared" si="0"/>
        <v>1.8585088160421597</v>
      </c>
      <c r="E39" s="13">
        <f t="shared" si="0"/>
        <v>1.8239229593541459</v>
      </c>
      <c r="F39" s="13">
        <f t="shared" si="0"/>
        <v>1.7904578259338888</v>
      </c>
      <c r="G39" s="13">
        <f t="shared" si="0"/>
        <v>1.7580639627011583</v>
      </c>
      <c r="H39" s="13">
        <f t="shared" si="0"/>
        <v>1.726694622706761</v>
      </c>
    </row>
    <row r="40" spans="2:9" ht="14" x14ac:dyDescent="0.3">
      <c r="B40" s="4" t="s">
        <v>157</v>
      </c>
      <c r="C40" s="30">
        <v>7</v>
      </c>
      <c r="D40" s="13">
        <f t="shared" si="0"/>
        <v>2.7220400148312858</v>
      </c>
      <c r="E40" s="13">
        <f t="shared" si="0"/>
        <v>2.6556301790567716</v>
      </c>
      <c r="F40" s="13">
        <f t="shared" si="0"/>
        <v>2.5919488227846914</v>
      </c>
      <c r="G40" s="13">
        <f t="shared" si="0"/>
        <v>2.5308473053470038</v>
      </c>
      <c r="H40" s="13">
        <f t="shared" si="0"/>
        <v>2.4721868138401053</v>
      </c>
    </row>
    <row r="41" spans="2:9" ht="14" x14ac:dyDescent="0.3">
      <c r="B41" s="4" t="s">
        <v>158</v>
      </c>
      <c r="C41" s="30">
        <v>10</v>
      </c>
      <c r="D41" s="13">
        <f t="shared" si="0"/>
        <v>3.9416963073099058</v>
      </c>
      <c r="E41" s="13">
        <f t="shared" si="0"/>
        <v>3.8127607188891286</v>
      </c>
      <c r="F41" s="13">
        <f t="shared" si="0"/>
        <v>3.6907423348608162</v>
      </c>
      <c r="G41" s="13">
        <f t="shared" si="0"/>
        <v>3.5751602977756747</v>
      </c>
      <c r="H41" s="13">
        <f t="shared" si="0"/>
        <v>3.4655735236012259</v>
      </c>
    </row>
    <row r="42" spans="2:9" ht="14" x14ac:dyDescent="0.3">
      <c r="B42" s="3" t="s">
        <v>159</v>
      </c>
    </row>
    <row r="43" spans="2:9" ht="14" x14ac:dyDescent="0.3">
      <c r="B43" s="4" t="s">
        <v>155</v>
      </c>
      <c r="C43" s="30">
        <v>3</v>
      </c>
      <c r="D43" s="13">
        <f t="shared" ref="D43:H46" si="1">IFERROR((1+D$36)/(D$36^2*$C43)*(1-($C43+1)/(1+D$36)^$C43+$C43/(1+D$36)^($C43+1))+(1+$C$12)/((D$36-$C$12)*(1+D$36)^$C43),"N/A")</f>
        <v>34.439712214282217</v>
      </c>
      <c r="E43" s="13">
        <f t="shared" si="1"/>
        <v>25.076240768341222</v>
      </c>
      <c r="F43" s="13">
        <f t="shared" si="1"/>
        <v>19.641673641047138</v>
      </c>
      <c r="G43" s="13">
        <f t="shared" si="1"/>
        <v>16.09384744904094</v>
      </c>
      <c r="H43" s="13">
        <f t="shared" si="1"/>
        <v>13.59683335398555</v>
      </c>
    </row>
    <row r="44" spans="2:9" ht="14" x14ac:dyDescent="0.3">
      <c r="B44" s="4" t="s">
        <v>156</v>
      </c>
      <c r="C44" s="30">
        <v>5</v>
      </c>
      <c r="D44" s="13">
        <f t="shared" si="1"/>
        <v>32.899277557986494</v>
      </c>
      <c r="E44" s="13">
        <f t="shared" si="1"/>
        <v>23.741763417811118</v>
      </c>
      <c r="F44" s="13">
        <f t="shared" si="1"/>
        <v>18.434941273292402</v>
      </c>
      <c r="G44" s="13">
        <f t="shared" si="1"/>
        <v>14.976924458392276</v>
      </c>
      <c r="H44" s="13">
        <f t="shared" si="1"/>
        <v>12.5482910803537</v>
      </c>
    </row>
    <row r="45" spans="2:9" ht="14" x14ac:dyDescent="0.3">
      <c r="B45" s="4" t="s">
        <v>157</v>
      </c>
      <c r="C45" s="30">
        <v>7</v>
      </c>
      <c r="D45" s="13">
        <f t="shared" si="1"/>
        <v>31.447092286373298</v>
      </c>
      <c r="E45" s="13">
        <f t="shared" si="1"/>
        <v>22.499644433261182</v>
      </c>
      <c r="F45" s="13">
        <f t="shared" si="1"/>
        <v>17.325517993619222</v>
      </c>
      <c r="G45" s="13">
        <f t="shared" si="1"/>
        <v>13.962363714219876</v>
      </c>
      <c r="H45" s="13">
        <f t="shared" si="1"/>
        <v>11.606991257994572</v>
      </c>
    </row>
    <row r="46" spans="2:9" ht="14" x14ac:dyDescent="0.3">
      <c r="B46" s="4" t="s">
        <v>158</v>
      </c>
      <c r="C46" s="30">
        <v>10</v>
      </c>
      <c r="D46" s="13">
        <f t="shared" si="1"/>
        <v>29.422290464733425</v>
      </c>
      <c r="E46" s="13">
        <f t="shared" si="1"/>
        <v>20.794370766853667</v>
      </c>
      <c r="F46" s="13">
        <f t="shared" si="1"/>
        <v>15.825022532940453</v>
      </c>
      <c r="G46" s="13">
        <f t="shared" si="1"/>
        <v>12.609908467433117</v>
      </c>
      <c r="H46" s="13">
        <f t="shared" si="1"/>
        <v>10.36973249823647</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112060.85595080598</v>
      </c>
      <c r="E48" s="5">
        <f t="shared" si="2"/>
        <v>153999.08761206624</v>
      </c>
      <c r="F48" s="5">
        <f t="shared" si="2"/>
        <v>196726.46564409015</v>
      </c>
      <c r="G48" s="5">
        <f t="shared" si="2"/>
        <v>240234.78638176669</v>
      </c>
      <c r="H48" s="5">
        <f t="shared" si="2"/>
        <v>284515.87168924313</v>
      </c>
    </row>
    <row r="49" spans="2:9" ht="14" x14ac:dyDescent="0.3">
      <c r="B49" s="4" t="s">
        <v>156</v>
      </c>
      <c r="C49" s="30">
        <v>5</v>
      </c>
      <c r="D49" s="5">
        <f t="shared" si="2"/>
        <v>111860.89546830159</v>
      </c>
      <c r="E49" s="5">
        <f t="shared" si="2"/>
        <v>155295.09798430157</v>
      </c>
      <c r="F49" s="5">
        <f t="shared" si="2"/>
        <v>200358.36885573869</v>
      </c>
      <c r="G49" s="5">
        <f t="shared" si="2"/>
        <v>247046.60128649935</v>
      </c>
      <c r="H49" s="5">
        <f t="shared" si="2"/>
        <v>295354.90199100983</v>
      </c>
    </row>
    <row r="50" spans="2:9" ht="14" x14ac:dyDescent="0.3">
      <c r="B50" s="4" t="s">
        <v>157</v>
      </c>
      <c r="C50" s="30">
        <v>7</v>
      </c>
      <c r="D50" s="5">
        <f t="shared" si="2"/>
        <v>111598.31119375851</v>
      </c>
      <c r="E50" s="5">
        <f t="shared" si="2"/>
        <v>156561.14471802584</v>
      </c>
      <c r="F50" s="5">
        <f t="shared" si="2"/>
        <v>204043.44787761499</v>
      </c>
      <c r="G50" s="5">
        <f t="shared" si="2"/>
        <v>254057.03969261269</v>
      </c>
      <c r="H50" s="5">
        <f t="shared" si="2"/>
        <v>306611.12283294246</v>
      </c>
    </row>
    <row r="51" spans="2:9" ht="14" x14ac:dyDescent="0.3">
      <c r="B51" s="4" t="s">
        <v>158</v>
      </c>
      <c r="C51" s="30">
        <v>10</v>
      </c>
      <c r="D51" s="5">
        <f t="shared" si="2"/>
        <v>111083.95514288</v>
      </c>
      <c r="E51" s="5">
        <f t="shared" si="2"/>
        <v>158400.17625096269</v>
      </c>
      <c r="F51" s="5">
        <f t="shared" si="2"/>
        <v>209664.92879808511</v>
      </c>
      <c r="G51" s="5">
        <f t="shared" si="2"/>
        <v>264934.52681040659</v>
      </c>
      <c r="H51" s="5">
        <f t="shared" si="2"/>
        <v>324257.44041828008</v>
      </c>
    </row>
    <row r="52" spans="2:9" ht="14" x14ac:dyDescent="0.3">
      <c r="B52" s="22" t="s">
        <v>161</v>
      </c>
      <c r="C52" s="23"/>
      <c r="D52" s="23"/>
      <c r="E52" s="23"/>
      <c r="F52" s="23"/>
      <c r="G52" s="23"/>
      <c r="H52" s="23"/>
      <c r="I52" s="23"/>
    </row>
    <row r="53" spans="2:9" ht="14" x14ac:dyDescent="0.3">
      <c r="B53" s="4" t="s">
        <v>155</v>
      </c>
      <c r="C53" s="30">
        <v>3</v>
      </c>
      <c r="D53" s="14">
        <f t="shared" ref="D53:H56" si="3">IFERROR(D48/$C$15,"N/A")</f>
        <v>0.26587656254269149</v>
      </c>
      <c r="E53" s="14">
        <f t="shared" si="3"/>
        <v>0.36537957613835687</v>
      </c>
      <c r="F53" s="14">
        <f t="shared" si="3"/>
        <v>0.46675492528439311</v>
      </c>
      <c r="G53" s="14">
        <f t="shared" si="3"/>
        <v>0.5699831458935285</v>
      </c>
      <c r="H53" s="14">
        <f t="shared" si="3"/>
        <v>0.67504483444943175</v>
      </c>
    </row>
    <row r="54" spans="2:9" ht="14" x14ac:dyDescent="0.3">
      <c r="B54" s="4" t="s">
        <v>156</v>
      </c>
      <c r="C54" s="30">
        <v>5</v>
      </c>
      <c r="D54" s="14">
        <f t="shared" si="3"/>
        <v>0.26540213456084577</v>
      </c>
      <c r="E54" s="14">
        <f t="shared" si="3"/>
        <v>0.36845450163188398</v>
      </c>
      <c r="F54" s="14">
        <f t="shared" si="3"/>
        <v>0.47537201046732963</v>
      </c>
      <c r="G54" s="14">
        <f t="shared" si="3"/>
        <v>0.58614491724696571</v>
      </c>
      <c r="H54" s="14">
        <f t="shared" si="3"/>
        <v>0.70076161211883403</v>
      </c>
    </row>
    <row r="55" spans="2:9" ht="14" x14ac:dyDescent="0.3">
      <c r="B55" s="4" t="s">
        <v>157</v>
      </c>
      <c r="C55" s="30">
        <v>7</v>
      </c>
      <c r="D55" s="14">
        <f t="shared" si="3"/>
        <v>0.26477912482474369</v>
      </c>
      <c r="E55" s="14">
        <f t="shared" si="3"/>
        <v>0.37145833513578641</v>
      </c>
      <c r="F55" s="14">
        <f t="shared" si="3"/>
        <v>0.48411526104061431</v>
      </c>
      <c r="G55" s="14">
        <f t="shared" si="3"/>
        <v>0.60277794444919341</v>
      </c>
      <c r="H55" s="14">
        <f t="shared" si="3"/>
        <v>0.72746821969631192</v>
      </c>
    </row>
    <row r="56" spans="2:9" ht="14" x14ac:dyDescent="0.3">
      <c r="B56" s="4" t="s">
        <v>158</v>
      </c>
      <c r="C56" s="30">
        <v>10</v>
      </c>
      <c r="D56" s="14">
        <f t="shared" si="3"/>
        <v>0.26355875917993155</v>
      </c>
      <c r="E56" s="14">
        <f t="shared" si="3"/>
        <v>0.37582163736327884</v>
      </c>
      <c r="F56" s="14">
        <f t="shared" si="3"/>
        <v>0.49745283561875286</v>
      </c>
      <c r="G56" s="14">
        <f t="shared" si="3"/>
        <v>0.62858596509514542</v>
      </c>
      <c r="H56" s="14">
        <f t="shared" si="3"/>
        <v>0.76933602644576116</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200358.36885573869</v>
      </c>
    </row>
    <row r="62" spans="2:9" ht="14" x14ac:dyDescent="0.3">
      <c r="B62" s="28" t="s">
        <v>165</v>
      </c>
      <c r="C62" s="28" t="s">
        <v>166</v>
      </c>
      <c r="D62" s="28" t="s">
        <v>167</v>
      </c>
    </row>
    <row r="63" spans="2:9" ht="14" x14ac:dyDescent="0.3">
      <c r="B63" s="31">
        <v>6.4100000000000004E-2</v>
      </c>
      <c r="C63" s="5">
        <f>IFERROR($C$60/B63,"N/A")</f>
        <v>3125715.5827728342</v>
      </c>
      <c r="D63" s="14">
        <f>IFERROR(C63/'DCF Model'!C17,"N/A")</f>
        <v>1.1026428028629109</v>
      </c>
    </row>
    <row r="64" spans="2:9" ht="14" x14ac:dyDescent="0.3">
      <c r="B64" s="31">
        <v>9.6100000000000005E-2</v>
      </c>
      <c r="C64" s="5">
        <f>IFERROR($C$60/B64,"N/A")</f>
        <v>2084894.5770628375</v>
      </c>
      <c r="D64" s="14">
        <f>IFERROR(C64/'DCF Model'!C17,"N/A")</f>
        <v>0.73547766559326333</v>
      </c>
    </row>
    <row r="65" spans="2:9" ht="14" x14ac:dyDescent="0.3">
      <c r="B65" s="4" t="s">
        <v>168</v>
      </c>
      <c r="C65" s="5">
        <f>IFERROR($C$60/$C$18,"N/A")</f>
        <v>1563799.9282816837</v>
      </c>
      <c r="D65" s="14">
        <f>IFERROR(C65/'DCF Model'!C17,"N/A")</f>
        <v>0.55165375427654573</v>
      </c>
    </row>
    <row r="66" spans="2:9" ht="14" x14ac:dyDescent="0.3">
      <c r="B66" s="31">
        <v>0.16020000000000001</v>
      </c>
      <c r="C66" s="5">
        <f>IFERROR($C$60/B66,"N/A")</f>
        <v>1250676.4597736497</v>
      </c>
      <c r="D66" s="14">
        <f>IFERROR(C66/'DCF Model'!C17,"N/A")</f>
        <v>0.44119477942267543</v>
      </c>
    </row>
    <row r="67" spans="2:9" ht="14" x14ac:dyDescent="0.3">
      <c r="B67" s="31">
        <v>0.19220000000000001</v>
      </c>
      <c r="C67" s="5">
        <f>IFERROR($C$60/B67,"N/A")</f>
        <v>1042447.2885314188</v>
      </c>
      <c r="D67" s="14">
        <f>IFERROR(C67/'DCF Model'!C17,"N/A")</f>
        <v>0.36773883279663167</v>
      </c>
    </row>
    <row r="69" spans="2:9" ht="14" x14ac:dyDescent="0.3">
      <c r="B69" s="8" t="s">
        <v>169</v>
      </c>
      <c r="C69" s="9"/>
      <c r="D69" s="9"/>
      <c r="E69" s="9"/>
      <c r="F69" s="9"/>
      <c r="G69" s="9"/>
      <c r="H69" s="9"/>
      <c r="I69" s="9"/>
    </row>
    <row r="70" spans="2:9" ht="13.5" x14ac:dyDescent="0.25">
      <c r="B70" s="6" t="s">
        <v>170</v>
      </c>
      <c r="C70" s="14">
        <f>IFERROR(C10/'Comps Analysis'!G5,"N/A")</f>
        <v>6.5710022194746056</v>
      </c>
    </row>
    <row r="71" spans="2:9" ht="13.5" x14ac:dyDescent="0.25">
      <c r="B71" s="6" t="s">
        <v>171</v>
      </c>
      <c r="C71" s="14">
        <f>IFERROR(C10/'Comps Analysis'!F5,"N/A")</f>
        <v>1.0708691744292</v>
      </c>
    </row>
    <row r="72" spans="2:9" ht="14" x14ac:dyDescent="0.3">
      <c r="B72" s="4" t="s">
        <v>172</v>
      </c>
      <c r="C72" s="14">
        <f>IFERROR(C10/(C25+'DCF Model'!G42),"N/A")</f>
        <v>6.2980964823936088</v>
      </c>
    </row>
    <row r="73" spans="2:9" ht="14" x14ac:dyDescent="0.3">
      <c r="B73" s="4" t="s">
        <v>173</v>
      </c>
      <c r="C73" s="14">
        <f>IFERROR(C10/(C60+'DCF Model'!G42),"N/A")</f>
        <v>6.2052975503810934</v>
      </c>
    </row>
    <row r="74" spans="2:9" ht="14" x14ac:dyDescent="0.3">
      <c r="B74" s="4" t="s">
        <v>174</v>
      </c>
      <c r="C74" s="14">
        <f>IFERROR('Comps Analysis'!D16,"N/A")</f>
        <v>9.3745434718081739</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6,128 yen the market is paying for a steady-state operating profit of 200,358 mn JPY - 0.48x the FY2023 cycle peak of 421,477 mn - reached in 5 years and sustained for ever, against 197,677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193,150 mn, or 0.46x the peak. The base case supports an EV of only 3,007,523 mn, leaving 86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54.606517190763626</v>
      </c>
      <c r="D5" s="34">
        <f>CHOOSE('DCF Model'!$D$27,D25,D26,D27,D28,D29)</f>
        <v>57</v>
      </c>
      <c r="E5" s="34">
        <f>CHOOSE('DCF Model'!$D$27,E25,E26,E27,E28,E29)</f>
        <v>57</v>
      </c>
      <c r="F5" s="34">
        <f>CHOOSE('DCF Model'!$D$27,F25,F26,F27,F28,F29)</f>
        <v>57</v>
      </c>
      <c r="G5" s="34">
        <f>CHOOSE('DCF Model'!$D$27,G25,G26,G27,G28,G29)</f>
        <v>57</v>
      </c>
      <c r="H5" s="34">
        <f>CHOOSE('DCF Model'!$D$27,H25,H26,H27,H28,H29)</f>
        <v>57</v>
      </c>
    </row>
    <row r="6" spans="2:8" ht="14" x14ac:dyDescent="0.3">
      <c r="B6" s="33" t="s">
        <v>181</v>
      </c>
      <c r="C6" s="34">
        <f>C13/C10*365</f>
        <v>24.813174518677393</v>
      </c>
      <c r="D6" s="34">
        <f>CHOOSE('DCF Model'!$D$27,D32,D33,D34,D35,D36)</f>
        <v>24</v>
      </c>
      <c r="E6" s="34">
        <f>CHOOSE('DCF Model'!$D$27,E32,E33,E34,E35,E36)</f>
        <v>24</v>
      </c>
      <c r="F6" s="34">
        <f>CHOOSE('DCF Model'!$D$27,F32,F33,F34,F35,F36)</f>
        <v>24</v>
      </c>
      <c r="G6" s="34">
        <f>CHOOSE('DCF Model'!$D$27,G32,G33,G34,G35,G36)</f>
        <v>24</v>
      </c>
      <c r="H6" s="34">
        <f>CHOOSE('DCF Model'!$D$27,H32,H33,H34,H35,H36)</f>
        <v>24</v>
      </c>
    </row>
    <row r="7" spans="2:8" ht="14" x14ac:dyDescent="0.3">
      <c r="B7" s="33" t="s">
        <v>182</v>
      </c>
      <c r="C7" s="34">
        <f>C15/C10*365</f>
        <v>16.490208563462918</v>
      </c>
      <c r="D7" s="34">
        <f>CHOOSE('DCF Model'!$D$27,D39,D40,D41,D42,D43)</f>
        <v>17</v>
      </c>
      <c r="E7" s="34">
        <f>CHOOSE('DCF Model'!$D$27,E39,E40,E41,E42,E43)</f>
        <v>17</v>
      </c>
      <c r="F7" s="34">
        <f>CHOOSE('DCF Model'!$D$27,F39,F40,F41,F42,F43)</f>
        <v>17</v>
      </c>
      <c r="G7" s="34">
        <f>CHOOSE('DCF Model'!$D$27,G39,G40,G41,G42,G43)</f>
        <v>17</v>
      </c>
      <c r="H7" s="34">
        <f>CHOOSE('DCF Model'!$D$27,H39,H40,H41,H42,H43)</f>
        <v>17</v>
      </c>
    </row>
    <row r="8" spans="2:8" ht="14" x14ac:dyDescent="0.3">
      <c r="B8" s="8" t="s">
        <v>183</v>
      </c>
      <c r="C8" s="9"/>
      <c r="D8" s="9"/>
      <c r="E8" s="9"/>
      <c r="F8" s="9"/>
      <c r="G8" s="9"/>
      <c r="H8" s="9"/>
    </row>
    <row r="9" spans="2:8" ht="14" x14ac:dyDescent="0.3">
      <c r="B9" s="33" t="s">
        <v>37</v>
      </c>
      <c r="C9" s="35">
        <v>2834749</v>
      </c>
      <c r="D9" s="35">
        <f>'DCF Model'!C33</f>
        <v>2877270.2349999999</v>
      </c>
      <c r="E9" s="35">
        <f>'DCF Model'!D33</f>
        <v>2934815.6396999997</v>
      </c>
      <c r="F9" s="35">
        <f>'DCF Model'!E33</f>
        <v>2993511.9524939996</v>
      </c>
      <c r="G9" s="35">
        <f>'DCF Model'!F33</f>
        <v>3053382.1915438795</v>
      </c>
      <c r="H9" s="35">
        <f>'DCF Model'!G33</f>
        <v>3099182.9244170375</v>
      </c>
    </row>
    <row r="10" spans="2:8" ht="14" x14ac:dyDescent="0.3">
      <c r="B10" s="33" t="s">
        <v>38</v>
      </c>
      <c r="C10" s="35">
        <v>2327493</v>
      </c>
      <c r="D10" s="35">
        <f>'DCF Model'!C34</f>
        <v>2362238.8629349996</v>
      </c>
      <c r="E10" s="35">
        <f>'DCF Model'!D34</f>
        <v>2409483.6401936994</v>
      </c>
      <c r="F10" s="35">
        <f>'DCF Model'!E34</f>
        <v>2457673.3129975735</v>
      </c>
      <c r="G10" s="35">
        <f>'DCF Model'!F34</f>
        <v>2506826.7792575248</v>
      </c>
      <c r="H10" s="35">
        <f>'DCF Model'!G34</f>
        <v>2544429.1809463878</v>
      </c>
    </row>
    <row r="11" spans="2:8" ht="14" x14ac:dyDescent="0.3">
      <c r="B11" s="8" t="s">
        <v>184</v>
      </c>
      <c r="C11" s="9"/>
      <c r="D11" s="9"/>
      <c r="E11" s="9"/>
      <c r="F11" s="9"/>
      <c r="G11" s="9"/>
      <c r="H11" s="9"/>
    </row>
    <row r="12" spans="2:8" ht="14" x14ac:dyDescent="0.3">
      <c r="B12" s="33" t="s">
        <v>185</v>
      </c>
      <c r="C12" s="35">
        <v>424098</v>
      </c>
      <c r="D12" s="35">
        <f t="shared" ref="D12:H13" si="0">D9*D5/365</f>
        <v>449327.13258904102</v>
      </c>
      <c r="E12" s="35">
        <f t="shared" si="0"/>
        <v>458313.67524082185</v>
      </c>
      <c r="F12" s="35">
        <f t="shared" si="0"/>
        <v>467479.94874563831</v>
      </c>
      <c r="G12" s="35">
        <f t="shared" si="0"/>
        <v>476829.54772055103</v>
      </c>
      <c r="H12" s="35">
        <f t="shared" si="0"/>
        <v>483981.99093635933</v>
      </c>
    </row>
    <row r="13" spans="2:8" ht="14" x14ac:dyDescent="0.3">
      <c r="B13" s="33" t="s">
        <v>186</v>
      </c>
      <c r="C13" s="35">
        <v>158226</v>
      </c>
      <c r="D13" s="35">
        <f t="shared" si="0"/>
        <v>155325.29509709586</v>
      </c>
      <c r="E13" s="35">
        <f t="shared" si="0"/>
        <v>158431.80099903778</v>
      </c>
      <c r="F13" s="35">
        <f t="shared" si="0"/>
        <v>161600.43701901851</v>
      </c>
      <c r="G13" s="35">
        <f t="shared" si="0"/>
        <v>164832.44575939889</v>
      </c>
      <c r="H13" s="35">
        <f t="shared" si="0"/>
        <v>167304.93244578989</v>
      </c>
    </row>
    <row r="14" spans="2:8" ht="14" x14ac:dyDescent="0.3">
      <c r="B14" s="33" t="s">
        <v>187</v>
      </c>
      <c r="C14" s="35">
        <f t="shared" ref="C14:H14" si="1">C12+C13</f>
        <v>582324</v>
      </c>
      <c r="D14" s="35">
        <f t="shared" si="1"/>
        <v>604652.42768613691</v>
      </c>
      <c r="E14" s="35">
        <f t="shared" si="1"/>
        <v>616745.47623985959</v>
      </c>
      <c r="F14" s="35">
        <f t="shared" si="1"/>
        <v>629080.38576465682</v>
      </c>
      <c r="G14" s="35">
        <f t="shared" si="1"/>
        <v>641661.99347994989</v>
      </c>
      <c r="H14" s="35">
        <f t="shared" si="1"/>
        <v>651286.92338214919</v>
      </c>
    </row>
    <row r="15" spans="2:8" ht="14" x14ac:dyDescent="0.3">
      <c r="B15" s="33" t="s">
        <v>188</v>
      </c>
      <c r="C15" s="35">
        <v>105153</v>
      </c>
      <c r="D15" s="35">
        <f>D10*D7/365</f>
        <v>110022.08402710957</v>
      </c>
      <c r="E15" s="35">
        <f>E10*E7/365</f>
        <v>112222.52570765176</v>
      </c>
      <c r="F15" s="35">
        <f>F10*F7/365</f>
        <v>114466.97622180478</v>
      </c>
      <c r="G15" s="35">
        <f>G10*G7/365</f>
        <v>116756.31574624087</v>
      </c>
      <c r="H15" s="35">
        <f>H10*H7/365</f>
        <v>118507.6604824345</v>
      </c>
    </row>
    <row r="16" spans="2:8" ht="14" x14ac:dyDescent="0.3">
      <c r="B16" s="33" t="s">
        <v>189</v>
      </c>
      <c r="C16" s="35">
        <f t="shared" ref="C16:H16" si="2">C15</f>
        <v>105153</v>
      </c>
      <c r="D16" s="35">
        <f t="shared" si="2"/>
        <v>110022.08402710957</v>
      </c>
      <c r="E16" s="35">
        <f t="shared" si="2"/>
        <v>112222.52570765176</v>
      </c>
      <c r="F16" s="35">
        <f t="shared" si="2"/>
        <v>114466.97622180478</v>
      </c>
      <c r="G16" s="35">
        <f t="shared" si="2"/>
        <v>116756.31574624087</v>
      </c>
      <c r="H16" s="35">
        <f t="shared" si="2"/>
        <v>118507.6604824345</v>
      </c>
    </row>
    <row r="17" spans="2:8" ht="14" x14ac:dyDescent="0.3">
      <c r="B17" s="22" t="s">
        <v>190</v>
      </c>
      <c r="C17" s="23"/>
      <c r="D17" s="23"/>
      <c r="E17" s="23"/>
      <c r="F17" s="23"/>
      <c r="G17" s="23"/>
      <c r="H17" s="23"/>
    </row>
    <row r="18" spans="2:8" ht="14" x14ac:dyDescent="0.3">
      <c r="B18" s="33" t="s">
        <v>191</v>
      </c>
      <c r="C18" s="20">
        <f t="shared" ref="C18:H18" si="3">C14-C16</f>
        <v>477171</v>
      </c>
      <c r="D18" s="20">
        <f t="shared" si="3"/>
        <v>494630.34365902736</v>
      </c>
      <c r="E18" s="20">
        <f t="shared" si="3"/>
        <v>504522.95053220785</v>
      </c>
      <c r="F18" s="20">
        <f t="shared" si="3"/>
        <v>514613.40954285202</v>
      </c>
      <c r="G18" s="20">
        <f t="shared" si="3"/>
        <v>524905.67773370899</v>
      </c>
      <c r="H18" s="20">
        <f t="shared" si="3"/>
        <v>532779.26289971475</v>
      </c>
    </row>
    <row r="19" spans="2:8" ht="14" x14ac:dyDescent="0.3">
      <c r="B19" s="33" t="s">
        <v>100</v>
      </c>
      <c r="C19" s="36" t="s">
        <v>47</v>
      </c>
      <c r="D19" s="24">
        <f>D18-C18</f>
        <v>17459.343659027363</v>
      </c>
      <c r="E19" s="24">
        <f>E18-D18</f>
        <v>9892.6068731804844</v>
      </c>
      <c r="F19" s="24">
        <f>F18-E18</f>
        <v>10090.459010644176</v>
      </c>
      <c r="G19" s="24">
        <f>G18-F18</f>
        <v>10292.268190856965</v>
      </c>
      <c r="H19" s="24">
        <f>H18-G18</f>
        <v>7873.585166005767</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57</v>
      </c>
      <c r="E25" s="30">
        <v>57</v>
      </c>
      <c r="F25" s="30">
        <v>57</v>
      </c>
      <c r="G25" s="30">
        <v>57</v>
      </c>
      <c r="H25" s="30">
        <v>57</v>
      </c>
    </row>
    <row r="26" spans="2:8" ht="14" x14ac:dyDescent="0.3">
      <c r="B26" s="4" t="s">
        <v>121</v>
      </c>
      <c r="D26" s="30">
        <v>54</v>
      </c>
      <c r="E26" s="30">
        <v>54</v>
      </c>
      <c r="F26" s="30">
        <v>54</v>
      </c>
      <c r="G26" s="30">
        <v>54</v>
      </c>
      <c r="H26" s="30">
        <v>54</v>
      </c>
    </row>
    <row r="27" spans="2:8" ht="14" x14ac:dyDescent="0.3">
      <c r="B27" s="4" t="s">
        <v>122</v>
      </c>
      <c r="D27" s="30">
        <v>57</v>
      </c>
      <c r="E27" s="30">
        <v>57</v>
      </c>
      <c r="F27" s="30">
        <v>57</v>
      </c>
      <c r="G27" s="30">
        <v>57</v>
      </c>
      <c r="H27" s="30">
        <v>57</v>
      </c>
    </row>
    <row r="28" spans="2:8" ht="14" x14ac:dyDescent="0.3">
      <c r="B28" s="4" t="s">
        <v>123</v>
      </c>
      <c r="D28" s="30">
        <v>61</v>
      </c>
      <c r="E28" s="30">
        <v>61</v>
      </c>
      <c r="F28" s="30">
        <v>61</v>
      </c>
      <c r="G28" s="30">
        <v>61</v>
      </c>
      <c r="H28" s="30">
        <v>61</v>
      </c>
    </row>
    <row r="29" spans="2:8" ht="14" x14ac:dyDescent="0.3">
      <c r="B29" s="4" t="s">
        <v>124</v>
      </c>
      <c r="D29" s="30">
        <v>65</v>
      </c>
      <c r="E29" s="30">
        <v>65</v>
      </c>
      <c r="F29" s="30">
        <v>65</v>
      </c>
      <c r="G29" s="30">
        <v>65</v>
      </c>
      <c r="H29" s="30">
        <v>65</v>
      </c>
    </row>
    <row r="31" spans="2:8" ht="14" x14ac:dyDescent="0.3">
      <c r="B31" s="3" t="s">
        <v>194</v>
      </c>
    </row>
    <row r="32" spans="2:8" ht="14" x14ac:dyDescent="0.3">
      <c r="B32" s="4" t="s">
        <v>84</v>
      </c>
      <c r="D32" s="30">
        <v>24</v>
      </c>
      <c r="E32" s="30">
        <v>24</v>
      </c>
      <c r="F32" s="30">
        <v>24</v>
      </c>
      <c r="G32" s="30">
        <v>24</v>
      </c>
      <c r="H32" s="30">
        <v>24</v>
      </c>
    </row>
    <row r="33" spans="2:8" ht="14" x14ac:dyDescent="0.3">
      <c r="B33" s="4" t="s">
        <v>121</v>
      </c>
      <c r="D33" s="30">
        <v>18</v>
      </c>
      <c r="E33" s="30">
        <v>18</v>
      </c>
      <c r="F33" s="30">
        <v>18</v>
      </c>
      <c r="G33" s="30">
        <v>18</v>
      </c>
      <c r="H33" s="30">
        <v>18</v>
      </c>
    </row>
    <row r="34" spans="2:8" ht="14" x14ac:dyDescent="0.3">
      <c r="B34" s="4" t="s">
        <v>122</v>
      </c>
      <c r="D34" s="30">
        <v>24</v>
      </c>
      <c r="E34" s="30">
        <v>24</v>
      </c>
      <c r="F34" s="30">
        <v>24</v>
      </c>
      <c r="G34" s="30">
        <v>24</v>
      </c>
      <c r="H34" s="30">
        <v>24</v>
      </c>
    </row>
    <row r="35" spans="2:8" ht="14" x14ac:dyDescent="0.3">
      <c r="B35" s="4" t="s">
        <v>123</v>
      </c>
      <c r="D35" s="30">
        <v>31</v>
      </c>
      <c r="E35" s="30">
        <v>31</v>
      </c>
      <c r="F35" s="30">
        <v>31</v>
      </c>
      <c r="G35" s="30">
        <v>31</v>
      </c>
      <c r="H35" s="30">
        <v>31</v>
      </c>
    </row>
    <row r="36" spans="2:8" ht="14" x14ac:dyDescent="0.3">
      <c r="B36" s="4" t="s">
        <v>124</v>
      </c>
      <c r="D36" s="30">
        <v>38</v>
      </c>
      <c r="E36" s="30">
        <v>38</v>
      </c>
      <c r="F36" s="30">
        <v>38</v>
      </c>
      <c r="G36" s="30">
        <v>38</v>
      </c>
      <c r="H36" s="30">
        <v>38</v>
      </c>
    </row>
    <row r="38" spans="2:8" ht="14" x14ac:dyDescent="0.3">
      <c r="B38" s="3" t="s">
        <v>195</v>
      </c>
    </row>
    <row r="39" spans="2:8" ht="14" x14ac:dyDescent="0.3">
      <c r="B39" s="4" t="s">
        <v>84</v>
      </c>
      <c r="D39" s="30">
        <v>17</v>
      </c>
      <c r="E39" s="30">
        <v>17</v>
      </c>
      <c r="F39" s="30">
        <v>17</v>
      </c>
      <c r="G39" s="30">
        <v>17</v>
      </c>
      <c r="H39" s="30">
        <v>17</v>
      </c>
    </row>
    <row r="40" spans="2:8" ht="14" x14ac:dyDescent="0.3">
      <c r="B40" s="4" t="s">
        <v>121</v>
      </c>
      <c r="D40" s="30">
        <v>19</v>
      </c>
      <c r="E40" s="30">
        <v>19</v>
      </c>
      <c r="F40" s="30">
        <v>19</v>
      </c>
      <c r="G40" s="30">
        <v>19</v>
      </c>
      <c r="H40" s="30">
        <v>19</v>
      </c>
    </row>
    <row r="41" spans="2:8" ht="14" x14ac:dyDescent="0.3">
      <c r="B41" s="4" t="s">
        <v>122</v>
      </c>
      <c r="D41" s="30">
        <v>17</v>
      </c>
      <c r="E41" s="30">
        <v>17</v>
      </c>
      <c r="F41" s="30">
        <v>17</v>
      </c>
      <c r="G41" s="30">
        <v>17</v>
      </c>
      <c r="H41" s="30">
        <v>17</v>
      </c>
    </row>
    <row r="42" spans="2:8" ht="14" x14ac:dyDescent="0.3">
      <c r="B42" s="4" t="s">
        <v>123</v>
      </c>
      <c r="D42" s="30">
        <v>14</v>
      </c>
      <c r="E42" s="30">
        <v>14</v>
      </c>
      <c r="F42" s="30">
        <v>14</v>
      </c>
      <c r="G42" s="30">
        <v>14</v>
      </c>
      <c r="H42" s="30">
        <v>14</v>
      </c>
    </row>
    <row r="43" spans="2:8" ht="14" x14ac:dyDescent="0.3">
      <c r="B43" s="4" t="s">
        <v>124</v>
      </c>
      <c r="D43" s="30">
        <v>11</v>
      </c>
      <c r="E43" s="30">
        <v>11</v>
      </c>
      <c r="F43" s="30">
        <v>11</v>
      </c>
      <c r="G43" s="30">
        <v>11</v>
      </c>
      <c r="H43" s="30">
        <v>11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2013078.3213440001</v>
      </c>
      <c r="E5" s="37">
        <f>D5+C24</f>
        <v>3035645.3213440003</v>
      </c>
      <c r="F5" s="37">
        <v>2834749</v>
      </c>
      <c r="G5" s="37">
        <v>461976</v>
      </c>
      <c r="H5" s="37">
        <v>197677</v>
      </c>
      <c r="I5" s="37">
        <v>226857</v>
      </c>
      <c r="J5" s="38">
        <f t="shared" ref="J5:J10" si="0">IFERROR(E5/G5,"")</f>
        <v>6.5710022194746056</v>
      </c>
      <c r="K5" s="38">
        <f t="shared" ref="K5:K10" si="1">IFERROR(E5/F5,"")</f>
        <v>1.0708691744292</v>
      </c>
      <c r="L5" s="38">
        <f t="shared" ref="L5:L10" si="2">IFERROR(D5/I5,"")</f>
        <v>8.87377652593484</v>
      </c>
      <c r="M5" s="38">
        <f t="shared" ref="M5:M10" si="3">IFERROR(D5/P5,"")</f>
        <v>1.1721171124443368</v>
      </c>
      <c r="N5" s="39">
        <f t="shared" ref="N5:N10" si="4">IFERROR(H5/F5,"")</f>
        <v>6.9733510797605008E-2</v>
      </c>
      <c r="O5" s="39">
        <f t="shared" ref="O5:O10" si="5">IFERROR(I5/P5,"")</f>
        <v>0.13208774291516834</v>
      </c>
      <c r="P5" s="37">
        <v>1717472</v>
      </c>
    </row>
    <row r="6" spans="2:17" ht="14" x14ac:dyDescent="0.3">
      <c r="B6" s="4" t="s">
        <v>214</v>
      </c>
      <c r="C6" t="s">
        <v>215</v>
      </c>
      <c r="D6" s="37">
        <v>2170383</v>
      </c>
      <c r="E6" s="37">
        <v>2905621</v>
      </c>
      <c r="F6" s="37">
        <v>2030302</v>
      </c>
      <c r="G6" s="37">
        <v>309948</v>
      </c>
      <c r="H6" s="37">
        <v>174810</v>
      </c>
      <c r="I6" s="37">
        <v>152751</v>
      </c>
      <c r="J6" s="38">
        <f t="shared" si="0"/>
        <v>9.3745434718081739</v>
      </c>
      <c r="K6" s="38">
        <f t="shared" si="1"/>
        <v>1.4311274874378295</v>
      </c>
      <c r="L6" s="38">
        <f t="shared" si="2"/>
        <v>14.208633658699451</v>
      </c>
      <c r="M6" s="38">
        <f t="shared" si="3"/>
        <v>1.2017345111575479</v>
      </c>
      <c r="N6" s="39">
        <f t="shared" si="4"/>
        <v>8.6100491453980743E-2</v>
      </c>
      <c r="O6" s="39">
        <f t="shared" si="5"/>
        <v>8.4577767294448297E-2</v>
      </c>
      <c r="P6" s="37">
        <v>1806042</v>
      </c>
    </row>
    <row r="7" spans="2:17" ht="14" x14ac:dyDescent="0.3">
      <c r="B7" s="4" t="s">
        <v>216</v>
      </c>
      <c r="C7" t="s">
        <v>217</v>
      </c>
      <c r="D7" s="37">
        <v>443637</v>
      </c>
      <c r="E7" s="37">
        <v>554069</v>
      </c>
      <c r="F7" s="37">
        <v>651085</v>
      </c>
      <c r="G7" s="37">
        <v>70155</v>
      </c>
      <c r="H7" s="37">
        <v>31784</v>
      </c>
      <c r="I7" s="37">
        <v>31449</v>
      </c>
      <c r="J7" s="38">
        <f t="shared" si="0"/>
        <v>7.8977834794383863</v>
      </c>
      <c r="K7" s="38">
        <f t="shared" si="1"/>
        <v>0.85099334188316422</v>
      </c>
      <c r="L7" s="38">
        <f t="shared" si="2"/>
        <v>14.10655346751884</v>
      </c>
      <c r="M7" s="38">
        <f t="shared" si="3"/>
        <v>0.92904770081965493</v>
      </c>
      <c r="N7" s="39">
        <f t="shared" si="4"/>
        <v>4.8816974742161165E-2</v>
      </c>
      <c r="O7" s="39">
        <f t="shared" si="5"/>
        <v>6.5859297450567303E-2</v>
      </c>
      <c r="P7" s="37">
        <v>477518</v>
      </c>
    </row>
    <row r="8" spans="2:17" ht="14" x14ac:dyDescent="0.3">
      <c r="B8" s="4" t="s">
        <v>218</v>
      </c>
      <c r="C8" t="s">
        <v>219</v>
      </c>
      <c r="D8" s="37">
        <v>90087</v>
      </c>
      <c r="E8" s="37">
        <v>314295</v>
      </c>
      <c r="F8" s="37">
        <v>261823</v>
      </c>
      <c r="G8" s="37">
        <v>28151</v>
      </c>
      <c r="H8" s="37">
        <v>12464</v>
      </c>
      <c r="I8" s="37">
        <v>7147</v>
      </c>
      <c r="J8" s="38">
        <f t="shared" si="0"/>
        <v>11.164612269546375</v>
      </c>
      <c r="K8" s="38">
        <f t="shared" si="1"/>
        <v>1.2004102007844994</v>
      </c>
      <c r="L8" s="38">
        <f t="shared" si="2"/>
        <v>12.60486917587799</v>
      </c>
      <c r="M8" s="38">
        <f t="shared" si="3"/>
        <v>0.78172020617483207</v>
      </c>
      <c r="N8" s="39">
        <f t="shared" si="4"/>
        <v>4.7604679497217584E-2</v>
      </c>
      <c r="O8" s="39">
        <f t="shared" si="5"/>
        <v>6.2017320074278473E-2</v>
      </c>
      <c r="P8" s="37">
        <v>115242</v>
      </c>
    </row>
    <row r="9" spans="2:17" ht="14" x14ac:dyDescent="0.3">
      <c r="B9" s="4" t="s">
        <v>220</v>
      </c>
      <c r="C9" t="s">
        <v>221</v>
      </c>
      <c r="D9" s="37">
        <v>2210282</v>
      </c>
      <c r="E9" s="37">
        <v>4808549</v>
      </c>
      <c r="F9" s="37">
        <v>3546041</v>
      </c>
      <c r="G9" s="37">
        <v>402347</v>
      </c>
      <c r="H9" s="37">
        <v>230043</v>
      </c>
      <c r="I9" s="37">
        <v>227795</v>
      </c>
      <c r="J9" s="38">
        <f t="shared" si="0"/>
        <v>11.951248549137933</v>
      </c>
      <c r="K9" s="38">
        <f t="shared" si="1"/>
        <v>1.356033108472237</v>
      </c>
      <c r="L9" s="38">
        <f t="shared" si="2"/>
        <v>9.7029434359841087</v>
      </c>
      <c r="M9" s="38">
        <f t="shared" si="3"/>
        <v>0.70430264452613167</v>
      </c>
      <c r="N9" s="39">
        <f t="shared" si="4"/>
        <v>6.4873192385536432E-2</v>
      </c>
      <c r="O9" s="39">
        <f t="shared" si="5"/>
        <v>7.2586493899796573E-2</v>
      </c>
      <c r="P9" s="37">
        <v>3138256</v>
      </c>
    </row>
    <row r="10" spans="2:17" ht="14" x14ac:dyDescent="0.3">
      <c r="B10" s="4" t="s">
        <v>222</v>
      </c>
      <c r="C10" t="s">
        <v>223</v>
      </c>
      <c r="D10" s="37">
        <v>3283125</v>
      </c>
      <c r="E10" s="37">
        <v>6220549</v>
      </c>
      <c r="F10" s="37">
        <v>4056637</v>
      </c>
      <c r="G10" s="37">
        <v>812350</v>
      </c>
      <c r="H10" s="37">
        <v>437557</v>
      </c>
      <c r="I10" s="37">
        <v>380051</v>
      </c>
      <c r="J10" s="38">
        <f t="shared" si="0"/>
        <v>7.6574739951991138</v>
      </c>
      <c r="K10" s="38">
        <f t="shared" si="1"/>
        <v>1.5334251006437105</v>
      </c>
      <c r="L10" s="38">
        <f t="shared" si="2"/>
        <v>8.6386432347237605</v>
      </c>
      <c r="M10" s="38">
        <f t="shared" si="3"/>
        <v>0.95020650214027091</v>
      </c>
      <c r="N10" s="39">
        <f t="shared" si="4"/>
        <v>0.10786200490702028</v>
      </c>
      <c r="O10" s="39">
        <f t="shared" si="5"/>
        <v>0.1099948772419302</v>
      </c>
      <c r="P10" s="37">
        <v>3455170</v>
      </c>
    </row>
    <row r="14" spans="2:17" ht="14" x14ac:dyDescent="0.3">
      <c r="B14" s="3" t="s">
        <v>224</v>
      </c>
    </row>
    <row r="15" spans="2:17" ht="14" x14ac:dyDescent="0.3">
      <c r="B15" s="4" t="s">
        <v>225</v>
      </c>
      <c r="D15" s="38">
        <f t="shared" ref="D15:I15" si="6">PERCENTILE(J6:J10,0.25)</f>
        <v>7.8977834794383863</v>
      </c>
      <c r="E15" s="38">
        <f t="shared" si="6"/>
        <v>1.2004102007844994</v>
      </c>
      <c r="F15" s="38">
        <f t="shared" si="6"/>
        <v>9.7029434359841087</v>
      </c>
      <c r="G15" s="38">
        <f t="shared" si="6"/>
        <v>0.78172020617483207</v>
      </c>
      <c r="H15" s="39">
        <f t="shared" si="6"/>
        <v>4.8816974742161165E-2</v>
      </c>
      <c r="I15" s="39">
        <f t="shared" si="6"/>
        <v>6.5859297450567303E-2</v>
      </c>
    </row>
    <row r="16" spans="2:17" ht="14" x14ac:dyDescent="0.3">
      <c r="B16" s="4" t="s">
        <v>226</v>
      </c>
      <c r="D16" s="38">
        <f t="shared" ref="D16:I16" si="7">MEDIAN(J6:J10)</f>
        <v>9.3745434718081739</v>
      </c>
      <c r="E16" s="38">
        <f t="shared" si="7"/>
        <v>1.356033108472237</v>
      </c>
      <c r="F16" s="38">
        <f t="shared" si="7"/>
        <v>12.60486917587799</v>
      </c>
      <c r="G16" s="38">
        <f t="shared" si="7"/>
        <v>0.92904770081965493</v>
      </c>
      <c r="H16" s="39">
        <f t="shared" si="7"/>
        <v>6.4873192385536432E-2</v>
      </c>
      <c r="I16" s="39">
        <f t="shared" si="7"/>
        <v>7.2586493899796573E-2</v>
      </c>
    </row>
    <row r="17" spans="2:9" ht="14" x14ac:dyDescent="0.3">
      <c r="B17" s="4" t="s">
        <v>227</v>
      </c>
      <c r="D17" s="38">
        <f t="shared" ref="D17:I17" si="8">PERCENTILE(J6:J10,0.75)</f>
        <v>11.164612269546375</v>
      </c>
      <c r="E17" s="38">
        <f t="shared" si="8"/>
        <v>1.4311274874378295</v>
      </c>
      <c r="F17" s="38">
        <f t="shared" si="8"/>
        <v>14.10655346751884</v>
      </c>
      <c r="G17" s="38">
        <f t="shared" si="8"/>
        <v>0.95020650214027091</v>
      </c>
      <c r="H17" s="39">
        <f t="shared" si="8"/>
        <v>8.6100491453980743E-2</v>
      </c>
      <c r="I17" s="39">
        <f t="shared" si="8"/>
        <v>8.4577767294448297E-2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461976</v>
      </c>
    </row>
    <row r="22" spans="2:9" ht="14" x14ac:dyDescent="0.3">
      <c r="B22" s="4" t="s">
        <v>231</v>
      </c>
      <c r="C22" s="5">
        <v>226857</v>
      </c>
    </row>
    <row r="23" spans="2:9" ht="14" x14ac:dyDescent="0.3">
      <c r="B23" s="4" t="s">
        <v>232</v>
      </c>
      <c r="C23" s="15">
        <v>328504948</v>
      </c>
    </row>
    <row r="24" spans="2:9" ht="14" x14ac:dyDescent="0.3">
      <c r="B24" s="4" t="s">
        <v>73</v>
      </c>
      <c r="C24" s="5">
        <v>1022567</v>
      </c>
    </row>
    <row r="26" spans="2:9" ht="14" x14ac:dyDescent="0.3">
      <c r="B26" s="3" t="s">
        <v>233</v>
      </c>
    </row>
    <row r="27" spans="2:9" ht="14" x14ac:dyDescent="0.3">
      <c r="B27" s="4" t="s">
        <v>234</v>
      </c>
      <c r="C27" s="24">
        <f>ROUND((C21*D16-C24)*1000000/C23,0)</f>
        <v>10071</v>
      </c>
    </row>
    <row r="28" spans="2:9" ht="14" x14ac:dyDescent="0.3">
      <c r="B28" s="4" t="s">
        <v>235</v>
      </c>
      <c r="C28" s="24">
        <f>ROUND(C22*F16*1000000/C23,0)</f>
        <v>8705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5.7720557029177721E-2</v>
      </c>
      <c r="E3" s="4" t="s">
        <v>238</v>
      </c>
      <c r="F3" s="16">
        <f>'DCF Model'!C13</f>
        <v>0.01</v>
      </c>
      <c r="H3" s="4" t="s">
        <v>239</v>
      </c>
      <c r="I3" s="14">
        <f>'DCF Model'!C14</f>
        <v>9.4</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4.2720557029177722E-2</v>
      </c>
      <c r="C7" s="37">
        <f>IFERROR(ROUND(('DCF Model'!C45/(1+$B7)^('DCF Model'!C19+0)+'DCF Model'!D45/(1+$B7)^('DCF Model'!C19+1)+'DCF Model'!E45/(1+$B7)^('DCF Model'!C19+2)+'DCF Model'!F45/(1+$B7)^('DCF Model'!C19+3)+'DCF Model'!G45/(1+$B7)^('DCF Model'!C19+4)+'DCF Model'!G45*(1+C$6)/($B7-C$6)/(1+$B7)^('DCF Model'!C19+4)-'DCF Model'!C16)*1000000/'DCF Model'!C15,0),"")</f>
        <v>8095</v>
      </c>
      <c r="D7" s="37">
        <f>IFERROR(ROUND(('DCF Model'!C45/(1+$B7)^('DCF Model'!C19+0)+'DCF Model'!D45/(1+$B7)^('DCF Model'!C19+1)+'DCF Model'!E45/(1+$B7)^('DCF Model'!C19+2)+'DCF Model'!F45/(1+$B7)^('DCF Model'!C19+3)+'DCF Model'!G45/(1+$B7)^('DCF Model'!C19+4)+'DCF Model'!G45*(1+D$6)/($B7-D$6)/(1+$B7)^('DCF Model'!C19+4)-'DCF Model'!C16)*1000000/'DCF Model'!C15,0),"")</f>
        <v>8746</v>
      </c>
      <c r="E7" s="37">
        <f>IFERROR(ROUND(('DCF Model'!C45/(1+$B7)^('DCF Model'!C19+0)+'DCF Model'!D45/(1+$B7)^('DCF Model'!C19+1)+'DCF Model'!E45/(1+$B7)^('DCF Model'!C19+2)+'DCF Model'!F45/(1+$B7)^('DCF Model'!C19+3)+'DCF Model'!G45/(1+$B7)^('DCF Model'!C19+4)+'DCF Model'!G45*(1+E$6)/($B7-E$6)/(1+$B7)^('DCF Model'!C19+4)-'DCF Model'!C16)*1000000/'DCF Model'!C15,0),"")</f>
        <v>9489</v>
      </c>
      <c r="F7" s="37">
        <f>IFERROR(ROUND(('DCF Model'!C45/(1+$B7)^('DCF Model'!C19+0)+'DCF Model'!D45/(1+$B7)^('DCF Model'!C19+1)+'DCF Model'!E45/(1+$B7)^('DCF Model'!C19+2)+'DCF Model'!F45/(1+$B7)^('DCF Model'!C19+3)+'DCF Model'!G45/(1+$B7)^('DCF Model'!C19+4)+'DCF Model'!G45*(1+F$6)/($B7-F$6)/(1+$B7)^('DCF Model'!C19+4)-'DCF Model'!C16)*1000000/'DCF Model'!C15,0),"")</f>
        <v>10346</v>
      </c>
      <c r="G7" s="37">
        <f>IFERROR(ROUND(('DCF Model'!C45/(1+$B7)^('DCF Model'!C19+0)+'DCF Model'!D45/(1+$B7)^('DCF Model'!C19+1)+'DCF Model'!E45/(1+$B7)^('DCF Model'!C19+2)+'DCF Model'!F45/(1+$B7)^('DCF Model'!C19+3)+'DCF Model'!G45/(1+$B7)^('DCF Model'!C19+4)+'DCF Model'!G45*(1+G$6)/($B7-G$6)/(1+$B7)^('DCF Model'!C19+4)-'DCF Model'!C16)*1000000/'DCF Model'!C15,0),"")</f>
        <v>11345</v>
      </c>
      <c r="H7" s="37">
        <f>IFERROR(ROUND(('DCF Model'!C45/(1+$B7)^('DCF Model'!C19+0)+'DCF Model'!D45/(1+$B7)^('DCF Model'!C19+1)+'DCF Model'!E45/(1+$B7)^('DCF Model'!C19+2)+'DCF Model'!F45/(1+$B7)^('DCF Model'!C19+3)+'DCF Model'!G45/(1+$B7)^('DCF Model'!C19+4)+'DCF Model'!G45*(1+H$6)/($B7-H$6)/(1+$B7)^('DCF Model'!C19+4)-'DCF Model'!C16)*1000000/'DCF Model'!C15,0),"")</f>
        <v>12524</v>
      </c>
      <c r="I7" s="37">
        <f>IFERROR(ROUND(('DCF Model'!C45/(1+$B7)^('DCF Model'!C19+0)+'DCF Model'!D45/(1+$B7)^('DCF Model'!C19+1)+'DCF Model'!E45/(1+$B7)^('DCF Model'!C19+2)+'DCF Model'!F45/(1+$B7)^('DCF Model'!C19+3)+'DCF Model'!G45/(1+$B7)^('DCF Model'!C19+4)+'DCF Model'!G45*(1+I$6)/($B7-I$6)/(1+$B7)^('DCF Model'!C19+4)-'DCF Model'!C16)*1000000/'DCF Model'!C15,0),"")</f>
        <v>13936</v>
      </c>
    </row>
    <row r="8" spans="2:9" ht="13.5" x14ac:dyDescent="0.25">
      <c r="B8" s="39">
        <f>$C$3-0.01</f>
        <v>4.772055702917772E-2</v>
      </c>
      <c r="C8" s="37">
        <f>IFERROR(ROUND(('DCF Model'!C45/(1+$B8)^('DCF Model'!C19+0)+'DCF Model'!D45/(1+$B8)^('DCF Model'!C19+1)+'DCF Model'!E45/(1+$B8)^('DCF Model'!C19+2)+'DCF Model'!F45/(1+$B8)^('DCF Model'!C19+3)+'DCF Model'!G45/(1+$B8)^('DCF Model'!C19+4)+'DCF Model'!G45*(1+C$6)/($B8-C$6)/(1+$B8)^('DCF Model'!C19+4)-'DCF Model'!C16)*1000000/'DCF Model'!C15,0),"")</f>
        <v>6827</v>
      </c>
      <c r="D8" s="37">
        <f>IFERROR(ROUND(('DCF Model'!C45/(1+$B8)^('DCF Model'!C19+0)+'DCF Model'!D45/(1+$B8)^('DCF Model'!C19+1)+'DCF Model'!E45/(1+$B8)^('DCF Model'!C19+2)+'DCF Model'!F45/(1+$B8)^('DCF Model'!C19+3)+'DCF Model'!G45/(1+$B8)^('DCF Model'!C19+4)+'DCF Model'!G45*(1+D$6)/($B8-D$6)/(1+$B8)^('DCF Model'!C19+4)-'DCF Model'!C16)*1000000/'DCF Model'!C15,0),"")</f>
        <v>7328</v>
      </c>
      <c r="E8" s="37">
        <f>IFERROR(ROUND(('DCF Model'!C45/(1+$B8)^('DCF Model'!C19+0)+'DCF Model'!D45/(1+$B8)^('DCF Model'!C19+1)+'DCF Model'!E45/(1+$B8)^('DCF Model'!C19+2)+'DCF Model'!F45/(1+$B8)^('DCF Model'!C19+3)+'DCF Model'!G45/(1+$B8)^('DCF Model'!C19+4)+'DCF Model'!G45*(1+E$6)/($B8-E$6)/(1+$B8)^('DCF Model'!C19+4)-'DCF Model'!C16)*1000000/'DCF Model'!C15,0),"")</f>
        <v>7892</v>
      </c>
      <c r="F8" s="37">
        <f>IFERROR(ROUND(('DCF Model'!C45/(1+$B8)^('DCF Model'!C19+0)+'DCF Model'!D45/(1+$B8)^('DCF Model'!C19+1)+'DCF Model'!E45/(1+$B8)^('DCF Model'!C19+2)+'DCF Model'!F45/(1+$B8)^('DCF Model'!C19+3)+'DCF Model'!G45/(1+$B8)^('DCF Model'!C19+4)+'DCF Model'!G45*(1+F$6)/($B8-F$6)/(1+$B8)^('DCF Model'!C19+4)-'DCF Model'!C16)*1000000/'DCF Model'!C15,0),"")</f>
        <v>8531</v>
      </c>
      <c r="G8" s="37">
        <f>IFERROR(ROUND(('DCF Model'!C45/(1+$B8)^('DCF Model'!C19+0)+'DCF Model'!D45/(1+$B8)^('DCF Model'!C19+1)+'DCF Model'!E45/(1+$B8)^('DCF Model'!C19+2)+'DCF Model'!F45/(1+$B8)^('DCF Model'!C19+3)+'DCF Model'!G45/(1+$B8)^('DCF Model'!C19+4)+'DCF Model'!G45*(1+G$6)/($B8-G$6)/(1+$B8)^('DCF Model'!C19+4)-'DCF Model'!C16)*1000000/'DCF Model'!C15,0),"")</f>
        <v>9260</v>
      </c>
      <c r="H8" s="37">
        <f>IFERROR(ROUND(('DCF Model'!C45/(1+$B8)^('DCF Model'!C19+0)+'DCF Model'!D45/(1+$B8)^('DCF Model'!C19+1)+'DCF Model'!E45/(1+$B8)^('DCF Model'!C19+2)+'DCF Model'!F45/(1+$B8)^('DCF Model'!C19+3)+'DCF Model'!G45/(1+$B8)^('DCF Model'!C19+4)+'DCF Model'!G45*(1+H$6)/($B8-H$6)/(1+$B8)^('DCF Model'!C19+4)-'DCF Model'!C16)*1000000/'DCF Model'!C15,0),"")</f>
        <v>10101</v>
      </c>
      <c r="I8" s="37">
        <f>IFERROR(ROUND(('DCF Model'!C45/(1+$B8)^('DCF Model'!C19+0)+'DCF Model'!D45/(1+$B8)^('DCF Model'!C19+1)+'DCF Model'!E45/(1+$B8)^('DCF Model'!C19+2)+'DCF Model'!F45/(1+$B8)^('DCF Model'!C19+3)+'DCF Model'!G45/(1+$B8)^('DCF Model'!C19+4)+'DCF Model'!G45*(1+I$6)/($B8-I$6)/(1+$B8)^('DCF Model'!C19+4)-'DCF Model'!C16)*1000000/'DCF Model'!C15,0),"")</f>
        <v>11080</v>
      </c>
    </row>
    <row r="9" spans="2:9" ht="13.5" x14ac:dyDescent="0.25">
      <c r="B9" s="39">
        <f>$C$3-0.005</f>
        <v>5.2720557029177724E-2</v>
      </c>
      <c r="C9" s="37">
        <f>IFERROR(ROUND(('DCF Model'!C45/(1+$B9)^('DCF Model'!C19+0)+'DCF Model'!D45/(1+$B9)^('DCF Model'!C19+1)+'DCF Model'!E45/(1+$B9)^('DCF Model'!C19+2)+'DCF Model'!F45/(1+$B9)^('DCF Model'!C19+3)+'DCF Model'!G45/(1+$B9)^('DCF Model'!C19+4)+'DCF Model'!G45*(1+C$6)/($B9-C$6)/(1+$B9)^('DCF Model'!C19+4)-'DCF Model'!C16)*1000000/'DCF Model'!C15,0),"")</f>
        <v>5812</v>
      </c>
      <c r="D9" s="37">
        <f>IFERROR(ROUND(('DCF Model'!C45/(1+$B9)^('DCF Model'!C19+0)+'DCF Model'!D45/(1+$B9)^('DCF Model'!C19+1)+'DCF Model'!E45/(1+$B9)^('DCF Model'!C19+2)+'DCF Model'!F45/(1+$B9)^('DCF Model'!C19+3)+'DCF Model'!G45/(1+$B9)^('DCF Model'!C19+4)+'DCF Model'!G45*(1+D$6)/($B9-D$6)/(1+$B9)^('DCF Model'!C19+4)-'DCF Model'!C16)*1000000/'DCF Model'!C15,0),"")</f>
        <v>6208</v>
      </c>
      <c r="E9" s="37">
        <f>IFERROR(ROUND(('DCF Model'!C45/(1+$B9)^('DCF Model'!C19+0)+'DCF Model'!D45/(1+$B9)^('DCF Model'!C19+1)+'DCF Model'!E45/(1+$B9)^('DCF Model'!C19+2)+'DCF Model'!F45/(1+$B9)^('DCF Model'!C19+3)+'DCF Model'!G45/(1+$B9)^('DCF Model'!C19+4)+'DCF Model'!G45*(1+E$6)/($B9-E$6)/(1+$B9)^('DCF Model'!C19+4)-'DCF Model'!C16)*1000000/'DCF Model'!C15,0),"")</f>
        <v>6649</v>
      </c>
      <c r="F9" s="37">
        <f>IFERROR(ROUND(('DCF Model'!C45/(1+$B9)^('DCF Model'!C19+0)+'DCF Model'!D45/(1+$B9)^('DCF Model'!C19+1)+'DCF Model'!E45/(1+$B9)^('DCF Model'!C19+2)+'DCF Model'!F45/(1+$B9)^('DCF Model'!C19+3)+'DCF Model'!G45/(1+$B9)^('DCF Model'!C19+4)+'DCF Model'!G45*(1+F$6)/($B9-F$6)/(1+$B9)^('DCF Model'!C19+4)-'DCF Model'!C16)*1000000/'DCF Model'!C15,0),"")</f>
        <v>7141</v>
      </c>
      <c r="G9" s="37">
        <f>IFERROR(ROUND(('DCF Model'!C45/(1+$B9)^('DCF Model'!C19+0)+'DCF Model'!D45/(1+$B9)^('DCF Model'!C19+1)+'DCF Model'!E45/(1+$B9)^('DCF Model'!C19+2)+'DCF Model'!F45/(1+$B9)^('DCF Model'!C19+3)+'DCF Model'!G45/(1+$B9)^('DCF Model'!C19+4)+'DCF Model'!G45*(1+G$6)/($B9-G$6)/(1+$B9)^('DCF Model'!C19+4)-'DCF Model'!C16)*1000000/'DCF Model'!C15,0),"")</f>
        <v>7694</v>
      </c>
      <c r="H9" s="37">
        <f>IFERROR(ROUND(('DCF Model'!C45/(1+$B9)^('DCF Model'!C19+0)+'DCF Model'!D45/(1+$B9)^('DCF Model'!C19+1)+'DCF Model'!E45/(1+$B9)^('DCF Model'!C19+2)+'DCF Model'!F45/(1+$B9)^('DCF Model'!C19+3)+'DCF Model'!G45/(1+$B9)^('DCF Model'!C19+4)+'DCF Model'!G45*(1+H$6)/($B9-H$6)/(1+$B9)^('DCF Model'!C19+4)-'DCF Model'!C16)*1000000/'DCF Model'!C15,0),"")</f>
        <v>8320</v>
      </c>
      <c r="I9" s="37">
        <f>IFERROR(ROUND(('DCF Model'!C45/(1+$B9)^('DCF Model'!C19+0)+'DCF Model'!D45/(1+$B9)^('DCF Model'!C19+1)+'DCF Model'!E45/(1+$B9)^('DCF Model'!C19+2)+'DCF Model'!F45/(1+$B9)^('DCF Model'!C19+3)+'DCF Model'!G45/(1+$B9)^('DCF Model'!C19+4)+'DCF Model'!G45*(1+I$6)/($B9-I$6)/(1+$B9)^('DCF Model'!C19+4)-'DCF Model'!C16)*1000000/'DCF Model'!C15,0),"")</f>
        <v>9036</v>
      </c>
    </row>
    <row r="10" spans="2:9" ht="13.5" x14ac:dyDescent="0.25">
      <c r="B10" s="39">
        <f>$C$3</f>
        <v>5.7720557029177721E-2</v>
      </c>
      <c r="C10" s="37">
        <f>IFERROR(ROUND(('DCF Model'!C45/(1+$B10)^('DCF Model'!C19+0)+'DCF Model'!D45/(1+$B10)^('DCF Model'!C19+1)+'DCF Model'!E45/(1+$B10)^('DCF Model'!C19+2)+'DCF Model'!F45/(1+$B10)^('DCF Model'!C19+3)+'DCF Model'!G45/(1+$B10)^('DCF Model'!C19+4)+'DCF Model'!G45*(1+C$6)/($B10-C$6)/(1+$B10)^('DCF Model'!C19+4)-'DCF Model'!C16)*1000000/'DCF Model'!C15,0),"")</f>
        <v>4981</v>
      </c>
      <c r="D10" s="37">
        <f>IFERROR(ROUND(('DCF Model'!C45/(1+$B10)^('DCF Model'!C19+0)+'DCF Model'!D45/(1+$B10)^('DCF Model'!C19+1)+'DCF Model'!E45/(1+$B10)^('DCF Model'!C19+2)+'DCF Model'!F45/(1+$B10)^('DCF Model'!C19+3)+'DCF Model'!G45/(1+$B10)^('DCF Model'!C19+4)+'DCF Model'!G45*(1+D$6)/($B10-D$6)/(1+$B10)^('DCF Model'!C19+4)-'DCF Model'!C16)*1000000/'DCF Model'!C15,0),"")</f>
        <v>5301</v>
      </c>
      <c r="E10" s="37">
        <f>IFERROR(ROUND(('DCF Model'!C45/(1+$B10)^('DCF Model'!C19+0)+'DCF Model'!D45/(1+$B10)^('DCF Model'!C19+1)+'DCF Model'!E45/(1+$B10)^('DCF Model'!C19+2)+'DCF Model'!F45/(1+$B10)^('DCF Model'!C19+3)+'DCF Model'!G45/(1+$B10)^('DCF Model'!C19+4)+'DCF Model'!G45*(1+E$6)/($B10-E$6)/(1+$B10)^('DCF Model'!C19+4)-'DCF Model'!C16)*1000000/'DCF Model'!C15,0),"")</f>
        <v>5653</v>
      </c>
      <c r="F10" s="37">
        <f>IFERROR(ROUND(('DCF Model'!C45/(1+$B10)^('DCF Model'!C19+0)+'DCF Model'!D45/(1+$B10)^('DCF Model'!C19+1)+'DCF Model'!E45/(1+$B10)^('DCF Model'!C19+2)+'DCF Model'!F45/(1+$B10)^('DCF Model'!C19+3)+'DCF Model'!G45/(1+$B10)^('DCF Model'!C19+4)+'DCF Model'!G45*(1+F$6)/($B10-F$6)/(1+$B10)^('DCF Model'!C19+4)-'DCF Model'!C16)*1000000/'DCF Model'!C15,0),"")</f>
        <v>6042</v>
      </c>
      <c r="G10" s="37">
        <f>IFERROR(ROUND(('DCF Model'!C45/(1+$B10)^('DCF Model'!C19+0)+'DCF Model'!D45/(1+$B10)^('DCF Model'!C19+1)+'DCF Model'!E45/(1+$B10)^('DCF Model'!C19+2)+'DCF Model'!F45/(1+$B10)^('DCF Model'!C19+3)+'DCF Model'!G45/(1+$B10)^('DCF Model'!C19+4)+'DCF Model'!G45*(1+G$6)/($B10-G$6)/(1+$B10)^('DCF Model'!C19+4)-'DCF Model'!C16)*1000000/'DCF Model'!C15,0),"")</f>
        <v>6475</v>
      </c>
      <c r="H10" s="37">
        <f>IFERROR(ROUND(('DCF Model'!C45/(1+$B10)^('DCF Model'!C19+0)+'DCF Model'!D45/(1+$B10)^('DCF Model'!C19+1)+'DCF Model'!E45/(1+$B10)^('DCF Model'!C19+2)+'DCF Model'!F45/(1+$B10)^('DCF Model'!C19+3)+'DCF Model'!G45/(1+$B10)^('DCF Model'!C19+4)+'DCF Model'!G45*(1+H$6)/($B10-H$6)/(1+$B10)^('DCF Model'!C19+4)-'DCF Model'!C16)*1000000/'DCF Model'!C15,0),"")</f>
        <v>6957</v>
      </c>
      <c r="I10" s="37">
        <f>IFERROR(ROUND(('DCF Model'!C45/(1+$B10)^('DCF Model'!C19+0)+'DCF Model'!D45/(1+$B10)^('DCF Model'!C19+1)+'DCF Model'!E45/(1+$B10)^('DCF Model'!C19+2)+'DCF Model'!F45/(1+$B10)^('DCF Model'!C19+3)+'DCF Model'!G45/(1+$B10)^('DCF Model'!C19+4)+'DCF Model'!G45*(1+I$6)/($B10-I$6)/(1+$B10)^('DCF Model'!C19+4)-'DCF Model'!C16)*1000000/'DCF Model'!C15,0),"")</f>
        <v>7500</v>
      </c>
    </row>
    <row r="11" spans="2:9" ht="13.5" x14ac:dyDescent="0.25">
      <c r="B11" s="39">
        <f>$C$3+0.005</f>
        <v>6.2720557029177726E-2</v>
      </c>
      <c r="C11" s="37">
        <f>IFERROR(ROUND(('DCF Model'!C45/(1+$B11)^('DCF Model'!C19+0)+'DCF Model'!D45/(1+$B11)^('DCF Model'!C19+1)+'DCF Model'!E45/(1+$B11)^('DCF Model'!C19+2)+'DCF Model'!F45/(1+$B11)^('DCF Model'!C19+3)+'DCF Model'!G45/(1+$B11)^('DCF Model'!C19+4)+'DCF Model'!G45*(1+C$6)/($B11-C$6)/(1+$B11)^('DCF Model'!C19+4)-'DCF Model'!C16)*1000000/'DCF Model'!C15,0),"")</f>
        <v>4288</v>
      </c>
      <c r="D11" s="37">
        <f>IFERROR(ROUND(('DCF Model'!C45/(1+$B11)^('DCF Model'!C19+0)+'DCF Model'!D45/(1+$B11)^('DCF Model'!C19+1)+'DCF Model'!E45/(1+$B11)^('DCF Model'!C19+2)+'DCF Model'!F45/(1+$B11)^('DCF Model'!C19+3)+'DCF Model'!G45/(1+$B11)^('DCF Model'!C19+4)+'DCF Model'!G45*(1+D$6)/($B11-D$6)/(1+$B11)^('DCF Model'!C19+4)-'DCF Model'!C16)*1000000/'DCF Model'!C15,0),"")</f>
        <v>4551</v>
      </c>
      <c r="E11" s="37">
        <f>IFERROR(ROUND(('DCF Model'!C45/(1+$B11)^('DCF Model'!C19+0)+'DCF Model'!D45/(1+$B11)^('DCF Model'!C19+1)+'DCF Model'!E45/(1+$B11)^('DCF Model'!C19+2)+'DCF Model'!F45/(1+$B11)^('DCF Model'!C19+3)+'DCF Model'!G45/(1+$B11)^('DCF Model'!C19+4)+'DCF Model'!G45*(1+E$6)/($B11-E$6)/(1+$B11)^('DCF Model'!C19+4)-'DCF Model'!C16)*1000000/'DCF Model'!C15,0),"")</f>
        <v>4838</v>
      </c>
      <c r="F11" s="37">
        <f>IFERROR(ROUND(('DCF Model'!C45/(1+$B11)^('DCF Model'!C19+0)+'DCF Model'!D45/(1+$B11)^('DCF Model'!C19+1)+'DCF Model'!E45/(1+$B11)^('DCF Model'!C19+2)+'DCF Model'!F45/(1+$B11)^('DCF Model'!C19+3)+'DCF Model'!G45/(1+$B11)^('DCF Model'!C19+4)+'DCF Model'!G45*(1+F$6)/($B11-F$6)/(1+$B11)^('DCF Model'!C19+4)-'DCF Model'!C16)*1000000/'DCF Model'!C15,0),"")</f>
        <v>5153</v>
      </c>
      <c r="G11" s="37">
        <f>IFERROR(ROUND(('DCF Model'!C45/(1+$B11)^('DCF Model'!C19+0)+'DCF Model'!D45/(1+$B11)^('DCF Model'!C19+1)+'DCF Model'!E45/(1+$B11)^('DCF Model'!C19+2)+'DCF Model'!F45/(1+$B11)^('DCF Model'!C19+3)+'DCF Model'!G45/(1+$B11)^('DCF Model'!C19+4)+'DCF Model'!G45*(1+G$6)/($B11-G$6)/(1+$B11)^('DCF Model'!C19+4)-'DCF Model'!C16)*1000000/'DCF Model'!C15,0),"")</f>
        <v>5498</v>
      </c>
      <c r="H11" s="37">
        <f>IFERROR(ROUND(('DCF Model'!C45/(1+$B11)^('DCF Model'!C19+0)+'DCF Model'!D45/(1+$B11)^('DCF Model'!C19+1)+'DCF Model'!E45/(1+$B11)^('DCF Model'!C19+2)+'DCF Model'!F45/(1+$B11)^('DCF Model'!C19+3)+'DCF Model'!G45/(1+$B11)^('DCF Model'!C19+4)+'DCF Model'!G45*(1+H$6)/($B11-H$6)/(1+$B11)^('DCF Model'!C19+4)-'DCF Model'!C16)*1000000/'DCF Model'!C15,0),"")</f>
        <v>5880</v>
      </c>
      <c r="I11" s="37">
        <f>IFERROR(ROUND(('DCF Model'!C45/(1+$B11)^('DCF Model'!C19+0)+'DCF Model'!D45/(1+$B11)^('DCF Model'!C19+1)+'DCF Model'!E45/(1+$B11)^('DCF Model'!C19+2)+'DCF Model'!F45/(1+$B11)^('DCF Model'!C19+3)+'DCF Model'!G45/(1+$B11)^('DCF Model'!C19+4)+'DCF Model'!G45*(1+I$6)/($B11-I$6)/(1+$B11)^('DCF Model'!C19+4)-'DCF Model'!C16)*1000000/'DCF Model'!C15,0),"")</f>
        <v>6304</v>
      </c>
    </row>
    <row r="12" spans="2:9" ht="13.5" x14ac:dyDescent="0.25">
      <c r="B12" s="39">
        <f>$C$3+0.01</f>
        <v>6.7720557029177716E-2</v>
      </c>
      <c r="C12" s="37">
        <f>IFERROR(ROUND(('DCF Model'!C45/(1+$B12)^('DCF Model'!C19+0)+'DCF Model'!D45/(1+$B12)^('DCF Model'!C19+1)+'DCF Model'!E45/(1+$B12)^('DCF Model'!C19+2)+'DCF Model'!F45/(1+$B12)^('DCF Model'!C19+3)+'DCF Model'!G45/(1+$B12)^('DCF Model'!C19+4)+'DCF Model'!G45*(1+C$6)/($B12-C$6)/(1+$B12)^('DCF Model'!C19+4)-'DCF Model'!C16)*1000000/'DCF Model'!C15,0),"")</f>
        <v>3702</v>
      </c>
      <c r="D12" s="37">
        <f>IFERROR(ROUND(('DCF Model'!C45/(1+$B12)^('DCF Model'!C19+0)+'DCF Model'!D45/(1+$B12)^('DCF Model'!C19+1)+'DCF Model'!E45/(1+$B12)^('DCF Model'!C19+2)+'DCF Model'!F45/(1+$B12)^('DCF Model'!C19+3)+'DCF Model'!G45/(1+$B12)^('DCF Model'!C19+4)+'DCF Model'!G45*(1+D$6)/($B12-D$6)/(1+$B12)^('DCF Model'!C19+4)-'DCF Model'!C16)*1000000/'DCF Model'!C15,0),"")</f>
        <v>3921</v>
      </c>
      <c r="E12" s="37">
        <f>IFERROR(ROUND(('DCF Model'!C45/(1+$B12)^('DCF Model'!C19+0)+'DCF Model'!D45/(1+$B12)^('DCF Model'!C19+1)+'DCF Model'!E45/(1+$B12)^('DCF Model'!C19+2)+'DCF Model'!F45/(1+$B12)^('DCF Model'!C19+3)+'DCF Model'!G45/(1+$B12)^('DCF Model'!C19+4)+'DCF Model'!G45*(1+E$6)/($B12-E$6)/(1+$B12)^('DCF Model'!C19+4)-'DCF Model'!C16)*1000000/'DCF Model'!C15,0),"")</f>
        <v>4159</v>
      </c>
      <c r="F12" s="37">
        <f>IFERROR(ROUND(('DCF Model'!C45/(1+$B12)^('DCF Model'!C19+0)+'DCF Model'!D45/(1+$B12)^('DCF Model'!C19+1)+'DCF Model'!E45/(1+$B12)^('DCF Model'!C19+2)+'DCF Model'!F45/(1+$B12)^('DCF Model'!C19+3)+'DCF Model'!G45/(1+$B12)^('DCF Model'!C19+4)+'DCF Model'!G45*(1+F$6)/($B12-F$6)/(1+$B12)^('DCF Model'!C19+4)-'DCF Model'!C16)*1000000/'DCF Model'!C15,0),"")</f>
        <v>4418</v>
      </c>
      <c r="G12" s="37">
        <f>IFERROR(ROUND(('DCF Model'!C45/(1+$B12)^('DCF Model'!C19+0)+'DCF Model'!D45/(1+$B12)^('DCF Model'!C19+1)+'DCF Model'!E45/(1+$B12)^('DCF Model'!C19+2)+'DCF Model'!F45/(1+$B12)^('DCF Model'!C19+3)+'DCF Model'!G45/(1+$B12)^('DCF Model'!C19+4)+'DCF Model'!G45*(1+G$6)/($B12-G$6)/(1+$B12)^('DCF Model'!C19+4)-'DCF Model'!C16)*1000000/'DCF Model'!C15,0),"")</f>
        <v>4699</v>
      </c>
      <c r="H12" s="37">
        <f>IFERROR(ROUND(('DCF Model'!C45/(1+$B12)^('DCF Model'!C19+0)+'DCF Model'!D45/(1+$B12)^('DCF Model'!C19+1)+'DCF Model'!E45/(1+$B12)^('DCF Model'!C19+2)+'DCF Model'!F45/(1+$B12)^('DCF Model'!C19+3)+'DCF Model'!G45/(1+$B12)^('DCF Model'!C19+4)+'DCF Model'!G45*(1+H$6)/($B12-H$6)/(1+$B12)^('DCF Model'!C19+4)-'DCF Model'!C16)*1000000/'DCF Model'!C15,0),"")</f>
        <v>5008</v>
      </c>
      <c r="I12" s="37">
        <f>IFERROR(ROUND(('DCF Model'!C45/(1+$B12)^('DCF Model'!C19+0)+'DCF Model'!D45/(1+$B12)^('DCF Model'!C19+1)+'DCF Model'!E45/(1+$B12)^('DCF Model'!C19+2)+'DCF Model'!F45/(1+$B12)^('DCF Model'!C19+3)+'DCF Model'!G45/(1+$B12)^('DCF Model'!C19+4)+'DCF Model'!G45*(1+I$6)/($B12-I$6)/(1+$B12)^('DCF Model'!C19+4)-'DCF Model'!C16)*1000000/'DCF Model'!C15,0),"")</f>
        <v>5347</v>
      </c>
    </row>
    <row r="13" spans="2:9" ht="13.5" x14ac:dyDescent="0.25">
      <c r="B13" s="39">
        <f>$C$3+0.015</f>
        <v>7.2720557029177721E-2</v>
      </c>
      <c r="C13" s="37">
        <f>IFERROR(ROUND(('DCF Model'!C45/(1+$B13)^('DCF Model'!C19+0)+'DCF Model'!D45/(1+$B13)^('DCF Model'!C19+1)+'DCF Model'!E45/(1+$B13)^('DCF Model'!C19+2)+'DCF Model'!F45/(1+$B13)^('DCF Model'!C19+3)+'DCF Model'!G45/(1+$B13)^('DCF Model'!C19+4)+'DCF Model'!G45*(1+C$6)/($B13-C$6)/(1+$B13)^('DCF Model'!C19+4)-'DCF Model'!C16)*1000000/'DCF Model'!C15,0),"")</f>
        <v>3199</v>
      </c>
      <c r="D13" s="37">
        <f>IFERROR(ROUND(('DCF Model'!C45/(1+$B13)^('DCF Model'!C19+0)+'DCF Model'!D45/(1+$B13)^('DCF Model'!C19+1)+'DCF Model'!E45/(1+$B13)^('DCF Model'!C19+2)+'DCF Model'!F45/(1+$B13)^('DCF Model'!C19+3)+'DCF Model'!G45/(1+$B13)^('DCF Model'!C19+4)+'DCF Model'!G45*(1+D$6)/($B13-D$6)/(1+$B13)^('DCF Model'!C19+4)-'DCF Model'!C16)*1000000/'DCF Model'!C15,0),"")</f>
        <v>3385</v>
      </c>
      <c r="E13" s="37">
        <f>IFERROR(ROUND(('DCF Model'!C45/(1+$B13)^('DCF Model'!C19+0)+'DCF Model'!D45/(1+$B13)^('DCF Model'!C19+1)+'DCF Model'!E45/(1+$B13)^('DCF Model'!C19+2)+'DCF Model'!F45/(1+$B13)^('DCF Model'!C19+3)+'DCF Model'!G45/(1+$B13)^('DCF Model'!C19+4)+'DCF Model'!G45*(1+E$6)/($B13-E$6)/(1+$B13)^('DCF Model'!C19+4)-'DCF Model'!C16)*1000000/'DCF Model'!C15,0),"")</f>
        <v>3584</v>
      </c>
      <c r="F13" s="37">
        <f>IFERROR(ROUND(('DCF Model'!C45/(1+$B13)^('DCF Model'!C19+0)+'DCF Model'!D45/(1+$B13)^('DCF Model'!C19+1)+'DCF Model'!E45/(1+$B13)^('DCF Model'!C19+2)+'DCF Model'!F45/(1+$B13)^('DCF Model'!C19+3)+'DCF Model'!G45/(1+$B13)^('DCF Model'!C19+4)+'DCF Model'!G45*(1+F$6)/($B13-F$6)/(1+$B13)^('DCF Model'!C19+4)-'DCF Model'!C16)*1000000/'DCF Model'!C15,0),"")</f>
        <v>3800</v>
      </c>
      <c r="G13" s="37">
        <f>IFERROR(ROUND(('DCF Model'!C45/(1+$B13)^('DCF Model'!C19+0)+'DCF Model'!D45/(1+$B13)^('DCF Model'!C19+1)+'DCF Model'!E45/(1+$B13)^('DCF Model'!C19+2)+'DCF Model'!F45/(1+$B13)^('DCF Model'!C19+3)+'DCF Model'!G45/(1+$B13)^('DCF Model'!C19+4)+'DCF Model'!G45*(1+G$6)/($B13-G$6)/(1+$B13)^('DCF Model'!C19+4)-'DCF Model'!C16)*1000000/'DCF Model'!C15,0),"")</f>
        <v>4033</v>
      </c>
      <c r="H13" s="37">
        <f>IFERROR(ROUND(('DCF Model'!C45/(1+$B13)^('DCF Model'!C19+0)+'DCF Model'!D45/(1+$B13)^('DCF Model'!C19+1)+'DCF Model'!E45/(1+$B13)^('DCF Model'!C19+2)+'DCF Model'!F45/(1+$B13)^('DCF Model'!C19+3)+'DCF Model'!G45/(1+$B13)^('DCF Model'!C19+4)+'DCF Model'!G45*(1+H$6)/($B13-H$6)/(1+$B13)^('DCF Model'!C19+4)-'DCF Model'!C16)*1000000/'DCF Model'!C15,0),"")</f>
        <v>4287</v>
      </c>
      <c r="I13" s="37">
        <f>IFERROR(ROUND(('DCF Model'!C45/(1+$B13)^('DCF Model'!C19+0)+'DCF Model'!D45/(1+$B13)^('DCF Model'!C19+1)+'DCF Model'!E45/(1+$B13)^('DCF Model'!C19+2)+'DCF Model'!F45/(1+$B13)^('DCF Model'!C19+3)+'DCF Model'!G45/(1+$B13)^('DCF Model'!C19+4)+'DCF Model'!G45*(1+I$6)/($B13-I$6)/(1+$B13)^('DCF Model'!C19+4)-'DCF Model'!C16)*1000000/'DCF Model'!C15,0),"")</f>
        <v>4564</v>
      </c>
    </row>
    <row r="16" spans="2:9" ht="14" x14ac:dyDescent="0.3">
      <c r="B16" s="3" t="s">
        <v>242</v>
      </c>
    </row>
    <row r="17" spans="2:9" ht="14" x14ac:dyDescent="0.3">
      <c r="B17" s="40" t="s">
        <v>243</v>
      </c>
      <c r="C17" s="42">
        <f>$I$3-3</f>
        <v>6.4</v>
      </c>
      <c r="D17" s="42">
        <f>$I$3-2</f>
        <v>7.4</v>
      </c>
      <c r="E17" s="42">
        <f>$I$3-1</f>
        <v>8.4</v>
      </c>
      <c r="F17" s="42">
        <f>$I$3</f>
        <v>9.4</v>
      </c>
      <c r="G17" s="42">
        <f>$I$3+1</f>
        <v>10.4</v>
      </c>
      <c r="H17" s="42">
        <f>$I$3+2</f>
        <v>11.4</v>
      </c>
      <c r="I17" s="42">
        <f>$I$3+3</f>
        <v>12.4</v>
      </c>
    </row>
    <row r="18" spans="2:9" ht="13.5" x14ac:dyDescent="0.25">
      <c r="B18" s="39">
        <f>$C$3-0.015</f>
        <v>4.2720557029177722E-2</v>
      </c>
      <c r="C18" s="37">
        <f>IFERROR(ROUND(('DCF Model'!C45/(1+$B18)^('DCF Model'!C19+0)+'DCF Model'!D45/(1+$B18)^('DCF Model'!C19+1)+'DCF Model'!E45/(1+$B18)^('DCF Model'!C19+2)+'DCF Model'!F45/(1+$B18)^('DCF Model'!C19+3)+'DCF Model'!G45/(1+$B18)^('DCF Model'!C19+4)+('DCF Model'!G39+'DCF Model'!G42)*C$17/(1+$B18)^('DCF Model'!C19+4)-'DCF Model'!C16)*1000000/'DCF Model'!C15,0),"")</f>
        <v>6922</v>
      </c>
      <c r="D18" s="37">
        <f>IFERROR(ROUND(('DCF Model'!C45/(1+$B18)^('DCF Model'!C19+0)+'DCF Model'!D45/(1+$B18)^('DCF Model'!C19+1)+'DCF Model'!E45/(1+$B18)^('DCF Model'!C19+2)+'DCF Model'!F45/(1+$B18)^('DCF Model'!C19+3)+'DCF Model'!G45/(1+$B18)^('DCF Model'!C19+4)+('DCF Model'!G39+'DCF Model'!G42)*D$17/(1+$B18)^('DCF Model'!C19+4)-'DCF Model'!C16)*1000000/'DCF Model'!C15,0),"")</f>
        <v>8214</v>
      </c>
      <c r="E18" s="37">
        <f>IFERROR(ROUND(('DCF Model'!C45/(1+$B18)^('DCF Model'!C19+0)+'DCF Model'!D45/(1+$B18)^('DCF Model'!C19+1)+'DCF Model'!E45/(1+$B18)^('DCF Model'!C19+2)+'DCF Model'!F45/(1+$B18)^('DCF Model'!C19+3)+'DCF Model'!G45/(1+$B18)^('DCF Model'!C19+4)+('DCF Model'!G39+'DCF Model'!G42)*E$17/(1+$B18)^('DCF Model'!C19+4)-'DCF Model'!C16)*1000000/'DCF Model'!C15,0),"")</f>
        <v>9506</v>
      </c>
      <c r="F18" s="37">
        <f>IFERROR(ROUND(('DCF Model'!C45/(1+$B18)^('DCF Model'!C19+0)+'DCF Model'!D45/(1+$B18)^('DCF Model'!C19+1)+'DCF Model'!E45/(1+$B18)^('DCF Model'!C19+2)+'DCF Model'!F45/(1+$B18)^('DCF Model'!C19+3)+'DCF Model'!G45/(1+$B18)^('DCF Model'!C19+4)+('DCF Model'!G39+'DCF Model'!G42)*F$17/(1+$B18)^('DCF Model'!C19+4)-'DCF Model'!C16)*1000000/'DCF Model'!C15,0),"")</f>
        <v>10797</v>
      </c>
      <c r="G18" s="37">
        <f>IFERROR(ROUND(('DCF Model'!C45/(1+$B18)^('DCF Model'!C19+0)+'DCF Model'!D45/(1+$B18)^('DCF Model'!C19+1)+'DCF Model'!E45/(1+$B18)^('DCF Model'!C19+2)+'DCF Model'!F45/(1+$B18)^('DCF Model'!C19+3)+'DCF Model'!G45/(1+$B18)^('DCF Model'!C19+4)+('DCF Model'!G39+'DCF Model'!G42)*G$17/(1+$B18)^('DCF Model'!C19+4)-'DCF Model'!C16)*1000000/'DCF Model'!C15,0),"")</f>
        <v>12089</v>
      </c>
      <c r="H18" s="37">
        <f>IFERROR(ROUND(('DCF Model'!C45/(1+$B18)^('DCF Model'!C19+0)+'DCF Model'!D45/(1+$B18)^('DCF Model'!C19+1)+'DCF Model'!E45/(1+$B18)^('DCF Model'!C19+2)+'DCF Model'!F45/(1+$B18)^('DCF Model'!C19+3)+'DCF Model'!G45/(1+$B18)^('DCF Model'!C19+4)+('DCF Model'!G39+'DCF Model'!G42)*H$17/(1+$B18)^('DCF Model'!C19+4)-'DCF Model'!C16)*1000000/'DCF Model'!C15,0),"")</f>
        <v>13381</v>
      </c>
      <c r="I18" s="37">
        <f>IFERROR(ROUND(('DCF Model'!C45/(1+$B18)^('DCF Model'!C19+0)+'DCF Model'!D45/(1+$B18)^('DCF Model'!C19+1)+'DCF Model'!E45/(1+$B18)^('DCF Model'!C19+2)+'DCF Model'!F45/(1+$B18)^('DCF Model'!C19+3)+'DCF Model'!G45/(1+$B18)^('DCF Model'!C19+4)+('DCF Model'!G39+'DCF Model'!G42)*I$17/(1+$B18)^('DCF Model'!C19+4)-'DCF Model'!C16)*1000000/'DCF Model'!C15,0),"")</f>
        <v>14673</v>
      </c>
    </row>
    <row r="19" spans="2:9" ht="13.5" x14ac:dyDescent="0.25">
      <c r="B19" s="39">
        <f>$C$3-0.01</f>
        <v>4.772055702917772E-2</v>
      </c>
      <c r="C19" s="37">
        <f>IFERROR(ROUND(('DCF Model'!C45/(1+$B19)^('DCF Model'!C19+0)+'DCF Model'!D45/(1+$B19)^('DCF Model'!C19+1)+'DCF Model'!E45/(1+$B19)^('DCF Model'!C19+2)+'DCF Model'!F45/(1+$B19)^('DCF Model'!C19+3)+'DCF Model'!G45/(1+$B19)^('DCF Model'!C19+4)+('DCF Model'!G39+'DCF Model'!G42)*C$17/(1+$B19)^('DCF Model'!C19+4)-'DCF Model'!C16)*1000000/'DCF Model'!C15,0),"")</f>
        <v>6700</v>
      </c>
      <c r="D19" s="37">
        <f>IFERROR(ROUND(('DCF Model'!C45/(1+$B19)^('DCF Model'!C19+0)+'DCF Model'!D45/(1+$B19)^('DCF Model'!C19+1)+'DCF Model'!E45/(1+$B19)^('DCF Model'!C19+2)+'DCF Model'!F45/(1+$B19)^('DCF Model'!C19+3)+'DCF Model'!G45/(1+$B19)^('DCF Model'!C19+4)+('DCF Model'!G39+'DCF Model'!G42)*D$17/(1+$B19)^('DCF Model'!C19+4)-'DCF Model'!C16)*1000000/'DCF Model'!C15,0),"")</f>
        <v>7962</v>
      </c>
      <c r="E19" s="37">
        <f>IFERROR(ROUND(('DCF Model'!C45/(1+$B19)^('DCF Model'!C19+0)+'DCF Model'!D45/(1+$B19)^('DCF Model'!C19+1)+'DCF Model'!E45/(1+$B19)^('DCF Model'!C19+2)+'DCF Model'!F45/(1+$B19)^('DCF Model'!C19+3)+'DCF Model'!G45/(1+$B19)^('DCF Model'!C19+4)+('DCF Model'!G39+'DCF Model'!G42)*E$17/(1+$B19)^('DCF Model'!C19+4)-'DCF Model'!C16)*1000000/'DCF Model'!C15,0),"")</f>
        <v>9223</v>
      </c>
      <c r="F19" s="37">
        <f>IFERROR(ROUND(('DCF Model'!C45/(1+$B19)^('DCF Model'!C19+0)+'DCF Model'!D45/(1+$B19)^('DCF Model'!C19+1)+'DCF Model'!E45/(1+$B19)^('DCF Model'!C19+2)+'DCF Model'!F45/(1+$B19)^('DCF Model'!C19+3)+'DCF Model'!G45/(1+$B19)^('DCF Model'!C19+4)+('DCF Model'!G39+'DCF Model'!G42)*F$17/(1+$B19)^('DCF Model'!C19+4)-'DCF Model'!C16)*1000000/'DCF Model'!C15,0),"")</f>
        <v>10485</v>
      </c>
      <c r="G19" s="37">
        <f>IFERROR(ROUND(('DCF Model'!C45/(1+$B19)^('DCF Model'!C19+0)+'DCF Model'!D45/(1+$B19)^('DCF Model'!C19+1)+'DCF Model'!E45/(1+$B19)^('DCF Model'!C19+2)+'DCF Model'!F45/(1+$B19)^('DCF Model'!C19+3)+'DCF Model'!G45/(1+$B19)^('DCF Model'!C19+4)+('DCF Model'!G39+'DCF Model'!G42)*G$17/(1+$B19)^('DCF Model'!C19+4)-'DCF Model'!C16)*1000000/'DCF Model'!C15,0),"")</f>
        <v>11746</v>
      </c>
      <c r="H19" s="37">
        <f>IFERROR(ROUND(('DCF Model'!C45/(1+$B19)^('DCF Model'!C19+0)+'DCF Model'!D45/(1+$B19)^('DCF Model'!C19+1)+'DCF Model'!E45/(1+$B19)^('DCF Model'!C19+2)+'DCF Model'!F45/(1+$B19)^('DCF Model'!C19+3)+'DCF Model'!G45/(1+$B19)^('DCF Model'!C19+4)+('DCF Model'!G39+'DCF Model'!G42)*H$17/(1+$B19)^('DCF Model'!C19+4)-'DCF Model'!C16)*1000000/'DCF Model'!C15,0),"")</f>
        <v>13007</v>
      </c>
      <c r="I19" s="37">
        <f>IFERROR(ROUND(('DCF Model'!C45/(1+$B19)^('DCF Model'!C19+0)+'DCF Model'!D45/(1+$B19)^('DCF Model'!C19+1)+'DCF Model'!E45/(1+$B19)^('DCF Model'!C19+2)+'DCF Model'!F45/(1+$B19)^('DCF Model'!C19+3)+'DCF Model'!G45/(1+$B19)^('DCF Model'!C19+4)+('DCF Model'!G39+'DCF Model'!G42)*I$17/(1+$B19)^('DCF Model'!C19+4)-'DCF Model'!C16)*1000000/'DCF Model'!C15,0),"")</f>
        <v>14269</v>
      </c>
    </row>
    <row r="20" spans="2:9" ht="13.5" x14ac:dyDescent="0.25">
      <c r="B20" s="39">
        <f>$C$3-0.005</f>
        <v>5.2720557029177724E-2</v>
      </c>
      <c r="C20" s="37">
        <f>IFERROR(ROUND(('DCF Model'!C45/(1+$B20)^('DCF Model'!C19+0)+'DCF Model'!D45/(1+$B20)^('DCF Model'!C19+1)+'DCF Model'!E45/(1+$B20)^('DCF Model'!C19+2)+'DCF Model'!F45/(1+$B20)^('DCF Model'!C19+3)+'DCF Model'!G45/(1+$B20)^('DCF Model'!C19+4)+('DCF Model'!G39+'DCF Model'!G42)*C$17/(1+$B20)^('DCF Model'!C19+4)-'DCF Model'!C16)*1000000/'DCF Model'!C15,0),"")</f>
        <v>6485</v>
      </c>
      <c r="D20" s="37">
        <f>IFERROR(ROUND(('DCF Model'!C45/(1+$B20)^('DCF Model'!C19+0)+'DCF Model'!D45/(1+$B20)^('DCF Model'!C19+1)+'DCF Model'!E45/(1+$B20)^('DCF Model'!C19+2)+'DCF Model'!F45/(1+$B20)^('DCF Model'!C19+3)+'DCF Model'!G45/(1+$B20)^('DCF Model'!C19+4)+('DCF Model'!G39+'DCF Model'!G42)*D$17/(1+$B20)^('DCF Model'!C19+4)-'DCF Model'!C16)*1000000/'DCF Model'!C15,0),"")</f>
        <v>7717</v>
      </c>
      <c r="E20" s="37">
        <f>IFERROR(ROUND(('DCF Model'!C45/(1+$B20)^('DCF Model'!C19+0)+'DCF Model'!D45/(1+$B20)^('DCF Model'!C19+1)+'DCF Model'!E45/(1+$B20)^('DCF Model'!C19+2)+'DCF Model'!F45/(1+$B20)^('DCF Model'!C19+3)+'DCF Model'!G45/(1+$B20)^('DCF Model'!C19+4)+('DCF Model'!G39+'DCF Model'!G42)*E$17/(1+$B20)^('DCF Model'!C19+4)-'DCF Model'!C16)*1000000/'DCF Model'!C15,0),"")</f>
        <v>8949</v>
      </c>
      <c r="F20" s="37">
        <f>IFERROR(ROUND(('DCF Model'!C45/(1+$B20)^('DCF Model'!C19+0)+'DCF Model'!D45/(1+$B20)^('DCF Model'!C19+1)+'DCF Model'!E45/(1+$B20)^('DCF Model'!C19+2)+'DCF Model'!F45/(1+$B20)^('DCF Model'!C19+3)+'DCF Model'!G45/(1+$B20)^('DCF Model'!C19+4)+('DCF Model'!G39+'DCF Model'!G42)*F$17/(1+$B20)^('DCF Model'!C19+4)-'DCF Model'!C16)*1000000/'DCF Model'!C15,0),"")</f>
        <v>10180</v>
      </c>
      <c r="G20" s="37">
        <f>IFERROR(ROUND(('DCF Model'!C45/(1+$B20)^('DCF Model'!C19+0)+'DCF Model'!D45/(1+$B20)^('DCF Model'!C19+1)+'DCF Model'!E45/(1+$B20)^('DCF Model'!C19+2)+'DCF Model'!F45/(1+$B20)^('DCF Model'!C19+3)+'DCF Model'!G45/(1+$B20)^('DCF Model'!C19+4)+('DCF Model'!G39+'DCF Model'!G42)*G$17/(1+$B20)^('DCF Model'!C19+4)-'DCF Model'!C16)*1000000/'DCF Model'!C15,0),"")</f>
        <v>11412</v>
      </c>
      <c r="H20" s="37">
        <f>IFERROR(ROUND(('DCF Model'!C45/(1+$B20)^('DCF Model'!C19+0)+'DCF Model'!D45/(1+$B20)^('DCF Model'!C19+1)+'DCF Model'!E45/(1+$B20)^('DCF Model'!C19+2)+'DCF Model'!F45/(1+$B20)^('DCF Model'!C19+3)+'DCF Model'!G45/(1+$B20)^('DCF Model'!C19+4)+('DCF Model'!G39+'DCF Model'!G42)*H$17/(1+$B20)^('DCF Model'!C19+4)-'DCF Model'!C16)*1000000/'DCF Model'!C15,0),"")</f>
        <v>12644</v>
      </c>
      <c r="I20" s="37">
        <f>IFERROR(ROUND(('DCF Model'!C45/(1+$B20)^('DCF Model'!C19+0)+'DCF Model'!D45/(1+$B20)^('DCF Model'!C19+1)+'DCF Model'!E45/(1+$B20)^('DCF Model'!C19+2)+'DCF Model'!F45/(1+$B20)^('DCF Model'!C19+3)+'DCF Model'!G45/(1+$B20)^('DCF Model'!C19+4)+('DCF Model'!G39+'DCF Model'!G42)*I$17/(1+$B20)^('DCF Model'!C19+4)-'DCF Model'!C16)*1000000/'DCF Model'!C15,0),"")</f>
        <v>13876</v>
      </c>
    </row>
    <row r="21" spans="2:9" ht="13.5" x14ac:dyDescent="0.25">
      <c r="B21" s="39">
        <f>$C$3</f>
        <v>5.7720557029177721E-2</v>
      </c>
      <c r="C21" s="37">
        <f>IFERROR(ROUND(('DCF Model'!C45/(1+$B21)^('DCF Model'!C19+0)+'DCF Model'!D45/(1+$B21)^('DCF Model'!C19+1)+'DCF Model'!E45/(1+$B21)^('DCF Model'!C19+2)+'DCF Model'!F45/(1+$B21)^('DCF Model'!C19+3)+'DCF Model'!G45/(1+$B21)^('DCF Model'!C19+4)+('DCF Model'!G39+'DCF Model'!G42)*C$17/(1+$B21)^('DCF Model'!C19+4)-'DCF Model'!C16)*1000000/'DCF Model'!C15,0),"")</f>
        <v>6276</v>
      </c>
      <c r="D21" s="37">
        <f>IFERROR(ROUND(('DCF Model'!C45/(1+$B21)^('DCF Model'!C19+0)+'DCF Model'!D45/(1+$B21)^('DCF Model'!C19+1)+'DCF Model'!E45/(1+$B21)^('DCF Model'!C19+2)+'DCF Model'!F45/(1+$B21)^('DCF Model'!C19+3)+'DCF Model'!G45/(1+$B21)^('DCF Model'!C19+4)+('DCF Model'!G39+'DCF Model'!G42)*D$17/(1+$B21)^('DCF Model'!C19+4)-'DCF Model'!C16)*1000000/'DCF Model'!C15,0),"")</f>
        <v>7479</v>
      </c>
      <c r="E21" s="37">
        <f>IFERROR(ROUND(('DCF Model'!C45/(1+$B21)^('DCF Model'!C19+0)+'DCF Model'!D45/(1+$B21)^('DCF Model'!C19+1)+'DCF Model'!E45/(1+$B21)^('DCF Model'!C19+2)+'DCF Model'!F45/(1+$B21)^('DCF Model'!C19+3)+'DCF Model'!G45/(1+$B21)^('DCF Model'!C19+4)+('DCF Model'!G39+'DCF Model'!G42)*E$17/(1+$B21)^('DCF Model'!C19+4)-'DCF Model'!C16)*1000000/'DCF Model'!C15,0),"")</f>
        <v>8682</v>
      </c>
      <c r="F21" s="37">
        <f>IFERROR(ROUND(('DCF Model'!C45/(1+$B21)^('DCF Model'!C19+0)+'DCF Model'!D45/(1+$B21)^('DCF Model'!C19+1)+'DCF Model'!E45/(1+$B21)^('DCF Model'!C19+2)+'DCF Model'!F45/(1+$B21)^('DCF Model'!C19+3)+'DCF Model'!G45/(1+$B21)^('DCF Model'!C19+4)+('DCF Model'!G39+'DCF Model'!G42)*F$17/(1+$B21)^('DCF Model'!C19+4)-'DCF Model'!C16)*1000000/'DCF Model'!C15,0),"")</f>
        <v>9885</v>
      </c>
      <c r="G21" s="37">
        <f>IFERROR(ROUND(('DCF Model'!C45/(1+$B21)^('DCF Model'!C19+0)+'DCF Model'!D45/(1+$B21)^('DCF Model'!C19+1)+'DCF Model'!E45/(1+$B21)^('DCF Model'!C19+2)+'DCF Model'!F45/(1+$B21)^('DCF Model'!C19+3)+'DCF Model'!G45/(1+$B21)^('DCF Model'!C19+4)+('DCF Model'!G39+'DCF Model'!G42)*G$17/(1+$B21)^('DCF Model'!C19+4)-'DCF Model'!C16)*1000000/'DCF Model'!C15,0),"")</f>
        <v>11087</v>
      </c>
      <c r="H21" s="37">
        <f>IFERROR(ROUND(('DCF Model'!C45/(1+$B21)^('DCF Model'!C19+0)+'DCF Model'!D45/(1+$B21)^('DCF Model'!C19+1)+'DCF Model'!E45/(1+$B21)^('DCF Model'!C19+2)+'DCF Model'!F45/(1+$B21)^('DCF Model'!C19+3)+'DCF Model'!G45/(1+$B21)^('DCF Model'!C19+4)+('DCF Model'!G39+'DCF Model'!G42)*H$17/(1+$B21)^('DCF Model'!C19+4)-'DCF Model'!C16)*1000000/'DCF Model'!C15,0),"")</f>
        <v>12290</v>
      </c>
      <c r="I21" s="37">
        <f>IFERROR(ROUND(('DCF Model'!C45/(1+$B21)^('DCF Model'!C19+0)+'DCF Model'!D45/(1+$B21)^('DCF Model'!C19+1)+'DCF Model'!E45/(1+$B21)^('DCF Model'!C19+2)+'DCF Model'!F45/(1+$B21)^('DCF Model'!C19+3)+'DCF Model'!G45/(1+$B21)^('DCF Model'!C19+4)+('DCF Model'!G39+'DCF Model'!G42)*I$17/(1+$B21)^('DCF Model'!C19+4)-'DCF Model'!C16)*1000000/'DCF Model'!C15,0),"")</f>
        <v>13493</v>
      </c>
    </row>
    <row r="22" spans="2:9" ht="13.5" x14ac:dyDescent="0.25">
      <c r="B22" s="39">
        <f>$C$3+0.005</f>
        <v>6.2720557029177726E-2</v>
      </c>
      <c r="C22" s="37">
        <f>IFERROR(ROUND(('DCF Model'!C45/(1+$B22)^('DCF Model'!C19+0)+'DCF Model'!D45/(1+$B22)^('DCF Model'!C19+1)+'DCF Model'!E45/(1+$B22)^('DCF Model'!C19+2)+'DCF Model'!F45/(1+$B22)^('DCF Model'!C19+3)+'DCF Model'!G45/(1+$B22)^('DCF Model'!C19+4)+('DCF Model'!G39+'DCF Model'!G42)*C$17/(1+$B22)^('DCF Model'!C19+4)-'DCF Model'!C16)*1000000/'DCF Model'!C15,0),"")</f>
        <v>6072</v>
      </c>
      <c r="D22" s="37">
        <f>IFERROR(ROUND(('DCF Model'!C45/(1+$B22)^('DCF Model'!C19+0)+'DCF Model'!D45/(1+$B22)^('DCF Model'!C19+1)+'DCF Model'!E45/(1+$B22)^('DCF Model'!C19+2)+'DCF Model'!F45/(1+$B22)^('DCF Model'!C19+3)+'DCF Model'!G45/(1+$B22)^('DCF Model'!C19+4)+('DCF Model'!G39+'DCF Model'!G42)*D$17/(1+$B22)^('DCF Model'!C19+4)-'DCF Model'!C16)*1000000/'DCF Model'!C15,0),"")</f>
        <v>7247</v>
      </c>
      <c r="E22" s="37">
        <f>IFERROR(ROUND(('DCF Model'!C45/(1+$B22)^('DCF Model'!C19+0)+'DCF Model'!D45/(1+$B22)^('DCF Model'!C19+1)+'DCF Model'!E45/(1+$B22)^('DCF Model'!C19+2)+'DCF Model'!F45/(1+$B22)^('DCF Model'!C19+3)+'DCF Model'!G45/(1+$B22)^('DCF Model'!C19+4)+('DCF Model'!G39+'DCF Model'!G42)*E$17/(1+$B22)^('DCF Model'!C19+4)-'DCF Model'!C16)*1000000/'DCF Model'!C15,0),"")</f>
        <v>8422</v>
      </c>
      <c r="F22" s="37">
        <f>IFERROR(ROUND(('DCF Model'!C45/(1+$B22)^('DCF Model'!C19+0)+'DCF Model'!D45/(1+$B22)^('DCF Model'!C19+1)+'DCF Model'!E45/(1+$B22)^('DCF Model'!C19+2)+'DCF Model'!F45/(1+$B22)^('DCF Model'!C19+3)+'DCF Model'!G45/(1+$B22)^('DCF Model'!C19+4)+('DCF Model'!G39+'DCF Model'!G42)*F$17/(1+$B22)^('DCF Model'!C19+4)-'DCF Model'!C16)*1000000/'DCF Model'!C15,0),"")</f>
        <v>9597</v>
      </c>
      <c r="G22" s="37">
        <f>IFERROR(ROUND(('DCF Model'!C45/(1+$B22)^('DCF Model'!C19+0)+'DCF Model'!D45/(1+$B22)^('DCF Model'!C19+1)+'DCF Model'!E45/(1+$B22)^('DCF Model'!C19+2)+'DCF Model'!F45/(1+$B22)^('DCF Model'!C19+3)+'DCF Model'!G45/(1+$B22)^('DCF Model'!C19+4)+('DCF Model'!G39+'DCF Model'!G42)*G$17/(1+$B22)^('DCF Model'!C19+4)-'DCF Model'!C16)*1000000/'DCF Model'!C15,0),"")</f>
        <v>10772</v>
      </c>
      <c r="H22" s="37">
        <f>IFERROR(ROUND(('DCF Model'!C45/(1+$B22)^('DCF Model'!C19+0)+'DCF Model'!D45/(1+$B22)^('DCF Model'!C19+1)+'DCF Model'!E45/(1+$B22)^('DCF Model'!C19+2)+'DCF Model'!F45/(1+$B22)^('DCF Model'!C19+3)+'DCF Model'!G45/(1+$B22)^('DCF Model'!C19+4)+('DCF Model'!G39+'DCF Model'!G42)*H$17/(1+$B22)^('DCF Model'!C19+4)-'DCF Model'!C16)*1000000/'DCF Model'!C15,0),"")</f>
        <v>11947</v>
      </c>
      <c r="I22" s="37">
        <f>IFERROR(ROUND(('DCF Model'!C45/(1+$B22)^('DCF Model'!C19+0)+'DCF Model'!D45/(1+$B22)^('DCF Model'!C19+1)+'DCF Model'!E45/(1+$B22)^('DCF Model'!C19+2)+'DCF Model'!F45/(1+$B22)^('DCF Model'!C19+3)+'DCF Model'!G45/(1+$B22)^('DCF Model'!C19+4)+('DCF Model'!G39+'DCF Model'!G42)*I$17/(1+$B22)^('DCF Model'!C19+4)-'DCF Model'!C16)*1000000/'DCF Model'!C15,0),"")</f>
        <v>13121</v>
      </c>
    </row>
    <row r="23" spans="2:9" ht="13.5" x14ac:dyDescent="0.25">
      <c r="B23" s="39">
        <f>$C$3+0.01</f>
        <v>6.7720557029177716E-2</v>
      </c>
      <c r="C23" s="37">
        <f>IFERROR(ROUND(('DCF Model'!C45/(1+$B23)^('DCF Model'!C19+0)+'DCF Model'!D45/(1+$B23)^('DCF Model'!C19+1)+'DCF Model'!E45/(1+$B23)^('DCF Model'!C19+2)+'DCF Model'!F45/(1+$B23)^('DCF Model'!C19+3)+'DCF Model'!G45/(1+$B23)^('DCF Model'!C19+4)+('DCF Model'!G39+'DCF Model'!G42)*C$17/(1+$B23)^('DCF Model'!C19+4)-'DCF Model'!C16)*1000000/'DCF Model'!C15,0),"")</f>
        <v>5874</v>
      </c>
      <c r="D23" s="37">
        <f>IFERROR(ROUND(('DCF Model'!C45/(1+$B23)^('DCF Model'!C19+0)+'DCF Model'!D45/(1+$B23)^('DCF Model'!C19+1)+'DCF Model'!E45/(1+$B23)^('DCF Model'!C19+2)+'DCF Model'!F45/(1+$B23)^('DCF Model'!C19+3)+'DCF Model'!G45/(1+$B23)^('DCF Model'!C19+4)+('DCF Model'!G39+'DCF Model'!G42)*D$17/(1+$B23)^('DCF Model'!C19+4)-'DCF Model'!C16)*1000000/'DCF Model'!C15,0),"")</f>
        <v>7022</v>
      </c>
      <c r="E23" s="37">
        <f>IFERROR(ROUND(('DCF Model'!C45/(1+$B23)^('DCF Model'!C19+0)+'DCF Model'!D45/(1+$B23)^('DCF Model'!C19+1)+'DCF Model'!E45/(1+$B23)^('DCF Model'!C19+2)+'DCF Model'!F45/(1+$B23)^('DCF Model'!C19+3)+'DCF Model'!G45/(1+$B23)^('DCF Model'!C19+4)+('DCF Model'!G39+'DCF Model'!G42)*E$17/(1+$B23)^('DCF Model'!C19+4)-'DCF Model'!C16)*1000000/'DCF Model'!C15,0),"")</f>
        <v>8169</v>
      </c>
      <c r="F23" s="37">
        <f>IFERROR(ROUND(('DCF Model'!C45/(1+$B23)^('DCF Model'!C19+0)+'DCF Model'!D45/(1+$B23)^('DCF Model'!C19+1)+'DCF Model'!E45/(1+$B23)^('DCF Model'!C19+2)+'DCF Model'!F45/(1+$B23)^('DCF Model'!C19+3)+'DCF Model'!G45/(1+$B23)^('DCF Model'!C19+4)+('DCF Model'!G39+'DCF Model'!G42)*F$17/(1+$B23)^('DCF Model'!C19+4)-'DCF Model'!C16)*1000000/'DCF Model'!C15,0),"")</f>
        <v>9317</v>
      </c>
      <c r="G23" s="37">
        <f>IFERROR(ROUND(('DCF Model'!C45/(1+$B23)^('DCF Model'!C19+0)+'DCF Model'!D45/(1+$B23)^('DCF Model'!C19+1)+'DCF Model'!E45/(1+$B23)^('DCF Model'!C19+2)+'DCF Model'!F45/(1+$B23)^('DCF Model'!C19+3)+'DCF Model'!G45/(1+$B23)^('DCF Model'!C19+4)+('DCF Model'!G39+'DCF Model'!G42)*G$17/(1+$B23)^('DCF Model'!C19+4)-'DCF Model'!C16)*1000000/'DCF Model'!C15,0),"")</f>
        <v>10465</v>
      </c>
      <c r="H23" s="37">
        <f>IFERROR(ROUND(('DCF Model'!C45/(1+$B23)^('DCF Model'!C19+0)+'DCF Model'!D45/(1+$B23)^('DCF Model'!C19+1)+'DCF Model'!E45/(1+$B23)^('DCF Model'!C19+2)+'DCF Model'!F45/(1+$B23)^('DCF Model'!C19+3)+'DCF Model'!G45/(1+$B23)^('DCF Model'!C19+4)+('DCF Model'!G39+'DCF Model'!G42)*H$17/(1+$B23)^('DCF Model'!C19+4)-'DCF Model'!C16)*1000000/'DCF Model'!C15,0),"")</f>
        <v>11612</v>
      </c>
      <c r="I23" s="37">
        <f>IFERROR(ROUND(('DCF Model'!C45/(1+$B23)^('DCF Model'!C19+0)+'DCF Model'!D45/(1+$B23)^('DCF Model'!C19+1)+'DCF Model'!E45/(1+$B23)^('DCF Model'!C19+2)+'DCF Model'!F45/(1+$B23)^('DCF Model'!C19+3)+'DCF Model'!G45/(1+$B23)^('DCF Model'!C19+4)+('DCF Model'!G39+'DCF Model'!G42)*I$17/(1+$B23)^('DCF Model'!C19+4)-'DCF Model'!C16)*1000000/'DCF Model'!C15,0),"")</f>
        <v>12760</v>
      </c>
    </row>
    <row r="24" spans="2:9" ht="13.5" x14ac:dyDescent="0.25">
      <c r="B24" s="39">
        <f>$C$3+0.015</f>
        <v>7.2720557029177721E-2</v>
      </c>
      <c r="C24" s="37">
        <f>IFERROR(ROUND(('DCF Model'!C45/(1+$B24)^('DCF Model'!C19+0)+'DCF Model'!D45/(1+$B24)^('DCF Model'!C19+1)+'DCF Model'!E45/(1+$B24)^('DCF Model'!C19+2)+'DCF Model'!F45/(1+$B24)^('DCF Model'!C19+3)+'DCF Model'!G45/(1+$B24)^('DCF Model'!C19+4)+('DCF Model'!G39+'DCF Model'!G42)*C$17/(1+$B24)^('DCF Model'!C19+4)-'DCF Model'!C16)*1000000/'DCF Model'!C15,0),"")</f>
        <v>5681</v>
      </c>
      <c r="D24" s="37">
        <f>IFERROR(ROUND(('DCF Model'!C45/(1+$B24)^('DCF Model'!C19+0)+'DCF Model'!D45/(1+$B24)^('DCF Model'!C19+1)+'DCF Model'!E45/(1+$B24)^('DCF Model'!C19+2)+'DCF Model'!F45/(1+$B24)^('DCF Model'!C19+3)+'DCF Model'!G45/(1+$B24)^('DCF Model'!C19+4)+('DCF Model'!G39+'DCF Model'!G42)*D$17/(1+$B24)^('DCF Model'!C19+4)-'DCF Model'!C16)*1000000/'DCF Model'!C15,0),"")</f>
        <v>6803</v>
      </c>
      <c r="E24" s="37">
        <f>IFERROR(ROUND(('DCF Model'!C45/(1+$B24)^('DCF Model'!C19+0)+'DCF Model'!D45/(1+$B24)^('DCF Model'!C19+1)+'DCF Model'!E45/(1+$B24)^('DCF Model'!C19+2)+'DCF Model'!F45/(1+$B24)^('DCF Model'!C19+3)+'DCF Model'!G45/(1+$B24)^('DCF Model'!C19+4)+('DCF Model'!G39+'DCF Model'!G42)*E$17/(1+$B24)^('DCF Model'!C19+4)-'DCF Model'!C16)*1000000/'DCF Model'!C15,0),"")</f>
        <v>7924</v>
      </c>
      <c r="F24" s="37">
        <f>IFERROR(ROUND(('DCF Model'!C45/(1+$B24)^('DCF Model'!C19+0)+'DCF Model'!D45/(1+$B24)^('DCF Model'!C19+1)+'DCF Model'!E45/(1+$B24)^('DCF Model'!C19+2)+'DCF Model'!F45/(1+$B24)^('DCF Model'!C19+3)+'DCF Model'!G45/(1+$B24)^('DCF Model'!C19+4)+('DCF Model'!G39+'DCF Model'!G42)*F$17/(1+$B24)^('DCF Model'!C19+4)-'DCF Model'!C16)*1000000/'DCF Model'!C15,0),"")</f>
        <v>9045</v>
      </c>
      <c r="G24" s="37">
        <f>IFERROR(ROUND(('DCF Model'!C45/(1+$B24)^('DCF Model'!C19+0)+'DCF Model'!D45/(1+$B24)^('DCF Model'!C19+1)+'DCF Model'!E45/(1+$B24)^('DCF Model'!C19+2)+'DCF Model'!F45/(1+$B24)^('DCF Model'!C19+3)+'DCF Model'!G45/(1+$B24)^('DCF Model'!C19+4)+('DCF Model'!G39+'DCF Model'!G42)*G$17/(1+$B24)^('DCF Model'!C19+4)-'DCF Model'!C16)*1000000/'DCF Model'!C15,0),"")</f>
        <v>10166</v>
      </c>
      <c r="H24" s="37">
        <f>IFERROR(ROUND(('DCF Model'!C45/(1+$B24)^('DCF Model'!C19+0)+'DCF Model'!D45/(1+$B24)^('DCF Model'!C19+1)+'DCF Model'!E45/(1+$B24)^('DCF Model'!C19+2)+'DCF Model'!F45/(1+$B24)^('DCF Model'!C19+3)+'DCF Model'!G45/(1+$B24)^('DCF Model'!C19+4)+('DCF Model'!G39+'DCF Model'!G42)*H$17/(1+$B24)^('DCF Model'!C19+4)-'DCF Model'!C16)*1000000/'DCF Model'!C15,0),"")</f>
        <v>11287</v>
      </c>
      <c r="I24" s="37">
        <f>IFERROR(ROUND(('DCF Model'!C45/(1+$B24)^('DCF Model'!C19+0)+'DCF Model'!D45/(1+$B24)^('DCF Model'!C19+1)+'DCF Model'!E45/(1+$B24)^('DCF Model'!C19+2)+'DCF Model'!F45/(1+$B24)^('DCF Model'!C19+3)+'DCF Model'!G45/(1+$B24)^('DCF Model'!C19+4)+('DCF Model'!G39+'DCF Model'!G42)*I$17/(1+$B24)^('DCF Model'!C19+4)-'DCF Model'!C16)*1000000/'DCF Model'!C15,0),"")</f>
        <v>12408</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2026-09-06T10:34:00Z</dcterms:created>
  <dcterms:modified xsi:type="dcterms:W3CDTF">2026-09-06T10:34:03Z</dcterms:modified>
</cp:coreProperties>
</file>