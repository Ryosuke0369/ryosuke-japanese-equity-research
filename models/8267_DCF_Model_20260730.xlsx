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CBC7CAF3-5EC4-4B49-B7B4-58C95A961C59}" xr6:coauthVersionLast="47" xr6:coauthVersionMax="47" xr10:uidLastSave="{00000000-0000-0000-0000-000000000000}"/>
  <bookViews>
    <workbookView xWindow="-110" yWindow="-110" windowWidth="19420" windowHeight="10300" activeTab="2" xr2:uid="{00000000-000D-0000-FFFF-FFFF00000000}"/>
  </bookViews>
  <sheets>
    <sheet name="Executive Summary" sheetId="1" r:id="rId1"/>
    <sheet name="Financial Statements" sheetId="2" r:id="rId2"/>
    <sheet name="DCF Model" sheetId="3" r:id="rId3"/>
    <sheet name="NWC Schedule" sheetId="4" r:id="rId4"/>
    <sheet name="Comps Analysis" sheetId="5" r:id="rId5"/>
    <sheet name="Sensitivity Analysis" sheetId="6" r:id="rId6"/>
    <sheet name="SOTP Cross-Check" sheetId="7" r:id="rId7"/>
  </sheets>
  <calcPr calcId="181029"/>
</workbook>
</file>

<file path=xl/calcChain.xml><?xml version="1.0" encoding="utf-8"?>
<calcChain xmlns="http://schemas.openxmlformats.org/spreadsheetml/2006/main">
  <c r="C32" i="7" l="1"/>
  <c r="F20" i="7"/>
  <c r="F19" i="7"/>
  <c r="F18" i="7"/>
  <c r="F17" i="7"/>
  <c r="F16" i="7"/>
  <c r="F15" i="7"/>
  <c r="I3" i="6"/>
  <c r="F17" i="6" s="1"/>
  <c r="F3" i="6"/>
  <c r="E6" i="6" s="1"/>
  <c r="I17" i="5"/>
  <c r="G17" i="5"/>
  <c r="I16" i="5"/>
  <c r="G16" i="5"/>
  <c r="I15" i="5"/>
  <c r="G15" i="5"/>
  <c r="N8" i="5"/>
  <c r="L8" i="5"/>
  <c r="K8" i="5"/>
  <c r="J8" i="5"/>
  <c r="N7" i="5"/>
  <c r="L7" i="5"/>
  <c r="K7" i="5"/>
  <c r="J7" i="5"/>
  <c r="N6" i="5"/>
  <c r="L6" i="5"/>
  <c r="K6" i="5"/>
  <c r="J6" i="5"/>
  <c r="N5" i="5"/>
  <c r="L5" i="5"/>
  <c r="K5" i="5"/>
  <c r="J5" i="5"/>
  <c r="C16" i="4"/>
  <c r="C14" i="4"/>
  <c r="C7" i="4"/>
  <c r="C6" i="4"/>
  <c r="C5" i="4"/>
  <c r="F31" i="3"/>
  <c r="C25" i="3"/>
  <c r="C24" i="3"/>
  <c r="C23" i="3"/>
  <c r="F28" i="2"/>
  <c r="E28" i="2"/>
  <c r="D28" i="2"/>
  <c r="C28" i="2"/>
  <c r="F23" i="2"/>
  <c r="E23" i="2"/>
  <c r="D23" i="2"/>
  <c r="C23" i="2"/>
  <c r="F21" i="2"/>
  <c r="F22" i="2" s="1"/>
  <c r="E21" i="2"/>
  <c r="E22" i="2" s="1"/>
  <c r="D21" i="2"/>
  <c r="D22" i="2" s="1"/>
  <c r="C21" i="2"/>
  <c r="C22" i="2" s="1"/>
  <c r="F16" i="2"/>
  <c r="E16" i="2"/>
  <c r="D16" i="2"/>
  <c r="F15" i="2"/>
  <c r="E15" i="2"/>
  <c r="D15" i="2"/>
  <c r="F14" i="2"/>
  <c r="E14" i="2"/>
  <c r="D14" i="2"/>
  <c r="C14" i="2"/>
  <c r="F13" i="2"/>
  <c r="E13" i="2"/>
  <c r="D13" i="2"/>
  <c r="C13" i="2"/>
  <c r="F8" i="2"/>
  <c r="F9" i="2" s="1"/>
  <c r="E8" i="2"/>
  <c r="E9" i="2" s="1"/>
  <c r="D8" i="2"/>
  <c r="D9" i="2" s="1"/>
  <c r="C8" i="2"/>
  <c r="C9" i="2" s="1"/>
  <c r="D15" i="5" l="1"/>
  <c r="H17" i="6"/>
  <c r="E17" i="5"/>
  <c r="D16" i="5"/>
  <c r="C27" i="5" s="1"/>
  <c r="C18" i="1" s="1"/>
  <c r="D18" i="1" s="1"/>
  <c r="F17" i="5"/>
  <c r="C26" i="3"/>
  <c r="D46" i="3" s="1"/>
  <c r="G17" i="6"/>
  <c r="C18" i="4"/>
  <c r="E15" i="5"/>
  <c r="E16" i="5"/>
  <c r="F6" i="6"/>
  <c r="D17" i="5"/>
  <c r="F16" i="5"/>
  <c r="C28" i="5" s="1"/>
  <c r="C19" i="1" s="1"/>
  <c r="D19" i="1" s="1"/>
  <c r="G6" i="6"/>
  <c r="F21" i="7"/>
  <c r="C28" i="7" s="1"/>
  <c r="C31" i="7" s="1"/>
  <c r="G6" i="4"/>
  <c r="E31" i="3"/>
  <c r="H17" i="5"/>
  <c r="H15" i="5"/>
  <c r="H16" i="5"/>
  <c r="D31" i="3"/>
  <c r="D5" i="4"/>
  <c r="H7" i="4"/>
  <c r="G32" i="3"/>
  <c r="E5" i="4"/>
  <c r="F5" i="4"/>
  <c r="C30" i="3"/>
  <c r="C33" i="3" s="1"/>
  <c r="H6" i="4"/>
  <c r="C3" i="6"/>
  <c r="G7" i="4"/>
  <c r="E6" i="4"/>
  <c r="F32" i="3"/>
  <c r="C31" i="3"/>
  <c r="F7" i="4"/>
  <c r="D6" i="4"/>
  <c r="E32" i="3"/>
  <c r="G30" i="3"/>
  <c r="E7" i="4"/>
  <c r="D32" i="3"/>
  <c r="F30" i="3"/>
  <c r="D7" i="4"/>
  <c r="H5" i="4"/>
  <c r="C32" i="3"/>
  <c r="E30" i="3"/>
  <c r="G5" i="4"/>
  <c r="G31" i="3"/>
  <c r="D30" i="3"/>
  <c r="F6" i="4"/>
  <c r="F15" i="5"/>
  <c r="H6" i="6"/>
  <c r="I17" i="6"/>
  <c r="I6" i="6"/>
  <c r="C17" i="6"/>
  <c r="C6" i="6"/>
  <c r="D17" i="6"/>
  <c r="D6" i="6"/>
  <c r="E17" i="6"/>
  <c r="C50" i="7" l="1"/>
  <c r="C52" i="7" s="1"/>
  <c r="C53" i="7" s="1"/>
  <c r="E46" i="3"/>
  <c r="F46" i="3"/>
  <c r="C46" i="3"/>
  <c r="G46" i="3"/>
  <c r="C43" i="7"/>
  <c r="D43" i="7" s="1"/>
  <c r="E43" i="7" s="1"/>
  <c r="C40" i="7"/>
  <c r="D40" i="7" s="1"/>
  <c r="E40" i="7" s="1"/>
  <c r="C33" i="7"/>
  <c r="C42" i="7"/>
  <c r="D42" i="7" s="1"/>
  <c r="E42" i="7" s="1"/>
  <c r="C44" i="7"/>
  <c r="D44" i="7" s="1"/>
  <c r="E44" i="7" s="1"/>
  <c r="C41" i="7"/>
  <c r="D41" i="7" s="1"/>
  <c r="E41" i="7" s="1"/>
  <c r="B13" i="6"/>
  <c r="B12" i="6"/>
  <c r="B11" i="6"/>
  <c r="B10" i="6"/>
  <c r="B9" i="6"/>
  <c r="B8" i="6"/>
  <c r="B7" i="6"/>
  <c r="B24" i="6"/>
  <c r="B23" i="6"/>
  <c r="B22" i="6"/>
  <c r="B21" i="6"/>
  <c r="B20" i="6"/>
  <c r="B19" i="6"/>
  <c r="B18" i="6"/>
  <c r="C34" i="3"/>
  <c r="D10" i="4" s="1"/>
  <c r="C37" i="3"/>
  <c r="D33" i="3"/>
  <c r="D9" i="4"/>
  <c r="D12" i="4" s="1"/>
  <c r="C35" i="3" l="1"/>
  <c r="C39" i="3" s="1"/>
  <c r="D34" i="3"/>
  <c r="E10" i="4" s="1"/>
  <c r="D37" i="3"/>
  <c r="D35" i="3"/>
  <c r="E33" i="3"/>
  <c r="E9" i="4"/>
  <c r="E12" i="4" s="1"/>
  <c r="D15" i="4"/>
  <c r="D16" i="4" s="1"/>
  <c r="D13" i="4"/>
  <c r="D14" i="4" s="1"/>
  <c r="C36" i="3" l="1"/>
  <c r="C38" i="3"/>
  <c r="D18" i="4"/>
  <c r="D19" i="4" s="1"/>
  <c r="C44" i="3" s="1"/>
  <c r="C40" i="3"/>
  <c r="C41" i="3" s="1"/>
  <c r="E15" i="4"/>
  <c r="E16" i="4" s="1"/>
  <c r="E13" i="4"/>
  <c r="E14" i="4"/>
  <c r="E18" i="4" s="1"/>
  <c r="E37" i="3"/>
  <c r="F33" i="3"/>
  <c r="F9" i="4"/>
  <c r="F12" i="4" s="1"/>
  <c r="E34" i="3"/>
  <c r="F10" i="4" s="1"/>
  <c r="D38" i="3"/>
  <c r="D36" i="3"/>
  <c r="D39" i="3"/>
  <c r="C45" i="3" l="1"/>
  <c r="C47" i="3" s="1"/>
  <c r="E35" i="3"/>
  <c r="E38" i="3" s="1"/>
  <c r="E19" i="4"/>
  <c r="D44" i="3" s="1"/>
  <c r="G33" i="3"/>
  <c r="G9" i="4"/>
  <c r="G12" i="4" s="1"/>
  <c r="F37" i="3"/>
  <c r="F34" i="3"/>
  <c r="G10" i="4" s="1"/>
  <c r="D40" i="3"/>
  <c r="D41" i="3" s="1"/>
  <c r="F15" i="4"/>
  <c r="F16" i="4" s="1"/>
  <c r="F13" i="4"/>
  <c r="F14" i="4" s="1"/>
  <c r="F18" i="4" s="1"/>
  <c r="F19" i="4" s="1"/>
  <c r="E44" i="3" s="1"/>
  <c r="E39" i="3" l="1"/>
  <c r="E36" i="3"/>
  <c r="D45" i="3"/>
  <c r="D47" i="3" s="1"/>
  <c r="G15" i="4"/>
  <c r="G16" i="4" s="1"/>
  <c r="G13" i="4"/>
  <c r="G14" i="4" s="1"/>
  <c r="H9" i="4"/>
  <c r="H12" i="4" s="1"/>
  <c r="G37" i="3"/>
  <c r="G34" i="3"/>
  <c r="H10" i="4" s="1"/>
  <c r="F35" i="3"/>
  <c r="E40" i="3"/>
  <c r="E41" i="3" s="1"/>
  <c r="E45" i="3" s="1"/>
  <c r="E47" i="3" s="1"/>
  <c r="G18" i="4" l="1"/>
  <c r="G19" i="4" s="1"/>
  <c r="F44" i="3" s="1"/>
  <c r="G35" i="3"/>
  <c r="G39" i="3" s="1"/>
  <c r="F38" i="3"/>
  <c r="F36" i="3"/>
  <c r="F39" i="3"/>
  <c r="H15" i="4"/>
  <c r="H16" i="4" s="1"/>
  <c r="H13" i="4"/>
  <c r="H14" i="4" s="1"/>
  <c r="G36" i="3" l="1"/>
  <c r="G38" i="3"/>
  <c r="H18" i="4"/>
  <c r="H19" i="4" s="1"/>
  <c r="G44" i="3" s="1"/>
  <c r="G40" i="3"/>
  <c r="G41" i="3" s="1"/>
  <c r="C59" i="3"/>
  <c r="C60" i="3" s="1"/>
  <c r="C61" i="3" s="1"/>
  <c r="F40" i="3"/>
  <c r="F41" i="3" s="1"/>
  <c r="F45" i="3" s="1"/>
  <c r="G45" i="3" l="1"/>
  <c r="I24" i="6" s="1"/>
  <c r="F47" i="3"/>
  <c r="C12" i="6" l="1"/>
  <c r="I7" i="6"/>
  <c r="F21" i="6"/>
  <c r="I20" i="6"/>
  <c r="C13" i="6"/>
  <c r="H21" i="6"/>
  <c r="C18" i="6"/>
  <c r="H8" i="6"/>
  <c r="H9" i="6"/>
  <c r="E22" i="6"/>
  <c r="D12" i="6"/>
  <c r="D9" i="6"/>
  <c r="E23" i="6"/>
  <c r="F22" i="6"/>
  <c r="H19" i="6"/>
  <c r="E12" i="6"/>
  <c r="D7" i="6"/>
  <c r="C7" i="6"/>
  <c r="G13" i="6"/>
  <c r="I8" i="6"/>
  <c r="E8" i="6"/>
  <c r="G12" i="6"/>
  <c r="C11" i="6"/>
  <c r="F11" i="6"/>
  <c r="G20" i="6"/>
  <c r="F7" i="6"/>
  <c r="C21" i="6"/>
  <c r="C8" i="6"/>
  <c r="G7" i="6"/>
  <c r="H10" i="6"/>
  <c r="G22" i="6"/>
  <c r="F24" i="6"/>
  <c r="I22" i="6"/>
  <c r="H22" i="6"/>
  <c r="G47" i="3"/>
  <c r="C50" i="3" s="1"/>
  <c r="C9" i="6"/>
  <c r="D13" i="6"/>
  <c r="G11" i="6"/>
  <c r="F12" i="6"/>
  <c r="D21" i="6"/>
  <c r="E20" i="6"/>
  <c r="D10" i="6"/>
  <c r="H12" i="6"/>
  <c r="E11" i="6"/>
  <c r="C23" i="6"/>
  <c r="C51" i="3"/>
  <c r="C52" i="3" s="1"/>
  <c r="H11" i="6"/>
  <c r="E24" i="6"/>
  <c r="I9" i="6"/>
  <c r="I11" i="6"/>
  <c r="D11" i="6"/>
  <c r="F18" i="6"/>
  <c r="I19" i="6"/>
  <c r="C10" i="6"/>
  <c r="E18" i="6"/>
  <c r="E21" i="6"/>
  <c r="G21" i="6"/>
  <c r="F20" i="6"/>
  <c r="D20" i="6"/>
  <c r="C19" i="6"/>
  <c r="G23" i="6"/>
  <c r="F8" i="6"/>
  <c r="C24" i="6"/>
  <c r="D8" i="6"/>
  <c r="G9" i="6"/>
  <c r="H18" i="6"/>
  <c r="D22" i="6"/>
  <c r="D23" i="6"/>
  <c r="F19" i="6"/>
  <c r="I18" i="6"/>
  <c r="I13" i="6"/>
  <c r="E9" i="6"/>
  <c r="F23" i="6"/>
  <c r="C20" i="6"/>
  <c r="D24" i="6"/>
  <c r="E10" i="6"/>
  <c r="I12" i="6"/>
  <c r="H24" i="6"/>
  <c r="G8" i="6"/>
  <c r="H20" i="6"/>
  <c r="D19" i="6"/>
  <c r="I21" i="6"/>
  <c r="I10" i="6"/>
  <c r="F10" i="6"/>
  <c r="C22" i="6"/>
  <c r="E13" i="6"/>
  <c r="E19" i="6"/>
  <c r="H23" i="6"/>
  <c r="E7" i="6"/>
  <c r="G19" i="6"/>
  <c r="G24" i="6"/>
  <c r="H13" i="6"/>
  <c r="D18" i="6"/>
  <c r="G18" i="6"/>
  <c r="F13" i="6"/>
  <c r="I23" i="6"/>
  <c r="F9" i="6"/>
  <c r="G10" i="6"/>
  <c r="H7" i="6"/>
  <c r="C53" i="3" l="1"/>
  <c r="C54" i="3" s="1"/>
  <c r="C55" i="3" s="1"/>
  <c r="C16" i="1" s="1"/>
  <c r="D16" i="1" s="1"/>
  <c r="C58" i="3"/>
  <c r="C62" i="3" s="1"/>
  <c r="C63" i="3" s="1"/>
  <c r="C64" i="3" s="1"/>
  <c r="C17" i="1" s="1"/>
  <c r="D17" i="1" s="1"/>
  <c r="C10" i="1" l="1"/>
  <c r="C12" i="1" s="1"/>
  <c r="C11" i="1" s="1"/>
  <c r="C21" i="1"/>
</calcChain>
</file>

<file path=xl/sharedStrings.xml><?xml version="1.0" encoding="utf-8"?>
<sst xmlns="http://schemas.openxmlformats.org/spreadsheetml/2006/main" count="292" uniqueCount="231">
  <si>
    <t>DISCLAIMER: This is a sample analysis for demonstration purposes only. It does not constitute investment advice.</t>
  </si>
  <si>
    <t>イオン株式会社 (8267.T)</t>
  </si>
  <si>
    <t>Equity Research Report</t>
  </si>
  <si>
    <t>Company</t>
  </si>
  <si>
    <t>イオン株式会社</t>
  </si>
  <si>
    <t>Ticker</t>
  </si>
  <si>
    <t>8267.T (TSE)</t>
  </si>
  <si>
    <t>Sector</t>
  </si>
  <si>
    <t>Retail holding company (GMS/SM/drugstore/mall/finance/services)</t>
  </si>
  <si>
    <t>Current Price</t>
  </si>
  <si>
    <t>Target Price (Mid)</t>
  </si>
  <si>
    <t>Recommendation</t>
  </si>
  <si>
    <t>Upside / Downside</t>
  </si>
  <si>
    <t>Valuation Summary</t>
  </si>
  <si>
    <t>Methodology</t>
  </si>
  <si>
    <t>Implied Value (JPY)</t>
  </si>
  <si>
    <t>vs Current Price</t>
  </si>
  <si>
    <t>DCF - Perpetuity Growth</t>
  </si>
  <si>
    <t>DCF - Exit Multiple</t>
  </si>
  <si>
    <t>Comps - EV/EBITDA Median</t>
  </si>
  <si>
    <t>Comps - PER Median</t>
  </si>
  <si>
    <t>Integrated Valuation Range</t>
  </si>
  <si>
    <t>Key Investment Thesis</t>
  </si>
  <si>
    <t>1. Operating profit is compounding but almost none of it reaches the parent. Operating income rose from 209,783 (FY2023/2) to 270,459 (FY2026/2) and is guided to 340,000 in FY2027/2 (+25.7%), yet guided parent net income is 73,000, up just 0.4%. Non-controlling interests took 51,858 of the 124,536 consolidated net income in FY2026/2. The investment case is entirely about whether Aeon can convert consolidated growth into parent-level value.</t>
  </si>
  <si>
    <t>2. Drug-store consolidation is reshaping the group. The Tsuruha integration drove a 69,086 step-acquisition gain in FY2026/2 and underpins the guided 12.0% revenue jump to 12,000,000. Health &amp; Wellness is now the growth engine alongside the developer business.</t>
  </si>
  <si>
    <t>3. Low cost of capital supports a long-duration asset base. Interest expense of 51,376 on average interest-bearing debt of 4,140,937 is a 1.24% pre-tax cost, giving a WACC near 4.4%. For a business with 3,941,556 of property and 1,138,073 of land, cheap long-term funding is a genuine structural advantage.</t>
  </si>
  <si>
    <t>Key Risks</t>
  </si>
  <si>
    <t>1. Minority interests are 984,094 at book, or 380 per share against a 1,424 price. Because the listed subsidiaries trade above book, the true economic deduction is larger than the balance sheet figure. Any consolidated valuation that omits this overstates the equity by more than a quarter.</t>
  </si>
  <si>
    <t>2. Valuation already prices in the improvement. At 1,424 the shares trade at 3.03x book, 50.7x parent earnings and 11.90x consolidated EBITDA on a 2.52% operating margin. A retailer at 11.9x EBITDA leaves no room for the margin recovery to disappoint.</t>
  </si>
  <si>
    <t>3. Impairment and leverage. FY2026/2 booked 97,486 of impairment losses with 270,803 of goodwill still on the balance sheet, and the effective tax rate has run 40-57% because much of that charge is not deductible. Interest-bearing debt of 4,449,206 against 1,218,421 of owners' equity means a small move in funding costs moves the WACC and the terminal value materially.</t>
  </si>
  <si>
    <t>イオン株式会社 - Historical Financials (JPY mn)</t>
  </si>
  <si>
    <t>FY2023/2</t>
  </si>
  <si>
    <t>FY2024/2</t>
  </si>
  <si>
    <t>FY2025/2</t>
  </si>
  <si>
    <t>FY2026/2</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</si>
  <si>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</si>
  <si>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</si>
  <si>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</si>
  <si>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</si>
  <si>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</si>
  <si>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</si>
  <si>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</si>
  <si>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</si>
  <si>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</si>
  <si>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</si>
  <si>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</si>
  <si>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</si>
  <si>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</si>
  <si>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</si>
  <si>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</si>
  <si>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</si>
  <si>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</si>
  <si>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</si>
  <si>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</si>
  <si>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</si>
  <si>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</si>
  <si>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Short-term Debt</t>
  </si>
  <si>
    <t>Net Debt (Cash)</t>
  </si>
  <si>
    <t>DCF Valuation Model - イオン株式会社</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</si>
  <si>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</si>
  <si>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</si>
  <si>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</si>
  <si>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</si>
  <si>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</si>
  <si>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</si>
  <si>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</si>
  <si>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</si>
  <si>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</si>
  <si>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</si>
  <si>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</si>
  <si>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</si>
  <si>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</si>
  <si>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</si>
  <si>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</si>
  <si>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</si>
  <si>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</si>
  <si>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</si>
  <si>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</si>
  <si>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</si>
  <si>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</si>
  <si>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</si>
  <si>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</si>
  <si>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</si>
  <si>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</si>
  <si>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</si>
  <si>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</si>
  <si>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</si>
  <si>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</si>
  <si>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</si>
  <si>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</si>
  <si>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</si>
  <si>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</si>
  <si>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</si>
  <si>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</si>
  <si>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</si>
  <si>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</si>
  <si>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</si>
  <si>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</si>
  <si>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</si>
  <si>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</si>
  <si>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</si>
  <si>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</si>
  <si>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</si>
  <si>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</si>
  <si>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</si>
  <si>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</si>
  <si>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</si>
  <si>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</si>
  <si>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</si>
  <si>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</si>
  <si>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</si>
  <si>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</si>
  <si>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</si>
  <si>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</si>
  <si>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</si>
  <si>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</si>
  <si>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</si>
  <si>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</si>
  <si>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</si>
  <si>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</si>
  <si>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</si>
  <si>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</si>
  <si>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NWC Schedule - イオン株式会社</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</si>
  <si>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</si>
  <si>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</si>
  <si>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</si>
  <si>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</si>
  <si>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</si>
  <si>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</si>
  <si>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</si>
  <si>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</si>
  <si>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</si>
  <si>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</si>
  <si>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</si>
  <si>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</si>
  <si>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</si>
  <si>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</si>
  <si>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</si>
  <si>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</si>
  <si>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</si>
  <si>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</si>
  <si>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</si>
  <si>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Mkt Cap
(JPY mn)</t>
  </si>
  <si>
    <t>EV
(JPY mn)</t>
  </si>
  <si>
    <t>Revenue
(JPY mn)</t>
  </si>
  <si>
    <t>EBITDA
(JPY mn)</t>
  </si>
  <si>
    <t>Op Income
(JPY mn)</t>
  </si>
  <si>
    <t>Net Income
(JPY mn)</t>
  </si>
  <si>
    <t>EV/EBITDA</t>
  </si>
  <si>
    <t>EV/Revenue</t>
  </si>
  <si>
    <t>PER</t>
  </si>
  <si>
    <t>PBR</t>
  </si>
  <si>
    <t>Op Margin</t>
  </si>
  <si>
    <t>ROE</t>
  </si>
  <si>
    <t>AEON</t>
  </si>
  <si>
    <t>8267.T</t>
  </si>
  <si>
    <t>Seven &amp; I Holdings</t>
  </si>
  <si>
    <t>3382.T</t>
  </si>
  <si>
    <t>Pan Pacific International Holdings</t>
  </si>
  <si>
    <t>7532.T</t>
  </si>
  <si>
    <t>Nitori Holdings</t>
  </si>
  <si>
    <t>9843.T</t>
  </si>
  <si>
    <t>Statistics</t>
  </si>
  <si>
    <t>25th Percentile</t>
  </si>
  <si>
    <t>Median (50th)</t>
  </si>
  <si>
    <t>75th Percentile</t>
  </si>
  <si>
    <t>Implied Valuation for イオン株式会社</t>
  </si>
  <si>
    <t>イオン株式会社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</si>
  <si>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</si>
  <si>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</si>
  <si>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</si>
  <si>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</si>
  <si>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</si>
  <si>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</si>
  <si>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</si>
  <si>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</si>
  <si>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</si>
  <si>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</si>
  <si>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</si>
  <si>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</si>
  <si>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</si>
  <si>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</si>
  <si>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</si>
  <si>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SOTP Cross-Check (intended PRIMARY framework -- see note)</t>
  </si>
  <si>
    <t>AEON is a holding company for many listed/unlisted subsidiaries; a consolidated DCF ('DCF Model' sheet) is an approximation. SOTP is the theoretically correct lens, but see the critical finding below before using this sheet's totals.</t>
  </si>
  <si>
    <t>CRITICAL FINDING: 3 of 9 originally-in-scope subsidiaries went private in 2025</t>
  </si>
  <si>
    <t>AEON Mall (8905)</t>
  </si>
  <si>
    <t>Delisted 2025-06-27 (share exchange -&gt; 100% AEON-owned)</t>
  </si>
  <si>
    <t>AEON Delight (9787)</t>
  </si>
  <si>
    <t>Delisted 2025-07-17 (TOB + squeeze-out -&gt; 100% AEON-owned)</t>
  </si>
  <si>
    <t>Welcia Holdings (3141)</t>
  </si>
  <si>
    <t>Delisted 2025-11-27 (merged into Tsuruha Holdings as wholly-owned sub)</t>
  </si>
  <si>
    <t>Only 6 of the 9 remain listed with a market price. Per the source prompt's own fallback instruction, this sheet presents the sum of the 6 remaining listed stakes as an explicit FLOOR value -- it does NOT attempt to price the now-wholly-owned AEON Mall / AEON Delight, the Welcia business now inside Tsuruha, or the GMS/SM retail core (no reliable, non-guessed EBITDA breakdown by segment is available for AEON). The floor will therefore sit far below AEON's actual market cap by construction -- that gap IS the (unquantified) value of the wholly-owned businesses.</t>
  </si>
  <si>
    <t>Listed Subsidiary / Affiliate Stakes</t>
  </si>
  <si>
    <t>Market Cap (JPY mn)</t>
  </si>
  <si>
    <t>AEON Ownership %</t>
  </si>
  <si>
    <t>Implied Stake Value (JPY mn)</t>
  </si>
  <si>
    <t>AEON Financial Service</t>
  </si>
  <si>
    <t>8570.T</t>
  </si>
  <si>
    <t>Tsuruha Holdings</t>
  </si>
  <si>
    <t>3391.T</t>
  </si>
  <si>
    <t>AEON Kyushu</t>
  </si>
  <si>
    <t>2653.T</t>
  </si>
  <si>
    <t>AEON Hokkaido</t>
  </si>
  <si>
    <t>7512.T</t>
  </si>
  <si>
    <t>Maxvalu Tokai</t>
  </si>
  <si>
    <t>8198.T</t>
  </si>
  <si>
    <t>Ministop</t>
  </si>
  <si>
    <t>9946.T</t>
  </si>
  <si>
    <t>Sum of Listed Stakes (JPY mn)</t>
  </si>
  <si>
    <t>Market cap data as of late Jul 2026; ownership % from FY2026/2 yuho 'related companies' disclosures (Tsuruha stake reflects the Jan-2026 TOB result, 50.11%-&gt;50.33% via subsequent market purchases).</t>
  </si>
  <si>
    <t>Non-listed / wholly-owned businesses (AEON Mall, AEON Delight, GMS/SM core, Welcia-in-Tsuruha)</t>
  </si>
  <si>
    <t>NOT PRICED -- no reliable per-segment EBITDA breakdown available; not guessed (per instruction).</t>
  </si>
  <si>
    <t>Bridge to SOTP Equity Value (FLOOR -- listed stakes only)</t>
  </si>
  <si>
    <t>Less: Parent (unconsolidated) net interest-bearing debt</t>
  </si>
  <si>
    <t xml:space="preserve">  Note: parent-only (単体) net debt was not obtained; using CONSOLIDATED net interest-bearing debt (excl. bank deposits, excl. MI addback) as a fallback per prompt instruction -- this OVERSTATES the deduction versus a true parent-only figure, making the floor value conservative (too low).</t>
  </si>
  <si>
    <t>SOTP Equity Value - FLOOR (JPY mn)</t>
  </si>
  <si>
    <t>SOTP Floor Value per Share (JPY, pre-discount)</t>
  </si>
  <si>
    <t>This floor is likely NEGATIVE or small: it deducts group-level debt against only a small slice of group value (the 6 remaining minority-held listed stakes), deliberately excluding the wholly-owned businesses that generate most of consolidated EBITDA. A negative or very low floor does NOT mean AEON is worth that little -- it means this floor construction cannot see most of the company. Treat as a data-availability limitation, not a valuation conclusion.</t>
  </si>
  <si>
    <t>Holding Company Discount Sensitivity (applied to floor equity value)</t>
  </si>
  <si>
    <t>Discount %</t>
  </si>
  <si>
    <t>SOTP Equity Value (JPY mn)</t>
  </si>
  <si>
    <t>Per Share (JPY)</t>
  </si>
  <si>
    <t>vs Current Price (1,424)</t>
  </si>
  <si>
    <t>No discount level makes the floor value approach the current price of 1,424 -- confirming this floor is not a usable standalone valuation. It only demonstrates that the value of AEON's remaining minority listed stakes is a small fraction of the group's total equity value; the balance of AEON's ~3,938,454mn market cap is attributable to wholly-owned businesses this sheet cannot independently price.</t>
  </si>
  <si>
    <t>Cross-check: Sum of Listed Stakes vs Non-Controlling Interests (book)</t>
  </si>
  <si>
    <t>Sum of Listed Stakes (JPY mn, AEON's share)</t>
  </si>
  <si>
    <t>Non-Controlling Interests, book value (JPY mn)</t>
  </si>
  <si>
    <t>Difference (JPY mn)</t>
  </si>
  <si>
    <t>Difference per share (JPY)</t>
  </si>
  <si>
    <t>NOT a clean apples-to-apples comparison: NCI book value (984,094) covers ALL consolidated subsidiaries (including the now-wholly-owned AEON Mall/AEON Delight, where NCI has since gone to zero post-buyout, and many unlisted subs), while the listed-stakes sum above covers only the 6 companies still listed today. The rough numerical proximity between the two figures is not strong evidence that book-value MI is fairly stated; it is a coincidence of a mixed, shifting subsidiary base, not a controlled comparison.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</si>
</sst>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3"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i/>
      <sz val="9"/>
      <color rgb="FF808080"/>
      <name val="Arial"/>
    </font>
    <font>
      <b/>
      <sz val="11"/>
      <color rgb="FFFFFFFF"/>
      <name val="Arial"/>
    </font>
    <font>
      <sz val="10"/>
      <color rgb="FF000000"/>
      <name val="Arial"/>
    </font>
    <font>
      <sz val="10"/>
      <color rgb="FF0000FF"/>
      <name val="Arial"/>
    </font>
  </fonts>
  <fills count="10">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
      <patternFill patternType="solid">
        <fgColor rgb="FFFFC7CE"/>
        <bgColor rgb="FFFFC7CE"/>
      </patternFill>
    </fill>
    <fill>
      <patternFill patternType="solid">
        <fgColor rgb="FF000080"/>
        <bgColor rgb="FF000080"/>
      </patternFill>
    </fill>
    <fill>
      <patternFill patternType="solid">
        <fgColor rgb="FFE2EFDA"/>
        <bgColor rgb="FFE2EFDA"/>
      </patternFill>
    </fill>
    <fill>
      <patternFill patternType="solid">
        <fgColor rgb="FFFFF2CC"/>
        <bgColor rgb="FFFFF2CC"/>
      </patternFill>
    </fill>
  </fills>
  <borders count="11">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style="thin">
        <color auto="1"/>
      </left>
      <right style="thin">
        <color auto="1"/>
      </right>
      <top style="thin">
        <color auto="1"/>
      </top>
      <bottom style="thin">
        <color auto="1"/>
      </bottom>
      <diagonal/>
    </border>
    <border>
      <left/>
      <right/>
      <top style="thin">
        <color auto="1"/>
      </top>
      <bottom style="double">
        <color auto="1"/>
      </bottom>
      <diagonal/>
    </border>
  </borders>
  <cellStyleXfs count="1">
    <xf numFmtId="0" fontId="0" fillId="0" borderId="0"/>
  </cellStyleXfs>
  <cellXfs count="55">
    <xf numFmtId="0" fontId="0" fillId="0" borderId="0" xfId="0"/>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3" fontId="5" fillId="0" borderId="2" xfId="0" applyNumberFormat="1"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4" fillId="6" borderId="0" xfId="0" applyFont="1" applyFill="1"/>
    <xf numFmtId="0" fontId="10" fillId="7" borderId="7" xfId="0" applyFont="1" applyFill="1" applyBorder="1" applyAlignment="1">
      <alignment horizontal="center" wrapText="1"/>
    </xf>
    <xf numFmtId="0" fontId="11" fillId="0" borderId="0" xfId="0" applyFont="1"/>
    <xf numFmtId="176" fontId="12" fillId="0" borderId="8" xfId="0" applyNumberFormat="1" applyFont="1" applyBorder="1"/>
    <xf numFmtId="177" fontId="12" fillId="0" borderId="8" xfId="0" applyNumberFormat="1" applyFont="1" applyBorder="1"/>
    <xf numFmtId="176" fontId="11" fillId="0" borderId="9" xfId="0" applyNumberFormat="1" applyFont="1" applyBorder="1"/>
    <xf numFmtId="0" fontId="4" fillId="8" borderId="10" xfId="0" applyFont="1" applyFill="1" applyBorder="1"/>
    <xf numFmtId="176" fontId="4" fillId="8" borderId="10" xfId="0" applyNumberFormat="1" applyFont="1" applyFill="1" applyBorder="1"/>
    <xf numFmtId="0" fontId="9" fillId="9" borderId="0" xfId="0" applyFont="1" applyFill="1"/>
    <xf numFmtId="176" fontId="11" fillId="0" borderId="0" xfId="0" applyNumberFormat="1" applyFont="1"/>
    <xf numFmtId="3" fontId="11" fillId="0" borderId="0" xfId="0" applyNumberFormat="1" applyFont="1"/>
    <xf numFmtId="176" fontId="4" fillId="0" borderId="0" xfId="0" applyNumberFormat="1" applyFont="1"/>
    <xf numFmtId="177" fontId="11" fillId="0" borderId="0" xfId="0" applyNumberFormat="1"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workbookViewId="0"/>
  </sheetViews>
  <sheetFormatPr defaultRowHeight="13" x14ac:dyDescent="0.2"/>
  <cols>
    <col min="1" max="1" width="3" customWidth="1"/>
    <col min="2" max="2" width="30" customWidth="1"/>
    <col min="3" max="5" width="22" customWidth="1"/>
  </cols>
  <sheetData>
    <row r="1" spans="2:5" ht="14" customHeight="1" x14ac:dyDescent="0.3">
      <c r="B1" s="54" t="s">
        <v>0</v>
      </c>
      <c r="C1" s="53"/>
      <c r="D1" s="53"/>
      <c r="E1" s="53"/>
    </row>
    <row r="3" spans="2:5" ht="18" customHeight="1" x14ac:dyDescent="0.4">
      <c r="B3" s="52" t="s">
        <v>1</v>
      </c>
      <c r="C3" s="53"/>
      <c r="D3" s="53"/>
    </row>
    <row r="4" spans="2:5" ht="14" customHeight="1" x14ac:dyDescent="0.3">
      <c r="B4" s="2" t="s">
        <v>2</v>
      </c>
    </row>
    <row r="6" spans="2:5" ht="14" customHeight="1" x14ac:dyDescent="0.3">
      <c r="B6" s="3" t="s">
        <v>3</v>
      </c>
      <c r="C6" t="s">
        <v>4</v>
      </c>
    </row>
    <row r="7" spans="2:5" ht="14" customHeight="1" x14ac:dyDescent="0.3">
      <c r="B7" s="3" t="s">
        <v>5</v>
      </c>
      <c r="C7" t="s">
        <v>6</v>
      </c>
    </row>
    <row r="8" spans="2:5" ht="14" customHeight="1" x14ac:dyDescent="0.3">
      <c r="B8" s="3" t="s">
        <v>7</v>
      </c>
      <c r="C8" t="s">
        <v>8</v>
      </c>
    </row>
    <row r="9" spans="2:5" ht="14" customHeight="1" x14ac:dyDescent="0.3">
      <c r="B9" s="3" t="s">
        <v>9</v>
      </c>
      <c r="C9" s="4">
        <v>1424</v>
      </c>
    </row>
    <row r="10" spans="2:5" ht="14" customHeight="1" x14ac:dyDescent="0.3">
      <c r="B10" s="3" t="s">
        <v>10</v>
      </c>
      <c r="C10" s="4">
        <f>ROUND(AVERAGE(C16:C19),0)</f>
        <v>447</v>
      </c>
    </row>
    <row r="11" spans="2:5" ht="14" customHeight="1" x14ac:dyDescent="0.3">
      <c r="B11" s="3" t="s">
        <v>11</v>
      </c>
      <c r="C11" s="5" t="str">
        <f>IF(C12&gt;0.15,"BUY",IF(C12&gt;0.05,"HOLD","SELL"))</f>
        <v>SELL</v>
      </c>
    </row>
    <row r="12" spans="2:5" ht="14" customHeight="1" x14ac:dyDescent="0.3">
      <c r="B12" s="3" t="s">
        <v>12</v>
      </c>
      <c r="C12" s="6">
        <f>(C10-C9)/C9</f>
        <v>-0.6860955056179775</v>
      </c>
    </row>
    <row r="14" spans="2:5" ht="14" customHeight="1" x14ac:dyDescent="0.3">
      <c r="B14" s="7" t="s">
        <v>13</v>
      </c>
      <c r="C14" s="8"/>
      <c r="D14" s="8"/>
    </row>
    <row r="15" spans="2:5" ht="14" customHeight="1" x14ac:dyDescent="0.3">
      <c r="B15" s="9" t="s">
        <v>14</v>
      </c>
      <c r="C15" s="9" t="s">
        <v>15</v>
      </c>
      <c r="D15" s="9" t="s">
        <v>16</v>
      </c>
    </row>
    <row r="16" spans="2:5" ht="13.5" customHeight="1" x14ac:dyDescent="0.25">
      <c r="B16" t="s">
        <v>17</v>
      </c>
      <c r="C16" s="10">
        <f>'DCF Model'!C55</f>
        <v>-168</v>
      </c>
      <c r="D16" s="6">
        <f>(C16-C9)/C9</f>
        <v>-1.1179775280898876</v>
      </c>
    </row>
    <row r="17" spans="2:4" ht="13.5" customHeight="1" x14ac:dyDescent="0.25">
      <c r="B17" t="s">
        <v>18</v>
      </c>
      <c r="C17" s="10">
        <f>'DCF Model'!C64</f>
        <v>657</v>
      </c>
      <c r="D17" s="6">
        <f>(C17-C9)/C9</f>
        <v>-0.538623595505618</v>
      </c>
    </row>
    <row r="18" spans="2:4" ht="13.5" customHeight="1" x14ac:dyDescent="0.25">
      <c r="B18" t="s">
        <v>19</v>
      </c>
      <c r="C18" s="10">
        <f>'Comps Analysis'!C27</f>
        <v>772</v>
      </c>
      <c r="D18" s="6">
        <f>IF(ISNUMBER(C18),(C18-C9)/C9,"N/A")</f>
        <v>-0.45786516853932585</v>
      </c>
    </row>
    <row r="19" spans="2:4" ht="13.5" customHeight="1" x14ac:dyDescent="0.25">
      <c r="B19" t="s">
        <v>20</v>
      </c>
      <c r="C19" s="10">
        <f>'Comps Analysis'!C28</f>
        <v>527</v>
      </c>
      <c r="D19" s="6">
        <f>IF(ISNUMBER(C19),(C19-C9)/C9,"N/A")</f>
        <v>-0.62991573033707871</v>
      </c>
    </row>
    <row r="21" spans="2:4" ht="14" customHeight="1" x14ac:dyDescent="0.3">
      <c r="B21" s="3" t="s">
        <v>21</v>
      </c>
      <c r="C21" s="5" t="str">
        <f>MIN(C16:C19)&amp;" - "&amp;MAX(C16:C19)</f>
        <v>-168 - 772</v>
      </c>
    </row>
    <row r="23" spans="2:4" ht="14" customHeight="1" x14ac:dyDescent="0.3">
      <c r="B23" s="7" t="s">
        <v>22</v>
      </c>
      <c r="C23" s="8"/>
      <c r="D23" s="8"/>
    </row>
    <row r="24" spans="2:4" x14ac:dyDescent="0.2">
      <c r="B24" t="s">
        <v>23</v>
      </c>
    </row>
    <row r="25" spans="2:4" x14ac:dyDescent="0.2">
      <c r="B25" t="s">
        <v>24</v>
      </c>
    </row>
    <row r="26" spans="2:4" x14ac:dyDescent="0.2">
      <c r="B26" t="s">
        <v>25</v>
      </c>
    </row>
    <row r="28" spans="2:4" ht="14" customHeight="1" x14ac:dyDescent="0.3">
      <c r="B28" s="7" t="s">
        <v>26</v>
      </c>
      <c r="C28" s="8"/>
      <c r="D28" s="8"/>
    </row>
    <row r="29" spans="2:4" x14ac:dyDescent="0.2">
      <c r="B29" t="s">
        <v>27</v>
      </c>
    </row>
    <row r="30" spans="2:4" x14ac:dyDescent="0.2">
      <c r="B30" t="s">
        <v>28</v>
      </c>
    </row>
    <row r="31" spans="2:4" x14ac:dyDescent="0.2">
      <c r="B31" t="s">
        <v>29</v>
      </c>
    </row>
  </sheetData>
  <mergeCells count="2">
    <mergeCell ref="B3:D3"/>
    <mergeCell ref="B1:E1"/>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28"/>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1" t="s">
        <v>30</v>
      </c>
    </row>
    <row r="4" spans="2:6" ht="14" customHeight="1" x14ac:dyDescent="0.3">
      <c r="C4" s="9" t="s">
        <v>31</v>
      </c>
      <c r="D4" s="9" t="s">
        <v>32</v>
      </c>
      <c r="E4" s="9" t="s">
        <v>33</v>
      </c>
      <c r="F4" s="9" t="s">
        <v>34</v>
      </c>
    </row>
    <row r="5" spans="2:6" ht="14" customHeight="1" x14ac:dyDescent="0.3">
      <c r="B5" s="2" t="s">
        <v>35</v>
      </c>
    </row>
    <row r="6" spans="2:6" ht="14" customHeight="1" x14ac:dyDescent="0.3">
      <c r="B6" s="3" t="s">
        <v>36</v>
      </c>
      <c r="C6" s="4">
        <v>9116823</v>
      </c>
      <c r="D6" s="4">
        <v>9553557</v>
      </c>
      <c r="E6" s="4">
        <v>10134877</v>
      </c>
      <c r="F6" s="4">
        <v>10715342</v>
      </c>
    </row>
    <row r="7" spans="2:6" ht="14" customHeight="1" x14ac:dyDescent="0.3">
      <c r="B7" s="3" t="s">
        <v>37</v>
      </c>
      <c r="C7" s="4">
        <v>5778894</v>
      </c>
      <c r="D7" s="4">
        <v>6007745</v>
      </c>
      <c r="E7" s="4">
        <v>6380141</v>
      </c>
      <c r="F7" s="4">
        <v>6804966</v>
      </c>
    </row>
    <row r="8" spans="2:6" ht="14" customHeight="1" x14ac:dyDescent="0.3">
      <c r="B8" s="3" t="s">
        <v>38</v>
      </c>
      <c r="C8" s="4">
        <f>C6-C7</f>
        <v>3337929</v>
      </c>
      <c r="D8" s="4">
        <f>D6-D7</f>
        <v>3545812</v>
      </c>
      <c r="E8" s="4">
        <f>E6-E7</f>
        <v>3754736</v>
      </c>
      <c r="F8" s="4">
        <f>F6-F7</f>
        <v>3910376</v>
      </c>
    </row>
    <row r="9" spans="2:6" ht="13.5" customHeight="1" x14ac:dyDescent="0.25">
      <c r="B9" t="s">
        <v>39</v>
      </c>
      <c r="C9" s="6">
        <f>C8/C6</f>
        <v>0.36612852964239845</v>
      </c>
      <c r="D9" s="6">
        <f>D8/D6</f>
        <v>0.37115097549530507</v>
      </c>
      <c r="E9" s="6">
        <f>E8/E6</f>
        <v>0.37047672112843599</v>
      </c>
      <c r="F9" s="6">
        <f>F8/F6</f>
        <v>0.36493244919294221</v>
      </c>
    </row>
    <row r="10" spans="2:6" ht="14" customHeight="1" x14ac:dyDescent="0.3">
      <c r="B10" s="3" t="s">
        <v>40</v>
      </c>
      <c r="C10" s="4">
        <v>3128145</v>
      </c>
      <c r="D10" s="4">
        <v>3294989</v>
      </c>
      <c r="E10" s="4">
        <v>3516989</v>
      </c>
      <c r="F10" s="4">
        <v>3639916</v>
      </c>
    </row>
    <row r="11" spans="2:6" ht="14" customHeight="1" x14ac:dyDescent="0.3">
      <c r="B11" s="3" t="s">
        <v>41</v>
      </c>
      <c r="C11" s="4">
        <v>209783</v>
      </c>
      <c r="D11" s="4">
        <v>250822</v>
      </c>
      <c r="E11" s="4">
        <v>237747</v>
      </c>
      <c r="F11" s="4">
        <v>270459</v>
      </c>
    </row>
    <row r="12" spans="2:6" ht="14" customHeight="1" x14ac:dyDescent="0.3">
      <c r="B12" s="3" t="s">
        <v>42</v>
      </c>
      <c r="C12" s="4">
        <v>21381</v>
      </c>
      <c r="D12" s="4">
        <v>44692</v>
      </c>
      <c r="E12" s="4">
        <v>27168</v>
      </c>
      <c r="F12" s="4">
        <v>72677</v>
      </c>
    </row>
    <row r="13" spans="2:6" ht="13.5" customHeight="1" x14ac:dyDescent="0.25">
      <c r="B13" t="s">
        <v>43</v>
      </c>
      <c r="C13" s="6">
        <f>C11/C6</f>
        <v>2.3010537771765448E-2</v>
      </c>
      <c r="D13" s="6">
        <f>D11/D6</f>
        <v>2.6254305071922425E-2</v>
      </c>
      <c r="E13" s="6">
        <f>E11/E6</f>
        <v>2.3458301467299505E-2</v>
      </c>
      <c r="F13" s="6">
        <f>F11/F6</f>
        <v>2.5240351637866528E-2</v>
      </c>
    </row>
    <row r="14" spans="2:6" ht="13.5" customHeight="1" x14ac:dyDescent="0.25">
      <c r="B14" t="s">
        <v>44</v>
      </c>
      <c r="C14" s="6">
        <f>C12/C6</f>
        <v>2.3452248661622586E-3</v>
      </c>
      <c r="D14" s="6">
        <f>D12/D6</f>
        <v>4.6780481866596909E-3</v>
      </c>
      <c r="E14" s="6">
        <f>E12/E6</f>
        <v>2.6806442742225681E-3</v>
      </c>
      <c r="F14" s="6">
        <f>F12/F6</f>
        <v>6.7825180008253584E-3</v>
      </c>
    </row>
    <row r="15" spans="2:6" ht="13.5" customHeight="1" x14ac:dyDescent="0.25">
      <c r="B15" t="s">
        <v>45</v>
      </c>
      <c r="C15" t="s">
        <v>46</v>
      </c>
      <c r="D15" s="6">
        <f>(D6-C6)/C6</f>
        <v>4.7904187675904202E-2</v>
      </c>
      <c r="E15" s="6">
        <f>(E6-D6)/D6</f>
        <v>6.084854049648733E-2</v>
      </c>
      <c r="F15" s="6">
        <f>(F6-E6)/E6</f>
        <v>5.7274005397401469E-2</v>
      </c>
    </row>
    <row r="16" spans="2:6" ht="13.5" customHeight="1" x14ac:dyDescent="0.25">
      <c r="B16" t="s">
        <v>47</v>
      </c>
      <c r="C16" t="s">
        <v>46</v>
      </c>
      <c r="D16" s="6">
        <f>(D11-C11)/C11</f>
        <v>0.19562595634536639</v>
      </c>
      <c r="E16" s="6">
        <f>(E11-D11)/D11</f>
        <v>-5.212860115938793E-2</v>
      </c>
      <c r="F16" s="6">
        <f>(F11-E11)/E11</f>
        <v>0.13759164153490896</v>
      </c>
    </row>
    <row r="18" spans="2:6" ht="14" customHeight="1" x14ac:dyDescent="0.3">
      <c r="B18" s="2" t="s">
        <v>48</v>
      </c>
    </row>
    <row r="19" spans="2:6" ht="14" customHeight="1" x14ac:dyDescent="0.3">
      <c r="B19" s="3" t="s">
        <v>49</v>
      </c>
      <c r="C19" s="4">
        <v>396461</v>
      </c>
      <c r="D19" s="4">
        <v>204452</v>
      </c>
      <c r="E19" s="4">
        <v>433710</v>
      </c>
      <c r="F19" s="4">
        <v>368487</v>
      </c>
    </row>
    <row r="20" spans="2:6" ht="14" customHeight="1" x14ac:dyDescent="0.3">
      <c r="B20" s="3" t="s">
        <v>50</v>
      </c>
      <c r="C20" s="4">
        <v>370848</v>
      </c>
      <c r="D20" s="4">
        <v>396236</v>
      </c>
      <c r="E20" s="4">
        <v>465958</v>
      </c>
      <c r="F20" s="4">
        <v>528536</v>
      </c>
    </row>
    <row r="21" spans="2:6" ht="14" customHeight="1" x14ac:dyDescent="0.3">
      <c r="B21" s="3" t="s">
        <v>51</v>
      </c>
      <c r="C21" s="4">
        <f>C19-C20</f>
        <v>25613</v>
      </c>
      <c r="D21" s="4">
        <f>D19-D20</f>
        <v>-191784</v>
      </c>
      <c r="E21" s="4">
        <f>E19-E20</f>
        <v>-32248</v>
      </c>
      <c r="F21" s="4">
        <f>F19-F20</f>
        <v>-160049</v>
      </c>
    </row>
    <row r="22" spans="2:6" ht="13.5" customHeight="1" x14ac:dyDescent="0.25">
      <c r="B22" t="s">
        <v>52</v>
      </c>
      <c r="C22" s="6">
        <f>C21/C6</f>
        <v>2.8094216592775795E-3</v>
      </c>
      <c r="D22" s="6">
        <f>D21/D6</f>
        <v>-2.0074617234188272E-2</v>
      </c>
      <c r="E22" s="6">
        <f>E21/E6</f>
        <v>-3.1818837071234314E-3</v>
      </c>
      <c r="F22" s="6">
        <f>F21/F6</f>
        <v>-1.4936434133413567E-2</v>
      </c>
    </row>
    <row r="23" spans="2:6" ht="13.5" customHeight="1" x14ac:dyDescent="0.25">
      <c r="B23" t="s">
        <v>53</v>
      </c>
      <c r="C23" s="6">
        <f>C20/C6</f>
        <v>4.0677328056056367E-2</v>
      </c>
      <c r="D23" s="6">
        <f>D20/D6</f>
        <v>4.1475232732687939E-2</v>
      </c>
      <c r="E23" s="6">
        <f>E20/E6</f>
        <v>4.5975693636933136E-2</v>
      </c>
      <c r="F23" s="6">
        <f>F20/F6</f>
        <v>4.932516386317861E-2</v>
      </c>
    </row>
    <row r="25" spans="2:6" ht="14" customHeight="1" x14ac:dyDescent="0.3">
      <c r="B25" s="2" t="s">
        <v>54</v>
      </c>
    </row>
    <row r="26" spans="2:6" ht="14" customHeight="1" x14ac:dyDescent="0.3">
      <c r="B26" s="3" t="s">
        <v>55</v>
      </c>
      <c r="C26" s="4">
        <v>1217054</v>
      </c>
      <c r="D26" s="4">
        <v>1090923</v>
      </c>
      <c r="E26" s="4">
        <v>1214462</v>
      </c>
      <c r="F26" s="4">
        <v>1064093</v>
      </c>
    </row>
    <row r="27" spans="2:6" ht="14" customHeight="1" x14ac:dyDescent="0.3">
      <c r="B27" s="3" t="s">
        <v>56</v>
      </c>
      <c r="C27" s="4">
        <v>2592194</v>
      </c>
      <c r="D27" s="4">
        <v>2602275</v>
      </c>
      <c r="E27" s="4">
        <v>2863648</v>
      </c>
      <c r="F27" s="4">
        <v>3030906</v>
      </c>
    </row>
    <row r="28" spans="2:6" ht="14" customHeight="1" x14ac:dyDescent="0.3">
      <c r="B28" s="3" t="s">
        <v>57</v>
      </c>
      <c r="C28" s="4">
        <f>C27-C26</f>
        <v>1375140</v>
      </c>
      <c r="D28" s="4">
        <f>D27-D26</f>
        <v>1511352</v>
      </c>
      <c r="E28" s="4">
        <f>E27-E26</f>
        <v>1649186</v>
      </c>
      <c r="F28" s="4">
        <f>F27-F26</f>
        <v>1966813</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tabSelected="1" topLeftCell="A24" workbookViewId="0">
      <selection activeCell="C7" sqref="C7"/>
    </sheetView>
  </sheetViews>
  <sheetFormatPr defaultRowHeight="13" x14ac:dyDescent="0.2"/>
  <cols>
    <col min="1" max="1" width="3" customWidth="1"/>
    <col min="2" max="2" width="32" customWidth="1"/>
    <col min="3" max="7" width="16" customWidth="1"/>
  </cols>
  <sheetData>
    <row r="2" spans="2:7" ht="18" customHeight="1" x14ac:dyDescent="0.4">
      <c r="B2" s="1" t="s">
        <v>58</v>
      </c>
    </row>
    <row r="4" spans="2:7" ht="14" customHeight="1" x14ac:dyDescent="0.3">
      <c r="B4" s="7" t="s">
        <v>59</v>
      </c>
      <c r="C4" s="8"/>
      <c r="D4" s="8"/>
      <c r="E4" s="8"/>
      <c r="F4" s="8"/>
      <c r="G4" s="8"/>
    </row>
    <row r="5" spans="2:7" ht="14" customHeight="1" x14ac:dyDescent="0.3">
      <c r="B5" s="3" t="s">
        <v>53</v>
      </c>
      <c r="C5" s="6">
        <v>5.1048300651533103E-2</v>
      </c>
    </row>
    <row r="6" spans="2:7" ht="14" customHeight="1" x14ac:dyDescent="0.3">
      <c r="B6" s="3" t="s">
        <v>60</v>
      </c>
      <c r="C6" s="6">
        <v>0.30620000000000003</v>
      </c>
    </row>
    <row r="7" spans="2:7" ht="14" customHeight="1" x14ac:dyDescent="0.3">
      <c r="B7" s="3" t="s">
        <v>61</v>
      </c>
      <c r="C7" s="6">
        <v>2.3E-2</v>
      </c>
    </row>
    <row r="8" spans="2:7" ht="14" customHeight="1" x14ac:dyDescent="0.3">
      <c r="B8" s="3" t="s">
        <v>62</v>
      </c>
      <c r="C8" s="11">
        <v>0.8</v>
      </c>
    </row>
    <row r="9" spans="2:7" ht="14" customHeight="1" x14ac:dyDescent="0.3">
      <c r="B9" s="3" t="s">
        <v>63</v>
      </c>
      <c r="C9" s="6">
        <v>0.06</v>
      </c>
    </row>
    <row r="10" spans="2:7" ht="14" customHeight="1" x14ac:dyDescent="0.3">
      <c r="B10" s="3" t="s">
        <v>64</v>
      </c>
      <c r="C10" s="6">
        <v>0</v>
      </c>
    </row>
    <row r="11" spans="2:7" ht="14" customHeight="1" x14ac:dyDescent="0.3">
      <c r="B11" s="3" t="s">
        <v>65</v>
      </c>
      <c r="C11" s="6">
        <v>1.2E-2</v>
      </c>
    </row>
    <row r="12" spans="2:7" ht="14" customHeight="1" x14ac:dyDescent="0.3">
      <c r="B12" s="3" t="s">
        <v>66</v>
      </c>
      <c r="C12" s="12">
        <v>0.84030000000000005</v>
      </c>
    </row>
    <row r="13" spans="2:7" ht="14" customHeight="1" x14ac:dyDescent="0.3">
      <c r="B13" s="3" t="s">
        <v>67</v>
      </c>
      <c r="C13" s="6">
        <v>5.0000000000000001E-3</v>
      </c>
    </row>
    <row r="14" spans="2:7" ht="14" customHeight="1" x14ac:dyDescent="0.3">
      <c r="B14" s="3" t="s">
        <v>68</v>
      </c>
      <c r="C14" s="13">
        <v>8</v>
      </c>
    </row>
    <row r="15" spans="2:7" ht="14" customHeight="1" x14ac:dyDescent="0.3">
      <c r="B15" s="3" t="s">
        <v>69</v>
      </c>
      <c r="C15" s="14">
        <v>2765768421</v>
      </c>
    </row>
    <row r="16" spans="2:7" ht="14" customHeight="1" x14ac:dyDescent="0.3">
      <c r="B16" s="3" t="s">
        <v>70</v>
      </c>
      <c r="C16" s="4">
        <v>4083263</v>
      </c>
    </row>
    <row r="17" spans="2:7" ht="14" customHeight="1" x14ac:dyDescent="0.3">
      <c r="B17" s="3" t="s">
        <v>71</v>
      </c>
      <c r="C17" s="4">
        <v>10715342</v>
      </c>
    </row>
    <row r="18" spans="2:7" ht="14" customHeight="1" x14ac:dyDescent="0.3">
      <c r="B18" s="3" t="s">
        <v>72</v>
      </c>
      <c r="C18" s="6">
        <v>3.9569432314899518E-2</v>
      </c>
    </row>
    <row r="19" spans="2:7" ht="14" customHeight="1" x14ac:dyDescent="0.3">
      <c r="B19" s="3" t="s">
        <v>73</v>
      </c>
      <c r="C19" s="11">
        <v>1</v>
      </c>
    </row>
    <row r="20" spans="2:7" ht="14" customHeight="1" x14ac:dyDescent="0.3">
      <c r="B20" s="3" t="s">
        <v>74</v>
      </c>
      <c r="C20" s="4">
        <v>9355439</v>
      </c>
    </row>
    <row r="22" spans="2:7" ht="14" customHeight="1" x14ac:dyDescent="0.3">
      <c r="B22" s="7" t="s">
        <v>75</v>
      </c>
      <c r="C22" s="8"/>
      <c r="D22" s="8"/>
      <c r="E22" s="8"/>
      <c r="F22" s="8"/>
      <c r="G22" s="8"/>
    </row>
    <row r="23" spans="2:7" ht="14" customHeight="1" x14ac:dyDescent="0.3">
      <c r="B23" s="3" t="s">
        <v>76</v>
      </c>
      <c r="C23" s="15">
        <f>C7+C8*C9+C10</f>
        <v>7.1000000000000008E-2</v>
      </c>
    </row>
    <row r="24" spans="2:7" ht="14" customHeight="1" x14ac:dyDescent="0.3">
      <c r="B24" s="3" t="s">
        <v>77</v>
      </c>
      <c r="C24" s="15">
        <f>1/(1+C12)</f>
        <v>0.54338966472857686</v>
      </c>
    </row>
    <row r="25" spans="2:7" ht="14" customHeight="1" x14ac:dyDescent="0.3">
      <c r="B25" s="3" t="s">
        <v>78</v>
      </c>
      <c r="C25" s="15">
        <f>C12/(1+C12)</f>
        <v>0.45661033527142314</v>
      </c>
    </row>
    <row r="26" spans="2:7" ht="14" customHeight="1" x14ac:dyDescent="0.3">
      <c r="B26" s="3" t="s">
        <v>79</v>
      </c>
      <c r="C26" s="15">
        <f>C23*C24+C11*C25</f>
        <v>4.4059990218986038E-2</v>
      </c>
    </row>
    <row r="27" spans="2:7" ht="14" customHeight="1" x14ac:dyDescent="0.3">
      <c r="B27" s="3" t="s">
        <v>80</v>
      </c>
      <c r="C27" s="16" t="s">
        <v>81</v>
      </c>
      <c r="D27" s="5">
        <v>1</v>
      </c>
    </row>
    <row r="28" spans="2:7" ht="14" customHeight="1" x14ac:dyDescent="0.3">
      <c r="B28" s="7" t="s">
        <v>82</v>
      </c>
      <c r="C28" s="8"/>
      <c r="D28" s="8"/>
      <c r="E28" s="8"/>
      <c r="F28" s="8"/>
      <c r="G28" s="8"/>
    </row>
    <row r="29" spans="2:7" ht="14" customHeight="1" x14ac:dyDescent="0.3">
      <c r="C29" s="9" t="s">
        <v>83</v>
      </c>
      <c r="D29" s="9" t="s">
        <v>84</v>
      </c>
      <c r="E29" s="9" t="s">
        <v>85</v>
      </c>
      <c r="F29" s="9" t="s">
        <v>86</v>
      </c>
      <c r="G29" s="9" t="s">
        <v>87</v>
      </c>
    </row>
    <row r="30" spans="2:7" ht="14" customHeight="1" x14ac:dyDescent="0.3">
      <c r="B30" s="3" t="s">
        <v>45</v>
      </c>
      <c r="C30" s="17">
        <f>CHOOSE($D$27,C69,C70,C71,C72,C73)</f>
        <v>0.08</v>
      </c>
      <c r="D30" s="17">
        <f>CHOOSE($D$27,D69,D70,D71,D72,D73)</f>
        <v>0.04</v>
      </c>
      <c r="E30" s="17">
        <f>CHOOSE($D$27,E69,E70,E71,E72,E73)</f>
        <v>0.03</v>
      </c>
      <c r="F30" s="17">
        <f>CHOOSE($D$27,F69,F70,F71,F72,F73)</f>
        <v>2.5000000000000001E-2</v>
      </c>
      <c r="G30" s="17">
        <f>CHOOSE($D$27,G69,G70,G71,G72,G73)</f>
        <v>0.02</v>
      </c>
    </row>
    <row r="31" spans="2:7" ht="14" customHeight="1" x14ac:dyDescent="0.3">
      <c r="B31" s="3" t="s">
        <v>88</v>
      </c>
      <c r="C31" s="17">
        <f>CHOOSE($D$27,C76,C77,C78,C79,C80)</f>
        <v>0.63400000000000001</v>
      </c>
      <c r="D31" s="17">
        <f>CHOOSE($D$27,D76,D77,D78,D79,D80)</f>
        <v>0.63300000000000001</v>
      </c>
      <c r="E31" s="17">
        <f>CHOOSE($D$27,E76,E77,E78,E79,E80)</f>
        <v>0.63200000000000001</v>
      </c>
      <c r="F31" s="17">
        <f>CHOOSE($D$27,F76,F77,F78,F79,F80)</f>
        <v>0.63100000000000001</v>
      </c>
      <c r="G31" s="17">
        <f>CHOOSE($D$27,G76,G77,G78,G79,G80)</f>
        <v>0.63</v>
      </c>
    </row>
    <row r="32" spans="2:7" ht="14" customHeight="1" x14ac:dyDescent="0.3">
      <c r="B32" s="3" t="s">
        <v>89</v>
      </c>
      <c r="C32" s="17">
        <f>CHOOSE($D$27,C83,C84,C85,C86,C87)</f>
        <v>0.33900000000000002</v>
      </c>
      <c r="D32" s="17">
        <f>CHOOSE($D$27,D83,D84,D85,D86,D87)</f>
        <v>0.33800000000000002</v>
      </c>
      <c r="E32" s="17">
        <f>CHOOSE($D$27,E83,E84,E85,E86,E87)</f>
        <v>0.33750000000000002</v>
      </c>
      <c r="F32" s="17">
        <f>CHOOSE($D$27,F83,F84,F85,F86,F87)</f>
        <v>0.33750000000000002</v>
      </c>
      <c r="G32" s="17">
        <f>CHOOSE($D$27,G83,G84,G85,G86,G87)</f>
        <v>0.33800000000000002</v>
      </c>
    </row>
    <row r="33" spans="2:7" ht="14" customHeight="1" x14ac:dyDescent="0.3">
      <c r="B33" s="3" t="s">
        <v>36</v>
      </c>
      <c r="C33" s="4">
        <f>C17*(1+C30)</f>
        <v>11572569.360000001</v>
      </c>
      <c r="D33" s="4">
        <f>C33*(1+D30)</f>
        <v>12035472.134400003</v>
      </c>
      <c r="E33" s="4">
        <f>D33*(1+E30)</f>
        <v>12396536.298432004</v>
      </c>
      <c r="F33" s="4">
        <f>E33*(1+F30)</f>
        <v>12706449.705892803</v>
      </c>
      <c r="G33" s="4">
        <f>F33*(1+G30)</f>
        <v>12960578.700010659</v>
      </c>
    </row>
    <row r="34" spans="2:7" ht="14" customHeight="1" x14ac:dyDescent="0.3">
      <c r="B34" s="3" t="s">
        <v>37</v>
      </c>
      <c r="C34" s="4">
        <f>C33*C31</f>
        <v>7337008.9742400013</v>
      </c>
      <c r="D34" s="4">
        <f>D33*D31</f>
        <v>7618453.861075202</v>
      </c>
      <c r="E34" s="4">
        <f>E33*E31</f>
        <v>7834610.9406090267</v>
      </c>
      <c r="F34" s="4">
        <f>F33*F31</f>
        <v>8017769.7644183589</v>
      </c>
      <c r="G34" s="4">
        <f>G33*G31</f>
        <v>8165164.5810067151</v>
      </c>
    </row>
    <row r="35" spans="2:7" ht="14" customHeight="1" x14ac:dyDescent="0.3">
      <c r="B35" s="3" t="s">
        <v>38</v>
      </c>
      <c r="C35" s="18">
        <f>C33-C34</f>
        <v>4235560.38576</v>
      </c>
      <c r="D35" s="18">
        <f>D33-D34</f>
        <v>4417018.2733248007</v>
      </c>
      <c r="E35" s="18">
        <f>E33-E34</f>
        <v>4561925.357822977</v>
      </c>
      <c r="F35" s="18">
        <f>F33-F34</f>
        <v>4688679.9414744442</v>
      </c>
      <c r="G35" s="18">
        <f>G33-G34</f>
        <v>4795414.1190039441</v>
      </c>
    </row>
    <row r="36" spans="2:7" ht="14" customHeight="1" x14ac:dyDescent="0.3">
      <c r="B36" s="3" t="s">
        <v>39</v>
      </c>
      <c r="C36" s="6">
        <f>C35/C33</f>
        <v>0.36599999999999994</v>
      </c>
      <c r="D36" s="6">
        <f>D35/D33</f>
        <v>0.36699999999999999</v>
      </c>
      <c r="E36" s="6">
        <f>E35/E33</f>
        <v>0.36799999999999999</v>
      </c>
      <c r="F36" s="6">
        <f>F35/F33</f>
        <v>0.36899999999999999</v>
      </c>
      <c r="G36" s="6">
        <f>G35/G33</f>
        <v>0.37</v>
      </c>
    </row>
    <row r="37" spans="2:7" ht="14" customHeight="1" x14ac:dyDescent="0.3">
      <c r="B37" s="3" t="s">
        <v>90</v>
      </c>
      <c r="C37" s="4">
        <f>C33*C32</f>
        <v>3923101.0130400006</v>
      </c>
      <c r="D37" s="4">
        <f>D33*D32</f>
        <v>4067989.5814272012</v>
      </c>
      <c r="E37" s="4">
        <f>E33*E32</f>
        <v>4183831.0007208013</v>
      </c>
      <c r="F37" s="4">
        <f>F33*F32</f>
        <v>4288426.7757388214</v>
      </c>
      <c r="G37" s="4">
        <f>G33*G32</f>
        <v>4380675.6006036028</v>
      </c>
    </row>
    <row r="38" spans="2:7" ht="14" customHeight="1" x14ac:dyDescent="0.3">
      <c r="B38" s="3" t="s">
        <v>91</v>
      </c>
      <c r="C38" s="6">
        <f>(C35-C37)/C33</f>
        <v>2.6999999999999944E-2</v>
      </c>
      <c r="D38" s="6">
        <f>(D35-D37)/D33</f>
        <v>2.8999999999999953E-2</v>
      </c>
      <c r="E38" s="6">
        <f>(E35-E37)/E33</f>
        <v>3.0499999999999968E-2</v>
      </c>
      <c r="F38" s="6">
        <f>(F35-F37)/F33</f>
        <v>3.1499999999999966E-2</v>
      </c>
      <c r="G38" s="6">
        <f>(G35-G37)/G33</f>
        <v>3.2000000000000015E-2</v>
      </c>
    </row>
    <row r="39" spans="2:7" ht="14" customHeight="1" x14ac:dyDescent="0.3">
      <c r="B39" s="3" t="s">
        <v>92</v>
      </c>
      <c r="C39" s="18">
        <f>C35-C37</f>
        <v>312459.3727199994</v>
      </c>
      <c r="D39" s="18">
        <f>D35-D37</f>
        <v>349028.69189759949</v>
      </c>
      <c r="E39" s="18">
        <f>E35-E37</f>
        <v>378094.35710217571</v>
      </c>
      <c r="F39" s="18">
        <f>F35-F37</f>
        <v>400253.16573562287</v>
      </c>
      <c r="G39" s="18">
        <f>G35-G37</f>
        <v>414738.51840034127</v>
      </c>
    </row>
    <row r="40" spans="2:7" ht="14" customHeight="1" x14ac:dyDescent="0.3">
      <c r="B40" s="3" t="s">
        <v>93</v>
      </c>
      <c r="C40" s="4">
        <f>MAX(0,C39*C6)</f>
        <v>95675.059926863833</v>
      </c>
      <c r="D40" s="4">
        <f>MAX(0,D39*C6)</f>
        <v>106872.58545904497</v>
      </c>
      <c r="E40" s="4">
        <f>MAX(0,E39*C6)</f>
        <v>115772.49214468621</v>
      </c>
      <c r="F40" s="4">
        <f>MAX(0,F39*C6)</f>
        <v>122557.51934824773</v>
      </c>
      <c r="G40" s="4">
        <f>MAX(0,G39*C6)</f>
        <v>126992.93433418451</v>
      </c>
    </row>
    <row r="41" spans="2:7" ht="14" customHeight="1" x14ac:dyDescent="0.3">
      <c r="B41" s="3" t="s">
        <v>94</v>
      </c>
      <c r="C41" s="18">
        <f>C39-C40</f>
        <v>216784.31279313558</v>
      </c>
      <c r="D41" s="18">
        <f>D39-D40</f>
        <v>242156.10643855453</v>
      </c>
      <c r="E41" s="18">
        <f>E39-E40</f>
        <v>262321.86495748948</v>
      </c>
      <c r="F41" s="18">
        <f>F39-F40</f>
        <v>277695.64638737513</v>
      </c>
      <c r="G41" s="18">
        <f>G39-G40</f>
        <v>287745.58406615676</v>
      </c>
    </row>
    <row r="42" spans="2:7" ht="14" customHeight="1" x14ac:dyDescent="0.3">
      <c r="B42" s="3" t="s">
        <v>95</v>
      </c>
      <c r="C42" s="4">
        <v>400000</v>
      </c>
      <c r="D42" s="4">
        <v>415000</v>
      </c>
      <c r="E42" s="4">
        <v>425000</v>
      </c>
      <c r="F42" s="4">
        <v>435000</v>
      </c>
      <c r="G42" s="4">
        <v>445000</v>
      </c>
    </row>
    <row r="43" spans="2:7" ht="14" customHeight="1" x14ac:dyDescent="0.3">
      <c r="B43" s="3" t="s">
        <v>96</v>
      </c>
      <c r="C43" s="4">
        <v>560000</v>
      </c>
      <c r="D43" s="4">
        <v>550000</v>
      </c>
      <c r="E43" s="4">
        <v>540000</v>
      </c>
      <c r="F43" s="4">
        <v>540000</v>
      </c>
      <c r="G43" s="4">
        <v>545000</v>
      </c>
    </row>
    <row r="44" spans="2:7" ht="14" customHeight="1" x14ac:dyDescent="0.3">
      <c r="B44" s="3" t="s">
        <v>97</v>
      </c>
      <c r="C44" s="4">
        <f>'NWC Schedule'!D19</f>
        <v>84442.040935890749</v>
      </c>
      <c r="D44" s="4">
        <f>'NWC Schedule'!E19</f>
        <v>54178.648006487405</v>
      </c>
      <c r="E44" s="4">
        <f>'NWC Schedule'!F19</f>
        <v>42582.489628394833</v>
      </c>
      <c r="F44" s="4">
        <f>'NWC Schedule'!G19</f>
        <v>36777.806148396572</v>
      </c>
      <c r="G44" s="4">
        <f>'NWC Schedule'!H19</f>
        <v>30425.854912192561</v>
      </c>
    </row>
    <row r="45" spans="2:7" ht="14" customHeight="1" x14ac:dyDescent="0.3">
      <c r="B45" s="3" t="s">
        <v>98</v>
      </c>
      <c r="C45" s="19">
        <f>C41+C42-C43-C44</f>
        <v>-27657.728142755106</v>
      </c>
      <c r="D45" s="19">
        <f>D41+D42-D43-D44</f>
        <v>52977.458432067186</v>
      </c>
      <c r="E45" s="19">
        <f>E41+E42-E43-E44</f>
        <v>104739.37532909471</v>
      </c>
      <c r="F45" s="19">
        <f>F41+F42-F43-F44</f>
        <v>135917.84023897862</v>
      </c>
      <c r="G45" s="19">
        <f>G41+G42-G43-G44</f>
        <v>157319.7291539642</v>
      </c>
    </row>
    <row r="46" spans="2:7" ht="14" customHeight="1" x14ac:dyDescent="0.3">
      <c r="B46" s="3" t="s">
        <v>99</v>
      </c>
      <c r="C46" s="20">
        <f>1/(1+C26)^(C19+0)</f>
        <v>0.95779936916293029</v>
      </c>
      <c r="D46" s="20">
        <f>1/(1+C26)^(C19+1)</f>
        <v>0.91737963156890734</v>
      </c>
      <c r="E46" s="20">
        <f>1/(1+C26)^(C19+2)</f>
        <v>0.87866563239962092</v>
      </c>
      <c r="F46" s="20">
        <f>1/(1+C26)^(C19+3)</f>
        <v>0.84158538841750419</v>
      </c>
      <c r="G46" s="20">
        <f>1/(1+C26)^(C19+4)</f>
        <v>0.80606995412302518</v>
      </c>
    </row>
    <row r="47" spans="2:7" ht="14" customHeight="1" x14ac:dyDescent="0.3">
      <c r="B47" s="3" t="s">
        <v>100</v>
      </c>
      <c r="C47" s="18">
        <f>C45*C46</f>
        <v>-26490.554567610663</v>
      </c>
      <c r="D47" s="18">
        <f>D45*D46</f>
        <v>48600.441297866899</v>
      </c>
      <c r="E47" s="18">
        <f>E45*E46</f>
        <v>92030.88946068025</v>
      </c>
      <c r="F47" s="18">
        <f>F45*F46</f>
        <v>114386.46837038911</v>
      </c>
      <c r="G47" s="18">
        <f>G45*G46</f>
        <v>126810.70686178267</v>
      </c>
    </row>
    <row r="49" spans="2:7" ht="14" customHeight="1" x14ac:dyDescent="0.3">
      <c r="B49" s="21" t="s">
        <v>101</v>
      </c>
      <c r="C49" s="22"/>
      <c r="D49" s="22"/>
      <c r="E49" s="22"/>
      <c r="F49" s="22"/>
      <c r="G49" s="22"/>
    </row>
    <row r="50" spans="2:7" ht="14" customHeight="1" x14ac:dyDescent="0.3">
      <c r="B50" s="3" t="s">
        <v>102</v>
      </c>
      <c r="C50" s="4">
        <f>SUM(C47:G47)</f>
        <v>355337.95142310823</v>
      </c>
    </row>
    <row r="51" spans="2:7" ht="14" customHeight="1" x14ac:dyDescent="0.3">
      <c r="B51" s="3" t="s">
        <v>103</v>
      </c>
      <c r="C51" s="4">
        <f>G45*(1+C13)/(C26-C13)</f>
        <v>4047782.0632654093</v>
      </c>
    </row>
    <row r="52" spans="2:7" ht="14" customHeight="1" x14ac:dyDescent="0.3">
      <c r="B52" s="3" t="s">
        <v>104</v>
      </c>
      <c r="C52" s="4">
        <f>C51*G46</f>
        <v>3262795.5020363526</v>
      </c>
    </row>
    <row r="53" spans="2:7" ht="14" customHeight="1" x14ac:dyDescent="0.3">
      <c r="B53" s="3" t="s">
        <v>105</v>
      </c>
      <c r="C53" s="4">
        <f>C50+C52</f>
        <v>3618133.4534594608</v>
      </c>
    </row>
    <row r="54" spans="2:7" ht="14" customHeight="1" x14ac:dyDescent="0.3">
      <c r="B54" s="3" t="s">
        <v>106</v>
      </c>
      <c r="C54" s="4">
        <f>C53-C16</f>
        <v>-465129.54654053925</v>
      </c>
    </row>
    <row r="55" spans="2:7" ht="14" customHeight="1" x14ac:dyDescent="0.3">
      <c r="B55" s="3" t="s">
        <v>107</v>
      </c>
      <c r="C55" s="23">
        <f>ROUND(C54*1000000/C15,0)</f>
        <v>-168</v>
      </c>
    </row>
    <row r="57" spans="2:7" ht="14" customHeight="1" x14ac:dyDescent="0.3">
      <c r="B57" s="21" t="s">
        <v>108</v>
      </c>
      <c r="C57" s="22"/>
      <c r="D57" s="22"/>
      <c r="E57" s="22"/>
      <c r="F57" s="22"/>
      <c r="G57" s="22"/>
    </row>
    <row r="58" spans="2:7" ht="14" customHeight="1" x14ac:dyDescent="0.3">
      <c r="B58" s="3" t="s">
        <v>102</v>
      </c>
      <c r="C58" s="4">
        <f>C50</f>
        <v>355337.95142310823</v>
      </c>
    </row>
    <row r="59" spans="2:7" ht="14" customHeight="1" x14ac:dyDescent="0.3">
      <c r="B59" s="3" t="s">
        <v>109</v>
      </c>
      <c r="C59" s="4">
        <f>G39+G42</f>
        <v>859738.51840034127</v>
      </c>
    </row>
    <row r="60" spans="2:7" ht="14" customHeight="1" x14ac:dyDescent="0.3">
      <c r="B60" s="3" t="s">
        <v>110</v>
      </c>
      <c r="C60" s="4">
        <f>C59*C14</f>
        <v>6877908.1472027302</v>
      </c>
    </row>
    <row r="61" spans="2:7" ht="14" customHeight="1" x14ac:dyDescent="0.3">
      <c r="B61" s="3" t="s">
        <v>104</v>
      </c>
      <c r="C61" s="4">
        <f>C60*G46</f>
        <v>5544075.104678086</v>
      </c>
    </row>
    <row r="62" spans="2:7" ht="14" customHeight="1" x14ac:dyDescent="0.3">
      <c r="B62" s="3" t="s">
        <v>105</v>
      </c>
      <c r="C62" s="4">
        <f>C58+C61</f>
        <v>5899413.0561011946</v>
      </c>
    </row>
    <row r="63" spans="2:7" ht="14" customHeight="1" x14ac:dyDescent="0.3">
      <c r="B63" s="3" t="s">
        <v>106</v>
      </c>
      <c r="C63" s="4">
        <f>C62-C16</f>
        <v>1816150.0561011946</v>
      </c>
    </row>
    <row r="64" spans="2:7" ht="14" customHeight="1" x14ac:dyDescent="0.3">
      <c r="B64" s="3" t="s">
        <v>111</v>
      </c>
      <c r="C64" s="23">
        <f>ROUND(C63*1000000/C15,0)</f>
        <v>657</v>
      </c>
    </row>
    <row r="66" spans="2:7" ht="14" customHeight="1" x14ac:dyDescent="0.3">
      <c r="B66" s="21" t="s">
        <v>112</v>
      </c>
      <c r="C66" s="22"/>
      <c r="D66" s="22"/>
      <c r="E66" s="22"/>
      <c r="F66" s="22"/>
      <c r="G66" s="22"/>
    </row>
    <row r="67" spans="2:7" ht="14" customHeight="1" x14ac:dyDescent="0.3">
      <c r="C67" s="24" t="s">
        <v>113</v>
      </c>
      <c r="D67" s="24" t="s">
        <v>114</v>
      </c>
      <c r="E67" s="24" t="s">
        <v>115</v>
      </c>
      <c r="F67" s="24" t="s">
        <v>116</v>
      </c>
      <c r="G67" s="24" t="s">
        <v>117</v>
      </c>
    </row>
    <row r="68" spans="2:7" ht="14" customHeight="1" x14ac:dyDescent="0.3">
      <c r="B68" s="2" t="s">
        <v>45</v>
      </c>
    </row>
    <row r="69" spans="2:7" ht="14" customHeight="1" x14ac:dyDescent="0.3">
      <c r="B69" s="3" t="s">
        <v>81</v>
      </c>
      <c r="C69" s="25">
        <v>0.08</v>
      </c>
      <c r="D69" s="25">
        <v>0.04</v>
      </c>
      <c r="E69" s="25">
        <v>0.03</v>
      </c>
      <c r="F69" s="25">
        <v>2.5000000000000001E-2</v>
      </c>
      <c r="G69" s="25">
        <v>0.02</v>
      </c>
    </row>
    <row r="70" spans="2:7" ht="14" customHeight="1" x14ac:dyDescent="0.3">
      <c r="B70" s="3" t="s">
        <v>118</v>
      </c>
      <c r="C70" s="25">
        <v>0.11</v>
      </c>
      <c r="D70" s="25">
        <v>0.06</v>
      </c>
      <c r="E70" s="25">
        <v>0.05</v>
      </c>
      <c r="F70" s="25">
        <v>0.04</v>
      </c>
      <c r="G70" s="25">
        <v>3.5000000000000003E-2</v>
      </c>
    </row>
    <row r="71" spans="2:7" ht="14" customHeight="1" x14ac:dyDescent="0.3">
      <c r="B71" s="3" t="s">
        <v>119</v>
      </c>
      <c r="C71" s="25">
        <v>0.12</v>
      </c>
      <c r="D71" s="25">
        <v>0.03</v>
      </c>
      <c r="E71" s="25">
        <v>2.5000000000000001E-2</v>
      </c>
      <c r="F71" s="25">
        <v>0.02</v>
      </c>
      <c r="G71" s="25">
        <v>0.02</v>
      </c>
    </row>
    <row r="72" spans="2:7" ht="14" customHeight="1" x14ac:dyDescent="0.3">
      <c r="B72" s="3" t="s">
        <v>120</v>
      </c>
      <c r="C72" s="25">
        <v>0.05</v>
      </c>
      <c r="D72" s="25">
        <v>0.01</v>
      </c>
      <c r="E72" s="25">
        <v>5.0000000000000001E-3</v>
      </c>
      <c r="F72" s="25">
        <v>5.0000000000000001E-3</v>
      </c>
      <c r="G72" s="25">
        <v>5.0000000000000001E-3</v>
      </c>
    </row>
    <row r="73" spans="2:7" ht="14" customHeight="1" x14ac:dyDescent="0.3">
      <c r="B73" s="3" t="s">
        <v>121</v>
      </c>
      <c r="C73" s="25">
        <v>0.02</v>
      </c>
      <c r="D73" s="25">
        <v>-0.01</v>
      </c>
      <c r="E73" s="25">
        <v>-0.01</v>
      </c>
      <c r="F73" s="25">
        <v>-5.0000000000000001E-3</v>
      </c>
      <c r="G73" s="25">
        <v>-5.0000000000000001E-3</v>
      </c>
    </row>
    <row r="75" spans="2:7" ht="14" customHeight="1" x14ac:dyDescent="0.3">
      <c r="B75" s="2" t="s">
        <v>88</v>
      </c>
    </row>
    <row r="76" spans="2:7" ht="14" customHeight="1" x14ac:dyDescent="0.3">
      <c r="B76" s="3" t="s">
        <v>81</v>
      </c>
      <c r="C76" s="25">
        <v>0.63400000000000001</v>
      </c>
      <c r="D76" s="25">
        <v>0.63300000000000001</v>
      </c>
      <c r="E76" s="25">
        <v>0.63200000000000001</v>
      </c>
      <c r="F76" s="25">
        <v>0.63100000000000001</v>
      </c>
      <c r="G76" s="25">
        <v>0.63</v>
      </c>
    </row>
    <row r="77" spans="2:7" ht="14" customHeight="1" x14ac:dyDescent="0.3">
      <c r="B77" s="3" t="s">
        <v>118</v>
      </c>
      <c r="C77" s="25">
        <v>0.63200000000000001</v>
      </c>
      <c r="D77" s="25">
        <v>0.63</v>
      </c>
      <c r="E77" s="25">
        <v>0.628</v>
      </c>
      <c r="F77" s="25">
        <v>0.627</v>
      </c>
      <c r="G77" s="25">
        <v>0.626</v>
      </c>
    </row>
    <row r="78" spans="2:7" ht="14" customHeight="1" x14ac:dyDescent="0.3">
      <c r="B78" s="3" t="s">
        <v>119</v>
      </c>
      <c r="C78" s="25">
        <v>0.63400000000000001</v>
      </c>
      <c r="D78" s="25">
        <v>0.63300000000000001</v>
      </c>
      <c r="E78" s="25">
        <v>0.63300000000000001</v>
      </c>
      <c r="F78" s="25">
        <v>0.63300000000000001</v>
      </c>
      <c r="G78" s="25">
        <v>0.63300000000000001</v>
      </c>
    </row>
    <row r="79" spans="2:7" ht="14" customHeight="1" x14ac:dyDescent="0.3">
      <c r="B79" s="3" t="s">
        <v>120</v>
      </c>
      <c r="C79" s="25">
        <v>0.63800000000000001</v>
      </c>
      <c r="D79" s="25">
        <v>0.64</v>
      </c>
      <c r="E79" s="25">
        <v>0.64</v>
      </c>
      <c r="F79" s="25">
        <v>0.63900000000000001</v>
      </c>
      <c r="G79" s="25">
        <v>0.63900000000000001</v>
      </c>
    </row>
    <row r="80" spans="2:7" ht="14" customHeight="1" x14ac:dyDescent="0.3">
      <c r="B80" s="3" t="s">
        <v>121</v>
      </c>
      <c r="C80" s="25">
        <v>0.64300000000000002</v>
      </c>
      <c r="D80" s="25">
        <v>0.64800000000000002</v>
      </c>
      <c r="E80" s="25">
        <v>0.64800000000000002</v>
      </c>
      <c r="F80" s="25">
        <v>0.64600000000000002</v>
      </c>
      <c r="G80" s="25">
        <v>0.64600000000000002</v>
      </c>
    </row>
    <row r="82" spans="2:7" ht="14" customHeight="1" x14ac:dyDescent="0.3">
      <c r="B82" s="2" t="s">
        <v>89</v>
      </c>
    </row>
    <row r="83" spans="2:7" ht="14" customHeight="1" x14ac:dyDescent="0.3">
      <c r="B83" s="3" t="s">
        <v>81</v>
      </c>
      <c r="C83" s="25">
        <v>0.33900000000000002</v>
      </c>
      <c r="D83" s="25">
        <v>0.33800000000000002</v>
      </c>
      <c r="E83" s="25">
        <v>0.33750000000000002</v>
      </c>
      <c r="F83" s="25">
        <v>0.33750000000000002</v>
      </c>
      <c r="G83" s="25">
        <v>0.33800000000000002</v>
      </c>
    </row>
    <row r="84" spans="2:7" ht="14" customHeight="1" x14ac:dyDescent="0.3">
      <c r="B84" s="3" t="s">
        <v>118</v>
      </c>
      <c r="C84" s="25">
        <v>0.33800000000000002</v>
      </c>
      <c r="D84" s="25">
        <v>0.33600000000000002</v>
      </c>
      <c r="E84" s="25">
        <v>0.33500000000000002</v>
      </c>
      <c r="F84" s="25">
        <v>0.33400000000000002</v>
      </c>
      <c r="G84" s="25">
        <v>0.33400000000000002</v>
      </c>
    </row>
    <row r="85" spans="2:7" ht="14" customHeight="1" x14ac:dyDescent="0.3">
      <c r="B85" s="3" t="s">
        <v>119</v>
      </c>
      <c r="C85" s="25">
        <v>0.3377</v>
      </c>
      <c r="D85" s="25">
        <v>0.33750000000000002</v>
      </c>
      <c r="E85" s="25">
        <v>0.33700000000000002</v>
      </c>
      <c r="F85" s="25">
        <v>0.33650000000000002</v>
      </c>
      <c r="G85" s="25">
        <v>0.33650000000000002</v>
      </c>
    </row>
    <row r="86" spans="2:7" ht="14" customHeight="1" x14ac:dyDescent="0.3">
      <c r="B86" s="3" t="s">
        <v>120</v>
      </c>
      <c r="C86" s="25">
        <v>0.34</v>
      </c>
      <c r="D86" s="25">
        <v>0.34100000000000003</v>
      </c>
      <c r="E86" s="25">
        <v>0.34100000000000003</v>
      </c>
      <c r="F86" s="25">
        <v>0.34100000000000003</v>
      </c>
      <c r="G86" s="25">
        <v>0.34100000000000003</v>
      </c>
    </row>
    <row r="87" spans="2:7" ht="14" customHeight="1" x14ac:dyDescent="0.3">
      <c r="B87" s="3" t="s">
        <v>121</v>
      </c>
      <c r="C87" s="25">
        <v>0.34200000000000003</v>
      </c>
      <c r="D87" s="25">
        <v>0.34399999999999997</v>
      </c>
      <c r="E87" s="25">
        <v>0.34399999999999997</v>
      </c>
      <c r="F87" s="25">
        <v>0.34399999999999997</v>
      </c>
      <c r="G87" s="25">
        <v>0.34399999999999997</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1" t="s">
        <v>122</v>
      </c>
    </row>
    <row r="4" spans="2:8" ht="14" customHeight="1" x14ac:dyDescent="0.3">
      <c r="B4" s="7" t="s">
        <v>123</v>
      </c>
      <c r="C4" s="26" t="s">
        <v>124</v>
      </c>
      <c r="D4" s="26" t="s">
        <v>83</v>
      </c>
      <c r="E4" s="26" t="s">
        <v>84</v>
      </c>
      <c r="F4" s="26" t="s">
        <v>85</v>
      </c>
      <c r="G4" s="26" t="s">
        <v>86</v>
      </c>
      <c r="H4" s="26" t="s">
        <v>87</v>
      </c>
    </row>
    <row r="5" spans="2:8" ht="14" customHeight="1" x14ac:dyDescent="0.3">
      <c r="B5" s="27" t="s">
        <v>125</v>
      </c>
      <c r="C5" s="28">
        <f>C12/C9*365</f>
        <v>64.298275780651707</v>
      </c>
      <c r="D5" s="28">
        <f>CHOOSE('DCF Model'!$D$27,D25,D26,D27,D28,D29)</f>
        <v>64</v>
      </c>
      <c r="E5" s="28">
        <f>CHOOSE('DCF Model'!$D$27,E25,E26,E27,E28,E29)</f>
        <v>64</v>
      </c>
      <c r="F5" s="28">
        <f>CHOOSE('DCF Model'!$D$27,F25,F26,F27,F28,F29)</f>
        <v>64</v>
      </c>
      <c r="G5" s="28">
        <f>CHOOSE('DCF Model'!$D$27,G25,G26,G27,G28,G29)</f>
        <v>64</v>
      </c>
      <c r="H5" s="28">
        <f>CHOOSE('DCF Model'!$D$27,H25,H26,H27,H28,H29)</f>
        <v>64</v>
      </c>
    </row>
    <row r="6" spans="2:8" ht="14" customHeight="1" x14ac:dyDescent="0.3">
      <c r="B6" s="27" t="s">
        <v>126</v>
      </c>
      <c r="C6" s="28">
        <f>C13/C10*365</f>
        <v>44.493427300004143</v>
      </c>
      <c r="D6" s="28">
        <f>CHOOSE('DCF Model'!$D$27,D32,D33,D34,D35,D36)</f>
        <v>44</v>
      </c>
      <c r="E6" s="28">
        <f>CHOOSE('DCF Model'!$D$27,E32,E33,E34,E35,E36)</f>
        <v>44</v>
      </c>
      <c r="F6" s="28">
        <f>CHOOSE('DCF Model'!$D$27,F32,F33,F34,F35,F36)</f>
        <v>44</v>
      </c>
      <c r="G6" s="28">
        <f>CHOOSE('DCF Model'!$D$27,G32,G33,G34,G35,G36)</f>
        <v>44</v>
      </c>
      <c r="H6" s="28">
        <f>CHOOSE('DCF Model'!$D$27,H32,H33,H34,H35,H36)</f>
        <v>44</v>
      </c>
    </row>
    <row r="7" spans="2:8" ht="14" customHeight="1" x14ac:dyDescent="0.3">
      <c r="B7" s="27" t="s">
        <v>127</v>
      </c>
      <c r="C7" s="28">
        <f>C15/C10*365</f>
        <v>79.166669605696782</v>
      </c>
      <c r="D7" s="28">
        <f>CHOOSE('DCF Model'!$D$27,D39,D40,D41,D42,D43)</f>
        <v>79</v>
      </c>
      <c r="E7" s="28">
        <f>CHOOSE('DCF Model'!$D$27,E39,E40,E41,E42,E43)</f>
        <v>79</v>
      </c>
      <c r="F7" s="28">
        <f>CHOOSE('DCF Model'!$D$27,F39,F40,F41,F42,F43)</f>
        <v>79</v>
      </c>
      <c r="G7" s="28">
        <f>CHOOSE('DCF Model'!$D$27,G39,G40,G41,G42,G43)</f>
        <v>79</v>
      </c>
      <c r="H7" s="28">
        <f>CHOOSE('DCF Model'!$D$27,H39,H40,H41,H42,H43)</f>
        <v>79</v>
      </c>
    </row>
    <row r="8" spans="2:8" ht="14" customHeight="1" x14ac:dyDescent="0.3">
      <c r="B8" s="7" t="s">
        <v>128</v>
      </c>
      <c r="C8" s="8"/>
      <c r="D8" s="8"/>
      <c r="E8" s="8"/>
      <c r="F8" s="8"/>
      <c r="G8" s="8"/>
      <c r="H8" s="8"/>
    </row>
    <row r="9" spans="2:8" ht="14" customHeight="1" x14ac:dyDescent="0.3">
      <c r="B9" s="27" t="s">
        <v>36</v>
      </c>
      <c r="C9" s="29">
        <v>10715342</v>
      </c>
      <c r="D9" s="29">
        <f>'DCF Model'!C33</f>
        <v>11572569.360000001</v>
      </c>
      <c r="E9" s="29">
        <f>'DCF Model'!D33</f>
        <v>12035472.134400003</v>
      </c>
      <c r="F9" s="29">
        <f>'DCF Model'!E33</f>
        <v>12396536.298432004</v>
      </c>
      <c r="G9" s="29">
        <f>'DCF Model'!F33</f>
        <v>12706449.705892803</v>
      </c>
      <c r="H9" s="29">
        <f>'DCF Model'!G33</f>
        <v>12960578.700010659</v>
      </c>
    </row>
    <row r="10" spans="2:8" ht="14" customHeight="1" x14ac:dyDescent="0.3">
      <c r="B10" s="27" t="s">
        <v>37</v>
      </c>
      <c r="C10" s="29">
        <v>6804966</v>
      </c>
      <c r="D10" s="29">
        <f>'DCF Model'!C34</f>
        <v>7337008.9742400013</v>
      </c>
      <c r="E10" s="29">
        <f>'DCF Model'!D34</f>
        <v>7618453.861075202</v>
      </c>
      <c r="F10" s="29">
        <f>'DCF Model'!E34</f>
        <v>7834610.9406090267</v>
      </c>
      <c r="G10" s="29">
        <f>'DCF Model'!F34</f>
        <v>8017769.7644183589</v>
      </c>
      <c r="H10" s="29">
        <f>'DCF Model'!G34</f>
        <v>8165164.5810067151</v>
      </c>
    </row>
    <row r="11" spans="2:8" ht="14" customHeight="1" x14ac:dyDescent="0.3">
      <c r="B11" s="7" t="s">
        <v>129</v>
      </c>
      <c r="C11" s="8"/>
      <c r="D11" s="8"/>
      <c r="E11" s="8"/>
      <c r="F11" s="8"/>
      <c r="G11" s="8"/>
      <c r="H11" s="8"/>
    </row>
    <row r="12" spans="2:8" ht="14" customHeight="1" x14ac:dyDescent="0.3">
      <c r="B12" s="27" t="s">
        <v>130</v>
      </c>
      <c r="C12" s="29">
        <v>1887611</v>
      </c>
      <c r="D12" s="29">
        <f t="shared" ref="D12:H13" si="0">D9*D5/365</f>
        <v>2029162.8466849318</v>
      </c>
      <c r="E12" s="29">
        <f t="shared" si="0"/>
        <v>2110329.3605523291</v>
      </c>
      <c r="F12" s="29">
        <f t="shared" si="0"/>
        <v>2173639.2413688991</v>
      </c>
      <c r="G12" s="29">
        <f t="shared" si="0"/>
        <v>2227980.2224031216</v>
      </c>
      <c r="H12" s="29">
        <f t="shared" si="0"/>
        <v>2272539.826851184</v>
      </c>
    </row>
    <row r="13" spans="2:8" ht="14" customHeight="1" x14ac:dyDescent="0.3">
      <c r="B13" s="27" t="s">
        <v>131</v>
      </c>
      <c r="C13" s="29">
        <v>829524</v>
      </c>
      <c r="D13" s="29">
        <f t="shared" si="0"/>
        <v>884461.35579879466</v>
      </c>
      <c r="E13" s="29">
        <f t="shared" si="0"/>
        <v>918388.9585953668</v>
      </c>
      <c r="F13" s="29">
        <f t="shared" si="0"/>
        <v>944446.25037478679</v>
      </c>
      <c r="G13" s="29">
        <f t="shared" si="0"/>
        <v>966525.67023125431</v>
      </c>
      <c r="H13" s="29">
        <f t="shared" si="0"/>
        <v>984293.81250491913</v>
      </c>
    </row>
    <row r="14" spans="2:8" ht="14" customHeight="1" x14ac:dyDescent="0.3">
      <c r="B14" s="27" t="s">
        <v>132</v>
      </c>
      <c r="C14" s="29">
        <f t="shared" ref="C14:H14" si="1">C12+C13</f>
        <v>2717135</v>
      </c>
      <c r="D14" s="29">
        <f t="shared" si="1"/>
        <v>2913624.2024837267</v>
      </c>
      <c r="E14" s="29">
        <f t="shared" si="1"/>
        <v>3028718.3191476958</v>
      </c>
      <c r="F14" s="29">
        <f t="shared" si="1"/>
        <v>3118085.4917436857</v>
      </c>
      <c r="G14" s="29">
        <f t="shared" si="1"/>
        <v>3194505.892634376</v>
      </c>
      <c r="H14" s="29">
        <f t="shared" si="1"/>
        <v>3256833.6393561033</v>
      </c>
    </row>
    <row r="15" spans="2:8" ht="14" customHeight="1" x14ac:dyDescent="0.3">
      <c r="B15" s="27" t="s">
        <v>133</v>
      </c>
      <c r="C15" s="29">
        <v>1475963</v>
      </c>
      <c r="D15" s="29">
        <f>D10*D7/365</f>
        <v>1588010.1615478359</v>
      </c>
      <c r="E15" s="29">
        <f>E10*E7/365</f>
        <v>1648925.6302053176</v>
      </c>
      <c r="F15" s="29">
        <f>F10*F7/365</f>
        <v>1695710.3131729127</v>
      </c>
      <c r="G15" s="29">
        <f>G10*G7/365</f>
        <v>1735352.9079152064</v>
      </c>
      <c r="H15" s="29">
        <f>H10*H7/365</f>
        <v>1767254.7997247411</v>
      </c>
    </row>
    <row r="16" spans="2:8" ht="14" customHeight="1" x14ac:dyDescent="0.3">
      <c r="B16" s="27" t="s">
        <v>134</v>
      </c>
      <c r="C16" s="29">
        <f t="shared" ref="C16:H16" si="2">C15</f>
        <v>1475963</v>
      </c>
      <c r="D16" s="29">
        <f t="shared" si="2"/>
        <v>1588010.1615478359</v>
      </c>
      <c r="E16" s="29">
        <f t="shared" si="2"/>
        <v>1648925.6302053176</v>
      </c>
      <c r="F16" s="29">
        <f t="shared" si="2"/>
        <v>1695710.3131729127</v>
      </c>
      <c r="G16" s="29">
        <f t="shared" si="2"/>
        <v>1735352.9079152064</v>
      </c>
      <c r="H16" s="29">
        <f t="shared" si="2"/>
        <v>1767254.7997247411</v>
      </c>
    </row>
    <row r="17" spans="2:8" ht="14" customHeight="1" x14ac:dyDescent="0.3">
      <c r="B17" s="21" t="s">
        <v>135</v>
      </c>
      <c r="C17" s="22"/>
      <c r="D17" s="22"/>
      <c r="E17" s="22"/>
      <c r="F17" s="22"/>
      <c r="G17" s="22"/>
      <c r="H17" s="22"/>
    </row>
    <row r="18" spans="2:8" ht="14" customHeight="1" x14ac:dyDescent="0.3">
      <c r="B18" s="27" t="s">
        <v>136</v>
      </c>
      <c r="C18" s="19">
        <f t="shared" ref="C18:H18" si="3">C14-C16</f>
        <v>1241172</v>
      </c>
      <c r="D18" s="19">
        <f t="shared" si="3"/>
        <v>1325614.0409358907</v>
      </c>
      <c r="E18" s="19">
        <f t="shared" si="3"/>
        <v>1379792.6889423782</v>
      </c>
      <c r="F18" s="19">
        <f t="shared" si="3"/>
        <v>1422375.178570773</v>
      </c>
      <c r="G18" s="19">
        <f t="shared" si="3"/>
        <v>1459152.9847191696</v>
      </c>
      <c r="H18" s="19">
        <f t="shared" si="3"/>
        <v>1489578.8396313621</v>
      </c>
    </row>
    <row r="19" spans="2:8" ht="14" customHeight="1" x14ac:dyDescent="0.3">
      <c r="B19" s="27" t="s">
        <v>97</v>
      </c>
      <c r="C19" s="30" t="s">
        <v>46</v>
      </c>
      <c r="D19" s="23">
        <f>D18-C18</f>
        <v>84442.040935890749</v>
      </c>
      <c r="E19" s="23">
        <f>E18-D18</f>
        <v>54178.648006487405</v>
      </c>
      <c r="F19" s="23">
        <f>F18-E18</f>
        <v>42582.489628394833</v>
      </c>
      <c r="G19" s="23">
        <f>G18-F18</f>
        <v>36777.806148396572</v>
      </c>
      <c r="H19" s="23">
        <f>H18-G18</f>
        <v>30425.854912192561</v>
      </c>
    </row>
    <row r="22" spans="2:8" ht="14" customHeight="1" x14ac:dyDescent="0.3">
      <c r="B22" s="21" t="s">
        <v>137</v>
      </c>
      <c r="C22" s="22"/>
      <c r="D22" s="22"/>
      <c r="E22" s="22"/>
      <c r="F22" s="22"/>
      <c r="G22" s="22"/>
      <c r="H22" s="22"/>
    </row>
    <row r="23" spans="2:8" ht="14" customHeight="1" x14ac:dyDescent="0.3">
      <c r="D23" s="24" t="s">
        <v>83</v>
      </c>
      <c r="E23" s="24" t="s">
        <v>84</v>
      </c>
      <c r="F23" s="24" t="s">
        <v>85</v>
      </c>
      <c r="G23" s="24" t="s">
        <v>86</v>
      </c>
      <c r="H23" s="24" t="s">
        <v>87</v>
      </c>
    </row>
    <row r="24" spans="2:8" ht="14" customHeight="1" x14ac:dyDescent="0.3">
      <c r="B24" s="2" t="s">
        <v>138</v>
      </c>
    </row>
    <row r="25" spans="2:8" ht="14" customHeight="1" x14ac:dyDescent="0.3">
      <c r="B25" s="3" t="s">
        <v>81</v>
      </c>
      <c r="D25" s="31">
        <v>64</v>
      </c>
      <c r="E25" s="31">
        <v>64</v>
      </c>
      <c r="F25" s="31">
        <v>64</v>
      </c>
      <c r="G25" s="31">
        <v>64</v>
      </c>
      <c r="H25" s="31">
        <v>64</v>
      </c>
    </row>
    <row r="26" spans="2:8" ht="14" customHeight="1" x14ac:dyDescent="0.3">
      <c r="B26" s="3" t="s">
        <v>118</v>
      </c>
      <c r="D26" s="31">
        <v>63</v>
      </c>
      <c r="E26" s="31">
        <v>63</v>
      </c>
      <c r="F26" s="31">
        <v>62</v>
      </c>
      <c r="G26" s="31">
        <v>62</v>
      </c>
      <c r="H26" s="31">
        <v>62</v>
      </c>
    </row>
    <row r="27" spans="2:8" ht="14" customHeight="1" x14ac:dyDescent="0.3">
      <c r="B27" s="3" t="s">
        <v>119</v>
      </c>
      <c r="D27" s="31">
        <v>64</v>
      </c>
      <c r="E27" s="31">
        <v>64</v>
      </c>
      <c r="F27" s="31">
        <v>64</v>
      </c>
      <c r="G27" s="31">
        <v>64</v>
      </c>
      <c r="H27" s="31">
        <v>64</v>
      </c>
    </row>
    <row r="28" spans="2:8" ht="14" customHeight="1" x14ac:dyDescent="0.3">
      <c r="B28" s="3" t="s">
        <v>120</v>
      </c>
      <c r="D28" s="31">
        <v>65</v>
      </c>
      <c r="E28" s="31">
        <v>66</v>
      </c>
      <c r="F28" s="31">
        <v>66</v>
      </c>
      <c r="G28" s="31">
        <v>66</v>
      </c>
      <c r="H28" s="31">
        <v>66</v>
      </c>
    </row>
    <row r="29" spans="2:8" ht="14" customHeight="1" x14ac:dyDescent="0.3">
      <c r="B29" s="3" t="s">
        <v>121</v>
      </c>
      <c r="D29" s="31">
        <v>67</v>
      </c>
      <c r="E29" s="31">
        <v>68</v>
      </c>
      <c r="F29" s="31">
        <v>68</v>
      </c>
      <c r="G29" s="31">
        <v>68</v>
      </c>
      <c r="H29" s="31">
        <v>68</v>
      </c>
    </row>
    <row r="31" spans="2:8" ht="14" customHeight="1" x14ac:dyDescent="0.3">
      <c r="B31" s="2" t="s">
        <v>139</v>
      </c>
    </row>
    <row r="32" spans="2:8" ht="14" customHeight="1" x14ac:dyDescent="0.3">
      <c r="B32" s="3" t="s">
        <v>81</v>
      </c>
      <c r="D32" s="31">
        <v>44</v>
      </c>
      <c r="E32" s="31">
        <v>44</v>
      </c>
      <c r="F32" s="31">
        <v>44</v>
      </c>
      <c r="G32" s="31">
        <v>44</v>
      </c>
      <c r="H32" s="31">
        <v>44</v>
      </c>
    </row>
    <row r="33" spans="2:8" ht="14" customHeight="1" x14ac:dyDescent="0.3">
      <c r="B33" s="3" t="s">
        <v>118</v>
      </c>
      <c r="D33" s="31">
        <v>43</v>
      </c>
      <c r="E33" s="31">
        <v>43</v>
      </c>
      <c r="F33" s="31">
        <v>42</v>
      </c>
      <c r="G33" s="31">
        <v>42</v>
      </c>
      <c r="H33" s="31">
        <v>42</v>
      </c>
    </row>
    <row r="34" spans="2:8" ht="14" customHeight="1" x14ac:dyDescent="0.3">
      <c r="B34" s="3" t="s">
        <v>119</v>
      </c>
      <c r="D34" s="31">
        <v>44</v>
      </c>
      <c r="E34" s="31">
        <v>44</v>
      </c>
      <c r="F34" s="31">
        <v>44</v>
      </c>
      <c r="G34" s="31">
        <v>44</v>
      </c>
      <c r="H34" s="31">
        <v>44</v>
      </c>
    </row>
    <row r="35" spans="2:8" ht="14" customHeight="1" x14ac:dyDescent="0.3">
      <c r="B35" s="3" t="s">
        <v>120</v>
      </c>
      <c r="D35" s="31">
        <v>46</v>
      </c>
      <c r="E35" s="31">
        <v>47</v>
      </c>
      <c r="F35" s="31">
        <v>47</v>
      </c>
      <c r="G35" s="31">
        <v>46</v>
      </c>
      <c r="H35" s="31">
        <v>46</v>
      </c>
    </row>
    <row r="36" spans="2:8" ht="14" customHeight="1" x14ac:dyDescent="0.3">
      <c r="B36" s="3" t="s">
        <v>121</v>
      </c>
      <c r="D36" s="31">
        <v>48</v>
      </c>
      <c r="E36" s="31">
        <v>50</v>
      </c>
      <c r="F36" s="31">
        <v>50</v>
      </c>
      <c r="G36" s="31">
        <v>49</v>
      </c>
      <c r="H36" s="31">
        <v>49</v>
      </c>
    </row>
    <row r="38" spans="2:8" ht="14" customHeight="1" x14ac:dyDescent="0.3">
      <c r="B38" s="2" t="s">
        <v>140</v>
      </c>
    </row>
    <row r="39" spans="2:8" ht="14" customHeight="1" x14ac:dyDescent="0.3">
      <c r="B39" s="3" t="s">
        <v>81</v>
      </c>
      <c r="D39" s="31">
        <v>79</v>
      </c>
      <c r="E39" s="31">
        <v>79</v>
      </c>
      <c r="F39" s="31">
        <v>79</v>
      </c>
      <c r="G39" s="31">
        <v>79</v>
      </c>
      <c r="H39" s="31">
        <v>79</v>
      </c>
    </row>
    <row r="40" spans="2:8" ht="14" customHeight="1" x14ac:dyDescent="0.3">
      <c r="B40" s="3" t="s">
        <v>118</v>
      </c>
      <c r="D40" s="31">
        <v>80</v>
      </c>
      <c r="E40" s="31">
        <v>80</v>
      </c>
      <c r="F40" s="31">
        <v>80</v>
      </c>
      <c r="G40" s="31">
        <v>80</v>
      </c>
      <c r="H40" s="31">
        <v>80</v>
      </c>
    </row>
    <row r="41" spans="2:8" ht="14" customHeight="1" x14ac:dyDescent="0.3">
      <c r="B41" s="3" t="s">
        <v>119</v>
      </c>
      <c r="D41" s="31">
        <v>79</v>
      </c>
      <c r="E41" s="31">
        <v>79</v>
      </c>
      <c r="F41" s="31">
        <v>79</v>
      </c>
      <c r="G41" s="31">
        <v>79</v>
      </c>
      <c r="H41" s="31">
        <v>79</v>
      </c>
    </row>
    <row r="42" spans="2:8" ht="14" customHeight="1" x14ac:dyDescent="0.3">
      <c r="B42" s="3" t="s">
        <v>120</v>
      </c>
      <c r="D42" s="31">
        <v>78</v>
      </c>
      <c r="E42" s="31">
        <v>78</v>
      </c>
      <c r="F42" s="31">
        <v>78</v>
      </c>
      <c r="G42" s="31">
        <v>78</v>
      </c>
      <c r="H42" s="31">
        <v>78</v>
      </c>
    </row>
    <row r="43" spans="2:8" ht="14" customHeight="1" x14ac:dyDescent="0.3">
      <c r="B43" s="3" t="s">
        <v>121</v>
      </c>
      <c r="D43" s="31">
        <v>76</v>
      </c>
      <c r="E43" s="31">
        <v>75</v>
      </c>
      <c r="F43" s="31">
        <v>75</v>
      </c>
      <c r="G43" s="31">
        <v>76</v>
      </c>
      <c r="H43" s="31">
        <v>76</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6600"/>
  </sheetPr>
  <dimension ref="B2:O28"/>
  <sheetViews>
    <sheetView workbookViewId="0"/>
  </sheetViews>
  <sheetFormatPr defaultRowHeight="13" x14ac:dyDescent="0.2"/>
  <cols>
    <col min="1" max="1" width="3" customWidth="1"/>
    <col min="2" max="2" width="16" customWidth="1"/>
    <col min="3" max="3" width="10" customWidth="1"/>
    <col min="4" max="15" width="12" customWidth="1"/>
  </cols>
  <sheetData>
    <row r="2" spans="2:15" ht="18" customHeight="1" x14ac:dyDescent="0.4">
      <c r="B2" s="1" t="s">
        <v>141</v>
      </c>
    </row>
    <row r="4" spans="2:15" ht="28" customHeight="1" x14ac:dyDescent="0.3">
      <c r="B4" s="9" t="s">
        <v>3</v>
      </c>
      <c r="C4" s="9" t="s">
        <v>5</v>
      </c>
      <c r="D4" s="9" t="s">
        <v>142</v>
      </c>
      <c r="E4" s="9" t="s">
        <v>143</v>
      </c>
      <c r="F4" s="9" t="s">
        <v>144</v>
      </c>
      <c r="G4" s="9" t="s">
        <v>145</v>
      </c>
      <c r="H4" s="9" t="s">
        <v>146</v>
      </c>
      <c r="I4" s="9" t="s">
        <v>147</v>
      </c>
      <c r="J4" s="9" t="s">
        <v>148</v>
      </c>
      <c r="K4" s="9" t="s">
        <v>149</v>
      </c>
      <c r="L4" s="9" t="s">
        <v>150</v>
      </c>
      <c r="M4" s="9" t="s">
        <v>151</v>
      </c>
      <c r="N4" s="9" t="s">
        <v>152</v>
      </c>
      <c r="O4" s="9" t="s">
        <v>153</v>
      </c>
    </row>
    <row r="5" spans="2:15" ht="14" customHeight="1" x14ac:dyDescent="0.3">
      <c r="B5" s="3" t="s">
        <v>154</v>
      </c>
      <c r="C5" t="s">
        <v>155</v>
      </c>
      <c r="D5" s="32">
        <v>3938454</v>
      </c>
      <c r="E5" s="32">
        <v>8021717</v>
      </c>
      <c r="F5" s="32">
        <v>10715342</v>
      </c>
      <c r="G5" s="32">
        <v>652959</v>
      </c>
      <c r="H5" s="32">
        <v>270459</v>
      </c>
      <c r="I5" s="32">
        <v>72677</v>
      </c>
      <c r="J5" s="33">
        <f>E5/G5</f>
        <v>12.285177170388952</v>
      </c>
      <c r="K5" s="33">
        <f>E5/F5</f>
        <v>0.74861978273768581</v>
      </c>
      <c r="L5" s="33">
        <f>D5/I5</f>
        <v>54.191202168498975</v>
      </c>
      <c r="M5" s="33">
        <v>3.232424588873632</v>
      </c>
      <c r="N5" s="34">
        <f>H5/F5</f>
        <v>2.5240351637866528E-2</v>
      </c>
      <c r="O5" s="34">
        <v>5.9648512295832068E-2</v>
      </c>
    </row>
    <row r="6" spans="2:15" ht="14" customHeight="1" x14ac:dyDescent="0.3">
      <c r="B6" s="3" t="s">
        <v>156</v>
      </c>
      <c r="C6" t="s">
        <v>157</v>
      </c>
      <c r="D6" s="32">
        <v>5875800</v>
      </c>
      <c r="E6" s="32">
        <v>7667166</v>
      </c>
      <c r="F6" s="32">
        <v>10430200</v>
      </c>
      <c r="G6" s="32">
        <v>805002</v>
      </c>
      <c r="H6" s="32">
        <v>422993</v>
      </c>
      <c r="I6" s="32">
        <v>292760</v>
      </c>
      <c r="J6" s="33">
        <f>E6/G6</f>
        <v>9.5244061505437259</v>
      </c>
      <c r="K6" s="33">
        <f>E6/F6</f>
        <v>0.73509290330003263</v>
      </c>
      <c r="L6" s="33">
        <f>D6/I6</f>
        <v>20.070364803934964</v>
      </c>
      <c r="M6" s="33">
        <v>2.2305823399893701</v>
      </c>
      <c r="N6" s="34">
        <f>H6/F6</f>
        <v>4.0554639412475314E-2</v>
      </c>
      <c r="O6" s="34">
        <v>0.1111381064459798</v>
      </c>
    </row>
    <row r="7" spans="2:15" ht="14" customHeight="1" x14ac:dyDescent="0.3">
      <c r="B7" s="3" t="s">
        <v>158</v>
      </c>
      <c r="C7" t="s">
        <v>159</v>
      </c>
      <c r="D7" s="32">
        <v>3060000</v>
      </c>
      <c r="E7" s="32">
        <v>3288542</v>
      </c>
      <c r="F7" s="32">
        <v>2246758</v>
      </c>
      <c r="G7" s="32">
        <v>210185</v>
      </c>
      <c r="H7" s="32">
        <v>162296</v>
      </c>
      <c r="I7" s="32">
        <v>90512</v>
      </c>
      <c r="J7" s="33">
        <f>E7/G7</f>
        <v>15.645940481004828</v>
      </c>
      <c r="K7" s="33">
        <f>E7/F7</f>
        <v>1.463683227121034</v>
      </c>
      <c r="L7" s="33">
        <f>D7/I7</f>
        <v>33.807671910906841</v>
      </c>
      <c r="M7" s="33">
        <v>5.051555581968918</v>
      </c>
      <c r="N7" s="34">
        <f>H7/F7</f>
        <v>7.2235639085295344E-2</v>
      </c>
      <c r="O7" s="34">
        <v>0.14942039177619959</v>
      </c>
    </row>
    <row r="8" spans="2:15" ht="14" customHeight="1" x14ac:dyDescent="0.3">
      <c r="B8" s="3" t="s">
        <v>160</v>
      </c>
      <c r="C8" t="s">
        <v>161</v>
      </c>
      <c r="D8" s="32">
        <v>1562700</v>
      </c>
      <c r="E8" s="32">
        <v>1577690</v>
      </c>
      <c r="F8" s="32">
        <v>912248</v>
      </c>
      <c r="G8" s="32">
        <v>195035</v>
      </c>
      <c r="H8" s="32">
        <v>125526</v>
      </c>
      <c r="I8" s="32">
        <v>89270</v>
      </c>
      <c r="J8" s="33">
        <f>E8/G8</f>
        <v>8.0892660291742509</v>
      </c>
      <c r="K8" s="33">
        <f>E8/F8</f>
        <v>1.7294529557751839</v>
      </c>
      <c r="L8" s="33">
        <f>D8/I8</f>
        <v>17.505320936484821</v>
      </c>
      <c r="M8" s="33">
        <v>1.5807857699945069</v>
      </c>
      <c r="N8" s="34">
        <f>H8/F8</f>
        <v>0.13760074014960844</v>
      </c>
      <c r="O8" s="34">
        <v>9.0303158435662417E-2</v>
      </c>
    </row>
    <row r="14" spans="2:15" ht="14" customHeight="1" x14ac:dyDescent="0.3">
      <c r="B14" s="2" t="s">
        <v>162</v>
      </c>
    </row>
    <row r="15" spans="2:15" ht="14" customHeight="1" x14ac:dyDescent="0.3">
      <c r="B15" s="3" t="s">
        <v>163</v>
      </c>
      <c r="D15" s="33">
        <f t="shared" ref="D15:I15" si="0">PERCENTILE(J6:J8,0.25)</f>
        <v>8.8068360898589884</v>
      </c>
      <c r="E15" s="33">
        <f t="shared" si="0"/>
        <v>1.0993880652105332</v>
      </c>
      <c r="F15" s="33">
        <f t="shared" si="0"/>
        <v>18.787842870209893</v>
      </c>
      <c r="G15" s="33">
        <f t="shared" si="0"/>
        <v>1.9056840549919385</v>
      </c>
      <c r="H15" s="34">
        <f t="shared" si="0"/>
        <v>5.6395139248885326E-2</v>
      </c>
      <c r="I15" s="34">
        <f t="shared" si="0"/>
        <v>0.10072063244082111</v>
      </c>
    </row>
    <row r="16" spans="2:15" ht="14" customHeight="1" x14ac:dyDescent="0.3">
      <c r="B16" s="3" t="s">
        <v>164</v>
      </c>
      <c r="D16" s="33">
        <f t="shared" ref="D16:I16" si="1">MEDIAN(J6:J8)</f>
        <v>9.5244061505437259</v>
      </c>
      <c r="E16" s="33">
        <f t="shared" si="1"/>
        <v>1.463683227121034</v>
      </c>
      <c r="F16" s="33">
        <f t="shared" si="1"/>
        <v>20.070364803934964</v>
      </c>
      <c r="G16" s="33">
        <f t="shared" si="1"/>
        <v>2.2305823399893701</v>
      </c>
      <c r="H16" s="34">
        <f t="shared" si="1"/>
        <v>7.2235639085295344E-2</v>
      </c>
      <c r="I16" s="34">
        <f t="shared" si="1"/>
        <v>0.1111381064459798</v>
      </c>
    </row>
    <row r="17" spans="2:9" ht="14" customHeight="1" x14ac:dyDescent="0.3">
      <c r="B17" s="3" t="s">
        <v>165</v>
      </c>
      <c r="D17" s="33">
        <f t="shared" ref="D17:I17" si="2">PERCENTILE(J6:J8,0.75)</f>
        <v>12.585173315774277</v>
      </c>
      <c r="E17" s="33">
        <f t="shared" si="2"/>
        <v>1.5965680914481091</v>
      </c>
      <c r="F17" s="33">
        <f t="shared" si="2"/>
        <v>26.939018357420903</v>
      </c>
      <c r="G17" s="33">
        <f t="shared" si="2"/>
        <v>3.641068960979144</v>
      </c>
      <c r="H17" s="34">
        <f t="shared" si="2"/>
        <v>0.10491818961745189</v>
      </c>
      <c r="I17" s="34">
        <f t="shared" si="2"/>
        <v>0.13027924911108968</v>
      </c>
    </row>
    <row r="19" spans="2:9" ht="14" customHeight="1" x14ac:dyDescent="0.3">
      <c r="B19" s="21" t="s">
        <v>166</v>
      </c>
      <c r="C19" s="22"/>
      <c r="D19" s="22"/>
      <c r="E19" s="22"/>
      <c r="F19" s="22"/>
      <c r="G19" s="22"/>
      <c r="H19" s="22"/>
      <c r="I19" s="22"/>
    </row>
    <row r="20" spans="2:9" ht="14" customHeight="1" x14ac:dyDescent="0.3">
      <c r="B20" s="2" t="s">
        <v>167</v>
      </c>
    </row>
    <row r="21" spans="2:9" ht="14" customHeight="1" x14ac:dyDescent="0.3">
      <c r="B21" s="3" t="s">
        <v>168</v>
      </c>
      <c r="C21" s="4">
        <v>652959</v>
      </c>
    </row>
    <row r="22" spans="2:9" ht="14" customHeight="1" x14ac:dyDescent="0.3">
      <c r="B22" s="3" t="s">
        <v>169</v>
      </c>
      <c r="C22" s="4">
        <v>72677</v>
      </c>
    </row>
    <row r="23" spans="2:9" ht="14" customHeight="1" x14ac:dyDescent="0.3">
      <c r="B23" s="3" t="s">
        <v>170</v>
      </c>
      <c r="C23" s="14">
        <v>2765768421</v>
      </c>
    </row>
    <row r="24" spans="2:9" ht="14" customHeight="1" x14ac:dyDescent="0.3">
      <c r="B24" s="3" t="s">
        <v>70</v>
      </c>
      <c r="C24" s="4">
        <v>4083263</v>
      </c>
    </row>
    <row r="26" spans="2:9" ht="14" customHeight="1" x14ac:dyDescent="0.3">
      <c r="B26" s="2" t="s">
        <v>171</v>
      </c>
    </row>
    <row r="27" spans="2:9" ht="14" customHeight="1" x14ac:dyDescent="0.3">
      <c r="B27" s="3" t="s">
        <v>172</v>
      </c>
      <c r="C27" s="23">
        <f>ROUND((C21*D16-C24)*1000000/C23,0)</f>
        <v>772</v>
      </c>
    </row>
    <row r="28" spans="2:9" ht="14" customHeight="1" x14ac:dyDescent="0.3">
      <c r="B28" s="3" t="s">
        <v>173</v>
      </c>
      <c r="C28" s="23">
        <f>ROUND(C22*F16*1000000/C23,0)</f>
        <v>527</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1" t="s">
        <v>174</v>
      </c>
    </row>
    <row r="3" spans="2:9" ht="14" customHeight="1" x14ac:dyDescent="0.3">
      <c r="B3" s="3" t="s">
        <v>175</v>
      </c>
      <c r="C3" s="15">
        <f>'DCF Model'!C26</f>
        <v>4.4059990218986038E-2</v>
      </c>
      <c r="E3" s="3" t="s">
        <v>176</v>
      </c>
      <c r="F3" s="15">
        <f>'DCF Model'!C13</f>
        <v>5.0000000000000001E-3</v>
      </c>
      <c r="H3" s="3" t="s">
        <v>177</v>
      </c>
      <c r="I3" s="13">
        <f>'DCF Model'!C14</f>
        <v>8</v>
      </c>
    </row>
    <row r="5" spans="2:9" ht="14" customHeight="1" x14ac:dyDescent="0.3">
      <c r="B5" s="2" t="s">
        <v>178</v>
      </c>
    </row>
    <row r="6" spans="2:9" ht="14" customHeight="1" x14ac:dyDescent="0.3">
      <c r="B6" s="35" t="s">
        <v>179</v>
      </c>
      <c r="C6" s="36">
        <f>$F$3-0.0075</f>
        <v>-2.4999999999999996E-3</v>
      </c>
      <c r="D6" s="36">
        <f>$F$3-0.005</f>
        <v>0</v>
      </c>
      <c r="E6" s="36">
        <f>$F$3-0.0025</f>
        <v>2.5000000000000001E-3</v>
      </c>
      <c r="F6" s="36">
        <f>$F$3</f>
        <v>5.0000000000000001E-3</v>
      </c>
      <c r="G6" s="36">
        <f>$F$3+0.0025</f>
        <v>7.4999999999999997E-3</v>
      </c>
      <c r="H6" s="36">
        <f>$F$3+0.005</f>
        <v>0.01</v>
      </c>
      <c r="I6" s="36">
        <f>$F$3+0.0075</f>
        <v>1.2500000000000001E-2</v>
      </c>
    </row>
    <row r="7" spans="2:9" ht="13.5" customHeight="1" x14ac:dyDescent="0.25">
      <c r="B7" s="34">
        <f>$C$3-0.015</f>
        <v>2.9059990218986038E-2</v>
      </c>
      <c r="C7" s="32">
        <f>IFERROR(ROUND(('DCF Model'!C45/(1+$B7)^('DCF Model'!C19+0)+'DCF Model'!D45/(1+$B7)^('DCF Model'!C19+1)+'DCF Model'!E45/(1+$B7)^('DCF Model'!C19+2)+'DCF Model'!F45/(1+$B7)^('DCF Model'!C19+3)+'DCF Model'!G45/(1+$B7)^('DCF Model'!C19+4)+'DCF Model'!G45*(1+C$6)/($B7-C$6)/(1+$B7)^('DCF Model'!C19+4)-'DCF Model'!C16)*1000000/'DCF Model'!C15,0),"")</f>
        <v>218</v>
      </c>
      <c r="D7" s="32">
        <f>IFERROR(ROUND(('DCF Model'!C45/(1+$B7)^('DCF Model'!C19+0)+'DCF Model'!D45/(1+$B7)^('DCF Model'!C19+1)+'DCF Model'!E45/(1+$B7)^('DCF Model'!C19+2)+'DCF Model'!F45/(1+$B7)^('DCF Model'!C19+3)+'DCF Model'!G45/(1+$B7)^('DCF Model'!C19+4)+'DCF Model'!G45*(1+D$6)/($B7-D$6)/(1+$B7)^('DCF Model'!C19+4)-'DCF Model'!C16)*1000000/'DCF Model'!C15,0),"")</f>
        <v>356</v>
      </c>
      <c r="E7" s="32">
        <f>IFERROR(ROUND(('DCF Model'!C45/(1+$B7)^('DCF Model'!C19+0)+'DCF Model'!D45/(1+$B7)^('DCF Model'!C19+1)+'DCF Model'!E45/(1+$B7)^('DCF Model'!C19+2)+'DCF Model'!F45/(1+$B7)^('DCF Model'!C19+3)+'DCF Model'!G45/(1+$B7)^('DCF Model'!C19+4)+'DCF Model'!G45*(1+E$6)/($B7-E$6)/(1+$B7)^('DCF Model'!C19+4)-'DCF Model'!C16)*1000000/'DCF Model'!C15,0),"")</f>
        <v>520</v>
      </c>
      <c r="F7" s="32">
        <f>IFERROR(ROUND(('DCF Model'!C45/(1+$B7)^('DCF Model'!C19+0)+'DCF Model'!D45/(1+$B7)^('DCF Model'!C19+1)+'DCF Model'!E45/(1+$B7)^('DCF Model'!C19+2)+'DCF Model'!F45/(1+$B7)^('DCF Model'!C19+3)+'DCF Model'!G45/(1+$B7)^('DCF Model'!C19+4)+'DCF Model'!G45*(1+F$6)/($B7-F$6)/(1+$B7)^('DCF Model'!C19+4)-'DCF Model'!C16)*1000000/'DCF Model'!C15,0),"")</f>
        <v>719</v>
      </c>
      <c r="G7" s="32">
        <f>IFERROR(ROUND(('DCF Model'!C45/(1+$B7)^('DCF Model'!C19+0)+'DCF Model'!D45/(1+$B7)^('DCF Model'!C19+1)+'DCF Model'!E45/(1+$B7)^('DCF Model'!C19+2)+'DCF Model'!F45/(1+$B7)^('DCF Model'!C19+3)+'DCF Model'!G45/(1+$B7)^('DCF Model'!C19+4)+'DCF Model'!G45*(1+G$6)/($B7-G$6)/(1+$B7)^('DCF Model'!C19+4)-'DCF Model'!C16)*1000000/'DCF Model'!C15,0),"")</f>
        <v>963</v>
      </c>
      <c r="H7" s="32">
        <f>IFERROR(ROUND(('DCF Model'!C45/(1+$B7)^('DCF Model'!C19+0)+'DCF Model'!D45/(1+$B7)^('DCF Model'!C19+1)+'DCF Model'!E45/(1+$B7)^('DCF Model'!C19+2)+'DCF Model'!F45/(1+$B7)^('DCF Model'!C19+3)+'DCF Model'!G45/(1+$B7)^('DCF Model'!C19+4)+'DCF Model'!G45*(1+H$6)/($B7-H$6)/(1+$B7)^('DCF Model'!C19+4)-'DCF Model'!C16)*1000000/'DCF Model'!C15,0),"")</f>
        <v>1272</v>
      </c>
      <c r="I7" s="32">
        <f>IFERROR(ROUND(('DCF Model'!C45/(1+$B7)^('DCF Model'!C19+0)+'DCF Model'!D45/(1+$B7)^('DCF Model'!C19+1)+'DCF Model'!E45/(1+$B7)^('DCF Model'!C19+2)+'DCF Model'!F45/(1+$B7)^('DCF Model'!C19+3)+'DCF Model'!G45/(1+$B7)^('DCF Model'!C19+4)+'DCF Model'!G45*(1+I$6)/($B7-I$6)/(1+$B7)^('DCF Model'!C19+4)-'DCF Model'!C16)*1000000/'DCF Model'!C15,0),"")</f>
        <v>1674</v>
      </c>
    </row>
    <row r="8" spans="2:9" ht="13.5" customHeight="1" x14ac:dyDescent="0.25">
      <c r="B8" s="34">
        <f>$C$3-0.01</f>
        <v>3.4059990218986036E-2</v>
      </c>
      <c r="C8" s="32">
        <f>IFERROR(ROUND(('DCF Model'!C45/(1+$B8)^('DCF Model'!C19+0)+'DCF Model'!D45/(1+$B8)^('DCF Model'!C19+1)+'DCF Model'!E45/(1+$B8)^('DCF Model'!C19+2)+'DCF Model'!F45/(1+$B8)^('DCF Model'!C19+3)+'DCF Model'!G45/(1+$B8)^('DCF Model'!C19+4)+'DCF Model'!G45*(1+C$6)/($B8-C$6)/(1+$B8)^('DCF Model'!C19+4)-'DCF Model'!C16)*1000000/'DCF Model'!C15,0),"")</f>
        <v>-30</v>
      </c>
      <c r="D8" s="32">
        <f>IFERROR(ROUND(('DCF Model'!C45/(1+$B8)^('DCF Model'!C19+0)+'DCF Model'!D45/(1+$B8)^('DCF Model'!C19+1)+'DCF Model'!E45/(1+$B8)^('DCF Model'!C19+2)+'DCF Model'!F45/(1+$B8)^('DCF Model'!C19+3)+'DCF Model'!G45/(1+$B8)^('DCF Model'!C19+4)+'DCF Model'!G45*(1+D$6)/($B8-D$6)/(1+$B8)^('DCF Model'!C19+4)-'DCF Model'!C16)*1000000/'DCF Model'!C15,0),"")</f>
        <v>70</v>
      </c>
      <c r="E8" s="32">
        <f>IFERROR(ROUND(('DCF Model'!C45/(1+$B8)^('DCF Model'!C19+0)+'DCF Model'!D45/(1+$B8)^('DCF Model'!C19+1)+'DCF Model'!E45/(1+$B8)^('DCF Model'!C19+2)+'DCF Model'!F45/(1+$B8)^('DCF Model'!C19+3)+'DCF Model'!G45/(1+$B8)^('DCF Model'!C19+4)+'DCF Model'!G45*(1+E$6)/($B8-E$6)/(1+$B8)^('DCF Model'!C19+4)-'DCF Model'!C16)*1000000/'DCF Model'!C15,0),"")</f>
        <v>185</v>
      </c>
      <c r="F8" s="32">
        <f>IFERROR(ROUND(('DCF Model'!C45/(1+$B8)^('DCF Model'!C19+0)+'DCF Model'!D45/(1+$B8)^('DCF Model'!C19+1)+'DCF Model'!E45/(1+$B8)^('DCF Model'!C19+2)+'DCF Model'!F45/(1+$B8)^('DCF Model'!C19+3)+'DCF Model'!G45/(1+$B8)^('DCF Model'!C19+4)+'DCF Model'!G45*(1+F$6)/($B8-F$6)/(1+$B8)^('DCF Model'!C19+4)-'DCF Model'!C16)*1000000/'DCF Model'!C15,0),"")</f>
        <v>321</v>
      </c>
      <c r="G8" s="32">
        <f>IFERROR(ROUND(('DCF Model'!C45/(1+$B8)^('DCF Model'!C19+0)+'DCF Model'!D45/(1+$B8)^('DCF Model'!C19+1)+'DCF Model'!E45/(1+$B8)^('DCF Model'!C19+2)+'DCF Model'!F45/(1+$B8)^('DCF Model'!C19+3)+'DCF Model'!G45/(1+$B8)^('DCF Model'!C19+4)+'DCF Model'!G45*(1+G$6)/($B8-G$6)/(1+$B8)^('DCF Model'!C19+4)-'DCF Model'!C16)*1000000/'DCF Model'!C15,0),"")</f>
        <v>482</v>
      </c>
      <c r="H8" s="32">
        <f>IFERROR(ROUND(('DCF Model'!C45/(1+$B8)^('DCF Model'!C19+0)+'DCF Model'!D45/(1+$B8)^('DCF Model'!C19+1)+'DCF Model'!E45/(1+$B8)^('DCF Model'!C19+2)+'DCF Model'!F45/(1+$B8)^('DCF Model'!C19+3)+'DCF Model'!G45/(1+$B8)^('DCF Model'!C19+4)+'DCF Model'!G45*(1+H$6)/($B8-H$6)/(1+$B8)^('DCF Model'!C19+4)-'DCF Model'!C16)*1000000/'DCF Model'!C15,0),"")</f>
        <v>677</v>
      </c>
      <c r="I8" s="32">
        <f>IFERROR(ROUND(('DCF Model'!C45/(1+$B8)^('DCF Model'!C19+0)+'DCF Model'!D45/(1+$B8)^('DCF Model'!C19+1)+'DCF Model'!E45/(1+$B8)^('DCF Model'!C19+2)+'DCF Model'!F45/(1+$B8)^('DCF Model'!C19+3)+'DCF Model'!G45/(1+$B8)^('DCF Model'!C19+4)+'DCF Model'!G45*(1+I$6)/($B8-I$6)/(1+$B8)^('DCF Model'!C19+4)-'DCF Model'!C16)*1000000/'DCF Model'!C15,0),"")</f>
        <v>917</v>
      </c>
    </row>
    <row r="9" spans="2:9" ht="13.5" customHeight="1" x14ac:dyDescent="0.25">
      <c r="B9" s="34">
        <f>$C$3-0.005</f>
        <v>3.905999021898604E-2</v>
      </c>
      <c r="C9" s="32">
        <f>IFERROR(ROUND(('DCF Model'!C45/(1+$B9)^('DCF Model'!C19+0)+'DCF Model'!D45/(1+$B9)^('DCF Model'!C19+1)+'DCF Model'!E45/(1+$B9)^('DCF Model'!C19+2)+'DCF Model'!F45/(1+$B9)^('DCF Model'!C19+3)+'DCF Model'!G45/(1+$B9)^('DCF Model'!C19+4)+'DCF Model'!G45*(1+C$6)/($B9-C$6)/(1+$B9)^('DCF Model'!C19+4)-'DCF Model'!C16)*1000000/'DCF Model'!C15,0),"")</f>
        <v>-218</v>
      </c>
      <c r="D9" s="32">
        <f>IFERROR(ROUND(('DCF Model'!C45/(1+$B9)^('DCF Model'!C19+0)+'DCF Model'!D45/(1+$B9)^('DCF Model'!C19+1)+'DCF Model'!E45/(1+$B9)^('DCF Model'!C19+2)+'DCF Model'!F45/(1+$B9)^('DCF Model'!C19+3)+'DCF Model'!G45/(1+$B9)^('DCF Model'!C19+4)+'DCF Model'!G45*(1+D$6)/($B9-D$6)/(1+$B9)^('DCF Model'!C19+4)-'DCF Model'!C16)*1000000/'DCF Model'!C15,0),"")</f>
        <v>-143</v>
      </c>
      <c r="E9" s="32">
        <f>IFERROR(ROUND(('DCF Model'!C45/(1+$B9)^('DCF Model'!C19+0)+'DCF Model'!D45/(1+$B9)^('DCF Model'!C19+1)+'DCF Model'!E45/(1+$B9)^('DCF Model'!C19+2)+'DCF Model'!F45/(1+$B9)^('DCF Model'!C19+3)+'DCF Model'!G45/(1+$B9)^('DCF Model'!C19+4)+'DCF Model'!G45*(1+E$6)/($B9-E$6)/(1+$B9)^('DCF Model'!C19+4)-'DCF Model'!C16)*1000000/'DCF Model'!C15,0),"")</f>
        <v>-58</v>
      </c>
      <c r="F9" s="32">
        <f>IFERROR(ROUND(('DCF Model'!C45/(1+$B9)^('DCF Model'!C19+0)+'DCF Model'!D45/(1+$B9)^('DCF Model'!C19+1)+'DCF Model'!E45/(1+$B9)^('DCF Model'!C19+2)+'DCF Model'!F45/(1+$B9)^('DCF Model'!C19+3)+'DCF Model'!G45/(1+$B9)^('DCF Model'!C19+4)+'DCF Model'!G45*(1+F$6)/($B9-F$6)/(1+$B9)^('DCF Model'!C19+4)-'DCF Model'!C16)*1000000/'DCF Model'!C15,0),"")</f>
        <v>40</v>
      </c>
      <c r="G9" s="32">
        <f>IFERROR(ROUND(('DCF Model'!C45/(1+$B9)^('DCF Model'!C19+0)+'DCF Model'!D45/(1+$B9)^('DCF Model'!C19+1)+'DCF Model'!E45/(1+$B9)^('DCF Model'!C19+2)+'DCF Model'!F45/(1+$B9)^('DCF Model'!C19+3)+'DCF Model'!G45/(1+$B9)^('DCF Model'!C19+4)+'DCF Model'!G45*(1+G$6)/($B9-G$6)/(1+$B9)^('DCF Model'!C19+4)-'DCF Model'!C16)*1000000/'DCF Model'!C15,0),"")</f>
        <v>154</v>
      </c>
      <c r="H9" s="32">
        <f>IFERROR(ROUND(('DCF Model'!C45/(1+$B9)^('DCF Model'!C19+0)+'DCF Model'!D45/(1+$B9)^('DCF Model'!C19+1)+'DCF Model'!E45/(1+$B9)^('DCF Model'!C19+2)+'DCF Model'!F45/(1+$B9)^('DCF Model'!C19+3)+'DCF Model'!G45/(1+$B9)^('DCF Model'!C19+4)+'DCF Model'!G45*(1+H$6)/($B9-H$6)/(1+$B9)^('DCF Model'!C19+4)-'DCF Model'!C16)*1000000/'DCF Model'!C15,0),"")</f>
        <v>287</v>
      </c>
      <c r="I9" s="32">
        <f>IFERROR(ROUND(('DCF Model'!C45/(1+$B9)^('DCF Model'!C19+0)+'DCF Model'!D45/(1+$B9)^('DCF Model'!C19+1)+'DCF Model'!E45/(1+$B9)^('DCF Model'!C19+2)+'DCF Model'!F45/(1+$B9)^('DCF Model'!C19+3)+'DCF Model'!G45/(1+$B9)^('DCF Model'!C19+4)+'DCF Model'!G45*(1+I$6)/($B9-I$6)/(1+$B9)^('DCF Model'!C19+4)-'DCF Model'!C16)*1000000/'DCF Model'!C15,0),"")</f>
        <v>445</v>
      </c>
    </row>
    <row r="10" spans="2:9" ht="13.5" customHeight="1" x14ac:dyDescent="0.25">
      <c r="B10" s="34">
        <f>$C$3</f>
        <v>4.4059990218986038E-2</v>
      </c>
      <c r="C10" s="32">
        <f>IFERROR(ROUND(('DCF Model'!C45/(1+$B10)^('DCF Model'!C19+0)+'DCF Model'!D45/(1+$B10)^('DCF Model'!C19+1)+'DCF Model'!E45/(1+$B10)^('DCF Model'!C19+2)+'DCF Model'!F45/(1+$B10)^('DCF Model'!C19+3)+'DCF Model'!G45/(1+$B10)^('DCF Model'!C19+4)+'DCF Model'!G45*(1+C$6)/($B10-C$6)/(1+$B10)^('DCF Model'!C19+4)-'DCF Model'!C16)*1000000/'DCF Model'!C15,0),"")</f>
        <v>-366</v>
      </c>
      <c r="D10" s="32">
        <f>IFERROR(ROUND(('DCF Model'!C45/(1+$B10)^('DCF Model'!C19+0)+'DCF Model'!D45/(1+$B10)^('DCF Model'!C19+1)+'DCF Model'!E45/(1+$B10)^('DCF Model'!C19+2)+'DCF Model'!F45/(1+$B10)^('DCF Model'!C19+3)+'DCF Model'!G45/(1+$B10)^('DCF Model'!C19+4)+'DCF Model'!G45*(1+D$6)/($B10-D$6)/(1+$B10)^('DCF Model'!C19+4)-'DCF Model'!C16)*1000000/'DCF Model'!C15,0),"")</f>
        <v>-307</v>
      </c>
      <c r="E10" s="32">
        <f>IFERROR(ROUND(('DCF Model'!C45/(1+$B10)^('DCF Model'!C19+0)+'DCF Model'!D45/(1+$B10)^('DCF Model'!C19+1)+'DCF Model'!E45/(1+$B10)^('DCF Model'!C19+2)+'DCF Model'!F45/(1+$B10)^('DCF Model'!C19+3)+'DCF Model'!G45/(1+$B10)^('DCF Model'!C19+4)+'DCF Model'!G45*(1+E$6)/($B10-E$6)/(1+$B10)^('DCF Model'!C19+4)-'DCF Model'!C16)*1000000/'DCF Model'!C15,0),"")</f>
        <v>-242</v>
      </c>
      <c r="F10" s="32">
        <f>IFERROR(ROUND(('DCF Model'!C45/(1+$B10)^('DCF Model'!C19+0)+'DCF Model'!D45/(1+$B10)^('DCF Model'!C19+1)+'DCF Model'!E45/(1+$B10)^('DCF Model'!C19+2)+'DCF Model'!F45/(1+$B10)^('DCF Model'!C19+3)+'DCF Model'!G45/(1+$B10)^('DCF Model'!C19+4)+'DCF Model'!G45*(1+F$6)/($B10-F$6)/(1+$B10)^('DCF Model'!C19+4)-'DCF Model'!C16)*1000000/'DCF Model'!C15,0),"")</f>
        <v>-168</v>
      </c>
      <c r="G10" s="32">
        <f>IFERROR(ROUND(('DCF Model'!C45/(1+$B10)^('DCF Model'!C19+0)+'DCF Model'!D45/(1+$B10)^('DCF Model'!C19+1)+'DCF Model'!E45/(1+$B10)^('DCF Model'!C19+2)+'DCF Model'!F45/(1+$B10)^('DCF Model'!C19+3)+'DCF Model'!G45/(1+$B10)^('DCF Model'!C19+4)+'DCF Model'!G45*(1+G$6)/($B10-G$6)/(1+$B10)^('DCF Model'!C19+4)-'DCF Model'!C16)*1000000/'DCF Model'!C15,0),"")</f>
        <v>-84</v>
      </c>
      <c r="H10" s="32">
        <f>IFERROR(ROUND(('DCF Model'!C45/(1+$B10)^('DCF Model'!C19+0)+'DCF Model'!D45/(1+$B10)^('DCF Model'!C19+1)+'DCF Model'!E45/(1+$B10)^('DCF Model'!C19+2)+'DCF Model'!F45/(1+$B10)^('DCF Model'!C19+3)+'DCF Model'!G45/(1+$B10)^('DCF Model'!C19+4)+'DCF Model'!G45*(1+H$6)/($B10-H$6)/(1+$B10)^('DCF Model'!C19+4)-'DCF Model'!C16)*1000000/'DCF Model'!C15,0),"")</f>
        <v>12</v>
      </c>
      <c r="I10" s="32">
        <f>IFERROR(ROUND(('DCF Model'!C45/(1+$B10)^('DCF Model'!C19+0)+'DCF Model'!D45/(1+$B10)^('DCF Model'!C19+1)+'DCF Model'!E45/(1+$B10)^('DCF Model'!C19+2)+'DCF Model'!F45/(1+$B10)^('DCF Model'!C19+3)+'DCF Model'!G45/(1+$B10)^('DCF Model'!C19+4)+'DCF Model'!G45*(1+I$6)/($B10-I$6)/(1+$B10)^('DCF Model'!C19+4)-'DCF Model'!C16)*1000000/'DCF Model'!C15,0),"")</f>
        <v>123</v>
      </c>
    </row>
    <row r="11" spans="2:9" ht="13.5" customHeight="1" x14ac:dyDescent="0.25">
      <c r="B11" s="34">
        <f>$C$3+0.005</f>
        <v>4.9059990218986035E-2</v>
      </c>
      <c r="C11" s="32">
        <f>IFERROR(ROUND(('DCF Model'!C45/(1+$B11)^('DCF Model'!C19+0)+'DCF Model'!D45/(1+$B11)^('DCF Model'!C19+1)+'DCF Model'!E45/(1+$B11)^('DCF Model'!C19+2)+'DCF Model'!F45/(1+$B11)^('DCF Model'!C19+3)+'DCF Model'!G45/(1+$B11)^('DCF Model'!C19+4)+'DCF Model'!G45*(1+C$6)/($B11-C$6)/(1+$B11)^('DCF Model'!C19+4)-'DCF Model'!C16)*1000000/'DCF Model'!C15,0),"")</f>
        <v>-484</v>
      </c>
      <c r="D11" s="32">
        <f>IFERROR(ROUND(('DCF Model'!C45/(1+$B11)^('DCF Model'!C19+0)+'DCF Model'!D45/(1+$B11)^('DCF Model'!C19+1)+'DCF Model'!E45/(1+$B11)^('DCF Model'!C19+2)+'DCF Model'!F45/(1+$B11)^('DCF Model'!C19+3)+'DCF Model'!G45/(1+$B11)^('DCF Model'!C19+4)+'DCF Model'!G45*(1+D$6)/($B11-D$6)/(1+$B11)^('DCF Model'!C19+4)-'DCF Model'!C16)*1000000/'DCF Model'!C15,0),"")</f>
        <v>-438</v>
      </c>
      <c r="E11" s="32">
        <f>IFERROR(ROUND(('DCF Model'!C45/(1+$B11)^('DCF Model'!C19+0)+'DCF Model'!D45/(1+$B11)^('DCF Model'!C19+1)+'DCF Model'!E45/(1+$B11)^('DCF Model'!C19+2)+'DCF Model'!F45/(1+$B11)^('DCF Model'!C19+3)+'DCF Model'!G45/(1+$B11)^('DCF Model'!C19+4)+'DCF Model'!G45*(1+E$6)/($B11-E$6)/(1+$B11)^('DCF Model'!C19+4)-'DCF Model'!C16)*1000000/'DCF Model'!C15,0),"")</f>
        <v>-386</v>
      </c>
      <c r="F11" s="32">
        <f>IFERROR(ROUND(('DCF Model'!C45/(1+$B11)^('DCF Model'!C19+0)+'DCF Model'!D45/(1+$B11)^('DCF Model'!C19+1)+'DCF Model'!E45/(1+$B11)^('DCF Model'!C19+2)+'DCF Model'!F45/(1+$B11)^('DCF Model'!C19+3)+'DCF Model'!G45/(1+$B11)^('DCF Model'!C19+4)+'DCF Model'!G45*(1+F$6)/($B11-F$6)/(1+$B11)^('DCF Model'!C19+4)-'DCF Model'!C16)*1000000/'DCF Model'!C15,0),"")</f>
        <v>-329</v>
      </c>
      <c r="G11" s="32">
        <f>IFERROR(ROUND(('DCF Model'!C45/(1+$B11)^('DCF Model'!C19+0)+'DCF Model'!D45/(1+$B11)^('DCF Model'!C19+1)+'DCF Model'!E45/(1+$B11)^('DCF Model'!C19+2)+'DCF Model'!F45/(1+$B11)^('DCF Model'!C19+3)+'DCF Model'!G45/(1+$B11)^('DCF Model'!C19+4)+'DCF Model'!G45*(1+G$6)/($B11-G$6)/(1+$B11)^('DCF Model'!C19+4)-'DCF Model'!C16)*1000000/'DCF Model'!C15,0),"")</f>
        <v>-265</v>
      </c>
      <c r="H11" s="32">
        <f>IFERROR(ROUND(('DCF Model'!C45/(1+$B11)^('DCF Model'!C19+0)+'DCF Model'!D45/(1+$B11)^('DCF Model'!C19+1)+'DCF Model'!E45/(1+$B11)^('DCF Model'!C19+2)+'DCF Model'!F45/(1+$B11)^('DCF Model'!C19+3)+'DCF Model'!G45/(1+$B11)^('DCF Model'!C19+4)+'DCF Model'!G45*(1+H$6)/($B11-H$6)/(1+$B11)^('DCF Model'!C19+4)-'DCF Model'!C16)*1000000/'DCF Model'!C15,0),"")</f>
        <v>-193</v>
      </c>
      <c r="I11" s="32">
        <f>IFERROR(ROUND(('DCF Model'!C45/(1+$B11)^('DCF Model'!C19+0)+'DCF Model'!D45/(1+$B11)^('DCF Model'!C19+1)+'DCF Model'!E45/(1+$B11)^('DCF Model'!C19+2)+'DCF Model'!F45/(1+$B11)^('DCF Model'!C19+3)+'DCF Model'!G45/(1+$B11)^('DCF Model'!C19+4)+'DCF Model'!G45*(1+I$6)/($B11-I$6)/(1+$B11)^('DCF Model'!C19+4)-'DCF Model'!C16)*1000000/'DCF Model'!C15,0),"")</f>
        <v>-111</v>
      </c>
    </row>
    <row r="12" spans="2:9" ht="13.5" customHeight="1" x14ac:dyDescent="0.25">
      <c r="B12" s="34">
        <f>$C$3+0.01</f>
        <v>5.405999021898604E-2</v>
      </c>
      <c r="C12" s="32">
        <f>IFERROR(ROUND(('DCF Model'!C45/(1+$B12)^('DCF Model'!C19+0)+'DCF Model'!D45/(1+$B12)^('DCF Model'!C19+1)+'DCF Model'!E45/(1+$B12)^('DCF Model'!C19+2)+'DCF Model'!F45/(1+$B12)^('DCF Model'!C19+3)+'DCF Model'!G45/(1+$B12)^('DCF Model'!C19+4)+'DCF Model'!G45*(1+C$6)/($B12-C$6)/(1+$B12)^('DCF Model'!C19+4)-'DCF Model'!C16)*1000000/'DCF Model'!C15,0),"")</f>
        <v>-582</v>
      </c>
      <c r="D12" s="32">
        <f>IFERROR(ROUND(('DCF Model'!C45/(1+$B12)^('DCF Model'!C19+0)+'DCF Model'!D45/(1+$B12)^('DCF Model'!C19+1)+'DCF Model'!E45/(1+$B12)^('DCF Model'!C19+2)+'DCF Model'!F45/(1+$B12)^('DCF Model'!C19+3)+'DCF Model'!G45/(1+$B12)^('DCF Model'!C19+4)+'DCF Model'!G45*(1+D$6)/($B12-D$6)/(1+$B12)^('DCF Model'!C19+4)-'DCF Model'!C16)*1000000/'DCF Model'!C15,0),"")</f>
        <v>-544</v>
      </c>
      <c r="E12" s="32">
        <f>IFERROR(ROUND(('DCF Model'!C45/(1+$B12)^('DCF Model'!C19+0)+'DCF Model'!D45/(1+$B12)^('DCF Model'!C19+1)+'DCF Model'!E45/(1+$B12)^('DCF Model'!C19+2)+'DCF Model'!F45/(1+$B12)^('DCF Model'!C19+3)+'DCF Model'!G45/(1+$B12)^('DCF Model'!C19+4)+'DCF Model'!G45*(1+E$6)/($B12-E$6)/(1+$B12)^('DCF Model'!C19+4)-'DCF Model'!C16)*1000000/'DCF Model'!C15,0),"")</f>
        <v>-503</v>
      </c>
      <c r="F12" s="32">
        <f>IFERROR(ROUND(('DCF Model'!C45/(1+$B12)^('DCF Model'!C19+0)+'DCF Model'!D45/(1+$B12)^('DCF Model'!C19+1)+'DCF Model'!E45/(1+$B12)^('DCF Model'!C19+2)+'DCF Model'!F45/(1+$B12)^('DCF Model'!C19+3)+'DCF Model'!G45/(1+$B12)^('DCF Model'!C19+4)+'DCF Model'!G45*(1+F$6)/($B12-F$6)/(1+$B12)^('DCF Model'!C19+4)-'DCF Model'!C16)*1000000/'DCF Model'!C15,0),"")</f>
        <v>-457</v>
      </c>
      <c r="G12" s="32">
        <f>IFERROR(ROUND(('DCF Model'!C45/(1+$B12)^('DCF Model'!C19+0)+'DCF Model'!D45/(1+$B12)^('DCF Model'!C19+1)+'DCF Model'!E45/(1+$B12)^('DCF Model'!C19+2)+'DCF Model'!F45/(1+$B12)^('DCF Model'!C19+3)+'DCF Model'!G45/(1+$B12)^('DCF Model'!C19+4)+'DCF Model'!G45*(1+G$6)/($B12-G$6)/(1+$B12)^('DCF Model'!C19+4)-'DCF Model'!C16)*1000000/'DCF Model'!C15,0),"")</f>
        <v>-407</v>
      </c>
      <c r="H12" s="32">
        <f>IFERROR(ROUND(('DCF Model'!C45/(1+$B12)^('DCF Model'!C19+0)+'DCF Model'!D45/(1+$B12)^('DCF Model'!C19+1)+'DCF Model'!E45/(1+$B12)^('DCF Model'!C19+2)+'DCF Model'!F45/(1+$B12)^('DCF Model'!C19+3)+'DCF Model'!G45/(1+$B12)^('DCF Model'!C19+4)+'DCF Model'!G45*(1+H$6)/($B12-H$6)/(1+$B12)^('DCF Model'!C19+4)-'DCF Model'!C16)*1000000/'DCF Model'!C15,0),"")</f>
        <v>-351</v>
      </c>
      <c r="I12" s="32">
        <f>IFERROR(ROUND(('DCF Model'!C45/(1+$B12)^('DCF Model'!C19+0)+'DCF Model'!D45/(1+$B12)^('DCF Model'!C19+1)+'DCF Model'!E45/(1+$B12)^('DCF Model'!C19+2)+'DCF Model'!F45/(1+$B12)^('DCF Model'!C19+3)+'DCF Model'!G45/(1+$B12)^('DCF Model'!C19+4)+'DCF Model'!G45*(1+I$6)/($B12-I$6)/(1+$B12)^('DCF Model'!C19+4)-'DCF Model'!C16)*1000000/'DCF Model'!C15,0),"")</f>
        <v>-288</v>
      </c>
    </row>
    <row r="13" spans="2:9" ht="13.5" customHeight="1" x14ac:dyDescent="0.25">
      <c r="B13" s="34">
        <f>$C$3+0.015</f>
        <v>5.9059990218986037E-2</v>
      </c>
      <c r="C13" s="32">
        <f>IFERROR(ROUND(('DCF Model'!C45/(1+$B13)^('DCF Model'!C19+0)+'DCF Model'!D45/(1+$B13)^('DCF Model'!C19+1)+'DCF Model'!E45/(1+$B13)^('DCF Model'!C19+2)+'DCF Model'!F45/(1+$B13)^('DCF Model'!C19+3)+'DCF Model'!G45/(1+$B13)^('DCF Model'!C19+4)+'DCF Model'!G45*(1+C$6)/($B13-C$6)/(1+$B13)^('DCF Model'!C19+4)-'DCF Model'!C16)*1000000/'DCF Model'!C15,0),"")</f>
        <v>-663</v>
      </c>
      <c r="D13" s="32">
        <f>IFERROR(ROUND(('DCF Model'!C45/(1+$B13)^('DCF Model'!C19+0)+'DCF Model'!D45/(1+$B13)^('DCF Model'!C19+1)+'DCF Model'!E45/(1+$B13)^('DCF Model'!C19+2)+'DCF Model'!F45/(1+$B13)^('DCF Model'!C19+3)+'DCF Model'!G45/(1+$B13)^('DCF Model'!C19+4)+'DCF Model'!G45*(1+D$6)/($B13-D$6)/(1+$B13)^('DCF Model'!C19+4)-'DCF Model'!C16)*1000000/'DCF Model'!C15,0),"")</f>
        <v>-632</v>
      </c>
      <c r="E13" s="32">
        <f>IFERROR(ROUND(('DCF Model'!C45/(1+$B13)^('DCF Model'!C19+0)+'DCF Model'!D45/(1+$B13)^('DCF Model'!C19+1)+'DCF Model'!E45/(1+$B13)^('DCF Model'!C19+2)+'DCF Model'!F45/(1+$B13)^('DCF Model'!C19+3)+'DCF Model'!G45/(1+$B13)^('DCF Model'!C19+4)+'DCF Model'!G45*(1+E$6)/($B13-E$6)/(1+$B13)^('DCF Model'!C19+4)-'DCF Model'!C16)*1000000/'DCF Model'!C15,0),"")</f>
        <v>-598</v>
      </c>
      <c r="F13" s="32">
        <f>IFERROR(ROUND(('DCF Model'!C45/(1+$B13)^('DCF Model'!C19+0)+'DCF Model'!D45/(1+$B13)^('DCF Model'!C19+1)+'DCF Model'!E45/(1+$B13)^('DCF Model'!C19+2)+'DCF Model'!F45/(1+$B13)^('DCF Model'!C19+3)+'DCF Model'!G45/(1+$B13)^('DCF Model'!C19+4)+'DCF Model'!G45*(1+F$6)/($B13-F$6)/(1+$B13)^('DCF Model'!C19+4)-'DCF Model'!C16)*1000000/'DCF Model'!C15,0),"")</f>
        <v>-561</v>
      </c>
      <c r="G13" s="32">
        <f>IFERROR(ROUND(('DCF Model'!C45/(1+$B13)^('DCF Model'!C19+0)+'DCF Model'!D45/(1+$B13)^('DCF Model'!C19+1)+'DCF Model'!E45/(1+$B13)^('DCF Model'!C19+2)+'DCF Model'!F45/(1+$B13)^('DCF Model'!C19+3)+'DCF Model'!G45/(1+$B13)^('DCF Model'!C19+4)+'DCF Model'!G45*(1+G$6)/($B13-G$6)/(1+$B13)^('DCF Model'!C19+4)-'DCF Model'!C16)*1000000/'DCF Model'!C15,0),"")</f>
        <v>-521</v>
      </c>
      <c r="H13" s="32">
        <f>IFERROR(ROUND(('DCF Model'!C45/(1+$B13)^('DCF Model'!C19+0)+'DCF Model'!D45/(1+$B13)^('DCF Model'!C19+1)+'DCF Model'!E45/(1+$B13)^('DCF Model'!C19+2)+'DCF Model'!F45/(1+$B13)^('DCF Model'!C19+3)+'DCF Model'!G45/(1+$B13)^('DCF Model'!C19+4)+'DCF Model'!G45*(1+H$6)/($B13-H$6)/(1+$B13)^('DCF Model'!C19+4)-'DCF Model'!C16)*1000000/'DCF Model'!C15,0),"")</f>
        <v>-476</v>
      </c>
      <c r="I13" s="32">
        <f>IFERROR(ROUND(('DCF Model'!C45/(1+$B13)^('DCF Model'!C19+0)+'DCF Model'!D45/(1+$B13)^('DCF Model'!C19+1)+'DCF Model'!E45/(1+$B13)^('DCF Model'!C19+2)+'DCF Model'!F45/(1+$B13)^('DCF Model'!C19+3)+'DCF Model'!G45/(1+$B13)^('DCF Model'!C19+4)+'DCF Model'!G45*(1+I$6)/($B13-I$6)/(1+$B13)^('DCF Model'!C19+4)-'DCF Model'!C16)*1000000/'DCF Model'!C15,0),"")</f>
        <v>-427</v>
      </c>
    </row>
    <row r="16" spans="2:9" ht="14" customHeight="1" x14ac:dyDescent="0.3">
      <c r="B16" s="2" t="s">
        <v>180</v>
      </c>
    </row>
    <row r="17" spans="2:9" ht="14" customHeight="1" x14ac:dyDescent="0.3">
      <c r="B17" s="35" t="s">
        <v>181</v>
      </c>
      <c r="C17" s="37">
        <f>$I$3-3</f>
        <v>5</v>
      </c>
      <c r="D17" s="37">
        <f>$I$3-2</f>
        <v>6</v>
      </c>
      <c r="E17" s="37">
        <f>$I$3-1</f>
        <v>7</v>
      </c>
      <c r="F17" s="37">
        <f>$I$3</f>
        <v>8</v>
      </c>
      <c r="G17" s="37">
        <f>$I$3+1</f>
        <v>9</v>
      </c>
      <c r="H17" s="37">
        <f>$I$3+2</f>
        <v>10</v>
      </c>
      <c r="I17" s="37">
        <f>$I$3+3</f>
        <v>11</v>
      </c>
    </row>
    <row r="18" spans="2:9" ht="13.5" customHeight="1" x14ac:dyDescent="0.25">
      <c r="B18" s="34">
        <f>$C$3-0.015</f>
        <v>2.9059990218986038E-2</v>
      </c>
      <c r="C18" s="32">
        <f>IFERROR(ROUND(('DCF Model'!C45/(1+$B18)^('DCF Model'!C19+0)+'DCF Model'!D45/(1+$B18)^('DCF Model'!C19+1)+'DCF Model'!E45/(1+$B18)^('DCF Model'!C19+2)+'DCF Model'!F45/(1+$B18)^('DCF Model'!C19+3)+'DCF Model'!G45/(1+$B18)^('DCF Model'!C19+4)+('DCF Model'!G39+'DCF Model'!G42)*C$17/(1+$B18)^('DCF Model'!C19+4)-'DCF Model'!C16)*1000000/'DCF Model'!C15,0),"")</f>
        <v>7</v>
      </c>
      <c r="D18" s="32">
        <f>IFERROR(ROUND(('DCF Model'!C45/(1+$B18)^('DCF Model'!C19+0)+'DCF Model'!D45/(1+$B18)^('DCF Model'!C19+1)+'DCF Model'!E45/(1+$B18)^('DCF Model'!C19+2)+'DCF Model'!F45/(1+$B18)^('DCF Model'!C19+3)+'DCF Model'!G45/(1+$B18)^('DCF Model'!C19+4)+('DCF Model'!G39+'DCF Model'!G42)*D$17/(1+$B18)^('DCF Model'!C19+4)-'DCF Model'!C16)*1000000/'DCF Model'!C15,0),"")</f>
        <v>276</v>
      </c>
      <c r="E18" s="32">
        <f>IFERROR(ROUND(('DCF Model'!C45/(1+$B18)^('DCF Model'!C19+0)+'DCF Model'!D45/(1+$B18)^('DCF Model'!C19+1)+'DCF Model'!E45/(1+$B18)^('DCF Model'!C19+2)+'DCF Model'!F45/(1+$B18)^('DCF Model'!C19+3)+'DCF Model'!G45/(1+$B18)^('DCF Model'!C19+4)+('DCF Model'!G39+'DCF Model'!G42)*E$17/(1+$B18)^('DCF Model'!C19+4)-'DCF Model'!C16)*1000000/'DCF Model'!C15,0),"")</f>
        <v>545</v>
      </c>
      <c r="F18" s="32">
        <f>IFERROR(ROUND(('DCF Model'!C45/(1+$B18)^('DCF Model'!C19+0)+'DCF Model'!D45/(1+$B18)^('DCF Model'!C19+1)+'DCF Model'!E45/(1+$B18)^('DCF Model'!C19+2)+'DCF Model'!F45/(1+$B18)^('DCF Model'!C19+3)+'DCF Model'!G45/(1+$B18)^('DCF Model'!C19+4)+('DCF Model'!G39+'DCF Model'!G42)*F$17/(1+$B18)^('DCF Model'!C19+4)-'DCF Model'!C16)*1000000/'DCF Model'!C15,0),"")</f>
        <v>815</v>
      </c>
      <c r="G18" s="32">
        <f>IFERROR(ROUND(('DCF Model'!C45/(1+$B18)^('DCF Model'!C19+0)+'DCF Model'!D45/(1+$B18)^('DCF Model'!C19+1)+'DCF Model'!E45/(1+$B18)^('DCF Model'!C19+2)+'DCF Model'!F45/(1+$B18)^('DCF Model'!C19+3)+'DCF Model'!G45/(1+$B18)^('DCF Model'!C19+4)+('DCF Model'!G39+'DCF Model'!G42)*G$17/(1+$B18)^('DCF Model'!C19+4)-'DCF Model'!C16)*1000000/'DCF Model'!C15,0),"")</f>
        <v>1084</v>
      </c>
      <c r="H18" s="32">
        <f>IFERROR(ROUND(('DCF Model'!C45/(1+$B18)^('DCF Model'!C19+0)+'DCF Model'!D45/(1+$B18)^('DCF Model'!C19+1)+'DCF Model'!E45/(1+$B18)^('DCF Model'!C19+2)+'DCF Model'!F45/(1+$B18)^('DCF Model'!C19+3)+'DCF Model'!G45/(1+$B18)^('DCF Model'!C19+4)+('DCF Model'!G39+'DCF Model'!G42)*H$17/(1+$B18)^('DCF Model'!C19+4)-'DCF Model'!C16)*1000000/'DCF Model'!C15,0),"")</f>
        <v>1354</v>
      </c>
      <c r="I18" s="32">
        <f>IFERROR(ROUND(('DCF Model'!C45/(1+$B18)^('DCF Model'!C19+0)+'DCF Model'!D45/(1+$B18)^('DCF Model'!C19+1)+'DCF Model'!E45/(1+$B18)^('DCF Model'!C19+2)+'DCF Model'!F45/(1+$B18)^('DCF Model'!C19+3)+'DCF Model'!G45/(1+$B18)^('DCF Model'!C19+4)+('DCF Model'!G39+'DCF Model'!G42)*I$17/(1+$B18)^('DCF Model'!C19+4)-'DCF Model'!C16)*1000000/'DCF Model'!C15,0),"")</f>
        <v>1623</v>
      </c>
    </row>
    <row r="19" spans="2:9" ht="13.5" customHeight="1" x14ac:dyDescent="0.25">
      <c r="B19" s="34">
        <f>$C$3-0.01</f>
        <v>3.4059990218986036E-2</v>
      </c>
      <c r="C19" s="32">
        <f>IFERROR(ROUND(('DCF Model'!C45/(1+$B19)^('DCF Model'!C19+0)+'DCF Model'!D45/(1+$B19)^('DCF Model'!C19+1)+'DCF Model'!E45/(1+$B19)^('DCF Model'!C19+2)+'DCF Model'!F45/(1+$B19)^('DCF Model'!C19+3)+'DCF Model'!G45/(1+$B19)^('DCF Model'!C19+4)+('DCF Model'!G39+'DCF Model'!G42)*C$17/(1+$B19)^('DCF Model'!C19+4)-'DCF Model'!C16)*1000000/'DCF Model'!C15,0),"")</f>
        <v>-28</v>
      </c>
      <c r="D19" s="32">
        <f>IFERROR(ROUND(('DCF Model'!C45/(1+$B19)^('DCF Model'!C19+0)+'DCF Model'!D45/(1+$B19)^('DCF Model'!C19+1)+'DCF Model'!E45/(1+$B19)^('DCF Model'!C19+2)+'DCF Model'!F45/(1+$B19)^('DCF Model'!C19+3)+'DCF Model'!G45/(1+$B19)^('DCF Model'!C19+4)+('DCF Model'!G39+'DCF Model'!G42)*D$17/(1+$B19)^('DCF Model'!C19+4)-'DCF Model'!C16)*1000000/'DCF Model'!C15,0),"")</f>
        <v>235</v>
      </c>
      <c r="E19" s="32">
        <f>IFERROR(ROUND(('DCF Model'!C45/(1+$B19)^('DCF Model'!C19+0)+'DCF Model'!D45/(1+$B19)^('DCF Model'!C19+1)+'DCF Model'!E45/(1+$B19)^('DCF Model'!C19+2)+'DCF Model'!F45/(1+$B19)^('DCF Model'!C19+3)+'DCF Model'!G45/(1+$B19)^('DCF Model'!C19+4)+('DCF Model'!G39+'DCF Model'!G42)*E$17/(1+$B19)^('DCF Model'!C19+4)-'DCF Model'!C16)*1000000/'DCF Model'!C15,0),"")</f>
        <v>498</v>
      </c>
      <c r="F19" s="32">
        <f>IFERROR(ROUND(('DCF Model'!C45/(1+$B19)^('DCF Model'!C19+0)+'DCF Model'!D45/(1+$B19)^('DCF Model'!C19+1)+'DCF Model'!E45/(1+$B19)^('DCF Model'!C19+2)+'DCF Model'!F45/(1+$B19)^('DCF Model'!C19+3)+'DCF Model'!G45/(1+$B19)^('DCF Model'!C19+4)+('DCF Model'!G39+'DCF Model'!G42)*F$17/(1+$B19)^('DCF Model'!C19+4)-'DCF Model'!C16)*1000000/'DCF Model'!C15,0),"")</f>
        <v>761</v>
      </c>
      <c r="G19" s="32">
        <f>IFERROR(ROUND(('DCF Model'!C45/(1+$B19)^('DCF Model'!C19+0)+'DCF Model'!D45/(1+$B19)^('DCF Model'!C19+1)+'DCF Model'!E45/(1+$B19)^('DCF Model'!C19+2)+'DCF Model'!F45/(1+$B19)^('DCF Model'!C19+3)+'DCF Model'!G45/(1+$B19)^('DCF Model'!C19+4)+('DCF Model'!G39+'DCF Model'!G42)*G$17/(1+$B19)^('DCF Model'!C19+4)-'DCF Model'!C16)*1000000/'DCF Model'!C15,0),"")</f>
        <v>1023</v>
      </c>
      <c r="H19" s="32">
        <f>IFERROR(ROUND(('DCF Model'!C45/(1+$B19)^('DCF Model'!C19+0)+'DCF Model'!D45/(1+$B19)^('DCF Model'!C19+1)+'DCF Model'!E45/(1+$B19)^('DCF Model'!C19+2)+'DCF Model'!F45/(1+$B19)^('DCF Model'!C19+3)+'DCF Model'!G45/(1+$B19)^('DCF Model'!C19+4)+('DCF Model'!G39+'DCF Model'!G42)*H$17/(1+$B19)^('DCF Model'!C19+4)-'DCF Model'!C16)*1000000/'DCF Model'!C15,0),"")</f>
        <v>1286</v>
      </c>
      <c r="I19" s="32">
        <f>IFERROR(ROUND(('DCF Model'!C45/(1+$B19)^('DCF Model'!C19+0)+'DCF Model'!D45/(1+$B19)^('DCF Model'!C19+1)+'DCF Model'!E45/(1+$B19)^('DCF Model'!C19+2)+'DCF Model'!F45/(1+$B19)^('DCF Model'!C19+3)+'DCF Model'!G45/(1+$B19)^('DCF Model'!C19+4)+('DCF Model'!G39+'DCF Model'!G42)*I$17/(1+$B19)^('DCF Model'!C19+4)-'DCF Model'!C16)*1000000/'DCF Model'!C15,0),"")</f>
        <v>1549</v>
      </c>
    </row>
    <row r="20" spans="2:9" ht="13.5" customHeight="1" x14ac:dyDescent="0.25">
      <c r="B20" s="34">
        <f>$C$3-0.005</f>
        <v>3.905999021898604E-2</v>
      </c>
      <c r="C20" s="32">
        <f>IFERROR(ROUND(('DCF Model'!C45/(1+$B20)^('DCF Model'!C19+0)+'DCF Model'!D45/(1+$B20)^('DCF Model'!C19+1)+'DCF Model'!E45/(1+$B20)^('DCF Model'!C19+2)+'DCF Model'!F45/(1+$B20)^('DCF Model'!C19+3)+'DCF Model'!G45/(1+$B20)^('DCF Model'!C19+4)+('DCF Model'!G39+'DCF Model'!G42)*C$17/(1+$B20)^('DCF Model'!C19+4)-'DCF Model'!C16)*1000000/'DCF Model'!C15,0),"")</f>
        <v>-62</v>
      </c>
      <c r="D20" s="32">
        <f>IFERROR(ROUND(('DCF Model'!C45/(1+$B20)^('DCF Model'!C19+0)+'DCF Model'!D45/(1+$B20)^('DCF Model'!C19+1)+'DCF Model'!E45/(1+$B20)^('DCF Model'!C19+2)+'DCF Model'!F45/(1+$B20)^('DCF Model'!C19+3)+'DCF Model'!G45/(1+$B20)^('DCF Model'!C19+4)+('DCF Model'!G39+'DCF Model'!G42)*D$17/(1+$B20)^('DCF Model'!C19+4)-'DCF Model'!C16)*1000000/'DCF Model'!C15,0),"")</f>
        <v>195</v>
      </c>
      <c r="E20" s="32">
        <f>IFERROR(ROUND(('DCF Model'!C45/(1+$B20)^('DCF Model'!C19+0)+'DCF Model'!D45/(1+$B20)^('DCF Model'!C19+1)+'DCF Model'!E45/(1+$B20)^('DCF Model'!C19+2)+'DCF Model'!F45/(1+$B20)^('DCF Model'!C19+3)+'DCF Model'!G45/(1+$B20)^('DCF Model'!C19+4)+('DCF Model'!G39+'DCF Model'!G42)*E$17/(1+$B20)^('DCF Model'!C19+4)-'DCF Model'!C16)*1000000/'DCF Model'!C15,0),"")</f>
        <v>451</v>
      </c>
      <c r="F20" s="32">
        <f>IFERROR(ROUND(('DCF Model'!C45/(1+$B20)^('DCF Model'!C19+0)+'DCF Model'!D45/(1+$B20)^('DCF Model'!C19+1)+'DCF Model'!E45/(1+$B20)^('DCF Model'!C19+2)+'DCF Model'!F45/(1+$B20)^('DCF Model'!C19+3)+'DCF Model'!G45/(1+$B20)^('DCF Model'!C19+4)+('DCF Model'!G39+'DCF Model'!G42)*F$17/(1+$B20)^('DCF Model'!C19+4)-'DCF Model'!C16)*1000000/'DCF Model'!C15,0),"")</f>
        <v>708</v>
      </c>
      <c r="G20" s="32">
        <f>IFERROR(ROUND(('DCF Model'!C45/(1+$B20)^('DCF Model'!C19+0)+'DCF Model'!D45/(1+$B20)^('DCF Model'!C19+1)+'DCF Model'!E45/(1+$B20)^('DCF Model'!C19+2)+'DCF Model'!F45/(1+$B20)^('DCF Model'!C19+3)+'DCF Model'!G45/(1+$B20)^('DCF Model'!C19+4)+('DCF Model'!G39+'DCF Model'!G42)*G$17/(1+$B20)^('DCF Model'!C19+4)-'DCF Model'!C16)*1000000/'DCF Model'!C15,0),"")</f>
        <v>965</v>
      </c>
      <c r="H20" s="32">
        <f>IFERROR(ROUND(('DCF Model'!C45/(1+$B20)^('DCF Model'!C19+0)+'DCF Model'!D45/(1+$B20)^('DCF Model'!C19+1)+'DCF Model'!E45/(1+$B20)^('DCF Model'!C19+2)+'DCF Model'!F45/(1+$B20)^('DCF Model'!C19+3)+'DCF Model'!G45/(1+$B20)^('DCF Model'!C19+4)+('DCF Model'!G39+'DCF Model'!G42)*H$17/(1+$B20)^('DCF Model'!C19+4)-'DCF Model'!C16)*1000000/'DCF Model'!C15,0),"")</f>
        <v>1221</v>
      </c>
      <c r="I20" s="32">
        <f>IFERROR(ROUND(('DCF Model'!C45/(1+$B20)^('DCF Model'!C19+0)+'DCF Model'!D45/(1+$B20)^('DCF Model'!C19+1)+'DCF Model'!E45/(1+$B20)^('DCF Model'!C19+2)+'DCF Model'!F45/(1+$B20)^('DCF Model'!C19+3)+'DCF Model'!G45/(1+$B20)^('DCF Model'!C19+4)+('DCF Model'!G39+'DCF Model'!G42)*I$17/(1+$B20)^('DCF Model'!C19+4)-'DCF Model'!C16)*1000000/'DCF Model'!C15,0),"")</f>
        <v>1478</v>
      </c>
    </row>
    <row r="21" spans="2:9" ht="13.5" customHeight="1" x14ac:dyDescent="0.25">
      <c r="B21" s="34">
        <f>$C$3</f>
        <v>4.4059990218986038E-2</v>
      </c>
      <c r="C21" s="32">
        <f>IFERROR(ROUND(('DCF Model'!C45/(1+$B21)^('DCF Model'!C19+0)+'DCF Model'!D45/(1+$B21)^('DCF Model'!C19+1)+'DCF Model'!E45/(1+$B21)^('DCF Model'!C19+2)+'DCF Model'!F45/(1+$B21)^('DCF Model'!C19+3)+'DCF Model'!G45/(1+$B21)^('DCF Model'!C19+4)+('DCF Model'!G39+'DCF Model'!G42)*C$17/(1+$B21)^('DCF Model'!C19+4)-'DCF Model'!C16)*1000000/'DCF Model'!C15,0),"")</f>
        <v>-95</v>
      </c>
      <c r="D21" s="32">
        <f>IFERROR(ROUND(('DCF Model'!C45/(1+$B21)^('DCF Model'!C19+0)+'DCF Model'!D45/(1+$B21)^('DCF Model'!C19+1)+'DCF Model'!E45/(1+$B21)^('DCF Model'!C19+2)+'DCF Model'!F45/(1+$B21)^('DCF Model'!C19+3)+'DCF Model'!G45/(1+$B21)^('DCF Model'!C19+4)+('DCF Model'!G39+'DCF Model'!G42)*D$17/(1+$B21)^('DCF Model'!C19+4)-'DCF Model'!C16)*1000000/'DCF Model'!C15,0),"")</f>
        <v>156</v>
      </c>
      <c r="E21" s="32">
        <f>IFERROR(ROUND(('DCF Model'!C45/(1+$B21)^('DCF Model'!C19+0)+'DCF Model'!D45/(1+$B21)^('DCF Model'!C19+1)+'DCF Model'!E45/(1+$B21)^('DCF Model'!C19+2)+'DCF Model'!F45/(1+$B21)^('DCF Model'!C19+3)+'DCF Model'!G45/(1+$B21)^('DCF Model'!C19+4)+('DCF Model'!G39+'DCF Model'!G42)*E$17/(1+$B21)^('DCF Model'!C19+4)-'DCF Model'!C16)*1000000/'DCF Model'!C15,0),"")</f>
        <v>406</v>
      </c>
      <c r="F21" s="32">
        <f>IFERROR(ROUND(('DCF Model'!C45/(1+$B21)^('DCF Model'!C19+0)+'DCF Model'!D45/(1+$B21)^('DCF Model'!C19+1)+'DCF Model'!E45/(1+$B21)^('DCF Model'!C19+2)+'DCF Model'!F45/(1+$B21)^('DCF Model'!C19+3)+'DCF Model'!G45/(1+$B21)^('DCF Model'!C19+4)+('DCF Model'!G39+'DCF Model'!G42)*F$17/(1+$B21)^('DCF Model'!C19+4)-'DCF Model'!C16)*1000000/'DCF Model'!C15,0),"")</f>
        <v>657</v>
      </c>
      <c r="G21" s="32">
        <f>IFERROR(ROUND(('DCF Model'!C45/(1+$B21)^('DCF Model'!C19+0)+'DCF Model'!D45/(1+$B21)^('DCF Model'!C19+1)+'DCF Model'!E45/(1+$B21)^('DCF Model'!C19+2)+'DCF Model'!F45/(1+$B21)^('DCF Model'!C19+3)+'DCF Model'!G45/(1+$B21)^('DCF Model'!C19+4)+('DCF Model'!G39+'DCF Model'!G42)*G$17/(1+$B21)^('DCF Model'!C19+4)-'DCF Model'!C16)*1000000/'DCF Model'!C15,0),"")</f>
        <v>907</v>
      </c>
      <c r="H21" s="32">
        <f>IFERROR(ROUND(('DCF Model'!C45/(1+$B21)^('DCF Model'!C19+0)+'DCF Model'!D45/(1+$B21)^('DCF Model'!C19+1)+'DCF Model'!E45/(1+$B21)^('DCF Model'!C19+2)+'DCF Model'!F45/(1+$B21)^('DCF Model'!C19+3)+'DCF Model'!G45/(1+$B21)^('DCF Model'!C19+4)+('DCF Model'!G39+'DCF Model'!G42)*H$17/(1+$B21)^('DCF Model'!C19+4)-'DCF Model'!C16)*1000000/'DCF Model'!C15,0),"")</f>
        <v>1158</v>
      </c>
      <c r="I21" s="32">
        <f>IFERROR(ROUND(('DCF Model'!C45/(1+$B21)^('DCF Model'!C19+0)+'DCF Model'!D45/(1+$B21)^('DCF Model'!C19+1)+'DCF Model'!E45/(1+$B21)^('DCF Model'!C19+2)+'DCF Model'!F45/(1+$B21)^('DCF Model'!C19+3)+'DCF Model'!G45/(1+$B21)^('DCF Model'!C19+4)+('DCF Model'!G39+'DCF Model'!G42)*I$17/(1+$B21)^('DCF Model'!C19+4)-'DCF Model'!C16)*1000000/'DCF Model'!C15,0),"")</f>
        <v>1408</v>
      </c>
    </row>
    <row r="22" spans="2:9" ht="13.5" customHeight="1" x14ac:dyDescent="0.25">
      <c r="B22" s="34">
        <f>$C$3+0.005</f>
        <v>4.9059990218986035E-2</v>
      </c>
      <c r="C22" s="32">
        <f>IFERROR(ROUND(('DCF Model'!C45/(1+$B22)^('DCF Model'!C19+0)+'DCF Model'!D45/(1+$B22)^('DCF Model'!C19+1)+'DCF Model'!E45/(1+$B22)^('DCF Model'!C19+2)+'DCF Model'!F45/(1+$B22)^('DCF Model'!C19+3)+'DCF Model'!G45/(1+$B22)^('DCF Model'!C19+4)+('DCF Model'!G39+'DCF Model'!G42)*C$17/(1+$B22)^('DCF Model'!C19+4)-'DCF Model'!C16)*1000000/'DCF Model'!C15,0),"")</f>
        <v>-127</v>
      </c>
      <c r="D22" s="32">
        <f>IFERROR(ROUND(('DCF Model'!C45/(1+$B22)^('DCF Model'!C19+0)+'DCF Model'!D45/(1+$B22)^('DCF Model'!C19+1)+'DCF Model'!E45/(1+$B22)^('DCF Model'!C19+2)+'DCF Model'!F45/(1+$B22)^('DCF Model'!C19+3)+'DCF Model'!G45/(1+$B22)^('DCF Model'!C19+4)+('DCF Model'!G39+'DCF Model'!G42)*D$17/(1+$B22)^('DCF Model'!C19+4)-'DCF Model'!C16)*1000000/'DCF Model'!C15,0),"")</f>
        <v>118</v>
      </c>
      <c r="E22" s="32">
        <f>IFERROR(ROUND(('DCF Model'!C45/(1+$B22)^('DCF Model'!C19+0)+'DCF Model'!D45/(1+$B22)^('DCF Model'!C19+1)+'DCF Model'!E45/(1+$B22)^('DCF Model'!C19+2)+'DCF Model'!F45/(1+$B22)^('DCF Model'!C19+3)+'DCF Model'!G45/(1+$B22)^('DCF Model'!C19+4)+('DCF Model'!G39+'DCF Model'!G42)*E$17/(1+$B22)^('DCF Model'!C19+4)-'DCF Model'!C16)*1000000/'DCF Model'!C15,0),"")</f>
        <v>362</v>
      </c>
      <c r="F22" s="32">
        <f>IFERROR(ROUND(('DCF Model'!C45/(1+$B22)^('DCF Model'!C19+0)+'DCF Model'!D45/(1+$B22)^('DCF Model'!C19+1)+'DCF Model'!E45/(1+$B22)^('DCF Model'!C19+2)+'DCF Model'!F45/(1+$B22)^('DCF Model'!C19+3)+'DCF Model'!G45/(1+$B22)^('DCF Model'!C19+4)+('DCF Model'!G39+'DCF Model'!G42)*F$17/(1+$B22)^('DCF Model'!C19+4)-'DCF Model'!C16)*1000000/'DCF Model'!C15,0),"")</f>
        <v>607</v>
      </c>
      <c r="G22" s="32">
        <f>IFERROR(ROUND(('DCF Model'!C45/(1+$B22)^('DCF Model'!C19+0)+'DCF Model'!D45/(1+$B22)^('DCF Model'!C19+1)+'DCF Model'!E45/(1+$B22)^('DCF Model'!C19+2)+'DCF Model'!F45/(1+$B22)^('DCF Model'!C19+3)+'DCF Model'!G45/(1+$B22)^('DCF Model'!C19+4)+('DCF Model'!G39+'DCF Model'!G42)*G$17/(1+$B22)^('DCF Model'!C19+4)-'DCF Model'!C16)*1000000/'DCF Model'!C15,0),"")</f>
        <v>852</v>
      </c>
      <c r="H22" s="32">
        <f>IFERROR(ROUND(('DCF Model'!C45/(1+$B22)^('DCF Model'!C19+0)+'DCF Model'!D45/(1+$B22)^('DCF Model'!C19+1)+'DCF Model'!E45/(1+$B22)^('DCF Model'!C19+2)+'DCF Model'!F45/(1+$B22)^('DCF Model'!C19+3)+'DCF Model'!G45/(1+$B22)^('DCF Model'!C19+4)+('DCF Model'!G39+'DCF Model'!G42)*H$17/(1+$B22)^('DCF Model'!C19+4)-'DCF Model'!C16)*1000000/'DCF Model'!C15,0),"")</f>
        <v>1096</v>
      </c>
      <c r="I22" s="32">
        <f>IFERROR(ROUND(('DCF Model'!C45/(1+$B22)^('DCF Model'!C19+0)+'DCF Model'!D45/(1+$B22)^('DCF Model'!C19+1)+'DCF Model'!E45/(1+$B22)^('DCF Model'!C19+2)+'DCF Model'!F45/(1+$B22)^('DCF Model'!C19+3)+'DCF Model'!G45/(1+$B22)^('DCF Model'!C19+4)+('DCF Model'!G39+'DCF Model'!G42)*I$17/(1+$B22)^('DCF Model'!C19+4)-'DCF Model'!C16)*1000000/'DCF Model'!C15,0),"")</f>
        <v>1341</v>
      </c>
    </row>
    <row r="23" spans="2:9" ht="13.5" customHeight="1" x14ac:dyDescent="0.25">
      <c r="B23" s="34">
        <f>$C$3+0.01</f>
        <v>5.405999021898604E-2</v>
      </c>
      <c r="C23" s="32">
        <f>IFERROR(ROUND(('DCF Model'!C45/(1+$B23)^('DCF Model'!C19+0)+'DCF Model'!D45/(1+$B23)^('DCF Model'!C19+1)+'DCF Model'!E45/(1+$B23)^('DCF Model'!C19+2)+'DCF Model'!F45/(1+$B23)^('DCF Model'!C19+3)+'DCF Model'!G45/(1+$B23)^('DCF Model'!C19+4)+('DCF Model'!G39+'DCF Model'!G42)*C$17/(1+$B23)^('DCF Model'!C19+4)-'DCF Model'!C16)*1000000/'DCF Model'!C15,0),"")</f>
        <v>-158</v>
      </c>
      <c r="D23" s="32">
        <f>IFERROR(ROUND(('DCF Model'!C45/(1+$B23)^('DCF Model'!C19+0)+'DCF Model'!D45/(1+$B23)^('DCF Model'!C19+1)+'DCF Model'!E45/(1+$B23)^('DCF Model'!C19+2)+'DCF Model'!F45/(1+$B23)^('DCF Model'!C19+3)+'DCF Model'!G45/(1+$B23)^('DCF Model'!C19+4)+('DCF Model'!G39+'DCF Model'!G42)*D$17/(1+$B23)^('DCF Model'!C19+4)-'DCF Model'!C16)*1000000/'DCF Model'!C15,0),"")</f>
        <v>81</v>
      </c>
      <c r="E23" s="32">
        <f>IFERROR(ROUND(('DCF Model'!C45/(1+$B23)^('DCF Model'!C19+0)+'DCF Model'!D45/(1+$B23)^('DCF Model'!C19+1)+'DCF Model'!E45/(1+$B23)^('DCF Model'!C19+2)+'DCF Model'!F45/(1+$B23)^('DCF Model'!C19+3)+'DCF Model'!G45/(1+$B23)^('DCF Model'!C19+4)+('DCF Model'!G39+'DCF Model'!G42)*E$17/(1+$B23)^('DCF Model'!C19+4)-'DCF Model'!C16)*1000000/'DCF Model'!C15,0),"")</f>
        <v>320</v>
      </c>
      <c r="F23" s="32">
        <f>IFERROR(ROUND(('DCF Model'!C45/(1+$B23)^('DCF Model'!C19+0)+'DCF Model'!D45/(1+$B23)^('DCF Model'!C19+1)+'DCF Model'!E45/(1+$B23)^('DCF Model'!C19+2)+'DCF Model'!F45/(1+$B23)^('DCF Model'!C19+3)+'DCF Model'!G45/(1+$B23)^('DCF Model'!C19+4)+('DCF Model'!G39+'DCF Model'!G42)*F$17/(1+$B23)^('DCF Model'!C19+4)-'DCF Model'!C16)*1000000/'DCF Model'!C15,0),"")</f>
        <v>558</v>
      </c>
      <c r="G23" s="32">
        <f>IFERROR(ROUND(('DCF Model'!C45/(1+$B23)^('DCF Model'!C19+0)+'DCF Model'!D45/(1+$B23)^('DCF Model'!C19+1)+'DCF Model'!E45/(1+$B23)^('DCF Model'!C19+2)+'DCF Model'!F45/(1+$B23)^('DCF Model'!C19+3)+'DCF Model'!G45/(1+$B23)^('DCF Model'!C19+4)+('DCF Model'!G39+'DCF Model'!G42)*G$17/(1+$B23)^('DCF Model'!C19+4)-'DCF Model'!C16)*1000000/'DCF Model'!C15,0),"")</f>
        <v>797</v>
      </c>
      <c r="H23" s="32">
        <f>IFERROR(ROUND(('DCF Model'!C45/(1+$B23)^('DCF Model'!C19+0)+'DCF Model'!D45/(1+$B23)^('DCF Model'!C19+1)+'DCF Model'!E45/(1+$B23)^('DCF Model'!C19+2)+'DCF Model'!F45/(1+$B23)^('DCF Model'!C19+3)+'DCF Model'!G45/(1+$B23)^('DCF Model'!C19+4)+('DCF Model'!G39+'DCF Model'!G42)*H$17/(1+$B23)^('DCF Model'!C19+4)-'DCF Model'!C16)*1000000/'DCF Model'!C15,0),"")</f>
        <v>1036</v>
      </c>
      <c r="I23" s="32">
        <f>IFERROR(ROUND(('DCF Model'!C45/(1+$B23)^('DCF Model'!C19+0)+'DCF Model'!D45/(1+$B23)^('DCF Model'!C19+1)+'DCF Model'!E45/(1+$B23)^('DCF Model'!C19+2)+'DCF Model'!F45/(1+$B23)^('DCF Model'!C19+3)+'DCF Model'!G45/(1+$B23)^('DCF Model'!C19+4)+('DCF Model'!G39+'DCF Model'!G42)*I$17/(1+$B23)^('DCF Model'!C19+4)-'DCF Model'!C16)*1000000/'DCF Model'!C15,0),"")</f>
        <v>1275</v>
      </c>
    </row>
    <row r="24" spans="2:9" ht="13.5" customHeight="1" x14ac:dyDescent="0.25">
      <c r="B24" s="34">
        <f>$C$3+0.015</f>
        <v>5.9059990218986037E-2</v>
      </c>
      <c r="C24" s="32">
        <f>IFERROR(ROUND(('DCF Model'!C45/(1+$B24)^('DCF Model'!C19+0)+'DCF Model'!D45/(1+$B24)^('DCF Model'!C19+1)+'DCF Model'!E45/(1+$B24)^('DCF Model'!C19+2)+'DCF Model'!F45/(1+$B24)^('DCF Model'!C19+3)+'DCF Model'!G45/(1+$B24)^('DCF Model'!C19+4)+('DCF Model'!G39+'DCF Model'!G42)*C$17/(1+$B24)^('DCF Model'!C19+4)-'DCF Model'!C16)*1000000/'DCF Model'!C15,0),"")</f>
        <v>-188</v>
      </c>
      <c r="D24" s="32">
        <f>IFERROR(ROUND(('DCF Model'!C45/(1+$B24)^('DCF Model'!C19+0)+'DCF Model'!D45/(1+$B24)^('DCF Model'!C19+1)+'DCF Model'!E45/(1+$B24)^('DCF Model'!C19+2)+'DCF Model'!F45/(1+$B24)^('DCF Model'!C19+3)+'DCF Model'!G45/(1+$B24)^('DCF Model'!C19+4)+('DCF Model'!G39+'DCF Model'!G42)*D$17/(1+$B24)^('DCF Model'!C19+4)-'DCF Model'!C16)*1000000/'DCF Model'!C15,0),"")</f>
        <v>45</v>
      </c>
      <c r="E24" s="32">
        <f>IFERROR(ROUND(('DCF Model'!C45/(1+$B24)^('DCF Model'!C19+0)+'DCF Model'!D45/(1+$B24)^('DCF Model'!C19+1)+'DCF Model'!E45/(1+$B24)^('DCF Model'!C19+2)+'DCF Model'!F45/(1+$B24)^('DCF Model'!C19+3)+'DCF Model'!G45/(1+$B24)^('DCF Model'!C19+4)+('DCF Model'!G39+'DCF Model'!G42)*E$17/(1+$B24)^('DCF Model'!C19+4)-'DCF Model'!C16)*1000000/'DCF Model'!C15,0),"")</f>
        <v>278</v>
      </c>
      <c r="F24" s="32">
        <f>IFERROR(ROUND(('DCF Model'!C45/(1+$B24)^('DCF Model'!C19+0)+'DCF Model'!D45/(1+$B24)^('DCF Model'!C19+1)+'DCF Model'!E45/(1+$B24)^('DCF Model'!C19+2)+'DCF Model'!F45/(1+$B24)^('DCF Model'!C19+3)+'DCF Model'!G45/(1+$B24)^('DCF Model'!C19+4)+('DCF Model'!G39+'DCF Model'!G42)*F$17/(1+$B24)^('DCF Model'!C19+4)-'DCF Model'!C16)*1000000/'DCF Model'!C15,0),"")</f>
        <v>511</v>
      </c>
      <c r="G24" s="32">
        <f>IFERROR(ROUND(('DCF Model'!C45/(1+$B24)^('DCF Model'!C19+0)+'DCF Model'!D45/(1+$B24)^('DCF Model'!C19+1)+'DCF Model'!E45/(1+$B24)^('DCF Model'!C19+2)+'DCF Model'!F45/(1+$B24)^('DCF Model'!C19+3)+'DCF Model'!G45/(1+$B24)^('DCF Model'!C19+4)+('DCF Model'!G39+'DCF Model'!G42)*G$17/(1+$B24)^('DCF Model'!C19+4)-'DCF Model'!C16)*1000000/'DCF Model'!C15,0),"")</f>
        <v>745</v>
      </c>
      <c r="H24" s="32">
        <f>IFERROR(ROUND(('DCF Model'!C45/(1+$B24)^('DCF Model'!C19+0)+'DCF Model'!D45/(1+$B24)^('DCF Model'!C19+1)+'DCF Model'!E45/(1+$B24)^('DCF Model'!C19+2)+'DCF Model'!F45/(1+$B24)^('DCF Model'!C19+3)+'DCF Model'!G45/(1+$B24)^('DCF Model'!C19+4)+('DCF Model'!G39+'DCF Model'!G42)*H$17/(1+$B24)^('DCF Model'!C19+4)-'DCF Model'!C16)*1000000/'DCF Model'!C15,0),"")</f>
        <v>978</v>
      </c>
      <c r="I24" s="32">
        <f>IFERROR(ROUND(('DCF Model'!C45/(1+$B24)^('DCF Model'!C19+0)+'DCF Model'!D45/(1+$B24)^('DCF Model'!C19+1)+'DCF Model'!E45/(1+$B24)^('DCF Model'!C19+2)+'DCF Model'!F45/(1+$B24)^('DCF Model'!C19+3)+'DCF Model'!G45/(1+$B24)^('DCF Model'!C19+4)+('DCF Model'!G39+'DCF Model'!G42)*I$17/(1+$B24)^('DCF Model'!C19+4)-'DCF Model'!C16)*1000000/'DCF Model'!C15,0),"")</f>
        <v>1211</v>
      </c>
    </row>
    <row r="26" spans="2:9" ht="14" customHeight="1" x14ac:dyDescent="0.3">
      <c r="B26" s="54" t="s">
        <v>182</v>
      </c>
      <c r="C26" s="53"/>
      <c r="D26" s="53"/>
      <c r="E26" s="53"/>
      <c r="F26" s="53"/>
      <c r="G26" s="53"/>
      <c r="H26" s="53"/>
      <c r="I26" s="53"/>
    </row>
  </sheetData>
  <mergeCells count="1">
    <mergeCell ref="B26:I26"/>
  </mergeCells>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sheetPr>
  <dimension ref="B2:F55"/>
  <sheetViews>
    <sheetView workbookViewId="0">
      <pane xSplit="2" ySplit="5" topLeftCell="C6" activePane="bottomRight" state="frozen"/>
      <selection pane="topRight"/>
      <selection pane="bottomLeft"/>
      <selection pane="bottomRight"/>
    </sheetView>
  </sheetViews>
  <sheetFormatPr defaultRowHeight="13" x14ac:dyDescent="0.2"/>
  <cols>
    <col min="1" max="1" width="3" customWidth="1"/>
    <col min="2" max="2" width="30" customWidth="1"/>
    <col min="3" max="8" width="15" customWidth="1"/>
  </cols>
  <sheetData>
    <row r="2" spans="2:6" ht="18" x14ac:dyDescent="0.4">
      <c r="B2" s="1" t="s">
        <v>183</v>
      </c>
    </row>
    <row r="3" spans="2:6" ht="14" x14ac:dyDescent="0.3">
      <c r="B3" s="38" t="s">
        <v>184</v>
      </c>
    </row>
    <row r="5" spans="2:6" ht="14" x14ac:dyDescent="0.3">
      <c r="B5" s="39" t="s">
        <v>185</v>
      </c>
    </row>
    <row r="6" spans="2:6" ht="14" x14ac:dyDescent="0.3">
      <c r="B6" s="3" t="s">
        <v>186</v>
      </c>
      <c r="C6" s="38" t="s">
        <v>187</v>
      </c>
    </row>
    <row r="7" spans="2:6" ht="14" x14ac:dyDescent="0.3">
      <c r="B7" s="3" t="s">
        <v>188</v>
      </c>
      <c r="C7" s="38" t="s">
        <v>189</v>
      </c>
    </row>
    <row r="8" spans="2:6" ht="14" x14ac:dyDescent="0.3">
      <c r="B8" s="3" t="s">
        <v>190</v>
      </c>
      <c r="C8" s="38" t="s">
        <v>191</v>
      </c>
    </row>
    <row r="10" spans="2:6" ht="45" customHeight="1" x14ac:dyDescent="0.3">
      <c r="B10" s="38" t="s">
        <v>192</v>
      </c>
    </row>
    <row r="13" spans="2:6" ht="14" x14ac:dyDescent="0.3">
      <c r="B13" s="2" t="s">
        <v>193</v>
      </c>
    </row>
    <row r="14" spans="2:6" ht="28" x14ac:dyDescent="0.3">
      <c r="B14" s="40" t="s">
        <v>3</v>
      </c>
      <c r="C14" s="40" t="s">
        <v>5</v>
      </c>
      <c r="D14" s="40" t="s">
        <v>194</v>
      </c>
      <c r="E14" s="40" t="s">
        <v>195</v>
      </c>
      <c r="F14" s="40" t="s">
        <v>196</v>
      </c>
    </row>
    <row r="15" spans="2:6" ht="13.5" x14ac:dyDescent="0.25">
      <c r="B15" s="41" t="s">
        <v>197</v>
      </c>
      <c r="C15" s="41" t="s">
        <v>198</v>
      </c>
      <c r="D15" s="42">
        <v>325500</v>
      </c>
      <c r="E15" s="43">
        <v>0.48170000000000002</v>
      </c>
      <c r="F15" s="44">
        <f t="shared" ref="F15:F20" si="0">D15*E15</f>
        <v>156793.35</v>
      </c>
    </row>
    <row r="16" spans="2:6" ht="13.5" x14ac:dyDescent="0.25">
      <c r="B16" s="41" t="s">
        <v>199</v>
      </c>
      <c r="C16" s="41" t="s">
        <v>200</v>
      </c>
      <c r="D16" s="42">
        <v>1175800</v>
      </c>
      <c r="E16" s="43">
        <v>0.50329999999999997</v>
      </c>
      <c r="F16" s="44">
        <f t="shared" si="0"/>
        <v>591780.14</v>
      </c>
    </row>
    <row r="17" spans="2:6" ht="13.5" x14ac:dyDescent="0.25">
      <c r="B17" s="41" t="s">
        <v>201</v>
      </c>
      <c r="C17" s="41" t="s">
        <v>202</v>
      </c>
      <c r="D17" s="42">
        <v>99171</v>
      </c>
      <c r="E17" s="43">
        <v>0.69899999999999995</v>
      </c>
      <c r="F17" s="44">
        <f t="shared" si="0"/>
        <v>69320.528999999995</v>
      </c>
    </row>
    <row r="18" spans="2:6" ht="13.5" x14ac:dyDescent="0.25">
      <c r="B18" s="41" t="s">
        <v>203</v>
      </c>
      <c r="C18" s="41" t="s">
        <v>204</v>
      </c>
      <c r="D18" s="42">
        <v>121016</v>
      </c>
      <c r="E18" s="43">
        <v>0.65620000000000001</v>
      </c>
      <c r="F18" s="44">
        <f t="shared" si="0"/>
        <v>79410.699200000003</v>
      </c>
    </row>
    <row r="19" spans="2:6" ht="13.5" x14ac:dyDescent="0.25">
      <c r="B19" s="41" t="s">
        <v>205</v>
      </c>
      <c r="C19" s="41" t="s">
        <v>206</v>
      </c>
      <c r="D19" s="42">
        <v>107751</v>
      </c>
      <c r="E19" s="43">
        <v>0.63859999999999995</v>
      </c>
      <c r="F19" s="44">
        <f t="shared" si="0"/>
        <v>68809.7886</v>
      </c>
    </row>
    <row r="20" spans="2:6" ht="13.5" x14ac:dyDescent="0.25">
      <c r="B20" s="41" t="s">
        <v>207</v>
      </c>
      <c r="C20" s="41" t="s">
        <v>208</v>
      </c>
      <c r="D20" s="42">
        <v>52871</v>
      </c>
      <c r="E20" s="43">
        <v>0.48709999999999998</v>
      </c>
      <c r="F20" s="44">
        <f t="shared" si="0"/>
        <v>25753.464099999997</v>
      </c>
    </row>
    <row r="21" spans="2:6" ht="14" x14ac:dyDescent="0.3">
      <c r="B21" s="45" t="s">
        <v>209</v>
      </c>
      <c r="F21" s="46">
        <f>SUM(F15:F20)</f>
        <v>991867.97089999996</v>
      </c>
    </row>
    <row r="22" spans="2:6" ht="14" x14ac:dyDescent="0.3">
      <c r="B22" s="38" t="s">
        <v>210</v>
      </c>
    </row>
    <row r="24" spans="2:6" ht="14" x14ac:dyDescent="0.3">
      <c r="B24" s="3" t="s">
        <v>211</v>
      </c>
    </row>
    <row r="25" spans="2:6" ht="14" x14ac:dyDescent="0.3">
      <c r="B25" s="47" t="s">
        <v>212</v>
      </c>
    </row>
    <row r="27" spans="2:6" ht="14" x14ac:dyDescent="0.3">
      <c r="B27" s="2" t="s">
        <v>213</v>
      </c>
    </row>
    <row r="28" spans="2:6" ht="14" x14ac:dyDescent="0.3">
      <c r="B28" s="3" t="s">
        <v>209</v>
      </c>
      <c r="C28" s="48">
        <f>F21</f>
        <v>991867.97089999996</v>
      </c>
    </row>
    <row r="29" spans="2:6" ht="14" x14ac:dyDescent="0.3">
      <c r="B29" s="3" t="s">
        <v>214</v>
      </c>
      <c r="C29" s="42">
        <v>3099169</v>
      </c>
    </row>
    <row r="30" spans="2:6" ht="30" customHeight="1" x14ac:dyDescent="0.3">
      <c r="B30" s="38" t="s">
        <v>215</v>
      </c>
    </row>
    <row r="31" spans="2:6" ht="14" x14ac:dyDescent="0.3">
      <c r="B31" s="45" t="s">
        <v>216</v>
      </c>
      <c r="C31" s="46">
        <f>C28-C29</f>
        <v>-2107301.0290999999</v>
      </c>
    </row>
    <row r="32" spans="2:6" ht="14" x14ac:dyDescent="0.3">
      <c r="B32" s="3" t="s">
        <v>170</v>
      </c>
      <c r="C32" s="49">
        <f>'DCF Model'!C15</f>
        <v>2765768421</v>
      </c>
    </row>
    <row r="33" spans="2:5" ht="14" x14ac:dyDescent="0.3">
      <c r="B33" s="3" t="s">
        <v>217</v>
      </c>
      <c r="C33" s="50">
        <f>ROUND(C31/C32*1000000,0)</f>
        <v>-762</v>
      </c>
    </row>
    <row r="35" spans="2:5" ht="45" customHeight="1" x14ac:dyDescent="0.3">
      <c r="B35" s="38" t="s">
        <v>218</v>
      </c>
    </row>
    <row r="38" spans="2:5" ht="14" x14ac:dyDescent="0.3">
      <c r="B38" s="2" t="s">
        <v>219</v>
      </c>
    </row>
    <row r="39" spans="2:5" ht="28" x14ac:dyDescent="0.3">
      <c r="B39" s="40" t="s">
        <v>220</v>
      </c>
      <c r="C39" s="40" t="s">
        <v>221</v>
      </c>
      <c r="D39" s="40" t="s">
        <v>222</v>
      </c>
      <c r="E39" s="40" t="s">
        <v>223</v>
      </c>
    </row>
    <row r="40" spans="2:5" ht="13.5" x14ac:dyDescent="0.25">
      <c r="B40" s="43">
        <v>0</v>
      </c>
      <c r="C40" s="48">
        <f>$C$31*(1-B40)</f>
        <v>-2107301.0290999999</v>
      </c>
      <c r="D40" s="48">
        <f>ROUND(C40/$C$32*1000000,0)</f>
        <v>-762</v>
      </c>
      <c r="E40" s="51">
        <f>D40/1424-1</f>
        <v>-1.5351123595505618</v>
      </c>
    </row>
    <row r="41" spans="2:5" ht="13.5" x14ac:dyDescent="0.25">
      <c r="B41" s="43">
        <v>0.1</v>
      </c>
      <c r="C41" s="48">
        <f>$C$31*(1-B41)</f>
        <v>-1896570.92619</v>
      </c>
      <c r="D41" s="48">
        <f>ROUND(C41/$C$32*1000000,0)</f>
        <v>-686</v>
      </c>
      <c r="E41" s="51">
        <f>D41/1424-1</f>
        <v>-1.4817415730337078</v>
      </c>
    </row>
    <row r="42" spans="2:5" ht="13.5" x14ac:dyDescent="0.25">
      <c r="B42" s="43">
        <v>0.2</v>
      </c>
      <c r="C42" s="48">
        <f>$C$31*(1-B42)</f>
        <v>-1685840.8232800001</v>
      </c>
      <c r="D42" s="48">
        <f>ROUND(C42/$C$32*1000000,0)</f>
        <v>-610</v>
      </c>
      <c r="E42" s="51">
        <f>D42/1424-1</f>
        <v>-1.428370786516854</v>
      </c>
    </row>
    <row r="43" spans="2:5" ht="13.5" x14ac:dyDescent="0.25">
      <c r="B43" s="43">
        <v>0.3</v>
      </c>
      <c r="C43" s="48">
        <f>$C$31*(1-B43)</f>
        <v>-1475110.7203699998</v>
      </c>
      <c r="D43" s="48">
        <f>ROUND(C43/$C$32*1000000,0)</f>
        <v>-533</v>
      </c>
      <c r="E43" s="51">
        <f>D43/1424-1</f>
        <v>-1.3742977528089888</v>
      </c>
    </row>
    <row r="44" spans="2:5" ht="13.5" x14ac:dyDescent="0.25">
      <c r="B44" s="43">
        <v>0.4</v>
      </c>
      <c r="C44" s="48">
        <f>$C$31*(1-B44)</f>
        <v>-1264380.6174599999</v>
      </c>
      <c r="D44" s="48">
        <f>ROUND(C44/$C$32*1000000,0)</f>
        <v>-457</v>
      </c>
      <c r="E44" s="51">
        <f>D44/1424-1</f>
        <v>-1.3209269662921348</v>
      </c>
    </row>
    <row r="46" spans="2:5" ht="45" customHeight="1" x14ac:dyDescent="0.3">
      <c r="B46" s="38" t="s">
        <v>224</v>
      </c>
    </row>
    <row r="49" spans="2:3" ht="14" x14ac:dyDescent="0.3">
      <c r="B49" s="2" t="s">
        <v>225</v>
      </c>
    </row>
    <row r="50" spans="2:3" ht="14" x14ac:dyDescent="0.3">
      <c r="B50" s="3" t="s">
        <v>226</v>
      </c>
      <c r="C50" s="48">
        <f>F21</f>
        <v>991867.97089999996</v>
      </c>
    </row>
    <row r="51" spans="2:3" ht="14" x14ac:dyDescent="0.3">
      <c r="B51" s="3" t="s">
        <v>227</v>
      </c>
      <c r="C51" s="42">
        <v>984094</v>
      </c>
    </row>
    <row r="52" spans="2:3" ht="14" x14ac:dyDescent="0.3">
      <c r="B52" s="3" t="s">
        <v>228</v>
      </c>
      <c r="C52" s="48">
        <f>C50-C51</f>
        <v>7773.9708999999566</v>
      </c>
    </row>
    <row r="53" spans="2:3" ht="14" x14ac:dyDescent="0.3">
      <c r="B53" s="3" t="s">
        <v>229</v>
      </c>
      <c r="C53" s="48">
        <f>ROUND(C52/C32*1000000,0)</f>
        <v>3</v>
      </c>
    </row>
    <row r="55" spans="2:3" ht="45" customHeight="1" x14ac:dyDescent="0.3">
      <c r="B55" s="38" t="s">
        <v>230</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Executive Summary</vt:lpstr>
      <vt:lpstr>Financial Statements</vt:lpstr>
      <vt:lpstr>DCF Model</vt:lpstr>
      <vt:lpstr>NWC Schedule</vt:lpstr>
      <vt:lpstr>Comps Analysis</vt:lpstr>
      <vt:lpstr>Sensitivity Analysis</vt:lpstr>
      <vt:lpstr>SOTP Cross-Check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2026-07-30T05:53:07Z</dcterms:created>
  <dcterms:modified xsi:type="dcterms:W3CDTF">2026-07-30T06:53:05Z</dcterms:modified>
</cp:coreProperties>
</file>