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2D882CA-A218-4E3D-8D94-EA3C02F4533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K6" i="6"/>
  <c r="J6" i="6"/>
  <c r="O5" i="6"/>
  <c r="N5" i="6"/>
  <c r="D5" i="6"/>
  <c r="E5" i="6" s="1"/>
  <c r="C16" i="5"/>
  <c r="C14" i="5"/>
  <c r="C18" i="5" s="1"/>
  <c r="C7" i="5"/>
  <c r="C6" i="5"/>
  <c r="C5" i="5"/>
  <c r="C13" i="4"/>
  <c r="C12" i="4"/>
  <c r="C9" i="4"/>
  <c r="C7" i="4"/>
  <c r="C6" i="4"/>
  <c r="C8" i="4" s="1"/>
  <c r="C10" i="4" s="1"/>
  <c r="C70" i="4" s="1"/>
  <c r="D27" i="3"/>
  <c r="G5" i="5" s="1"/>
  <c r="C25" i="3"/>
  <c r="C24" i="3"/>
  <c r="C23" i="3"/>
  <c r="C26" i="3" s="1"/>
  <c r="F16" i="2"/>
  <c r="E16" i="2"/>
  <c r="D16" i="2"/>
  <c r="F15" i="2"/>
  <c r="E15" i="2"/>
  <c r="D15" i="2"/>
  <c r="F14" i="2"/>
  <c r="E14" i="2"/>
  <c r="D14" i="2"/>
  <c r="C14" i="2"/>
  <c r="F13" i="2"/>
  <c r="E13" i="2"/>
  <c r="D13" i="2"/>
  <c r="C13" i="2"/>
  <c r="F9" i="2"/>
  <c r="D9" i="2"/>
  <c r="F8" i="2"/>
  <c r="E8" i="2"/>
  <c r="E9" i="2" s="1"/>
  <c r="D8" i="2"/>
  <c r="C8" i="2"/>
  <c r="C9" i="2" s="1"/>
  <c r="L5" i="6" l="1"/>
  <c r="I16" i="6"/>
  <c r="D16" i="6"/>
  <c r="D30" i="3"/>
  <c r="F6" i="5"/>
  <c r="D5" i="5"/>
  <c r="E15" i="6"/>
  <c r="C32" i="3"/>
  <c r="E32" i="3"/>
  <c r="E30" i="3"/>
  <c r="G16" i="6"/>
  <c r="G30" i="3"/>
  <c r="E7" i="5"/>
  <c r="D17" i="7"/>
  <c r="G31" i="3"/>
  <c r="H7" i="5"/>
  <c r="E17" i="7"/>
  <c r="C3" i="7"/>
  <c r="G36" i="4"/>
  <c r="C11" i="4"/>
  <c r="C24" i="4" s="1"/>
  <c r="C25" i="4" s="1"/>
  <c r="G46" i="3"/>
  <c r="F36" i="4"/>
  <c r="F46" i="3"/>
  <c r="E46" i="3"/>
  <c r="C46" i="3"/>
  <c r="B30" i="1"/>
  <c r="H36" i="4"/>
  <c r="B25" i="1"/>
  <c r="E36" i="4"/>
  <c r="J5" i="6"/>
  <c r="K5" i="6"/>
  <c r="H15" i="6"/>
  <c r="H16" i="6"/>
  <c r="H17" i="6"/>
  <c r="C27" i="6"/>
  <c r="C18" i="1" s="1"/>
  <c r="D18" i="1" s="1"/>
  <c r="C74" i="4"/>
  <c r="D36" i="4"/>
  <c r="D17" i="6"/>
  <c r="F15" i="6"/>
  <c r="D46" i="3"/>
  <c r="C71" i="4"/>
  <c r="E16" i="6"/>
  <c r="E17" i="6"/>
  <c r="F17" i="6"/>
  <c r="E5" i="5"/>
  <c r="C30" i="3"/>
  <c r="C33" i="3" s="1"/>
  <c r="F31" i="3"/>
  <c r="H5" i="5"/>
  <c r="D7" i="5"/>
  <c r="I15" i="6"/>
  <c r="I6" i="7"/>
  <c r="C17" i="7"/>
  <c r="G17" i="6"/>
  <c r="C6" i="7"/>
  <c r="D6" i="5"/>
  <c r="F7" i="5"/>
  <c r="M5" i="6"/>
  <c r="B24" i="1" s="1"/>
  <c r="F30" i="3"/>
  <c r="D32" i="3"/>
  <c r="E6" i="5"/>
  <c r="G7" i="5"/>
  <c r="D15" i="6"/>
  <c r="F16" i="6"/>
  <c r="C28" i="6" s="1"/>
  <c r="C19" i="1" s="1"/>
  <c r="D19" i="1" s="1"/>
  <c r="D6" i="7"/>
  <c r="I17" i="6"/>
  <c r="E6" i="7"/>
  <c r="F17" i="7"/>
  <c r="F6" i="7"/>
  <c r="G17" i="7"/>
  <c r="C31" i="3"/>
  <c r="F32" i="3"/>
  <c r="G6" i="5"/>
  <c r="D31" i="3"/>
  <c r="G32" i="3"/>
  <c r="F5" i="5"/>
  <c r="H6" i="5"/>
  <c r="G6" i="7"/>
  <c r="H17" i="7"/>
  <c r="E31" i="3"/>
  <c r="C29" i="4" l="1"/>
  <c r="C26" i="4"/>
  <c r="C27" i="4"/>
  <c r="D45" i="4"/>
  <c r="D39" i="4"/>
  <c r="D40" i="4"/>
  <c r="D44" i="4"/>
  <c r="D41" i="4"/>
  <c r="D51" i="4" s="1"/>
  <c r="D56" i="4" s="1"/>
  <c r="D43" i="4"/>
  <c r="D46" i="4"/>
  <c r="D38" i="4"/>
  <c r="D48" i="4" s="1"/>
  <c r="D53" i="4" s="1"/>
  <c r="F43" i="4"/>
  <c r="F46" i="4"/>
  <c r="F40" i="4"/>
  <c r="F38" i="4"/>
  <c r="F41" i="4"/>
  <c r="F39" i="4"/>
  <c r="F49" i="4" s="1"/>
  <c r="F44" i="4"/>
  <c r="F45" i="4"/>
  <c r="E39" i="4"/>
  <c r="E43" i="4"/>
  <c r="E46" i="4"/>
  <c r="E44" i="4"/>
  <c r="E38" i="4"/>
  <c r="E45" i="4"/>
  <c r="E40" i="4"/>
  <c r="E41" i="4"/>
  <c r="C37" i="3"/>
  <c r="D33" i="3"/>
  <c r="D9" i="5"/>
  <c r="D12" i="5" s="1"/>
  <c r="C34" i="3"/>
  <c r="D10" i="5" s="1"/>
  <c r="C42" i="3"/>
  <c r="H40" i="4"/>
  <c r="H44" i="4"/>
  <c r="H45" i="4"/>
  <c r="H39" i="4"/>
  <c r="H49" i="4" s="1"/>
  <c r="H54" i="4" s="1"/>
  <c r="H46" i="4"/>
  <c r="H38" i="4"/>
  <c r="H41" i="4"/>
  <c r="H51" i="4" s="1"/>
  <c r="H56" i="4" s="1"/>
  <c r="H43" i="4"/>
  <c r="G46" i="4"/>
  <c r="G40" i="4"/>
  <c r="G41" i="4"/>
  <c r="G51" i="4" s="1"/>
  <c r="G56" i="4" s="1"/>
  <c r="G45" i="4"/>
  <c r="G43" i="4"/>
  <c r="G44" i="4"/>
  <c r="G39" i="4"/>
  <c r="G49" i="4" s="1"/>
  <c r="G54" i="4" s="1"/>
  <c r="G38" i="4"/>
  <c r="G48" i="4" s="1"/>
  <c r="G53" i="4" s="1"/>
  <c r="B13" i="7"/>
  <c r="B12" i="7"/>
  <c r="B11" i="7"/>
  <c r="B10" i="7"/>
  <c r="B9" i="7"/>
  <c r="B8" i="7"/>
  <c r="B7" i="7"/>
  <c r="B24" i="7"/>
  <c r="B23" i="7"/>
  <c r="B22" i="7"/>
  <c r="B21" i="7"/>
  <c r="B20" i="7"/>
  <c r="B19" i="7"/>
  <c r="B18" i="7"/>
  <c r="D49" i="4" l="1"/>
  <c r="D54" i="4" s="1"/>
  <c r="E49" i="4"/>
  <c r="E54" i="4" s="1"/>
  <c r="E51" i="4"/>
  <c r="E56" i="4" s="1"/>
  <c r="H50" i="4"/>
  <c r="H55" i="4" s="1"/>
  <c r="E50" i="4"/>
  <c r="E55" i="4" s="1"/>
  <c r="E9" i="5"/>
  <c r="E12" i="5" s="1"/>
  <c r="D42" i="3"/>
  <c r="D34" i="3"/>
  <c r="E10" i="5" s="1"/>
  <c r="E33" i="3"/>
  <c r="D37" i="3"/>
  <c r="G50" i="4"/>
  <c r="G55" i="4" s="1"/>
  <c r="F54" i="4"/>
  <c r="B78" i="4" s="1"/>
  <c r="C60" i="4"/>
  <c r="E48" i="4"/>
  <c r="E53" i="4" s="1"/>
  <c r="F51" i="4"/>
  <c r="F56" i="4" s="1"/>
  <c r="D15" i="5"/>
  <c r="D16" i="5" s="1"/>
  <c r="D13" i="5"/>
  <c r="H48" i="4"/>
  <c r="H53" i="4" s="1"/>
  <c r="C35" i="3"/>
  <c r="F48" i="4"/>
  <c r="F53" i="4" s="1"/>
  <c r="D14" i="5"/>
  <c r="F50" i="4"/>
  <c r="F55" i="4" s="1"/>
  <c r="D50" i="4"/>
  <c r="D55" i="4" s="1"/>
  <c r="D35" i="3" l="1"/>
  <c r="F9" i="5"/>
  <c r="F12" i="5" s="1"/>
  <c r="E42" i="3"/>
  <c r="E34" i="3"/>
  <c r="F10" i="5" s="1"/>
  <c r="E37" i="3"/>
  <c r="E35" i="3"/>
  <c r="F33" i="3"/>
  <c r="D36" i="3"/>
  <c r="D39" i="3"/>
  <c r="D38" i="3"/>
  <c r="D18" i="5"/>
  <c r="D19" i="5" s="1"/>
  <c r="C44" i="3" s="1"/>
  <c r="C36" i="3"/>
  <c r="C39" i="3"/>
  <c r="C38" i="3"/>
  <c r="E13" i="5"/>
  <c r="E14" i="5" s="1"/>
  <c r="E18" i="5" s="1"/>
  <c r="E19" i="5" s="1"/>
  <c r="D44" i="3" s="1"/>
  <c r="E15" i="5"/>
  <c r="E16" i="5" s="1"/>
  <c r="C65" i="4"/>
  <c r="D65" i="4" s="1"/>
  <c r="C67" i="4"/>
  <c r="D67" i="4" s="1"/>
  <c r="C63" i="4"/>
  <c r="D63" i="4" s="1"/>
  <c r="C66" i="4"/>
  <c r="D66" i="4" s="1"/>
  <c r="C64" i="4"/>
  <c r="D64" i="4" s="1"/>
  <c r="C40" i="3" l="1"/>
  <c r="C41" i="3" s="1"/>
  <c r="C45" i="3" s="1"/>
  <c r="F42" i="3"/>
  <c r="F34" i="3"/>
  <c r="G10" i="5" s="1"/>
  <c r="F37" i="3"/>
  <c r="G33" i="3"/>
  <c r="G9" i="5"/>
  <c r="G12" i="5" s="1"/>
  <c r="F35" i="3"/>
  <c r="E39" i="3"/>
  <c r="E36" i="3"/>
  <c r="E38" i="3"/>
  <c r="F13" i="5"/>
  <c r="F15" i="5"/>
  <c r="F16" i="5" s="1"/>
  <c r="D40" i="3"/>
  <c r="D41" i="3"/>
  <c r="D45" i="3" s="1"/>
  <c r="D47" i="3" s="1"/>
  <c r="F14" i="5"/>
  <c r="F18" i="5" s="1"/>
  <c r="F19" i="5" s="1"/>
  <c r="E44" i="3" s="1"/>
  <c r="C47" i="3" l="1"/>
  <c r="F38" i="3"/>
  <c r="F39" i="3"/>
  <c r="F36" i="3"/>
  <c r="G13" i="5"/>
  <c r="G14" i="5" s="1"/>
  <c r="G15" i="5"/>
  <c r="G16" i="5" s="1"/>
  <c r="G37" i="3"/>
  <c r="C16" i="4"/>
  <c r="C28" i="4" s="1"/>
  <c r="G42" i="3"/>
  <c r="G34" i="3"/>
  <c r="H10" i="5" s="1"/>
  <c r="H9" i="5"/>
  <c r="H12" i="5" s="1"/>
  <c r="E40" i="3"/>
  <c r="E41" i="3" s="1"/>
  <c r="E45" i="3" s="1"/>
  <c r="E47" i="3" s="1"/>
  <c r="G18" i="5" l="1"/>
  <c r="G19" i="5" s="1"/>
  <c r="F44" i="3" s="1"/>
  <c r="H15" i="5"/>
  <c r="H16" i="5" s="1"/>
  <c r="H13" i="5"/>
  <c r="H14" i="5" s="1"/>
  <c r="H18" i="5" s="1"/>
  <c r="H19" i="5" s="1"/>
  <c r="G44" i="3" s="1"/>
  <c r="C72" i="4"/>
  <c r="C73" i="4"/>
  <c r="F40" i="3"/>
  <c r="F41" i="3" s="1"/>
  <c r="F45" i="3" s="1"/>
  <c r="G35" i="3"/>
  <c r="F47" i="3" l="1"/>
  <c r="G38" i="3"/>
  <c r="G39" i="3"/>
  <c r="G36" i="3"/>
  <c r="G40" i="3" l="1"/>
  <c r="G41" i="3" s="1"/>
  <c r="G45" i="3" s="1"/>
  <c r="C59" i="3"/>
  <c r="C60" i="3" s="1"/>
  <c r="C61" i="3" s="1"/>
  <c r="C51" i="3" l="1"/>
  <c r="C52" i="3" s="1"/>
  <c r="G47" i="3"/>
  <c r="C50" i="3" s="1"/>
  <c r="G18" i="7"/>
  <c r="G19" i="7"/>
  <c r="E20" i="7"/>
  <c r="D22" i="7"/>
  <c r="H24" i="7"/>
  <c r="D9" i="7"/>
  <c r="I18" i="7"/>
  <c r="H10" i="7"/>
  <c r="I10" i="7"/>
  <c r="H21" i="7"/>
  <c r="D18" i="7"/>
  <c r="H9" i="7"/>
  <c r="H7" i="7"/>
  <c r="D8" i="7"/>
  <c r="G8" i="7"/>
  <c r="F11" i="7"/>
  <c r="C18" i="7"/>
  <c r="D19" i="7"/>
  <c r="I23" i="7"/>
  <c r="C21" i="7"/>
  <c r="E13" i="7"/>
  <c r="E22" i="7"/>
  <c r="I9" i="7"/>
  <c r="H12" i="7"/>
  <c r="I8" i="7"/>
  <c r="I24" i="7"/>
  <c r="F24" i="7"/>
  <c r="D21" i="7"/>
  <c r="G22" i="7"/>
  <c r="C8" i="7"/>
  <c r="E19" i="7"/>
  <c r="D24" i="7"/>
  <c r="I12" i="7"/>
  <c r="H8" i="7"/>
  <c r="F9" i="7"/>
  <c r="G7" i="7"/>
  <c r="H13" i="7"/>
  <c r="C13" i="7"/>
  <c r="H11" i="7"/>
  <c r="D7" i="7"/>
  <c r="G11" i="7"/>
  <c r="G23" i="7"/>
  <c r="C24" i="7"/>
  <c r="E11" i="7"/>
  <c r="F20" i="7"/>
  <c r="I21" i="7"/>
  <c r="G9" i="7"/>
  <c r="D13" i="7"/>
  <c r="H18" i="7"/>
  <c r="F12" i="7"/>
  <c r="F18" i="7"/>
  <c r="F19" i="7"/>
  <c r="C20" i="7"/>
  <c r="C22" i="7"/>
  <c r="H22" i="7"/>
  <c r="I7" i="7"/>
  <c r="G21" i="7"/>
  <c r="D10" i="7"/>
  <c r="I20" i="7"/>
  <c r="D12" i="7"/>
  <c r="I13" i="7"/>
  <c r="D20" i="7"/>
  <c r="E18" i="7"/>
  <c r="C10" i="7"/>
  <c r="D11" i="7"/>
  <c r="E9" i="7"/>
  <c r="F23" i="7"/>
  <c r="G10" i="7"/>
  <c r="E24" i="7"/>
  <c r="F10" i="7"/>
  <c r="I19" i="7"/>
  <c r="D23" i="7"/>
  <c r="G12" i="7"/>
  <c r="C11" i="7"/>
  <c r="F22" i="7"/>
  <c r="G24" i="7"/>
  <c r="E21" i="7"/>
  <c r="E10" i="7"/>
  <c r="H23" i="7"/>
  <c r="F7" i="7"/>
  <c r="C19" i="7"/>
  <c r="C23" i="7"/>
  <c r="E12" i="7"/>
  <c r="F21" i="7"/>
  <c r="E23" i="7"/>
  <c r="I22" i="7"/>
  <c r="C12" i="7"/>
  <c r="H19" i="7"/>
  <c r="I11" i="7"/>
  <c r="G13" i="7"/>
  <c r="E8" i="7"/>
  <c r="C7" i="7"/>
  <c r="F8" i="7"/>
  <c r="H20" i="7"/>
  <c r="G20" i="7"/>
  <c r="F13" i="7"/>
  <c r="E7" i="7"/>
  <c r="C9" i="7"/>
  <c r="C58" i="3" l="1"/>
  <c r="C62" i="3" s="1"/>
  <c r="C53" i="3"/>
  <c r="C63" i="3" l="1"/>
  <c r="C64" i="3" s="1"/>
  <c r="C17" i="1" s="1"/>
  <c r="D17" i="1" s="1"/>
  <c r="C17" i="4"/>
  <c r="C54" i="3"/>
  <c r="C55" i="3" s="1"/>
  <c r="C16" i="1" s="1"/>
  <c r="C21" i="1" l="1"/>
  <c r="C10" i="1"/>
  <c r="D16" i="1"/>
  <c r="C19" i="4"/>
  <c r="C20" i="4" s="1"/>
  <c r="B79" i="4" s="1"/>
  <c r="B31" i="1" l="1"/>
  <c r="C12" i="1"/>
  <c r="C11" i="1" s="1"/>
  <c r="B29" i="1"/>
  <c r="B26" i="1" l="1"/>
</calcChain>
</file>

<file path=xl/sharedStrings.xml><?xml version="1.0" encoding="utf-8"?>
<sst xmlns="http://schemas.openxmlformats.org/spreadsheetml/2006/main" count="425" uniqueCount="342">
  <si>
    <t>DISCLAIMER: This is a sample analysis for demonstration purposes only. It does not constitute investment advice.</t>
  </si>
  <si>
    <t>キッコーマン (2801.T)</t>
  </si>
  <si>
    <t>Equity Research Report</t>
  </si>
  <si>
    <t>Company</t>
  </si>
  <si>
    <t>キッコーマン</t>
  </si>
  <si>
    <t>Ticker</t>
  </si>
  <si>
    <t>2801.T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</si>
  <si>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</si>
  <si>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</si>
  <si>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</si>
  <si>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</si>
  <si>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</si>
  <si>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</si>
  <si>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</si>
  <si>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</si>
  <si>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</si>
  <si>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</si>
  <si>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</si>
  <si>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</si>
  <si>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</si>
  <si>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</si>
  <si>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</si>
  <si>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</si>
  <si>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</si>
  <si>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</si>
  <si>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キッコーマン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</si>
  <si>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</si>
  <si>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</si>
  <si>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</si>
  <si>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</si>
  <si>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</si>
  <si>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</si>
  <si>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</si>
  <si>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</si>
  <si>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</si>
  <si>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</si>
  <si>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</si>
  <si>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</si>
  <si>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</si>
  <si>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</si>
  <si>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</si>
  <si>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</si>
  <si>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</si>
  <si>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</si>
  <si>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</si>
  <si>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</si>
  <si>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</si>
  <si>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</si>
  <si>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</si>
  <si>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</si>
  <si>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</si>
  <si>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</si>
  <si>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</si>
  <si>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</si>
  <si>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キッコーマン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</si>
  <si>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</si>
  <si>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</si>
  <si>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</si>
  <si>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</si>
  <si>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</si>
  <si>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</si>
  <si>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</si>
  <si>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</si>
  <si>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</si>
  <si>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</si>
  <si>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</si>
  <si>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</si>
  <si>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</si>
  <si>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</si>
  <si>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</si>
  <si>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</si>
  <si>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</si>
  <si>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</si>
  <si>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</si>
  <si>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</si>
  <si>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</si>
  <si>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</si>
  <si>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</si>
  <si>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</si>
  <si>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</si>
  <si>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</si>
  <si>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</si>
  <si>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</si>
  <si>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</si>
  <si>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</si>
  <si>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</si>
  <si>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</si>
  <si>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</si>
  <si>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</si>
  <si>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</si>
  <si>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</si>
  <si>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</si>
  <si>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</si>
  <si>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</si>
  <si>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</si>
  <si>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</si>
  <si>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</si>
  <si>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</si>
  <si>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</si>
  <si>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</si>
  <si>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</si>
  <si>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</si>
  <si>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</si>
  <si>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</si>
  <si>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</si>
  <si>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</si>
  <si>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</si>
  <si>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</si>
  <si>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</si>
  <si>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</si>
  <si>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</si>
  <si>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</si>
  <si>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</si>
  <si>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</si>
  <si>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</si>
  <si>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</si>
  <si>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</si>
  <si>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</si>
  <si>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</si>
  <si>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キッコーマン (2801.T)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</si>
  <si>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</si>
  <si>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</si>
  <si>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</si>
  <si>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</si>
  <si>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</si>
  <si>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</si>
  <si>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</si>
  <si>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</si>
  <si>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</si>
  <si>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</si>
  <si>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</si>
  <si>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</si>
  <si>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</si>
  <si>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</si>
  <si>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</si>
  <si>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</si>
  <si>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</si>
  <si>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</si>
  <si>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</si>
  <si>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</si>
  <si>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</si>
  <si>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</si>
  <si>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</si>
  <si>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</si>
  <si>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</si>
  <si>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</si>
  <si>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</si>
  <si>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</si>
  <si>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</si>
  <si>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</si>
  <si>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</si>
  <si>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</si>
  <si>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</si>
  <si>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</si>
  <si>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</si>
  <si>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</si>
  <si>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</si>
  <si>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</si>
  <si>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</si>
  <si>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</si>
  <si>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</si>
  <si>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</si>
  <si>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</si>
  <si>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</si>
  <si>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</si>
  <si>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</si>
  <si>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</si>
  <si>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</si>
  <si>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</si>
  <si>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</si>
  <si>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</si>
  <si>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キッコーマン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</si>
  <si>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</si>
  <si>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</si>
  <si>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</si>
  <si>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</si>
  <si>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</si>
  <si>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</si>
  <si>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</si>
  <si>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</si>
  <si>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</si>
  <si>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</si>
  <si>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</si>
  <si>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</si>
  <si>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</si>
  <si>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</si>
  <si>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</si>
  <si>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</si>
  <si>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</si>
  <si>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</si>
  <si>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</si>
  <si>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</si>
  <si>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</si>
  <si>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</si>
  <si>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</si>
  <si>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</si>
  <si>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</si>
  <si>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</si>
  <si>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</si>
  <si>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</si>
  <si>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</si>
  <si>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</si>
  <si>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</si>
  <si>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</si>
  <si>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</si>
  <si>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</si>
  <si>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Kikkoman Corporation</t>
  </si>
  <si>
    <t>2801.T</t>
  </si>
  <si>
    <t>Ajinomoto Co., Inc.</t>
  </si>
  <si>
    <t>2802.T</t>
  </si>
  <si>
    <t>Kirin Holdings Company, Limited</t>
  </si>
  <si>
    <t>2503.T</t>
  </si>
  <si>
    <t>Asahi Group Holdings, Ltd.</t>
  </si>
  <si>
    <t>2502.T</t>
  </si>
  <si>
    <t>Meiji Holdings Co., Ltd.</t>
  </si>
  <si>
    <t>2269.T</t>
  </si>
  <si>
    <t>Nissin Foods Holdings Co.,Ltd.</t>
  </si>
  <si>
    <t>2897.T</t>
  </si>
  <si>
    <t>Statistics</t>
  </si>
  <si>
    <t>25th Percentile</t>
  </si>
  <si>
    <t>Median (50th)</t>
  </si>
  <si>
    <t>75th Percentile</t>
  </si>
  <si>
    <t>Implied Valuation for キッコーマン</t>
  </si>
  <si>
    <t>キッコーマン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</si>
  <si>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</si>
  <si>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</si>
  <si>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</si>
  <si>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</si>
  <si>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</si>
  <si>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</si>
  <si>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</si>
  <si>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</si>
  <si>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</si>
  <si>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</si>
  <si>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</si>
  <si>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</si>
  <si>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</si>
  <si>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</si>
  <si>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</si>
  <si>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キッコーマン</t>
  </si>
  <si>
    <t>日付</t>
  </si>
  <si>
    <t>セル</t>
  </si>
  <si>
    <t>変更内容</t>
  </si>
  <si>
    <t>理由</t>
  </si>
  <si>
    <t>元の値</t>
  </si>
  <si>
    <t>状態</t>
  </si>
  <si>
    <t>2026-09-06</t>
  </si>
  <si>
    <t>-</t>
  </si>
  <si>
    <t>Generated by pipeline on 2026-09-06 18:41, template rev 63983ab</t>
  </si>
  <si>
    <t>初期生成（手修正なし）</t>
  </si>
  <si>
    <t>generated</t>
  </si>
  <si>
    <t>DCF Model!C8</t>
  </si>
  <si>
    <t>Beta = 0.556（採用値）</t>
  </si>
  <si>
    <t>実測β(raw) = 0.337 → Blume調整 0.67×raw + 0.33×1.00 = 0.556 → 採用 0.556。クランプ域 [0.3, 2.0] の内側。置換なし。回帰βは平均回帰するため Blume 調整を既定とする（2026-09-05 バッチで85件中57件が旧下限 0.60 に張り付き、両裾の歪みが実証された）。</t>
  </si>
  <si>
    <t>実測 0.337</t>
  </si>
  <si>
    <t>確定</t>
  </si>
  <si>
    <t>Pipeline Metadata (do not edit — read by scripts/validate_output.py)</t>
  </si>
  <si>
    <t>key</t>
  </si>
  <si>
    <t>value</t>
  </si>
  <si>
    <t>auto_log_entries</t>
  </si>
  <si>
    <t>1</t>
  </si>
  <si>
    <t>beta_adopted_c8</t>
  </si>
  <si>
    <t>0.5556</t>
  </si>
  <si>
    <t>beta_basis</t>
  </si>
  <si>
    <t>Blume: 0.67 x 0.337 + 0.33 x 1.00 = 0.556</t>
  </si>
  <si>
    <t>beta_blume_adjusted</t>
  </si>
  <si>
    <t>beta_clamped</t>
  </si>
  <si>
    <t>no</t>
  </si>
  <si>
    <t>beta_raw</t>
  </si>
  <si>
    <t>0.3367</t>
  </si>
  <si>
    <t>capex_pct_basis</t>
  </si>
  <si>
    <t>explicit_override</t>
  </si>
  <si>
    <t>capex_pct_c5</t>
  </si>
  <si>
    <t>0.0389</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</si>
  <si>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</si>
  <si>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</si>
  <si>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</si>
  <si>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</si>
  <si>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</si>
  <si>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</si>
  <si>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</si>
  <si>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</si>
  <si>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</si>
  <si>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</si>
  <si>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</si>
  <si>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</si>
  <si>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</si>
  <si>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</si>
  <si>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</si>
  <si>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</si>
  <si>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</si>
  <si>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</si>
  <si>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</si>
  <si>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</si>
  <si>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</si>
  <si>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102540.0</t>
  </si>
  <si>
    <t>core_net_income</t>
  </si>
  <si>
    <t>61615.0</t>
  </si>
  <si>
    <t>cost_of_debt_at_c11</t>
  </si>
  <si>
    <t>0.01</t>
  </si>
  <si>
    <t>cost_of_debt_basis</t>
  </si>
  <si>
    <t>assumption</t>
  </si>
  <si>
    <t>da_pct_basis</t>
  </si>
  <si>
    <t>da_pct_c18</t>
  </si>
  <si>
    <t>0.037</t>
  </si>
  <si>
    <t>da_pct_hist3yr</t>
  </si>
  <si>
    <t>0.03668</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</si>
  <si>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</si>
  <si>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</si>
  <si>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</si>
  <si>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</si>
  <si>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</si>
  <si>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</si>
  <si>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</si>
  <si>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</si>
  <si>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</si>
  <si>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18:41:20</t>
  </si>
  <si>
    <t>guidance_note</t>
  </si>
  <si>
    <t>TDnet 決算短信 via screener guidance table: FY2027 disclosed 2026-08-05 (net_income=61,300mn, operating_income=78,800mn, revenue=799,100mn)</t>
  </si>
  <si>
    <t>guidance_source</t>
  </si>
  <si>
    <t>tdnet_screener_db</t>
  </si>
  <si>
    <t>latest_operating_income</t>
  </si>
  <si>
    <t>75940</t>
  </si>
  <si>
    <t>ltm_revenue_c20</t>
  </si>
  <si>
    <t>745539.0</t>
  </si>
  <si>
    <t>ltm_revenue_source</t>
  </si>
  <si>
    <t>latest FY (no LTM)</t>
  </si>
  <si>
    <t>market_data_source</t>
  </si>
  <si>
    <t>yfinance; from overrides: beta</t>
  </si>
  <si>
    <t>narrative_tokens_used</t>
  </si>
  <si>
    <t>pb,per,price,target_price,upside_pct,wacc</t>
  </si>
  <si>
    <t>net_debt_source</t>
  </si>
  <si>
    <t>UNAVAILABLE (no net_debt, and total_debt/cash incomplete)</t>
  </si>
  <si>
    <t>reverse_dcf_sheet</t>
  </si>
  <si>
    <t>op0=75,940(FY2026) peak=75,940(FY2026) peak_opm=0.1019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</si>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</sst>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1784.5</v>
      </c>
    </row>
    <row r="10" spans="2:5" ht="14" x14ac:dyDescent="0.3">
      <c r="B10" s="4" t="s">
        <v>10</v>
      </c>
      <c r="C10" s="5">
        <f>IF(COUNT(C16:C17)=0,"N/A",ROUND(AVERAGE(C16:C17),0))</f>
        <v>1101</v>
      </c>
    </row>
    <row r="11" spans="2:5" ht="14" x14ac:dyDescent="0.3">
      <c r="B11" s="4" t="s">
        <v>11</v>
      </c>
      <c r="C11" s="6" t="str">
        <f>IF(NOT(ISNUMBER(C12)),"N/A",IF(C12&gt;0.15,"BUY",IF(C12&gt;0.05,"HOLD","SELL")))</f>
        <v>SELL</v>
      </c>
    </row>
    <row r="12" spans="2:5" ht="14" x14ac:dyDescent="0.3">
      <c r="B12" s="4" t="s">
        <v>12</v>
      </c>
      <c r="C12" s="7">
        <f>IF(ISNUMBER(C10),(C10-C9)/C9,"N/A")</f>
        <v>-0.38302045390865791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956</v>
      </c>
      <c r="D16" s="7">
        <f>IF(ISNUMBER(C16),(C16-C9)/C9,"N/A")</f>
        <v>-0.46427570748108715</v>
      </c>
    </row>
    <row r="17" spans="2:5" ht="13.5" x14ac:dyDescent="0.25">
      <c r="B17" t="s">
        <v>18</v>
      </c>
      <c r="C17" s="11">
        <f>IF('DCF Model'!C62&lt;'DCF Model'!C16,"INVALID (EV &lt; net debt)",'DCF Model'!C64)</f>
        <v>1245</v>
      </c>
      <c r="D17" s="7">
        <f>IF(ISNUMBER(C17),(C17-C9)/C9,"N/A")</f>
        <v>-0.30232558139534882</v>
      </c>
    </row>
    <row r="18" spans="2:5" ht="13.5" x14ac:dyDescent="0.25">
      <c r="B18" t="s">
        <v>19</v>
      </c>
      <c r="C18" s="11">
        <f>'Comps Analysis'!C27</f>
        <v>1261</v>
      </c>
      <c r="D18" s="7">
        <f>IF(ISNUMBER(C18),(C18-C9)/C9,"N/A")</f>
        <v>-0.29335948444942561</v>
      </c>
    </row>
    <row r="19" spans="2:5" ht="13.5" x14ac:dyDescent="0.25">
      <c r="B19" t="s">
        <v>20</v>
      </c>
      <c r="C19" s="11">
        <f>'Comps Analysis'!C28</f>
        <v>1310</v>
      </c>
      <c r="D19" s="7">
        <f>IF(ISNUMBER(C19),(C19-C9)/C9,"N/A")</f>
        <v>-0.26590081255253573</v>
      </c>
    </row>
    <row r="20" spans="2:5" ht="14" x14ac:dyDescent="0.3">
      <c r="B20" s="45" t="s">
        <v>21</v>
      </c>
      <c r="C20" s="44"/>
      <c r="D20" s="44"/>
      <c r="E20" s="44"/>
    </row>
    <row r="21" spans="2:5" ht="14" x14ac:dyDescent="0.3">
      <c r="B21" s="4" t="s">
        <v>22</v>
      </c>
      <c r="C21" s="6" t="str">
        <f>IF(COUNT(C16:C17)=0,"N/A",MIN(C16:C17)&amp;" - "&amp;MAX(C16:C17))</f>
        <v>956 - 1245</v>
      </c>
    </row>
    <row r="23" spans="2:5" ht="14" x14ac:dyDescent="0.3">
      <c r="B23" s="8" t="s">
        <v>23</v>
      </c>
      <c r="C23" s="9"/>
      <c r="D23" s="9"/>
    </row>
    <row r="24" spans="2:5" x14ac:dyDescent="0.2">
      <c r="B24" t="str">
        <f>"Kikkoman earns most of its profit from soy sauce and Asian foods in North America, where the brand supports pricing that the domestic food peers do not have; the shares trade at "&amp;TEXT('Comps Analysis'!L5,"0.0""x""")&amp;" earnings and "&amp;TEXT('Comps Analysis'!M5,"0.00""x""")&amp;" book."</f>
        <v>Kikkoman earns most of its profit from soy sauce and Asian foods in North America, where the brand supports pricing that the domestic food peers do not have; the shares trade at 26.9x earnings and 2.95x book.</v>
      </c>
    </row>
    <row r="25" spans="2:5" x14ac:dyDescent="0.2">
      <c r="B25" t="str">
        <f>"The balance sheet holds net cash, so enterprise value sits below market capitalisation and the "&amp;TEXT('DCF Model'!C26,"0.00%")&amp;" discount rate is the cost of equity with no leverage assumed."</f>
        <v>The balance sheet holds net cash, so enterprise value sits below market capitalisation and the 7.58% discount rate is the cost of equity with no leverage assumed.</v>
      </c>
    </row>
    <row r="26" spans="2:5" x14ac:dyDescent="0.2">
      <c r="B26" t="str">
        <f>"At "&amp;TEXT(C9,"#,##0")&amp;" the shares are held at a clear premium to the food peer group on EV/EBITDA; the base case, which values the exit on the peer median rather than on the multiple the market awards this company, supports "&amp;TEXT(C10,"#,##0")&amp;", or "&amp;TEXT(C12,"+0.0%;-0.0%")&amp;" from here."</f>
        <v>At 1,785 the shares are held at a clear premium to the food peer group on EV/EBITDA; the base case, which values the exit on the peer median rather than on the multiple the market awards this company, supports 1,101, or -38.3% from here.</v>
      </c>
    </row>
    <row r="28" spans="2:5" ht="14" x14ac:dyDescent="0.3">
      <c r="B28" s="8" t="s">
        <v>24</v>
      </c>
      <c r="C28" s="9"/>
      <c r="D28" s="9"/>
    </row>
    <row r="29" spans="2:5" x14ac:dyDescent="0.2">
      <c r="B29" t="str">
        <f>"The valuation premium over the food peer group is the single largest driver of the gap between "&amp;TEXT(C9,"#,##0")&amp;" and "&amp;TEXT(C10,"#,##0")&amp;": the exit leg here deliberately does not assume the premium persists."</f>
        <v>The valuation premium over the food peer group is the single largest driver of the gap between 1,785 and 1,101: the exit leg here deliberately does not assume the premium persists.</v>
      </c>
    </row>
    <row r="30" spans="2:5" x14ac:dyDescent="0.2">
      <c r="B30" t="str">
        <f>"North American demand and the dollar drive group earnings, and neither the currency nor the regional concentration is reflected in the "&amp;TEXT('DCF Model'!C26,"0.00%")&amp;" applied here."</f>
        <v>North American demand and the dollar drive group earnings, and neither the currency nor the regional concentration is reflected in the 7.58% applied here.</v>
      </c>
    </row>
    <row r="31" spans="2:5" x14ac:dyDescent="0.2">
      <c r="B31" t="str">
        <f>"Capital expenditure ran at twice the historical rate in the latest year; if the elevated level persists rather than tapering, the free cash flow behind "&amp;TEXT('Comps Analysis'!L5,"0.0""x""")&amp;" and "&amp;TEXT(C10,"#,##0")&amp;" does not materialise."</f>
        <v>Capital expenditure ran at twice the historical rate in the latest year; if the elevated level persists rather than tapering, the free cash flow behind 26.9x and 1,101 does not materialise.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618899</v>
      </c>
      <c r="D6" s="5">
        <v>660835</v>
      </c>
      <c r="E6" s="5">
        <v>708979</v>
      </c>
      <c r="F6" s="5">
        <v>745539</v>
      </c>
    </row>
    <row r="7" spans="2:6" ht="14" x14ac:dyDescent="0.3">
      <c r="B7" s="4" t="s">
        <v>32</v>
      </c>
      <c r="C7" s="5">
        <v>414474</v>
      </c>
      <c r="D7" s="5">
        <v>432114</v>
      </c>
      <c r="E7" s="5">
        <v>469746</v>
      </c>
      <c r="F7" s="5">
        <v>492926</v>
      </c>
    </row>
    <row r="8" spans="2:6" ht="14" x14ac:dyDescent="0.3">
      <c r="B8" s="4" t="s">
        <v>33</v>
      </c>
      <c r="C8" s="5">
        <f>C6-C7</f>
        <v>204425</v>
      </c>
      <c r="D8" s="5">
        <f>D6-D7</f>
        <v>228721</v>
      </c>
      <c r="E8" s="5">
        <f>E6-E7</f>
        <v>239233</v>
      </c>
      <c r="F8" s="5">
        <f>F6-F7</f>
        <v>252613</v>
      </c>
    </row>
    <row r="9" spans="2:6" ht="13.5" x14ac:dyDescent="0.25">
      <c r="B9" t="s">
        <v>34</v>
      </c>
      <c r="C9" s="7">
        <f>C8/C6</f>
        <v>0.33030429843964848</v>
      </c>
      <c r="D9" s="7">
        <f>D8/D6</f>
        <v>0.34610908925828687</v>
      </c>
      <c r="E9" s="7">
        <f>E8/E6</f>
        <v>0.33743312566380668</v>
      </c>
      <c r="F9" s="7">
        <f>F8/F6</f>
        <v>0.33883271029416301</v>
      </c>
    </row>
    <row r="10" spans="2:6" ht="14" x14ac:dyDescent="0.3">
      <c r="B10" s="4" t="s">
        <v>35</v>
      </c>
      <c r="C10" s="5">
        <v>149055</v>
      </c>
      <c r="D10" s="5">
        <v>161987</v>
      </c>
      <c r="E10" s="5">
        <v>165534</v>
      </c>
      <c r="F10" s="5">
        <v>176673</v>
      </c>
    </row>
    <row r="11" spans="2:6" ht="14" x14ac:dyDescent="0.3">
      <c r="B11" s="4" t="s">
        <v>36</v>
      </c>
      <c r="C11" s="5">
        <v>55370</v>
      </c>
      <c r="D11" s="5">
        <v>66734</v>
      </c>
      <c r="E11" s="5">
        <v>73699</v>
      </c>
      <c r="F11" s="5">
        <v>75940</v>
      </c>
    </row>
    <row r="12" spans="2:6" ht="14" x14ac:dyDescent="0.3">
      <c r="B12" s="4" t="s">
        <v>37</v>
      </c>
      <c r="C12" s="5">
        <v>43733</v>
      </c>
      <c r="D12" s="5">
        <v>56441</v>
      </c>
      <c r="E12" s="5">
        <v>61695</v>
      </c>
      <c r="F12" s="5">
        <v>61615</v>
      </c>
    </row>
    <row r="13" spans="2:6" ht="13.5" x14ac:dyDescent="0.25">
      <c r="B13" t="s">
        <v>38</v>
      </c>
      <c r="C13" s="7">
        <f>C11/C6</f>
        <v>8.9465324713725508E-2</v>
      </c>
      <c r="D13" s="7">
        <f>D11/D6</f>
        <v>0.1009843606951811</v>
      </c>
      <c r="E13" s="7">
        <f>E11/E6</f>
        <v>0.10395089276269114</v>
      </c>
      <c r="F13" s="7">
        <f>F11/F6</f>
        <v>0.1018591918061966</v>
      </c>
    </row>
    <row r="14" spans="2:6" ht="13.5" x14ac:dyDescent="0.25">
      <c r="B14" t="s">
        <v>39</v>
      </c>
      <c r="C14" s="7">
        <f>C12/C6</f>
        <v>7.066257983935989E-2</v>
      </c>
      <c r="D14" s="7">
        <f>D12/D6</f>
        <v>8.5408611832000422E-2</v>
      </c>
      <c r="E14" s="7">
        <f>E12/E6</f>
        <v>8.7019502693309672E-2</v>
      </c>
      <c r="F14" s="7">
        <f>F12/F6</f>
        <v>8.2644905229639229E-2</v>
      </c>
    </row>
    <row r="15" spans="2:6" ht="13.5" x14ac:dyDescent="0.25">
      <c r="B15" t="s">
        <v>40</v>
      </c>
      <c r="C15" t="s">
        <v>41</v>
      </c>
      <c r="D15" s="7">
        <f>(D6-C6)/C6</f>
        <v>6.7759036611789641E-2</v>
      </c>
      <c r="E15" s="7">
        <f>(E6-D6)/D6</f>
        <v>7.2853284102688265E-2</v>
      </c>
      <c r="F15" s="7">
        <f>(F6-E6)/E6</f>
        <v>5.1567112707146472E-2</v>
      </c>
    </row>
    <row r="16" spans="2:6" ht="13.5" x14ac:dyDescent="0.25">
      <c r="B16" t="s">
        <v>42</v>
      </c>
      <c r="C16" t="s">
        <v>41</v>
      </c>
      <c r="D16" s="7">
        <f>(D11-C11)/C11</f>
        <v>0.20523749322737944</v>
      </c>
      <c r="E16" s="7">
        <f>(E11-D11)/D11</f>
        <v>0.10436958671741541</v>
      </c>
      <c r="F16" s="7">
        <f>(F11-E11)/E11</f>
        <v>3.0407468215308212E-2</v>
      </c>
    </row>
    <row r="18" spans="2:6" ht="14" x14ac:dyDescent="0.3">
      <c r="B18" s="3" t="s">
        <v>43</v>
      </c>
    </row>
    <row r="19" spans="2:6" ht="14" x14ac:dyDescent="0.3">
      <c r="B19" s="4" t="s">
        <v>44</v>
      </c>
      <c r="C19" s="5">
        <v>59197</v>
      </c>
      <c r="D19" s="5">
        <v>80807</v>
      </c>
      <c r="E19" s="5">
        <v>73978</v>
      </c>
      <c r="F19" s="5">
        <v>90508</v>
      </c>
    </row>
    <row r="20" spans="2:6" ht="14" x14ac:dyDescent="0.3">
      <c r="B20" s="4" t="s">
        <v>45</v>
      </c>
      <c r="C20" s="5"/>
      <c r="D20" s="5"/>
      <c r="E20" s="5"/>
      <c r="F20" s="5"/>
    </row>
    <row r="21" spans="2:6" ht="14" x14ac:dyDescent="0.3">
      <c r="B21" s="4" t="s">
        <v>46</v>
      </c>
    </row>
    <row r="22" spans="2:6" x14ac:dyDescent="0.2">
      <c r="B22" t="s">
        <v>47</v>
      </c>
    </row>
    <row r="23" spans="2:6" x14ac:dyDescent="0.2">
      <c r="B23" t="s">
        <v>48</v>
      </c>
    </row>
    <row r="25" spans="2:6" ht="14" x14ac:dyDescent="0.3">
      <c r="B25" s="3" t="s">
        <v>49</v>
      </c>
    </row>
    <row r="26" spans="2:6" ht="14" x14ac:dyDescent="0.3">
      <c r="B26" s="4" t="s">
        <v>50</v>
      </c>
      <c r="C26" s="5">
        <v>99347</v>
      </c>
      <c r="D26" s="5">
        <v>119159</v>
      </c>
      <c r="E26" s="5">
        <v>106184</v>
      </c>
      <c r="F26" s="5">
        <v>111770</v>
      </c>
    </row>
    <row r="27" spans="2:6" ht="14" x14ac:dyDescent="0.3">
      <c r="B27" s="4" t="s">
        <v>51</v>
      </c>
      <c r="C27" s="5"/>
      <c r="D27" s="5"/>
      <c r="E27" s="5"/>
      <c r="F27" s="5"/>
    </row>
    <row r="28" spans="2:6" ht="14" x14ac:dyDescent="0.3">
      <c r="B28" s="4" t="s">
        <v>52</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56</v>
      </c>
      <c r="C5" s="7">
        <v>3.8899999999999997E-2</v>
      </c>
    </row>
    <row r="6" spans="2:7" ht="14" x14ac:dyDescent="0.3">
      <c r="B6" s="4" t="s">
        <v>57</v>
      </c>
      <c r="C6" s="7">
        <v>0.25</v>
      </c>
    </row>
    <row r="7" spans="2:7" ht="14" x14ac:dyDescent="0.3">
      <c r="B7" s="4" t="s">
        <v>58</v>
      </c>
      <c r="C7" s="7">
        <v>2.9700000000000001E-2</v>
      </c>
    </row>
    <row r="8" spans="2:7" ht="14" x14ac:dyDescent="0.3">
      <c r="B8" s="4" t="s">
        <v>59</v>
      </c>
      <c r="C8" s="12">
        <v>0.55559999999999998</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10.9</v>
      </c>
    </row>
    <row r="15" spans="2:7" ht="14" x14ac:dyDescent="0.3">
      <c r="B15" s="4" t="s">
        <v>66</v>
      </c>
      <c r="C15" s="15">
        <v>927739554</v>
      </c>
    </row>
    <row r="16" spans="2:7" ht="14" x14ac:dyDescent="0.3">
      <c r="B16" s="4" t="s">
        <v>67</v>
      </c>
      <c r="C16" s="5">
        <v>-50341</v>
      </c>
    </row>
    <row r="17" spans="2:7" ht="14" x14ac:dyDescent="0.3">
      <c r="B17" s="4" t="s">
        <v>68</v>
      </c>
      <c r="C17" s="5">
        <v>745539</v>
      </c>
    </row>
    <row r="18" spans="2:7" ht="14" x14ac:dyDescent="0.3">
      <c r="B18" s="4" t="s">
        <v>69</v>
      </c>
      <c r="C18" s="7">
        <v>3.6999999999999998E-2</v>
      </c>
    </row>
    <row r="19" spans="2:7" ht="14" x14ac:dyDescent="0.3">
      <c r="B19" s="4" t="s">
        <v>70</v>
      </c>
      <c r="C19" s="12">
        <v>1</v>
      </c>
    </row>
    <row r="20" spans="2:7" ht="14" x14ac:dyDescent="0.3">
      <c r="B20" s="4" t="s">
        <v>71</v>
      </c>
      <c r="C20" s="5">
        <v>745539</v>
      </c>
    </row>
    <row r="22" spans="2:7" ht="14" x14ac:dyDescent="0.3">
      <c r="B22" s="8" t="s">
        <v>72</v>
      </c>
      <c r="C22" s="9"/>
      <c r="D22" s="9"/>
      <c r="E22" s="9"/>
      <c r="F22" s="9"/>
      <c r="G22" s="9"/>
    </row>
    <row r="23" spans="2:7" ht="14" x14ac:dyDescent="0.3">
      <c r="B23" s="4" t="s">
        <v>73</v>
      </c>
      <c r="C23" s="16">
        <f>C7+C8*C9+C10</f>
        <v>7.5813999999999993E-2</v>
      </c>
    </row>
    <row r="24" spans="2:7" ht="14" x14ac:dyDescent="0.3">
      <c r="B24" s="4" t="s">
        <v>74</v>
      </c>
      <c r="C24" s="16">
        <f>1/(1+C12)</f>
        <v>1</v>
      </c>
    </row>
    <row r="25" spans="2:7" ht="14" x14ac:dyDescent="0.3">
      <c r="B25" s="4" t="s">
        <v>75</v>
      </c>
      <c r="C25" s="16">
        <f>C12/(1+C12)</f>
        <v>0</v>
      </c>
    </row>
    <row r="26" spans="2:7" ht="14" x14ac:dyDescent="0.3">
      <c r="B26" s="4" t="s">
        <v>76</v>
      </c>
      <c r="C26" s="16">
        <f>C23*C24+C11*C25</f>
        <v>7.5813999999999993E-2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40</v>
      </c>
      <c r="C30" s="18">
        <f>CHOOSE($D$27,C69,C70,C71,C72,C73)</f>
        <v>4.4999999999999998E-2</v>
      </c>
      <c r="D30" s="18">
        <f>CHOOSE($D$27,D69,D70,D71,D72,D73)</f>
        <v>0.04</v>
      </c>
      <c r="E30" s="18">
        <f>CHOOSE($D$27,E69,E70,E71,E72,E73)</f>
        <v>3.5000000000000003E-2</v>
      </c>
      <c r="F30" s="18">
        <f>CHOOSE($D$27,F69,F70,F71,F72,F73)</f>
        <v>0.03</v>
      </c>
      <c r="G30" s="18">
        <f>CHOOSE($D$27,G69,G70,G71,G72,G73)</f>
        <v>2.5000000000000001E-2</v>
      </c>
    </row>
    <row r="31" spans="2:7" ht="14" x14ac:dyDescent="0.3">
      <c r="B31" s="4" t="s">
        <v>85</v>
      </c>
      <c r="C31" s="18">
        <f>CHOOSE($D$27,C76,C77,C78,C79,C80)</f>
        <v>0.66600000000000004</v>
      </c>
      <c r="D31" s="18">
        <f>CHOOSE($D$27,D76,D77,D78,D79,D80)</f>
        <v>0.66600000000000004</v>
      </c>
      <c r="E31" s="18">
        <f>CHOOSE($D$27,E76,E77,E78,E79,E80)</f>
        <v>0.66600000000000004</v>
      </c>
      <c r="F31" s="18">
        <f>CHOOSE($D$27,F76,F77,F78,F79,F80)</f>
        <v>0.66600000000000004</v>
      </c>
      <c r="G31" s="18">
        <f>CHOOSE($D$27,G76,G77,G78,G79,G80)</f>
        <v>0.66579999999999995</v>
      </c>
    </row>
    <row r="32" spans="2:7" ht="14" x14ac:dyDescent="0.3">
      <c r="B32" s="4" t="s">
        <v>86</v>
      </c>
      <c r="C32" s="18">
        <f>CHOOSE($D$27,C83,C84,C85,C86,C87)</f>
        <v>0.23200000000000001</v>
      </c>
      <c r="D32" s="18">
        <f>CHOOSE($D$27,D83,D84,D85,D86,D87)</f>
        <v>0.23200000000000001</v>
      </c>
      <c r="E32" s="18">
        <f>CHOOSE($D$27,E83,E84,E85,E86,E87)</f>
        <v>0.23200000000000001</v>
      </c>
      <c r="F32" s="18">
        <f>CHOOSE($D$27,F83,F84,F85,F86,F87)</f>
        <v>0.23200000000000001</v>
      </c>
      <c r="G32" s="18">
        <f>CHOOSE($D$27,G83,G84,G85,G86,G87)</f>
        <v>0.23200000000000001</v>
      </c>
    </row>
    <row r="33" spans="2:7" ht="14" x14ac:dyDescent="0.3">
      <c r="B33" s="4" t="s">
        <v>31</v>
      </c>
      <c r="C33" s="5">
        <f>C17*(1+C30)</f>
        <v>779088.255</v>
      </c>
      <c r="D33" s="5">
        <f>C33*(1+D30)</f>
        <v>810251.78520000004</v>
      </c>
      <c r="E33" s="5">
        <f>D33*(1+E30)</f>
        <v>838610.59768200002</v>
      </c>
      <c r="F33" s="5">
        <f>E33*(1+F30)</f>
        <v>863768.91561246</v>
      </c>
      <c r="G33" s="5">
        <f>F33*(1+G30)</f>
        <v>885363.13850277138</v>
      </c>
    </row>
    <row r="34" spans="2:7" ht="14" x14ac:dyDescent="0.3">
      <c r="B34" s="4" t="s">
        <v>32</v>
      </c>
      <c r="C34" s="5">
        <f>C33*C31</f>
        <v>518872.77783000004</v>
      </c>
      <c r="D34" s="5">
        <f>D33*D31</f>
        <v>539627.68894320005</v>
      </c>
      <c r="E34" s="5">
        <f>E33*E31</f>
        <v>558514.65805621201</v>
      </c>
      <c r="F34" s="5">
        <f>F33*F31</f>
        <v>575270.09779789834</v>
      </c>
      <c r="G34" s="5">
        <f>G33*G31</f>
        <v>589474.7776151452</v>
      </c>
    </row>
    <row r="35" spans="2:7" ht="14" x14ac:dyDescent="0.3">
      <c r="B35" s="4" t="s">
        <v>33</v>
      </c>
      <c r="C35" s="19">
        <f>C33-C34</f>
        <v>260215.47716999997</v>
      </c>
      <c r="D35" s="19">
        <f>D33-D34</f>
        <v>270624.0962568</v>
      </c>
      <c r="E35" s="19">
        <f>E33-E34</f>
        <v>280095.93962578801</v>
      </c>
      <c r="F35" s="19">
        <f>F33-F34</f>
        <v>288498.81781456165</v>
      </c>
      <c r="G35" s="19">
        <f>G33-G34</f>
        <v>295888.36088762619</v>
      </c>
    </row>
    <row r="36" spans="2:7" ht="14" x14ac:dyDescent="0.3">
      <c r="B36" s="4" t="s">
        <v>34</v>
      </c>
      <c r="C36" s="7">
        <f>C35/C33</f>
        <v>0.33399999999999996</v>
      </c>
      <c r="D36" s="7">
        <f>D35/D33</f>
        <v>0.33399999999999996</v>
      </c>
      <c r="E36" s="7">
        <f>E35/E33</f>
        <v>0.33400000000000002</v>
      </c>
      <c r="F36" s="7">
        <f>F35/F33</f>
        <v>0.33400000000000002</v>
      </c>
      <c r="G36" s="7">
        <f>G35/G33</f>
        <v>0.3342</v>
      </c>
    </row>
    <row r="37" spans="2:7" ht="14" x14ac:dyDescent="0.3">
      <c r="B37" s="4" t="s">
        <v>87</v>
      </c>
      <c r="C37" s="5">
        <f>C33*C32</f>
        <v>180748.47516</v>
      </c>
      <c r="D37" s="5">
        <f>D33*D32</f>
        <v>187978.41416640001</v>
      </c>
      <c r="E37" s="5">
        <f>E33*E32</f>
        <v>194557.65866222401</v>
      </c>
      <c r="F37" s="5">
        <f>F33*F32</f>
        <v>200394.38842209073</v>
      </c>
      <c r="G37" s="5">
        <f>G33*G32</f>
        <v>205404.24813264297</v>
      </c>
    </row>
    <row r="38" spans="2:7" ht="14" x14ac:dyDescent="0.3">
      <c r="B38" s="4" t="s">
        <v>88</v>
      </c>
      <c r="C38" s="7">
        <f>(C35-C37)/C33</f>
        <v>0.10199999999999995</v>
      </c>
      <c r="D38" s="7">
        <f>(D35-D37)/D33</f>
        <v>0.10199999999999998</v>
      </c>
      <c r="E38" s="7">
        <f>(E35-E37)/E33</f>
        <v>0.10199999999999999</v>
      </c>
      <c r="F38" s="7">
        <f>(F35-F37)/F33</f>
        <v>0.10199999999999999</v>
      </c>
      <c r="G38" s="7">
        <f>(G35-G37)/G33</f>
        <v>0.10219999999999997</v>
      </c>
    </row>
    <row r="39" spans="2:7" ht="14" x14ac:dyDescent="0.3">
      <c r="B39" s="4" t="s">
        <v>89</v>
      </c>
      <c r="C39" s="19">
        <f>C35-C37</f>
        <v>79467.002009999967</v>
      </c>
      <c r="D39" s="19">
        <f>D35-D37</f>
        <v>82645.682090399991</v>
      </c>
      <c r="E39" s="19">
        <f>E35-E37</f>
        <v>85538.280963564001</v>
      </c>
      <c r="F39" s="19">
        <f>F35-F37</f>
        <v>88104.42939247092</v>
      </c>
      <c r="G39" s="19">
        <f>G35-G37</f>
        <v>90484.112754983216</v>
      </c>
    </row>
    <row r="40" spans="2:7" ht="14" x14ac:dyDescent="0.3">
      <c r="B40" s="4" t="s">
        <v>90</v>
      </c>
      <c r="C40" s="5">
        <f>MAX(0,C39*C6)</f>
        <v>19866.750502499992</v>
      </c>
      <c r="D40" s="5">
        <f>MAX(0,D39*C6)</f>
        <v>20661.420522599998</v>
      </c>
      <c r="E40" s="5">
        <f>MAX(0,E39*C6)</f>
        <v>21384.570240891</v>
      </c>
      <c r="F40" s="5">
        <f>MAX(0,F39*C6)</f>
        <v>22026.10734811773</v>
      </c>
      <c r="G40" s="5">
        <f>MAX(0,G39*C6)</f>
        <v>22621.028188745804</v>
      </c>
    </row>
    <row r="41" spans="2:7" ht="14" x14ac:dyDescent="0.3">
      <c r="B41" s="4" t="s">
        <v>91</v>
      </c>
      <c r="C41" s="19">
        <f>C39-C40</f>
        <v>59600.251507499976</v>
      </c>
      <c r="D41" s="19">
        <f>D39-D40</f>
        <v>61984.261567799993</v>
      </c>
      <c r="E41" s="19">
        <f>E39-E40</f>
        <v>64153.710722673</v>
      </c>
      <c r="F41" s="19">
        <f>F39-F40</f>
        <v>66078.32204435319</v>
      </c>
      <c r="G41" s="19">
        <f>G39-G40</f>
        <v>67863.084566237405</v>
      </c>
    </row>
    <row r="42" spans="2:7" ht="14" x14ac:dyDescent="0.3">
      <c r="B42" s="4" t="s">
        <v>92</v>
      </c>
      <c r="C42" s="5">
        <f>C33*C18</f>
        <v>28826.265434999998</v>
      </c>
      <c r="D42" s="5">
        <f>D33*C18</f>
        <v>29979.316052400001</v>
      </c>
      <c r="E42" s="5">
        <f>E33*C18</f>
        <v>31028.592114233998</v>
      </c>
      <c r="F42" s="5">
        <f>F33*C18</f>
        <v>31959.44987766102</v>
      </c>
      <c r="G42" s="5">
        <f>G33*C18</f>
        <v>32758.43612460254</v>
      </c>
    </row>
    <row r="43" spans="2:7" ht="14" x14ac:dyDescent="0.3">
      <c r="B43" s="4" t="s">
        <v>93</v>
      </c>
      <c r="C43" s="5">
        <v>58000</v>
      </c>
      <c r="D43" s="5">
        <v>52000</v>
      </c>
      <c r="E43" s="5">
        <v>45000</v>
      </c>
      <c r="F43" s="5">
        <v>39000</v>
      </c>
      <c r="G43" s="5">
        <v>34600</v>
      </c>
    </row>
    <row r="44" spans="2:7" ht="14" x14ac:dyDescent="0.3">
      <c r="B44" s="4" t="s">
        <v>94</v>
      </c>
      <c r="C44" s="5">
        <f>'NWC Schedule'!D19</f>
        <v>6146.9966495068511</v>
      </c>
      <c r="D44" s="5">
        <f>'NWC Schedule'!E19</f>
        <v>5405.7198659802671</v>
      </c>
      <c r="E44" s="5">
        <f>'NWC Schedule'!F19</f>
        <v>4919.2050780420541</v>
      </c>
      <c r="F44" s="5">
        <f>'NWC Schedule'!G19</f>
        <v>4364.0376478058752</v>
      </c>
      <c r="G44" s="5">
        <f>'NWC Schedule'!H19</f>
        <v>3731.7301969146938</v>
      </c>
    </row>
    <row r="45" spans="2:7" ht="14" x14ac:dyDescent="0.3">
      <c r="B45" s="4" t="s">
        <v>95</v>
      </c>
      <c r="C45" s="20">
        <f>C41+C42-C43-C44</f>
        <v>24279.520292993126</v>
      </c>
      <c r="D45" s="20">
        <f>D41+D42-D43-D44</f>
        <v>34557.857754219731</v>
      </c>
      <c r="E45" s="20">
        <f>E41+E42-E43-E44</f>
        <v>45263.09775886494</v>
      </c>
      <c r="F45" s="20">
        <f>F41+F42-F43-F44</f>
        <v>54673.734274208342</v>
      </c>
      <c r="G45" s="20">
        <f>G41+G42-G43-G44</f>
        <v>62289.790493925248</v>
      </c>
    </row>
    <row r="46" spans="2:7" ht="14" x14ac:dyDescent="0.3">
      <c r="B46" s="4" t="s">
        <v>96</v>
      </c>
      <c r="C46" s="21">
        <f>1/(1+C26)^(C19+0)</f>
        <v>0.92952871035327667</v>
      </c>
      <c r="D46" s="21">
        <f>1/(1+C26)^(C19+1)</f>
        <v>0.86402362337102556</v>
      </c>
      <c r="E46" s="21">
        <f>1/(1+C26)^(C19+2)</f>
        <v>0.80313476434683462</v>
      </c>
      <c r="F46" s="21">
        <f>1/(1+C26)^(C19+3)</f>
        <v>0.74653682174319591</v>
      </c>
      <c r="G46" s="21">
        <f>1/(1+C26)^(C19+4)</f>
        <v>0.69392740914618689</v>
      </c>
    </row>
    <row r="47" spans="2:7" ht="14" x14ac:dyDescent="0.3">
      <c r="B47" s="4" t="s">
        <v>97</v>
      </c>
      <c r="C47" s="19">
        <f>C45*C46</f>
        <v>22568.511185942109</v>
      </c>
      <c r="D47" s="19">
        <f>D45*D46</f>
        <v>29858.805472741424</v>
      </c>
      <c r="E47" s="19">
        <f>E45*E46</f>
        <v>36352.367352173729</v>
      </c>
      <c r="F47" s="19">
        <f>F45*F46</f>
        <v>40815.955817899536</v>
      </c>
      <c r="G47" s="19">
        <f>G45*G46</f>
        <v>43224.592933708329</v>
      </c>
    </row>
    <row r="49" spans="2:7" ht="14" x14ac:dyDescent="0.3">
      <c r="B49" s="22" t="s">
        <v>98</v>
      </c>
      <c r="C49" s="23"/>
      <c r="D49" s="23"/>
      <c r="E49" s="23"/>
      <c r="F49" s="23"/>
      <c r="G49" s="23"/>
    </row>
    <row r="50" spans="2:7" ht="14" x14ac:dyDescent="0.3">
      <c r="B50" s="4" t="s">
        <v>99</v>
      </c>
      <c r="C50" s="5">
        <f>SUM(C47:G47)</f>
        <v>172820.23276246511</v>
      </c>
    </row>
    <row r="51" spans="2:7" ht="14" x14ac:dyDescent="0.3">
      <c r="B51" s="4" t="s">
        <v>100</v>
      </c>
      <c r="C51" s="5">
        <f>G45*(1+C13)/(C26-C13)</f>
        <v>955916.4979922889</v>
      </c>
    </row>
    <row r="52" spans="2:7" ht="14" x14ac:dyDescent="0.3">
      <c r="B52" s="4" t="s">
        <v>101</v>
      </c>
      <c r="C52" s="5">
        <f>C51*G46</f>
        <v>663336.65881188517</v>
      </c>
    </row>
    <row r="53" spans="2:7" ht="14" x14ac:dyDescent="0.3">
      <c r="B53" s="4" t="s">
        <v>102</v>
      </c>
      <c r="C53" s="5">
        <f>C50+C52</f>
        <v>836156.8915743503</v>
      </c>
    </row>
    <row r="54" spans="2:7" ht="14" x14ac:dyDescent="0.3">
      <c r="B54" s="4" t="s">
        <v>103</v>
      </c>
      <c r="C54" s="5">
        <f>C53-C16</f>
        <v>886497.8915743503</v>
      </c>
    </row>
    <row r="55" spans="2:7" ht="14" x14ac:dyDescent="0.3">
      <c r="B55" s="4" t="s">
        <v>104</v>
      </c>
      <c r="C55" s="24">
        <f>ROUND(C54*1000000/C15,0)</f>
        <v>956</v>
      </c>
    </row>
    <row r="57" spans="2:7" ht="14" x14ac:dyDescent="0.3">
      <c r="B57" s="22" t="s">
        <v>105</v>
      </c>
      <c r="C57" s="23"/>
      <c r="D57" s="23"/>
      <c r="E57" s="23"/>
      <c r="F57" s="23"/>
      <c r="G57" s="23"/>
    </row>
    <row r="58" spans="2:7" ht="14" x14ac:dyDescent="0.3">
      <c r="B58" s="4" t="s">
        <v>99</v>
      </c>
      <c r="C58" s="5">
        <f>C50</f>
        <v>172820.23276246511</v>
      </c>
    </row>
    <row r="59" spans="2:7" ht="14" x14ac:dyDescent="0.3">
      <c r="B59" s="4" t="s">
        <v>106</v>
      </c>
      <c r="C59" s="5">
        <f>G39+G42</f>
        <v>123242.54887958575</v>
      </c>
    </row>
    <row r="60" spans="2:7" ht="14" x14ac:dyDescent="0.3">
      <c r="B60" s="4" t="s">
        <v>107</v>
      </c>
      <c r="C60" s="5">
        <f>C59*C14</f>
        <v>1343343.7827874848</v>
      </c>
    </row>
    <row r="61" spans="2:7" ht="14" x14ac:dyDescent="0.3">
      <c r="B61" s="4" t="s">
        <v>101</v>
      </c>
      <c r="C61" s="5">
        <f>C60*G46</f>
        <v>932183.07078235736</v>
      </c>
    </row>
    <row r="62" spans="2:7" ht="14" x14ac:dyDescent="0.3">
      <c r="B62" s="4" t="s">
        <v>102</v>
      </c>
      <c r="C62" s="5">
        <f>C58+C61</f>
        <v>1105003.3035448224</v>
      </c>
    </row>
    <row r="63" spans="2:7" ht="14" x14ac:dyDescent="0.3">
      <c r="B63" s="4" t="s">
        <v>103</v>
      </c>
      <c r="C63" s="5">
        <f>C62-C16</f>
        <v>1155344.3035448224</v>
      </c>
    </row>
    <row r="64" spans="2:7" ht="14" x14ac:dyDescent="0.3">
      <c r="B64" s="4" t="s">
        <v>108</v>
      </c>
      <c r="C64" s="24">
        <f>ROUND(C63*1000000/C15,0)</f>
        <v>1245</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40</v>
      </c>
    </row>
    <row r="69" spans="2:7" ht="14" x14ac:dyDescent="0.3">
      <c r="B69" s="4" t="s">
        <v>78</v>
      </c>
      <c r="C69" s="26">
        <v>4.4999999999999998E-2</v>
      </c>
      <c r="D69" s="26">
        <v>0.04</v>
      </c>
      <c r="E69" s="26">
        <v>3.5000000000000003E-2</v>
      </c>
      <c r="F69" s="26">
        <v>0.03</v>
      </c>
      <c r="G69" s="26">
        <v>2.5000000000000001E-2</v>
      </c>
    </row>
    <row r="70" spans="2:7" ht="14" x14ac:dyDescent="0.3">
      <c r="B70" s="4" t="s">
        <v>115</v>
      </c>
      <c r="C70" s="26">
        <v>0.06</v>
      </c>
      <c r="D70" s="26">
        <v>5.5E-2</v>
      </c>
      <c r="E70" s="26">
        <v>4.4999999999999998E-2</v>
      </c>
      <c r="F70" s="26">
        <v>0.04</v>
      </c>
      <c r="G70" s="26">
        <v>3.5000000000000003E-2</v>
      </c>
    </row>
    <row r="71" spans="2:7" ht="14" x14ac:dyDescent="0.3">
      <c r="B71" s="4" t="s">
        <v>116</v>
      </c>
      <c r="C71" s="26">
        <v>4.4999999999999998E-2</v>
      </c>
      <c r="D71" s="26">
        <v>0.04</v>
      </c>
      <c r="E71" s="26">
        <v>3.5000000000000003E-2</v>
      </c>
      <c r="F71" s="26">
        <v>0.03</v>
      </c>
      <c r="G71" s="26">
        <v>2.5000000000000001E-2</v>
      </c>
    </row>
    <row r="72" spans="2:7" ht="14" x14ac:dyDescent="0.3">
      <c r="B72" s="4" t="s">
        <v>117</v>
      </c>
      <c r="C72" s="26">
        <v>0.01</v>
      </c>
      <c r="D72" s="26">
        <v>0.01</v>
      </c>
      <c r="E72" s="26">
        <v>0.01</v>
      </c>
      <c r="F72" s="26">
        <v>0.01</v>
      </c>
      <c r="G72" s="26">
        <v>0.01</v>
      </c>
    </row>
    <row r="73" spans="2:7" ht="14" x14ac:dyDescent="0.3">
      <c r="B73" s="4" t="s">
        <v>118</v>
      </c>
      <c r="C73" s="26">
        <v>-0.06</v>
      </c>
      <c r="D73" s="26">
        <v>-0.01</v>
      </c>
      <c r="E73" s="26">
        <v>5.0000000000000001E-3</v>
      </c>
      <c r="F73" s="26">
        <v>0.01</v>
      </c>
      <c r="G73" s="26">
        <v>1.4999999999999999E-2</v>
      </c>
    </row>
    <row r="75" spans="2:7" ht="14" x14ac:dyDescent="0.3">
      <c r="B75" s="3" t="s">
        <v>85</v>
      </c>
    </row>
    <row r="76" spans="2:7" ht="14" x14ac:dyDescent="0.3">
      <c r="B76" s="4" t="s">
        <v>78</v>
      </c>
      <c r="C76" s="26">
        <v>0.66600000000000004</v>
      </c>
      <c r="D76" s="26">
        <v>0.66600000000000004</v>
      </c>
      <c r="E76" s="26">
        <v>0.66600000000000004</v>
      </c>
      <c r="F76" s="26">
        <v>0.66600000000000004</v>
      </c>
      <c r="G76" s="26">
        <v>0.66579999999999995</v>
      </c>
    </row>
    <row r="77" spans="2:7" ht="14" x14ac:dyDescent="0.3">
      <c r="B77" s="4" t="s">
        <v>115</v>
      </c>
      <c r="C77" s="26">
        <v>0.66600000000000004</v>
      </c>
      <c r="D77" s="26">
        <v>0.66400000000000003</v>
      </c>
      <c r="E77" s="26">
        <v>0.66200000000000003</v>
      </c>
      <c r="F77" s="26">
        <v>0.66</v>
      </c>
      <c r="G77" s="26">
        <v>0.65910000000000002</v>
      </c>
    </row>
    <row r="78" spans="2:7" ht="14" x14ac:dyDescent="0.3">
      <c r="B78" s="4" t="s">
        <v>116</v>
      </c>
      <c r="C78" s="26">
        <v>0.66600000000000004</v>
      </c>
      <c r="D78" s="26">
        <v>0.66600000000000004</v>
      </c>
      <c r="E78" s="26">
        <v>0.66600000000000004</v>
      </c>
      <c r="F78" s="26">
        <v>0.66600000000000004</v>
      </c>
      <c r="G78" s="26">
        <v>0.66579999999999995</v>
      </c>
    </row>
    <row r="79" spans="2:7" ht="14" x14ac:dyDescent="0.3">
      <c r="B79" s="4" t="s">
        <v>117</v>
      </c>
      <c r="C79" s="26">
        <v>0.66400000000000003</v>
      </c>
      <c r="D79" s="26">
        <v>0.66449999999999998</v>
      </c>
      <c r="E79" s="26">
        <v>0.66500000000000004</v>
      </c>
      <c r="F79" s="26">
        <v>0.66549999999999998</v>
      </c>
      <c r="G79" s="26">
        <v>0.66590000000000005</v>
      </c>
    </row>
    <row r="80" spans="2:7" ht="14" x14ac:dyDescent="0.3">
      <c r="B80" s="4" t="s">
        <v>118</v>
      </c>
      <c r="C80" s="26">
        <v>0.7</v>
      </c>
      <c r="D80" s="26">
        <v>0.70399999999999996</v>
      </c>
      <c r="E80" s="26">
        <v>0.70399999999999996</v>
      </c>
      <c r="F80" s="26">
        <v>0.70199999999999996</v>
      </c>
      <c r="G80" s="26">
        <v>0.7</v>
      </c>
    </row>
    <row r="82" spans="2:7" ht="14" x14ac:dyDescent="0.3">
      <c r="B82" s="3" t="s">
        <v>86</v>
      </c>
    </row>
    <row r="83" spans="2:7" ht="14" x14ac:dyDescent="0.3">
      <c r="B83" s="4" t="s">
        <v>78</v>
      </c>
      <c r="C83" s="26">
        <v>0.23200000000000001</v>
      </c>
      <c r="D83" s="26">
        <v>0.23200000000000001</v>
      </c>
      <c r="E83" s="26">
        <v>0.23200000000000001</v>
      </c>
      <c r="F83" s="26">
        <v>0.23200000000000001</v>
      </c>
      <c r="G83" s="26">
        <v>0.23200000000000001</v>
      </c>
    </row>
    <row r="84" spans="2:7" ht="14" x14ac:dyDescent="0.3">
      <c r="B84" s="4" t="s">
        <v>115</v>
      </c>
      <c r="C84" s="26">
        <v>0.22900000000000001</v>
      </c>
      <c r="D84" s="26">
        <v>0.22900000000000001</v>
      </c>
      <c r="E84" s="26">
        <v>0.22900000000000001</v>
      </c>
      <c r="F84" s="26">
        <v>0.22900000000000001</v>
      </c>
      <c r="G84" s="26">
        <v>0.22900000000000001</v>
      </c>
    </row>
    <row r="85" spans="2:7" ht="14" x14ac:dyDescent="0.3">
      <c r="B85" s="4" t="s">
        <v>116</v>
      </c>
      <c r="C85" s="26">
        <v>0.23200000000000001</v>
      </c>
      <c r="D85" s="26">
        <v>0.23200000000000001</v>
      </c>
      <c r="E85" s="26">
        <v>0.23200000000000001</v>
      </c>
      <c r="F85" s="26">
        <v>0.23200000000000001</v>
      </c>
      <c r="G85" s="26">
        <v>0.23200000000000001</v>
      </c>
    </row>
    <row r="86" spans="2:7" ht="14" x14ac:dyDescent="0.3">
      <c r="B86" s="4" t="s">
        <v>117</v>
      </c>
      <c r="C86" s="26">
        <v>0.23599999999999999</v>
      </c>
      <c r="D86" s="26">
        <v>0.23599999999999999</v>
      </c>
      <c r="E86" s="26">
        <v>0.23599999999999999</v>
      </c>
      <c r="F86" s="26">
        <v>0.23599999999999999</v>
      </c>
      <c r="G86" s="26">
        <v>0.23599999999999999</v>
      </c>
    </row>
    <row r="87" spans="2:7" ht="14" x14ac:dyDescent="0.3">
      <c r="B87" s="4" t="s">
        <v>118</v>
      </c>
      <c r="C87" s="26">
        <v>0.245</v>
      </c>
      <c r="D87" s="26">
        <v>0.245</v>
      </c>
      <c r="E87" s="26">
        <v>0.245</v>
      </c>
      <c r="F87" s="26">
        <v>0.245</v>
      </c>
      <c r="G87" s="26">
        <v>0.245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1784.5</v>
      </c>
    </row>
    <row r="7" spans="2:9" ht="14" x14ac:dyDescent="0.3">
      <c r="B7" s="4" t="s">
        <v>66</v>
      </c>
      <c r="C7" s="15">
        <f>'DCF Model'!C15</f>
        <v>927739554</v>
      </c>
    </row>
    <row r="8" spans="2:9" ht="14" x14ac:dyDescent="0.3">
      <c r="B8" s="4" t="s">
        <v>123</v>
      </c>
      <c r="C8" s="5">
        <f>C6*C7/1000000</f>
        <v>1655551.2341130001</v>
      </c>
    </row>
    <row r="9" spans="2:9" ht="14" x14ac:dyDescent="0.3">
      <c r="B9" s="4" t="s">
        <v>67</v>
      </c>
      <c r="C9" s="5">
        <f>'DCF Model'!C16</f>
        <v>-50341</v>
      </c>
    </row>
    <row r="10" spans="2:9" ht="14" x14ac:dyDescent="0.3">
      <c r="B10" s="4" t="s">
        <v>124</v>
      </c>
      <c r="C10" s="5">
        <f>C8+C9</f>
        <v>1605210.2341130001</v>
      </c>
    </row>
    <row r="11" spans="2:9" ht="14" x14ac:dyDescent="0.3">
      <c r="B11" s="4" t="s">
        <v>125</v>
      </c>
      <c r="C11" s="16">
        <f>'DCF Model'!C26</f>
        <v>7.5813999999999993E-2</v>
      </c>
    </row>
    <row r="12" spans="2:9" ht="14" x14ac:dyDescent="0.3">
      <c r="B12" s="4" t="s">
        <v>126</v>
      </c>
      <c r="C12" s="16">
        <f>'DCF Model'!C13</f>
        <v>0.01</v>
      </c>
    </row>
    <row r="13" spans="2:9" ht="14" x14ac:dyDescent="0.3">
      <c r="B13" s="4" t="s">
        <v>127</v>
      </c>
      <c r="C13" s="16">
        <f>'DCF Model'!C6</f>
        <v>0.25</v>
      </c>
    </row>
    <row r="14" spans="2:9" ht="14" x14ac:dyDescent="0.3">
      <c r="B14" s="4" t="s">
        <v>128</v>
      </c>
      <c r="C14" s="27">
        <v>75940</v>
      </c>
    </row>
    <row r="15" spans="2:9" ht="14" x14ac:dyDescent="0.3">
      <c r="B15" s="4" t="s">
        <v>129</v>
      </c>
      <c r="C15" s="27">
        <v>75940</v>
      </c>
    </row>
    <row r="16" spans="2:9" ht="14" x14ac:dyDescent="0.3">
      <c r="B16" s="4" t="s">
        <v>130</v>
      </c>
      <c r="C16" s="5">
        <f>'DCF Model'!G33</f>
        <v>885363.13850277138</v>
      </c>
    </row>
    <row r="17" spans="2:9" ht="14" x14ac:dyDescent="0.3">
      <c r="B17" s="4" t="s">
        <v>131</v>
      </c>
      <c r="C17" s="5">
        <f>'DCF Model'!C53</f>
        <v>836156.8915743503</v>
      </c>
    </row>
    <row r="18" spans="2:9" ht="14" x14ac:dyDescent="0.3">
      <c r="B18" s="4" t="s">
        <v>132</v>
      </c>
      <c r="C18" s="26">
        <v>0.1018591918061966</v>
      </c>
    </row>
    <row r="19" spans="2:9" ht="14" x14ac:dyDescent="0.3">
      <c r="B19" s="4" t="s">
        <v>133</v>
      </c>
      <c r="C19" s="5">
        <f>C10-C17</f>
        <v>769053.3425386498</v>
      </c>
    </row>
    <row r="20" spans="2:9" ht="14" x14ac:dyDescent="0.3">
      <c r="B20" s="4" t="s">
        <v>134</v>
      </c>
      <c r="C20" s="15">
        <f>IFERROR(ROUND(C19*1000000/C7,0),"N/A")</f>
        <v>829</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105645.30634791298</v>
      </c>
    </row>
    <row r="25" spans="2:9" ht="14" x14ac:dyDescent="0.3">
      <c r="B25" s="4" t="s">
        <v>138</v>
      </c>
      <c r="C25" s="5">
        <f>IFERROR(C24/(1-C13),"N/A")</f>
        <v>140860.40846388397</v>
      </c>
    </row>
    <row r="26" spans="2:9" ht="13.5" x14ac:dyDescent="0.25">
      <c r="B26" s="6" t="s">
        <v>139</v>
      </c>
      <c r="C26" s="14">
        <f>IFERROR(C25/C15,"N/A")</f>
        <v>1.8548908146416114</v>
      </c>
    </row>
    <row r="27" spans="2:9" ht="13.5" x14ac:dyDescent="0.25">
      <c r="B27" s="6" t="s">
        <v>140</v>
      </c>
      <c r="C27" s="14">
        <f>IFERROR(C25/C14,"N/A")</f>
        <v>1.8548908146416114</v>
      </c>
    </row>
    <row r="28" spans="2:9" ht="13.5" x14ac:dyDescent="0.25">
      <c r="B28" s="6" t="s">
        <v>141</v>
      </c>
      <c r="C28" s="7">
        <f>IFERROR(C25/C16,"N/A")</f>
        <v>0.15909902088547709</v>
      </c>
    </row>
    <row r="29" spans="2:9" ht="13.5" x14ac:dyDescent="0.25">
      <c r="B29" s="6" t="s">
        <v>142</v>
      </c>
      <c r="C29" s="5">
        <f>IFERROR(C25/C18,"N/A")</f>
        <v>1382893.4430570921</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5.5813999999999989E-2</v>
      </c>
      <c r="E36" s="29">
        <f>'DCF Model'!C26-0.01</f>
        <v>6.5813999999999998E-2</v>
      </c>
      <c r="F36" s="29">
        <f>'DCF Model'!C26</f>
        <v>7.5813999999999993E-2</v>
      </c>
      <c r="G36" s="29">
        <f>'DCF Model'!C26+0.01</f>
        <v>8.5813999999999988E-2</v>
      </c>
      <c r="H36" s="29">
        <f>'DCF Model'!C26+0.02</f>
        <v>9.5813999999999996E-2</v>
      </c>
    </row>
    <row r="37" spans="2:9" ht="14" x14ac:dyDescent="0.3">
      <c r="B37" s="3" t="s">
        <v>148</v>
      </c>
    </row>
    <row r="38" spans="2:9" ht="14" x14ac:dyDescent="0.3">
      <c r="B38" s="4" t="s">
        <v>149</v>
      </c>
      <c r="C38" s="30">
        <v>3</v>
      </c>
      <c r="D38" s="13">
        <f t="shared" ref="D38:H41" si="0">IFERROR((1-(1+D$36)^(-$C38))/D$36-(1+D$36)/(D$36^2*$C38)*(1-($C38+1)/(1+D$36)^$C38+$C38/(1+D$36)^($C38+1)),"N/A")</f>
        <v>0.9304468786334994</v>
      </c>
      <c r="E38" s="13">
        <f t="shared" si="0"/>
        <v>0.91893770507943917</v>
      </c>
      <c r="F38" s="13">
        <f t="shared" si="0"/>
        <v>0.90769368135919715</v>
      </c>
      <c r="G38" s="13">
        <f t="shared" si="0"/>
        <v>0.89670608039515565</v>
      </c>
      <c r="H38" s="13">
        <f t="shared" si="0"/>
        <v>0.88596654435242739</v>
      </c>
    </row>
    <row r="39" spans="2:9" ht="14" x14ac:dyDescent="0.3">
      <c r="B39" s="4" t="s">
        <v>150</v>
      </c>
      <c r="C39" s="30">
        <v>5</v>
      </c>
      <c r="D39" s="13">
        <f t="shared" si="0"/>
        <v>1.7967540169930549</v>
      </c>
      <c r="E39" s="13">
        <f t="shared" si="0"/>
        <v>1.7641595970200221</v>
      </c>
      <c r="F39" s="13">
        <f t="shared" si="0"/>
        <v>1.7325984123926079</v>
      </c>
      <c r="G39" s="13">
        <f t="shared" si="0"/>
        <v>1.7020257777301331</v>
      </c>
      <c r="H39" s="13">
        <f t="shared" si="0"/>
        <v>1.6723994069843706</v>
      </c>
    </row>
    <row r="40" spans="2:9" ht="14" x14ac:dyDescent="0.3">
      <c r="B40" s="4" t="s">
        <v>151</v>
      </c>
      <c r="C40" s="30">
        <v>7</v>
      </c>
      <c r="D40" s="13">
        <f t="shared" si="0"/>
        <v>2.6038865834939355</v>
      </c>
      <c r="E40" s="13">
        <f t="shared" si="0"/>
        <v>2.5423042049882039</v>
      </c>
      <c r="F40" s="13">
        <f t="shared" si="0"/>
        <v>2.4831885956552155</v>
      </c>
      <c r="G40" s="13">
        <f t="shared" si="0"/>
        <v>2.4264083416976692</v>
      </c>
      <c r="H40" s="13">
        <f t="shared" si="0"/>
        <v>2.3718405415232344</v>
      </c>
    </row>
    <row r="41" spans="2:9" ht="14" x14ac:dyDescent="0.3">
      <c r="B41" s="4" t="s">
        <v>152</v>
      </c>
      <c r="C41" s="30">
        <v>10</v>
      </c>
      <c r="D41" s="13">
        <f t="shared" si="0"/>
        <v>3.7134951025542606</v>
      </c>
      <c r="E41" s="13">
        <f t="shared" si="0"/>
        <v>3.5967211335990825</v>
      </c>
      <c r="F41" s="13">
        <f t="shared" si="0"/>
        <v>3.4860236343777626</v>
      </c>
      <c r="G41" s="13">
        <f t="shared" si="0"/>
        <v>3.3809909459090992</v>
      </c>
      <c r="H41" s="13">
        <f t="shared" si="0"/>
        <v>3.281244686068312</v>
      </c>
    </row>
    <row r="42" spans="2:9" ht="14" x14ac:dyDescent="0.3">
      <c r="B42" s="3" t="s">
        <v>153</v>
      </c>
    </row>
    <row r="43" spans="2:9" ht="14" x14ac:dyDescent="0.3">
      <c r="B43" s="4" t="s">
        <v>149</v>
      </c>
      <c r="C43" s="30">
        <v>3</v>
      </c>
      <c r="D43" s="13">
        <f t="shared" ref="D43:H46" si="1">IFERROR((1+D$36)/(D$36^2*$C43)*(1-($C43+1)/(1+D$36)^$C43+$C43/(1+D$36)^($C43+1))+(1+$C$12)/((D$36-$C$12)*(1+D$36)^$C43),"N/A")</f>
        <v>20.494400523089158</v>
      </c>
      <c r="E43" s="13">
        <f t="shared" si="1"/>
        <v>16.671888413522758</v>
      </c>
      <c r="F43" s="13">
        <f t="shared" si="1"/>
        <v>14.014123510465598</v>
      </c>
      <c r="G43" s="13">
        <f t="shared" si="1"/>
        <v>12.060115853119644</v>
      </c>
      <c r="H43" s="13">
        <f t="shared" si="1"/>
        <v>10.563757742528704</v>
      </c>
    </row>
    <row r="44" spans="2:9" ht="14" x14ac:dyDescent="0.3">
      <c r="B44" s="4" t="s">
        <v>150</v>
      </c>
      <c r="C44" s="30">
        <v>5</v>
      </c>
      <c r="D44" s="13">
        <f t="shared" si="1"/>
        <v>19.266986355714479</v>
      </c>
      <c r="E44" s="13">
        <f t="shared" si="1"/>
        <v>15.539837966062969</v>
      </c>
      <c r="F44" s="13">
        <f t="shared" si="1"/>
        <v>12.953756478692219</v>
      </c>
      <c r="G44" s="13">
        <f t="shared" si="1"/>
        <v>11.056869439571511</v>
      </c>
      <c r="H44" s="13">
        <f t="shared" si="1"/>
        <v>9.6079506971832469</v>
      </c>
    </row>
    <row r="45" spans="2:9" ht="14" x14ac:dyDescent="0.3">
      <c r="B45" s="4" t="s">
        <v>151</v>
      </c>
      <c r="C45" s="30">
        <v>7</v>
      </c>
      <c r="D45" s="13">
        <f t="shared" si="1"/>
        <v>18.13591637638687</v>
      </c>
      <c r="E45" s="13">
        <f t="shared" si="1"/>
        <v>14.509194426650751</v>
      </c>
      <c r="F45" s="13">
        <f t="shared" si="1"/>
        <v>11.999721305176983</v>
      </c>
      <c r="G45" s="13">
        <f t="shared" si="1"/>
        <v>10.164608968830876</v>
      </c>
      <c r="H45" s="13">
        <f t="shared" si="1"/>
        <v>8.7674594220629558</v>
      </c>
    </row>
    <row r="46" spans="2:9" ht="14" x14ac:dyDescent="0.3">
      <c r="B46" s="4" t="s">
        <v>152</v>
      </c>
      <c r="C46" s="30">
        <v>10</v>
      </c>
      <c r="D46" s="13">
        <f t="shared" si="1"/>
        <v>16.601834306914387</v>
      </c>
      <c r="E46" s="13">
        <f t="shared" si="1"/>
        <v>13.131545259575912</v>
      </c>
      <c r="F46" s="13">
        <f t="shared" si="1"/>
        <v>10.742391893954684</v>
      </c>
      <c r="G46" s="13">
        <f t="shared" si="1"/>
        <v>9.0047641349892107</v>
      </c>
      <c r="H46" s="13">
        <f t="shared" si="1"/>
        <v>7.6894467842639749</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100984.76283097843</v>
      </c>
      <c r="E48" s="5">
        <f t="shared" si="2"/>
        <v>124190.86137521958</v>
      </c>
      <c r="F48" s="5">
        <f t="shared" si="2"/>
        <v>147804.46686097689</v>
      </c>
      <c r="G48" s="5">
        <f t="shared" si="2"/>
        <v>171821.27250207448</v>
      </c>
      <c r="H48" s="5">
        <f t="shared" si="2"/>
        <v>196236.98908077367</v>
      </c>
    </row>
    <row r="49" spans="2:9" ht="14" x14ac:dyDescent="0.3">
      <c r="B49" s="4" t="s">
        <v>150</v>
      </c>
      <c r="C49" s="30">
        <v>5</v>
      </c>
      <c r="D49" s="5">
        <f t="shared" si="2"/>
        <v>104003.54134811998</v>
      </c>
      <c r="E49" s="5">
        <f t="shared" si="2"/>
        <v>129107.5258786155</v>
      </c>
      <c r="F49" s="5">
        <f t="shared" si="2"/>
        <v>155067.51203928504</v>
      </c>
      <c r="G49" s="5">
        <f t="shared" si="2"/>
        <v>181880.4577173134</v>
      </c>
      <c r="H49" s="5">
        <f t="shared" si="2"/>
        <v>209542.9467362384</v>
      </c>
    </row>
    <row r="50" spans="2:9" ht="14" x14ac:dyDescent="0.3">
      <c r="B50" s="4" t="s">
        <v>151</v>
      </c>
      <c r="C50" s="30">
        <v>7</v>
      </c>
      <c r="D50" s="5">
        <f t="shared" si="2"/>
        <v>107110.1743460476</v>
      </c>
      <c r="E50" s="5">
        <f t="shared" si="2"/>
        <v>134205.77831993057</v>
      </c>
      <c r="F50" s="5">
        <f t="shared" si="2"/>
        <v>162646.02490014449</v>
      </c>
      <c r="G50" s="5">
        <f t="shared" si="2"/>
        <v>192434.24598822766</v>
      </c>
      <c r="H50" s="5">
        <f t="shared" si="2"/>
        <v>223572.49085119486</v>
      </c>
    </row>
    <row r="51" spans="2:9" ht="14" x14ac:dyDescent="0.3">
      <c r="B51" s="4" t="s">
        <v>152</v>
      </c>
      <c r="C51" s="30">
        <v>10</v>
      </c>
      <c r="D51" s="5">
        <f t="shared" si="2"/>
        <v>111932.05881405254</v>
      </c>
      <c r="E51" s="5">
        <f t="shared" si="2"/>
        <v>142187.78310980383</v>
      </c>
      <c r="F51" s="5">
        <f t="shared" si="2"/>
        <v>174593.48866349703</v>
      </c>
      <c r="G51" s="5">
        <f t="shared" si="2"/>
        <v>209170.14943230234</v>
      </c>
      <c r="H51" s="5">
        <f t="shared" si="2"/>
        <v>245934.80438159421</v>
      </c>
    </row>
    <row r="52" spans="2:9" ht="14" x14ac:dyDescent="0.3">
      <c r="B52" s="22" t="s">
        <v>155</v>
      </c>
      <c r="C52" s="23"/>
      <c r="D52" s="23"/>
      <c r="E52" s="23"/>
      <c r="F52" s="23"/>
      <c r="G52" s="23"/>
      <c r="H52" s="23"/>
      <c r="I52" s="23"/>
    </row>
    <row r="53" spans="2:9" ht="14" x14ac:dyDescent="0.3">
      <c r="B53" s="4" t="s">
        <v>149</v>
      </c>
      <c r="C53" s="30">
        <v>3</v>
      </c>
      <c r="D53" s="14">
        <f t="shared" ref="D53:H56" si="3">IFERROR(D48/$C$15,"N/A")</f>
        <v>1.3297967188698767</v>
      </c>
      <c r="E53" s="14">
        <f t="shared" si="3"/>
        <v>1.6353813718095811</v>
      </c>
      <c r="F53" s="14">
        <f t="shared" si="3"/>
        <v>1.9463321946402012</v>
      </c>
      <c r="G53" s="14">
        <f t="shared" si="3"/>
        <v>2.2625924743491503</v>
      </c>
      <c r="H53" s="14">
        <f t="shared" si="3"/>
        <v>2.5841057292701297</v>
      </c>
    </row>
    <row r="54" spans="2:9" ht="14" x14ac:dyDescent="0.3">
      <c r="B54" s="4" t="s">
        <v>150</v>
      </c>
      <c r="C54" s="30">
        <v>5</v>
      </c>
      <c r="D54" s="14">
        <f t="shared" si="3"/>
        <v>1.3695488721111402</v>
      </c>
      <c r="E54" s="14">
        <f t="shared" si="3"/>
        <v>1.7001254395393139</v>
      </c>
      <c r="F54" s="14">
        <f t="shared" si="3"/>
        <v>2.0419740853211095</v>
      </c>
      <c r="G54" s="14">
        <f t="shared" si="3"/>
        <v>2.3950547500304635</v>
      </c>
      <c r="H54" s="14">
        <f t="shared" si="3"/>
        <v>2.7593224484624495</v>
      </c>
    </row>
    <row r="55" spans="2:9" ht="14" x14ac:dyDescent="0.3">
      <c r="B55" s="4" t="s">
        <v>151</v>
      </c>
      <c r="C55" s="30">
        <v>7</v>
      </c>
      <c r="D55" s="14">
        <f t="shared" si="3"/>
        <v>1.4104579186995996</v>
      </c>
      <c r="E55" s="14">
        <f t="shared" si="3"/>
        <v>1.7672607100333233</v>
      </c>
      <c r="F55" s="14">
        <f t="shared" si="3"/>
        <v>2.1417701461699301</v>
      </c>
      <c r="G55" s="14">
        <f t="shared" si="3"/>
        <v>2.5340301025576464</v>
      </c>
      <c r="H55" s="14">
        <f t="shared" si="3"/>
        <v>2.9440675645403589</v>
      </c>
    </row>
    <row r="56" spans="2:9" ht="14" x14ac:dyDescent="0.3">
      <c r="B56" s="4" t="s">
        <v>152</v>
      </c>
      <c r="C56" s="30">
        <v>10</v>
      </c>
      <c r="D56" s="14">
        <f t="shared" si="3"/>
        <v>1.4739538953654534</v>
      </c>
      <c r="E56" s="14">
        <f t="shared" si="3"/>
        <v>1.8723700699210406</v>
      </c>
      <c r="F56" s="14">
        <f t="shared" si="3"/>
        <v>2.2990978228008565</v>
      </c>
      <c r="G56" s="14">
        <f t="shared" si="3"/>
        <v>2.7544133451712187</v>
      </c>
      <c r="H56" s="14">
        <f t="shared" si="3"/>
        <v>3.2385410110823574</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155067.51203928504</v>
      </c>
    </row>
    <row r="62" spans="2:9" ht="14" x14ac:dyDescent="0.3">
      <c r="B62" s="28" t="s">
        <v>159</v>
      </c>
      <c r="C62" s="28" t="s">
        <v>160</v>
      </c>
      <c r="D62" s="28" t="s">
        <v>161</v>
      </c>
    </row>
    <row r="63" spans="2:9" ht="14" x14ac:dyDescent="0.3">
      <c r="B63" s="31">
        <v>5.0900000000000001E-2</v>
      </c>
      <c r="C63" s="5">
        <f>IFERROR($C$60/B63,"N/A")</f>
        <v>3046513.0066657178</v>
      </c>
      <c r="D63" s="14">
        <f>IFERROR(C63/'DCF Model'!C17,"N/A")</f>
        <v>4.0863227901769292</v>
      </c>
    </row>
    <row r="64" spans="2:9" ht="14" x14ac:dyDescent="0.3">
      <c r="B64" s="31">
        <v>7.6399999999999996E-2</v>
      </c>
      <c r="C64" s="5">
        <f>IFERROR($C$60/B64,"N/A")</f>
        <v>2029679.4769539929</v>
      </c>
      <c r="D64" s="14">
        <f>IFERROR(C64/'DCF Model'!C17,"N/A")</f>
        <v>2.722432330104787</v>
      </c>
    </row>
    <row r="65" spans="2:9" ht="14" x14ac:dyDescent="0.3">
      <c r="B65" s="4" t="s">
        <v>162</v>
      </c>
      <c r="C65" s="5">
        <f>IFERROR($C$60/$C$18,"N/A")</f>
        <v>1522371.3175962144</v>
      </c>
      <c r="D65" s="14">
        <f>IFERROR(C65/'DCF Model'!C17,"N/A")</f>
        <v>2.041974085321109</v>
      </c>
    </row>
    <row r="66" spans="2:9" ht="14" x14ac:dyDescent="0.3">
      <c r="B66" s="31">
        <v>0.1273</v>
      </c>
      <c r="C66" s="5">
        <f>IFERROR($C$60/B66,"N/A")</f>
        <v>1218126.5674727811</v>
      </c>
      <c r="D66" s="14">
        <f>IFERROR(C66/'DCF Model'!C17,"N/A")</f>
        <v>1.6338871172035012</v>
      </c>
    </row>
    <row r="67" spans="2:9" ht="14" x14ac:dyDescent="0.3">
      <c r="B67" s="31">
        <v>0.15279999999999999</v>
      </c>
      <c r="C67" s="5">
        <f>IFERROR($C$60/B67,"N/A")</f>
        <v>1014839.7384769964</v>
      </c>
      <c r="D67" s="14">
        <f>IFERROR(C67/'DCF Model'!C17,"N/A")</f>
        <v>1.3612161650523935</v>
      </c>
    </row>
    <row r="69" spans="2:9" ht="14" x14ac:dyDescent="0.3">
      <c r="B69" s="8" t="s">
        <v>163</v>
      </c>
      <c r="C69" s="9"/>
      <c r="D69" s="9"/>
      <c r="E69" s="9"/>
      <c r="F69" s="9"/>
      <c r="G69" s="9"/>
      <c r="H69" s="9"/>
      <c r="I69" s="9"/>
    </row>
    <row r="70" spans="2:9" ht="13.5" x14ac:dyDescent="0.25">
      <c r="B70" s="6" t="s">
        <v>164</v>
      </c>
      <c r="C70" s="14">
        <f>IFERROR(C10/'Comps Analysis'!G5,"N/A")</f>
        <v>15.632220888076272</v>
      </c>
    </row>
    <row r="71" spans="2:9" ht="13.5" x14ac:dyDescent="0.25">
      <c r="B71" s="6" t="s">
        <v>165</v>
      </c>
      <c r="C71" s="14">
        <f>IFERROR(C10/'Comps Analysis'!F5,"N/A")</f>
        <v>2.1530868728705004</v>
      </c>
    </row>
    <row r="72" spans="2:9" ht="14" x14ac:dyDescent="0.3">
      <c r="B72" s="4" t="s">
        <v>166</v>
      </c>
      <c r="C72" s="14">
        <f>IFERROR(C10/(C25+'DCF Model'!G42),"N/A")</f>
        <v>9.2455991048534436</v>
      </c>
    </row>
    <row r="73" spans="2:9" ht="14" x14ac:dyDescent="0.3">
      <c r="B73" s="4" t="s">
        <v>167</v>
      </c>
      <c r="C73" s="14">
        <f>IFERROR(C10/(C60+'DCF Model'!G42),"N/A")</f>
        <v>8.5462645060754525</v>
      </c>
    </row>
    <row r="74" spans="2:9" ht="14" x14ac:dyDescent="0.3">
      <c r="B74" s="4" t="s">
        <v>168</v>
      </c>
      <c r="C74" s="14">
        <f>IFERROR('Comps Analysis'!D16,"N/A")</f>
        <v>10.92142078168791</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1,785 yen the market is paying for a steady-state operating profit of 155,068 mn JPY - 2.04x the FY2026 cycle peak of 75,940 mn - reached in 5 years and sustained for ever, against 75,940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140,860 mn, or 1.85x the peak. The base case supports an EV of only 836,157 mn, leaving 829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44.375411614952398</v>
      </c>
      <c r="D5" s="34">
        <f>CHOOSE('DCF Model'!$D$27,D25,D26,D27,D28,D29)</f>
        <v>44</v>
      </c>
      <c r="E5" s="34">
        <f>CHOOSE('DCF Model'!$D$27,E25,E26,E27,E28,E29)</f>
        <v>44</v>
      </c>
      <c r="F5" s="34">
        <f>CHOOSE('DCF Model'!$D$27,F25,F26,F27,F28,F29)</f>
        <v>44</v>
      </c>
      <c r="G5" s="34">
        <f>CHOOSE('DCF Model'!$D$27,G25,G26,G27,G28,G29)</f>
        <v>44</v>
      </c>
      <c r="H5" s="34">
        <f>CHOOSE('DCF Model'!$D$27,H25,H26,H27,H28,H29)</f>
        <v>44</v>
      </c>
    </row>
    <row r="6" spans="2:8" ht="14" x14ac:dyDescent="0.3">
      <c r="B6" s="33" t="s">
        <v>175</v>
      </c>
      <c r="C6" s="34">
        <f>C13/C10*365</f>
        <v>81.717478891354887</v>
      </c>
      <c r="D6" s="34">
        <f>CHOOSE('DCF Model'!$D$27,D32,D33,D34,D35,D36)</f>
        <v>81</v>
      </c>
      <c r="E6" s="34">
        <f>CHOOSE('DCF Model'!$D$27,E32,E33,E34,E35,E36)</f>
        <v>81</v>
      </c>
      <c r="F6" s="34">
        <f>CHOOSE('DCF Model'!$D$27,F32,F33,F34,F35,F36)</f>
        <v>81</v>
      </c>
      <c r="G6" s="34">
        <f>CHOOSE('DCF Model'!$D$27,G32,G33,G34,G35,G36)</f>
        <v>81</v>
      </c>
      <c r="H6" s="34">
        <f>CHOOSE('DCF Model'!$D$27,H32,H33,H34,H35,H36)</f>
        <v>81</v>
      </c>
    </row>
    <row r="7" spans="2:8" ht="14" x14ac:dyDescent="0.3">
      <c r="B7" s="33" t="s">
        <v>176</v>
      </c>
      <c r="C7" s="34">
        <f>C15/C10*365</f>
        <v>53.315771535686899</v>
      </c>
      <c r="D7" s="34">
        <f>CHOOSE('DCF Model'!$D$27,D39,D40,D41,D42,D43)</f>
        <v>52</v>
      </c>
      <c r="E7" s="34">
        <f>CHOOSE('DCF Model'!$D$27,E39,E40,E41,E42,E43)</f>
        <v>52</v>
      </c>
      <c r="F7" s="34">
        <f>CHOOSE('DCF Model'!$D$27,F39,F40,F41,F42,F43)</f>
        <v>52</v>
      </c>
      <c r="G7" s="34">
        <f>CHOOSE('DCF Model'!$D$27,G39,G40,G41,G42,G43)</f>
        <v>52</v>
      </c>
      <c r="H7" s="34">
        <f>CHOOSE('DCF Model'!$D$27,H39,H40,H41,H42,H43)</f>
        <v>52</v>
      </c>
    </row>
    <row r="8" spans="2:8" ht="14" x14ac:dyDescent="0.3">
      <c r="B8" s="8" t="s">
        <v>177</v>
      </c>
      <c r="C8" s="9"/>
      <c r="D8" s="9"/>
      <c r="E8" s="9"/>
      <c r="F8" s="9"/>
      <c r="G8" s="9"/>
      <c r="H8" s="9"/>
    </row>
    <row r="9" spans="2:8" ht="14" x14ac:dyDescent="0.3">
      <c r="B9" s="33" t="s">
        <v>31</v>
      </c>
      <c r="C9" s="35">
        <v>745539</v>
      </c>
      <c r="D9" s="35">
        <f>'DCF Model'!C33</f>
        <v>779088.255</v>
      </c>
      <c r="E9" s="35">
        <f>'DCF Model'!D33</f>
        <v>810251.78520000004</v>
      </c>
      <c r="F9" s="35">
        <f>'DCF Model'!E33</f>
        <v>838610.59768200002</v>
      </c>
      <c r="G9" s="35">
        <f>'DCF Model'!F33</f>
        <v>863768.91561246</v>
      </c>
      <c r="H9" s="35">
        <f>'DCF Model'!G33</f>
        <v>885363.13850277138</v>
      </c>
    </row>
    <row r="10" spans="2:8" ht="14" x14ac:dyDescent="0.3">
      <c r="B10" s="33" t="s">
        <v>32</v>
      </c>
      <c r="C10" s="35">
        <v>492926</v>
      </c>
      <c r="D10" s="35">
        <f>'DCF Model'!C34</f>
        <v>518872.77783000004</v>
      </c>
      <c r="E10" s="35">
        <f>'DCF Model'!D34</f>
        <v>539627.68894320005</v>
      </c>
      <c r="F10" s="35">
        <f>'DCF Model'!E34</f>
        <v>558514.65805621201</v>
      </c>
      <c r="G10" s="35">
        <f>'DCF Model'!F34</f>
        <v>575270.09779789834</v>
      </c>
      <c r="H10" s="35">
        <f>'DCF Model'!G34</f>
        <v>589474.7776151452</v>
      </c>
    </row>
    <row r="11" spans="2:8" ht="14" x14ac:dyDescent="0.3">
      <c r="B11" s="8" t="s">
        <v>178</v>
      </c>
      <c r="C11" s="9"/>
      <c r="D11" s="9"/>
      <c r="E11" s="9"/>
      <c r="F11" s="9"/>
      <c r="G11" s="9"/>
      <c r="H11" s="9"/>
    </row>
    <row r="12" spans="2:8" ht="14" x14ac:dyDescent="0.3">
      <c r="B12" s="33" t="s">
        <v>179</v>
      </c>
      <c r="C12" s="35">
        <v>90640</v>
      </c>
      <c r="D12" s="35">
        <f t="shared" ref="D12:H13" si="0">D9*D5/365</f>
        <v>93917.488273972602</v>
      </c>
      <c r="E12" s="35">
        <f t="shared" si="0"/>
        <v>97674.187804931498</v>
      </c>
      <c r="F12" s="35">
        <f t="shared" si="0"/>
        <v>101092.78437810412</v>
      </c>
      <c r="G12" s="35">
        <f t="shared" si="0"/>
        <v>104125.56790944724</v>
      </c>
      <c r="H12" s="35">
        <f t="shared" si="0"/>
        <v>106728.70710718339</v>
      </c>
    </row>
    <row r="13" spans="2:8" ht="14" x14ac:dyDescent="0.3">
      <c r="B13" s="33" t="s">
        <v>180</v>
      </c>
      <c r="C13" s="35">
        <v>110358</v>
      </c>
      <c r="D13" s="35">
        <f t="shared" si="0"/>
        <v>115147.10960063014</v>
      </c>
      <c r="E13" s="35">
        <f t="shared" si="0"/>
        <v>119752.99398465536</v>
      </c>
      <c r="F13" s="35">
        <f t="shared" si="0"/>
        <v>123944.34877411828</v>
      </c>
      <c r="G13" s="35">
        <f t="shared" si="0"/>
        <v>127662.67923734181</v>
      </c>
      <c r="H13" s="35">
        <f t="shared" si="0"/>
        <v>130814.95064884044</v>
      </c>
    </row>
    <row r="14" spans="2:8" ht="14" x14ac:dyDescent="0.3">
      <c r="B14" s="33" t="s">
        <v>181</v>
      </c>
      <c r="C14" s="35">
        <f t="shared" ref="C14:H14" si="1">C12+C13</f>
        <v>200998</v>
      </c>
      <c r="D14" s="35">
        <f t="shared" si="1"/>
        <v>209064.59787460274</v>
      </c>
      <c r="E14" s="35">
        <f t="shared" si="1"/>
        <v>217427.18178958684</v>
      </c>
      <c r="F14" s="35">
        <f t="shared" si="1"/>
        <v>225037.13315222238</v>
      </c>
      <c r="G14" s="35">
        <f t="shared" si="1"/>
        <v>231788.24714678904</v>
      </c>
      <c r="H14" s="35">
        <f t="shared" si="1"/>
        <v>237543.65775602384</v>
      </c>
    </row>
    <row r="15" spans="2:8" ht="14" x14ac:dyDescent="0.3">
      <c r="B15" s="33" t="s">
        <v>182</v>
      </c>
      <c r="C15" s="35">
        <v>72002</v>
      </c>
      <c r="D15" s="35">
        <f>D10*D7/365</f>
        <v>73921.601225095888</v>
      </c>
      <c r="E15" s="35">
        <f>E10*E7/365</f>
        <v>76878.465274099726</v>
      </c>
      <c r="F15" s="35">
        <f>F10*F7/365</f>
        <v>79569.21155869322</v>
      </c>
      <c r="G15" s="35">
        <f>G10*G7/365</f>
        <v>81956.28790545401</v>
      </c>
      <c r="H15" s="35">
        <f>H10*H7/365</f>
        <v>83979.96831777411</v>
      </c>
    </row>
    <row r="16" spans="2:8" ht="14" x14ac:dyDescent="0.3">
      <c r="B16" s="33" t="s">
        <v>183</v>
      </c>
      <c r="C16" s="35">
        <f t="shared" ref="C16:H16" si="2">C15</f>
        <v>72002</v>
      </c>
      <c r="D16" s="35">
        <f t="shared" si="2"/>
        <v>73921.601225095888</v>
      </c>
      <c r="E16" s="35">
        <f t="shared" si="2"/>
        <v>76878.465274099726</v>
      </c>
      <c r="F16" s="35">
        <f t="shared" si="2"/>
        <v>79569.21155869322</v>
      </c>
      <c r="G16" s="35">
        <f t="shared" si="2"/>
        <v>81956.28790545401</v>
      </c>
      <c r="H16" s="35">
        <f t="shared" si="2"/>
        <v>83979.96831777411</v>
      </c>
    </row>
    <row r="17" spans="2:8" ht="14" x14ac:dyDescent="0.3">
      <c r="B17" s="22" t="s">
        <v>184</v>
      </c>
      <c r="C17" s="23"/>
      <c r="D17" s="23"/>
      <c r="E17" s="23"/>
      <c r="F17" s="23"/>
      <c r="G17" s="23"/>
      <c r="H17" s="23"/>
    </row>
    <row r="18" spans="2:8" ht="14" x14ac:dyDescent="0.3">
      <c r="B18" s="33" t="s">
        <v>185</v>
      </c>
      <c r="C18" s="20">
        <f t="shared" ref="C18:H18" si="3">C14-C16</f>
        <v>128996</v>
      </c>
      <c r="D18" s="20">
        <f t="shared" si="3"/>
        <v>135142.99664950685</v>
      </c>
      <c r="E18" s="20">
        <f t="shared" si="3"/>
        <v>140548.71651548712</v>
      </c>
      <c r="F18" s="20">
        <f t="shared" si="3"/>
        <v>145467.92159352917</v>
      </c>
      <c r="G18" s="20">
        <f t="shared" si="3"/>
        <v>149831.95924133505</v>
      </c>
      <c r="H18" s="20">
        <f t="shared" si="3"/>
        <v>153563.68943824974</v>
      </c>
    </row>
    <row r="19" spans="2:8" ht="14" x14ac:dyDescent="0.3">
      <c r="B19" s="33" t="s">
        <v>94</v>
      </c>
      <c r="C19" s="36" t="s">
        <v>41</v>
      </c>
      <c r="D19" s="24">
        <f>D18-C18</f>
        <v>6146.9966495068511</v>
      </c>
      <c r="E19" s="24">
        <f>E18-D18</f>
        <v>5405.7198659802671</v>
      </c>
      <c r="F19" s="24">
        <f>F18-E18</f>
        <v>4919.2050780420541</v>
      </c>
      <c r="G19" s="24">
        <f>G18-F18</f>
        <v>4364.0376478058752</v>
      </c>
      <c r="H19" s="24">
        <f>H18-G18</f>
        <v>3731.7301969146938</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44</v>
      </c>
      <c r="E25" s="30">
        <v>44</v>
      </c>
      <c r="F25" s="30">
        <v>44</v>
      </c>
      <c r="G25" s="30">
        <v>44</v>
      </c>
      <c r="H25" s="30">
        <v>44</v>
      </c>
    </row>
    <row r="26" spans="2:8" ht="14" x14ac:dyDescent="0.3">
      <c r="B26" s="4" t="s">
        <v>115</v>
      </c>
      <c r="D26" s="30">
        <v>42</v>
      </c>
      <c r="E26" s="30">
        <v>42</v>
      </c>
      <c r="F26" s="30">
        <v>42</v>
      </c>
      <c r="G26" s="30">
        <v>42</v>
      </c>
      <c r="H26" s="30">
        <v>42</v>
      </c>
    </row>
    <row r="27" spans="2:8" ht="14" x14ac:dyDescent="0.3">
      <c r="B27" s="4" t="s">
        <v>116</v>
      </c>
      <c r="D27" s="30">
        <v>44</v>
      </c>
      <c r="E27" s="30">
        <v>44</v>
      </c>
      <c r="F27" s="30">
        <v>44</v>
      </c>
      <c r="G27" s="30">
        <v>44</v>
      </c>
      <c r="H27" s="30">
        <v>44</v>
      </c>
    </row>
    <row r="28" spans="2:8" ht="14" x14ac:dyDescent="0.3">
      <c r="B28" s="4" t="s">
        <v>117</v>
      </c>
      <c r="D28" s="30">
        <v>46</v>
      </c>
      <c r="E28" s="30">
        <v>46</v>
      </c>
      <c r="F28" s="30">
        <v>46</v>
      </c>
      <c r="G28" s="30">
        <v>46</v>
      </c>
      <c r="H28" s="30">
        <v>46</v>
      </c>
    </row>
    <row r="29" spans="2:8" ht="14" x14ac:dyDescent="0.3">
      <c r="B29" s="4" t="s">
        <v>118</v>
      </c>
      <c r="D29" s="30">
        <v>48</v>
      </c>
      <c r="E29" s="30">
        <v>48</v>
      </c>
      <c r="F29" s="30">
        <v>48</v>
      </c>
      <c r="G29" s="30">
        <v>48</v>
      </c>
      <c r="H29" s="30">
        <v>48</v>
      </c>
    </row>
    <row r="31" spans="2:8" ht="14" x14ac:dyDescent="0.3">
      <c r="B31" s="3" t="s">
        <v>188</v>
      </c>
    </row>
    <row r="32" spans="2:8" ht="14" x14ac:dyDescent="0.3">
      <c r="B32" s="4" t="s">
        <v>78</v>
      </c>
      <c r="D32" s="30">
        <v>81</v>
      </c>
      <c r="E32" s="30">
        <v>81</v>
      </c>
      <c r="F32" s="30">
        <v>81</v>
      </c>
      <c r="G32" s="30">
        <v>81</v>
      </c>
      <c r="H32" s="30">
        <v>81</v>
      </c>
    </row>
    <row r="33" spans="2:8" ht="14" x14ac:dyDescent="0.3">
      <c r="B33" s="4" t="s">
        <v>115</v>
      </c>
      <c r="D33" s="30">
        <v>77</v>
      </c>
      <c r="E33" s="30">
        <v>77</v>
      </c>
      <c r="F33" s="30">
        <v>77</v>
      </c>
      <c r="G33" s="30">
        <v>77</v>
      </c>
      <c r="H33" s="30">
        <v>77</v>
      </c>
    </row>
    <row r="34" spans="2:8" ht="14" x14ac:dyDescent="0.3">
      <c r="B34" s="4" t="s">
        <v>116</v>
      </c>
      <c r="D34" s="30">
        <v>81</v>
      </c>
      <c r="E34" s="30">
        <v>81</v>
      </c>
      <c r="F34" s="30">
        <v>81</v>
      </c>
      <c r="G34" s="30">
        <v>81</v>
      </c>
      <c r="H34" s="30">
        <v>81</v>
      </c>
    </row>
    <row r="35" spans="2:8" ht="14" x14ac:dyDescent="0.3">
      <c r="B35" s="4" t="s">
        <v>117</v>
      </c>
      <c r="D35" s="30">
        <v>85</v>
      </c>
      <c r="E35" s="30">
        <v>85</v>
      </c>
      <c r="F35" s="30">
        <v>85</v>
      </c>
      <c r="G35" s="30">
        <v>85</v>
      </c>
      <c r="H35" s="30">
        <v>85</v>
      </c>
    </row>
    <row r="36" spans="2:8" ht="14" x14ac:dyDescent="0.3">
      <c r="B36" s="4" t="s">
        <v>118</v>
      </c>
      <c r="D36" s="30">
        <v>89</v>
      </c>
      <c r="E36" s="30">
        <v>89</v>
      </c>
      <c r="F36" s="30">
        <v>89</v>
      </c>
      <c r="G36" s="30">
        <v>89</v>
      </c>
      <c r="H36" s="30">
        <v>89</v>
      </c>
    </row>
    <row r="38" spans="2:8" ht="14" x14ac:dyDescent="0.3">
      <c r="B38" s="3" t="s">
        <v>189</v>
      </c>
    </row>
    <row r="39" spans="2:8" ht="14" x14ac:dyDescent="0.3">
      <c r="B39" s="4" t="s">
        <v>78</v>
      </c>
      <c r="D39" s="30">
        <v>52</v>
      </c>
      <c r="E39" s="30">
        <v>52</v>
      </c>
      <c r="F39" s="30">
        <v>52</v>
      </c>
      <c r="G39" s="30">
        <v>52</v>
      </c>
      <c r="H39" s="30">
        <v>52</v>
      </c>
    </row>
    <row r="40" spans="2:8" ht="14" x14ac:dyDescent="0.3">
      <c r="B40" s="4" t="s">
        <v>115</v>
      </c>
      <c r="D40" s="30">
        <v>54</v>
      </c>
      <c r="E40" s="30">
        <v>54</v>
      </c>
      <c r="F40" s="30">
        <v>54</v>
      </c>
      <c r="G40" s="30">
        <v>54</v>
      </c>
      <c r="H40" s="30">
        <v>54</v>
      </c>
    </row>
    <row r="41" spans="2:8" ht="14" x14ac:dyDescent="0.3">
      <c r="B41" s="4" t="s">
        <v>116</v>
      </c>
      <c r="D41" s="30">
        <v>52</v>
      </c>
      <c r="E41" s="30">
        <v>52</v>
      </c>
      <c r="F41" s="30">
        <v>52</v>
      </c>
      <c r="G41" s="30">
        <v>52</v>
      </c>
      <c r="H41" s="30">
        <v>52</v>
      </c>
    </row>
    <row r="42" spans="2:8" ht="14" x14ac:dyDescent="0.3">
      <c r="B42" s="4" t="s">
        <v>117</v>
      </c>
      <c r="D42" s="30">
        <v>50</v>
      </c>
      <c r="E42" s="30">
        <v>50</v>
      </c>
      <c r="F42" s="30">
        <v>50</v>
      </c>
      <c r="G42" s="30">
        <v>50</v>
      </c>
      <c r="H42" s="30">
        <v>50</v>
      </c>
    </row>
    <row r="43" spans="2:8" ht="14" x14ac:dyDescent="0.3">
      <c r="B43" s="4" t="s">
        <v>118</v>
      </c>
      <c r="D43" s="30">
        <v>47</v>
      </c>
      <c r="E43" s="30">
        <v>47</v>
      </c>
      <c r="F43" s="30">
        <v>47</v>
      </c>
      <c r="G43" s="30">
        <v>47</v>
      </c>
      <c r="H43" s="30">
        <v>47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1655551.2341130001</v>
      </c>
      <c r="E5" s="37">
        <f>D5+C24</f>
        <v>1605210.2341130001</v>
      </c>
      <c r="F5" s="37">
        <v>745539</v>
      </c>
      <c r="G5" s="37">
        <v>102686</v>
      </c>
      <c r="H5" s="37">
        <v>75940</v>
      </c>
      <c r="I5" s="37">
        <v>61615</v>
      </c>
      <c r="J5" s="38">
        <f t="shared" ref="J5:J10" si="0">IFERROR(E5/G5,"")</f>
        <v>15.632220888076272</v>
      </c>
      <c r="K5" s="38">
        <f t="shared" ref="K5:K10" si="1">IFERROR(E5/F5,"")</f>
        <v>2.1530868728705004</v>
      </c>
      <c r="L5" s="38">
        <f t="shared" ref="L5:L10" si="2">IFERROR(D5/I5,"")</f>
        <v>26.869288876296359</v>
      </c>
      <c r="M5" s="38">
        <f t="shared" ref="M5:M10" si="3">IFERROR(D5/P5,"")</f>
        <v>2.951471561411172</v>
      </c>
      <c r="N5" s="39">
        <f t="shared" ref="N5:N10" si="4">IFERROR(H5/F5,"")</f>
        <v>0.1018591918061966</v>
      </c>
      <c r="O5" s="39">
        <f t="shared" ref="O5:O10" si="5">IFERROR(I5/P5,"")</f>
        <v>0.10984554057234135</v>
      </c>
      <c r="P5" s="37">
        <v>560924</v>
      </c>
    </row>
    <row r="6" spans="2:17" ht="14" x14ac:dyDescent="0.3">
      <c r="B6" s="4" t="s">
        <v>208</v>
      </c>
      <c r="C6" t="s">
        <v>209</v>
      </c>
      <c r="D6" s="37">
        <v>4932560</v>
      </c>
      <c r="E6" s="37">
        <v>5247222</v>
      </c>
      <c r="F6" s="37">
        <v>1583719</v>
      </c>
      <c r="G6" s="37">
        <v>277762</v>
      </c>
      <c r="H6" s="37">
        <v>191301</v>
      </c>
      <c r="I6" s="37">
        <v>134675</v>
      </c>
      <c r="J6" s="38">
        <f t="shared" si="0"/>
        <v>18.891072212901694</v>
      </c>
      <c r="K6" s="38">
        <f t="shared" si="1"/>
        <v>3.3132279148005424</v>
      </c>
      <c r="L6" s="38">
        <f t="shared" si="2"/>
        <v>36.625654353072214</v>
      </c>
      <c r="M6" s="38">
        <f t="shared" si="3"/>
        <v>6.3991157457198122</v>
      </c>
      <c r="N6" s="39">
        <f t="shared" si="4"/>
        <v>0.12079226175855691</v>
      </c>
      <c r="O6" s="39">
        <f t="shared" si="5"/>
        <v>0.17471676230087738</v>
      </c>
      <c r="P6" s="37">
        <v>770819</v>
      </c>
    </row>
    <row r="7" spans="2:17" ht="14" x14ac:dyDescent="0.3">
      <c r="B7" s="4" t="s">
        <v>210</v>
      </c>
      <c r="C7" t="s">
        <v>211</v>
      </c>
      <c r="D7" s="37">
        <v>2320547</v>
      </c>
      <c r="E7" s="37">
        <v>3118689</v>
      </c>
      <c r="F7" s="37">
        <v>2433363</v>
      </c>
      <c r="G7" s="37">
        <v>305379</v>
      </c>
      <c r="H7" s="37">
        <v>209677</v>
      </c>
      <c r="I7" s="37">
        <v>147542</v>
      </c>
      <c r="J7" s="38">
        <f t="shared" si="0"/>
        <v>10.212519524918216</v>
      </c>
      <c r="K7" s="38">
        <f t="shared" si="1"/>
        <v>1.2816373882564993</v>
      </c>
      <c r="L7" s="38">
        <f t="shared" si="2"/>
        <v>15.728043540144501</v>
      </c>
      <c r="M7" s="38">
        <f t="shared" si="3"/>
        <v>1.803079431013892</v>
      </c>
      <c r="N7" s="39">
        <f t="shared" si="4"/>
        <v>8.6167579600741853E-2</v>
      </c>
      <c r="O7" s="39">
        <f t="shared" si="5"/>
        <v>0.11464105032591526</v>
      </c>
      <c r="P7" s="37">
        <v>1286991</v>
      </c>
    </row>
    <row r="8" spans="2:17" ht="14" x14ac:dyDescent="0.3">
      <c r="B8" s="4" t="s">
        <v>212</v>
      </c>
      <c r="C8" t="s">
        <v>213</v>
      </c>
      <c r="D8" s="37">
        <v>2397303</v>
      </c>
      <c r="E8" s="37">
        <v>3885100</v>
      </c>
      <c r="F8" s="37">
        <v>2894676</v>
      </c>
      <c r="G8" s="37">
        <v>348957</v>
      </c>
      <c r="H8" s="37">
        <v>185870</v>
      </c>
      <c r="I8" s="37">
        <v>121574</v>
      </c>
      <c r="J8" s="38">
        <f t="shared" si="0"/>
        <v>11.133463435322977</v>
      </c>
      <c r="K8" s="38">
        <f t="shared" si="1"/>
        <v>1.3421536641751961</v>
      </c>
      <c r="L8" s="38">
        <f t="shared" si="2"/>
        <v>19.718879036636125</v>
      </c>
      <c r="M8" s="38">
        <f t="shared" si="3"/>
        <v>0.79828887411872984</v>
      </c>
      <c r="N8" s="39">
        <f t="shared" si="4"/>
        <v>6.4210985961814029E-2</v>
      </c>
      <c r="O8" s="39">
        <f t="shared" si="5"/>
        <v>4.0483481471516314E-2</v>
      </c>
      <c r="P8" s="37">
        <v>3003052</v>
      </c>
    </row>
    <row r="9" spans="2:17" ht="14" x14ac:dyDescent="0.3">
      <c r="B9" s="4" t="s">
        <v>214</v>
      </c>
      <c r="C9" t="s">
        <v>215</v>
      </c>
      <c r="D9" s="37">
        <v>1195303</v>
      </c>
      <c r="E9" s="37">
        <v>1238638</v>
      </c>
      <c r="F9" s="37">
        <v>1173688</v>
      </c>
      <c r="G9" s="37">
        <v>148261</v>
      </c>
      <c r="H9" s="37">
        <v>93307</v>
      </c>
      <c r="I9" s="37">
        <v>35076</v>
      </c>
      <c r="J9" s="38">
        <f t="shared" si="0"/>
        <v>8.3544425034230176</v>
      </c>
      <c r="K9" s="38">
        <f t="shared" si="1"/>
        <v>1.0553383863513983</v>
      </c>
      <c r="L9" s="38">
        <f t="shared" si="2"/>
        <v>34.077517390808531</v>
      </c>
      <c r="M9" s="38">
        <f t="shared" si="3"/>
        <v>1.5471475630513147</v>
      </c>
      <c r="N9" s="39">
        <f t="shared" si="4"/>
        <v>7.9498980989837167E-2</v>
      </c>
      <c r="O9" s="39">
        <f t="shared" si="5"/>
        <v>4.5400829682170893E-2</v>
      </c>
      <c r="P9" s="37">
        <v>772585</v>
      </c>
    </row>
    <row r="10" spans="2:17" ht="14" x14ac:dyDescent="0.3">
      <c r="B10" s="4" t="s">
        <v>216</v>
      </c>
      <c r="C10" t="s">
        <v>217</v>
      </c>
      <c r="D10" s="37">
        <v>854146</v>
      </c>
      <c r="E10" s="37">
        <v>931346</v>
      </c>
      <c r="F10" s="37">
        <v>788131</v>
      </c>
      <c r="G10" s="37">
        <v>85277</v>
      </c>
      <c r="H10" s="37">
        <v>49380</v>
      </c>
      <c r="I10" s="37">
        <v>45380</v>
      </c>
      <c r="J10" s="38">
        <f t="shared" si="0"/>
        <v>10.92142078168791</v>
      </c>
      <c r="K10" s="38">
        <f t="shared" si="1"/>
        <v>1.1817147149395215</v>
      </c>
      <c r="L10" s="38">
        <f t="shared" si="2"/>
        <v>18.822080211546936</v>
      </c>
      <c r="M10" s="38">
        <f t="shared" si="3"/>
        <v>1.6515832379420228</v>
      </c>
      <c r="N10" s="39">
        <f t="shared" si="4"/>
        <v>6.2654558696460361E-2</v>
      </c>
      <c r="O10" s="39">
        <f t="shared" si="5"/>
        <v>8.7747115057389469E-2</v>
      </c>
      <c r="P10" s="37">
        <v>517168</v>
      </c>
    </row>
    <row r="14" spans="2:17" ht="14" x14ac:dyDescent="0.3">
      <c r="B14" s="3" t="s">
        <v>218</v>
      </c>
    </row>
    <row r="15" spans="2:17" ht="14" x14ac:dyDescent="0.3">
      <c r="B15" s="4" t="s">
        <v>219</v>
      </c>
      <c r="D15" s="38">
        <f t="shared" ref="D15:I15" si="6">PERCENTILE(J6:J10,0.25)</f>
        <v>10.212519524918216</v>
      </c>
      <c r="E15" s="38">
        <f t="shared" si="6"/>
        <v>1.1817147149395215</v>
      </c>
      <c r="F15" s="38">
        <f t="shared" si="6"/>
        <v>18.822080211546936</v>
      </c>
      <c r="G15" s="38">
        <f t="shared" si="6"/>
        <v>1.5471475630513147</v>
      </c>
      <c r="H15" s="39">
        <f t="shared" si="6"/>
        <v>6.4210985961814029E-2</v>
      </c>
      <c r="I15" s="39">
        <f t="shared" si="6"/>
        <v>4.5400829682170893E-2</v>
      </c>
    </row>
    <row r="16" spans="2:17" ht="14" x14ac:dyDescent="0.3">
      <c r="B16" s="4" t="s">
        <v>220</v>
      </c>
      <c r="D16" s="38">
        <f t="shared" ref="D16:I16" si="7">MEDIAN(J6:J10)</f>
        <v>10.92142078168791</v>
      </c>
      <c r="E16" s="38">
        <f t="shared" si="7"/>
        <v>1.2816373882564993</v>
      </c>
      <c r="F16" s="38">
        <f t="shared" si="7"/>
        <v>19.718879036636125</v>
      </c>
      <c r="G16" s="38">
        <f t="shared" si="7"/>
        <v>1.6515832379420228</v>
      </c>
      <c r="H16" s="39">
        <f t="shared" si="7"/>
        <v>7.9498980989837167E-2</v>
      </c>
      <c r="I16" s="39">
        <f t="shared" si="7"/>
        <v>8.7747115057389469E-2</v>
      </c>
    </row>
    <row r="17" spans="2:9" ht="14" x14ac:dyDescent="0.3">
      <c r="B17" s="4" t="s">
        <v>221</v>
      </c>
      <c r="D17" s="38">
        <f t="shared" ref="D17:I17" si="8">PERCENTILE(J6:J10,0.75)</f>
        <v>11.133463435322977</v>
      </c>
      <c r="E17" s="38">
        <f t="shared" si="8"/>
        <v>1.3421536641751961</v>
      </c>
      <c r="F17" s="38">
        <f t="shared" si="8"/>
        <v>34.077517390808531</v>
      </c>
      <c r="G17" s="38">
        <f t="shared" si="8"/>
        <v>1.803079431013892</v>
      </c>
      <c r="H17" s="39">
        <f t="shared" si="8"/>
        <v>8.6167579600741853E-2</v>
      </c>
      <c r="I17" s="39">
        <f t="shared" si="8"/>
        <v>0.11464105032591526</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102540</v>
      </c>
    </row>
    <row r="22" spans="2:9" ht="14" x14ac:dyDescent="0.3">
      <c r="B22" s="4" t="s">
        <v>225</v>
      </c>
      <c r="C22" s="5">
        <v>61615</v>
      </c>
    </row>
    <row r="23" spans="2:9" ht="14" x14ac:dyDescent="0.3">
      <c r="B23" s="4" t="s">
        <v>226</v>
      </c>
      <c r="C23" s="15">
        <v>927739554</v>
      </c>
    </row>
    <row r="24" spans="2:9" ht="14" x14ac:dyDescent="0.3">
      <c r="B24" s="4" t="s">
        <v>67</v>
      </c>
      <c r="C24" s="5">
        <v>-50341</v>
      </c>
    </row>
    <row r="26" spans="2:9" ht="14" x14ac:dyDescent="0.3">
      <c r="B26" s="3" t="s">
        <v>227</v>
      </c>
    </row>
    <row r="27" spans="2:9" ht="14" x14ac:dyDescent="0.3">
      <c r="B27" s="4" t="s">
        <v>228</v>
      </c>
      <c r="C27" s="24">
        <f>ROUND((C21*D16-C24)*1000000/C23,0)</f>
        <v>1261</v>
      </c>
    </row>
    <row r="28" spans="2:9" ht="14" x14ac:dyDescent="0.3">
      <c r="B28" s="4" t="s">
        <v>229</v>
      </c>
      <c r="C28" s="24">
        <f>ROUND(C22*F16*1000000/C23,0)</f>
        <v>1310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7.5813999999999993E-2</v>
      </c>
      <c r="E3" s="4" t="s">
        <v>232</v>
      </c>
      <c r="F3" s="16">
        <f>'DCF Model'!C13</f>
        <v>0.01</v>
      </c>
      <c r="H3" s="4" t="s">
        <v>233</v>
      </c>
      <c r="I3" s="14">
        <f>'DCF Model'!C14</f>
        <v>10.9</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6.0813999999999993E-2</v>
      </c>
      <c r="C7" s="37">
        <f>IFERROR(ROUND(('DCF Model'!C45/(1+$B7)^('DCF Model'!C19+0)+'DCF Model'!D45/(1+$B7)^('DCF Model'!C19+1)+'DCF Model'!E45/(1+$B7)^('DCF Model'!C19+2)+'DCF Model'!F45/(1+$B7)^('DCF Model'!C19+3)+'DCF Model'!G45/(1+$B7)^('DCF Model'!C19+4)+'DCF Model'!G45*(1+C$6)/($B7-C$6)/(1+$B7)^('DCF Model'!C19+4)-'DCF Model'!C16)*1000000/'DCF Model'!C15,0),"")</f>
        <v>1109</v>
      </c>
      <c r="D7" s="37">
        <f>IFERROR(ROUND(('DCF Model'!C45/(1+$B7)^('DCF Model'!C19+0)+'DCF Model'!D45/(1+$B7)^('DCF Model'!C19+1)+'DCF Model'!E45/(1+$B7)^('DCF Model'!C19+2)+'DCF Model'!F45/(1+$B7)^('DCF Model'!C19+3)+'DCF Model'!G45/(1+$B7)^('DCF Model'!C19+4)+'DCF Model'!G45*(1+D$6)/($B7-D$6)/(1+$B7)^('DCF Model'!C19+4)-'DCF Model'!C16)*1000000/'DCF Model'!C15,0),"")</f>
        <v>1149</v>
      </c>
      <c r="E7" s="37">
        <f>IFERROR(ROUND(('DCF Model'!C45/(1+$B7)^('DCF Model'!C19+0)+'DCF Model'!D45/(1+$B7)^('DCF Model'!C19+1)+'DCF Model'!E45/(1+$B7)^('DCF Model'!C19+2)+'DCF Model'!F45/(1+$B7)^('DCF Model'!C19+3)+'DCF Model'!G45/(1+$B7)^('DCF Model'!C19+4)+'DCF Model'!G45*(1+E$6)/($B7-E$6)/(1+$B7)^('DCF Model'!C19+4)-'DCF Model'!C16)*1000000/'DCF Model'!C15,0),"")</f>
        <v>1194</v>
      </c>
      <c r="F7" s="37">
        <f>IFERROR(ROUND(('DCF Model'!C45/(1+$B7)^('DCF Model'!C19+0)+'DCF Model'!D45/(1+$B7)^('DCF Model'!C19+1)+'DCF Model'!E45/(1+$B7)^('DCF Model'!C19+2)+'DCF Model'!F45/(1+$B7)^('DCF Model'!C19+3)+'DCF Model'!G45/(1+$B7)^('DCF Model'!C19+4)+'DCF Model'!G45*(1+F$6)/($B7-F$6)/(1+$B7)^('DCF Model'!C19+4)-'DCF Model'!C16)*1000000/'DCF Model'!C15,0),"")</f>
        <v>1243</v>
      </c>
      <c r="G7" s="37">
        <f>IFERROR(ROUND(('DCF Model'!C45/(1+$B7)^('DCF Model'!C19+0)+'DCF Model'!D45/(1+$B7)^('DCF Model'!C19+1)+'DCF Model'!E45/(1+$B7)^('DCF Model'!C19+2)+'DCF Model'!F45/(1+$B7)^('DCF Model'!C19+3)+'DCF Model'!G45/(1+$B7)^('DCF Model'!C19+4)+'DCF Model'!G45*(1+G$6)/($B7-G$6)/(1+$B7)^('DCF Model'!C19+4)-'DCF Model'!C16)*1000000/'DCF Model'!C15,0),"")</f>
        <v>1297</v>
      </c>
      <c r="H7" s="37">
        <f>IFERROR(ROUND(('DCF Model'!C45/(1+$B7)^('DCF Model'!C19+0)+'DCF Model'!D45/(1+$B7)^('DCF Model'!C19+1)+'DCF Model'!E45/(1+$B7)^('DCF Model'!C19+2)+'DCF Model'!F45/(1+$B7)^('DCF Model'!C19+3)+'DCF Model'!G45/(1+$B7)^('DCF Model'!C19+4)+'DCF Model'!G45*(1+H$6)/($B7-H$6)/(1+$B7)^('DCF Model'!C19+4)-'DCF Model'!C16)*1000000/'DCF Model'!C15,0),"")</f>
        <v>1357</v>
      </c>
      <c r="I7" s="37">
        <f>IFERROR(ROUND(('DCF Model'!C45/(1+$B7)^('DCF Model'!C19+0)+'DCF Model'!D45/(1+$B7)^('DCF Model'!C19+1)+'DCF Model'!E45/(1+$B7)^('DCF Model'!C19+2)+'DCF Model'!F45/(1+$B7)^('DCF Model'!C19+3)+'DCF Model'!G45/(1+$B7)^('DCF Model'!C19+4)+'DCF Model'!G45*(1+I$6)/($B7-I$6)/(1+$B7)^('DCF Model'!C19+4)-'DCF Model'!C16)*1000000/'DCF Model'!C15,0),"")</f>
        <v>1424</v>
      </c>
    </row>
    <row r="8" spans="2:9" ht="13.5" x14ac:dyDescent="0.25">
      <c r="B8" s="39">
        <f>$C$3-0.01</f>
        <v>6.5813999999999998E-2</v>
      </c>
      <c r="C8" s="37">
        <f>IFERROR(ROUND(('DCF Model'!C45/(1+$B8)^('DCF Model'!C19+0)+'DCF Model'!D45/(1+$B8)^('DCF Model'!C19+1)+'DCF Model'!E45/(1+$B8)^('DCF Model'!C19+2)+'DCF Model'!F45/(1+$B8)^('DCF Model'!C19+3)+'DCF Model'!G45/(1+$B8)^('DCF Model'!C19+4)+'DCF Model'!G45*(1+C$6)/($B8-C$6)/(1+$B8)^('DCF Model'!C19+4)-'DCF Model'!C16)*1000000/'DCF Model'!C15,0),"")</f>
        <v>1019</v>
      </c>
      <c r="D8" s="37">
        <f>IFERROR(ROUND(('DCF Model'!C45/(1+$B8)^('DCF Model'!C19+0)+'DCF Model'!D45/(1+$B8)^('DCF Model'!C19+1)+'DCF Model'!E45/(1+$B8)^('DCF Model'!C19+2)+'DCF Model'!F45/(1+$B8)^('DCF Model'!C19+3)+'DCF Model'!G45/(1+$B8)^('DCF Model'!C19+4)+'DCF Model'!G45*(1+D$6)/($B8-D$6)/(1+$B8)^('DCF Model'!C19+4)-'DCF Model'!C16)*1000000/'DCF Model'!C15,0),"")</f>
        <v>1053</v>
      </c>
      <c r="E8" s="37">
        <f>IFERROR(ROUND(('DCF Model'!C45/(1+$B8)^('DCF Model'!C19+0)+'DCF Model'!D45/(1+$B8)^('DCF Model'!C19+1)+'DCF Model'!E45/(1+$B8)^('DCF Model'!C19+2)+'DCF Model'!F45/(1+$B8)^('DCF Model'!C19+3)+'DCF Model'!G45/(1+$B8)^('DCF Model'!C19+4)+'DCF Model'!G45*(1+E$6)/($B8-E$6)/(1+$B8)^('DCF Model'!C19+4)-'DCF Model'!C16)*1000000/'DCF Model'!C15,0),"")</f>
        <v>1090</v>
      </c>
      <c r="F8" s="37">
        <f>IFERROR(ROUND(('DCF Model'!C45/(1+$B8)^('DCF Model'!C19+0)+'DCF Model'!D45/(1+$B8)^('DCF Model'!C19+1)+'DCF Model'!E45/(1+$B8)^('DCF Model'!C19+2)+'DCF Model'!F45/(1+$B8)^('DCF Model'!C19+3)+'DCF Model'!G45/(1+$B8)^('DCF Model'!C19+4)+'DCF Model'!G45*(1+F$6)/($B8-F$6)/(1+$B8)^('DCF Model'!C19+4)-'DCF Model'!C16)*1000000/'DCF Model'!C15,0),"")</f>
        <v>1130</v>
      </c>
      <c r="G8" s="37">
        <f>IFERROR(ROUND(('DCF Model'!C45/(1+$B8)^('DCF Model'!C19+0)+'DCF Model'!D45/(1+$B8)^('DCF Model'!C19+1)+'DCF Model'!E45/(1+$B8)^('DCF Model'!C19+2)+'DCF Model'!F45/(1+$B8)^('DCF Model'!C19+3)+'DCF Model'!G45/(1+$B8)^('DCF Model'!C19+4)+'DCF Model'!G45*(1+G$6)/($B8-G$6)/(1+$B8)^('DCF Model'!C19+4)-'DCF Model'!C16)*1000000/'DCF Model'!C15,0),"")</f>
        <v>1174</v>
      </c>
      <c r="H8" s="37">
        <f>IFERROR(ROUND(('DCF Model'!C45/(1+$B8)^('DCF Model'!C19+0)+'DCF Model'!D45/(1+$B8)^('DCF Model'!C19+1)+'DCF Model'!E45/(1+$B8)^('DCF Model'!C19+2)+'DCF Model'!F45/(1+$B8)^('DCF Model'!C19+3)+'DCF Model'!G45/(1+$B8)^('DCF Model'!C19+4)+'DCF Model'!G45*(1+H$6)/($B8-H$6)/(1+$B8)^('DCF Model'!C19+4)-'DCF Model'!C16)*1000000/'DCF Model'!C15,0),"")</f>
        <v>1222</v>
      </c>
      <c r="I8" s="37">
        <f>IFERROR(ROUND(('DCF Model'!C45/(1+$B8)^('DCF Model'!C19+0)+'DCF Model'!D45/(1+$B8)^('DCF Model'!C19+1)+'DCF Model'!E45/(1+$B8)^('DCF Model'!C19+2)+'DCF Model'!F45/(1+$B8)^('DCF Model'!C19+3)+'DCF Model'!G45/(1+$B8)^('DCF Model'!C19+4)+'DCF Model'!G45*(1+I$6)/($B8-I$6)/(1+$B8)^('DCF Model'!C19+4)-'DCF Model'!C16)*1000000/'DCF Model'!C15,0),"")</f>
        <v>1275</v>
      </c>
    </row>
    <row r="9" spans="2:9" ht="13.5" x14ac:dyDescent="0.25">
      <c r="B9" s="39">
        <f>$C$3-0.005</f>
        <v>7.0813999999999988E-2</v>
      </c>
      <c r="C9" s="37">
        <f>IFERROR(ROUND(('DCF Model'!C45/(1+$B9)^('DCF Model'!C19+0)+'DCF Model'!D45/(1+$B9)^('DCF Model'!C19+1)+'DCF Model'!E45/(1+$B9)^('DCF Model'!C19+2)+'DCF Model'!F45/(1+$B9)^('DCF Model'!C19+3)+'DCF Model'!G45/(1+$B9)^('DCF Model'!C19+4)+'DCF Model'!G45*(1+C$6)/($B9-C$6)/(1+$B9)^('DCF Model'!C19+4)-'DCF Model'!C16)*1000000/'DCF Model'!C15,0),"")</f>
        <v>943</v>
      </c>
      <c r="D9" s="37">
        <f>IFERROR(ROUND(('DCF Model'!C45/(1+$B9)^('DCF Model'!C19+0)+'DCF Model'!D45/(1+$B9)^('DCF Model'!C19+1)+'DCF Model'!E45/(1+$B9)^('DCF Model'!C19+2)+'DCF Model'!F45/(1+$B9)^('DCF Model'!C19+3)+'DCF Model'!G45/(1+$B9)^('DCF Model'!C19+4)+'DCF Model'!G45*(1+D$6)/($B9-D$6)/(1+$B9)^('DCF Model'!C19+4)-'DCF Model'!C16)*1000000/'DCF Model'!C15,0),"")</f>
        <v>972</v>
      </c>
      <c r="E9" s="37">
        <f>IFERROR(ROUND(('DCF Model'!C45/(1+$B9)^('DCF Model'!C19+0)+'DCF Model'!D45/(1+$B9)^('DCF Model'!C19+1)+'DCF Model'!E45/(1+$B9)^('DCF Model'!C19+2)+'DCF Model'!F45/(1+$B9)^('DCF Model'!C19+3)+'DCF Model'!G45/(1+$B9)^('DCF Model'!C19+4)+'DCF Model'!G45*(1+E$6)/($B9-E$6)/(1+$B9)^('DCF Model'!C19+4)-'DCF Model'!C16)*1000000/'DCF Model'!C15,0),"")</f>
        <v>1002</v>
      </c>
      <c r="F9" s="37">
        <f>IFERROR(ROUND(('DCF Model'!C45/(1+$B9)^('DCF Model'!C19+0)+'DCF Model'!D45/(1+$B9)^('DCF Model'!C19+1)+'DCF Model'!E45/(1+$B9)^('DCF Model'!C19+2)+'DCF Model'!F45/(1+$B9)^('DCF Model'!C19+3)+'DCF Model'!G45/(1+$B9)^('DCF Model'!C19+4)+'DCF Model'!G45*(1+F$6)/($B9-F$6)/(1+$B9)^('DCF Model'!C19+4)-'DCF Model'!C16)*1000000/'DCF Model'!C15,0),"")</f>
        <v>1035</v>
      </c>
      <c r="G9" s="37">
        <f>IFERROR(ROUND(('DCF Model'!C45/(1+$B9)^('DCF Model'!C19+0)+'DCF Model'!D45/(1+$B9)^('DCF Model'!C19+1)+'DCF Model'!E45/(1+$B9)^('DCF Model'!C19+2)+'DCF Model'!F45/(1+$B9)^('DCF Model'!C19+3)+'DCF Model'!G45/(1+$B9)^('DCF Model'!C19+4)+'DCF Model'!G45*(1+G$6)/($B9-G$6)/(1+$B9)^('DCF Model'!C19+4)-'DCF Model'!C16)*1000000/'DCF Model'!C15,0),"")</f>
        <v>1071</v>
      </c>
      <c r="H9" s="37">
        <f>IFERROR(ROUND(('DCF Model'!C45/(1+$B9)^('DCF Model'!C19+0)+'DCF Model'!D45/(1+$B9)^('DCF Model'!C19+1)+'DCF Model'!E45/(1+$B9)^('DCF Model'!C19+2)+'DCF Model'!F45/(1+$B9)^('DCF Model'!C19+3)+'DCF Model'!G45/(1+$B9)^('DCF Model'!C19+4)+'DCF Model'!G45*(1+H$6)/($B9-H$6)/(1+$B9)^('DCF Model'!C19+4)-'DCF Model'!C16)*1000000/'DCF Model'!C15,0),"")</f>
        <v>1111</v>
      </c>
      <c r="I9" s="37">
        <f>IFERROR(ROUND(('DCF Model'!C45/(1+$B9)^('DCF Model'!C19+0)+'DCF Model'!D45/(1+$B9)^('DCF Model'!C19+1)+'DCF Model'!E45/(1+$B9)^('DCF Model'!C19+2)+'DCF Model'!F45/(1+$B9)^('DCF Model'!C19+3)+'DCF Model'!G45/(1+$B9)^('DCF Model'!C19+4)+'DCF Model'!G45*(1+I$6)/($B9-I$6)/(1+$B9)^('DCF Model'!C19+4)-'DCF Model'!C16)*1000000/'DCF Model'!C15,0),"")</f>
        <v>1154</v>
      </c>
    </row>
    <row r="10" spans="2:9" ht="13.5" x14ac:dyDescent="0.25">
      <c r="B10" s="39">
        <f>$C$3</f>
        <v>7.5813999999999993E-2</v>
      </c>
      <c r="C10" s="37">
        <f>IFERROR(ROUND(('DCF Model'!C45/(1+$B10)^('DCF Model'!C19+0)+'DCF Model'!D45/(1+$B10)^('DCF Model'!C19+1)+'DCF Model'!E45/(1+$B10)^('DCF Model'!C19+2)+'DCF Model'!F45/(1+$B10)^('DCF Model'!C19+3)+'DCF Model'!G45/(1+$B10)^('DCF Model'!C19+4)+'DCF Model'!G45*(1+C$6)/($B10-C$6)/(1+$B10)^('DCF Model'!C19+4)-'DCF Model'!C16)*1000000/'DCF Model'!C15,0),"")</f>
        <v>878</v>
      </c>
      <c r="D10" s="37">
        <f>IFERROR(ROUND(('DCF Model'!C45/(1+$B10)^('DCF Model'!C19+0)+'DCF Model'!D45/(1+$B10)^('DCF Model'!C19+1)+'DCF Model'!E45/(1+$B10)^('DCF Model'!C19+2)+'DCF Model'!F45/(1+$B10)^('DCF Model'!C19+3)+'DCF Model'!G45/(1+$B10)^('DCF Model'!C19+4)+'DCF Model'!G45*(1+D$6)/($B10-D$6)/(1+$B10)^('DCF Model'!C19+4)-'DCF Model'!C16)*1000000/'DCF Model'!C15,0),"")</f>
        <v>902</v>
      </c>
      <c r="E10" s="37">
        <f>IFERROR(ROUND(('DCF Model'!C45/(1+$B10)^('DCF Model'!C19+0)+'DCF Model'!D45/(1+$B10)^('DCF Model'!C19+1)+'DCF Model'!E45/(1+$B10)^('DCF Model'!C19+2)+'DCF Model'!F45/(1+$B10)^('DCF Model'!C19+3)+'DCF Model'!G45/(1+$B10)^('DCF Model'!C19+4)+'DCF Model'!G45*(1+E$6)/($B10-E$6)/(1+$B10)^('DCF Model'!C19+4)-'DCF Model'!C16)*1000000/'DCF Model'!C15,0),"")</f>
        <v>928</v>
      </c>
      <c r="F10" s="37">
        <f>IFERROR(ROUND(('DCF Model'!C45/(1+$B10)^('DCF Model'!C19+0)+'DCF Model'!D45/(1+$B10)^('DCF Model'!C19+1)+'DCF Model'!E45/(1+$B10)^('DCF Model'!C19+2)+'DCF Model'!F45/(1+$B10)^('DCF Model'!C19+3)+'DCF Model'!G45/(1+$B10)^('DCF Model'!C19+4)+'DCF Model'!G45*(1+F$6)/($B10-F$6)/(1+$B10)^('DCF Model'!C19+4)-'DCF Model'!C16)*1000000/'DCF Model'!C15,0),"")</f>
        <v>956</v>
      </c>
      <c r="G10" s="37">
        <f>IFERROR(ROUND(('DCF Model'!C45/(1+$B10)^('DCF Model'!C19+0)+'DCF Model'!D45/(1+$B10)^('DCF Model'!C19+1)+'DCF Model'!E45/(1+$B10)^('DCF Model'!C19+2)+'DCF Model'!F45/(1+$B10)^('DCF Model'!C19+3)+'DCF Model'!G45/(1+$B10)^('DCF Model'!C19+4)+'DCF Model'!G45*(1+G$6)/($B10-G$6)/(1+$B10)^('DCF Model'!C19+4)-'DCF Model'!C16)*1000000/'DCF Model'!C15,0),"")</f>
        <v>986</v>
      </c>
      <c r="H10" s="37">
        <f>IFERROR(ROUND(('DCF Model'!C45/(1+$B10)^('DCF Model'!C19+0)+'DCF Model'!D45/(1+$B10)^('DCF Model'!C19+1)+'DCF Model'!E45/(1+$B10)^('DCF Model'!C19+2)+'DCF Model'!F45/(1+$B10)^('DCF Model'!C19+3)+'DCF Model'!G45/(1+$B10)^('DCF Model'!C19+4)+'DCF Model'!G45*(1+H$6)/($B10-H$6)/(1+$B10)^('DCF Model'!C19+4)-'DCF Model'!C16)*1000000/'DCF Model'!C15,0),"")</f>
        <v>1018</v>
      </c>
      <c r="I10" s="37">
        <f>IFERROR(ROUND(('DCF Model'!C45/(1+$B10)^('DCF Model'!C19+0)+'DCF Model'!D45/(1+$B10)^('DCF Model'!C19+1)+'DCF Model'!E45/(1+$B10)^('DCF Model'!C19+2)+'DCF Model'!F45/(1+$B10)^('DCF Model'!C19+3)+'DCF Model'!G45/(1+$B10)^('DCF Model'!C19+4)+'DCF Model'!G45*(1+I$6)/($B10-I$6)/(1+$B10)^('DCF Model'!C19+4)-'DCF Model'!C16)*1000000/'DCF Model'!C15,0),"")</f>
        <v>1053</v>
      </c>
    </row>
    <row r="11" spans="2:9" ht="13.5" x14ac:dyDescent="0.25">
      <c r="B11" s="39">
        <f>$C$3+0.005</f>
        <v>8.0813999999999997E-2</v>
      </c>
      <c r="C11" s="37">
        <f>IFERROR(ROUND(('DCF Model'!C45/(1+$B11)^('DCF Model'!C19+0)+'DCF Model'!D45/(1+$B11)^('DCF Model'!C19+1)+'DCF Model'!E45/(1+$B11)^('DCF Model'!C19+2)+'DCF Model'!F45/(1+$B11)^('DCF Model'!C19+3)+'DCF Model'!G45/(1+$B11)^('DCF Model'!C19+4)+'DCF Model'!G45*(1+C$6)/($B11-C$6)/(1+$B11)^('DCF Model'!C19+4)-'DCF Model'!C16)*1000000/'DCF Model'!C15,0),"")</f>
        <v>820</v>
      </c>
      <c r="D11" s="37">
        <f>IFERROR(ROUND(('DCF Model'!C45/(1+$B11)^('DCF Model'!C19+0)+'DCF Model'!D45/(1+$B11)^('DCF Model'!C19+1)+'DCF Model'!E45/(1+$B11)^('DCF Model'!C19+2)+'DCF Model'!F45/(1+$B11)^('DCF Model'!C19+3)+'DCF Model'!G45/(1+$B11)^('DCF Model'!C19+4)+'DCF Model'!G45*(1+D$6)/($B11-D$6)/(1+$B11)^('DCF Model'!C19+4)-'DCF Model'!C16)*1000000/'DCF Model'!C15,0),"")</f>
        <v>841</v>
      </c>
      <c r="E11" s="37">
        <f>IFERROR(ROUND(('DCF Model'!C45/(1+$B11)^('DCF Model'!C19+0)+'DCF Model'!D45/(1+$B11)^('DCF Model'!C19+1)+'DCF Model'!E45/(1+$B11)^('DCF Model'!C19+2)+'DCF Model'!F45/(1+$B11)^('DCF Model'!C19+3)+'DCF Model'!G45/(1+$B11)^('DCF Model'!C19+4)+'DCF Model'!G45*(1+E$6)/($B11-E$6)/(1+$B11)^('DCF Model'!C19+4)-'DCF Model'!C16)*1000000/'DCF Model'!C15,0),"")</f>
        <v>863</v>
      </c>
      <c r="F11" s="37">
        <f>IFERROR(ROUND(('DCF Model'!C45/(1+$B11)^('DCF Model'!C19+0)+'DCF Model'!D45/(1+$B11)^('DCF Model'!C19+1)+'DCF Model'!E45/(1+$B11)^('DCF Model'!C19+2)+'DCF Model'!F45/(1+$B11)^('DCF Model'!C19+3)+'DCF Model'!G45/(1+$B11)^('DCF Model'!C19+4)+'DCF Model'!G45*(1+F$6)/($B11-F$6)/(1+$B11)^('DCF Model'!C19+4)-'DCF Model'!C16)*1000000/'DCF Model'!C15,0),"")</f>
        <v>887</v>
      </c>
      <c r="G11" s="37">
        <f>IFERROR(ROUND(('DCF Model'!C45/(1+$B11)^('DCF Model'!C19+0)+'DCF Model'!D45/(1+$B11)^('DCF Model'!C19+1)+'DCF Model'!E45/(1+$B11)^('DCF Model'!C19+2)+'DCF Model'!F45/(1+$B11)^('DCF Model'!C19+3)+'DCF Model'!G45/(1+$B11)^('DCF Model'!C19+4)+'DCF Model'!G45*(1+G$6)/($B11-G$6)/(1+$B11)^('DCF Model'!C19+4)-'DCF Model'!C16)*1000000/'DCF Model'!C15,0),"")</f>
        <v>912</v>
      </c>
      <c r="H11" s="37">
        <f>IFERROR(ROUND(('DCF Model'!C45/(1+$B11)^('DCF Model'!C19+0)+'DCF Model'!D45/(1+$B11)^('DCF Model'!C19+1)+'DCF Model'!E45/(1+$B11)^('DCF Model'!C19+2)+'DCF Model'!F45/(1+$B11)^('DCF Model'!C19+3)+'DCF Model'!G45/(1+$B11)^('DCF Model'!C19+4)+'DCF Model'!G45*(1+H$6)/($B11-H$6)/(1+$B11)^('DCF Model'!C19+4)-'DCF Model'!C16)*1000000/'DCF Model'!C15,0),"")</f>
        <v>940</v>
      </c>
      <c r="I11" s="37">
        <f>IFERROR(ROUND(('DCF Model'!C45/(1+$B11)^('DCF Model'!C19+0)+'DCF Model'!D45/(1+$B11)^('DCF Model'!C19+1)+'DCF Model'!E45/(1+$B11)^('DCF Model'!C19+2)+'DCF Model'!F45/(1+$B11)^('DCF Model'!C19+3)+'DCF Model'!G45/(1+$B11)^('DCF Model'!C19+4)+'DCF Model'!G45*(1+I$6)/($B11-I$6)/(1+$B11)^('DCF Model'!C19+4)-'DCF Model'!C16)*1000000/'DCF Model'!C15,0),"")</f>
        <v>969</v>
      </c>
    </row>
    <row r="12" spans="2:9" ht="13.5" x14ac:dyDescent="0.25">
      <c r="B12" s="39">
        <f>$C$3+0.01</f>
        <v>8.5813999999999988E-2</v>
      </c>
      <c r="C12" s="37">
        <f>IFERROR(ROUND(('DCF Model'!C45/(1+$B12)^('DCF Model'!C19+0)+'DCF Model'!D45/(1+$B12)^('DCF Model'!C19+1)+'DCF Model'!E45/(1+$B12)^('DCF Model'!C19+2)+'DCF Model'!F45/(1+$B12)^('DCF Model'!C19+3)+'DCF Model'!G45/(1+$B12)^('DCF Model'!C19+4)+'DCF Model'!G45*(1+C$6)/($B12-C$6)/(1+$B12)^('DCF Model'!C19+4)-'DCF Model'!C16)*1000000/'DCF Model'!C15,0),"")</f>
        <v>770</v>
      </c>
      <c r="D12" s="37">
        <f>IFERROR(ROUND(('DCF Model'!C45/(1+$B12)^('DCF Model'!C19+0)+'DCF Model'!D45/(1+$B12)^('DCF Model'!C19+1)+'DCF Model'!E45/(1+$B12)^('DCF Model'!C19+2)+'DCF Model'!F45/(1+$B12)^('DCF Model'!C19+3)+'DCF Model'!G45/(1+$B12)^('DCF Model'!C19+4)+'DCF Model'!G45*(1+D$6)/($B12-D$6)/(1+$B12)^('DCF Model'!C19+4)-'DCF Model'!C16)*1000000/'DCF Model'!C15,0),"")</f>
        <v>788</v>
      </c>
      <c r="E12" s="37">
        <f>IFERROR(ROUND(('DCF Model'!C45/(1+$B12)^('DCF Model'!C19+0)+'DCF Model'!D45/(1+$B12)^('DCF Model'!C19+1)+'DCF Model'!E45/(1+$B12)^('DCF Model'!C19+2)+'DCF Model'!F45/(1+$B12)^('DCF Model'!C19+3)+'DCF Model'!G45/(1+$B12)^('DCF Model'!C19+4)+'DCF Model'!G45*(1+E$6)/($B12-E$6)/(1+$B12)^('DCF Model'!C19+4)-'DCF Model'!C16)*1000000/'DCF Model'!C15,0),"")</f>
        <v>807</v>
      </c>
      <c r="F12" s="37">
        <f>IFERROR(ROUND(('DCF Model'!C45/(1+$B12)^('DCF Model'!C19+0)+'DCF Model'!D45/(1+$B12)^('DCF Model'!C19+1)+'DCF Model'!E45/(1+$B12)^('DCF Model'!C19+2)+'DCF Model'!F45/(1+$B12)^('DCF Model'!C19+3)+'DCF Model'!G45/(1+$B12)^('DCF Model'!C19+4)+'DCF Model'!G45*(1+F$6)/($B12-F$6)/(1+$B12)^('DCF Model'!C19+4)-'DCF Model'!C16)*1000000/'DCF Model'!C15,0),"")</f>
        <v>828</v>
      </c>
      <c r="G12" s="37">
        <f>IFERROR(ROUND(('DCF Model'!C45/(1+$B12)^('DCF Model'!C19+0)+'DCF Model'!D45/(1+$B12)^('DCF Model'!C19+1)+'DCF Model'!E45/(1+$B12)^('DCF Model'!C19+2)+'DCF Model'!F45/(1+$B12)^('DCF Model'!C19+3)+'DCF Model'!G45/(1+$B12)^('DCF Model'!C19+4)+'DCF Model'!G45*(1+G$6)/($B12-G$6)/(1+$B12)^('DCF Model'!C19+4)-'DCF Model'!C16)*1000000/'DCF Model'!C15,0),"")</f>
        <v>849</v>
      </c>
      <c r="H12" s="37">
        <f>IFERROR(ROUND(('DCF Model'!C45/(1+$B12)^('DCF Model'!C19+0)+'DCF Model'!D45/(1+$B12)^('DCF Model'!C19+1)+'DCF Model'!E45/(1+$B12)^('DCF Model'!C19+2)+'DCF Model'!F45/(1+$B12)^('DCF Model'!C19+3)+'DCF Model'!G45/(1+$B12)^('DCF Model'!C19+4)+'DCF Model'!G45*(1+H$6)/($B12-H$6)/(1+$B12)^('DCF Model'!C19+4)-'DCF Model'!C16)*1000000/'DCF Model'!C15,0),"")</f>
        <v>873</v>
      </c>
      <c r="I12" s="37">
        <f>IFERROR(ROUND(('DCF Model'!C45/(1+$B12)^('DCF Model'!C19+0)+'DCF Model'!D45/(1+$B12)^('DCF Model'!C19+1)+'DCF Model'!E45/(1+$B12)^('DCF Model'!C19+2)+'DCF Model'!F45/(1+$B12)^('DCF Model'!C19+3)+'DCF Model'!G45/(1+$B12)^('DCF Model'!C19+4)+'DCF Model'!G45*(1+I$6)/($B12-I$6)/(1+$B12)^('DCF Model'!C19+4)-'DCF Model'!C16)*1000000/'DCF Model'!C15,0),"")</f>
        <v>898</v>
      </c>
    </row>
    <row r="13" spans="2:9" ht="13.5" x14ac:dyDescent="0.25">
      <c r="B13" s="39">
        <f>$C$3+0.015</f>
        <v>9.0813999999999992E-2</v>
      </c>
      <c r="C13" s="37">
        <f>IFERROR(ROUND(('DCF Model'!C45/(1+$B13)^('DCF Model'!C19+0)+'DCF Model'!D45/(1+$B13)^('DCF Model'!C19+1)+'DCF Model'!E45/(1+$B13)^('DCF Model'!C19+2)+'DCF Model'!F45/(1+$B13)^('DCF Model'!C19+3)+'DCF Model'!G45/(1+$B13)^('DCF Model'!C19+4)+'DCF Model'!G45*(1+C$6)/($B13-C$6)/(1+$B13)^('DCF Model'!C19+4)-'DCF Model'!C16)*1000000/'DCF Model'!C15,0),"")</f>
        <v>726</v>
      </c>
      <c r="D13" s="37">
        <f>IFERROR(ROUND(('DCF Model'!C45/(1+$B13)^('DCF Model'!C19+0)+'DCF Model'!D45/(1+$B13)^('DCF Model'!C19+1)+'DCF Model'!E45/(1+$B13)^('DCF Model'!C19+2)+'DCF Model'!F45/(1+$B13)^('DCF Model'!C19+3)+'DCF Model'!G45/(1+$B13)^('DCF Model'!C19+4)+'DCF Model'!G45*(1+D$6)/($B13-D$6)/(1+$B13)^('DCF Model'!C19+4)-'DCF Model'!C16)*1000000/'DCF Model'!C15,0),"")</f>
        <v>741</v>
      </c>
      <c r="E13" s="37">
        <f>IFERROR(ROUND(('DCF Model'!C45/(1+$B13)^('DCF Model'!C19+0)+'DCF Model'!D45/(1+$B13)^('DCF Model'!C19+1)+'DCF Model'!E45/(1+$B13)^('DCF Model'!C19+2)+'DCF Model'!F45/(1+$B13)^('DCF Model'!C19+3)+'DCF Model'!G45/(1+$B13)^('DCF Model'!C19+4)+'DCF Model'!G45*(1+E$6)/($B13-E$6)/(1+$B13)^('DCF Model'!C19+4)-'DCF Model'!C16)*1000000/'DCF Model'!C15,0),"")</f>
        <v>758</v>
      </c>
      <c r="F13" s="37">
        <f>IFERROR(ROUND(('DCF Model'!C45/(1+$B13)^('DCF Model'!C19+0)+'DCF Model'!D45/(1+$B13)^('DCF Model'!C19+1)+'DCF Model'!E45/(1+$B13)^('DCF Model'!C19+2)+'DCF Model'!F45/(1+$B13)^('DCF Model'!C19+3)+'DCF Model'!G45/(1+$B13)^('DCF Model'!C19+4)+'DCF Model'!G45*(1+F$6)/($B13-F$6)/(1+$B13)^('DCF Model'!C19+4)-'DCF Model'!C16)*1000000/'DCF Model'!C15,0),"")</f>
        <v>776</v>
      </c>
      <c r="G13" s="37">
        <f>IFERROR(ROUND(('DCF Model'!C45/(1+$B13)^('DCF Model'!C19+0)+'DCF Model'!D45/(1+$B13)^('DCF Model'!C19+1)+'DCF Model'!E45/(1+$B13)^('DCF Model'!C19+2)+'DCF Model'!F45/(1+$B13)^('DCF Model'!C19+3)+'DCF Model'!G45/(1+$B13)^('DCF Model'!C19+4)+'DCF Model'!G45*(1+G$6)/($B13-G$6)/(1+$B13)^('DCF Model'!C19+4)-'DCF Model'!C16)*1000000/'DCF Model'!C15,0),"")</f>
        <v>794</v>
      </c>
      <c r="H13" s="37">
        <f>IFERROR(ROUND(('DCF Model'!C45/(1+$B13)^('DCF Model'!C19+0)+'DCF Model'!D45/(1+$B13)^('DCF Model'!C19+1)+'DCF Model'!E45/(1+$B13)^('DCF Model'!C19+2)+'DCF Model'!F45/(1+$B13)^('DCF Model'!C19+3)+'DCF Model'!G45/(1+$B13)^('DCF Model'!C19+4)+'DCF Model'!G45*(1+H$6)/($B13-H$6)/(1+$B13)^('DCF Model'!C19+4)-'DCF Model'!C16)*1000000/'DCF Model'!C15,0),"")</f>
        <v>814</v>
      </c>
      <c r="I13" s="37">
        <f>IFERROR(ROUND(('DCF Model'!C45/(1+$B13)^('DCF Model'!C19+0)+'DCF Model'!D45/(1+$B13)^('DCF Model'!C19+1)+'DCF Model'!E45/(1+$B13)^('DCF Model'!C19+2)+'DCF Model'!F45/(1+$B13)^('DCF Model'!C19+3)+'DCF Model'!G45/(1+$B13)^('DCF Model'!C19+4)+'DCF Model'!G45*(1+I$6)/($B13-I$6)/(1+$B13)^('DCF Model'!C19+4)-'DCF Model'!C16)*1000000/'DCF Model'!C15,0),"")</f>
        <v>836</v>
      </c>
    </row>
    <row r="16" spans="2:9" ht="14" x14ac:dyDescent="0.3">
      <c r="B16" s="3" t="s">
        <v>236</v>
      </c>
    </row>
    <row r="17" spans="2:9" ht="14" x14ac:dyDescent="0.3">
      <c r="B17" s="40" t="s">
        <v>237</v>
      </c>
      <c r="C17" s="42">
        <f>$I$3-3</f>
        <v>7.9</v>
      </c>
      <c r="D17" s="42">
        <f>$I$3-2</f>
        <v>8.9</v>
      </c>
      <c r="E17" s="42">
        <f>$I$3-1</f>
        <v>9.9</v>
      </c>
      <c r="F17" s="42">
        <f>$I$3</f>
        <v>10.9</v>
      </c>
      <c r="G17" s="42">
        <f>$I$3+1</f>
        <v>11.9</v>
      </c>
      <c r="H17" s="42">
        <f>$I$3+2</f>
        <v>12.9</v>
      </c>
      <c r="I17" s="42">
        <f>$I$3+3</f>
        <v>13.9</v>
      </c>
    </row>
    <row r="18" spans="2:9" ht="13.5" x14ac:dyDescent="0.25">
      <c r="B18" s="39">
        <f>$C$3-0.015</f>
        <v>6.0813999999999993E-2</v>
      </c>
      <c r="C18" s="37">
        <f>IFERROR(ROUND(('DCF Model'!C45/(1+$B18)^('DCF Model'!C19+0)+'DCF Model'!D45/(1+$B18)^('DCF Model'!C19+1)+'DCF Model'!E45/(1+$B18)^('DCF Model'!C19+2)+'DCF Model'!F45/(1+$B18)^('DCF Model'!C19+3)+'DCF Model'!G45/(1+$B18)^('DCF Model'!C19+4)+('DCF Model'!G39+'DCF Model'!G42)*C$17/(1+$B18)^('DCF Model'!C19+4)-'DCF Model'!C16)*1000000/'DCF Model'!C15,0),"")</f>
        <v>1031</v>
      </c>
      <c r="D18" s="37">
        <f>IFERROR(ROUND(('DCF Model'!C45/(1+$B18)^('DCF Model'!C19+0)+'DCF Model'!D45/(1+$B18)^('DCF Model'!C19+1)+'DCF Model'!E45/(1+$B18)^('DCF Model'!C19+2)+'DCF Model'!F45/(1+$B18)^('DCF Model'!C19+3)+'DCF Model'!G45/(1+$B18)^('DCF Model'!C19+4)+('DCF Model'!G39+'DCF Model'!G42)*D$17/(1+$B18)^('DCF Model'!C19+4)-'DCF Model'!C16)*1000000/'DCF Model'!C15,0),"")</f>
        <v>1130</v>
      </c>
      <c r="E18" s="37">
        <f>IFERROR(ROUND(('DCF Model'!C45/(1+$B18)^('DCF Model'!C19+0)+'DCF Model'!D45/(1+$B18)^('DCF Model'!C19+1)+'DCF Model'!E45/(1+$B18)^('DCF Model'!C19+2)+'DCF Model'!F45/(1+$B18)^('DCF Model'!C19+3)+'DCF Model'!G45/(1+$B18)^('DCF Model'!C19+4)+('DCF Model'!G39+'DCF Model'!G42)*E$17/(1+$B18)^('DCF Model'!C19+4)-'DCF Model'!C16)*1000000/'DCF Model'!C15,0),"")</f>
        <v>1228</v>
      </c>
      <c r="F18" s="37">
        <f>IFERROR(ROUND(('DCF Model'!C45/(1+$B18)^('DCF Model'!C19+0)+'DCF Model'!D45/(1+$B18)^('DCF Model'!C19+1)+'DCF Model'!E45/(1+$B18)^('DCF Model'!C19+2)+'DCF Model'!F45/(1+$B18)^('DCF Model'!C19+3)+'DCF Model'!G45/(1+$B18)^('DCF Model'!C19+4)+('DCF Model'!G39+'DCF Model'!G42)*F$17/(1+$B18)^('DCF Model'!C19+4)-'DCF Model'!C16)*1000000/'DCF Model'!C15,0),"")</f>
        <v>1327</v>
      </c>
      <c r="G18" s="37">
        <f>IFERROR(ROUND(('DCF Model'!C45/(1+$B18)^('DCF Model'!C19+0)+'DCF Model'!D45/(1+$B18)^('DCF Model'!C19+1)+'DCF Model'!E45/(1+$B18)^('DCF Model'!C19+2)+'DCF Model'!F45/(1+$B18)^('DCF Model'!C19+3)+'DCF Model'!G45/(1+$B18)^('DCF Model'!C19+4)+('DCF Model'!G39+'DCF Model'!G42)*G$17/(1+$B18)^('DCF Model'!C19+4)-'DCF Model'!C16)*1000000/'DCF Model'!C15,0),"")</f>
        <v>1426</v>
      </c>
      <c r="H18" s="37">
        <f>IFERROR(ROUND(('DCF Model'!C45/(1+$B18)^('DCF Model'!C19+0)+'DCF Model'!D45/(1+$B18)^('DCF Model'!C19+1)+'DCF Model'!E45/(1+$B18)^('DCF Model'!C19+2)+'DCF Model'!F45/(1+$B18)^('DCF Model'!C19+3)+'DCF Model'!G45/(1+$B18)^('DCF Model'!C19+4)+('DCF Model'!G39+'DCF Model'!G42)*H$17/(1+$B18)^('DCF Model'!C19+4)-'DCF Model'!C16)*1000000/'DCF Model'!C15,0),"")</f>
        <v>1525</v>
      </c>
      <c r="I18" s="37">
        <f>IFERROR(ROUND(('DCF Model'!C45/(1+$B18)^('DCF Model'!C19+0)+'DCF Model'!D45/(1+$B18)^('DCF Model'!C19+1)+'DCF Model'!E45/(1+$B18)^('DCF Model'!C19+2)+'DCF Model'!F45/(1+$B18)^('DCF Model'!C19+3)+'DCF Model'!G45/(1+$B18)^('DCF Model'!C19+4)+('DCF Model'!G39+'DCF Model'!G42)*I$17/(1+$B18)^('DCF Model'!C19+4)-'DCF Model'!C16)*1000000/'DCF Model'!C15,0),"")</f>
        <v>1624</v>
      </c>
    </row>
    <row r="19" spans="2:9" ht="13.5" x14ac:dyDescent="0.25">
      <c r="B19" s="39">
        <f>$C$3-0.01</f>
        <v>6.5813999999999998E-2</v>
      </c>
      <c r="C19" s="37">
        <f>IFERROR(ROUND(('DCF Model'!C45/(1+$B19)^('DCF Model'!C19+0)+'DCF Model'!D45/(1+$B19)^('DCF Model'!C19+1)+'DCF Model'!E45/(1+$B19)^('DCF Model'!C19+2)+'DCF Model'!F45/(1+$B19)^('DCF Model'!C19+3)+'DCF Model'!G45/(1+$B19)^('DCF Model'!C19+4)+('DCF Model'!G39+'DCF Model'!G42)*C$17/(1+$B19)^('DCF Model'!C19+4)-'DCF Model'!C16)*1000000/'DCF Model'!C15,0),"")</f>
        <v>1009</v>
      </c>
      <c r="D19" s="37">
        <f>IFERROR(ROUND(('DCF Model'!C45/(1+$B19)^('DCF Model'!C19+0)+'DCF Model'!D45/(1+$B19)^('DCF Model'!C19+1)+'DCF Model'!E45/(1+$B19)^('DCF Model'!C19+2)+'DCF Model'!F45/(1+$B19)^('DCF Model'!C19+3)+'DCF Model'!G45/(1+$B19)^('DCF Model'!C19+4)+('DCF Model'!G39+'DCF Model'!G42)*D$17/(1+$B19)^('DCF Model'!C19+4)-'DCF Model'!C16)*1000000/'DCF Model'!C15,0),"")</f>
        <v>1106</v>
      </c>
      <c r="E19" s="37">
        <f>IFERROR(ROUND(('DCF Model'!C45/(1+$B19)^('DCF Model'!C19+0)+'DCF Model'!D45/(1+$B19)^('DCF Model'!C19+1)+'DCF Model'!E45/(1+$B19)^('DCF Model'!C19+2)+'DCF Model'!F45/(1+$B19)^('DCF Model'!C19+3)+'DCF Model'!G45/(1+$B19)^('DCF Model'!C19+4)+('DCF Model'!G39+'DCF Model'!G42)*E$17/(1+$B19)^('DCF Model'!C19+4)-'DCF Model'!C16)*1000000/'DCF Model'!C15,0),"")</f>
        <v>1203</v>
      </c>
      <c r="F19" s="37">
        <f>IFERROR(ROUND(('DCF Model'!C45/(1+$B19)^('DCF Model'!C19+0)+'DCF Model'!D45/(1+$B19)^('DCF Model'!C19+1)+'DCF Model'!E45/(1+$B19)^('DCF Model'!C19+2)+'DCF Model'!F45/(1+$B19)^('DCF Model'!C19+3)+'DCF Model'!G45/(1+$B19)^('DCF Model'!C19+4)+('DCF Model'!G39+'DCF Model'!G42)*F$17/(1+$B19)^('DCF Model'!C19+4)-'DCF Model'!C16)*1000000/'DCF Model'!C15,0),"")</f>
        <v>1299</v>
      </c>
      <c r="G19" s="37">
        <f>IFERROR(ROUND(('DCF Model'!C45/(1+$B19)^('DCF Model'!C19+0)+'DCF Model'!D45/(1+$B19)^('DCF Model'!C19+1)+'DCF Model'!E45/(1+$B19)^('DCF Model'!C19+2)+'DCF Model'!F45/(1+$B19)^('DCF Model'!C19+3)+'DCF Model'!G45/(1+$B19)^('DCF Model'!C19+4)+('DCF Model'!G39+'DCF Model'!G42)*G$17/(1+$B19)^('DCF Model'!C19+4)-'DCF Model'!C16)*1000000/'DCF Model'!C15,0),"")</f>
        <v>1396</v>
      </c>
      <c r="H19" s="37">
        <f>IFERROR(ROUND(('DCF Model'!C45/(1+$B19)^('DCF Model'!C19+0)+'DCF Model'!D45/(1+$B19)^('DCF Model'!C19+1)+'DCF Model'!E45/(1+$B19)^('DCF Model'!C19+2)+'DCF Model'!F45/(1+$B19)^('DCF Model'!C19+3)+'DCF Model'!G45/(1+$B19)^('DCF Model'!C19+4)+('DCF Model'!G39+'DCF Model'!G42)*H$17/(1+$B19)^('DCF Model'!C19+4)-'DCF Model'!C16)*1000000/'DCF Model'!C15,0),"")</f>
        <v>1492</v>
      </c>
      <c r="I19" s="37">
        <f>IFERROR(ROUND(('DCF Model'!C45/(1+$B19)^('DCF Model'!C19+0)+'DCF Model'!D45/(1+$B19)^('DCF Model'!C19+1)+'DCF Model'!E45/(1+$B19)^('DCF Model'!C19+2)+'DCF Model'!F45/(1+$B19)^('DCF Model'!C19+3)+'DCF Model'!G45/(1+$B19)^('DCF Model'!C19+4)+('DCF Model'!G39+'DCF Model'!G42)*I$17/(1+$B19)^('DCF Model'!C19+4)-'DCF Model'!C16)*1000000/'DCF Model'!C15,0),"")</f>
        <v>1589</v>
      </c>
    </row>
    <row r="20" spans="2:9" ht="13.5" x14ac:dyDescent="0.25">
      <c r="B20" s="39">
        <f>$C$3-0.005</f>
        <v>7.0813999999999988E-2</v>
      </c>
      <c r="C20" s="37">
        <f>IFERROR(ROUND(('DCF Model'!C45/(1+$B20)^('DCF Model'!C19+0)+'DCF Model'!D45/(1+$B20)^('DCF Model'!C19+1)+'DCF Model'!E45/(1+$B20)^('DCF Model'!C19+2)+'DCF Model'!F45/(1+$B20)^('DCF Model'!C19+3)+'DCF Model'!G45/(1+$B20)^('DCF Model'!C19+4)+('DCF Model'!G39+'DCF Model'!G42)*C$17/(1+$B20)^('DCF Model'!C19+4)-'DCF Model'!C16)*1000000/'DCF Model'!C15,0),"")</f>
        <v>989</v>
      </c>
      <c r="D20" s="37">
        <f>IFERROR(ROUND(('DCF Model'!C45/(1+$B20)^('DCF Model'!C19+0)+'DCF Model'!D45/(1+$B20)^('DCF Model'!C19+1)+'DCF Model'!E45/(1+$B20)^('DCF Model'!C19+2)+'DCF Model'!F45/(1+$B20)^('DCF Model'!C19+3)+'DCF Model'!G45/(1+$B20)^('DCF Model'!C19+4)+('DCF Model'!G39+'DCF Model'!G42)*D$17/(1+$B20)^('DCF Model'!C19+4)-'DCF Model'!C16)*1000000/'DCF Model'!C15,0),"")</f>
        <v>1083</v>
      </c>
      <c r="E20" s="37">
        <f>IFERROR(ROUND(('DCF Model'!C45/(1+$B20)^('DCF Model'!C19+0)+'DCF Model'!D45/(1+$B20)^('DCF Model'!C19+1)+'DCF Model'!E45/(1+$B20)^('DCF Model'!C19+2)+'DCF Model'!F45/(1+$B20)^('DCF Model'!C19+3)+'DCF Model'!G45/(1+$B20)^('DCF Model'!C19+4)+('DCF Model'!G39+'DCF Model'!G42)*E$17/(1+$B20)^('DCF Model'!C19+4)-'DCF Model'!C16)*1000000/'DCF Model'!C15,0),"")</f>
        <v>1178</v>
      </c>
      <c r="F20" s="37">
        <f>IFERROR(ROUND(('DCF Model'!C45/(1+$B20)^('DCF Model'!C19+0)+'DCF Model'!D45/(1+$B20)^('DCF Model'!C19+1)+'DCF Model'!E45/(1+$B20)^('DCF Model'!C19+2)+'DCF Model'!F45/(1+$B20)^('DCF Model'!C19+3)+'DCF Model'!G45/(1+$B20)^('DCF Model'!C19+4)+('DCF Model'!G39+'DCF Model'!G42)*F$17/(1+$B20)^('DCF Model'!C19+4)-'DCF Model'!C16)*1000000/'DCF Model'!C15,0),"")</f>
        <v>1272</v>
      </c>
      <c r="G20" s="37">
        <f>IFERROR(ROUND(('DCF Model'!C45/(1+$B20)^('DCF Model'!C19+0)+'DCF Model'!D45/(1+$B20)^('DCF Model'!C19+1)+'DCF Model'!E45/(1+$B20)^('DCF Model'!C19+2)+'DCF Model'!F45/(1+$B20)^('DCF Model'!C19+3)+'DCF Model'!G45/(1+$B20)^('DCF Model'!C19+4)+('DCF Model'!G39+'DCF Model'!G42)*G$17/(1+$B20)^('DCF Model'!C19+4)-'DCF Model'!C16)*1000000/'DCF Model'!C15,0),"")</f>
        <v>1366</v>
      </c>
      <c r="H20" s="37">
        <f>IFERROR(ROUND(('DCF Model'!C45/(1+$B20)^('DCF Model'!C19+0)+'DCF Model'!D45/(1+$B20)^('DCF Model'!C19+1)+'DCF Model'!E45/(1+$B20)^('DCF Model'!C19+2)+'DCF Model'!F45/(1+$B20)^('DCF Model'!C19+3)+'DCF Model'!G45/(1+$B20)^('DCF Model'!C19+4)+('DCF Model'!G39+'DCF Model'!G42)*H$17/(1+$B20)^('DCF Model'!C19+4)-'DCF Model'!C16)*1000000/'DCF Model'!C15,0),"")</f>
        <v>1461</v>
      </c>
      <c r="I20" s="37">
        <f>IFERROR(ROUND(('DCF Model'!C45/(1+$B20)^('DCF Model'!C19+0)+'DCF Model'!D45/(1+$B20)^('DCF Model'!C19+1)+'DCF Model'!E45/(1+$B20)^('DCF Model'!C19+2)+'DCF Model'!F45/(1+$B20)^('DCF Model'!C19+3)+'DCF Model'!G45/(1+$B20)^('DCF Model'!C19+4)+('DCF Model'!G39+'DCF Model'!G42)*I$17/(1+$B20)^('DCF Model'!C19+4)-'DCF Model'!C16)*1000000/'DCF Model'!C15,0),"")</f>
        <v>1555</v>
      </c>
    </row>
    <row r="21" spans="2:9" ht="13.5" x14ac:dyDescent="0.25">
      <c r="B21" s="39">
        <f>$C$3</f>
        <v>7.5813999999999993E-2</v>
      </c>
      <c r="C21" s="37">
        <f>IFERROR(ROUND(('DCF Model'!C45/(1+$B21)^('DCF Model'!C19+0)+'DCF Model'!D45/(1+$B21)^('DCF Model'!C19+1)+'DCF Model'!E45/(1+$B21)^('DCF Model'!C19+2)+'DCF Model'!F45/(1+$B21)^('DCF Model'!C19+3)+'DCF Model'!G45/(1+$B21)^('DCF Model'!C19+4)+('DCF Model'!G39+'DCF Model'!G42)*C$17/(1+$B21)^('DCF Model'!C19+4)-'DCF Model'!C16)*1000000/'DCF Model'!C15,0),"")</f>
        <v>969</v>
      </c>
      <c r="D21" s="37">
        <f>IFERROR(ROUND(('DCF Model'!C45/(1+$B21)^('DCF Model'!C19+0)+'DCF Model'!D45/(1+$B21)^('DCF Model'!C19+1)+'DCF Model'!E45/(1+$B21)^('DCF Model'!C19+2)+'DCF Model'!F45/(1+$B21)^('DCF Model'!C19+3)+'DCF Model'!G45/(1+$B21)^('DCF Model'!C19+4)+('DCF Model'!G39+'DCF Model'!G42)*D$17/(1+$B21)^('DCF Model'!C19+4)-'DCF Model'!C16)*1000000/'DCF Model'!C15,0),"")</f>
        <v>1061</v>
      </c>
      <c r="E21" s="37">
        <f>IFERROR(ROUND(('DCF Model'!C45/(1+$B21)^('DCF Model'!C19+0)+'DCF Model'!D45/(1+$B21)^('DCF Model'!C19+1)+'DCF Model'!E45/(1+$B21)^('DCF Model'!C19+2)+'DCF Model'!F45/(1+$B21)^('DCF Model'!C19+3)+'DCF Model'!G45/(1+$B21)^('DCF Model'!C19+4)+('DCF Model'!G39+'DCF Model'!G42)*E$17/(1+$B21)^('DCF Model'!C19+4)-'DCF Model'!C16)*1000000/'DCF Model'!C15,0),"")</f>
        <v>1153</v>
      </c>
      <c r="F21" s="37">
        <f>IFERROR(ROUND(('DCF Model'!C45/(1+$B21)^('DCF Model'!C19+0)+'DCF Model'!D45/(1+$B21)^('DCF Model'!C19+1)+'DCF Model'!E45/(1+$B21)^('DCF Model'!C19+2)+'DCF Model'!F45/(1+$B21)^('DCF Model'!C19+3)+'DCF Model'!G45/(1+$B21)^('DCF Model'!C19+4)+('DCF Model'!G39+'DCF Model'!G42)*F$17/(1+$B21)^('DCF Model'!C19+4)-'DCF Model'!C16)*1000000/'DCF Model'!C15,0),"")</f>
        <v>1245</v>
      </c>
      <c r="G21" s="37">
        <f>IFERROR(ROUND(('DCF Model'!C45/(1+$B21)^('DCF Model'!C19+0)+'DCF Model'!D45/(1+$B21)^('DCF Model'!C19+1)+'DCF Model'!E45/(1+$B21)^('DCF Model'!C19+2)+'DCF Model'!F45/(1+$B21)^('DCF Model'!C19+3)+'DCF Model'!G45/(1+$B21)^('DCF Model'!C19+4)+('DCF Model'!G39+'DCF Model'!G42)*G$17/(1+$B21)^('DCF Model'!C19+4)-'DCF Model'!C16)*1000000/'DCF Model'!C15,0),"")</f>
        <v>1338</v>
      </c>
      <c r="H21" s="37">
        <f>IFERROR(ROUND(('DCF Model'!C45/(1+$B21)^('DCF Model'!C19+0)+'DCF Model'!D45/(1+$B21)^('DCF Model'!C19+1)+'DCF Model'!E45/(1+$B21)^('DCF Model'!C19+2)+'DCF Model'!F45/(1+$B21)^('DCF Model'!C19+3)+'DCF Model'!G45/(1+$B21)^('DCF Model'!C19+4)+('DCF Model'!G39+'DCF Model'!G42)*H$17/(1+$B21)^('DCF Model'!C19+4)-'DCF Model'!C16)*1000000/'DCF Model'!C15,0),"")</f>
        <v>1430</v>
      </c>
      <c r="I21" s="37">
        <f>IFERROR(ROUND(('DCF Model'!C45/(1+$B21)^('DCF Model'!C19+0)+'DCF Model'!D45/(1+$B21)^('DCF Model'!C19+1)+'DCF Model'!E45/(1+$B21)^('DCF Model'!C19+2)+'DCF Model'!F45/(1+$B21)^('DCF Model'!C19+3)+'DCF Model'!G45/(1+$B21)^('DCF Model'!C19+4)+('DCF Model'!G39+'DCF Model'!G42)*I$17/(1+$B21)^('DCF Model'!C19+4)-'DCF Model'!C16)*1000000/'DCF Model'!C15,0),"")</f>
        <v>1522</v>
      </c>
    </row>
    <row r="22" spans="2:9" ht="13.5" x14ac:dyDescent="0.25">
      <c r="B22" s="39">
        <f>$C$3+0.005</f>
        <v>8.0813999999999997E-2</v>
      </c>
      <c r="C22" s="37">
        <f>IFERROR(ROUND(('DCF Model'!C45/(1+$B22)^('DCF Model'!C19+0)+'DCF Model'!D45/(1+$B22)^('DCF Model'!C19+1)+'DCF Model'!E45/(1+$B22)^('DCF Model'!C19+2)+'DCF Model'!F45/(1+$B22)^('DCF Model'!C19+3)+'DCF Model'!G45/(1+$B22)^('DCF Model'!C19+4)+('DCF Model'!G39+'DCF Model'!G42)*C$17/(1+$B22)^('DCF Model'!C19+4)-'DCF Model'!C16)*1000000/'DCF Model'!C15,0),"")</f>
        <v>949</v>
      </c>
      <c r="D22" s="37">
        <f>IFERROR(ROUND(('DCF Model'!C45/(1+$B22)^('DCF Model'!C19+0)+'DCF Model'!D45/(1+$B22)^('DCF Model'!C19+1)+'DCF Model'!E45/(1+$B22)^('DCF Model'!C19+2)+'DCF Model'!F45/(1+$B22)^('DCF Model'!C19+3)+'DCF Model'!G45/(1+$B22)^('DCF Model'!C19+4)+('DCF Model'!G39+'DCF Model'!G42)*D$17/(1+$B22)^('DCF Model'!C19+4)-'DCF Model'!C16)*1000000/'DCF Model'!C15,0),"")</f>
        <v>1039</v>
      </c>
      <c r="E22" s="37">
        <f>IFERROR(ROUND(('DCF Model'!C45/(1+$B22)^('DCF Model'!C19+0)+'DCF Model'!D45/(1+$B22)^('DCF Model'!C19+1)+'DCF Model'!E45/(1+$B22)^('DCF Model'!C19+2)+'DCF Model'!F45/(1+$B22)^('DCF Model'!C19+3)+'DCF Model'!G45/(1+$B22)^('DCF Model'!C19+4)+('DCF Model'!G39+'DCF Model'!G42)*E$17/(1+$B22)^('DCF Model'!C19+4)-'DCF Model'!C16)*1000000/'DCF Model'!C15,0),"")</f>
        <v>1129</v>
      </c>
      <c r="F22" s="37">
        <f>IFERROR(ROUND(('DCF Model'!C45/(1+$B22)^('DCF Model'!C19+0)+'DCF Model'!D45/(1+$B22)^('DCF Model'!C19+1)+'DCF Model'!E45/(1+$B22)^('DCF Model'!C19+2)+'DCF Model'!F45/(1+$B22)^('DCF Model'!C19+3)+'DCF Model'!G45/(1+$B22)^('DCF Model'!C19+4)+('DCF Model'!G39+'DCF Model'!G42)*F$17/(1+$B22)^('DCF Model'!C19+4)-'DCF Model'!C16)*1000000/'DCF Model'!C15,0),"")</f>
        <v>1219</v>
      </c>
      <c r="G22" s="37">
        <f>IFERROR(ROUND(('DCF Model'!C45/(1+$B22)^('DCF Model'!C19+0)+'DCF Model'!D45/(1+$B22)^('DCF Model'!C19+1)+'DCF Model'!E45/(1+$B22)^('DCF Model'!C19+2)+'DCF Model'!F45/(1+$B22)^('DCF Model'!C19+3)+'DCF Model'!G45/(1+$B22)^('DCF Model'!C19+4)+('DCF Model'!G39+'DCF Model'!G42)*G$17/(1+$B22)^('DCF Model'!C19+4)-'DCF Model'!C16)*1000000/'DCF Model'!C15,0),"")</f>
        <v>1310</v>
      </c>
      <c r="H22" s="37">
        <f>IFERROR(ROUND(('DCF Model'!C45/(1+$B22)^('DCF Model'!C19+0)+'DCF Model'!D45/(1+$B22)^('DCF Model'!C19+1)+'DCF Model'!E45/(1+$B22)^('DCF Model'!C19+2)+'DCF Model'!F45/(1+$B22)^('DCF Model'!C19+3)+'DCF Model'!G45/(1+$B22)^('DCF Model'!C19+4)+('DCF Model'!G39+'DCF Model'!G42)*H$17/(1+$B22)^('DCF Model'!C19+4)-'DCF Model'!C16)*1000000/'DCF Model'!C15,0),"")</f>
        <v>1400</v>
      </c>
      <c r="I22" s="37">
        <f>IFERROR(ROUND(('DCF Model'!C45/(1+$B22)^('DCF Model'!C19+0)+'DCF Model'!D45/(1+$B22)^('DCF Model'!C19+1)+'DCF Model'!E45/(1+$B22)^('DCF Model'!C19+2)+'DCF Model'!F45/(1+$B22)^('DCF Model'!C19+3)+'DCF Model'!G45/(1+$B22)^('DCF Model'!C19+4)+('DCF Model'!G39+'DCF Model'!G42)*I$17/(1+$B22)^('DCF Model'!C19+4)-'DCF Model'!C16)*1000000/'DCF Model'!C15,0),"")</f>
        <v>1490</v>
      </c>
    </row>
    <row r="23" spans="2:9" ht="13.5" x14ac:dyDescent="0.25">
      <c r="B23" s="39">
        <f>$C$3+0.01</f>
        <v>8.5813999999999988E-2</v>
      </c>
      <c r="C23" s="37">
        <f>IFERROR(ROUND(('DCF Model'!C45/(1+$B23)^('DCF Model'!C19+0)+'DCF Model'!D45/(1+$B23)^('DCF Model'!C19+1)+'DCF Model'!E45/(1+$B23)^('DCF Model'!C19+2)+'DCF Model'!F45/(1+$B23)^('DCF Model'!C19+3)+'DCF Model'!G45/(1+$B23)^('DCF Model'!C19+4)+('DCF Model'!G39+'DCF Model'!G42)*C$17/(1+$B23)^('DCF Model'!C19+4)-'DCF Model'!C16)*1000000/'DCF Model'!C15,0),"")</f>
        <v>930</v>
      </c>
      <c r="D23" s="37">
        <f>IFERROR(ROUND(('DCF Model'!C45/(1+$B23)^('DCF Model'!C19+0)+'DCF Model'!D45/(1+$B23)^('DCF Model'!C19+1)+'DCF Model'!E45/(1+$B23)^('DCF Model'!C19+2)+'DCF Model'!F45/(1+$B23)^('DCF Model'!C19+3)+'DCF Model'!G45/(1+$B23)^('DCF Model'!C19+4)+('DCF Model'!G39+'DCF Model'!G42)*D$17/(1+$B23)^('DCF Model'!C19+4)-'DCF Model'!C16)*1000000/'DCF Model'!C15,0),"")</f>
        <v>1018</v>
      </c>
      <c r="E23" s="37">
        <f>IFERROR(ROUND(('DCF Model'!C45/(1+$B23)^('DCF Model'!C19+0)+'DCF Model'!D45/(1+$B23)^('DCF Model'!C19+1)+'DCF Model'!E45/(1+$B23)^('DCF Model'!C19+2)+'DCF Model'!F45/(1+$B23)^('DCF Model'!C19+3)+'DCF Model'!G45/(1+$B23)^('DCF Model'!C19+4)+('DCF Model'!G39+'DCF Model'!G42)*E$17/(1+$B23)^('DCF Model'!C19+4)-'DCF Model'!C16)*1000000/'DCF Model'!C15,0),"")</f>
        <v>1106</v>
      </c>
      <c r="F23" s="37">
        <f>IFERROR(ROUND(('DCF Model'!C45/(1+$B23)^('DCF Model'!C19+0)+'DCF Model'!D45/(1+$B23)^('DCF Model'!C19+1)+'DCF Model'!E45/(1+$B23)^('DCF Model'!C19+2)+'DCF Model'!F45/(1+$B23)^('DCF Model'!C19+3)+'DCF Model'!G45/(1+$B23)^('DCF Model'!C19+4)+('DCF Model'!G39+'DCF Model'!G42)*F$17/(1+$B23)^('DCF Model'!C19+4)-'DCF Model'!C16)*1000000/'DCF Model'!C15,0),"")</f>
        <v>1194</v>
      </c>
      <c r="G23" s="37">
        <f>IFERROR(ROUND(('DCF Model'!C45/(1+$B23)^('DCF Model'!C19+0)+'DCF Model'!D45/(1+$B23)^('DCF Model'!C19+1)+'DCF Model'!E45/(1+$B23)^('DCF Model'!C19+2)+'DCF Model'!F45/(1+$B23)^('DCF Model'!C19+3)+'DCF Model'!G45/(1+$B23)^('DCF Model'!C19+4)+('DCF Model'!G39+'DCF Model'!G42)*G$17/(1+$B23)^('DCF Model'!C19+4)-'DCF Model'!C16)*1000000/'DCF Model'!C15,0),"")</f>
        <v>1282</v>
      </c>
      <c r="H23" s="37">
        <f>IFERROR(ROUND(('DCF Model'!C45/(1+$B23)^('DCF Model'!C19+0)+'DCF Model'!D45/(1+$B23)^('DCF Model'!C19+1)+'DCF Model'!E45/(1+$B23)^('DCF Model'!C19+2)+'DCF Model'!F45/(1+$B23)^('DCF Model'!C19+3)+'DCF Model'!G45/(1+$B23)^('DCF Model'!C19+4)+('DCF Model'!G39+'DCF Model'!G42)*H$17/(1+$B23)^('DCF Model'!C19+4)-'DCF Model'!C16)*1000000/'DCF Model'!C15,0),"")</f>
        <v>1370</v>
      </c>
      <c r="I23" s="37">
        <f>IFERROR(ROUND(('DCF Model'!C45/(1+$B23)^('DCF Model'!C19+0)+'DCF Model'!D45/(1+$B23)^('DCF Model'!C19+1)+'DCF Model'!E45/(1+$B23)^('DCF Model'!C19+2)+'DCF Model'!F45/(1+$B23)^('DCF Model'!C19+3)+'DCF Model'!G45/(1+$B23)^('DCF Model'!C19+4)+('DCF Model'!G39+'DCF Model'!G42)*I$17/(1+$B23)^('DCF Model'!C19+4)-'DCF Model'!C16)*1000000/'DCF Model'!C15,0),"")</f>
        <v>1458</v>
      </c>
    </row>
    <row r="24" spans="2:9" ht="13.5" x14ac:dyDescent="0.25">
      <c r="B24" s="39">
        <f>$C$3+0.015</f>
        <v>9.0813999999999992E-2</v>
      </c>
      <c r="C24" s="37">
        <f>IFERROR(ROUND(('DCF Model'!C45/(1+$B24)^('DCF Model'!C19+0)+'DCF Model'!D45/(1+$B24)^('DCF Model'!C19+1)+'DCF Model'!E45/(1+$B24)^('DCF Model'!C19+2)+'DCF Model'!F45/(1+$B24)^('DCF Model'!C19+3)+'DCF Model'!G45/(1+$B24)^('DCF Model'!C19+4)+('DCF Model'!G39+'DCF Model'!G42)*C$17/(1+$B24)^('DCF Model'!C19+4)-'DCF Model'!C16)*1000000/'DCF Model'!C15,0),"")</f>
        <v>912</v>
      </c>
      <c r="D24" s="37">
        <f>IFERROR(ROUND(('DCF Model'!C45/(1+$B24)^('DCF Model'!C19+0)+'DCF Model'!D45/(1+$B24)^('DCF Model'!C19+1)+'DCF Model'!E45/(1+$B24)^('DCF Model'!C19+2)+'DCF Model'!F45/(1+$B24)^('DCF Model'!C19+3)+'DCF Model'!G45/(1+$B24)^('DCF Model'!C19+4)+('DCF Model'!G39+'DCF Model'!G42)*D$17/(1+$B24)^('DCF Model'!C19+4)-'DCF Model'!C16)*1000000/'DCF Model'!C15,0),"")</f>
        <v>998</v>
      </c>
      <c r="E24" s="37">
        <f>IFERROR(ROUND(('DCF Model'!C45/(1+$B24)^('DCF Model'!C19+0)+'DCF Model'!D45/(1+$B24)^('DCF Model'!C19+1)+'DCF Model'!E45/(1+$B24)^('DCF Model'!C19+2)+'DCF Model'!F45/(1+$B24)^('DCF Model'!C19+3)+'DCF Model'!G45/(1+$B24)^('DCF Model'!C19+4)+('DCF Model'!G39+'DCF Model'!G42)*E$17/(1+$B24)^('DCF Model'!C19+4)-'DCF Model'!C16)*1000000/'DCF Model'!C15,0),"")</f>
        <v>1084</v>
      </c>
      <c r="F24" s="37">
        <f>IFERROR(ROUND(('DCF Model'!C45/(1+$B24)^('DCF Model'!C19+0)+'DCF Model'!D45/(1+$B24)^('DCF Model'!C19+1)+'DCF Model'!E45/(1+$B24)^('DCF Model'!C19+2)+'DCF Model'!F45/(1+$B24)^('DCF Model'!C19+3)+'DCF Model'!G45/(1+$B24)^('DCF Model'!C19+4)+('DCF Model'!G39+'DCF Model'!G42)*F$17/(1+$B24)^('DCF Model'!C19+4)-'DCF Model'!C16)*1000000/'DCF Model'!C15,0),"")</f>
        <v>1170</v>
      </c>
      <c r="G24" s="37">
        <f>IFERROR(ROUND(('DCF Model'!C45/(1+$B24)^('DCF Model'!C19+0)+'DCF Model'!D45/(1+$B24)^('DCF Model'!C19+1)+'DCF Model'!E45/(1+$B24)^('DCF Model'!C19+2)+'DCF Model'!F45/(1+$B24)^('DCF Model'!C19+3)+'DCF Model'!G45/(1+$B24)^('DCF Model'!C19+4)+('DCF Model'!G39+'DCF Model'!G42)*G$17/(1+$B24)^('DCF Model'!C19+4)-'DCF Model'!C16)*1000000/'DCF Model'!C15,0),"")</f>
        <v>1256</v>
      </c>
      <c r="H24" s="37">
        <f>IFERROR(ROUND(('DCF Model'!C45/(1+$B24)^('DCF Model'!C19+0)+'DCF Model'!D45/(1+$B24)^('DCF Model'!C19+1)+'DCF Model'!E45/(1+$B24)^('DCF Model'!C19+2)+'DCF Model'!F45/(1+$B24)^('DCF Model'!C19+3)+'DCF Model'!G45/(1+$B24)^('DCF Model'!C19+4)+('DCF Model'!G39+'DCF Model'!G42)*H$17/(1+$B24)^('DCF Model'!C19+4)-'DCF Model'!C16)*1000000/'DCF Model'!C15,0),"")</f>
        <v>1342</v>
      </c>
      <c r="I24" s="37">
        <f>IFERROR(ROUND(('DCF Model'!C45/(1+$B24)^('DCF Model'!C19+0)+'DCF Model'!D45/(1+$B24)^('DCF Model'!C19+1)+'DCF Model'!E45/(1+$B24)^('DCF Model'!C19+2)+'DCF Model'!F45/(1+$B24)^('DCF Model'!C19+3)+'DCF Model'!G45/(1+$B24)^('DCF Model'!C19+4)+('DCF Model'!G39+'DCF Model'!G42)*I$17/(1+$B24)^('DCF Model'!C19+4)-'DCF Model'!C16)*1000000/'DCF Model'!C15,0),"")</f>
        <v>1428</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41</v>
      </c>
    </row>
    <row r="23" spans="2:3" ht="14" x14ac:dyDescent="0.3">
      <c r="B23" s="4" t="s">
        <v>275</v>
      </c>
      <c r="C23" t="s">
        <v>4</v>
      </c>
    </row>
    <row r="24" spans="2:3" ht="14" x14ac:dyDescent="0.3">
      <c r="B24" s="4" t="s">
        <v>276</v>
      </c>
      <c r="C24" t="s">
        <v>246</v>
      </c>
    </row>
    <row r="25" spans="2:3" ht="14" x14ac:dyDescent="0.3">
      <c r="B25" s="4" t="s">
        <v>277</v>
      </c>
      <c r="C25" t="s">
        <v>278</v>
      </c>
    </row>
    <row r="26" spans="2:3" ht="14" x14ac:dyDescent="0.3">
      <c r="B26" s="4" t="s">
        <v>279</v>
      </c>
      <c r="C26" t="s">
        <v>267</v>
      </c>
    </row>
    <row r="27" spans="2:3" ht="14" x14ac:dyDescent="0.3">
      <c r="B27" s="4" t="s">
        <v>280</v>
      </c>
      <c r="C27" t="s">
        <v>267</v>
      </c>
    </row>
    <row r="28" spans="2:3" ht="14" x14ac:dyDescent="0.3">
      <c r="B28" s="4" t="s">
        <v>281</v>
      </c>
      <c r="C28" t="s">
        <v>282</v>
      </c>
    </row>
    <row r="29" spans="2:3" ht="14" x14ac:dyDescent="0.3">
      <c r="B29" s="4" t="s">
        <v>283</v>
      </c>
      <c r="C29" t="s">
        <v>284</v>
      </c>
    </row>
    <row r="30" spans="2:3" ht="14" x14ac:dyDescent="0.3">
      <c r="B30" s="4" t="s">
        <v>285</v>
      </c>
      <c r="C30" t="s">
        <v>286</v>
      </c>
    </row>
    <row r="31" spans="2:3" ht="14" x14ac:dyDescent="0.3">
      <c r="B31" s="4" t="s">
        <v>287</v>
      </c>
      <c r="C31" t="s">
        <v>282</v>
      </c>
    </row>
    <row r="32" spans="2:3" ht="14" x14ac:dyDescent="0.3">
      <c r="B32" s="4" t="s">
        <v>288</v>
      </c>
      <c r="C32" t="s">
        <v>267</v>
      </c>
    </row>
    <row r="33" spans="2:3" ht="14" x14ac:dyDescent="0.3">
      <c r="B33" s="4" t="s">
        <v>289</v>
      </c>
      <c r="C33" t="s">
        <v>278</v>
      </c>
    </row>
    <row r="34" spans="2:3" ht="14" x14ac:dyDescent="0.3">
      <c r="B34" s="4" t="s">
        <v>290</v>
      </c>
      <c r="C34" t="s">
        <v>291</v>
      </c>
    </row>
    <row r="35" spans="2:3" ht="14" x14ac:dyDescent="0.3">
      <c r="B35" s="4" t="s">
        <v>292</v>
      </c>
      <c r="C35" t="s">
        <v>293</v>
      </c>
    </row>
    <row r="36" spans="2:3" ht="14" x14ac:dyDescent="0.3">
      <c r="B36" s="4" t="s">
        <v>294</v>
      </c>
      <c r="C36" t="s">
        <v>295</v>
      </c>
    </row>
    <row r="37" spans="2:3" ht="14" x14ac:dyDescent="0.3">
      <c r="B37" s="4" t="s">
        <v>296</v>
      </c>
      <c r="C37" t="s">
        <v>297</v>
      </c>
    </row>
    <row r="38" spans="2:3" ht="14" x14ac:dyDescent="0.3">
      <c r="B38" s="4" t="s">
        <v>298</v>
      </c>
      <c r="C38" t="s">
        <v>299</v>
      </c>
    </row>
    <row r="39" spans="2:3" ht="14" x14ac:dyDescent="0.3">
      <c r="B39" s="4" t="s">
        <v>300</v>
      </c>
      <c r="C39" t="s">
        <v>301</v>
      </c>
    </row>
    <row r="40" spans="2:3" ht="14" x14ac:dyDescent="0.3">
      <c r="B40" s="4" t="s">
        <v>302</v>
      </c>
      <c r="C40" t="s">
        <v>271</v>
      </c>
    </row>
    <row r="41" spans="2:3" ht="14" x14ac:dyDescent="0.3">
      <c r="B41" s="4" t="s">
        <v>303</v>
      </c>
      <c r="C41" t="s">
        <v>304</v>
      </c>
    </row>
    <row r="42" spans="2:3" ht="14" x14ac:dyDescent="0.3">
      <c r="B42" s="4" t="s">
        <v>305</v>
      </c>
      <c r="C42" t="s">
        <v>306</v>
      </c>
    </row>
    <row r="43" spans="2:3" ht="14" x14ac:dyDescent="0.3">
      <c r="B43" s="4" t="s">
        <v>307</v>
      </c>
      <c r="C43" t="s">
        <v>308</v>
      </c>
    </row>
    <row r="44" spans="2:3" ht="14" x14ac:dyDescent="0.3">
      <c r="B44" s="4" t="s">
        <v>309</v>
      </c>
      <c r="C44" t="s">
        <v>310</v>
      </c>
    </row>
    <row r="45" spans="2:3" ht="14" x14ac:dyDescent="0.3">
      <c r="B45" s="4" t="s">
        <v>311</v>
      </c>
      <c r="C45" t="s">
        <v>312</v>
      </c>
    </row>
    <row r="46" spans="2:3" ht="14" x14ac:dyDescent="0.3">
      <c r="B46" s="4" t="s">
        <v>313</v>
      </c>
      <c r="C46" t="s">
        <v>314</v>
      </c>
    </row>
    <row r="47" spans="2:3" ht="14" x14ac:dyDescent="0.3">
      <c r="B47" s="4" t="s">
        <v>315</v>
      </c>
      <c r="C47" t="s">
        <v>316</v>
      </c>
    </row>
    <row r="48" spans="2:3" ht="14" x14ac:dyDescent="0.3">
      <c r="B48" s="4" t="s">
        <v>317</v>
      </c>
      <c r="C48" t="s">
        <v>318</v>
      </c>
    </row>
    <row r="49" spans="2:3" ht="14" x14ac:dyDescent="0.3">
      <c r="B49" s="4" t="s">
        <v>319</v>
      </c>
      <c r="C49" t="s">
        <v>320</v>
      </c>
    </row>
    <row r="50" spans="2:3" ht="14" x14ac:dyDescent="0.3">
      <c r="B50" s="4" t="s">
        <v>321</v>
      </c>
      <c r="C50" t="s">
        <v>322</v>
      </c>
    </row>
    <row r="51" spans="2:3" ht="14" x14ac:dyDescent="0.3">
      <c r="B51" s="4" t="s">
        <v>323</v>
      </c>
      <c r="C51" t="s">
        <v>324</v>
      </c>
    </row>
    <row r="52" spans="2:3" ht="14" x14ac:dyDescent="0.3">
      <c r="B52" s="4" t="s">
        <v>325</v>
      </c>
      <c r="C52" t="s">
        <v>326</v>
      </c>
    </row>
    <row r="53" spans="2:3" ht="14" x14ac:dyDescent="0.3">
      <c r="B53" s="4" t="s">
        <v>327</v>
      </c>
      <c r="C53" t="s">
        <v>328</v>
      </c>
    </row>
    <row r="54" spans="2:3" ht="14" x14ac:dyDescent="0.3">
      <c r="B54" s="4" t="s">
        <v>329</v>
      </c>
      <c r="C54" t="s">
        <v>330</v>
      </c>
    </row>
    <row r="55" spans="2:3" ht="14" x14ac:dyDescent="0.3">
      <c r="B55" s="4" t="s">
        <v>331</v>
      </c>
      <c r="C55" t="s">
        <v>332</v>
      </c>
    </row>
    <row r="56" spans="2:3" ht="14" x14ac:dyDescent="0.3">
      <c r="B56" s="4" t="s">
        <v>333</v>
      </c>
      <c r="C56" t="s">
        <v>334</v>
      </c>
    </row>
    <row r="57" spans="2:3" ht="14" x14ac:dyDescent="0.3">
      <c r="B57" s="4" t="s">
        <v>335</v>
      </c>
      <c r="C57" t="s">
        <v>336</v>
      </c>
    </row>
    <row r="58" spans="2:3" ht="14" x14ac:dyDescent="0.3">
      <c r="B58" s="4" t="s">
        <v>337</v>
      </c>
      <c r="C58" t="s">
        <v>338</v>
      </c>
    </row>
    <row r="59" spans="2:3" ht="14" x14ac:dyDescent="0.3">
      <c r="B59" s="4" t="s">
        <v>339</v>
      </c>
      <c r="C59" t="s">
        <v>340</v>
      </c>
    </row>
    <row r="60" spans="2:3" ht="14"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2026-09-06T09:41:19Z</dcterms:created>
  <dcterms:modified xsi:type="dcterms:W3CDTF">2026-09-06T09:41:23Z</dcterms:modified>
</cp:coreProperties>
</file>