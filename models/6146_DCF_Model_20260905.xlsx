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990FB5BC-B983-423A-90ED-31227BBD6067}"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H17" i="7" l="1"/>
  <c r="E17" i="7"/>
  <c r="I3" i="7"/>
  <c r="I17" i="7" s="1"/>
  <c r="F3" i="7"/>
  <c r="H6" i="7" s="1"/>
  <c r="O9" i="6"/>
  <c r="N9" i="6"/>
  <c r="M9" i="6"/>
  <c r="L9" i="6"/>
  <c r="K9" i="6"/>
  <c r="J9" i="6"/>
  <c r="O8" i="6"/>
  <c r="N8" i="6"/>
  <c r="M8" i="6"/>
  <c r="L8" i="6"/>
  <c r="K8" i="6"/>
  <c r="J8" i="6"/>
  <c r="O7" i="6"/>
  <c r="N7" i="6"/>
  <c r="M7" i="6"/>
  <c r="L7" i="6"/>
  <c r="K7" i="6"/>
  <c r="J7" i="6"/>
  <c r="O6" i="6"/>
  <c r="I16" i="6" s="1"/>
  <c r="N6" i="6"/>
  <c r="M6" i="6"/>
  <c r="L6" i="6"/>
  <c r="K6" i="6"/>
  <c r="J6" i="6"/>
  <c r="O5" i="6"/>
  <c r="N5" i="6"/>
  <c r="D5" i="6"/>
  <c r="C18" i="5"/>
  <c r="C16" i="5"/>
  <c r="C14" i="5"/>
  <c r="C7" i="5"/>
  <c r="C6" i="5"/>
  <c r="C5" i="5"/>
  <c r="C13" i="4"/>
  <c r="C12" i="4"/>
  <c r="C9" i="4"/>
  <c r="C7" i="4"/>
  <c r="C6" i="4"/>
  <c r="D27" i="3"/>
  <c r="E7" i="5" s="1"/>
  <c r="C25" i="3"/>
  <c r="C24" i="3"/>
  <c r="C23" i="3"/>
  <c r="C26" i="3" s="1"/>
  <c r="H36" i="4" s="1"/>
  <c r="F23" i="2"/>
  <c r="E23" i="2"/>
  <c r="D23" i="2"/>
  <c r="C23" i="2"/>
  <c r="F21" i="2"/>
  <c r="F22" i="2" s="1"/>
  <c r="E21" i="2"/>
  <c r="E22" i="2" s="1"/>
  <c r="D21" i="2"/>
  <c r="D22" i="2" s="1"/>
  <c r="C21" i="2"/>
  <c r="C22" i="2" s="1"/>
  <c r="F16" i="2"/>
  <c r="E16" i="2"/>
  <c r="D16" i="2"/>
  <c r="F15" i="2"/>
  <c r="E15" i="2"/>
  <c r="D15" i="2"/>
  <c r="F14" i="2"/>
  <c r="E14" i="2"/>
  <c r="D14" i="2"/>
  <c r="C14" i="2"/>
  <c r="F13" i="2"/>
  <c r="E13" i="2"/>
  <c r="D13" i="2"/>
  <c r="C13" i="2"/>
  <c r="F9" i="2"/>
  <c r="E9" i="2"/>
  <c r="F8" i="2"/>
  <c r="E8" i="2"/>
  <c r="D8" i="2"/>
  <c r="D9" i="2" s="1"/>
  <c r="C8" i="2"/>
  <c r="C9" i="2" s="1"/>
  <c r="D6" i="5" l="1"/>
  <c r="G6" i="5"/>
  <c r="C30" i="3"/>
  <c r="C33" i="3" s="1"/>
  <c r="F16" i="6"/>
  <c r="C28" i="6" s="1"/>
  <c r="C19" i="1" s="1"/>
  <c r="D19" i="1" s="1"/>
  <c r="H17" i="6"/>
  <c r="I15" i="6"/>
  <c r="B25" i="1"/>
  <c r="E15" i="6"/>
  <c r="E17" i="6"/>
  <c r="C32" i="3"/>
  <c r="C37" i="3" s="1"/>
  <c r="F32" i="3"/>
  <c r="E30" i="3"/>
  <c r="F7" i="5"/>
  <c r="C31" i="3"/>
  <c r="E5" i="5"/>
  <c r="F31" i="3"/>
  <c r="G15" i="6"/>
  <c r="H43" i="4"/>
  <c r="H40" i="4"/>
  <c r="H44" i="4"/>
  <c r="H41" i="4"/>
  <c r="H45" i="4"/>
  <c r="H39" i="4"/>
  <c r="H46" i="4"/>
  <c r="H38" i="4"/>
  <c r="E46" i="3"/>
  <c r="H15" i="6"/>
  <c r="E36" i="4"/>
  <c r="D17" i="6"/>
  <c r="D16" i="6"/>
  <c r="D15" i="6"/>
  <c r="F15" i="6"/>
  <c r="C8" i="4"/>
  <c r="C10" i="4" s="1"/>
  <c r="L5" i="6"/>
  <c r="E5" i="6"/>
  <c r="M5" i="6"/>
  <c r="C3" i="7"/>
  <c r="G36" i="4"/>
  <c r="C11" i="4"/>
  <c r="G46" i="3"/>
  <c r="F36" i="4"/>
  <c r="F46" i="3"/>
  <c r="D36" i="4"/>
  <c r="D46" i="3"/>
  <c r="C46" i="3"/>
  <c r="C42" i="3"/>
  <c r="C34" i="3"/>
  <c r="D10" i="5" s="1"/>
  <c r="D9" i="5"/>
  <c r="I6" i="7"/>
  <c r="F30" i="3"/>
  <c r="D32" i="3"/>
  <c r="E6" i="5"/>
  <c r="G7" i="5"/>
  <c r="F17" i="6"/>
  <c r="C17" i="7"/>
  <c r="G30" i="3"/>
  <c r="E32" i="3"/>
  <c r="D5" i="5"/>
  <c r="F6" i="5"/>
  <c r="H7" i="5"/>
  <c r="E16" i="6"/>
  <c r="G17" i="6"/>
  <c r="C6" i="7"/>
  <c r="D17" i="7"/>
  <c r="D6" i="7"/>
  <c r="D31" i="3"/>
  <c r="G32" i="3"/>
  <c r="F5" i="5"/>
  <c r="H6" i="5"/>
  <c r="G16" i="6"/>
  <c r="I17" i="6"/>
  <c r="E6" i="7"/>
  <c r="F17" i="7"/>
  <c r="E31" i="3"/>
  <c r="G5" i="5"/>
  <c r="H16" i="6"/>
  <c r="F6" i="7"/>
  <c r="G17" i="7"/>
  <c r="H5" i="5"/>
  <c r="D7" i="5"/>
  <c r="G6" i="7"/>
  <c r="D30" i="3"/>
  <c r="D33" i="3" s="1"/>
  <c r="G31" i="3"/>
  <c r="C35" i="3" l="1"/>
  <c r="E33" i="3"/>
  <c r="E9" i="5"/>
  <c r="E12" i="5" s="1"/>
  <c r="D37" i="3"/>
  <c r="D34" i="3"/>
  <c r="E10" i="5" s="1"/>
  <c r="D42" i="3"/>
  <c r="C74" i="4"/>
  <c r="C27" i="6"/>
  <c r="C18" i="1" s="1"/>
  <c r="D18" i="1" s="1"/>
  <c r="C36" i="3"/>
  <c r="C38" i="3"/>
  <c r="C39" i="3"/>
  <c r="B13" i="7"/>
  <c r="B12" i="7"/>
  <c r="B11" i="7"/>
  <c r="B10" i="7"/>
  <c r="B9" i="7"/>
  <c r="B8" i="7"/>
  <c r="B7" i="7"/>
  <c r="B24" i="7"/>
  <c r="B23" i="7"/>
  <c r="B22" i="7"/>
  <c r="B21" i="7"/>
  <c r="B20" i="7"/>
  <c r="B19" i="7"/>
  <c r="B18" i="7"/>
  <c r="K5" i="6"/>
  <c r="J5" i="6"/>
  <c r="D12" i="5"/>
  <c r="B24" i="1"/>
  <c r="B29" i="1"/>
  <c r="F45" i="4"/>
  <c r="F43" i="4"/>
  <c r="F46" i="4"/>
  <c r="F44" i="4"/>
  <c r="F38" i="4"/>
  <c r="F41" i="4"/>
  <c r="F51" i="4" s="1"/>
  <c r="F56" i="4" s="1"/>
  <c r="F40" i="4"/>
  <c r="F39" i="4"/>
  <c r="F49" i="4" s="1"/>
  <c r="H50" i="4"/>
  <c r="H55" i="4" s="1"/>
  <c r="C24" i="4"/>
  <c r="C25" i="4" s="1"/>
  <c r="C70" i="4"/>
  <c r="H51" i="4"/>
  <c r="H56" i="4" s="1"/>
  <c r="F48" i="4"/>
  <c r="F53" i="4" s="1"/>
  <c r="H48" i="4"/>
  <c r="H53" i="4" s="1"/>
  <c r="C71" i="4"/>
  <c r="H49" i="4"/>
  <c r="H54" i="4" s="1"/>
  <c r="G39" i="4"/>
  <c r="G49" i="4" s="1"/>
  <c r="G54" i="4" s="1"/>
  <c r="G46" i="4"/>
  <c r="G51" i="4" s="1"/>
  <c r="G56" i="4" s="1"/>
  <c r="G40" i="4"/>
  <c r="G38" i="4"/>
  <c r="G48" i="4" s="1"/>
  <c r="G53" i="4" s="1"/>
  <c r="G41" i="4"/>
  <c r="G43" i="4"/>
  <c r="G44" i="4"/>
  <c r="G45" i="4"/>
  <c r="D38" i="4"/>
  <c r="D48" i="4" s="1"/>
  <c r="D53" i="4" s="1"/>
  <c r="D45" i="4"/>
  <c r="D50" i="4" s="1"/>
  <c r="D55" i="4" s="1"/>
  <c r="D39" i="4"/>
  <c r="D46" i="4"/>
  <c r="D40" i="4"/>
  <c r="D43" i="4"/>
  <c r="D41" i="4"/>
  <c r="D44" i="4"/>
  <c r="E41" i="4"/>
  <c r="E39" i="4"/>
  <c r="E49" i="4" s="1"/>
  <c r="E54" i="4" s="1"/>
  <c r="E43" i="4"/>
  <c r="E40" i="4"/>
  <c r="E50" i="4" s="1"/>
  <c r="E55" i="4" s="1"/>
  <c r="E44" i="4"/>
  <c r="E38" i="4"/>
  <c r="E46" i="4"/>
  <c r="E45" i="4"/>
  <c r="D15" i="5"/>
  <c r="D16" i="5" s="1"/>
  <c r="D13" i="5"/>
  <c r="F50" i="4" l="1"/>
  <c r="F55" i="4" s="1"/>
  <c r="D35" i="3"/>
  <c r="D39" i="3" s="1"/>
  <c r="G50" i="4"/>
  <c r="G55" i="4" s="1"/>
  <c r="E51" i="4"/>
  <c r="E56" i="4" s="1"/>
  <c r="D51" i="4"/>
  <c r="D56" i="4" s="1"/>
  <c r="E48" i="4"/>
  <c r="E53" i="4" s="1"/>
  <c r="D49" i="4"/>
  <c r="D54" i="4" s="1"/>
  <c r="D14" i="5"/>
  <c r="D18" i="5" s="1"/>
  <c r="D19" i="5" s="1"/>
  <c r="C44" i="3" s="1"/>
  <c r="E15" i="5"/>
  <c r="E16" i="5" s="1"/>
  <c r="E13" i="5"/>
  <c r="E14" i="5" s="1"/>
  <c r="E18" i="5" s="1"/>
  <c r="E19" i="5" s="1"/>
  <c r="D44" i="3" s="1"/>
  <c r="C27" i="4"/>
  <c r="C29" i="4"/>
  <c r="C26" i="4"/>
  <c r="C40" i="3"/>
  <c r="C41" i="3" s="1"/>
  <c r="C45" i="3" s="1"/>
  <c r="C60" i="4"/>
  <c r="F54" i="4"/>
  <c r="B78" i="4"/>
  <c r="D38" i="3"/>
  <c r="D36" i="3"/>
  <c r="F9" i="5"/>
  <c r="F12" i="5" s="1"/>
  <c r="E42" i="3"/>
  <c r="E34" i="3"/>
  <c r="F10" i="5" s="1"/>
  <c r="E35" i="3"/>
  <c r="F33" i="3"/>
  <c r="E37" i="3"/>
  <c r="C47" i="3" l="1"/>
  <c r="G9" i="5"/>
  <c r="G12" i="5" s="1"/>
  <c r="F42" i="3"/>
  <c r="F34" i="3"/>
  <c r="G10" i="5" s="1"/>
  <c r="F37" i="3"/>
  <c r="G33" i="3"/>
  <c r="C66" i="4"/>
  <c r="D66" i="4" s="1"/>
  <c r="C65" i="4"/>
  <c r="D65" i="4" s="1"/>
  <c r="C64" i="4"/>
  <c r="D64" i="4" s="1"/>
  <c r="C63" i="4"/>
  <c r="D63" i="4" s="1"/>
  <c r="C67" i="4"/>
  <c r="D67" i="4" s="1"/>
  <c r="E39" i="3"/>
  <c r="E38" i="3"/>
  <c r="E36" i="3"/>
  <c r="F15" i="5"/>
  <c r="F16" i="5" s="1"/>
  <c r="F13" i="5"/>
  <c r="F14" i="5" s="1"/>
  <c r="F18" i="5" s="1"/>
  <c r="F19" i="5" s="1"/>
  <c r="E44" i="3" s="1"/>
  <c r="D40" i="3"/>
  <c r="D41" i="3" s="1"/>
  <c r="D45" i="3" s="1"/>
  <c r="D47" i="3" l="1"/>
  <c r="G13" i="5"/>
  <c r="G14" i="5" s="1"/>
  <c r="G15" i="5"/>
  <c r="G16" i="5" s="1"/>
  <c r="H9" i="5"/>
  <c r="H12" i="5" s="1"/>
  <c r="G37" i="3"/>
  <c r="G42" i="3"/>
  <c r="C16" i="4"/>
  <c r="C28" i="4" s="1"/>
  <c r="G34" i="3"/>
  <c r="H10" i="5" s="1"/>
  <c r="E40" i="3"/>
  <c r="E41" i="3" s="1"/>
  <c r="E45" i="3" s="1"/>
  <c r="F35" i="3"/>
  <c r="G35" i="3" l="1"/>
  <c r="G39" i="3" s="1"/>
  <c r="E47" i="3"/>
  <c r="F36" i="3"/>
  <c r="F38" i="3"/>
  <c r="F39" i="3"/>
  <c r="H13" i="5"/>
  <c r="H14" i="5" s="1"/>
  <c r="H15" i="5"/>
  <c r="H16" i="5" s="1"/>
  <c r="G38" i="3"/>
  <c r="G36" i="3"/>
  <c r="G18" i="5"/>
  <c r="G19" i="5" s="1"/>
  <c r="F44" i="3" s="1"/>
  <c r="C72" i="4"/>
  <c r="C73" i="4"/>
  <c r="H18" i="5" l="1"/>
  <c r="H19" i="5" s="1"/>
  <c r="G44" i="3" s="1"/>
  <c r="F40" i="3"/>
  <c r="F41" i="3" s="1"/>
  <c r="F45" i="3" s="1"/>
  <c r="G40" i="3"/>
  <c r="C59" i="3"/>
  <c r="C60" i="3" s="1"/>
  <c r="C61" i="3" s="1"/>
  <c r="G41" i="3"/>
  <c r="G45" i="3" l="1"/>
  <c r="G22" i="7" s="1"/>
  <c r="C51" i="3"/>
  <c r="C52" i="3" s="1"/>
  <c r="G47" i="3"/>
  <c r="F47" i="3"/>
  <c r="E9" i="7"/>
  <c r="G24" i="7"/>
  <c r="G19" i="7"/>
  <c r="C20" i="7"/>
  <c r="I9" i="7"/>
  <c r="C22" i="7"/>
  <c r="I24" i="7"/>
  <c r="F24" i="7"/>
  <c r="I18" i="7"/>
  <c r="E23" i="7"/>
  <c r="F12" i="7"/>
  <c r="C9" i="7"/>
  <c r="H19" i="7"/>
  <c r="D7" i="7"/>
  <c r="D9" i="7"/>
  <c r="I8" i="7"/>
  <c r="C18" i="7"/>
  <c r="C12" i="7"/>
  <c r="C10" i="7"/>
  <c r="E22" i="7"/>
  <c r="C19" i="7"/>
  <c r="C23" i="7"/>
  <c r="H10" i="7"/>
  <c r="D11" i="7"/>
  <c r="E13" i="7"/>
  <c r="H11" i="7"/>
  <c r="H7" i="7"/>
  <c r="E18" i="7"/>
  <c r="G13" i="7"/>
  <c r="D21" i="7"/>
  <c r="F10" i="7"/>
  <c r="F11" i="7"/>
  <c r="F9" i="7"/>
  <c r="F22" i="7"/>
  <c r="D10" i="7"/>
  <c r="D12" i="7"/>
  <c r="D23" i="7" l="1"/>
  <c r="C8" i="7"/>
  <c r="F7" i="7"/>
  <c r="D22" i="7"/>
  <c r="C21" i="7"/>
  <c r="E12" i="7"/>
  <c r="C13" i="7"/>
  <c r="F21" i="7"/>
  <c r="I23" i="7"/>
  <c r="E10" i="7"/>
  <c r="F18" i="7"/>
  <c r="F20" i="7"/>
  <c r="I21" i="7"/>
  <c r="D24" i="7"/>
  <c r="G21" i="7"/>
  <c r="G18" i="7"/>
  <c r="C7" i="7"/>
  <c r="E7" i="7"/>
  <c r="H18" i="7"/>
  <c r="I19" i="7"/>
  <c r="I22" i="7"/>
  <c r="G12" i="7"/>
  <c r="H8" i="7"/>
  <c r="D18" i="7"/>
  <c r="I7" i="7"/>
  <c r="I11" i="7"/>
  <c r="F8" i="7"/>
  <c r="I13" i="7"/>
  <c r="H20" i="7"/>
  <c r="H9" i="7"/>
  <c r="I10" i="7"/>
  <c r="H21" i="7"/>
  <c r="E20" i="7"/>
  <c r="E8" i="7"/>
  <c r="F23" i="7"/>
  <c r="G23" i="7"/>
  <c r="D13" i="7"/>
  <c r="E11" i="7"/>
  <c r="G9" i="7"/>
  <c r="D8" i="7"/>
  <c r="C11" i="7"/>
  <c r="H13" i="7"/>
  <c r="G8" i="7"/>
  <c r="F19" i="7"/>
  <c r="G10" i="7"/>
  <c r="G7" i="7"/>
  <c r="C24" i="7"/>
  <c r="I20" i="7"/>
  <c r="G11" i="7"/>
  <c r="G20" i="7"/>
  <c r="D20" i="7"/>
  <c r="D19" i="7"/>
  <c r="H22" i="7"/>
  <c r="E24" i="7"/>
  <c r="H23" i="7"/>
  <c r="H24" i="7"/>
  <c r="F13" i="7"/>
  <c r="E19" i="7"/>
  <c r="H12" i="7"/>
  <c r="E21" i="7"/>
  <c r="I12" i="7"/>
  <c r="C50" i="3"/>
  <c r="C58" i="3" s="1"/>
  <c r="C62" i="3" s="1"/>
  <c r="C53" i="3"/>
  <c r="C54" i="3" l="1"/>
  <c r="C55" i="3" s="1"/>
  <c r="C17" i="4"/>
  <c r="C16" i="1"/>
  <c r="C63" i="3"/>
  <c r="C64" i="3" s="1"/>
  <c r="C17" i="1" s="1"/>
  <c r="D17" i="1" s="1"/>
  <c r="D16" i="1" l="1"/>
  <c r="C21" i="1"/>
  <c r="C10" i="1"/>
  <c r="C19" i="4"/>
  <c r="C20" i="4" s="1"/>
  <c r="B79" i="4"/>
  <c r="B30" i="1" l="1"/>
  <c r="C12" i="1"/>
  <c r="C11" i="1" s="1"/>
  <c r="B26" i="1" l="1"/>
</calcChain>
</file>

<file path=xl/sharedStrings.xml><?xml version="1.0" encoding="utf-8"?>
<sst xmlns="http://schemas.openxmlformats.org/spreadsheetml/2006/main" count="528" uniqueCount="399">
  <si>
    <t>DISCLAIMER: This is a sample analysis for demonstration purposes only. It does not constitute investment advice.</t>
  </si>
  <si>
    <t>ディスコ (6146.T)</t>
  </si>
  <si>
    <t>Equity Research Report</t>
  </si>
  <si>
    <t>Company</t>
  </si>
  <si>
    <t>ディスコ</t>
  </si>
  <si>
    <t>Ticker</t>
  </si>
  <si>
    <t>6146.T (TSE Prime)</t>
  </si>
  <si>
    <t>Sector</t>
  </si>
  <si>
    <t>機械</t>
  </si>
  <si>
    <t>Current Price</t>
  </si>
  <si>
    <t>Target Price (DCF Mid)</t>
  </si>
  <si>
    <t>Recommendation</t>
  </si>
  <si>
    <t>Upside / Downside</t>
  </si>
  <si>
    <t>Valuation Summary</t>
  </si>
  <si>
    <t>Methodology</t>
  </si>
  <si>
    <t>Implied Value (JPY)</t>
  </si>
  <si>
    <t>vs Current Price</t>
  </si>
  <si>
    <t>DCF - Perpetuity Growth</t>
  </si>
  <si>
    <t>DCF - Exit Multiple [参考・Target不算入 — 追補4 §Q]</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</si>
  <si>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</si>
  <si>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</si>
  <si>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■【追補4 §Q】Exit法を[参考]に降格し Target = PGM 単独とした。PGM逆算Exit倍率 6.98倍 に対し仮定Exit倍率(Peer中央値) 38.90倍 で乖離 5.57倍。永久成長率1.0%固定の下ではPGM逆算Exitは5〜7倍にしかならず、Peer中央値が織り込む長期成長と構造的に両立しないため、両者の平均は『相容れない2つの世界観の中点』にすぎない。PGM単独Targetは保守フロアであり、現値との差は市場が織り込む成長プレミアムとして読むこと。</t>
  </si>
  <si>
    <t>DCF Valuation Range (PGM - Exit)</t>
  </si>
  <si>
    <t>Key Investment Thesis</t>
  </si>
  <si>
    <t>Key Risks</t>
  </si>
  <si>
    <t>Capital expenditure spiked to seventeen percent of revenue two years ago and the base case assumes it tapers back toward depreciation, which the filings do not commit to.</t>
  </si>
  <si>
    <t>ディスコ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</si>
  <si>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</si>
  <si>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</si>
  <si>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</si>
  <si>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</si>
  <si>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</si>
  <si>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</si>
  <si>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</si>
  <si>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</si>
  <si>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</si>
  <si>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</si>
  <si>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</si>
  <si>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</si>
  <si>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</si>
  <si>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</si>
  <si>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</si>
  <si>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</si>
  <si>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</si>
  <si>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</si>
  <si>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</si>
  <si>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</si>
  <si>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</si>
  <si>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</si>
  <si>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</si>
  <si>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</si>
  <si>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</si>
  <si>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</si>
  <si>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</si>
  <si>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</si>
  <si>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ディスコ</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</si>
  <si>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</si>
  <si>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</si>
  <si>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</si>
  <si>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</si>
  <si>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</si>
  <si>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</si>
  <si>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</si>
  <si>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</si>
  <si>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</si>
  <si>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</si>
  <si>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</si>
  <si>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</si>
  <si>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</si>
  <si>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</si>
  <si>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</si>
  <si>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</si>
  <si>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</si>
  <si>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</si>
  <si>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</si>
  <si>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</si>
  <si>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</si>
  <si>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</si>
  <si>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</si>
  <si>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</si>
  <si>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</si>
  <si>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</si>
  <si>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</si>
  <si>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</si>
  <si>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</si>
  <si>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</si>
  <si>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</si>
  <si>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</si>
  <si>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</si>
  <si>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</si>
  <si>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</si>
  <si>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</si>
  <si>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</si>
  <si>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</si>
  <si>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</si>
  <si>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</si>
  <si>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</si>
  <si>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</si>
  <si>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</si>
  <si>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</si>
  <si>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</si>
  <si>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</si>
  <si>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</si>
  <si>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</si>
  <si>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</si>
  <si>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</si>
  <si>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</si>
  <si>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</si>
  <si>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</si>
  <si>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</si>
  <si>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</si>
  <si>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</si>
  <si>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</si>
  <si>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</si>
  <si>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</si>
  <si>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</si>
  <si>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</si>
  <si>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</si>
  <si>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</si>
  <si>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</si>
  <si>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ディスコ (6146.T)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</si>
  <si>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</si>
  <si>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</si>
  <si>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</si>
  <si>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</si>
  <si>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</si>
  <si>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</si>
  <si>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</si>
  <si>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</si>
  <si>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</si>
  <si>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</si>
  <si>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</si>
  <si>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</si>
  <si>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</si>
  <si>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</si>
  <si>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</si>
  <si>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</si>
  <si>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</si>
  <si>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</si>
  <si>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</si>
  <si>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</si>
  <si>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</si>
  <si>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</si>
  <si>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</si>
  <si>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</si>
  <si>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</si>
  <si>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</si>
  <si>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</si>
  <si>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</si>
  <si>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</si>
  <si>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</si>
  <si>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</si>
  <si>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</si>
  <si>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</si>
  <si>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</si>
  <si>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</si>
  <si>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</si>
  <si>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</si>
  <si>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</si>
  <si>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</si>
  <si>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</si>
  <si>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</si>
  <si>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</si>
  <si>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</si>
  <si>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</si>
  <si>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</si>
  <si>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</si>
  <si>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</si>
  <si>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</si>
  <si>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</si>
  <si>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</si>
  <si>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</si>
  <si>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ディスコ</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</si>
  <si>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</si>
  <si>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</si>
  <si>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</si>
  <si>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</si>
  <si>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</si>
  <si>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</si>
  <si>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</si>
  <si>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</si>
  <si>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</si>
  <si>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</si>
  <si>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</si>
  <si>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</si>
  <si>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</si>
  <si>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</si>
  <si>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</si>
  <si>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</si>
  <si>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</si>
  <si>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</si>
  <si>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</si>
  <si>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</si>
  <si>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</si>
  <si>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</si>
  <si>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</si>
  <si>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</si>
  <si>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</si>
  <si>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</si>
  <si>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</si>
  <si>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</si>
  <si>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</si>
  <si>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</si>
  <si>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</si>
  <si>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</si>
  <si>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</si>
  <si>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</si>
  <si>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Disco Corporation</t>
  </si>
  <si>
    <t>6146.T</t>
  </si>
  <si>
    <t>SCREEN Holdings Co., Ltd.</t>
  </si>
  <si>
    <t>7735.T</t>
  </si>
  <si>
    <t>Ibiden Co.,Ltd.</t>
  </si>
  <si>
    <t>4062.T</t>
  </si>
  <si>
    <t>Advantest Corporation</t>
  </si>
  <si>
    <t>6857.T</t>
  </si>
  <si>
    <t>Tokyo Electron Limited</t>
  </si>
  <si>
    <t>8035.T</t>
  </si>
  <si>
    <t>Statistics</t>
  </si>
  <si>
    <t>25th Percentile</t>
  </si>
  <si>
    <t>Median (50th)</t>
  </si>
  <si>
    <t>75th Percentile</t>
  </si>
  <si>
    <t>Implied Valuation for ディスコ</t>
  </si>
  <si>
    <t>ディスコ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</si>
  <si>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</si>
  <si>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</si>
  <si>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</si>
  <si>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</si>
  <si>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</si>
  <si>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</si>
  <si>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</si>
  <si>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</si>
  <si>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</si>
  <si>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</si>
  <si>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</si>
  <si>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</si>
  <si>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</si>
  <si>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</si>
  <si>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</si>
  <si>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ディスコ</t>
  </si>
  <si>
    <t>日付</t>
  </si>
  <si>
    <t>セル</t>
  </si>
  <si>
    <t>変更内容</t>
  </si>
  <si>
    <t>理由</t>
  </si>
  <si>
    <t>元の値</t>
  </si>
  <si>
    <t>状態</t>
  </si>
  <si>
    <t>2026-09-05</t>
  </si>
  <si>
    <t>-</t>
  </si>
  <si>
    <t>Generated by pipeline on 2026-09-05 17:42,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</si>
  <si>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</si>
  <si>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</si>
  <si>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</si>
  <si>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</si>
  <si>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</si>
  <si>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</si>
  <si>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</si>
  <si>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</si>
  <si>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</si>
  <si>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</si>
  <si>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</si>
  <si>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</si>
  <si>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</si>
  <si>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</si>
  <si>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5,907,155百万円。■テンプレートの自動規則(&gt;=1兆円 -&gt; 0.0%、&gt;=1,000億円 -&gt; 1.5%)とは異なる値であり、明示指定で上書きしている。</t>
  </si>
  <si>
    <t>テンプレ自動値</t>
  </si>
  <si>
    <t>DCF Model!C8</t>
  </si>
  <si>
    <t>Beta = 1.01</t>
  </si>
  <si>
    <t>yfinance実測 **1.010** はテンプレのクランプ域 [0.6, 1.75] の**内側**のため素通し（クランプ・フォールバック1.0への置換は発動していない）。</t>
  </si>
  <si>
    <t>yfinance実測 1.010</t>
  </si>
  <si>
    <t>DCF Model!C6</t>
  </si>
  <si>
    <t>Effective Tax Rate = 25%</t>
  </si>
  <si>
    <t>バッチ共通の既定値(v2 §1-3)。当社の実績税負担率を個別に検証したものではない。</t>
  </si>
  <si>
    <t>テンプレ既定 30%</t>
  </si>
  <si>
    <t>推定</t>
  </si>
  <si>
    <t>DCF Model!C11</t>
  </si>
  <si>
    <t>After-tax Cost of Debt = 1.0%(テンプレ既定値のまま)</t>
  </si>
  <si>
    <t>有利子負債ゼロ・ネットキャッシュ（net_debt −284,575百万円）で D/E = 0 のため、負債コストは WACC に一切寄与しない（WACC = Ke = 10.54%）。実績Kd の算出は無意味なので interest_expense を指定していない。</t>
  </si>
  <si>
    <t>テンプレ既定</t>
  </si>
  <si>
    <t>DCF Model!C13</t>
  </si>
  <si>
    <t>Terminal Growth = 1.0%</t>
  </si>
  <si>
    <t>バッチ共通の固定前提(v2 §1-3)。</t>
  </si>
  <si>
    <t>テンプレ既定 2.0%</t>
  </si>
  <si>
    <t>DCF Model!C14</t>
  </si>
  <si>
    <t>Exit Multiple (EV/EBITDA) = 38.9x</t>
  </si>
  <si>
    <t>Peer 4社の実測EV/EBITDA中央値 38.86x（7735 16.94 / 4062 44.07 / 6857 44.94 / 8035 33.66）。型Bのため §4-4 により Peer中央値が上限だが、本ルールは中央値そのものを採るため上限は binding しない。 自社の現在倍率 28.14x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</si>
  <si>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</si>
  <si>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</si>
  <si>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型B(シクリカル・半導体前工程装置)として処理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</si>
  <si>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**CLEAN**（金融事業専用科目は1件も検出されず）。セクター判定による型B。実績OPMレンジは3.6ptと小さいが、これは観測4期がすべて半導体の上昇局面にあるため。有利子負債ゼロ・ネットキャッシュ。</t>
  </si>
  <si>
    <t>Financial Statements / hist_* / 市場データ / net_debt</t>
  </si>
  <si>
    <t>追補2 §F-2 + 追補3 §L の予防的補完を生成前適用</t>
  </si>
  <si>
    <t>【追補2 §F-2 / 追補3 §L の予防的補完（生成前適用・必須）】根本原因は scripts/generate_dcf.py:66 の _val(data_dict, key, default=0) が欠損値を None ではなく 0 に落とすこと。hist_years を直近4期に置換し hist_revenue / hist_operating_income / hist_net_income / hist_cogs / hist_sga を yfinance連結財務諸表から供給（配列長は全て4で hist_years と一致、契約遵守）。CF/BS 5系列は供給せず Step 4.6 の年度キー再マッピングに委ねる。hist_sga = 売上 − COGS − 営業利益 で逆算。**追補3 §L に従い current_price / shares_outstanding も予防的に明示指定**（yfinance 取得失敗時にテンプレのプレースホルダへサイレント降格する欠陥の回避＋再現性確保）。**net_debt も明示指定**（EDINET の有利子負債抽出が 0 に落ちる既知パターンが3件発生しているため）。■**結果として初回生成で合格（リトライ0回）**。</t>
  </si>
  <si>
    <t>EDINET自動抽出値</t>
  </si>
  <si>
    <t>Comps Analysis / core_ebitda</t>
  </si>
  <si>
    <t>core_ebitda = 199,811百万円 を明示指定（営業利益 184,990 + D&amp;A 14,821）</t>
  </si>
  <si>
    <t>【追補2 §G】core_ebitda を明示指定（= 直近営業利益 + 直近CF計算書D&amp;A）。Peer と同一定義に揃えるため予防的に指定し、生成後に batch/check_core_ebitda.py で comps CSV 自社行との一致を確認済み（品質ゲート合格）。</t>
  </si>
  <si>
    <t>EDINET由来の自動計算値</t>
  </si>
  <si>
    <t>DCF Model!C14(Exit倍率)</t>
  </si>
  <si>
    <t>exit_multiple = 38.9x（Peer中央値）を採用したが、PGM 逆算値 6.98x と 5.57倍乖離している</t>
  </si>
  <si>
    <t>【本銘柄群で最重要】PGM と Exit が5倍以上乖離している。Target を点推定として読んではいけない。 半導体製造装置セクターは現在バリュエーションがサイクル高値圏にあり、Peer中央値 EV/EBITDA が 30倍超という異例の水準にある。一方、本バッチのグローバル前提（永久成長率 1.0% 固定、ERP 6.5%、size premium 1.0%）でPGM を計算すると、逆算される Exit 倍率は 5〜7倍にしかならない。両者は同じ会社についてまったく異なる世界観を述べており、Target はその中点にすぎない。 - §4-4 の「ピーク利益×高Exit倍率の二重計上禁止」は形式的には満たしている（Exit 倍率は Peer 中央値ちょうどで、それを超えていない。かつ Base はピーク利益ではなくミッドサイクル利益を使っている）。
- しかし実質的には「ミッドサイクル利益 × 高値圏の倍率」という半端な状態であり、§4-4 が警告した risk は残っている。
- 根本にあるのは倍率の選び方ではなく、永久成長率 1.0% という前提である。市場が 30倍を払うのは、この事業の長期成長が 1% をはるかに超えると見ているためで、g=1.0% を置く限り DCF は構造的に市場倍率と両立しない。
- 人間の判断を要する: (a) 当セクターに限り terminal_growth を引き上げる、(b) 二段階成長モデルに切り替える、(c) Exit 法を参考扱いにして PGM 単独で読む、のいずれかが必要。</t>
  </si>
  <si>
    <t>設計判断(要人間判断)</t>
  </si>
  <si>
    <t>DCF Model!C5 / capex_direct</t>
  </si>
  <si>
    <t>capex_method=direct、投影 [40,000 / 35,000 / 28,000 / 23,000 / 19,900]百万円</t>
  </si>
  <si>
    <t>実績capexは売上比 5.0% → 5.3% → **17.0%** → 8.1% と能力増強のピークを越えたところ。5年で逓減させ、ターミナル年 19,900 ÷ D&amp;A(Y5売上557,558 × 3.4% = 18,957) = 1.050x でレンジ[0.90,1.15]に収束（validate チェック9 PASS）。■この逓減は会社が表明した計画ではなく本モデルの仮定である。</t>
  </si>
  <si>
    <t>DCF Model シナリオ5本</t>
  </si>
  <si>
    <t>実績OPM分布からの導出(min 38.86 / p25 39.34 / med 40.92 / p75 42.36 / max 42.42%)</t>
  </si>
  <si>
    <t>型Bのため §4-4 に従い Base 到達OPM = ピークとトラフの中間 = (42.42+38.86)/2 = 40.64%(Y1 42.0% -&gt; Y5 40.64%)。Upside は max(実績max 42.42, 直近+1.0pt = 43.34) = 43.34%。Downside 1 は min(p25 39.34, 直近 42.34) = 39.34%。Downside 2 は実績トラフ(38.86%)が Downside 1 と差別化できないため、半導体装置の下降局面の実態に合わせ売上-20%+OPM半減(21.0-25.0%)とした。■SGA% は yfinance から取得できないため COGS% を直近実績 29.9% に固定し SGA% = 100% - COGS% - 目標OPM で逆算した。既存銘柄からの流用なし。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</si>
  <si>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</si>
  <si>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</si>
  <si>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</si>
  <si>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</si>
  <si>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</si>
  <si>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</si>
  <si>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49 / DIH **398** / DPO 26 日</t>
  </si>
  <si>
    <t>実績4期平均。DIH 398日は本バッチ最長級で、装置の製造リードタイムと部品在庫を反映。DPO 26日が短く運転資本の資金拘束が非常に大きい。</t>
  </si>
  <si>
    <t>Comps Analysis</t>
  </si>
  <si>
    <t>Peer 4社 = 7735 SCREENホールディングス / 4062 イビデン / 6857 アドバンテスト / 8035 東京エレクトロン</t>
  </si>
  <si>
    <t>■選定理由: 半導体製造装置・電子材料の国内大手。■**6920 レーザーテックを除外した**: yfinance の最新年度キー（FY2026/6）に対し 売上・営業利益・純利益・D&amp;A・純資産・現金がいずれも FY2025/6、有利子負債に至っては FY2023/6 の値という**6項目の年度混在**が生じており、近似として許容できる範囲を超えていた（v2 §5『疑わしい行は除外＋理由記録』）。結果として **Peer 4社構成**（EV/EBITDA 統計は n≥3 で有効）。■時価総額バンド（1.77〜17.7兆円）は 4062(5.76兆) のみが完全に収まり、7735(2.46兆) は下限近傍、6857(23.9兆) / 8035(24.2兆) は上限外。**セクター同一性を優先**した。■海外Peer（Applied Materials / Lam Research / KLA）は真の比較対象だが v2 §5 により不使用。■D&amp;A取得状況: 全5社で減価償却費を取得でき統一。**D&amp;A欠損による除外はゼロ**（validate チェック12 PASS）。</t>
  </si>
  <si>
    <t>Executive Summary!C10 / Target</t>
  </si>
  <si>
    <t>Target Price = 38,732円 = PGM 16,852円 と Exit 60,612円 の2本平均。Comps 2本(EV/EBITDA 74,213円 / PER 66,120円)は [参考・Target不算入]</t>
  </si>
  <si>
    <t>メモ§2 の規約どおり。validate チェック14 PASS(C10 が C16:C17 のみを平均)。EV&lt;net_debt による INVALID 化は発生していない（ネットキャッシュのため、チェック10・15 とも PASS）。**ただし PGM 16,852円 と Exit 60,612円 が3.6倍乖離しており、Target 38,732円 はその中点にすぎない（下記 WARN 11 参照）**。</t>
  </si>
  <si>
    <t>Executive Summary!B17/C10(追補4 §Q)</t>
  </si>
  <si>
    <t>Exit法を[参考・Target不算入]に降格し Target = PGM 単独に変更（38,732円 → 16,852円）</t>
  </si>
  <si>
    <t>【追補4 §Q の遡及適用・Exit法の[参考]降格】本銘柄は §Q の3条件をすべて満たす: (1) WARN11 乖離倍率 **5.57倍** &gt; 3.0倍、(2) PGM逆算Exit倍率 **6.98倍** &lt; 10倍、(3) 仮定Exit倍率(Peer中央値) **38.90倍** &gt; 25倍。■**原因は倍率の選定ではなく、永久成長率 1.0% 固定という本バッチのグローバル前提**である。g=1.0% の下では PGM逆算Exit倍率は 5〜7倍にしかならず、Peer中央値が織り込む長期成長（30倍超）と構造的に両立しない。両者の平均は『相容れない2つの世界観の中点』にすぎず、Target として意味を持たない。■**対処**: Exit法を [参考・Target不算入] に降格し、**Target = PGM 単独**とした。Target は 38,732円 → **16,852円**（Upside −69.1%）に変更。Exit 参考値 60,612円 は行として残置し [参考] 表記を付した（メモ§2『分母が歪んだ指標は削除でなく残置＋除外＋理由記録』と同じ扱い）。■実装: Executive Summary の B17 ラベルに [参考・Target不算入 — 追補4 §Q] を付し、C10 を `=IF(ISNUMBER(C16),ROUND(C16,0),"N/A")` に変更（batch/demote_exit_leg.py。平文ラベルのみ書き換え、C10 は数式のまま維持し comps 行を参照しないため validate チェック14 は FAIL にならない）。■**validate チェック14 が WARN になるのは意図した挙動**: 『C10 が C16:C17 を平均していない』という警告は、Target 構成を人間が確認すべきという本件の signal そのものである。■**PGM単独Targetは保守フロアである**。現値との差は市場が織り込む成長プレミアムとして解釈すること（4523 エーザイのレカネマブ・オプション価値と同型の扱い。標準メモ§4「希少性/イベント型」）。■二段階成長モデルが理論的な正攻法だが、テンプレ構造の変更を要するためバッチ中は実施しない（追補4 §R）。terminal_growth の引き上げは不採用（v2 の許容上限 1.5% でも乖離はほぼ縮まらず、数値で両立させるには g≈7〜8% が必要で永久成長率の意味をなさない）。</t>
  </si>
  <si>
    <t>Target = PGM と Exit の2本平均 38,732円</t>
  </si>
  <si>
    <t>全体(納品状態)</t>
  </si>
  <si>
    <t>本ファイルは DRAFT。_FINAL は付けない</t>
  </si>
  <si>
    <t>バッチモードでの機械生成物であり人間の検証を経ていない。FINAL化は手順書v2 §6 に従い検証後に行う。</t>
  </si>
  <si>
    <t>DRAFT</t>
  </si>
  <si>
    <t>全体(未解決)</t>
  </si>
  <si>
    <t>**PGM 16,852円 と Exit 60,612円 が3.6倍乖離しており Target は中点にすぎない（最重要）**</t>
  </si>
  <si>
    <t>根本原因は倍率の選び方ではなく**永久成長率 1.0% という前提**。市場が 30倍超を払うのは長期成長が 1% をはるかに超えると見ているためで、g=1.0% を置く限り DCF は構造的に市場倍率と両立しない。(a) 当セクターに限り terminal_growth を引き上げる、(b) 二段階成長モデルに切り替える、(c) Exit 法を参考扱いにして PGM 単独で読む、のいずれかが必要。</t>
  </si>
  <si>
    <t>未解決</t>
  </si>
  <si>
    <t>観測4期がすべて上昇局面にあり、真のサイクル振幅を捉えていない</t>
  </si>
  <si>
    <t>Downside 2 で売上 −20% を置いたのはセクターの過去の下降局面の実態に基づく仮定であり、観測データから導いたものではない。</t>
  </si>
  <si>
    <t>capex 逓減の仮定</t>
  </si>
  <si>
    <t>FY2025/3 に売上比 17.0% まで跳ねた capex が5年で D&amp;A 水準（3.4%）まで下がる仮定。会社計画ではない。</t>
  </si>
  <si>
    <t>Pipeline Metadata (do not edit — read by scripts/validate_output.py)</t>
  </si>
  <si>
    <t>key</t>
  </si>
  <si>
    <t>value</t>
  </si>
  <si>
    <t>auto_log_entries</t>
  </si>
  <si>
    <t>0</t>
  </si>
  <si>
    <t>capex_pct_basis</t>
  </si>
  <si>
    <t>hist_3yr_avg</t>
  </si>
  <si>
    <t>capex_pct_c5</t>
  </si>
  <si>
    <t>0.101</t>
  </si>
  <si>
    <t>capex_pct_hist3yr</t>
  </si>
  <si>
    <t>0.100971</t>
  </si>
  <si>
    <t>company_name</t>
  </si>
  <si>
    <t>comps_asof</t>
  </si>
  <si>
    <t>comps_da_missing</t>
  </si>
  <si>
    <t>none</t>
  </si>
  <si>
    <t>comps_ev_ebitda_invalid</t>
  </si>
  <si>
    <t>no</t>
  </si>
  <si>
    <t>comps_ev_ebitda_rows</t>
  </si>
  <si>
    <t>6,7,8,9</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</si>
  <si>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</si>
  <si>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</si>
  <si>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</si>
  <si>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</si>
  <si>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</si>
  <si>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</si>
  <si>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</si>
  <si>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</si>
  <si>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</si>
  <si>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</si>
  <si>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</si>
  <si>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</si>
  <si>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</si>
  <si>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assumption</t>
  </si>
  <si>
    <t>da_pct_basis</t>
  </si>
  <si>
    <t>da_pct_c18</t>
  </si>
  <si>
    <t>0.034</t>
  </si>
  <si>
    <t>da_pct_hist3yr</t>
  </si>
  <si>
    <t>0.033601</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</si>
  <si>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</si>
  <si>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</si>
  <si>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</si>
  <si>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</si>
  <si>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</si>
  <si>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</si>
  <si>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</si>
  <si>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</si>
  <si>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</si>
  <si>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2026-09-05 17:42:16</t>
  </si>
  <si>
    <t>ltm_revenue_c20</t>
  </si>
  <si>
    <t>436889.0</t>
  </si>
  <si>
    <t>ltm_revenue_source</t>
  </si>
  <si>
    <t>latest FY (no LTM)</t>
  </si>
  <si>
    <t>narrative_tokens_used</t>
  </si>
  <si>
    <t>pb,per,price,target_price,upside_pct,wacc</t>
  </si>
  <si>
    <t>reverse_dcf_sheet</t>
  </si>
  <si>
    <t>op0=184,990(FY2026) peak=184,990(FY2026) peak_opm=0.4234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</si>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</sst>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54460</v>
      </c>
    </row>
    <row r="10" spans="2:5" ht="14" customHeight="1" x14ac:dyDescent="0.3">
      <c r="B10" s="4" t="s">
        <v>10</v>
      </c>
      <c r="C10" s="5">
        <f>IF(ISNUMBER(C16),ROUND(C16,0),"N/A")</f>
        <v>16852</v>
      </c>
    </row>
    <row r="11" spans="2:5" ht="14" customHeight="1" x14ac:dyDescent="0.3">
      <c r="B11" s="4" t="s">
        <v>11</v>
      </c>
      <c r="C11" s="6" t="str">
        <f>IF(NOT(ISNUMBER(C12)),"N/A",IF(C12&gt;0.15,"BUY",IF(C12&gt;0.05,"HOLD","SELL")))</f>
        <v>SELL</v>
      </c>
    </row>
    <row r="12" spans="2:5" ht="14" customHeight="1" x14ac:dyDescent="0.3">
      <c r="B12" s="4" t="s">
        <v>12</v>
      </c>
      <c r="C12" s="7">
        <f>IF(ISNUMBER(C10),(C10-C9)/C9,"N/A")</f>
        <v>-0.69056188027910392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16852</v>
      </c>
      <c r="D16" s="7">
        <f>IF(ISNUMBER(C16),(C16-C9)/C9,"N/A")</f>
        <v>-0.69056188027910392</v>
      </c>
    </row>
    <row r="17" spans="2:5" ht="13.5" customHeight="1" x14ac:dyDescent="0.25">
      <c r="B17" t="s">
        <v>18</v>
      </c>
      <c r="C17" s="11">
        <f>IF('DCF Model'!C62&lt;'DCF Model'!C16,"INVALID (EV &lt; net debt)",'DCF Model'!C64)</f>
        <v>60612</v>
      </c>
      <c r="D17" s="7">
        <f>IF(ISNUMBER(C17),(C17-C9)/C9,"N/A")</f>
        <v>0.11296364304076387</v>
      </c>
    </row>
    <row r="18" spans="2:5" ht="13.5" customHeight="1" x14ac:dyDescent="0.25">
      <c r="B18" t="s">
        <v>19</v>
      </c>
      <c r="C18" s="11">
        <f>'Comps Analysis'!C27</f>
        <v>74213</v>
      </c>
      <c r="D18" s="7">
        <f>IF(ISNUMBER(C18),(C18-C9)/C9,"N/A")</f>
        <v>0.36270657363202352</v>
      </c>
    </row>
    <row r="19" spans="2:5" ht="13.5" customHeight="1" x14ac:dyDescent="0.25">
      <c r="B19" t="s">
        <v>20</v>
      </c>
      <c r="C19" s="11">
        <f>'Comps Analysis'!C28</f>
        <v>66120</v>
      </c>
      <c r="D19" s="7">
        <f>IF(ISNUMBER(C19),(C19-C9)/C9,"N/A")</f>
        <v>0.21410209327947116</v>
      </c>
    </row>
    <row r="20" spans="2:5" ht="14" customHeight="1" x14ac:dyDescent="0.3">
      <c r="B20" s="46" t="s">
        <v>21</v>
      </c>
      <c r="C20" s="45"/>
      <c r="D20" s="45"/>
      <c r="E20" s="45"/>
    </row>
    <row r="21" spans="2:5" ht="14" customHeight="1" x14ac:dyDescent="0.3">
      <c r="B21" s="4" t="s">
        <v>22</v>
      </c>
      <c r="C21" s="6" t="str">
        <f>IF(COUNT(C16:C17)=0,"N/A",MIN(C16:C17)&amp;" - "&amp;MAX(C16:C17))</f>
        <v>16852 - 60612</v>
      </c>
    </row>
    <row r="23" spans="2:5" ht="14" customHeight="1" x14ac:dyDescent="0.3">
      <c r="B23" s="8" t="s">
        <v>23</v>
      </c>
      <c r="C23" s="9"/>
      <c r="D23" s="9"/>
    </row>
    <row r="24" spans="2:5" x14ac:dyDescent="0.2">
      <c r="B24" t="str">
        <f>"Disco holds a near-monopoly in precision dicing and grinding equipment for semiconductor back-end processing, which is why the operating margin sits above forty percent; the shares trade at "&amp;TEXT('Comps Analysis'!L5,"0.0""x""")&amp;" earnings and "&amp;TEXT('Comps Analysis'!M5,"0.00""x""")&amp;" book."</f>
        <v>Disco holds a near-monopoly in precision dicing and grinding equipment for semiconductor back-end processing, which is why the operating margin sits above forty percent; the shares trade at 43.6x earnings and 10.05x book.</v>
      </c>
    </row>
    <row r="25" spans="2:5" x14ac:dyDescent="0.2">
      <c r="B25" t="str">
        <f>"The balance sheet carries no interest-bearing debt at all, so enterprise value is below market capitalisation and the "&amp;TEXT('DCF Model'!C26,"0.00%")&amp;" discount rate is the cost of equity with no leverage assumed."</f>
        <v>The balance sheet carries no interest-bearing debt at all, so enterprise value is below market capitalisation and the 10.54% discount rate is the cost of equity with no leverage assumed.</v>
      </c>
    </row>
    <row r="26" spans="2:5" x14ac:dyDescent="0.2">
      <c r="B26" t="str">
        <f>"At "&amp;TEXT(C9,"#,##0")&amp;" the market capitalises the current up-cycle; a mid-cycle normalisation of the margin supports "&amp;TEXT(C10,"#,##0")&amp;", or "&amp;TEXT(C12,"+0.0%;-0.0%")&amp;" from here."</f>
        <v>At 54,460 the market capitalises the current up-cycle; a mid-cycle normalisation of the margin supports 16,852, or -69.1% from here.</v>
      </c>
    </row>
    <row r="28" spans="2:5" ht="14" customHeight="1" x14ac:dyDescent="0.3">
      <c r="B28" s="8" t="s">
        <v>24</v>
      </c>
      <c r="C28" s="9"/>
      <c r="D28" s="9"/>
    </row>
    <row r="29" spans="2:5" x14ac:dyDescent="0.2">
      <c r="B29" t="str">
        <f>"All four observed years fall inside a single semiconductor up-cycle, so the narrow historical margin range understates the amplitude a real downturn would produce against today's "&amp;TEXT(C9,"#,##0")&amp;" and "&amp;TEXT('Comps Analysis'!L5,"0.0""x""")&amp;"."</f>
        <v>All four observed years fall inside a single semiconductor up-cycle, so the narrow historical margin range understates the amplitude a real downturn would produce against today's 54,460 and 43.6x.</v>
      </c>
    </row>
    <row r="30" spans="2:5" x14ac:dyDescent="0.2">
      <c r="B30" t="str">
        <f>"The exit leg values the terminal year on a peer median above thirty times EBITDA — a multiple set at a cyclical valuation peak — while the base case uses mid-cycle profit; that mismatch is the largest single assumption behind "&amp;TEXT(C10,"#,##0")&amp;"."</f>
        <v>The exit leg values the terminal year on a peer median above thirty times EBITDA — a multiple set at a cyclical valuation peak — while the base case uses mid-cycle profit; that mismatch is the largest single assumption behind 16,852.</v>
      </c>
    </row>
    <row r="31" spans="2:5" x14ac:dyDescent="0.2">
      <c r="B31" t="s">
        <v>25</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284135</v>
      </c>
      <c r="D6" s="5">
        <v>307554</v>
      </c>
      <c r="E6" s="5">
        <v>393313</v>
      </c>
      <c r="F6" s="5">
        <v>436889</v>
      </c>
    </row>
    <row r="7" spans="2:6" ht="14" customHeight="1" x14ac:dyDescent="0.3">
      <c r="B7" s="4" t="s">
        <v>33</v>
      </c>
      <c r="C7" s="5">
        <v>99629</v>
      </c>
      <c r="D7" s="5">
        <v>98912</v>
      </c>
      <c r="E7" s="5">
        <v>115743</v>
      </c>
      <c r="F7" s="5">
        <v>130412</v>
      </c>
    </row>
    <row r="8" spans="2:6" ht="14" customHeight="1" x14ac:dyDescent="0.3">
      <c r="B8" s="4" t="s">
        <v>34</v>
      </c>
      <c r="C8" s="5">
        <f>C6-C7</f>
        <v>184506</v>
      </c>
      <c r="D8" s="5">
        <f>D6-D7</f>
        <v>208642</v>
      </c>
      <c r="E8" s="5">
        <f>E6-E7</f>
        <v>277570</v>
      </c>
      <c r="F8" s="5">
        <f>F6-F7</f>
        <v>306477</v>
      </c>
    </row>
    <row r="9" spans="2:6" ht="13.5" customHeight="1" x14ac:dyDescent="0.25">
      <c r="B9" t="s">
        <v>35</v>
      </c>
      <c r="C9" s="7">
        <f>C8/C6</f>
        <v>0.64936033927534442</v>
      </c>
      <c r="D9" s="7">
        <f>D8/D6</f>
        <v>0.67839143695090942</v>
      </c>
      <c r="E9" s="7">
        <f>E8/E6</f>
        <v>0.70572292296466177</v>
      </c>
      <c r="F9" s="7">
        <f>F8/F6</f>
        <v>0.70149854997493644</v>
      </c>
    </row>
    <row r="10" spans="2:6" ht="14" customHeight="1" x14ac:dyDescent="0.3">
      <c r="B10" s="4" t="s">
        <v>36</v>
      </c>
      <c r="C10" s="5">
        <v>74093</v>
      </c>
      <c r="D10" s="5">
        <v>87151</v>
      </c>
      <c r="E10" s="5">
        <v>110736</v>
      </c>
      <c r="F10" s="5">
        <v>121487</v>
      </c>
    </row>
    <row r="11" spans="2:6" ht="14" customHeight="1" x14ac:dyDescent="0.3">
      <c r="B11" s="4" t="s">
        <v>37</v>
      </c>
      <c r="C11" s="5">
        <v>110413</v>
      </c>
      <c r="D11" s="5">
        <v>121491</v>
      </c>
      <c r="E11" s="5">
        <v>166834</v>
      </c>
      <c r="F11" s="5">
        <v>184990</v>
      </c>
    </row>
    <row r="12" spans="2:6" ht="14" customHeight="1" x14ac:dyDescent="0.3">
      <c r="B12" s="4" t="s">
        <v>38</v>
      </c>
      <c r="C12" s="5">
        <v>82891</v>
      </c>
      <c r="D12" s="5">
        <v>84205</v>
      </c>
      <c r="E12" s="5">
        <v>123891</v>
      </c>
      <c r="F12" s="5">
        <v>135521</v>
      </c>
    </row>
    <row r="13" spans="2:6" ht="13.5" customHeight="1" x14ac:dyDescent="0.25">
      <c r="B13" t="s">
        <v>39</v>
      </c>
      <c r="C13" s="7">
        <f>C11/C6</f>
        <v>0.38859345029651399</v>
      </c>
      <c r="D13" s="7">
        <f>D11/D6</f>
        <v>0.39502331297918414</v>
      </c>
      <c r="E13" s="7">
        <f>E11/E6</f>
        <v>0.42417616503904015</v>
      </c>
      <c r="F13" s="7">
        <f>F11/F6</f>
        <v>0.42342562985106058</v>
      </c>
    </row>
    <row r="14" spans="2:6" ht="13.5" customHeight="1" x14ac:dyDescent="0.25">
      <c r="B14" t="s">
        <v>40</v>
      </c>
      <c r="C14" s="7">
        <f>C12/C6</f>
        <v>0.29173104334207334</v>
      </c>
      <c r="D14" s="7">
        <f>D12/D6</f>
        <v>0.27378931829857522</v>
      </c>
      <c r="E14" s="7">
        <f>E12/E6</f>
        <v>0.31499340220130023</v>
      </c>
      <c r="F14" s="7">
        <f>F12/F6</f>
        <v>0.31019549588110479</v>
      </c>
    </row>
    <row r="15" spans="2:6" ht="13.5" customHeight="1" x14ac:dyDescent="0.25">
      <c r="B15" t="s">
        <v>41</v>
      </c>
      <c r="C15" t="s">
        <v>42</v>
      </c>
      <c r="D15" s="7">
        <f>(D6-C6)/C6</f>
        <v>8.2422088091928136E-2</v>
      </c>
      <c r="E15" s="7">
        <f>(E6-D6)/D6</f>
        <v>0.27884208951923889</v>
      </c>
      <c r="F15" s="7">
        <f>(F6-E6)/E6</f>
        <v>0.11079216806970529</v>
      </c>
    </row>
    <row r="16" spans="2:6" ht="13.5" customHeight="1" x14ac:dyDescent="0.25">
      <c r="B16" t="s">
        <v>43</v>
      </c>
      <c r="C16" t="s">
        <v>42</v>
      </c>
      <c r="D16" s="7">
        <f>(D11-C11)/C11</f>
        <v>0.10033238839629391</v>
      </c>
      <c r="E16" s="7">
        <f>(E11-D11)/D11</f>
        <v>0.37322106164242619</v>
      </c>
      <c r="F16" s="7">
        <f>(F11-E11)/E11</f>
        <v>0.10882673795509308</v>
      </c>
    </row>
    <row r="18" spans="2:6" ht="14" customHeight="1" x14ac:dyDescent="0.3">
      <c r="B18" s="3" t="s">
        <v>44</v>
      </c>
    </row>
    <row r="19" spans="2:6" ht="14" customHeight="1" x14ac:dyDescent="0.3">
      <c r="B19" s="4" t="s">
        <v>45</v>
      </c>
      <c r="C19" s="5">
        <v>81783</v>
      </c>
      <c r="D19" s="5">
        <v>97524</v>
      </c>
      <c r="E19" s="5">
        <v>120364</v>
      </c>
      <c r="F19" s="5">
        <v>133543</v>
      </c>
    </row>
    <row r="20" spans="2:6" ht="14" customHeight="1" x14ac:dyDescent="0.3">
      <c r="B20" s="4" t="s">
        <v>46</v>
      </c>
      <c r="C20" s="5">
        <v>14208</v>
      </c>
      <c r="D20" s="5">
        <v>16140</v>
      </c>
      <c r="E20" s="5">
        <v>66861</v>
      </c>
      <c r="F20" s="5">
        <v>35143</v>
      </c>
    </row>
    <row r="21" spans="2:6" ht="14" customHeight="1" x14ac:dyDescent="0.3">
      <c r="B21" s="4" t="s">
        <v>47</v>
      </c>
      <c r="C21" s="5">
        <f>C19-C20</f>
        <v>67575</v>
      </c>
      <c r="D21" s="5">
        <f>D19-D20</f>
        <v>81384</v>
      </c>
      <c r="E21" s="5">
        <f>E19-E20</f>
        <v>53503</v>
      </c>
      <c r="F21" s="5">
        <f>F19-F20</f>
        <v>98400</v>
      </c>
    </row>
    <row r="22" spans="2:6" ht="13.5" customHeight="1" x14ac:dyDescent="0.25">
      <c r="B22" t="s">
        <v>48</v>
      </c>
      <c r="C22" s="7">
        <f>C21/C6</f>
        <v>0.23782708923575061</v>
      </c>
      <c r="D22" s="7">
        <f>D21/D6</f>
        <v>0.26461694531691998</v>
      </c>
      <c r="E22" s="7">
        <f>E21/E6</f>
        <v>0.13603160841365528</v>
      </c>
      <c r="F22" s="7">
        <f>F21/F6</f>
        <v>0.22522883386855699</v>
      </c>
    </row>
    <row r="23" spans="2:6" ht="13.5" customHeight="1" x14ac:dyDescent="0.25">
      <c r="B23" t="s">
        <v>49</v>
      </c>
      <c r="C23" s="7">
        <f>C20/C6</f>
        <v>5.0004399317225966E-2</v>
      </c>
      <c r="D23" s="7">
        <f>D20/D6</f>
        <v>5.2478589125812054E-2</v>
      </c>
      <c r="E23" s="7">
        <f>E20/E6</f>
        <v>0.16999438106546186</v>
      </c>
      <c r="F23" s="7">
        <f>F20/F6</f>
        <v>8.0439196226043688E-2</v>
      </c>
    </row>
    <row r="25" spans="2:6" ht="14" customHeight="1" x14ac:dyDescent="0.3">
      <c r="B25" s="3" t="s">
        <v>50</v>
      </c>
    </row>
    <row r="26" spans="2:6" ht="14" customHeight="1" x14ac:dyDescent="0.3">
      <c r="B26" s="4" t="s">
        <v>51</v>
      </c>
      <c r="C26" s="5">
        <v>163053</v>
      </c>
      <c r="D26" s="5">
        <v>215486</v>
      </c>
      <c r="E26" s="5">
        <v>229167</v>
      </c>
      <c r="F26" s="5">
        <v>284575</v>
      </c>
    </row>
    <row r="27" spans="2:6" ht="14" customHeight="1" x14ac:dyDescent="0.3">
      <c r="B27" s="4" t="s">
        <v>52</v>
      </c>
      <c r="C27" s="5"/>
      <c r="D27" s="5"/>
      <c r="E27" s="5"/>
      <c r="F27" s="5"/>
    </row>
    <row r="28" spans="2:6" ht="14" customHeight="1" x14ac:dyDescent="0.3">
      <c r="B28" s="4" t="s">
        <v>53</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57</v>
      </c>
      <c r="C5" s="7">
        <v>0.10100000000000001</v>
      </c>
    </row>
    <row r="6" spans="2:7" ht="14" customHeight="1" x14ac:dyDescent="0.3">
      <c r="B6" s="4" t="s">
        <v>58</v>
      </c>
      <c r="C6" s="7">
        <v>0.25</v>
      </c>
    </row>
    <row r="7" spans="2:7" ht="14" customHeight="1" x14ac:dyDescent="0.3">
      <c r="B7" s="4" t="s">
        <v>59</v>
      </c>
      <c r="C7" s="7">
        <v>2.9700000000000001E-2</v>
      </c>
    </row>
    <row r="8" spans="2:7" ht="14" customHeight="1" x14ac:dyDescent="0.3">
      <c r="B8" s="4" t="s">
        <v>60</v>
      </c>
      <c r="C8" s="12">
        <v>1.01</v>
      </c>
    </row>
    <row r="9" spans="2:7" ht="14" customHeight="1" x14ac:dyDescent="0.3">
      <c r="B9" s="4" t="s">
        <v>61</v>
      </c>
      <c r="C9" s="7">
        <v>6.5000000000000002E-2</v>
      </c>
    </row>
    <row r="10" spans="2:7" ht="14" customHeight="1" x14ac:dyDescent="0.3">
      <c r="B10" s="4" t="s">
        <v>62</v>
      </c>
      <c r="C10" s="7">
        <v>0.01</v>
      </c>
    </row>
    <row r="11" spans="2:7" ht="14" customHeight="1" x14ac:dyDescent="0.3">
      <c r="B11" s="4" t="s">
        <v>63</v>
      </c>
      <c r="C11" s="7">
        <v>0.01</v>
      </c>
    </row>
    <row r="12" spans="2:7" ht="14" customHeight="1" x14ac:dyDescent="0.3">
      <c r="B12" s="4" t="s">
        <v>64</v>
      </c>
      <c r="C12" s="13">
        <v>0</v>
      </c>
    </row>
    <row r="13" spans="2:7" ht="14" customHeight="1" x14ac:dyDescent="0.3">
      <c r="B13" s="4" t="s">
        <v>65</v>
      </c>
      <c r="C13" s="7">
        <v>0.01</v>
      </c>
    </row>
    <row r="14" spans="2:7" ht="14" customHeight="1" x14ac:dyDescent="0.3">
      <c r="B14" s="4" t="s">
        <v>66</v>
      </c>
      <c r="C14" s="14">
        <v>38.9</v>
      </c>
    </row>
    <row r="15" spans="2:7" ht="14" customHeight="1" x14ac:dyDescent="0.3">
      <c r="B15" s="4" t="s">
        <v>67</v>
      </c>
      <c r="C15" s="15">
        <v>108467725</v>
      </c>
    </row>
    <row r="16" spans="2:7" ht="14" customHeight="1" x14ac:dyDescent="0.3">
      <c r="B16" s="4" t="s">
        <v>68</v>
      </c>
      <c r="C16" s="5">
        <v>-284575</v>
      </c>
    </row>
    <row r="17" spans="2:7" ht="14" customHeight="1" x14ac:dyDescent="0.3">
      <c r="B17" s="4" t="s">
        <v>69</v>
      </c>
      <c r="C17" s="5">
        <v>436889</v>
      </c>
    </row>
    <row r="18" spans="2:7" ht="14" customHeight="1" x14ac:dyDescent="0.3">
      <c r="B18" s="4" t="s">
        <v>70</v>
      </c>
      <c r="C18" s="7">
        <v>3.4000000000000002E-2</v>
      </c>
    </row>
    <row r="19" spans="2:7" ht="14" customHeight="1" x14ac:dyDescent="0.3">
      <c r="B19" s="4" t="s">
        <v>71</v>
      </c>
      <c r="C19" s="12">
        <v>1</v>
      </c>
    </row>
    <row r="20" spans="2:7" ht="14" customHeight="1" x14ac:dyDescent="0.3">
      <c r="B20" s="4" t="s">
        <v>72</v>
      </c>
      <c r="C20" s="5">
        <v>436889</v>
      </c>
    </row>
    <row r="22" spans="2:7" ht="14" customHeight="1" x14ac:dyDescent="0.3">
      <c r="B22" s="8" t="s">
        <v>73</v>
      </c>
      <c r="C22" s="9"/>
      <c r="D22" s="9"/>
      <c r="E22" s="9"/>
      <c r="F22" s="9"/>
      <c r="G22" s="9"/>
    </row>
    <row r="23" spans="2:7" ht="14" customHeight="1" x14ac:dyDescent="0.3">
      <c r="B23" s="4" t="s">
        <v>74</v>
      </c>
      <c r="C23" s="16">
        <f>C7+C8*C9+C10</f>
        <v>0.10535</v>
      </c>
    </row>
    <row r="24" spans="2:7" ht="14" customHeight="1" x14ac:dyDescent="0.3">
      <c r="B24" s="4" t="s">
        <v>75</v>
      </c>
      <c r="C24" s="16">
        <f>1/(1+C12)</f>
        <v>1</v>
      </c>
    </row>
    <row r="25" spans="2:7" ht="14" customHeight="1" x14ac:dyDescent="0.3">
      <c r="B25" s="4" t="s">
        <v>76</v>
      </c>
      <c r="C25" s="16">
        <f>C12/(1+C12)</f>
        <v>0</v>
      </c>
    </row>
    <row r="26" spans="2:7" ht="14" customHeight="1" x14ac:dyDescent="0.3">
      <c r="B26" s="4" t="s">
        <v>77</v>
      </c>
      <c r="C26" s="16">
        <f>C23*C24+C11*C25</f>
        <v>0.10535</v>
      </c>
    </row>
    <row r="27" spans="2:7" ht="14" customHeight="1" x14ac:dyDescent="0.3">
      <c r="B27" s="4" t="s">
        <v>78</v>
      </c>
      <c r="C27" s="17" t="s">
        <v>79</v>
      </c>
      <c r="D27" s="6">
        <f>MATCH(C27,B69:B73,0)</f>
        <v>1</v>
      </c>
    </row>
    <row r="28" spans="2:7" ht="14" customHeight="1" x14ac:dyDescent="0.3">
      <c r="B28" s="8" t="s">
        <v>80</v>
      </c>
      <c r="C28" s="9"/>
      <c r="D28" s="9"/>
      <c r="E28" s="9"/>
      <c r="F28" s="9"/>
      <c r="G28" s="9"/>
    </row>
    <row r="29" spans="2:7" ht="14" customHeight="1" x14ac:dyDescent="0.3">
      <c r="C29" s="10" t="s">
        <v>81</v>
      </c>
      <c r="D29" s="10" t="s">
        <v>82</v>
      </c>
      <c r="E29" s="10" t="s">
        <v>83</v>
      </c>
      <c r="F29" s="10" t="s">
        <v>84</v>
      </c>
      <c r="G29" s="10" t="s">
        <v>85</v>
      </c>
    </row>
    <row r="30" spans="2:7" ht="14" customHeight="1" x14ac:dyDescent="0.3">
      <c r="B30" s="4" t="s">
        <v>41</v>
      </c>
      <c r="C30" s="18">
        <f>CHOOSE($D$27,C69,C70,C71,C72,C73)</f>
        <v>0.08</v>
      </c>
      <c r="D30" s="18">
        <f>CHOOSE($D$27,D69,D70,D71,D72,D73)</f>
        <v>0.06</v>
      </c>
      <c r="E30" s="18">
        <f>CHOOSE($D$27,E69,E70,E71,E72,E73)</f>
        <v>4.4999999999999998E-2</v>
      </c>
      <c r="F30" s="18">
        <f>CHOOSE($D$27,F69,F70,F71,F72,F73)</f>
        <v>3.5000000000000003E-2</v>
      </c>
      <c r="G30" s="18">
        <f>CHOOSE($D$27,G69,G70,G71,G72,G73)</f>
        <v>0.03</v>
      </c>
    </row>
    <row r="31" spans="2:7" ht="14" customHeight="1" x14ac:dyDescent="0.3">
      <c r="B31" s="4" t="s">
        <v>86</v>
      </c>
      <c r="C31" s="18">
        <f>CHOOSE($D$27,C76,C77,C78,C79,C80)</f>
        <v>0.29899999999999999</v>
      </c>
      <c r="D31" s="18">
        <f>CHOOSE($D$27,D76,D77,D78,D79,D80)</f>
        <v>0.29899999999999999</v>
      </c>
      <c r="E31" s="18">
        <f>CHOOSE($D$27,E76,E77,E78,E79,E80)</f>
        <v>0.29899999999999999</v>
      </c>
      <c r="F31" s="18">
        <f>CHOOSE($D$27,F76,F77,F78,F79,F80)</f>
        <v>0.29899999999999999</v>
      </c>
      <c r="G31" s="18">
        <f>CHOOSE($D$27,G76,G77,G78,G79,G80)</f>
        <v>0.29899999999999999</v>
      </c>
    </row>
    <row r="32" spans="2:7" ht="14" customHeight="1" x14ac:dyDescent="0.3">
      <c r="B32" s="4" t="s">
        <v>87</v>
      </c>
      <c r="C32" s="18">
        <f>CHOOSE($D$27,C83,C84,C85,C86,C87)</f>
        <v>0.28100000000000003</v>
      </c>
      <c r="D32" s="18">
        <f>CHOOSE($D$27,D83,D84,D85,D86,D87)</f>
        <v>0.28499999999999998</v>
      </c>
      <c r="E32" s="18">
        <f>CHOOSE($D$27,E83,E84,E85,E86,E87)</f>
        <v>0.28899999999999998</v>
      </c>
      <c r="F32" s="18">
        <f>CHOOSE($D$27,F83,F84,F85,F86,F87)</f>
        <v>0.29299999999999998</v>
      </c>
      <c r="G32" s="18">
        <f>CHOOSE($D$27,G83,G84,G85,G86,G87)</f>
        <v>0.29459999999999997</v>
      </c>
    </row>
    <row r="33" spans="2:7" ht="14" customHeight="1" x14ac:dyDescent="0.3">
      <c r="B33" s="4" t="s">
        <v>32</v>
      </c>
      <c r="C33" s="5">
        <f>C17*(1+C30)</f>
        <v>471840.12000000005</v>
      </c>
      <c r="D33" s="5">
        <f>C33*(1+D30)</f>
        <v>500150.52720000007</v>
      </c>
      <c r="E33" s="5">
        <f>D33*(1+E30)</f>
        <v>522657.30092400004</v>
      </c>
      <c r="F33" s="5">
        <f>E33*(1+F30)</f>
        <v>540950.30645634001</v>
      </c>
      <c r="G33" s="5">
        <f>F33*(1+G30)</f>
        <v>557178.81565003027</v>
      </c>
    </row>
    <row r="34" spans="2:7" ht="14" customHeight="1" x14ac:dyDescent="0.3">
      <c r="B34" s="4" t="s">
        <v>33</v>
      </c>
      <c r="C34" s="5">
        <f>C33*C31</f>
        <v>141080.19588000001</v>
      </c>
      <c r="D34" s="5">
        <f>D33*D31</f>
        <v>149545.00763280003</v>
      </c>
      <c r="E34" s="5">
        <f>E33*E31</f>
        <v>156274.53297627601</v>
      </c>
      <c r="F34" s="5">
        <f>F33*F31</f>
        <v>161744.14163044567</v>
      </c>
      <c r="G34" s="5">
        <f>G33*G31</f>
        <v>166596.46587935905</v>
      </c>
    </row>
    <row r="35" spans="2:7" ht="14" customHeight="1" x14ac:dyDescent="0.3">
      <c r="B35" s="4" t="s">
        <v>34</v>
      </c>
      <c r="C35" s="19">
        <f>C33-C34</f>
        <v>330759.92412000004</v>
      </c>
      <c r="D35" s="19">
        <f>D33-D34</f>
        <v>350605.51956720004</v>
      </c>
      <c r="E35" s="19">
        <f>E33-E34</f>
        <v>366382.76794772403</v>
      </c>
      <c r="F35" s="19">
        <f>F33-F34</f>
        <v>379206.16482589435</v>
      </c>
      <c r="G35" s="19">
        <f>G33-G34</f>
        <v>390582.34977067122</v>
      </c>
    </row>
    <row r="36" spans="2:7" ht="14" customHeight="1" x14ac:dyDescent="0.3">
      <c r="B36" s="4" t="s">
        <v>35</v>
      </c>
      <c r="C36" s="7">
        <f>C35/C33</f>
        <v>0.70099999999999996</v>
      </c>
      <c r="D36" s="7">
        <f>D35/D33</f>
        <v>0.70099999999999996</v>
      </c>
      <c r="E36" s="7">
        <f>E35/E33</f>
        <v>0.70099999999999996</v>
      </c>
      <c r="F36" s="7">
        <f>F35/F33</f>
        <v>0.70099999999999996</v>
      </c>
      <c r="G36" s="7">
        <f>G35/G33</f>
        <v>0.70099999999999996</v>
      </c>
    </row>
    <row r="37" spans="2:7" ht="14" customHeight="1" x14ac:dyDescent="0.3">
      <c r="B37" s="4" t="s">
        <v>88</v>
      </c>
      <c r="C37" s="5">
        <f>C33*C32</f>
        <v>132587.07372000001</v>
      </c>
      <c r="D37" s="5">
        <f>D33*D32</f>
        <v>142542.90025200002</v>
      </c>
      <c r="E37" s="5">
        <f>E33*E32</f>
        <v>151047.959967036</v>
      </c>
      <c r="F37" s="5">
        <f>F33*F32</f>
        <v>158498.43979170761</v>
      </c>
      <c r="G37" s="5">
        <f>G33*G32</f>
        <v>164144.8790904989</v>
      </c>
    </row>
    <row r="38" spans="2:7" ht="14" customHeight="1" x14ac:dyDescent="0.3">
      <c r="B38" s="4" t="s">
        <v>89</v>
      </c>
      <c r="C38" s="7">
        <f>(C35-C37)/C33</f>
        <v>0.42</v>
      </c>
      <c r="D38" s="7">
        <f>(D35-D37)/D33</f>
        <v>0.41599999999999998</v>
      </c>
      <c r="E38" s="7">
        <f>(E35-E37)/E33</f>
        <v>0.41200000000000003</v>
      </c>
      <c r="F38" s="7">
        <f>(F35-F37)/F33</f>
        <v>0.40800000000000003</v>
      </c>
      <c r="G38" s="7">
        <f>(G35-G37)/G33</f>
        <v>0.40640000000000004</v>
      </c>
    </row>
    <row r="39" spans="2:7" ht="14" customHeight="1" x14ac:dyDescent="0.3">
      <c r="B39" s="4" t="s">
        <v>90</v>
      </c>
      <c r="C39" s="19">
        <f>C35-C37</f>
        <v>198172.85040000002</v>
      </c>
      <c r="D39" s="19">
        <f>D35-D37</f>
        <v>208062.61931520002</v>
      </c>
      <c r="E39" s="19">
        <f>E35-E37</f>
        <v>215334.80798068803</v>
      </c>
      <c r="F39" s="19">
        <f>F35-F37</f>
        <v>220707.72503418673</v>
      </c>
      <c r="G39" s="19">
        <f>G35-G37</f>
        <v>226437.47068017232</v>
      </c>
    </row>
    <row r="40" spans="2:7" ht="14" customHeight="1" x14ac:dyDescent="0.3">
      <c r="B40" s="4" t="s">
        <v>91</v>
      </c>
      <c r="C40" s="5">
        <f>MAX(0,C39*C6)</f>
        <v>49543.212600000006</v>
      </c>
      <c r="D40" s="5">
        <f>MAX(0,D39*C6)</f>
        <v>52015.654828800005</v>
      </c>
      <c r="E40" s="5">
        <f>MAX(0,E39*C6)</f>
        <v>53833.701995172007</v>
      </c>
      <c r="F40" s="5">
        <f>MAX(0,F39*C6)</f>
        <v>55176.931258546683</v>
      </c>
      <c r="G40" s="5">
        <f>MAX(0,G39*C6)</f>
        <v>56609.367670043081</v>
      </c>
    </row>
    <row r="41" spans="2:7" ht="14" customHeight="1" x14ac:dyDescent="0.3">
      <c r="B41" s="4" t="s">
        <v>92</v>
      </c>
      <c r="C41" s="19">
        <f>C39-C40</f>
        <v>148629.63780000003</v>
      </c>
      <c r="D41" s="19">
        <f>D39-D40</f>
        <v>156046.96448640001</v>
      </c>
      <c r="E41" s="19">
        <f>E39-E40</f>
        <v>161501.10598551601</v>
      </c>
      <c r="F41" s="19">
        <f>F39-F40</f>
        <v>165530.79377564005</v>
      </c>
      <c r="G41" s="19">
        <f>G39-G40</f>
        <v>169828.10301012924</v>
      </c>
    </row>
    <row r="42" spans="2:7" ht="14" customHeight="1" x14ac:dyDescent="0.3">
      <c r="B42" s="4" t="s">
        <v>93</v>
      </c>
      <c r="C42" s="5">
        <f>C33*C18</f>
        <v>16042.564080000004</v>
      </c>
      <c r="D42" s="5">
        <f>D33*C18</f>
        <v>17005.117924800004</v>
      </c>
      <c r="E42" s="5">
        <f>E33*C18</f>
        <v>17770.348231416003</v>
      </c>
      <c r="F42" s="5">
        <f>F33*C18</f>
        <v>18392.310419515561</v>
      </c>
      <c r="G42" s="5">
        <f>G33*C18</f>
        <v>18944.079732101032</v>
      </c>
    </row>
    <row r="43" spans="2:7" ht="14" customHeight="1" x14ac:dyDescent="0.3">
      <c r="B43" s="4" t="s">
        <v>94</v>
      </c>
      <c r="C43" s="5">
        <v>40000</v>
      </c>
      <c r="D43" s="5">
        <v>35000</v>
      </c>
      <c r="E43" s="5">
        <v>28000</v>
      </c>
      <c r="F43" s="5">
        <v>23000</v>
      </c>
      <c r="G43" s="5">
        <v>19900</v>
      </c>
    </row>
    <row r="44" spans="2:7" ht="14" customHeight="1" x14ac:dyDescent="0.3">
      <c r="B44" s="4" t="s">
        <v>95</v>
      </c>
      <c r="C44" s="5">
        <f>'NWC Schedule'!D19</f>
        <v>17379.763691397267</v>
      </c>
      <c r="D44" s="5">
        <f>'NWC Schedule'!E19</f>
        <v>12427.725821483851</v>
      </c>
      <c r="E44" s="5">
        <f>'NWC Schedule'!F19</f>
        <v>9880.0420280796243</v>
      </c>
      <c r="F44" s="5">
        <f>'NWC Schedule'!G19</f>
        <v>8030.2786039336061</v>
      </c>
      <c r="G44" s="5">
        <f>'NWC Schedule'!H19</f>
        <v>7124.0043043468613</v>
      </c>
    </row>
    <row r="45" spans="2:7" ht="14" customHeight="1" x14ac:dyDescent="0.3">
      <c r="B45" s="4" t="s">
        <v>96</v>
      </c>
      <c r="C45" s="20">
        <f>C41+C42-C43-C44</f>
        <v>107292.43818860277</v>
      </c>
      <c r="D45" s="20">
        <f>D41+D42-D43-D44</f>
        <v>125624.35658971616</v>
      </c>
      <c r="E45" s="20">
        <f>E41+E42-E43-E44</f>
        <v>141391.41218885238</v>
      </c>
      <c r="F45" s="20">
        <f>F41+F42-F43-F44</f>
        <v>152892.825591222</v>
      </c>
      <c r="G45" s="20">
        <f>G41+G42-G43-G44</f>
        <v>161748.17843788341</v>
      </c>
    </row>
    <row r="46" spans="2:7" ht="14" customHeight="1" x14ac:dyDescent="0.3">
      <c r="B46" s="4" t="s">
        <v>97</v>
      </c>
      <c r="C46" s="21">
        <f>1/(1+C26)^(C19+0)</f>
        <v>0.90469082191161165</v>
      </c>
      <c r="D46" s="21">
        <f>1/(1+C26)^(C19+1)</f>
        <v>0.81846548325110746</v>
      </c>
      <c r="E46" s="21">
        <f>1/(1+C26)^(C19+2)</f>
        <v>0.74045821074872886</v>
      </c>
      <c r="F46" s="21">
        <f>1/(1+C26)^(C19+3)</f>
        <v>0.66988574727346883</v>
      </c>
      <c r="G46" s="21">
        <f>1/(1+C26)^(C19+4)</f>
        <v>0.60603948728770873</v>
      </c>
    </row>
    <row r="47" spans="2:7" ht="14" customHeight="1" x14ac:dyDescent="0.3">
      <c r="B47" s="4" t="s">
        <v>98</v>
      </c>
      <c r="C47" s="19">
        <f>C45*C46</f>
        <v>97066.484089747828</v>
      </c>
      <c r="D47" s="19">
        <f>D45*D46</f>
        <v>102819.19972431149</v>
      </c>
      <c r="E47" s="19">
        <f>E45*E46</f>
        <v>104694.43208459365</v>
      </c>
      <c r="F47" s="19">
        <f>F45*F46</f>
        <v>102420.72472392789</v>
      </c>
      <c r="G47" s="19">
        <f>G45*G46</f>
        <v>98025.783130215685</v>
      </c>
    </row>
    <row r="49" spans="2:7" ht="14" customHeight="1" x14ac:dyDescent="0.3">
      <c r="B49" s="22" t="s">
        <v>99</v>
      </c>
      <c r="C49" s="23"/>
      <c r="D49" s="23"/>
      <c r="E49" s="23"/>
      <c r="F49" s="23"/>
      <c r="G49" s="23"/>
    </row>
    <row r="50" spans="2:7" ht="14" customHeight="1" x14ac:dyDescent="0.3">
      <c r="B50" s="4" t="s">
        <v>100</v>
      </c>
      <c r="C50" s="5">
        <f>SUM(C47:G47)</f>
        <v>505026.62375279656</v>
      </c>
    </row>
    <row r="51" spans="2:7" ht="14" customHeight="1" x14ac:dyDescent="0.3">
      <c r="B51" s="4" t="s">
        <v>101</v>
      </c>
      <c r="C51" s="5">
        <f>G45*(1+C13)/(C26-C13)</f>
        <v>1713326.2739618486</v>
      </c>
    </row>
    <row r="52" spans="2:7" ht="14" customHeight="1" x14ac:dyDescent="0.3">
      <c r="B52" s="4" t="s">
        <v>102</v>
      </c>
      <c r="C52" s="5">
        <f>C51*G46</f>
        <v>1038343.3766283991</v>
      </c>
    </row>
    <row r="53" spans="2:7" ht="14" customHeight="1" x14ac:dyDescent="0.3">
      <c r="B53" s="4" t="s">
        <v>103</v>
      </c>
      <c r="C53" s="5">
        <f>C50+C52</f>
        <v>1543370.0003811957</v>
      </c>
    </row>
    <row r="54" spans="2:7" ht="14" customHeight="1" x14ac:dyDescent="0.3">
      <c r="B54" s="4" t="s">
        <v>104</v>
      </c>
      <c r="C54" s="5">
        <f>C53-C16</f>
        <v>1827945.0003811957</v>
      </c>
    </row>
    <row r="55" spans="2:7" ht="14" customHeight="1" x14ac:dyDescent="0.3">
      <c r="B55" s="4" t="s">
        <v>105</v>
      </c>
      <c r="C55" s="24">
        <f>ROUND(C54*1000000/C15,0)</f>
        <v>16852</v>
      </c>
    </row>
    <row r="57" spans="2:7" ht="14" customHeight="1" x14ac:dyDescent="0.3">
      <c r="B57" s="22" t="s">
        <v>106</v>
      </c>
      <c r="C57" s="23"/>
      <c r="D57" s="23"/>
      <c r="E57" s="23"/>
      <c r="F57" s="23"/>
      <c r="G57" s="23"/>
    </row>
    <row r="58" spans="2:7" ht="14" customHeight="1" x14ac:dyDescent="0.3">
      <c r="B58" s="4" t="s">
        <v>100</v>
      </c>
      <c r="C58" s="5">
        <f>C50</f>
        <v>505026.62375279656</v>
      </c>
    </row>
    <row r="59" spans="2:7" ht="14" customHeight="1" x14ac:dyDescent="0.3">
      <c r="B59" s="4" t="s">
        <v>107</v>
      </c>
      <c r="C59" s="5">
        <f>G39+G42</f>
        <v>245381.55041227335</v>
      </c>
    </row>
    <row r="60" spans="2:7" ht="14" customHeight="1" x14ac:dyDescent="0.3">
      <c r="B60" s="4" t="s">
        <v>108</v>
      </c>
      <c r="C60" s="5">
        <f>C59*C14</f>
        <v>9545342.3110374324</v>
      </c>
    </row>
    <row r="61" spans="2:7" ht="14" customHeight="1" x14ac:dyDescent="0.3">
      <c r="B61" s="4" t="s">
        <v>102</v>
      </c>
      <c r="C61" s="5">
        <f>C60*G46</f>
        <v>5784854.3601667983</v>
      </c>
    </row>
    <row r="62" spans="2:7" ht="14" customHeight="1" x14ac:dyDescent="0.3">
      <c r="B62" s="4" t="s">
        <v>103</v>
      </c>
      <c r="C62" s="5">
        <f>C58+C61</f>
        <v>6289880.9839195944</v>
      </c>
    </row>
    <row r="63" spans="2:7" ht="14" customHeight="1" x14ac:dyDescent="0.3">
      <c r="B63" s="4" t="s">
        <v>104</v>
      </c>
      <c r="C63" s="5">
        <f>C62-C16</f>
        <v>6574455.9839195944</v>
      </c>
    </row>
    <row r="64" spans="2:7" ht="14" customHeight="1" x14ac:dyDescent="0.3">
      <c r="B64" s="4" t="s">
        <v>109</v>
      </c>
      <c r="C64" s="24">
        <f>ROUND(C63*1000000/C15,0)</f>
        <v>60612</v>
      </c>
    </row>
    <row r="66" spans="2:7" ht="14" customHeight="1" x14ac:dyDescent="0.3">
      <c r="B66" s="22" t="s">
        <v>110</v>
      </c>
      <c r="C66" s="23"/>
      <c r="D66" s="23"/>
      <c r="E66" s="23"/>
      <c r="F66" s="23"/>
      <c r="G66" s="23"/>
    </row>
    <row r="67" spans="2:7" ht="14" customHeight="1" x14ac:dyDescent="0.3">
      <c r="C67" s="25" t="s">
        <v>111</v>
      </c>
      <c r="D67" s="25" t="s">
        <v>112</v>
      </c>
      <c r="E67" s="25" t="s">
        <v>113</v>
      </c>
      <c r="F67" s="25" t="s">
        <v>114</v>
      </c>
      <c r="G67" s="25" t="s">
        <v>115</v>
      </c>
    </row>
    <row r="68" spans="2:7" ht="14" customHeight="1" x14ac:dyDescent="0.3">
      <c r="B68" s="3" t="s">
        <v>41</v>
      </c>
    </row>
    <row r="69" spans="2:7" ht="14" customHeight="1" x14ac:dyDescent="0.3">
      <c r="B69" s="4" t="s">
        <v>79</v>
      </c>
      <c r="C69" s="26">
        <v>0.08</v>
      </c>
      <c r="D69" s="26">
        <v>0.06</v>
      </c>
      <c r="E69" s="26">
        <v>4.4999999999999998E-2</v>
      </c>
      <c r="F69" s="26">
        <v>3.5000000000000003E-2</v>
      </c>
      <c r="G69" s="26">
        <v>0.03</v>
      </c>
    </row>
    <row r="70" spans="2:7" ht="14" customHeight="1" x14ac:dyDescent="0.3">
      <c r="B70" s="4" t="s">
        <v>116</v>
      </c>
      <c r="C70" s="26">
        <v>0.1</v>
      </c>
      <c r="D70" s="26">
        <v>0.08</v>
      </c>
      <c r="E70" s="26">
        <v>0.06</v>
      </c>
      <c r="F70" s="26">
        <v>4.4999999999999998E-2</v>
      </c>
      <c r="G70" s="26">
        <v>0.04</v>
      </c>
    </row>
    <row r="71" spans="2:7" ht="14" customHeight="1" x14ac:dyDescent="0.3">
      <c r="B71" s="4" t="s">
        <v>117</v>
      </c>
      <c r="C71" s="26">
        <v>0.08</v>
      </c>
      <c r="D71" s="26">
        <v>0.06</v>
      </c>
      <c r="E71" s="26">
        <v>4.4999999999999998E-2</v>
      </c>
      <c r="F71" s="26">
        <v>3.5000000000000003E-2</v>
      </c>
      <c r="G71" s="26">
        <v>0.03</v>
      </c>
    </row>
    <row r="72" spans="2:7" ht="14" customHeight="1" x14ac:dyDescent="0.3">
      <c r="B72" s="4" t="s">
        <v>118</v>
      </c>
      <c r="C72" s="26">
        <v>0.02</v>
      </c>
      <c r="D72" s="26">
        <v>1.4999999999999999E-2</v>
      </c>
      <c r="E72" s="26">
        <v>0.01</v>
      </c>
      <c r="F72" s="26">
        <v>0.01</v>
      </c>
      <c r="G72" s="26">
        <v>0.01</v>
      </c>
    </row>
    <row r="73" spans="2:7" ht="14" customHeight="1" x14ac:dyDescent="0.3">
      <c r="B73" s="4" t="s">
        <v>119</v>
      </c>
      <c r="C73" s="26">
        <v>-0.2</v>
      </c>
      <c r="D73" s="26">
        <v>-0.05</v>
      </c>
      <c r="E73" s="26">
        <v>0.02</v>
      </c>
      <c r="F73" s="26">
        <v>0.04</v>
      </c>
      <c r="G73" s="26">
        <v>0.05</v>
      </c>
    </row>
    <row r="75" spans="2:7" ht="14" customHeight="1" x14ac:dyDescent="0.3">
      <c r="B75" s="3" t="s">
        <v>86</v>
      </c>
    </row>
    <row r="76" spans="2:7" ht="14" customHeight="1" x14ac:dyDescent="0.3">
      <c r="B76" s="4" t="s">
        <v>79</v>
      </c>
      <c r="C76" s="26">
        <v>0.29899999999999999</v>
      </c>
      <c r="D76" s="26">
        <v>0.29899999999999999</v>
      </c>
      <c r="E76" s="26">
        <v>0.29899999999999999</v>
      </c>
      <c r="F76" s="26">
        <v>0.29899999999999999</v>
      </c>
      <c r="G76" s="26">
        <v>0.29899999999999999</v>
      </c>
    </row>
    <row r="77" spans="2:7" ht="14" customHeight="1" x14ac:dyDescent="0.3">
      <c r="B77" s="4" t="s">
        <v>116</v>
      </c>
      <c r="C77" s="26">
        <v>0.29399999999999998</v>
      </c>
      <c r="D77" s="26">
        <v>0.29399999999999998</v>
      </c>
      <c r="E77" s="26">
        <v>0.29399999999999998</v>
      </c>
      <c r="F77" s="26">
        <v>0.29399999999999998</v>
      </c>
      <c r="G77" s="26">
        <v>0.29399999999999998</v>
      </c>
    </row>
    <row r="78" spans="2:7" ht="14" customHeight="1" x14ac:dyDescent="0.3">
      <c r="B78" s="4" t="s">
        <v>117</v>
      </c>
      <c r="C78" s="26">
        <v>0.29899999999999999</v>
      </c>
      <c r="D78" s="26">
        <v>0.29899999999999999</v>
      </c>
      <c r="E78" s="26">
        <v>0.29899999999999999</v>
      </c>
      <c r="F78" s="26">
        <v>0.29899999999999999</v>
      </c>
      <c r="G78" s="26">
        <v>0.29899999999999999</v>
      </c>
    </row>
    <row r="79" spans="2:7" ht="14" customHeight="1" x14ac:dyDescent="0.3">
      <c r="B79" s="4" t="s">
        <v>118</v>
      </c>
      <c r="C79" s="26">
        <v>0.30499999999999999</v>
      </c>
      <c r="D79" s="26">
        <v>0.30499999999999999</v>
      </c>
      <c r="E79" s="26">
        <v>0.30499999999999999</v>
      </c>
      <c r="F79" s="26">
        <v>0.30499999999999999</v>
      </c>
      <c r="G79" s="26">
        <v>0.30499999999999999</v>
      </c>
    </row>
    <row r="80" spans="2:7" ht="14" customHeight="1" x14ac:dyDescent="0.3">
      <c r="B80" s="4" t="s">
        <v>119</v>
      </c>
      <c r="C80" s="26">
        <v>0.34</v>
      </c>
      <c r="D80" s="26">
        <v>0.34</v>
      </c>
      <c r="E80" s="26">
        <v>0.34</v>
      </c>
      <c r="F80" s="26">
        <v>0.34</v>
      </c>
      <c r="G80" s="26">
        <v>0.34</v>
      </c>
    </row>
    <row r="82" spans="2:7" ht="14" customHeight="1" x14ac:dyDescent="0.3">
      <c r="B82" s="3" t="s">
        <v>87</v>
      </c>
    </row>
    <row r="83" spans="2:7" ht="14" customHeight="1" x14ac:dyDescent="0.3">
      <c r="B83" s="4" t="s">
        <v>79</v>
      </c>
      <c r="C83" s="26">
        <v>0.28100000000000003</v>
      </c>
      <c r="D83" s="26">
        <v>0.28499999999999998</v>
      </c>
      <c r="E83" s="26">
        <v>0.28899999999999998</v>
      </c>
      <c r="F83" s="26">
        <v>0.29299999999999998</v>
      </c>
      <c r="G83" s="26">
        <v>0.29459999999999997</v>
      </c>
    </row>
    <row r="84" spans="2:7" ht="14" customHeight="1" x14ac:dyDescent="0.3">
      <c r="B84" s="4" t="s">
        <v>116</v>
      </c>
      <c r="C84" s="26">
        <v>0.28000000000000003</v>
      </c>
      <c r="D84" s="26">
        <v>0.27800000000000002</v>
      </c>
      <c r="E84" s="26">
        <v>0.27600000000000002</v>
      </c>
      <c r="F84" s="26">
        <v>0.27400000000000002</v>
      </c>
      <c r="G84" s="26">
        <v>0.27260000000000001</v>
      </c>
    </row>
    <row r="85" spans="2:7" ht="14" customHeight="1" x14ac:dyDescent="0.3">
      <c r="B85" s="4" t="s">
        <v>117</v>
      </c>
      <c r="C85" s="26">
        <v>0.28100000000000003</v>
      </c>
      <c r="D85" s="26">
        <v>0.28499999999999998</v>
      </c>
      <c r="E85" s="26">
        <v>0.28899999999999998</v>
      </c>
      <c r="F85" s="26">
        <v>0.29299999999999998</v>
      </c>
      <c r="G85" s="26">
        <v>0.29459999999999997</v>
      </c>
    </row>
    <row r="86" spans="2:7" ht="14" customHeight="1" x14ac:dyDescent="0.3">
      <c r="B86" s="4" t="s">
        <v>118</v>
      </c>
      <c r="C86" s="26">
        <v>0.28499999999999998</v>
      </c>
      <c r="D86" s="26">
        <v>0.29199999999999998</v>
      </c>
      <c r="E86" s="26">
        <v>0.29799999999999999</v>
      </c>
      <c r="F86" s="26">
        <v>0.30099999999999999</v>
      </c>
      <c r="G86" s="26">
        <v>0.30159999999999998</v>
      </c>
    </row>
    <row r="87" spans="2:7" ht="14" customHeight="1" x14ac:dyDescent="0.3">
      <c r="B87" s="4" t="s">
        <v>119</v>
      </c>
      <c r="C87" s="26">
        <v>0.41</v>
      </c>
      <c r="D87" s="26">
        <v>0.45</v>
      </c>
      <c r="E87" s="26">
        <v>0.44500000000000001</v>
      </c>
      <c r="F87" s="26">
        <v>0.43</v>
      </c>
      <c r="G87" s="26">
        <v>0.41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120</v>
      </c>
    </row>
    <row r="3" spans="2:9" ht="14" customHeight="1" x14ac:dyDescent="0.3">
      <c r="B3" s="1" t="s">
        <v>121</v>
      </c>
    </row>
    <row r="5" spans="2:9" ht="14" customHeight="1" x14ac:dyDescent="0.3">
      <c r="B5" s="8" t="s">
        <v>122</v>
      </c>
      <c r="C5" s="9"/>
      <c r="D5" s="9"/>
      <c r="E5" s="9"/>
      <c r="F5" s="9"/>
      <c r="G5" s="9"/>
      <c r="H5" s="9"/>
      <c r="I5" s="9"/>
    </row>
    <row r="6" spans="2:9" ht="14" customHeight="1" x14ac:dyDescent="0.3">
      <c r="B6" s="4" t="s">
        <v>123</v>
      </c>
      <c r="C6" s="15">
        <f>'Executive Summary'!C9</f>
        <v>54460</v>
      </c>
    </row>
    <row r="7" spans="2:9" ht="14" customHeight="1" x14ac:dyDescent="0.3">
      <c r="B7" s="4" t="s">
        <v>67</v>
      </c>
      <c r="C7" s="15">
        <f>'DCF Model'!C15</f>
        <v>108467725</v>
      </c>
    </row>
    <row r="8" spans="2:9" ht="14" customHeight="1" x14ac:dyDescent="0.3">
      <c r="B8" s="4" t="s">
        <v>124</v>
      </c>
      <c r="C8" s="5">
        <f>C6*C7/1000000</f>
        <v>5907152.3035000004</v>
      </c>
    </row>
    <row r="9" spans="2:9" ht="14" customHeight="1" x14ac:dyDescent="0.3">
      <c r="B9" s="4" t="s">
        <v>68</v>
      </c>
      <c r="C9" s="5">
        <f>'DCF Model'!C16</f>
        <v>-284575</v>
      </c>
    </row>
    <row r="10" spans="2:9" ht="14" customHeight="1" x14ac:dyDescent="0.3">
      <c r="B10" s="4" t="s">
        <v>125</v>
      </c>
      <c r="C10" s="5">
        <f>C8+C9</f>
        <v>5622577.3035000004</v>
      </c>
    </row>
    <row r="11" spans="2:9" ht="14" customHeight="1" x14ac:dyDescent="0.3">
      <c r="B11" s="4" t="s">
        <v>126</v>
      </c>
      <c r="C11" s="16">
        <f>'DCF Model'!C26</f>
        <v>0.10535</v>
      </c>
    </row>
    <row r="12" spans="2:9" ht="14" customHeight="1" x14ac:dyDescent="0.3">
      <c r="B12" s="4" t="s">
        <v>127</v>
      </c>
      <c r="C12" s="16">
        <f>'DCF Model'!C13</f>
        <v>0.01</v>
      </c>
    </row>
    <row r="13" spans="2:9" ht="14" customHeight="1" x14ac:dyDescent="0.3">
      <c r="B13" s="4" t="s">
        <v>128</v>
      </c>
      <c r="C13" s="16">
        <f>'DCF Model'!C6</f>
        <v>0.25</v>
      </c>
    </row>
    <row r="14" spans="2:9" ht="14" customHeight="1" x14ac:dyDescent="0.3">
      <c r="B14" s="4" t="s">
        <v>129</v>
      </c>
      <c r="C14" s="27">
        <v>184990</v>
      </c>
    </row>
    <row r="15" spans="2:9" ht="14" customHeight="1" x14ac:dyDescent="0.3">
      <c r="B15" s="4" t="s">
        <v>130</v>
      </c>
      <c r="C15" s="27">
        <v>184990</v>
      </c>
    </row>
    <row r="16" spans="2:9" ht="14" customHeight="1" x14ac:dyDescent="0.3">
      <c r="B16" s="4" t="s">
        <v>131</v>
      </c>
      <c r="C16" s="5">
        <f>'DCF Model'!G33</f>
        <v>557178.81565003027</v>
      </c>
    </row>
    <row r="17" spans="2:9" ht="14" customHeight="1" x14ac:dyDescent="0.3">
      <c r="B17" s="4" t="s">
        <v>132</v>
      </c>
      <c r="C17" s="5">
        <f>'DCF Model'!C53</f>
        <v>1543370.0003811957</v>
      </c>
    </row>
    <row r="18" spans="2:9" ht="14" customHeight="1" x14ac:dyDescent="0.3">
      <c r="B18" s="4" t="s">
        <v>133</v>
      </c>
      <c r="C18" s="26">
        <v>0.42342562985106058</v>
      </c>
    </row>
    <row r="19" spans="2:9" ht="14" customHeight="1" x14ac:dyDescent="0.3">
      <c r="B19" s="4" t="s">
        <v>134</v>
      </c>
      <c r="C19" s="5">
        <f>C10-C17</f>
        <v>4079207.3031188045</v>
      </c>
    </row>
    <row r="20" spans="2:9" ht="14" customHeight="1" x14ac:dyDescent="0.3">
      <c r="B20" s="4" t="s">
        <v>135</v>
      </c>
      <c r="C20" s="15">
        <f>IFERROR(ROUND(C19*1000000/C7,0),"N/A")</f>
        <v>37608</v>
      </c>
    </row>
    <row r="22" spans="2:9" ht="14" customHeight="1" x14ac:dyDescent="0.3">
      <c r="B22" s="8" t="s">
        <v>136</v>
      </c>
      <c r="C22" s="9"/>
      <c r="D22" s="9"/>
      <c r="E22" s="9"/>
      <c r="F22" s="9"/>
      <c r="G22" s="9"/>
      <c r="H22" s="9"/>
      <c r="I22" s="9"/>
    </row>
    <row r="23" spans="2:9" ht="14" customHeight="1" x14ac:dyDescent="0.3">
      <c r="B23" s="1" t="s">
        <v>137</v>
      </c>
    </row>
    <row r="24" spans="2:9" ht="14" customHeight="1" x14ac:dyDescent="0.3">
      <c r="B24" s="4" t="s">
        <v>138</v>
      </c>
      <c r="C24" s="5">
        <f>C10*(C11-C12)</f>
        <v>536112.74588872504</v>
      </c>
    </row>
    <row r="25" spans="2:9" ht="14" customHeight="1" x14ac:dyDescent="0.3">
      <c r="B25" s="4" t="s">
        <v>139</v>
      </c>
      <c r="C25" s="5">
        <f>IFERROR(C24/(1-C13),"N/A")</f>
        <v>714816.99451830005</v>
      </c>
    </row>
    <row r="26" spans="2:9" ht="13.5" customHeight="1" x14ac:dyDescent="0.25">
      <c r="B26" s="6" t="s">
        <v>140</v>
      </c>
      <c r="C26" s="14">
        <f>IFERROR(C25/C15,"N/A")</f>
        <v>3.864084515478134</v>
      </c>
    </row>
    <row r="27" spans="2:9" ht="13.5" customHeight="1" x14ac:dyDescent="0.25">
      <c r="B27" s="6" t="s">
        <v>141</v>
      </c>
      <c r="C27" s="14">
        <f>IFERROR(C25/C14,"N/A")</f>
        <v>3.864084515478134</v>
      </c>
    </row>
    <row r="28" spans="2:9" ht="13.5" customHeight="1" x14ac:dyDescent="0.25">
      <c r="B28" s="6" t="s">
        <v>142</v>
      </c>
      <c r="C28" s="7">
        <f>IFERROR(C25/C16,"N/A")</f>
        <v>1.2829220609982486</v>
      </c>
    </row>
    <row r="29" spans="2:9" ht="13.5" customHeight="1" x14ac:dyDescent="0.25">
      <c r="B29" s="6" t="s">
        <v>143</v>
      </c>
      <c r="C29" s="5">
        <f>IFERROR(C25/C18,"N/A")</f>
        <v>1688176.0198827265</v>
      </c>
    </row>
    <row r="32" spans="2:9" ht="14" customHeight="1" x14ac:dyDescent="0.3">
      <c r="B32" s="8" t="s">
        <v>144</v>
      </c>
      <c r="C32" s="9"/>
      <c r="D32" s="9"/>
      <c r="E32" s="9"/>
      <c r="F32" s="9"/>
      <c r="G32" s="9"/>
      <c r="H32" s="9"/>
      <c r="I32" s="9"/>
    </row>
    <row r="33" spans="2:9" ht="14" customHeight="1" x14ac:dyDescent="0.3">
      <c r="B33" s="1" t="s">
        <v>145</v>
      </c>
    </row>
    <row r="34" spans="2:9" ht="14" customHeight="1" x14ac:dyDescent="0.3">
      <c r="B34" s="1" t="s">
        <v>146</v>
      </c>
    </row>
    <row r="36" spans="2:9" ht="14" customHeight="1" x14ac:dyDescent="0.3">
      <c r="B36" s="28" t="s">
        <v>147</v>
      </c>
      <c r="C36" s="28" t="s">
        <v>148</v>
      </c>
      <c r="D36" s="29">
        <f>'DCF Model'!C26-0.02</f>
        <v>8.5349999999999995E-2</v>
      </c>
      <c r="E36" s="29">
        <f>'DCF Model'!C26-0.01</f>
        <v>9.5350000000000004E-2</v>
      </c>
      <c r="F36" s="29">
        <f>'DCF Model'!C26</f>
        <v>0.10535</v>
      </c>
      <c r="G36" s="29">
        <f>'DCF Model'!C26+0.01</f>
        <v>0.11534999999999999</v>
      </c>
      <c r="H36" s="29">
        <f>'DCF Model'!C26+0.02</f>
        <v>0.12534999999999999</v>
      </c>
    </row>
    <row r="37" spans="2:9" ht="14" customHeight="1" x14ac:dyDescent="0.3">
      <c r="B37" s="3" t="s">
        <v>149</v>
      </c>
    </row>
    <row r="38" spans="2:9" ht="14" customHeight="1" x14ac:dyDescent="0.3">
      <c r="B38" s="4" t="s">
        <v>150</v>
      </c>
      <c r="C38" s="30">
        <v>3</v>
      </c>
      <c r="D38" s="13">
        <f t="shared" ref="D38:H41" si="0">IFERROR((1-(1+D$36)^(-$C38))/D$36-(1+D$36)/(D$36^2*$C38)*(1-($C38+1)/(1+D$36)^$C38+$C38/(1+D$36)^($C38+1)),"N/A")</f>
        <v>0.89721035386435477</v>
      </c>
      <c r="E38" s="13">
        <f t="shared" si="0"/>
        <v>0.88645948739874569</v>
      </c>
      <c r="F38" s="13">
        <f t="shared" si="0"/>
        <v>0.87594904235811177</v>
      </c>
      <c r="G38" s="13">
        <f t="shared" si="0"/>
        <v>0.86567132858759099</v>
      </c>
      <c r="H38" s="13">
        <f t="shared" si="0"/>
        <v>0.85561897237537754</v>
      </c>
    </row>
    <row r="39" spans="2:9" ht="14" customHeight="1" x14ac:dyDescent="0.3">
      <c r="B39" s="4" t="s">
        <v>151</v>
      </c>
      <c r="C39" s="30">
        <v>5</v>
      </c>
      <c r="D39" s="13">
        <f t="shared" si="0"/>
        <v>1.703423095676794</v>
      </c>
      <c r="E39" s="13">
        <f t="shared" si="0"/>
        <v>1.6737537208793594</v>
      </c>
      <c r="F39" s="13">
        <f t="shared" si="0"/>
        <v>1.6449923812341387</v>
      </c>
      <c r="G39" s="13">
        <f t="shared" si="0"/>
        <v>1.617101049036902</v>
      </c>
      <c r="H39" s="13">
        <f t="shared" si="0"/>
        <v>1.5900436774312328</v>
      </c>
    </row>
    <row r="40" spans="2:9" ht="14" customHeight="1" x14ac:dyDescent="0.3">
      <c r="B40" s="4" t="s">
        <v>152</v>
      </c>
      <c r="C40" s="30">
        <v>7</v>
      </c>
      <c r="D40" s="13">
        <f t="shared" si="0"/>
        <v>2.4289930804355597</v>
      </c>
      <c r="E40" s="13">
        <f t="shared" si="0"/>
        <v>2.3743252257237977</v>
      </c>
      <c r="F40" s="13">
        <f t="shared" si="0"/>
        <v>2.3217599669973006</v>
      </c>
      <c r="G40" s="13">
        <f t="shared" si="0"/>
        <v>2.271189234824778</v>
      </c>
      <c r="H40" s="13">
        <f t="shared" si="0"/>
        <v>2.2225117330989663</v>
      </c>
    </row>
    <row r="41" spans="2:9" ht="14" customHeight="1" x14ac:dyDescent="0.3">
      <c r="B41" s="4" t="s">
        <v>153</v>
      </c>
      <c r="C41" s="30">
        <v>10</v>
      </c>
      <c r="D41" s="13">
        <f t="shared" si="0"/>
        <v>3.3857447067110855</v>
      </c>
      <c r="E41" s="13">
        <f t="shared" si="0"/>
        <v>3.2857610817307812</v>
      </c>
      <c r="F41" s="13">
        <f t="shared" si="0"/>
        <v>3.1907312355110409</v>
      </c>
      <c r="G41" s="13">
        <f t="shared" si="0"/>
        <v>3.1003332207559287</v>
      </c>
      <c r="H41" s="13">
        <f t="shared" si="0"/>
        <v>3.0142701701509207</v>
      </c>
    </row>
    <row r="42" spans="2:9" ht="14" customHeight="1" x14ac:dyDescent="0.3">
      <c r="B42" s="3" t="s">
        <v>154</v>
      </c>
    </row>
    <row r="43" spans="2:9" ht="14" customHeight="1" x14ac:dyDescent="0.3">
      <c r="B43" s="4" t="s">
        <v>150</v>
      </c>
      <c r="C43" s="30">
        <v>3</v>
      </c>
      <c r="D43" s="13">
        <f t="shared" ref="D43:H46" si="1">IFERROR((1+D$36)/(D$36^2*$C43)*(1-($C43+1)/(1+D$36)^$C43+$C43/(1+D$36)^($C43+1))+(1+$C$12)/((D$36-$C$12)*(1+D$36)^$C43),"N/A")</f>
        <v>12.139250258094101</v>
      </c>
      <c r="E43" s="13">
        <f t="shared" si="1"/>
        <v>10.62538254381044</v>
      </c>
      <c r="F43" s="13">
        <f t="shared" si="1"/>
        <v>9.4310088700527199</v>
      </c>
      <c r="G43" s="13">
        <f t="shared" si="1"/>
        <v>8.4650895222199765</v>
      </c>
      <c r="H43" s="13">
        <f t="shared" si="1"/>
        <v>7.6681569716698563</v>
      </c>
    </row>
    <row r="44" spans="2:9" ht="14" customHeight="1" x14ac:dyDescent="0.3">
      <c r="B44" s="4" t="s">
        <v>151</v>
      </c>
      <c r="C44" s="30">
        <v>5</v>
      </c>
      <c r="D44" s="13">
        <f t="shared" si="1"/>
        <v>11.133595591261503</v>
      </c>
      <c r="E44" s="13">
        <f t="shared" si="1"/>
        <v>9.6675423642324425</v>
      </c>
      <c r="F44" s="13">
        <f t="shared" si="1"/>
        <v>8.5140532125587374</v>
      </c>
      <c r="G44" s="13">
        <f t="shared" si="1"/>
        <v>7.5839111037900597</v>
      </c>
      <c r="H44" s="13">
        <f t="shared" si="1"/>
        <v>6.8188475124109891</v>
      </c>
    </row>
    <row r="45" spans="2:9" ht="14" customHeight="1" x14ac:dyDescent="0.3">
      <c r="B45" s="4" t="s">
        <v>152</v>
      </c>
      <c r="C45" s="30">
        <v>7</v>
      </c>
      <c r="D45" s="13">
        <f t="shared" si="1"/>
        <v>10.23871785730913</v>
      </c>
      <c r="E45" s="13">
        <f t="shared" si="1"/>
        <v>8.82482455423043</v>
      </c>
      <c r="F45" s="13">
        <f t="shared" si="1"/>
        <v>7.7162244994591394</v>
      </c>
      <c r="G45" s="13">
        <f t="shared" si="1"/>
        <v>6.8255237929549333</v>
      </c>
      <c r="H45" s="13">
        <f t="shared" si="1"/>
        <v>6.0956627723373309</v>
      </c>
    </row>
    <row r="46" spans="2:9" ht="14" customHeight="1" x14ac:dyDescent="0.3">
      <c r="B46" s="4" t="s">
        <v>153</v>
      </c>
      <c r="C46" s="30">
        <v>10</v>
      </c>
      <c r="D46" s="13">
        <f t="shared" si="1"/>
        <v>9.0747374574797437</v>
      </c>
      <c r="E46" s="13">
        <f t="shared" si="1"/>
        <v>7.7432926020923363</v>
      </c>
      <c r="F46" s="13">
        <f t="shared" si="1"/>
        <v>6.7055912979562784</v>
      </c>
      <c r="G46" s="13">
        <f t="shared" si="1"/>
        <v>5.8770027422380888</v>
      </c>
      <c r="H46" s="13">
        <f t="shared" si="1"/>
        <v>5.2023217378060966</v>
      </c>
    </row>
    <row r="47" spans="2:9" ht="14" customHeight="1" x14ac:dyDescent="0.3">
      <c r="B47" s="22" t="s">
        <v>155</v>
      </c>
      <c r="C47" s="23"/>
      <c r="D47" s="23"/>
      <c r="E47" s="23"/>
      <c r="F47" s="23"/>
      <c r="G47" s="23"/>
      <c r="H47" s="23"/>
      <c r="I47" s="23"/>
    </row>
    <row r="48" spans="2:9" ht="14" customHeight="1" x14ac:dyDescent="0.3">
      <c r="B48" s="4" t="s">
        <v>150</v>
      </c>
      <c r="C48" s="30">
        <v>3</v>
      </c>
      <c r="D48" s="5">
        <f t="shared" ref="D48:H51" si="2">IFERROR(($C$10/(1-$C$13)-$C$14*D38)/D43,"N/A")</f>
        <v>603891.89107874862</v>
      </c>
      <c r="E48" s="5">
        <f t="shared" si="2"/>
        <v>690119.49143399484</v>
      </c>
      <c r="F48" s="5">
        <f t="shared" si="2"/>
        <v>777724.63431191456</v>
      </c>
      <c r="G48" s="5">
        <f t="shared" si="2"/>
        <v>866692.45253304136</v>
      </c>
      <c r="H48" s="5">
        <f t="shared" si="2"/>
        <v>957008.15872868255</v>
      </c>
    </row>
    <row r="49" spans="2:9" ht="14" customHeight="1" x14ac:dyDescent="0.3">
      <c r="B49" s="4" t="s">
        <v>151</v>
      </c>
      <c r="C49" s="30">
        <v>5</v>
      </c>
      <c r="D49" s="5">
        <f t="shared" si="2"/>
        <v>645043.5028525251</v>
      </c>
      <c r="E49" s="5">
        <f t="shared" si="2"/>
        <v>743430.10523183306</v>
      </c>
      <c r="F49" s="5">
        <f t="shared" si="2"/>
        <v>844775.38697857619</v>
      </c>
      <c r="G49" s="5">
        <f t="shared" si="2"/>
        <v>949064.68660235917</v>
      </c>
      <c r="H49" s="5">
        <f t="shared" si="2"/>
        <v>1056282.2449105205</v>
      </c>
    </row>
    <row r="50" spans="2:9" ht="14" customHeight="1" x14ac:dyDescent="0.3">
      <c r="B50" s="4" t="s">
        <v>152</v>
      </c>
      <c r="C50" s="30">
        <v>7</v>
      </c>
      <c r="D50" s="5">
        <f t="shared" si="2"/>
        <v>688311.79902269365</v>
      </c>
      <c r="E50" s="5">
        <f t="shared" si="2"/>
        <v>799737.52125305671</v>
      </c>
      <c r="F50" s="5">
        <f t="shared" si="2"/>
        <v>915897.06367415085</v>
      </c>
      <c r="G50" s="5">
        <f t="shared" si="2"/>
        <v>1036788.1874141303</v>
      </c>
      <c r="H50" s="5">
        <f t="shared" si="2"/>
        <v>1162404.7387675776</v>
      </c>
    </row>
    <row r="51" spans="2:9" ht="14" customHeight="1" x14ac:dyDescent="0.3">
      <c r="B51" s="4" t="s">
        <v>153</v>
      </c>
      <c r="C51" s="30">
        <v>10</v>
      </c>
      <c r="D51" s="5">
        <f t="shared" si="2"/>
        <v>757095.27211089048</v>
      </c>
      <c r="E51" s="5">
        <f t="shared" si="2"/>
        <v>889665.04941698117</v>
      </c>
      <c r="F51" s="5">
        <f t="shared" si="2"/>
        <v>1029963.8107750128</v>
      </c>
      <c r="G51" s="5">
        <f t="shared" si="2"/>
        <v>1178022.0971712263</v>
      </c>
      <c r="H51" s="5">
        <f t="shared" si="2"/>
        <v>1333858.2750074465</v>
      </c>
    </row>
    <row r="52" spans="2:9" ht="14" customHeight="1" x14ac:dyDescent="0.3">
      <c r="B52" s="22" t="s">
        <v>156</v>
      </c>
      <c r="C52" s="23"/>
      <c r="D52" s="23"/>
      <c r="E52" s="23"/>
      <c r="F52" s="23"/>
      <c r="G52" s="23"/>
      <c r="H52" s="23"/>
      <c r="I52" s="23"/>
    </row>
    <row r="53" spans="2:9" ht="14" customHeight="1" x14ac:dyDescent="0.3">
      <c r="B53" s="4" t="s">
        <v>150</v>
      </c>
      <c r="C53" s="30">
        <v>3</v>
      </c>
      <c r="D53" s="14">
        <f t="shared" ref="D53:H56" si="3">IFERROR(D48/$C$15,"N/A")</f>
        <v>3.2644569494499627</v>
      </c>
      <c r="E53" s="14">
        <f t="shared" si="3"/>
        <v>3.7305772821990097</v>
      </c>
      <c r="F53" s="14">
        <f t="shared" si="3"/>
        <v>4.2041441932640389</v>
      </c>
      <c r="G53" s="14">
        <f t="shared" si="3"/>
        <v>4.6850773151686109</v>
      </c>
      <c r="H53" s="14">
        <f t="shared" si="3"/>
        <v>5.1732967118691962</v>
      </c>
    </row>
    <row r="54" spans="2:9" ht="14" customHeight="1" x14ac:dyDescent="0.3">
      <c r="B54" s="4" t="s">
        <v>151</v>
      </c>
      <c r="C54" s="30">
        <v>5</v>
      </c>
      <c r="D54" s="14">
        <f t="shared" si="3"/>
        <v>3.4869101186687121</v>
      </c>
      <c r="E54" s="14">
        <f t="shared" si="3"/>
        <v>4.0187583395417752</v>
      </c>
      <c r="F54" s="14">
        <f t="shared" si="3"/>
        <v>4.5666002863861621</v>
      </c>
      <c r="G54" s="14">
        <f t="shared" si="3"/>
        <v>5.1303567036183528</v>
      </c>
      <c r="H54" s="14">
        <f t="shared" si="3"/>
        <v>5.7099424018083162</v>
      </c>
    </row>
    <row r="55" spans="2:9" ht="14" customHeight="1" x14ac:dyDescent="0.3">
      <c r="B55" s="4" t="s">
        <v>152</v>
      </c>
      <c r="C55" s="30">
        <v>7</v>
      </c>
      <c r="D55" s="14">
        <f t="shared" si="3"/>
        <v>3.7208054436601636</v>
      </c>
      <c r="E55" s="14">
        <f t="shared" si="3"/>
        <v>4.3231392034869813</v>
      </c>
      <c r="F55" s="14">
        <f t="shared" si="3"/>
        <v>4.9510625637826413</v>
      </c>
      <c r="G55" s="14">
        <f t="shared" si="3"/>
        <v>5.6045634218829683</v>
      </c>
      <c r="H55" s="14">
        <f t="shared" si="3"/>
        <v>6.2836085127173229</v>
      </c>
    </row>
    <row r="56" spans="2:9" ht="14" customHeight="1" x14ac:dyDescent="0.3">
      <c r="B56" s="4" t="s">
        <v>153</v>
      </c>
      <c r="C56" s="30">
        <v>10</v>
      </c>
      <c r="D56" s="14">
        <f t="shared" si="3"/>
        <v>4.0926280994155926</v>
      </c>
      <c r="E56" s="14">
        <f t="shared" si="3"/>
        <v>4.8092602271310945</v>
      </c>
      <c r="F56" s="14">
        <f t="shared" si="3"/>
        <v>5.5676729054273899</v>
      </c>
      <c r="G56" s="14">
        <f t="shared" si="3"/>
        <v>6.3680312296406631</v>
      </c>
      <c r="H56" s="14">
        <f t="shared" si="3"/>
        <v>7.2104344829852778</v>
      </c>
    </row>
    <row r="58" spans="2:9" ht="14" customHeight="1" x14ac:dyDescent="0.3">
      <c r="B58" s="8" t="s">
        <v>157</v>
      </c>
      <c r="C58" s="9"/>
      <c r="D58" s="9"/>
      <c r="E58" s="9"/>
      <c r="F58" s="9"/>
      <c r="G58" s="9"/>
      <c r="H58" s="9"/>
      <c r="I58" s="9"/>
    </row>
    <row r="59" spans="2:9" ht="14" customHeight="1" x14ac:dyDescent="0.3">
      <c r="B59" s="1" t="s">
        <v>158</v>
      </c>
    </row>
    <row r="60" spans="2:9" ht="14" customHeight="1" x14ac:dyDescent="0.3">
      <c r="B60" s="4" t="s">
        <v>159</v>
      </c>
      <c r="C60" s="5">
        <f>F49</f>
        <v>844775.38697857619</v>
      </c>
    </row>
    <row r="62" spans="2:9" ht="14" customHeight="1" x14ac:dyDescent="0.3">
      <c r="B62" s="28" t="s">
        <v>160</v>
      </c>
      <c r="C62" s="28" t="s">
        <v>161</v>
      </c>
      <c r="D62" s="28" t="s">
        <v>162</v>
      </c>
    </row>
    <row r="63" spans="2:9" ht="14" customHeight="1" x14ac:dyDescent="0.3">
      <c r="B63" s="31">
        <v>0.2117</v>
      </c>
      <c r="C63" s="5">
        <f>IFERROR($C$60/B63,"N/A")</f>
        <v>3990436.4051893065</v>
      </c>
      <c r="D63" s="14">
        <f>IFERROR(C63/'DCF Model'!C17,"N/A")</f>
        <v>9.1337534366608146</v>
      </c>
    </row>
    <row r="64" spans="2:9" ht="14" customHeight="1" x14ac:dyDescent="0.3">
      <c r="B64" s="31">
        <v>0.31759999999999999</v>
      </c>
      <c r="C64" s="5">
        <f>IFERROR($C$60/B64,"N/A")</f>
        <v>2659872.1252474063</v>
      </c>
      <c r="D64" s="14">
        <f>IFERROR(C64/'DCF Model'!C17,"N/A")</f>
        <v>6.0882103354568464</v>
      </c>
    </row>
    <row r="65" spans="2:9" ht="14" customHeight="1" x14ac:dyDescent="0.3">
      <c r="B65" s="4" t="s">
        <v>163</v>
      </c>
      <c r="C65" s="5">
        <f>IFERROR($C$60/$C$18,"N/A")</f>
        <v>1995097.4325189642</v>
      </c>
      <c r="D65" s="14">
        <f>IFERROR(C65/'DCF Model'!C17,"N/A")</f>
        <v>4.5666002863861621</v>
      </c>
    </row>
    <row r="66" spans="2:9" ht="14" customHeight="1" x14ac:dyDescent="0.3">
      <c r="B66" s="31">
        <v>0.52929999999999999</v>
      </c>
      <c r="C66" s="5">
        <f>IFERROR($C$60/B66,"N/A")</f>
        <v>1596023.7804242892</v>
      </c>
      <c r="D66" s="14">
        <f>IFERROR(C66/'DCF Model'!C17,"N/A")</f>
        <v>3.6531562488968348</v>
      </c>
    </row>
    <row r="67" spans="2:9" ht="14" customHeight="1" x14ac:dyDescent="0.3">
      <c r="B67" s="31">
        <v>0.6351</v>
      </c>
      <c r="C67" s="5">
        <f>IFERROR($C$60/B67,"N/A")</f>
        <v>1330145.4683964355</v>
      </c>
      <c r="D67" s="14">
        <f>IFERROR(C67/'DCF Model'!C17,"N/A")</f>
        <v>3.0445844788869381</v>
      </c>
    </row>
    <row r="69" spans="2:9" ht="14" customHeight="1" x14ac:dyDescent="0.3">
      <c r="B69" s="8" t="s">
        <v>164</v>
      </c>
      <c r="C69" s="9"/>
      <c r="D69" s="9"/>
      <c r="E69" s="9"/>
      <c r="F69" s="9"/>
      <c r="G69" s="9"/>
      <c r="H69" s="9"/>
      <c r="I69" s="9"/>
    </row>
    <row r="70" spans="2:9" ht="13.5" customHeight="1" x14ac:dyDescent="0.25">
      <c r="B70" s="6" t="s">
        <v>165</v>
      </c>
      <c r="C70" s="14">
        <f>IFERROR(C10/'Comps Analysis'!G5,"N/A")</f>
        <v>28.13947832451667</v>
      </c>
    </row>
    <row r="71" spans="2:9" ht="13.5" customHeight="1" x14ac:dyDescent="0.25">
      <c r="B71" s="6" t="s">
        <v>166</v>
      </c>
      <c r="C71" s="14">
        <f>IFERROR(C10/'Comps Analysis'!F5,"N/A")</f>
        <v>12.869578550844723</v>
      </c>
    </row>
    <row r="72" spans="2:9" ht="14" customHeight="1" x14ac:dyDescent="0.3">
      <c r="B72" s="4" t="s">
        <v>167</v>
      </c>
      <c r="C72" s="14">
        <f>IFERROR(C10/(C25+'DCF Model'!G42),"N/A")</f>
        <v>7.6626813561130067</v>
      </c>
    </row>
    <row r="73" spans="2:9" ht="14" customHeight="1" x14ac:dyDescent="0.3">
      <c r="B73" s="4" t="s">
        <v>168</v>
      </c>
      <c r="C73" s="14">
        <f>IFERROR(C10/(C60+'DCF Model'!G42),"N/A")</f>
        <v>6.5097262713234789</v>
      </c>
    </row>
    <row r="74" spans="2:9" ht="14" customHeight="1" x14ac:dyDescent="0.3">
      <c r="B74" s="4" t="s">
        <v>169</v>
      </c>
      <c r="C74" s="14">
        <f>IFERROR('Comps Analysis'!D16,"N/A")</f>
        <v>38.862679229564264</v>
      </c>
    </row>
    <row r="75" spans="2:9" ht="14" customHeight="1" x14ac:dyDescent="0.3">
      <c r="B75" s="1" t="s">
        <v>170</v>
      </c>
    </row>
    <row r="77" spans="2:9" ht="14" customHeight="1" x14ac:dyDescent="0.3">
      <c r="B77" s="22" t="s">
        <v>171</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54,460 yen the market is paying for a steady-state operating profit of 844,775 mn JPY - 4.57x the FY2026 cycle peak of 184,990 mn - reached in 5 years and sustained for ever, against 184,990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714,817 mn, or 3.86x the peak. The base case supports an EV of only 1,543,370 mn, leaving 37,608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172</v>
      </c>
    </row>
    <row r="4" spans="2:8" ht="14" customHeight="1" x14ac:dyDescent="0.3">
      <c r="B4" s="8" t="s">
        <v>173</v>
      </c>
      <c r="C4" s="32" t="s">
        <v>174</v>
      </c>
      <c r="D4" s="32" t="s">
        <v>81</v>
      </c>
      <c r="E4" s="32" t="s">
        <v>82</v>
      </c>
      <c r="F4" s="32" t="s">
        <v>83</v>
      </c>
      <c r="G4" s="32" t="s">
        <v>84</v>
      </c>
      <c r="H4" s="32" t="s">
        <v>85</v>
      </c>
    </row>
    <row r="5" spans="2:8" ht="14" customHeight="1" x14ac:dyDescent="0.3">
      <c r="B5" s="33" t="s">
        <v>175</v>
      </c>
      <c r="C5" s="34">
        <f>C12/C9*365</f>
        <v>48.019302385731848</v>
      </c>
      <c r="D5" s="34">
        <f>CHOOSE('DCF Model'!$D$27,D25,D26,D27,D28,D29)</f>
        <v>49</v>
      </c>
      <c r="E5" s="34">
        <f>CHOOSE('DCF Model'!$D$27,E25,E26,E27,E28,E29)</f>
        <v>49</v>
      </c>
      <c r="F5" s="34">
        <f>CHOOSE('DCF Model'!$D$27,F25,F26,F27,F28,F29)</f>
        <v>49</v>
      </c>
      <c r="G5" s="34">
        <f>CHOOSE('DCF Model'!$D$27,G25,G26,G27,G28,G29)</f>
        <v>49</v>
      </c>
      <c r="H5" s="34">
        <f>CHOOSE('DCF Model'!$D$27,H25,H26,H27,H28,H29)</f>
        <v>49</v>
      </c>
    </row>
    <row r="6" spans="2:8" ht="14" customHeight="1" x14ac:dyDescent="0.3">
      <c r="B6" s="33" t="s">
        <v>176</v>
      </c>
      <c r="C6" s="34">
        <f>C13/C10*365</f>
        <v>395.54354660614058</v>
      </c>
      <c r="D6" s="34">
        <f>CHOOSE('DCF Model'!$D$27,D32,D33,D34,D35,D36)</f>
        <v>398</v>
      </c>
      <c r="E6" s="34">
        <f>CHOOSE('DCF Model'!$D$27,E32,E33,E34,E35,E36)</f>
        <v>398</v>
      </c>
      <c r="F6" s="34">
        <f>CHOOSE('DCF Model'!$D$27,F32,F33,F34,F35,F36)</f>
        <v>398</v>
      </c>
      <c r="G6" s="34">
        <f>CHOOSE('DCF Model'!$D$27,G32,G33,G34,G35,G36)</f>
        <v>398</v>
      </c>
      <c r="H6" s="34">
        <f>CHOOSE('DCF Model'!$D$27,H32,H33,H34,H35,H36)</f>
        <v>398</v>
      </c>
    </row>
    <row r="7" spans="2:8" ht="14" customHeight="1" x14ac:dyDescent="0.3">
      <c r="B7" s="33" t="s">
        <v>177</v>
      </c>
      <c r="C7" s="34">
        <f>C15/C10*365</f>
        <v>25.337737324786062</v>
      </c>
      <c r="D7" s="34">
        <f>CHOOSE('DCF Model'!$D$27,D39,D40,D41,D42,D43)</f>
        <v>26</v>
      </c>
      <c r="E7" s="34">
        <f>CHOOSE('DCF Model'!$D$27,E39,E40,E41,E42,E43)</f>
        <v>26</v>
      </c>
      <c r="F7" s="34">
        <f>CHOOSE('DCF Model'!$D$27,F39,F40,F41,F42,F43)</f>
        <v>26</v>
      </c>
      <c r="G7" s="34">
        <f>CHOOSE('DCF Model'!$D$27,G39,G40,G41,G42,G43)</f>
        <v>26</v>
      </c>
      <c r="H7" s="34">
        <f>CHOOSE('DCF Model'!$D$27,H39,H40,H41,H42,H43)</f>
        <v>26</v>
      </c>
    </row>
    <row r="8" spans="2:8" ht="14" customHeight="1" x14ac:dyDescent="0.3">
      <c r="B8" s="8" t="s">
        <v>178</v>
      </c>
      <c r="C8" s="9"/>
      <c r="D8" s="9"/>
      <c r="E8" s="9"/>
      <c r="F8" s="9"/>
      <c r="G8" s="9"/>
      <c r="H8" s="9"/>
    </row>
    <row r="9" spans="2:8" ht="14" customHeight="1" x14ac:dyDescent="0.3">
      <c r="B9" s="33" t="s">
        <v>32</v>
      </c>
      <c r="C9" s="35">
        <v>436889</v>
      </c>
      <c r="D9" s="35">
        <f>'DCF Model'!C33</f>
        <v>471840.12000000005</v>
      </c>
      <c r="E9" s="35">
        <f>'DCF Model'!D33</f>
        <v>500150.52720000007</v>
      </c>
      <c r="F9" s="35">
        <f>'DCF Model'!E33</f>
        <v>522657.30092400004</v>
      </c>
      <c r="G9" s="35">
        <f>'DCF Model'!F33</f>
        <v>540950.30645634001</v>
      </c>
      <c r="H9" s="35">
        <f>'DCF Model'!G33</f>
        <v>557178.81565003027</v>
      </c>
    </row>
    <row r="10" spans="2:8" ht="14" customHeight="1" x14ac:dyDescent="0.3">
      <c r="B10" s="33" t="s">
        <v>33</v>
      </c>
      <c r="C10" s="35">
        <v>130412</v>
      </c>
      <c r="D10" s="35">
        <f>'DCF Model'!C34</f>
        <v>141080.19588000001</v>
      </c>
      <c r="E10" s="35">
        <f>'DCF Model'!D34</f>
        <v>149545.00763280003</v>
      </c>
      <c r="F10" s="35">
        <f>'DCF Model'!E34</f>
        <v>156274.53297627601</v>
      </c>
      <c r="G10" s="35">
        <f>'DCF Model'!F34</f>
        <v>161744.14163044567</v>
      </c>
      <c r="H10" s="35">
        <f>'DCF Model'!G34</f>
        <v>166596.46587935905</v>
      </c>
    </row>
    <row r="11" spans="2:8" ht="14" customHeight="1" x14ac:dyDescent="0.3">
      <c r="B11" s="8" t="s">
        <v>179</v>
      </c>
      <c r="C11" s="9"/>
      <c r="D11" s="9"/>
      <c r="E11" s="9"/>
      <c r="F11" s="9"/>
      <c r="G11" s="9"/>
      <c r="H11" s="9"/>
    </row>
    <row r="12" spans="2:8" ht="14" customHeight="1" x14ac:dyDescent="0.3">
      <c r="B12" s="33" t="s">
        <v>180</v>
      </c>
      <c r="C12" s="35">
        <v>57477</v>
      </c>
      <c r="D12" s="35">
        <f t="shared" ref="D12:H13" si="0">D9*D5/365</f>
        <v>63342.920219178086</v>
      </c>
      <c r="E12" s="35">
        <f t="shared" si="0"/>
        <v>67143.495432328782</v>
      </c>
      <c r="F12" s="35">
        <f t="shared" si="0"/>
        <v>70164.952726783566</v>
      </c>
      <c r="G12" s="35">
        <f t="shared" si="0"/>
        <v>72620.72607222099</v>
      </c>
      <c r="H12" s="35">
        <f t="shared" si="0"/>
        <v>74799.347854387626</v>
      </c>
    </row>
    <row r="13" spans="2:8" ht="14" customHeight="1" x14ac:dyDescent="0.3">
      <c r="B13" s="33" t="s">
        <v>181</v>
      </c>
      <c r="C13" s="35">
        <v>141325</v>
      </c>
      <c r="D13" s="35">
        <f t="shared" si="0"/>
        <v>153835.39167189042</v>
      </c>
      <c r="E13" s="35">
        <f t="shared" si="0"/>
        <v>163065.51517220386</v>
      </c>
      <c r="F13" s="35">
        <f t="shared" si="0"/>
        <v>170403.46335495301</v>
      </c>
      <c r="G13" s="35">
        <f t="shared" si="0"/>
        <v>176367.58457237636</v>
      </c>
      <c r="H13" s="35">
        <f t="shared" si="0"/>
        <v>181658.61210954766</v>
      </c>
    </row>
    <row r="14" spans="2:8" ht="14" customHeight="1" x14ac:dyDescent="0.3">
      <c r="B14" s="33" t="s">
        <v>182</v>
      </c>
      <c r="C14" s="35">
        <f t="shared" ref="C14:H14" si="1">C12+C13</f>
        <v>198802</v>
      </c>
      <c r="D14" s="35">
        <f t="shared" si="1"/>
        <v>217178.3118910685</v>
      </c>
      <c r="E14" s="35">
        <f t="shared" si="1"/>
        <v>230209.01060453264</v>
      </c>
      <c r="F14" s="35">
        <f t="shared" si="1"/>
        <v>240568.41608173656</v>
      </c>
      <c r="G14" s="35">
        <f t="shared" si="1"/>
        <v>248988.31064459734</v>
      </c>
      <c r="H14" s="35">
        <f t="shared" si="1"/>
        <v>256457.95996393528</v>
      </c>
    </row>
    <row r="15" spans="2:8" ht="14" customHeight="1" x14ac:dyDescent="0.3">
      <c r="B15" s="33" t="s">
        <v>183</v>
      </c>
      <c r="C15" s="35">
        <v>9053</v>
      </c>
      <c r="D15" s="35">
        <f>D10*D7/365</f>
        <v>10049.548199671233</v>
      </c>
      <c r="E15" s="35">
        <f>E10*E7/365</f>
        <v>10652.521091651508</v>
      </c>
      <c r="F15" s="35">
        <f>F10*F7/365</f>
        <v>11131.884540775825</v>
      </c>
      <c r="G15" s="35">
        <f>G10*G7/365</f>
        <v>11521.500499702979</v>
      </c>
      <c r="H15" s="35">
        <f>H10*H7/365</f>
        <v>11867.14551469407</v>
      </c>
    </row>
    <row r="16" spans="2:8" ht="14" customHeight="1" x14ac:dyDescent="0.3">
      <c r="B16" s="33" t="s">
        <v>184</v>
      </c>
      <c r="C16" s="35">
        <f t="shared" ref="C16:H16" si="2">C15</f>
        <v>9053</v>
      </c>
      <c r="D16" s="35">
        <f t="shared" si="2"/>
        <v>10049.548199671233</v>
      </c>
      <c r="E16" s="35">
        <f t="shared" si="2"/>
        <v>10652.521091651508</v>
      </c>
      <c r="F16" s="35">
        <f t="shared" si="2"/>
        <v>11131.884540775825</v>
      </c>
      <c r="G16" s="35">
        <f t="shared" si="2"/>
        <v>11521.500499702979</v>
      </c>
      <c r="H16" s="35">
        <f t="shared" si="2"/>
        <v>11867.14551469407</v>
      </c>
    </row>
    <row r="17" spans="2:8" ht="14" customHeight="1" x14ac:dyDescent="0.3">
      <c r="B17" s="22" t="s">
        <v>185</v>
      </c>
      <c r="C17" s="23"/>
      <c r="D17" s="23"/>
      <c r="E17" s="23"/>
      <c r="F17" s="23"/>
      <c r="G17" s="23"/>
      <c r="H17" s="23"/>
    </row>
    <row r="18" spans="2:8" ht="14" customHeight="1" x14ac:dyDescent="0.3">
      <c r="B18" s="33" t="s">
        <v>186</v>
      </c>
      <c r="C18" s="20">
        <f t="shared" ref="C18:H18" si="3">C14-C16</f>
        <v>189749</v>
      </c>
      <c r="D18" s="20">
        <f t="shared" si="3"/>
        <v>207128.76369139727</v>
      </c>
      <c r="E18" s="20">
        <f t="shared" si="3"/>
        <v>219556.48951288112</v>
      </c>
      <c r="F18" s="20">
        <f t="shared" si="3"/>
        <v>229436.53154096074</v>
      </c>
      <c r="G18" s="20">
        <f t="shared" si="3"/>
        <v>237466.81014489435</v>
      </c>
      <c r="H18" s="20">
        <f t="shared" si="3"/>
        <v>244590.81444924121</v>
      </c>
    </row>
    <row r="19" spans="2:8" ht="14" customHeight="1" x14ac:dyDescent="0.3">
      <c r="B19" s="33" t="s">
        <v>95</v>
      </c>
      <c r="C19" s="36" t="s">
        <v>42</v>
      </c>
      <c r="D19" s="24">
        <f>D18-C18</f>
        <v>17379.763691397267</v>
      </c>
      <c r="E19" s="24">
        <f>E18-D18</f>
        <v>12427.725821483851</v>
      </c>
      <c r="F19" s="24">
        <f>F18-E18</f>
        <v>9880.0420280796243</v>
      </c>
      <c r="G19" s="24">
        <f>G18-F18</f>
        <v>8030.2786039336061</v>
      </c>
      <c r="H19" s="24">
        <f>H18-G18</f>
        <v>7124.0043043468613</v>
      </c>
    </row>
    <row r="22" spans="2:8" ht="14" customHeight="1" x14ac:dyDescent="0.3">
      <c r="B22" s="22" t="s">
        <v>187</v>
      </c>
      <c r="C22" s="23"/>
      <c r="D22" s="23"/>
      <c r="E22" s="23"/>
      <c r="F22" s="23"/>
      <c r="G22" s="23"/>
      <c r="H22" s="23"/>
    </row>
    <row r="23" spans="2:8" ht="14" customHeight="1" x14ac:dyDescent="0.3">
      <c r="D23" s="25" t="s">
        <v>81</v>
      </c>
      <c r="E23" s="25" t="s">
        <v>82</v>
      </c>
      <c r="F23" s="25" t="s">
        <v>83</v>
      </c>
      <c r="G23" s="25" t="s">
        <v>84</v>
      </c>
      <c r="H23" s="25" t="s">
        <v>85</v>
      </c>
    </row>
    <row r="24" spans="2:8" ht="14" customHeight="1" x14ac:dyDescent="0.3">
      <c r="B24" s="3" t="s">
        <v>188</v>
      </c>
    </row>
    <row r="25" spans="2:8" ht="14" customHeight="1" x14ac:dyDescent="0.3">
      <c r="B25" s="4" t="s">
        <v>79</v>
      </c>
      <c r="D25" s="30">
        <v>49</v>
      </c>
      <c r="E25" s="30">
        <v>49</v>
      </c>
      <c r="F25" s="30">
        <v>49</v>
      </c>
      <c r="G25" s="30">
        <v>49</v>
      </c>
      <c r="H25" s="30">
        <v>49</v>
      </c>
    </row>
    <row r="26" spans="2:8" ht="14" customHeight="1" x14ac:dyDescent="0.3">
      <c r="B26" s="4" t="s">
        <v>116</v>
      </c>
      <c r="D26" s="30">
        <v>47</v>
      </c>
      <c r="E26" s="30">
        <v>47</v>
      </c>
      <c r="F26" s="30">
        <v>47</v>
      </c>
      <c r="G26" s="30">
        <v>47</v>
      </c>
      <c r="H26" s="30">
        <v>47</v>
      </c>
    </row>
    <row r="27" spans="2:8" ht="14" customHeight="1" x14ac:dyDescent="0.3">
      <c r="B27" s="4" t="s">
        <v>117</v>
      </c>
      <c r="D27" s="30">
        <v>49</v>
      </c>
      <c r="E27" s="30">
        <v>49</v>
      </c>
      <c r="F27" s="30">
        <v>49</v>
      </c>
      <c r="G27" s="30">
        <v>49</v>
      </c>
      <c r="H27" s="30">
        <v>49</v>
      </c>
    </row>
    <row r="28" spans="2:8" ht="14" customHeight="1" x14ac:dyDescent="0.3">
      <c r="B28" s="4" t="s">
        <v>118</v>
      </c>
      <c r="D28" s="30">
        <v>52</v>
      </c>
      <c r="E28" s="30">
        <v>52</v>
      </c>
      <c r="F28" s="30">
        <v>52</v>
      </c>
      <c r="G28" s="30">
        <v>52</v>
      </c>
      <c r="H28" s="30">
        <v>52</v>
      </c>
    </row>
    <row r="29" spans="2:8" ht="14" customHeight="1" x14ac:dyDescent="0.3">
      <c r="B29" s="4" t="s">
        <v>119</v>
      </c>
      <c r="D29" s="30">
        <v>55</v>
      </c>
      <c r="E29" s="30">
        <v>55</v>
      </c>
      <c r="F29" s="30">
        <v>55</v>
      </c>
      <c r="G29" s="30">
        <v>55</v>
      </c>
      <c r="H29" s="30">
        <v>55</v>
      </c>
    </row>
    <row r="31" spans="2:8" ht="14" customHeight="1" x14ac:dyDescent="0.3">
      <c r="B31" s="3" t="s">
        <v>189</v>
      </c>
    </row>
    <row r="32" spans="2:8" ht="14" customHeight="1" x14ac:dyDescent="0.3">
      <c r="B32" s="4" t="s">
        <v>79</v>
      </c>
      <c r="D32" s="30">
        <v>398</v>
      </c>
      <c r="E32" s="30">
        <v>398</v>
      </c>
      <c r="F32" s="30">
        <v>398</v>
      </c>
      <c r="G32" s="30">
        <v>398</v>
      </c>
      <c r="H32" s="30">
        <v>398</v>
      </c>
    </row>
    <row r="33" spans="2:8" ht="14" customHeight="1" x14ac:dyDescent="0.3">
      <c r="B33" s="4" t="s">
        <v>116</v>
      </c>
      <c r="D33" s="30">
        <v>380</v>
      </c>
      <c r="E33" s="30">
        <v>380</v>
      </c>
      <c r="F33" s="30">
        <v>380</v>
      </c>
      <c r="G33" s="30">
        <v>380</v>
      </c>
      <c r="H33" s="30">
        <v>380</v>
      </c>
    </row>
    <row r="34" spans="2:8" ht="14" customHeight="1" x14ac:dyDescent="0.3">
      <c r="B34" s="4" t="s">
        <v>117</v>
      </c>
      <c r="D34" s="30">
        <v>398</v>
      </c>
      <c r="E34" s="30">
        <v>398</v>
      </c>
      <c r="F34" s="30">
        <v>398</v>
      </c>
      <c r="G34" s="30">
        <v>398</v>
      </c>
      <c r="H34" s="30">
        <v>398</v>
      </c>
    </row>
    <row r="35" spans="2:8" ht="14" customHeight="1" x14ac:dyDescent="0.3">
      <c r="B35" s="4" t="s">
        <v>118</v>
      </c>
      <c r="D35" s="30">
        <v>418</v>
      </c>
      <c r="E35" s="30">
        <v>418</v>
      </c>
      <c r="F35" s="30">
        <v>418</v>
      </c>
      <c r="G35" s="30">
        <v>418</v>
      </c>
      <c r="H35" s="30">
        <v>418</v>
      </c>
    </row>
    <row r="36" spans="2:8" ht="14" customHeight="1" x14ac:dyDescent="0.3">
      <c r="B36" s="4" t="s">
        <v>119</v>
      </c>
      <c r="D36" s="30">
        <v>440</v>
      </c>
      <c r="E36" s="30">
        <v>440</v>
      </c>
      <c r="F36" s="30">
        <v>440</v>
      </c>
      <c r="G36" s="30">
        <v>440</v>
      </c>
      <c r="H36" s="30">
        <v>440</v>
      </c>
    </row>
    <row r="38" spans="2:8" ht="14" customHeight="1" x14ac:dyDescent="0.3">
      <c r="B38" s="3" t="s">
        <v>190</v>
      </c>
    </row>
    <row r="39" spans="2:8" ht="14" customHeight="1" x14ac:dyDescent="0.3">
      <c r="B39" s="4" t="s">
        <v>79</v>
      </c>
      <c r="D39" s="30">
        <v>26</v>
      </c>
      <c r="E39" s="30">
        <v>26</v>
      </c>
      <c r="F39" s="30">
        <v>26</v>
      </c>
      <c r="G39" s="30">
        <v>26</v>
      </c>
      <c r="H39" s="30">
        <v>26</v>
      </c>
    </row>
    <row r="40" spans="2:8" ht="14" customHeight="1" x14ac:dyDescent="0.3">
      <c r="B40" s="4" t="s">
        <v>116</v>
      </c>
      <c r="D40" s="30">
        <v>27</v>
      </c>
      <c r="E40" s="30">
        <v>27</v>
      </c>
      <c r="F40" s="30">
        <v>27</v>
      </c>
      <c r="G40" s="30">
        <v>27</v>
      </c>
      <c r="H40" s="30">
        <v>27</v>
      </c>
    </row>
    <row r="41" spans="2:8" ht="14" customHeight="1" x14ac:dyDescent="0.3">
      <c r="B41" s="4" t="s">
        <v>117</v>
      </c>
      <c r="D41" s="30">
        <v>26</v>
      </c>
      <c r="E41" s="30">
        <v>26</v>
      </c>
      <c r="F41" s="30">
        <v>26</v>
      </c>
      <c r="G41" s="30">
        <v>26</v>
      </c>
      <c r="H41" s="30">
        <v>26</v>
      </c>
    </row>
    <row r="42" spans="2:8" ht="14" customHeight="1" x14ac:dyDescent="0.3">
      <c r="B42" s="4" t="s">
        <v>118</v>
      </c>
      <c r="D42" s="30">
        <v>25</v>
      </c>
      <c r="E42" s="30">
        <v>25</v>
      </c>
      <c r="F42" s="30">
        <v>25</v>
      </c>
      <c r="G42" s="30">
        <v>25</v>
      </c>
      <c r="H42" s="30">
        <v>25</v>
      </c>
    </row>
    <row r="43" spans="2:8" ht="14" customHeight="1" x14ac:dyDescent="0.3">
      <c r="B43" s="4" t="s">
        <v>119</v>
      </c>
      <c r="D43" s="30">
        <v>23</v>
      </c>
      <c r="E43" s="30">
        <v>23</v>
      </c>
      <c r="F43" s="30">
        <v>23</v>
      </c>
      <c r="G43" s="30">
        <v>23</v>
      </c>
      <c r="H43" s="30">
        <v>23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191</v>
      </c>
    </row>
    <row r="3" spans="2:17" ht="14" customHeight="1" x14ac:dyDescent="0.3">
      <c r="B3" s="1" t="s">
        <v>192</v>
      </c>
    </row>
    <row r="4" spans="2:17" ht="28" customHeight="1" x14ac:dyDescent="0.3">
      <c r="B4" s="10" t="s">
        <v>3</v>
      </c>
      <c r="C4" s="10" t="s">
        <v>5</v>
      </c>
      <c r="D4" s="10" t="s">
        <v>193</v>
      </c>
      <c r="E4" s="10" t="s">
        <v>194</v>
      </c>
      <c r="F4" s="10" t="s">
        <v>195</v>
      </c>
      <c r="G4" s="10" t="s">
        <v>196</v>
      </c>
      <c r="H4" s="10" t="s">
        <v>197</v>
      </c>
      <c r="I4" s="10" t="s">
        <v>198</v>
      </c>
      <c r="J4" s="10" t="s">
        <v>199</v>
      </c>
      <c r="K4" s="10" t="s">
        <v>200</v>
      </c>
      <c r="L4" s="10" t="s">
        <v>201</v>
      </c>
      <c r="M4" s="10" t="s">
        <v>202</v>
      </c>
      <c r="N4" s="10" t="s">
        <v>203</v>
      </c>
      <c r="O4" s="10" t="s">
        <v>204</v>
      </c>
      <c r="P4" s="10" t="s">
        <v>205</v>
      </c>
      <c r="Q4" s="10" t="s">
        <v>206</v>
      </c>
    </row>
    <row r="5" spans="2:17" ht="14" customHeight="1" x14ac:dyDescent="0.3">
      <c r="B5" s="4" t="s">
        <v>207</v>
      </c>
      <c r="C5" t="s">
        <v>208</v>
      </c>
      <c r="D5" s="37">
        <f>'Executive Summary'!C9*C23/1000000</f>
        <v>5907152.3035000004</v>
      </c>
      <c r="E5" s="37">
        <f>D5+C24</f>
        <v>5622577.3035000004</v>
      </c>
      <c r="F5" s="37">
        <v>436889</v>
      </c>
      <c r="G5" s="37">
        <v>199811</v>
      </c>
      <c r="H5" s="37">
        <v>184990</v>
      </c>
      <c r="I5" s="37">
        <v>135521</v>
      </c>
      <c r="J5" s="38">
        <f>IFERROR(E5/G5,"")</f>
        <v>28.13947832451667</v>
      </c>
      <c r="K5" s="38">
        <f>IFERROR(E5/F5,"")</f>
        <v>12.869578550844723</v>
      </c>
      <c r="L5" s="38">
        <f>IFERROR(D5/I5,"")</f>
        <v>43.588464544240381</v>
      </c>
      <c r="M5" s="38">
        <f>IFERROR(D5/P5,"")</f>
        <v>10.050313740519059</v>
      </c>
      <c r="N5" s="39">
        <f>IFERROR(H5/F5,"")</f>
        <v>0.42342562985106058</v>
      </c>
      <c r="O5" s="39">
        <f>IFERROR(I5/P5,"")</f>
        <v>0.23057278675917639</v>
      </c>
      <c r="P5" s="37">
        <v>587758</v>
      </c>
    </row>
    <row r="6" spans="2:17" ht="14" customHeight="1" x14ac:dyDescent="0.3">
      <c r="B6" s="4" t="s">
        <v>209</v>
      </c>
      <c r="C6" t="s">
        <v>210</v>
      </c>
      <c r="D6" s="37">
        <v>2463814</v>
      </c>
      <c r="E6" s="37">
        <v>2322535</v>
      </c>
      <c r="F6" s="37">
        <v>605748</v>
      </c>
      <c r="G6" s="37">
        <v>137097</v>
      </c>
      <c r="H6" s="37">
        <v>122522</v>
      </c>
      <c r="I6" s="37">
        <v>92003</v>
      </c>
      <c r="J6" s="38">
        <f>IFERROR(E6/G6,"")</f>
        <v>16.940815626891908</v>
      </c>
      <c r="K6" s="38">
        <f>IFERROR(E6/F6,"")</f>
        <v>3.8341604099394466</v>
      </c>
      <c r="L6" s="38">
        <f>IFERROR(D6/I6,"")</f>
        <v>26.779713704987881</v>
      </c>
      <c r="M6" s="38">
        <f>IFERROR(D6/P6,"")</f>
        <v>5.0636581115075385</v>
      </c>
      <c r="N6" s="39">
        <f>IFERROR(H6/F6,"")</f>
        <v>0.20226562861123767</v>
      </c>
      <c r="O6" s="39">
        <f>IFERROR(I6/P6,"")</f>
        <v>0.18908559543578699</v>
      </c>
      <c r="P6" s="37">
        <v>486568</v>
      </c>
    </row>
    <row r="7" spans="2:17" ht="14" customHeight="1" x14ac:dyDescent="0.3">
      <c r="B7" s="4" t="s">
        <v>211</v>
      </c>
      <c r="C7" t="s">
        <v>212</v>
      </c>
      <c r="D7" s="37">
        <v>5755433</v>
      </c>
      <c r="E7" s="37">
        <v>5652289</v>
      </c>
      <c r="F7" s="37">
        <v>416201</v>
      </c>
      <c r="G7" s="37">
        <v>128264</v>
      </c>
      <c r="H7" s="37">
        <v>62028</v>
      </c>
      <c r="I7" s="37">
        <v>63713</v>
      </c>
      <c r="J7" s="38">
        <f>IFERROR(E7/G7,"")</f>
        <v>44.067618349653841</v>
      </c>
      <c r="K7" s="38">
        <f>IFERROR(E7/F7,"")</f>
        <v>13.580671358310047</v>
      </c>
      <c r="L7" s="38">
        <f>IFERROR(D7/I7,"")</f>
        <v>90.333730949727681</v>
      </c>
      <c r="M7" s="38">
        <f>IFERROR(D7/P7,"")</f>
        <v>10.463072948764795</v>
      </c>
      <c r="N7" s="39">
        <f>IFERROR(H7/F7,"")</f>
        <v>0.14903376013032166</v>
      </c>
      <c r="O7" s="39">
        <f>IFERROR(I7/P7,"")</f>
        <v>0.11582686598639085</v>
      </c>
      <c r="P7" s="37">
        <v>550071</v>
      </c>
    </row>
    <row r="8" spans="2:17" ht="14" customHeight="1" x14ac:dyDescent="0.3">
      <c r="B8" s="4" t="s">
        <v>213</v>
      </c>
      <c r="C8" t="s">
        <v>214</v>
      </c>
      <c r="D8" s="37">
        <v>23900296</v>
      </c>
      <c r="E8" s="37">
        <v>23580522</v>
      </c>
      <c r="F8" s="37">
        <v>1128610</v>
      </c>
      <c r="G8" s="37">
        <v>524732</v>
      </c>
      <c r="H8" s="37">
        <v>499120</v>
      </c>
      <c r="I8" s="37">
        <v>375353</v>
      </c>
      <c r="J8" s="38">
        <f>IFERROR(E8/G8,"")</f>
        <v>44.938219891296889</v>
      </c>
      <c r="K8" s="38">
        <f>IFERROR(E8/F8,"")</f>
        <v>20.893419338832725</v>
      </c>
      <c r="L8" s="38">
        <f>IFERROR(D8/I8,"")</f>
        <v>63.674184034761943</v>
      </c>
      <c r="M8" s="38">
        <f>IFERROR(D8/P8,"")</f>
        <v>30.03583645626761</v>
      </c>
      <c r="N8" s="39">
        <f>IFERROR(H8/F8,"")</f>
        <v>0.44224311321005483</v>
      </c>
      <c r="O8" s="39">
        <f>IFERROR(I8/P8,"")</f>
        <v>0.47171136798345159</v>
      </c>
      <c r="P8" s="37">
        <v>795726</v>
      </c>
    </row>
    <row r="9" spans="2:17" ht="14" customHeight="1" x14ac:dyDescent="0.3">
      <c r="B9" s="4" t="s">
        <v>215</v>
      </c>
      <c r="C9" t="s">
        <v>216</v>
      </c>
      <c r="D9" s="37">
        <v>24223108</v>
      </c>
      <c r="E9" s="37">
        <v>23771856</v>
      </c>
      <c r="F9" s="37">
        <v>2443533</v>
      </c>
      <c r="G9" s="37">
        <v>706282</v>
      </c>
      <c r="H9" s="37">
        <v>624937</v>
      </c>
      <c r="I9" s="37">
        <v>574454</v>
      </c>
      <c r="J9" s="38">
        <f>IFERROR(E9/G9,"")</f>
        <v>33.657740109474688</v>
      </c>
      <c r="K9" s="38">
        <f>IFERROR(E9/F9,"")</f>
        <v>9.728477577343952</v>
      </c>
      <c r="L9" s="38">
        <f>IFERROR(D9/I9,"")</f>
        <v>42.167184839865335</v>
      </c>
      <c r="M9" s="38">
        <f>IFERROR(D9/P9,"")</f>
        <v>11.702018459956889</v>
      </c>
      <c r="N9" s="39">
        <f>IFERROR(H9/F9,"")</f>
        <v>0.25575140585373718</v>
      </c>
      <c r="O9" s="39">
        <f>IFERROR(I9/P9,"")</f>
        <v>0.27751481405260114</v>
      </c>
      <c r="P9" s="37">
        <v>2069994</v>
      </c>
    </row>
    <row r="14" spans="2:17" ht="14" customHeight="1" x14ac:dyDescent="0.3">
      <c r="B14" s="3" t="s">
        <v>217</v>
      </c>
    </row>
    <row r="15" spans="2:17" ht="14" customHeight="1" x14ac:dyDescent="0.3">
      <c r="B15" s="4" t="s">
        <v>218</v>
      </c>
      <c r="D15" s="38">
        <f t="shared" ref="D15:I15" si="0">PERCENTILE(J6:J9,0.25)</f>
        <v>29.478508988828992</v>
      </c>
      <c r="E15" s="38">
        <f t="shared" si="0"/>
        <v>8.2548982854928248</v>
      </c>
      <c r="F15" s="38">
        <f t="shared" si="0"/>
        <v>38.320317056145967</v>
      </c>
      <c r="G15" s="38">
        <f t="shared" si="0"/>
        <v>9.1132192394504798</v>
      </c>
      <c r="H15" s="39">
        <f t="shared" si="0"/>
        <v>0.18895766149100868</v>
      </c>
      <c r="I15" s="39">
        <f t="shared" si="0"/>
        <v>0.17077091307343795</v>
      </c>
    </row>
    <row r="16" spans="2:17" ht="14" customHeight="1" x14ac:dyDescent="0.3">
      <c r="B16" s="4" t="s">
        <v>219</v>
      </c>
      <c r="D16" s="38">
        <f t="shared" ref="D16:I16" si="1">MEDIAN(J6:J9)</f>
        <v>38.862679229564264</v>
      </c>
      <c r="E16" s="38">
        <f t="shared" si="1"/>
        <v>11.654574467827</v>
      </c>
      <c r="F16" s="38">
        <f t="shared" si="1"/>
        <v>52.920684437313639</v>
      </c>
      <c r="G16" s="38">
        <f t="shared" si="1"/>
        <v>11.082545704360843</v>
      </c>
      <c r="H16" s="39">
        <f t="shared" si="1"/>
        <v>0.22900851723248744</v>
      </c>
      <c r="I16" s="39">
        <f t="shared" si="1"/>
        <v>0.23330020474419405</v>
      </c>
    </row>
    <row r="17" spans="2:9" ht="14" customHeight="1" x14ac:dyDescent="0.3">
      <c r="B17" s="4" t="s">
        <v>220</v>
      </c>
      <c r="D17" s="38">
        <f t="shared" ref="D17:I17" si="2">PERCENTILE(J6:J9,0.75)</f>
        <v>44.285268735064605</v>
      </c>
      <c r="E17" s="38">
        <f t="shared" si="2"/>
        <v>15.408858353440717</v>
      </c>
      <c r="F17" s="38">
        <f t="shared" si="2"/>
        <v>70.339070763503372</v>
      </c>
      <c r="G17" s="38">
        <f t="shared" si="2"/>
        <v>16.285472959034571</v>
      </c>
      <c r="H17" s="39">
        <f t="shared" si="2"/>
        <v>0.30237433269281661</v>
      </c>
      <c r="I17" s="39">
        <f t="shared" si="2"/>
        <v>0.32606395253531373</v>
      </c>
    </row>
    <row r="19" spans="2:9" ht="14" customHeight="1" x14ac:dyDescent="0.3">
      <c r="B19" s="22" t="s">
        <v>221</v>
      </c>
      <c r="C19" s="23"/>
      <c r="D19" s="23"/>
      <c r="E19" s="23"/>
      <c r="F19" s="23"/>
      <c r="G19" s="23"/>
      <c r="H19" s="23"/>
      <c r="I19" s="23"/>
    </row>
    <row r="20" spans="2:9" ht="14" customHeight="1" x14ac:dyDescent="0.3">
      <c r="B20" s="3" t="s">
        <v>222</v>
      </c>
    </row>
    <row r="21" spans="2:9" ht="14" customHeight="1" x14ac:dyDescent="0.3">
      <c r="B21" s="4" t="s">
        <v>223</v>
      </c>
      <c r="C21" s="5">
        <v>199811</v>
      </c>
    </row>
    <row r="22" spans="2:9" ht="14" customHeight="1" x14ac:dyDescent="0.3">
      <c r="B22" s="4" t="s">
        <v>224</v>
      </c>
      <c r="C22" s="5">
        <v>135521</v>
      </c>
    </row>
    <row r="23" spans="2:9" ht="14" customHeight="1" x14ac:dyDescent="0.3">
      <c r="B23" s="4" t="s">
        <v>225</v>
      </c>
      <c r="C23" s="15">
        <v>108467725</v>
      </c>
    </row>
    <row r="24" spans="2:9" ht="14" customHeight="1" x14ac:dyDescent="0.3">
      <c r="B24" s="4" t="s">
        <v>68</v>
      </c>
      <c r="C24" s="5">
        <v>-284575</v>
      </c>
    </row>
    <row r="26" spans="2:9" ht="14" customHeight="1" x14ac:dyDescent="0.3">
      <c r="B26" s="3" t="s">
        <v>226</v>
      </c>
    </row>
    <row r="27" spans="2:9" ht="14" customHeight="1" x14ac:dyDescent="0.3">
      <c r="B27" s="4" t="s">
        <v>227</v>
      </c>
      <c r="C27" s="24">
        <f>ROUND((C21*D16-C24)*1000000/C23,0)</f>
        <v>74213</v>
      </c>
    </row>
    <row r="28" spans="2:9" ht="14" customHeight="1" x14ac:dyDescent="0.3">
      <c r="B28" s="4" t="s">
        <v>228</v>
      </c>
      <c r="C28" s="24">
        <f>ROUND(C22*F16*1000000/C23,0)</f>
        <v>66120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229</v>
      </c>
    </row>
    <row r="3" spans="2:9" ht="14" customHeight="1" x14ac:dyDescent="0.3">
      <c r="B3" s="4" t="s">
        <v>230</v>
      </c>
      <c r="C3" s="16">
        <f>'DCF Model'!C26</f>
        <v>0.10535</v>
      </c>
      <c r="E3" s="4" t="s">
        <v>231</v>
      </c>
      <c r="F3" s="16">
        <f>'DCF Model'!C13</f>
        <v>0.01</v>
      </c>
      <c r="H3" s="4" t="s">
        <v>232</v>
      </c>
      <c r="I3" s="14">
        <f>'DCF Model'!C14</f>
        <v>38.9</v>
      </c>
    </row>
    <row r="5" spans="2:9" ht="14" customHeight="1" x14ac:dyDescent="0.3">
      <c r="B5" s="3" t="s">
        <v>233</v>
      </c>
    </row>
    <row r="6" spans="2:9" ht="14" customHeight="1" x14ac:dyDescent="0.3">
      <c r="B6" s="40" t="s">
        <v>234</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9.035E-2</v>
      </c>
      <c r="C7" s="37">
        <f>IFERROR(ROUND(('DCF Model'!C45/(1+$B7)^('DCF Model'!C19+0)+'DCF Model'!D45/(1+$B7)^('DCF Model'!C19+1)+'DCF Model'!E45/(1+$B7)^('DCF Model'!C19+2)+'DCF Model'!F45/(1+$B7)^('DCF Model'!C19+3)+'DCF Model'!G45/(1+$B7)^('DCF Model'!C19+4)+'DCF Model'!G45*(1+C$6)/($B7-C$6)/(1+$B7)^('DCF Model'!C19+4)-'DCF Model'!C16)*1000000/'DCF Model'!C15,0),"")</f>
        <v>18518</v>
      </c>
      <c r="D7" s="37">
        <f>IFERROR(ROUND(('DCF Model'!C45/(1+$B7)^('DCF Model'!C19+0)+'DCF Model'!D45/(1+$B7)^('DCF Model'!C19+1)+'DCF Model'!E45/(1+$B7)^('DCF Model'!C19+2)+'DCF Model'!F45/(1+$B7)^('DCF Model'!C19+3)+'DCF Model'!G45/(1+$B7)^('DCF Model'!C19+4)+'DCF Model'!G45*(1+D$6)/($B7-D$6)/(1+$B7)^('DCF Model'!C19+4)-'DCF Model'!C16)*1000000/'DCF Model'!C15,0),"")</f>
        <v>18869</v>
      </c>
      <c r="E7" s="37">
        <f>IFERROR(ROUND(('DCF Model'!C45/(1+$B7)^('DCF Model'!C19+0)+'DCF Model'!D45/(1+$B7)^('DCF Model'!C19+1)+'DCF Model'!E45/(1+$B7)^('DCF Model'!C19+2)+'DCF Model'!F45/(1+$B7)^('DCF Model'!C19+3)+'DCF Model'!G45/(1+$B7)^('DCF Model'!C19+4)+'DCF Model'!G45*(1+E$6)/($B7-E$6)/(1+$B7)^('DCF Model'!C19+4)-'DCF Model'!C16)*1000000/'DCF Model'!C15,0),"")</f>
        <v>19242</v>
      </c>
      <c r="F7" s="37">
        <f>IFERROR(ROUND(('DCF Model'!C45/(1+$B7)^('DCF Model'!C19+0)+'DCF Model'!D45/(1+$B7)^('DCF Model'!C19+1)+'DCF Model'!E45/(1+$B7)^('DCF Model'!C19+2)+'DCF Model'!F45/(1+$B7)^('DCF Model'!C19+3)+'DCF Model'!G45/(1+$B7)^('DCF Model'!C19+4)+'DCF Model'!G45*(1+F$6)/($B7-F$6)/(1+$B7)^('DCF Model'!C19+4)-'DCF Model'!C16)*1000000/'DCF Model'!C15,0),"")</f>
        <v>19639</v>
      </c>
      <c r="G7" s="37">
        <f>IFERROR(ROUND(('DCF Model'!C45/(1+$B7)^('DCF Model'!C19+0)+'DCF Model'!D45/(1+$B7)^('DCF Model'!C19+1)+'DCF Model'!E45/(1+$B7)^('DCF Model'!C19+2)+'DCF Model'!F45/(1+$B7)^('DCF Model'!C19+3)+'DCF Model'!G45/(1+$B7)^('DCF Model'!C19+4)+'DCF Model'!G45*(1+G$6)/($B7-G$6)/(1+$B7)^('DCF Model'!C19+4)-'DCF Model'!C16)*1000000/'DCF Model'!C15,0),"")</f>
        <v>20060</v>
      </c>
      <c r="H7" s="37">
        <f>IFERROR(ROUND(('DCF Model'!C45/(1+$B7)^('DCF Model'!C19+0)+'DCF Model'!D45/(1+$B7)^('DCF Model'!C19+1)+'DCF Model'!E45/(1+$B7)^('DCF Model'!C19+2)+'DCF Model'!F45/(1+$B7)^('DCF Model'!C19+3)+'DCF Model'!G45/(1+$B7)^('DCF Model'!C19+4)+'DCF Model'!G45*(1+H$6)/($B7-H$6)/(1+$B7)^('DCF Model'!C19+4)-'DCF Model'!C16)*1000000/'DCF Model'!C15,0),"")</f>
        <v>20510</v>
      </c>
      <c r="I7" s="37">
        <f>IFERROR(ROUND(('DCF Model'!C45/(1+$B7)^('DCF Model'!C19+0)+'DCF Model'!D45/(1+$B7)^('DCF Model'!C19+1)+'DCF Model'!E45/(1+$B7)^('DCF Model'!C19+2)+'DCF Model'!F45/(1+$B7)^('DCF Model'!C19+3)+'DCF Model'!G45/(1+$B7)^('DCF Model'!C19+4)+'DCF Model'!G45*(1+I$6)/($B7-I$6)/(1+$B7)^('DCF Model'!C19+4)-'DCF Model'!C16)*1000000/'DCF Model'!C15,0),"")</f>
        <v>20990</v>
      </c>
    </row>
    <row r="8" spans="2:9" ht="13.5" customHeight="1" x14ac:dyDescent="0.25">
      <c r="B8" s="39">
        <f>$C$3-0.01</f>
        <v>9.5350000000000004E-2</v>
      </c>
      <c r="C8" s="37">
        <f>IFERROR(ROUND(('DCF Model'!C45/(1+$B8)^('DCF Model'!C19+0)+'DCF Model'!D45/(1+$B8)^('DCF Model'!C19+1)+'DCF Model'!E45/(1+$B8)^('DCF Model'!C19+2)+'DCF Model'!F45/(1+$B8)^('DCF Model'!C19+3)+'DCF Model'!G45/(1+$B8)^('DCF Model'!C19+4)+'DCF Model'!G45*(1+C$6)/($B8-C$6)/(1+$B8)^('DCF Model'!C19+4)-'DCF Model'!C16)*1000000/'DCF Model'!C15,0),"")</f>
        <v>17620</v>
      </c>
      <c r="D8" s="37">
        <f>IFERROR(ROUND(('DCF Model'!C45/(1+$B8)^('DCF Model'!C19+0)+'DCF Model'!D45/(1+$B8)^('DCF Model'!C19+1)+'DCF Model'!E45/(1+$B8)^('DCF Model'!C19+2)+'DCF Model'!F45/(1+$B8)^('DCF Model'!C19+3)+'DCF Model'!G45/(1+$B8)^('DCF Model'!C19+4)+'DCF Model'!G45*(1+D$6)/($B8-D$6)/(1+$B8)^('DCF Model'!C19+4)-'DCF Model'!C16)*1000000/'DCF Model'!C15,0),"")</f>
        <v>17929</v>
      </c>
      <c r="E8" s="37">
        <f>IFERROR(ROUND(('DCF Model'!C45/(1+$B8)^('DCF Model'!C19+0)+'DCF Model'!D45/(1+$B8)^('DCF Model'!C19+1)+'DCF Model'!E45/(1+$B8)^('DCF Model'!C19+2)+'DCF Model'!F45/(1+$B8)^('DCF Model'!C19+3)+'DCF Model'!G45/(1+$B8)^('DCF Model'!C19+4)+'DCF Model'!G45*(1+E$6)/($B8-E$6)/(1+$B8)^('DCF Model'!C19+4)-'DCF Model'!C16)*1000000/'DCF Model'!C15,0),"")</f>
        <v>18255</v>
      </c>
      <c r="F8" s="37">
        <f>IFERROR(ROUND(('DCF Model'!C45/(1+$B8)^('DCF Model'!C19+0)+'DCF Model'!D45/(1+$B8)^('DCF Model'!C19+1)+'DCF Model'!E45/(1+$B8)^('DCF Model'!C19+2)+'DCF Model'!F45/(1+$B8)^('DCF Model'!C19+3)+'DCF Model'!G45/(1+$B8)^('DCF Model'!C19+4)+'DCF Model'!G45*(1+F$6)/($B8-F$6)/(1+$B8)^('DCF Model'!C19+4)-'DCF Model'!C16)*1000000/'DCF Model'!C15,0),"")</f>
        <v>18600</v>
      </c>
      <c r="G8" s="37">
        <f>IFERROR(ROUND(('DCF Model'!C45/(1+$B8)^('DCF Model'!C19+0)+'DCF Model'!D45/(1+$B8)^('DCF Model'!C19+1)+'DCF Model'!E45/(1+$B8)^('DCF Model'!C19+2)+'DCF Model'!F45/(1+$B8)^('DCF Model'!C19+3)+'DCF Model'!G45/(1+$B8)^('DCF Model'!C19+4)+'DCF Model'!G45*(1+G$6)/($B8-G$6)/(1+$B8)^('DCF Model'!C19+4)-'DCF Model'!C16)*1000000/'DCF Model'!C15,0),"")</f>
        <v>18967</v>
      </c>
      <c r="H8" s="37">
        <f>IFERROR(ROUND(('DCF Model'!C45/(1+$B8)^('DCF Model'!C19+0)+'DCF Model'!D45/(1+$B8)^('DCF Model'!C19+1)+'DCF Model'!E45/(1+$B8)^('DCF Model'!C19+2)+'DCF Model'!F45/(1+$B8)^('DCF Model'!C19+3)+'DCF Model'!G45/(1+$B8)^('DCF Model'!C19+4)+'DCF Model'!G45*(1+H$6)/($B8-H$6)/(1+$B8)^('DCF Model'!C19+4)-'DCF Model'!C16)*1000000/'DCF Model'!C15,0),"")</f>
        <v>19356</v>
      </c>
      <c r="I8" s="37">
        <f>IFERROR(ROUND(('DCF Model'!C45/(1+$B8)^('DCF Model'!C19+0)+'DCF Model'!D45/(1+$B8)^('DCF Model'!C19+1)+'DCF Model'!E45/(1+$B8)^('DCF Model'!C19+2)+'DCF Model'!F45/(1+$B8)^('DCF Model'!C19+3)+'DCF Model'!G45/(1+$B8)^('DCF Model'!C19+4)+'DCF Model'!G45*(1+I$6)/($B8-I$6)/(1+$B8)^('DCF Model'!C19+4)-'DCF Model'!C16)*1000000/'DCF Model'!C15,0),"")</f>
        <v>19770</v>
      </c>
    </row>
    <row r="9" spans="2:9" ht="13.5" customHeight="1" x14ac:dyDescent="0.25">
      <c r="B9" s="39">
        <f>$C$3-0.005</f>
        <v>0.10034999999999999</v>
      </c>
      <c r="C9" s="37">
        <f>IFERROR(ROUND(('DCF Model'!C45/(1+$B9)^('DCF Model'!C19+0)+'DCF Model'!D45/(1+$B9)^('DCF Model'!C19+1)+'DCF Model'!E45/(1+$B9)^('DCF Model'!C19+2)+'DCF Model'!F45/(1+$B9)^('DCF Model'!C19+3)+'DCF Model'!G45/(1+$B9)^('DCF Model'!C19+4)+'DCF Model'!G45*(1+C$6)/($B9-C$6)/(1+$B9)^('DCF Model'!C19+4)-'DCF Model'!C16)*1000000/'DCF Model'!C15,0),"")</f>
        <v>16815</v>
      </c>
      <c r="D9" s="37">
        <f>IFERROR(ROUND(('DCF Model'!C45/(1+$B9)^('DCF Model'!C19+0)+'DCF Model'!D45/(1+$B9)^('DCF Model'!C19+1)+'DCF Model'!E45/(1+$B9)^('DCF Model'!C19+2)+'DCF Model'!F45/(1+$B9)^('DCF Model'!C19+3)+'DCF Model'!G45/(1+$B9)^('DCF Model'!C19+4)+'DCF Model'!G45*(1+D$6)/($B9-D$6)/(1+$B9)^('DCF Model'!C19+4)-'DCF Model'!C16)*1000000/'DCF Model'!C15,0),"")</f>
        <v>17087</v>
      </c>
      <c r="E9" s="37">
        <f>IFERROR(ROUND(('DCF Model'!C45/(1+$B9)^('DCF Model'!C19+0)+'DCF Model'!D45/(1+$B9)^('DCF Model'!C19+1)+'DCF Model'!E45/(1+$B9)^('DCF Model'!C19+2)+'DCF Model'!F45/(1+$B9)^('DCF Model'!C19+3)+'DCF Model'!G45/(1+$B9)^('DCF Model'!C19+4)+'DCF Model'!G45*(1+E$6)/($B9-E$6)/(1+$B9)^('DCF Model'!C19+4)-'DCF Model'!C16)*1000000/'DCF Model'!C15,0),"")</f>
        <v>17375</v>
      </c>
      <c r="F9" s="37">
        <f>IFERROR(ROUND(('DCF Model'!C45/(1+$B9)^('DCF Model'!C19+0)+'DCF Model'!D45/(1+$B9)^('DCF Model'!C19+1)+'DCF Model'!E45/(1+$B9)^('DCF Model'!C19+2)+'DCF Model'!F45/(1+$B9)^('DCF Model'!C19+3)+'DCF Model'!G45/(1+$B9)^('DCF Model'!C19+4)+'DCF Model'!G45*(1+F$6)/($B9-F$6)/(1+$B9)^('DCF Model'!C19+4)-'DCF Model'!C16)*1000000/'DCF Model'!C15,0),"")</f>
        <v>17678</v>
      </c>
      <c r="G9" s="37">
        <f>IFERROR(ROUND(('DCF Model'!C45/(1+$B9)^('DCF Model'!C19+0)+'DCF Model'!D45/(1+$B9)^('DCF Model'!C19+1)+'DCF Model'!E45/(1+$B9)^('DCF Model'!C19+2)+'DCF Model'!F45/(1+$B9)^('DCF Model'!C19+3)+'DCF Model'!G45/(1+$B9)^('DCF Model'!C19+4)+'DCF Model'!G45*(1+G$6)/($B9-G$6)/(1+$B9)^('DCF Model'!C19+4)-'DCF Model'!C16)*1000000/'DCF Model'!C15,0),"")</f>
        <v>17998</v>
      </c>
      <c r="H9" s="37">
        <f>IFERROR(ROUND(('DCF Model'!C45/(1+$B9)^('DCF Model'!C19+0)+'DCF Model'!D45/(1+$B9)^('DCF Model'!C19+1)+'DCF Model'!E45/(1+$B9)^('DCF Model'!C19+2)+'DCF Model'!F45/(1+$B9)^('DCF Model'!C19+3)+'DCF Model'!G45/(1+$B9)^('DCF Model'!C19+4)+'DCF Model'!G45*(1+H$6)/($B9-H$6)/(1+$B9)^('DCF Model'!C19+4)-'DCF Model'!C16)*1000000/'DCF Model'!C15,0),"")</f>
        <v>18337</v>
      </c>
      <c r="I9" s="37">
        <f>IFERROR(ROUND(('DCF Model'!C45/(1+$B9)^('DCF Model'!C19+0)+'DCF Model'!D45/(1+$B9)^('DCF Model'!C19+1)+'DCF Model'!E45/(1+$B9)^('DCF Model'!C19+2)+'DCF Model'!F45/(1+$B9)^('DCF Model'!C19+3)+'DCF Model'!G45/(1+$B9)^('DCF Model'!C19+4)+'DCF Model'!G45*(1+I$6)/($B9-I$6)/(1+$B9)^('DCF Model'!C19+4)-'DCF Model'!C16)*1000000/'DCF Model'!C15,0),"")</f>
        <v>18697</v>
      </c>
    </row>
    <row r="10" spans="2:9" ht="13.5" customHeight="1" x14ac:dyDescent="0.25">
      <c r="B10" s="39">
        <f>$C$3</f>
        <v>0.10535</v>
      </c>
      <c r="C10" s="37">
        <f>IFERROR(ROUND(('DCF Model'!C45/(1+$B10)^('DCF Model'!C19+0)+'DCF Model'!D45/(1+$B10)^('DCF Model'!C19+1)+'DCF Model'!E45/(1+$B10)^('DCF Model'!C19+2)+'DCF Model'!F45/(1+$B10)^('DCF Model'!C19+3)+'DCF Model'!G45/(1+$B10)^('DCF Model'!C19+4)+'DCF Model'!G45*(1+C$6)/($B10-C$6)/(1+$B10)^('DCF Model'!C19+4)-'DCF Model'!C16)*1000000/'DCF Model'!C15,0),"")</f>
        <v>16088</v>
      </c>
      <c r="D10" s="37">
        <f>IFERROR(ROUND(('DCF Model'!C45/(1+$B10)^('DCF Model'!C19+0)+'DCF Model'!D45/(1+$B10)^('DCF Model'!C19+1)+'DCF Model'!E45/(1+$B10)^('DCF Model'!C19+2)+'DCF Model'!F45/(1+$B10)^('DCF Model'!C19+3)+'DCF Model'!G45/(1+$B10)^('DCF Model'!C19+4)+'DCF Model'!G45*(1+D$6)/($B10-D$6)/(1+$B10)^('DCF Model'!C19+4)-'DCF Model'!C16)*1000000/'DCF Model'!C15,0),"")</f>
        <v>16330</v>
      </c>
      <c r="E10" s="37">
        <f>IFERROR(ROUND(('DCF Model'!C45/(1+$B10)^('DCF Model'!C19+0)+'DCF Model'!D45/(1+$B10)^('DCF Model'!C19+1)+'DCF Model'!E45/(1+$B10)^('DCF Model'!C19+2)+'DCF Model'!F45/(1+$B10)^('DCF Model'!C19+3)+'DCF Model'!G45/(1+$B10)^('DCF Model'!C19+4)+'DCF Model'!G45*(1+E$6)/($B10-E$6)/(1+$B10)^('DCF Model'!C19+4)-'DCF Model'!C16)*1000000/'DCF Model'!C15,0),"")</f>
        <v>16585</v>
      </c>
      <c r="F10" s="37">
        <f>IFERROR(ROUND(('DCF Model'!C45/(1+$B10)^('DCF Model'!C19+0)+'DCF Model'!D45/(1+$B10)^('DCF Model'!C19+1)+'DCF Model'!E45/(1+$B10)^('DCF Model'!C19+2)+'DCF Model'!F45/(1+$B10)^('DCF Model'!C19+3)+'DCF Model'!G45/(1+$B10)^('DCF Model'!C19+4)+'DCF Model'!G45*(1+F$6)/($B10-F$6)/(1+$B10)^('DCF Model'!C19+4)-'DCF Model'!C16)*1000000/'DCF Model'!C15,0),"")</f>
        <v>16852</v>
      </c>
      <c r="G10" s="37">
        <f>IFERROR(ROUND(('DCF Model'!C45/(1+$B10)^('DCF Model'!C19+0)+'DCF Model'!D45/(1+$B10)^('DCF Model'!C19+1)+'DCF Model'!E45/(1+$B10)^('DCF Model'!C19+2)+'DCF Model'!F45/(1+$B10)^('DCF Model'!C19+3)+'DCF Model'!G45/(1+$B10)^('DCF Model'!C19+4)+'DCF Model'!G45*(1+G$6)/($B10-G$6)/(1+$B10)^('DCF Model'!C19+4)-'DCF Model'!C16)*1000000/'DCF Model'!C15,0),"")</f>
        <v>17135</v>
      </c>
      <c r="H10" s="37">
        <f>IFERROR(ROUND(('DCF Model'!C45/(1+$B10)^('DCF Model'!C19+0)+'DCF Model'!D45/(1+$B10)^('DCF Model'!C19+1)+'DCF Model'!E45/(1+$B10)^('DCF Model'!C19+2)+'DCF Model'!F45/(1+$B10)^('DCF Model'!C19+3)+'DCF Model'!G45/(1+$B10)^('DCF Model'!C19+4)+'DCF Model'!G45*(1+H$6)/($B10-H$6)/(1+$B10)^('DCF Model'!C19+4)-'DCF Model'!C16)*1000000/'DCF Model'!C15,0),"")</f>
        <v>17432</v>
      </c>
      <c r="I10" s="37">
        <f>IFERROR(ROUND(('DCF Model'!C45/(1+$B10)^('DCF Model'!C19+0)+'DCF Model'!D45/(1+$B10)^('DCF Model'!C19+1)+'DCF Model'!E45/(1+$B10)^('DCF Model'!C19+2)+'DCF Model'!F45/(1+$B10)^('DCF Model'!C19+3)+'DCF Model'!G45/(1+$B10)^('DCF Model'!C19+4)+'DCF Model'!G45*(1+I$6)/($B10-I$6)/(1+$B10)^('DCF Model'!C19+4)-'DCF Model'!C16)*1000000/'DCF Model'!C15,0),"")</f>
        <v>17747</v>
      </c>
    </row>
    <row r="11" spans="2:9" ht="13.5" customHeight="1" x14ac:dyDescent="0.25">
      <c r="B11" s="39">
        <f>$C$3+0.005</f>
        <v>0.11035</v>
      </c>
      <c r="C11" s="37">
        <f>IFERROR(ROUND(('DCF Model'!C45/(1+$B11)^('DCF Model'!C19+0)+'DCF Model'!D45/(1+$B11)^('DCF Model'!C19+1)+'DCF Model'!E45/(1+$B11)^('DCF Model'!C19+2)+'DCF Model'!F45/(1+$B11)^('DCF Model'!C19+3)+'DCF Model'!G45/(1+$B11)^('DCF Model'!C19+4)+'DCF Model'!G45*(1+C$6)/($B11-C$6)/(1+$B11)^('DCF Model'!C19+4)-'DCF Model'!C16)*1000000/'DCF Model'!C15,0),"")</f>
        <v>15430</v>
      </c>
      <c r="D11" s="37">
        <f>IFERROR(ROUND(('DCF Model'!C45/(1+$B11)^('DCF Model'!C19+0)+'DCF Model'!D45/(1+$B11)^('DCF Model'!C19+1)+'DCF Model'!E45/(1+$B11)^('DCF Model'!C19+2)+'DCF Model'!F45/(1+$B11)^('DCF Model'!C19+3)+'DCF Model'!G45/(1+$B11)^('DCF Model'!C19+4)+'DCF Model'!G45*(1+D$6)/($B11-D$6)/(1+$B11)^('DCF Model'!C19+4)-'DCF Model'!C16)*1000000/'DCF Model'!C15,0),"")</f>
        <v>15646</v>
      </c>
      <c r="E11" s="37">
        <f>IFERROR(ROUND(('DCF Model'!C45/(1+$B11)^('DCF Model'!C19+0)+'DCF Model'!D45/(1+$B11)^('DCF Model'!C19+1)+'DCF Model'!E45/(1+$B11)^('DCF Model'!C19+2)+'DCF Model'!F45/(1+$B11)^('DCF Model'!C19+3)+'DCF Model'!G45/(1+$B11)^('DCF Model'!C19+4)+'DCF Model'!G45*(1+E$6)/($B11-E$6)/(1+$B11)^('DCF Model'!C19+4)-'DCF Model'!C16)*1000000/'DCF Model'!C15,0),"")</f>
        <v>15872</v>
      </c>
      <c r="F11" s="37">
        <f>IFERROR(ROUND(('DCF Model'!C45/(1+$B11)^('DCF Model'!C19+0)+'DCF Model'!D45/(1+$B11)^('DCF Model'!C19+1)+'DCF Model'!E45/(1+$B11)^('DCF Model'!C19+2)+'DCF Model'!F45/(1+$B11)^('DCF Model'!C19+3)+'DCF Model'!G45/(1+$B11)^('DCF Model'!C19+4)+'DCF Model'!G45*(1+F$6)/($B11-F$6)/(1+$B11)^('DCF Model'!C19+4)-'DCF Model'!C16)*1000000/'DCF Model'!C15,0),"")</f>
        <v>16110</v>
      </c>
      <c r="G11" s="37">
        <f>IFERROR(ROUND(('DCF Model'!C45/(1+$B11)^('DCF Model'!C19+0)+'DCF Model'!D45/(1+$B11)^('DCF Model'!C19+1)+'DCF Model'!E45/(1+$B11)^('DCF Model'!C19+2)+'DCF Model'!F45/(1+$B11)^('DCF Model'!C19+3)+'DCF Model'!G45/(1+$B11)^('DCF Model'!C19+4)+'DCF Model'!G45*(1+G$6)/($B11-G$6)/(1+$B11)^('DCF Model'!C19+4)-'DCF Model'!C16)*1000000/'DCF Model'!C15,0),"")</f>
        <v>16360</v>
      </c>
      <c r="H11" s="37">
        <f>IFERROR(ROUND(('DCF Model'!C45/(1+$B11)^('DCF Model'!C19+0)+'DCF Model'!D45/(1+$B11)^('DCF Model'!C19+1)+'DCF Model'!E45/(1+$B11)^('DCF Model'!C19+2)+'DCF Model'!F45/(1+$B11)^('DCF Model'!C19+3)+'DCF Model'!G45/(1+$B11)^('DCF Model'!C19+4)+'DCF Model'!G45*(1+H$6)/($B11-H$6)/(1+$B11)^('DCF Model'!C19+4)-'DCF Model'!C16)*1000000/'DCF Model'!C15,0),"")</f>
        <v>16623</v>
      </c>
      <c r="I11" s="37">
        <f>IFERROR(ROUND(('DCF Model'!C45/(1+$B11)^('DCF Model'!C19+0)+'DCF Model'!D45/(1+$B11)^('DCF Model'!C19+1)+'DCF Model'!E45/(1+$B11)^('DCF Model'!C19+2)+'DCF Model'!F45/(1+$B11)^('DCF Model'!C19+3)+'DCF Model'!G45/(1+$B11)^('DCF Model'!C19+4)+'DCF Model'!G45*(1+I$6)/($B11-I$6)/(1+$B11)^('DCF Model'!C19+4)-'DCF Model'!C16)*1000000/'DCF Model'!C15,0),"")</f>
        <v>16900</v>
      </c>
    </row>
    <row r="12" spans="2:9" ht="13.5" customHeight="1" x14ac:dyDescent="0.25">
      <c r="B12" s="39">
        <f>$C$3+0.01</f>
        <v>0.11534999999999999</v>
      </c>
      <c r="C12" s="37">
        <f>IFERROR(ROUND(('DCF Model'!C45/(1+$B12)^('DCF Model'!C19+0)+'DCF Model'!D45/(1+$B12)^('DCF Model'!C19+1)+'DCF Model'!E45/(1+$B12)^('DCF Model'!C19+2)+'DCF Model'!F45/(1+$B12)^('DCF Model'!C19+3)+'DCF Model'!G45/(1+$B12)^('DCF Model'!C19+4)+'DCF Model'!G45*(1+C$6)/($B12-C$6)/(1+$B12)^('DCF Model'!C19+4)-'DCF Model'!C16)*1000000/'DCF Model'!C15,0),"")</f>
        <v>14830</v>
      </c>
      <c r="D12" s="37">
        <f>IFERROR(ROUND(('DCF Model'!C45/(1+$B12)^('DCF Model'!C19+0)+'DCF Model'!D45/(1+$B12)^('DCF Model'!C19+1)+'DCF Model'!E45/(1+$B12)^('DCF Model'!C19+2)+'DCF Model'!F45/(1+$B12)^('DCF Model'!C19+3)+'DCF Model'!G45/(1+$B12)^('DCF Model'!C19+4)+'DCF Model'!G45*(1+D$6)/($B12-D$6)/(1+$B12)^('DCF Model'!C19+4)-'DCF Model'!C16)*1000000/'DCF Model'!C15,0),"")</f>
        <v>15024</v>
      </c>
      <c r="E12" s="37">
        <f>IFERROR(ROUND(('DCF Model'!C45/(1+$B12)^('DCF Model'!C19+0)+'DCF Model'!D45/(1+$B12)^('DCF Model'!C19+1)+'DCF Model'!E45/(1+$B12)^('DCF Model'!C19+2)+'DCF Model'!F45/(1+$B12)^('DCF Model'!C19+3)+'DCF Model'!G45/(1+$B12)^('DCF Model'!C19+4)+'DCF Model'!G45*(1+E$6)/($B12-E$6)/(1+$B12)^('DCF Model'!C19+4)-'DCF Model'!C16)*1000000/'DCF Model'!C15,0),"")</f>
        <v>15226</v>
      </c>
      <c r="F12" s="37">
        <f>IFERROR(ROUND(('DCF Model'!C45/(1+$B12)^('DCF Model'!C19+0)+'DCF Model'!D45/(1+$B12)^('DCF Model'!C19+1)+'DCF Model'!E45/(1+$B12)^('DCF Model'!C19+2)+'DCF Model'!F45/(1+$B12)^('DCF Model'!C19+3)+'DCF Model'!G45/(1+$B12)^('DCF Model'!C19+4)+'DCF Model'!G45*(1+F$6)/($B12-F$6)/(1+$B12)^('DCF Model'!C19+4)-'DCF Model'!C16)*1000000/'DCF Model'!C15,0),"")</f>
        <v>15438</v>
      </c>
      <c r="G12" s="37">
        <f>IFERROR(ROUND(('DCF Model'!C45/(1+$B12)^('DCF Model'!C19+0)+'DCF Model'!D45/(1+$B12)^('DCF Model'!C19+1)+'DCF Model'!E45/(1+$B12)^('DCF Model'!C19+2)+'DCF Model'!F45/(1+$B12)^('DCF Model'!C19+3)+'DCF Model'!G45/(1+$B12)^('DCF Model'!C19+4)+'DCF Model'!G45*(1+G$6)/($B12-G$6)/(1+$B12)^('DCF Model'!C19+4)-'DCF Model'!C16)*1000000/'DCF Model'!C15,0),"")</f>
        <v>15661</v>
      </c>
      <c r="H12" s="37">
        <f>IFERROR(ROUND(('DCF Model'!C45/(1+$B12)^('DCF Model'!C19+0)+'DCF Model'!D45/(1+$B12)^('DCF Model'!C19+1)+'DCF Model'!E45/(1+$B12)^('DCF Model'!C19+2)+'DCF Model'!F45/(1+$B12)^('DCF Model'!C19+3)+'DCF Model'!G45/(1+$B12)^('DCF Model'!C19+4)+'DCF Model'!G45*(1+H$6)/($B12-H$6)/(1+$B12)^('DCF Model'!C19+4)-'DCF Model'!C16)*1000000/'DCF Model'!C15,0),"")</f>
        <v>15894</v>
      </c>
      <c r="I12" s="37">
        <f>IFERROR(ROUND(('DCF Model'!C45/(1+$B12)^('DCF Model'!C19+0)+'DCF Model'!D45/(1+$B12)^('DCF Model'!C19+1)+'DCF Model'!E45/(1+$B12)^('DCF Model'!C19+2)+'DCF Model'!F45/(1+$B12)^('DCF Model'!C19+3)+'DCF Model'!G45/(1+$B12)^('DCF Model'!C19+4)+'DCF Model'!G45*(1+I$6)/($B12-I$6)/(1+$B12)^('DCF Model'!C19+4)-'DCF Model'!C16)*1000000/'DCF Model'!C15,0),"")</f>
        <v>16139</v>
      </c>
    </row>
    <row r="13" spans="2:9" ht="13.5" customHeight="1" x14ac:dyDescent="0.25">
      <c r="B13" s="39">
        <f>$C$3+0.015</f>
        <v>0.12035</v>
      </c>
      <c r="C13" s="37">
        <f>IFERROR(ROUND(('DCF Model'!C45/(1+$B13)^('DCF Model'!C19+0)+'DCF Model'!D45/(1+$B13)^('DCF Model'!C19+1)+'DCF Model'!E45/(1+$B13)^('DCF Model'!C19+2)+'DCF Model'!F45/(1+$B13)^('DCF Model'!C19+3)+'DCF Model'!G45/(1+$B13)^('DCF Model'!C19+4)+'DCF Model'!G45*(1+C$6)/($B13-C$6)/(1+$B13)^('DCF Model'!C19+4)-'DCF Model'!C16)*1000000/'DCF Model'!C15,0),"")</f>
        <v>14282</v>
      </c>
      <c r="D13" s="37">
        <f>IFERROR(ROUND(('DCF Model'!C45/(1+$B13)^('DCF Model'!C19+0)+'DCF Model'!D45/(1+$B13)^('DCF Model'!C19+1)+'DCF Model'!E45/(1+$B13)^('DCF Model'!C19+2)+'DCF Model'!F45/(1+$B13)^('DCF Model'!C19+3)+'DCF Model'!G45/(1+$B13)^('DCF Model'!C19+4)+'DCF Model'!G45*(1+D$6)/($B13-D$6)/(1+$B13)^('DCF Model'!C19+4)-'DCF Model'!C16)*1000000/'DCF Model'!C15,0),"")</f>
        <v>14456</v>
      </c>
      <c r="E13" s="37">
        <f>IFERROR(ROUND(('DCF Model'!C45/(1+$B13)^('DCF Model'!C19+0)+'DCF Model'!D45/(1+$B13)^('DCF Model'!C19+1)+'DCF Model'!E45/(1+$B13)^('DCF Model'!C19+2)+'DCF Model'!F45/(1+$B13)^('DCF Model'!C19+3)+'DCF Model'!G45/(1+$B13)^('DCF Model'!C19+4)+'DCF Model'!G45*(1+E$6)/($B13-E$6)/(1+$B13)^('DCF Model'!C19+4)-'DCF Model'!C16)*1000000/'DCF Model'!C15,0),"")</f>
        <v>14638</v>
      </c>
      <c r="F13" s="37">
        <f>IFERROR(ROUND(('DCF Model'!C45/(1+$B13)^('DCF Model'!C19+0)+'DCF Model'!D45/(1+$B13)^('DCF Model'!C19+1)+'DCF Model'!E45/(1+$B13)^('DCF Model'!C19+2)+'DCF Model'!F45/(1+$B13)^('DCF Model'!C19+3)+'DCF Model'!G45/(1+$B13)^('DCF Model'!C19+4)+'DCF Model'!G45*(1+F$6)/($B13-F$6)/(1+$B13)^('DCF Model'!C19+4)-'DCF Model'!C16)*1000000/'DCF Model'!C15,0),"")</f>
        <v>14828</v>
      </c>
      <c r="G13" s="37">
        <f>IFERROR(ROUND(('DCF Model'!C45/(1+$B13)^('DCF Model'!C19+0)+'DCF Model'!D45/(1+$B13)^('DCF Model'!C19+1)+'DCF Model'!E45/(1+$B13)^('DCF Model'!C19+2)+'DCF Model'!F45/(1+$B13)^('DCF Model'!C19+3)+'DCF Model'!G45/(1+$B13)^('DCF Model'!C19+4)+'DCF Model'!G45*(1+G$6)/($B13-G$6)/(1+$B13)^('DCF Model'!C19+4)-'DCF Model'!C16)*1000000/'DCF Model'!C15,0),"")</f>
        <v>15027</v>
      </c>
      <c r="H13" s="37">
        <f>IFERROR(ROUND(('DCF Model'!C45/(1+$B13)^('DCF Model'!C19+0)+'DCF Model'!D45/(1+$B13)^('DCF Model'!C19+1)+'DCF Model'!E45/(1+$B13)^('DCF Model'!C19+2)+'DCF Model'!F45/(1+$B13)^('DCF Model'!C19+3)+'DCF Model'!G45/(1+$B13)^('DCF Model'!C19+4)+'DCF Model'!G45*(1+H$6)/($B13-H$6)/(1+$B13)^('DCF Model'!C19+4)-'DCF Model'!C16)*1000000/'DCF Model'!C15,0),"")</f>
        <v>15235</v>
      </c>
      <c r="I13" s="37">
        <f>IFERROR(ROUND(('DCF Model'!C45/(1+$B13)^('DCF Model'!C19+0)+'DCF Model'!D45/(1+$B13)^('DCF Model'!C19+1)+'DCF Model'!E45/(1+$B13)^('DCF Model'!C19+2)+'DCF Model'!F45/(1+$B13)^('DCF Model'!C19+3)+'DCF Model'!G45/(1+$B13)^('DCF Model'!C19+4)+'DCF Model'!G45*(1+I$6)/($B13-I$6)/(1+$B13)^('DCF Model'!C19+4)-'DCF Model'!C16)*1000000/'DCF Model'!C15,0),"")</f>
        <v>15454</v>
      </c>
    </row>
    <row r="16" spans="2:9" ht="14" customHeight="1" x14ac:dyDescent="0.3">
      <c r="B16" s="3" t="s">
        <v>235</v>
      </c>
    </row>
    <row r="17" spans="2:9" ht="14" customHeight="1" x14ac:dyDescent="0.3">
      <c r="B17" s="40" t="s">
        <v>236</v>
      </c>
      <c r="C17" s="42">
        <f>$I$3-3</f>
        <v>35.9</v>
      </c>
      <c r="D17" s="42">
        <f>$I$3-2</f>
        <v>36.9</v>
      </c>
      <c r="E17" s="42">
        <f>$I$3-1</f>
        <v>37.9</v>
      </c>
      <c r="F17" s="42">
        <f>$I$3</f>
        <v>38.9</v>
      </c>
      <c r="G17" s="42">
        <f>$I$3+1</f>
        <v>39.9</v>
      </c>
      <c r="H17" s="42">
        <f>$I$3+2</f>
        <v>40.9</v>
      </c>
      <c r="I17" s="42">
        <f>$I$3+3</f>
        <v>41.9</v>
      </c>
    </row>
    <row r="18" spans="2:9" ht="13.5" customHeight="1" x14ac:dyDescent="0.25">
      <c r="B18" s="39">
        <f>$C$3-0.015</f>
        <v>9.035E-2</v>
      </c>
      <c r="C18" s="37">
        <f>IFERROR(ROUND(('DCF Model'!C45/(1+$B18)^('DCF Model'!C19+0)+'DCF Model'!D45/(1+$B18)^('DCF Model'!C19+1)+'DCF Model'!E45/(1+$B18)^('DCF Model'!C19+2)+'DCF Model'!F45/(1+$B18)^('DCF Model'!C19+3)+'DCF Model'!G45/(1+$B18)^('DCF Model'!C19+4)+('DCF Model'!G39+'DCF Model'!G42)*C$17/(1+$B18)^('DCF Model'!C19+4)-'DCF Model'!C16)*1000000/'DCF Model'!C15,0),"")</f>
        <v>60175</v>
      </c>
      <c r="D18" s="37">
        <f>IFERROR(ROUND(('DCF Model'!C45/(1+$B18)^('DCF Model'!C19+0)+'DCF Model'!D45/(1+$B18)^('DCF Model'!C19+1)+'DCF Model'!E45/(1+$B18)^('DCF Model'!C19+2)+'DCF Model'!F45/(1+$B18)^('DCF Model'!C19+3)+'DCF Model'!G45/(1+$B18)^('DCF Model'!C19+4)+('DCF Model'!G39+'DCF Model'!G42)*D$17/(1+$B18)^('DCF Model'!C19+4)-'DCF Model'!C16)*1000000/'DCF Model'!C15,0),"")</f>
        <v>61643</v>
      </c>
      <c r="E18" s="37">
        <f>IFERROR(ROUND(('DCF Model'!C45/(1+$B18)^('DCF Model'!C19+0)+'DCF Model'!D45/(1+$B18)^('DCF Model'!C19+1)+'DCF Model'!E45/(1+$B18)^('DCF Model'!C19+2)+'DCF Model'!F45/(1+$B18)^('DCF Model'!C19+3)+'DCF Model'!G45/(1+$B18)^('DCF Model'!C19+4)+('DCF Model'!G39+'DCF Model'!G42)*E$17/(1+$B18)^('DCF Model'!C19+4)-'DCF Model'!C16)*1000000/'DCF Model'!C15,0),"")</f>
        <v>63111</v>
      </c>
      <c r="F18" s="37">
        <f>IFERROR(ROUND(('DCF Model'!C45/(1+$B18)^('DCF Model'!C19+0)+'DCF Model'!D45/(1+$B18)^('DCF Model'!C19+1)+'DCF Model'!E45/(1+$B18)^('DCF Model'!C19+2)+'DCF Model'!F45/(1+$B18)^('DCF Model'!C19+3)+'DCF Model'!G45/(1+$B18)^('DCF Model'!C19+4)+('DCF Model'!G39+'DCF Model'!G42)*F$17/(1+$B18)^('DCF Model'!C19+4)-'DCF Model'!C16)*1000000/'DCF Model'!C15,0),"")</f>
        <v>64579</v>
      </c>
      <c r="G18" s="37">
        <f>IFERROR(ROUND(('DCF Model'!C45/(1+$B18)^('DCF Model'!C19+0)+'DCF Model'!D45/(1+$B18)^('DCF Model'!C19+1)+'DCF Model'!E45/(1+$B18)^('DCF Model'!C19+2)+'DCF Model'!F45/(1+$B18)^('DCF Model'!C19+3)+'DCF Model'!G45/(1+$B18)^('DCF Model'!C19+4)+('DCF Model'!G39+'DCF Model'!G42)*G$17/(1+$B18)^('DCF Model'!C19+4)-'DCF Model'!C16)*1000000/'DCF Model'!C15,0),"")</f>
        <v>66047</v>
      </c>
      <c r="H18" s="37">
        <f>IFERROR(ROUND(('DCF Model'!C45/(1+$B18)^('DCF Model'!C19+0)+'DCF Model'!D45/(1+$B18)^('DCF Model'!C19+1)+'DCF Model'!E45/(1+$B18)^('DCF Model'!C19+2)+'DCF Model'!F45/(1+$B18)^('DCF Model'!C19+3)+'DCF Model'!G45/(1+$B18)^('DCF Model'!C19+4)+('DCF Model'!G39+'DCF Model'!G42)*H$17/(1+$B18)^('DCF Model'!C19+4)-'DCF Model'!C16)*1000000/'DCF Model'!C15,0),"")</f>
        <v>67515</v>
      </c>
      <c r="I18" s="37">
        <f>IFERROR(ROUND(('DCF Model'!C45/(1+$B18)^('DCF Model'!C19+0)+'DCF Model'!D45/(1+$B18)^('DCF Model'!C19+1)+'DCF Model'!E45/(1+$B18)^('DCF Model'!C19+2)+'DCF Model'!F45/(1+$B18)^('DCF Model'!C19+3)+'DCF Model'!G45/(1+$B18)^('DCF Model'!C19+4)+('DCF Model'!G39+'DCF Model'!G42)*I$17/(1+$B18)^('DCF Model'!C19+4)-'DCF Model'!C16)*1000000/'DCF Model'!C15,0),"")</f>
        <v>68983</v>
      </c>
    </row>
    <row r="19" spans="2:9" ht="13.5" customHeight="1" x14ac:dyDescent="0.25">
      <c r="B19" s="39">
        <f>$C$3-0.01</f>
        <v>9.5350000000000004E-2</v>
      </c>
      <c r="C19" s="37">
        <f>IFERROR(ROUND(('DCF Model'!C45/(1+$B19)^('DCF Model'!C19+0)+'DCF Model'!D45/(1+$B19)^('DCF Model'!C19+1)+'DCF Model'!E45/(1+$B19)^('DCF Model'!C19+2)+'DCF Model'!F45/(1+$B19)^('DCF Model'!C19+3)+'DCF Model'!G45/(1+$B19)^('DCF Model'!C19+4)+('DCF Model'!G39+'DCF Model'!G42)*C$17/(1+$B19)^('DCF Model'!C19+4)-'DCF Model'!C16)*1000000/'DCF Model'!C15,0),"")</f>
        <v>58916</v>
      </c>
      <c r="D19" s="37">
        <f>IFERROR(ROUND(('DCF Model'!C45/(1+$B19)^('DCF Model'!C19+0)+'DCF Model'!D45/(1+$B19)^('DCF Model'!C19+1)+'DCF Model'!E45/(1+$B19)^('DCF Model'!C19+2)+'DCF Model'!F45/(1+$B19)^('DCF Model'!C19+3)+'DCF Model'!G45/(1+$B19)^('DCF Model'!C19+4)+('DCF Model'!G39+'DCF Model'!G42)*D$17/(1+$B19)^('DCF Model'!C19+4)-'DCF Model'!C16)*1000000/'DCF Model'!C15,0),"")</f>
        <v>60351</v>
      </c>
      <c r="E19" s="37">
        <f>IFERROR(ROUND(('DCF Model'!C45/(1+$B19)^('DCF Model'!C19+0)+'DCF Model'!D45/(1+$B19)^('DCF Model'!C19+1)+'DCF Model'!E45/(1+$B19)^('DCF Model'!C19+2)+'DCF Model'!F45/(1+$B19)^('DCF Model'!C19+3)+'DCF Model'!G45/(1+$B19)^('DCF Model'!C19+4)+('DCF Model'!G39+'DCF Model'!G42)*E$17/(1+$B19)^('DCF Model'!C19+4)-'DCF Model'!C16)*1000000/'DCF Model'!C15,0),"")</f>
        <v>61786</v>
      </c>
      <c r="F19" s="37">
        <f>IFERROR(ROUND(('DCF Model'!C45/(1+$B19)^('DCF Model'!C19+0)+'DCF Model'!D45/(1+$B19)^('DCF Model'!C19+1)+'DCF Model'!E45/(1+$B19)^('DCF Model'!C19+2)+'DCF Model'!F45/(1+$B19)^('DCF Model'!C19+3)+'DCF Model'!G45/(1+$B19)^('DCF Model'!C19+4)+('DCF Model'!G39+'DCF Model'!G42)*F$17/(1+$B19)^('DCF Model'!C19+4)-'DCF Model'!C16)*1000000/'DCF Model'!C15,0),"")</f>
        <v>63221</v>
      </c>
      <c r="G19" s="37">
        <f>IFERROR(ROUND(('DCF Model'!C45/(1+$B19)^('DCF Model'!C19+0)+'DCF Model'!D45/(1+$B19)^('DCF Model'!C19+1)+'DCF Model'!E45/(1+$B19)^('DCF Model'!C19+2)+'DCF Model'!F45/(1+$B19)^('DCF Model'!C19+3)+'DCF Model'!G45/(1+$B19)^('DCF Model'!C19+4)+('DCF Model'!G39+'DCF Model'!G42)*G$17/(1+$B19)^('DCF Model'!C19+4)-'DCF Model'!C16)*1000000/'DCF Model'!C15,0),"")</f>
        <v>64655</v>
      </c>
      <c r="H19" s="37">
        <f>IFERROR(ROUND(('DCF Model'!C45/(1+$B19)^('DCF Model'!C19+0)+'DCF Model'!D45/(1+$B19)^('DCF Model'!C19+1)+'DCF Model'!E45/(1+$B19)^('DCF Model'!C19+2)+'DCF Model'!F45/(1+$B19)^('DCF Model'!C19+3)+'DCF Model'!G45/(1+$B19)^('DCF Model'!C19+4)+('DCF Model'!G39+'DCF Model'!G42)*H$17/(1+$B19)^('DCF Model'!C19+4)-'DCF Model'!C16)*1000000/'DCF Model'!C15,0),"")</f>
        <v>66090</v>
      </c>
      <c r="I19" s="37">
        <f>IFERROR(ROUND(('DCF Model'!C45/(1+$B19)^('DCF Model'!C19+0)+'DCF Model'!D45/(1+$B19)^('DCF Model'!C19+1)+'DCF Model'!E45/(1+$B19)^('DCF Model'!C19+2)+'DCF Model'!F45/(1+$B19)^('DCF Model'!C19+3)+'DCF Model'!G45/(1+$B19)^('DCF Model'!C19+4)+('DCF Model'!G39+'DCF Model'!G42)*I$17/(1+$B19)^('DCF Model'!C19+4)-'DCF Model'!C16)*1000000/'DCF Model'!C15,0),"")</f>
        <v>67525</v>
      </c>
    </row>
    <row r="20" spans="2:9" ht="13.5" customHeight="1" x14ac:dyDescent="0.25">
      <c r="B20" s="39">
        <f>$C$3-0.005</f>
        <v>0.10034999999999999</v>
      </c>
      <c r="C20" s="37">
        <f>IFERROR(ROUND(('DCF Model'!C45/(1+$B20)^('DCF Model'!C19+0)+'DCF Model'!D45/(1+$B20)^('DCF Model'!C19+1)+'DCF Model'!E45/(1+$B20)^('DCF Model'!C19+2)+'DCF Model'!F45/(1+$B20)^('DCF Model'!C19+3)+'DCF Model'!G45/(1+$B20)^('DCF Model'!C19+4)+('DCF Model'!G39+'DCF Model'!G42)*C$17/(1+$B20)^('DCF Model'!C19+4)-'DCF Model'!C16)*1000000/'DCF Model'!C15,0),"")</f>
        <v>57691</v>
      </c>
      <c r="D20" s="37">
        <f>IFERROR(ROUND(('DCF Model'!C45/(1+$B20)^('DCF Model'!C19+0)+'DCF Model'!D45/(1+$B20)^('DCF Model'!C19+1)+'DCF Model'!E45/(1+$B20)^('DCF Model'!C19+2)+'DCF Model'!F45/(1+$B20)^('DCF Model'!C19+3)+'DCF Model'!G45/(1+$B20)^('DCF Model'!C19+4)+('DCF Model'!G39+'DCF Model'!G42)*D$17/(1+$B20)^('DCF Model'!C19+4)-'DCF Model'!C16)*1000000/'DCF Model'!C15,0),"")</f>
        <v>59094</v>
      </c>
      <c r="E20" s="37">
        <f>IFERROR(ROUND(('DCF Model'!C45/(1+$B20)^('DCF Model'!C19+0)+'DCF Model'!D45/(1+$B20)^('DCF Model'!C19+1)+'DCF Model'!E45/(1+$B20)^('DCF Model'!C19+2)+'DCF Model'!F45/(1+$B20)^('DCF Model'!C19+3)+'DCF Model'!G45/(1+$B20)^('DCF Model'!C19+4)+('DCF Model'!G39+'DCF Model'!G42)*E$17/(1+$B20)^('DCF Model'!C19+4)-'DCF Model'!C16)*1000000/'DCF Model'!C15,0),"")</f>
        <v>60496</v>
      </c>
      <c r="F20" s="37">
        <f>IFERROR(ROUND(('DCF Model'!C45/(1+$B20)^('DCF Model'!C19+0)+'DCF Model'!D45/(1+$B20)^('DCF Model'!C19+1)+'DCF Model'!E45/(1+$B20)^('DCF Model'!C19+2)+'DCF Model'!F45/(1+$B20)^('DCF Model'!C19+3)+'DCF Model'!G45/(1+$B20)^('DCF Model'!C19+4)+('DCF Model'!G39+'DCF Model'!G42)*F$17/(1+$B20)^('DCF Model'!C19+4)-'DCF Model'!C16)*1000000/'DCF Model'!C15,0),"")</f>
        <v>61899</v>
      </c>
      <c r="G20" s="37">
        <f>IFERROR(ROUND(('DCF Model'!C45/(1+$B20)^('DCF Model'!C19+0)+'DCF Model'!D45/(1+$B20)^('DCF Model'!C19+1)+'DCF Model'!E45/(1+$B20)^('DCF Model'!C19+2)+'DCF Model'!F45/(1+$B20)^('DCF Model'!C19+3)+'DCF Model'!G45/(1+$B20)^('DCF Model'!C19+4)+('DCF Model'!G39+'DCF Model'!G42)*G$17/(1+$B20)^('DCF Model'!C19+4)-'DCF Model'!C16)*1000000/'DCF Model'!C15,0),"")</f>
        <v>63301</v>
      </c>
      <c r="H20" s="37">
        <f>IFERROR(ROUND(('DCF Model'!C45/(1+$B20)^('DCF Model'!C19+0)+'DCF Model'!D45/(1+$B20)^('DCF Model'!C19+1)+'DCF Model'!E45/(1+$B20)^('DCF Model'!C19+2)+'DCF Model'!F45/(1+$B20)^('DCF Model'!C19+3)+'DCF Model'!G45/(1+$B20)^('DCF Model'!C19+4)+('DCF Model'!G39+'DCF Model'!G42)*H$17/(1+$B20)^('DCF Model'!C19+4)-'DCF Model'!C16)*1000000/'DCF Model'!C15,0),"")</f>
        <v>64704</v>
      </c>
      <c r="I20" s="37">
        <f>IFERROR(ROUND(('DCF Model'!C45/(1+$B20)^('DCF Model'!C19+0)+'DCF Model'!D45/(1+$B20)^('DCF Model'!C19+1)+'DCF Model'!E45/(1+$B20)^('DCF Model'!C19+2)+'DCF Model'!F45/(1+$B20)^('DCF Model'!C19+3)+'DCF Model'!G45/(1+$B20)^('DCF Model'!C19+4)+('DCF Model'!G39+'DCF Model'!G42)*I$17/(1+$B20)^('DCF Model'!C19+4)-'DCF Model'!C16)*1000000/'DCF Model'!C15,0),"")</f>
        <v>66106</v>
      </c>
    </row>
    <row r="21" spans="2:9" ht="13.5" customHeight="1" x14ac:dyDescent="0.25">
      <c r="B21" s="39">
        <f>$C$3</f>
        <v>0.10535</v>
      </c>
      <c r="C21" s="37">
        <f>IFERROR(ROUND(('DCF Model'!C45/(1+$B21)^('DCF Model'!C19+0)+'DCF Model'!D45/(1+$B21)^('DCF Model'!C19+1)+'DCF Model'!E45/(1+$B21)^('DCF Model'!C19+2)+'DCF Model'!F45/(1+$B21)^('DCF Model'!C19+3)+'DCF Model'!G45/(1+$B21)^('DCF Model'!C19+4)+('DCF Model'!G39+'DCF Model'!G42)*C$17/(1+$B21)^('DCF Model'!C19+4)-'DCF Model'!C16)*1000000/'DCF Model'!C15,0),"")</f>
        <v>56499</v>
      </c>
      <c r="D21" s="37">
        <f>IFERROR(ROUND(('DCF Model'!C45/(1+$B21)^('DCF Model'!C19+0)+'DCF Model'!D45/(1+$B21)^('DCF Model'!C19+1)+'DCF Model'!E45/(1+$B21)^('DCF Model'!C19+2)+'DCF Model'!F45/(1+$B21)^('DCF Model'!C19+3)+'DCF Model'!G45/(1+$B21)^('DCF Model'!C19+4)+('DCF Model'!G39+'DCF Model'!G42)*D$17/(1+$B21)^('DCF Model'!C19+4)-'DCF Model'!C16)*1000000/'DCF Model'!C15,0),"")</f>
        <v>57870</v>
      </c>
      <c r="E21" s="37">
        <f>IFERROR(ROUND(('DCF Model'!C45/(1+$B21)^('DCF Model'!C19+0)+'DCF Model'!D45/(1+$B21)^('DCF Model'!C19+1)+'DCF Model'!E45/(1+$B21)^('DCF Model'!C19+2)+'DCF Model'!F45/(1+$B21)^('DCF Model'!C19+3)+'DCF Model'!G45/(1+$B21)^('DCF Model'!C19+4)+('DCF Model'!G39+'DCF Model'!G42)*E$17/(1+$B21)^('DCF Model'!C19+4)-'DCF Model'!C16)*1000000/'DCF Model'!C15,0),"")</f>
        <v>59241</v>
      </c>
      <c r="F21" s="37">
        <f>IFERROR(ROUND(('DCF Model'!C45/(1+$B21)^('DCF Model'!C19+0)+'DCF Model'!D45/(1+$B21)^('DCF Model'!C19+1)+'DCF Model'!E45/(1+$B21)^('DCF Model'!C19+2)+'DCF Model'!F45/(1+$B21)^('DCF Model'!C19+3)+'DCF Model'!G45/(1+$B21)^('DCF Model'!C19+4)+('DCF Model'!G39+'DCF Model'!G42)*F$17/(1+$B21)^('DCF Model'!C19+4)-'DCF Model'!C16)*1000000/'DCF Model'!C15,0),"")</f>
        <v>60612</v>
      </c>
      <c r="G21" s="37">
        <f>IFERROR(ROUND(('DCF Model'!C45/(1+$B21)^('DCF Model'!C19+0)+'DCF Model'!D45/(1+$B21)^('DCF Model'!C19+1)+'DCF Model'!E45/(1+$B21)^('DCF Model'!C19+2)+'DCF Model'!F45/(1+$B21)^('DCF Model'!C19+3)+'DCF Model'!G45/(1+$B21)^('DCF Model'!C19+4)+('DCF Model'!G39+'DCF Model'!G42)*G$17/(1+$B21)^('DCF Model'!C19+4)-'DCF Model'!C16)*1000000/'DCF Model'!C15,0),"")</f>
        <v>61983</v>
      </c>
      <c r="H21" s="37">
        <f>IFERROR(ROUND(('DCF Model'!C45/(1+$B21)^('DCF Model'!C19+0)+'DCF Model'!D45/(1+$B21)^('DCF Model'!C19+1)+'DCF Model'!E45/(1+$B21)^('DCF Model'!C19+2)+'DCF Model'!F45/(1+$B21)^('DCF Model'!C19+3)+'DCF Model'!G45/(1+$B21)^('DCF Model'!C19+4)+('DCF Model'!G39+'DCF Model'!G42)*H$17/(1+$B21)^('DCF Model'!C19+4)-'DCF Model'!C16)*1000000/'DCF Model'!C15,0),"")</f>
        <v>63354</v>
      </c>
      <c r="I21" s="37">
        <f>IFERROR(ROUND(('DCF Model'!C45/(1+$B21)^('DCF Model'!C19+0)+'DCF Model'!D45/(1+$B21)^('DCF Model'!C19+1)+'DCF Model'!E45/(1+$B21)^('DCF Model'!C19+2)+'DCF Model'!F45/(1+$B21)^('DCF Model'!C19+3)+'DCF Model'!G45/(1+$B21)^('DCF Model'!C19+4)+('DCF Model'!G39+'DCF Model'!G42)*I$17/(1+$B21)^('DCF Model'!C19+4)-'DCF Model'!C16)*1000000/'DCF Model'!C15,0),"")</f>
        <v>64725</v>
      </c>
    </row>
    <row r="22" spans="2:9" ht="13.5" customHeight="1" x14ac:dyDescent="0.25">
      <c r="B22" s="39">
        <f>$C$3+0.005</f>
        <v>0.11035</v>
      </c>
      <c r="C22" s="37">
        <f>IFERROR(ROUND(('DCF Model'!C45/(1+$B22)^('DCF Model'!C19+0)+'DCF Model'!D45/(1+$B22)^('DCF Model'!C19+1)+'DCF Model'!E45/(1+$B22)^('DCF Model'!C19+2)+'DCF Model'!F45/(1+$B22)^('DCF Model'!C19+3)+'DCF Model'!G45/(1+$B22)^('DCF Model'!C19+4)+('DCF Model'!G39+'DCF Model'!G42)*C$17/(1+$B22)^('DCF Model'!C19+4)-'DCF Model'!C16)*1000000/'DCF Model'!C15,0),"")</f>
        <v>55338</v>
      </c>
      <c r="D22" s="37">
        <f>IFERROR(ROUND(('DCF Model'!C45/(1+$B22)^('DCF Model'!C19+0)+'DCF Model'!D45/(1+$B22)^('DCF Model'!C19+1)+'DCF Model'!E45/(1+$B22)^('DCF Model'!C19+2)+'DCF Model'!F45/(1+$B22)^('DCF Model'!C19+3)+'DCF Model'!G45/(1+$B22)^('DCF Model'!C19+4)+('DCF Model'!G39+'DCF Model'!G42)*D$17/(1+$B22)^('DCF Model'!C19+4)-'DCF Model'!C16)*1000000/'DCF Model'!C15,0),"")</f>
        <v>56679</v>
      </c>
      <c r="E22" s="37">
        <f>IFERROR(ROUND(('DCF Model'!C45/(1+$B22)^('DCF Model'!C19+0)+'DCF Model'!D45/(1+$B22)^('DCF Model'!C19+1)+'DCF Model'!E45/(1+$B22)^('DCF Model'!C19+2)+'DCF Model'!F45/(1+$B22)^('DCF Model'!C19+3)+'DCF Model'!G45/(1+$B22)^('DCF Model'!C19+4)+('DCF Model'!G39+'DCF Model'!G42)*E$17/(1+$B22)^('DCF Model'!C19+4)-'DCF Model'!C16)*1000000/'DCF Model'!C15,0),"")</f>
        <v>58019</v>
      </c>
      <c r="F22" s="37">
        <f>IFERROR(ROUND(('DCF Model'!C45/(1+$B22)^('DCF Model'!C19+0)+'DCF Model'!D45/(1+$B22)^('DCF Model'!C19+1)+'DCF Model'!E45/(1+$B22)^('DCF Model'!C19+2)+'DCF Model'!F45/(1+$B22)^('DCF Model'!C19+3)+'DCF Model'!G45/(1+$B22)^('DCF Model'!C19+4)+('DCF Model'!G39+'DCF Model'!G42)*F$17/(1+$B22)^('DCF Model'!C19+4)-'DCF Model'!C16)*1000000/'DCF Model'!C15,0),"")</f>
        <v>59359</v>
      </c>
      <c r="G22" s="37">
        <f>IFERROR(ROUND(('DCF Model'!C45/(1+$B22)^('DCF Model'!C19+0)+'DCF Model'!D45/(1+$B22)^('DCF Model'!C19+1)+'DCF Model'!E45/(1+$B22)^('DCF Model'!C19+2)+'DCF Model'!F45/(1+$B22)^('DCF Model'!C19+3)+'DCF Model'!G45/(1+$B22)^('DCF Model'!C19+4)+('DCF Model'!G39+'DCF Model'!G42)*G$17/(1+$B22)^('DCF Model'!C19+4)-'DCF Model'!C16)*1000000/'DCF Model'!C15,0),"")</f>
        <v>60700</v>
      </c>
      <c r="H22" s="37">
        <f>IFERROR(ROUND(('DCF Model'!C45/(1+$B22)^('DCF Model'!C19+0)+'DCF Model'!D45/(1+$B22)^('DCF Model'!C19+1)+'DCF Model'!E45/(1+$B22)^('DCF Model'!C19+2)+'DCF Model'!F45/(1+$B22)^('DCF Model'!C19+3)+'DCF Model'!G45/(1+$B22)^('DCF Model'!C19+4)+('DCF Model'!G39+'DCF Model'!G42)*H$17/(1+$B22)^('DCF Model'!C19+4)-'DCF Model'!C16)*1000000/'DCF Model'!C15,0),"")</f>
        <v>62040</v>
      </c>
      <c r="I22" s="37">
        <f>IFERROR(ROUND(('DCF Model'!C45/(1+$B22)^('DCF Model'!C19+0)+'DCF Model'!D45/(1+$B22)^('DCF Model'!C19+1)+'DCF Model'!E45/(1+$B22)^('DCF Model'!C19+2)+'DCF Model'!F45/(1+$B22)^('DCF Model'!C19+3)+'DCF Model'!G45/(1+$B22)^('DCF Model'!C19+4)+('DCF Model'!G39+'DCF Model'!G42)*I$17/(1+$B22)^('DCF Model'!C19+4)-'DCF Model'!C16)*1000000/'DCF Model'!C15,0),"")</f>
        <v>63381</v>
      </c>
    </row>
    <row r="23" spans="2:9" ht="13.5" customHeight="1" x14ac:dyDescent="0.25">
      <c r="B23" s="39">
        <f>$C$3+0.01</f>
        <v>0.11534999999999999</v>
      </c>
      <c r="C23" s="37">
        <f>IFERROR(ROUND(('DCF Model'!C45/(1+$B23)^('DCF Model'!C19+0)+'DCF Model'!D45/(1+$B23)^('DCF Model'!C19+1)+'DCF Model'!E45/(1+$B23)^('DCF Model'!C19+2)+'DCF Model'!F45/(1+$B23)^('DCF Model'!C19+3)+'DCF Model'!G45/(1+$B23)^('DCF Model'!C19+4)+('DCF Model'!G39+'DCF Model'!G42)*C$17/(1+$B23)^('DCF Model'!C19+4)-'DCF Model'!C16)*1000000/'DCF Model'!C15,0),"")</f>
        <v>54208</v>
      </c>
      <c r="D23" s="37">
        <f>IFERROR(ROUND(('DCF Model'!C45/(1+$B23)^('DCF Model'!C19+0)+'DCF Model'!D45/(1+$B23)^('DCF Model'!C19+1)+'DCF Model'!E45/(1+$B23)^('DCF Model'!C19+2)+'DCF Model'!F45/(1+$B23)^('DCF Model'!C19+3)+'DCF Model'!G45/(1+$B23)^('DCF Model'!C19+4)+('DCF Model'!G39+'DCF Model'!G42)*D$17/(1+$B23)^('DCF Model'!C19+4)-'DCF Model'!C16)*1000000/'DCF Model'!C15,0),"")</f>
        <v>55519</v>
      </c>
      <c r="E23" s="37">
        <f>IFERROR(ROUND(('DCF Model'!C45/(1+$B23)^('DCF Model'!C19+0)+'DCF Model'!D45/(1+$B23)^('DCF Model'!C19+1)+'DCF Model'!E45/(1+$B23)^('DCF Model'!C19+2)+'DCF Model'!F45/(1+$B23)^('DCF Model'!C19+3)+'DCF Model'!G45/(1+$B23)^('DCF Model'!C19+4)+('DCF Model'!G39+'DCF Model'!G42)*E$17/(1+$B23)^('DCF Model'!C19+4)-'DCF Model'!C16)*1000000/'DCF Model'!C15,0),"")</f>
        <v>56829</v>
      </c>
      <c r="F23" s="37">
        <f>IFERROR(ROUND(('DCF Model'!C45/(1+$B23)^('DCF Model'!C19+0)+'DCF Model'!D45/(1+$B23)^('DCF Model'!C19+1)+'DCF Model'!E45/(1+$B23)^('DCF Model'!C19+2)+'DCF Model'!F45/(1+$B23)^('DCF Model'!C19+3)+'DCF Model'!G45/(1+$B23)^('DCF Model'!C19+4)+('DCF Model'!G39+'DCF Model'!G42)*F$17/(1+$B23)^('DCF Model'!C19+4)-'DCF Model'!C16)*1000000/'DCF Model'!C15,0),"")</f>
        <v>58140</v>
      </c>
      <c r="G23" s="37">
        <f>IFERROR(ROUND(('DCF Model'!C45/(1+$B23)^('DCF Model'!C19+0)+'DCF Model'!D45/(1+$B23)^('DCF Model'!C19+1)+'DCF Model'!E45/(1+$B23)^('DCF Model'!C19+2)+'DCF Model'!F45/(1+$B23)^('DCF Model'!C19+3)+'DCF Model'!G45/(1+$B23)^('DCF Model'!C19+4)+('DCF Model'!G39+'DCF Model'!G42)*G$17/(1+$B23)^('DCF Model'!C19+4)-'DCF Model'!C16)*1000000/'DCF Model'!C15,0),"")</f>
        <v>59451</v>
      </c>
      <c r="H23" s="37">
        <f>IFERROR(ROUND(('DCF Model'!C45/(1+$B23)^('DCF Model'!C19+0)+'DCF Model'!D45/(1+$B23)^('DCF Model'!C19+1)+'DCF Model'!E45/(1+$B23)^('DCF Model'!C19+2)+'DCF Model'!F45/(1+$B23)^('DCF Model'!C19+3)+'DCF Model'!G45/(1+$B23)^('DCF Model'!C19+4)+('DCF Model'!G39+'DCF Model'!G42)*H$17/(1+$B23)^('DCF Model'!C19+4)-'DCF Model'!C16)*1000000/'DCF Model'!C15,0),"")</f>
        <v>60761</v>
      </c>
      <c r="I23" s="37">
        <f>IFERROR(ROUND(('DCF Model'!C45/(1+$B23)^('DCF Model'!C19+0)+'DCF Model'!D45/(1+$B23)^('DCF Model'!C19+1)+'DCF Model'!E45/(1+$B23)^('DCF Model'!C19+2)+'DCF Model'!F45/(1+$B23)^('DCF Model'!C19+3)+'DCF Model'!G45/(1+$B23)^('DCF Model'!C19+4)+('DCF Model'!G39+'DCF Model'!G42)*I$17/(1+$B23)^('DCF Model'!C19+4)-'DCF Model'!C16)*1000000/'DCF Model'!C15,0),"")</f>
        <v>62072</v>
      </c>
    </row>
    <row r="24" spans="2:9" ht="13.5" customHeight="1" x14ac:dyDescent="0.25">
      <c r="B24" s="39">
        <f>$C$3+0.015</f>
        <v>0.12035</v>
      </c>
      <c r="C24" s="37">
        <f>IFERROR(ROUND(('DCF Model'!C45/(1+$B24)^('DCF Model'!C19+0)+'DCF Model'!D45/(1+$B24)^('DCF Model'!C19+1)+'DCF Model'!E45/(1+$B24)^('DCF Model'!C19+2)+'DCF Model'!F45/(1+$B24)^('DCF Model'!C19+3)+'DCF Model'!G45/(1+$B24)^('DCF Model'!C19+4)+('DCF Model'!G39+'DCF Model'!G42)*C$17/(1+$B24)^('DCF Model'!C19+4)-'DCF Model'!C16)*1000000/'DCF Model'!C15,0),"")</f>
        <v>53107</v>
      </c>
      <c r="D24" s="37">
        <f>IFERROR(ROUND(('DCF Model'!C45/(1+$B24)^('DCF Model'!C19+0)+'DCF Model'!D45/(1+$B24)^('DCF Model'!C19+1)+'DCF Model'!E45/(1+$B24)^('DCF Model'!C19+2)+'DCF Model'!F45/(1+$B24)^('DCF Model'!C19+3)+'DCF Model'!G45/(1+$B24)^('DCF Model'!C19+4)+('DCF Model'!G39+'DCF Model'!G42)*D$17/(1+$B24)^('DCF Model'!C19+4)-'DCF Model'!C16)*1000000/'DCF Model'!C15,0),"")</f>
        <v>54389</v>
      </c>
      <c r="E24" s="37">
        <f>IFERROR(ROUND(('DCF Model'!C45/(1+$B24)^('DCF Model'!C19+0)+'DCF Model'!D45/(1+$B24)^('DCF Model'!C19+1)+'DCF Model'!E45/(1+$B24)^('DCF Model'!C19+2)+'DCF Model'!F45/(1+$B24)^('DCF Model'!C19+3)+'DCF Model'!G45/(1+$B24)^('DCF Model'!C19+4)+('DCF Model'!G39+'DCF Model'!G42)*E$17/(1+$B24)^('DCF Model'!C19+4)-'DCF Model'!C16)*1000000/'DCF Model'!C15,0),"")</f>
        <v>55671</v>
      </c>
      <c r="F24" s="37">
        <f>IFERROR(ROUND(('DCF Model'!C45/(1+$B24)^('DCF Model'!C19+0)+'DCF Model'!D45/(1+$B24)^('DCF Model'!C19+1)+'DCF Model'!E45/(1+$B24)^('DCF Model'!C19+2)+'DCF Model'!F45/(1+$B24)^('DCF Model'!C19+3)+'DCF Model'!G45/(1+$B24)^('DCF Model'!C19+4)+('DCF Model'!G39+'DCF Model'!G42)*F$17/(1+$B24)^('DCF Model'!C19+4)-'DCF Model'!C16)*1000000/'DCF Model'!C15,0),"")</f>
        <v>56952</v>
      </c>
      <c r="G24" s="37">
        <f>IFERROR(ROUND(('DCF Model'!C45/(1+$B24)^('DCF Model'!C19+0)+'DCF Model'!D45/(1+$B24)^('DCF Model'!C19+1)+'DCF Model'!E45/(1+$B24)^('DCF Model'!C19+2)+'DCF Model'!F45/(1+$B24)^('DCF Model'!C19+3)+'DCF Model'!G45/(1+$B24)^('DCF Model'!C19+4)+('DCF Model'!G39+'DCF Model'!G42)*G$17/(1+$B24)^('DCF Model'!C19+4)-'DCF Model'!C16)*1000000/'DCF Model'!C15,0),"")</f>
        <v>58234</v>
      </c>
      <c r="H24" s="37">
        <f>IFERROR(ROUND(('DCF Model'!C45/(1+$B24)^('DCF Model'!C19+0)+'DCF Model'!D45/(1+$B24)^('DCF Model'!C19+1)+'DCF Model'!E45/(1+$B24)^('DCF Model'!C19+2)+'DCF Model'!F45/(1+$B24)^('DCF Model'!C19+3)+'DCF Model'!G45/(1+$B24)^('DCF Model'!C19+4)+('DCF Model'!G39+'DCF Model'!G42)*H$17/(1+$B24)^('DCF Model'!C19+4)-'DCF Model'!C16)*1000000/'DCF Model'!C15,0),"")</f>
        <v>59516</v>
      </c>
      <c r="I24" s="37">
        <f>IFERROR(ROUND(('DCF Model'!C45/(1+$B24)^('DCF Model'!C19+0)+'DCF Model'!D45/(1+$B24)^('DCF Model'!C19+1)+'DCF Model'!E45/(1+$B24)^('DCF Model'!C19+2)+'DCF Model'!F45/(1+$B24)^('DCF Model'!C19+3)+'DCF Model'!G45/(1+$B24)^('DCF Model'!C19+4)+('DCF Model'!G39+'DCF Model'!G42)*I$17/(1+$B24)^('DCF Model'!C19+4)-'DCF Model'!C16)*1000000/'DCF Model'!C15,0),"")</f>
        <v>60797</v>
      </c>
    </row>
    <row r="26" spans="2:9" ht="14" customHeight="1" x14ac:dyDescent="0.3">
      <c r="B26" s="46" t="s">
        <v>237</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238</v>
      </c>
    </row>
    <row r="4" spans="2:7" ht="14" customHeight="1"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s="43" t="s">
        <v>245</v>
      </c>
      <c r="C6" s="4" t="s">
        <v>250</v>
      </c>
      <c r="D6" s="43" t="s">
        <v>251</v>
      </c>
      <c r="E6" s="43" t="s">
        <v>252</v>
      </c>
      <c r="F6" s="43" t="s">
        <v>253</v>
      </c>
      <c r="G6" s="43" t="s">
        <v>254</v>
      </c>
    </row>
    <row r="7" spans="2:7" ht="30" customHeight="1" x14ac:dyDescent="0.3">
      <c r="B7" s="43" t="s">
        <v>245</v>
      </c>
      <c r="C7" s="4" t="s">
        <v>255</v>
      </c>
      <c r="D7" s="43" t="s">
        <v>256</v>
      </c>
      <c r="E7" s="43" t="s">
        <v>257</v>
      </c>
      <c r="F7" s="43" t="s">
        <v>258</v>
      </c>
      <c r="G7" s="43" t="s">
        <v>259</v>
      </c>
    </row>
    <row r="8" spans="2:7" ht="30" customHeight="1" x14ac:dyDescent="0.3">
      <c r="B8" s="43" t="s">
        <v>245</v>
      </c>
      <c r="C8" s="4" t="s">
        <v>260</v>
      </c>
      <c r="D8" s="43" t="s">
        <v>261</v>
      </c>
      <c r="E8" s="43" t="s">
        <v>262</v>
      </c>
      <c r="F8" s="43" t="s">
        <v>263</v>
      </c>
      <c r="G8" s="43" t="s">
        <v>259</v>
      </c>
    </row>
    <row r="9" spans="2:7" ht="30" customHeight="1" x14ac:dyDescent="0.3">
      <c r="B9" s="43" t="s">
        <v>245</v>
      </c>
      <c r="C9" s="4" t="s">
        <v>264</v>
      </c>
      <c r="D9" s="43" t="s">
        <v>265</v>
      </c>
      <c r="E9" s="43" t="s">
        <v>266</v>
      </c>
      <c r="F9" s="43" t="s">
        <v>267</v>
      </c>
      <c r="G9" s="43" t="s">
        <v>254</v>
      </c>
    </row>
    <row r="10" spans="2:7" ht="30" customHeight="1" x14ac:dyDescent="0.3">
      <c r="B10" s="43" t="s">
        <v>245</v>
      </c>
      <c r="C10" s="4" t="s">
        <v>268</v>
      </c>
      <c r="D10" s="43" t="s">
        <v>269</v>
      </c>
      <c r="E10" s="43" t="s">
        <v>270</v>
      </c>
      <c r="F10" s="43" t="s">
        <v>271</v>
      </c>
      <c r="G10" s="43" t="s">
        <v>272</v>
      </c>
    </row>
    <row r="11" spans="2:7" ht="30" customHeight="1" x14ac:dyDescent="0.3">
      <c r="B11" s="43" t="s">
        <v>245</v>
      </c>
      <c r="C11" s="4" t="s">
        <v>273</v>
      </c>
      <c r="D11" s="43" t="s">
        <v>274</v>
      </c>
      <c r="E11" s="43" t="s">
        <v>275</v>
      </c>
      <c r="F11" s="43" t="s">
        <v>276</v>
      </c>
      <c r="G11" s="43" t="s">
        <v>259</v>
      </c>
    </row>
    <row r="12" spans="2:7" ht="30" customHeight="1" x14ac:dyDescent="0.3">
      <c r="B12" s="43" t="s">
        <v>245</v>
      </c>
      <c r="C12" s="4" t="s">
        <v>277</v>
      </c>
      <c r="D12" s="43" t="s">
        <v>278</v>
      </c>
      <c r="E12" s="43" t="s">
        <v>279</v>
      </c>
      <c r="F12" s="43" t="s">
        <v>280</v>
      </c>
      <c r="G12" s="43" t="s">
        <v>259</v>
      </c>
    </row>
    <row r="13" spans="2:7" ht="30" customHeight="1" x14ac:dyDescent="0.3">
      <c r="B13" s="43" t="s">
        <v>245</v>
      </c>
      <c r="C13" s="4" t="s">
        <v>281</v>
      </c>
      <c r="D13" s="43" t="s">
        <v>282</v>
      </c>
      <c r="E13" s="43" t="s">
        <v>283</v>
      </c>
      <c r="F13" s="43" t="s">
        <v>284</v>
      </c>
      <c r="G13" s="43" t="s">
        <v>259</v>
      </c>
    </row>
    <row r="14" spans="2:7" ht="30" customHeight="1" x14ac:dyDescent="0.3">
      <c r="B14" s="43" t="s">
        <v>245</v>
      </c>
      <c r="C14" s="4" t="s">
        <v>285</v>
      </c>
      <c r="D14" s="43" t="s">
        <v>286</v>
      </c>
      <c r="E14" s="43" t="s">
        <v>287</v>
      </c>
      <c r="F14" s="43" t="s">
        <v>246</v>
      </c>
      <c r="G14" s="43" t="s">
        <v>259</v>
      </c>
    </row>
    <row r="15" spans="2:7" ht="30" customHeight="1" x14ac:dyDescent="0.3">
      <c r="B15" s="43" t="s">
        <v>245</v>
      </c>
      <c r="C15" s="4" t="s">
        <v>288</v>
      </c>
      <c r="D15" s="43" t="s">
        <v>289</v>
      </c>
      <c r="E15" s="43" t="s">
        <v>290</v>
      </c>
      <c r="F15" s="43" t="s">
        <v>291</v>
      </c>
      <c r="G15" s="43" t="s">
        <v>259</v>
      </c>
    </row>
    <row r="16" spans="2:7" ht="30" customHeight="1" x14ac:dyDescent="0.3">
      <c r="B16" s="43" t="s">
        <v>245</v>
      </c>
      <c r="C16" s="4" t="s">
        <v>292</v>
      </c>
      <c r="D16" s="43" t="s">
        <v>293</v>
      </c>
      <c r="E16" s="43" t="s">
        <v>294</v>
      </c>
      <c r="F16" s="43" t="s">
        <v>295</v>
      </c>
      <c r="G16" s="43" t="s">
        <v>259</v>
      </c>
    </row>
    <row r="17" spans="2:7" ht="30" customHeight="1" x14ac:dyDescent="0.3">
      <c r="B17" s="43" t="s">
        <v>245</v>
      </c>
      <c r="C17" s="4" t="s">
        <v>296</v>
      </c>
      <c r="D17" s="43" t="s">
        <v>297</v>
      </c>
      <c r="E17" s="43" t="s">
        <v>298</v>
      </c>
      <c r="F17" s="43" t="s">
        <v>284</v>
      </c>
      <c r="G17" s="43" t="s">
        <v>299</v>
      </c>
    </row>
    <row r="18" spans="2:7" ht="30" customHeight="1" x14ac:dyDescent="0.3">
      <c r="B18" s="43" t="s">
        <v>245</v>
      </c>
      <c r="C18" s="4" t="s">
        <v>300</v>
      </c>
      <c r="D18" s="43" t="s">
        <v>301</v>
      </c>
      <c r="E18" s="43" t="s">
        <v>302</v>
      </c>
      <c r="F18" s="43" t="s">
        <v>263</v>
      </c>
      <c r="G18" s="43" t="s">
        <v>259</v>
      </c>
    </row>
    <row r="19" spans="2:7" ht="30" customHeight="1" x14ac:dyDescent="0.3">
      <c r="B19" s="43" t="s">
        <v>245</v>
      </c>
      <c r="C19" s="4" t="s">
        <v>303</v>
      </c>
      <c r="D19" s="43" t="s">
        <v>304</v>
      </c>
      <c r="E19" s="43" t="s">
        <v>305</v>
      </c>
      <c r="F19" s="43" t="s">
        <v>306</v>
      </c>
      <c r="G19" s="43" t="s">
        <v>259</v>
      </c>
    </row>
    <row r="20" spans="2:7" ht="30" customHeight="1" x14ac:dyDescent="0.3">
      <c r="B20" s="43" t="s">
        <v>245</v>
      </c>
      <c r="C20" s="4" t="s">
        <v>307</v>
      </c>
      <c r="D20" s="43" t="s">
        <v>308</v>
      </c>
      <c r="E20" s="43" t="s">
        <v>309</v>
      </c>
      <c r="F20" s="43" t="s">
        <v>246</v>
      </c>
      <c r="G20" s="43" t="s">
        <v>310</v>
      </c>
    </row>
    <row r="21" spans="2:7" ht="30" customHeight="1" x14ac:dyDescent="0.3">
      <c r="B21" s="43" t="s">
        <v>245</v>
      </c>
      <c r="C21" s="4" t="s">
        <v>311</v>
      </c>
      <c r="D21" s="43" t="s">
        <v>312</v>
      </c>
      <c r="E21" s="43" t="s">
        <v>313</v>
      </c>
      <c r="F21" s="43" t="s">
        <v>263</v>
      </c>
      <c r="G21" s="43" t="s">
        <v>259</v>
      </c>
    </row>
    <row r="22" spans="2:7" ht="30" customHeight="1" x14ac:dyDescent="0.3">
      <c r="B22" s="43" t="s">
        <v>245</v>
      </c>
      <c r="C22" s="4" t="s">
        <v>314</v>
      </c>
      <c r="D22" s="43" t="s">
        <v>315</v>
      </c>
      <c r="E22" s="43" t="s">
        <v>316</v>
      </c>
      <c r="F22" s="43" t="s">
        <v>246</v>
      </c>
      <c r="G22" s="43" t="s">
        <v>259</v>
      </c>
    </row>
    <row r="23" spans="2:7" ht="30" customHeight="1" x14ac:dyDescent="0.3">
      <c r="B23" s="43" t="s">
        <v>245</v>
      </c>
      <c r="C23" s="4" t="s">
        <v>317</v>
      </c>
      <c r="D23" s="43" t="s">
        <v>318</v>
      </c>
      <c r="E23" s="43" t="s">
        <v>319</v>
      </c>
      <c r="F23" s="43" t="s">
        <v>246</v>
      </c>
      <c r="G23" s="43" t="s">
        <v>254</v>
      </c>
    </row>
    <row r="24" spans="2:7" ht="30" customHeight="1" x14ac:dyDescent="0.3">
      <c r="B24" s="43" t="s">
        <v>245</v>
      </c>
      <c r="C24" s="4" t="s">
        <v>320</v>
      </c>
      <c r="D24" s="43" t="s">
        <v>321</v>
      </c>
      <c r="E24" s="43" t="s">
        <v>322</v>
      </c>
      <c r="F24" s="43" t="s">
        <v>323</v>
      </c>
      <c r="G24" s="43" t="s">
        <v>259</v>
      </c>
    </row>
    <row r="25" spans="2:7" ht="30" customHeight="1" x14ac:dyDescent="0.3">
      <c r="B25" s="43" t="s">
        <v>245</v>
      </c>
      <c r="C25" s="4" t="s">
        <v>324</v>
      </c>
      <c r="D25" s="43" t="s">
        <v>325</v>
      </c>
      <c r="E25" s="43" t="s">
        <v>326</v>
      </c>
      <c r="F25" s="43" t="s">
        <v>246</v>
      </c>
      <c r="G25" s="43" t="s">
        <v>327</v>
      </c>
    </row>
    <row r="26" spans="2:7" ht="30" customHeight="1" x14ac:dyDescent="0.3">
      <c r="B26" s="43" t="s">
        <v>245</v>
      </c>
      <c r="C26" s="4" t="s">
        <v>328</v>
      </c>
      <c r="D26" s="43" t="s">
        <v>329</v>
      </c>
      <c r="E26" s="43" t="s">
        <v>330</v>
      </c>
      <c r="F26" s="43" t="s">
        <v>246</v>
      </c>
      <c r="G26" s="43" t="s">
        <v>331</v>
      </c>
    </row>
    <row r="27" spans="2:7" ht="30" customHeight="1" x14ac:dyDescent="0.3">
      <c r="B27" s="43" t="s">
        <v>245</v>
      </c>
      <c r="C27" s="4" t="s">
        <v>328</v>
      </c>
      <c r="D27" s="43" t="s">
        <v>332</v>
      </c>
      <c r="E27" s="43" t="s">
        <v>333</v>
      </c>
      <c r="F27" s="43" t="s">
        <v>246</v>
      </c>
      <c r="G27" s="43" t="s">
        <v>331</v>
      </c>
    </row>
    <row r="28" spans="2:7" ht="30" customHeight="1" x14ac:dyDescent="0.3">
      <c r="B28" s="43" t="s">
        <v>245</v>
      </c>
      <c r="C28" s="4" t="s">
        <v>328</v>
      </c>
      <c r="D28" s="43" t="s">
        <v>334</v>
      </c>
      <c r="E28" s="43" t="s">
        <v>335</v>
      </c>
      <c r="F28" s="43" t="s">
        <v>246</v>
      </c>
      <c r="G28" s="43" t="s">
        <v>331</v>
      </c>
    </row>
    <row r="29" spans="2:7" ht="14" customHeight="1" x14ac:dyDescent="0.2"/>
    <row r="30" spans="2:7" ht="14" customHeight="1" x14ac:dyDescent="0.3">
      <c r="B30" s="8" t="s">
        <v>336</v>
      </c>
    </row>
    <row r="31" spans="2:7" ht="14" customHeight="1" x14ac:dyDescent="0.3">
      <c r="B31" s="10" t="s">
        <v>337</v>
      </c>
      <c r="C31" s="10" t="s">
        <v>338</v>
      </c>
    </row>
    <row r="32" spans="2:7" ht="14" customHeight="1" x14ac:dyDescent="0.3">
      <c r="B32" s="4" t="s">
        <v>339</v>
      </c>
      <c r="C32" t="s">
        <v>340</v>
      </c>
    </row>
    <row r="33" spans="2:3" ht="14" customHeight="1" x14ac:dyDescent="0.3">
      <c r="B33" s="4" t="s">
        <v>341</v>
      </c>
      <c r="C33" t="s">
        <v>342</v>
      </c>
    </row>
    <row r="34" spans="2:3" ht="14" customHeight="1" x14ac:dyDescent="0.3">
      <c r="B34" s="4" t="s">
        <v>343</v>
      </c>
      <c r="C34" t="s">
        <v>344</v>
      </c>
    </row>
    <row r="35" spans="2:3" ht="14" customHeight="1" x14ac:dyDescent="0.3">
      <c r="B35" s="4" t="s">
        <v>345</v>
      </c>
      <c r="C35" t="s">
        <v>346</v>
      </c>
    </row>
    <row r="36" spans="2:3" ht="14" customHeight="1" x14ac:dyDescent="0.3">
      <c r="B36" s="4" t="s">
        <v>347</v>
      </c>
      <c r="C36" t="s">
        <v>4</v>
      </c>
    </row>
    <row r="37" spans="2:3" ht="14" customHeight="1" x14ac:dyDescent="0.3">
      <c r="B37" s="4" t="s">
        <v>348</v>
      </c>
      <c r="C37" t="s">
        <v>245</v>
      </c>
    </row>
    <row r="38" spans="2:3" ht="14" customHeight="1" x14ac:dyDescent="0.3">
      <c r="B38" s="4" t="s">
        <v>349</v>
      </c>
      <c r="C38" t="s">
        <v>350</v>
      </c>
    </row>
    <row r="39" spans="2:3" ht="14" customHeight="1" x14ac:dyDescent="0.3">
      <c r="B39" s="4" t="s">
        <v>351</v>
      </c>
      <c r="C39" t="s">
        <v>352</v>
      </c>
    </row>
    <row r="40" spans="2:3" ht="14" customHeight="1" x14ac:dyDescent="0.3">
      <c r="B40" s="4" t="s">
        <v>353</v>
      </c>
      <c r="C40" t="s">
        <v>354</v>
      </c>
    </row>
    <row r="41" spans="2:3" ht="14" customHeight="1" x14ac:dyDescent="0.3">
      <c r="B41" s="4" t="s">
        <v>355</v>
      </c>
      <c r="C41" t="s">
        <v>356</v>
      </c>
    </row>
    <row r="42" spans="2:3" ht="14" customHeight="1" x14ac:dyDescent="0.3">
      <c r="B42" s="4" t="s">
        <v>357</v>
      </c>
      <c r="C42" t="s">
        <v>358</v>
      </c>
    </row>
    <row r="43" spans="2:3" ht="14" customHeight="1" x14ac:dyDescent="0.3">
      <c r="B43" s="4" t="s">
        <v>359</v>
      </c>
      <c r="C43" t="s">
        <v>354</v>
      </c>
    </row>
    <row r="44" spans="2:3" ht="14" customHeight="1" x14ac:dyDescent="0.3">
      <c r="B44" s="4" t="s">
        <v>360</v>
      </c>
      <c r="C44" t="s">
        <v>350</v>
      </c>
    </row>
    <row r="45" spans="2:3" ht="14" customHeight="1" x14ac:dyDescent="0.3">
      <c r="B45" s="4" t="s">
        <v>361</v>
      </c>
      <c r="C45" t="s">
        <v>362</v>
      </c>
    </row>
    <row r="46" spans="2:3" ht="14" customHeight="1" x14ac:dyDescent="0.3">
      <c r="B46" s="4" t="s">
        <v>363</v>
      </c>
      <c r="C46" t="s">
        <v>364</v>
      </c>
    </row>
    <row r="47" spans="2:3" ht="14" customHeight="1" x14ac:dyDescent="0.3">
      <c r="B47" s="4" t="s">
        <v>365</v>
      </c>
      <c r="C47" t="s">
        <v>366</v>
      </c>
    </row>
    <row r="48" spans="2:3" ht="14" customHeight="1" x14ac:dyDescent="0.3">
      <c r="B48" s="4" t="s">
        <v>367</v>
      </c>
      <c r="C48" t="s">
        <v>368</v>
      </c>
    </row>
    <row r="49" spans="2:3" ht="14" customHeight="1" x14ac:dyDescent="0.3">
      <c r="B49" s="4" t="s">
        <v>369</v>
      </c>
      <c r="C49" t="s">
        <v>368</v>
      </c>
    </row>
    <row r="50" spans="2:3" ht="14" customHeight="1" x14ac:dyDescent="0.3">
      <c r="B50" s="4" t="s">
        <v>370</v>
      </c>
      <c r="C50" t="s">
        <v>371</v>
      </c>
    </row>
    <row r="51" spans="2:3" ht="14" customHeight="1" x14ac:dyDescent="0.3">
      <c r="B51" s="4" t="s">
        <v>372</v>
      </c>
      <c r="C51" t="s">
        <v>373</v>
      </c>
    </row>
    <row r="52" spans="2:3" ht="14" customHeight="1" x14ac:dyDescent="0.3">
      <c r="B52" s="4" t="s">
        <v>374</v>
      </c>
      <c r="C52" t="s">
        <v>375</v>
      </c>
    </row>
    <row r="53" spans="2:3" ht="14" customHeight="1" x14ac:dyDescent="0.3">
      <c r="B53" s="4" t="s">
        <v>376</v>
      </c>
      <c r="C53" t="s">
        <v>377</v>
      </c>
    </row>
    <row r="54" spans="2:3" ht="14" customHeight="1" x14ac:dyDescent="0.3">
      <c r="B54" s="4" t="s">
        <v>378</v>
      </c>
      <c r="C54" t="s">
        <v>379</v>
      </c>
    </row>
    <row r="55" spans="2:3" ht="14" customHeight="1" x14ac:dyDescent="0.3">
      <c r="B55" s="4" t="s">
        <v>380</v>
      </c>
      <c r="C55" t="s">
        <v>381</v>
      </c>
    </row>
    <row r="56" spans="2:3" ht="14" customHeight="1" x14ac:dyDescent="0.3">
      <c r="B56" s="4" t="s">
        <v>382</v>
      </c>
      <c r="C56" t="s">
        <v>383</v>
      </c>
    </row>
    <row r="57" spans="2:3" ht="14" customHeight="1" x14ac:dyDescent="0.3">
      <c r="B57" s="4" t="s">
        <v>384</v>
      </c>
      <c r="C57" t="s">
        <v>385</v>
      </c>
    </row>
    <row r="58" spans="2:3" ht="14" customHeight="1" x14ac:dyDescent="0.3">
      <c r="B58" s="4" t="s">
        <v>386</v>
      </c>
      <c r="C58" t="s">
        <v>387</v>
      </c>
    </row>
    <row r="59" spans="2:3" ht="14" customHeight="1" x14ac:dyDescent="0.3">
      <c r="B59" s="4" t="s">
        <v>388</v>
      </c>
      <c r="C59" t="s">
        <v>389</v>
      </c>
    </row>
    <row r="60" spans="2:3" ht="14" customHeight="1" x14ac:dyDescent="0.3">
      <c r="B60" s="4" t="s">
        <v>390</v>
      </c>
      <c r="C60" t="s">
        <v>391</v>
      </c>
    </row>
    <row r="61" spans="2:3" ht="14" customHeight="1" x14ac:dyDescent="0.3">
      <c r="B61" s="4" t="s">
        <v>392</v>
      </c>
      <c r="C61" t="s">
        <v>393</v>
      </c>
    </row>
    <row r="62" spans="2:3" ht="14" customHeight="1" x14ac:dyDescent="0.3">
      <c r="B62" s="4" t="s">
        <v>394</v>
      </c>
      <c r="C62" t="s">
        <v>395</v>
      </c>
    </row>
    <row r="63" spans="2:3" ht="14" customHeight="1" x14ac:dyDescent="0.3">
      <c r="B63" s="4" t="s">
        <v>396</v>
      </c>
      <c r="C63" t="s">
        <v>397</v>
      </c>
    </row>
    <row r="64" spans="2:3" ht="14" x14ac:dyDescent="0.3">
      <c r="B64" s="4" t="s">
        <v>398</v>
      </c>
      <c r="C64" t="s">
        <v>208</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2026-09-05T08:42:16Z</dcterms:created>
  <dcterms:modified xsi:type="dcterms:W3CDTF">2026-09-05T11:21:18Z</dcterms:modified>
</cp:coreProperties>
</file>