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5896990-B41A-48D0-AABF-00D726A0457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C6" i="7" l="1"/>
  <c r="I3" i="7"/>
  <c r="I17" i="7" s="1"/>
  <c r="F3" i="7"/>
  <c r="H6" i="7" s="1"/>
  <c r="O10" i="6"/>
  <c r="N10" i="6"/>
  <c r="M10" i="6"/>
  <c r="L10" i="6"/>
  <c r="K10" i="6"/>
  <c r="J10" i="6"/>
  <c r="O9" i="6"/>
  <c r="I16" i="6" s="1"/>
  <c r="N9" i="6"/>
  <c r="M9" i="6"/>
  <c r="L9" i="6"/>
  <c r="K9" i="6"/>
  <c r="J9" i="6"/>
  <c r="O8" i="6"/>
  <c r="N8" i="6"/>
  <c r="M8" i="6"/>
  <c r="G15" i="6" s="1"/>
  <c r="L8" i="6"/>
  <c r="K8" i="6"/>
  <c r="J8" i="6"/>
  <c r="O7" i="6"/>
  <c r="N7" i="6"/>
  <c r="M7" i="6"/>
  <c r="L7" i="6"/>
  <c r="K7" i="6"/>
  <c r="J7" i="6"/>
  <c r="O6" i="6"/>
  <c r="N6" i="6"/>
  <c r="M6" i="6"/>
  <c r="L6" i="6"/>
  <c r="K6" i="6"/>
  <c r="J6" i="6"/>
  <c r="O5" i="6"/>
  <c r="N5" i="6"/>
  <c r="D5" i="6"/>
  <c r="M5" i="6" s="1"/>
  <c r="C16" i="5"/>
  <c r="C14" i="5"/>
  <c r="C18" i="5" s="1"/>
  <c r="C7" i="5"/>
  <c r="C6" i="5"/>
  <c r="C5" i="5"/>
  <c r="C13" i="4"/>
  <c r="C12" i="4"/>
  <c r="C9" i="4"/>
  <c r="C7" i="4"/>
  <c r="C6" i="4"/>
  <c r="C8" i="4" s="1"/>
  <c r="C10" i="4" s="1"/>
  <c r="D27" i="3"/>
  <c r="G5" i="5" s="1"/>
  <c r="C25" i="3"/>
  <c r="C24" i="3"/>
  <c r="C23" i="3"/>
  <c r="F16" i="2"/>
  <c r="E16" i="2"/>
  <c r="D16" i="2"/>
  <c r="F15" i="2"/>
  <c r="E15" i="2"/>
  <c r="D15" i="2"/>
  <c r="F14" i="2"/>
  <c r="E14" i="2"/>
  <c r="D14" i="2"/>
  <c r="C14" i="2"/>
  <c r="F13" i="2"/>
  <c r="E13" i="2"/>
  <c r="D13" i="2"/>
  <c r="C13" i="2"/>
  <c r="F8" i="2"/>
  <c r="F9" i="2" s="1"/>
  <c r="E8" i="2"/>
  <c r="E9" i="2" s="1"/>
  <c r="D8" i="2"/>
  <c r="D9" i="2" s="1"/>
  <c r="C8" i="2"/>
  <c r="C9" i="2" s="1"/>
  <c r="H15" i="6" l="1"/>
  <c r="C26" i="3"/>
  <c r="D46" i="3" s="1"/>
  <c r="E5" i="6"/>
  <c r="J5" i="6" s="1"/>
  <c r="I17" i="6"/>
  <c r="D17" i="6"/>
  <c r="E15" i="6"/>
  <c r="F15" i="6"/>
  <c r="G16" i="6"/>
  <c r="G6" i="7"/>
  <c r="C3" i="7"/>
  <c r="G36" i="4"/>
  <c r="C11" i="4"/>
  <c r="G46" i="3"/>
  <c r="E46" i="3"/>
  <c r="E36" i="4"/>
  <c r="D36" i="4"/>
  <c r="B25" i="1"/>
  <c r="C46" i="3"/>
  <c r="F46" i="3"/>
  <c r="B30" i="1"/>
  <c r="F36" i="4"/>
  <c r="H36" i="4"/>
  <c r="C71" i="4"/>
  <c r="C70" i="4"/>
  <c r="C24" i="4"/>
  <c r="C25" i="4" s="1"/>
  <c r="C31" i="3"/>
  <c r="F32" i="3"/>
  <c r="H5" i="5"/>
  <c r="D7" i="5"/>
  <c r="K5" i="6"/>
  <c r="I15" i="6"/>
  <c r="E17" i="6"/>
  <c r="I6" i="7"/>
  <c r="D32" i="3"/>
  <c r="H6" i="5"/>
  <c r="D31" i="3"/>
  <c r="G32" i="3"/>
  <c r="E7" i="5"/>
  <c r="L5" i="6"/>
  <c r="D16" i="6"/>
  <c r="F17" i="6"/>
  <c r="C17" i="7"/>
  <c r="E31" i="3"/>
  <c r="D6" i="5"/>
  <c r="F7" i="5"/>
  <c r="E16" i="6"/>
  <c r="G17" i="6"/>
  <c r="D17" i="7"/>
  <c r="E30" i="3"/>
  <c r="F30" i="3"/>
  <c r="F5" i="5"/>
  <c r="C30" i="3"/>
  <c r="C33" i="3" s="1"/>
  <c r="F31" i="3"/>
  <c r="E6" i="5"/>
  <c r="G7" i="5"/>
  <c r="D15" i="6"/>
  <c r="F16" i="6"/>
  <c r="C28" i="6" s="1"/>
  <c r="C19" i="1" s="1"/>
  <c r="D19" i="1" s="1"/>
  <c r="H17" i="6"/>
  <c r="D6" i="7"/>
  <c r="E17" i="7"/>
  <c r="C32" i="3"/>
  <c r="D30" i="3"/>
  <c r="G31" i="3"/>
  <c r="D5" i="5"/>
  <c r="F6" i="5"/>
  <c r="H7" i="5"/>
  <c r="E6" i="7"/>
  <c r="F17" i="7"/>
  <c r="E5" i="5"/>
  <c r="G6" i="5"/>
  <c r="H16" i="6"/>
  <c r="F6" i="7"/>
  <c r="G17" i="7"/>
  <c r="H17" i="7"/>
  <c r="G30" i="3"/>
  <c r="E32" i="3"/>
  <c r="B13" i="7" l="1"/>
  <c r="B12" i="7"/>
  <c r="B11" i="7"/>
  <c r="B10" i="7"/>
  <c r="B9" i="7"/>
  <c r="B8" i="7"/>
  <c r="B7" i="7"/>
  <c r="B24" i="7"/>
  <c r="B23" i="7"/>
  <c r="B22" i="7"/>
  <c r="B21" i="7"/>
  <c r="B20" i="7"/>
  <c r="B19" i="7"/>
  <c r="B18" i="7"/>
  <c r="C27" i="6"/>
  <c r="C18" i="1" s="1"/>
  <c r="D18" i="1" s="1"/>
  <c r="C74" i="4"/>
  <c r="C29" i="4"/>
  <c r="C27" i="4"/>
  <c r="C26" i="4"/>
  <c r="H40" i="4"/>
  <c r="H38" i="4"/>
  <c r="H48" i="4" s="1"/>
  <c r="H53" i="4" s="1"/>
  <c r="H41" i="4"/>
  <c r="H45" i="4"/>
  <c r="H44" i="4"/>
  <c r="H39" i="4"/>
  <c r="H43" i="4"/>
  <c r="H46" i="4"/>
  <c r="E39" i="4"/>
  <c r="E46" i="4"/>
  <c r="E40" i="4"/>
  <c r="E44" i="4"/>
  <c r="E38" i="4"/>
  <c r="E48" i="4" s="1"/>
  <c r="E53" i="4" s="1"/>
  <c r="E41" i="4"/>
  <c r="E43" i="4"/>
  <c r="E45" i="4"/>
  <c r="F43" i="4"/>
  <c r="F40" i="4"/>
  <c r="F50" i="4" s="1"/>
  <c r="F55" i="4" s="1"/>
  <c r="F44" i="4"/>
  <c r="F38" i="4"/>
  <c r="F41" i="4"/>
  <c r="F51" i="4" s="1"/>
  <c r="F56" i="4" s="1"/>
  <c r="F45" i="4"/>
  <c r="F46" i="4"/>
  <c r="F39" i="4"/>
  <c r="G46" i="4"/>
  <c r="G44" i="4"/>
  <c r="G38" i="4"/>
  <c r="G41" i="4"/>
  <c r="G45" i="4"/>
  <c r="G39" i="4"/>
  <c r="G40" i="4"/>
  <c r="G43" i="4"/>
  <c r="B31" i="1"/>
  <c r="B24" i="1"/>
  <c r="D45" i="4"/>
  <c r="D43" i="4"/>
  <c r="D46" i="4"/>
  <c r="D40" i="4"/>
  <c r="D39" i="4"/>
  <c r="D44" i="4"/>
  <c r="D38" i="4"/>
  <c r="D41" i="4"/>
  <c r="C42" i="3"/>
  <c r="C34" i="3"/>
  <c r="D10" i="5" s="1"/>
  <c r="D9" i="5"/>
  <c r="D12" i="5" s="1"/>
  <c r="C43" i="3"/>
  <c r="D33" i="3"/>
  <c r="C37" i="3"/>
  <c r="E49" i="4" l="1"/>
  <c r="E54" i="4" s="1"/>
  <c r="H50" i="4"/>
  <c r="H55" i="4" s="1"/>
  <c r="D48" i="4"/>
  <c r="D53" i="4" s="1"/>
  <c r="F49" i="4"/>
  <c r="D51" i="4"/>
  <c r="D56" i="4" s="1"/>
  <c r="D50" i="4"/>
  <c r="D55" i="4" s="1"/>
  <c r="D15" i="5"/>
  <c r="D16" i="5" s="1"/>
  <c r="D13" i="5"/>
  <c r="G48" i="4"/>
  <c r="G53" i="4" s="1"/>
  <c r="E50" i="4"/>
  <c r="E55" i="4" s="1"/>
  <c r="H51" i="4"/>
  <c r="H56" i="4" s="1"/>
  <c r="D37" i="3"/>
  <c r="E33" i="3"/>
  <c r="D43" i="3"/>
  <c r="E9" i="5"/>
  <c r="E12" i="5" s="1"/>
  <c r="D42" i="3"/>
  <c r="D34" i="3"/>
  <c r="E10" i="5" s="1"/>
  <c r="F54" i="4"/>
  <c r="C60" i="4"/>
  <c r="B78" i="4"/>
  <c r="C35" i="3"/>
  <c r="D49" i="4"/>
  <c r="D54" i="4" s="1"/>
  <c r="G50" i="4"/>
  <c r="G55" i="4" s="1"/>
  <c r="G49" i="4"/>
  <c r="G54" i="4" s="1"/>
  <c r="E51" i="4"/>
  <c r="E56" i="4" s="1"/>
  <c r="H49" i="4"/>
  <c r="H54" i="4" s="1"/>
  <c r="D14" i="5"/>
  <c r="G51" i="4"/>
  <c r="G56" i="4" s="1"/>
  <c r="F48" i="4"/>
  <c r="F53" i="4" s="1"/>
  <c r="D18" i="5" l="1"/>
  <c r="D19" i="5" s="1"/>
  <c r="C44" i="3" s="1"/>
  <c r="C38" i="3"/>
  <c r="C36" i="3"/>
  <c r="C39" i="3"/>
  <c r="F9" i="5"/>
  <c r="F12" i="5" s="1"/>
  <c r="F33" i="3"/>
  <c r="E43" i="3"/>
  <c r="E42" i="3"/>
  <c r="E34" i="3"/>
  <c r="F10" i="5" s="1"/>
  <c r="E37" i="3"/>
  <c r="C64" i="4"/>
  <c r="D64" i="4" s="1"/>
  <c r="C65" i="4"/>
  <c r="D65" i="4" s="1"/>
  <c r="C67" i="4"/>
  <c r="D67" i="4" s="1"/>
  <c r="C63" i="4"/>
  <c r="D63" i="4" s="1"/>
  <c r="C66" i="4"/>
  <c r="D66" i="4" s="1"/>
  <c r="E13" i="5"/>
  <c r="E14" i="5" s="1"/>
  <c r="E18" i="5" s="1"/>
  <c r="E19" i="5" s="1"/>
  <c r="D44" i="3" s="1"/>
  <c r="E15" i="5"/>
  <c r="E16" i="5" s="1"/>
  <c r="D35" i="3"/>
  <c r="E35" i="3" l="1"/>
  <c r="E39" i="3" s="1"/>
  <c r="E38" i="3"/>
  <c r="E36" i="3"/>
  <c r="F43" i="3"/>
  <c r="G33" i="3"/>
  <c r="F42" i="3"/>
  <c r="F34" i="3"/>
  <c r="G10" i="5" s="1"/>
  <c r="F37" i="3"/>
  <c r="G9" i="5"/>
  <c r="G12" i="5" s="1"/>
  <c r="F14" i="5"/>
  <c r="F18" i="5" s="1"/>
  <c r="F19" i="5" s="1"/>
  <c r="E44" i="3" s="1"/>
  <c r="D38" i="3"/>
  <c r="D36" i="3"/>
  <c r="D39" i="3"/>
  <c r="C40" i="3"/>
  <c r="C41" i="3" s="1"/>
  <c r="C45" i="3" s="1"/>
  <c r="F15" i="5"/>
  <c r="F16" i="5" s="1"/>
  <c r="F13" i="5"/>
  <c r="C47" i="3" l="1"/>
  <c r="G13" i="5"/>
  <c r="G15" i="5"/>
  <c r="G16" i="5" s="1"/>
  <c r="D40" i="3"/>
  <c r="D41" i="3" s="1"/>
  <c r="D45" i="3" s="1"/>
  <c r="D47" i="3" s="1"/>
  <c r="E40" i="3"/>
  <c r="E41" i="3" s="1"/>
  <c r="E45" i="3" s="1"/>
  <c r="F35" i="3"/>
  <c r="G14" i="5"/>
  <c r="G18" i="5" s="1"/>
  <c r="G19" i="5" s="1"/>
  <c r="F44" i="3" s="1"/>
  <c r="G42" i="3"/>
  <c r="G34" i="3"/>
  <c r="H10" i="5" s="1"/>
  <c r="C16" i="4"/>
  <c r="C28" i="4" s="1"/>
  <c r="G37" i="3"/>
  <c r="H9" i="5"/>
  <c r="H12" i="5" s="1"/>
  <c r="G43" i="3"/>
  <c r="G35" i="3"/>
  <c r="E47" i="3" l="1"/>
  <c r="H15" i="5"/>
  <c r="H16" i="5" s="1"/>
  <c r="H13" i="5"/>
  <c r="H14" i="5" s="1"/>
  <c r="H18" i="5" s="1"/>
  <c r="H19" i="5" s="1"/>
  <c r="G44" i="3" s="1"/>
  <c r="C72" i="4"/>
  <c r="C73" i="4"/>
  <c r="G38" i="3"/>
  <c r="G39" i="3"/>
  <c r="G36" i="3"/>
  <c r="F36" i="3"/>
  <c r="F39" i="3"/>
  <c r="F38" i="3"/>
  <c r="F40" i="3" l="1"/>
  <c r="F41" i="3" s="1"/>
  <c r="F45" i="3" s="1"/>
  <c r="C59" i="3"/>
  <c r="C60" i="3" s="1"/>
  <c r="C61" i="3" s="1"/>
  <c r="G40" i="3"/>
  <c r="G41" i="3" s="1"/>
  <c r="G45" i="3" s="1"/>
  <c r="G47" i="3" l="1"/>
  <c r="C51" i="3"/>
  <c r="C52" i="3" s="1"/>
  <c r="F47" i="3"/>
  <c r="C50" i="3" s="1"/>
  <c r="F9" i="7"/>
  <c r="E18" i="7"/>
  <c r="C23" i="7"/>
  <c r="C24" i="7"/>
  <c r="H18" i="7"/>
  <c r="I19" i="7"/>
  <c r="E11" i="7"/>
  <c r="G18" i="7"/>
  <c r="D21" i="7"/>
  <c r="H11" i="7"/>
  <c r="F18" i="7"/>
  <c r="I8" i="7"/>
  <c r="E13" i="7"/>
  <c r="H19" i="7"/>
  <c r="C10" i="7"/>
  <c r="E22" i="7"/>
  <c r="E12" i="7"/>
  <c r="I9" i="7"/>
  <c r="G21" i="7"/>
  <c r="E8" i="7"/>
  <c r="D7" i="7"/>
  <c r="D18" i="7"/>
  <c r="H8" i="7"/>
  <c r="F23" i="7"/>
  <c r="C18" i="7"/>
  <c r="G8" i="7"/>
  <c r="D11" i="7"/>
  <c r="I23" i="7"/>
  <c r="F8" i="7"/>
  <c r="C8" i="7"/>
  <c r="E23" i="7"/>
  <c r="H10" i="7"/>
  <c r="G10" i="7"/>
  <c r="H9" i="7"/>
  <c r="H12" i="7"/>
  <c r="I24" i="7"/>
  <c r="H13" i="7"/>
  <c r="G11" i="7"/>
  <c r="F20" i="7"/>
  <c r="F21" i="7"/>
  <c r="D8" i="7"/>
  <c r="I20" i="7"/>
  <c r="F13" i="7"/>
  <c r="H20" i="7"/>
  <c r="G20" i="7"/>
  <c r="C20" i="7"/>
  <c r="D10" i="7"/>
  <c r="F7" i="7"/>
  <c r="C13" i="7"/>
  <c r="D12" i="7"/>
  <c r="E24" i="7"/>
  <c r="H23" i="7"/>
  <c r="F10" i="7"/>
  <c r="G23" i="7"/>
  <c r="E20" i="7"/>
  <c r="C11" i="7"/>
  <c r="I13" i="7"/>
  <c r="G7" i="7"/>
  <c r="D20" i="7"/>
  <c r="C7" i="7"/>
  <c r="H22" i="7"/>
  <c r="I7" i="7"/>
  <c r="E9" i="7"/>
  <c r="C21" i="7"/>
  <c r="I10" i="7"/>
  <c r="G22" i="7"/>
  <c r="H7" i="7"/>
  <c r="E10" i="7"/>
  <c r="I11" i="7"/>
  <c r="I22" i="7"/>
  <c r="E19" i="7"/>
  <c r="D22" i="7"/>
  <c r="C19" i="7"/>
  <c r="D13" i="7"/>
  <c r="C22" i="7"/>
  <c r="G12" i="7"/>
  <c r="F22" i="7"/>
  <c r="D19" i="7"/>
  <c r="G19" i="7"/>
  <c r="G9" i="7"/>
  <c r="H21" i="7"/>
  <c r="E7" i="7"/>
  <c r="C12" i="7"/>
  <c r="H24" i="7"/>
  <c r="F12" i="7"/>
  <c r="F11" i="7"/>
  <c r="D9" i="7"/>
  <c r="I21" i="7"/>
  <c r="F19" i="7"/>
  <c r="D24" i="7"/>
  <c r="I18" i="7"/>
  <c r="I12" i="7"/>
  <c r="G24" i="7"/>
  <c r="G13" i="7"/>
  <c r="E21" i="7"/>
  <c r="D23" i="7"/>
  <c r="F24" i="7"/>
  <c r="C9" i="7"/>
  <c r="C58" i="3" l="1"/>
  <c r="C62" i="3" s="1"/>
  <c r="C53" i="3"/>
  <c r="C63" i="3" l="1"/>
  <c r="C64" i="3" s="1"/>
  <c r="C17" i="1" s="1"/>
  <c r="D17" i="1" s="1"/>
  <c r="C17" i="4"/>
  <c r="C54" i="3"/>
  <c r="C55" i="3" s="1"/>
  <c r="C16" i="1" s="1"/>
  <c r="C10" i="1" l="1"/>
  <c r="D16" i="1"/>
  <c r="C21" i="1"/>
  <c r="C19" i="4"/>
  <c r="C20" i="4" s="1"/>
  <c r="B79" i="4" s="1"/>
  <c r="C12" i="1" l="1"/>
  <c r="C11" i="1" s="1"/>
  <c r="B26" i="1" l="1"/>
</calcChain>
</file>

<file path=xl/sharedStrings.xml><?xml version="1.0" encoding="utf-8"?>
<sst xmlns="http://schemas.openxmlformats.org/spreadsheetml/2006/main" count="518" uniqueCount="391">
  <si>
    <t>DISCLAIMER: This is a sample analysis for demonstration purposes only. It does not constitute investment advice.</t>
  </si>
  <si>
    <t>三菱電機 (6503.T)</t>
  </si>
  <si>
    <t>Equity Research Report</t>
  </si>
  <si>
    <t>Company</t>
  </si>
  <si>
    <t>三菱電機</t>
  </si>
  <si>
    <t>Ticker</t>
  </si>
  <si>
    <t>6503.T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</si>
  <si>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</si>
  <si>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</si>
  <si>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</si>
  <si>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</si>
  <si>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</si>
  <si>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</si>
  <si>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</si>
  <si>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</si>
  <si>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</si>
  <si>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</si>
  <si>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</si>
  <si>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</si>
  <si>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</si>
  <si>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</si>
  <si>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</si>
  <si>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</si>
  <si>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</si>
  <si>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</si>
  <si>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Four consecutive years of margin expansion sets a high bar: the base case assumes it holds rather than mean-reverting toward the 6.67% median.</t>
  </si>
  <si>
    <t>三菱電機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</si>
  <si>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</si>
  <si>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</si>
  <si>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</si>
  <si>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</si>
  <si>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</si>
  <si>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</si>
  <si>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</si>
  <si>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</si>
  <si>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</si>
  <si>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</si>
  <si>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</si>
  <si>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</si>
  <si>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</si>
  <si>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</si>
  <si>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</si>
  <si>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</si>
  <si>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</si>
  <si>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</si>
  <si>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</si>
  <si>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</si>
  <si>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</si>
  <si>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</si>
  <si>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</si>
  <si>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</si>
  <si>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</si>
  <si>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</si>
  <si>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</si>
  <si>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3/4, Cash 4/4, Debt 0/4 — blank cells are years with no year-key match in the source data (verify against 決算短信 or set hist_ocf / hist_cash / hist_debt in overrides).</t>
  </si>
  <si>
    <t>DCF Valuation Model - 三菱電機</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</si>
  <si>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</si>
  <si>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</si>
  <si>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</si>
  <si>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</si>
  <si>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</si>
  <si>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</si>
  <si>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</si>
  <si>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</si>
  <si>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</si>
  <si>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</si>
  <si>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</si>
  <si>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</si>
  <si>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</si>
  <si>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</si>
  <si>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</si>
  <si>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</si>
  <si>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</si>
  <si>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</si>
  <si>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</si>
  <si>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</si>
  <si>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</si>
  <si>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</si>
  <si>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</si>
  <si>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</si>
  <si>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</si>
  <si>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</si>
  <si>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</si>
  <si>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</si>
  <si>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</si>
  <si>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</si>
  <si>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</si>
  <si>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</si>
  <si>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</si>
  <si>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</si>
  <si>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</si>
  <si>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</si>
  <si>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</si>
  <si>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</si>
  <si>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</si>
  <si>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</si>
  <si>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</si>
  <si>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</si>
  <si>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</si>
  <si>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</si>
  <si>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</si>
  <si>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</si>
  <si>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</si>
  <si>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</si>
  <si>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</si>
  <si>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</si>
  <si>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</si>
  <si>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</si>
  <si>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</si>
  <si>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</si>
  <si>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</si>
  <si>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</si>
  <si>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</si>
  <si>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</si>
  <si>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</si>
  <si>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</si>
  <si>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</si>
  <si>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</si>
  <si>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</si>
  <si>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三菱電機 (6503.T)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</si>
  <si>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</si>
  <si>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</si>
  <si>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</si>
  <si>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</si>
  <si>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</si>
  <si>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</si>
  <si>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</si>
  <si>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</si>
  <si>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</si>
  <si>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</si>
  <si>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</si>
  <si>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</si>
  <si>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</si>
  <si>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</si>
  <si>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</si>
  <si>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</si>
  <si>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</si>
  <si>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</si>
  <si>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</si>
  <si>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</si>
  <si>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</si>
  <si>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</si>
  <si>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</si>
  <si>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</si>
  <si>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</si>
  <si>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</si>
  <si>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</si>
  <si>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</si>
  <si>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</si>
  <si>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</si>
  <si>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</si>
  <si>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</si>
  <si>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</si>
  <si>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</si>
  <si>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</si>
  <si>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</si>
  <si>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</si>
  <si>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</si>
  <si>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</si>
  <si>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</si>
  <si>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</si>
  <si>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</si>
  <si>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</si>
  <si>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</si>
  <si>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</si>
  <si>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</si>
  <si>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</si>
  <si>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</si>
  <si>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</si>
  <si>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</si>
  <si>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</si>
  <si>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三菱電機</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</si>
  <si>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</si>
  <si>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</si>
  <si>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</si>
  <si>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</si>
  <si>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</si>
  <si>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</si>
  <si>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</si>
  <si>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</si>
  <si>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</si>
  <si>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</si>
  <si>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</si>
  <si>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</si>
  <si>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</si>
  <si>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</si>
  <si>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</si>
  <si>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</si>
  <si>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</si>
  <si>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</si>
  <si>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</si>
  <si>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</si>
  <si>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</si>
  <si>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</si>
  <si>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</si>
  <si>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</si>
  <si>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</si>
  <si>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</si>
  <si>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</si>
  <si>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</si>
  <si>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</si>
  <si>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</si>
  <si>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</si>
  <si>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</si>
  <si>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</si>
  <si>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</si>
  <si>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Mitsubishi Electric Corporation</t>
  </si>
  <si>
    <t>6503.T</t>
  </si>
  <si>
    <t>Hitachi, Ltd.</t>
  </si>
  <si>
    <t>6501.T</t>
  </si>
  <si>
    <t>Panasonic Holdings Corporation</t>
  </si>
  <si>
    <t>6752.T</t>
  </si>
  <si>
    <t>Mitsubishi Heavy Industries, Ltd.</t>
  </si>
  <si>
    <t>7011.T</t>
  </si>
  <si>
    <t>Daikin Industries,Ltd.</t>
  </si>
  <si>
    <t>6367.T</t>
  </si>
  <si>
    <t>DENSO Corporation</t>
  </si>
  <si>
    <t>6902.T</t>
  </si>
  <si>
    <t>Statistics</t>
  </si>
  <si>
    <t>25th Percentile</t>
  </si>
  <si>
    <t>Median (50th)</t>
  </si>
  <si>
    <t>75th Percentile</t>
  </si>
  <si>
    <t>Implied Valuation for 三菱電機</t>
  </si>
  <si>
    <t>三菱電機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</si>
  <si>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</si>
  <si>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</si>
  <si>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</si>
  <si>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</si>
  <si>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</si>
  <si>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</si>
  <si>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</si>
  <si>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</si>
  <si>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</si>
  <si>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</si>
  <si>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</si>
  <si>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</si>
  <si>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</si>
  <si>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</si>
  <si>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</si>
  <si>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三菱電機</t>
  </si>
  <si>
    <t>日付</t>
  </si>
  <si>
    <t>セル</t>
  </si>
  <si>
    <t>変更内容</t>
  </si>
  <si>
    <t>理由</t>
  </si>
  <si>
    <t>元の値</t>
  </si>
  <si>
    <t>状態</t>
  </si>
  <si>
    <t>2026-09-06</t>
  </si>
  <si>
    <t>-</t>
  </si>
  <si>
    <t>Generated by pipeline on 2026-09-06 11:06,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</si>
  <si>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</si>
  <si>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</si>
  <si>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</si>
  <si>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</si>
  <si>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</si>
  <si>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</si>
  <si>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</si>
  <si>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</si>
  <si>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</si>
  <si>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</si>
  <si>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</si>
  <si>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</si>
  <si>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</si>
  <si>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</si>
  <si>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</si>
  <si>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10,739,655百万円。■テンプレートの自動規則(&gt;=1兆円 -&gt; 0.0%、&gt;=1,000億円 -&gt; 1.5%)とは異なる値であり、明示指定で上書きしている。</t>
  </si>
  <si>
    <t>テンプレ自動値</t>
  </si>
  <si>
    <t>DCF Model!C8</t>
  </si>
  <si>
    <t>Beta = 0.76</t>
  </si>
  <si>
    <t>yfinance実測 **0.755** はテンプレのクランプ域 [0.6, 1.75] の**内側**のため素通し（置換なし）。</t>
  </si>
  <si>
    <t>yfinance実測 0.755</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</si>
  <si>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</si>
  <si>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</si>
  <si>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</si>
  <si>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</si>
  <si>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</si>
  <si>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</si>
  <si>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</si>
  <si>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ネットキャッシュで D/E = 0 のため、負債コストは WACC に一切寄与しない（WACC = Ke）。実績Kd の算出は結果に影響しないため interest_expense を指定していない。</t>
  </si>
  <si>
    <t>テンプレ既定</t>
  </si>
  <si>
    <t>DCF Model!C13</t>
  </si>
  <si>
    <t>Terminal Growth = 1.0%</t>
  </si>
  <si>
    <t>バッチ共通の固定前提(v2 §1-3)。</t>
  </si>
  <si>
    <t>テンプレ既定 2.0%</t>
  </si>
  <si>
    <t>DCF Model!C14</t>
  </si>
  <si>
    <t>Exit Multiple (EV/EBITDA) = 14.3x</t>
  </si>
  <si>
    <t>Peer 5社の実測EV/EBITDA中央値 14.33x。■**追補4 §Q の判定**: `batch/check_growth_premium.py` で機械判定した結果、**非該当**。（3条件のうち「仮定Exit倍率 &gt; 25倍」を満たさないため。Exit法は Target に算入されたまま） 自社の現在倍率 15.55x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</si>
  <si>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</si>
  <si>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</si>
  <si>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</si>
  <si>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CLEAN。赤字年なしで型Bにも該当しない。</t>
  </si>
  <si>
    <t>Financial Statements / hist_* / 市場データ / net_debt / core_ebitda</t>
  </si>
  <si>
    <t>追補2 §F-2 + 追補3 §L + 追補2 §G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</si>
  <si>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で逆算。current_price / shares_outstanding / net_debt / core_ebitda も予防的に明示指定（追補3 §L / 追補2 §G）。■**結果として初回生成で合格（リトライ0回）**。</t>
  </si>
  <si>
    <t>EDINET自動抽出値</t>
  </si>
  <si>
    <t>DCF Model!C5 / C18</t>
  </si>
  <si>
    <t>capex / D&amp;A 方式</t>
  </si>
  <si>
    <t>capex_method / da_method とも revenue_pct（capex 4.20% / D&amp;A 4.00%）。実績は capex 3.5-4.1% / D&amp;A 3.8-4.3% で近接。ターミナル比率 1.050x（レンジ内）。</t>
  </si>
  <si>
    <t>Executive Summary(追補4 §Q 判定)</t>
  </si>
  <si>
    <t>**非該当** — Exit は Target に算入したまま</t>
  </si>
  <si>
    <t>batch/check_growth_premium.py による機械判定: WARN11乖離 2.93倍 / PGM逆算Exit 4.88倍 / 仮定Exit 14.30倍。3条件のうち「仮定Exit倍率 &gt; 25倍」を満たさないため §Q の降格は適用しない。■ただし PGM と Exit の乖離自体は存在しており、Target は点推定ではなくレンジの中点として読むこと。</t>
  </si>
  <si>
    <t>DCF Model シナリオ5本</t>
  </si>
  <si>
    <t>**追補8 §AE の rework wave により Base を再設計**</t>
  </si>
  <si>
    <t>【追補8 §AE の rework wave（第8セッション）】追補7 §Y の単調性判定と、追補8 §AE-2 が確定した方向別の定義に従って **Base を再設計**した。■実績OPM: 0.05% → 0.06% → 0.07% → 0.07%。**判定: 単調増加**。■**適用ルール: 単調増加 → 直近水準の維持** により Base 到達OPM = **7.35%**（旧: 7.26%、差 +0.09pt）。■**平均回帰（§4-4 の中央値収束）は使わない**: トレンドに平均回帰を当てるのは統計的な誤りであり、その理由は符号で変わらない（追補8 §AE-2）。**単調増加では『さらなる上積みの外挿はしない』という保守側のガード**を置き、直近水準の維持とした。■Upside / Downside 1 / Downside 2 は本 rework の対象外で、従前の設計を維持している。■COGS% は据え置き、SGA% = 100% − COGS% − 目標OPM で逆算した。</t>
  </si>
  <si>
    <t>rework 前の Base 設計</t>
  </si>
  <si>
    <t>設計判断(追補8 §AE)</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</si>
  <si>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</si>
  <si>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</si>
  <si>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</si>
  <si>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</si>
  <si>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</si>
  <si>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77 / DIH 120 / DPO 59 日</t>
  </si>
  <si>
    <t>実績4期平均。</t>
  </si>
  <si>
    <t>Comps Analysis</t>
  </si>
  <si>
    <t>Peer 5社 = 6501 日立製作所 / 6752 パナソニックHD / 7011 三菱重工業 / 6367 ダイキン工業 / 6902 デンソー</t>
  </si>
  <si>
    <t>■選定理由: 総合電機・ITサービス・大型産業機械。■時価総額バンド（3.22〜32.2兆円）に採用5社すべてが収まる（バンド緩和は不要）。■海外Peer（Siemens / GE / IBM / Accenture 等）は v2 §5 により不使用。■D&amp;A取得状況: 全6社で減価償却費を取得でき統一。**D&amp;A欠損による除外はゼロ**（validate チェック12 PASS）。■**7011 三菱重工の D&amp;A は EDINET 有報（docID S100YHZG）から FY2026/3 の実額 211,214 を取得して補正済み**。</t>
  </si>
  <si>
    <t>Executive Summary!C10 / Target</t>
  </si>
  <si>
    <t>Target Price = 3,183円 = PGM 1,969円 と Exit 4,396円 の2本平均。Comps 2本(EV/EBITDA 4,851円 / PER 5,977円)は [参考・Target不算入]</t>
  </si>
  <si>
    <t>メモ§2 の規約どおり。validate チェック14 PASS(C10 が C16:C17 のみを平均)。EV&lt;net_debt による INVALID 化は発生していない（チェック10・15 とも PASS）。**追補4 §Q は非該当**（仮定Exit倍率が25倍未満）のため Exit は Target に算入されている。 ■**追補8 §AE の rework 後の値に更新**: Target 3,211円 / SELL / -38.8%（rework 前 3,183円）。</t>
  </si>
  <si>
    <t>全体(納品状態)</t>
  </si>
  <si>
    <t>本ファイルは DRAFT。_FINAL は付けない</t>
  </si>
  <si>
    <t>バッチモードでの機械生成物であり人間の検証を経ていない。FINAL化は手順書v2 §6 に従い検証後に行う。</t>
  </si>
  <si>
    <t>DRAFT</t>
  </si>
  <si>
    <t>全体(未解決)</t>
  </si>
  <si>
    <t>**WARN 11 の乖離 2.93倍は §Q の閾値 3.0倍に最も近い**</t>
  </si>
  <si>
    <t>仮定Exit倍率が 14.30倍で §Q の条件3（&gt;25倍）を満たさないため降格していないが、PGM 1,969円 と Exit 4,396円 が 2.2倍開いており、Target 3,183円 はその中点であることに留意。</t>
  </si>
  <si>
    <t>未解決</t>
  </si>
  <si>
    <t>4期連続のマージン上昇と増収の両立が続くか</t>
  </si>
  <si>
    <t>Base は現水準の横ばい（7.26%）。品質・法令対応の一過性費用を過去に計上した経緯があり、Downside 2 は 5.24% への回帰を想定している。</t>
  </si>
  <si>
    <t>FA・半導体設備投資への連動</t>
  </si>
  <si>
    <t>中国と半導体の設備投資動向が受注を左右するが、その集中も為替感応度も WACC 8.91% には織り込まれていない。</t>
  </si>
  <si>
    <t>Pipeline Metadata (do not edit — read by scripts/validate_output.py)</t>
  </si>
  <si>
    <t>key</t>
  </si>
  <si>
    <t>value</t>
  </si>
  <si>
    <t>auto_log_entries</t>
  </si>
  <si>
    <t>0</t>
  </si>
  <si>
    <t>capex_pct_basis</t>
  </si>
  <si>
    <t>assumption</t>
  </si>
  <si>
    <t>capex_pct_c5</t>
  </si>
  <si>
    <t>0.042</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</si>
  <si>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</si>
  <si>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</si>
  <si>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</si>
  <si>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</si>
  <si>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</si>
  <si>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</si>
  <si>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</si>
  <si>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</si>
  <si>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</si>
  <si>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</si>
  <si>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</si>
  <si>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</si>
  <si>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</si>
  <si>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</si>
  <si>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</si>
  <si>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</si>
  <si>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</si>
  <si>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</si>
  <si>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</si>
  <si>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</si>
  <si>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</si>
  <si>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</si>
  <si>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</si>
  <si>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</si>
  <si>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0.04</t>
  </si>
  <si>
    <t>da_pct_hist3yr</t>
  </si>
  <si>
    <t>0.039319</t>
  </si>
  <si>
    <t>fs_year_coverage</t>
  </si>
  <si>
    <t>OCF 3/4, Cash 4/4, Debt 0/4</t>
  </si>
  <si>
    <t>fs_year_map</t>
  </si>
  <si>
    <t>FY2023&lt;-FY2023[cash];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</si>
  <si>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</si>
  <si>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</si>
  <si>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</si>
  <si>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</si>
  <si>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</si>
  <si>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11:06:15</t>
  </si>
  <si>
    <t>ltm_revenue_c20</t>
  </si>
  <si>
    <t>5894747.0</t>
  </si>
  <si>
    <t>ltm_revenue_source</t>
  </si>
  <si>
    <t>latest FY (no LTM)</t>
  </si>
  <si>
    <t>narrative_tokens_used</t>
  </si>
  <si>
    <t>pb,per,price,target_price,upside_pct,wacc</t>
  </si>
  <si>
    <t>reverse_dcf_sheet</t>
  </si>
  <si>
    <t>op0=433,095(FY2026) peak=433,095(FY2026) peak_opm=0.0735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</si>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</sst>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5248</v>
      </c>
    </row>
    <row r="10" spans="2:5" ht="14" customHeight="1" x14ac:dyDescent="0.3">
      <c r="B10" s="4" t="s">
        <v>10</v>
      </c>
      <c r="C10" s="5">
        <f>IF(COUNT(C16:C17)=0,"N/A",ROUND(AVERAGE(C16:C17),0))</f>
        <v>3211</v>
      </c>
    </row>
    <row r="11" spans="2:5" ht="14" customHeight="1" x14ac:dyDescent="0.3">
      <c r="B11" s="4" t="s">
        <v>11</v>
      </c>
      <c r="C11" s="6" t="str">
        <f>IF(NOT(ISNUMBER(C12)),"N/A",IF(C12&gt;0.15,"BUY",IF(C12&gt;0.05,"HOLD","SELL")))</f>
        <v>SELL</v>
      </c>
    </row>
    <row r="12" spans="2:5" ht="14" customHeight="1" x14ac:dyDescent="0.3">
      <c r="B12" s="4" t="s">
        <v>12</v>
      </c>
      <c r="C12" s="7">
        <f>IF(ISNUMBER(C10),(C10-C9)/C9,"N/A")</f>
        <v>-0.38814786585365851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1993</v>
      </c>
      <c r="D16" s="7">
        <f>IF(ISNUMBER(C16),(C16-C9)/C9,"N/A")</f>
        <v>-0.62023628048780488</v>
      </c>
    </row>
    <row r="17" spans="2:5" ht="13.5" customHeight="1" x14ac:dyDescent="0.25">
      <c r="B17" t="s">
        <v>18</v>
      </c>
      <c r="C17" s="11">
        <f>IF('DCF Model'!C62&lt;'DCF Model'!C16,"INVALID (EV &lt; net debt)",'DCF Model'!C64)</f>
        <v>4429</v>
      </c>
      <c r="D17" s="7">
        <f>IF(ISNUMBER(C17),(C17-C9)/C9,"N/A")</f>
        <v>-0.1560594512195122</v>
      </c>
    </row>
    <row r="18" spans="2:5" ht="13.5" customHeight="1" x14ac:dyDescent="0.25">
      <c r="B18" t="s">
        <v>19</v>
      </c>
      <c r="C18" s="11">
        <f>'Comps Analysis'!C27</f>
        <v>4851</v>
      </c>
      <c r="D18" s="7">
        <f>IF(ISNUMBER(C18),(C18-C9)/C9,"N/A")</f>
        <v>-7.5647865853658541E-2</v>
      </c>
    </row>
    <row r="19" spans="2:5" ht="13.5" customHeight="1" x14ac:dyDescent="0.25">
      <c r="B19" t="s">
        <v>20</v>
      </c>
      <c r="C19" s="11">
        <f>'Comps Analysis'!C28</f>
        <v>5977</v>
      </c>
      <c r="D19" s="7">
        <f>IF(ISNUMBER(C19),(C19-C9)/C9,"N/A")</f>
        <v>0.13891006097560976</v>
      </c>
    </row>
    <row r="20" spans="2:5" ht="14" customHeight="1" x14ac:dyDescent="0.3">
      <c r="B20" s="46" t="s">
        <v>21</v>
      </c>
      <c r="C20" s="45"/>
      <c r="D20" s="45"/>
      <c r="E20" s="45"/>
    </row>
    <row r="21" spans="2:5" ht="14" customHeight="1" x14ac:dyDescent="0.3">
      <c r="B21" s="4" t="s">
        <v>22</v>
      </c>
      <c r="C21" s="6" t="str">
        <f>IF(COUNT(C16:C17)=0,"N/A",MIN(C16:C17)&amp;" - "&amp;MAX(C16:C17))</f>
        <v>1993 - 4429</v>
      </c>
    </row>
    <row r="23" spans="2:5" ht="14" customHeight="1" x14ac:dyDescent="0.3">
      <c r="B23" s="8" t="s">
        <v>23</v>
      </c>
      <c r="C23" s="9"/>
      <c r="D23" s="9"/>
    </row>
    <row r="24" spans="2:5" x14ac:dyDescent="0.2">
      <c r="B24" t="str">
        <f>"Mitsubishi Electric has lifted the operating margin in each of the last four years while growing revenue at nearly six percent, an unusual combination among Japanese diversified electronics; the shares trade at "&amp;TEXT('Comps Analysis'!L5,"0.0""x""")&amp;" earnings and "&amp;TEXT('Comps Analysis'!M5,"0.00""x""")&amp;" book."</f>
        <v>Mitsubishi Electric has lifted the operating margin in each of the last four years while growing revenue at nearly six percent, an unusual combination among Japanese diversified electronics; the shares trade at 26.3x earnings and 2.39x book.</v>
      </c>
    </row>
    <row r="25" spans="2:5" x14ac:dyDescent="0.2">
      <c r="B25" t="str">
        <f>"The balance sheet is net cash, so the "&amp;TEXT('DCF Model'!C26,"0.00%")&amp;" discount rate is the cost of equity with no leverage assumed."</f>
        <v>The balance sheet is net cash, so the 8.91% discount rate is the cost of equity with no leverage assumed.</v>
      </c>
    </row>
    <row r="26" spans="2:5" x14ac:dyDescent="0.2">
      <c r="B26" t="str">
        <f>"At "&amp;TEXT(C9,"#,##0")&amp;" the shares are valued slightly above the diversified-electronics peer median on EV/EBITDA; a base case that holds the current margin supports "&amp;TEXT(C10,"#,##0")&amp;", or "&amp;TEXT(C12,"+0.0%;-0.0%")&amp;" from here."</f>
        <v>At 5,248 the shares are valued slightly above the diversified-electronics peer median on EV/EBITDA; a base case that holds the current margin supports 3,211, or -38.8% from here.</v>
      </c>
    </row>
    <row r="28" spans="2:5" ht="14" customHeight="1" x14ac:dyDescent="0.3">
      <c r="B28" s="8" t="s">
        <v>24</v>
      </c>
      <c r="C28" s="9"/>
      <c r="D28" s="9"/>
    </row>
    <row r="29" spans="2:5" x14ac:dyDescent="0.2">
      <c r="B29" t="s">
        <v>25</v>
      </c>
    </row>
    <row r="30" spans="2:5" x14ac:dyDescent="0.2">
      <c r="B30" t="str">
        <f>"Factory-automation demand is tied to Chinese and semiconductor capital spending, neither of which is reflected in the "&amp;TEXT('DCF Model'!C26,"0.00%")&amp;" used here."</f>
        <v>Factory-automation demand is tied to Chinese and semiconductor capital spending, neither of which is reflected in the 8.91% used here.</v>
      </c>
    </row>
    <row r="31" spans="2:5" x14ac:dyDescent="0.2">
      <c r="B31" t="str">
        <f>"The company has a history of quality-compliance issues that carried one-off costs; the second downside case returns the margin to the 5.24% trough of four years ago, far below what "&amp;TEXT(C9,"#,##0")&amp;" and "&amp;TEXT('Comps Analysis'!L5,"0.0""x""")&amp;" contemplate."</f>
        <v>The company has a history of quality-compliance issues that carried one-off costs; the second downside case returns the margin to the 5.24% trough of four years ago, far below what 5,248 and 26.3x contemplate.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5003694</v>
      </c>
      <c r="D6" s="5">
        <v>5257914</v>
      </c>
      <c r="E6" s="5">
        <v>5521711</v>
      </c>
      <c r="F6" s="5">
        <v>5894747</v>
      </c>
    </row>
    <row r="7" spans="2:6" ht="14" customHeight="1" x14ac:dyDescent="0.3">
      <c r="B7" s="4" t="s">
        <v>33</v>
      </c>
      <c r="C7" s="5">
        <v>3596781</v>
      </c>
      <c r="D7" s="5">
        <v>3712065</v>
      </c>
      <c r="E7" s="5">
        <v>3829496</v>
      </c>
      <c r="F7" s="5">
        <v>4005249</v>
      </c>
    </row>
    <row r="8" spans="2:6" ht="14" customHeight="1" x14ac:dyDescent="0.3">
      <c r="B8" s="4" t="s">
        <v>34</v>
      </c>
      <c r="C8" s="5">
        <f>C6-C7</f>
        <v>1406913</v>
      </c>
      <c r="D8" s="5">
        <f>D6-D7</f>
        <v>1545849</v>
      </c>
      <c r="E8" s="5">
        <f>E6-E7</f>
        <v>1692215</v>
      </c>
      <c r="F8" s="5">
        <f>F6-F7</f>
        <v>1889498</v>
      </c>
    </row>
    <row r="9" spans="2:6" ht="13.5" customHeight="1" x14ac:dyDescent="0.25">
      <c r="B9" t="s">
        <v>35</v>
      </c>
      <c r="C9" s="7">
        <f>C8/C6</f>
        <v>0.28117486800751607</v>
      </c>
      <c r="D9" s="7">
        <f>D8/D6</f>
        <v>0.29400423818267091</v>
      </c>
      <c r="E9" s="7">
        <f>E8/E6</f>
        <v>0.30646569514413197</v>
      </c>
      <c r="F9" s="7">
        <f>F8/F6</f>
        <v>0.3205392869278359</v>
      </c>
    </row>
    <row r="10" spans="2:6" ht="14" customHeight="1" x14ac:dyDescent="0.3">
      <c r="B10" s="4" t="s">
        <v>36</v>
      </c>
      <c r="C10" s="5">
        <v>1144561</v>
      </c>
      <c r="D10" s="5">
        <v>1217324</v>
      </c>
      <c r="E10" s="5">
        <v>1300365</v>
      </c>
      <c r="F10" s="5">
        <v>1456403</v>
      </c>
    </row>
    <row r="11" spans="2:6" ht="14" customHeight="1" x14ac:dyDescent="0.3">
      <c r="B11" s="4" t="s">
        <v>37</v>
      </c>
      <c r="C11" s="5">
        <v>262352</v>
      </c>
      <c r="D11" s="5">
        <v>328525</v>
      </c>
      <c r="E11" s="5">
        <v>391850</v>
      </c>
      <c r="F11" s="5">
        <v>433095</v>
      </c>
    </row>
    <row r="12" spans="2:6" ht="14" customHeight="1" x14ac:dyDescent="0.3">
      <c r="B12" s="4" t="s">
        <v>38</v>
      </c>
      <c r="C12" s="5">
        <v>213908</v>
      </c>
      <c r="D12" s="5">
        <v>284949</v>
      </c>
      <c r="E12" s="5">
        <v>324084</v>
      </c>
      <c r="F12" s="5">
        <v>407758</v>
      </c>
    </row>
    <row r="13" spans="2:6" ht="13.5" customHeight="1" x14ac:dyDescent="0.25">
      <c r="B13" t="s">
        <v>39</v>
      </c>
      <c r="C13" s="7">
        <f>C11/C6</f>
        <v>5.2431663487015792E-2</v>
      </c>
      <c r="D13" s="7">
        <f>D11/D6</f>
        <v>6.2482003319187039E-2</v>
      </c>
      <c r="E13" s="7">
        <f>E11/E6</f>
        <v>7.0965322161916838E-2</v>
      </c>
      <c r="F13" s="7">
        <f>F11/F6</f>
        <v>7.3471346607411656E-2</v>
      </c>
    </row>
    <row r="14" spans="2:6" ht="13.5" customHeight="1" x14ac:dyDescent="0.25">
      <c r="B14" t="s">
        <v>40</v>
      </c>
      <c r="C14" s="7">
        <f>C12/C6</f>
        <v>4.2750016287966451E-2</v>
      </c>
      <c r="D14" s="7">
        <f>D12/D6</f>
        <v>5.4194305954794998E-2</v>
      </c>
      <c r="E14" s="7">
        <f>E12/E6</f>
        <v>5.8692676961905464E-2</v>
      </c>
      <c r="F14" s="7">
        <f>F12/F6</f>
        <v>6.9173112942760739E-2</v>
      </c>
    </row>
    <row r="15" spans="2:6" ht="13.5" customHeight="1" x14ac:dyDescent="0.25">
      <c r="B15" t="s">
        <v>41</v>
      </c>
      <c r="C15" t="s">
        <v>42</v>
      </c>
      <c r="D15" s="7">
        <f>(D6-C6)/C6</f>
        <v>5.0806464184260665E-2</v>
      </c>
      <c r="E15" s="7">
        <f>(E6-D6)/D6</f>
        <v>5.0171417790401289E-2</v>
      </c>
      <c r="F15" s="7">
        <f>(F6-E6)/E6</f>
        <v>6.7558044961063698E-2</v>
      </c>
    </row>
    <row r="16" spans="2:6" ht="13.5" customHeight="1" x14ac:dyDescent="0.25">
      <c r="B16" t="s">
        <v>43</v>
      </c>
      <c r="C16" t="s">
        <v>42</v>
      </c>
      <c r="D16" s="7">
        <f>(D11-C11)/C11</f>
        <v>0.2522298286271879</v>
      </c>
      <c r="E16" s="7">
        <f>(E11-D11)/D11</f>
        <v>0.1927554980595084</v>
      </c>
      <c r="F16" s="7">
        <f>(F11-E11)/E11</f>
        <v>0.10525711369146357</v>
      </c>
    </row>
    <row r="18" spans="2:6" ht="14" customHeight="1" x14ac:dyDescent="0.3">
      <c r="B18" s="3" t="s">
        <v>44</v>
      </c>
    </row>
    <row r="19" spans="2:6" ht="14" customHeight="1" x14ac:dyDescent="0.3">
      <c r="B19" s="4" t="s">
        <v>45</v>
      </c>
      <c r="C19" s="5"/>
      <c r="D19" s="5">
        <v>415479</v>
      </c>
      <c r="E19" s="5">
        <v>455905</v>
      </c>
      <c r="F19" s="5">
        <v>575993</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645870</v>
      </c>
      <c r="D26" s="5">
        <v>765384</v>
      </c>
      <c r="E26" s="5">
        <v>757331</v>
      </c>
      <c r="F26" s="5">
        <v>731609</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4.2000000000000003E-2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0.76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14.3</v>
      </c>
    </row>
    <row r="15" spans="2:7" ht="14" customHeight="1" x14ac:dyDescent="0.3">
      <c r="B15" s="4" t="s">
        <v>66</v>
      </c>
      <c r="C15" s="15">
        <v>2046435776</v>
      </c>
    </row>
    <row r="16" spans="2:7" ht="14" customHeight="1" x14ac:dyDescent="0.3">
      <c r="B16" s="4" t="s">
        <v>67</v>
      </c>
      <c r="C16" s="5">
        <v>-368331</v>
      </c>
    </row>
    <row r="17" spans="2:7" ht="14" customHeight="1" x14ac:dyDescent="0.3">
      <c r="B17" s="4" t="s">
        <v>68</v>
      </c>
      <c r="C17" s="5">
        <v>5894747</v>
      </c>
    </row>
    <row r="18" spans="2:7" ht="14" customHeight="1" x14ac:dyDescent="0.3">
      <c r="B18" s="4" t="s">
        <v>69</v>
      </c>
      <c r="C18" s="7">
        <v>0.04</v>
      </c>
    </row>
    <row r="19" spans="2:7" ht="14" customHeight="1" x14ac:dyDescent="0.3">
      <c r="B19" s="4" t="s">
        <v>70</v>
      </c>
      <c r="C19" s="12">
        <v>1</v>
      </c>
    </row>
    <row r="20" spans="2:7" ht="14" customHeight="1" x14ac:dyDescent="0.3">
      <c r="B20" s="4" t="s">
        <v>71</v>
      </c>
      <c r="C20" s="5">
        <v>5894747</v>
      </c>
    </row>
    <row r="22" spans="2:7" ht="14" customHeight="1" x14ac:dyDescent="0.3">
      <c r="B22" s="8" t="s">
        <v>72</v>
      </c>
      <c r="C22" s="9"/>
      <c r="D22" s="9"/>
      <c r="E22" s="9"/>
      <c r="F22" s="9"/>
      <c r="G22" s="9"/>
    </row>
    <row r="23" spans="2:7" ht="14" customHeight="1" x14ac:dyDescent="0.3">
      <c r="B23" s="4" t="s">
        <v>73</v>
      </c>
      <c r="C23" s="16">
        <f>C7+C8*C9+C10</f>
        <v>8.9099999999999999E-2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8.9099999999999999E-2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0.05</v>
      </c>
      <c r="D30" s="18">
        <f>CHOOSE($D$27,D69,D70,D71,D72,D73)</f>
        <v>4.4999999999999998E-2</v>
      </c>
      <c r="E30" s="18">
        <f>CHOOSE($D$27,E69,E70,E71,E72,E73)</f>
        <v>0.04</v>
      </c>
      <c r="F30" s="18">
        <f>CHOOSE($D$27,F69,F70,F71,F72,F73)</f>
        <v>3.5000000000000003E-2</v>
      </c>
      <c r="G30" s="18">
        <f>CHOOSE($D$27,G69,G70,G71,G72,G73)</f>
        <v>0.03</v>
      </c>
    </row>
    <row r="31" spans="2:7" ht="14" customHeight="1" x14ac:dyDescent="0.3">
      <c r="B31" s="4" t="s">
        <v>85</v>
      </c>
      <c r="C31" s="18">
        <f>CHOOSE($D$27,C76,C77,C78,C79,C80)</f>
        <v>0.67900000000000005</v>
      </c>
      <c r="D31" s="18">
        <f>CHOOSE($D$27,D76,D77,D78,D79,D80)</f>
        <v>0.67900000000000005</v>
      </c>
      <c r="E31" s="18">
        <f>CHOOSE($D$27,E76,E77,E78,E79,E80)</f>
        <v>0.67900000000000005</v>
      </c>
      <c r="F31" s="18">
        <f>CHOOSE($D$27,F76,F77,F78,F79,F80)</f>
        <v>0.67900000000000005</v>
      </c>
      <c r="G31" s="18">
        <f>CHOOSE($D$27,G76,G77,G78,G79,G80)</f>
        <v>0.67900000000000005</v>
      </c>
    </row>
    <row r="32" spans="2:7" ht="14" customHeight="1" x14ac:dyDescent="0.3">
      <c r="B32" s="4" t="s">
        <v>86</v>
      </c>
      <c r="C32" s="18">
        <f>CHOOSE($D$27,C83,C84,C85,C86,C87)</f>
        <v>0.247529</v>
      </c>
      <c r="D32" s="18">
        <f>CHOOSE($D$27,D83,D84,D85,D86,D87)</f>
        <v>0.247529</v>
      </c>
      <c r="E32" s="18">
        <f>CHOOSE($D$27,E83,E84,E85,E86,E87)</f>
        <v>0.247529</v>
      </c>
      <c r="F32" s="18">
        <f>CHOOSE($D$27,F83,F84,F85,F86,F87)</f>
        <v>0.247529</v>
      </c>
      <c r="G32" s="18">
        <f>CHOOSE($D$27,G83,G84,G85,G86,G87)</f>
        <v>0.247529</v>
      </c>
    </row>
    <row r="33" spans="2:7" ht="14" customHeight="1" x14ac:dyDescent="0.3">
      <c r="B33" s="4" t="s">
        <v>32</v>
      </c>
      <c r="C33" s="5">
        <f>C17*(1+C30)</f>
        <v>6189484.3500000006</v>
      </c>
      <c r="D33" s="5">
        <f>C33*(1+D30)</f>
        <v>6468011.1457500001</v>
      </c>
      <c r="E33" s="5">
        <f>D33*(1+E30)</f>
        <v>6726731.5915800007</v>
      </c>
      <c r="F33" s="5">
        <f>E33*(1+F30)</f>
        <v>6962167.1972853001</v>
      </c>
      <c r="G33" s="5">
        <f>F33*(1+G30)</f>
        <v>7171032.2132038595</v>
      </c>
    </row>
    <row r="34" spans="2:7" ht="14" customHeight="1" x14ac:dyDescent="0.3">
      <c r="B34" s="4" t="s">
        <v>33</v>
      </c>
      <c r="C34" s="5">
        <f>C33*C31</f>
        <v>4202659.8736500004</v>
      </c>
      <c r="D34" s="5">
        <f>D33*D31</f>
        <v>4391779.5679642502</v>
      </c>
      <c r="E34" s="5">
        <f>E33*E31</f>
        <v>4567450.7506828206</v>
      </c>
      <c r="F34" s="5">
        <f>F33*F31</f>
        <v>4727311.5269567193</v>
      </c>
      <c r="G34" s="5">
        <f>G33*G31</f>
        <v>4869130.8727654209</v>
      </c>
    </row>
    <row r="35" spans="2:7" ht="14" customHeight="1" x14ac:dyDescent="0.3">
      <c r="B35" s="4" t="s">
        <v>34</v>
      </c>
      <c r="C35" s="19">
        <f>C33-C34</f>
        <v>1986824.4763500001</v>
      </c>
      <c r="D35" s="19">
        <f>D33-D34</f>
        <v>2076231.5777857499</v>
      </c>
      <c r="E35" s="19">
        <f>E33-E34</f>
        <v>2159280.8408971801</v>
      </c>
      <c r="F35" s="19">
        <f>F33-F34</f>
        <v>2234855.6703285808</v>
      </c>
      <c r="G35" s="19">
        <f>G33-G34</f>
        <v>2301901.3404384386</v>
      </c>
    </row>
    <row r="36" spans="2:7" ht="14" customHeight="1" x14ac:dyDescent="0.3">
      <c r="B36" s="4" t="s">
        <v>35</v>
      </c>
      <c r="C36" s="7">
        <f>C35/C33</f>
        <v>0.32100000000000001</v>
      </c>
      <c r="D36" s="7">
        <f>D35/D33</f>
        <v>0.32100000000000001</v>
      </c>
      <c r="E36" s="7">
        <f>E35/E33</f>
        <v>0.32100000000000001</v>
      </c>
      <c r="F36" s="7">
        <f>F35/F33</f>
        <v>0.3209999999999999</v>
      </c>
      <c r="G36" s="7">
        <f>G35/G33</f>
        <v>0.32099999999999995</v>
      </c>
    </row>
    <row r="37" spans="2:7" ht="14" customHeight="1" x14ac:dyDescent="0.3">
      <c r="B37" s="4" t="s">
        <v>87</v>
      </c>
      <c r="C37" s="5">
        <f>C33*C32</f>
        <v>1532076.8716711502</v>
      </c>
      <c r="D37" s="5">
        <f>D33*D32</f>
        <v>1601020.3308963517</v>
      </c>
      <c r="E37" s="5">
        <f>E33*E32</f>
        <v>1665061.144132206</v>
      </c>
      <c r="F37" s="5">
        <f>F33*F32</f>
        <v>1723338.284176833</v>
      </c>
      <c r="G37" s="5">
        <f>G33*G32</f>
        <v>1775038.4327021381</v>
      </c>
    </row>
    <row r="38" spans="2:7" ht="14" customHeight="1" x14ac:dyDescent="0.3">
      <c r="B38" s="4" t="s">
        <v>88</v>
      </c>
      <c r="C38" s="7">
        <f>(C35-C37)/C33</f>
        <v>7.3470999999999981E-2</v>
      </c>
      <c r="D38" s="7">
        <f>(D35-D37)/D33</f>
        <v>7.3470999999999995E-2</v>
      </c>
      <c r="E38" s="7">
        <f>(E35-E37)/E33</f>
        <v>7.3470999999999995E-2</v>
      </c>
      <c r="F38" s="7">
        <f>(F35-F37)/F33</f>
        <v>7.3470999999999925E-2</v>
      </c>
      <c r="G38" s="7">
        <f>(G35-G37)/G33</f>
        <v>7.3470999999999967E-2</v>
      </c>
    </row>
    <row r="39" spans="2:7" ht="14" customHeight="1" x14ac:dyDescent="0.3">
      <c r="B39" s="4" t="s">
        <v>89</v>
      </c>
      <c r="C39" s="19">
        <f>C35-C37</f>
        <v>454747.60467884992</v>
      </c>
      <c r="D39" s="19">
        <f>D35-D37</f>
        <v>475211.2468893982</v>
      </c>
      <c r="E39" s="19">
        <f>E35-E37</f>
        <v>494219.69676497416</v>
      </c>
      <c r="F39" s="19">
        <f>F35-F37</f>
        <v>511517.38615174778</v>
      </c>
      <c r="G39" s="19">
        <f>G35-G37</f>
        <v>526862.90773630049</v>
      </c>
    </row>
    <row r="40" spans="2:7" ht="14" customHeight="1" x14ac:dyDescent="0.3">
      <c r="B40" s="4" t="s">
        <v>90</v>
      </c>
      <c r="C40" s="5">
        <f>MAX(0,C39*C6)</f>
        <v>113686.90116971248</v>
      </c>
      <c r="D40" s="5">
        <f>MAX(0,D39*C6)</f>
        <v>118802.81172234955</v>
      </c>
      <c r="E40" s="5">
        <f>MAX(0,E39*C6)</f>
        <v>123554.92419124354</v>
      </c>
      <c r="F40" s="5">
        <f>MAX(0,F39*C6)</f>
        <v>127879.34653793694</v>
      </c>
      <c r="G40" s="5">
        <f>MAX(0,G39*C6)</f>
        <v>131715.72693407512</v>
      </c>
    </row>
    <row r="41" spans="2:7" ht="14" customHeight="1" x14ac:dyDescent="0.3">
      <c r="B41" s="4" t="s">
        <v>91</v>
      </c>
      <c r="C41" s="19">
        <f>C39-C40</f>
        <v>341060.70350913744</v>
      </c>
      <c r="D41" s="19">
        <f>D39-D40</f>
        <v>356408.43516704865</v>
      </c>
      <c r="E41" s="19">
        <f>E39-E40</f>
        <v>370664.77257373062</v>
      </c>
      <c r="F41" s="19">
        <f>F39-F40</f>
        <v>383638.03961381083</v>
      </c>
      <c r="G41" s="19">
        <f>G39-G40</f>
        <v>395147.18080222537</v>
      </c>
    </row>
    <row r="42" spans="2:7" ht="14" customHeight="1" x14ac:dyDescent="0.3">
      <c r="B42" s="4" t="s">
        <v>92</v>
      </c>
      <c r="C42" s="5">
        <f>C33*C18</f>
        <v>247579.37400000004</v>
      </c>
      <c r="D42" s="5">
        <f>D33*C18</f>
        <v>258720.44583000001</v>
      </c>
      <c r="E42" s="5">
        <f>E33*C18</f>
        <v>269069.26366320002</v>
      </c>
      <c r="F42" s="5">
        <f>F33*C18</f>
        <v>278486.687891412</v>
      </c>
      <c r="G42" s="5">
        <f>G33*C18</f>
        <v>286841.28852815437</v>
      </c>
    </row>
    <row r="43" spans="2:7" ht="14" customHeight="1" x14ac:dyDescent="0.3">
      <c r="B43" s="4" t="s">
        <v>93</v>
      </c>
      <c r="C43" s="5">
        <f>C33*C5</f>
        <v>259958.34270000004</v>
      </c>
      <c r="D43" s="5">
        <f>D33*C5</f>
        <v>271656.46812150005</v>
      </c>
      <c r="E43" s="5">
        <f>E33*C5</f>
        <v>282522.72684636002</v>
      </c>
      <c r="F43" s="5">
        <f>F33*C5</f>
        <v>292411.02228598262</v>
      </c>
      <c r="G43" s="5">
        <f>G33*C5</f>
        <v>301183.35295456211</v>
      </c>
    </row>
    <row r="44" spans="2:7" ht="14" customHeight="1" x14ac:dyDescent="0.3">
      <c r="B44" s="4" t="s">
        <v>94</v>
      </c>
      <c r="C44" s="5">
        <f>'NWC Schedule'!D19</f>
        <v>41192.170527808601</v>
      </c>
      <c r="D44" s="5">
        <f>'NWC Schedule'!E19</f>
        <v>90364.012673751218</v>
      </c>
      <c r="E44" s="5">
        <f>'NWC Schedule'!F19</f>
        <v>83938.12732806243</v>
      </c>
      <c r="F44" s="5">
        <f>'NWC Schedule'!G19</f>
        <v>76383.69586853683</v>
      </c>
      <c r="G44" s="5">
        <f>'NWC Schedule'!H19</f>
        <v>67763.250191944186</v>
      </c>
    </row>
    <row r="45" spans="2:7" ht="14" customHeight="1" x14ac:dyDescent="0.3">
      <c r="B45" s="4" t="s">
        <v>95</v>
      </c>
      <c r="C45" s="20">
        <f>C41+C42-C43-C44</f>
        <v>287489.56428132881</v>
      </c>
      <c r="D45" s="20">
        <f>D41+D42-D43-D44</f>
        <v>253108.40020179743</v>
      </c>
      <c r="E45" s="20">
        <f>E41+E42-E43-E44</f>
        <v>273273.18206250819</v>
      </c>
      <c r="F45" s="20">
        <f>F41+F42-F43-F44</f>
        <v>293330.00935070345</v>
      </c>
      <c r="G45" s="20">
        <f>G41+G42-G43-G44</f>
        <v>313041.86618387344</v>
      </c>
    </row>
    <row r="46" spans="2:7" ht="14" customHeight="1" x14ac:dyDescent="0.3">
      <c r="B46" s="4" t="s">
        <v>96</v>
      </c>
      <c r="C46" s="21">
        <f>1/(1+C26)^(C19+0)</f>
        <v>0.91818933063997799</v>
      </c>
      <c r="D46" s="21">
        <f>1/(1+C26)^(C19+1)</f>
        <v>0.84307164690109082</v>
      </c>
      <c r="E46" s="21">
        <f>1/(1+C26)^(C19+2)</f>
        <v>0.77409939114965653</v>
      </c>
      <c r="F46" s="21">
        <f>1/(1+C26)^(C19+3)</f>
        <v>0.71076980180851757</v>
      </c>
      <c r="G46" s="21">
        <f>1/(1+C26)^(C19+4)</f>
        <v>0.65262124856167258</v>
      </c>
    </row>
    <row r="47" spans="2:7" ht="14" customHeight="1" x14ac:dyDescent="0.3">
      <c r="B47" s="4" t="s">
        <v>97</v>
      </c>
      <c r="C47" s="19">
        <f>C45*C46</f>
        <v>263969.85059345223</v>
      </c>
      <c r="D47" s="19">
        <f>D45*D46</f>
        <v>213388.51580262976</v>
      </c>
      <c r="E47" s="19">
        <f>E45*E46</f>
        <v>211540.60385211682</v>
      </c>
      <c r="F47" s="19">
        <f>F45*F46</f>
        <v>208490.11261069009</v>
      </c>
      <c r="G47" s="19">
        <f>G45*G46</f>
        <v>204297.77356099553</v>
      </c>
    </row>
    <row r="49" spans="2:7" ht="14" customHeight="1" x14ac:dyDescent="0.3">
      <c r="B49" s="22" t="s">
        <v>98</v>
      </c>
      <c r="C49" s="23"/>
      <c r="D49" s="23"/>
      <c r="E49" s="23"/>
      <c r="F49" s="23"/>
      <c r="G49" s="23"/>
    </row>
    <row r="50" spans="2:7" ht="14" customHeight="1" x14ac:dyDescent="0.3">
      <c r="B50" s="4" t="s">
        <v>99</v>
      </c>
      <c r="C50" s="5">
        <f>SUM(C47:G47)</f>
        <v>1101686.8564198844</v>
      </c>
    </row>
    <row r="51" spans="2:7" ht="14" customHeight="1" x14ac:dyDescent="0.3">
      <c r="B51" s="4" t="s">
        <v>100</v>
      </c>
      <c r="C51" s="5">
        <f>G45*(1+C13)/(C26-C13)</f>
        <v>3997121.1737763863</v>
      </c>
    </row>
    <row r="52" spans="2:7" ht="14" customHeight="1" x14ac:dyDescent="0.3">
      <c r="B52" s="4" t="s">
        <v>101</v>
      </c>
      <c r="C52" s="5">
        <f>C51*G46</f>
        <v>2608606.2110822434</v>
      </c>
    </row>
    <row r="53" spans="2:7" ht="14" customHeight="1" x14ac:dyDescent="0.3">
      <c r="B53" s="4" t="s">
        <v>102</v>
      </c>
      <c r="C53" s="5">
        <f>C50+C52</f>
        <v>3710293.067502128</v>
      </c>
    </row>
    <row r="54" spans="2:7" ht="14" customHeight="1" x14ac:dyDescent="0.3">
      <c r="B54" s="4" t="s">
        <v>103</v>
      </c>
      <c r="C54" s="5">
        <f>C53-C16</f>
        <v>4078624.067502128</v>
      </c>
    </row>
    <row r="55" spans="2:7" ht="14" customHeight="1" x14ac:dyDescent="0.3">
      <c r="B55" s="4" t="s">
        <v>104</v>
      </c>
      <c r="C55" s="24">
        <f>ROUND(C54*1000000/C15,0)</f>
        <v>1993</v>
      </c>
    </row>
    <row r="57" spans="2:7" ht="14" customHeight="1" x14ac:dyDescent="0.3">
      <c r="B57" s="22" t="s">
        <v>105</v>
      </c>
      <c r="C57" s="23"/>
      <c r="D57" s="23"/>
      <c r="E57" s="23"/>
      <c r="F57" s="23"/>
      <c r="G57" s="23"/>
    </row>
    <row r="58" spans="2:7" ht="14" customHeight="1" x14ac:dyDescent="0.3">
      <c r="B58" s="4" t="s">
        <v>99</v>
      </c>
      <c r="C58" s="5">
        <f>C50</f>
        <v>1101686.8564198844</v>
      </c>
    </row>
    <row r="59" spans="2:7" ht="14" customHeight="1" x14ac:dyDescent="0.3">
      <c r="B59" s="4" t="s">
        <v>106</v>
      </c>
      <c r="C59" s="5">
        <f>G39+G42</f>
        <v>813704.19626445486</v>
      </c>
    </row>
    <row r="60" spans="2:7" ht="14" customHeight="1" x14ac:dyDescent="0.3">
      <c r="B60" s="4" t="s">
        <v>107</v>
      </c>
      <c r="C60" s="5">
        <f>C59*C14</f>
        <v>11635970.006581705</v>
      </c>
    </row>
    <row r="61" spans="2:7" ht="14" customHeight="1" x14ac:dyDescent="0.3">
      <c r="B61" s="4" t="s">
        <v>101</v>
      </c>
      <c r="C61" s="5">
        <f>C60*G46</f>
        <v>7593881.273921526</v>
      </c>
    </row>
    <row r="62" spans="2:7" ht="14" customHeight="1" x14ac:dyDescent="0.3">
      <c r="B62" s="4" t="s">
        <v>102</v>
      </c>
      <c r="C62" s="5">
        <f>C58+C61</f>
        <v>8695568.1303414106</v>
      </c>
    </row>
    <row r="63" spans="2:7" ht="14" customHeight="1" x14ac:dyDescent="0.3">
      <c r="B63" s="4" t="s">
        <v>103</v>
      </c>
      <c r="C63" s="5">
        <f>C62-C16</f>
        <v>9063899.1303414106</v>
      </c>
    </row>
    <row r="64" spans="2:7" ht="14" customHeight="1" x14ac:dyDescent="0.3">
      <c r="B64" s="4" t="s">
        <v>108</v>
      </c>
      <c r="C64" s="24">
        <f>ROUND(C63*1000000/C15,0)</f>
        <v>4429</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0.05</v>
      </c>
      <c r="D69" s="26">
        <v>4.4999999999999998E-2</v>
      </c>
      <c r="E69" s="26">
        <v>0.04</v>
      </c>
      <c r="F69" s="26">
        <v>3.5000000000000003E-2</v>
      </c>
      <c r="G69" s="26">
        <v>0.03</v>
      </c>
    </row>
    <row r="70" spans="2:7" ht="14" customHeight="1" x14ac:dyDescent="0.3">
      <c r="B70" s="4" t="s">
        <v>115</v>
      </c>
      <c r="C70" s="26">
        <v>6.5000000000000002E-2</v>
      </c>
      <c r="D70" s="26">
        <v>5.5E-2</v>
      </c>
      <c r="E70" s="26">
        <v>0.05</v>
      </c>
      <c r="F70" s="26">
        <v>4.4999999999999998E-2</v>
      </c>
      <c r="G70" s="26">
        <v>0.04</v>
      </c>
    </row>
    <row r="71" spans="2:7" ht="14" customHeight="1" x14ac:dyDescent="0.3">
      <c r="B71" s="4" t="s">
        <v>116</v>
      </c>
      <c r="C71" s="26">
        <v>0.05</v>
      </c>
      <c r="D71" s="26">
        <v>4.4999999999999998E-2</v>
      </c>
      <c r="E71" s="26">
        <v>0.04</v>
      </c>
      <c r="F71" s="26">
        <v>3.5000000000000003E-2</v>
      </c>
      <c r="G71" s="26">
        <v>0.03</v>
      </c>
    </row>
    <row r="72" spans="2:7" ht="14" customHeight="1" x14ac:dyDescent="0.3">
      <c r="B72" s="4" t="s">
        <v>117</v>
      </c>
      <c r="C72" s="26">
        <v>0.01</v>
      </c>
      <c r="D72" s="26">
        <v>0.01</v>
      </c>
      <c r="E72" s="26">
        <v>0.01</v>
      </c>
      <c r="F72" s="26">
        <v>0.01</v>
      </c>
      <c r="G72" s="26">
        <v>0.01</v>
      </c>
    </row>
    <row r="73" spans="2:7" ht="14" customHeight="1" x14ac:dyDescent="0.3">
      <c r="B73" s="4" t="s">
        <v>118</v>
      </c>
      <c r="C73" s="26">
        <v>-0.08</v>
      </c>
      <c r="D73" s="26">
        <v>-0.01</v>
      </c>
      <c r="E73" s="26">
        <v>5.0000000000000001E-3</v>
      </c>
      <c r="F73" s="26">
        <v>0.01</v>
      </c>
      <c r="G73" s="26">
        <v>1.4999999999999999E-2</v>
      </c>
    </row>
    <row r="75" spans="2:7" ht="14" customHeight="1" x14ac:dyDescent="0.3">
      <c r="B75" s="3" t="s">
        <v>85</v>
      </c>
    </row>
    <row r="76" spans="2:7" ht="14" customHeight="1" x14ac:dyDescent="0.3">
      <c r="B76" s="4" t="s">
        <v>78</v>
      </c>
      <c r="C76" s="26">
        <v>0.67900000000000005</v>
      </c>
      <c r="D76" s="26">
        <v>0.67900000000000005</v>
      </c>
      <c r="E76" s="26">
        <v>0.67900000000000005</v>
      </c>
      <c r="F76" s="26">
        <v>0.67900000000000005</v>
      </c>
      <c r="G76" s="26">
        <v>0.67900000000000005</v>
      </c>
    </row>
    <row r="77" spans="2:7" ht="14" customHeight="1" x14ac:dyDescent="0.3">
      <c r="B77" s="4" t="s">
        <v>115</v>
      </c>
      <c r="C77" s="26">
        <v>0.67300000000000004</v>
      </c>
      <c r="D77" s="26">
        <v>0.67300000000000004</v>
      </c>
      <c r="E77" s="26">
        <v>0.67300000000000004</v>
      </c>
      <c r="F77" s="26">
        <v>0.67300000000000004</v>
      </c>
      <c r="G77" s="26">
        <v>0.67300000000000004</v>
      </c>
    </row>
    <row r="78" spans="2:7" ht="14" customHeight="1" x14ac:dyDescent="0.3">
      <c r="B78" s="4" t="s">
        <v>116</v>
      </c>
      <c r="C78" s="26">
        <v>0.67900000000000005</v>
      </c>
      <c r="D78" s="26">
        <v>0.67900000000000005</v>
      </c>
      <c r="E78" s="26">
        <v>0.67900000000000005</v>
      </c>
      <c r="F78" s="26">
        <v>0.67900000000000005</v>
      </c>
      <c r="G78" s="26">
        <v>0.67900000000000005</v>
      </c>
    </row>
    <row r="79" spans="2:7" ht="14" customHeight="1" x14ac:dyDescent="0.3">
      <c r="B79" s="4" t="s">
        <v>117</v>
      </c>
      <c r="C79" s="26">
        <v>0.68799999999999994</v>
      </c>
      <c r="D79" s="26">
        <v>0.68799999999999994</v>
      </c>
      <c r="E79" s="26">
        <v>0.68799999999999994</v>
      </c>
      <c r="F79" s="26">
        <v>0.68799999999999994</v>
      </c>
      <c r="G79" s="26">
        <v>0.68799999999999994</v>
      </c>
    </row>
    <row r="80" spans="2:7" ht="14" customHeight="1" x14ac:dyDescent="0.3">
      <c r="B80" s="4" t="s">
        <v>118</v>
      </c>
      <c r="C80" s="26">
        <v>0.7</v>
      </c>
      <c r="D80" s="26">
        <v>0.7</v>
      </c>
      <c r="E80" s="26">
        <v>0.7</v>
      </c>
      <c r="F80" s="26">
        <v>0.7</v>
      </c>
      <c r="G80" s="26">
        <v>0.7</v>
      </c>
    </row>
    <row r="82" spans="2:7" ht="14" customHeight="1" x14ac:dyDescent="0.3">
      <c r="B82" s="3" t="s">
        <v>86</v>
      </c>
    </row>
    <row r="83" spans="2:7" ht="14" customHeight="1" x14ac:dyDescent="0.3">
      <c r="B83" s="4" t="s">
        <v>78</v>
      </c>
      <c r="C83" s="26">
        <v>0.247529</v>
      </c>
      <c r="D83" s="26">
        <v>0.247529</v>
      </c>
      <c r="E83" s="26">
        <v>0.247529</v>
      </c>
      <c r="F83" s="26">
        <v>0.247529</v>
      </c>
      <c r="G83" s="26">
        <v>0.247529</v>
      </c>
    </row>
    <row r="84" spans="2:7" ht="14" customHeight="1" x14ac:dyDescent="0.3">
      <c r="B84" s="4" t="s">
        <v>115</v>
      </c>
      <c r="C84" s="26">
        <v>0.251</v>
      </c>
      <c r="D84" s="26">
        <v>0.249</v>
      </c>
      <c r="E84" s="26">
        <v>0.247</v>
      </c>
      <c r="F84" s="26">
        <v>0.245</v>
      </c>
      <c r="G84" s="26">
        <v>0.24349999999999999</v>
      </c>
    </row>
    <row r="85" spans="2:7" ht="14" customHeight="1" x14ac:dyDescent="0.3">
      <c r="B85" s="4" t="s">
        <v>116</v>
      </c>
      <c r="C85" s="26">
        <v>0.247529</v>
      </c>
      <c r="D85" s="26">
        <v>0.247529</v>
      </c>
      <c r="E85" s="26">
        <v>0.247529</v>
      </c>
      <c r="F85" s="26">
        <v>0.247529</v>
      </c>
      <c r="G85" s="26">
        <v>0.247529</v>
      </c>
    </row>
    <row r="86" spans="2:7" ht="14" customHeight="1" x14ac:dyDescent="0.3">
      <c r="B86" s="4" t="s">
        <v>117</v>
      </c>
      <c r="C86" s="26">
        <v>0.24199999999999999</v>
      </c>
      <c r="D86" s="26">
        <v>0.246</v>
      </c>
      <c r="E86" s="26">
        <v>0.249</v>
      </c>
      <c r="F86" s="26">
        <v>0.251</v>
      </c>
      <c r="G86" s="26">
        <v>0.252</v>
      </c>
    </row>
    <row r="87" spans="2:7" ht="14" customHeight="1" x14ac:dyDescent="0.3">
      <c r="B87" s="4" t="s">
        <v>118</v>
      </c>
      <c r="C87" s="26">
        <v>0.24199999999999999</v>
      </c>
      <c r="D87" s="26">
        <v>0.247</v>
      </c>
      <c r="E87" s="26">
        <v>0.247</v>
      </c>
      <c r="F87" s="26">
        <v>0.245</v>
      </c>
      <c r="G87" s="26">
        <v>0.24199999999999999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5248</v>
      </c>
    </row>
    <row r="7" spans="2:9" ht="14" customHeight="1" x14ac:dyDescent="0.3">
      <c r="B7" s="4" t="s">
        <v>66</v>
      </c>
      <c r="C7" s="15">
        <f>'DCF Model'!C15</f>
        <v>2046435776</v>
      </c>
    </row>
    <row r="8" spans="2:9" ht="14" customHeight="1" x14ac:dyDescent="0.3">
      <c r="B8" s="4" t="s">
        <v>123</v>
      </c>
      <c r="C8" s="5">
        <f>C6*C7/1000000</f>
        <v>10739694.952447999</v>
      </c>
    </row>
    <row r="9" spans="2:9" ht="14" customHeight="1" x14ac:dyDescent="0.3">
      <c r="B9" s="4" t="s">
        <v>67</v>
      </c>
      <c r="C9" s="5">
        <f>'DCF Model'!C16</f>
        <v>-368331</v>
      </c>
    </row>
    <row r="10" spans="2:9" ht="14" customHeight="1" x14ac:dyDescent="0.3">
      <c r="B10" s="4" t="s">
        <v>124</v>
      </c>
      <c r="C10" s="5">
        <f>C8+C9</f>
        <v>10371363.952447999</v>
      </c>
    </row>
    <row r="11" spans="2:9" ht="14" customHeight="1" x14ac:dyDescent="0.3">
      <c r="B11" s="4" t="s">
        <v>125</v>
      </c>
      <c r="C11" s="16">
        <f>'DCF Model'!C26</f>
        <v>8.9099999999999999E-2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433095</v>
      </c>
    </row>
    <row r="15" spans="2:9" ht="14" customHeight="1" x14ac:dyDescent="0.3">
      <c r="B15" s="4" t="s">
        <v>129</v>
      </c>
      <c r="C15" s="27">
        <v>433095</v>
      </c>
    </row>
    <row r="16" spans="2:9" ht="14" customHeight="1" x14ac:dyDescent="0.3">
      <c r="B16" s="4" t="s">
        <v>130</v>
      </c>
      <c r="C16" s="5">
        <f>'DCF Model'!G33</f>
        <v>7171032.2132038595</v>
      </c>
    </row>
    <row r="17" spans="2:9" ht="14" customHeight="1" x14ac:dyDescent="0.3">
      <c r="B17" s="4" t="s">
        <v>131</v>
      </c>
      <c r="C17" s="5">
        <f>'DCF Model'!C53</f>
        <v>3710293.067502128</v>
      </c>
    </row>
    <row r="18" spans="2:9" ht="14" customHeight="1" x14ac:dyDescent="0.3">
      <c r="B18" s="4" t="s">
        <v>132</v>
      </c>
      <c r="C18" s="26">
        <v>7.3471346607411656E-2</v>
      </c>
    </row>
    <row r="19" spans="2:9" ht="14" customHeight="1" x14ac:dyDescent="0.3">
      <c r="B19" s="4" t="s">
        <v>133</v>
      </c>
      <c r="C19" s="5">
        <f>C10-C17</f>
        <v>6661070.8849458713</v>
      </c>
    </row>
    <row r="20" spans="2:9" ht="14" customHeight="1" x14ac:dyDescent="0.3">
      <c r="B20" s="4" t="s">
        <v>134</v>
      </c>
      <c r="C20" s="15">
        <f>IFERROR(ROUND(C19*1000000/C7,0),"N/A")</f>
        <v>3255</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820374.8886386368</v>
      </c>
    </row>
    <row r="25" spans="2:9" ht="14" customHeight="1" x14ac:dyDescent="0.3">
      <c r="B25" s="4" t="s">
        <v>138</v>
      </c>
      <c r="C25" s="5">
        <f>IFERROR(C24/(1-C13),"N/A")</f>
        <v>1093833.1848515158</v>
      </c>
    </row>
    <row r="26" spans="2:9" ht="13.5" customHeight="1" x14ac:dyDescent="0.25">
      <c r="B26" s="6" t="s">
        <v>139</v>
      </c>
      <c r="C26" s="14">
        <f>IFERROR(C25/C15,"N/A")</f>
        <v>2.5256195173149445</v>
      </c>
    </row>
    <row r="27" spans="2:9" ht="13.5" customHeight="1" x14ac:dyDescent="0.25">
      <c r="B27" s="6" t="s">
        <v>140</v>
      </c>
      <c r="C27" s="14">
        <f>IFERROR(C25/C14,"N/A")</f>
        <v>2.5256195173149445</v>
      </c>
    </row>
    <row r="28" spans="2:9" ht="13.5" customHeight="1" x14ac:dyDescent="0.25">
      <c r="B28" s="6" t="s">
        <v>141</v>
      </c>
      <c r="C28" s="7">
        <f>IFERROR(C25/C16,"N/A")</f>
        <v>0.15253497018706255</v>
      </c>
    </row>
    <row r="29" spans="2:9" ht="13.5" customHeight="1" x14ac:dyDescent="0.25">
      <c r="B29" s="6" t="s">
        <v>142</v>
      </c>
      <c r="C29" s="5">
        <f>IFERROR(C25/C18,"N/A")</f>
        <v>14887888.072833715</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6.9099999999999995E-2</v>
      </c>
      <c r="E36" s="29">
        <f>'DCF Model'!C26-0.01</f>
        <v>7.9100000000000004E-2</v>
      </c>
      <c r="F36" s="29">
        <f>'DCF Model'!C26</f>
        <v>8.9099999999999999E-2</v>
      </c>
      <c r="G36" s="29">
        <f>'DCF Model'!C26+0.01</f>
        <v>9.9099999999999994E-2</v>
      </c>
      <c r="H36" s="29">
        <f>'DCF Model'!C26+0.02</f>
        <v>0.1091</v>
      </c>
    </row>
    <row r="37" spans="2:9" ht="14" customHeight="1" x14ac:dyDescent="0.3">
      <c r="B37" s="3" t="s">
        <v>148</v>
      </c>
    </row>
    <row r="38" spans="2:9" ht="14" customHeight="1" x14ac:dyDescent="0.3">
      <c r="B38" s="4" t="s">
        <v>149</v>
      </c>
      <c r="C38" s="30">
        <v>3</v>
      </c>
      <c r="D38" s="13">
        <f t="shared" ref="D38:H41" si="0">IFERROR((1-(1+D$36)^(-$C38))/D$36-(1+D$36)/(D$36^2*$C38)*(1-($C38+1)/(1+D$36)^$C38+$C38/(1+D$36)^($C38+1)),"N/A")</f>
        <v>0.91521410403320846</v>
      </c>
      <c r="E38" s="13">
        <f t="shared" si="0"/>
        <v>0.90405528508468236</v>
      </c>
      <c r="F38" s="13">
        <f t="shared" si="0"/>
        <v>0.89315010272701878</v>
      </c>
      <c r="G38" s="13">
        <f t="shared" si="0"/>
        <v>0.88249031626091012</v>
      </c>
      <c r="H38" s="13">
        <f t="shared" si="0"/>
        <v>0.87206802928393379</v>
      </c>
    </row>
    <row r="39" spans="2:9" ht="14" customHeight="1" x14ac:dyDescent="0.3">
      <c r="B39" s="4" t="s">
        <v>150</v>
      </c>
      <c r="C39" s="30">
        <v>5</v>
      </c>
      <c r="D39" s="13">
        <f t="shared" si="0"/>
        <v>1.7536768482412453</v>
      </c>
      <c r="E39" s="13">
        <f t="shared" si="0"/>
        <v>1.7224453099731738</v>
      </c>
      <c r="F39" s="13">
        <f t="shared" si="0"/>
        <v>1.6921881694742011</v>
      </c>
      <c r="G39" s="13">
        <f t="shared" si="0"/>
        <v>1.6628638953302075</v>
      </c>
      <c r="H39" s="13">
        <f t="shared" si="0"/>
        <v>1.6344331556891252</v>
      </c>
    </row>
    <row r="40" spans="2:9" ht="14" customHeight="1" x14ac:dyDescent="0.3">
      <c r="B40" s="4" t="s">
        <v>151</v>
      </c>
      <c r="C40" s="30">
        <v>7</v>
      </c>
      <c r="D40" s="13">
        <f t="shared" si="0"/>
        <v>2.5226133050381683</v>
      </c>
      <c r="E40" s="13">
        <f t="shared" si="0"/>
        <v>2.4642791603243936</v>
      </c>
      <c r="F40" s="13">
        <f t="shared" si="0"/>
        <v>2.4082390789815893</v>
      </c>
      <c r="G40" s="13">
        <f t="shared" si="0"/>
        <v>2.3543728139975388</v>
      </c>
      <c r="H40" s="13">
        <f t="shared" si="0"/>
        <v>2.3025677920421224</v>
      </c>
    </row>
    <row r="41" spans="2:9" ht="14" customHeight="1" x14ac:dyDescent="0.3">
      <c r="B41" s="4" t="s">
        <v>152</v>
      </c>
      <c r="C41" s="30">
        <v>10</v>
      </c>
      <c r="D41" s="13">
        <f t="shared" si="0"/>
        <v>3.5596964596687428</v>
      </c>
      <c r="E41" s="13">
        <f t="shared" si="0"/>
        <v>3.4509041356805352</v>
      </c>
      <c r="F41" s="13">
        <f t="shared" si="0"/>
        <v>3.3476487722493364</v>
      </c>
      <c r="G41" s="13">
        <f t="shared" si="0"/>
        <v>3.2495622350934776</v>
      </c>
      <c r="H41" s="13">
        <f t="shared" si="0"/>
        <v>3.1563056552251738</v>
      </c>
    </row>
    <row r="42" spans="2:9" ht="14" customHeight="1" x14ac:dyDescent="0.3">
      <c r="B42" s="3" t="s">
        <v>153</v>
      </c>
    </row>
    <row r="43" spans="2:9" ht="14" customHeight="1" x14ac:dyDescent="0.3">
      <c r="B43" s="4" t="s">
        <v>149</v>
      </c>
      <c r="C43" s="30">
        <v>3</v>
      </c>
      <c r="D43" s="13">
        <f t="shared" ref="D43:H46" si="1">IFERROR((1+D$36)/(D$36^2*$C43)*(1-($C43+1)/(1+D$36)^$C43+$C43/(1+D$36)^($C43+1))+(1+$C$12)/((D$36-$C$12)*(1+D$36)^$C43),"N/A")</f>
        <v>15.698952373761394</v>
      </c>
      <c r="E43" s="13">
        <f t="shared" si="1"/>
        <v>13.309335788598469</v>
      </c>
      <c r="F43" s="13">
        <f t="shared" si="1"/>
        <v>11.526412352703945</v>
      </c>
      <c r="G43" s="13">
        <f t="shared" si="1"/>
        <v>10.145833406637447</v>
      </c>
      <c r="H43" s="13">
        <f t="shared" si="1"/>
        <v>9.0457349844380257</v>
      </c>
    </row>
    <row r="44" spans="2:9" ht="14" customHeight="1" x14ac:dyDescent="0.3">
      <c r="B44" s="4" t="s">
        <v>150</v>
      </c>
      <c r="C44" s="30">
        <v>5</v>
      </c>
      <c r="D44" s="13">
        <f t="shared" si="1"/>
        <v>14.592498338064569</v>
      </c>
      <c r="E44" s="13">
        <f t="shared" si="1"/>
        <v>12.269049208130209</v>
      </c>
      <c r="F44" s="13">
        <f t="shared" si="1"/>
        <v>10.539653781158007</v>
      </c>
      <c r="G44" s="13">
        <f t="shared" si="1"/>
        <v>9.2040215210711533</v>
      </c>
      <c r="H44" s="13">
        <f t="shared" si="1"/>
        <v>8.1427195472804428</v>
      </c>
    </row>
    <row r="45" spans="2:9" ht="14" customHeight="1" x14ac:dyDescent="0.3">
      <c r="B45" s="4" t="s">
        <v>151</v>
      </c>
      <c r="C45" s="30">
        <v>7</v>
      </c>
      <c r="D45" s="13">
        <f t="shared" si="1"/>
        <v>13.589093641771809</v>
      </c>
      <c r="E45" s="13">
        <f t="shared" si="1"/>
        <v>11.336657362261947</v>
      </c>
      <c r="F45" s="13">
        <f t="shared" si="1"/>
        <v>9.6653410365128263</v>
      </c>
      <c r="G45" s="13">
        <f t="shared" si="1"/>
        <v>8.3788739223739643</v>
      </c>
      <c r="H45" s="13">
        <f t="shared" si="1"/>
        <v>7.360244621962174</v>
      </c>
    </row>
    <row r="46" spans="2:9" ht="14" customHeight="1" x14ac:dyDescent="0.3">
      <c r="B46" s="4" t="s">
        <v>152</v>
      </c>
      <c r="C46" s="30">
        <v>10</v>
      </c>
      <c r="D46" s="13">
        <f t="shared" si="1"/>
        <v>12.254136070556488</v>
      </c>
      <c r="E46" s="13">
        <f t="shared" si="1"/>
        <v>10.113446829778697</v>
      </c>
      <c r="F46" s="13">
        <f t="shared" si="1"/>
        <v>8.5338626128422117</v>
      </c>
      <c r="G46" s="13">
        <f t="shared" si="1"/>
        <v>7.3251084916155733</v>
      </c>
      <c r="H46" s="13">
        <f t="shared" si="1"/>
        <v>6.3738184083319052</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855605.53964061325</v>
      </c>
      <c r="E48" s="5">
        <f t="shared" si="2"/>
        <v>1009587.8306525081</v>
      </c>
      <c r="F48" s="5">
        <f t="shared" si="2"/>
        <v>1166162.2033708408</v>
      </c>
      <c r="G48" s="5">
        <f t="shared" si="2"/>
        <v>1325300.996723742</v>
      </c>
      <c r="H48" s="5">
        <f t="shared" si="2"/>
        <v>1486976.6790568412</v>
      </c>
    </row>
    <row r="49" spans="2:9" ht="14" customHeight="1" x14ac:dyDescent="0.3">
      <c r="B49" s="4" t="s">
        <v>150</v>
      </c>
      <c r="C49" s="30">
        <v>5</v>
      </c>
      <c r="D49" s="5">
        <f t="shared" si="2"/>
        <v>895595.55139719741</v>
      </c>
      <c r="E49" s="5">
        <f t="shared" si="2"/>
        <v>1066301.2753864075</v>
      </c>
      <c r="F49" s="5">
        <f t="shared" si="2"/>
        <v>1242508.2746155828</v>
      </c>
      <c r="G49" s="5">
        <f t="shared" si="2"/>
        <v>1424193.4573026835</v>
      </c>
      <c r="H49" s="5">
        <f t="shared" si="2"/>
        <v>1611331.4926521806</v>
      </c>
    </row>
    <row r="50" spans="2:9" ht="14" customHeight="1" x14ac:dyDescent="0.3">
      <c r="B50" s="4" t="s">
        <v>151</v>
      </c>
      <c r="C50" s="30">
        <v>7</v>
      </c>
      <c r="D50" s="5">
        <f t="shared" si="2"/>
        <v>937218.80180704873</v>
      </c>
      <c r="E50" s="5">
        <f t="shared" si="2"/>
        <v>1125659.6966112938</v>
      </c>
      <c r="F50" s="5">
        <f t="shared" si="2"/>
        <v>1322818.1931417943</v>
      </c>
      <c r="G50" s="5">
        <f t="shared" si="2"/>
        <v>1528704.0113885989</v>
      </c>
      <c r="H50" s="5">
        <f t="shared" si="2"/>
        <v>1743319.0513463516</v>
      </c>
    </row>
    <row r="51" spans="2:9" ht="14" customHeight="1" x14ac:dyDescent="0.3">
      <c r="B51" s="4" t="s">
        <v>152</v>
      </c>
      <c r="C51" s="30">
        <v>10</v>
      </c>
      <c r="D51" s="5">
        <f t="shared" si="2"/>
        <v>1002665.4234118082</v>
      </c>
      <c r="E51" s="5">
        <f t="shared" si="2"/>
        <v>1219556.1168098806</v>
      </c>
      <c r="F51" s="5">
        <f t="shared" si="2"/>
        <v>1450531.3580142839</v>
      </c>
      <c r="G51" s="5">
        <f t="shared" si="2"/>
        <v>1695690.3952945201</v>
      </c>
      <c r="H51" s="5">
        <f t="shared" si="2"/>
        <v>1955108.2685209769</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1.9755608807319716</v>
      </c>
      <c r="E53" s="14">
        <f t="shared" si="3"/>
        <v>2.3311001758332655</v>
      </c>
      <c r="F53" s="14">
        <f t="shared" si="3"/>
        <v>2.692624489709742</v>
      </c>
      <c r="G53" s="14">
        <f t="shared" si="3"/>
        <v>3.0600699539910226</v>
      </c>
      <c r="H53" s="14">
        <f t="shared" si="3"/>
        <v>3.4333729991268456</v>
      </c>
    </row>
    <row r="54" spans="2:9" ht="14" customHeight="1" x14ac:dyDescent="0.3">
      <c r="B54" s="4" t="s">
        <v>150</v>
      </c>
      <c r="C54" s="30">
        <v>5</v>
      </c>
      <c r="D54" s="14">
        <f t="shared" si="3"/>
        <v>2.067896307732016</v>
      </c>
      <c r="E54" s="14">
        <f t="shared" si="3"/>
        <v>2.4620493780496369</v>
      </c>
      <c r="F54" s="14">
        <f t="shared" si="3"/>
        <v>2.868904685151255</v>
      </c>
      <c r="G54" s="14">
        <f t="shared" si="3"/>
        <v>3.288408910984157</v>
      </c>
      <c r="H54" s="14">
        <f t="shared" si="3"/>
        <v>3.7205035676980351</v>
      </c>
    </row>
    <row r="55" spans="2:9" ht="14" customHeight="1" x14ac:dyDescent="0.3">
      <c r="B55" s="4" t="s">
        <v>151</v>
      </c>
      <c r="C55" s="30">
        <v>7</v>
      </c>
      <c r="D55" s="14">
        <f t="shared" si="3"/>
        <v>2.1640028211063362</v>
      </c>
      <c r="E55" s="14">
        <f t="shared" si="3"/>
        <v>2.5991057311012451</v>
      </c>
      <c r="F55" s="14">
        <f t="shared" si="3"/>
        <v>3.0543372542786091</v>
      </c>
      <c r="G55" s="14">
        <f t="shared" si="3"/>
        <v>3.5297198337283944</v>
      </c>
      <c r="H55" s="14">
        <f t="shared" si="3"/>
        <v>4.0252578564664834</v>
      </c>
    </row>
    <row r="56" spans="2:9" ht="14" customHeight="1" x14ac:dyDescent="0.3">
      <c r="B56" s="4" t="s">
        <v>152</v>
      </c>
      <c r="C56" s="30">
        <v>10</v>
      </c>
      <c r="D56" s="14">
        <f t="shared" si="3"/>
        <v>2.3151165989258895</v>
      </c>
      <c r="E56" s="14">
        <f t="shared" si="3"/>
        <v>2.815909019522</v>
      </c>
      <c r="F56" s="14">
        <f t="shared" si="3"/>
        <v>3.3492221291270599</v>
      </c>
      <c r="G56" s="14">
        <f t="shared" si="3"/>
        <v>3.9152850882474284</v>
      </c>
      <c r="H56" s="14">
        <f t="shared" si="3"/>
        <v>4.5142711611100959</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1242508.2746155828</v>
      </c>
    </row>
    <row r="62" spans="2:9" ht="14" customHeight="1" x14ac:dyDescent="0.3">
      <c r="B62" s="28" t="s">
        <v>159</v>
      </c>
      <c r="C62" s="28" t="s">
        <v>160</v>
      </c>
      <c r="D62" s="28" t="s">
        <v>161</v>
      </c>
    </row>
    <row r="63" spans="2:9" ht="14" customHeight="1" x14ac:dyDescent="0.3">
      <c r="B63" s="31">
        <v>3.6700000000000003E-2</v>
      </c>
      <c r="C63" s="5">
        <f>IFERROR($C$60/B63,"N/A")</f>
        <v>33855811.297427319</v>
      </c>
      <c r="D63" s="14">
        <f>IFERROR(C63/'DCF Model'!C17,"N/A")</f>
        <v>5.7433866622990468</v>
      </c>
    </row>
    <row r="64" spans="2:9" ht="14" customHeight="1" x14ac:dyDescent="0.3">
      <c r="B64" s="31">
        <v>5.5100000000000003E-2</v>
      </c>
      <c r="C64" s="5">
        <f>IFERROR($C$60/B64,"N/A")</f>
        <v>22550059.430409849</v>
      </c>
      <c r="D64" s="14">
        <f>IFERROR(C64/'DCF Model'!C17,"N/A")</f>
        <v>3.8254499184460076</v>
      </c>
    </row>
    <row r="65" spans="2:9" ht="14" customHeight="1" x14ac:dyDescent="0.3">
      <c r="B65" s="4" t="s">
        <v>162</v>
      </c>
      <c r="C65" s="5">
        <f>IFERROR($C$60/$C$18,"N/A")</f>
        <v>16911467.286081303</v>
      </c>
      <c r="D65" s="14">
        <f>IFERROR(C65/'DCF Model'!C17,"N/A")</f>
        <v>2.8689046851512545</v>
      </c>
    </row>
    <row r="66" spans="2:9" ht="14" customHeight="1" x14ac:dyDescent="0.3">
      <c r="B66" s="31">
        <v>9.1800000000000007E-2</v>
      </c>
      <c r="C66" s="5">
        <f>IFERROR($C$60/B66,"N/A")</f>
        <v>13534948.525224213</v>
      </c>
      <c r="D66" s="14">
        <f>IFERROR(C66/'DCF Model'!C17,"N/A")</f>
        <v>2.2961033824223862</v>
      </c>
    </row>
    <row r="67" spans="2:9" ht="14" customHeight="1" x14ac:dyDescent="0.3">
      <c r="B67" s="31">
        <v>0.11020000000000001</v>
      </c>
      <c r="C67" s="5">
        <f>IFERROR($C$60/B67,"N/A")</f>
        <v>11275029.715204924</v>
      </c>
      <c r="D67" s="14">
        <f>IFERROR(C67/'DCF Model'!C17,"N/A")</f>
        <v>1.9127249592230038</v>
      </c>
    </row>
    <row r="69" spans="2:9" ht="14" customHeight="1" x14ac:dyDescent="0.3">
      <c r="B69" s="8" t="s">
        <v>163</v>
      </c>
      <c r="C69" s="9"/>
      <c r="D69" s="9"/>
      <c r="E69" s="9"/>
      <c r="F69" s="9"/>
      <c r="G69" s="9"/>
      <c r="H69" s="9"/>
      <c r="I69" s="9"/>
    </row>
    <row r="70" spans="2:9" ht="13.5" customHeight="1" x14ac:dyDescent="0.25">
      <c r="B70" s="6" t="s">
        <v>164</v>
      </c>
      <c r="C70" s="14">
        <f>IFERROR(C10/'Comps Analysis'!G5,"N/A")</f>
        <v>15.552092587182981</v>
      </c>
    </row>
    <row r="71" spans="2:9" ht="13.5" customHeight="1" x14ac:dyDescent="0.25">
      <c r="B71" s="6" t="s">
        <v>165</v>
      </c>
      <c r="C71" s="14">
        <f>IFERROR(C10/'Comps Analysis'!F5,"N/A")</f>
        <v>1.759424781495796</v>
      </c>
    </row>
    <row r="72" spans="2:9" ht="14" customHeight="1" x14ac:dyDescent="0.3">
      <c r="B72" s="4" t="s">
        <v>166</v>
      </c>
      <c r="C72" s="14">
        <f>IFERROR(C10/(C25+'DCF Model'!G42),"N/A")</f>
        <v>7.5118097367734773</v>
      </c>
    </row>
    <row r="73" spans="2:9" ht="14" customHeight="1" x14ac:dyDescent="0.3">
      <c r="B73" s="4" t="s">
        <v>167</v>
      </c>
      <c r="C73" s="14">
        <f>IFERROR(C10/(C60+'DCF Model'!G42),"N/A")</f>
        <v>6.7815522378863999</v>
      </c>
    </row>
    <row r="74" spans="2:9" ht="14" customHeight="1" x14ac:dyDescent="0.3">
      <c r="B74" s="4" t="s">
        <v>168</v>
      </c>
      <c r="C74" s="14">
        <f>IFERROR('Comps Analysis'!D16,"N/A")</f>
        <v>14.333259113904496</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5,248 yen the market is paying for a steady-state operating profit of 1,242,508 mn JPY - 2.87x the FY2026 cycle peak of 433,095 mn - reached in 5 years and sustained for ever, against 433,095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1,093,833 mn, or 2.53x the peak. The base case supports an EV of only 3,710,293 mn, leaving 3,255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80.296263775188322</v>
      </c>
      <c r="D5" s="34">
        <f>CHOOSE('DCF Model'!$D$27,D25,D26,D27,D28,D29)</f>
        <v>77</v>
      </c>
      <c r="E5" s="34">
        <f>CHOOSE('DCF Model'!$D$27,E25,E26,E27,E28,E29)</f>
        <v>77</v>
      </c>
      <c r="F5" s="34">
        <f>CHOOSE('DCF Model'!$D$27,F25,F26,F27,F28,F29)</f>
        <v>77</v>
      </c>
      <c r="G5" s="34">
        <f>CHOOSE('DCF Model'!$D$27,G25,G26,G27,G28,G29)</f>
        <v>77</v>
      </c>
      <c r="H5" s="34">
        <f>CHOOSE('DCF Model'!$D$27,H25,H26,H27,H28,H29)</f>
        <v>77</v>
      </c>
    </row>
    <row r="6" spans="2:8" ht="14" customHeight="1" x14ac:dyDescent="0.3">
      <c r="B6" s="33" t="s">
        <v>175</v>
      </c>
      <c r="C6" s="34">
        <f>C13/C10*365</f>
        <v>115.01852069621638</v>
      </c>
      <c r="D6" s="34">
        <f>CHOOSE('DCF Model'!$D$27,D32,D33,D34,D35,D36)</f>
        <v>120</v>
      </c>
      <c r="E6" s="34">
        <f>CHOOSE('DCF Model'!$D$27,E32,E33,E34,E35,E36)</f>
        <v>120</v>
      </c>
      <c r="F6" s="34">
        <f>CHOOSE('DCF Model'!$D$27,F32,F33,F34,F35,F36)</f>
        <v>120</v>
      </c>
      <c r="G6" s="34">
        <f>CHOOSE('DCF Model'!$D$27,G32,G33,G34,G35,G36)</f>
        <v>120</v>
      </c>
      <c r="H6" s="34">
        <f>CHOOSE('DCF Model'!$D$27,H32,H33,H34,H35,H36)</f>
        <v>120</v>
      </c>
    </row>
    <row r="7" spans="2:8" ht="14" customHeight="1" x14ac:dyDescent="0.3">
      <c r="B7" s="33" t="s">
        <v>176</v>
      </c>
      <c r="C7" s="34">
        <f>C15/C10*365</f>
        <v>53.950845502988706</v>
      </c>
      <c r="D7" s="34">
        <f>CHOOSE('DCF Model'!$D$27,D39,D40,D41,D42,D43)</f>
        <v>59</v>
      </c>
      <c r="E7" s="34">
        <f>CHOOSE('DCF Model'!$D$27,E39,E40,E41,E42,E43)</f>
        <v>59</v>
      </c>
      <c r="F7" s="34">
        <f>CHOOSE('DCF Model'!$D$27,F39,F40,F41,F42,F43)</f>
        <v>59</v>
      </c>
      <c r="G7" s="34">
        <f>CHOOSE('DCF Model'!$D$27,G39,G40,G41,G42,G43)</f>
        <v>59</v>
      </c>
      <c r="H7" s="34">
        <f>CHOOSE('DCF Model'!$D$27,H39,H40,H41,H42,H43)</f>
        <v>59</v>
      </c>
    </row>
    <row r="8" spans="2:8" ht="14" customHeight="1" x14ac:dyDescent="0.3">
      <c r="B8" s="8" t="s">
        <v>177</v>
      </c>
      <c r="C8" s="9"/>
      <c r="D8" s="9"/>
      <c r="E8" s="9"/>
      <c r="F8" s="9"/>
      <c r="G8" s="9"/>
      <c r="H8" s="9"/>
    </row>
    <row r="9" spans="2:8" ht="14" customHeight="1" x14ac:dyDescent="0.3">
      <c r="B9" s="33" t="s">
        <v>32</v>
      </c>
      <c r="C9" s="35">
        <v>5894747</v>
      </c>
      <c r="D9" s="35">
        <f>'DCF Model'!C33</f>
        <v>6189484.3500000006</v>
      </c>
      <c r="E9" s="35">
        <f>'DCF Model'!D33</f>
        <v>6468011.1457500001</v>
      </c>
      <c r="F9" s="35">
        <f>'DCF Model'!E33</f>
        <v>6726731.5915800007</v>
      </c>
      <c r="G9" s="35">
        <f>'DCF Model'!F33</f>
        <v>6962167.1972853001</v>
      </c>
      <c r="H9" s="35">
        <f>'DCF Model'!G33</f>
        <v>7171032.2132038595</v>
      </c>
    </row>
    <row r="10" spans="2:8" ht="14" customHeight="1" x14ac:dyDescent="0.3">
      <c r="B10" s="33" t="s">
        <v>33</v>
      </c>
      <c r="C10" s="35">
        <v>4005249</v>
      </c>
      <c r="D10" s="35">
        <f>'DCF Model'!C34</f>
        <v>4202659.8736500004</v>
      </c>
      <c r="E10" s="35">
        <f>'DCF Model'!D34</f>
        <v>4391779.5679642502</v>
      </c>
      <c r="F10" s="35">
        <f>'DCF Model'!E34</f>
        <v>4567450.7506828206</v>
      </c>
      <c r="G10" s="35">
        <f>'DCF Model'!F34</f>
        <v>4727311.5269567193</v>
      </c>
      <c r="H10" s="35">
        <f>'DCF Model'!G34</f>
        <v>4869130.8727654209</v>
      </c>
    </row>
    <row r="11" spans="2:8" ht="14" customHeight="1" x14ac:dyDescent="0.3">
      <c r="B11" s="8" t="s">
        <v>178</v>
      </c>
      <c r="C11" s="9"/>
      <c r="D11" s="9"/>
      <c r="E11" s="9"/>
      <c r="F11" s="9"/>
      <c r="G11" s="9"/>
      <c r="H11" s="9"/>
    </row>
    <row r="12" spans="2:8" ht="14" customHeight="1" x14ac:dyDescent="0.3">
      <c r="B12" s="33" t="s">
        <v>179</v>
      </c>
      <c r="C12" s="35">
        <v>1296784</v>
      </c>
      <c r="D12" s="35">
        <f t="shared" ref="D12:H13" si="0">D9*D5/365</f>
        <v>1305726.8354794523</v>
      </c>
      <c r="E12" s="35">
        <f t="shared" si="0"/>
        <v>1364484.5430760274</v>
      </c>
      <c r="F12" s="35">
        <f t="shared" si="0"/>
        <v>1419063.9247990686</v>
      </c>
      <c r="G12" s="35">
        <f t="shared" si="0"/>
        <v>1468731.162167036</v>
      </c>
      <c r="H12" s="35">
        <f t="shared" si="0"/>
        <v>1512793.0970320469</v>
      </c>
    </row>
    <row r="13" spans="2:8" ht="14" customHeight="1" x14ac:dyDescent="0.3">
      <c r="B13" s="33" t="s">
        <v>180</v>
      </c>
      <c r="C13" s="35">
        <v>1262131</v>
      </c>
      <c r="D13" s="35">
        <f t="shared" si="0"/>
        <v>1381696.3968164385</v>
      </c>
      <c r="E13" s="35">
        <f t="shared" si="0"/>
        <v>1443872.7346731783</v>
      </c>
      <c r="F13" s="35">
        <f t="shared" si="0"/>
        <v>1501627.6440601056</v>
      </c>
      <c r="G13" s="35">
        <f t="shared" si="0"/>
        <v>1554184.611602209</v>
      </c>
      <c r="H13" s="35">
        <f t="shared" si="0"/>
        <v>1600810.1499502754</v>
      </c>
    </row>
    <row r="14" spans="2:8" ht="14" customHeight="1" x14ac:dyDescent="0.3">
      <c r="B14" s="33" t="s">
        <v>181</v>
      </c>
      <c r="C14" s="35">
        <f t="shared" ref="C14:H14" si="1">C12+C13</f>
        <v>2558915</v>
      </c>
      <c r="D14" s="35">
        <f t="shared" si="1"/>
        <v>2687423.2322958908</v>
      </c>
      <c r="E14" s="35">
        <f t="shared" si="1"/>
        <v>2808357.2777492059</v>
      </c>
      <c r="F14" s="35">
        <f t="shared" si="1"/>
        <v>2920691.5688591739</v>
      </c>
      <c r="G14" s="35">
        <f t="shared" si="1"/>
        <v>3022915.773769245</v>
      </c>
      <c r="H14" s="35">
        <f t="shared" si="1"/>
        <v>3113603.2469823221</v>
      </c>
    </row>
    <row r="15" spans="2:8" ht="14" customHeight="1" x14ac:dyDescent="0.3">
      <c r="B15" s="33" t="s">
        <v>182</v>
      </c>
      <c r="C15" s="35">
        <v>592018</v>
      </c>
      <c r="D15" s="35">
        <f>D10*D7/365</f>
        <v>679334.0617680822</v>
      </c>
      <c r="E15" s="35">
        <f>E10*E7/365</f>
        <v>709904.09454764589</v>
      </c>
      <c r="F15" s="35">
        <f>F10*F7/365</f>
        <v>738300.25832955178</v>
      </c>
      <c r="G15" s="35">
        <f>G10*G7/365</f>
        <v>764140.76737108605</v>
      </c>
      <c r="H15" s="35">
        <f>H10*H7/365</f>
        <v>787064.99039221869</v>
      </c>
    </row>
    <row r="16" spans="2:8" ht="14" customHeight="1" x14ac:dyDescent="0.3">
      <c r="B16" s="33" t="s">
        <v>183</v>
      </c>
      <c r="C16" s="35">
        <f t="shared" ref="C16:H16" si="2">C15</f>
        <v>592018</v>
      </c>
      <c r="D16" s="35">
        <f t="shared" si="2"/>
        <v>679334.0617680822</v>
      </c>
      <c r="E16" s="35">
        <f t="shared" si="2"/>
        <v>709904.09454764589</v>
      </c>
      <c r="F16" s="35">
        <f t="shared" si="2"/>
        <v>738300.25832955178</v>
      </c>
      <c r="G16" s="35">
        <f t="shared" si="2"/>
        <v>764140.76737108605</v>
      </c>
      <c r="H16" s="35">
        <f t="shared" si="2"/>
        <v>787064.99039221869</v>
      </c>
    </row>
    <row r="17" spans="2:8" ht="14" customHeight="1" x14ac:dyDescent="0.3">
      <c r="B17" s="22" t="s">
        <v>184</v>
      </c>
      <c r="C17" s="23"/>
      <c r="D17" s="23"/>
      <c r="E17" s="23"/>
      <c r="F17" s="23"/>
      <c r="G17" s="23"/>
      <c r="H17" s="23"/>
    </row>
    <row r="18" spans="2:8" ht="14" customHeight="1" x14ac:dyDescent="0.3">
      <c r="B18" s="33" t="s">
        <v>185</v>
      </c>
      <c r="C18" s="20">
        <f t="shared" ref="C18:H18" si="3">C14-C16</f>
        <v>1966897</v>
      </c>
      <c r="D18" s="20">
        <f t="shared" si="3"/>
        <v>2008089.1705278086</v>
      </c>
      <c r="E18" s="20">
        <f t="shared" si="3"/>
        <v>2098453.1832015598</v>
      </c>
      <c r="F18" s="20">
        <f t="shared" si="3"/>
        <v>2182391.3105296222</v>
      </c>
      <c r="G18" s="20">
        <f t="shared" si="3"/>
        <v>2258775.0063981591</v>
      </c>
      <c r="H18" s="20">
        <f t="shared" si="3"/>
        <v>2326538.2565901033</v>
      </c>
    </row>
    <row r="19" spans="2:8" ht="14" customHeight="1" x14ac:dyDescent="0.3">
      <c r="B19" s="33" t="s">
        <v>94</v>
      </c>
      <c r="C19" s="36" t="s">
        <v>42</v>
      </c>
      <c r="D19" s="24">
        <f>D18-C18</f>
        <v>41192.170527808601</v>
      </c>
      <c r="E19" s="24">
        <f>E18-D18</f>
        <v>90364.012673751218</v>
      </c>
      <c r="F19" s="24">
        <f>F18-E18</f>
        <v>83938.12732806243</v>
      </c>
      <c r="G19" s="24">
        <f>G18-F18</f>
        <v>76383.69586853683</v>
      </c>
      <c r="H19" s="24">
        <f>H18-G18</f>
        <v>67763.250191944186</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77</v>
      </c>
      <c r="E25" s="30">
        <v>77</v>
      </c>
      <c r="F25" s="30">
        <v>77</v>
      </c>
      <c r="G25" s="30">
        <v>77</v>
      </c>
      <c r="H25" s="30">
        <v>77</v>
      </c>
    </row>
    <row r="26" spans="2:8" ht="14" customHeight="1" x14ac:dyDescent="0.3">
      <c r="B26" s="4" t="s">
        <v>115</v>
      </c>
      <c r="D26" s="30">
        <v>74</v>
      </c>
      <c r="E26" s="30">
        <v>74</v>
      </c>
      <c r="F26" s="30">
        <v>74</v>
      </c>
      <c r="G26" s="30">
        <v>74</v>
      </c>
      <c r="H26" s="30">
        <v>74</v>
      </c>
    </row>
    <row r="27" spans="2:8" ht="14" customHeight="1" x14ac:dyDescent="0.3">
      <c r="B27" s="4" t="s">
        <v>116</v>
      </c>
      <c r="D27" s="30">
        <v>77</v>
      </c>
      <c r="E27" s="30">
        <v>77</v>
      </c>
      <c r="F27" s="30">
        <v>77</v>
      </c>
      <c r="G27" s="30">
        <v>77</v>
      </c>
      <c r="H27" s="30">
        <v>77</v>
      </c>
    </row>
    <row r="28" spans="2:8" ht="14" customHeight="1" x14ac:dyDescent="0.3">
      <c r="B28" s="4" t="s">
        <v>117</v>
      </c>
      <c r="D28" s="30">
        <v>81</v>
      </c>
      <c r="E28" s="30">
        <v>81</v>
      </c>
      <c r="F28" s="30">
        <v>81</v>
      </c>
      <c r="G28" s="30">
        <v>81</v>
      </c>
      <c r="H28" s="30">
        <v>81</v>
      </c>
    </row>
    <row r="29" spans="2:8" ht="14" customHeight="1" x14ac:dyDescent="0.3">
      <c r="B29" s="4" t="s">
        <v>118</v>
      </c>
      <c r="D29" s="30">
        <v>85</v>
      </c>
      <c r="E29" s="30">
        <v>85</v>
      </c>
      <c r="F29" s="30">
        <v>85</v>
      </c>
      <c r="G29" s="30">
        <v>85</v>
      </c>
      <c r="H29" s="30">
        <v>85</v>
      </c>
    </row>
    <row r="31" spans="2:8" ht="14" customHeight="1" x14ac:dyDescent="0.3">
      <c r="B31" s="3" t="s">
        <v>188</v>
      </c>
    </row>
    <row r="32" spans="2:8" ht="14" customHeight="1" x14ac:dyDescent="0.3">
      <c r="B32" s="4" t="s">
        <v>78</v>
      </c>
      <c r="D32" s="30">
        <v>120</v>
      </c>
      <c r="E32" s="30">
        <v>120</v>
      </c>
      <c r="F32" s="30">
        <v>120</v>
      </c>
      <c r="G32" s="30">
        <v>120</v>
      </c>
      <c r="H32" s="30">
        <v>120</v>
      </c>
    </row>
    <row r="33" spans="2:8" ht="14" customHeight="1" x14ac:dyDescent="0.3">
      <c r="B33" s="4" t="s">
        <v>115</v>
      </c>
      <c r="D33" s="30">
        <v>114</v>
      </c>
      <c r="E33" s="30">
        <v>114</v>
      </c>
      <c r="F33" s="30">
        <v>114</v>
      </c>
      <c r="G33" s="30">
        <v>114</v>
      </c>
      <c r="H33" s="30">
        <v>114</v>
      </c>
    </row>
    <row r="34" spans="2:8" ht="14" customHeight="1" x14ac:dyDescent="0.3">
      <c r="B34" s="4" t="s">
        <v>116</v>
      </c>
      <c r="D34" s="30">
        <v>120</v>
      </c>
      <c r="E34" s="30">
        <v>120</v>
      </c>
      <c r="F34" s="30">
        <v>120</v>
      </c>
      <c r="G34" s="30">
        <v>120</v>
      </c>
      <c r="H34" s="30">
        <v>120</v>
      </c>
    </row>
    <row r="35" spans="2:8" ht="14" customHeight="1" x14ac:dyDescent="0.3">
      <c r="B35" s="4" t="s">
        <v>117</v>
      </c>
      <c r="D35" s="30">
        <v>126</v>
      </c>
      <c r="E35" s="30">
        <v>126</v>
      </c>
      <c r="F35" s="30">
        <v>126</v>
      </c>
      <c r="G35" s="30">
        <v>126</v>
      </c>
      <c r="H35" s="30">
        <v>126</v>
      </c>
    </row>
    <row r="36" spans="2:8" ht="14" customHeight="1" x14ac:dyDescent="0.3">
      <c r="B36" s="4" t="s">
        <v>118</v>
      </c>
      <c r="D36" s="30">
        <v>132</v>
      </c>
      <c r="E36" s="30">
        <v>132</v>
      </c>
      <c r="F36" s="30">
        <v>132</v>
      </c>
      <c r="G36" s="30">
        <v>132</v>
      </c>
      <c r="H36" s="30">
        <v>132</v>
      </c>
    </row>
    <row r="38" spans="2:8" ht="14" customHeight="1" x14ac:dyDescent="0.3">
      <c r="B38" s="3" t="s">
        <v>189</v>
      </c>
    </row>
    <row r="39" spans="2:8" ht="14" customHeight="1" x14ac:dyDescent="0.3">
      <c r="B39" s="4" t="s">
        <v>78</v>
      </c>
      <c r="D39" s="30">
        <v>59</v>
      </c>
      <c r="E39" s="30">
        <v>59</v>
      </c>
      <c r="F39" s="30">
        <v>59</v>
      </c>
      <c r="G39" s="30">
        <v>59</v>
      </c>
      <c r="H39" s="30">
        <v>59</v>
      </c>
    </row>
    <row r="40" spans="2:8" ht="14" customHeight="1" x14ac:dyDescent="0.3">
      <c r="B40" s="4" t="s">
        <v>115</v>
      </c>
      <c r="D40" s="30">
        <v>61</v>
      </c>
      <c r="E40" s="30">
        <v>61</v>
      </c>
      <c r="F40" s="30">
        <v>61</v>
      </c>
      <c r="G40" s="30">
        <v>61</v>
      </c>
      <c r="H40" s="30">
        <v>61</v>
      </c>
    </row>
    <row r="41" spans="2:8" ht="14" customHeight="1" x14ac:dyDescent="0.3">
      <c r="B41" s="4" t="s">
        <v>116</v>
      </c>
      <c r="D41" s="30">
        <v>59</v>
      </c>
      <c r="E41" s="30">
        <v>59</v>
      </c>
      <c r="F41" s="30">
        <v>59</v>
      </c>
      <c r="G41" s="30">
        <v>59</v>
      </c>
      <c r="H41" s="30">
        <v>59</v>
      </c>
    </row>
    <row r="42" spans="2:8" ht="14" customHeight="1" x14ac:dyDescent="0.3">
      <c r="B42" s="4" t="s">
        <v>117</v>
      </c>
      <c r="D42" s="30">
        <v>56</v>
      </c>
      <c r="E42" s="30">
        <v>56</v>
      </c>
      <c r="F42" s="30">
        <v>56</v>
      </c>
      <c r="G42" s="30">
        <v>56</v>
      </c>
      <c r="H42" s="30">
        <v>56</v>
      </c>
    </row>
    <row r="43" spans="2:8" ht="14" customHeight="1" x14ac:dyDescent="0.3">
      <c r="B43" s="4" t="s">
        <v>118</v>
      </c>
      <c r="D43" s="30">
        <v>53</v>
      </c>
      <c r="E43" s="30">
        <v>53</v>
      </c>
      <c r="F43" s="30">
        <v>53</v>
      </c>
      <c r="G43" s="30">
        <v>53</v>
      </c>
      <c r="H43" s="30">
        <v>53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10739694.952447999</v>
      </c>
      <c r="E5" s="37">
        <f>D5+C24</f>
        <v>10371363.952447999</v>
      </c>
      <c r="F5" s="37">
        <v>5894747</v>
      </c>
      <c r="G5" s="37">
        <v>666879</v>
      </c>
      <c r="H5" s="37">
        <v>433095</v>
      </c>
      <c r="I5" s="37">
        <v>407758</v>
      </c>
      <c r="J5" s="38">
        <f t="shared" ref="J5:J10" si="0">IFERROR(E5/G5,"")</f>
        <v>15.552092587182981</v>
      </c>
      <c r="K5" s="38">
        <f t="shared" ref="K5:K10" si="1">IFERROR(E5/F5,"")</f>
        <v>1.759424781495796</v>
      </c>
      <c r="L5" s="38">
        <f t="shared" ref="L5:L10" si="2">IFERROR(D5/I5,"")</f>
        <v>26.338404034863814</v>
      </c>
      <c r="M5" s="38">
        <f t="shared" ref="M5:M10" si="3">IFERROR(D5/P5,"")</f>
        <v>2.3949727675494716</v>
      </c>
      <c r="N5" s="39">
        <f t="shared" ref="N5:N10" si="4">IFERROR(H5/F5,"")</f>
        <v>7.3471346607411656E-2</v>
      </c>
      <c r="O5" s="39">
        <f t="shared" ref="O5:O10" si="5">IFERROR(I5/P5,"")</f>
        <v>9.0930823461409294E-2</v>
      </c>
      <c r="P5" s="37">
        <v>4484266</v>
      </c>
    </row>
    <row r="6" spans="2:17" ht="14" customHeight="1" x14ac:dyDescent="0.3">
      <c r="B6" s="4" t="s">
        <v>208</v>
      </c>
      <c r="C6" t="s">
        <v>209</v>
      </c>
      <c r="D6" s="37">
        <v>24068208</v>
      </c>
      <c r="E6" s="37">
        <v>23753765</v>
      </c>
      <c r="F6" s="37">
        <v>10586781</v>
      </c>
      <c r="G6" s="37">
        <v>1657248</v>
      </c>
      <c r="H6" s="37">
        <v>1199275</v>
      </c>
      <c r="I6" s="37">
        <v>802368</v>
      </c>
      <c r="J6" s="38">
        <f t="shared" si="0"/>
        <v>14.333259113904496</v>
      </c>
      <c r="K6" s="38">
        <f t="shared" si="1"/>
        <v>2.2437193137366305</v>
      </c>
      <c r="L6" s="38">
        <f t="shared" si="2"/>
        <v>29.996470447475474</v>
      </c>
      <c r="M6" s="38">
        <f t="shared" si="3"/>
        <v>3.6642594226968672</v>
      </c>
      <c r="N6" s="39">
        <f t="shared" si="4"/>
        <v>0.1132804201768224</v>
      </c>
      <c r="O6" s="39">
        <f t="shared" si="5"/>
        <v>0.12215635266532682</v>
      </c>
      <c r="P6" s="37">
        <v>6568369</v>
      </c>
    </row>
    <row r="7" spans="2:17" ht="14" customHeight="1" x14ac:dyDescent="0.3">
      <c r="B7" s="4" t="s">
        <v>210</v>
      </c>
      <c r="C7" t="s">
        <v>211</v>
      </c>
      <c r="D7" s="37">
        <v>9720293</v>
      </c>
      <c r="E7" s="37">
        <v>10553311</v>
      </c>
      <c r="F7" s="37">
        <v>8048722</v>
      </c>
      <c r="G7" s="37">
        <v>614305</v>
      </c>
      <c r="H7" s="37">
        <v>209963</v>
      </c>
      <c r="I7" s="37">
        <v>189540</v>
      </c>
      <c r="J7" s="38">
        <f t="shared" si="0"/>
        <v>17.179269255500117</v>
      </c>
      <c r="K7" s="38">
        <f t="shared" si="1"/>
        <v>1.3111784703211267</v>
      </c>
      <c r="L7" s="38">
        <f t="shared" si="2"/>
        <v>51.28359712989343</v>
      </c>
      <c r="M7" s="38">
        <f t="shared" si="3"/>
        <v>1.865243840659248</v>
      </c>
      <c r="N7" s="39">
        <f t="shared" si="4"/>
        <v>2.608650168312435E-2</v>
      </c>
      <c r="O7" s="39">
        <f t="shared" si="5"/>
        <v>3.6371158519455521E-2</v>
      </c>
      <c r="P7" s="37">
        <v>5211272</v>
      </c>
    </row>
    <row r="8" spans="2:17" ht="14" customHeight="1" x14ac:dyDescent="0.3">
      <c r="B8" s="4" t="s">
        <v>212</v>
      </c>
      <c r="C8" t="s">
        <v>213</v>
      </c>
      <c r="D8" s="37">
        <v>12614226</v>
      </c>
      <c r="E8" s="37">
        <v>12155592</v>
      </c>
      <c r="F8" s="37">
        <v>4361127</v>
      </c>
      <c r="G8" s="37">
        <v>568788</v>
      </c>
      <c r="H8" s="37">
        <v>357574</v>
      </c>
      <c r="I8" s="37">
        <v>245447</v>
      </c>
      <c r="J8" s="38">
        <f t="shared" si="0"/>
        <v>21.371041583155762</v>
      </c>
      <c r="K8" s="38">
        <f t="shared" si="1"/>
        <v>2.7872593483289982</v>
      </c>
      <c r="L8" s="38">
        <f t="shared" si="2"/>
        <v>51.392870966033399</v>
      </c>
      <c r="M8" s="38">
        <f t="shared" si="3"/>
        <v>4.0841691581141539</v>
      </c>
      <c r="N8" s="39">
        <f t="shared" si="4"/>
        <v>8.1991191726358811E-2</v>
      </c>
      <c r="O8" s="39">
        <f t="shared" si="5"/>
        <v>7.946956613522263E-2</v>
      </c>
      <c r="P8" s="37">
        <v>3088566</v>
      </c>
    </row>
    <row r="9" spans="2:17" ht="14" customHeight="1" x14ac:dyDescent="0.3">
      <c r="B9" s="4" t="s">
        <v>214</v>
      </c>
      <c r="C9" t="s">
        <v>215</v>
      </c>
      <c r="D9" s="37">
        <v>5705891</v>
      </c>
      <c r="E9" s="37">
        <v>5866992</v>
      </c>
      <c r="F9" s="37">
        <v>5015036</v>
      </c>
      <c r="G9" s="37">
        <v>691198</v>
      </c>
      <c r="H9" s="37">
        <v>414992</v>
      </c>
      <c r="I9" s="37">
        <v>275229</v>
      </c>
      <c r="J9" s="38">
        <f t="shared" si="0"/>
        <v>8.4881495606179413</v>
      </c>
      <c r="K9" s="38">
        <f t="shared" si="1"/>
        <v>1.1698803358540197</v>
      </c>
      <c r="L9" s="38">
        <f t="shared" si="2"/>
        <v>20.731430917526861</v>
      </c>
      <c r="M9" s="38">
        <f t="shared" si="3"/>
        <v>1.7531493382395413</v>
      </c>
      <c r="N9" s="39">
        <f t="shared" si="4"/>
        <v>8.2749555536590372E-2</v>
      </c>
      <c r="O9" s="39">
        <f t="shared" si="5"/>
        <v>8.4564801398121822E-2</v>
      </c>
      <c r="P9" s="37">
        <v>3254652</v>
      </c>
    </row>
    <row r="10" spans="2:17" ht="14" customHeight="1" x14ac:dyDescent="0.3">
      <c r="B10" s="4" t="s">
        <v>216</v>
      </c>
      <c r="C10" t="s">
        <v>217</v>
      </c>
      <c r="D10" s="37">
        <v>4804935</v>
      </c>
      <c r="E10" s="37">
        <v>4427091</v>
      </c>
      <c r="F10" s="37">
        <v>7539975</v>
      </c>
      <c r="G10" s="37">
        <v>930612</v>
      </c>
      <c r="H10" s="37">
        <v>552538</v>
      </c>
      <c r="I10" s="37">
        <v>443755</v>
      </c>
      <c r="J10" s="38">
        <f t="shared" si="0"/>
        <v>4.75718237031115</v>
      </c>
      <c r="K10" s="38">
        <f t="shared" si="1"/>
        <v>0.5871492942615858</v>
      </c>
      <c r="L10" s="38">
        <f t="shared" si="2"/>
        <v>10.827900530698246</v>
      </c>
      <c r="M10" s="38">
        <f t="shared" si="3"/>
        <v>0.87478737645623117</v>
      </c>
      <c r="N10" s="39">
        <f t="shared" si="4"/>
        <v>7.3281144831382067E-2</v>
      </c>
      <c r="O10" s="39">
        <f t="shared" si="5"/>
        <v>8.0790119375045627E-2</v>
      </c>
      <c r="P10" s="37">
        <v>5492689</v>
      </c>
    </row>
    <row r="14" spans="2:17" ht="14" customHeight="1" x14ac:dyDescent="0.3">
      <c r="B14" s="3" t="s">
        <v>218</v>
      </c>
    </row>
    <row r="15" spans="2:17" ht="14" customHeight="1" x14ac:dyDescent="0.3">
      <c r="B15" s="4" t="s">
        <v>219</v>
      </c>
      <c r="D15" s="38">
        <f t="shared" ref="D15:I15" si="6">PERCENTILE(J6:J10,0.25)</f>
        <v>8.4881495606179413</v>
      </c>
      <c r="E15" s="38">
        <f t="shared" si="6"/>
        <v>1.1698803358540197</v>
      </c>
      <c r="F15" s="38">
        <f t="shared" si="6"/>
        <v>20.731430917526861</v>
      </c>
      <c r="G15" s="38">
        <f t="shared" si="6"/>
        <v>1.7531493382395413</v>
      </c>
      <c r="H15" s="39">
        <f t="shared" si="6"/>
        <v>7.3281144831382067E-2</v>
      </c>
      <c r="I15" s="39">
        <f t="shared" si="6"/>
        <v>7.946956613522263E-2</v>
      </c>
    </row>
    <row r="16" spans="2:17" ht="14" customHeight="1" x14ac:dyDescent="0.3">
      <c r="B16" s="4" t="s">
        <v>220</v>
      </c>
      <c r="D16" s="38">
        <f t="shared" ref="D16:I16" si="7">MEDIAN(J6:J10)</f>
        <v>14.333259113904496</v>
      </c>
      <c r="E16" s="38">
        <f t="shared" si="7"/>
        <v>1.3111784703211267</v>
      </c>
      <c r="F16" s="38">
        <f t="shared" si="7"/>
        <v>29.996470447475474</v>
      </c>
      <c r="G16" s="38">
        <f t="shared" si="7"/>
        <v>1.865243840659248</v>
      </c>
      <c r="H16" s="39">
        <f t="shared" si="7"/>
        <v>8.1991191726358811E-2</v>
      </c>
      <c r="I16" s="39">
        <f t="shared" si="7"/>
        <v>8.0790119375045627E-2</v>
      </c>
    </row>
    <row r="17" spans="2:9" ht="14" customHeight="1" x14ac:dyDescent="0.3">
      <c r="B17" s="4" t="s">
        <v>221</v>
      </c>
      <c r="D17" s="38">
        <f t="shared" ref="D17:I17" si="8">PERCENTILE(J6:J10,0.75)</f>
        <v>17.179269255500117</v>
      </c>
      <c r="E17" s="38">
        <f t="shared" si="8"/>
        <v>2.2437193137366305</v>
      </c>
      <c r="F17" s="38">
        <f t="shared" si="8"/>
        <v>51.28359712989343</v>
      </c>
      <c r="G17" s="38">
        <f t="shared" si="8"/>
        <v>3.6642594226968672</v>
      </c>
      <c r="H17" s="39">
        <f t="shared" si="8"/>
        <v>8.2749555536590372E-2</v>
      </c>
      <c r="I17" s="39">
        <f t="shared" si="8"/>
        <v>8.4564801398121822E-2</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666879</v>
      </c>
    </row>
    <row r="22" spans="2:9" ht="14" customHeight="1" x14ac:dyDescent="0.3">
      <c r="B22" s="4" t="s">
        <v>225</v>
      </c>
      <c r="C22" s="5">
        <v>407758</v>
      </c>
    </row>
    <row r="23" spans="2:9" ht="14" customHeight="1" x14ac:dyDescent="0.3">
      <c r="B23" s="4" t="s">
        <v>226</v>
      </c>
      <c r="C23" s="15">
        <v>2046435776</v>
      </c>
    </row>
    <row r="24" spans="2:9" ht="14" customHeight="1" x14ac:dyDescent="0.3">
      <c r="B24" s="4" t="s">
        <v>67</v>
      </c>
      <c r="C24" s="5">
        <v>-368331</v>
      </c>
    </row>
    <row r="26" spans="2:9" ht="14" customHeight="1" x14ac:dyDescent="0.3">
      <c r="B26" s="3" t="s">
        <v>227</v>
      </c>
    </row>
    <row r="27" spans="2:9" ht="14" customHeight="1" x14ac:dyDescent="0.3">
      <c r="B27" s="4" t="s">
        <v>228</v>
      </c>
      <c r="C27" s="24">
        <f>ROUND((C21*D16-C24)*1000000/C23,0)</f>
        <v>4851</v>
      </c>
    </row>
    <row r="28" spans="2:9" ht="14" customHeight="1" x14ac:dyDescent="0.3">
      <c r="B28" s="4" t="s">
        <v>229</v>
      </c>
      <c r="C28" s="24">
        <f>ROUND(C22*F16*1000000/C23,0)</f>
        <v>5977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8.9099999999999999E-2</v>
      </c>
      <c r="E3" s="4" t="s">
        <v>232</v>
      </c>
      <c r="F3" s="16">
        <f>'DCF Model'!C13</f>
        <v>0.01</v>
      </c>
      <c r="H3" s="4" t="s">
        <v>233</v>
      </c>
      <c r="I3" s="14">
        <f>'DCF Model'!C14</f>
        <v>14.3</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7.4099999999999999E-2</v>
      </c>
      <c r="C7" s="37">
        <f>IFERROR(ROUND(('DCF Model'!C45/(1+$B7)^('DCF Model'!C19+0)+'DCF Model'!D45/(1+$B7)^('DCF Model'!C19+1)+'DCF Model'!E45/(1+$B7)^('DCF Model'!C19+2)+'DCF Model'!F45/(1+$B7)^('DCF Model'!C19+3)+'DCF Model'!G45/(1+$B7)^('DCF Model'!C19+4)+'DCF Model'!G45*(1+C$6)/($B7-C$6)/(1+$B7)^('DCF Model'!C19+4)-'DCF Model'!C16)*1000000/'DCF Model'!C15,0),"")</f>
        <v>2239</v>
      </c>
      <c r="D7" s="37">
        <f>IFERROR(ROUND(('DCF Model'!C45/(1+$B7)^('DCF Model'!C19+0)+'DCF Model'!D45/(1+$B7)^('DCF Model'!C19+1)+'DCF Model'!E45/(1+$B7)^('DCF Model'!C19+2)+'DCF Model'!F45/(1+$B7)^('DCF Model'!C19+3)+'DCF Model'!G45/(1+$B7)^('DCF Model'!C19+4)+'DCF Model'!G45*(1+D$6)/($B7-D$6)/(1+$B7)^('DCF Model'!C19+4)-'DCF Model'!C16)*1000000/'DCF Model'!C15,0),"")</f>
        <v>2297</v>
      </c>
      <c r="E7" s="37">
        <f>IFERROR(ROUND(('DCF Model'!C45/(1+$B7)^('DCF Model'!C19+0)+'DCF Model'!D45/(1+$B7)^('DCF Model'!C19+1)+'DCF Model'!E45/(1+$B7)^('DCF Model'!C19+2)+'DCF Model'!F45/(1+$B7)^('DCF Model'!C19+3)+'DCF Model'!G45/(1+$B7)^('DCF Model'!C19+4)+'DCF Model'!G45*(1+E$6)/($B7-E$6)/(1+$B7)^('DCF Model'!C19+4)-'DCF Model'!C16)*1000000/'DCF Model'!C15,0),"")</f>
        <v>2359</v>
      </c>
      <c r="F7" s="37">
        <f>IFERROR(ROUND(('DCF Model'!C45/(1+$B7)^('DCF Model'!C19+0)+'DCF Model'!D45/(1+$B7)^('DCF Model'!C19+1)+'DCF Model'!E45/(1+$B7)^('DCF Model'!C19+2)+'DCF Model'!F45/(1+$B7)^('DCF Model'!C19+3)+'DCF Model'!G45/(1+$B7)^('DCF Model'!C19+4)+'DCF Model'!G45*(1+F$6)/($B7-F$6)/(1+$B7)^('DCF Model'!C19+4)-'DCF Model'!C16)*1000000/'DCF Model'!C15,0),"")</f>
        <v>2426</v>
      </c>
      <c r="G7" s="37">
        <f>IFERROR(ROUND(('DCF Model'!C45/(1+$B7)^('DCF Model'!C19+0)+'DCF Model'!D45/(1+$B7)^('DCF Model'!C19+1)+'DCF Model'!E45/(1+$B7)^('DCF Model'!C19+2)+'DCF Model'!F45/(1+$B7)^('DCF Model'!C19+3)+'DCF Model'!G45/(1+$B7)^('DCF Model'!C19+4)+'DCF Model'!G45*(1+G$6)/($B7-G$6)/(1+$B7)^('DCF Model'!C19+4)-'DCF Model'!C16)*1000000/'DCF Model'!C15,0),"")</f>
        <v>2499</v>
      </c>
      <c r="H7" s="37">
        <f>IFERROR(ROUND(('DCF Model'!C45/(1+$B7)^('DCF Model'!C19+0)+'DCF Model'!D45/(1+$B7)^('DCF Model'!C19+1)+'DCF Model'!E45/(1+$B7)^('DCF Model'!C19+2)+'DCF Model'!F45/(1+$B7)^('DCF Model'!C19+3)+'DCF Model'!G45/(1+$B7)^('DCF Model'!C19+4)+'DCF Model'!G45*(1+H$6)/($B7-H$6)/(1+$B7)^('DCF Model'!C19+4)-'DCF Model'!C16)*1000000/'DCF Model'!C15,0),"")</f>
        <v>2578</v>
      </c>
      <c r="I7" s="37">
        <f>IFERROR(ROUND(('DCF Model'!C45/(1+$B7)^('DCF Model'!C19+0)+'DCF Model'!D45/(1+$B7)^('DCF Model'!C19+1)+'DCF Model'!E45/(1+$B7)^('DCF Model'!C19+2)+'DCF Model'!F45/(1+$B7)^('DCF Model'!C19+3)+'DCF Model'!G45/(1+$B7)^('DCF Model'!C19+4)+'DCF Model'!G45*(1+I$6)/($B7-I$6)/(1+$B7)^('DCF Model'!C19+4)-'DCF Model'!C16)*1000000/'DCF Model'!C15,0),"")</f>
        <v>2664</v>
      </c>
    </row>
    <row r="8" spans="2:9" ht="13.5" customHeight="1" x14ac:dyDescent="0.25">
      <c r="B8" s="39">
        <f>$C$3-0.01</f>
        <v>7.9100000000000004E-2</v>
      </c>
      <c r="C8" s="37">
        <f>IFERROR(ROUND(('DCF Model'!C45/(1+$B8)^('DCF Model'!C19+0)+'DCF Model'!D45/(1+$B8)^('DCF Model'!C19+1)+'DCF Model'!E45/(1+$B8)^('DCF Model'!C19+2)+'DCF Model'!F45/(1+$B8)^('DCF Model'!C19+3)+'DCF Model'!G45/(1+$B8)^('DCF Model'!C19+4)+'DCF Model'!G45*(1+C$6)/($B8-C$6)/(1+$B8)^('DCF Model'!C19+4)-'DCF Model'!C16)*1000000/'DCF Model'!C15,0),"")</f>
        <v>2101</v>
      </c>
      <c r="D8" s="37">
        <f>IFERROR(ROUND(('DCF Model'!C45/(1+$B8)^('DCF Model'!C19+0)+'DCF Model'!D45/(1+$B8)^('DCF Model'!C19+1)+'DCF Model'!E45/(1+$B8)^('DCF Model'!C19+2)+'DCF Model'!F45/(1+$B8)^('DCF Model'!C19+3)+'DCF Model'!G45/(1+$B8)^('DCF Model'!C19+4)+'DCF Model'!G45*(1+D$6)/($B8-D$6)/(1+$B8)^('DCF Model'!C19+4)-'DCF Model'!C16)*1000000/'DCF Model'!C15,0),"")</f>
        <v>2151</v>
      </c>
      <c r="E8" s="37">
        <f>IFERROR(ROUND(('DCF Model'!C45/(1+$B8)^('DCF Model'!C19+0)+'DCF Model'!D45/(1+$B8)^('DCF Model'!C19+1)+'DCF Model'!E45/(1+$B8)^('DCF Model'!C19+2)+'DCF Model'!F45/(1+$B8)^('DCF Model'!C19+3)+'DCF Model'!G45/(1+$B8)^('DCF Model'!C19+4)+'DCF Model'!G45*(1+E$6)/($B8-E$6)/(1+$B8)^('DCF Model'!C19+4)-'DCF Model'!C16)*1000000/'DCF Model'!C15,0),"")</f>
        <v>2204</v>
      </c>
      <c r="F8" s="37">
        <f>IFERROR(ROUND(('DCF Model'!C45/(1+$B8)^('DCF Model'!C19+0)+'DCF Model'!D45/(1+$B8)^('DCF Model'!C19+1)+'DCF Model'!E45/(1+$B8)^('DCF Model'!C19+2)+'DCF Model'!F45/(1+$B8)^('DCF Model'!C19+3)+'DCF Model'!G45/(1+$B8)^('DCF Model'!C19+4)+'DCF Model'!G45*(1+F$6)/($B8-F$6)/(1+$B8)^('DCF Model'!C19+4)-'DCF Model'!C16)*1000000/'DCF Model'!C15,0),"")</f>
        <v>2261</v>
      </c>
      <c r="G8" s="37">
        <f>IFERROR(ROUND(('DCF Model'!C45/(1+$B8)^('DCF Model'!C19+0)+'DCF Model'!D45/(1+$B8)^('DCF Model'!C19+1)+'DCF Model'!E45/(1+$B8)^('DCF Model'!C19+2)+'DCF Model'!F45/(1+$B8)^('DCF Model'!C19+3)+'DCF Model'!G45/(1+$B8)^('DCF Model'!C19+4)+'DCF Model'!G45*(1+G$6)/($B8-G$6)/(1+$B8)^('DCF Model'!C19+4)-'DCF Model'!C16)*1000000/'DCF Model'!C15,0),"")</f>
        <v>2322</v>
      </c>
      <c r="H8" s="37">
        <f>IFERROR(ROUND(('DCF Model'!C45/(1+$B8)^('DCF Model'!C19+0)+'DCF Model'!D45/(1+$B8)^('DCF Model'!C19+1)+'DCF Model'!E45/(1+$B8)^('DCF Model'!C19+2)+'DCF Model'!F45/(1+$B8)^('DCF Model'!C19+3)+'DCF Model'!G45/(1+$B8)^('DCF Model'!C19+4)+'DCF Model'!G45*(1+H$6)/($B8-H$6)/(1+$B8)^('DCF Model'!C19+4)-'DCF Model'!C16)*1000000/'DCF Model'!C15,0),"")</f>
        <v>2388</v>
      </c>
      <c r="I8" s="37">
        <f>IFERROR(ROUND(('DCF Model'!C45/(1+$B8)^('DCF Model'!C19+0)+'DCF Model'!D45/(1+$B8)^('DCF Model'!C19+1)+'DCF Model'!E45/(1+$B8)^('DCF Model'!C19+2)+'DCF Model'!F45/(1+$B8)^('DCF Model'!C19+3)+'DCF Model'!G45/(1+$B8)^('DCF Model'!C19+4)+'DCF Model'!G45*(1+I$6)/($B8-I$6)/(1+$B8)^('DCF Model'!C19+4)-'DCF Model'!C16)*1000000/'DCF Model'!C15,0),"")</f>
        <v>2460</v>
      </c>
    </row>
    <row r="9" spans="2:9" ht="13.5" customHeight="1" x14ac:dyDescent="0.25">
      <c r="B9" s="39">
        <f>$C$3-0.005</f>
        <v>8.4099999999999994E-2</v>
      </c>
      <c r="C9" s="37">
        <f>IFERROR(ROUND(('DCF Model'!C45/(1+$B9)^('DCF Model'!C19+0)+'DCF Model'!D45/(1+$B9)^('DCF Model'!C19+1)+'DCF Model'!E45/(1+$B9)^('DCF Model'!C19+2)+'DCF Model'!F45/(1+$B9)^('DCF Model'!C19+3)+'DCF Model'!G45/(1+$B9)^('DCF Model'!C19+4)+'DCF Model'!G45*(1+C$6)/($B9-C$6)/(1+$B9)^('DCF Model'!C19+4)-'DCF Model'!C16)*1000000/'DCF Model'!C15,0),"")</f>
        <v>1981</v>
      </c>
      <c r="D9" s="37">
        <f>IFERROR(ROUND(('DCF Model'!C45/(1+$B9)^('DCF Model'!C19+0)+'DCF Model'!D45/(1+$B9)^('DCF Model'!C19+1)+'DCF Model'!E45/(1+$B9)^('DCF Model'!C19+2)+'DCF Model'!F45/(1+$B9)^('DCF Model'!C19+3)+'DCF Model'!G45/(1+$B9)^('DCF Model'!C19+4)+'DCF Model'!G45*(1+D$6)/($B9-D$6)/(1+$B9)^('DCF Model'!C19+4)-'DCF Model'!C16)*1000000/'DCF Model'!C15,0),"")</f>
        <v>2023</v>
      </c>
      <c r="E9" s="37">
        <f>IFERROR(ROUND(('DCF Model'!C45/(1+$B9)^('DCF Model'!C19+0)+'DCF Model'!D45/(1+$B9)^('DCF Model'!C19+1)+'DCF Model'!E45/(1+$B9)^('DCF Model'!C19+2)+'DCF Model'!F45/(1+$B9)^('DCF Model'!C19+3)+'DCF Model'!G45/(1+$B9)^('DCF Model'!C19+4)+'DCF Model'!G45*(1+E$6)/($B9-E$6)/(1+$B9)^('DCF Model'!C19+4)-'DCF Model'!C16)*1000000/'DCF Model'!C15,0),"")</f>
        <v>2069</v>
      </c>
      <c r="F9" s="37">
        <f>IFERROR(ROUND(('DCF Model'!C45/(1+$B9)^('DCF Model'!C19+0)+'DCF Model'!D45/(1+$B9)^('DCF Model'!C19+1)+'DCF Model'!E45/(1+$B9)^('DCF Model'!C19+2)+'DCF Model'!F45/(1+$B9)^('DCF Model'!C19+3)+'DCF Model'!G45/(1+$B9)^('DCF Model'!C19+4)+'DCF Model'!G45*(1+F$6)/($B9-F$6)/(1+$B9)^('DCF Model'!C19+4)-'DCF Model'!C16)*1000000/'DCF Model'!C15,0),"")</f>
        <v>2118</v>
      </c>
      <c r="G9" s="37">
        <f>IFERROR(ROUND(('DCF Model'!C45/(1+$B9)^('DCF Model'!C19+0)+'DCF Model'!D45/(1+$B9)^('DCF Model'!C19+1)+'DCF Model'!E45/(1+$B9)^('DCF Model'!C19+2)+'DCF Model'!F45/(1+$B9)^('DCF Model'!C19+3)+'DCF Model'!G45/(1+$B9)^('DCF Model'!C19+4)+'DCF Model'!G45*(1+G$6)/($B9-G$6)/(1+$B9)^('DCF Model'!C19+4)-'DCF Model'!C16)*1000000/'DCF Model'!C15,0),"")</f>
        <v>2170</v>
      </c>
      <c r="H9" s="37">
        <f>IFERROR(ROUND(('DCF Model'!C45/(1+$B9)^('DCF Model'!C19+0)+'DCF Model'!D45/(1+$B9)^('DCF Model'!C19+1)+'DCF Model'!E45/(1+$B9)^('DCF Model'!C19+2)+'DCF Model'!F45/(1+$B9)^('DCF Model'!C19+3)+'DCF Model'!G45/(1+$B9)^('DCF Model'!C19+4)+'DCF Model'!G45*(1+H$6)/($B9-H$6)/(1+$B9)^('DCF Model'!C19+4)-'DCF Model'!C16)*1000000/'DCF Model'!C15,0),"")</f>
        <v>2226</v>
      </c>
      <c r="I9" s="37">
        <f>IFERROR(ROUND(('DCF Model'!C45/(1+$B9)^('DCF Model'!C19+0)+'DCF Model'!D45/(1+$B9)^('DCF Model'!C19+1)+'DCF Model'!E45/(1+$B9)^('DCF Model'!C19+2)+'DCF Model'!F45/(1+$B9)^('DCF Model'!C19+3)+'DCF Model'!G45/(1+$B9)^('DCF Model'!C19+4)+'DCF Model'!G45*(1+I$6)/($B9-I$6)/(1+$B9)^('DCF Model'!C19+4)-'DCF Model'!C16)*1000000/'DCF Model'!C15,0),"")</f>
        <v>2286</v>
      </c>
    </row>
    <row r="10" spans="2:9" ht="13.5" customHeight="1" x14ac:dyDescent="0.25">
      <c r="B10" s="39">
        <f>$C$3</f>
        <v>8.9099999999999999E-2</v>
      </c>
      <c r="C10" s="37">
        <f>IFERROR(ROUND(('DCF Model'!C45/(1+$B10)^('DCF Model'!C19+0)+'DCF Model'!D45/(1+$B10)^('DCF Model'!C19+1)+'DCF Model'!E45/(1+$B10)^('DCF Model'!C19+2)+'DCF Model'!F45/(1+$B10)^('DCF Model'!C19+3)+'DCF Model'!G45/(1+$B10)^('DCF Model'!C19+4)+'DCF Model'!G45*(1+C$6)/($B10-C$6)/(1+$B10)^('DCF Model'!C19+4)-'DCF Model'!C16)*1000000/'DCF Model'!C15,0),"")</f>
        <v>1874</v>
      </c>
      <c r="D10" s="37">
        <f>IFERROR(ROUND(('DCF Model'!C45/(1+$B10)^('DCF Model'!C19+0)+'DCF Model'!D45/(1+$B10)^('DCF Model'!C19+1)+'DCF Model'!E45/(1+$B10)^('DCF Model'!C19+2)+'DCF Model'!F45/(1+$B10)^('DCF Model'!C19+3)+'DCF Model'!G45/(1+$B10)^('DCF Model'!C19+4)+'DCF Model'!G45*(1+D$6)/($B10-D$6)/(1+$B10)^('DCF Model'!C19+4)-'DCF Model'!C16)*1000000/'DCF Model'!C15,0),"")</f>
        <v>1911</v>
      </c>
      <c r="E10" s="37">
        <f>IFERROR(ROUND(('DCF Model'!C45/(1+$B10)^('DCF Model'!C19+0)+'DCF Model'!D45/(1+$B10)^('DCF Model'!C19+1)+'DCF Model'!E45/(1+$B10)^('DCF Model'!C19+2)+'DCF Model'!F45/(1+$B10)^('DCF Model'!C19+3)+'DCF Model'!G45/(1+$B10)^('DCF Model'!C19+4)+'DCF Model'!G45*(1+E$6)/($B10-E$6)/(1+$B10)^('DCF Model'!C19+4)-'DCF Model'!C16)*1000000/'DCF Model'!C15,0),"")</f>
        <v>1951</v>
      </c>
      <c r="F10" s="37">
        <f>IFERROR(ROUND(('DCF Model'!C45/(1+$B10)^('DCF Model'!C19+0)+'DCF Model'!D45/(1+$B10)^('DCF Model'!C19+1)+'DCF Model'!E45/(1+$B10)^('DCF Model'!C19+2)+'DCF Model'!F45/(1+$B10)^('DCF Model'!C19+3)+'DCF Model'!G45/(1+$B10)^('DCF Model'!C19+4)+'DCF Model'!G45*(1+F$6)/($B10-F$6)/(1+$B10)^('DCF Model'!C19+4)-'DCF Model'!C16)*1000000/'DCF Model'!C15,0),"")</f>
        <v>1993</v>
      </c>
      <c r="G10" s="37">
        <f>IFERROR(ROUND(('DCF Model'!C45/(1+$B10)^('DCF Model'!C19+0)+'DCF Model'!D45/(1+$B10)^('DCF Model'!C19+1)+'DCF Model'!E45/(1+$B10)^('DCF Model'!C19+2)+'DCF Model'!F45/(1+$B10)^('DCF Model'!C19+3)+'DCF Model'!G45/(1+$B10)^('DCF Model'!C19+4)+'DCF Model'!G45*(1+G$6)/($B10-G$6)/(1+$B10)^('DCF Model'!C19+4)-'DCF Model'!C16)*1000000/'DCF Model'!C15,0),"")</f>
        <v>2038</v>
      </c>
      <c r="H10" s="37">
        <f>IFERROR(ROUND(('DCF Model'!C45/(1+$B10)^('DCF Model'!C19+0)+'DCF Model'!D45/(1+$B10)^('DCF Model'!C19+1)+'DCF Model'!E45/(1+$B10)^('DCF Model'!C19+2)+'DCF Model'!F45/(1+$B10)^('DCF Model'!C19+3)+'DCF Model'!G45/(1+$B10)^('DCF Model'!C19+4)+'DCF Model'!G45*(1+H$6)/($B10-H$6)/(1+$B10)^('DCF Model'!C19+4)-'DCF Model'!C16)*1000000/'DCF Model'!C15,0),"")</f>
        <v>2086</v>
      </c>
      <c r="I10" s="37">
        <f>IFERROR(ROUND(('DCF Model'!C45/(1+$B10)^('DCF Model'!C19+0)+'DCF Model'!D45/(1+$B10)^('DCF Model'!C19+1)+'DCF Model'!E45/(1+$B10)^('DCF Model'!C19+2)+'DCF Model'!F45/(1+$B10)^('DCF Model'!C19+3)+'DCF Model'!G45/(1+$B10)^('DCF Model'!C19+4)+'DCF Model'!G45*(1+I$6)/($B10-I$6)/(1+$B10)^('DCF Model'!C19+4)-'DCF Model'!C16)*1000000/'DCF Model'!C15,0),"")</f>
        <v>2137</v>
      </c>
    </row>
    <row r="11" spans="2:9" ht="13.5" customHeight="1" x14ac:dyDescent="0.25">
      <c r="B11" s="39">
        <f>$C$3+0.005</f>
        <v>9.4100000000000003E-2</v>
      </c>
      <c r="C11" s="37">
        <f>IFERROR(ROUND(('DCF Model'!C45/(1+$B11)^('DCF Model'!C19+0)+'DCF Model'!D45/(1+$B11)^('DCF Model'!C19+1)+'DCF Model'!E45/(1+$B11)^('DCF Model'!C19+2)+'DCF Model'!F45/(1+$B11)^('DCF Model'!C19+3)+'DCF Model'!G45/(1+$B11)^('DCF Model'!C19+4)+'DCF Model'!G45*(1+C$6)/($B11-C$6)/(1+$B11)^('DCF Model'!C19+4)-'DCF Model'!C16)*1000000/'DCF Model'!C15,0),"")</f>
        <v>1779</v>
      </c>
      <c r="D11" s="37">
        <f>IFERROR(ROUND(('DCF Model'!C45/(1+$B11)^('DCF Model'!C19+0)+'DCF Model'!D45/(1+$B11)^('DCF Model'!C19+1)+'DCF Model'!E45/(1+$B11)^('DCF Model'!C19+2)+'DCF Model'!F45/(1+$B11)^('DCF Model'!C19+3)+'DCF Model'!G45/(1+$B11)^('DCF Model'!C19+4)+'DCF Model'!G45*(1+D$6)/($B11-D$6)/(1+$B11)^('DCF Model'!C19+4)-'DCF Model'!C16)*1000000/'DCF Model'!C15,0),"")</f>
        <v>1812</v>
      </c>
      <c r="E11" s="37">
        <f>IFERROR(ROUND(('DCF Model'!C45/(1+$B11)^('DCF Model'!C19+0)+'DCF Model'!D45/(1+$B11)^('DCF Model'!C19+1)+'DCF Model'!E45/(1+$B11)^('DCF Model'!C19+2)+'DCF Model'!F45/(1+$B11)^('DCF Model'!C19+3)+'DCF Model'!G45/(1+$B11)^('DCF Model'!C19+4)+'DCF Model'!G45*(1+E$6)/($B11-E$6)/(1+$B11)^('DCF Model'!C19+4)-'DCF Model'!C16)*1000000/'DCF Model'!C15,0),"")</f>
        <v>1846</v>
      </c>
      <c r="F11" s="37">
        <f>IFERROR(ROUND(('DCF Model'!C45/(1+$B11)^('DCF Model'!C19+0)+'DCF Model'!D45/(1+$B11)^('DCF Model'!C19+1)+'DCF Model'!E45/(1+$B11)^('DCF Model'!C19+2)+'DCF Model'!F45/(1+$B11)^('DCF Model'!C19+3)+'DCF Model'!G45/(1+$B11)^('DCF Model'!C19+4)+'DCF Model'!G45*(1+F$6)/($B11-F$6)/(1+$B11)^('DCF Model'!C19+4)-'DCF Model'!C16)*1000000/'DCF Model'!C15,0),"")</f>
        <v>1883</v>
      </c>
      <c r="G11" s="37">
        <f>IFERROR(ROUND(('DCF Model'!C45/(1+$B11)^('DCF Model'!C19+0)+'DCF Model'!D45/(1+$B11)^('DCF Model'!C19+1)+'DCF Model'!E45/(1+$B11)^('DCF Model'!C19+2)+'DCF Model'!F45/(1+$B11)^('DCF Model'!C19+3)+'DCF Model'!G45/(1+$B11)^('DCF Model'!C19+4)+'DCF Model'!G45*(1+G$6)/($B11-G$6)/(1+$B11)^('DCF Model'!C19+4)-'DCF Model'!C16)*1000000/'DCF Model'!C15,0),"")</f>
        <v>1922</v>
      </c>
      <c r="H11" s="37">
        <f>IFERROR(ROUND(('DCF Model'!C45/(1+$B11)^('DCF Model'!C19+0)+'DCF Model'!D45/(1+$B11)^('DCF Model'!C19+1)+'DCF Model'!E45/(1+$B11)^('DCF Model'!C19+2)+'DCF Model'!F45/(1+$B11)^('DCF Model'!C19+3)+'DCF Model'!G45/(1+$B11)^('DCF Model'!C19+4)+'DCF Model'!G45*(1+H$6)/($B11-H$6)/(1+$B11)^('DCF Model'!C19+4)-'DCF Model'!C16)*1000000/'DCF Model'!C15,0),"")</f>
        <v>1963</v>
      </c>
      <c r="I11" s="37">
        <f>IFERROR(ROUND(('DCF Model'!C45/(1+$B11)^('DCF Model'!C19+0)+'DCF Model'!D45/(1+$B11)^('DCF Model'!C19+1)+'DCF Model'!E45/(1+$B11)^('DCF Model'!C19+2)+'DCF Model'!F45/(1+$B11)^('DCF Model'!C19+3)+'DCF Model'!G45/(1+$B11)^('DCF Model'!C19+4)+'DCF Model'!G45*(1+I$6)/($B11-I$6)/(1+$B11)^('DCF Model'!C19+4)-'DCF Model'!C16)*1000000/'DCF Model'!C15,0),"")</f>
        <v>2007</v>
      </c>
    </row>
    <row r="12" spans="2:9" ht="13.5" customHeight="1" x14ac:dyDescent="0.25">
      <c r="B12" s="39">
        <f>$C$3+0.01</f>
        <v>9.9099999999999994E-2</v>
      </c>
      <c r="C12" s="37">
        <f>IFERROR(ROUND(('DCF Model'!C45/(1+$B12)^('DCF Model'!C19+0)+'DCF Model'!D45/(1+$B12)^('DCF Model'!C19+1)+'DCF Model'!E45/(1+$B12)^('DCF Model'!C19+2)+'DCF Model'!F45/(1+$B12)^('DCF Model'!C19+3)+'DCF Model'!G45/(1+$B12)^('DCF Model'!C19+4)+'DCF Model'!G45*(1+C$6)/($B12-C$6)/(1+$B12)^('DCF Model'!C19+4)-'DCF Model'!C16)*1000000/'DCF Model'!C15,0),"")</f>
        <v>1694</v>
      </c>
      <c r="D12" s="37">
        <f>IFERROR(ROUND(('DCF Model'!C45/(1+$B12)^('DCF Model'!C19+0)+'DCF Model'!D45/(1+$B12)^('DCF Model'!C19+1)+'DCF Model'!E45/(1+$B12)^('DCF Model'!C19+2)+'DCF Model'!F45/(1+$B12)^('DCF Model'!C19+3)+'DCF Model'!G45/(1+$B12)^('DCF Model'!C19+4)+'DCF Model'!G45*(1+D$6)/($B12-D$6)/(1+$B12)^('DCF Model'!C19+4)-'DCF Model'!C16)*1000000/'DCF Model'!C15,0),"")</f>
        <v>1723</v>
      </c>
      <c r="E12" s="37">
        <f>IFERROR(ROUND(('DCF Model'!C45/(1+$B12)^('DCF Model'!C19+0)+'DCF Model'!D45/(1+$B12)^('DCF Model'!C19+1)+'DCF Model'!E45/(1+$B12)^('DCF Model'!C19+2)+'DCF Model'!F45/(1+$B12)^('DCF Model'!C19+3)+'DCF Model'!G45/(1+$B12)^('DCF Model'!C19+4)+'DCF Model'!G45*(1+E$6)/($B12-E$6)/(1+$B12)^('DCF Model'!C19+4)-'DCF Model'!C16)*1000000/'DCF Model'!C15,0),"")</f>
        <v>1753</v>
      </c>
      <c r="F12" s="37">
        <f>IFERROR(ROUND(('DCF Model'!C45/(1+$B12)^('DCF Model'!C19+0)+'DCF Model'!D45/(1+$B12)^('DCF Model'!C19+1)+'DCF Model'!E45/(1+$B12)^('DCF Model'!C19+2)+'DCF Model'!F45/(1+$B12)^('DCF Model'!C19+3)+'DCF Model'!G45/(1+$B12)^('DCF Model'!C19+4)+'DCF Model'!G45*(1+F$6)/($B12-F$6)/(1+$B12)^('DCF Model'!C19+4)-'DCF Model'!C16)*1000000/'DCF Model'!C15,0),"")</f>
        <v>1785</v>
      </c>
      <c r="G12" s="37">
        <f>IFERROR(ROUND(('DCF Model'!C45/(1+$B12)^('DCF Model'!C19+0)+'DCF Model'!D45/(1+$B12)^('DCF Model'!C19+1)+'DCF Model'!E45/(1+$B12)^('DCF Model'!C19+2)+'DCF Model'!F45/(1+$B12)^('DCF Model'!C19+3)+'DCF Model'!G45/(1+$B12)^('DCF Model'!C19+4)+'DCF Model'!G45*(1+G$6)/($B12-G$6)/(1+$B12)^('DCF Model'!C19+4)-'DCF Model'!C16)*1000000/'DCF Model'!C15,0),"")</f>
        <v>1819</v>
      </c>
      <c r="H12" s="37">
        <f>IFERROR(ROUND(('DCF Model'!C45/(1+$B12)^('DCF Model'!C19+0)+'DCF Model'!D45/(1+$B12)^('DCF Model'!C19+1)+'DCF Model'!E45/(1+$B12)^('DCF Model'!C19+2)+'DCF Model'!F45/(1+$B12)^('DCF Model'!C19+3)+'DCF Model'!G45/(1+$B12)^('DCF Model'!C19+4)+'DCF Model'!G45*(1+H$6)/($B12-H$6)/(1+$B12)^('DCF Model'!C19+4)-'DCF Model'!C16)*1000000/'DCF Model'!C15,0),"")</f>
        <v>1855</v>
      </c>
      <c r="I12" s="37">
        <f>IFERROR(ROUND(('DCF Model'!C45/(1+$B12)^('DCF Model'!C19+0)+'DCF Model'!D45/(1+$B12)^('DCF Model'!C19+1)+'DCF Model'!E45/(1+$B12)^('DCF Model'!C19+2)+'DCF Model'!F45/(1+$B12)^('DCF Model'!C19+3)+'DCF Model'!G45/(1+$B12)^('DCF Model'!C19+4)+'DCF Model'!G45*(1+I$6)/($B12-I$6)/(1+$B12)^('DCF Model'!C19+4)-'DCF Model'!C16)*1000000/'DCF Model'!C15,0),"")</f>
        <v>1894</v>
      </c>
    </row>
    <row r="13" spans="2:9" ht="13.5" customHeight="1" x14ac:dyDescent="0.25">
      <c r="B13" s="39">
        <f>$C$3+0.015</f>
        <v>0.1041</v>
      </c>
      <c r="C13" s="37">
        <f>IFERROR(ROUND(('DCF Model'!C45/(1+$B13)^('DCF Model'!C19+0)+'DCF Model'!D45/(1+$B13)^('DCF Model'!C19+1)+'DCF Model'!E45/(1+$B13)^('DCF Model'!C19+2)+'DCF Model'!F45/(1+$B13)^('DCF Model'!C19+3)+'DCF Model'!G45/(1+$B13)^('DCF Model'!C19+4)+'DCF Model'!G45*(1+C$6)/($B13-C$6)/(1+$B13)^('DCF Model'!C19+4)-'DCF Model'!C16)*1000000/'DCF Model'!C15,0),"")</f>
        <v>1618</v>
      </c>
      <c r="D13" s="37">
        <f>IFERROR(ROUND(('DCF Model'!C45/(1+$B13)^('DCF Model'!C19+0)+'DCF Model'!D45/(1+$B13)^('DCF Model'!C19+1)+'DCF Model'!E45/(1+$B13)^('DCF Model'!C19+2)+'DCF Model'!F45/(1+$B13)^('DCF Model'!C19+3)+'DCF Model'!G45/(1+$B13)^('DCF Model'!C19+4)+'DCF Model'!G45*(1+D$6)/($B13-D$6)/(1+$B13)^('DCF Model'!C19+4)-'DCF Model'!C16)*1000000/'DCF Model'!C15,0),"")</f>
        <v>1643</v>
      </c>
      <c r="E13" s="37">
        <f>IFERROR(ROUND(('DCF Model'!C45/(1+$B13)^('DCF Model'!C19+0)+'DCF Model'!D45/(1+$B13)^('DCF Model'!C19+1)+'DCF Model'!E45/(1+$B13)^('DCF Model'!C19+2)+'DCF Model'!F45/(1+$B13)^('DCF Model'!C19+3)+'DCF Model'!G45/(1+$B13)^('DCF Model'!C19+4)+'DCF Model'!G45*(1+E$6)/($B13-E$6)/(1+$B13)^('DCF Model'!C19+4)-'DCF Model'!C16)*1000000/'DCF Model'!C15,0),"")</f>
        <v>1670</v>
      </c>
      <c r="F13" s="37">
        <f>IFERROR(ROUND(('DCF Model'!C45/(1+$B13)^('DCF Model'!C19+0)+'DCF Model'!D45/(1+$B13)^('DCF Model'!C19+1)+'DCF Model'!E45/(1+$B13)^('DCF Model'!C19+2)+'DCF Model'!F45/(1+$B13)^('DCF Model'!C19+3)+'DCF Model'!G45/(1+$B13)^('DCF Model'!C19+4)+'DCF Model'!G45*(1+F$6)/($B13-F$6)/(1+$B13)^('DCF Model'!C19+4)-'DCF Model'!C16)*1000000/'DCF Model'!C15,0),"")</f>
        <v>1698</v>
      </c>
      <c r="G13" s="37">
        <f>IFERROR(ROUND(('DCF Model'!C45/(1+$B13)^('DCF Model'!C19+0)+'DCF Model'!D45/(1+$B13)^('DCF Model'!C19+1)+'DCF Model'!E45/(1+$B13)^('DCF Model'!C19+2)+'DCF Model'!F45/(1+$B13)^('DCF Model'!C19+3)+'DCF Model'!G45/(1+$B13)^('DCF Model'!C19+4)+'DCF Model'!G45*(1+G$6)/($B13-G$6)/(1+$B13)^('DCF Model'!C19+4)-'DCF Model'!C16)*1000000/'DCF Model'!C15,0),"")</f>
        <v>1728</v>
      </c>
      <c r="H13" s="37">
        <f>IFERROR(ROUND(('DCF Model'!C45/(1+$B13)^('DCF Model'!C19+0)+'DCF Model'!D45/(1+$B13)^('DCF Model'!C19+1)+'DCF Model'!E45/(1+$B13)^('DCF Model'!C19+2)+'DCF Model'!F45/(1+$B13)^('DCF Model'!C19+3)+'DCF Model'!G45/(1+$B13)^('DCF Model'!C19+4)+'DCF Model'!G45*(1+H$6)/($B13-H$6)/(1+$B13)^('DCF Model'!C19+4)-'DCF Model'!C16)*1000000/'DCF Model'!C15,0),"")</f>
        <v>1760</v>
      </c>
      <c r="I13" s="37">
        <f>IFERROR(ROUND(('DCF Model'!C45/(1+$B13)^('DCF Model'!C19+0)+'DCF Model'!D45/(1+$B13)^('DCF Model'!C19+1)+'DCF Model'!E45/(1+$B13)^('DCF Model'!C19+2)+'DCF Model'!F45/(1+$B13)^('DCF Model'!C19+3)+'DCF Model'!G45/(1+$B13)^('DCF Model'!C19+4)+'DCF Model'!G45*(1+I$6)/($B13-I$6)/(1+$B13)^('DCF Model'!C19+4)-'DCF Model'!C16)*1000000/'DCF Model'!C15,0),"")</f>
        <v>1793</v>
      </c>
    </row>
    <row r="16" spans="2:9" ht="14" customHeight="1" x14ac:dyDescent="0.3">
      <c r="B16" s="3" t="s">
        <v>236</v>
      </c>
    </row>
    <row r="17" spans="2:9" ht="14" customHeight="1" x14ac:dyDescent="0.3">
      <c r="B17" s="40" t="s">
        <v>237</v>
      </c>
      <c r="C17" s="42">
        <f>$I$3-3</f>
        <v>11.3</v>
      </c>
      <c r="D17" s="42">
        <f>$I$3-2</f>
        <v>12.3</v>
      </c>
      <c r="E17" s="42">
        <f>$I$3-1</f>
        <v>13.3</v>
      </c>
      <c r="F17" s="42">
        <f>$I$3</f>
        <v>14.3</v>
      </c>
      <c r="G17" s="42">
        <f>$I$3+1</f>
        <v>15.3</v>
      </c>
      <c r="H17" s="42">
        <f>$I$3+2</f>
        <v>16.3</v>
      </c>
      <c r="I17" s="42">
        <f>$I$3+3</f>
        <v>17.3</v>
      </c>
    </row>
    <row r="18" spans="2:9" ht="13.5" customHeight="1" x14ac:dyDescent="0.25">
      <c r="B18" s="39">
        <f>$C$3-0.015</f>
        <v>7.4099999999999999E-2</v>
      </c>
      <c r="C18" s="37">
        <f>IFERROR(ROUND(('DCF Model'!C45/(1+$B18)^('DCF Model'!C19+0)+'DCF Model'!D45/(1+$B18)^('DCF Model'!C19+1)+'DCF Model'!E45/(1+$B18)^('DCF Model'!C19+2)+'DCF Model'!F45/(1+$B18)^('DCF Model'!C19+3)+'DCF Model'!G45/(1+$B18)^('DCF Model'!C19+4)+('DCF Model'!G39+'DCF Model'!G42)*C$17/(1+$B18)^('DCF Model'!C19+4)-'DCF Model'!C16)*1000000/'DCF Model'!C15,0),"")</f>
        <v>3883</v>
      </c>
      <c r="D18" s="37">
        <f>IFERROR(ROUND(('DCF Model'!C45/(1+$B18)^('DCF Model'!C19+0)+'DCF Model'!D45/(1+$B18)^('DCF Model'!C19+1)+'DCF Model'!E45/(1+$B18)^('DCF Model'!C19+2)+'DCF Model'!F45/(1+$B18)^('DCF Model'!C19+3)+'DCF Model'!G45/(1+$B18)^('DCF Model'!C19+4)+('DCF Model'!G39+'DCF Model'!G42)*D$17/(1+$B18)^('DCF Model'!C19+4)-'DCF Model'!C16)*1000000/'DCF Model'!C15,0),"")</f>
        <v>4161</v>
      </c>
      <c r="E18" s="37">
        <f>IFERROR(ROUND(('DCF Model'!C45/(1+$B18)^('DCF Model'!C19+0)+'DCF Model'!D45/(1+$B18)^('DCF Model'!C19+1)+'DCF Model'!E45/(1+$B18)^('DCF Model'!C19+2)+'DCF Model'!F45/(1+$B18)^('DCF Model'!C19+3)+'DCF Model'!G45/(1+$B18)^('DCF Model'!C19+4)+('DCF Model'!G39+'DCF Model'!G42)*E$17/(1+$B18)^('DCF Model'!C19+4)-'DCF Model'!C16)*1000000/'DCF Model'!C15,0),"")</f>
        <v>4440</v>
      </c>
      <c r="F18" s="37">
        <f>IFERROR(ROUND(('DCF Model'!C45/(1+$B18)^('DCF Model'!C19+0)+'DCF Model'!D45/(1+$B18)^('DCF Model'!C19+1)+'DCF Model'!E45/(1+$B18)^('DCF Model'!C19+2)+'DCF Model'!F45/(1+$B18)^('DCF Model'!C19+3)+'DCF Model'!G45/(1+$B18)^('DCF Model'!C19+4)+('DCF Model'!G39+'DCF Model'!G42)*F$17/(1+$B18)^('DCF Model'!C19+4)-'DCF Model'!C16)*1000000/'DCF Model'!C15,0),"")</f>
        <v>4718</v>
      </c>
      <c r="G18" s="37">
        <f>IFERROR(ROUND(('DCF Model'!C45/(1+$B18)^('DCF Model'!C19+0)+'DCF Model'!D45/(1+$B18)^('DCF Model'!C19+1)+'DCF Model'!E45/(1+$B18)^('DCF Model'!C19+2)+'DCF Model'!F45/(1+$B18)^('DCF Model'!C19+3)+'DCF Model'!G45/(1+$B18)^('DCF Model'!C19+4)+('DCF Model'!G39+'DCF Model'!G42)*G$17/(1+$B18)^('DCF Model'!C19+4)-'DCF Model'!C16)*1000000/'DCF Model'!C15,0),"")</f>
        <v>4996</v>
      </c>
      <c r="H18" s="37">
        <f>IFERROR(ROUND(('DCF Model'!C45/(1+$B18)^('DCF Model'!C19+0)+'DCF Model'!D45/(1+$B18)^('DCF Model'!C19+1)+'DCF Model'!E45/(1+$B18)^('DCF Model'!C19+2)+'DCF Model'!F45/(1+$B18)^('DCF Model'!C19+3)+'DCF Model'!G45/(1+$B18)^('DCF Model'!C19+4)+('DCF Model'!G39+'DCF Model'!G42)*H$17/(1+$B18)^('DCF Model'!C19+4)-'DCF Model'!C16)*1000000/'DCF Model'!C15,0),"")</f>
        <v>5274</v>
      </c>
      <c r="I18" s="37">
        <f>IFERROR(ROUND(('DCF Model'!C45/(1+$B18)^('DCF Model'!C19+0)+'DCF Model'!D45/(1+$B18)^('DCF Model'!C19+1)+'DCF Model'!E45/(1+$B18)^('DCF Model'!C19+2)+'DCF Model'!F45/(1+$B18)^('DCF Model'!C19+3)+'DCF Model'!G45/(1+$B18)^('DCF Model'!C19+4)+('DCF Model'!G39+'DCF Model'!G42)*I$17/(1+$B18)^('DCF Model'!C19+4)-'DCF Model'!C16)*1000000/'DCF Model'!C15,0),"")</f>
        <v>5552</v>
      </c>
    </row>
    <row r="19" spans="2:9" ht="13.5" customHeight="1" x14ac:dyDescent="0.25">
      <c r="B19" s="39">
        <f>$C$3-0.01</f>
        <v>7.9100000000000004E-2</v>
      </c>
      <c r="C19" s="37">
        <f>IFERROR(ROUND(('DCF Model'!C45/(1+$B19)^('DCF Model'!C19+0)+'DCF Model'!D45/(1+$B19)^('DCF Model'!C19+1)+'DCF Model'!E45/(1+$B19)^('DCF Model'!C19+2)+'DCF Model'!F45/(1+$B19)^('DCF Model'!C19+3)+'DCF Model'!G45/(1+$B19)^('DCF Model'!C19+4)+('DCF Model'!G39+'DCF Model'!G42)*C$17/(1+$B19)^('DCF Model'!C19+4)-'DCF Model'!C16)*1000000/'DCF Model'!C15,0),"")</f>
        <v>3804</v>
      </c>
      <c r="D19" s="37">
        <f>IFERROR(ROUND(('DCF Model'!C45/(1+$B19)^('DCF Model'!C19+0)+'DCF Model'!D45/(1+$B19)^('DCF Model'!C19+1)+'DCF Model'!E45/(1+$B19)^('DCF Model'!C19+2)+'DCF Model'!F45/(1+$B19)^('DCF Model'!C19+3)+'DCF Model'!G45/(1+$B19)^('DCF Model'!C19+4)+('DCF Model'!G39+'DCF Model'!G42)*D$17/(1+$B19)^('DCF Model'!C19+4)-'DCF Model'!C16)*1000000/'DCF Model'!C15,0),"")</f>
        <v>4075</v>
      </c>
      <c r="E19" s="37">
        <f>IFERROR(ROUND(('DCF Model'!C45/(1+$B19)^('DCF Model'!C19+0)+'DCF Model'!D45/(1+$B19)^('DCF Model'!C19+1)+'DCF Model'!E45/(1+$B19)^('DCF Model'!C19+2)+'DCF Model'!F45/(1+$B19)^('DCF Model'!C19+3)+'DCF Model'!G45/(1+$B19)^('DCF Model'!C19+4)+('DCF Model'!G39+'DCF Model'!G42)*E$17/(1+$B19)^('DCF Model'!C19+4)-'DCF Model'!C16)*1000000/'DCF Model'!C15,0),"")</f>
        <v>4347</v>
      </c>
      <c r="F19" s="37">
        <f>IFERROR(ROUND(('DCF Model'!C45/(1+$B19)^('DCF Model'!C19+0)+'DCF Model'!D45/(1+$B19)^('DCF Model'!C19+1)+'DCF Model'!E45/(1+$B19)^('DCF Model'!C19+2)+'DCF Model'!F45/(1+$B19)^('DCF Model'!C19+3)+'DCF Model'!G45/(1+$B19)^('DCF Model'!C19+4)+('DCF Model'!G39+'DCF Model'!G42)*F$17/(1+$B19)^('DCF Model'!C19+4)-'DCF Model'!C16)*1000000/'DCF Model'!C15,0),"")</f>
        <v>4619</v>
      </c>
      <c r="G19" s="37">
        <f>IFERROR(ROUND(('DCF Model'!C45/(1+$B19)^('DCF Model'!C19+0)+'DCF Model'!D45/(1+$B19)^('DCF Model'!C19+1)+'DCF Model'!E45/(1+$B19)^('DCF Model'!C19+2)+'DCF Model'!F45/(1+$B19)^('DCF Model'!C19+3)+'DCF Model'!G45/(1+$B19)^('DCF Model'!C19+4)+('DCF Model'!G39+'DCF Model'!G42)*G$17/(1+$B19)^('DCF Model'!C19+4)-'DCF Model'!C16)*1000000/'DCF Model'!C15,0),"")</f>
        <v>4891</v>
      </c>
      <c r="H19" s="37">
        <f>IFERROR(ROUND(('DCF Model'!C45/(1+$B19)^('DCF Model'!C19+0)+'DCF Model'!D45/(1+$B19)^('DCF Model'!C19+1)+'DCF Model'!E45/(1+$B19)^('DCF Model'!C19+2)+'DCF Model'!F45/(1+$B19)^('DCF Model'!C19+3)+'DCF Model'!G45/(1+$B19)^('DCF Model'!C19+4)+('DCF Model'!G39+'DCF Model'!G42)*H$17/(1+$B19)^('DCF Model'!C19+4)-'DCF Model'!C16)*1000000/'DCF Model'!C15,0),"")</f>
        <v>5162</v>
      </c>
      <c r="I19" s="37">
        <f>IFERROR(ROUND(('DCF Model'!C45/(1+$B19)^('DCF Model'!C19+0)+'DCF Model'!D45/(1+$B19)^('DCF Model'!C19+1)+'DCF Model'!E45/(1+$B19)^('DCF Model'!C19+2)+'DCF Model'!F45/(1+$B19)^('DCF Model'!C19+3)+'DCF Model'!G45/(1+$B19)^('DCF Model'!C19+4)+('DCF Model'!G39+'DCF Model'!G42)*I$17/(1+$B19)^('DCF Model'!C19+4)-'DCF Model'!C16)*1000000/'DCF Model'!C15,0),"")</f>
        <v>5434</v>
      </c>
    </row>
    <row r="20" spans="2:9" ht="13.5" customHeight="1" x14ac:dyDescent="0.25">
      <c r="B20" s="39">
        <f>$C$3-0.005</f>
        <v>8.4099999999999994E-2</v>
      </c>
      <c r="C20" s="37">
        <f>IFERROR(ROUND(('DCF Model'!C45/(1+$B20)^('DCF Model'!C19+0)+'DCF Model'!D45/(1+$B20)^('DCF Model'!C19+1)+'DCF Model'!E45/(1+$B20)^('DCF Model'!C19+2)+'DCF Model'!F45/(1+$B20)^('DCF Model'!C19+3)+'DCF Model'!G45/(1+$B20)^('DCF Model'!C19+4)+('DCF Model'!G39+'DCF Model'!G42)*C$17/(1+$B20)^('DCF Model'!C19+4)-'DCF Model'!C16)*1000000/'DCF Model'!C15,0),"")</f>
        <v>3726</v>
      </c>
      <c r="D20" s="37">
        <f>IFERROR(ROUND(('DCF Model'!C45/(1+$B20)^('DCF Model'!C19+0)+'DCF Model'!D45/(1+$B20)^('DCF Model'!C19+1)+'DCF Model'!E45/(1+$B20)^('DCF Model'!C19+2)+'DCF Model'!F45/(1+$B20)^('DCF Model'!C19+3)+'DCF Model'!G45/(1+$B20)^('DCF Model'!C19+4)+('DCF Model'!G39+'DCF Model'!G42)*D$17/(1+$B20)^('DCF Model'!C19+4)-'DCF Model'!C16)*1000000/'DCF Model'!C15,0),"")</f>
        <v>3992</v>
      </c>
      <c r="E20" s="37">
        <f>IFERROR(ROUND(('DCF Model'!C45/(1+$B20)^('DCF Model'!C19+0)+'DCF Model'!D45/(1+$B20)^('DCF Model'!C19+1)+'DCF Model'!E45/(1+$B20)^('DCF Model'!C19+2)+'DCF Model'!F45/(1+$B20)^('DCF Model'!C19+3)+'DCF Model'!G45/(1+$B20)^('DCF Model'!C19+4)+('DCF Model'!G39+'DCF Model'!G42)*E$17/(1+$B20)^('DCF Model'!C19+4)-'DCF Model'!C16)*1000000/'DCF Model'!C15,0),"")</f>
        <v>4257</v>
      </c>
      <c r="F20" s="37">
        <f>IFERROR(ROUND(('DCF Model'!C45/(1+$B20)^('DCF Model'!C19+0)+'DCF Model'!D45/(1+$B20)^('DCF Model'!C19+1)+'DCF Model'!E45/(1+$B20)^('DCF Model'!C19+2)+'DCF Model'!F45/(1+$B20)^('DCF Model'!C19+3)+'DCF Model'!G45/(1+$B20)^('DCF Model'!C19+4)+('DCF Model'!G39+'DCF Model'!G42)*F$17/(1+$B20)^('DCF Model'!C19+4)-'DCF Model'!C16)*1000000/'DCF Model'!C15,0),"")</f>
        <v>4523</v>
      </c>
      <c r="G20" s="37">
        <f>IFERROR(ROUND(('DCF Model'!C45/(1+$B20)^('DCF Model'!C19+0)+'DCF Model'!D45/(1+$B20)^('DCF Model'!C19+1)+'DCF Model'!E45/(1+$B20)^('DCF Model'!C19+2)+'DCF Model'!F45/(1+$B20)^('DCF Model'!C19+3)+'DCF Model'!G45/(1+$B20)^('DCF Model'!C19+4)+('DCF Model'!G39+'DCF Model'!G42)*G$17/(1+$B20)^('DCF Model'!C19+4)-'DCF Model'!C16)*1000000/'DCF Model'!C15,0),"")</f>
        <v>4788</v>
      </c>
      <c r="H20" s="37">
        <f>IFERROR(ROUND(('DCF Model'!C45/(1+$B20)^('DCF Model'!C19+0)+'DCF Model'!D45/(1+$B20)^('DCF Model'!C19+1)+'DCF Model'!E45/(1+$B20)^('DCF Model'!C19+2)+'DCF Model'!F45/(1+$B20)^('DCF Model'!C19+3)+'DCF Model'!G45/(1+$B20)^('DCF Model'!C19+4)+('DCF Model'!G39+'DCF Model'!G42)*H$17/(1+$B20)^('DCF Model'!C19+4)-'DCF Model'!C16)*1000000/'DCF Model'!C15,0),"")</f>
        <v>5054</v>
      </c>
      <c r="I20" s="37">
        <f>IFERROR(ROUND(('DCF Model'!C45/(1+$B20)^('DCF Model'!C19+0)+'DCF Model'!D45/(1+$B20)^('DCF Model'!C19+1)+'DCF Model'!E45/(1+$B20)^('DCF Model'!C19+2)+'DCF Model'!F45/(1+$B20)^('DCF Model'!C19+3)+'DCF Model'!G45/(1+$B20)^('DCF Model'!C19+4)+('DCF Model'!G39+'DCF Model'!G42)*I$17/(1+$B20)^('DCF Model'!C19+4)-'DCF Model'!C16)*1000000/'DCF Model'!C15,0),"")</f>
        <v>5319</v>
      </c>
    </row>
    <row r="21" spans="2:9" ht="13.5" customHeight="1" x14ac:dyDescent="0.25">
      <c r="B21" s="39">
        <f>$C$3</f>
        <v>8.9099999999999999E-2</v>
      </c>
      <c r="C21" s="37">
        <f>IFERROR(ROUND(('DCF Model'!C45/(1+$B21)^('DCF Model'!C19+0)+'DCF Model'!D45/(1+$B21)^('DCF Model'!C19+1)+'DCF Model'!E45/(1+$B21)^('DCF Model'!C19+2)+'DCF Model'!F45/(1+$B21)^('DCF Model'!C19+3)+'DCF Model'!G45/(1+$B21)^('DCF Model'!C19+4)+('DCF Model'!G39+'DCF Model'!G42)*C$17/(1+$B21)^('DCF Model'!C19+4)-'DCF Model'!C16)*1000000/'DCF Model'!C15,0),"")</f>
        <v>3651</v>
      </c>
      <c r="D21" s="37">
        <f>IFERROR(ROUND(('DCF Model'!C45/(1+$B21)^('DCF Model'!C19+0)+'DCF Model'!D45/(1+$B21)^('DCF Model'!C19+1)+'DCF Model'!E45/(1+$B21)^('DCF Model'!C19+2)+'DCF Model'!F45/(1+$B21)^('DCF Model'!C19+3)+'DCF Model'!G45/(1+$B21)^('DCF Model'!C19+4)+('DCF Model'!G39+'DCF Model'!G42)*D$17/(1+$B21)^('DCF Model'!C19+4)-'DCF Model'!C16)*1000000/'DCF Model'!C15,0),"")</f>
        <v>3910</v>
      </c>
      <c r="E21" s="37">
        <f>IFERROR(ROUND(('DCF Model'!C45/(1+$B21)^('DCF Model'!C19+0)+'DCF Model'!D45/(1+$B21)^('DCF Model'!C19+1)+'DCF Model'!E45/(1+$B21)^('DCF Model'!C19+2)+'DCF Model'!F45/(1+$B21)^('DCF Model'!C19+3)+'DCF Model'!G45/(1+$B21)^('DCF Model'!C19+4)+('DCF Model'!G39+'DCF Model'!G42)*E$17/(1+$B21)^('DCF Model'!C19+4)-'DCF Model'!C16)*1000000/'DCF Model'!C15,0),"")</f>
        <v>4170</v>
      </c>
      <c r="F21" s="37">
        <f>IFERROR(ROUND(('DCF Model'!C45/(1+$B21)^('DCF Model'!C19+0)+'DCF Model'!D45/(1+$B21)^('DCF Model'!C19+1)+'DCF Model'!E45/(1+$B21)^('DCF Model'!C19+2)+'DCF Model'!F45/(1+$B21)^('DCF Model'!C19+3)+'DCF Model'!G45/(1+$B21)^('DCF Model'!C19+4)+('DCF Model'!G39+'DCF Model'!G42)*F$17/(1+$B21)^('DCF Model'!C19+4)-'DCF Model'!C16)*1000000/'DCF Model'!C15,0),"")</f>
        <v>4429</v>
      </c>
      <c r="G21" s="37">
        <f>IFERROR(ROUND(('DCF Model'!C45/(1+$B21)^('DCF Model'!C19+0)+'DCF Model'!D45/(1+$B21)^('DCF Model'!C19+1)+'DCF Model'!E45/(1+$B21)^('DCF Model'!C19+2)+'DCF Model'!F45/(1+$B21)^('DCF Model'!C19+3)+'DCF Model'!G45/(1+$B21)^('DCF Model'!C19+4)+('DCF Model'!G39+'DCF Model'!G42)*G$17/(1+$B21)^('DCF Model'!C19+4)-'DCF Model'!C16)*1000000/'DCF Model'!C15,0),"")</f>
        <v>4689</v>
      </c>
      <c r="H21" s="37">
        <f>IFERROR(ROUND(('DCF Model'!C45/(1+$B21)^('DCF Model'!C19+0)+'DCF Model'!D45/(1+$B21)^('DCF Model'!C19+1)+'DCF Model'!E45/(1+$B21)^('DCF Model'!C19+2)+'DCF Model'!F45/(1+$B21)^('DCF Model'!C19+3)+'DCF Model'!G45/(1+$B21)^('DCF Model'!C19+4)+('DCF Model'!G39+'DCF Model'!G42)*H$17/(1+$B21)^('DCF Model'!C19+4)-'DCF Model'!C16)*1000000/'DCF Model'!C15,0),"")</f>
        <v>4948</v>
      </c>
      <c r="I21" s="37">
        <f>IFERROR(ROUND(('DCF Model'!C45/(1+$B21)^('DCF Model'!C19+0)+'DCF Model'!D45/(1+$B21)^('DCF Model'!C19+1)+'DCF Model'!E45/(1+$B21)^('DCF Model'!C19+2)+'DCF Model'!F45/(1+$B21)^('DCF Model'!C19+3)+'DCF Model'!G45/(1+$B21)^('DCF Model'!C19+4)+('DCF Model'!G39+'DCF Model'!G42)*I$17/(1+$B21)^('DCF Model'!C19+4)-'DCF Model'!C16)*1000000/'DCF Model'!C15,0),"")</f>
        <v>5208</v>
      </c>
    </row>
    <row r="22" spans="2:9" ht="13.5" customHeight="1" x14ac:dyDescent="0.25">
      <c r="B22" s="39">
        <f>$C$3+0.005</f>
        <v>9.4100000000000003E-2</v>
      </c>
      <c r="C22" s="37">
        <f>IFERROR(ROUND(('DCF Model'!C45/(1+$B22)^('DCF Model'!C19+0)+'DCF Model'!D45/(1+$B22)^('DCF Model'!C19+1)+'DCF Model'!E45/(1+$B22)^('DCF Model'!C19+2)+'DCF Model'!F45/(1+$B22)^('DCF Model'!C19+3)+'DCF Model'!G45/(1+$B22)^('DCF Model'!C19+4)+('DCF Model'!G39+'DCF Model'!G42)*C$17/(1+$B22)^('DCF Model'!C19+4)-'DCF Model'!C16)*1000000/'DCF Model'!C15,0),"")</f>
        <v>3577</v>
      </c>
      <c r="D22" s="37">
        <f>IFERROR(ROUND(('DCF Model'!C45/(1+$B22)^('DCF Model'!C19+0)+'DCF Model'!D45/(1+$B22)^('DCF Model'!C19+1)+'DCF Model'!E45/(1+$B22)^('DCF Model'!C19+2)+'DCF Model'!F45/(1+$B22)^('DCF Model'!C19+3)+'DCF Model'!G45/(1+$B22)^('DCF Model'!C19+4)+('DCF Model'!G39+'DCF Model'!G42)*D$17/(1+$B22)^('DCF Model'!C19+4)-'DCF Model'!C16)*1000000/'DCF Model'!C15,0),"")</f>
        <v>3831</v>
      </c>
      <c r="E22" s="37">
        <f>IFERROR(ROUND(('DCF Model'!C45/(1+$B22)^('DCF Model'!C19+0)+'DCF Model'!D45/(1+$B22)^('DCF Model'!C19+1)+'DCF Model'!E45/(1+$B22)^('DCF Model'!C19+2)+'DCF Model'!F45/(1+$B22)^('DCF Model'!C19+3)+'DCF Model'!G45/(1+$B22)^('DCF Model'!C19+4)+('DCF Model'!G39+'DCF Model'!G42)*E$17/(1+$B22)^('DCF Model'!C19+4)-'DCF Model'!C16)*1000000/'DCF Model'!C15,0),"")</f>
        <v>4084</v>
      </c>
      <c r="F22" s="37">
        <f>IFERROR(ROUND(('DCF Model'!C45/(1+$B22)^('DCF Model'!C19+0)+'DCF Model'!D45/(1+$B22)^('DCF Model'!C19+1)+'DCF Model'!E45/(1+$B22)^('DCF Model'!C19+2)+'DCF Model'!F45/(1+$B22)^('DCF Model'!C19+3)+'DCF Model'!G45/(1+$B22)^('DCF Model'!C19+4)+('DCF Model'!G39+'DCF Model'!G42)*F$17/(1+$B22)^('DCF Model'!C19+4)-'DCF Model'!C16)*1000000/'DCF Model'!C15,0),"")</f>
        <v>4338</v>
      </c>
      <c r="G22" s="37">
        <f>IFERROR(ROUND(('DCF Model'!C45/(1+$B22)^('DCF Model'!C19+0)+'DCF Model'!D45/(1+$B22)^('DCF Model'!C19+1)+'DCF Model'!E45/(1+$B22)^('DCF Model'!C19+2)+'DCF Model'!F45/(1+$B22)^('DCF Model'!C19+3)+'DCF Model'!G45/(1+$B22)^('DCF Model'!C19+4)+('DCF Model'!G39+'DCF Model'!G42)*G$17/(1+$B22)^('DCF Model'!C19+4)-'DCF Model'!C16)*1000000/'DCF Model'!C15,0),"")</f>
        <v>4592</v>
      </c>
      <c r="H22" s="37">
        <f>IFERROR(ROUND(('DCF Model'!C45/(1+$B22)^('DCF Model'!C19+0)+'DCF Model'!D45/(1+$B22)^('DCF Model'!C19+1)+'DCF Model'!E45/(1+$B22)^('DCF Model'!C19+2)+'DCF Model'!F45/(1+$B22)^('DCF Model'!C19+3)+'DCF Model'!G45/(1+$B22)^('DCF Model'!C19+4)+('DCF Model'!G39+'DCF Model'!G42)*H$17/(1+$B22)^('DCF Model'!C19+4)-'DCF Model'!C16)*1000000/'DCF Model'!C15,0),"")</f>
        <v>4845</v>
      </c>
      <c r="I22" s="37">
        <f>IFERROR(ROUND(('DCF Model'!C45/(1+$B22)^('DCF Model'!C19+0)+'DCF Model'!D45/(1+$B22)^('DCF Model'!C19+1)+'DCF Model'!E45/(1+$B22)^('DCF Model'!C19+2)+'DCF Model'!F45/(1+$B22)^('DCF Model'!C19+3)+'DCF Model'!G45/(1+$B22)^('DCF Model'!C19+4)+('DCF Model'!G39+'DCF Model'!G42)*I$17/(1+$B22)^('DCF Model'!C19+4)-'DCF Model'!C16)*1000000/'DCF Model'!C15,0),"")</f>
        <v>5099</v>
      </c>
    </row>
    <row r="23" spans="2:9" ht="13.5" customHeight="1" x14ac:dyDescent="0.25">
      <c r="B23" s="39">
        <f>$C$3+0.01</f>
        <v>9.9099999999999994E-2</v>
      </c>
      <c r="C23" s="37">
        <f>IFERROR(ROUND(('DCF Model'!C45/(1+$B23)^('DCF Model'!C19+0)+'DCF Model'!D45/(1+$B23)^('DCF Model'!C19+1)+'DCF Model'!E45/(1+$B23)^('DCF Model'!C19+2)+'DCF Model'!F45/(1+$B23)^('DCF Model'!C19+3)+'DCF Model'!G45/(1+$B23)^('DCF Model'!C19+4)+('DCF Model'!G39+'DCF Model'!G42)*C$17/(1+$B23)^('DCF Model'!C19+4)-'DCF Model'!C16)*1000000/'DCF Model'!C15,0),"")</f>
        <v>3506</v>
      </c>
      <c r="D23" s="37">
        <f>IFERROR(ROUND(('DCF Model'!C45/(1+$B23)^('DCF Model'!C19+0)+'DCF Model'!D45/(1+$B23)^('DCF Model'!C19+1)+'DCF Model'!E45/(1+$B23)^('DCF Model'!C19+2)+'DCF Model'!F45/(1+$B23)^('DCF Model'!C19+3)+'DCF Model'!G45/(1+$B23)^('DCF Model'!C19+4)+('DCF Model'!G39+'DCF Model'!G42)*D$17/(1+$B23)^('DCF Model'!C19+4)-'DCF Model'!C16)*1000000/'DCF Model'!C15,0),"")</f>
        <v>3754</v>
      </c>
      <c r="E23" s="37">
        <f>IFERROR(ROUND(('DCF Model'!C45/(1+$B23)^('DCF Model'!C19+0)+'DCF Model'!D45/(1+$B23)^('DCF Model'!C19+1)+'DCF Model'!E45/(1+$B23)^('DCF Model'!C19+2)+'DCF Model'!F45/(1+$B23)^('DCF Model'!C19+3)+'DCF Model'!G45/(1+$B23)^('DCF Model'!C19+4)+('DCF Model'!G39+'DCF Model'!G42)*E$17/(1+$B23)^('DCF Model'!C19+4)-'DCF Model'!C16)*1000000/'DCF Model'!C15,0),"")</f>
        <v>4001</v>
      </c>
      <c r="F23" s="37">
        <f>IFERROR(ROUND(('DCF Model'!C45/(1+$B23)^('DCF Model'!C19+0)+'DCF Model'!D45/(1+$B23)^('DCF Model'!C19+1)+'DCF Model'!E45/(1+$B23)^('DCF Model'!C19+2)+'DCF Model'!F45/(1+$B23)^('DCF Model'!C19+3)+'DCF Model'!G45/(1+$B23)^('DCF Model'!C19+4)+('DCF Model'!G39+'DCF Model'!G42)*F$17/(1+$B23)^('DCF Model'!C19+4)-'DCF Model'!C16)*1000000/'DCF Model'!C15,0),"")</f>
        <v>4249</v>
      </c>
      <c r="G23" s="37">
        <f>IFERROR(ROUND(('DCF Model'!C45/(1+$B23)^('DCF Model'!C19+0)+'DCF Model'!D45/(1+$B23)^('DCF Model'!C19+1)+'DCF Model'!E45/(1+$B23)^('DCF Model'!C19+2)+'DCF Model'!F45/(1+$B23)^('DCF Model'!C19+3)+'DCF Model'!G45/(1+$B23)^('DCF Model'!C19+4)+('DCF Model'!G39+'DCF Model'!G42)*G$17/(1+$B23)^('DCF Model'!C19+4)-'DCF Model'!C16)*1000000/'DCF Model'!C15,0),"")</f>
        <v>4497</v>
      </c>
      <c r="H23" s="37">
        <f>IFERROR(ROUND(('DCF Model'!C45/(1+$B23)^('DCF Model'!C19+0)+'DCF Model'!D45/(1+$B23)^('DCF Model'!C19+1)+'DCF Model'!E45/(1+$B23)^('DCF Model'!C19+2)+'DCF Model'!F45/(1+$B23)^('DCF Model'!C19+3)+'DCF Model'!G45/(1+$B23)^('DCF Model'!C19+4)+('DCF Model'!G39+'DCF Model'!G42)*H$17/(1+$B23)^('DCF Model'!C19+4)-'DCF Model'!C16)*1000000/'DCF Model'!C15,0),"")</f>
        <v>4745</v>
      </c>
      <c r="I23" s="37">
        <f>IFERROR(ROUND(('DCF Model'!C45/(1+$B23)^('DCF Model'!C19+0)+'DCF Model'!D45/(1+$B23)^('DCF Model'!C19+1)+'DCF Model'!E45/(1+$B23)^('DCF Model'!C19+2)+'DCF Model'!F45/(1+$B23)^('DCF Model'!C19+3)+'DCF Model'!G45/(1+$B23)^('DCF Model'!C19+4)+('DCF Model'!G39+'DCF Model'!G42)*I$17/(1+$B23)^('DCF Model'!C19+4)-'DCF Model'!C16)*1000000/'DCF Model'!C15,0),"")</f>
        <v>4993</v>
      </c>
    </row>
    <row r="24" spans="2:9" ht="13.5" customHeight="1" x14ac:dyDescent="0.25">
      <c r="B24" s="39">
        <f>$C$3+0.015</f>
        <v>0.1041</v>
      </c>
      <c r="C24" s="37">
        <f>IFERROR(ROUND(('DCF Model'!C45/(1+$B24)^('DCF Model'!C19+0)+'DCF Model'!D45/(1+$B24)^('DCF Model'!C19+1)+'DCF Model'!E45/(1+$B24)^('DCF Model'!C19+2)+'DCF Model'!F45/(1+$B24)^('DCF Model'!C19+3)+'DCF Model'!G45/(1+$B24)^('DCF Model'!C19+4)+('DCF Model'!G39+'DCF Model'!G42)*C$17/(1+$B24)^('DCF Model'!C19+4)-'DCF Model'!C16)*1000000/'DCF Model'!C15,0),"")</f>
        <v>3436</v>
      </c>
      <c r="D24" s="37">
        <f>IFERROR(ROUND(('DCF Model'!C45/(1+$B24)^('DCF Model'!C19+0)+'DCF Model'!D45/(1+$B24)^('DCF Model'!C19+1)+'DCF Model'!E45/(1+$B24)^('DCF Model'!C19+2)+'DCF Model'!F45/(1+$B24)^('DCF Model'!C19+3)+'DCF Model'!G45/(1+$B24)^('DCF Model'!C19+4)+('DCF Model'!G39+'DCF Model'!G42)*D$17/(1+$B24)^('DCF Model'!C19+4)-'DCF Model'!C16)*1000000/'DCF Model'!C15,0),"")</f>
        <v>3678</v>
      </c>
      <c r="E24" s="37">
        <f>IFERROR(ROUND(('DCF Model'!C45/(1+$B24)^('DCF Model'!C19+0)+'DCF Model'!D45/(1+$B24)^('DCF Model'!C19+1)+'DCF Model'!E45/(1+$B24)^('DCF Model'!C19+2)+'DCF Model'!F45/(1+$B24)^('DCF Model'!C19+3)+'DCF Model'!G45/(1+$B24)^('DCF Model'!C19+4)+('DCF Model'!G39+'DCF Model'!G42)*E$17/(1+$B24)^('DCF Model'!C19+4)-'DCF Model'!C16)*1000000/'DCF Model'!C15,0),"")</f>
        <v>3921</v>
      </c>
      <c r="F24" s="37">
        <f>IFERROR(ROUND(('DCF Model'!C45/(1+$B24)^('DCF Model'!C19+0)+'DCF Model'!D45/(1+$B24)^('DCF Model'!C19+1)+'DCF Model'!E45/(1+$B24)^('DCF Model'!C19+2)+'DCF Model'!F45/(1+$B24)^('DCF Model'!C19+3)+'DCF Model'!G45/(1+$B24)^('DCF Model'!C19+4)+('DCF Model'!G39+'DCF Model'!G42)*F$17/(1+$B24)^('DCF Model'!C19+4)-'DCF Model'!C16)*1000000/'DCF Model'!C15,0),"")</f>
        <v>4163</v>
      </c>
      <c r="G24" s="37">
        <f>IFERROR(ROUND(('DCF Model'!C45/(1+$B24)^('DCF Model'!C19+0)+'DCF Model'!D45/(1+$B24)^('DCF Model'!C19+1)+'DCF Model'!E45/(1+$B24)^('DCF Model'!C19+2)+'DCF Model'!F45/(1+$B24)^('DCF Model'!C19+3)+'DCF Model'!G45/(1+$B24)^('DCF Model'!C19+4)+('DCF Model'!G39+'DCF Model'!G42)*G$17/(1+$B24)^('DCF Model'!C19+4)-'DCF Model'!C16)*1000000/'DCF Model'!C15,0),"")</f>
        <v>4405</v>
      </c>
      <c r="H24" s="37">
        <f>IFERROR(ROUND(('DCF Model'!C45/(1+$B24)^('DCF Model'!C19+0)+'DCF Model'!D45/(1+$B24)^('DCF Model'!C19+1)+'DCF Model'!E45/(1+$B24)^('DCF Model'!C19+2)+'DCF Model'!F45/(1+$B24)^('DCF Model'!C19+3)+'DCF Model'!G45/(1+$B24)^('DCF Model'!C19+4)+('DCF Model'!G39+'DCF Model'!G42)*H$17/(1+$B24)^('DCF Model'!C19+4)-'DCF Model'!C16)*1000000/'DCF Model'!C15,0),"")</f>
        <v>4648</v>
      </c>
      <c r="I24" s="37">
        <f>IFERROR(ROUND(('DCF Model'!C45/(1+$B24)^('DCF Model'!C19+0)+'DCF Model'!D45/(1+$B24)^('DCF Model'!C19+1)+'DCF Model'!E45/(1+$B24)^('DCF Model'!C19+2)+'DCF Model'!F45/(1+$B24)^('DCF Model'!C19+3)+'DCF Model'!G45/(1+$B24)^('DCF Model'!C19+4)+('DCF Model'!G39+'DCF Model'!G42)*I$17/(1+$B24)^('DCF Model'!C19+4)-'DCF Model'!C16)*1000000/'DCF Model'!C15,0),"")</f>
        <v>4890</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251</v>
      </c>
      <c r="C6" s="4" t="s">
        <v>252</v>
      </c>
      <c r="D6" s="43" t="s">
        <v>253</v>
      </c>
      <c r="E6" s="43" t="s">
        <v>254</v>
      </c>
      <c r="F6" s="43" t="s">
        <v>255</v>
      </c>
      <c r="G6" s="43" t="s">
        <v>256</v>
      </c>
    </row>
    <row r="7" spans="2:7" ht="30" customHeight="1" x14ac:dyDescent="0.3">
      <c r="B7" s="43" t="s">
        <v>251</v>
      </c>
      <c r="C7" s="4" t="s">
        <v>257</v>
      </c>
      <c r="D7" s="43" t="s">
        <v>258</v>
      </c>
      <c r="E7" s="43" t="s">
        <v>259</v>
      </c>
      <c r="F7" s="43" t="s">
        <v>260</v>
      </c>
      <c r="G7" s="43" t="s">
        <v>261</v>
      </c>
    </row>
    <row r="8" spans="2:7" ht="30" customHeight="1" x14ac:dyDescent="0.3">
      <c r="B8" s="43" t="s">
        <v>251</v>
      </c>
      <c r="C8" s="4" t="s">
        <v>262</v>
      </c>
      <c r="D8" s="43" t="s">
        <v>263</v>
      </c>
      <c r="E8" s="43" t="s">
        <v>264</v>
      </c>
      <c r="F8" s="43" t="s">
        <v>265</v>
      </c>
      <c r="G8" s="43" t="s">
        <v>261</v>
      </c>
    </row>
    <row r="9" spans="2:7" ht="30" customHeight="1" x14ac:dyDescent="0.3">
      <c r="B9" s="43" t="s">
        <v>251</v>
      </c>
      <c r="C9" s="4" t="s">
        <v>266</v>
      </c>
      <c r="D9" s="43" t="s">
        <v>267</v>
      </c>
      <c r="E9" s="43" t="s">
        <v>268</v>
      </c>
      <c r="F9" s="43" t="s">
        <v>269</v>
      </c>
      <c r="G9" s="43" t="s">
        <v>256</v>
      </c>
    </row>
    <row r="10" spans="2:7" ht="30" customHeight="1" x14ac:dyDescent="0.3">
      <c r="B10" s="43" t="s">
        <v>251</v>
      </c>
      <c r="C10" s="4" t="s">
        <v>270</v>
      </c>
      <c r="D10" s="43" t="s">
        <v>271</v>
      </c>
      <c r="E10" s="43" t="s">
        <v>272</v>
      </c>
      <c r="F10" s="43" t="s">
        <v>273</v>
      </c>
      <c r="G10" s="43" t="s">
        <v>274</v>
      </c>
    </row>
    <row r="11" spans="2:7" ht="30" customHeight="1" x14ac:dyDescent="0.3">
      <c r="B11" s="43" t="s">
        <v>251</v>
      </c>
      <c r="C11" s="4" t="s">
        <v>275</v>
      </c>
      <c r="D11" s="43" t="s">
        <v>276</v>
      </c>
      <c r="E11" s="43" t="s">
        <v>277</v>
      </c>
      <c r="F11" s="43" t="s">
        <v>278</v>
      </c>
      <c r="G11" s="43" t="s">
        <v>261</v>
      </c>
    </row>
    <row r="12" spans="2:7" ht="30" customHeight="1" x14ac:dyDescent="0.3">
      <c r="B12" s="43" t="s">
        <v>251</v>
      </c>
      <c r="C12" s="4" t="s">
        <v>279</v>
      </c>
      <c r="D12" s="43" t="s">
        <v>280</v>
      </c>
      <c r="E12" s="43" t="s">
        <v>281</v>
      </c>
      <c r="F12" s="43" t="s">
        <v>282</v>
      </c>
      <c r="G12" s="43" t="s">
        <v>261</v>
      </c>
    </row>
    <row r="13" spans="2:7" ht="30" customHeight="1" x14ac:dyDescent="0.3">
      <c r="B13" s="43" t="s">
        <v>251</v>
      </c>
      <c r="C13" s="4" t="s">
        <v>283</v>
      </c>
      <c r="D13" s="43" t="s">
        <v>284</v>
      </c>
      <c r="E13" s="43" t="s">
        <v>285</v>
      </c>
      <c r="F13" s="43" t="s">
        <v>286</v>
      </c>
      <c r="G13" s="43" t="s">
        <v>261</v>
      </c>
    </row>
    <row r="14" spans="2:7" ht="30" customHeight="1" x14ac:dyDescent="0.3">
      <c r="B14" s="43" t="s">
        <v>251</v>
      </c>
      <c r="C14" s="4" t="s">
        <v>287</v>
      </c>
      <c r="D14" s="43" t="s">
        <v>288</v>
      </c>
      <c r="E14" s="43" t="s">
        <v>289</v>
      </c>
      <c r="F14" s="43" t="s">
        <v>247</v>
      </c>
      <c r="G14" s="43" t="s">
        <v>261</v>
      </c>
    </row>
    <row r="15" spans="2:7" ht="30" customHeight="1" x14ac:dyDescent="0.3">
      <c r="B15" s="43" t="s">
        <v>251</v>
      </c>
      <c r="C15" s="4" t="s">
        <v>290</v>
      </c>
      <c r="D15" s="43" t="s">
        <v>291</v>
      </c>
      <c r="E15" s="43" t="s">
        <v>292</v>
      </c>
      <c r="F15" s="43" t="s">
        <v>293</v>
      </c>
      <c r="G15" s="43" t="s">
        <v>261</v>
      </c>
    </row>
    <row r="16" spans="2:7" ht="30" customHeight="1" x14ac:dyDescent="0.3">
      <c r="B16" s="43" t="s">
        <v>251</v>
      </c>
      <c r="C16" s="4" t="s">
        <v>294</v>
      </c>
      <c r="D16" s="43" t="s">
        <v>295</v>
      </c>
      <c r="E16" s="43" t="s">
        <v>296</v>
      </c>
      <c r="F16" s="43" t="s">
        <v>265</v>
      </c>
      <c r="G16" s="43" t="s">
        <v>261</v>
      </c>
    </row>
    <row r="17" spans="2:7" ht="30" customHeight="1" x14ac:dyDescent="0.3">
      <c r="B17" s="43" t="s">
        <v>251</v>
      </c>
      <c r="C17" s="4" t="s">
        <v>297</v>
      </c>
      <c r="D17" s="43" t="s">
        <v>298</v>
      </c>
      <c r="E17" s="43" t="s">
        <v>299</v>
      </c>
      <c r="F17" s="43" t="s">
        <v>247</v>
      </c>
      <c r="G17" s="43" t="s">
        <v>256</v>
      </c>
    </row>
    <row r="18" spans="2:7" ht="30" customHeight="1" x14ac:dyDescent="0.3">
      <c r="B18" s="43" t="s">
        <v>251</v>
      </c>
      <c r="C18" s="4" t="s">
        <v>300</v>
      </c>
      <c r="D18" s="43" t="s">
        <v>301</v>
      </c>
      <c r="E18" s="43" t="s">
        <v>302</v>
      </c>
      <c r="F18" s="43" t="s">
        <v>303</v>
      </c>
      <c r="G18" s="43" t="s">
        <v>304</v>
      </c>
    </row>
    <row r="19" spans="2:7" ht="30" customHeight="1" x14ac:dyDescent="0.3">
      <c r="B19" s="43" t="s">
        <v>251</v>
      </c>
      <c r="C19" s="4" t="s">
        <v>305</v>
      </c>
      <c r="D19" s="43" t="s">
        <v>306</v>
      </c>
      <c r="E19" s="43" t="s">
        <v>307</v>
      </c>
      <c r="F19" s="43" t="s">
        <v>247</v>
      </c>
      <c r="G19" s="43" t="s">
        <v>308</v>
      </c>
    </row>
    <row r="20" spans="2:7" ht="30" customHeight="1" x14ac:dyDescent="0.3">
      <c r="B20" s="43" t="s">
        <v>251</v>
      </c>
      <c r="C20" s="4" t="s">
        <v>309</v>
      </c>
      <c r="D20" s="43" t="s">
        <v>310</v>
      </c>
      <c r="E20" s="43" t="s">
        <v>311</v>
      </c>
      <c r="F20" s="43" t="s">
        <v>265</v>
      </c>
      <c r="G20" s="43" t="s">
        <v>261</v>
      </c>
    </row>
    <row r="21" spans="2:7" ht="30" customHeight="1" x14ac:dyDescent="0.3">
      <c r="B21" s="43" t="s">
        <v>251</v>
      </c>
      <c r="C21" s="4" t="s">
        <v>312</v>
      </c>
      <c r="D21" s="43" t="s">
        <v>313</v>
      </c>
      <c r="E21" s="43" t="s">
        <v>314</v>
      </c>
      <c r="F21" s="43" t="s">
        <v>247</v>
      </c>
      <c r="G21" s="43" t="s">
        <v>261</v>
      </c>
    </row>
    <row r="22" spans="2:7" ht="30" customHeight="1" x14ac:dyDescent="0.3">
      <c r="B22" s="43" t="s">
        <v>251</v>
      </c>
      <c r="C22" s="4" t="s">
        <v>315</v>
      </c>
      <c r="D22" s="43" t="s">
        <v>316</v>
      </c>
      <c r="E22" s="43" t="s">
        <v>317</v>
      </c>
      <c r="F22" s="43" t="s">
        <v>247</v>
      </c>
      <c r="G22" s="43" t="s">
        <v>256</v>
      </c>
    </row>
    <row r="23" spans="2:7" ht="30" customHeight="1" x14ac:dyDescent="0.3">
      <c r="B23" s="43" t="s">
        <v>251</v>
      </c>
      <c r="C23" s="4" t="s">
        <v>318</v>
      </c>
      <c r="D23" s="43" t="s">
        <v>319</v>
      </c>
      <c r="E23" s="43" t="s">
        <v>320</v>
      </c>
      <c r="F23" s="43" t="s">
        <v>247</v>
      </c>
      <c r="G23" s="43" t="s">
        <v>321</v>
      </c>
    </row>
    <row r="24" spans="2:7" ht="30" customHeight="1" x14ac:dyDescent="0.3">
      <c r="B24" s="43" t="s">
        <v>251</v>
      </c>
      <c r="C24" s="4" t="s">
        <v>322</v>
      </c>
      <c r="D24" s="43" t="s">
        <v>323</v>
      </c>
      <c r="E24" s="43" t="s">
        <v>324</v>
      </c>
      <c r="F24" s="43" t="s">
        <v>247</v>
      </c>
      <c r="G24" s="43" t="s">
        <v>325</v>
      </c>
    </row>
    <row r="25" spans="2:7" ht="30" customHeight="1" x14ac:dyDescent="0.3">
      <c r="B25" s="43" t="s">
        <v>251</v>
      </c>
      <c r="C25" s="4" t="s">
        <v>322</v>
      </c>
      <c r="D25" s="43" t="s">
        <v>326</v>
      </c>
      <c r="E25" s="43" t="s">
        <v>327</v>
      </c>
      <c r="F25" s="43" t="s">
        <v>247</v>
      </c>
      <c r="G25" s="43" t="s">
        <v>325</v>
      </c>
    </row>
    <row r="26" spans="2:7" ht="30" customHeight="1" x14ac:dyDescent="0.3">
      <c r="B26" s="43" t="s">
        <v>251</v>
      </c>
      <c r="C26" s="4" t="s">
        <v>322</v>
      </c>
      <c r="D26" s="43" t="s">
        <v>328</v>
      </c>
      <c r="E26" s="43" t="s">
        <v>329</v>
      </c>
      <c r="F26" s="43" t="s">
        <v>247</v>
      </c>
      <c r="G26" s="43" t="s">
        <v>325</v>
      </c>
    </row>
    <row r="27" spans="2:7" ht="14" customHeight="1" x14ac:dyDescent="0.2"/>
    <row r="28" spans="2:7" ht="14" customHeight="1" x14ac:dyDescent="0.3">
      <c r="B28" s="8" t="s">
        <v>330</v>
      </c>
    </row>
    <row r="29" spans="2:7" ht="14" customHeight="1" x14ac:dyDescent="0.3">
      <c r="B29" s="10" t="s">
        <v>331</v>
      </c>
      <c r="C29" s="10" t="s">
        <v>332</v>
      </c>
    </row>
    <row r="30" spans="2:7" ht="14" customHeight="1" x14ac:dyDescent="0.3">
      <c r="B30" s="4" t="s">
        <v>333</v>
      </c>
      <c r="C30" t="s">
        <v>334</v>
      </c>
    </row>
    <row r="31" spans="2:7" ht="14" customHeight="1" x14ac:dyDescent="0.3">
      <c r="B31" s="4" t="s">
        <v>335</v>
      </c>
      <c r="C31" t="s">
        <v>336</v>
      </c>
    </row>
    <row r="32" spans="2:7" ht="14" customHeight="1" x14ac:dyDescent="0.3">
      <c r="B32" s="4" t="s">
        <v>337</v>
      </c>
      <c r="C32" t="s">
        <v>338</v>
      </c>
    </row>
    <row r="33" spans="2:3" ht="14" customHeight="1" x14ac:dyDescent="0.3">
      <c r="B33" s="4" t="s">
        <v>339</v>
      </c>
      <c r="C33" t="s">
        <v>42</v>
      </c>
    </row>
    <row r="34" spans="2:3" ht="14" customHeight="1" x14ac:dyDescent="0.3">
      <c r="B34" s="4" t="s">
        <v>340</v>
      </c>
      <c r="C34" t="s">
        <v>4</v>
      </c>
    </row>
    <row r="35" spans="2:3" ht="14" customHeight="1" x14ac:dyDescent="0.3">
      <c r="B35" s="4" t="s">
        <v>341</v>
      </c>
      <c r="C35" t="s">
        <v>246</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347</v>
      </c>
    </row>
    <row r="42" spans="2:3" ht="14" customHeight="1" x14ac:dyDescent="0.3">
      <c r="B42" s="4" t="s">
        <v>353</v>
      </c>
      <c r="C42" t="s">
        <v>343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336</v>
      </c>
    </row>
    <row r="47" spans="2:3" ht="14" x14ac:dyDescent="0.3">
      <c r="B47" s="4" t="s">
        <v>361</v>
      </c>
      <c r="C47" t="s">
        <v>336</v>
      </c>
    </row>
    <row r="48" spans="2:3" ht="14" x14ac:dyDescent="0.3">
      <c r="B48" s="4" t="s">
        <v>362</v>
      </c>
      <c r="C48" t="s">
        <v>363</v>
      </c>
    </row>
    <row r="49" spans="2:3" ht="14" x14ac:dyDescent="0.3">
      <c r="B49" s="4" t="s">
        <v>364</v>
      </c>
      <c r="C49" t="s">
        <v>365</v>
      </c>
    </row>
    <row r="50" spans="2:3" ht="14" x14ac:dyDescent="0.3">
      <c r="B50" s="4" t="s">
        <v>366</v>
      </c>
      <c r="C50" t="s">
        <v>367</v>
      </c>
    </row>
    <row r="51" spans="2:3" ht="14" x14ac:dyDescent="0.3">
      <c r="B51" s="4" t="s">
        <v>368</v>
      </c>
      <c r="C51" t="s">
        <v>369</v>
      </c>
    </row>
    <row r="52" spans="2:3" ht="14" x14ac:dyDescent="0.3">
      <c r="B52" s="4" t="s">
        <v>370</v>
      </c>
      <c r="C52" t="s">
        <v>371</v>
      </c>
    </row>
    <row r="53" spans="2:3" ht="14" x14ac:dyDescent="0.3">
      <c r="B53" s="4" t="s">
        <v>372</v>
      </c>
      <c r="C53" t="s">
        <v>373</v>
      </c>
    </row>
    <row r="54" spans="2:3" ht="14" x14ac:dyDescent="0.3">
      <c r="B54" s="4" t="s">
        <v>374</v>
      </c>
      <c r="C54" t="s">
        <v>375</v>
      </c>
    </row>
    <row r="55" spans="2:3" ht="14" x14ac:dyDescent="0.3">
      <c r="B55" s="4" t="s">
        <v>376</v>
      </c>
      <c r="C55" t="s">
        <v>377</v>
      </c>
    </row>
    <row r="56" spans="2:3" ht="14" x14ac:dyDescent="0.3">
      <c r="B56" s="4" t="s">
        <v>378</v>
      </c>
      <c r="C56" t="s">
        <v>379</v>
      </c>
    </row>
    <row r="57" spans="2:3" ht="14" x14ac:dyDescent="0.3">
      <c r="B57" s="4" t="s">
        <v>380</v>
      </c>
      <c r="C57" t="s">
        <v>381</v>
      </c>
    </row>
    <row r="58" spans="2:3" ht="14" x14ac:dyDescent="0.3">
      <c r="B58" s="4" t="s">
        <v>382</v>
      </c>
      <c r="C58" t="s">
        <v>383</v>
      </c>
    </row>
    <row r="59" spans="2:3" ht="14" x14ac:dyDescent="0.3">
      <c r="B59" s="4" t="s">
        <v>384</v>
      </c>
      <c r="C59" t="s">
        <v>385</v>
      </c>
    </row>
    <row r="60" spans="2:3" ht="14" x14ac:dyDescent="0.3">
      <c r="B60" s="4" t="s">
        <v>386</v>
      </c>
      <c r="C60" t="s">
        <v>387</v>
      </c>
    </row>
    <row r="61" spans="2:3" ht="14" x14ac:dyDescent="0.3">
      <c r="B61" s="4" t="s">
        <v>388</v>
      </c>
      <c r="C61" t="s">
        <v>389</v>
      </c>
    </row>
    <row r="62" spans="2:3" ht="14" x14ac:dyDescent="0.3">
      <c r="B62" s="4" t="s">
        <v>390</v>
      </c>
      <c r="C62"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2026-09-06T02:06:15Z</dcterms:created>
  <dcterms:modified xsi:type="dcterms:W3CDTF">2026-09-06T02:33:32Z</dcterms:modified>
</cp:coreProperties>
</file>