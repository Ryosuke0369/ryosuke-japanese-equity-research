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0F6F548-57D8-459D-9333-F96FE091BEAB}"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F16" i="6" s="1"/>
  <c r="C28" i="6" s="1"/>
  <c r="C19" i="1" s="1"/>
  <c r="D19" i="1" s="1"/>
  <c r="K6" i="6"/>
  <c r="J6" i="6"/>
  <c r="O5" i="6"/>
  <c r="N5" i="6"/>
  <c r="D5" i="6"/>
  <c r="E5" i="6" s="1"/>
  <c r="C16" i="5"/>
  <c r="C14" i="5"/>
  <c r="C18" i="5" s="1"/>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8" i="2"/>
  <c r="F9" i="2" s="1"/>
  <c r="E8" i="2"/>
  <c r="E9" i="2" s="1"/>
  <c r="D8" i="2"/>
  <c r="D9" i="2" s="1"/>
  <c r="C8" i="2"/>
  <c r="C9" i="2" s="1"/>
  <c r="H15" i="6" l="1"/>
  <c r="I16" i="6"/>
  <c r="F15" i="6"/>
  <c r="C26" i="3"/>
  <c r="C11" i="4" s="1"/>
  <c r="C24" i="4" s="1"/>
  <c r="C25" i="4" s="1"/>
  <c r="H16" i="6"/>
  <c r="D17" i="6"/>
  <c r="E15" i="6"/>
  <c r="C3" i="7"/>
  <c r="G36" i="4"/>
  <c r="F36" i="4"/>
  <c r="D36" i="4"/>
  <c r="D46" i="3"/>
  <c r="E36" i="4"/>
  <c r="E46" i="3"/>
  <c r="H36" i="4"/>
  <c r="C70" i="4"/>
  <c r="C71" i="4"/>
  <c r="J5" i="6"/>
  <c r="K5" i="6"/>
  <c r="C31" i="3"/>
  <c r="G6" i="5"/>
  <c r="C30" i="3"/>
  <c r="C33" i="3" s="1"/>
  <c r="F31" i="3"/>
  <c r="H5" i="5"/>
  <c r="D7" i="5"/>
  <c r="I15" i="6"/>
  <c r="E17" i="6"/>
  <c r="I6" i="7"/>
  <c r="D30" i="3"/>
  <c r="G31" i="3"/>
  <c r="E7" i="5"/>
  <c r="L5" i="6"/>
  <c r="D16" i="6"/>
  <c r="F17" i="6"/>
  <c r="C17" i="7"/>
  <c r="E30" i="3"/>
  <c r="C32" i="3"/>
  <c r="D6" i="5"/>
  <c r="F7" i="5"/>
  <c r="M5" i="6"/>
  <c r="E16" i="6"/>
  <c r="G17" i="6"/>
  <c r="C6" i="7"/>
  <c r="D17" i="7"/>
  <c r="F30" i="3"/>
  <c r="D32" i="3"/>
  <c r="E6" i="5"/>
  <c r="G7" i="5"/>
  <c r="D15" i="6"/>
  <c r="H17" i="6"/>
  <c r="D6" i="7"/>
  <c r="E17" i="7"/>
  <c r="F32" i="3"/>
  <c r="E5" i="5"/>
  <c r="G30" i="3"/>
  <c r="E32" i="3"/>
  <c r="D5" i="5"/>
  <c r="F6" i="5"/>
  <c r="H7" i="5"/>
  <c r="G16" i="6"/>
  <c r="I17" i="6"/>
  <c r="E6" i="7"/>
  <c r="F17" i="7"/>
  <c r="F6" i="7"/>
  <c r="G17" i="7"/>
  <c r="D31" i="3"/>
  <c r="G32" i="3"/>
  <c r="F5" i="5"/>
  <c r="H6" i="5"/>
  <c r="G6" i="7"/>
  <c r="H17" i="7"/>
  <c r="E31" i="3"/>
  <c r="B25" i="1" l="1"/>
  <c r="F46" i="3"/>
  <c r="B30" i="1"/>
  <c r="G46" i="3"/>
  <c r="C46" i="3"/>
  <c r="C29" i="4"/>
  <c r="C27" i="4"/>
  <c r="C26" i="4"/>
  <c r="G46" i="4"/>
  <c r="G40" i="4"/>
  <c r="G50" i="4" s="1"/>
  <c r="G55" i="4" s="1"/>
  <c r="G38" i="4"/>
  <c r="G48" i="4" s="1"/>
  <c r="G53" i="4" s="1"/>
  <c r="G44" i="4"/>
  <c r="G41" i="4"/>
  <c r="G45" i="4"/>
  <c r="G39" i="4"/>
  <c r="G49" i="4" s="1"/>
  <c r="G54" i="4" s="1"/>
  <c r="G43" i="4"/>
  <c r="C27" i="6"/>
  <c r="C18" i="1" s="1"/>
  <c r="D18" i="1" s="1"/>
  <c r="C74" i="4"/>
  <c r="E39" i="4"/>
  <c r="E49" i="4" s="1"/>
  <c r="E54" i="4" s="1"/>
  <c r="E43" i="4"/>
  <c r="E40" i="4"/>
  <c r="E44" i="4"/>
  <c r="E38" i="4"/>
  <c r="E48" i="4" s="1"/>
  <c r="E53" i="4" s="1"/>
  <c r="E41" i="4"/>
  <c r="E45" i="4"/>
  <c r="E46" i="4"/>
  <c r="B13" i="7"/>
  <c r="B12" i="7"/>
  <c r="B11" i="7"/>
  <c r="B10" i="7"/>
  <c r="B9" i="7"/>
  <c r="B8" i="7"/>
  <c r="B7" i="7"/>
  <c r="B24" i="7"/>
  <c r="B23" i="7"/>
  <c r="B22" i="7"/>
  <c r="B21" i="7"/>
  <c r="B20" i="7"/>
  <c r="B19" i="7"/>
  <c r="B18" i="7"/>
  <c r="B24" i="1"/>
  <c r="D45" i="4"/>
  <c r="D39" i="4"/>
  <c r="D46" i="4"/>
  <c r="D40" i="4"/>
  <c r="D44" i="4"/>
  <c r="D38" i="4"/>
  <c r="D41" i="4"/>
  <c r="D51" i="4" s="1"/>
  <c r="D56" i="4" s="1"/>
  <c r="D43" i="4"/>
  <c r="C42" i="3"/>
  <c r="C34" i="3"/>
  <c r="D10" i="5" s="1"/>
  <c r="C37" i="3"/>
  <c r="D9" i="5"/>
  <c r="D12" i="5" s="1"/>
  <c r="D33" i="3"/>
  <c r="H40" i="4"/>
  <c r="H44" i="4"/>
  <c r="H41" i="4"/>
  <c r="H51" i="4" s="1"/>
  <c r="H56" i="4" s="1"/>
  <c r="H45" i="4"/>
  <c r="H39" i="4"/>
  <c r="H43" i="4"/>
  <c r="H46" i="4"/>
  <c r="H38" i="4"/>
  <c r="H48" i="4" s="1"/>
  <c r="H53" i="4" s="1"/>
  <c r="F43" i="4"/>
  <c r="F46" i="4"/>
  <c r="F44" i="4"/>
  <c r="F38" i="4"/>
  <c r="F41" i="4"/>
  <c r="F45" i="4"/>
  <c r="F40" i="4"/>
  <c r="F50" i="4" s="1"/>
  <c r="F55" i="4" s="1"/>
  <c r="F39" i="4"/>
  <c r="H50" i="4" l="1"/>
  <c r="H55" i="4" s="1"/>
  <c r="E51" i="4"/>
  <c r="E56" i="4" s="1"/>
  <c r="F49" i="4"/>
  <c r="C35" i="3"/>
  <c r="D50" i="4"/>
  <c r="D55" i="4" s="1"/>
  <c r="D48" i="4"/>
  <c r="D53" i="4" s="1"/>
  <c r="F51" i="4"/>
  <c r="F56" i="4" s="1"/>
  <c r="H49" i="4"/>
  <c r="H54" i="4" s="1"/>
  <c r="E50" i="4"/>
  <c r="E55" i="4" s="1"/>
  <c r="G51" i="4"/>
  <c r="G56" i="4" s="1"/>
  <c r="E9" i="5"/>
  <c r="E12" i="5" s="1"/>
  <c r="D37" i="3"/>
  <c r="D42" i="3"/>
  <c r="E33" i="3"/>
  <c r="D34" i="3"/>
  <c r="E10" i="5" s="1"/>
  <c r="F48" i="4"/>
  <c r="F53" i="4" s="1"/>
  <c r="D15" i="5"/>
  <c r="D16" i="5" s="1"/>
  <c r="D13" i="5"/>
  <c r="D14" i="5" s="1"/>
  <c r="D18" i="5" s="1"/>
  <c r="D19" i="5" s="1"/>
  <c r="C44" i="3" s="1"/>
  <c r="D49" i="4"/>
  <c r="D54" i="4" s="1"/>
  <c r="F9" i="5" l="1"/>
  <c r="F12" i="5" s="1"/>
  <c r="E42" i="3"/>
  <c r="E34" i="3"/>
  <c r="F10" i="5" s="1"/>
  <c r="E35" i="3"/>
  <c r="F33" i="3"/>
  <c r="E37" i="3"/>
  <c r="E13" i="5"/>
  <c r="E14" i="5" s="1"/>
  <c r="E15" i="5"/>
  <c r="E16" i="5" s="1"/>
  <c r="D35" i="3"/>
  <c r="C36" i="3"/>
  <c r="C39" i="3"/>
  <c r="C38" i="3"/>
  <c r="F54" i="4"/>
  <c r="C60" i="4"/>
  <c r="B78" i="4"/>
  <c r="E18" i="5" l="1"/>
  <c r="E19" i="5" s="1"/>
  <c r="D44" i="3" s="1"/>
  <c r="C65" i="4"/>
  <c r="D65" i="4" s="1"/>
  <c r="C64" i="4"/>
  <c r="D64" i="4" s="1"/>
  <c r="C67" i="4"/>
  <c r="D67" i="4" s="1"/>
  <c r="C63" i="4"/>
  <c r="D63" i="4" s="1"/>
  <c r="C66" i="4"/>
  <c r="D66" i="4" s="1"/>
  <c r="F42" i="3"/>
  <c r="F34" i="3"/>
  <c r="G10" i="5" s="1"/>
  <c r="F37" i="3"/>
  <c r="G33" i="3"/>
  <c r="G9" i="5"/>
  <c r="G12" i="5" s="1"/>
  <c r="E39" i="3"/>
  <c r="E38" i="3"/>
  <c r="E36" i="3"/>
  <c r="C40" i="3"/>
  <c r="C41" i="3" s="1"/>
  <c r="C45" i="3" s="1"/>
  <c r="F13" i="5"/>
  <c r="F14" i="5" s="1"/>
  <c r="F18" i="5" s="1"/>
  <c r="F19" i="5" s="1"/>
  <c r="E44" i="3" s="1"/>
  <c r="F15" i="5"/>
  <c r="F16" i="5" s="1"/>
  <c r="D36" i="3"/>
  <c r="D39" i="3"/>
  <c r="D38" i="3"/>
  <c r="C47" i="3" l="1"/>
  <c r="D40" i="3"/>
  <c r="D41" i="3" s="1"/>
  <c r="D45" i="3" s="1"/>
  <c r="G37" i="3"/>
  <c r="C16" i="4"/>
  <c r="C28" i="4" s="1"/>
  <c r="H9" i="5"/>
  <c r="H12" i="5" s="1"/>
  <c r="G42" i="3"/>
  <c r="G34" i="3"/>
  <c r="H10" i="5" s="1"/>
  <c r="F35" i="3"/>
  <c r="G13" i="5"/>
  <c r="G14" i="5" s="1"/>
  <c r="G18" i="5" s="1"/>
  <c r="G19" i="5" s="1"/>
  <c r="F44" i="3" s="1"/>
  <c r="G15" i="5"/>
  <c r="G16" i="5" s="1"/>
  <c r="E40" i="3"/>
  <c r="E41" i="3" s="1"/>
  <c r="E45" i="3" s="1"/>
  <c r="E47" i="3" s="1"/>
  <c r="G35" i="3" l="1"/>
  <c r="D47" i="3"/>
  <c r="F38" i="3"/>
  <c r="F36" i="3"/>
  <c r="F39" i="3"/>
  <c r="G38" i="3"/>
  <c r="G36" i="3"/>
  <c r="G39" i="3"/>
  <c r="C72" i="4"/>
  <c r="C73" i="4"/>
  <c r="H15" i="5"/>
  <c r="H16" i="5" s="1"/>
  <c r="H13" i="5"/>
  <c r="H14" i="5"/>
  <c r="H18" i="5" s="1"/>
  <c r="H19" i="5" s="1"/>
  <c r="G44" i="3" s="1"/>
  <c r="F40" i="3" l="1"/>
  <c r="F41" i="3" s="1"/>
  <c r="F45" i="3" s="1"/>
  <c r="G40" i="3"/>
  <c r="C59" i="3"/>
  <c r="C60" i="3" s="1"/>
  <c r="C61" i="3" s="1"/>
  <c r="G41" i="3"/>
  <c r="G45" i="3" s="1"/>
  <c r="F47" i="3" l="1"/>
  <c r="E24" i="7"/>
  <c r="D11" i="7"/>
  <c r="F20" i="7"/>
  <c r="C9" i="7"/>
  <c r="I22" i="7"/>
  <c r="D10" i="7"/>
  <c r="E8" i="7"/>
  <c r="G22" i="7"/>
  <c r="E10" i="7"/>
  <c r="G23" i="7"/>
  <c r="C21" i="7"/>
  <c r="D13" i="7"/>
  <c r="E9" i="7"/>
  <c r="D23" i="7"/>
  <c r="H12" i="7"/>
  <c r="D22" i="7"/>
  <c r="H11" i="7"/>
  <c r="I7" i="7"/>
  <c r="C8" i="7"/>
  <c r="I20" i="7"/>
  <c r="C13" i="7"/>
  <c r="C11" i="7"/>
  <c r="H22" i="7"/>
  <c r="C10" i="7"/>
  <c r="E21" i="7"/>
  <c r="G8" i="7"/>
  <c r="H8" i="7"/>
  <c r="I24" i="7"/>
  <c r="D12" i="7"/>
  <c r="G7" i="7"/>
  <c r="I23" i="7"/>
  <c r="C19" i="7"/>
  <c r="H10" i="7"/>
  <c r="D20" i="7"/>
  <c r="D24" i="7"/>
  <c r="I10" i="7"/>
  <c r="E20" i="7"/>
  <c r="H13" i="7"/>
  <c r="E11" i="7"/>
  <c r="H20" i="7"/>
  <c r="I9" i="7"/>
  <c r="D18" i="7"/>
  <c r="H23" i="7"/>
  <c r="H21" i="7"/>
  <c r="G12" i="7"/>
  <c r="G10" i="7"/>
  <c r="C20" i="7"/>
  <c r="I13" i="7"/>
  <c r="G19" i="7"/>
  <c r="D8" i="7"/>
  <c r="G18" i="7"/>
  <c r="F13" i="7"/>
  <c r="H9" i="7"/>
  <c r="H18" i="7"/>
  <c r="C12" i="7"/>
  <c r="C22" i="7"/>
  <c r="G21" i="7"/>
  <c r="I19" i="7"/>
  <c r="F9" i="7"/>
  <c r="H24" i="7"/>
  <c r="G20" i="7"/>
  <c r="I8" i="7"/>
  <c r="C24" i="7"/>
  <c r="F7" i="7"/>
  <c r="I12" i="7"/>
  <c r="F24" i="7"/>
  <c r="D19" i="7"/>
  <c r="H19" i="7"/>
  <c r="G24" i="7"/>
  <c r="I18" i="7"/>
  <c r="I21" i="7"/>
  <c r="F8" i="7"/>
  <c r="G9" i="7"/>
  <c r="F21" i="7"/>
  <c r="E23" i="7"/>
  <c r="F11" i="7"/>
  <c r="E12" i="7"/>
  <c r="E19" i="7"/>
  <c r="F23" i="7"/>
  <c r="F12" i="7"/>
  <c r="H7" i="7"/>
  <c r="F10" i="7"/>
  <c r="F19" i="7"/>
  <c r="C7" i="7"/>
  <c r="G11" i="7"/>
  <c r="F18" i="7"/>
  <c r="E13" i="7"/>
  <c r="C23" i="7"/>
  <c r="D21" i="7"/>
  <c r="D7" i="7"/>
  <c r="E22" i="7"/>
  <c r="I11" i="7"/>
  <c r="D9" i="7"/>
  <c r="F22" i="7"/>
  <c r="G13" i="7"/>
  <c r="E18" i="7"/>
  <c r="E7" i="7"/>
  <c r="C18" i="7"/>
  <c r="C51" i="3"/>
  <c r="C52" i="3" s="1"/>
  <c r="G47" i="3"/>
  <c r="C50" i="3" l="1"/>
  <c r="C58" i="3" l="1"/>
  <c r="C62" i="3" s="1"/>
  <c r="C53" i="3"/>
  <c r="C17" i="4" l="1"/>
  <c r="C54" i="3"/>
  <c r="C55" i="3" s="1"/>
  <c r="C16" i="1"/>
  <c r="C63" i="3"/>
  <c r="C64" i="3" s="1"/>
  <c r="C17" i="1" s="1"/>
  <c r="D17" i="1" s="1"/>
  <c r="C21" i="1" l="1"/>
  <c r="C10" i="1"/>
  <c r="D16" i="1"/>
  <c r="C19" i="4"/>
  <c r="C20" i="4" s="1"/>
  <c r="B79" i="4" s="1"/>
  <c r="B29" i="1" l="1"/>
  <c r="C12" i="1"/>
  <c r="C11" i="1" s="1"/>
  <c r="B31" i="1"/>
  <c r="B26" i="1" l="1"/>
</calcChain>
</file>

<file path=xl/sharedStrings.xml><?xml version="1.0" encoding="utf-8"?>
<sst xmlns="http://schemas.openxmlformats.org/spreadsheetml/2006/main" count="499" uniqueCount="382">
  <si>
    <t>DISCLAIMER: This is a sample analysis for demonstration purposes only. It does not constitute investment advice.</t>
  </si>
  <si>
    <t>キッコーマン (2801.T)</t>
  </si>
  <si>
    <t>Equity Research Report</t>
  </si>
  <si>
    <t>Company</t>
  </si>
  <si>
    <t>キッコーマン</t>
  </si>
  <si>
    <t>Ticker</t>
  </si>
  <si>
    <t>2801.T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</si>
  <si>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</si>
  <si>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</si>
  <si>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</si>
  <si>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</si>
  <si>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</si>
  <si>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</si>
  <si>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</si>
  <si>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</si>
  <si>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</si>
  <si>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</si>
  <si>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</si>
  <si>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</si>
  <si>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</si>
  <si>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</si>
  <si>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</si>
  <si>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</si>
  <si>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</si>
  <si>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</si>
  <si>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キッコーマン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</si>
  <si>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</si>
  <si>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</si>
  <si>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</si>
  <si>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</si>
  <si>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</si>
  <si>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</si>
  <si>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</si>
  <si>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</si>
  <si>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</si>
  <si>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</si>
  <si>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</si>
  <si>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</si>
  <si>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</si>
  <si>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</si>
  <si>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</si>
  <si>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</si>
  <si>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</si>
  <si>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</si>
  <si>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</si>
  <si>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</si>
  <si>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</si>
  <si>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</si>
  <si>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</si>
  <si>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</si>
  <si>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</si>
  <si>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</si>
  <si>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</si>
  <si>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4/4, Debt 0/4 — blank cells are years with no year-key match in the source data (verify against 決算短信 or set hist_ocf / hist_cash / hist_debt in overrides).</t>
  </si>
  <si>
    <t>DCF Valuation Model - キッコーマン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</si>
  <si>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</si>
  <si>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</si>
  <si>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</si>
  <si>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</si>
  <si>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</si>
  <si>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</si>
  <si>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</si>
  <si>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</si>
  <si>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</si>
  <si>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</si>
  <si>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</si>
  <si>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</si>
  <si>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</si>
  <si>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</si>
  <si>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</si>
  <si>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</si>
  <si>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</si>
  <si>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</si>
  <si>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</si>
  <si>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</si>
  <si>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</si>
  <si>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</si>
  <si>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</si>
  <si>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</si>
  <si>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</si>
  <si>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</si>
  <si>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</si>
  <si>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</si>
  <si>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</si>
  <si>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</si>
  <si>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</si>
  <si>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</si>
  <si>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</si>
  <si>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</si>
  <si>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</si>
  <si>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</si>
  <si>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</si>
  <si>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</si>
  <si>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</si>
  <si>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</si>
  <si>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</si>
  <si>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</si>
  <si>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</si>
  <si>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</si>
  <si>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</si>
  <si>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</si>
  <si>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</si>
  <si>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</si>
  <si>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</si>
  <si>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</si>
  <si>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</si>
  <si>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</si>
  <si>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</si>
  <si>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</si>
  <si>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</si>
  <si>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</si>
  <si>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</si>
  <si>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</si>
  <si>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</si>
  <si>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</si>
  <si>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</si>
  <si>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</si>
  <si>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</si>
  <si>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</si>
  <si>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キッコーマン (2801.T)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</si>
  <si>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</si>
  <si>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</si>
  <si>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</si>
  <si>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</si>
  <si>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</si>
  <si>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</si>
  <si>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</si>
  <si>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</si>
  <si>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</si>
  <si>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</si>
  <si>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</si>
  <si>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</si>
  <si>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</si>
  <si>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</si>
  <si>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</si>
  <si>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</si>
  <si>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</si>
  <si>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</si>
  <si>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</si>
  <si>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</si>
  <si>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</si>
  <si>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</si>
  <si>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</si>
  <si>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</si>
  <si>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</si>
  <si>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</si>
  <si>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</si>
  <si>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</si>
  <si>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</si>
  <si>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</si>
  <si>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</si>
  <si>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</si>
  <si>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</si>
  <si>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</si>
  <si>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</si>
  <si>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</si>
  <si>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</si>
  <si>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</si>
  <si>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</si>
  <si>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</si>
  <si>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</si>
  <si>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</si>
  <si>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</si>
  <si>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</si>
  <si>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</si>
  <si>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</si>
  <si>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</si>
  <si>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</si>
  <si>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</si>
  <si>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</si>
  <si>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</si>
  <si>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キッコーマン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</si>
  <si>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</si>
  <si>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</si>
  <si>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</si>
  <si>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</si>
  <si>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</si>
  <si>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</si>
  <si>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</si>
  <si>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</si>
  <si>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</si>
  <si>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</si>
  <si>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</si>
  <si>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</si>
  <si>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</si>
  <si>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</si>
  <si>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</si>
  <si>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</si>
  <si>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</si>
  <si>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</si>
  <si>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</si>
  <si>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</si>
  <si>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</si>
  <si>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</si>
  <si>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</si>
  <si>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</si>
  <si>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</si>
  <si>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</si>
  <si>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</si>
  <si>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</si>
  <si>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</si>
  <si>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</si>
  <si>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</si>
  <si>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</si>
  <si>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</si>
  <si>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</si>
  <si>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Kikkoman Corporation</t>
  </si>
  <si>
    <t>2801.T</t>
  </si>
  <si>
    <t>Ajinomoto Co., Inc.</t>
  </si>
  <si>
    <t>2802.T</t>
  </si>
  <si>
    <t>Kirin Holdings Company, Limited</t>
  </si>
  <si>
    <t>2503.T</t>
  </si>
  <si>
    <t>Asahi Group Holdings, Ltd.</t>
  </si>
  <si>
    <t>2502.T</t>
  </si>
  <si>
    <t>Meiji Holdings Co., Ltd.</t>
  </si>
  <si>
    <t>2269.T</t>
  </si>
  <si>
    <t>Nissin Foods Holdings Co.,Ltd.</t>
  </si>
  <si>
    <t>2897.T</t>
  </si>
  <si>
    <t>Statistics</t>
  </si>
  <si>
    <t>25th Percentile</t>
  </si>
  <si>
    <t>Median (50th)</t>
  </si>
  <si>
    <t>75th Percentile</t>
  </si>
  <si>
    <t>Implied Valuation for キッコーマン</t>
  </si>
  <si>
    <t>キッコーマン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</si>
  <si>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</si>
  <si>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</si>
  <si>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</si>
  <si>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</si>
  <si>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</si>
  <si>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</si>
  <si>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</si>
  <si>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</si>
  <si>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</si>
  <si>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</si>
  <si>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</si>
  <si>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</si>
  <si>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</si>
  <si>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</si>
  <si>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</si>
  <si>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キッコーマン</t>
  </si>
  <si>
    <t>日付</t>
  </si>
  <si>
    <t>セル</t>
  </si>
  <si>
    <t>変更内容</t>
  </si>
  <si>
    <t>理由</t>
  </si>
  <si>
    <t>元の値</t>
  </si>
  <si>
    <t>状態</t>
  </si>
  <si>
    <t>2026-09-05</t>
  </si>
  <si>
    <t>-</t>
  </si>
  <si>
    <t>Generated by pipeline on 2026-09-05 13:02,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</si>
  <si>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</si>
  <si>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</si>
  <si>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</si>
  <si>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</si>
  <si>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</si>
  <si>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</si>
  <si>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</si>
  <si>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</si>
  <si>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</si>
  <si>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</si>
  <si>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</si>
  <si>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</si>
  <si>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</si>
  <si>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</si>
  <si>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1,655,551百万円。テンプレの自動規則(&gt;=1兆円 -&gt; 0.0%、&gt;=1,000億円 -&gt; 1.5%)とは異なる値であり、明示指定で上書きしている。</t>
  </si>
  <si>
    <t>テンプレ自動値</t>
  </si>
  <si>
    <t>DCF Model!C8</t>
  </si>
  <si>
    <t>Beta = 0.60</t>
  </si>
  <si>
    <t>yfinance実測は 0.039。テンプレは beta を [0.6, 1.75] にクランプし範囲外は【無言で 1.0 に置換】する(templates/dcf_comps_template.py:1819、生成ログでも確認)。サイレントフォールバック禁止の原則により許容域の下限 0.60 を明示指定し、当社の低ベータ性を保持した。0.60 は実測値ではなく『テンプレが受け付ける最小値』であることに注意。</t>
  </si>
  <si>
    <t>yfinance実測 0.039 / テンプレ置換値 1.0</t>
  </si>
  <si>
    <t>DCF Model!C6</t>
  </si>
  <si>
    <t>Effective Tax Rate = 25%</t>
  </si>
  <si>
    <t>バッチ共通の既定値(§1-3)。当社の実績税負担率を個別検証したものではない。</t>
  </si>
  <si>
    <t>テンプレ既定 30%</t>
  </si>
  <si>
    <t>推定</t>
  </si>
  <si>
    <t>DCF Model!C11</t>
  </si>
  <si>
    <t>After-tax Cost of Debt = 1.0%(テンプレ既定値のまま)</t>
  </si>
  <si>
    <t>当社はネットキャッシュ(net_debt −50,341百万円)で D/E = 0 のため、負債コストは WACC に一切寄与しない(WACC = Ke = 7.87%)。実績Kd の算出は結果に影響しないため interest_expense を指定していない。</t>
  </si>
  <si>
    <t>テンプレ既定</t>
  </si>
  <si>
    <t>DCF Model!C13</t>
  </si>
  <si>
    <t>Terminal Growth = 1.0%</t>
  </si>
  <si>
    <t>テンプレ既定 2.0%</t>
  </si>
  <si>
    <t>DCF Model!C14</t>
  </si>
  <si>
    <t>Exit Multiple (EV/EBITDA) = 10.9x</t>
  </si>
  <si>
    <t>Peer 5社の実測EV/EBITDA中央値 10.92x(2802 18.89 / 2503 10.21 / 2502 11.13 / 2269 8.35 / 2897 10.92)。 自社の現在倍率 15.63x は算式に入れていない(市場価格への循環参照回避)。■当初は Peer中央値にマージン優位分を上乗せする調整式を検討したが、EV/EBITDA は既に資本集約度を織り込んでおり営業利益率による上方調整は資本集約型銘柄で逆方向に働くため(9022 で実測 7.4x に対し調整式が 16.3x を返した)、バッチ全銘柄で素の Peer 中央値に統一した。</t>
  </si>
  <si>
    <t>テンプレ既定 10.0x</t>
  </si>
  <si>
    <t>DCF Model シナリオ5本</t>
  </si>
  <si>
    <t>実績OPM分布からの導出(min 8.95 / p25 9.81 / med 10.14 / p75 10.24 / max 10.40%)。レンジ1.5ptと安定</t>
  </si>
  <si>
    <t>直近 10.19% が実績中央値 10.14% を僅かに上回るため、Base の到達OPMは『直近実績と p75 の平均 = 10.22%』(実質横ばい)。Upside は max(p75 10.24, 直近+1.0pt = 11.19) = 11.19%。Downside 1 は min(p25 9.81, 直近 10.19) = 9.81%。Downside 2 は実績トラフ 8.95% が Downside 1(9.81%)と差別化しにくいため、売上−6% + OPM半減(5.1-5.5%)アームを採用。SGA% は直近水準23.2%を基準に調整し COGS% = 100% − OPM − SGA% で逆算。既存銘柄からの流用なし。</t>
  </si>
  <si>
    <t>テンプレ自動生成シナリオ</t>
  </si>
  <si>
    <t>Financial Statements / hist_* 系列</t>
  </si>
  <si>
    <t>hist_years を FY2023-FY2026 の4期に置換し P/L 5系列を yfinance連結財務諸表から供給</t>
  </si>
  <si>
    <t>【リトライ1回目・§3-2 の補完】初回生成は FAIL 1(Financial Statements!H16 = #DIV/0!)。原因は EDINET が hist_years を FY2019-FY2026 の8期で構築し、うち FY2023 の営業利益を 0 で抽出していたため『FY2024 の営業利益YoY成長率 = /0』となったこと。配列長は全て4で hist_years と一致。■EDINET の最新本決算は FY2026/3(docID S100YE5V)で取得できており最新期の欠落はない。■hist_ocf / hist_cash / hist_debt / hist_capex / hist_depreciation は【供給していない】(Step 4.6 が会計年度キーで再マッピングする)。■hist_sga = 売上 − COGS − 営業利益 で逆算。</t>
  </si>
  <si>
    <t>EDINET自動抽出値(FY2019-FY2026、うち1期の営業利益が破損)</t>
  </si>
  <si>
    <t>DCF Model!C16</t>
  </si>
  <si>
    <t>net_debt = −50,341百万円 を明示指定(ネットキャッシュ)</t>
  </si>
  <si>
    <t>【EDINET自動値の誤りを訂正】初回生成では net_debt = 0 と算出されていた。原因は EDINET が当社の有利子負債を FY2021 以降1年も抽出できていないこと(生成ログの FS align が [ocf+cash] のみを報告)。実際は 有利子負債 61,429 − 現金及び現金同等物 111,770 = −50,341(FY2026/3期末、yfinance 連結BS)。■差 50,341百万円 は1株あたり約54円(株数 927,739,554)に相当し無視できない。■その結果 Financial Statements の有利子負債行は空欄のままだが、net_debt(C16)は明示指定済みのためバリュエーションには影響しない。</t>
  </si>
  <si>
    <t>EDINET自動算出値 0(誤り)</t>
  </si>
  <si>
    <t>DCF Model!C5 / capex_direct</t>
  </si>
  <si>
    <t>capex_method=direct、投影 [58,000 / 52,000 / 45,000 / 39,000 / 34,600]百万円</t>
  </si>
  <si>
    <t>FY2026/3 の capex は 59,612百万円 = 売上比 8.0% で、過去3期(4.3-5.7%)から急増(北米の生産能力増強と解される)。5年で逓減させ、ターミナル年 34,600 ÷ D&amp;A(Y5売上 889,946 × 3.7% = 32,928) = 1.051x でレンジ[0.90,1.15]に収束。■北米増設が継続する場合、FCF は本モデルより低くなる。</t>
  </si>
  <si>
    <t>DCF Model NWC(dso/dih/dpo)</t>
  </si>
  <si>
    <t>Base: DSO 44日 / DIH 81日 / DPO 52日</t>
  </si>
  <si>
    <t>実績4期平均。</t>
  </si>
  <si>
    <t>全体(未解決)</t>
  </si>
  <si>
    <t>自社の実測 EV/EBITDA 15.63x と Peer中央値 10.92x の差(バリュエーション・プレミアム)をどう扱うか</t>
  </si>
  <si>
    <t>本モデルの Exit 法は Peer中央値をそのまま用い、当社のプレミアムが永続するとは仮定していない。これが現値と Target の乖離の最大の要因である。プレミアムの源泉(北米しょうゆ市場での価格支配力・ブランド)が持続的と判断するなら Exit 倍率を引き上げるべきで、その場合 Target は大きく上振れる。人間の判断を要する。</t>
  </si>
  <si>
    <t>未解決</t>
  </si>
  <si>
    <t>DCF Model Management シナリオ</t>
  </si>
  <si>
    <t>Management = Base と同一</t>
  </si>
  <si>
    <t>EDINET XBRL・TDnet短信のいずれからも会社業績予想を取得できなかった(生成ログ Step 3: 'No guidance data found')。§7-2 に従い Management=Base で続行。■本バッチではここまで生成した全銘柄で同じ結果になっており、銘柄固有ではなくパイプラインの構造的な取得失敗である。</t>
  </si>
  <si>
    <t>フォールバック使用(会社予想未取得)</t>
  </si>
  <si>
    <t>Comps Analysis</t>
  </si>
  <si>
    <t>Peer 5社 = 2802 味の素 / 2503 キリンHD / 2502 アサヒGHD / 2269 明治HD / 2897 日清食品HD</t>
  </si>
  <si>
    <t>■選定理由: TSE33業種『食料品』。■時価総額バンド: §5 の 0.3〜3倍は 0.50〜4.97兆円で、採用5社すべてがバンド内。■除外: 2914 JT(バンド外・たばこ)、2267 ヤクルト(単品依存)。海外Peer は §5 により不使用。■EBITDA = 営業利益 + 減価償却費で全6社統一、D&amp;A欠損による除外はゼロ。■年度混在の開示: 2802 味の素の D&amp;A は FY2025/3、2503 キリンの D&amp;A は FY2024/12 の値。■Market_Cap は全行記入(2026-09-04終値ベース静的値)。</t>
  </si>
  <si>
    <t>Executive Summary!C10 / Target</t>
  </si>
  <si>
    <t>Target Price = 1,073円 = PGM 915円 と Exit 1,230円 の2本平均。Comps 2本(EV/EBITDA 1,261円 / PER 1,310円)は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</si>
  <si>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</si>
  <si>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</si>
  <si>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</si>
  <si>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</si>
  <si>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</si>
  <si>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Pipeline Metadata (do not edit — read by scripts/validate_output.py)</t>
  </si>
  <si>
    <t>key</t>
  </si>
  <si>
    <t>value</t>
  </si>
  <si>
    <t>auto_log_entries</t>
  </si>
  <si>
    <t>0</t>
  </si>
  <si>
    <t>capex_pct_basis</t>
  </si>
  <si>
    <t>assumption</t>
  </si>
  <si>
    <t>capex_pct_c5</t>
  </si>
  <si>
    <t>0.0389</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</si>
  <si>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</si>
  <si>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</si>
  <si>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</si>
  <si>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</si>
  <si>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</si>
  <si>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</si>
  <si>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</si>
  <si>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</si>
  <si>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</si>
  <si>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</si>
  <si>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</si>
  <si>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</si>
  <si>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</si>
  <si>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</si>
  <si>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</si>
  <si>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</si>
  <si>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</si>
  <si>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</si>
  <si>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</si>
  <si>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</si>
  <si>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</si>
  <si>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</si>
  <si>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</si>
  <si>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</si>
  <si>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0.037</t>
  </si>
  <si>
    <t>da_pct_hist3yr</t>
  </si>
  <si>
    <t>0.03668</t>
  </si>
  <si>
    <t>fs_year_coverage</t>
  </si>
  <si>
    <t>OCF 3/4, Cash 4/4, Debt 0/4</t>
  </si>
  <si>
    <t>fs_year_map</t>
  </si>
  <si>
    <t>FY2023&lt;-FY2023[cash];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</si>
  <si>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</si>
  <si>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</si>
  <si>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</si>
  <si>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</si>
  <si>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</si>
  <si>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13:02:24</t>
  </si>
  <si>
    <t>ltm_revenue_c20</t>
  </si>
  <si>
    <t>745539.0</t>
  </si>
  <si>
    <t>ltm_revenue_source</t>
  </si>
  <si>
    <t>latest FY (no LTM)</t>
  </si>
  <si>
    <t>narrative_tokens_used</t>
  </si>
  <si>
    <t>pb,per,price,target_price,upside_pct,wacc</t>
  </si>
  <si>
    <t>reverse_dcf_sheet</t>
  </si>
  <si>
    <t>op0=75,940(FY2026) peak=75,940(FY2026) peak_opm=0.1019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</si>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</sst>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1784.5</v>
      </c>
    </row>
    <row r="10" spans="2:5" ht="14" customHeight="1" x14ac:dyDescent="0.3">
      <c r="B10" s="4" t="s">
        <v>10</v>
      </c>
      <c r="C10" s="5">
        <f>IF(COUNT(C16:C17)=0,"N/A",ROUND(AVERAGE(C16:C17),0))</f>
        <v>1073</v>
      </c>
    </row>
    <row r="11" spans="2:5" ht="14" customHeight="1" x14ac:dyDescent="0.3">
      <c r="B11" s="4" t="s">
        <v>11</v>
      </c>
      <c r="C11" s="6" t="str">
        <f>IF(NOT(ISNUMBER(C12)),"N/A",IF(C12&gt;0.15,"BUY",IF(C12&gt;0.05,"HOLD","SELL")))</f>
        <v>SELL</v>
      </c>
    </row>
    <row r="12" spans="2:5" ht="14" customHeight="1" x14ac:dyDescent="0.3">
      <c r="B12" s="4" t="s">
        <v>12</v>
      </c>
      <c r="C12" s="7">
        <f>IF(ISNUMBER(C10),(C10-C9)/C9,"N/A")</f>
        <v>-0.39871112356402355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915</v>
      </c>
      <c r="D16" s="7">
        <f>IF(ISNUMBER(C16),(C16-C9)/C9,"N/A")</f>
        <v>-0.48725133090501543</v>
      </c>
    </row>
    <row r="17" spans="2:5" ht="13.5" customHeight="1" x14ac:dyDescent="0.25">
      <c r="B17" t="s">
        <v>18</v>
      </c>
      <c r="C17" s="11">
        <f>IF('DCF Model'!C62&lt;'DCF Model'!C16,"INVALID (EV &lt; net debt)",'DCF Model'!C64)</f>
        <v>1230</v>
      </c>
      <c r="D17" s="7">
        <f>IF(ISNUMBER(C17),(C17-C9)/C9,"N/A")</f>
        <v>-0.31073129728215187</v>
      </c>
    </row>
    <row r="18" spans="2:5" ht="13.5" customHeight="1" x14ac:dyDescent="0.25">
      <c r="B18" t="s">
        <v>19</v>
      </c>
      <c r="C18" s="11">
        <f>'Comps Analysis'!C27</f>
        <v>1261</v>
      </c>
      <c r="D18" s="7">
        <f>IF(ISNUMBER(C18),(C18-C9)/C9,"N/A")</f>
        <v>-0.29335948444942561</v>
      </c>
    </row>
    <row r="19" spans="2:5" ht="13.5" customHeight="1" x14ac:dyDescent="0.25">
      <c r="B19" t="s">
        <v>20</v>
      </c>
      <c r="C19" s="11">
        <f>'Comps Analysis'!C28</f>
        <v>1310</v>
      </c>
      <c r="D19" s="7">
        <f>IF(ISNUMBER(C19),(C19-C9)/C9,"N/A")</f>
        <v>-0.26590081255253573</v>
      </c>
    </row>
    <row r="20" spans="2:5" ht="14" customHeight="1" x14ac:dyDescent="0.3">
      <c r="B20" s="46" t="s">
        <v>21</v>
      </c>
      <c r="C20" s="45"/>
      <c r="D20" s="45"/>
      <c r="E20" s="45"/>
    </row>
    <row r="21" spans="2:5" ht="14" customHeight="1" x14ac:dyDescent="0.3">
      <c r="B21" s="4" t="s">
        <v>22</v>
      </c>
      <c r="C21" s="6" t="str">
        <f>IF(COUNT(C16:C17)=0,"N/A",MIN(C16:C17)&amp;" - "&amp;MAX(C16:C17))</f>
        <v>915 - 1230</v>
      </c>
    </row>
    <row r="23" spans="2:5" ht="14" customHeight="1" x14ac:dyDescent="0.3">
      <c r="B23" s="8" t="s">
        <v>23</v>
      </c>
      <c r="C23" s="9"/>
      <c r="D23" s="9"/>
    </row>
    <row r="24" spans="2:5" x14ac:dyDescent="0.2">
      <c r="B24" t="str">
        <f>"Kikkoman earns most of its profit from soy sauce and Asian foods in North America, where the brand supports pricing that the domestic food peers do not have; the shares trade at "&amp;TEXT('Comps Analysis'!L5,"0.0""x""")&amp;" earnings and "&amp;TEXT('Comps Analysis'!M5,"0.00""x""")&amp;" book."</f>
        <v>Kikkoman earns most of its profit from soy sauce and Asian foods in North America, where the brand supports pricing that the domestic food peers do not have; the shares trade at 26.9x earnings and 2.95x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7.87% discount rate is the cost of equity with no leverage assumed.</v>
      </c>
    </row>
    <row r="26" spans="2:5" x14ac:dyDescent="0.2">
      <c r="B26" t="str">
        <f>"At "&amp;TEXT(C9,"#,##0")&amp;" the shares are held at a clear premium to the food peer group on EV/EBITDA; the base case, which values the exit on the peer median rather than on the multiple the market awards this company, supports "&amp;TEXT(C10,"#,##0")&amp;", or "&amp;TEXT(C12,"+0.0%;-0.0%")&amp;" from here."</f>
        <v>At 1,785 the shares are held at a clear premium to the food peer group on EV/EBITDA; the base case, which values the exit on the peer median rather than on the multiple the market awards this company, supports 1,073, or -39.9% from here.</v>
      </c>
    </row>
    <row r="28" spans="2:5" ht="14" customHeight="1" x14ac:dyDescent="0.3">
      <c r="B28" s="8" t="s">
        <v>24</v>
      </c>
      <c r="C28" s="9"/>
      <c r="D28" s="9"/>
    </row>
    <row r="29" spans="2:5" x14ac:dyDescent="0.2">
      <c r="B29" t="str">
        <f>"The valuation premium over the food peer group is the single largest driver of the gap between "&amp;TEXT(C9,"#,##0")&amp;" and "&amp;TEXT(C10,"#,##0")&amp;": the exit leg here deliberately does not assume the premium persists."</f>
        <v>The valuation premium over the food peer group is the single largest driver of the gap between 1,785 and 1,073: the exit leg here deliberately does not assume the premium persists.</v>
      </c>
    </row>
    <row r="30" spans="2:5" x14ac:dyDescent="0.2">
      <c r="B30" t="str">
        <f>"North American demand and the dollar drive group earnings, and neither the currency nor the regional concentration is reflected in the "&amp;TEXT('DCF Model'!C26,"0.00%")&amp;" applied here."</f>
        <v>North American demand and the dollar drive group earnings, and neither the currency nor the regional concentration is reflected in the 7.87% applied here.</v>
      </c>
    </row>
    <row r="31" spans="2:5" x14ac:dyDescent="0.2">
      <c r="B31" t="str">
        <f>"Capital expenditure ran at twice the historical rate in the latest year; if the elevated level persists rather than tapering, the free cash flow behind "&amp;TEXT('Comps Analysis'!L5,"0.0""x""")&amp;" and "&amp;TEXT(C10,"#,##0")&amp;" does not materialise."</f>
        <v>Capital expenditure ran at twice the historical rate in the latest year; if the elevated level persists rather than tapering, the free cash flow behind 26.9x and 1,073 does not materialise.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618899</v>
      </c>
      <c r="D6" s="5">
        <v>660835</v>
      </c>
      <c r="E6" s="5">
        <v>708979</v>
      </c>
      <c r="F6" s="5">
        <v>745539</v>
      </c>
    </row>
    <row r="7" spans="2:6" ht="14" customHeight="1" x14ac:dyDescent="0.3">
      <c r="B7" s="4" t="s">
        <v>32</v>
      </c>
      <c r="C7" s="5">
        <v>414474</v>
      </c>
      <c r="D7" s="5">
        <v>432114</v>
      </c>
      <c r="E7" s="5">
        <v>469746</v>
      </c>
      <c r="F7" s="5">
        <v>492926</v>
      </c>
    </row>
    <row r="8" spans="2:6" ht="14" customHeight="1" x14ac:dyDescent="0.3">
      <c r="B8" s="4" t="s">
        <v>33</v>
      </c>
      <c r="C8" s="5">
        <f>C6-C7</f>
        <v>204425</v>
      </c>
      <c r="D8" s="5">
        <f>D6-D7</f>
        <v>228721</v>
      </c>
      <c r="E8" s="5">
        <f>E6-E7</f>
        <v>239233</v>
      </c>
      <c r="F8" s="5">
        <f>F6-F7</f>
        <v>252613</v>
      </c>
    </row>
    <row r="9" spans="2:6" ht="13.5" customHeight="1" x14ac:dyDescent="0.25">
      <c r="B9" t="s">
        <v>34</v>
      </c>
      <c r="C9" s="7">
        <f>C8/C6</f>
        <v>0.33030429843964848</v>
      </c>
      <c r="D9" s="7">
        <f>D8/D6</f>
        <v>0.34610908925828687</v>
      </c>
      <c r="E9" s="7">
        <f>E8/E6</f>
        <v>0.33743312566380668</v>
      </c>
      <c r="F9" s="7">
        <f>F8/F6</f>
        <v>0.33883271029416301</v>
      </c>
    </row>
    <row r="10" spans="2:6" ht="14" customHeight="1" x14ac:dyDescent="0.3">
      <c r="B10" s="4" t="s">
        <v>35</v>
      </c>
      <c r="C10" s="5">
        <v>149055</v>
      </c>
      <c r="D10" s="5">
        <v>161987</v>
      </c>
      <c r="E10" s="5">
        <v>165534</v>
      </c>
      <c r="F10" s="5">
        <v>176673</v>
      </c>
    </row>
    <row r="11" spans="2:6" ht="14" customHeight="1" x14ac:dyDescent="0.3">
      <c r="B11" s="4" t="s">
        <v>36</v>
      </c>
      <c r="C11" s="5">
        <v>55370</v>
      </c>
      <c r="D11" s="5">
        <v>66734</v>
      </c>
      <c r="E11" s="5">
        <v>73699</v>
      </c>
      <c r="F11" s="5">
        <v>75940</v>
      </c>
    </row>
    <row r="12" spans="2:6" ht="14" customHeight="1" x14ac:dyDescent="0.3">
      <c r="B12" s="4" t="s">
        <v>37</v>
      </c>
      <c r="C12" s="5">
        <v>43733</v>
      </c>
      <c r="D12" s="5">
        <v>56441</v>
      </c>
      <c r="E12" s="5">
        <v>61695</v>
      </c>
      <c r="F12" s="5">
        <v>61615</v>
      </c>
    </row>
    <row r="13" spans="2:6" ht="13.5" customHeight="1" x14ac:dyDescent="0.25">
      <c r="B13" t="s">
        <v>38</v>
      </c>
      <c r="C13" s="7">
        <f>C11/C6</f>
        <v>8.9465324713725508E-2</v>
      </c>
      <c r="D13" s="7">
        <f>D11/D6</f>
        <v>0.1009843606951811</v>
      </c>
      <c r="E13" s="7">
        <f>E11/E6</f>
        <v>0.10395089276269114</v>
      </c>
      <c r="F13" s="7">
        <f>F11/F6</f>
        <v>0.1018591918061966</v>
      </c>
    </row>
    <row r="14" spans="2:6" ht="13.5" customHeight="1" x14ac:dyDescent="0.25">
      <c r="B14" t="s">
        <v>39</v>
      </c>
      <c r="C14" s="7">
        <f>C12/C6</f>
        <v>7.066257983935989E-2</v>
      </c>
      <c r="D14" s="7">
        <f>D12/D6</f>
        <v>8.5408611832000422E-2</v>
      </c>
      <c r="E14" s="7">
        <f>E12/E6</f>
        <v>8.7019502693309672E-2</v>
      </c>
      <c r="F14" s="7">
        <f>F12/F6</f>
        <v>8.2644905229639229E-2</v>
      </c>
    </row>
    <row r="15" spans="2:6" ht="13.5" customHeight="1" x14ac:dyDescent="0.25">
      <c r="B15" t="s">
        <v>40</v>
      </c>
      <c r="C15" t="s">
        <v>41</v>
      </c>
      <c r="D15" s="7">
        <f>(D6-C6)/C6</f>
        <v>6.7759036611789641E-2</v>
      </c>
      <c r="E15" s="7">
        <f>(E6-D6)/D6</f>
        <v>7.2853284102688265E-2</v>
      </c>
      <c r="F15" s="7">
        <f>(F6-E6)/E6</f>
        <v>5.1567112707146472E-2</v>
      </c>
    </row>
    <row r="16" spans="2:6" ht="13.5" customHeight="1" x14ac:dyDescent="0.25">
      <c r="B16" t="s">
        <v>42</v>
      </c>
      <c r="C16" t="s">
        <v>41</v>
      </c>
      <c r="D16" s="7">
        <f>(D11-C11)/C11</f>
        <v>0.20523749322737944</v>
      </c>
      <c r="E16" s="7">
        <f>(E11-D11)/D11</f>
        <v>0.10436958671741541</v>
      </c>
      <c r="F16" s="7">
        <f>(F11-E11)/E11</f>
        <v>3.0407468215308212E-2</v>
      </c>
    </row>
    <row r="18" spans="2:6" ht="14" customHeight="1" x14ac:dyDescent="0.3">
      <c r="B18" s="3" t="s">
        <v>43</v>
      </c>
    </row>
    <row r="19" spans="2:6" ht="14" customHeight="1" x14ac:dyDescent="0.3">
      <c r="B19" s="4" t="s">
        <v>44</v>
      </c>
      <c r="C19" s="5"/>
      <c r="D19" s="5">
        <v>80807</v>
      </c>
      <c r="E19" s="5">
        <v>73978</v>
      </c>
      <c r="F19" s="5">
        <v>90508</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99347</v>
      </c>
      <c r="D26" s="5">
        <v>119159</v>
      </c>
      <c r="E26" s="5">
        <v>106184</v>
      </c>
      <c r="F26" s="5">
        <v>111770</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56</v>
      </c>
      <c r="C5" s="7">
        <v>3.8899999999999997E-2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10.9</v>
      </c>
    </row>
    <row r="15" spans="2:7" ht="14" customHeight="1" x14ac:dyDescent="0.3">
      <c r="B15" s="4" t="s">
        <v>66</v>
      </c>
      <c r="C15" s="15">
        <v>927739554</v>
      </c>
    </row>
    <row r="16" spans="2:7" ht="14" customHeight="1" x14ac:dyDescent="0.3">
      <c r="B16" s="4" t="s">
        <v>67</v>
      </c>
      <c r="C16" s="5">
        <v>-50341</v>
      </c>
    </row>
    <row r="17" spans="2:7" ht="14" customHeight="1" x14ac:dyDescent="0.3">
      <c r="B17" s="4" t="s">
        <v>68</v>
      </c>
      <c r="C17" s="5">
        <v>745539</v>
      </c>
    </row>
    <row r="18" spans="2:7" ht="14" customHeight="1" x14ac:dyDescent="0.3">
      <c r="B18" s="4" t="s">
        <v>69</v>
      </c>
      <c r="C18" s="7">
        <v>3.6999999999999998E-2</v>
      </c>
    </row>
    <row r="19" spans="2:7" ht="14" customHeight="1" x14ac:dyDescent="0.3">
      <c r="B19" s="4" t="s">
        <v>70</v>
      </c>
      <c r="C19" s="12">
        <v>1</v>
      </c>
    </row>
    <row r="20" spans="2:7" ht="14" customHeight="1" x14ac:dyDescent="0.3">
      <c r="B20" s="4" t="s">
        <v>71</v>
      </c>
      <c r="C20" s="5">
        <v>745539</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40</v>
      </c>
      <c r="C30" s="18">
        <f>CHOOSE($D$27,C69,C70,C71,C72,C73)</f>
        <v>4.4999999999999998E-2</v>
      </c>
      <c r="D30" s="18">
        <f>CHOOSE($D$27,D69,D70,D71,D72,D73)</f>
        <v>0.04</v>
      </c>
      <c r="E30" s="18">
        <f>CHOOSE($D$27,E69,E70,E71,E72,E73)</f>
        <v>3.5000000000000003E-2</v>
      </c>
      <c r="F30" s="18">
        <f>CHOOSE($D$27,F69,F70,F71,F72,F73)</f>
        <v>0.03</v>
      </c>
      <c r="G30" s="18">
        <f>CHOOSE($D$27,G69,G70,G71,G72,G73)</f>
        <v>2.5000000000000001E-2</v>
      </c>
    </row>
    <row r="31" spans="2:7" ht="14" customHeight="1" x14ac:dyDescent="0.3">
      <c r="B31" s="4" t="s">
        <v>85</v>
      </c>
      <c r="C31" s="18">
        <f>CHOOSE($D$27,C76,C77,C78,C79,C80)</f>
        <v>0.66600000000000004</v>
      </c>
      <c r="D31" s="18">
        <f>CHOOSE($D$27,D76,D77,D78,D79,D80)</f>
        <v>0.66600000000000004</v>
      </c>
      <c r="E31" s="18">
        <f>CHOOSE($D$27,E76,E77,E78,E79,E80)</f>
        <v>0.66600000000000004</v>
      </c>
      <c r="F31" s="18">
        <f>CHOOSE($D$27,F76,F77,F78,F79,F80)</f>
        <v>0.66600000000000004</v>
      </c>
      <c r="G31" s="18">
        <f>CHOOSE($D$27,G76,G77,G78,G79,G80)</f>
        <v>0.66579999999999995</v>
      </c>
    </row>
    <row r="32" spans="2:7" ht="14" customHeight="1" x14ac:dyDescent="0.3">
      <c r="B32" s="4" t="s">
        <v>86</v>
      </c>
      <c r="C32" s="18">
        <f>CHOOSE($D$27,C83,C84,C85,C86,C87)</f>
        <v>0.23200000000000001</v>
      </c>
      <c r="D32" s="18">
        <f>CHOOSE($D$27,D83,D84,D85,D86,D87)</f>
        <v>0.23200000000000001</v>
      </c>
      <c r="E32" s="18">
        <f>CHOOSE($D$27,E83,E84,E85,E86,E87)</f>
        <v>0.23200000000000001</v>
      </c>
      <c r="F32" s="18">
        <f>CHOOSE($D$27,F83,F84,F85,F86,F87)</f>
        <v>0.23200000000000001</v>
      </c>
      <c r="G32" s="18">
        <f>CHOOSE($D$27,G83,G84,G85,G86,G87)</f>
        <v>0.23200000000000001</v>
      </c>
    </row>
    <row r="33" spans="2:7" ht="14" customHeight="1" x14ac:dyDescent="0.3">
      <c r="B33" s="4" t="s">
        <v>31</v>
      </c>
      <c r="C33" s="5">
        <f>C17*(1+C30)</f>
        <v>779088.255</v>
      </c>
      <c r="D33" s="5">
        <f>C33*(1+D30)</f>
        <v>810251.78520000004</v>
      </c>
      <c r="E33" s="5">
        <f>D33*(1+E30)</f>
        <v>838610.59768200002</v>
      </c>
      <c r="F33" s="5">
        <f>E33*(1+F30)</f>
        <v>863768.91561246</v>
      </c>
      <c r="G33" s="5">
        <f>F33*(1+G30)</f>
        <v>885363.13850277138</v>
      </c>
    </row>
    <row r="34" spans="2:7" ht="14" customHeight="1" x14ac:dyDescent="0.3">
      <c r="B34" s="4" t="s">
        <v>32</v>
      </c>
      <c r="C34" s="5">
        <f>C33*C31</f>
        <v>518872.77783000004</v>
      </c>
      <c r="D34" s="5">
        <f>D33*D31</f>
        <v>539627.68894320005</v>
      </c>
      <c r="E34" s="5">
        <f>E33*E31</f>
        <v>558514.65805621201</v>
      </c>
      <c r="F34" s="5">
        <f>F33*F31</f>
        <v>575270.09779789834</v>
      </c>
      <c r="G34" s="5">
        <f>G33*G31</f>
        <v>589474.7776151452</v>
      </c>
    </row>
    <row r="35" spans="2:7" ht="14" customHeight="1" x14ac:dyDescent="0.3">
      <c r="B35" s="4" t="s">
        <v>33</v>
      </c>
      <c r="C35" s="19">
        <f>C33-C34</f>
        <v>260215.47716999997</v>
      </c>
      <c r="D35" s="19">
        <f>D33-D34</f>
        <v>270624.0962568</v>
      </c>
      <c r="E35" s="19">
        <f>E33-E34</f>
        <v>280095.93962578801</v>
      </c>
      <c r="F35" s="19">
        <f>F33-F34</f>
        <v>288498.81781456165</v>
      </c>
      <c r="G35" s="19">
        <f>G33-G34</f>
        <v>295888.36088762619</v>
      </c>
    </row>
    <row r="36" spans="2:7" ht="14" customHeight="1" x14ac:dyDescent="0.3">
      <c r="B36" s="4" t="s">
        <v>34</v>
      </c>
      <c r="C36" s="7">
        <f>C35/C33</f>
        <v>0.33399999999999996</v>
      </c>
      <c r="D36" s="7">
        <f>D35/D33</f>
        <v>0.33399999999999996</v>
      </c>
      <c r="E36" s="7">
        <f>E35/E33</f>
        <v>0.33400000000000002</v>
      </c>
      <c r="F36" s="7">
        <f>F35/F33</f>
        <v>0.33400000000000002</v>
      </c>
      <c r="G36" s="7">
        <f>G35/G33</f>
        <v>0.3342</v>
      </c>
    </row>
    <row r="37" spans="2:7" ht="14" customHeight="1" x14ac:dyDescent="0.3">
      <c r="B37" s="4" t="s">
        <v>87</v>
      </c>
      <c r="C37" s="5">
        <f>C33*C32</f>
        <v>180748.47516</v>
      </c>
      <c r="D37" s="5">
        <f>D33*D32</f>
        <v>187978.41416640001</v>
      </c>
      <c r="E37" s="5">
        <f>E33*E32</f>
        <v>194557.65866222401</v>
      </c>
      <c r="F37" s="5">
        <f>F33*F32</f>
        <v>200394.38842209073</v>
      </c>
      <c r="G37" s="5">
        <f>G33*G32</f>
        <v>205404.24813264297</v>
      </c>
    </row>
    <row r="38" spans="2:7" ht="14" customHeight="1" x14ac:dyDescent="0.3">
      <c r="B38" s="4" t="s">
        <v>88</v>
      </c>
      <c r="C38" s="7">
        <f>(C35-C37)/C33</f>
        <v>0.10199999999999995</v>
      </c>
      <c r="D38" s="7">
        <f>(D35-D37)/D33</f>
        <v>0.10199999999999998</v>
      </c>
      <c r="E38" s="7">
        <f>(E35-E37)/E33</f>
        <v>0.10199999999999999</v>
      </c>
      <c r="F38" s="7">
        <f>(F35-F37)/F33</f>
        <v>0.10199999999999999</v>
      </c>
      <c r="G38" s="7">
        <f>(G35-G37)/G33</f>
        <v>0.10219999999999997</v>
      </c>
    </row>
    <row r="39" spans="2:7" ht="14" customHeight="1" x14ac:dyDescent="0.3">
      <c r="B39" s="4" t="s">
        <v>89</v>
      </c>
      <c r="C39" s="19">
        <f>C35-C37</f>
        <v>79467.002009999967</v>
      </c>
      <c r="D39" s="19">
        <f>D35-D37</f>
        <v>82645.682090399991</v>
      </c>
      <c r="E39" s="19">
        <f>E35-E37</f>
        <v>85538.280963564001</v>
      </c>
      <c r="F39" s="19">
        <f>F35-F37</f>
        <v>88104.42939247092</v>
      </c>
      <c r="G39" s="19">
        <f>G35-G37</f>
        <v>90484.112754983216</v>
      </c>
    </row>
    <row r="40" spans="2:7" ht="14" customHeight="1" x14ac:dyDescent="0.3">
      <c r="B40" s="4" t="s">
        <v>90</v>
      </c>
      <c r="C40" s="5">
        <f>MAX(0,C39*C6)</f>
        <v>19866.750502499992</v>
      </c>
      <c r="D40" s="5">
        <f>MAX(0,D39*C6)</f>
        <v>20661.420522599998</v>
      </c>
      <c r="E40" s="5">
        <f>MAX(0,E39*C6)</f>
        <v>21384.570240891</v>
      </c>
      <c r="F40" s="5">
        <f>MAX(0,F39*C6)</f>
        <v>22026.10734811773</v>
      </c>
      <c r="G40" s="5">
        <f>MAX(0,G39*C6)</f>
        <v>22621.028188745804</v>
      </c>
    </row>
    <row r="41" spans="2:7" ht="14" customHeight="1" x14ac:dyDescent="0.3">
      <c r="B41" s="4" t="s">
        <v>91</v>
      </c>
      <c r="C41" s="19">
        <f>C39-C40</f>
        <v>59600.251507499976</v>
      </c>
      <c r="D41" s="19">
        <f>D39-D40</f>
        <v>61984.261567799993</v>
      </c>
      <c r="E41" s="19">
        <f>E39-E40</f>
        <v>64153.710722673</v>
      </c>
      <c r="F41" s="19">
        <f>F39-F40</f>
        <v>66078.32204435319</v>
      </c>
      <c r="G41" s="19">
        <f>G39-G40</f>
        <v>67863.084566237405</v>
      </c>
    </row>
    <row r="42" spans="2:7" ht="14" customHeight="1" x14ac:dyDescent="0.3">
      <c r="B42" s="4" t="s">
        <v>92</v>
      </c>
      <c r="C42" s="5">
        <f>C33*C18</f>
        <v>28826.265434999998</v>
      </c>
      <c r="D42" s="5">
        <f>D33*C18</f>
        <v>29979.316052400001</v>
      </c>
      <c r="E42" s="5">
        <f>E33*C18</f>
        <v>31028.592114233998</v>
      </c>
      <c r="F42" s="5">
        <f>F33*C18</f>
        <v>31959.44987766102</v>
      </c>
      <c r="G42" s="5">
        <f>G33*C18</f>
        <v>32758.43612460254</v>
      </c>
    </row>
    <row r="43" spans="2:7" ht="14" customHeight="1" x14ac:dyDescent="0.3">
      <c r="B43" s="4" t="s">
        <v>93</v>
      </c>
      <c r="C43" s="5">
        <v>58000</v>
      </c>
      <c r="D43" s="5">
        <v>52000</v>
      </c>
      <c r="E43" s="5">
        <v>45000</v>
      </c>
      <c r="F43" s="5">
        <v>39000</v>
      </c>
      <c r="G43" s="5">
        <v>34600</v>
      </c>
    </row>
    <row r="44" spans="2:7" ht="14" customHeight="1" x14ac:dyDescent="0.3">
      <c r="B44" s="4" t="s">
        <v>94</v>
      </c>
      <c r="C44" s="5">
        <f>'NWC Schedule'!D19</f>
        <v>6146.9966495068511</v>
      </c>
      <c r="D44" s="5">
        <f>'NWC Schedule'!E19</f>
        <v>5405.7198659802671</v>
      </c>
      <c r="E44" s="5">
        <f>'NWC Schedule'!F19</f>
        <v>4919.2050780420541</v>
      </c>
      <c r="F44" s="5">
        <f>'NWC Schedule'!G19</f>
        <v>4364.0376478058752</v>
      </c>
      <c r="G44" s="5">
        <f>'NWC Schedule'!H19</f>
        <v>3731.7301969146938</v>
      </c>
    </row>
    <row r="45" spans="2:7" ht="14" customHeight="1" x14ac:dyDescent="0.3">
      <c r="B45" s="4" t="s">
        <v>95</v>
      </c>
      <c r="C45" s="20">
        <f>C41+C42-C43-C44</f>
        <v>24279.520292993126</v>
      </c>
      <c r="D45" s="20">
        <f>D41+D42-D43-D44</f>
        <v>34557.857754219731</v>
      </c>
      <c r="E45" s="20">
        <f>E41+E42-E43-E44</f>
        <v>45263.09775886494</v>
      </c>
      <c r="F45" s="20">
        <f>F41+F42-F43-F44</f>
        <v>54673.734274208342</v>
      </c>
      <c r="G45" s="20">
        <f>G41+G42-G43-G44</f>
        <v>62289.790493925248</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22508.130428286942</v>
      </c>
      <c r="D47" s="19">
        <f>D45*D46</f>
        <v>29699.248157851162</v>
      </c>
      <c r="E47" s="19">
        <f>E45*E46</f>
        <v>36061.371262531189</v>
      </c>
      <c r="F47" s="19">
        <f>F45*F46</f>
        <v>40380.902657403989</v>
      </c>
      <c r="G47" s="19">
        <f>G45*G46</f>
        <v>42649.454080434385</v>
      </c>
    </row>
    <row r="49" spans="2:7" ht="14" customHeight="1" x14ac:dyDescent="0.3">
      <c r="B49" s="22" t="s">
        <v>98</v>
      </c>
      <c r="C49" s="23"/>
      <c r="D49" s="23"/>
      <c r="E49" s="23"/>
      <c r="F49" s="23"/>
      <c r="G49" s="23"/>
    </row>
    <row r="50" spans="2:7" ht="14" customHeight="1" x14ac:dyDescent="0.3">
      <c r="B50" s="4" t="s">
        <v>99</v>
      </c>
      <c r="C50" s="5">
        <f>SUM(C47:G47)</f>
        <v>171299.10658650767</v>
      </c>
    </row>
    <row r="51" spans="2:7" ht="14" customHeight="1" x14ac:dyDescent="0.3">
      <c r="B51" s="4" t="s">
        <v>100</v>
      </c>
      <c r="C51" s="5">
        <f>G45*(1+C13)/(C26-C13)</f>
        <v>915759.65646090975</v>
      </c>
    </row>
    <row r="52" spans="2:7" ht="14" customHeight="1" x14ac:dyDescent="0.3">
      <c r="B52" s="4" t="s">
        <v>101</v>
      </c>
      <c r="C52" s="5">
        <f>C51*G46</f>
        <v>627015.26377348951</v>
      </c>
    </row>
    <row r="53" spans="2:7" ht="14" customHeight="1" x14ac:dyDescent="0.3">
      <c r="B53" s="4" t="s">
        <v>102</v>
      </c>
      <c r="C53" s="5">
        <f>C50+C52</f>
        <v>798314.37035999715</v>
      </c>
    </row>
    <row r="54" spans="2:7" ht="14" customHeight="1" x14ac:dyDescent="0.3">
      <c r="B54" s="4" t="s">
        <v>103</v>
      </c>
      <c r="C54" s="5">
        <f>C53-C16</f>
        <v>848655.37035999715</v>
      </c>
    </row>
    <row r="55" spans="2:7" ht="14" customHeight="1" x14ac:dyDescent="0.3">
      <c r="B55" s="4" t="s">
        <v>104</v>
      </c>
      <c r="C55" s="24">
        <f>ROUND(C54*1000000/C15,0)</f>
        <v>915</v>
      </c>
    </row>
    <row r="57" spans="2:7" ht="14" customHeight="1" x14ac:dyDescent="0.3">
      <c r="B57" s="22" t="s">
        <v>105</v>
      </c>
      <c r="C57" s="23"/>
      <c r="D57" s="23"/>
      <c r="E57" s="23"/>
      <c r="F57" s="23"/>
      <c r="G57" s="23"/>
    </row>
    <row r="58" spans="2:7" ht="14" customHeight="1" x14ac:dyDescent="0.3">
      <c r="B58" s="4" t="s">
        <v>99</v>
      </c>
      <c r="C58" s="5">
        <f>C50</f>
        <v>171299.10658650767</v>
      </c>
    </row>
    <row r="59" spans="2:7" ht="14" customHeight="1" x14ac:dyDescent="0.3">
      <c r="B59" s="4" t="s">
        <v>106</v>
      </c>
      <c r="C59" s="5">
        <f>G39+G42</f>
        <v>123242.54887958575</v>
      </c>
    </row>
    <row r="60" spans="2:7" ht="14" customHeight="1" x14ac:dyDescent="0.3">
      <c r="B60" s="4" t="s">
        <v>107</v>
      </c>
      <c r="C60" s="5">
        <f>C59*C14</f>
        <v>1343343.7827874848</v>
      </c>
    </row>
    <row r="61" spans="2:7" ht="14" customHeight="1" x14ac:dyDescent="0.3">
      <c r="B61" s="4" t="s">
        <v>101</v>
      </c>
      <c r="C61" s="5">
        <f>C60*G46</f>
        <v>919779.60631958279</v>
      </c>
    </row>
    <row r="62" spans="2:7" ht="14" customHeight="1" x14ac:dyDescent="0.3">
      <c r="B62" s="4" t="s">
        <v>102</v>
      </c>
      <c r="C62" s="5">
        <f>C58+C61</f>
        <v>1091078.7129060905</v>
      </c>
    </row>
    <row r="63" spans="2:7" ht="14" customHeight="1" x14ac:dyDescent="0.3">
      <c r="B63" s="4" t="s">
        <v>103</v>
      </c>
      <c r="C63" s="5">
        <f>C62-C16</f>
        <v>1141419.7129060905</v>
      </c>
    </row>
    <row r="64" spans="2:7" ht="14" customHeight="1" x14ac:dyDescent="0.3">
      <c r="B64" s="4" t="s">
        <v>108</v>
      </c>
      <c r="C64" s="24">
        <f>ROUND(C63*1000000/C15,0)</f>
        <v>1230</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40</v>
      </c>
    </row>
    <row r="69" spans="2:7" ht="14" customHeight="1" x14ac:dyDescent="0.3">
      <c r="B69" s="4" t="s">
        <v>78</v>
      </c>
      <c r="C69" s="26">
        <v>4.4999999999999998E-2</v>
      </c>
      <c r="D69" s="26">
        <v>0.04</v>
      </c>
      <c r="E69" s="26">
        <v>3.5000000000000003E-2</v>
      </c>
      <c r="F69" s="26">
        <v>0.03</v>
      </c>
      <c r="G69" s="26">
        <v>2.5000000000000001E-2</v>
      </c>
    </row>
    <row r="70" spans="2:7" ht="14" customHeight="1" x14ac:dyDescent="0.3">
      <c r="B70" s="4" t="s">
        <v>115</v>
      </c>
      <c r="C70" s="26">
        <v>0.06</v>
      </c>
      <c r="D70" s="26">
        <v>5.5E-2</v>
      </c>
      <c r="E70" s="26">
        <v>4.4999999999999998E-2</v>
      </c>
      <c r="F70" s="26">
        <v>0.04</v>
      </c>
      <c r="G70" s="26">
        <v>3.5000000000000003E-2</v>
      </c>
    </row>
    <row r="71" spans="2:7" ht="14" customHeight="1" x14ac:dyDescent="0.3">
      <c r="B71" s="4" t="s">
        <v>116</v>
      </c>
      <c r="C71" s="26">
        <v>4.4999999999999998E-2</v>
      </c>
      <c r="D71" s="26">
        <v>0.04</v>
      </c>
      <c r="E71" s="26">
        <v>3.5000000000000003E-2</v>
      </c>
      <c r="F71" s="26">
        <v>0.03</v>
      </c>
      <c r="G71" s="26">
        <v>2.5000000000000001E-2</v>
      </c>
    </row>
    <row r="72" spans="2:7" ht="14" customHeight="1" x14ac:dyDescent="0.3">
      <c r="B72" s="4" t="s">
        <v>117</v>
      </c>
      <c r="C72" s="26">
        <v>0.01</v>
      </c>
      <c r="D72" s="26">
        <v>0.01</v>
      </c>
      <c r="E72" s="26">
        <v>0.01</v>
      </c>
      <c r="F72" s="26">
        <v>0.01</v>
      </c>
      <c r="G72" s="26">
        <v>0.01</v>
      </c>
    </row>
    <row r="73" spans="2:7" ht="14" customHeight="1" x14ac:dyDescent="0.3">
      <c r="B73" s="4" t="s">
        <v>118</v>
      </c>
      <c r="C73" s="26">
        <v>-0.06</v>
      </c>
      <c r="D73" s="26">
        <v>-0.01</v>
      </c>
      <c r="E73" s="26">
        <v>5.0000000000000001E-3</v>
      </c>
      <c r="F73" s="26">
        <v>0.01</v>
      </c>
      <c r="G73" s="26">
        <v>1.4999999999999999E-2</v>
      </c>
    </row>
    <row r="75" spans="2:7" ht="14" customHeight="1" x14ac:dyDescent="0.3">
      <c r="B75" s="3" t="s">
        <v>85</v>
      </c>
    </row>
    <row r="76" spans="2:7" ht="14" customHeight="1" x14ac:dyDescent="0.3">
      <c r="B76" s="4" t="s">
        <v>78</v>
      </c>
      <c r="C76" s="26">
        <v>0.66600000000000004</v>
      </c>
      <c r="D76" s="26">
        <v>0.66600000000000004</v>
      </c>
      <c r="E76" s="26">
        <v>0.66600000000000004</v>
      </c>
      <c r="F76" s="26">
        <v>0.66600000000000004</v>
      </c>
      <c r="G76" s="26">
        <v>0.66579999999999995</v>
      </c>
    </row>
    <row r="77" spans="2:7" ht="14" customHeight="1" x14ac:dyDescent="0.3">
      <c r="B77" s="4" t="s">
        <v>115</v>
      </c>
      <c r="C77" s="26">
        <v>0.66600000000000004</v>
      </c>
      <c r="D77" s="26">
        <v>0.66400000000000003</v>
      </c>
      <c r="E77" s="26">
        <v>0.66200000000000003</v>
      </c>
      <c r="F77" s="26">
        <v>0.66</v>
      </c>
      <c r="G77" s="26">
        <v>0.65910000000000002</v>
      </c>
    </row>
    <row r="78" spans="2:7" ht="14" customHeight="1" x14ac:dyDescent="0.3">
      <c r="B78" s="4" t="s">
        <v>116</v>
      </c>
      <c r="C78" s="26">
        <v>0.66600000000000004</v>
      </c>
      <c r="D78" s="26">
        <v>0.66600000000000004</v>
      </c>
      <c r="E78" s="26">
        <v>0.66600000000000004</v>
      </c>
      <c r="F78" s="26">
        <v>0.66600000000000004</v>
      </c>
      <c r="G78" s="26">
        <v>0.66579999999999995</v>
      </c>
    </row>
    <row r="79" spans="2:7" ht="14" customHeight="1" x14ac:dyDescent="0.3">
      <c r="B79" s="4" t="s">
        <v>117</v>
      </c>
      <c r="C79" s="26">
        <v>0.66400000000000003</v>
      </c>
      <c r="D79" s="26">
        <v>0.66449999999999998</v>
      </c>
      <c r="E79" s="26">
        <v>0.66500000000000004</v>
      </c>
      <c r="F79" s="26">
        <v>0.66549999999999998</v>
      </c>
      <c r="G79" s="26">
        <v>0.66590000000000005</v>
      </c>
    </row>
    <row r="80" spans="2:7" ht="14" customHeight="1" x14ac:dyDescent="0.3">
      <c r="B80" s="4" t="s">
        <v>118</v>
      </c>
      <c r="C80" s="26">
        <v>0.7</v>
      </c>
      <c r="D80" s="26">
        <v>0.70399999999999996</v>
      </c>
      <c r="E80" s="26">
        <v>0.70399999999999996</v>
      </c>
      <c r="F80" s="26">
        <v>0.70199999999999996</v>
      </c>
      <c r="G80" s="26">
        <v>0.7</v>
      </c>
    </row>
    <row r="82" spans="2:7" ht="14" customHeight="1" x14ac:dyDescent="0.3">
      <c r="B82" s="3" t="s">
        <v>86</v>
      </c>
    </row>
    <row r="83" spans="2:7" ht="14" customHeight="1" x14ac:dyDescent="0.3">
      <c r="B83" s="4" t="s">
        <v>78</v>
      </c>
      <c r="C83" s="26">
        <v>0.23200000000000001</v>
      </c>
      <c r="D83" s="26">
        <v>0.23200000000000001</v>
      </c>
      <c r="E83" s="26">
        <v>0.23200000000000001</v>
      </c>
      <c r="F83" s="26">
        <v>0.23200000000000001</v>
      </c>
      <c r="G83" s="26">
        <v>0.23200000000000001</v>
      </c>
    </row>
    <row r="84" spans="2:7" ht="14" customHeight="1" x14ac:dyDescent="0.3">
      <c r="B84" s="4" t="s">
        <v>115</v>
      </c>
      <c r="C84" s="26">
        <v>0.22900000000000001</v>
      </c>
      <c r="D84" s="26">
        <v>0.22900000000000001</v>
      </c>
      <c r="E84" s="26">
        <v>0.22900000000000001</v>
      </c>
      <c r="F84" s="26">
        <v>0.22900000000000001</v>
      </c>
      <c r="G84" s="26">
        <v>0.22900000000000001</v>
      </c>
    </row>
    <row r="85" spans="2:7" ht="14" customHeight="1" x14ac:dyDescent="0.3">
      <c r="B85" s="4" t="s">
        <v>116</v>
      </c>
      <c r="C85" s="26">
        <v>0.23200000000000001</v>
      </c>
      <c r="D85" s="26">
        <v>0.23200000000000001</v>
      </c>
      <c r="E85" s="26">
        <v>0.23200000000000001</v>
      </c>
      <c r="F85" s="26">
        <v>0.23200000000000001</v>
      </c>
      <c r="G85" s="26">
        <v>0.23200000000000001</v>
      </c>
    </row>
    <row r="86" spans="2:7" ht="14" customHeight="1" x14ac:dyDescent="0.3">
      <c r="B86" s="4" t="s">
        <v>117</v>
      </c>
      <c r="C86" s="26">
        <v>0.23599999999999999</v>
      </c>
      <c r="D86" s="26">
        <v>0.23599999999999999</v>
      </c>
      <c r="E86" s="26">
        <v>0.23599999999999999</v>
      </c>
      <c r="F86" s="26">
        <v>0.23599999999999999</v>
      </c>
      <c r="G86" s="26">
        <v>0.23599999999999999</v>
      </c>
    </row>
    <row r="87" spans="2:7" ht="14" customHeight="1" x14ac:dyDescent="0.3">
      <c r="B87" s="4" t="s">
        <v>118</v>
      </c>
      <c r="C87" s="26">
        <v>0.245</v>
      </c>
      <c r="D87" s="26">
        <v>0.245</v>
      </c>
      <c r="E87" s="26">
        <v>0.245</v>
      </c>
      <c r="F87" s="26">
        <v>0.245</v>
      </c>
      <c r="G87" s="26">
        <v>0.245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1784.5</v>
      </c>
    </row>
    <row r="7" spans="2:9" ht="14" customHeight="1" x14ac:dyDescent="0.3">
      <c r="B7" s="4" t="s">
        <v>66</v>
      </c>
      <c r="C7" s="15">
        <f>'DCF Model'!C15</f>
        <v>927739554</v>
      </c>
    </row>
    <row r="8" spans="2:9" ht="14" customHeight="1" x14ac:dyDescent="0.3">
      <c r="B8" s="4" t="s">
        <v>123</v>
      </c>
      <c r="C8" s="5">
        <f>C6*C7/1000000</f>
        <v>1655551.2341130001</v>
      </c>
    </row>
    <row r="9" spans="2:9" ht="14" customHeight="1" x14ac:dyDescent="0.3">
      <c r="B9" s="4" t="s">
        <v>67</v>
      </c>
      <c r="C9" s="5">
        <f>'DCF Model'!C16</f>
        <v>-50341</v>
      </c>
    </row>
    <row r="10" spans="2:9" ht="14" customHeight="1" x14ac:dyDescent="0.3">
      <c r="B10" s="4" t="s">
        <v>124</v>
      </c>
      <c r="C10" s="5">
        <f>C8+C9</f>
        <v>1605210.2341130001</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75940</v>
      </c>
    </row>
    <row r="15" spans="2:9" ht="14" customHeight="1" x14ac:dyDescent="0.3">
      <c r="B15" s="4" t="s">
        <v>129</v>
      </c>
      <c r="C15" s="27">
        <v>75940</v>
      </c>
    </row>
    <row r="16" spans="2:9" ht="14" customHeight="1" x14ac:dyDescent="0.3">
      <c r="B16" s="4" t="s">
        <v>130</v>
      </c>
      <c r="C16" s="5">
        <f>'DCF Model'!G33</f>
        <v>885363.13850277138</v>
      </c>
    </row>
    <row r="17" spans="2:9" ht="14" customHeight="1" x14ac:dyDescent="0.3">
      <c r="B17" s="4" t="s">
        <v>131</v>
      </c>
      <c r="C17" s="5">
        <f>'DCF Model'!C53</f>
        <v>798314.37035999715</v>
      </c>
    </row>
    <row r="18" spans="2:9" ht="14" customHeight="1" x14ac:dyDescent="0.3">
      <c r="B18" s="4" t="s">
        <v>132</v>
      </c>
      <c r="C18" s="26">
        <v>0.1018591918061966</v>
      </c>
    </row>
    <row r="19" spans="2:9" ht="14" customHeight="1" x14ac:dyDescent="0.3">
      <c r="B19" s="4" t="s">
        <v>133</v>
      </c>
      <c r="C19" s="5">
        <f>C10-C17</f>
        <v>806895.86375300295</v>
      </c>
    </row>
    <row r="20" spans="2:9" ht="14" customHeight="1" x14ac:dyDescent="0.3">
      <c r="B20" s="4" t="s">
        <v>134</v>
      </c>
      <c r="C20" s="15">
        <f>IFERROR(ROUND(C19*1000000/C7,0),"N/A")</f>
        <v>870</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110277.94308356311</v>
      </c>
    </row>
    <row r="25" spans="2:9" ht="14" customHeight="1" x14ac:dyDescent="0.3">
      <c r="B25" s="4" t="s">
        <v>138</v>
      </c>
      <c r="C25" s="5">
        <f>IFERROR(C24/(1-C13),"N/A")</f>
        <v>147037.25744475081</v>
      </c>
    </row>
    <row r="26" spans="2:9" ht="13.5" customHeight="1" x14ac:dyDescent="0.25">
      <c r="B26" s="6" t="s">
        <v>139</v>
      </c>
      <c r="C26" s="14">
        <f>IFERROR(C25/C15,"N/A")</f>
        <v>1.9362293579767027</v>
      </c>
    </row>
    <row r="27" spans="2:9" ht="13.5" customHeight="1" x14ac:dyDescent="0.25">
      <c r="B27" s="6" t="s">
        <v>140</v>
      </c>
      <c r="C27" s="14">
        <f>IFERROR(C25/C14,"N/A")</f>
        <v>1.9362293579767027</v>
      </c>
    </row>
    <row r="28" spans="2:9" ht="13.5" customHeight="1" x14ac:dyDescent="0.25">
      <c r="B28" s="6" t="s">
        <v>141</v>
      </c>
      <c r="C28" s="7">
        <f>IFERROR(C25/C16,"N/A")</f>
        <v>0.16607564856766457</v>
      </c>
    </row>
    <row r="29" spans="2:9" ht="13.5" customHeight="1" x14ac:dyDescent="0.25">
      <c r="B29" s="6" t="s">
        <v>142</v>
      </c>
      <c r="C29" s="5">
        <f>IFERROR(C25/C18,"N/A")</f>
        <v>1443534.4993165929</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107639.95738411942</v>
      </c>
      <c r="E48" s="5">
        <f t="shared" si="2"/>
        <v>130964.10550018537</v>
      </c>
      <c r="F48" s="5">
        <f t="shared" si="2"/>
        <v>154694.51592381787</v>
      </c>
      <c r="G48" s="5">
        <f t="shared" si="2"/>
        <v>178826.88675109256</v>
      </c>
      <c r="H48" s="5">
        <f t="shared" si="2"/>
        <v>203356.93416743982</v>
      </c>
    </row>
    <row r="49" spans="2:9" ht="14" customHeight="1" x14ac:dyDescent="0.3">
      <c r="B49" s="4" t="s">
        <v>150</v>
      </c>
      <c r="C49" s="30">
        <v>5</v>
      </c>
      <c r="D49" s="5">
        <f t="shared" si="2"/>
        <v>111160.51570276674</v>
      </c>
      <c r="E49" s="5">
        <f t="shared" si="2"/>
        <v>136511.83189895269</v>
      </c>
      <c r="F49" s="5">
        <f t="shared" si="2"/>
        <v>162718.31133111598</v>
      </c>
      <c r="G49" s="5">
        <f t="shared" si="2"/>
        <v>189776.80190230004</v>
      </c>
      <c r="H49" s="5">
        <f t="shared" si="2"/>
        <v>217683.78313349685</v>
      </c>
    </row>
    <row r="50" spans="2:9" ht="14" customHeight="1" x14ac:dyDescent="0.3">
      <c r="B50" s="4" t="s">
        <v>151</v>
      </c>
      <c r="C50" s="30">
        <v>7</v>
      </c>
      <c r="D50" s="5">
        <f t="shared" si="2"/>
        <v>114792.17884480911</v>
      </c>
      <c r="E50" s="5">
        <f t="shared" si="2"/>
        <v>142275.42754261888</v>
      </c>
      <c r="F50" s="5">
        <f t="shared" si="2"/>
        <v>171104.41503391712</v>
      </c>
      <c r="G50" s="5">
        <f t="shared" si="2"/>
        <v>201282.09789661065</v>
      </c>
      <c r="H50" s="5">
        <f t="shared" si="2"/>
        <v>232810.16465528595</v>
      </c>
    </row>
    <row r="51" spans="2:9" ht="14" customHeight="1" x14ac:dyDescent="0.3">
      <c r="B51" s="4" t="s">
        <v>152</v>
      </c>
      <c r="C51" s="30">
        <v>10</v>
      </c>
      <c r="D51" s="5">
        <f t="shared" si="2"/>
        <v>120444.54240155428</v>
      </c>
      <c r="E51" s="5">
        <f t="shared" si="2"/>
        <v>151318.36307459482</v>
      </c>
      <c r="F51" s="5">
        <f t="shared" si="2"/>
        <v>184348.62902865637</v>
      </c>
      <c r="G51" s="5">
        <f t="shared" si="2"/>
        <v>219555.16613071624</v>
      </c>
      <c r="H51" s="5">
        <f t="shared" si="2"/>
        <v>256953.90131580774</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1.4174342557824522</v>
      </c>
      <c r="E53" s="14">
        <f t="shared" si="3"/>
        <v>1.7245734198075502</v>
      </c>
      <c r="F53" s="14">
        <f t="shared" si="3"/>
        <v>2.0370623640218315</v>
      </c>
      <c r="G53" s="14">
        <f t="shared" si="3"/>
        <v>2.3548444397036157</v>
      </c>
      <c r="H53" s="14">
        <f t="shared" si="3"/>
        <v>2.6778632363371058</v>
      </c>
    </row>
    <row r="54" spans="2:9" ht="14" customHeight="1" x14ac:dyDescent="0.3">
      <c r="B54" s="4" t="s">
        <v>150</v>
      </c>
      <c r="C54" s="30">
        <v>5</v>
      </c>
      <c r="D54" s="14">
        <f t="shared" si="3"/>
        <v>1.4637939913453615</v>
      </c>
      <c r="E54" s="14">
        <f t="shared" si="3"/>
        <v>1.7976274940604779</v>
      </c>
      <c r="F54" s="14">
        <f t="shared" si="3"/>
        <v>2.1427220349106659</v>
      </c>
      <c r="G54" s="14">
        <f t="shared" si="3"/>
        <v>2.4990361061667112</v>
      </c>
      <c r="H54" s="14">
        <f t="shared" si="3"/>
        <v>2.8665233491374353</v>
      </c>
    </row>
    <row r="55" spans="2:9" ht="14" customHeight="1" x14ac:dyDescent="0.3">
      <c r="B55" s="4" t="s">
        <v>151</v>
      </c>
      <c r="C55" s="30">
        <v>7</v>
      </c>
      <c r="D55" s="14">
        <f t="shared" si="3"/>
        <v>1.5116167875271149</v>
      </c>
      <c r="E55" s="14">
        <f t="shared" si="3"/>
        <v>1.8735241972954817</v>
      </c>
      <c r="F55" s="14">
        <f t="shared" si="3"/>
        <v>2.2531526867779448</v>
      </c>
      <c r="G55" s="14">
        <f t="shared" si="3"/>
        <v>2.6505411890520234</v>
      </c>
      <c r="H55" s="14">
        <f t="shared" si="3"/>
        <v>3.0657119391004208</v>
      </c>
    </row>
    <row r="56" spans="2:9" ht="14" customHeight="1" x14ac:dyDescent="0.3">
      <c r="B56" s="4" t="s">
        <v>152</v>
      </c>
      <c r="C56" s="30">
        <v>10</v>
      </c>
      <c r="D56" s="14">
        <f t="shared" si="3"/>
        <v>1.5860487543001618</v>
      </c>
      <c r="E56" s="14">
        <f t="shared" si="3"/>
        <v>1.9926042016670373</v>
      </c>
      <c r="F56" s="14">
        <f t="shared" si="3"/>
        <v>2.4275563474934998</v>
      </c>
      <c r="G56" s="14">
        <f t="shared" si="3"/>
        <v>2.8911662645603928</v>
      </c>
      <c r="H56" s="14">
        <f t="shared" si="3"/>
        <v>3.3836436833790855</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162718.31133111598</v>
      </c>
    </row>
    <row r="62" spans="2:9" ht="14" customHeight="1" x14ac:dyDescent="0.3">
      <c r="B62" s="28" t="s">
        <v>159</v>
      </c>
      <c r="C62" s="28" t="s">
        <v>160</v>
      </c>
      <c r="D62" s="28" t="s">
        <v>161</v>
      </c>
    </row>
    <row r="63" spans="2:9" ht="14" customHeight="1" x14ac:dyDescent="0.3">
      <c r="B63" s="31">
        <v>5.0900000000000001E-2</v>
      </c>
      <c r="C63" s="5">
        <f>IFERROR($C$60/B63,"N/A")</f>
        <v>3196823.4053264437</v>
      </c>
      <c r="D63" s="14">
        <f>IFERROR(C63/'DCF Model'!C17,"N/A")</f>
        <v>4.2879358495349589</v>
      </c>
    </row>
    <row r="64" spans="2:9" ht="14" customHeight="1" x14ac:dyDescent="0.3">
      <c r="B64" s="31">
        <v>7.6399999999999996E-2</v>
      </c>
      <c r="C64" s="5">
        <f>IFERROR($C$60/B64,"N/A")</f>
        <v>2129820.8289413089</v>
      </c>
      <c r="D64" s="14">
        <f>IFERROR(C64/'DCF Model'!C17,"N/A")</f>
        <v>2.8567530725304899</v>
      </c>
    </row>
    <row r="65" spans="2:9" ht="14" customHeight="1" x14ac:dyDescent="0.3">
      <c r="B65" s="4" t="s">
        <v>162</v>
      </c>
      <c r="C65" s="5">
        <f>IFERROR($C$60/$C$18,"N/A")</f>
        <v>1597482.843185263</v>
      </c>
      <c r="D65" s="14">
        <f>IFERROR(C65/'DCF Model'!C17,"N/A")</f>
        <v>2.1427220349106659</v>
      </c>
    </row>
    <row r="66" spans="2:9" ht="14" customHeight="1" x14ac:dyDescent="0.3">
      <c r="B66" s="31">
        <v>0.1273</v>
      </c>
      <c r="C66" s="5">
        <f>IFERROR($C$60/B66,"N/A")</f>
        <v>1278227.111791956</v>
      </c>
      <c r="D66" s="14">
        <f>IFERROR(C66/'DCF Model'!C17,"N/A")</f>
        <v>1.7145006656820851</v>
      </c>
    </row>
    <row r="67" spans="2:9" ht="14" customHeight="1" x14ac:dyDescent="0.3">
      <c r="B67" s="31">
        <v>0.15279999999999999</v>
      </c>
      <c r="C67" s="5">
        <f>IFERROR($C$60/B67,"N/A")</f>
        <v>1064910.4144706544</v>
      </c>
      <c r="D67" s="14">
        <f>IFERROR(C67/'DCF Model'!C17,"N/A")</f>
        <v>1.428376536265245</v>
      </c>
    </row>
    <row r="69" spans="2:9" ht="14" customHeight="1" x14ac:dyDescent="0.3">
      <c r="B69" s="8" t="s">
        <v>163</v>
      </c>
      <c r="C69" s="9"/>
      <c r="D69" s="9"/>
      <c r="E69" s="9"/>
      <c r="F69" s="9"/>
      <c r="G69" s="9"/>
      <c r="H69" s="9"/>
      <c r="I69" s="9"/>
    </row>
    <row r="70" spans="2:9" ht="13.5" customHeight="1" x14ac:dyDescent="0.25">
      <c r="B70" s="6" t="s">
        <v>164</v>
      </c>
      <c r="C70" s="14">
        <f>IFERROR(C10/'Comps Analysis'!G5,"N/A")</f>
        <v>15.632220888076272</v>
      </c>
    </row>
    <row r="71" spans="2:9" ht="13.5" customHeight="1" x14ac:dyDescent="0.25">
      <c r="B71" s="6" t="s">
        <v>165</v>
      </c>
      <c r="C71" s="14">
        <f>IFERROR(C10/'Comps Analysis'!F5,"N/A")</f>
        <v>2.1530868728705004</v>
      </c>
    </row>
    <row r="72" spans="2:9" ht="14" customHeight="1" x14ac:dyDescent="0.3">
      <c r="B72" s="4" t="s">
        <v>166</v>
      </c>
      <c r="C72" s="14">
        <f>IFERROR(C10/(C25+'DCF Model'!G42),"N/A")</f>
        <v>8.9279681968234446</v>
      </c>
    </row>
    <row r="73" spans="2:9" ht="14" customHeight="1" x14ac:dyDescent="0.3">
      <c r="B73" s="4" t="s">
        <v>167</v>
      </c>
      <c r="C73" s="14">
        <f>IFERROR(C10/(C60+'DCF Model'!G42),"N/A")</f>
        <v>8.2117707349137756</v>
      </c>
    </row>
    <row r="74" spans="2:9" ht="14" customHeight="1" x14ac:dyDescent="0.3">
      <c r="B74" s="4" t="s">
        <v>168</v>
      </c>
      <c r="C74" s="14">
        <f>IFERROR('Comps Analysis'!D16,"N/A")</f>
        <v>10.92142078168791</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1,785 yen the market is paying for a steady-state operating profit of 162,718 mn JPY - 2.14x the FY2026 cycle peak of 75,940 mn - reached in 5 years and sustained for ever, against 75,940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147,037 mn, or 1.94x the peak. The base case supports an EV of only 798,314 mn, leaving 870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44.375411614952398</v>
      </c>
      <c r="D5" s="34">
        <f>CHOOSE('DCF Model'!$D$27,D25,D26,D27,D28,D29)</f>
        <v>44</v>
      </c>
      <c r="E5" s="34">
        <f>CHOOSE('DCF Model'!$D$27,E25,E26,E27,E28,E29)</f>
        <v>44</v>
      </c>
      <c r="F5" s="34">
        <f>CHOOSE('DCF Model'!$D$27,F25,F26,F27,F28,F29)</f>
        <v>44</v>
      </c>
      <c r="G5" s="34">
        <f>CHOOSE('DCF Model'!$D$27,G25,G26,G27,G28,G29)</f>
        <v>44</v>
      </c>
      <c r="H5" s="34">
        <f>CHOOSE('DCF Model'!$D$27,H25,H26,H27,H28,H29)</f>
        <v>44</v>
      </c>
    </row>
    <row r="6" spans="2:8" ht="14" customHeight="1" x14ac:dyDescent="0.3">
      <c r="B6" s="33" t="s">
        <v>175</v>
      </c>
      <c r="C6" s="34">
        <f>C13/C10*365</f>
        <v>81.717478891354887</v>
      </c>
      <c r="D6" s="34">
        <f>CHOOSE('DCF Model'!$D$27,D32,D33,D34,D35,D36)</f>
        <v>81</v>
      </c>
      <c r="E6" s="34">
        <f>CHOOSE('DCF Model'!$D$27,E32,E33,E34,E35,E36)</f>
        <v>81</v>
      </c>
      <c r="F6" s="34">
        <f>CHOOSE('DCF Model'!$D$27,F32,F33,F34,F35,F36)</f>
        <v>81</v>
      </c>
      <c r="G6" s="34">
        <f>CHOOSE('DCF Model'!$D$27,G32,G33,G34,G35,G36)</f>
        <v>81</v>
      </c>
      <c r="H6" s="34">
        <f>CHOOSE('DCF Model'!$D$27,H32,H33,H34,H35,H36)</f>
        <v>81</v>
      </c>
    </row>
    <row r="7" spans="2:8" ht="14" customHeight="1" x14ac:dyDescent="0.3">
      <c r="B7" s="33" t="s">
        <v>176</v>
      </c>
      <c r="C7" s="34">
        <f>C15/C10*365</f>
        <v>53.315771535686899</v>
      </c>
      <c r="D7" s="34">
        <f>CHOOSE('DCF Model'!$D$27,D39,D40,D41,D42,D43)</f>
        <v>52</v>
      </c>
      <c r="E7" s="34">
        <f>CHOOSE('DCF Model'!$D$27,E39,E40,E41,E42,E43)</f>
        <v>52</v>
      </c>
      <c r="F7" s="34">
        <f>CHOOSE('DCF Model'!$D$27,F39,F40,F41,F42,F43)</f>
        <v>52</v>
      </c>
      <c r="G7" s="34">
        <f>CHOOSE('DCF Model'!$D$27,G39,G40,G41,G42,G43)</f>
        <v>52</v>
      </c>
      <c r="H7" s="34">
        <f>CHOOSE('DCF Model'!$D$27,H39,H40,H41,H42,H43)</f>
        <v>52</v>
      </c>
    </row>
    <row r="8" spans="2:8" ht="14" customHeight="1" x14ac:dyDescent="0.3">
      <c r="B8" s="8" t="s">
        <v>177</v>
      </c>
      <c r="C8" s="9"/>
      <c r="D8" s="9"/>
      <c r="E8" s="9"/>
      <c r="F8" s="9"/>
      <c r="G8" s="9"/>
      <c r="H8" s="9"/>
    </row>
    <row r="9" spans="2:8" ht="14" customHeight="1" x14ac:dyDescent="0.3">
      <c r="B9" s="33" t="s">
        <v>31</v>
      </c>
      <c r="C9" s="35">
        <v>745539</v>
      </c>
      <c r="D9" s="35">
        <f>'DCF Model'!C33</f>
        <v>779088.255</v>
      </c>
      <c r="E9" s="35">
        <f>'DCF Model'!D33</f>
        <v>810251.78520000004</v>
      </c>
      <c r="F9" s="35">
        <f>'DCF Model'!E33</f>
        <v>838610.59768200002</v>
      </c>
      <c r="G9" s="35">
        <f>'DCF Model'!F33</f>
        <v>863768.91561246</v>
      </c>
      <c r="H9" s="35">
        <f>'DCF Model'!G33</f>
        <v>885363.13850277138</v>
      </c>
    </row>
    <row r="10" spans="2:8" ht="14" customHeight="1" x14ac:dyDescent="0.3">
      <c r="B10" s="33" t="s">
        <v>32</v>
      </c>
      <c r="C10" s="35">
        <v>492926</v>
      </c>
      <c r="D10" s="35">
        <f>'DCF Model'!C34</f>
        <v>518872.77783000004</v>
      </c>
      <c r="E10" s="35">
        <f>'DCF Model'!D34</f>
        <v>539627.68894320005</v>
      </c>
      <c r="F10" s="35">
        <f>'DCF Model'!E34</f>
        <v>558514.65805621201</v>
      </c>
      <c r="G10" s="35">
        <f>'DCF Model'!F34</f>
        <v>575270.09779789834</v>
      </c>
      <c r="H10" s="35">
        <f>'DCF Model'!G34</f>
        <v>589474.7776151452</v>
      </c>
    </row>
    <row r="11" spans="2:8" ht="14" customHeight="1" x14ac:dyDescent="0.3">
      <c r="B11" s="8" t="s">
        <v>178</v>
      </c>
      <c r="C11" s="9"/>
      <c r="D11" s="9"/>
      <c r="E11" s="9"/>
      <c r="F11" s="9"/>
      <c r="G11" s="9"/>
      <c r="H11" s="9"/>
    </row>
    <row r="12" spans="2:8" ht="14" customHeight="1" x14ac:dyDescent="0.3">
      <c r="B12" s="33" t="s">
        <v>179</v>
      </c>
      <c r="C12" s="35">
        <v>90640</v>
      </c>
      <c r="D12" s="35">
        <f t="shared" ref="D12:H13" si="0">D9*D5/365</f>
        <v>93917.488273972602</v>
      </c>
      <c r="E12" s="35">
        <f t="shared" si="0"/>
        <v>97674.187804931498</v>
      </c>
      <c r="F12" s="35">
        <f t="shared" si="0"/>
        <v>101092.78437810412</v>
      </c>
      <c r="G12" s="35">
        <f t="shared" si="0"/>
        <v>104125.56790944724</v>
      </c>
      <c r="H12" s="35">
        <f t="shared" si="0"/>
        <v>106728.70710718339</v>
      </c>
    </row>
    <row r="13" spans="2:8" ht="14" customHeight="1" x14ac:dyDescent="0.3">
      <c r="B13" s="33" t="s">
        <v>180</v>
      </c>
      <c r="C13" s="35">
        <v>110358</v>
      </c>
      <c r="D13" s="35">
        <f t="shared" si="0"/>
        <v>115147.10960063014</v>
      </c>
      <c r="E13" s="35">
        <f t="shared" si="0"/>
        <v>119752.99398465536</v>
      </c>
      <c r="F13" s="35">
        <f t="shared" si="0"/>
        <v>123944.34877411828</v>
      </c>
      <c r="G13" s="35">
        <f t="shared" si="0"/>
        <v>127662.67923734181</v>
      </c>
      <c r="H13" s="35">
        <f t="shared" si="0"/>
        <v>130814.95064884044</v>
      </c>
    </row>
    <row r="14" spans="2:8" ht="14" customHeight="1" x14ac:dyDescent="0.3">
      <c r="B14" s="33" t="s">
        <v>181</v>
      </c>
      <c r="C14" s="35">
        <f t="shared" ref="C14:H14" si="1">C12+C13</f>
        <v>200998</v>
      </c>
      <c r="D14" s="35">
        <f t="shared" si="1"/>
        <v>209064.59787460274</v>
      </c>
      <c r="E14" s="35">
        <f t="shared" si="1"/>
        <v>217427.18178958684</v>
      </c>
      <c r="F14" s="35">
        <f t="shared" si="1"/>
        <v>225037.13315222238</v>
      </c>
      <c r="G14" s="35">
        <f t="shared" si="1"/>
        <v>231788.24714678904</v>
      </c>
      <c r="H14" s="35">
        <f t="shared" si="1"/>
        <v>237543.65775602384</v>
      </c>
    </row>
    <row r="15" spans="2:8" ht="14" customHeight="1" x14ac:dyDescent="0.3">
      <c r="B15" s="33" t="s">
        <v>182</v>
      </c>
      <c r="C15" s="35">
        <v>72002</v>
      </c>
      <c r="D15" s="35">
        <f>D10*D7/365</f>
        <v>73921.601225095888</v>
      </c>
      <c r="E15" s="35">
        <f>E10*E7/365</f>
        <v>76878.465274099726</v>
      </c>
      <c r="F15" s="35">
        <f>F10*F7/365</f>
        <v>79569.21155869322</v>
      </c>
      <c r="G15" s="35">
        <f>G10*G7/365</f>
        <v>81956.28790545401</v>
      </c>
      <c r="H15" s="35">
        <f>H10*H7/365</f>
        <v>83979.96831777411</v>
      </c>
    </row>
    <row r="16" spans="2:8" ht="14" customHeight="1" x14ac:dyDescent="0.3">
      <c r="B16" s="33" t="s">
        <v>183</v>
      </c>
      <c r="C16" s="35">
        <f t="shared" ref="C16:H16" si="2">C15</f>
        <v>72002</v>
      </c>
      <c r="D16" s="35">
        <f t="shared" si="2"/>
        <v>73921.601225095888</v>
      </c>
      <c r="E16" s="35">
        <f t="shared" si="2"/>
        <v>76878.465274099726</v>
      </c>
      <c r="F16" s="35">
        <f t="shared" si="2"/>
        <v>79569.21155869322</v>
      </c>
      <c r="G16" s="35">
        <f t="shared" si="2"/>
        <v>81956.28790545401</v>
      </c>
      <c r="H16" s="35">
        <f t="shared" si="2"/>
        <v>83979.96831777411</v>
      </c>
    </row>
    <row r="17" spans="2:8" ht="14" customHeight="1" x14ac:dyDescent="0.3">
      <c r="B17" s="22" t="s">
        <v>184</v>
      </c>
      <c r="C17" s="23"/>
      <c r="D17" s="23"/>
      <c r="E17" s="23"/>
      <c r="F17" s="23"/>
      <c r="G17" s="23"/>
      <c r="H17" s="23"/>
    </row>
    <row r="18" spans="2:8" ht="14" customHeight="1" x14ac:dyDescent="0.3">
      <c r="B18" s="33" t="s">
        <v>185</v>
      </c>
      <c r="C18" s="20">
        <f t="shared" ref="C18:H18" si="3">C14-C16</f>
        <v>128996</v>
      </c>
      <c r="D18" s="20">
        <f t="shared" si="3"/>
        <v>135142.99664950685</v>
      </c>
      <c r="E18" s="20">
        <f t="shared" si="3"/>
        <v>140548.71651548712</v>
      </c>
      <c r="F18" s="20">
        <f t="shared" si="3"/>
        <v>145467.92159352917</v>
      </c>
      <c r="G18" s="20">
        <f t="shared" si="3"/>
        <v>149831.95924133505</v>
      </c>
      <c r="H18" s="20">
        <f t="shared" si="3"/>
        <v>153563.68943824974</v>
      </c>
    </row>
    <row r="19" spans="2:8" ht="14" customHeight="1" x14ac:dyDescent="0.3">
      <c r="B19" s="33" t="s">
        <v>94</v>
      </c>
      <c r="C19" s="36" t="s">
        <v>41</v>
      </c>
      <c r="D19" s="24">
        <f>D18-C18</f>
        <v>6146.9966495068511</v>
      </c>
      <c r="E19" s="24">
        <f>E18-D18</f>
        <v>5405.7198659802671</v>
      </c>
      <c r="F19" s="24">
        <f>F18-E18</f>
        <v>4919.2050780420541</v>
      </c>
      <c r="G19" s="24">
        <f>G18-F18</f>
        <v>4364.0376478058752</v>
      </c>
      <c r="H19" s="24">
        <f>H18-G18</f>
        <v>3731.7301969146938</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44</v>
      </c>
      <c r="E25" s="30">
        <v>44</v>
      </c>
      <c r="F25" s="30">
        <v>44</v>
      </c>
      <c r="G25" s="30">
        <v>44</v>
      </c>
      <c r="H25" s="30">
        <v>44</v>
      </c>
    </row>
    <row r="26" spans="2:8" ht="14" customHeight="1" x14ac:dyDescent="0.3">
      <c r="B26" s="4" t="s">
        <v>115</v>
      </c>
      <c r="D26" s="30">
        <v>42</v>
      </c>
      <c r="E26" s="30">
        <v>42</v>
      </c>
      <c r="F26" s="30">
        <v>42</v>
      </c>
      <c r="G26" s="30">
        <v>42</v>
      </c>
      <c r="H26" s="30">
        <v>42</v>
      </c>
    </row>
    <row r="27" spans="2:8" ht="14" customHeight="1" x14ac:dyDescent="0.3">
      <c r="B27" s="4" t="s">
        <v>116</v>
      </c>
      <c r="D27" s="30">
        <v>44</v>
      </c>
      <c r="E27" s="30">
        <v>44</v>
      </c>
      <c r="F27" s="30">
        <v>44</v>
      </c>
      <c r="G27" s="30">
        <v>44</v>
      </c>
      <c r="H27" s="30">
        <v>44</v>
      </c>
    </row>
    <row r="28" spans="2:8" ht="14" customHeight="1" x14ac:dyDescent="0.3">
      <c r="B28" s="4" t="s">
        <v>117</v>
      </c>
      <c r="D28" s="30">
        <v>46</v>
      </c>
      <c r="E28" s="30">
        <v>46</v>
      </c>
      <c r="F28" s="30">
        <v>46</v>
      </c>
      <c r="G28" s="30">
        <v>46</v>
      </c>
      <c r="H28" s="30">
        <v>46</v>
      </c>
    </row>
    <row r="29" spans="2:8" ht="14" customHeight="1" x14ac:dyDescent="0.3">
      <c r="B29" s="4" t="s">
        <v>118</v>
      </c>
      <c r="D29" s="30">
        <v>48</v>
      </c>
      <c r="E29" s="30">
        <v>48</v>
      </c>
      <c r="F29" s="30">
        <v>48</v>
      </c>
      <c r="G29" s="30">
        <v>48</v>
      </c>
      <c r="H29" s="30">
        <v>48</v>
      </c>
    </row>
    <row r="31" spans="2:8" ht="14" customHeight="1" x14ac:dyDescent="0.3">
      <c r="B31" s="3" t="s">
        <v>188</v>
      </c>
    </row>
    <row r="32" spans="2:8" ht="14" customHeight="1" x14ac:dyDescent="0.3">
      <c r="B32" s="4" t="s">
        <v>78</v>
      </c>
      <c r="D32" s="30">
        <v>81</v>
      </c>
      <c r="E32" s="30">
        <v>81</v>
      </c>
      <c r="F32" s="30">
        <v>81</v>
      </c>
      <c r="G32" s="30">
        <v>81</v>
      </c>
      <c r="H32" s="30">
        <v>81</v>
      </c>
    </row>
    <row r="33" spans="2:8" ht="14" customHeight="1" x14ac:dyDescent="0.3">
      <c r="B33" s="4" t="s">
        <v>115</v>
      </c>
      <c r="D33" s="30">
        <v>77</v>
      </c>
      <c r="E33" s="30">
        <v>77</v>
      </c>
      <c r="F33" s="30">
        <v>77</v>
      </c>
      <c r="G33" s="30">
        <v>77</v>
      </c>
      <c r="H33" s="30">
        <v>77</v>
      </c>
    </row>
    <row r="34" spans="2:8" ht="14" customHeight="1" x14ac:dyDescent="0.3">
      <c r="B34" s="4" t="s">
        <v>116</v>
      </c>
      <c r="D34" s="30">
        <v>81</v>
      </c>
      <c r="E34" s="30">
        <v>81</v>
      </c>
      <c r="F34" s="30">
        <v>81</v>
      </c>
      <c r="G34" s="30">
        <v>81</v>
      </c>
      <c r="H34" s="30">
        <v>81</v>
      </c>
    </row>
    <row r="35" spans="2:8" ht="14" customHeight="1" x14ac:dyDescent="0.3">
      <c r="B35" s="4" t="s">
        <v>117</v>
      </c>
      <c r="D35" s="30">
        <v>85</v>
      </c>
      <c r="E35" s="30">
        <v>85</v>
      </c>
      <c r="F35" s="30">
        <v>85</v>
      </c>
      <c r="G35" s="30">
        <v>85</v>
      </c>
      <c r="H35" s="30">
        <v>85</v>
      </c>
    </row>
    <row r="36" spans="2:8" ht="14" customHeight="1" x14ac:dyDescent="0.3">
      <c r="B36" s="4" t="s">
        <v>118</v>
      </c>
      <c r="D36" s="30">
        <v>89</v>
      </c>
      <c r="E36" s="30">
        <v>89</v>
      </c>
      <c r="F36" s="30">
        <v>89</v>
      </c>
      <c r="G36" s="30">
        <v>89</v>
      </c>
      <c r="H36" s="30">
        <v>89</v>
      </c>
    </row>
    <row r="38" spans="2:8" ht="14" customHeight="1" x14ac:dyDescent="0.3">
      <c r="B38" s="3" t="s">
        <v>189</v>
      </c>
    </row>
    <row r="39" spans="2:8" ht="14" customHeight="1" x14ac:dyDescent="0.3">
      <c r="B39" s="4" t="s">
        <v>78</v>
      </c>
      <c r="D39" s="30">
        <v>52</v>
      </c>
      <c r="E39" s="30">
        <v>52</v>
      </c>
      <c r="F39" s="30">
        <v>52</v>
      </c>
      <c r="G39" s="30">
        <v>52</v>
      </c>
      <c r="H39" s="30">
        <v>52</v>
      </c>
    </row>
    <row r="40" spans="2:8" ht="14" customHeight="1" x14ac:dyDescent="0.3">
      <c r="B40" s="4" t="s">
        <v>115</v>
      </c>
      <c r="D40" s="30">
        <v>54</v>
      </c>
      <c r="E40" s="30">
        <v>54</v>
      </c>
      <c r="F40" s="30">
        <v>54</v>
      </c>
      <c r="G40" s="30">
        <v>54</v>
      </c>
      <c r="H40" s="30">
        <v>54</v>
      </c>
    </row>
    <row r="41" spans="2:8" ht="14" customHeight="1" x14ac:dyDescent="0.3">
      <c r="B41" s="4" t="s">
        <v>116</v>
      </c>
      <c r="D41" s="30">
        <v>52</v>
      </c>
      <c r="E41" s="30">
        <v>52</v>
      </c>
      <c r="F41" s="30">
        <v>52</v>
      </c>
      <c r="G41" s="30">
        <v>52</v>
      </c>
      <c r="H41" s="30">
        <v>52</v>
      </c>
    </row>
    <row r="42" spans="2:8" ht="14" customHeight="1" x14ac:dyDescent="0.3">
      <c r="B42" s="4" t="s">
        <v>117</v>
      </c>
      <c r="D42" s="30">
        <v>50</v>
      </c>
      <c r="E42" s="30">
        <v>50</v>
      </c>
      <c r="F42" s="30">
        <v>50</v>
      </c>
      <c r="G42" s="30">
        <v>50</v>
      </c>
      <c r="H42" s="30">
        <v>50</v>
      </c>
    </row>
    <row r="43" spans="2:8" ht="14" customHeight="1" x14ac:dyDescent="0.3">
      <c r="B43" s="4" t="s">
        <v>118</v>
      </c>
      <c r="D43" s="30">
        <v>47</v>
      </c>
      <c r="E43" s="30">
        <v>47</v>
      </c>
      <c r="F43" s="30">
        <v>47</v>
      </c>
      <c r="G43" s="30">
        <v>47</v>
      </c>
      <c r="H43" s="30">
        <v>47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1655551.2341130001</v>
      </c>
      <c r="E5" s="37">
        <f>D5+C24</f>
        <v>1605210.2341130001</v>
      </c>
      <c r="F5" s="37">
        <v>745539</v>
      </c>
      <c r="G5" s="37">
        <v>102686</v>
      </c>
      <c r="H5" s="37">
        <v>75940</v>
      </c>
      <c r="I5" s="37">
        <v>61615</v>
      </c>
      <c r="J5" s="38">
        <f t="shared" ref="J5:J10" si="0">IFERROR(E5/G5,"")</f>
        <v>15.632220888076272</v>
      </c>
      <c r="K5" s="38">
        <f t="shared" ref="K5:K10" si="1">IFERROR(E5/F5,"")</f>
        <v>2.1530868728705004</v>
      </c>
      <c r="L5" s="38">
        <f t="shared" ref="L5:L10" si="2">IFERROR(D5/I5,"")</f>
        <v>26.869288876296359</v>
      </c>
      <c r="M5" s="38">
        <f t="shared" ref="M5:M10" si="3">IFERROR(D5/P5,"")</f>
        <v>2.951471561411172</v>
      </c>
      <c r="N5" s="39">
        <f t="shared" ref="N5:N10" si="4">IFERROR(H5/F5,"")</f>
        <v>0.1018591918061966</v>
      </c>
      <c r="O5" s="39">
        <f t="shared" ref="O5:O10" si="5">IFERROR(I5/P5,"")</f>
        <v>0.10984554057234135</v>
      </c>
      <c r="P5" s="37">
        <v>560924</v>
      </c>
    </row>
    <row r="6" spans="2:17" ht="14" customHeight="1" x14ac:dyDescent="0.3">
      <c r="B6" s="4" t="s">
        <v>208</v>
      </c>
      <c r="C6" t="s">
        <v>209</v>
      </c>
      <c r="D6" s="37">
        <v>4932560</v>
      </c>
      <c r="E6" s="37">
        <v>5247222</v>
      </c>
      <c r="F6" s="37">
        <v>1583719</v>
      </c>
      <c r="G6" s="37">
        <v>277762</v>
      </c>
      <c r="H6" s="37">
        <v>191301</v>
      </c>
      <c r="I6" s="37">
        <v>134675</v>
      </c>
      <c r="J6" s="38">
        <f t="shared" si="0"/>
        <v>18.891072212901694</v>
      </c>
      <c r="K6" s="38">
        <f t="shared" si="1"/>
        <v>3.3132279148005424</v>
      </c>
      <c r="L6" s="38">
        <f t="shared" si="2"/>
        <v>36.625654353072214</v>
      </c>
      <c r="M6" s="38">
        <f t="shared" si="3"/>
        <v>6.3991157457198122</v>
      </c>
      <c r="N6" s="39">
        <f t="shared" si="4"/>
        <v>0.12079226175855691</v>
      </c>
      <c r="O6" s="39">
        <f t="shared" si="5"/>
        <v>0.17471676230087738</v>
      </c>
      <c r="P6" s="37">
        <v>770819</v>
      </c>
    </row>
    <row r="7" spans="2:17" ht="14" customHeight="1" x14ac:dyDescent="0.3">
      <c r="B7" s="4" t="s">
        <v>210</v>
      </c>
      <c r="C7" t="s">
        <v>211</v>
      </c>
      <c r="D7" s="37">
        <v>2320547</v>
      </c>
      <c r="E7" s="37">
        <v>3118689</v>
      </c>
      <c r="F7" s="37">
        <v>2433363</v>
      </c>
      <c r="G7" s="37">
        <v>305379</v>
      </c>
      <c r="H7" s="37">
        <v>209677</v>
      </c>
      <c r="I7" s="37">
        <v>147542</v>
      </c>
      <c r="J7" s="38">
        <f t="shared" si="0"/>
        <v>10.212519524918216</v>
      </c>
      <c r="K7" s="38">
        <f t="shared" si="1"/>
        <v>1.2816373882564993</v>
      </c>
      <c r="L7" s="38">
        <f t="shared" si="2"/>
        <v>15.728043540144501</v>
      </c>
      <c r="M7" s="38">
        <f t="shared" si="3"/>
        <v>1.803079431013892</v>
      </c>
      <c r="N7" s="39">
        <f t="shared" si="4"/>
        <v>8.6167579600741853E-2</v>
      </c>
      <c r="O7" s="39">
        <f t="shared" si="5"/>
        <v>0.11464105032591526</v>
      </c>
      <c r="P7" s="37">
        <v>1286991</v>
      </c>
    </row>
    <row r="8" spans="2:17" ht="14" customHeight="1" x14ac:dyDescent="0.3">
      <c r="B8" s="4" t="s">
        <v>212</v>
      </c>
      <c r="C8" t="s">
        <v>213</v>
      </c>
      <c r="D8" s="37">
        <v>2397303</v>
      </c>
      <c r="E8" s="37">
        <v>3885100</v>
      </c>
      <c r="F8" s="37">
        <v>2894676</v>
      </c>
      <c r="G8" s="37">
        <v>348957</v>
      </c>
      <c r="H8" s="37">
        <v>185870</v>
      </c>
      <c r="I8" s="37">
        <v>121574</v>
      </c>
      <c r="J8" s="38">
        <f t="shared" si="0"/>
        <v>11.133463435322977</v>
      </c>
      <c r="K8" s="38">
        <f t="shared" si="1"/>
        <v>1.3421536641751961</v>
      </c>
      <c r="L8" s="38">
        <f t="shared" si="2"/>
        <v>19.718879036636125</v>
      </c>
      <c r="M8" s="38">
        <f t="shared" si="3"/>
        <v>0.79828887411872984</v>
      </c>
      <c r="N8" s="39">
        <f t="shared" si="4"/>
        <v>6.4210985961814029E-2</v>
      </c>
      <c r="O8" s="39">
        <f t="shared" si="5"/>
        <v>4.0483481471516314E-2</v>
      </c>
      <c r="P8" s="37">
        <v>3003052</v>
      </c>
    </row>
    <row r="9" spans="2:17" ht="14" customHeight="1" x14ac:dyDescent="0.3">
      <c r="B9" s="4" t="s">
        <v>214</v>
      </c>
      <c r="C9" t="s">
        <v>215</v>
      </c>
      <c r="D9" s="37">
        <v>1195303</v>
      </c>
      <c r="E9" s="37">
        <v>1238638</v>
      </c>
      <c r="F9" s="37">
        <v>1173688</v>
      </c>
      <c r="G9" s="37">
        <v>148261</v>
      </c>
      <c r="H9" s="37">
        <v>93307</v>
      </c>
      <c r="I9" s="37">
        <v>35076</v>
      </c>
      <c r="J9" s="38">
        <f t="shared" si="0"/>
        <v>8.3544425034230176</v>
      </c>
      <c r="K9" s="38">
        <f t="shared" si="1"/>
        <v>1.0553383863513983</v>
      </c>
      <c r="L9" s="38">
        <f t="shared" si="2"/>
        <v>34.077517390808531</v>
      </c>
      <c r="M9" s="38">
        <f t="shared" si="3"/>
        <v>1.5471475630513147</v>
      </c>
      <c r="N9" s="39">
        <f t="shared" si="4"/>
        <v>7.9498980989837167E-2</v>
      </c>
      <c r="O9" s="39">
        <f t="shared" si="5"/>
        <v>4.5400829682170893E-2</v>
      </c>
      <c r="P9" s="37">
        <v>772585</v>
      </c>
    </row>
    <row r="10" spans="2:17" ht="14" customHeight="1" x14ac:dyDescent="0.3">
      <c r="B10" s="4" t="s">
        <v>216</v>
      </c>
      <c r="C10" t="s">
        <v>217</v>
      </c>
      <c r="D10" s="37">
        <v>854146</v>
      </c>
      <c r="E10" s="37">
        <v>931346</v>
      </c>
      <c r="F10" s="37">
        <v>788131</v>
      </c>
      <c r="G10" s="37">
        <v>85277</v>
      </c>
      <c r="H10" s="37">
        <v>49380</v>
      </c>
      <c r="I10" s="37">
        <v>45380</v>
      </c>
      <c r="J10" s="38">
        <f t="shared" si="0"/>
        <v>10.92142078168791</v>
      </c>
      <c r="K10" s="38">
        <f t="shared" si="1"/>
        <v>1.1817147149395215</v>
      </c>
      <c r="L10" s="38">
        <f t="shared" si="2"/>
        <v>18.822080211546936</v>
      </c>
      <c r="M10" s="38">
        <f t="shared" si="3"/>
        <v>1.6515832379420228</v>
      </c>
      <c r="N10" s="39">
        <f t="shared" si="4"/>
        <v>6.2654558696460361E-2</v>
      </c>
      <c r="O10" s="39">
        <f t="shared" si="5"/>
        <v>8.7747115057389469E-2</v>
      </c>
      <c r="P10" s="37">
        <v>517168</v>
      </c>
    </row>
    <row r="14" spans="2:17" ht="14" customHeight="1" x14ac:dyDescent="0.3">
      <c r="B14" s="3" t="s">
        <v>218</v>
      </c>
    </row>
    <row r="15" spans="2:17" ht="14" customHeight="1" x14ac:dyDescent="0.3">
      <c r="B15" s="4" t="s">
        <v>219</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customHeight="1" x14ac:dyDescent="0.3">
      <c r="B16" s="4" t="s">
        <v>220</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customHeight="1" x14ac:dyDescent="0.3">
      <c r="B17" s="4" t="s">
        <v>221</v>
      </c>
      <c r="D17" s="38">
        <f t="shared" ref="D17:I17" si="8">PERCENTILE(J6:J10,0.75)</f>
        <v>11.133463435322977</v>
      </c>
      <c r="E17" s="38">
        <f t="shared" si="8"/>
        <v>1.3421536641751961</v>
      </c>
      <c r="F17" s="38">
        <f t="shared" si="8"/>
        <v>34.077517390808531</v>
      </c>
      <c r="G17" s="38">
        <f t="shared" si="8"/>
        <v>1.803079431013892</v>
      </c>
      <c r="H17" s="39">
        <f t="shared" si="8"/>
        <v>8.6167579600741853E-2</v>
      </c>
      <c r="I17" s="39">
        <f t="shared" si="8"/>
        <v>0.11464105032591526</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102540</v>
      </c>
    </row>
    <row r="22" spans="2:9" ht="14" customHeight="1" x14ac:dyDescent="0.3">
      <c r="B22" s="4" t="s">
        <v>225</v>
      </c>
      <c r="C22" s="5">
        <v>61615</v>
      </c>
    </row>
    <row r="23" spans="2:9" ht="14" customHeight="1" x14ac:dyDescent="0.3">
      <c r="B23" s="4" t="s">
        <v>226</v>
      </c>
      <c r="C23" s="15">
        <v>927739554</v>
      </c>
    </row>
    <row r="24" spans="2:9" ht="14" customHeight="1" x14ac:dyDescent="0.3">
      <c r="B24" s="4" t="s">
        <v>67</v>
      </c>
      <c r="C24" s="5">
        <v>-50341</v>
      </c>
    </row>
    <row r="26" spans="2:9" ht="14" customHeight="1" x14ac:dyDescent="0.3">
      <c r="B26" s="3" t="s">
        <v>227</v>
      </c>
    </row>
    <row r="27" spans="2:9" ht="14" customHeight="1" x14ac:dyDescent="0.3">
      <c r="B27" s="4" t="s">
        <v>228</v>
      </c>
      <c r="C27" s="24">
        <f>ROUND((C21*D16-C24)*1000000/C23,0)</f>
        <v>1261</v>
      </c>
    </row>
    <row r="28" spans="2:9" ht="14" customHeight="1" x14ac:dyDescent="0.3">
      <c r="B28" s="4" t="s">
        <v>229</v>
      </c>
      <c r="C28" s="24">
        <f>ROUND(C22*F16*1000000/C23,0)</f>
        <v>1310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10.9</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1055</v>
      </c>
      <c r="D7" s="37">
        <f>IFERROR(ROUND(('DCF Model'!C45/(1+$B7)^('DCF Model'!C19+0)+'DCF Model'!D45/(1+$B7)^('DCF Model'!C19+1)+'DCF Model'!E45/(1+$B7)^('DCF Model'!C19+2)+'DCF Model'!F45/(1+$B7)^('DCF Model'!C19+3)+'DCF Model'!G45/(1+$B7)^('DCF Model'!C19+4)+'DCF Model'!G45*(1+D$6)/($B7-D$6)/(1+$B7)^('DCF Model'!C19+4)-'DCF Model'!C16)*1000000/'DCF Model'!C15,0),"")</f>
        <v>1092</v>
      </c>
      <c r="E7" s="37">
        <f>IFERROR(ROUND(('DCF Model'!C45/(1+$B7)^('DCF Model'!C19+0)+'DCF Model'!D45/(1+$B7)^('DCF Model'!C19+1)+'DCF Model'!E45/(1+$B7)^('DCF Model'!C19+2)+'DCF Model'!F45/(1+$B7)^('DCF Model'!C19+3)+'DCF Model'!G45/(1+$B7)^('DCF Model'!C19+4)+'DCF Model'!G45*(1+E$6)/($B7-E$6)/(1+$B7)^('DCF Model'!C19+4)-'DCF Model'!C16)*1000000/'DCF Model'!C15,0),"")</f>
        <v>1132</v>
      </c>
      <c r="F7" s="37">
        <f>IFERROR(ROUND(('DCF Model'!C45/(1+$B7)^('DCF Model'!C19+0)+'DCF Model'!D45/(1+$B7)^('DCF Model'!C19+1)+'DCF Model'!E45/(1+$B7)^('DCF Model'!C19+2)+'DCF Model'!F45/(1+$B7)^('DCF Model'!C19+3)+'DCF Model'!G45/(1+$B7)^('DCF Model'!C19+4)+'DCF Model'!G45*(1+F$6)/($B7-F$6)/(1+$B7)^('DCF Model'!C19+4)-'DCF Model'!C16)*1000000/'DCF Model'!C15,0),"")</f>
        <v>1175</v>
      </c>
      <c r="G7" s="37">
        <f>IFERROR(ROUND(('DCF Model'!C45/(1+$B7)^('DCF Model'!C19+0)+'DCF Model'!D45/(1+$B7)^('DCF Model'!C19+1)+'DCF Model'!E45/(1+$B7)^('DCF Model'!C19+2)+'DCF Model'!F45/(1+$B7)^('DCF Model'!C19+3)+'DCF Model'!G45/(1+$B7)^('DCF Model'!C19+4)+'DCF Model'!G45*(1+G$6)/($B7-G$6)/(1+$B7)^('DCF Model'!C19+4)-'DCF Model'!C16)*1000000/'DCF Model'!C15,0),"")</f>
        <v>1223</v>
      </c>
      <c r="H7" s="37">
        <f>IFERROR(ROUND(('DCF Model'!C45/(1+$B7)^('DCF Model'!C19+0)+'DCF Model'!D45/(1+$B7)^('DCF Model'!C19+1)+'DCF Model'!E45/(1+$B7)^('DCF Model'!C19+2)+'DCF Model'!F45/(1+$B7)^('DCF Model'!C19+3)+'DCF Model'!G45/(1+$B7)^('DCF Model'!C19+4)+'DCF Model'!G45*(1+H$6)/($B7-H$6)/(1+$B7)^('DCF Model'!C19+4)-'DCF Model'!C16)*1000000/'DCF Model'!C15,0),"")</f>
        <v>1275</v>
      </c>
      <c r="I7" s="37">
        <f>IFERROR(ROUND(('DCF Model'!C45/(1+$B7)^('DCF Model'!C19+0)+'DCF Model'!D45/(1+$B7)^('DCF Model'!C19+1)+'DCF Model'!E45/(1+$B7)^('DCF Model'!C19+2)+'DCF Model'!F45/(1+$B7)^('DCF Model'!C19+3)+'DCF Model'!G45/(1+$B7)^('DCF Model'!C19+4)+'DCF Model'!G45*(1+I$6)/($B7-I$6)/(1+$B7)^('DCF Model'!C19+4)-'DCF Model'!C16)*1000000/'DCF Model'!C15,0),"")</f>
        <v>1334</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974</v>
      </c>
      <c r="D8" s="37">
        <f>IFERROR(ROUND(('DCF Model'!C45/(1+$B8)^('DCF Model'!C19+0)+'DCF Model'!D45/(1+$B8)^('DCF Model'!C19+1)+'DCF Model'!E45/(1+$B8)^('DCF Model'!C19+2)+'DCF Model'!F45/(1+$B8)^('DCF Model'!C19+3)+'DCF Model'!G45/(1+$B8)^('DCF Model'!C19+4)+'DCF Model'!G45*(1+D$6)/($B8-D$6)/(1+$B8)^('DCF Model'!C19+4)-'DCF Model'!C16)*1000000/'DCF Model'!C15,0),"")</f>
        <v>1005</v>
      </c>
      <c r="E8" s="37">
        <f>IFERROR(ROUND(('DCF Model'!C45/(1+$B8)^('DCF Model'!C19+0)+'DCF Model'!D45/(1+$B8)^('DCF Model'!C19+1)+'DCF Model'!E45/(1+$B8)^('DCF Model'!C19+2)+'DCF Model'!F45/(1+$B8)^('DCF Model'!C19+3)+'DCF Model'!G45/(1+$B8)^('DCF Model'!C19+4)+'DCF Model'!G45*(1+E$6)/($B8-E$6)/(1+$B8)^('DCF Model'!C19+4)-'DCF Model'!C16)*1000000/'DCF Model'!C15,0),"")</f>
        <v>1038</v>
      </c>
      <c r="F8" s="37">
        <f>IFERROR(ROUND(('DCF Model'!C45/(1+$B8)^('DCF Model'!C19+0)+'DCF Model'!D45/(1+$B8)^('DCF Model'!C19+1)+'DCF Model'!E45/(1+$B8)^('DCF Model'!C19+2)+'DCF Model'!F45/(1+$B8)^('DCF Model'!C19+3)+'DCF Model'!G45/(1+$B8)^('DCF Model'!C19+4)+'DCF Model'!G45*(1+F$6)/($B8-F$6)/(1+$B8)^('DCF Model'!C19+4)-'DCF Model'!C16)*1000000/'DCF Model'!C15,0),"")</f>
        <v>1073</v>
      </c>
      <c r="G8" s="37">
        <f>IFERROR(ROUND(('DCF Model'!C45/(1+$B8)^('DCF Model'!C19+0)+'DCF Model'!D45/(1+$B8)^('DCF Model'!C19+1)+'DCF Model'!E45/(1+$B8)^('DCF Model'!C19+2)+'DCF Model'!F45/(1+$B8)^('DCF Model'!C19+3)+'DCF Model'!G45/(1+$B8)^('DCF Model'!C19+4)+'DCF Model'!G45*(1+G$6)/($B8-G$6)/(1+$B8)^('DCF Model'!C19+4)-'DCF Model'!C16)*1000000/'DCF Model'!C15,0),"")</f>
        <v>1112</v>
      </c>
      <c r="H8" s="37">
        <f>IFERROR(ROUND(('DCF Model'!C45/(1+$B8)^('DCF Model'!C19+0)+'DCF Model'!D45/(1+$B8)^('DCF Model'!C19+1)+'DCF Model'!E45/(1+$B8)^('DCF Model'!C19+2)+'DCF Model'!F45/(1+$B8)^('DCF Model'!C19+3)+'DCF Model'!G45/(1+$B8)^('DCF Model'!C19+4)+'DCF Model'!G45*(1+H$6)/($B8-H$6)/(1+$B8)^('DCF Model'!C19+4)-'DCF Model'!C16)*1000000/'DCF Model'!C15,0),"")</f>
        <v>1155</v>
      </c>
      <c r="I8" s="37">
        <f>IFERROR(ROUND(('DCF Model'!C45/(1+$B8)^('DCF Model'!C19+0)+'DCF Model'!D45/(1+$B8)^('DCF Model'!C19+1)+'DCF Model'!E45/(1+$B8)^('DCF Model'!C19+2)+'DCF Model'!F45/(1+$B8)^('DCF Model'!C19+3)+'DCF Model'!G45/(1+$B8)^('DCF Model'!C19+4)+'DCF Model'!G45*(1+I$6)/($B8-I$6)/(1+$B8)^('DCF Model'!C19+4)-'DCF Model'!C16)*1000000/'DCF Model'!C15,0),"")</f>
        <v>1202</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904</v>
      </c>
      <c r="D9" s="37">
        <f>IFERROR(ROUND(('DCF Model'!C45/(1+$B9)^('DCF Model'!C19+0)+'DCF Model'!D45/(1+$B9)^('DCF Model'!C19+1)+'DCF Model'!E45/(1+$B9)^('DCF Model'!C19+2)+'DCF Model'!F45/(1+$B9)^('DCF Model'!C19+3)+'DCF Model'!G45/(1+$B9)^('DCF Model'!C19+4)+'DCF Model'!G45*(1+D$6)/($B9-D$6)/(1+$B9)^('DCF Model'!C19+4)-'DCF Model'!C16)*1000000/'DCF Model'!C15,0),"")</f>
        <v>930</v>
      </c>
      <c r="E9" s="37">
        <f>IFERROR(ROUND(('DCF Model'!C45/(1+$B9)^('DCF Model'!C19+0)+'DCF Model'!D45/(1+$B9)^('DCF Model'!C19+1)+'DCF Model'!E45/(1+$B9)^('DCF Model'!C19+2)+'DCF Model'!F45/(1+$B9)^('DCF Model'!C19+3)+'DCF Model'!G45/(1+$B9)^('DCF Model'!C19+4)+'DCF Model'!G45*(1+E$6)/($B9-E$6)/(1+$B9)^('DCF Model'!C19+4)-'DCF Model'!C16)*1000000/'DCF Model'!C15,0),"")</f>
        <v>958</v>
      </c>
      <c r="F9" s="37">
        <f>IFERROR(ROUND(('DCF Model'!C45/(1+$B9)^('DCF Model'!C19+0)+'DCF Model'!D45/(1+$B9)^('DCF Model'!C19+1)+'DCF Model'!E45/(1+$B9)^('DCF Model'!C19+2)+'DCF Model'!F45/(1+$B9)^('DCF Model'!C19+3)+'DCF Model'!G45/(1+$B9)^('DCF Model'!C19+4)+'DCF Model'!G45*(1+F$6)/($B9-F$6)/(1+$B9)^('DCF Model'!C19+4)-'DCF Model'!C16)*1000000/'DCF Model'!C15,0),"")</f>
        <v>988</v>
      </c>
      <c r="G9" s="37">
        <f>IFERROR(ROUND(('DCF Model'!C45/(1+$B9)^('DCF Model'!C19+0)+'DCF Model'!D45/(1+$B9)^('DCF Model'!C19+1)+'DCF Model'!E45/(1+$B9)^('DCF Model'!C19+2)+'DCF Model'!F45/(1+$B9)^('DCF Model'!C19+3)+'DCF Model'!G45/(1+$B9)^('DCF Model'!C19+4)+'DCF Model'!G45*(1+G$6)/($B9-G$6)/(1+$B9)^('DCF Model'!C19+4)-'DCF Model'!C16)*1000000/'DCF Model'!C15,0),"")</f>
        <v>1020</v>
      </c>
      <c r="H9" s="37">
        <f>IFERROR(ROUND(('DCF Model'!C45/(1+$B9)^('DCF Model'!C19+0)+'DCF Model'!D45/(1+$B9)^('DCF Model'!C19+1)+'DCF Model'!E45/(1+$B9)^('DCF Model'!C19+2)+'DCF Model'!F45/(1+$B9)^('DCF Model'!C19+3)+'DCF Model'!G45/(1+$B9)^('DCF Model'!C19+4)+'DCF Model'!G45*(1+H$6)/($B9-H$6)/(1+$B9)^('DCF Model'!C19+4)-'DCF Model'!C16)*1000000/'DCF Model'!C15,0),"")</f>
        <v>1055</v>
      </c>
      <c r="I9" s="37">
        <f>IFERROR(ROUND(('DCF Model'!C45/(1+$B9)^('DCF Model'!C19+0)+'DCF Model'!D45/(1+$B9)^('DCF Model'!C19+1)+'DCF Model'!E45/(1+$B9)^('DCF Model'!C19+2)+'DCF Model'!F45/(1+$B9)^('DCF Model'!C19+3)+'DCF Model'!G45/(1+$B9)^('DCF Model'!C19+4)+'DCF Model'!G45*(1+I$6)/($B9-I$6)/(1+$B9)^('DCF Model'!C19+4)-'DCF Model'!C16)*1000000/'DCF Model'!C15,0),"")</f>
        <v>1094</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844</v>
      </c>
      <c r="D10" s="37">
        <f>IFERROR(ROUND(('DCF Model'!C45/(1+$B10)^('DCF Model'!C19+0)+'DCF Model'!D45/(1+$B10)^('DCF Model'!C19+1)+'DCF Model'!E45/(1+$B10)^('DCF Model'!C19+2)+'DCF Model'!F45/(1+$B10)^('DCF Model'!C19+3)+'DCF Model'!G45/(1+$B10)^('DCF Model'!C19+4)+'DCF Model'!G45*(1+D$6)/($B10-D$6)/(1+$B10)^('DCF Model'!C19+4)-'DCF Model'!C16)*1000000/'DCF Model'!C15,0),"")</f>
        <v>866</v>
      </c>
      <c r="E10" s="37">
        <f>IFERROR(ROUND(('DCF Model'!C45/(1+$B10)^('DCF Model'!C19+0)+'DCF Model'!D45/(1+$B10)^('DCF Model'!C19+1)+'DCF Model'!E45/(1+$B10)^('DCF Model'!C19+2)+'DCF Model'!F45/(1+$B10)^('DCF Model'!C19+3)+'DCF Model'!G45/(1+$B10)^('DCF Model'!C19+4)+'DCF Model'!G45*(1+E$6)/($B10-E$6)/(1+$B10)^('DCF Model'!C19+4)-'DCF Model'!C16)*1000000/'DCF Model'!C15,0),"")</f>
        <v>889</v>
      </c>
      <c r="F10" s="37">
        <f>IFERROR(ROUND(('DCF Model'!C45/(1+$B10)^('DCF Model'!C19+0)+'DCF Model'!D45/(1+$B10)^('DCF Model'!C19+1)+'DCF Model'!E45/(1+$B10)^('DCF Model'!C19+2)+'DCF Model'!F45/(1+$B10)^('DCF Model'!C19+3)+'DCF Model'!G45/(1+$B10)^('DCF Model'!C19+4)+'DCF Model'!G45*(1+F$6)/($B10-F$6)/(1+$B10)^('DCF Model'!C19+4)-'DCF Model'!C16)*1000000/'DCF Model'!C15,0),"")</f>
        <v>915</v>
      </c>
      <c r="G10" s="37">
        <f>IFERROR(ROUND(('DCF Model'!C45/(1+$B10)^('DCF Model'!C19+0)+'DCF Model'!D45/(1+$B10)^('DCF Model'!C19+1)+'DCF Model'!E45/(1+$B10)^('DCF Model'!C19+2)+'DCF Model'!F45/(1+$B10)^('DCF Model'!C19+3)+'DCF Model'!G45/(1+$B10)^('DCF Model'!C19+4)+'DCF Model'!G45*(1+G$6)/($B10-G$6)/(1+$B10)^('DCF Model'!C19+4)-'DCF Model'!C16)*1000000/'DCF Model'!C15,0),"")</f>
        <v>942</v>
      </c>
      <c r="H10" s="37">
        <f>IFERROR(ROUND(('DCF Model'!C45/(1+$B10)^('DCF Model'!C19+0)+'DCF Model'!D45/(1+$B10)^('DCF Model'!C19+1)+'DCF Model'!E45/(1+$B10)^('DCF Model'!C19+2)+'DCF Model'!F45/(1+$B10)^('DCF Model'!C19+3)+'DCF Model'!G45/(1+$B10)^('DCF Model'!C19+4)+'DCF Model'!G45*(1+H$6)/($B10-H$6)/(1+$B10)^('DCF Model'!C19+4)-'DCF Model'!C16)*1000000/'DCF Model'!C15,0),"")</f>
        <v>971</v>
      </c>
      <c r="I10" s="37">
        <f>IFERROR(ROUND(('DCF Model'!C45/(1+$B10)^('DCF Model'!C19+0)+'DCF Model'!D45/(1+$B10)^('DCF Model'!C19+1)+'DCF Model'!E45/(1+$B10)^('DCF Model'!C19+2)+'DCF Model'!F45/(1+$B10)^('DCF Model'!C19+3)+'DCF Model'!G45/(1+$B10)^('DCF Model'!C19+4)+'DCF Model'!G45*(1+I$6)/($B10-I$6)/(1+$B10)^('DCF Model'!C19+4)-'DCF Model'!C16)*1000000/'DCF Model'!C15,0),"")</f>
        <v>1003</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791</v>
      </c>
      <c r="D11" s="37">
        <f>IFERROR(ROUND(('DCF Model'!C45/(1+$B11)^('DCF Model'!C19+0)+'DCF Model'!D45/(1+$B11)^('DCF Model'!C19+1)+'DCF Model'!E45/(1+$B11)^('DCF Model'!C19+2)+'DCF Model'!F45/(1+$B11)^('DCF Model'!C19+3)+'DCF Model'!G45/(1+$B11)^('DCF Model'!C19+4)+'DCF Model'!G45*(1+D$6)/($B11-D$6)/(1+$B11)^('DCF Model'!C19+4)-'DCF Model'!C16)*1000000/'DCF Model'!C15,0),"")</f>
        <v>810</v>
      </c>
      <c r="E11" s="37">
        <f>IFERROR(ROUND(('DCF Model'!C45/(1+$B11)^('DCF Model'!C19+0)+'DCF Model'!D45/(1+$B11)^('DCF Model'!C19+1)+'DCF Model'!E45/(1+$B11)^('DCF Model'!C19+2)+'DCF Model'!F45/(1+$B11)^('DCF Model'!C19+3)+'DCF Model'!G45/(1+$B11)^('DCF Model'!C19+4)+'DCF Model'!G45*(1+E$6)/($B11-E$6)/(1+$B11)^('DCF Model'!C19+4)-'DCF Model'!C16)*1000000/'DCF Model'!C15,0),"")</f>
        <v>830</v>
      </c>
      <c r="F11" s="37">
        <f>IFERROR(ROUND(('DCF Model'!C45/(1+$B11)^('DCF Model'!C19+0)+'DCF Model'!D45/(1+$B11)^('DCF Model'!C19+1)+'DCF Model'!E45/(1+$B11)^('DCF Model'!C19+2)+'DCF Model'!F45/(1+$B11)^('DCF Model'!C19+3)+'DCF Model'!G45/(1+$B11)^('DCF Model'!C19+4)+'DCF Model'!G45*(1+F$6)/($B11-F$6)/(1+$B11)^('DCF Model'!C19+4)-'DCF Model'!C16)*1000000/'DCF Model'!C15,0),"")</f>
        <v>852</v>
      </c>
      <c r="G11" s="37">
        <f>IFERROR(ROUND(('DCF Model'!C45/(1+$B11)^('DCF Model'!C19+0)+'DCF Model'!D45/(1+$B11)^('DCF Model'!C19+1)+'DCF Model'!E45/(1+$B11)^('DCF Model'!C19+2)+'DCF Model'!F45/(1+$B11)^('DCF Model'!C19+3)+'DCF Model'!G45/(1+$B11)^('DCF Model'!C19+4)+'DCF Model'!G45*(1+G$6)/($B11-G$6)/(1+$B11)^('DCF Model'!C19+4)-'DCF Model'!C16)*1000000/'DCF Model'!C15,0),"")</f>
        <v>875</v>
      </c>
      <c r="H11" s="37">
        <f>IFERROR(ROUND(('DCF Model'!C45/(1+$B11)^('DCF Model'!C19+0)+'DCF Model'!D45/(1+$B11)^('DCF Model'!C19+1)+'DCF Model'!E45/(1+$B11)^('DCF Model'!C19+2)+'DCF Model'!F45/(1+$B11)^('DCF Model'!C19+3)+'DCF Model'!G45/(1+$B11)^('DCF Model'!C19+4)+'DCF Model'!G45*(1+H$6)/($B11-H$6)/(1+$B11)^('DCF Model'!C19+4)-'DCF Model'!C16)*1000000/'DCF Model'!C15,0),"")</f>
        <v>900</v>
      </c>
      <c r="I11" s="37">
        <f>IFERROR(ROUND(('DCF Model'!C45/(1+$B11)^('DCF Model'!C19+0)+'DCF Model'!D45/(1+$B11)^('DCF Model'!C19+1)+'DCF Model'!E45/(1+$B11)^('DCF Model'!C19+2)+'DCF Model'!F45/(1+$B11)^('DCF Model'!C19+3)+'DCF Model'!G45/(1+$B11)^('DCF Model'!C19+4)+'DCF Model'!G45*(1+I$6)/($B11-I$6)/(1+$B11)^('DCF Model'!C19+4)-'DCF Model'!C16)*1000000/'DCF Model'!C15,0),"")</f>
        <v>927</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744</v>
      </c>
      <c r="D12" s="37">
        <f>IFERROR(ROUND(('DCF Model'!C45/(1+$B12)^('DCF Model'!C19+0)+'DCF Model'!D45/(1+$B12)^('DCF Model'!C19+1)+'DCF Model'!E45/(1+$B12)^('DCF Model'!C19+2)+'DCF Model'!F45/(1+$B12)^('DCF Model'!C19+3)+'DCF Model'!G45/(1+$B12)^('DCF Model'!C19+4)+'DCF Model'!G45*(1+D$6)/($B12-D$6)/(1+$B12)^('DCF Model'!C19+4)-'DCF Model'!C16)*1000000/'DCF Model'!C15,0),"")</f>
        <v>760</v>
      </c>
      <c r="E12" s="37">
        <f>IFERROR(ROUND(('DCF Model'!C45/(1+$B12)^('DCF Model'!C19+0)+'DCF Model'!D45/(1+$B12)^('DCF Model'!C19+1)+'DCF Model'!E45/(1+$B12)^('DCF Model'!C19+2)+'DCF Model'!F45/(1+$B12)^('DCF Model'!C19+3)+'DCF Model'!G45/(1+$B12)^('DCF Model'!C19+4)+'DCF Model'!G45*(1+E$6)/($B12-E$6)/(1+$B12)^('DCF Model'!C19+4)-'DCF Model'!C16)*1000000/'DCF Model'!C15,0),"")</f>
        <v>778</v>
      </c>
      <c r="F12" s="37">
        <f>IFERROR(ROUND(('DCF Model'!C45/(1+$B12)^('DCF Model'!C19+0)+'DCF Model'!D45/(1+$B12)^('DCF Model'!C19+1)+'DCF Model'!E45/(1+$B12)^('DCF Model'!C19+2)+'DCF Model'!F45/(1+$B12)^('DCF Model'!C19+3)+'DCF Model'!G45/(1+$B12)^('DCF Model'!C19+4)+'DCF Model'!G45*(1+F$6)/($B12-F$6)/(1+$B12)^('DCF Model'!C19+4)-'DCF Model'!C16)*1000000/'DCF Model'!C15,0),"")</f>
        <v>797</v>
      </c>
      <c r="G12" s="37">
        <f>IFERROR(ROUND(('DCF Model'!C45/(1+$B12)^('DCF Model'!C19+0)+'DCF Model'!D45/(1+$B12)^('DCF Model'!C19+1)+'DCF Model'!E45/(1+$B12)^('DCF Model'!C19+2)+'DCF Model'!F45/(1+$B12)^('DCF Model'!C19+3)+'DCF Model'!G45/(1+$B12)^('DCF Model'!C19+4)+'DCF Model'!G45*(1+G$6)/($B12-G$6)/(1+$B12)^('DCF Model'!C19+4)-'DCF Model'!C16)*1000000/'DCF Model'!C15,0),"")</f>
        <v>817</v>
      </c>
      <c r="H12" s="37">
        <f>IFERROR(ROUND(('DCF Model'!C45/(1+$B12)^('DCF Model'!C19+0)+'DCF Model'!D45/(1+$B12)^('DCF Model'!C19+1)+'DCF Model'!E45/(1+$B12)^('DCF Model'!C19+2)+'DCF Model'!F45/(1+$B12)^('DCF Model'!C19+3)+'DCF Model'!G45/(1+$B12)^('DCF Model'!C19+4)+'DCF Model'!G45*(1+H$6)/($B12-H$6)/(1+$B12)^('DCF Model'!C19+4)-'DCF Model'!C16)*1000000/'DCF Model'!C15,0),"")</f>
        <v>838</v>
      </c>
      <c r="I12" s="37">
        <f>IFERROR(ROUND(('DCF Model'!C45/(1+$B12)^('DCF Model'!C19+0)+'DCF Model'!D45/(1+$B12)^('DCF Model'!C19+1)+'DCF Model'!E45/(1+$B12)^('DCF Model'!C19+2)+'DCF Model'!F45/(1+$B12)^('DCF Model'!C19+3)+'DCF Model'!G45/(1+$B12)^('DCF Model'!C19+4)+'DCF Model'!G45*(1+I$6)/($B12-I$6)/(1+$B12)^('DCF Model'!C19+4)-'DCF Model'!C16)*1000000/'DCF Model'!C15,0),"")</f>
        <v>861</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702</v>
      </c>
      <c r="D13" s="37">
        <f>IFERROR(ROUND(('DCF Model'!C45/(1+$B13)^('DCF Model'!C19+0)+'DCF Model'!D45/(1+$B13)^('DCF Model'!C19+1)+'DCF Model'!E45/(1+$B13)^('DCF Model'!C19+2)+'DCF Model'!F45/(1+$B13)^('DCF Model'!C19+3)+'DCF Model'!G45/(1+$B13)^('DCF Model'!C19+4)+'DCF Model'!G45*(1+D$6)/($B13-D$6)/(1+$B13)^('DCF Model'!C19+4)-'DCF Model'!C16)*1000000/'DCF Model'!C15,0),"")</f>
        <v>717</v>
      </c>
      <c r="E13" s="37">
        <f>IFERROR(ROUND(('DCF Model'!C45/(1+$B13)^('DCF Model'!C19+0)+'DCF Model'!D45/(1+$B13)^('DCF Model'!C19+1)+'DCF Model'!E45/(1+$B13)^('DCF Model'!C19+2)+'DCF Model'!F45/(1+$B13)^('DCF Model'!C19+3)+'DCF Model'!G45/(1+$B13)^('DCF Model'!C19+4)+'DCF Model'!G45*(1+E$6)/($B13-E$6)/(1+$B13)^('DCF Model'!C19+4)-'DCF Model'!C16)*1000000/'DCF Model'!C15,0),"")</f>
        <v>732</v>
      </c>
      <c r="F13" s="37">
        <f>IFERROR(ROUND(('DCF Model'!C45/(1+$B13)^('DCF Model'!C19+0)+'DCF Model'!D45/(1+$B13)^('DCF Model'!C19+1)+'DCF Model'!E45/(1+$B13)^('DCF Model'!C19+2)+'DCF Model'!F45/(1+$B13)^('DCF Model'!C19+3)+'DCF Model'!G45/(1+$B13)^('DCF Model'!C19+4)+'DCF Model'!G45*(1+F$6)/($B13-F$6)/(1+$B13)^('DCF Model'!C19+4)-'DCF Model'!C16)*1000000/'DCF Model'!C15,0),"")</f>
        <v>748</v>
      </c>
      <c r="G13" s="37">
        <f>IFERROR(ROUND(('DCF Model'!C45/(1+$B13)^('DCF Model'!C19+0)+'DCF Model'!D45/(1+$B13)^('DCF Model'!C19+1)+'DCF Model'!E45/(1+$B13)^('DCF Model'!C19+2)+'DCF Model'!F45/(1+$B13)^('DCF Model'!C19+3)+'DCF Model'!G45/(1+$B13)^('DCF Model'!C19+4)+'DCF Model'!G45*(1+G$6)/($B13-G$6)/(1+$B13)^('DCF Model'!C19+4)-'DCF Model'!C16)*1000000/'DCF Model'!C15,0),"")</f>
        <v>766</v>
      </c>
      <c r="H13" s="37">
        <f>IFERROR(ROUND(('DCF Model'!C45/(1+$B13)^('DCF Model'!C19+0)+'DCF Model'!D45/(1+$B13)^('DCF Model'!C19+1)+'DCF Model'!E45/(1+$B13)^('DCF Model'!C19+2)+'DCF Model'!F45/(1+$B13)^('DCF Model'!C19+3)+'DCF Model'!G45/(1+$B13)^('DCF Model'!C19+4)+'DCF Model'!G45*(1+H$6)/($B13-H$6)/(1+$B13)^('DCF Model'!C19+4)-'DCF Model'!C16)*1000000/'DCF Model'!C15,0),"")</f>
        <v>784</v>
      </c>
      <c r="I13" s="37">
        <f>IFERROR(ROUND(('DCF Model'!C45/(1+$B13)^('DCF Model'!C19+0)+'DCF Model'!D45/(1+$B13)^('DCF Model'!C19+1)+'DCF Model'!E45/(1+$B13)^('DCF Model'!C19+2)+'DCF Model'!F45/(1+$B13)^('DCF Model'!C19+3)+'DCF Model'!G45/(1+$B13)^('DCF Model'!C19+4)+'DCF Model'!G45*(1+I$6)/($B13-I$6)/(1+$B13)^('DCF Model'!C19+4)-'DCF Model'!C16)*1000000/'DCF Model'!C15,0),"")</f>
        <v>804</v>
      </c>
    </row>
    <row r="16" spans="2:9" ht="14" customHeight="1" x14ac:dyDescent="0.3">
      <c r="B16" s="3" t="s">
        <v>236</v>
      </c>
    </row>
    <row r="17" spans="2:9" ht="14" customHeight="1" x14ac:dyDescent="0.3">
      <c r="B17" s="40" t="s">
        <v>237</v>
      </c>
      <c r="C17" s="42">
        <f>$I$3-3</f>
        <v>7.9</v>
      </c>
      <c r="D17" s="42">
        <f>$I$3-2</f>
        <v>8.9</v>
      </c>
      <c r="E17" s="42">
        <f>$I$3-1</f>
        <v>9.9</v>
      </c>
      <c r="F17" s="42">
        <f>$I$3</f>
        <v>10.9</v>
      </c>
      <c r="G17" s="42">
        <f>$I$3+1</f>
        <v>11.9</v>
      </c>
      <c r="H17" s="42">
        <f>$I$3+2</f>
        <v>12.9</v>
      </c>
      <c r="I17" s="42">
        <f>$I$3+3</f>
        <v>13.9</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1018</v>
      </c>
      <c r="D18" s="37">
        <f>IFERROR(ROUND(('DCF Model'!C45/(1+$B18)^('DCF Model'!C19+0)+'DCF Model'!D45/(1+$B18)^('DCF Model'!C19+1)+'DCF Model'!E45/(1+$B18)^('DCF Model'!C19+2)+'DCF Model'!F45/(1+$B18)^('DCF Model'!C19+3)+'DCF Model'!G45/(1+$B18)^('DCF Model'!C19+4)+('DCF Model'!G39+'DCF Model'!G42)*D$17/(1+$B18)^('DCF Model'!C19+4)-'DCF Model'!C16)*1000000/'DCF Model'!C15,0),"")</f>
        <v>1116</v>
      </c>
      <c r="E18" s="37">
        <f>IFERROR(ROUND(('DCF Model'!C45/(1+$B18)^('DCF Model'!C19+0)+'DCF Model'!D45/(1+$B18)^('DCF Model'!C19+1)+'DCF Model'!E45/(1+$B18)^('DCF Model'!C19+2)+'DCF Model'!F45/(1+$B18)^('DCF Model'!C19+3)+'DCF Model'!G45/(1+$B18)^('DCF Model'!C19+4)+('DCF Model'!G39+'DCF Model'!G42)*E$17/(1+$B18)^('DCF Model'!C19+4)-'DCF Model'!C16)*1000000/'DCF Model'!C15,0),"")</f>
        <v>1213</v>
      </c>
      <c r="F18" s="37">
        <f>IFERROR(ROUND(('DCF Model'!C45/(1+$B18)^('DCF Model'!C19+0)+'DCF Model'!D45/(1+$B18)^('DCF Model'!C19+1)+'DCF Model'!E45/(1+$B18)^('DCF Model'!C19+2)+'DCF Model'!F45/(1+$B18)^('DCF Model'!C19+3)+'DCF Model'!G45/(1+$B18)^('DCF Model'!C19+4)+('DCF Model'!G39+'DCF Model'!G42)*F$17/(1+$B18)^('DCF Model'!C19+4)-'DCF Model'!C16)*1000000/'DCF Model'!C15,0),"")</f>
        <v>1311</v>
      </c>
      <c r="G18" s="37">
        <f>IFERROR(ROUND(('DCF Model'!C45/(1+$B18)^('DCF Model'!C19+0)+'DCF Model'!D45/(1+$B18)^('DCF Model'!C19+1)+'DCF Model'!E45/(1+$B18)^('DCF Model'!C19+2)+'DCF Model'!F45/(1+$B18)^('DCF Model'!C19+3)+'DCF Model'!G45/(1+$B18)^('DCF Model'!C19+4)+('DCF Model'!G39+'DCF Model'!G42)*G$17/(1+$B18)^('DCF Model'!C19+4)-'DCF Model'!C16)*1000000/'DCF Model'!C15,0),"")</f>
        <v>1409</v>
      </c>
      <c r="H18" s="37">
        <f>IFERROR(ROUND(('DCF Model'!C45/(1+$B18)^('DCF Model'!C19+0)+'DCF Model'!D45/(1+$B18)^('DCF Model'!C19+1)+'DCF Model'!E45/(1+$B18)^('DCF Model'!C19+2)+'DCF Model'!F45/(1+$B18)^('DCF Model'!C19+3)+'DCF Model'!G45/(1+$B18)^('DCF Model'!C19+4)+('DCF Model'!G39+'DCF Model'!G42)*H$17/(1+$B18)^('DCF Model'!C19+4)-'DCF Model'!C16)*1000000/'DCF Model'!C15,0),"")</f>
        <v>1506</v>
      </c>
      <c r="I18" s="37">
        <f>IFERROR(ROUND(('DCF Model'!C45/(1+$B18)^('DCF Model'!C19+0)+'DCF Model'!D45/(1+$B18)^('DCF Model'!C19+1)+'DCF Model'!E45/(1+$B18)^('DCF Model'!C19+2)+'DCF Model'!F45/(1+$B18)^('DCF Model'!C19+3)+'DCF Model'!G45/(1+$B18)^('DCF Model'!C19+4)+('DCF Model'!G39+'DCF Model'!G42)*I$17/(1+$B18)^('DCF Model'!C19+4)-'DCF Model'!C16)*1000000/'DCF Model'!C15,0),"")</f>
        <v>1604</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997</v>
      </c>
      <c r="D19" s="37">
        <f>IFERROR(ROUND(('DCF Model'!C45/(1+$B19)^('DCF Model'!C19+0)+'DCF Model'!D45/(1+$B19)^('DCF Model'!C19+1)+'DCF Model'!E45/(1+$B19)^('DCF Model'!C19+2)+'DCF Model'!F45/(1+$B19)^('DCF Model'!C19+3)+'DCF Model'!G45/(1+$B19)^('DCF Model'!C19+4)+('DCF Model'!G39+'DCF Model'!G42)*D$17/(1+$B19)^('DCF Model'!C19+4)-'DCF Model'!C16)*1000000/'DCF Model'!C15,0),"")</f>
        <v>1093</v>
      </c>
      <c r="E19" s="37">
        <f>IFERROR(ROUND(('DCF Model'!C45/(1+$B19)^('DCF Model'!C19+0)+'DCF Model'!D45/(1+$B19)^('DCF Model'!C19+1)+'DCF Model'!E45/(1+$B19)^('DCF Model'!C19+2)+'DCF Model'!F45/(1+$B19)^('DCF Model'!C19+3)+'DCF Model'!G45/(1+$B19)^('DCF Model'!C19+4)+('DCF Model'!G39+'DCF Model'!G42)*E$17/(1+$B19)^('DCF Model'!C19+4)-'DCF Model'!C16)*1000000/'DCF Model'!C15,0),"")</f>
        <v>1188</v>
      </c>
      <c r="F19" s="37">
        <f>IFERROR(ROUND(('DCF Model'!C45/(1+$B19)^('DCF Model'!C19+0)+'DCF Model'!D45/(1+$B19)^('DCF Model'!C19+1)+'DCF Model'!E45/(1+$B19)^('DCF Model'!C19+2)+'DCF Model'!F45/(1+$B19)^('DCF Model'!C19+3)+'DCF Model'!G45/(1+$B19)^('DCF Model'!C19+4)+('DCF Model'!G39+'DCF Model'!G42)*F$17/(1+$B19)^('DCF Model'!C19+4)-'DCF Model'!C16)*1000000/'DCF Model'!C15,0),"")</f>
        <v>1283</v>
      </c>
      <c r="G19" s="37">
        <f>IFERROR(ROUND(('DCF Model'!C45/(1+$B19)^('DCF Model'!C19+0)+'DCF Model'!D45/(1+$B19)^('DCF Model'!C19+1)+'DCF Model'!E45/(1+$B19)^('DCF Model'!C19+2)+'DCF Model'!F45/(1+$B19)^('DCF Model'!C19+3)+'DCF Model'!G45/(1+$B19)^('DCF Model'!C19+4)+('DCF Model'!G39+'DCF Model'!G42)*G$17/(1+$B19)^('DCF Model'!C19+4)-'DCF Model'!C16)*1000000/'DCF Model'!C15,0),"")</f>
        <v>1379</v>
      </c>
      <c r="H19" s="37">
        <f>IFERROR(ROUND(('DCF Model'!C45/(1+$B19)^('DCF Model'!C19+0)+'DCF Model'!D45/(1+$B19)^('DCF Model'!C19+1)+'DCF Model'!E45/(1+$B19)^('DCF Model'!C19+2)+'DCF Model'!F45/(1+$B19)^('DCF Model'!C19+3)+'DCF Model'!G45/(1+$B19)^('DCF Model'!C19+4)+('DCF Model'!G39+'DCF Model'!G42)*H$17/(1+$B19)^('DCF Model'!C19+4)-'DCF Model'!C16)*1000000/'DCF Model'!C15,0),"")</f>
        <v>1474</v>
      </c>
      <c r="I19" s="37">
        <f>IFERROR(ROUND(('DCF Model'!C45/(1+$B19)^('DCF Model'!C19+0)+'DCF Model'!D45/(1+$B19)^('DCF Model'!C19+1)+'DCF Model'!E45/(1+$B19)^('DCF Model'!C19+2)+'DCF Model'!F45/(1+$B19)^('DCF Model'!C19+3)+'DCF Model'!G45/(1+$B19)^('DCF Model'!C19+4)+('DCF Model'!G39+'DCF Model'!G42)*I$17/(1+$B19)^('DCF Model'!C19+4)-'DCF Model'!C16)*1000000/'DCF Model'!C15,0),"")</f>
        <v>1569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977</v>
      </c>
      <c r="D20" s="37">
        <f>IFERROR(ROUND(('DCF Model'!C45/(1+$B20)^('DCF Model'!C19+0)+'DCF Model'!D45/(1+$B20)^('DCF Model'!C19+1)+'DCF Model'!E45/(1+$B20)^('DCF Model'!C19+2)+'DCF Model'!F45/(1+$B20)^('DCF Model'!C19+3)+'DCF Model'!G45/(1+$B20)^('DCF Model'!C19+4)+('DCF Model'!G39+'DCF Model'!G42)*D$17/(1+$B20)^('DCF Model'!C19+4)-'DCF Model'!C16)*1000000/'DCF Model'!C15,0),"")</f>
        <v>1070</v>
      </c>
      <c r="E20" s="37">
        <f>IFERROR(ROUND(('DCF Model'!C45/(1+$B20)^('DCF Model'!C19+0)+'DCF Model'!D45/(1+$B20)^('DCF Model'!C19+1)+'DCF Model'!E45/(1+$B20)^('DCF Model'!C19+2)+'DCF Model'!F45/(1+$B20)^('DCF Model'!C19+3)+'DCF Model'!G45/(1+$B20)^('DCF Model'!C19+4)+('DCF Model'!G39+'DCF Model'!G42)*E$17/(1+$B20)^('DCF Model'!C19+4)-'DCF Model'!C16)*1000000/'DCF Model'!C15,0),"")</f>
        <v>1163</v>
      </c>
      <c r="F20" s="37">
        <f>IFERROR(ROUND(('DCF Model'!C45/(1+$B20)^('DCF Model'!C19+0)+'DCF Model'!D45/(1+$B20)^('DCF Model'!C19+1)+'DCF Model'!E45/(1+$B20)^('DCF Model'!C19+2)+'DCF Model'!F45/(1+$B20)^('DCF Model'!C19+3)+'DCF Model'!G45/(1+$B20)^('DCF Model'!C19+4)+('DCF Model'!G39+'DCF Model'!G42)*F$17/(1+$B20)^('DCF Model'!C19+4)-'DCF Model'!C16)*1000000/'DCF Model'!C15,0),"")</f>
        <v>1256</v>
      </c>
      <c r="G20" s="37">
        <f>IFERROR(ROUND(('DCF Model'!C45/(1+$B20)^('DCF Model'!C19+0)+'DCF Model'!D45/(1+$B20)^('DCF Model'!C19+1)+'DCF Model'!E45/(1+$B20)^('DCF Model'!C19+2)+'DCF Model'!F45/(1+$B20)^('DCF Model'!C19+3)+'DCF Model'!G45/(1+$B20)^('DCF Model'!C19+4)+('DCF Model'!G39+'DCF Model'!G42)*G$17/(1+$B20)^('DCF Model'!C19+4)-'DCF Model'!C16)*1000000/'DCF Model'!C15,0),"")</f>
        <v>1350</v>
      </c>
      <c r="H20" s="37">
        <f>IFERROR(ROUND(('DCF Model'!C45/(1+$B20)^('DCF Model'!C19+0)+'DCF Model'!D45/(1+$B20)^('DCF Model'!C19+1)+'DCF Model'!E45/(1+$B20)^('DCF Model'!C19+2)+'DCF Model'!F45/(1+$B20)^('DCF Model'!C19+3)+'DCF Model'!G45/(1+$B20)^('DCF Model'!C19+4)+('DCF Model'!G39+'DCF Model'!G42)*H$17/(1+$B20)^('DCF Model'!C19+4)-'DCF Model'!C16)*1000000/'DCF Model'!C15,0),"")</f>
        <v>1443</v>
      </c>
      <c r="I20" s="37">
        <f>IFERROR(ROUND(('DCF Model'!C45/(1+$B20)^('DCF Model'!C19+0)+'DCF Model'!D45/(1+$B20)^('DCF Model'!C19+1)+'DCF Model'!E45/(1+$B20)^('DCF Model'!C19+2)+'DCF Model'!F45/(1+$B20)^('DCF Model'!C19+3)+'DCF Model'!G45/(1+$B20)^('DCF Model'!C19+4)+('DCF Model'!G39+'DCF Model'!G42)*I$17/(1+$B20)^('DCF Model'!C19+4)-'DCF Model'!C16)*1000000/'DCF Model'!C15,0),"")</f>
        <v>1536</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957</v>
      </c>
      <c r="D21" s="37">
        <f>IFERROR(ROUND(('DCF Model'!C45/(1+$B21)^('DCF Model'!C19+0)+'DCF Model'!D45/(1+$B21)^('DCF Model'!C19+1)+'DCF Model'!E45/(1+$B21)^('DCF Model'!C19+2)+'DCF Model'!F45/(1+$B21)^('DCF Model'!C19+3)+'DCF Model'!G45/(1+$B21)^('DCF Model'!C19+4)+('DCF Model'!G39+'DCF Model'!G42)*D$17/(1+$B21)^('DCF Model'!C19+4)-'DCF Model'!C16)*1000000/'DCF Model'!C15,0),"")</f>
        <v>1048</v>
      </c>
      <c r="E21" s="37">
        <f>IFERROR(ROUND(('DCF Model'!C45/(1+$B21)^('DCF Model'!C19+0)+'DCF Model'!D45/(1+$B21)^('DCF Model'!C19+1)+'DCF Model'!E45/(1+$B21)^('DCF Model'!C19+2)+'DCF Model'!F45/(1+$B21)^('DCF Model'!C19+3)+'DCF Model'!G45/(1+$B21)^('DCF Model'!C19+4)+('DCF Model'!G39+'DCF Model'!G42)*E$17/(1+$B21)^('DCF Model'!C19+4)-'DCF Model'!C16)*1000000/'DCF Model'!C15,0),"")</f>
        <v>1139</v>
      </c>
      <c r="F21" s="37">
        <f>IFERROR(ROUND(('DCF Model'!C45/(1+$B21)^('DCF Model'!C19+0)+'DCF Model'!D45/(1+$B21)^('DCF Model'!C19+1)+'DCF Model'!E45/(1+$B21)^('DCF Model'!C19+2)+'DCF Model'!F45/(1+$B21)^('DCF Model'!C19+3)+'DCF Model'!G45/(1+$B21)^('DCF Model'!C19+4)+('DCF Model'!G39+'DCF Model'!G42)*F$17/(1+$B21)^('DCF Model'!C19+4)-'DCF Model'!C16)*1000000/'DCF Model'!C15,0),"")</f>
        <v>1230</v>
      </c>
      <c r="G21" s="37">
        <f>IFERROR(ROUND(('DCF Model'!C45/(1+$B21)^('DCF Model'!C19+0)+'DCF Model'!D45/(1+$B21)^('DCF Model'!C19+1)+'DCF Model'!E45/(1+$B21)^('DCF Model'!C19+2)+'DCF Model'!F45/(1+$B21)^('DCF Model'!C19+3)+'DCF Model'!G45/(1+$B21)^('DCF Model'!C19+4)+('DCF Model'!G39+'DCF Model'!G42)*G$17/(1+$B21)^('DCF Model'!C19+4)-'DCF Model'!C16)*1000000/'DCF Model'!C15,0),"")</f>
        <v>1321</v>
      </c>
      <c r="H21" s="37">
        <f>IFERROR(ROUND(('DCF Model'!C45/(1+$B21)^('DCF Model'!C19+0)+'DCF Model'!D45/(1+$B21)^('DCF Model'!C19+1)+'DCF Model'!E45/(1+$B21)^('DCF Model'!C19+2)+'DCF Model'!F45/(1+$B21)^('DCF Model'!C19+3)+'DCF Model'!G45/(1+$B21)^('DCF Model'!C19+4)+('DCF Model'!G39+'DCF Model'!G42)*H$17/(1+$B21)^('DCF Model'!C19+4)-'DCF Model'!C16)*1000000/'DCF Model'!C15,0),"")</f>
        <v>1412</v>
      </c>
      <c r="I21" s="37">
        <f>IFERROR(ROUND(('DCF Model'!C45/(1+$B21)^('DCF Model'!C19+0)+'DCF Model'!D45/(1+$B21)^('DCF Model'!C19+1)+'DCF Model'!E45/(1+$B21)^('DCF Model'!C19+2)+'DCF Model'!F45/(1+$B21)^('DCF Model'!C19+3)+'DCF Model'!G45/(1+$B21)^('DCF Model'!C19+4)+('DCF Model'!G39+'DCF Model'!G42)*I$17/(1+$B21)^('DCF Model'!C19+4)-'DCF Model'!C16)*1000000/'DCF Model'!C15,0),"")</f>
        <v>1503</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938</v>
      </c>
      <c r="D22" s="37">
        <f>IFERROR(ROUND(('DCF Model'!C45/(1+$B22)^('DCF Model'!C19+0)+'DCF Model'!D45/(1+$B22)^('DCF Model'!C19+1)+'DCF Model'!E45/(1+$B22)^('DCF Model'!C19+2)+'DCF Model'!F45/(1+$B22)^('DCF Model'!C19+3)+'DCF Model'!G45/(1+$B22)^('DCF Model'!C19+4)+('DCF Model'!G39+'DCF Model'!G42)*D$17/(1+$B22)^('DCF Model'!C19+4)-'DCF Model'!C16)*1000000/'DCF Model'!C15,0),"")</f>
        <v>1027</v>
      </c>
      <c r="E22" s="37">
        <f>IFERROR(ROUND(('DCF Model'!C45/(1+$B22)^('DCF Model'!C19+0)+'DCF Model'!D45/(1+$B22)^('DCF Model'!C19+1)+'DCF Model'!E45/(1+$B22)^('DCF Model'!C19+2)+'DCF Model'!F45/(1+$B22)^('DCF Model'!C19+3)+'DCF Model'!G45/(1+$B22)^('DCF Model'!C19+4)+('DCF Model'!G39+'DCF Model'!G42)*E$17/(1+$B22)^('DCF Model'!C19+4)-'DCF Model'!C16)*1000000/'DCF Model'!C15,0),"")</f>
        <v>1116</v>
      </c>
      <c r="F22" s="37">
        <f>IFERROR(ROUND(('DCF Model'!C45/(1+$B22)^('DCF Model'!C19+0)+'DCF Model'!D45/(1+$B22)^('DCF Model'!C19+1)+'DCF Model'!E45/(1+$B22)^('DCF Model'!C19+2)+'DCF Model'!F45/(1+$B22)^('DCF Model'!C19+3)+'DCF Model'!G45/(1+$B22)^('DCF Model'!C19+4)+('DCF Model'!G39+'DCF Model'!G42)*F$17/(1+$B22)^('DCF Model'!C19+4)-'DCF Model'!C16)*1000000/'DCF Model'!C15,0),"")</f>
        <v>1205</v>
      </c>
      <c r="G22" s="37">
        <f>IFERROR(ROUND(('DCF Model'!C45/(1+$B22)^('DCF Model'!C19+0)+'DCF Model'!D45/(1+$B22)^('DCF Model'!C19+1)+'DCF Model'!E45/(1+$B22)^('DCF Model'!C19+2)+'DCF Model'!F45/(1+$B22)^('DCF Model'!C19+3)+'DCF Model'!G45/(1+$B22)^('DCF Model'!C19+4)+('DCF Model'!G39+'DCF Model'!G42)*G$17/(1+$B22)^('DCF Model'!C19+4)-'DCF Model'!C16)*1000000/'DCF Model'!C15,0),"")</f>
        <v>1294</v>
      </c>
      <c r="H22" s="37">
        <f>IFERROR(ROUND(('DCF Model'!C45/(1+$B22)^('DCF Model'!C19+0)+'DCF Model'!D45/(1+$B22)^('DCF Model'!C19+1)+'DCF Model'!E45/(1+$B22)^('DCF Model'!C19+2)+'DCF Model'!F45/(1+$B22)^('DCF Model'!C19+3)+'DCF Model'!G45/(1+$B22)^('DCF Model'!C19+4)+('DCF Model'!G39+'DCF Model'!G42)*H$17/(1+$B22)^('DCF Model'!C19+4)-'DCF Model'!C16)*1000000/'DCF Model'!C15,0),"")</f>
        <v>1383</v>
      </c>
      <c r="I22" s="37">
        <f>IFERROR(ROUND(('DCF Model'!C45/(1+$B22)^('DCF Model'!C19+0)+'DCF Model'!D45/(1+$B22)^('DCF Model'!C19+1)+'DCF Model'!E45/(1+$B22)^('DCF Model'!C19+2)+'DCF Model'!F45/(1+$B22)^('DCF Model'!C19+3)+'DCF Model'!G45/(1+$B22)^('DCF Model'!C19+4)+('DCF Model'!G39+'DCF Model'!G42)*I$17/(1+$B22)^('DCF Model'!C19+4)-'DCF Model'!C16)*1000000/'DCF Model'!C15,0),"")</f>
        <v>1472</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920</v>
      </c>
      <c r="D23" s="37">
        <f>IFERROR(ROUND(('DCF Model'!C45/(1+$B23)^('DCF Model'!C19+0)+'DCF Model'!D45/(1+$B23)^('DCF Model'!C19+1)+'DCF Model'!E45/(1+$B23)^('DCF Model'!C19+2)+'DCF Model'!F45/(1+$B23)^('DCF Model'!C19+3)+'DCF Model'!G45/(1+$B23)^('DCF Model'!C19+4)+('DCF Model'!G39+'DCF Model'!G42)*D$17/(1+$B23)^('DCF Model'!C19+4)-'DCF Model'!C16)*1000000/'DCF Model'!C15,0),"")</f>
        <v>1006</v>
      </c>
      <c r="E23" s="37">
        <f>IFERROR(ROUND(('DCF Model'!C45/(1+$B23)^('DCF Model'!C19+0)+'DCF Model'!D45/(1+$B23)^('DCF Model'!C19+1)+'DCF Model'!E45/(1+$B23)^('DCF Model'!C19+2)+'DCF Model'!F45/(1+$B23)^('DCF Model'!C19+3)+'DCF Model'!G45/(1+$B23)^('DCF Model'!C19+4)+('DCF Model'!G39+'DCF Model'!G42)*E$17/(1+$B23)^('DCF Model'!C19+4)-'DCF Model'!C16)*1000000/'DCF Model'!C15,0),"")</f>
        <v>1093</v>
      </c>
      <c r="F23" s="37">
        <f>IFERROR(ROUND(('DCF Model'!C45/(1+$B23)^('DCF Model'!C19+0)+'DCF Model'!D45/(1+$B23)^('DCF Model'!C19+1)+'DCF Model'!E45/(1+$B23)^('DCF Model'!C19+2)+'DCF Model'!F45/(1+$B23)^('DCF Model'!C19+3)+'DCF Model'!G45/(1+$B23)^('DCF Model'!C19+4)+('DCF Model'!G39+'DCF Model'!G42)*F$17/(1+$B23)^('DCF Model'!C19+4)-'DCF Model'!C16)*1000000/'DCF Model'!C15,0),"")</f>
        <v>1180</v>
      </c>
      <c r="G23" s="37">
        <f>IFERROR(ROUND(('DCF Model'!C45/(1+$B23)^('DCF Model'!C19+0)+'DCF Model'!D45/(1+$B23)^('DCF Model'!C19+1)+'DCF Model'!E45/(1+$B23)^('DCF Model'!C19+2)+'DCF Model'!F45/(1+$B23)^('DCF Model'!C19+3)+'DCF Model'!G45/(1+$B23)^('DCF Model'!C19+4)+('DCF Model'!G39+'DCF Model'!G42)*G$17/(1+$B23)^('DCF Model'!C19+4)-'DCF Model'!C16)*1000000/'DCF Model'!C15,0),"")</f>
        <v>1267</v>
      </c>
      <c r="H23" s="37">
        <f>IFERROR(ROUND(('DCF Model'!C45/(1+$B23)^('DCF Model'!C19+0)+'DCF Model'!D45/(1+$B23)^('DCF Model'!C19+1)+'DCF Model'!E45/(1+$B23)^('DCF Model'!C19+2)+'DCF Model'!F45/(1+$B23)^('DCF Model'!C19+3)+'DCF Model'!G45/(1+$B23)^('DCF Model'!C19+4)+('DCF Model'!G39+'DCF Model'!G42)*H$17/(1+$B23)^('DCF Model'!C19+4)-'DCF Model'!C16)*1000000/'DCF Model'!C15,0),"")</f>
        <v>1354</v>
      </c>
      <c r="I23" s="37">
        <f>IFERROR(ROUND(('DCF Model'!C45/(1+$B23)^('DCF Model'!C19+0)+'DCF Model'!D45/(1+$B23)^('DCF Model'!C19+1)+'DCF Model'!E45/(1+$B23)^('DCF Model'!C19+2)+'DCF Model'!F45/(1+$B23)^('DCF Model'!C19+3)+'DCF Model'!G45/(1+$B23)^('DCF Model'!C19+4)+('DCF Model'!G39+'DCF Model'!G42)*I$17/(1+$B23)^('DCF Model'!C19+4)-'DCF Model'!C16)*1000000/'DCF Model'!C15,0),"")</f>
        <v>1441</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901</v>
      </c>
      <c r="D24" s="37">
        <f>IFERROR(ROUND(('DCF Model'!C45/(1+$B24)^('DCF Model'!C19+0)+'DCF Model'!D45/(1+$B24)^('DCF Model'!C19+1)+'DCF Model'!E45/(1+$B24)^('DCF Model'!C19+2)+'DCF Model'!F45/(1+$B24)^('DCF Model'!C19+3)+'DCF Model'!G45/(1+$B24)^('DCF Model'!C19+4)+('DCF Model'!G39+'DCF Model'!G42)*D$17/(1+$B24)^('DCF Model'!C19+4)-'DCF Model'!C16)*1000000/'DCF Model'!C15,0),"")</f>
        <v>986</v>
      </c>
      <c r="E24" s="37">
        <f>IFERROR(ROUND(('DCF Model'!C45/(1+$B24)^('DCF Model'!C19+0)+'DCF Model'!D45/(1+$B24)^('DCF Model'!C19+1)+'DCF Model'!E45/(1+$B24)^('DCF Model'!C19+2)+'DCF Model'!F45/(1+$B24)^('DCF Model'!C19+3)+'DCF Model'!G45/(1+$B24)^('DCF Model'!C19+4)+('DCF Model'!G39+'DCF Model'!G42)*E$17/(1+$B24)^('DCF Model'!C19+4)-'DCF Model'!C16)*1000000/'DCF Model'!C15,0),"")</f>
        <v>1071</v>
      </c>
      <c r="F24" s="37">
        <f>IFERROR(ROUND(('DCF Model'!C45/(1+$B24)^('DCF Model'!C19+0)+'DCF Model'!D45/(1+$B24)^('DCF Model'!C19+1)+'DCF Model'!E45/(1+$B24)^('DCF Model'!C19+2)+'DCF Model'!F45/(1+$B24)^('DCF Model'!C19+3)+'DCF Model'!G45/(1+$B24)^('DCF Model'!C19+4)+('DCF Model'!G39+'DCF Model'!G42)*F$17/(1+$B24)^('DCF Model'!C19+4)-'DCF Model'!C16)*1000000/'DCF Model'!C15,0),"")</f>
        <v>1156</v>
      </c>
      <c r="G24" s="37">
        <f>IFERROR(ROUND(('DCF Model'!C45/(1+$B24)^('DCF Model'!C19+0)+'DCF Model'!D45/(1+$B24)^('DCF Model'!C19+1)+'DCF Model'!E45/(1+$B24)^('DCF Model'!C19+2)+'DCF Model'!F45/(1+$B24)^('DCF Model'!C19+3)+'DCF Model'!G45/(1+$B24)^('DCF Model'!C19+4)+('DCF Model'!G39+'DCF Model'!G42)*G$17/(1+$B24)^('DCF Model'!C19+4)-'DCF Model'!C16)*1000000/'DCF Model'!C15,0),"")</f>
        <v>1241</v>
      </c>
      <c r="H24" s="37">
        <f>IFERROR(ROUND(('DCF Model'!C45/(1+$B24)^('DCF Model'!C19+0)+'DCF Model'!D45/(1+$B24)^('DCF Model'!C19+1)+'DCF Model'!E45/(1+$B24)^('DCF Model'!C19+2)+'DCF Model'!F45/(1+$B24)^('DCF Model'!C19+3)+'DCF Model'!G45/(1+$B24)^('DCF Model'!C19+4)+('DCF Model'!G39+'DCF Model'!G42)*H$17/(1+$B24)^('DCF Model'!C19+4)-'DCF Model'!C16)*1000000/'DCF Model'!C15,0),"")</f>
        <v>1326</v>
      </c>
      <c r="I24" s="37">
        <f>IFERROR(ROUND(('DCF Model'!C45/(1+$B24)^('DCF Model'!C19+0)+'DCF Model'!D45/(1+$B24)^('DCF Model'!C19+1)+'DCF Model'!E45/(1+$B24)^('DCF Model'!C19+2)+'DCF Model'!F45/(1+$B24)^('DCF Model'!C19+3)+'DCF Model'!G45/(1+$B24)^('DCF Model'!C19+4)+('DCF Model'!G39+'DCF Model'!G42)*I$17/(1+$B24)^('DCF Model'!C19+4)-'DCF Model'!C16)*1000000/'DCF Model'!C15,0),"")</f>
        <v>1411</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9"/>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258</v>
      </c>
      <c r="F12" s="43" t="s">
        <v>280</v>
      </c>
      <c r="G12" s="43" t="s">
        <v>260</v>
      </c>
    </row>
    <row r="13" spans="2:7" ht="30" customHeight="1" x14ac:dyDescent="0.3">
      <c r="B13" s="43" t="s">
        <v>246</v>
      </c>
      <c r="C13" s="4" t="s">
        <v>281</v>
      </c>
      <c r="D13" s="43" t="s">
        <v>282</v>
      </c>
      <c r="E13" s="43" t="s">
        <v>283</v>
      </c>
      <c r="F13" s="43" t="s">
        <v>284</v>
      </c>
      <c r="G13" s="43" t="s">
        <v>260</v>
      </c>
    </row>
    <row r="14" spans="2:7" ht="30" customHeight="1" x14ac:dyDescent="0.3">
      <c r="B14" s="43" t="s">
        <v>246</v>
      </c>
      <c r="C14" s="4" t="s">
        <v>285</v>
      </c>
      <c r="D14" s="43" t="s">
        <v>286</v>
      </c>
      <c r="E14" s="43" t="s">
        <v>287</v>
      </c>
      <c r="F14" s="43" t="s">
        <v>288</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296</v>
      </c>
      <c r="G16" s="43" t="s">
        <v>260</v>
      </c>
    </row>
    <row r="17" spans="2:7" ht="30" customHeight="1" x14ac:dyDescent="0.3">
      <c r="B17" s="43" t="s">
        <v>246</v>
      </c>
      <c r="C17" s="4" t="s">
        <v>297</v>
      </c>
      <c r="D17" s="43" t="s">
        <v>298</v>
      </c>
      <c r="E17" s="43" t="s">
        <v>299</v>
      </c>
      <c r="F17" s="43" t="s">
        <v>264</v>
      </c>
      <c r="G17" s="43" t="s">
        <v>260</v>
      </c>
    </row>
    <row r="18" spans="2:7" ht="30" customHeight="1" x14ac:dyDescent="0.3">
      <c r="B18" s="43" t="s">
        <v>246</v>
      </c>
      <c r="C18" s="4" t="s">
        <v>300</v>
      </c>
      <c r="D18" s="43" t="s">
        <v>301</v>
      </c>
      <c r="E18" s="43" t="s">
        <v>302</v>
      </c>
      <c r="F18" s="43" t="s">
        <v>264</v>
      </c>
      <c r="G18" s="43" t="s">
        <v>260</v>
      </c>
    </row>
    <row r="19" spans="2:7" ht="30" customHeight="1" x14ac:dyDescent="0.3">
      <c r="B19" s="43" t="s">
        <v>246</v>
      </c>
      <c r="C19" s="4" t="s">
        <v>303</v>
      </c>
      <c r="D19" s="43" t="s">
        <v>304</v>
      </c>
      <c r="E19" s="43" t="s">
        <v>305</v>
      </c>
      <c r="F19" s="43" t="s">
        <v>247</v>
      </c>
      <c r="G19" s="43" t="s">
        <v>306</v>
      </c>
    </row>
    <row r="20" spans="2:7" ht="30" customHeight="1" x14ac:dyDescent="0.3">
      <c r="B20" s="43" t="s">
        <v>246</v>
      </c>
      <c r="C20" s="4" t="s">
        <v>307</v>
      </c>
      <c r="D20" s="43" t="s">
        <v>308</v>
      </c>
      <c r="E20" s="43" t="s">
        <v>309</v>
      </c>
      <c r="F20" s="43" t="s">
        <v>247</v>
      </c>
      <c r="G20" s="43" t="s">
        <v>310</v>
      </c>
    </row>
    <row r="21" spans="2:7" ht="30" customHeight="1" x14ac:dyDescent="0.3">
      <c r="B21" s="43" t="s">
        <v>246</v>
      </c>
      <c r="C21" s="4" t="s">
        <v>311</v>
      </c>
      <c r="D21" s="43" t="s">
        <v>312</v>
      </c>
      <c r="E21" s="43" t="s">
        <v>313</v>
      </c>
      <c r="F21" s="43" t="s">
        <v>247</v>
      </c>
      <c r="G21" s="43" t="s">
        <v>260</v>
      </c>
    </row>
    <row r="22" spans="2:7" ht="30" customHeight="1" x14ac:dyDescent="0.3">
      <c r="B22" s="43" t="s">
        <v>246</v>
      </c>
      <c r="C22" s="4" t="s">
        <v>314</v>
      </c>
      <c r="D22" s="43" t="s">
        <v>315</v>
      </c>
      <c r="E22" s="43" t="s">
        <v>316</v>
      </c>
      <c r="F22" s="43" t="s">
        <v>247</v>
      </c>
      <c r="G22" s="43" t="s">
        <v>255</v>
      </c>
    </row>
    <row r="23" spans="2:7" ht="30" customHeight="1" x14ac:dyDescent="0.3">
      <c r="B23" s="43" t="s">
        <v>246</v>
      </c>
      <c r="C23" s="4" t="s">
        <v>317</v>
      </c>
      <c r="D23" s="43" t="s">
        <v>318</v>
      </c>
      <c r="E23" s="43" t="s">
        <v>319</v>
      </c>
      <c r="F23" s="43" t="s">
        <v>247</v>
      </c>
      <c r="G23" s="43" t="s">
        <v>320</v>
      </c>
    </row>
    <row r="24" spans="2:7" ht="14" customHeight="1" x14ac:dyDescent="0.2"/>
    <row r="25" spans="2:7" ht="14" customHeight="1" x14ac:dyDescent="0.3">
      <c r="B25" s="8" t="s">
        <v>321</v>
      </c>
    </row>
    <row r="26" spans="2:7" ht="14" customHeight="1" x14ac:dyDescent="0.3">
      <c r="B26" s="10" t="s">
        <v>322</v>
      </c>
      <c r="C26" s="10" t="s">
        <v>323</v>
      </c>
    </row>
    <row r="27" spans="2:7" ht="14" customHeight="1" x14ac:dyDescent="0.3">
      <c r="B27" s="4" t="s">
        <v>324</v>
      </c>
      <c r="C27" t="s">
        <v>325</v>
      </c>
    </row>
    <row r="28" spans="2:7" ht="14" customHeight="1" x14ac:dyDescent="0.3">
      <c r="B28" s="4" t="s">
        <v>326</v>
      </c>
      <c r="C28" t="s">
        <v>327</v>
      </c>
    </row>
    <row r="29" spans="2:7" ht="14" customHeight="1" x14ac:dyDescent="0.3">
      <c r="B29" s="4" t="s">
        <v>328</v>
      </c>
      <c r="C29" t="s">
        <v>329</v>
      </c>
    </row>
    <row r="30" spans="2:7" ht="14" customHeight="1" x14ac:dyDescent="0.3">
      <c r="B30" s="4" t="s">
        <v>330</v>
      </c>
      <c r="C30" t="s">
        <v>41</v>
      </c>
    </row>
    <row r="31" spans="2:7" ht="14" customHeight="1" x14ac:dyDescent="0.3">
      <c r="B31" s="4" t="s">
        <v>331</v>
      </c>
      <c r="C31" t="s">
        <v>4</v>
      </c>
    </row>
    <row r="32" spans="2:7" ht="14" customHeight="1" x14ac:dyDescent="0.3">
      <c r="B32" s="4" t="s">
        <v>332</v>
      </c>
      <c r="C32" t="s">
        <v>246</v>
      </c>
    </row>
    <row r="33" spans="2:3" ht="14" customHeight="1" x14ac:dyDescent="0.3">
      <c r="B33" s="4" t="s">
        <v>333</v>
      </c>
      <c r="C33" t="s">
        <v>334</v>
      </c>
    </row>
    <row r="34" spans="2:3" ht="14" customHeight="1" x14ac:dyDescent="0.3">
      <c r="B34" s="4" t="s">
        <v>335</v>
      </c>
      <c r="C34" t="s">
        <v>336</v>
      </c>
    </row>
    <row r="35" spans="2:3" ht="14" customHeight="1" x14ac:dyDescent="0.3">
      <c r="B35" s="4" t="s">
        <v>337</v>
      </c>
      <c r="C35" t="s">
        <v>338</v>
      </c>
    </row>
    <row r="36" spans="2:3" ht="14" customHeight="1" x14ac:dyDescent="0.3">
      <c r="B36" s="4" t="s">
        <v>339</v>
      </c>
      <c r="C36" t="s">
        <v>340</v>
      </c>
    </row>
    <row r="37" spans="2:3" ht="14" customHeight="1" x14ac:dyDescent="0.3">
      <c r="B37" s="4" t="s">
        <v>341</v>
      </c>
      <c r="C37" t="s">
        <v>342</v>
      </c>
    </row>
    <row r="38" spans="2:3" ht="14" customHeight="1" x14ac:dyDescent="0.3">
      <c r="B38" s="4" t="s">
        <v>343</v>
      </c>
      <c r="C38" t="s">
        <v>338</v>
      </c>
    </row>
    <row r="39" spans="2:3" ht="14" customHeight="1" x14ac:dyDescent="0.3">
      <c r="B39" s="4" t="s">
        <v>344</v>
      </c>
      <c r="C39" t="s">
        <v>334</v>
      </c>
    </row>
    <row r="40" spans="2:3" ht="14" customHeight="1" x14ac:dyDescent="0.3">
      <c r="B40" s="4" t="s">
        <v>345</v>
      </c>
      <c r="C40" t="s">
        <v>346</v>
      </c>
    </row>
    <row r="41" spans="2:3" ht="14" customHeight="1" x14ac:dyDescent="0.3">
      <c r="B41" s="4" t="s">
        <v>347</v>
      </c>
      <c r="C41" t="s">
        <v>348</v>
      </c>
    </row>
    <row r="42" spans="2:3" ht="14" customHeight="1" x14ac:dyDescent="0.3">
      <c r="B42" s="4" t="s">
        <v>349</v>
      </c>
      <c r="C42" t="s">
        <v>350</v>
      </c>
    </row>
    <row r="43" spans="2:3" ht="14" customHeight="1" x14ac:dyDescent="0.3">
      <c r="B43" s="4" t="s">
        <v>351</v>
      </c>
      <c r="C43" t="s">
        <v>327</v>
      </c>
    </row>
    <row r="44" spans="2:3" ht="14" customHeight="1" x14ac:dyDescent="0.3">
      <c r="B44" s="4" t="s">
        <v>352</v>
      </c>
      <c r="C44" t="s">
        <v>327</v>
      </c>
    </row>
    <row r="45" spans="2:3" ht="14" customHeight="1" x14ac:dyDescent="0.3">
      <c r="B45" s="4" t="s">
        <v>353</v>
      </c>
      <c r="C45" t="s">
        <v>354</v>
      </c>
    </row>
    <row r="46" spans="2:3" ht="14" customHeight="1" x14ac:dyDescent="0.3">
      <c r="B46" s="4" t="s">
        <v>355</v>
      </c>
      <c r="C46" t="s">
        <v>356</v>
      </c>
    </row>
    <row r="47" spans="2:3" ht="14" x14ac:dyDescent="0.3">
      <c r="B47" s="4" t="s">
        <v>357</v>
      </c>
      <c r="C47" t="s">
        <v>358</v>
      </c>
    </row>
    <row r="48" spans="2:3" ht="14" x14ac:dyDescent="0.3">
      <c r="B48" s="4" t="s">
        <v>359</v>
      </c>
      <c r="C48" t="s">
        <v>360</v>
      </c>
    </row>
    <row r="49" spans="2:3" ht="14" x14ac:dyDescent="0.3">
      <c r="B49" s="4" t="s">
        <v>361</v>
      </c>
      <c r="C49" t="s">
        <v>362</v>
      </c>
    </row>
    <row r="50" spans="2:3" ht="14" x14ac:dyDescent="0.3">
      <c r="B50" s="4" t="s">
        <v>363</v>
      </c>
      <c r="C50" t="s">
        <v>364</v>
      </c>
    </row>
    <row r="51" spans="2:3" ht="14" x14ac:dyDescent="0.3">
      <c r="B51" s="4" t="s">
        <v>365</v>
      </c>
      <c r="C51" t="s">
        <v>366</v>
      </c>
    </row>
    <row r="52" spans="2:3" ht="14" x14ac:dyDescent="0.3">
      <c r="B52" s="4" t="s">
        <v>367</v>
      </c>
      <c r="C52" t="s">
        <v>368</v>
      </c>
    </row>
    <row r="53" spans="2:3" ht="14" x14ac:dyDescent="0.3">
      <c r="B53" s="4" t="s">
        <v>369</v>
      </c>
      <c r="C53" t="s">
        <v>370</v>
      </c>
    </row>
    <row r="54" spans="2:3" ht="14" x14ac:dyDescent="0.3">
      <c r="B54" s="4" t="s">
        <v>371</v>
      </c>
      <c r="C54" t="s">
        <v>372</v>
      </c>
    </row>
    <row r="55" spans="2:3" ht="14" x14ac:dyDescent="0.3">
      <c r="B55" s="4" t="s">
        <v>373</v>
      </c>
      <c r="C55" t="s">
        <v>374</v>
      </c>
    </row>
    <row r="56" spans="2:3" ht="14" x14ac:dyDescent="0.3">
      <c r="B56" s="4" t="s">
        <v>375</v>
      </c>
      <c r="C56" t="s">
        <v>376</v>
      </c>
    </row>
    <row r="57" spans="2:3" ht="14" x14ac:dyDescent="0.3">
      <c r="B57" s="4" t="s">
        <v>377</v>
      </c>
      <c r="C57" t="s">
        <v>378</v>
      </c>
    </row>
    <row r="58" spans="2:3" ht="14" x14ac:dyDescent="0.3">
      <c r="B58" s="4" t="s">
        <v>379</v>
      </c>
      <c r="C58" t="s">
        <v>380</v>
      </c>
    </row>
    <row r="59" spans="2:3" ht="14" x14ac:dyDescent="0.3">
      <c r="B59" s="4" t="s">
        <v>381</v>
      </c>
      <c r="C59"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2026-09-05T04:02:24Z</dcterms:created>
  <dcterms:modified xsi:type="dcterms:W3CDTF">2026-09-05T04:04:36Z</dcterms:modified>
</cp:coreProperties>
</file>