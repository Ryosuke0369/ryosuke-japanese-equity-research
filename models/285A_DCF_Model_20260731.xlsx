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ryosuke-japanese-equity-research\models\"/>
    </mc:Choice>
  </mc:AlternateContent>
  <xr:revisionPtr revIDLastSave="0" documentId="13_ncr:1_{C20D87C8-3472-4AB3-9A31-340615DC929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17" i="6" s="1"/>
  <c r="F3" i="6"/>
  <c r="H6" i="6" s="1"/>
  <c r="O8" i="5"/>
  <c r="N8" i="5"/>
  <c r="M8" i="5"/>
  <c r="L8" i="5"/>
  <c r="K8" i="5"/>
  <c r="J8" i="5"/>
  <c r="O7" i="5"/>
  <c r="N7" i="5"/>
  <c r="M7" i="5"/>
  <c r="L7" i="5"/>
  <c r="K7" i="5"/>
  <c r="J7" i="5"/>
  <c r="O6" i="5"/>
  <c r="N6" i="5"/>
  <c r="M6" i="5"/>
  <c r="L6" i="5"/>
  <c r="K6" i="5"/>
  <c r="J6" i="5"/>
  <c r="O5" i="5"/>
  <c r="N5" i="5"/>
  <c r="D5" i="5"/>
  <c r="L5" i="5" s="1"/>
  <c r="C16" i="4"/>
  <c r="C18" i="4" s="1"/>
  <c r="C14" i="4"/>
  <c r="C7" i="4"/>
  <c r="C6" i="4"/>
  <c r="C5" i="4"/>
  <c r="D27" i="3"/>
  <c r="G7" i="4" s="1"/>
  <c r="C25" i="3"/>
  <c r="C24" i="3"/>
  <c r="C23" i="3"/>
  <c r="C26" i="3" s="1"/>
  <c r="E28" i="2"/>
  <c r="D28" i="2"/>
  <c r="E23" i="2"/>
  <c r="D23" i="2"/>
  <c r="C23" i="2"/>
  <c r="E21" i="2"/>
  <c r="E22" i="2" s="1"/>
  <c r="D21" i="2"/>
  <c r="D22" i="2" s="1"/>
  <c r="C21" i="2"/>
  <c r="C22" i="2" s="1"/>
  <c r="E16" i="2"/>
  <c r="D16" i="2"/>
  <c r="E15" i="2"/>
  <c r="D15" i="2"/>
  <c r="E14" i="2"/>
  <c r="D14" i="2"/>
  <c r="C14" i="2"/>
  <c r="E13" i="2"/>
  <c r="D13" i="2"/>
  <c r="C13" i="2"/>
  <c r="E8" i="2"/>
  <c r="E9" i="2" s="1"/>
  <c r="D8" i="2"/>
  <c r="D9" i="2" s="1"/>
  <c r="C8" i="2"/>
  <c r="C9" i="2" s="1"/>
  <c r="D17" i="5" l="1"/>
  <c r="F15" i="5"/>
  <c r="E16" i="5"/>
  <c r="D15" i="5"/>
  <c r="G15" i="5"/>
  <c r="E15" i="5"/>
  <c r="H16" i="5"/>
  <c r="H15" i="5"/>
  <c r="I16" i="5"/>
  <c r="M5" i="5"/>
  <c r="C3" i="6"/>
  <c r="G46" i="3"/>
  <c r="F46" i="3"/>
  <c r="E46" i="3"/>
  <c r="D46" i="3"/>
  <c r="C46" i="3"/>
  <c r="D31" i="3"/>
  <c r="G32" i="3"/>
  <c r="D5" i="4"/>
  <c r="F6" i="4"/>
  <c r="H7" i="4"/>
  <c r="I15" i="5"/>
  <c r="E17" i="5"/>
  <c r="I6" i="6"/>
  <c r="E31" i="3"/>
  <c r="E5" i="4"/>
  <c r="G6" i="4"/>
  <c r="D16" i="5"/>
  <c r="C27" i="5" s="1"/>
  <c r="C18" i="1" s="1"/>
  <c r="D18" i="1" s="1"/>
  <c r="F17" i="5"/>
  <c r="C17" i="6"/>
  <c r="C31" i="3"/>
  <c r="F32" i="3"/>
  <c r="E6" i="4"/>
  <c r="C30" i="3"/>
  <c r="C33" i="3" s="1"/>
  <c r="F31" i="3"/>
  <c r="F5" i="4"/>
  <c r="H6" i="4"/>
  <c r="E5" i="5"/>
  <c r="G17" i="5"/>
  <c r="C6" i="6"/>
  <c r="D17" i="6"/>
  <c r="F16" i="5"/>
  <c r="C28" i="5" s="1"/>
  <c r="C19" i="1" s="1"/>
  <c r="D19" i="1" s="1"/>
  <c r="H17" i="5"/>
  <c r="D6" i="6"/>
  <c r="E17" i="6"/>
  <c r="I17" i="5"/>
  <c r="E6" i="6"/>
  <c r="F17" i="6"/>
  <c r="G16" i="5"/>
  <c r="F30" i="3"/>
  <c r="D32" i="3"/>
  <c r="E7" i="4"/>
  <c r="F6" i="6"/>
  <c r="G17" i="6"/>
  <c r="G31" i="3"/>
  <c r="G5" i="4"/>
  <c r="C32" i="3"/>
  <c r="H5" i="4"/>
  <c r="D7" i="4"/>
  <c r="G30" i="3"/>
  <c r="E32" i="3"/>
  <c r="D6" i="4"/>
  <c r="F7" i="4"/>
  <c r="G6" i="6"/>
  <c r="H17" i="6"/>
  <c r="D30" i="3"/>
  <c r="E30" i="3"/>
  <c r="C34" i="3" l="1"/>
  <c r="D10" i="4" s="1"/>
  <c r="C37" i="3"/>
  <c r="D33" i="3"/>
  <c r="D9" i="4"/>
  <c r="D12" i="4" s="1"/>
  <c r="J5" i="5"/>
  <c r="K5" i="5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C35" i="3" l="1"/>
  <c r="C38" i="3"/>
  <c r="C39" i="3"/>
  <c r="C36" i="3"/>
  <c r="D37" i="3"/>
  <c r="E9" i="4"/>
  <c r="E12" i="4" s="1"/>
  <c r="D34" i="3"/>
  <c r="E10" i="4" s="1"/>
  <c r="E33" i="3"/>
  <c r="D15" i="4"/>
  <c r="D16" i="4" s="1"/>
  <c r="D13" i="4"/>
  <c r="D14" i="4" s="1"/>
  <c r="D18" i="4" s="1"/>
  <c r="D19" i="4" s="1"/>
  <c r="C44" i="3" s="1"/>
  <c r="F9" i="4" l="1"/>
  <c r="F12" i="4" s="1"/>
  <c r="F33" i="3"/>
  <c r="E37" i="3"/>
  <c r="E34" i="3"/>
  <c r="F10" i="4" s="1"/>
  <c r="E15" i="4"/>
  <c r="E16" i="4" s="1"/>
  <c r="E13" i="4"/>
  <c r="E14" i="4" s="1"/>
  <c r="E18" i="4" s="1"/>
  <c r="E19" i="4" s="1"/>
  <c r="D44" i="3" s="1"/>
  <c r="D35" i="3"/>
  <c r="C40" i="3"/>
  <c r="C41" i="3" s="1"/>
  <c r="C45" i="3" s="1"/>
  <c r="C47" i="3" l="1"/>
  <c r="F15" i="4"/>
  <c r="F16" i="4" s="1"/>
  <c r="F13" i="4"/>
  <c r="F14" i="4" s="1"/>
  <c r="F18" i="4" s="1"/>
  <c r="F19" i="4" s="1"/>
  <c r="E44" i="3" s="1"/>
  <c r="E35" i="3"/>
  <c r="G9" i="4"/>
  <c r="G12" i="4" s="1"/>
  <c r="G33" i="3"/>
  <c r="F34" i="3"/>
  <c r="G10" i="4" s="1"/>
  <c r="F37" i="3"/>
  <c r="D38" i="3"/>
  <c r="D36" i="3"/>
  <c r="D39" i="3"/>
  <c r="D40" i="3" l="1"/>
  <c r="D41" i="3"/>
  <c r="D45" i="3" s="1"/>
  <c r="F35" i="3"/>
  <c r="E38" i="3"/>
  <c r="E36" i="3"/>
  <c r="E39" i="3"/>
  <c r="G15" i="4"/>
  <c r="G16" i="4" s="1"/>
  <c r="G13" i="4"/>
  <c r="G14" i="4" s="1"/>
  <c r="G18" i="4" s="1"/>
  <c r="G19" i="4" s="1"/>
  <c r="F44" i="3" s="1"/>
  <c r="H9" i="4"/>
  <c r="H12" i="4" s="1"/>
  <c r="G34" i="3"/>
  <c r="H10" i="4" s="1"/>
  <c r="G35" i="3"/>
  <c r="G37" i="3"/>
  <c r="E40" i="3" l="1"/>
  <c r="E41" i="3" s="1"/>
  <c r="E45" i="3" s="1"/>
  <c r="G39" i="3"/>
  <c r="G38" i="3"/>
  <c r="G36" i="3"/>
  <c r="F36" i="3"/>
  <c r="F38" i="3"/>
  <c r="F39" i="3"/>
  <c r="D47" i="3"/>
  <c r="H15" i="4"/>
  <c r="H16" i="4" s="1"/>
  <c r="H13" i="4"/>
  <c r="H14" i="4"/>
  <c r="H18" i="4" s="1"/>
  <c r="H19" i="4" s="1"/>
  <c r="G44" i="3" s="1"/>
  <c r="E47" i="3" l="1"/>
  <c r="F40" i="3"/>
  <c r="F41" i="3"/>
  <c r="F45" i="3" s="1"/>
  <c r="F47" i="3" s="1"/>
  <c r="C59" i="3"/>
  <c r="C60" i="3" s="1"/>
  <c r="C61" i="3" s="1"/>
  <c r="G40" i="3"/>
  <c r="G41" i="3" s="1"/>
  <c r="G45" i="3" s="1"/>
  <c r="C24" i="6" s="1"/>
  <c r="D9" i="6" l="1"/>
  <c r="F8" i="6"/>
  <c r="G7" i="6"/>
  <c r="H24" i="6"/>
  <c r="F20" i="6"/>
  <c r="G24" i="6"/>
  <c r="D11" i="6"/>
  <c r="D23" i="6"/>
  <c r="F22" i="6"/>
  <c r="H9" i="6"/>
  <c r="H13" i="6"/>
  <c r="D21" i="6"/>
  <c r="E19" i="6"/>
  <c r="H12" i="6"/>
  <c r="D19" i="6"/>
  <c r="F10" i="6"/>
  <c r="I8" i="6"/>
  <c r="F21" i="6"/>
  <c r="I19" i="6"/>
  <c r="D10" i="6"/>
  <c r="E22" i="6"/>
  <c r="H8" i="6"/>
  <c r="I11" i="6"/>
  <c r="G22" i="6"/>
  <c r="H21" i="6"/>
  <c r="H19" i="6"/>
  <c r="E7" i="6"/>
  <c r="F12" i="6"/>
  <c r="C11" i="6"/>
  <c r="E10" i="6"/>
  <c r="C12" i="6"/>
  <c r="G18" i="6"/>
  <c r="C20" i="6"/>
  <c r="D8" i="6"/>
  <c r="G21" i="6"/>
  <c r="F11" i="6"/>
  <c r="H20" i="6"/>
  <c r="D20" i="6"/>
  <c r="I20" i="6"/>
  <c r="E11" i="6"/>
  <c r="G12" i="6"/>
  <c r="C10" i="6"/>
  <c r="C19" i="6"/>
  <c r="D7" i="6"/>
  <c r="H22" i="6"/>
  <c r="C7" i="6"/>
  <c r="H23" i="6"/>
  <c r="G9" i="6"/>
  <c r="C51" i="3"/>
  <c r="C52" i="3" s="1"/>
  <c r="G47" i="3"/>
  <c r="C50" i="3" s="1"/>
  <c r="E24" i="6"/>
  <c r="G23" i="6"/>
  <c r="F7" i="6"/>
  <c r="G13" i="6"/>
  <c r="G20" i="6"/>
  <c r="C9" i="6"/>
  <c r="D24" i="6"/>
  <c r="E18" i="6"/>
  <c r="D22" i="6"/>
  <c r="I22" i="6"/>
  <c r="F24" i="6"/>
  <c r="D18" i="6"/>
  <c r="F9" i="6"/>
  <c r="F18" i="6"/>
  <c r="I18" i="6"/>
  <c r="C18" i="6"/>
  <c r="H18" i="6"/>
  <c r="E13" i="6"/>
  <c r="D13" i="6"/>
  <c r="C23" i="6"/>
  <c r="G8" i="6"/>
  <c r="C8" i="6"/>
  <c r="H11" i="6"/>
  <c r="E8" i="6"/>
  <c r="D12" i="6"/>
  <c r="H7" i="6"/>
  <c r="I7" i="6"/>
  <c r="C21" i="6"/>
  <c r="E20" i="6"/>
  <c r="C22" i="6"/>
  <c r="E23" i="6"/>
  <c r="E9" i="6"/>
  <c r="I24" i="6"/>
  <c r="I12" i="6"/>
  <c r="I10" i="6"/>
  <c r="I9" i="6"/>
  <c r="E21" i="6"/>
  <c r="I21" i="6"/>
  <c r="H10" i="6"/>
  <c r="F19" i="6"/>
  <c r="E12" i="6"/>
  <c r="I23" i="6"/>
  <c r="F23" i="6"/>
  <c r="C13" i="6"/>
  <c r="G10" i="6"/>
  <c r="I13" i="6"/>
  <c r="G11" i="6"/>
  <c r="G19" i="6"/>
  <c r="F13" i="6"/>
  <c r="C53" i="3" l="1"/>
  <c r="C58" i="3"/>
  <c r="C62" i="3" s="1"/>
  <c r="C63" i="3" s="1"/>
  <c r="C64" i="3" s="1"/>
  <c r="C17" i="1" s="1"/>
  <c r="D17" i="1" s="1"/>
  <c r="C54" i="3" l="1"/>
  <c r="C55" i="3" s="1"/>
  <c r="C16" i="1"/>
  <c r="C10" i="1" l="1"/>
  <c r="C12" i="1" s="1"/>
  <c r="C11" i="1" s="1"/>
  <c r="D16" i="1"/>
  <c r="C21" i="1"/>
</calcChain>
</file>

<file path=xl/sharedStrings.xml><?xml version="1.0" encoding="utf-8"?>
<sst xmlns="http://schemas.openxmlformats.org/spreadsheetml/2006/main" count="313" uniqueCount="250">
  <si>
    <t>DISCLAIMER: This is a sample analysis for demonstration purposes only. It does not constitute investment advice.</t>
  </si>
  <si>
    <t>キオクシアホールディングス株式会社 (285A)</t>
  </si>
  <si>
    <t>Equity Research Report</t>
  </si>
  <si>
    <t>Company</t>
  </si>
  <si>
    <t>キオクシアホールディングス株式会社</t>
  </si>
  <si>
    <t>Ticker</t>
  </si>
  <si>
    <t>285A (TSE)</t>
  </si>
  <si>
    <t>Sector</t>
  </si>
  <si>
    <t>Semiconductors / NAND Flash Memory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</si>
  <si>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</si>
  <si>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</si>
  <si>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</si>
  <si>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</si>
  <si>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</si>
  <si>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</si>
  <si>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</si>
  <si>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</si>
  <si>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</si>
  <si>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</si>
  <si>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</si>
  <si>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</si>
  <si>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</si>
  <si>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</si>
  <si>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Cycle position is the entire investment question — FY2026/3 operating margin of 37.2% is not sustainable. The stock trades at 19.1x peak EBITDA against a 4-6x mid-cycle norm, implying the market either expects structural change or has priced in a very different normalization path than a standard DCF.</t>
  </si>
  <si>
    <t>2. Potential AI-driven structural shift — enterprise SSD demand for AI datacenters may flatten the traditional smartphone/PC-led NAND cycle. If durable, mid-cycle margins reset materially higher.</t>
  </si>
  <si>
    <t>3. Balance sheet materially repaired — preferred shares fully redeemed (322,996), cash of 470,707, equity attributable to owners nearly doubled to 1,398,929 from 737,565, net debt down to 782,482 from 831,589.</t>
  </si>
  <si>
    <t>Key Risks</t>
  </si>
  <si>
    <t>1. Extreme cyclicality — operating profit swung from △252,698 (FY2024/3) to +870,369 (FY2026/3), a 1,123,067 range in three years. Applying any multiple to peak earnings is hazardous.</t>
  </si>
  <si>
    <t>2. Chinese supply expansion — CXMT/YMTC 3D NAND ramp could impose structural price deflation independent of the demand cycle.</t>
  </si>
  <si>
    <t>3. Working capital deterioration plus non-deferrable capex — receivables rose 2.77x (238,594 to 660,559) against 1.37x revenue growth; DSO doubled from 51 to 103 days. Capex at 12-14% of revenue cannot pause during a downturn without ceding technology generations.</t>
  </si>
  <si>
    <t>キオクシアホールディングス株式会社 - Historical Financials (JPY mn)</t>
  </si>
  <si>
    <t>FY2024/3</t>
  </si>
  <si>
    <t>FY2025/3</t>
  </si>
  <si>
    <t>FY2026/3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</si>
  <si>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</si>
  <si>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</si>
  <si>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</si>
  <si>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</si>
  <si>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</si>
  <si>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</si>
  <si>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</si>
  <si>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</si>
  <si>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</si>
  <si>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</si>
  <si>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</si>
  <si>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</si>
  <si>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</si>
  <si>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</si>
  <si>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</si>
  <si>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</si>
  <si>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</si>
  <si>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</si>
  <si>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</si>
  <si>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</si>
  <si>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</si>
  <si>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</si>
  <si>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</si>
  <si>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Note: OCF / Cash / Debt coverage OCF 3/3, Cash 3/3, Debt 2/3 — blank cells are years with no year-key match in the source data (verify against 決算短信 or set hist_ocf / hist_cash / hist_debt in overrides).</t>
  </si>
  <si>
    <t>DCF Valuation Model - キオクシアホールディングス株式会社</t>
  </si>
  <si>
    <t>Assumptions</t>
  </si>
  <si>
    <t>Capex / Revenue (hist 3yr avg, 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</si>
  <si>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</si>
  <si>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</si>
  <si>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</si>
  <si>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</si>
  <si>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</si>
  <si>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</si>
  <si>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</si>
  <si>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</si>
  <si>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</si>
  <si>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</si>
  <si>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</si>
  <si>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</si>
  <si>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 (hist 3yr avg, fallback)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</si>
  <si>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</si>
  <si>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</si>
  <si>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</si>
  <si>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</si>
  <si>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</si>
  <si>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</si>
  <si>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</si>
  <si>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</si>
  <si>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</si>
  <si>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</si>
  <si>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</si>
  <si>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</si>
  <si>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</si>
  <si>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</si>
  <si>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</si>
  <si>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</si>
  <si>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</si>
  <si>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</si>
  <si>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</si>
  <si>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</si>
  <si>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</si>
  <si>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</si>
  <si>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</si>
  <si>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</si>
  <si>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</si>
  <si>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</si>
  <si>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</si>
  <si>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</si>
  <si>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</si>
  <si>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</si>
  <si>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</si>
  <si>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</si>
  <si>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</si>
  <si>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</si>
  <si>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</si>
  <si>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</si>
  <si>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</si>
  <si>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</si>
  <si>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</si>
  <si>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</si>
  <si>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</si>
  <si>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</si>
  <si>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</si>
  <si>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</si>
  <si>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</si>
  <si>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</si>
  <si>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</si>
  <si>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</si>
  <si>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</si>
  <si>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キオクシアホールディングス株式会社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</si>
  <si>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</si>
  <si>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</si>
  <si>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</si>
  <si>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</si>
  <si>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</si>
  <si>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</si>
  <si>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</si>
  <si>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</si>
  <si>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</si>
  <si>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</si>
  <si>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</si>
  <si>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</si>
  <si>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</si>
  <si>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</si>
  <si>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</si>
  <si>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</si>
  <si>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</si>
  <si>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</si>
  <si>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</si>
  <si>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2026-07-31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</si>
  <si>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</si>
  <si>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</si>
  <si>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</si>
  <si>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</si>
  <si>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</si>
  <si>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</si>
  <si>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</si>
  <si>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</si>
  <si>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</si>
  <si>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</si>
  <si>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</si>
  <si>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</si>
  <si>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</si>
  <si>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</si>
  <si>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Kioxia Holdings</t>
  </si>
  <si>
    <t>285A.T</t>
  </si>
  <si>
    <t>SanDisk</t>
  </si>
  <si>
    <t>SNDK</t>
  </si>
  <si>
    <t>Micron Technology</t>
  </si>
  <si>
    <t>MU</t>
  </si>
  <si>
    <t>SK Hynix</t>
  </si>
  <si>
    <t>000660.KS</t>
  </si>
  <si>
    <t>Statistics</t>
  </si>
  <si>
    <t>25th Percentile</t>
  </si>
  <si>
    <t>Median (50th)</t>
  </si>
  <si>
    <t>75th Percentile</t>
  </si>
  <si>
    <t>Implied Valuation for キオクシアホールディングス株式会社</t>
  </si>
  <si>
    <t>キオクシアホールディングス株式会社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</si>
  <si>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</si>
  <si>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</si>
  <si>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</si>
  <si>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</si>
  <si>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</si>
  <si>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</si>
  <si>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</si>
  <si>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</si>
  <si>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</si>
  <si>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</si>
  <si>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</si>
  <si>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</si>
  <si>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</si>
  <si>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</si>
  <si>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</si>
  <si>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キオクシアホールディングス株式会社</t>
  </si>
  <si>
    <t>日付</t>
  </si>
  <si>
    <t>セル</t>
  </si>
  <si>
    <t>変更内容</t>
  </si>
  <si>
    <t>理由</t>
  </si>
  <si>
    <t>元の値</t>
  </si>
  <si>
    <t>状態</t>
  </si>
  <si>
    <t>2026-07-31</t>
  </si>
  <si>
    <t>-</t>
  </si>
  <si>
    <t>Generated by pipeline on 2026-07-31 13:54, template rev f61d242</t>
  </si>
  <si>
    <t>初期生成（手修正なし）</t>
  </si>
  <si>
    <t>generated</t>
  </si>
  <si>
    <t>Pipeline Metadata (do not edit — read by scripts/validate_output.py)</t>
  </si>
  <si>
    <t>key</t>
  </si>
  <si>
    <t>value</t>
  </si>
  <si>
    <t>capex_pct_basis</t>
  </si>
  <si>
    <t>hist_3yr_avg</t>
  </si>
  <si>
    <t>capex_pct_c5</t>
  </si>
  <si>
    <t>0.179</t>
  </si>
  <si>
    <t>capex_pct_hist3yr</t>
  </si>
  <si>
    <t>0.178983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</si>
  <si>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</si>
  <si>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</si>
  <si>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</si>
  <si>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</si>
  <si>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</si>
  <si>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</si>
  <si>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</si>
  <si>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</si>
  <si>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</si>
  <si>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</si>
  <si>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</si>
  <si>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</si>
  <si>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</si>
  <si>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</si>
  <si>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</si>
  <si>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</si>
  <si>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</si>
  <si>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</si>
  <si>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da_pct_basis</t>
  </si>
  <si>
    <t>da_pct_c18</t>
  </si>
  <si>
    <t>0.2128</t>
  </si>
  <si>
    <t>da_pct_hist3yr</t>
  </si>
  <si>
    <t>0.212762</t>
  </si>
  <si>
    <t>fs_year_coverage</t>
  </si>
  <si>
    <t>OCF 3/3, Cash 3/3, Debt 2/3</t>
  </si>
  <si>
    <t>fs_year_map</t>
  </si>
  <si>
    <t>FY2024/3&lt;-FY2024[ocf+cash]; FY2025/3&lt;-FY2025[ocf+cash+debt]; FY2026/3&lt;-FY2026[ocf+cash+debt]</t>
  </si>
  <si>
    <t>fs_year_sources</t>
  </si>
  <si>
    <t>overrides: hist_capex, hist_depreciation | EDINET year-key match: hist_ocf, hist_cash, hist_debt</t>
  </si>
  <si>
    <t>generated_at</t>
  </si>
  <si>
    <t>2026-07-31 13:54:55</t>
  </si>
  <si>
    <t>ltm_revenue_c20</t>
  </si>
  <si>
    <t>2219365.0</t>
  </si>
  <si>
    <t>ltm_revenue_source</t>
  </si>
  <si>
    <t>LTM row</t>
  </si>
  <si>
    <t>narrative_tokens_used</t>
  </si>
  <si>
    <t>scenario_index_range</t>
  </si>
  <si>
    <t>B69:B73</t>
  </si>
  <si>
    <t>template_rev</t>
  </si>
  <si>
    <t>f61d242</t>
  </si>
  <si>
    <t>ticker</t>
  </si>
  <si>
    <t>285A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</si>
</sst>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1" t="s">
        <v>0</v>
      </c>
      <c r="C1" s="40"/>
      <c r="D1" s="40"/>
      <c r="E1" s="40"/>
    </row>
    <row r="3" spans="2:5" ht="18" x14ac:dyDescent="0.4">
      <c r="B3" s="39" t="s">
        <v>1</v>
      </c>
      <c r="C3" s="40"/>
      <c r="D3" s="40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39800</v>
      </c>
    </row>
    <row r="10" spans="2:5" ht="14" x14ac:dyDescent="0.3">
      <c r="B10" s="4" t="s">
        <v>10</v>
      </c>
      <c r="C10" s="5">
        <f>ROUND(AVERAGE(C16:C19),0)</f>
        <v>20929</v>
      </c>
    </row>
    <row r="11" spans="2:5" ht="14" x14ac:dyDescent="0.3">
      <c r="B11" s="4" t="s">
        <v>11</v>
      </c>
      <c r="C11" s="6" t="str">
        <f>IF(C12&gt;0.15,"BUY",IF(C12&gt;0.05,"HOLD","SELL"))</f>
        <v>SELL</v>
      </c>
    </row>
    <row r="12" spans="2:5" ht="14" x14ac:dyDescent="0.3">
      <c r="B12" s="4" t="s">
        <v>12</v>
      </c>
      <c r="C12" s="7">
        <f>(C10-C9)/C9</f>
        <v>-0.47414572864321608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8453</v>
      </c>
      <c r="D16" s="7">
        <f>IF(ISNUMBER(C16),(C16-C9)/C9,"N/A")</f>
        <v>-0.78761306532663311</v>
      </c>
    </row>
    <row r="17" spans="2:4" ht="13.5" x14ac:dyDescent="0.25">
      <c r="B17" t="s">
        <v>18</v>
      </c>
      <c r="C17" s="11">
        <f>'DCF Model'!C64</f>
        <v>16126</v>
      </c>
      <c r="D17" s="7">
        <f>(C17-C9)/C9</f>
        <v>-0.59482412060301504</v>
      </c>
    </row>
    <row r="18" spans="2:4" ht="13.5" x14ac:dyDescent="0.25">
      <c r="B18" t="s">
        <v>19</v>
      </c>
      <c r="C18" s="11">
        <f>'Comps Analysis'!C27</f>
        <v>35031</v>
      </c>
      <c r="D18" s="7">
        <f>IF(ISNUMBER(C18),(C18-C9)/C9,"N/A")</f>
        <v>-0.11982412060301507</v>
      </c>
    </row>
    <row r="19" spans="2:4" ht="13.5" x14ac:dyDescent="0.25">
      <c r="B19" t="s">
        <v>20</v>
      </c>
      <c r="C19" s="11">
        <f>'Comps Analysis'!C28</f>
        <v>24107</v>
      </c>
      <c r="D19" s="7">
        <f>IF(ISNUMBER(C19),(C19-C9)/C9,"N/A")</f>
        <v>-0.39429648241206028</v>
      </c>
    </row>
    <row r="21" spans="2:4" ht="14" x14ac:dyDescent="0.3">
      <c r="B21" s="4" t="s">
        <v>21</v>
      </c>
      <c r="C21" s="6" t="str">
        <f>MIN(C16:C19)&amp;" - "&amp;MAX(C16:C19)</f>
        <v>8453 - 35031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30"/>
  <sheetViews>
    <sheetView workbookViewId="0"/>
  </sheetViews>
  <sheetFormatPr defaultRowHeight="13" x14ac:dyDescent="0.2"/>
  <cols>
    <col min="1" max="1" width="3" customWidth="1"/>
    <col min="2" max="2" width="32" customWidth="1"/>
    <col min="3" max="5" width="18" customWidth="1"/>
  </cols>
  <sheetData>
    <row r="2" spans="2:5" ht="18" x14ac:dyDescent="0.4">
      <c r="B2" s="2" t="s">
        <v>30</v>
      </c>
    </row>
    <row r="4" spans="2:5" ht="14" x14ac:dyDescent="0.3">
      <c r="C4" s="10" t="s">
        <v>31</v>
      </c>
      <c r="D4" s="10" t="s">
        <v>32</v>
      </c>
      <c r="E4" s="10" t="s">
        <v>33</v>
      </c>
    </row>
    <row r="5" spans="2:5" ht="14" x14ac:dyDescent="0.3">
      <c r="B5" s="3" t="s">
        <v>34</v>
      </c>
    </row>
    <row r="6" spans="2:5" ht="14" x14ac:dyDescent="0.3">
      <c r="B6" s="4" t="s">
        <v>35</v>
      </c>
      <c r="C6" s="5">
        <v>1076584</v>
      </c>
      <c r="D6" s="5">
        <v>1706460</v>
      </c>
      <c r="E6" s="5">
        <v>2337628</v>
      </c>
    </row>
    <row r="7" spans="2:5" ht="14" x14ac:dyDescent="0.3">
      <c r="B7" s="4" t="s">
        <v>36</v>
      </c>
      <c r="C7" s="5">
        <v>1205927</v>
      </c>
      <c r="D7" s="5">
        <v>1137027</v>
      </c>
      <c r="E7" s="5">
        <v>1324724</v>
      </c>
    </row>
    <row r="8" spans="2:5" ht="14" x14ac:dyDescent="0.3">
      <c r="B8" s="4" t="s">
        <v>37</v>
      </c>
      <c r="C8" s="5">
        <f>C6-C7</f>
        <v>-129343</v>
      </c>
      <c r="D8" s="5">
        <f>D6-D7</f>
        <v>569433</v>
      </c>
      <c r="E8" s="5">
        <f>E6-E7</f>
        <v>1012904</v>
      </c>
    </row>
    <row r="9" spans="2:5" ht="13.5" x14ac:dyDescent="0.25">
      <c r="B9" t="s">
        <v>38</v>
      </c>
      <c r="C9" s="7">
        <f>C8/C6</f>
        <v>-0.12014204186575315</v>
      </c>
      <c r="D9" s="7">
        <f>D8/D6</f>
        <v>0.33369255652051616</v>
      </c>
      <c r="E9" s="7">
        <f>E8/E6</f>
        <v>0.43330418697927986</v>
      </c>
    </row>
    <row r="10" spans="2:5" ht="14" x14ac:dyDescent="0.3">
      <c r="B10" s="4" t="s">
        <v>39</v>
      </c>
      <c r="C10" s="5">
        <v>128774</v>
      </c>
      <c r="D10" s="5">
        <v>127851</v>
      </c>
      <c r="E10" s="5">
        <v>146581</v>
      </c>
    </row>
    <row r="11" spans="2:5" ht="14" x14ac:dyDescent="0.3">
      <c r="B11" s="4" t="s">
        <v>40</v>
      </c>
      <c r="C11" s="5">
        <v>-252698</v>
      </c>
      <c r="D11" s="5">
        <v>451748</v>
      </c>
      <c r="E11" s="5">
        <v>870369</v>
      </c>
    </row>
    <row r="12" spans="2:5" ht="14" x14ac:dyDescent="0.3">
      <c r="B12" s="4" t="s">
        <v>41</v>
      </c>
      <c r="C12" s="5">
        <v>-243721</v>
      </c>
      <c r="D12" s="5">
        <v>272321</v>
      </c>
      <c r="E12" s="5">
        <v>554496</v>
      </c>
    </row>
    <row r="13" spans="2:5" ht="13.5" x14ac:dyDescent="0.25">
      <c r="B13" t="s">
        <v>42</v>
      </c>
      <c r="C13" s="7">
        <f>C11/C6</f>
        <v>-0.23472204677015449</v>
      </c>
      <c r="D13" s="7">
        <f>D11/D6</f>
        <v>0.26472815067449573</v>
      </c>
      <c r="E13" s="7">
        <f>E11/E6</f>
        <v>0.37232998578045778</v>
      </c>
    </row>
    <row r="14" spans="2:5" ht="13.5" x14ac:dyDescent="0.25">
      <c r="B14" t="s">
        <v>43</v>
      </c>
      <c r="C14" s="7">
        <f>C12/C6</f>
        <v>-0.22638363564756675</v>
      </c>
      <c r="D14" s="7">
        <f>D12/D6</f>
        <v>0.15958241037000576</v>
      </c>
      <c r="E14" s="7">
        <f>E12/E6</f>
        <v>0.23720455093795934</v>
      </c>
    </row>
    <row r="15" spans="2:5" ht="13.5" x14ac:dyDescent="0.25">
      <c r="B15" t="s">
        <v>44</v>
      </c>
      <c r="C15" t="s">
        <v>45</v>
      </c>
      <c r="D15" s="7">
        <f>(D6-C6)/C6</f>
        <v>0.5850690703187118</v>
      </c>
      <c r="E15" s="7">
        <f>(E6-D6)/D6</f>
        <v>0.36986978891975197</v>
      </c>
    </row>
    <row r="16" spans="2:5" ht="13.5" x14ac:dyDescent="0.25">
      <c r="B16" t="s">
        <v>46</v>
      </c>
      <c r="C16" t="s">
        <v>45</v>
      </c>
      <c r="D16" s="7">
        <f>(D11-C11)/C11</f>
        <v>-2.7876991507649449</v>
      </c>
      <c r="E16" s="7">
        <f>(E11-D11)/D11</f>
        <v>0.92666929349991589</v>
      </c>
    </row>
    <row r="18" spans="2:5" ht="14" x14ac:dyDescent="0.3">
      <c r="B18" s="3" t="s">
        <v>47</v>
      </c>
    </row>
    <row r="19" spans="2:5" ht="14" x14ac:dyDescent="0.3">
      <c r="B19" s="4" t="s">
        <v>48</v>
      </c>
      <c r="C19" s="5">
        <v>195111</v>
      </c>
      <c r="D19" s="5">
        <v>476416</v>
      </c>
      <c r="E19" s="5">
        <v>616540</v>
      </c>
    </row>
    <row r="20" spans="2:5" ht="14" x14ac:dyDescent="0.3">
      <c r="B20" s="4" t="s">
        <v>49</v>
      </c>
      <c r="C20" s="5">
        <v>305097</v>
      </c>
      <c r="D20" s="5">
        <v>225603</v>
      </c>
      <c r="E20" s="5">
        <v>283674</v>
      </c>
    </row>
    <row r="21" spans="2:5" ht="14" x14ac:dyDescent="0.3">
      <c r="B21" s="4" t="s">
        <v>50</v>
      </c>
      <c r="C21" s="5">
        <f>C19-C20</f>
        <v>-109986</v>
      </c>
      <c r="D21" s="5">
        <f>D19-D20</f>
        <v>250813</v>
      </c>
      <c r="E21" s="5">
        <f>E19-E20</f>
        <v>332866</v>
      </c>
    </row>
    <row r="22" spans="2:5" ht="13.5" x14ac:dyDescent="0.25">
      <c r="B22" t="s">
        <v>51</v>
      </c>
      <c r="C22" s="7">
        <f>C21/C6</f>
        <v>-0.10216202358571184</v>
      </c>
      <c r="D22" s="7">
        <f>D21/D6</f>
        <v>0.14697854037012295</v>
      </c>
      <c r="E22" s="7">
        <f>E21/E6</f>
        <v>0.14239476939872384</v>
      </c>
    </row>
    <row r="23" spans="2:5" ht="13.5" x14ac:dyDescent="0.25">
      <c r="B23" t="s">
        <v>52</v>
      </c>
      <c r="C23" s="7">
        <f>C20/C6</f>
        <v>0.28339358563753503</v>
      </c>
      <c r="D23" s="7">
        <f>D20/D6</f>
        <v>0.13220526704405611</v>
      </c>
      <c r="E23" s="7">
        <f>E20/E6</f>
        <v>0.12135121584785945</v>
      </c>
    </row>
    <row r="25" spans="2:5" ht="14" x14ac:dyDescent="0.3">
      <c r="B25" s="3" t="s">
        <v>53</v>
      </c>
    </row>
    <row r="26" spans="2:5" ht="14" x14ac:dyDescent="0.3">
      <c r="B26" s="4" t="s">
        <v>54</v>
      </c>
      <c r="C26" s="5">
        <v>187593</v>
      </c>
      <c r="D26" s="5">
        <v>167932</v>
      </c>
      <c r="E26" s="5">
        <v>470707</v>
      </c>
    </row>
    <row r="27" spans="2:5" ht="14" x14ac:dyDescent="0.3">
      <c r="B27" s="4" t="s">
        <v>55</v>
      </c>
      <c r="C27" s="5"/>
      <c r="D27" s="5">
        <v>777706</v>
      </c>
      <c r="E27" s="5">
        <v>1047568</v>
      </c>
    </row>
    <row r="28" spans="2:5" ht="14" x14ac:dyDescent="0.3">
      <c r="B28" s="4" t="s">
        <v>56</v>
      </c>
      <c r="D28" s="5">
        <f>D27-D26</f>
        <v>609774</v>
      </c>
      <c r="E28" s="5">
        <f>E27-E26</f>
        <v>576861</v>
      </c>
    </row>
    <row r="30" spans="2:5" ht="14" x14ac:dyDescent="0.3">
      <c r="B30" s="1" t="s">
        <v>57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abSelected="1" topLeftCell="A63" workbookViewId="0">
      <selection activeCell="C69" sqref="C69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58</v>
      </c>
    </row>
    <row r="4" spans="2:7" ht="14" x14ac:dyDescent="0.3">
      <c r="B4" s="8" t="s">
        <v>59</v>
      </c>
      <c r="C4" s="9"/>
      <c r="D4" s="9"/>
      <c r="E4" s="9"/>
      <c r="F4" s="9"/>
      <c r="G4" s="9"/>
    </row>
    <row r="5" spans="2:7" ht="14" x14ac:dyDescent="0.3">
      <c r="B5" s="4" t="s">
        <v>60</v>
      </c>
      <c r="C5" s="7">
        <v>0.17899999999999999</v>
      </c>
    </row>
    <row r="6" spans="2:7" ht="14" x14ac:dyDescent="0.3">
      <c r="B6" s="4" t="s">
        <v>61</v>
      </c>
      <c r="C6" s="7">
        <v>0.3</v>
      </c>
    </row>
    <row r="7" spans="2:7" ht="14" x14ac:dyDescent="0.3">
      <c r="B7" s="4" t="s">
        <v>62</v>
      </c>
      <c r="C7" s="7">
        <v>0.03</v>
      </c>
    </row>
    <row r="8" spans="2:7" ht="14" x14ac:dyDescent="0.3">
      <c r="B8" s="4" t="s">
        <v>63</v>
      </c>
      <c r="C8" s="12">
        <v>1.5</v>
      </c>
    </row>
    <row r="9" spans="2:7" ht="14" x14ac:dyDescent="0.3">
      <c r="B9" s="4" t="s">
        <v>64</v>
      </c>
      <c r="C9" s="7">
        <v>0.06</v>
      </c>
    </row>
    <row r="10" spans="2:7" ht="14" x14ac:dyDescent="0.3">
      <c r="B10" s="4" t="s">
        <v>65</v>
      </c>
      <c r="C10" s="7">
        <v>0</v>
      </c>
    </row>
    <row r="11" spans="2:7" ht="14" x14ac:dyDescent="0.3">
      <c r="B11" s="4" t="s">
        <v>66</v>
      </c>
      <c r="C11" s="7">
        <v>2.24E-2</v>
      </c>
    </row>
    <row r="12" spans="2:7" ht="14" x14ac:dyDescent="0.3">
      <c r="B12" s="4" t="s">
        <v>67</v>
      </c>
      <c r="C12" s="13">
        <v>3.5900000000000001E-2</v>
      </c>
    </row>
    <row r="13" spans="2:7" ht="14" x14ac:dyDescent="0.3">
      <c r="B13" s="4" t="s">
        <v>68</v>
      </c>
      <c r="C13" s="7">
        <v>0.01</v>
      </c>
    </row>
    <row r="14" spans="2:7" ht="14" x14ac:dyDescent="0.3">
      <c r="B14" s="4" t="s">
        <v>69</v>
      </c>
      <c r="C14" s="14">
        <v>10</v>
      </c>
    </row>
    <row r="15" spans="2:7" ht="14" x14ac:dyDescent="0.3">
      <c r="B15" s="4" t="s">
        <v>70</v>
      </c>
      <c r="C15" s="15">
        <v>547242648</v>
      </c>
    </row>
    <row r="16" spans="2:7" ht="14" x14ac:dyDescent="0.3">
      <c r="B16" s="4" t="s">
        <v>71</v>
      </c>
      <c r="C16" s="5">
        <v>782482</v>
      </c>
    </row>
    <row r="17" spans="2:7" ht="14" x14ac:dyDescent="0.3">
      <c r="B17" s="4" t="s">
        <v>72</v>
      </c>
      <c r="C17" s="5">
        <v>2337628</v>
      </c>
    </row>
    <row r="18" spans="2:7" ht="14" x14ac:dyDescent="0.3">
      <c r="B18" s="4" t="s">
        <v>73</v>
      </c>
      <c r="C18" s="7">
        <v>0.21279999999999999</v>
      </c>
    </row>
    <row r="19" spans="2:7" ht="14" x14ac:dyDescent="0.3">
      <c r="B19" s="4" t="s">
        <v>74</v>
      </c>
      <c r="C19" s="12">
        <v>0.5</v>
      </c>
    </row>
    <row r="20" spans="2:7" ht="14" x14ac:dyDescent="0.3">
      <c r="B20" s="4" t="s">
        <v>75</v>
      </c>
      <c r="C20" s="5">
        <v>2219365</v>
      </c>
    </row>
    <row r="22" spans="2:7" ht="14" x14ac:dyDescent="0.3">
      <c r="B22" s="8" t="s">
        <v>76</v>
      </c>
      <c r="C22" s="9"/>
      <c r="D22" s="9"/>
      <c r="E22" s="9"/>
      <c r="F22" s="9"/>
      <c r="G22" s="9"/>
    </row>
    <row r="23" spans="2:7" ht="14" x14ac:dyDescent="0.3">
      <c r="B23" s="4" t="s">
        <v>77</v>
      </c>
      <c r="C23" s="16">
        <f>C7+C8*C9+C10</f>
        <v>0.12</v>
      </c>
    </row>
    <row r="24" spans="2:7" ht="14" x14ac:dyDescent="0.3">
      <c r="B24" s="4" t="s">
        <v>78</v>
      </c>
      <c r="C24" s="16">
        <f>1/(1+C12)</f>
        <v>0.96534414518775935</v>
      </c>
    </row>
    <row r="25" spans="2:7" ht="14" x14ac:dyDescent="0.3">
      <c r="B25" s="4" t="s">
        <v>79</v>
      </c>
      <c r="C25" s="16">
        <f>C12/(1+C12)</f>
        <v>3.4655854812240566E-2</v>
      </c>
    </row>
    <row r="26" spans="2:7" ht="14" x14ac:dyDescent="0.3">
      <c r="B26" s="4" t="s">
        <v>80</v>
      </c>
      <c r="C26" s="16">
        <f>C23*C24+C11*C25</f>
        <v>0.11661758857032531</v>
      </c>
    </row>
    <row r="27" spans="2:7" ht="14" x14ac:dyDescent="0.3">
      <c r="B27" s="4" t="s">
        <v>81</v>
      </c>
      <c r="C27" s="17" t="s">
        <v>82</v>
      </c>
      <c r="D27" s="6">
        <f>MATCH(C27,B69:B73,0)</f>
        <v>1</v>
      </c>
    </row>
    <row r="28" spans="2:7" ht="14" x14ac:dyDescent="0.3">
      <c r="B28" s="8" t="s">
        <v>83</v>
      </c>
      <c r="C28" s="9"/>
      <c r="D28" s="9"/>
      <c r="E28" s="9"/>
      <c r="F28" s="9"/>
      <c r="G28" s="9"/>
    </row>
    <row r="29" spans="2:7" ht="14" x14ac:dyDescent="0.3">
      <c r="C29" s="10" t="s">
        <v>84</v>
      </c>
      <c r="D29" s="10" t="s">
        <v>85</v>
      </c>
      <c r="E29" s="10" t="s">
        <v>86</v>
      </c>
      <c r="F29" s="10" t="s">
        <v>87</v>
      </c>
      <c r="G29" s="10" t="s">
        <v>88</v>
      </c>
    </row>
    <row r="30" spans="2:7" ht="14" x14ac:dyDescent="0.3">
      <c r="B30" s="4" t="s">
        <v>44</v>
      </c>
      <c r="C30" s="18">
        <f>CHOOSE($D$27,C69,C70,C71,C72,C73)</f>
        <v>-0.15</v>
      </c>
      <c r="D30" s="18">
        <f>CHOOSE($D$27,D69,D70,D71,D72,D73)</f>
        <v>-0.2</v>
      </c>
      <c r="E30" s="18">
        <f>CHOOSE($D$27,E69,E70,E71,E72,E73)</f>
        <v>0.1</v>
      </c>
      <c r="F30" s="18">
        <f>CHOOSE($D$27,F69,F70,F71,F72,F73)</f>
        <v>0.3</v>
      </c>
      <c r="G30" s="18">
        <f>CHOOSE($D$27,G69,G70,G71,G72,G73)</f>
        <v>0.15</v>
      </c>
    </row>
    <row r="31" spans="2:7" ht="14" x14ac:dyDescent="0.3">
      <c r="B31" s="4" t="s">
        <v>89</v>
      </c>
      <c r="C31" s="18">
        <f>CHOOSE($D$27,C76,C77,C78,C79,C80)</f>
        <v>0.6</v>
      </c>
      <c r="D31" s="18">
        <f>CHOOSE($D$27,D76,D77,D78,D79,D80)</f>
        <v>0.68</v>
      </c>
      <c r="E31" s="18">
        <f>CHOOSE($D$27,E76,E77,E78,E79,E80)</f>
        <v>0.64</v>
      </c>
      <c r="F31" s="18">
        <f>CHOOSE($D$27,F76,F77,F78,F79,F80)</f>
        <v>0.56999999999999995</v>
      </c>
      <c r="G31" s="18">
        <f>CHOOSE($D$27,G76,G77,G78,G79,G80)</f>
        <v>0.57999999999999996</v>
      </c>
    </row>
    <row r="32" spans="2:7" ht="14" x14ac:dyDescent="0.3">
      <c r="B32" s="4" t="s">
        <v>90</v>
      </c>
      <c r="C32" s="18">
        <f>CHOOSE($D$27,C83,C84,C85,C86,C87)</f>
        <v>6.5000000000000002E-2</v>
      </c>
      <c r="D32" s="18">
        <f>CHOOSE($D$27,D83,D84,D85,D86,D87)</f>
        <v>7.4999999999999997E-2</v>
      </c>
      <c r="E32" s="18">
        <f>CHOOSE($D$27,E83,E84,E85,E86,E87)</f>
        <v>7.0000000000000007E-2</v>
      </c>
      <c r="F32" s="18">
        <f>CHOOSE($D$27,F83,F84,F85,F86,F87)</f>
        <v>0.06</v>
      </c>
      <c r="G32" s="18">
        <f>CHOOSE($D$27,G83,G84,G85,G86,G87)</f>
        <v>6.2E-2</v>
      </c>
    </row>
    <row r="33" spans="2:7" ht="14" x14ac:dyDescent="0.3">
      <c r="B33" s="4" t="s">
        <v>35</v>
      </c>
      <c r="C33" s="5">
        <f>C17*(1+C30)</f>
        <v>1986983.8</v>
      </c>
      <c r="D33" s="5">
        <f>C33*(1+D30)</f>
        <v>1589587.04</v>
      </c>
      <c r="E33" s="5">
        <f>D33*(1+E30)</f>
        <v>1748545.7440000002</v>
      </c>
      <c r="F33" s="5">
        <f>E33*(1+F30)</f>
        <v>2273109.4672000003</v>
      </c>
      <c r="G33" s="5">
        <f>F33*(1+G30)</f>
        <v>2614075.8872800004</v>
      </c>
    </row>
    <row r="34" spans="2:7" ht="14" x14ac:dyDescent="0.3">
      <c r="B34" s="4" t="s">
        <v>36</v>
      </c>
      <c r="C34" s="5">
        <f>C33*C31</f>
        <v>1192190.28</v>
      </c>
      <c r="D34" s="5">
        <f>D33*D31</f>
        <v>1080919.1872</v>
      </c>
      <c r="E34" s="5">
        <f>E33*E31</f>
        <v>1119069.2761600001</v>
      </c>
      <c r="F34" s="5">
        <f>F33*F31</f>
        <v>1295672.3963040002</v>
      </c>
      <c r="G34" s="5">
        <f>G33*G31</f>
        <v>1516164.0146224</v>
      </c>
    </row>
    <row r="35" spans="2:7" ht="14" x14ac:dyDescent="0.3">
      <c r="B35" s="4" t="s">
        <v>37</v>
      </c>
      <c r="C35" s="19">
        <f>C33-C34</f>
        <v>794793.52</v>
      </c>
      <c r="D35" s="19">
        <f>D33-D34</f>
        <v>508667.85279999999</v>
      </c>
      <c r="E35" s="19">
        <f>E33-E34</f>
        <v>629476.46784000006</v>
      </c>
      <c r="F35" s="19">
        <f>F33-F34</f>
        <v>977437.07089600014</v>
      </c>
      <c r="G35" s="19">
        <f>G33-G34</f>
        <v>1097911.8726576003</v>
      </c>
    </row>
    <row r="36" spans="2:7" ht="14" x14ac:dyDescent="0.3">
      <c r="B36" s="4" t="s">
        <v>38</v>
      </c>
      <c r="C36" s="7">
        <f>C35/C33</f>
        <v>0.4</v>
      </c>
      <c r="D36" s="7">
        <f>D35/D33</f>
        <v>0.32</v>
      </c>
      <c r="E36" s="7">
        <f>E35/E33</f>
        <v>0.36</v>
      </c>
      <c r="F36" s="7">
        <f>F35/F33</f>
        <v>0.43</v>
      </c>
      <c r="G36" s="7">
        <f>G35/G33</f>
        <v>0.42000000000000004</v>
      </c>
    </row>
    <row r="37" spans="2:7" ht="14" x14ac:dyDescent="0.3">
      <c r="B37" s="4" t="s">
        <v>91</v>
      </c>
      <c r="C37" s="5">
        <f>C33*C32</f>
        <v>129153.94700000001</v>
      </c>
      <c r="D37" s="5">
        <f>D33*D32</f>
        <v>119219.02799999999</v>
      </c>
      <c r="E37" s="5">
        <f>E33*E32</f>
        <v>122398.20208000002</v>
      </c>
      <c r="F37" s="5">
        <f>F33*F32</f>
        <v>136386.56803200001</v>
      </c>
      <c r="G37" s="5">
        <f>G33*G32</f>
        <v>162072.70501136003</v>
      </c>
    </row>
    <row r="38" spans="2:7" ht="14" x14ac:dyDescent="0.3">
      <c r="B38" s="4" t="s">
        <v>92</v>
      </c>
      <c r="C38" s="7">
        <f>(C35-C37)/C33</f>
        <v>0.33499999999999996</v>
      </c>
      <c r="D38" s="7">
        <f>(D35-D37)/D33</f>
        <v>0.245</v>
      </c>
      <c r="E38" s="7">
        <f>(E35-E37)/E33</f>
        <v>0.28999999999999998</v>
      </c>
      <c r="F38" s="7">
        <f>(F35-F37)/F33</f>
        <v>0.37</v>
      </c>
      <c r="G38" s="7">
        <f>(G35-G37)/G33</f>
        <v>0.3580000000000001</v>
      </c>
    </row>
    <row r="39" spans="2:7" ht="14" x14ac:dyDescent="0.3">
      <c r="B39" s="4" t="s">
        <v>93</v>
      </c>
      <c r="C39" s="19">
        <f>C35-C37</f>
        <v>665639.57299999997</v>
      </c>
      <c r="D39" s="19">
        <f>D35-D37</f>
        <v>389448.8248</v>
      </c>
      <c r="E39" s="19">
        <f>E35-E37</f>
        <v>507078.26576000004</v>
      </c>
      <c r="F39" s="19">
        <f>F35-F37</f>
        <v>841050.50286400015</v>
      </c>
      <c r="G39" s="19">
        <f>G35-G37</f>
        <v>935839.16764624033</v>
      </c>
    </row>
    <row r="40" spans="2:7" ht="14" x14ac:dyDescent="0.3">
      <c r="B40" s="4" t="s">
        <v>94</v>
      </c>
      <c r="C40" s="5">
        <f>MAX(0,C39*C6)</f>
        <v>199691.8719</v>
      </c>
      <c r="D40" s="5">
        <f>MAX(0,D39*C6)</f>
        <v>116834.64744</v>
      </c>
      <c r="E40" s="5">
        <f>MAX(0,E39*C6)</f>
        <v>152123.47972800001</v>
      </c>
      <c r="F40" s="5">
        <f>MAX(0,F39*C6)</f>
        <v>252315.15085920005</v>
      </c>
      <c r="G40" s="5">
        <f>MAX(0,G39*C6)</f>
        <v>280751.75029387209</v>
      </c>
    </row>
    <row r="41" spans="2:7" ht="14" x14ac:dyDescent="0.3">
      <c r="B41" s="4" t="s">
        <v>95</v>
      </c>
      <c r="C41" s="19">
        <f>C39-C40</f>
        <v>465947.70109999995</v>
      </c>
      <c r="D41" s="19">
        <f>D39-D40</f>
        <v>272614.17735999997</v>
      </c>
      <c r="E41" s="19">
        <f>E39-E40</f>
        <v>354954.78603200003</v>
      </c>
      <c r="F41" s="19">
        <f>F39-F40</f>
        <v>588735.35200480011</v>
      </c>
      <c r="G41" s="19">
        <f>G39-G40</f>
        <v>655087.41735236824</v>
      </c>
    </row>
    <row r="42" spans="2:7" ht="14" x14ac:dyDescent="0.3">
      <c r="B42" s="4" t="s">
        <v>96</v>
      </c>
      <c r="C42" s="5">
        <v>315000</v>
      </c>
      <c r="D42" s="5">
        <v>315000</v>
      </c>
      <c r="E42" s="5">
        <v>310000</v>
      </c>
      <c r="F42" s="5">
        <v>315000</v>
      </c>
      <c r="G42" s="5">
        <v>325000</v>
      </c>
    </row>
    <row r="43" spans="2:7" ht="14" x14ac:dyDescent="0.3">
      <c r="B43" s="4" t="s">
        <v>97</v>
      </c>
      <c r="C43" s="5">
        <v>290000</v>
      </c>
      <c r="D43" s="5">
        <v>240000</v>
      </c>
      <c r="E43" s="5">
        <v>250000</v>
      </c>
      <c r="F43" s="5">
        <v>300000</v>
      </c>
      <c r="G43" s="5">
        <v>320000</v>
      </c>
    </row>
    <row r="44" spans="2:7" ht="14" x14ac:dyDescent="0.3">
      <c r="B44" s="4" t="s">
        <v>98</v>
      </c>
      <c r="C44" s="5">
        <f>'NWC Schedule'!D19</f>
        <v>-80857.239999999991</v>
      </c>
      <c r="D44" s="5">
        <f>'NWC Schedule'!E19</f>
        <v>-68330.467555068433</v>
      </c>
      <c r="E44" s="5">
        <f>'NWC Schedule'!F19</f>
        <v>8187.4620142464992</v>
      </c>
      <c r="F44" s="5">
        <f>'NWC Schedule'!G19</f>
        <v>69788.532598882332</v>
      </c>
      <c r="G44" s="5">
        <f>'NWC Schedule'!H19</f>
        <v>57332.180150803179</v>
      </c>
    </row>
    <row r="45" spans="2:7" ht="14" x14ac:dyDescent="0.3">
      <c r="B45" s="4" t="s">
        <v>99</v>
      </c>
      <c r="C45" s="20">
        <f>C41+C42-C43-C44</f>
        <v>571804.94109999994</v>
      </c>
      <c r="D45" s="20">
        <f>D41+D42-D43-D44</f>
        <v>415944.64491506841</v>
      </c>
      <c r="E45" s="20">
        <f>E41+E42-E43-E44</f>
        <v>406767.32401775359</v>
      </c>
      <c r="F45" s="20">
        <f>F41+F42-F43-F44</f>
        <v>533946.81940591778</v>
      </c>
      <c r="G45" s="20">
        <f>G41+G42-G43-G44</f>
        <v>602755.23720156506</v>
      </c>
    </row>
    <row r="46" spans="2:7" ht="14" x14ac:dyDescent="0.3">
      <c r="B46" s="4" t="s">
        <v>100</v>
      </c>
      <c r="C46" s="21">
        <f>1/(1+C26)^(C19+0)</f>
        <v>0.9463412431447813</v>
      </c>
      <c r="D46" s="21">
        <f>1/(1+C26)^(C19+1)</f>
        <v>0.84750701836645848</v>
      </c>
      <c r="E46" s="21">
        <f>1/(1+C26)^(C19+2)</f>
        <v>0.75899486721463372</v>
      </c>
      <c r="F46" s="21">
        <f>1/(1+C26)^(C19+3)</f>
        <v>0.6797267703676616</v>
      </c>
      <c r="G46" s="21">
        <f>1/(1+C26)^(C19+4)</f>
        <v>0.60873729495695839</v>
      </c>
    </row>
    <row r="47" spans="2:7" ht="14" x14ac:dyDescent="0.3">
      <c r="B47" s="4" t="s">
        <v>101</v>
      </c>
      <c r="C47" s="19">
        <f>C45*C46</f>
        <v>541122.59879690234</v>
      </c>
      <c r="D47" s="19">
        <f>D45*D46</f>
        <v>352516.0058174649</v>
      </c>
      <c r="E47" s="19">
        <f>E45*E46</f>
        <v>308734.31108010677</v>
      </c>
      <c r="F47" s="19">
        <f>F45*F46</f>
        <v>362937.94710286957</v>
      </c>
      <c r="G47" s="19">
        <f>G45*G46</f>
        <v>366919.59261522052</v>
      </c>
    </row>
    <row r="49" spans="2:7" ht="14" x14ac:dyDescent="0.3">
      <c r="B49" s="22" t="s">
        <v>102</v>
      </c>
      <c r="C49" s="23"/>
      <c r="D49" s="23"/>
      <c r="E49" s="23"/>
      <c r="F49" s="23"/>
      <c r="G49" s="23"/>
    </row>
    <row r="50" spans="2:7" ht="14" x14ac:dyDescent="0.3">
      <c r="B50" s="4" t="s">
        <v>103</v>
      </c>
      <c r="C50" s="5">
        <f>SUM(C47:G47)</f>
        <v>1932230.4554125641</v>
      </c>
    </row>
    <row r="51" spans="2:7" ht="14" x14ac:dyDescent="0.3">
      <c r="B51" s="4" t="s">
        <v>104</v>
      </c>
      <c r="C51" s="5">
        <f>G45*(1+C13)/(C26-C13)</f>
        <v>5709965.8483836893</v>
      </c>
    </row>
    <row r="52" spans="2:7" ht="14" x14ac:dyDescent="0.3">
      <c r="B52" s="4" t="s">
        <v>105</v>
      </c>
      <c r="C52" s="5">
        <f>C51*G46</f>
        <v>3475869.1648417008</v>
      </c>
    </row>
    <row r="53" spans="2:7" ht="14" x14ac:dyDescent="0.3">
      <c r="B53" s="4" t="s">
        <v>106</v>
      </c>
      <c r="C53" s="5">
        <f>C50+C52</f>
        <v>5408099.6202542651</v>
      </c>
    </row>
    <row r="54" spans="2:7" ht="14" x14ac:dyDescent="0.3">
      <c r="B54" s="4" t="s">
        <v>107</v>
      </c>
      <c r="C54" s="5">
        <f>C53-C16</f>
        <v>4625617.6202542651</v>
      </c>
    </row>
    <row r="55" spans="2:7" ht="14" x14ac:dyDescent="0.3">
      <c r="B55" s="4" t="s">
        <v>108</v>
      </c>
      <c r="C55" s="24">
        <f>ROUND(C54*1000000/C15,0)</f>
        <v>8453</v>
      </c>
    </row>
    <row r="57" spans="2:7" ht="14" x14ac:dyDescent="0.3">
      <c r="B57" s="22" t="s">
        <v>109</v>
      </c>
      <c r="C57" s="23"/>
      <c r="D57" s="23"/>
      <c r="E57" s="23"/>
      <c r="F57" s="23"/>
      <c r="G57" s="23"/>
    </row>
    <row r="58" spans="2:7" ht="14" x14ac:dyDescent="0.3">
      <c r="B58" s="4" t="s">
        <v>103</v>
      </c>
      <c r="C58" s="5">
        <f>C50</f>
        <v>1932230.4554125641</v>
      </c>
    </row>
    <row r="59" spans="2:7" ht="14" x14ac:dyDescent="0.3">
      <c r="B59" s="4" t="s">
        <v>110</v>
      </c>
      <c r="C59" s="5">
        <f>G39+G42</f>
        <v>1260839.1676462404</v>
      </c>
    </row>
    <row r="60" spans="2:7" ht="14" x14ac:dyDescent="0.3">
      <c r="B60" s="4" t="s">
        <v>111</v>
      </c>
      <c r="C60" s="5">
        <f>C59*C14</f>
        <v>12608391.676462404</v>
      </c>
    </row>
    <row r="61" spans="2:7" ht="14" x14ac:dyDescent="0.3">
      <c r="B61" s="4" t="s">
        <v>105</v>
      </c>
      <c r="C61" s="5">
        <f>C60*G46</f>
        <v>7675198.2428875538</v>
      </c>
    </row>
    <row r="62" spans="2:7" ht="14" x14ac:dyDescent="0.3">
      <c r="B62" s="4" t="s">
        <v>106</v>
      </c>
      <c r="C62" s="5">
        <f>C58+C61</f>
        <v>9607428.6983001176</v>
      </c>
    </row>
    <row r="63" spans="2:7" ht="14" x14ac:dyDescent="0.3">
      <c r="B63" s="4" t="s">
        <v>107</v>
      </c>
      <c r="C63" s="5">
        <f>C62-C16</f>
        <v>8824946.6983001176</v>
      </c>
    </row>
    <row r="64" spans="2:7" ht="14" x14ac:dyDescent="0.3">
      <c r="B64" s="4" t="s">
        <v>112</v>
      </c>
      <c r="C64" s="24">
        <f>ROUND(C63*1000000/C15,0)</f>
        <v>16126</v>
      </c>
    </row>
    <row r="66" spans="2:7" ht="14" x14ac:dyDescent="0.3">
      <c r="B66" s="22" t="s">
        <v>113</v>
      </c>
      <c r="C66" s="23"/>
      <c r="D66" s="23"/>
      <c r="E66" s="23"/>
      <c r="F66" s="23"/>
      <c r="G66" s="23"/>
    </row>
    <row r="67" spans="2:7" ht="14" x14ac:dyDescent="0.3">
      <c r="C67" s="25" t="s">
        <v>114</v>
      </c>
      <c r="D67" s="25" t="s">
        <v>115</v>
      </c>
      <c r="E67" s="25" t="s">
        <v>116</v>
      </c>
      <c r="F67" s="25" t="s">
        <v>117</v>
      </c>
      <c r="G67" s="25" t="s">
        <v>118</v>
      </c>
    </row>
    <row r="68" spans="2:7" ht="14" x14ac:dyDescent="0.3">
      <c r="B68" s="3" t="s">
        <v>44</v>
      </c>
    </row>
    <row r="69" spans="2:7" ht="14" x14ac:dyDescent="0.3">
      <c r="B69" s="4" t="s">
        <v>82</v>
      </c>
      <c r="C69" s="26">
        <v>-0.15</v>
      </c>
      <c r="D69" s="26">
        <v>-0.2</v>
      </c>
      <c r="E69" s="26">
        <v>0.1</v>
      </c>
      <c r="F69" s="26">
        <v>0.3</v>
      </c>
      <c r="G69" s="26">
        <v>0.15</v>
      </c>
    </row>
    <row r="70" spans="2:7" ht="14" x14ac:dyDescent="0.3">
      <c r="B70" s="4" t="s">
        <v>119</v>
      </c>
      <c r="C70" s="26">
        <v>0.05</v>
      </c>
      <c r="D70" s="26">
        <v>-0.05</v>
      </c>
      <c r="E70" s="26">
        <v>0.15</v>
      </c>
      <c r="F70" s="26">
        <v>0.2</v>
      </c>
      <c r="G70" s="26">
        <v>0.15</v>
      </c>
    </row>
    <row r="71" spans="2:7" ht="14" x14ac:dyDescent="0.3">
      <c r="B71" s="4" t="s">
        <v>120</v>
      </c>
      <c r="C71" s="26">
        <v>0.35389999999999999</v>
      </c>
      <c r="D71" s="26">
        <v>0.35389999999999999</v>
      </c>
      <c r="E71" s="26">
        <v>0.35389999999999999</v>
      </c>
      <c r="F71" s="26">
        <v>0.35389999999999999</v>
      </c>
      <c r="G71" s="26">
        <v>0.35389999999999999</v>
      </c>
    </row>
    <row r="72" spans="2:7" ht="14" x14ac:dyDescent="0.3">
      <c r="B72" s="4" t="s">
        <v>121</v>
      </c>
      <c r="C72" s="26">
        <v>-0.3</v>
      </c>
      <c r="D72" s="26">
        <v>-0.25</v>
      </c>
      <c r="E72" s="26">
        <v>0.05</v>
      </c>
      <c r="F72" s="26">
        <v>0.15</v>
      </c>
      <c r="G72" s="26">
        <v>0.1</v>
      </c>
    </row>
    <row r="73" spans="2:7" ht="14" x14ac:dyDescent="0.3">
      <c r="B73" s="4" t="s">
        <v>122</v>
      </c>
      <c r="C73" s="26">
        <v>-0.35</v>
      </c>
      <c r="D73" s="26">
        <v>-0.3</v>
      </c>
      <c r="E73" s="26">
        <v>-0.05</v>
      </c>
      <c r="F73" s="26">
        <v>0.05</v>
      </c>
      <c r="G73" s="26">
        <v>0.05</v>
      </c>
    </row>
    <row r="75" spans="2:7" ht="14" x14ac:dyDescent="0.3">
      <c r="B75" s="3" t="s">
        <v>89</v>
      </c>
    </row>
    <row r="76" spans="2:7" ht="14" x14ac:dyDescent="0.3">
      <c r="B76" s="4" t="s">
        <v>82</v>
      </c>
      <c r="C76" s="26">
        <v>0.6</v>
      </c>
      <c r="D76" s="26">
        <v>0.68</v>
      </c>
      <c r="E76" s="26">
        <v>0.64</v>
      </c>
      <c r="F76" s="26">
        <v>0.56999999999999995</v>
      </c>
      <c r="G76" s="26">
        <v>0.57999999999999996</v>
      </c>
    </row>
    <row r="77" spans="2:7" ht="14" x14ac:dyDescent="0.3">
      <c r="B77" s="4" t="s">
        <v>119</v>
      </c>
      <c r="C77" s="26">
        <v>0.56999999999999995</v>
      </c>
      <c r="D77" s="26">
        <v>0.6</v>
      </c>
      <c r="E77" s="26">
        <v>0.57999999999999996</v>
      </c>
      <c r="F77" s="26">
        <v>0.56000000000000005</v>
      </c>
      <c r="G77" s="26">
        <v>0.55000000000000004</v>
      </c>
    </row>
    <row r="78" spans="2:7" ht="14" x14ac:dyDescent="0.3">
      <c r="B78" s="4" t="s">
        <v>120</v>
      </c>
      <c r="C78" s="26">
        <v>0.61</v>
      </c>
      <c r="D78" s="26">
        <v>0.66</v>
      </c>
      <c r="E78" s="26">
        <v>0.63</v>
      </c>
      <c r="F78" s="26">
        <v>0.59</v>
      </c>
      <c r="G78" s="26">
        <v>0.59</v>
      </c>
    </row>
    <row r="79" spans="2:7" ht="14" x14ac:dyDescent="0.3">
      <c r="B79" s="4" t="s">
        <v>121</v>
      </c>
      <c r="C79" s="26">
        <v>0.72</v>
      </c>
      <c r="D79" s="26">
        <v>0.85</v>
      </c>
      <c r="E79" s="26">
        <v>0.78</v>
      </c>
      <c r="F79" s="26">
        <v>0.7</v>
      </c>
      <c r="G79" s="26">
        <v>0.68</v>
      </c>
    </row>
    <row r="80" spans="2:7" ht="14" x14ac:dyDescent="0.3">
      <c r="B80" s="4" t="s">
        <v>122</v>
      </c>
      <c r="C80" s="26">
        <v>0.78</v>
      </c>
      <c r="D80" s="26">
        <v>0.95</v>
      </c>
      <c r="E80" s="26">
        <v>0.92</v>
      </c>
      <c r="F80" s="26">
        <v>0.85</v>
      </c>
      <c r="G80" s="26">
        <v>0.82</v>
      </c>
    </row>
    <row r="82" spans="2:7" ht="14" x14ac:dyDescent="0.3">
      <c r="B82" s="3" t="s">
        <v>90</v>
      </c>
    </row>
    <row r="83" spans="2:7" ht="14" x14ac:dyDescent="0.3">
      <c r="B83" s="4" t="s">
        <v>82</v>
      </c>
      <c r="C83" s="26">
        <v>6.5000000000000002E-2</v>
      </c>
      <c r="D83" s="26">
        <v>7.4999999999999997E-2</v>
      </c>
      <c r="E83" s="26">
        <v>7.0000000000000007E-2</v>
      </c>
      <c r="F83" s="26">
        <v>0.06</v>
      </c>
      <c r="G83" s="26">
        <v>6.2E-2</v>
      </c>
    </row>
    <row r="84" spans="2:7" ht="14" x14ac:dyDescent="0.3">
      <c r="B84" s="4" t="s">
        <v>119</v>
      </c>
      <c r="C84" s="26">
        <v>0.06</v>
      </c>
      <c r="D84" s="26">
        <v>6.5000000000000002E-2</v>
      </c>
      <c r="E84" s="26">
        <v>6.2E-2</v>
      </c>
      <c r="F84" s="26">
        <v>5.8000000000000003E-2</v>
      </c>
      <c r="G84" s="26">
        <v>5.8000000000000003E-2</v>
      </c>
    </row>
    <row r="85" spans="2:7" ht="14" x14ac:dyDescent="0.3">
      <c r="B85" s="4" t="s">
        <v>120</v>
      </c>
      <c r="C85" s="26">
        <v>6.3E-2</v>
      </c>
      <c r="D85" s="26">
        <v>7.0000000000000007E-2</v>
      </c>
      <c r="E85" s="26">
        <v>6.7000000000000004E-2</v>
      </c>
      <c r="F85" s="26">
        <v>6.2E-2</v>
      </c>
      <c r="G85" s="26">
        <v>6.2E-2</v>
      </c>
    </row>
    <row r="86" spans="2:7" ht="14" x14ac:dyDescent="0.3">
      <c r="B86" s="4" t="s">
        <v>121</v>
      </c>
      <c r="C86" s="26">
        <v>0.08</v>
      </c>
      <c r="D86" s="26">
        <v>9.5000000000000001E-2</v>
      </c>
      <c r="E86" s="26">
        <v>8.7999999999999995E-2</v>
      </c>
      <c r="F86" s="26">
        <v>7.8E-2</v>
      </c>
      <c r="G86" s="26">
        <v>7.4999999999999997E-2</v>
      </c>
    </row>
    <row r="87" spans="2:7" ht="14" x14ac:dyDescent="0.3">
      <c r="B87" s="4" t="s">
        <v>122</v>
      </c>
      <c r="C87" s="26">
        <v>8.5000000000000006E-2</v>
      </c>
      <c r="D87" s="26">
        <v>0.105</v>
      </c>
      <c r="E87" s="26">
        <v>0.1</v>
      </c>
      <c r="F87" s="26">
        <v>9.1999999999999998E-2</v>
      </c>
      <c r="G87" s="26">
        <v>8.7999999999999995E-2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123</v>
      </c>
    </row>
    <row r="4" spans="2:8" ht="14" x14ac:dyDescent="0.3">
      <c r="B4" s="8" t="s">
        <v>124</v>
      </c>
      <c r="C4" s="27" t="s">
        <v>125</v>
      </c>
      <c r="D4" s="27" t="s">
        <v>84</v>
      </c>
      <c r="E4" s="27" t="s">
        <v>85</v>
      </c>
      <c r="F4" s="27" t="s">
        <v>86</v>
      </c>
      <c r="G4" s="27" t="s">
        <v>87</v>
      </c>
      <c r="H4" s="27" t="s">
        <v>88</v>
      </c>
    </row>
    <row r="5" spans="2:8" ht="14" x14ac:dyDescent="0.3">
      <c r="B5" s="28" t="s">
        <v>126</v>
      </c>
      <c r="C5" s="29">
        <f>C12/C9*365</f>
        <v>103.14046332436128</v>
      </c>
      <c r="D5" s="29">
        <f>CHOOSE('DCF Model'!$D$27,D25,D26,D27,D28,D29)</f>
        <v>100</v>
      </c>
      <c r="E5" s="29">
        <f>CHOOSE('DCF Model'!$D$27,E25,E26,E27,E28,E29)</f>
        <v>98</v>
      </c>
      <c r="F5" s="29">
        <f>CHOOSE('DCF Model'!$D$27,F25,F26,F27,F28,F29)</f>
        <v>96</v>
      </c>
      <c r="G5" s="29">
        <f>CHOOSE('DCF Model'!$D$27,G25,G26,G27,G28,G29)</f>
        <v>95</v>
      </c>
      <c r="H5" s="29">
        <f>CHOOSE('DCF Model'!$D$27,H25,H26,H27,H28,H29)</f>
        <v>95</v>
      </c>
    </row>
    <row r="6" spans="2:8" ht="14" x14ac:dyDescent="0.3">
      <c r="B6" s="28" t="s">
        <v>127</v>
      </c>
      <c r="C6" s="29">
        <f>C13/C10*365</f>
        <v>113.68660943713557</v>
      </c>
      <c r="D6" s="29">
        <f>CHOOSE('DCF Model'!$D$27,D32,D33,D34,D35,D36)</f>
        <v>115</v>
      </c>
      <c r="E6" s="29">
        <f>CHOOSE('DCF Model'!$D$27,E32,E33,E34,E35,E36)</f>
        <v>125</v>
      </c>
      <c r="F6" s="29">
        <f>CHOOSE('DCF Model'!$D$27,F32,F33,F34,F35,F36)</f>
        <v>118</v>
      </c>
      <c r="G6" s="29">
        <f>CHOOSE('DCF Model'!$D$27,G32,G33,G34,G35,G36)</f>
        <v>108</v>
      </c>
      <c r="H6" s="29">
        <f>CHOOSE('DCF Model'!$D$27,H32,H33,H34,H35,H36)</f>
        <v>108</v>
      </c>
    </row>
    <row r="7" spans="2:8" ht="14" x14ac:dyDescent="0.3">
      <c r="B7" s="28" t="s">
        <v>128</v>
      </c>
      <c r="C7" s="29">
        <f>C15/C10*365</f>
        <v>163.91694043438483</v>
      </c>
      <c r="D7" s="29">
        <f>CHOOSE('DCF Model'!$D$27,D39,D40,D41,D42,D43)</f>
        <v>160</v>
      </c>
      <c r="E7" s="29">
        <f>CHOOSE('DCF Model'!$D$27,E39,E40,E41,E42,E43)</f>
        <v>158</v>
      </c>
      <c r="F7" s="29">
        <f>CHOOSE('DCF Model'!$D$27,F39,F40,F41,F42,F43)</f>
        <v>158</v>
      </c>
      <c r="G7" s="29">
        <f>CHOOSE('DCF Model'!$D$27,G39,G40,G41,G42,G43)</f>
        <v>160</v>
      </c>
      <c r="H7" s="29">
        <f>CHOOSE('DCF Model'!$D$27,H39,H40,H41,H42,H43)</f>
        <v>160</v>
      </c>
    </row>
    <row r="8" spans="2:8" ht="14" x14ac:dyDescent="0.3">
      <c r="B8" s="8" t="s">
        <v>129</v>
      </c>
      <c r="C8" s="9"/>
      <c r="D8" s="9"/>
      <c r="E8" s="9"/>
      <c r="F8" s="9"/>
      <c r="G8" s="9"/>
      <c r="H8" s="9"/>
    </row>
    <row r="9" spans="2:8" ht="14" x14ac:dyDescent="0.3">
      <c r="B9" s="28" t="s">
        <v>35</v>
      </c>
      <c r="C9" s="30">
        <v>2337628</v>
      </c>
      <c r="D9" s="30">
        <f>'DCF Model'!C33</f>
        <v>1986983.8</v>
      </c>
      <c r="E9" s="30">
        <f>'DCF Model'!D33</f>
        <v>1589587.04</v>
      </c>
      <c r="F9" s="30">
        <f>'DCF Model'!E33</f>
        <v>1748545.7440000002</v>
      </c>
      <c r="G9" s="30">
        <f>'DCF Model'!F33</f>
        <v>2273109.4672000003</v>
      </c>
      <c r="H9" s="30">
        <f>'DCF Model'!G33</f>
        <v>2614075.8872800004</v>
      </c>
    </row>
    <row r="10" spans="2:8" ht="14" x14ac:dyDescent="0.3">
      <c r="B10" s="28" t="s">
        <v>36</v>
      </c>
      <c r="C10" s="30">
        <v>1324724</v>
      </c>
      <c r="D10" s="30">
        <f>'DCF Model'!C34</f>
        <v>1192190.28</v>
      </c>
      <c r="E10" s="30">
        <f>'DCF Model'!D34</f>
        <v>1080919.1872</v>
      </c>
      <c r="F10" s="30">
        <f>'DCF Model'!E34</f>
        <v>1119069.2761600001</v>
      </c>
      <c r="G10" s="30">
        <f>'DCF Model'!F34</f>
        <v>1295672.3963040002</v>
      </c>
      <c r="H10" s="30">
        <f>'DCF Model'!G34</f>
        <v>1516164.0146224</v>
      </c>
    </row>
    <row r="11" spans="2:8" ht="14" x14ac:dyDescent="0.3">
      <c r="B11" s="8" t="s">
        <v>130</v>
      </c>
      <c r="C11" s="9"/>
      <c r="D11" s="9"/>
      <c r="E11" s="9"/>
      <c r="F11" s="9"/>
      <c r="G11" s="9"/>
      <c r="H11" s="9"/>
    </row>
    <row r="12" spans="2:8" ht="14" x14ac:dyDescent="0.3">
      <c r="B12" s="28" t="s">
        <v>131</v>
      </c>
      <c r="C12" s="30">
        <v>660559</v>
      </c>
      <c r="D12" s="30">
        <f t="shared" ref="D12:H13" si="0">D9*D5/365</f>
        <v>544379.12328767125</v>
      </c>
      <c r="E12" s="30">
        <f t="shared" si="0"/>
        <v>426793.2326575343</v>
      </c>
      <c r="F12" s="30">
        <f t="shared" si="0"/>
        <v>459891.4833534247</v>
      </c>
      <c r="G12" s="30">
        <f t="shared" si="0"/>
        <v>591631.23118904117</v>
      </c>
      <c r="H12" s="30">
        <f t="shared" si="0"/>
        <v>680375.91586739745</v>
      </c>
    </row>
    <row r="13" spans="2:8" ht="14" x14ac:dyDescent="0.3">
      <c r="B13" s="28" t="s">
        <v>132</v>
      </c>
      <c r="C13" s="30">
        <v>412612</v>
      </c>
      <c r="D13" s="30">
        <f t="shared" si="0"/>
        <v>375621.59506849322</v>
      </c>
      <c r="E13" s="30">
        <f t="shared" si="0"/>
        <v>370177.80383561645</v>
      </c>
      <c r="F13" s="30">
        <f t="shared" si="0"/>
        <v>361781.30023802741</v>
      </c>
      <c r="G13" s="30">
        <f t="shared" si="0"/>
        <v>383377.03781049873</v>
      </c>
      <c r="H13" s="30">
        <f t="shared" si="0"/>
        <v>448618.39336772379</v>
      </c>
    </row>
    <row r="14" spans="2:8" ht="14" x14ac:dyDescent="0.3">
      <c r="B14" s="28" t="s">
        <v>133</v>
      </c>
      <c r="C14" s="30">
        <f t="shared" ref="C14:H14" si="1">C12+C13</f>
        <v>1073171</v>
      </c>
      <c r="D14" s="30">
        <f t="shared" si="1"/>
        <v>920000.71835616441</v>
      </c>
      <c r="E14" s="30">
        <f t="shared" si="1"/>
        <v>796971.03649315075</v>
      </c>
      <c r="F14" s="30">
        <f t="shared" si="1"/>
        <v>821672.78359145205</v>
      </c>
      <c r="G14" s="30">
        <f t="shared" si="1"/>
        <v>975008.2689995399</v>
      </c>
      <c r="H14" s="30">
        <f t="shared" si="1"/>
        <v>1128994.3092351211</v>
      </c>
    </row>
    <row r="15" spans="2:8" ht="14" x14ac:dyDescent="0.3">
      <c r="B15" s="28" t="s">
        <v>134</v>
      </c>
      <c r="C15" s="30">
        <v>594917</v>
      </c>
      <c r="D15" s="30">
        <f>D10*D7/365</f>
        <v>522603.9583561644</v>
      </c>
      <c r="E15" s="30">
        <f>E10*E7/365</f>
        <v>467904.74404821917</v>
      </c>
      <c r="F15" s="30">
        <f>F10*F7/365</f>
        <v>484419.02913227398</v>
      </c>
      <c r="G15" s="30">
        <f>G10*G7/365</f>
        <v>567965.98194147949</v>
      </c>
      <c r="H15" s="30">
        <f>H10*H7/365</f>
        <v>664619.84202625754</v>
      </c>
    </row>
    <row r="16" spans="2:8" ht="14" x14ac:dyDescent="0.3">
      <c r="B16" s="28" t="s">
        <v>135</v>
      </c>
      <c r="C16" s="30">
        <f t="shared" ref="C16:H16" si="2">C15</f>
        <v>594917</v>
      </c>
      <c r="D16" s="30">
        <f t="shared" si="2"/>
        <v>522603.9583561644</v>
      </c>
      <c r="E16" s="30">
        <f t="shared" si="2"/>
        <v>467904.74404821917</v>
      </c>
      <c r="F16" s="30">
        <f t="shared" si="2"/>
        <v>484419.02913227398</v>
      </c>
      <c r="G16" s="30">
        <f t="shared" si="2"/>
        <v>567965.98194147949</v>
      </c>
      <c r="H16" s="30">
        <f t="shared" si="2"/>
        <v>664619.84202625754</v>
      </c>
    </row>
    <row r="17" spans="2:8" ht="14" x14ac:dyDescent="0.3">
      <c r="B17" s="22" t="s">
        <v>136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137</v>
      </c>
      <c r="C18" s="20">
        <f t="shared" ref="C18:H18" si="3">C14-C16</f>
        <v>478254</v>
      </c>
      <c r="D18" s="20">
        <f t="shared" si="3"/>
        <v>397396.76</v>
      </c>
      <c r="E18" s="20">
        <f t="shared" si="3"/>
        <v>329066.29244493158</v>
      </c>
      <c r="F18" s="20">
        <f t="shared" si="3"/>
        <v>337253.75445917808</v>
      </c>
      <c r="G18" s="20">
        <f t="shared" si="3"/>
        <v>407042.28705806041</v>
      </c>
      <c r="H18" s="20">
        <f t="shared" si="3"/>
        <v>464374.46720886359</v>
      </c>
    </row>
    <row r="19" spans="2:8" ht="14" x14ac:dyDescent="0.3">
      <c r="B19" s="28" t="s">
        <v>98</v>
      </c>
      <c r="C19" s="31" t="s">
        <v>45</v>
      </c>
      <c r="D19" s="24">
        <f>D18-C18</f>
        <v>-80857.239999999991</v>
      </c>
      <c r="E19" s="24">
        <f>E18-D18</f>
        <v>-68330.467555068433</v>
      </c>
      <c r="F19" s="24">
        <f>F18-E18</f>
        <v>8187.4620142464992</v>
      </c>
      <c r="G19" s="24">
        <f>G18-F18</f>
        <v>69788.532598882332</v>
      </c>
      <c r="H19" s="24">
        <f>H18-G18</f>
        <v>57332.180150803179</v>
      </c>
    </row>
    <row r="22" spans="2:8" ht="14" x14ac:dyDescent="0.3">
      <c r="B22" s="22" t="s">
        <v>138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84</v>
      </c>
      <c r="E23" s="25" t="s">
        <v>85</v>
      </c>
      <c r="F23" s="25" t="s">
        <v>86</v>
      </c>
      <c r="G23" s="25" t="s">
        <v>87</v>
      </c>
      <c r="H23" s="25" t="s">
        <v>88</v>
      </c>
    </row>
    <row r="24" spans="2:8" ht="14" x14ac:dyDescent="0.3">
      <c r="B24" s="3" t="s">
        <v>139</v>
      </c>
    </row>
    <row r="25" spans="2:8" ht="14" x14ac:dyDescent="0.3">
      <c r="B25" s="4" t="s">
        <v>82</v>
      </c>
      <c r="D25" s="32">
        <v>100</v>
      </c>
      <c r="E25" s="32">
        <v>98</v>
      </c>
      <c r="F25" s="32">
        <v>96</v>
      </c>
      <c r="G25" s="32">
        <v>95</v>
      </c>
      <c r="H25" s="32">
        <v>95</v>
      </c>
    </row>
    <row r="26" spans="2:8" ht="14" x14ac:dyDescent="0.3">
      <c r="B26" s="4" t="s">
        <v>119</v>
      </c>
      <c r="D26" s="32">
        <v>98</v>
      </c>
      <c r="E26" s="32">
        <v>95</v>
      </c>
      <c r="F26" s="32">
        <v>93</v>
      </c>
      <c r="G26" s="32">
        <v>92</v>
      </c>
      <c r="H26" s="32">
        <v>90</v>
      </c>
    </row>
    <row r="27" spans="2:8" ht="14" x14ac:dyDescent="0.3">
      <c r="B27" s="4" t="s">
        <v>120</v>
      </c>
      <c r="D27" s="32">
        <v>100</v>
      </c>
      <c r="E27" s="32">
        <v>98</v>
      </c>
      <c r="F27" s="32">
        <v>96</v>
      </c>
      <c r="G27" s="32">
        <v>95</v>
      </c>
      <c r="H27" s="32">
        <v>95</v>
      </c>
    </row>
    <row r="28" spans="2:8" ht="14" x14ac:dyDescent="0.3">
      <c r="B28" s="4" t="s">
        <v>121</v>
      </c>
      <c r="D28" s="32">
        <v>105</v>
      </c>
      <c r="E28" s="32">
        <v>110</v>
      </c>
      <c r="F28" s="32">
        <v>108</v>
      </c>
      <c r="G28" s="32">
        <v>105</v>
      </c>
      <c r="H28" s="32">
        <v>103</v>
      </c>
    </row>
    <row r="29" spans="2:8" ht="14" x14ac:dyDescent="0.3">
      <c r="B29" s="4" t="s">
        <v>122</v>
      </c>
      <c r="D29" s="32">
        <v>110</v>
      </c>
      <c r="E29" s="32">
        <v>118</v>
      </c>
      <c r="F29" s="32">
        <v>118</v>
      </c>
      <c r="G29" s="32">
        <v>115</v>
      </c>
      <c r="H29" s="32">
        <v>115</v>
      </c>
    </row>
    <row r="31" spans="2:8" ht="14" x14ac:dyDescent="0.3">
      <c r="B31" s="3" t="s">
        <v>140</v>
      </c>
    </row>
    <row r="32" spans="2:8" ht="14" x14ac:dyDescent="0.3">
      <c r="B32" s="4" t="s">
        <v>82</v>
      </c>
      <c r="D32" s="32">
        <v>115</v>
      </c>
      <c r="E32" s="32">
        <v>125</v>
      </c>
      <c r="F32" s="32">
        <v>118</v>
      </c>
      <c r="G32" s="32">
        <v>108</v>
      </c>
      <c r="H32" s="32">
        <v>108</v>
      </c>
    </row>
    <row r="33" spans="2:8" ht="14" x14ac:dyDescent="0.3">
      <c r="B33" s="4" t="s">
        <v>119</v>
      </c>
      <c r="D33" s="32">
        <v>110</v>
      </c>
      <c r="E33" s="32">
        <v>112</v>
      </c>
      <c r="F33" s="32">
        <v>105</v>
      </c>
      <c r="G33" s="32">
        <v>100</v>
      </c>
      <c r="H33" s="32">
        <v>98</v>
      </c>
    </row>
    <row r="34" spans="2:8" ht="14" x14ac:dyDescent="0.3">
      <c r="B34" s="4" t="s">
        <v>120</v>
      </c>
      <c r="D34" s="32">
        <v>115</v>
      </c>
      <c r="E34" s="32">
        <v>122</v>
      </c>
      <c r="F34" s="32">
        <v>116</v>
      </c>
      <c r="G34" s="32">
        <v>108</v>
      </c>
      <c r="H34" s="32">
        <v>108</v>
      </c>
    </row>
    <row r="35" spans="2:8" ht="14" x14ac:dyDescent="0.3">
      <c r="B35" s="4" t="s">
        <v>121</v>
      </c>
      <c r="D35" s="32">
        <v>130</v>
      </c>
      <c r="E35" s="32">
        <v>150</v>
      </c>
      <c r="F35" s="32">
        <v>140</v>
      </c>
      <c r="G35" s="32">
        <v>125</v>
      </c>
      <c r="H35" s="32">
        <v>120</v>
      </c>
    </row>
    <row r="36" spans="2:8" ht="14" x14ac:dyDescent="0.3">
      <c r="B36" s="4" t="s">
        <v>122</v>
      </c>
      <c r="D36" s="32">
        <v>145</v>
      </c>
      <c r="E36" s="32">
        <v>175</v>
      </c>
      <c r="F36" s="32">
        <v>170</v>
      </c>
      <c r="G36" s="32">
        <v>160</v>
      </c>
      <c r="H36" s="32">
        <v>155</v>
      </c>
    </row>
    <row r="38" spans="2:8" ht="14" x14ac:dyDescent="0.3">
      <c r="B38" s="3" t="s">
        <v>141</v>
      </c>
    </row>
    <row r="39" spans="2:8" ht="14" x14ac:dyDescent="0.3">
      <c r="B39" s="4" t="s">
        <v>82</v>
      </c>
      <c r="D39" s="32">
        <v>160</v>
      </c>
      <c r="E39" s="32">
        <v>158</v>
      </c>
      <c r="F39" s="32">
        <v>158</v>
      </c>
      <c r="G39" s="32">
        <v>160</v>
      </c>
      <c r="H39" s="32">
        <v>160</v>
      </c>
    </row>
    <row r="40" spans="2:8" ht="14" x14ac:dyDescent="0.3">
      <c r="B40" s="4" t="s">
        <v>119</v>
      </c>
      <c r="D40" s="32">
        <v>162</v>
      </c>
      <c r="E40" s="32">
        <v>162</v>
      </c>
      <c r="F40" s="32">
        <v>165</v>
      </c>
      <c r="G40" s="32">
        <v>165</v>
      </c>
      <c r="H40" s="32">
        <v>165</v>
      </c>
    </row>
    <row r="41" spans="2:8" ht="14" x14ac:dyDescent="0.3">
      <c r="B41" s="4" t="s">
        <v>120</v>
      </c>
      <c r="D41" s="32">
        <v>160</v>
      </c>
      <c r="E41" s="32">
        <v>160</v>
      </c>
      <c r="F41" s="32">
        <v>160</v>
      </c>
      <c r="G41" s="32">
        <v>160</v>
      </c>
      <c r="H41" s="32">
        <v>160</v>
      </c>
    </row>
    <row r="42" spans="2:8" ht="14" x14ac:dyDescent="0.3">
      <c r="B42" s="4" t="s">
        <v>121</v>
      </c>
      <c r="D42" s="32">
        <v>155</v>
      </c>
      <c r="E42" s="32">
        <v>148</v>
      </c>
      <c r="F42" s="32">
        <v>150</v>
      </c>
      <c r="G42" s="32">
        <v>155</v>
      </c>
      <c r="H42" s="32">
        <v>155</v>
      </c>
    </row>
    <row r="43" spans="2:8" ht="14" x14ac:dyDescent="0.3">
      <c r="B43" s="4" t="s">
        <v>122</v>
      </c>
      <c r="D43" s="32">
        <v>150</v>
      </c>
      <c r="E43" s="32">
        <v>140</v>
      </c>
      <c r="F43" s="32">
        <v>142</v>
      </c>
      <c r="G43" s="32">
        <v>145</v>
      </c>
      <c r="H43" s="32">
        <v>148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142</v>
      </c>
    </row>
    <row r="3" spans="2:17" ht="14" x14ac:dyDescent="0.3">
      <c r="B3" s="1" t="s">
        <v>143</v>
      </c>
    </row>
    <row r="4" spans="2:17" ht="28" x14ac:dyDescent="0.3">
      <c r="B4" s="10" t="s">
        <v>3</v>
      </c>
      <c r="C4" s="10" t="s">
        <v>5</v>
      </c>
      <c r="D4" s="10" t="s">
        <v>144</v>
      </c>
      <c r="E4" s="10" t="s">
        <v>145</v>
      </c>
      <c r="F4" s="10" t="s">
        <v>146</v>
      </c>
      <c r="G4" s="10" t="s">
        <v>147</v>
      </c>
      <c r="H4" s="10" t="s">
        <v>148</v>
      </c>
      <c r="I4" s="10" t="s">
        <v>149</v>
      </c>
      <c r="J4" s="10" t="s">
        <v>150</v>
      </c>
      <c r="K4" s="10" t="s">
        <v>151</v>
      </c>
      <c r="L4" s="10" t="s">
        <v>152</v>
      </c>
      <c r="M4" s="10" t="s">
        <v>153</v>
      </c>
      <c r="N4" s="10" t="s">
        <v>154</v>
      </c>
      <c r="O4" s="10" t="s">
        <v>155</v>
      </c>
      <c r="P4" s="10" t="s">
        <v>156</v>
      </c>
      <c r="Q4" s="10" t="s">
        <v>157</v>
      </c>
    </row>
    <row r="5" spans="2:17" ht="14" x14ac:dyDescent="0.3">
      <c r="B5" s="4" t="s">
        <v>158</v>
      </c>
      <c r="C5" t="s">
        <v>159</v>
      </c>
      <c r="D5" s="33">
        <f>'Executive Summary'!C9*C23/1000000</f>
        <v>21780257.3904</v>
      </c>
      <c r="E5" s="33">
        <f>D5+C24</f>
        <v>22562739.3904</v>
      </c>
      <c r="F5" s="33">
        <v>2337628</v>
      </c>
      <c r="G5" s="33">
        <v>1183195</v>
      </c>
      <c r="H5" s="33">
        <v>870369</v>
      </c>
      <c r="I5" s="33">
        <v>554490</v>
      </c>
      <c r="J5" s="34">
        <f>IFERROR(E5/G5,"")</f>
        <v>19.069332942076326</v>
      </c>
      <c r="K5" s="34">
        <f>IFERROR(E5/F5,"")</f>
        <v>9.6519802938705386</v>
      </c>
      <c r="L5" s="34">
        <f>IFERROR(D5/I5,"")</f>
        <v>39.279801962884811</v>
      </c>
      <c r="M5" s="34">
        <f>IFERROR(D5/P5,"")</f>
        <v>15.569237173866579</v>
      </c>
      <c r="N5" s="35">
        <f>IFERROR(H5/F5,"")</f>
        <v>0.37232998578045778</v>
      </c>
      <c r="O5" s="35">
        <f>IFERROR(I5/P5,"")</f>
        <v>0.39636750685703137</v>
      </c>
      <c r="P5" s="33">
        <v>1398929</v>
      </c>
    </row>
    <row r="6" spans="2:17" ht="14" x14ac:dyDescent="0.3">
      <c r="B6" s="4" t="s">
        <v>160</v>
      </c>
      <c r="C6" t="s">
        <v>161</v>
      </c>
      <c r="D6" s="33">
        <v>24590922</v>
      </c>
      <c r="E6" s="33">
        <v>23980399</v>
      </c>
      <c r="F6" s="33">
        <v>2155057</v>
      </c>
      <c r="G6" s="33">
        <v>901972</v>
      </c>
      <c r="H6" s="33">
        <v>877780</v>
      </c>
      <c r="I6" s="33">
        <v>736714</v>
      </c>
      <c r="J6" s="34">
        <f>IFERROR(E6/G6,"")</f>
        <v>26.586633509687662</v>
      </c>
      <c r="K6" s="34">
        <f>IFERROR(E6/F6,"")</f>
        <v>11.127501035935476</v>
      </c>
      <c r="L6" s="34">
        <f>IFERROR(D6/I6,"")</f>
        <v>33.3791973547401</v>
      </c>
      <c r="M6" s="34">
        <f>IFERROR(D6/P6,"")</f>
        <v>10.919650548759584</v>
      </c>
      <c r="N6" s="35">
        <f>IFERROR(H6/F6,"")</f>
        <v>0.40731173235789125</v>
      </c>
      <c r="O6" s="35">
        <f>IFERROR(I6/P6,"")</f>
        <v>0.32713939861136027</v>
      </c>
      <c r="P6" s="33">
        <v>2251988</v>
      </c>
    </row>
    <row r="7" spans="2:17" ht="14" x14ac:dyDescent="0.3">
      <c r="B7" s="4" t="s">
        <v>162</v>
      </c>
      <c r="C7" t="s">
        <v>163</v>
      </c>
      <c r="D7" s="33">
        <v>136426985</v>
      </c>
      <c r="E7" s="33">
        <v>133383523</v>
      </c>
      <c r="F7" s="33">
        <v>14756188</v>
      </c>
      <c r="G7" s="33">
        <v>15345788</v>
      </c>
      <c r="H7" s="33">
        <v>9683861</v>
      </c>
      <c r="I7" s="33">
        <v>8249663</v>
      </c>
      <c r="J7" s="34">
        <f>IFERROR(E7/G7,"")</f>
        <v>8.6918653509353838</v>
      </c>
      <c r="K7" s="34">
        <f>IFERROR(E7/F7,"")</f>
        <v>9.0391585550414515</v>
      </c>
      <c r="L7" s="34">
        <f>IFERROR(D7/I7,"")</f>
        <v>16.537279765246168</v>
      </c>
      <c r="M7" s="34">
        <f>IFERROR(D7/P7,"")</f>
        <v>8.2862078631126845</v>
      </c>
      <c r="N7" s="35">
        <f>IFERROR(H7/F7,"")</f>
        <v>0.65625763239123813</v>
      </c>
      <c r="O7" s="35">
        <f>IFERROR(I7/P7,"")</f>
        <v>0.50106232589270938</v>
      </c>
      <c r="P7" s="33">
        <v>16464345</v>
      </c>
    </row>
    <row r="8" spans="2:17" ht="14" x14ac:dyDescent="0.3">
      <c r="B8" s="4" t="s">
        <v>164</v>
      </c>
      <c r="C8" t="s">
        <v>165</v>
      </c>
      <c r="D8" s="33">
        <v>115787065</v>
      </c>
      <c r="E8" s="33">
        <v>116902152</v>
      </c>
      <c r="F8" s="33">
        <v>11015461</v>
      </c>
      <c r="G8" s="33">
        <v>6932262</v>
      </c>
      <c r="H8" s="33">
        <v>5352725</v>
      </c>
      <c r="I8" s="33">
        <v>4866618</v>
      </c>
      <c r="J8" s="34">
        <f>IFERROR(E8/G8,"")</f>
        <v>16.863493041665187</v>
      </c>
      <c r="K8" s="34">
        <f>IFERROR(E8/F8,"")</f>
        <v>10.612551939496676</v>
      </c>
      <c r="L8" s="34">
        <f>IFERROR(D8/I8,"")</f>
        <v>23.7921005922388</v>
      </c>
      <c r="M8" s="34">
        <f>IFERROR(D8/P8,"")</f>
        <v>8.4624802383031685</v>
      </c>
      <c r="N8" s="35">
        <f>IFERROR(H8/F8,"")</f>
        <v>0.48592836922576366</v>
      </c>
      <c r="O8" s="35">
        <f>IFERROR(I8/P8,"")</f>
        <v>0.35568445104270063</v>
      </c>
      <c r="P8" s="33">
        <v>13682403</v>
      </c>
    </row>
    <row r="14" spans="2:17" ht="14" x14ac:dyDescent="0.3">
      <c r="B14" s="3" t="s">
        <v>166</v>
      </c>
    </row>
    <row r="15" spans="2:17" ht="14" x14ac:dyDescent="0.3">
      <c r="B15" s="4" t="s">
        <v>167</v>
      </c>
      <c r="D15" s="34">
        <f t="shared" ref="D15:I15" si="0">PERCENTILE(J6:J8,0.25)</f>
        <v>12.777679196300285</v>
      </c>
      <c r="E15" s="34">
        <f t="shared" si="0"/>
        <v>9.8258552472690646</v>
      </c>
      <c r="F15" s="34">
        <f t="shared" si="0"/>
        <v>20.164690178742482</v>
      </c>
      <c r="G15" s="34">
        <f t="shared" si="0"/>
        <v>8.3743440507079256</v>
      </c>
      <c r="H15" s="35">
        <f t="shared" si="0"/>
        <v>0.44662005079182743</v>
      </c>
      <c r="I15" s="35">
        <f t="shared" si="0"/>
        <v>0.34141192482703042</v>
      </c>
    </row>
    <row r="16" spans="2:17" ht="14" x14ac:dyDescent="0.3">
      <c r="B16" s="4" t="s">
        <v>168</v>
      </c>
      <c r="D16" s="34">
        <f t="shared" ref="D16:I16" si="1">MEDIAN(J6:J8)</f>
        <v>16.863493041665187</v>
      </c>
      <c r="E16" s="34">
        <f t="shared" si="1"/>
        <v>10.612551939496676</v>
      </c>
      <c r="F16" s="34">
        <f t="shared" si="1"/>
        <v>23.7921005922388</v>
      </c>
      <c r="G16" s="34">
        <f t="shared" si="1"/>
        <v>8.4624802383031685</v>
      </c>
      <c r="H16" s="35">
        <f t="shared" si="1"/>
        <v>0.48592836922576366</v>
      </c>
      <c r="I16" s="35">
        <f t="shared" si="1"/>
        <v>0.35568445104270063</v>
      </c>
    </row>
    <row r="17" spans="2:9" ht="14" x14ac:dyDescent="0.3">
      <c r="B17" s="4" t="s">
        <v>169</v>
      </c>
      <c r="D17" s="34">
        <f t="shared" ref="D17:I17" si="2">PERCENTILE(J6:J8,0.75)</f>
        <v>21.725063275676426</v>
      </c>
      <c r="E17" s="34">
        <f t="shared" si="2"/>
        <v>10.870026487716075</v>
      </c>
      <c r="F17" s="34">
        <f t="shared" si="2"/>
        <v>28.585648973489448</v>
      </c>
      <c r="G17" s="34">
        <f t="shared" si="2"/>
        <v>9.6910653935313764</v>
      </c>
      <c r="H17" s="35">
        <f t="shared" si="2"/>
        <v>0.57109300080850089</v>
      </c>
      <c r="I17" s="35">
        <f t="shared" si="2"/>
        <v>0.42837338846770501</v>
      </c>
    </row>
    <row r="19" spans="2:9" ht="14" x14ac:dyDescent="0.3">
      <c r="B19" s="22" t="s">
        <v>170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171</v>
      </c>
    </row>
    <row r="21" spans="2:9" ht="14" x14ac:dyDescent="0.3">
      <c r="B21" s="4" t="s">
        <v>172</v>
      </c>
      <c r="C21" s="5">
        <v>1183195</v>
      </c>
    </row>
    <row r="22" spans="2:9" ht="14" x14ac:dyDescent="0.3">
      <c r="B22" s="4" t="s">
        <v>173</v>
      </c>
      <c r="C22" s="5">
        <v>554490</v>
      </c>
    </row>
    <row r="23" spans="2:9" ht="14" x14ac:dyDescent="0.3">
      <c r="B23" s="4" t="s">
        <v>174</v>
      </c>
      <c r="C23" s="15">
        <v>547242648</v>
      </c>
    </row>
    <row r="24" spans="2:9" ht="14" x14ac:dyDescent="0.3">
      <c r="B24" s="4" t="s">
        <v>71</v>
      </c>
      <c r="C24" s="5">
        <v>782482</v>
      </c>
    </row>
    <row r="26" spans="2:9" ht="14" x14ac:dyDescent="0.3">
      <c r="B26" s="3" t="s">
        <v>175</v>
      </c>
    </row>
    <row r="27" spans="2:9" ht="14" x14ac:dyDescent="0.3">
      <c r="B27" s="4" t="s">
        <v>176</v>
      </c>
      <c r="C27" s="24">
        <f>ROUND((C21*D16-C24)*1000000/C23,0)</f>
        <v>35031</v>
      </c>
    </row>
    <row r="28" spans="2:9" ht="14" x14ac:dyDescent="0.3">
      <c r="B28" s="4" t="s">
        <v>177</v>
      </c>
      <c r="C28" s="24">
        <f>ROUND(C22*F16*1000000/C23,0)</f>
        <v>24107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178</v>
      </c>
    </row>
    <row r="3" spans="2:9" ht="14" x14ac:dyDescent="0.3">
      <c r="B3" s="4" t="s">
        <v>179</v>
      </c>
      <c r="C3" s="16">
        <f>'DCF Model'!C26</f>
        <v>0.11661758857032531</v>
      </c>
      <c r="E3" s="4" t="s">
        <v>180</v>
      </c>
      <c r="F3" s="16">
        <f>'DCF Model'!C13</f>
        <v>0.01</v>
      </c>
      <c r="H3" s="4" t="s">
        <v>181</v>
      </c>
      <c r="I3" s="14">
        <f>'DCF Model'!C14</f>
        <v>10</v>
      </c>
    </row>
    <row r="5" spans="2:9" ht="14" x14ac:dyDescent="0.3">
      <c r="B5" s="3" t="s">
        <v>182</v>
      </c>
    </row>
    <row r="6" spans="2:9" ht="14" x14ac:dyDescent="0.3">
      <c r="B6" s="36" t="s">
        <v>183</v>
      </c>
      <c r="C6" s="37">
        <f>$F$3-0.0075</f>
        <v>2.5000000000000005E-3</v>
      </c>
      <c r="D6" s="37">
        <f>$F$3-0.005</f>
        <v>5.0000000000000001E-3</v>
      </c>
      <c r="E6" s="37">
        <f>$F$3-0.0025</f>
        <v>7.4999999999999997E-3</v>
      </c>
      <c r="F6" s="37">
        <f>$F$3</f>
        <v>0.01</v>
      </c>
      <c r="G6" s="37">
        <f>$F$3+0.0025</f>
        <v>1.2500000000000001E-2</v>
      </c>
      <c r="H6" s="37">
        <f>$F$3+0.005</f>
        <v>1.4999999999999999E-2</v>
      </c>
      <c r="I6" s="37">
        <f>$F$3+0.0075</f>
        <v>1.7500000000000002E-2</v>
      </c>
    </row>
    <row r="7" spans="2:9" ht="13.5" x14ac:dyDescent="0.25">
      <c r="B7" s="35">
        <f>$C$3-0.015</f>
        <v>0.10161758857032531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9422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9626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9842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10070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10310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10564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10834</v>
      </c>
    </row>
    <row r="8" spans="2:9" ht="13.5" x14ac:dyDescent="0.25">
      <c r="B8" s="35">
        <f>$C$3-0.01</f>
        <v>0.10661758857032531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8898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9081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9273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9474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9687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9911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10147</v>
      </c>
    </row>
    <row r="9" spans="2:9" ht="13.5" x14ac:dyDescent="0.25">
      <c r="B9" s="35">
        <f>$C$3-0.005</f>
        <v>0.1116175885703253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8424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8587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8758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8938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9127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9325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9535</v>
      </c>
    </row>
    <row r="10" spans="2:9" ht="13.5" x14ac:dyDescent="0.25">
      <c r="B10" s="35">
        <f>$C$3</f>
        <v>0.11661758857032531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7991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8138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8292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8453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8621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8798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8984</v>
      </c>
    </row>
    <row r="11" spans="2:9" ht="13.5" x14ac:dyDescent="0.25">
      <c r="B11" s="35">
        <f>$C$3+0.005</f>
        <v>0.12161758857032531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7595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7728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7866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8011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8162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8321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8487</v>
      </c>
    </row>
    <row r="12" spans="2:9" ht="13.5" x14ac:dyDescent="0.25">
      <c r="B12" s="35">
        <f>$C$3+0.01</f>
        <v>0.12661758857032532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7231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7352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7477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7607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7744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7886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8035</v>
      </c>
    </row>
    <row r="13" spans="2:9" ht="13.5" x14ac:dyDescent="0.25">
      <c r="B13" s="35">
        <f>$C$3+0.015</f>
        <v>0.13161758857032529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6896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7005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7119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7237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7361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7489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7624</v>
      </c>
    </row>
    <row r="16" spans="2:9" ht="14" x14ac:dyDescent="0.3">
      <c r="B16" s="3" t="s">
        <v>184</v>
      </c>
    </row>
    <row r="17" spans="2:9" ht="14" x14ac:dyDescent="0.3">
      <c r="B17" s="36" t="s">
        <v>185</v>
      </c>
      <c r="C17" s="38">
        <f>$I$3-3</f>
        <v>7</v>
      </c>
      <c r="D17" s="38">
        <f>$I$3-2</f>
        <v>8</v>
      </c>
      <c r="E17" s="38">
        <f>$I$3-1</f>
        <v>9</v>
      </c>
      <c r="F17" s="38">
        <f>$I$3</f>
        <v>10</v>
      </c>
      <c r="G17" s="38">
        <f>$I$3+1</f>
        <v>11</v>
      </c>
      <c r="H17" s="38">
        <f>$I$3+2</f>
        <v>12</v>
      </c>
      <c r="I17" s="38">
        <f>$I$3+3</f>
        <v>13</v>
      </c>
    </row>
    <row r="18" spans="2:9" ht="13.5" x14ac:dyDescent="0.25">
      <c r="B18" s="35">
        <f>$C$3-0.015</f>
        <v>0.10161758857032531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12648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14139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15629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17120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18610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20101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21591</v>
      </c>
    </row>
    <row r="19" spans="2:9" ht="13.5" x14ac:dyDescent="0.25">
      <c r="B19" s="35">
        <f>$C$3-0.01</f>
        <v>0.10661758857032531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12399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13860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15320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16781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18241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19702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21162</v>
      </c>
    </row>
    <row r="20" spans="2:9" ht="13.5" x14ac:dyDescent="0.25">
      <c r="B20" s="35">
        <f>$C$3-0.005</f>
        <v>0.1116175885703253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12156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13587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15018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16449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17881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19312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20743</v>
      </c>
    </row>
    <row r="21" spans="2:9" ht="13.5" x14ac:dyDescent="0.25">
      <c r="B21" s="35">
        <f>$C$3</f>
        <v>0.11661758857032531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11919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13321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14724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16126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17529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18931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20334</v>
      </c>
    </row>
    <row r="22" spans="2:9" ht="13.5" x14ac:dyDescent="0.25">
      <c r="B22" s="35">
        <f>$C$3+0.005</f>
        <v>0.12161758857032531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11687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13061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14436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15811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17185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18560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19934</v>
      </c>
    </row>
    <row r="23" spans="2:9" ht="13.5" x14ac:dyDescent="0.25">
      <c r="B23" s="35">
        <f>$C$3+0.01</f>
        <v>0.12661758857032532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11460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12808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14155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15503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16850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18197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19545</v>
      </c>
    </row>
    <row r="24" spans="2:9" ht="13.5" x14ac:dyDescent="0.25">
      <c r="B24" s="35">
        <f>$C$3+0.015</f>
        <v>0.13161758857032529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11239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12560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13881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15202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16522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17843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19164</v>
      </c>
    </row>
    <row r="26" spans="2:9" ht="14" x14ac:dyDescent="0.3">
      <c r="B26" s="41" t="s">
        <v>186</v>
      </c>
      <c r="C26" s="40"/>
      <c r="D26" s="40"/>
      <c r="E26" s="40"/>
      <c r="F26" s="40"/>
      <c r="G26" s="40"/>
      <c r="H26" s="40"/>
      <c r="I26" s="40"/>
    </row>
  </sheetData>
  <mergeCells count="1">
    <mergeCell ref="B26:I26"/>
  </mergeCells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2:G4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187</v>
      </c>
    </row>
    <row r="4" spans="2:7" ht="14" x14ac:dyDescent="0.3">
      <c r="B4" s="10" t="s">
        <v>188</v>
      </c>
      <c r="C4" s="10" t="s">
        <v>189</v>
      </c>
      <c r="D4" s="10" t="s">
        <v>190</v>
      </c>
      <c r="E4" s="10" t="s">
        <v>191</v>
      </c>
      <c r="F4" s="10" t="s">
        <v>192</v>
      </c>
      <c r="G4" s="10" t="s">
        <v>193</v>
      </c>
    </row>
    <row r="5" spans="2:7" x14ac:dyDescent="0.2">
      <c r="B5" t="s">
        <v>194</v>
      </c>
      <c r="C5" t="s">
        <v>195</v>
      </c>
      <c r="D5" t="s">
        <v>196</v>
      </c>
      <c r="E5" t="s">
        <v>197</v>
      </c>
      <c r="F5" t="s">
        <v>195</v>
      </c>
      <c r="G5" t="s">
        <v>198</v>
      </c>
    </row>
    <row r="12" spans="2:7" ht="14" x14ac:dyDescent="0.3">
      <c r="B12" s="8" t="s">
        <v>199</v>
      </c>
    </row>
    <row r="13" spans="2:7" ht="14" x14ac:dyDescent="0.3">
      <c r="B13" s="10" t="s">
        <v>200</v>
      </c>
      <c r="C13" s="10" t="s">
        <v>201</v>
      </c>
    </row>
    <row r="14" spans="2:7" ht="14" x14ac:dyDescent="0.3">
      <c r="B14" s="4" t="s">
        <v>202</v>
      </c>
      <c r="C14" t="s">
        <v>203</v>
      </c>
    </row>
    <row r="15" spans="2:7" ht="14" x14ac:dyDescent="0.3">
      <c r="B15" s="4" t="s">
        <v>204</v>
      </c>
      <c r="C15" t="s">
        <v>205</v>
      </c>
    </row>
    <row r="16" spans="2:7" ht="14" x14ac:dyDescent="0.3">
      <c r="B16" s="4" t="s">
        <v>206</v>
      </c>
      <c r="C16" t="s">
        <v>207</v>
      </c>
    </row>
    <row r="17" spans="2:3" ht="14" x14ac:dyDescent="0.3">
      <c r="B17" s="4" t="s">
        <v>208</v>
      </c>
      <c r="C17" t="s">
        <v>4</v>
      </c>
    </row>
    <row r="18" spans="2:3" ht="14" x14ac:dyDescent="0.3">
      <c r="B18" s="4" t="s">
        <v>209</v>
      </c>
      <c r="C18" t="s">
        <v>194</v>
      </c>
    </row>
    <row r="19" spans="2:3" ht="14" x14ac:dyDescent="0.3">
      <c r="B19" s="4" t="s">
        <v>210</v>
      </c>
      <c r="C19" t="s">
        <v>211</v>
      </c>
    </row>
    <row r="20" spans="2:3" ht="14" x14ac:dyDescent="0.3">
      <c r="B20" s="4" t="s">
        <v>212</v>
      </c>
      <c r="C20" t="s">
        <v>213</v>
      </c>
    </row>
    <row r="21" spans="2:3" ht="14" x14ac:dyDescent="0.3">
      <c r="B21" s="4" t="s">
        <v>214</v>
      </c>
      <c r="C21" t="s">
        <v>215</v>
      </c>
    </row>
    <row r="22" spans="2:3" ht="14" x14ac:dyDescent="0.3">
      <c r="B22" s="4" t="s">
        <v>216</v>
      </c>
      <c r="C22" t="s">
        <v>217</v>
      </c>
    </row>
    <row r="23" spans="2:3" ht="14" x14ac:dyDescent="0.3">
      <c r="B23" s="4" t="s">
        <v>218</v>
      </c>
      <c r="C23" t="s">
        <v>219</v>
      </c>
    </row>
    <row r="24" spans="2:3" ht="14" x14ac:dyDescent="0.3">
      <c r="B24" s="4" t="s">
        <v>220</v>
      </c>
      <c r="C24" t="s">
        <v>215</v>
      </c>
    </row>
    <row r="25" spans="2:3" ht="14" x14ac:dyDescent="0.3">
      <c r="B25" s="4" t="s">
        <v>221</v>
      </c>
      <c r="C25" t="s">
        <v>211</v>
      </c>
    </row>
    <row r="26" spans="2:3" ht="14" x14ac:dyDescent="0.3">
      <c r="B26" s="4" t="s">
        <v>222</v>
      </c>
      <c r="C26" t="s">
        <v>223</v>
      </c>
    </row>
    <row r="27" spans="2:3" ht="14" x14ac:dyDescent="0.3">
      <c r="B27" s="4" t="s">
        <v>224</v>
      </c>
      <c r="C27" t="s">
        <v>225</v>
      </c>
    </row>
    <row r="28" spans="2:3" ht="14" x14ac:dyDescent="0.3">
      <c r="B28" s="4" t="s">
        <v>226</v>
      </c>
      <c r="C28" t="s">
        <v>203</v>
      </c>
    </row>
    <row r="29" spans="2:3" ht="14" x14ac:dyDescent="0.3">
      <c r="B29" s="4" t="s">
        <v>227</v>
      </c>
      <c r="C29" t="s">
        <v>228</v>
      </c>
    </row>
    <row r="30" spans="2:3" ht="14" x14ac:dyDescent="0.3">
      <c r="B30" s="4" t="s">
        <v>229</v>
      </c>
      <c r="C30" t="s">
        <v>230</v>
      </c>
    </row>
    <row r="31" spans="2:3" ht="14" x14ac:dyDescent="0.3">
      <c r="B31" s="4" t="s">
        <v>231</v>
      </c>
      <c r="C31" t="s">
        <v>232</v>
      </c>
    </row>
    <row r="32" spans="2:3" ht="14" x14ac:dyDescent="0.3">
      <c r="B32" s="4" t="s">
        <v>233</v>
      </c>
      <c r="C32" t="s">
        <v>234</v>
      </c>
    </row>
    <row r="33" spans="2:3" ht="14" x14ac:dyDescent="0.3">
      <c r="B33" s="4" t="s">
        <v>235</v>
      </c>
      <c r="C33" t="s">
        <v>236</v>
      </c>
    </row>
    <row r="34" spans="2:3" ht="14" x14ac:dyDescent="0.3">
      <c r="B34" s="4" t="s">
        <v>237</v>
      </c>
      <c r="C34" t="s">
        <v>238</v>
      </c>
    </row>
    <row r="35" spans="2:3" ht="14" x14ac:dyDescent="0.3">
      <c r="B35" s="4" t="s">
        <v>239</v>
      </c>
      <c r="C35" t="s">
        <v>240</v>
      </c>
    </row>
    <row r="36" spans="2:3" ht="14" x14ac:dyDescent="0.3">
      <c r="B36" s="4" t="s">
        <v>241</v>
      </c>
      <c r="C36" t="s">
        <v>242</v>
      </c>
    </row>
    <row r="37" spans="2:3" ht="14" x14ac:dyDescent="0.3">
      <c r="B37" s="4" t="s">
        <v>243</v>
      </c>
      <c r="C37" t="s">
        <v>211</v>
      </c>
    </row>
    <row r="38" spans="2:3" ht="14" x14ac:dyDescent="0.3">
      <c r="B38" s="4" t="s">
        <v>244</v>
      </c>
      <c r="C38" t="s">
        <v>245</v>
      </c>
    </row>
    <row r="39" spans="2:3" ht="14" x14ac:dyDescent="0.3">
      <c r="B39" s="4" t="s">
        <v>246</v>
      </c>
      <c r="C39" t="s">
        <v>247</v>
      </c>
    </row>
    <row r="40" spans="2:3" ht="14" x14ac:dyDescent="0.3">
      <c r="B40" s="4" t="s">
        <v>248</v>
      </c>
      <c r="C40" t="s">
        <v>249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2026-07-31T04:54:55Z</dcterms:created>
  <dcterms:modified xsi:type="dcterms:W3CDTF">2026-09-14T03:44:57Z</dcterms:modified>
</cp:coreProperties>
</file>