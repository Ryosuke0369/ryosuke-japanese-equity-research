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B404C83B-EE52-4B86-B8DA-B69D5E54C996}" xr6:coauthVersionLast="47" xr6:coauthVersionMax="47" xr10:uidLastSave="{00000000-0000-0000-0000-000000000000}"/>
  <bookViews>
    <workbookView xWindow="9720" yWindow="5480" windowWidth="4820" windowHeight="4600" xr2:uid="{00000000-000D-0000-FFFF-FFFF00000000}"/>
  </bookViews>
  <sheets>
    <sheet name="Executive Summary" sheetId="1" r:id="rId1"/>
    <sheet name="Financial Statements" sheetId="2" r:id="rId2"/>
    <sheet name="DCF Model" sheetId="3" r:id="rId3"/>
    <sheet name="Reverse DCF" sheetId="4" r:id="rId4"/>
    <sheet name="NWC Schedule" sheetId="5" r:id="rId5"/>
    <sheet name="Comps Analysis" sheetId="6" r:id="rId6"/>
    <sheet name="Sensitivity Analysis" sheetId="7" r:id="rId7"/>
    <sheet name="Adjustments Log" sheetId="8" r:id="rId8"/>
  </sheets>
  <calcPr calcId="181029"/>
</workbook>
</file>

<file path=xl/calcChain.xml><?xml version="1.0" encoding="utf-8"?>
<calcChain xmlns="http://schemas.openxmlformats.org/spreadsheetml/2006/main">
  <c r="I3" i="7" l="1"/>
  <c r="I17" i="7" s="1"/>
  <c r="F3" i="7"/>
  <c r="H6" i="7" s="1"/>
  <c r="O8" i="6"/>
  <c r="N8" i="6"/>
  <c r="M8" i="6"/>
  <c r="L8" i="6"/>
  <c r="K8" i="6"/>
  <c r="J8" i="6"/>
  <c r="O7" i="6"/>
  <c r="N7" i="6"/>
  <c r="M7" i="6"/>
  <c r="L7" i="6"/>
  <c r="K7" i="6"/>
  <c r="E15" i="6" s="1"/>
  <c r="J7" i="6"/>
  <c r="O6" i="6"/>
  <c r="N6" i="6"/>
  <c r="M6" i="6"/>
  <c r="G15" i="6" s="1"/>
  <c r="L6" i="6"/>
  <c r="K6" i="6"/>
  <c r="J6" i="6"/>
  <c r="O5" i="6"/>
  <c r="N5" i="6"/>
  <c r="D5" i="6"/>
  <c r="M5" i="6" s="1"/>
  <c r="C16" i="5"/>
  <c r="C14" i="5"/>
  <c r="C18" i="5" s="1"/>
  <c r="C7" i="5"/>
  <c r="C6" i="5"/>
  <c r="C5" i="5"/>
  <c r="C13" i="4"/>
  <c r="C12" i="4"/>
  <c r="C9" i="4"/>
  <c r="C7" i="4"/>
  <c r="C6" i="4"/>
  <c r="C8" i="4" s="1"/>
  <c r="D27" i="3"/>
  <c r="C25" i="3"/>
  <c r="C26" i="3" s="1"/>
  <c r="C11" i="4" s="1"/>
  <c r="C24" i="3"/>
  <c r="C23" i="3"/>
  <c r="F16" i="2"/>
  <c r="E16" i="2"/>
  <c r="D16" i="2"/>
  <c r="F15" i="2"/>
  <c r="E15" i="2"/>
  <c r="D15" i="2"/>
  <c r="F14" i="2"/>
  <c r="E14" i="2"/>
  <c r="D14" i="2"/>
  <c r="C14" i="2"/>
  <c r="F13" i="2"/>
  <c r="E13" i="2"/>
  <c r="D13" i="2"/>
  <c r="C13" i="2"/>
  <c r="F8" i="2"/>
  <c r="F9" i="2" s="1"/>
  <c r="E8" i="2"/>
  <c r="E9" i="2" s="1"/>
  <c r="D8" i="2"/>
  <c r="D9" i="2" s="1"/>
  <c r="C8" i="2"/>
  <c r="C9" i="2" s="1"/>
  <c r="E46" i="3" l="1"/>
  <c r="G36" i="4"/>
  <c r="G46" i="4" s="1"/>
  <c r="G46" i="3"/>
  <c r="H36" i="4"/>
  <c r="H40" i="4" s="1"/>
  <c r="D17" i="6"/>
  <c r="F6" i="7"/>
  <c r="E16" i="6"/>
  <c r="H16" i="6"/>
  <c r="D15" i="6"/>
  <c r="D16" i="6"/>
  <c r="C27" i="6" s="1"/>
  <c r="C18" i="1" s="1"/>
  <c r="D18" i="1" s="1"/>
  <c r="I16" i="6"/>
  <c r="G16" i="6"/>
  <c r="G7" i="5"/>
  <c r="E6" i="5"/>
  <c r="D32" i="3"/>
  <c r="F30" i="3"/>
  <c r="E7" i="5"/>
  <c r="G31" i="3"/>
  <c r="D30" i="3"/>
  <c r="H5" i="5"/>
  <c r="F7" i="5"/>
  <c r="D6" i="5"/>
  <c r="C32" i="3"/>
  <c r="E30" i="3"/>
  <c r="H6" i="5"/>
  <c r="F5" i="5"/>
  <c r="G32" i="3"/>
  <c r="D31" i="3"/>
  <c r="G6" i="5"/>
  <c r="E5" i="5"/>
  <c r="H7" i="5"/>
  <c r="F6" i="5"/>
  <c r="D5" i="5"/>
  <c r="E32" i="3"/>
  <c r="G30" i="3"/>
  <c r="D7" i="5"/>
  <c r="C30" i="3"/>
  <c r="C33" i="3" s="1"/>
  <c r="F31" i="3"/>
  <c r="F32" i="3"/>
  <c r="C10" i="4"/>
  <c r="C3" i="7"/>
  <c r="C46" i="3"/>
  <c r="F36" i="4"/>
  <c r="F46" i="3"/>
  <c r="D36" i="4"/>
  <c r="D46" i="3"/>
  <c r="E36" i="4"/>
  <c r="G5" i="5"/>
  <c r="G41" i="4"/>
  <c r="G39" i="4"/>
  <c r="G45" i="4"/>
  <c r="G40" i="4"/>
  <c r="G44" i="4"/>
  <c r="G38" i="4"/>
  <c r="H45" i="4"/>
  <c r="H39" i="4"/>
  <c r="H43" i="4"/>
  <c r="H44" i="4"/>
  <c r="H41" i="4"/>
  <c r="H46" i="4"/>
  <c r="C31" i="3"/>
  <c r="H38" i="4"/>
  <c r="G43" i="4"/>
  <c r="H15" i="6"/>
  <c r="E31" i="3"/>
  <c r="F15" i="6"/>
  <c r="F16" i="6"/>
  <c r="C28" i="6" s="1"/>
  <c r="C19" i="1" s="1"/>
  <c r="D19" i="1" s="1"/>
  <c r="F17" i="6"/>
  <c r="C74" i="4"/>
  <c r="I15" i="6"/>
  <c r="E17" i="6"/>
  <c r="I6" i="7"/>
  <c r="C17" i="7"/>
  <c r="E5" i="6"/>
  <c r="G17" i="6"/>
  <c r="C6" i="7"/>
  <c r="D17" i="7"/>
  <c r="H17" i="6"/>
  <c r="D6" i="7"/>
  <c r="E17" i="7"/>
  <c r="I17" i="6"/>
  <c r="E6" i="7"/>
  <c r="F17" i="7"/>
  <c r="G17" i="7"/>
  <c r="L5" i="6"/>
  <c r="G6" i="7"/>
  <c r="H17" i="7"/>
  <c r="E44" i="4" l="1"/>
  <c r="E41" i="4"/>
  <c r="E51" i="4" s="1"/>
  <c r="E56" i="4" s="1"/>
  <c r="E38" i="4"/>
  <c r="E48" i="4" s="1"/>
  <c r="E53" i="4" s="1"/>
  <c r="E43" i="4"/>
  <c r="E46" i="4"/>
  <c r="E40" i="4"/>
  <c r="E39" i="4"/>
  <c r="E45" i="4"/>
  <c r="D40" i="4"/>
  <c r="D50" i="4" s="1"/>
  <c r="D55" i="4" s="1"/>
  <c r="D44" i="4"/>
  <c r="D49" i="4" s="1"/>
  <c r="D54" i="4" s="1"/>
  <c r="D38" i="4"/>
  <c r="D48" i="4" s="1"/>
  <c r="D53" i="4" s="1"/>
  <c r="D39" i="4"/>
  <c r="D46" i="4"/>
  <c r="D45" i="4"/>
  <c r="D43" i="4"/>
  <c r="D41" i="4"/>
  <c r="C37" i="3"/>
  <c r="C35" i="3"/>
  <c r="D9" i="5"/>
  <c r="D12" i="5" s="1"/>
  <c r="C42" i="3"/>
  <c r="C34" i="3"/>
  <c r="D10" i="5" s="1"/>
  <c r="D33" i="3"/>
  <c r="F38" i="4"/>
  <c r="F48" i="4" s="1"/>
  <c r="F53" i="4" s="1"/>
  <c r="F45" i="4"/>
  <c r="F41" i="4"/>
  <c r="F46" i="4"/>
  <c r="F44" i="4"/>
  <c r="F43" i="4"/>
  <c r="F40" i="4"/>
  <c r="F39" i="4"/>
  <c r="K5" i="6"/>
  <c r="J5" i="6"/>
  <c r="B13" i="7"/>
  <c r="B12" i="7"/>
  <c r="B11" i="7"/>
  <c r="B10" i="7"/>
  <c r="B9" i="7"/>
  <c r="B8" i="7"/>
  <c r="B7" i="7"/>
  <c r="B24" i="7"/>
  <c r="B23" i="7"/>
  <c r="B22" i="7"/>
  <c r="B21" i="7"/>
  <c r="B20" i="7"/>
  <c r="B19" i="7"/>
  <c r="B18" i="7"/>
  <c r="G51" i="4"/>
  <c r="G56" i="4" s="1"/>
  <c r="H49" i="4"/>
  <c r="H54" i="4" s="1"/>
  <c r="G49" i="4"/>
  <c r="G54" i="4" s="1"/>
  <c r="G50" i="4"/>
  <c r="G55" i="4" s="1"/>
  <c r="C24" i="4"/>
  <c r="C25" i="4" s="1"/>
  <c r="C71" i="4"/>
  <c r="F50" i="4"/>
  <c r="F55" i="4" s="1"/>
  <c r="H48" i="4"/>
  <c r="H53" i="4" s="1"/>
  <c r="C70" i="4"/>
  <c r="H51" i="4"/>
  <c r="H56" i="4" s="1"/>
  <c r="G48" i="4"/>
  <c r="G53" i="4" s="1"/>
  <c r="H50" i="4"/>
  <c r="H55" i="4" s="1"/>
  <c r="F51" i="4" l="1"/>
  <c r="F56" i="4" s="1"/>
  <c r="E49" i="4"/>
  <c r="E54" i="4" s="1"/>
  <c r="F49" i="4"/>
  <c r="E50" i="4"/>
  <c r="E55" i="4" s="1"/>
  <c r="D51" i="4"/>
  <c r="D56" i="4" s="1"/>
  <c r="C60" i="4"/>
  <c r="F54" i="4"/>
  <c r="B78" i="4" s="1"/>
  <c r="C36" i="3"/>
  <c r="C39" i="3"/>
  <c r="C38" i="3"/>
  <c r="C29" i="4"/>
  <c r="C27" i="4"/>
  <c r="C26" i="4"/>
  <c r="D35" i="3"/>
  <c r="E33" i="3"/>
  <c r="E9" i="5"/>
  <c r="E12" i="5" s="1"/>
  <c r="D37" i="3"/>
  <c r="D34" i="3"/>
  <c r="E10" i="5" s="1"/>
  <c r="D42" i="3"/>
  <c r="D13" i="5"/>
  <c r="D14" i="5" s="1"/>
  <c r="D15" i="5"/>
  <c r="D16" i="5" s="1"/>
  <c r="D18" i="5" l="1"/>
  <c r="D19" i="5" s="1"/>
  <c r="C44" i="3" s="1"/>
  <c r="C40" i="3"/>
  <c r="C41" i="3" s="1"/>
  <c r="F33" i="3"/>
  <c r="E42" i="3"/>
  <c r="E34" i="3"/>
  <c r="F10" i="5" s="1"/>
  <c r="F9" i="5"/>
  <c r="F12" i="5" s="1"/>
  <c r="E37" i="3"/>
  <c r="D38" i="3"/>
  <c r="D39" i="3"/>
  <c r="D36" i="3"/>
  <c r="E13" i="5"/>
  <c r="E14" i="5" s="1"/>
  <c r="E18" i="5" s="1"/>
  <c r="E19" i="5" s="1"/>
  <c r="D44" i="3" s="1"/>
  <c r="E15" i="5"/>
  <c r="E16" i="5" s="1"/>
  <c r="C66" i="4"/>
  <c r="D66" i="4" s="1"/>
  <c r="C67" i="4"/>
  <c r="D67" i="4" s="1"/>
  <c r="C63" i="4"/>
  <c r="D63" i="4" s="1"/>
  <c r="C65" i="4"/>
  <c r="D65" i="4" s="1"/>
  <c r="C64" i="4"/>
  <c r="D64" i="4" s="1"/>
  <c r="C45" i="3" l="1"/>
  <c r="E35" i="3"/>
  <c r="C47" i="3"/>
  <c r="F15" i="5"/>
  <c r="F16" i="5" s="1"/>
  <c r="F13" i="5"/>
  <c r="F14" i="5" s="1"/>
  <c r="F18" i="5" s="1"/>
  <c r="F19" i="5" s="1"/>
  <c r="E44" i="3" s="1"/>
  <c r="E38" i="3"/>
  <c r="E39" i="3"/>
  <c r="E36" i="3"/>
  <c r="D40" i="3"/>
  <c r="D41" i="3" s="1"/>
  <c r="D45" i="3" s="1"/>
  <c r="G33" i="3"/>
  <c r="G9" i="5"/>
  <c r="G12" i="5" s="1"/>
  <c r="F37" i="3"/>
  <c r="F35" i="3"/>
  <c r="F34" i="3"/>
  <c r="G10" i="5" s="1"/>
  <c r="F42" i="3"/>
  <c r="D47" i="3" l="1"/>
  <c r="G15" i="5"/>
  <c r="G16" i="5" s="1"/>
  <c r="G13" i="5"/>
  <c r="G14" i="5" s="1"/>
  <c r="G18" i="5" s="1"/>
  <c r="G19" i="5" s="1"/>
  <c r="F44" i="3" s="1"/>
  <c r="F38" i="3"/>
  <c r="F36" i="3"/>
  <c r="F39" i="3"/>
  <c r="E40" i="3"/>
  <c r="E41" i="3" s="1"/>
  <c r="E45" i="3" s="1"/>
  <c r="H9" i="5"/>
  <c r="H12" i="5" s="1"/>
  <c r="C16" i="4"/>
  <c r="C28" i="4" s="1"/>
  <c r="G34" i="3"/>
  <c r="H10" i="5" s="1"/>
  <c r="G37" i="3"/>
  <c r="G42" i="3"/>
  <c r="G35" i="3" l="1"/>
  <c r="G38" i="3" s="1"/>
  <c r="E47" i="3"/>
  <c r="C72" i="4"/>
  <c r="C73" i="4"/>
  <c r="H15" i="5"/>
  <c r="H16" i="5" s="1"/>
  <c r="H13" i="5"/>
  <c r="H14" i="5" s="1"/>
  <c r="H18" i="5" s="1"/>
  <c r="H19" i="5" s="1"/>
  <c r="G44" i="3" s="1"/>
  <c r="F40" i="3"/>
  <c r="F41" i="3" s="1"/>
  <c r="F45" i="3" s="1"/>
  <c r="G39" i="3"/>
  <c r="G36" i="3"/>
  <c r="F47" i="3" l="1"/>
  <c r="G40" i="3"/>
  <c r="G41" i="3" s="1"/>
  <c r="G45" i="3" s="1"/>
  <c r="C59" i="3"/>
  <c r="C60" i="3" s="1"/>
  <c r="C61" i="3" s="1"/>
  <c r="C51" i="3" l="1"/>
  <c r="C52" i="3" s="1"/>
  <c r="G47" i="3"/>
  <c r="C50" i="3" s="1"/>
  <c r="C8" i="7"/>
  <c r="G10" i="7"/>
  <c r="I13" i="7"/>
  <c r="H18" i="7"/>
  <c r="D22" i="7"/>
  <c r="D13" i="7"/>
  <c r="I9" i="7"/>
  <c r="F10" i="7"/>
  <c r="G12" i="7"/>
  <c r="G8" i="7"/>
  <c r="H8" i="7"/>
  <c r="C13" i="7"/>
  <c r="D24" i="7"/>
  <c r="I21" i="7"/>
  <c r="F21" i="7"/>
  <c r="H23" i="7"/>
  <c r="E21" i="7"/>
  <c r="G18" i="7"/>
  <c r="G19" i="7"/>
  <c r="D18" i="7"/>
  <c r="F20" i="7"/>
  <c r="E22" i="7"/>
  <c r="C21" i="7"/>
  <c r="I10" i="7"/>
  <c r="H13" i="7"/>
  <c r="F18" i="7"/>
  <c r="G20" i="7"/>
  <c r="H9" i="7"/>
  <c r="D9" i="7"/>
  <c r="E13" i="7"/>
  <c r="E7" i="7"/>
  <c r="H22" i="7"/>
  <c r="E19" i="7"/>
  <c r="C7" i="7"/>
  <c r="D12" i="7"/>
  <c r="D19" i="7"/>
  <c r="H10" i="7"/>
  <c r="G9" i="7"/>
  <c r="G13" i="7"/>
  <c r="I7" i="7"/>
  <c r="E8" i="7"/>
  <c r="D10" i="7"/>
  <c r="I20" i="7"/>
  <c r="H19" i="7"/>
  <c r="I11" i="7"/>
  <c r="D7" i="7"/>
  <c r="E9" i="7"/>
  <c r="D21" i="7"/>
  <c r="C9" i="7"/>
  <c r="D23" i="7"/>
  <c r="I12" i="7"/>
  <c r="I23" i="7"/>
  <c r="I19" i="7"/>
  <c r="I24" i="7"/>
  <c r="C10" i="7"/>
  <c r="F24" i="7"/>
  <c r="F8" i="7"/>
  <c r="H21" i="7"/>
  <c r="G22" i="7"/>
  <c r="E20" i="7"/>
  <c r="F19" i="7"/>
  <c r="F13" i="7"/>
  <c r="H20" i="7"/>
  <c r="I22" i="7"/>
  <c r="F22" i="7"/>
  <c r="E12" i="7"/>
  <c r="H7" i="7"/>
  <c r="E10" i="7"/>
  <c r="G11" i="7"/>
  <c r="C12" i="7"/>
  <c r="F23" i="7"/>
  <c r="D20" i="7"/>
  <c r="C23" i="7"/>
  <c r="D11" i="7"/>
  <c r="F9" i="7"/>
  <c r="C20" i="7"/>
  <c r="E23" i="7"/>
  <c r="C24" i="7"/>
  <c r="H11" i="7"/>
  <c r="G23" i="7"/>
  <c r="C19" i="7"/>
  <c r="C22" i="7"/>
  <c r="G21" i="7"/>
  <c r="E11" i="7"/>
  <c r="F11" i="7"/>
  <c r="H12" i="7"/>
  <c r="F12" i="7"/>
  <c r="H24" i="7"/>
  <c r="C11" i="7"/>
  <c r="F7" i="7"/>
  <c r="E18" i="7"/>
  <c r="C18" i="7"/>
  <c r="I8" i="7"/>
  <c r="G24" i="7"/>
  <c r="D8" i="7"/>
  <c r="E24" i="7"/>
  <c r="I18" i="7"/>
  <c r="G7" i="7"/>
  <c r="C58" i="3" l="1"/>
  <c r="C62" i="3" s="1"/>
  <c r="C53" i="3"/>
  <c r="C17" i="4" l="1"/>
  <c r="C54" i="3"/>
  <c r="C55" i="3" s="1"/>
  <c r="C16" i="1"/>
  <c r="C17" i="1"/>
  <c r="D17" i="1" s="1"/>
  <c r="C63" i="3"/>
  <c r="C64" i="3" s="1"/>
  <c r="C10" i="1" l="1"/>
  <c r="C12" i="1" s="1"/>
  <c r="C11" i="1" s="1"/>
  <c r="C21" i="1"/>
  <c r="D16" i="1"/>
  <c r="C19" i="4"/>
  <c r="C20" i="4" s="1"/>
  <c r="B79" i="4"/>
</calcChain>
</file>

<file path=xl/sharedStrings.xml><?xml version="1.0" encoding="utf-8"?>
<sst xmlns="http://schemas.openxmlformats.org/spreadsheetml/2006/main" count="515" uniqueCount="393">
  <si>
    <t>DISCLAIMER: This is a sample analysis for demonstration purposes only. It does not constitute investment advice.</t>
  </si>
  <si>
    <t>NTT (9432.T)</t>
  </si>
  <si>
    <t>Equity Research Report</t>
  </si>
  <si>
    <t>Company</t>
  </si>
  <si>
    <t>NTT</t>
  </si>
  <si>
    <t>Ticker</t>
  </si>
  <si>
    <t>9432.T (TSE Prime)</t>
  </si>
  <si>
    <t>Sector</t>
  </si>
  <si>
    <t>情報・通信業</t>
  </si>
  <si>
    <t>Current Price</t>
  </si>
  <si>
    <t>Target Price (DCF 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</si>
  <si>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</si>
  <si>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</si>
  <si>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</si>
  <si>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</si>
  <si>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</si>
  <si>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</si>
  <si>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</si>
  <si>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</si>
  <si>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EV/EBITDA Median [参考・Target不算入]</t>
  </si>
  <si>
    <t>Comps - PER Median [参考・Target不算入]</t>
  </si>
  <si>
    <t>Note: Target Mid は DCF 2法（PGM / Exit）の平均のみ。Comps 2法は [参考] で Target 不算入（EV&lt;ネットデットで株式価値が負になる手法は INVALID として平均から除外）</t>
  </si>
  <si>
    <t>DCF Valuation Range (PGM - Exit)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</si>
  <si>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</si>
  <si>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</si>
  <si>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</si>
  <si>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</si>
  <si>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</si>
  <si>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</si>
  <si>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</si>
  <si>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</si>
  <si>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NTT - Historical Financials (JPY mn)</t>
  </si>
  <si>
    <t>FY2023</t>
  </si>
  <si>
    <t>FY2024</t>
  </si>
  <si>
    <t>FY2025</t>
  </si>
  <si>
    <t>FY2026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</si>
  <si>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</si>
  <si>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</si>
  <si>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</si>
  <si>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</si>
  <si>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</si>
  <si>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</si>
  <si>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</si>
  <si>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</si>
  <si>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</si>
  <si>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</si>
  <si>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</si>
  <si>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</si>
  <si>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</si>
  <si>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</si>
  <si>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</si>
  <si>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</si>
  <si>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</si>
  <si>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</si>
  <si>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</si>
  <si>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</si>
  <si>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</si>
  <si>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Total Interest-bearing Debt (short + long)</t>
  </si>
  <si>
    <t>Net Debt (Cash)</t>
  </si>
  <si>
    <t>Note: OCF / Cash / Debt coverage OCF 4/4, Cash 4/4, Debt 0/4 — blank cells are years with no year-key match in the source data (verify against 決算短信 or set hist_ocf / hist_cash / hist_debt in overrides).</t>
  </si>
  <si>
    <t>DCF Valuation Model - NTT</t>
  </si>
  <si>
    <t>Assumptions</t>
  </si>
  <si>
    <t>Capex / Revenue (fallback)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</si>
  <si>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</si>
  <si>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</si>
  <si>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</si>
  <si>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</si>
  <si>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</si>
  <si>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</si>
  <si>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</si>
  <si>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</si>
  <si>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(EV/EBITDA)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</si>
  <si>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</si>
  <si>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</si>
  <si>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</si>
  <si>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</si>
  <si>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</si>
  <si>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</si>
  <si>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</si>
  <si>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</si>
  <si>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</si>
  <si>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</si>
  <si>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</si>
  <si>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</si>
  <si>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</si>
  <si>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</si>
  <si>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FY2027(E)</t>
  </si>
  <si>
    <t>FY2028(E)</t>
  </si>
  <si>
    <t>FY2029(E)</t>
  </si>
  <si>
    <t>FY2030(E)</t>
  </si>
  <si>
    <t>FY2031(E)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</si>
  <si>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</si>
  <si>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</si>
  <si>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</si>
  <si>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</si>
  <si>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</si>
  <si>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</si>
  <si>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</si>
  <si>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</si>
  <si>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</si>
  <si>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</si>
  <si>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</si>
  <si>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</si>
  <si>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</si>
  <si>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</si>
  <si>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</si>
  <si>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</si>
  <si>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</si>
  <si>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</si>
  <si>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</si>
  <si>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</si>
  <si>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</si>
  <si>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EBITDA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</si>
  <si>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</si>
  <si>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</si>
  <si>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</si>
  <si>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</si>
  <si>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</si>
  <si>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</si>
  <si>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</si>
  <si>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</si>
  <si>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</si>
  <si>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</si>
  <si>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</si>
  <si>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</si>
  <si>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Reverse DCF - NTT (9432.T)</t>
  </si>
  <si>
    <t>What is the current share price already assuming? Every value below is a live formula off the other sheets.</t>
  </si>
  <si>
    <t>Block 0: Market-implied enterprise value (live)</t>
  </si>
  <si>
    <t>Current Share Price (JPY)</t>
  </si>
  <si>
    <t>Market Capitalisation (JPY mn)</t>
  </si>
  <si>
    <t>Enterprise Value (JPY mn)</t>
  </si>
  <si>
    <t>WACC (w)</t>
  </si>
  <si>
    <t>Terminal Growth (g)</t>
  </si>
  <si>
    <t>Effective Tax Rate (t)</t>
  </si>
  <si>
    <t>Starting Operating Profit OP0 (FY2026 actual)</t>
  </si>
  <si>
    <t>Cycle-peak Operating Profit (FY2024 actual)</t>
  </si>
  <si>
    <t>Terminal-year Revenue, active scenario (JPY mn)</t>
  </si>
  <si>
    <t>Base-case DCF Enterprise Value, PGM (JPY mn)</t>
  </si>
  <si>
    <t>Cycle-peak Operating Margin (FY2024 actual)</t>
  </si>
  <si>
    <t>Gap: market EV less base-case DCF EV (JPY mn)</t>
  </si>
  <si>
    <t>Gap per share (JPY) - the part of the price the base case does not explain</t>
  </si>
  <si>
    <t>Block A: Required steady-state operating profit, reached IMMEDIATELY (no ramp)</t>
  </si>
  <si>
    <t>The lowest bar the price can clear: today's EV read as a perpetuity of one steady-state profit, capex = D&amp;A, no NWC build.</t>
  </si>
  <si>
    <t>Required steady-state NOPAT (JPY mn)</t>
  </si>
  <si>
    <t>Required steady-state Operating Profit (JPY mn)</t>
  </si>
  <si>
    <t>... as a multiple of the FY2024 peak</t>
  </si>
  <si>
    <t>... as a multiple of FY2026 actual</t>
  </si>
  <si>
    <t>... implied OPM on terminal-year revenue</t>
  </si>
  <si>
    <t>... revenue needed if margins only reach the cycle peak</t>
  </si>
  <si>
    <t>Block B: Required steady-state operating profit by YEARS-TO-REACH (linear ramp) x WACC</t>
  </si>
  <si>
    <t>Operating profit ramps linearly from OP0 (C14) to OP* over N years, then grows at g for ever. Column F is the model WACC.</t>
  </si>
  <si>
    <t>OP* = ( EV/(1-t) - OP0*(A-B) ) / ( B + TVF ). A longer ramp needs a HIGHER steady state, because more years are spent below it.</t>
  </si>
  <si>
    <t>Years to steady state (N)   \   WACC</t>
  </si>
  <si>
    <t>N</t>
  </si>
  <si>
    <t>B-1  PV weight on the RAMP from OP0   (A - B)</t>
  </si>
  <si>
    <t>N = 3 years</t>
  </si>
  <si>
    <t>N = 5 years</t>
  </si>
  <si>
    <t>N = 7 years</t>
  </si>
  <si>
    <t>N = 10 years</t>
  </si>
  <si>
    <t>B-2  PV weight on the STEADY STATE OP*   (B + terminal factor)</t>
  </si>
  <si>
    <t>B-3  REQUIRED steady-state Operating Profit (JPY mn)</t>
  </si>
  <si>
    <t>B-4  ... as a multiple of the FY2024 peak operating profit</t>
  </si>
  <si>
    <t>Block C: Decomposing the required profit into revenue x margin (N = 5 years, model WACC)</t>
  </si>
  <si>
    <t>The revenue the company must run at, for a given steady-state operating margin, to earn the Block B-3 profit.</t>
  </si>
  <si>
    <t>Required steady-state Operating Profit (N=5, model WACC)</t>
  </si>
  <si>
    <t>Assumed steady-state OPM</t>
  </si>
  <si>
    <t>Required Revenue</t>
  </si>
  <si>
    <t>x base-year revenue</t>
  </si>
  <si>
    <t>cycle-peak OPM (FY2024)</t>
  </si>
  <si>
    <t>Block D: The same question expressed as multiples</t>
  </si>
  <si>
    <t>Current EV / latest-FY EBITDA (actual)</t>
  </si>
  <si>
    <t>Current EV / latest-FY Revenue (actual)</t>
  </si>
  <si>
    <t>EV / EBITDA if the Block A profit were already earned</t>
  </si>
  <si>
    <t>EV / EBITDA if the Block B-3 (N=5) profit were already earned</t>
  </si>
  <si>
    <t>Peer median EV / EBITDA (statistics rows)</t>
  </si>
  <si>
    <t>Rows 3-4 answer: what multiple would today's EV be paying IF the company already earned the profit the price requires?</t>
  </si>
  <si>
    <t>Block F: The one-line answer</t>
  </si>
  <si>
    <t>NWC Schedule - NTT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</si>
  <si>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</si>
  <si>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</si>
  <si>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</si>
  <si>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</si>
  <si>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</si>
  <si>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</si>
  <si>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</si>
  <si>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</si>
  <si>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</si>
  <si>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</si>
  <si>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</si>
  <si>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</si>
  <si>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</si>
  <si>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</si>
  <si>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</si>
  <si>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</si>
  <si>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</si>
  <si>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</si>
  <si>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</si>
  <si>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Peer prices as of 2026-09-06 (Mkt Cap / EV of peer rows are static CSV values; the subject row is live-linked to Executive Summary)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</si>
  <si>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</si>
  <si>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</si>
  <si>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</si>
  <si>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</si>
  <si>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</si>
  <si>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</si>
  <si>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</si>
  <si>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</si>
  <si>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</si>
  <si>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</si>
  <si>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</si>
  <si>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</si>
  <si>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Book Value
(JPY mn)</t>
  </si>
  <si>
    <t>Note</t>
  </si>
  <si>
    <t>NTT, Inc.</t>
  </si>
  <si>
    <t>9432.T</t>
  </si>
  <si>
    <t>KDDI Corporation</t>
  </si>
  <si>
    <t>9433.T</t>
  </si>
  <si>
    <t>SoftBank Corp.</t>
  </si>
  <si>
    <t>9434.T</t>
  </si>
  <si>
    <t>Okinawa Cellular Telephone Company</t>
  </si>
  <si>
    <t>9436.T</t>
  </si>
  <si>
    <t>Statistics</t>
  </si>
  <si>
    <t>25th Percentile</t>
  </si>
  <si>
    <t>Median (50th)</t>
  </si>
  <si>
    <t>75th Percentile</t>
  </si>
  <si>
    <t>Implied Valuation for NTT</t>
  </si>
  <si>
    <t>NTT Financials</t>
  </si>
  <si>
    <t>EBITDA (JPY mn)</t>
  </si>
  <si>
    <t>Net Income (JPY mn)</t>
  </si>
  <si>
    <t>Shares Outstanding</t>
  </si>
  <si>
    <t>Implied Share Price (Median Multiples)</t>
  </si>
  <si>
    <t>Via EV/EBITDA (Median)</t>
  </si>
  <si>
    <t>Via PER (Median)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</si>
  <si>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</si>
  <si>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</si>
  <si>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</si>
  <si>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</si>
  <si>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</si>
  <si>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</si>
  <si>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</si>
  <si>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</si>
  <si>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</si>
  <si>
    <t>Adjustments Log - NTT</t>
  </si>
  <si>
    <t>日付</t>
  </si>
  <si>
    <t>セル</t>
  </si>
  <si>
    <t>変更内容</t>
  </si>
  <si>
    <t>理由</t>
  </si>
  <si>
    <t>元の値</t>
  </si>
  <si>
    <t>状態</t>
  </si>
  <si>
    <t>2026-09-06</t>
  </si>
  <si>
    <t>-</t>
  </si>
  <si>
    <t>Generated by pipeline on 2026-09-06 12:39, template rev c9b5dd9</t>
  </si>
  <si>
    <t>初期生成（手修正なし）</t>
  </si>
  <si>
    <t>generated</t>
  </si>
  <si>
    <t>2026-09-05</t>
  </si>
  <si>
    <t>DCF Model!C7</t>
  </si>
  <si>
    <t>Risk-Free Rate = 2.97%</t>
  </si>
  <si>
    <t>財務省 国債金利情報 jgbcm.csv 10年物 R8.9.3(2026-09-03) 2.966% を四捨五入。バッチ全銘柄共通の一次ソース。yfinance は日本国債利回りを返さないため使用しない。</t>
  </si>
  <si>
    <t>テンプレ既定 2.2%</t>
  </si>
  <si>
    <t>確定</t>
  </si>
  <si>
    <t>DCF Model!C9</t>
  </si>
  <si>
    <t>Equity Risk Premium = 6.5%</t>
  </si>
  <si>
    <t>バッチ共通の固定前提(v2 §1-3)。銘柄固有の調整はしていない。</t>
  </si>
  <si>
    <t>テンプレ既定 6.5%(同値)</t>
  </si>
  <si>
    <t>設計判断</t>
  </si>
  <si>
    <t>DCF Model!C10</t>
  </si>
  <si>
    <t>Size Premium = 1.0%</t>
  </si>
  <si>
    <t>時価総額バンドによる機械決定(&gt;3,000億円 -&gt; 1.0%)。当社時価総額 13,985,422百万円。■テンプレートの自動規則(&gt;=1兆円 -&gt; 0.0%、&gt;=1,000億円 -&gt; 1.5%)とは異なる値であり、明示指定で上書きしている。</t>
  </si>
  <si>
    <t>テンプレ自動値</t>
  </si>
  <si>
    <t>DCF Model!C8</t>
  </si>
  <si>
    <t>Beta = 0.60</t>
  </si>
  <si>
    <t>yfinance実測 **-0.165** はクランプ下限 0.60 を下回るため、追補1 §A の規則 max(0.6, min(1.75, 実測)) により **0.60 を明示指定**した。テンプレの無言の 1.0 置換は起きていない。実測ベースより WACC は保守的に出る。</t>
  </si>
  <si>
    <t>yfinance実測 -0.165</t>
  </si>
  <si>
    <t>設計判断(クランプ下限を採用)</t>
  </si>
  <si>
    <t>DCF Model!C6</t>
  </si>
  <si>
    <t>Effective Tax Rate = 25%</t>
  </si>
  <si>
    <t>バッチ共通の既定値(v2 §1-3)。当社の実績税負担率を個別に検証したものではない。</t>
  </si>
  <si>
    <t>テンプレ既定 30%</t>
  </si>
  <si>
    <t>推定</t>
  </si>
  <si>
    <t>DCF Model!C11</t>
  </si>
  <si>
    <t>After-tax Cost of Debt = 1.28%(実績ベース)</t>
  </si>
  <si>
    <t>支払利息 240,068百万円 ÷ 平均有利子負債 ((11,171,213 + 16,919,540)/2) から算出（validate チェック17 PASS）。■出所は yfinance の Interest Expense で EDINET 有報の支払利息と未突合。</t>
  </si>
  <si>
    <t>テンプレ既定(推定値)</t>
  </si>
  <si>
    <t>推定(出所が二次ソース・要確認)</t>
  </si>
  <si>
    <t>DCF Model!C13</t>
  </si>
  <si>
    <t>Terminal Growth = 1.0%</t>
  </si>
  <si>
    <t>バッチ共通の固定前提(v2 §1-3)。</t>
  </si>
  <si>
    <t>テンプレ既定 2.0%</t>
  </si>
  <si>
    <t>DCF Model!C14</t>
  </si>
  <si>
    <t>Exit Multiple (EV/EBITDA) = 9.2x</t>
  </si>
  <si>
    <t>Peer 3社の実測EV/EBITDA中央値。 自社の現在倍率 8.10x は算式に入れていない(市場価格への循環参照回避)。■マージン品質調整式はバッチ全体で棄却済み(EV/EBITDA が既に資本集約度を織り込むため、営業利益率による上方調整は資本集約型で逆方向に働く)。</t>
  </si>
  <si>
    <t>テンプレ既定 10.0x</t>
  </si>
  <si>
    <t>全体(型判定・プレスクリーン)</t>
  </si>
  <si>
    <t>型A（通常の事業会社）として処理</t>
  </si>
  <si>
    <t>追補1 §B に従い、型判定の前に batch/prescreen.py で EDINET有報XBRL の金融事業専用科目(ForFinancialBusiness / Banking / Deposits / CallLoan / InstallmentReceivable 系)を機械チェックした。検出結果: **CLEAN**（金融事業専用科目は1件も検出されず）。銀行・captive finance なし。プレスクリーン CLEAN。赤字年なし。</t>
  </si>
  <si>
    <t>DCF Model シナリオ5本</t>
  </si>
  <si>
    <t>実績OPM分布からの導出（追補7 §Y の単調性判定: **非単調**）</t>
  </si>
  <si>
    <t>min 12.18 / p25 12.34 / med 13.22 / p75 14.15 / max 14.49。**追補7 §Y: 非単調**。直近 12.40% ≤ 中央値 13.22% のため**中央値へ収束**。Upside = p75 を上回る 14.15%、Downside 1 = p25 の 12.34%、Downside 2 は 売上 −5% + OPM 9.8〜10.8%。COGS% は直近実績 **57.0%** 固定・SGA% 逆算。</t>
  </si>
  <si>
    <t>テンプレ自動生成シナリオ</t>
  </si>
  <si>
    <t>DCF Model Management シナリオ</t>
  </si>
  <si>
    <t>Management = Base と同一</t>
  </si>
  <si>
    <t>EDINET XBRL・TDnet短信のいずれからも会社業績予想を取得できなかった(生成ログ Step 3: 'No guidance data found')。v2 §7-2 に従い Management=Base で続行。■本バッチではここまで生成した全銘柄で同じ結果になっており、銘柄固有ではなくパイプラインの構造的な取得失敗である。</t>
  </si>
  <si>
    <t>フォールバック使用(会社予想未取得)</t>
  </si>
  <si>
    <t>DCF Model NWC(dso/dih/dpo)</t>
  </si>
  <si>
    <t>Base: DSO 130 / DIH 67 / DPO 355 日</t>
  </si>
  <si>
    <t>実績4期の平均。Downside では運転資本の悪化を織り込み DSO/DIH を延ばし DPO を縮めた。</t>
  </si>
  <si>
    <t>Comps Analysis</t>
  </si>
  <si>
    <t>Peer 3社 = 9433 KDDI / 9434 ソフトバンク / 9436 沖縄セルラー電話</t>
  </si>
  <si>
    <t>**Peer は n=3**。国内の上場通信事業者は NTT / KDDI / ソフトバンク / 沖縄セルラー の4社しかなく、対象を除くと3社が上限である（5108 ブリヂストンと同じ n=3 の扱い）。■9434 ソフトバンクは D&amp;A が MIXED-YEAR（FY2025/3 へフォールバック）である旨が comps CSV に開示されている。</t>
  </si>
  <si>
    <t>Executive Summary!C10 / Target</t>
  </si>
  <si>
    <t>Target Price = 339円 = PGM 369円 と Exit 308円 の2本平均。Comps 2本(EV/EBITDA —円 / PER —円)は [参考・Target不算入]</t>
  </si>
  <si>
    <t>メモ§2 の規約どおり。validate チェック14 PASS(C10 が C16:C17 のみを平均)。</t>
  </si>
  <si>
    <t>全体(納品状態)</t>
  </si>
  <si>
    <t>本ファイルは DRAFT。_FINAL は付けない</t>
  </si>
  <si>
    <t>バッチモードでの機械生成物であり人間の検証を経ていない。FINAL化は手順書v2 §6 に従い検証後に行う。</t>
  </si>
  <si>
    <t>DRAFT</t>
  </si>
  <si>
    <t>全体(未解決)</t>
  </si>
  <si>
    <t>**追補8 §AG の低WACC要検証に該当（WACC 4.46%）**</t>
  </si>
  <si>
    <t>beta 実測 **−0.165**（本バッチで最も低い）→ クランプ下限 0.60 を採用。負債ウェイト 55%（net_debt 14,997,658）・税引後Kd 1.28% との組合せで WACC が 4.46% に落ちている。**FINAL化時は beta 再導出と D/E 前提の検証を必須とする。**</t>
  </si>
  <si>
    <t>未解決</t>
  </si>
  <si>
    <t>**net_debt 14.99兆円 が有利子負債の1年での急増（11.17兆 → 16.92兆）を含む**</t>
  </si>
  <si>
    <t>増加要因（設備投資・買収・自己株取得のいずれか）を一次ソースで確認していない。**Target への影響が最も大きい未検証前提**。</t>
  </si>
  <si>
    <t>DPO 355日 は本バッチで突出して長い</t>
  </si>
  <si>
    <t>設備投資関連の未払金が買掛金に含まれている可能性がある。運転資本の projection がこの水準を前提にしている。</t>
  </si>
  <si>
    <t>Peer が3社しかなく中央値の頑健性が低い</t>
  </si>
  <si>
    <t>追補7 §AA のバンド頑健性判定も n が小さいと不安定。FINAL化時は海外通信（AT&amp;T / Verizon / Deutsche Telekom 等）を一次ソースで加えることを推奨。</t>
  </si>
  <si>
    <t>Pipeline Metadata (do not edit — read by scripts/validate_output.py)</t>
  </si>
  <si>
    <t>key</t>
  </si>
  <si>
    <t>value</t>
  </si>
  <si>
    <t>auto_log_entries</t>
  </si>
  <si>
    <t>1</t>
  </si>
  <si>
    <t>capex_pct_basis</t>
  </si>
  <si>
    <t>assumption</t>
  </si>
  <si>
    <t>capex_pct_c5</t>
  </si>
  <si>
    <t>0.130515</t>
  </si>
  <si>
    <t>capex_pct_hist3yr</t>
  </si>
  <si>
    <t>company_name</t>
  </si>
  <si>
    <t>comps_asof</t>
  </si>
  <si>
    <t>comps_da_missing</t>
  </si>
  <si>
    <t>none</t>
  </si>
  <si>
    <t>comps_ev_ebitda_invalid</t>
  </si>
  <si>
    <t>no</t>
  </si>
  <si>
    <t>comps_ev_ebitda_rows</t>
  </si>
  <si>
    <t>6,7,8</t>
  </si>
  <si>
    <t>comps_impl_mult_row</t>
  </si>
  <si>
    <t>27</t>
  </si>
  <si>
    <t>comps_impl_per_row</t>
  </si>
  <si>
    <t>28</t>
  </si>
  <si>
    <t>comps_peer_rows</t>
  </si>
  <si>
    <t>comps_stale_excluded</t>
  </si>
  <si>
    <t>comps_stat_median_row</t>
  </si>
  <si>
    <t>16</t>
  </si>
  <si>
    <t>comps_subject_row</t>
  </si>
  <si>
    <t>5</t>
  </si>
  <si>
    <t>cost_of_debt_actual</t>
  </si>
  <si>
    <t>interest 240,068 (expense 240,068 + fees 0) / avg debt 14,045,376 (debt_beginning/debt_ending) = 0.017092 pre-tax -&gt; 0.012800 after-tax</t>
  </si>
  <si>
    <t>cost_of_debt_at_c11</t>
  </si>
  <si>
    <t>0.0128</t>
  </si>
  <si>
    <t>cost_of_debt_avg_debt</t>
  </si>
  <si>
    <t>14045376.5</t>
  </si>
  <si>
    <t>cost_of_debt_basis</t>
  </si>
  <si>
    <t>actual</t>
  </si>
  <si>
    <t>cost_of_debt_interest</t>
  </si>
  <si>
    <t>240068.0</t>
  </si>
  <si>
    <t>cost_of_debt_pretax</t>
  </si>
  <si>
    <t>0.01709231504046901</t>
  </si>
  <si>
    <t>da_pct_basis</t>
  </si>
  <si>
    <t>da_pct_c18</t>
  </si>
  <si>
    <t>0.1243</t>
  </si>
  <si>
    <t>da_pct_hist3yr</t>
  </si>
  <si>
    <t>fs_year_coverage</t>
  </si>
  <si>
    <t>OCF 4/4, Cash 4/4, Debt 0/4</t>
  </si>
  <si>
    <t>fs_year_map</t>
  </si>
  <si>
    <t>FY2023&lt;-FY2023[ocf+cash]; FY2024&lt;-FY2024[ocf+cash]; FY2025&lt;-FY2025[ocf+cash]; FY2026&lt;-FY2026[ocf+cash]</t>
  </si>
  <si>
    <t>fs_year_sources</t>
  </si>
  <si>
    <t>overrides: none | EDINET year-key match: hist_ocf, hist_cash, hist_debt, hist_capex, hist_depreciation</t>
  </si>
  <si>
    <t>fx_sensitivity</t>
  </si>
  <si>
    <t>not enabled</t>
  </si>
  <si>
    <t>generated_at</t>
  </si>
  <si>
    <t>2026-09-06 12:39:34</t>
  </si>
  <si>
    <t>ltm_revenue_c20</t>
  </si>
  <si>
    <t>14409121.0</t>
  </si>
  <si>
    <t>ltm_revenue_source</t>
  </si>
  <si>
    <t>latest FY (no LTM)</t>
  </si>
  <si>
    <t>narrative_tokens_used</t>
  </si>
  <si>
    <t>reverse_dcf_sheet</t>
  </si>
  <si>
    <t>op0=1,786,410(FY2026) peak=1,937,382(FY2024) peak_opm=0.1449 N=3/5/7/10</t>
  </si>
  <si>
    <t>scenario_index_range</t>
  </si>
  <si>
    <t>B69:B73</t>
  </si>
  <si>
    <t>tax_rate_c6</t>
  </si>
  <si>
    <t>0.25</t>
  </si>
  <si>
    <t>template_rev</t>
  </si>
  <si>
    <t>c9b5dd9</t>
  </si>
  <si>
    <t>ticker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</si>
</sst>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10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  <font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176" fontId="5" fillId="0" borderId="2" xfId="0" applyNumberFormat="1" applyFont="1" applyBorder="1"/>
    <xf numFmtId="0" fontId="6" fillId="3" borderId="0" xfId="0" applyFont="1" applyFill="1"/>
    <xf numFmtId="180" fontId="6" fillId="3" borderId="0" xfId="0" applyNumberFormat="1" applyFont="1" applyFill="1" applyAlignment="1">
      <alignment horizontal="center"/>
    </xf>
    <xf numFmtId="3" fontId="5" fillId="0" borderId="2" xfId="0" applyNumberFormat="1" applyFont="1" applyBorder="1"/>
    <xf numFmtId="177" fontId="4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9" fillId="0" borderId="0" xfId="0" applyFont="1"/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customHeight="1" x14ac:dyDescent="0.3">
      <c r="B1" s="46" t="s">
        <v>0</v>
      </c>
      <c r="C1" s="45"/>
      <c r="D1" s="45"/>
      <c r="E1" s="45"/>
    </row>
    <row r="3" spans="2:5" ht="18" customHeight="1" x14ac:dyDescent="0.4">
      <c r="B3" s="44" t="s">
        <v>1</v>
      </c>
      <c r="C3" s="45"/>
      <c r="D3" s="45"/>
    </row>
    <row r="4" spans="2:5" ht="14" customHeight="1" x14ac:dyDescent="0.3">
      <c r="B4" s="3" t="s">
        <v>2</v>
      </c>
    </row>
    <row r="6" spans="2:5" ht="14" customHeight="1" x14ac:dyDescent="0.3">
      <c r="B6" s="4" t="s">
        <v>3</v>
      </c>
      <c r="C6" t="s">
        <v>4</v>
      </c>
    </row>
    <row r="7" spans="2:5" ht="14" customHeight="1" x14ac:dyDescent="0.3">
      <c r="B7" s="4" t="s">
        <v>5</v>
      </c>
      <c r="C7" t="s">
        <v>6</v>
      </c>
    </row>
    <row r="8" spans="2:5" ht="14" customHeight="1" x14ac:dyDescent="0.3">
      <c r="B8" s="4" t="s">
        <v>7</v>
      </c>
      <c r="C8" t="s">
        <v>8</v>
      </c>
    </row>
    <row r="9" spans="2:5" ht="14" customHeight="1" x14ac:dyDescent="0.3">
      <c r="B9" s="4" t="s">
        <v>9</v>
      </c>
      <c r="C9" s="5">
        <v>172.6000061035156</v>
      </c>
    </row>
    <row r="10" spans="2:5" ht="14" customHeight="1" x14ac:dyDescent="0.3">
      <c r="B10" s="4" t="s">
        <v>10</v>
      </c>
      <c r="C10" s="5">
        <f>IF(COUNT(C16:C17)=0,"N/A",ROUND(AVERAGE(C16:C17),0))</f>
        <v>339</v>
      </c>
    </row>
    <row r="11" spans="2:5" ht="14" customHeight="1" x14ac:dyDescent="0.3">
      <c r="B11" s="4" t="s">
        <v>11</v>
      </c>
      <c r="C11" s="6" t="str">
        <f>IF(NOT(ISNUMBER(C12)),"N/A",IF(C12&gt;0.15,"BUY",IF(C12&gt;0.05,"HOLD","SELL")))</f>
        <v>BUY</v>
      </c>
    </row>
    <row r="12" spans="2:5" ht="14" customHeight="1" x14ac:dyDescent="0.3">
      <c r="B12" s="4" t="s">
        <v>12</v>
      </c>
      <c r="C12" s="7">
        <f>IF(ISNUMBER(C10),(C10-C9)/C9,"N/A")</f>
        <v>0.96407872544736306</v>
      </c>
    </row>
    <row r="14" spans="2:5" ht="14" customHeight="1" x14ac:dyDescent="0.3">
      <c r="B14" s="8" t="s">
        <v>13</v>
      </c>
      <c r="C14" s="9"/>
      <c r="D14" s="9"/>
    </row>
    <row r="15" spans="2:5" ht="14" customHeight="1" x14ac:dyDescent="0.3">
      <c r="B15" s="10" t="s">
        <v>14</v>
      </c>
      <c r="C15" s="10" t="s">
        <v>15</v>
      </c>
      <c r="D15" s="10" t="s">
        <v>16</v>
      </c>
    </row>
    <row r="16" spans="2:5" ht="13.5" customHeight="1" x14ac:dyDescent="0.25">
      <c r="B16" t="s">
        <v>17</v>
      </c>
      <c r="C16" s="11">
        <f>IF('DCF Model'!C53&lt;'DCF Model'!C16,"INVALID (EV &lt; net debt)",'DCF Model'!C55)</f>
        <v>369</v>
      </c>
      <c r="D16" s="7">
        <f>IF(ISNUMBER(C16),(C16-C9)/C9,"N/A")</f>
        <v>1.1378910020356252</v>
      </c>
    </row>
    <row r="17" spans="2:5" ht="13.5" customHeight="1" x14ac:dyDescent="0.25">
      <c r="B17" t="s">
        <v>18</v>
      </c>
      <c r="C17" s="11">
        <f>IF('DCF Model'!C62&lt;'DCF Model'!C16,"INVALID (EV &lt; net debt)",'DCF Model'!C64)</f>
        <v>308</v>
      </c>
      <c r="D17" s="7">
        <f>IF(ISNUMBER(C17),(C17-C9)/C9,"N/A")</f>
        <v>0.78447270630615873</v>
      </c>
    </row>
    <row r="18" spans="2:5" ht="13.5" customHeight="1" x14ac:dyDescent="0.25">
      <c r="B18" t="s">
        <v>19</v>
      </c>
      <c r="C18" s="11">
        <f>'Comps Analysis'!C27</f>
        <v>221</v>
      </c>
      <c r="D18" s="7">
        <f>IF(ISNUMBER(C18),(C18-C9)/C9,"N/A")</f>
        <v>0.28041710420019833</v>
      </c>
    </row>
    <row r="19" spans="2:5" ht="13.5" customHeight="1" x14ac:dyDescent="0.25">
      <c r="B19" t="s">
        <v>20</v>
      </c>
      <c r="C19" s="11">
        <f>'Comps Analysis'!C28</f>
        <v>266</v>
      </c>
      <c r="D19" s="7">
        <f>IF(ISNUMBER(C19),(C19-C9)/C9,"N/A")</f>
        <v>0.54113551908259172</v>
      </c>
    </row>
    <row r="20" spans="2:5" ht="14" customHeight="1" x14ac:dyDescent="0.3">
      <c r="B20" s="46" t="s">
        <v>21</v>
      </c>
      <c r="C20" s="45"/>
      <c r="D20" s="45"/>
      <c r="E20" s="45"/>
    </row>
    <row r="21" spans="2:5" ht="14" customHeight="1" x14ac:dyDescent="0.3">
      <c r="B21" s="4" t="s">
        <v>22</v>
      </c>
      <c r="C21" s="6" t="str">
        <f>IF(COUNT(C16:C17)=0,"N/A",MIN(C16:C17)&amp;" - "&amp;MAX(C16:C17))</f>
        <v>308 - 369</v>
      </c>
    </row>
    <row r="23" spans="2:5" ht="14" customHeight="1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customHeight="1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F30"/>
  <sheetViews>
    <sheetView workbookViewId="0"/>
  </sheetViews>
  <sheetFormatPr defaultRowHeight="13" x14ac:dyDescent="0.2"/>
  <cols>
    <col min="1" max="1" width="3" customWidth="1"/>
    <col min="2" max="2" width="32" customWidth="1"/>
    <col min="3" max="6" width="18" customWidth="1"/>
  </cols>
  <sheetData>
    <row r="2" spans="2:6" ht="18" customHeight="1" x14ac:dyDescent="0.4">
      <c r="B2" s="2" t="s">
        <v>31</v>
      </c>
    </row>
    <row r="4" spans="2:6" ht="14" customHeight="1" x14ac:dyDescent="0.3">
      <c r="C4" s="10" t="s">
        <v>32</v>
      </c>
      <c r="D4" s="10" t="s">
        <v>33</v>
      </c>
      <c r="E4" s="10" t="s">
        <v>34</v>
      </c>
      <c r="F4" s="10" t="s">
        <v>35</v>
      </c>
    </row>
    <row r="5" spans="2:6" ht="14" customHeight="1" x14ac:dyDescent="0.3">
      <c r="B5" s="3" t="s">
        <v>36</v>
      </c>
    </row>
    <row r="6" spans="2:6" ht="14" customHeight="1" x14ac:dyDescent="0.3">
      <c r="B6" s="4" t="s">
        <v>37</v>
      </c>
      <c r="C6" s="5">
        <v>13136194</v>
      </c>
      <c r="D6" s="5">
        <v>13374569</v>
      </c>
      <c r="E6" s="5">
        <v>13704727</v>
      </c>
      <c r="F6" s="5">
        <v>14409121</v>
      </c>
    </row>
    <row r="7" spans="2:6" ht="14" customHeight="1" x14ac:dyDescent="0.3">
      <c r="B7" s="4" t="s">
        <v>38</v>
      </c>
      <c r="C7" s="5">
        <v>2768711</v>
      </c>
      <c r="D7" s="5">
        <v>2935465</v>
      </c>
      <c r="E7" s="5">
        <v>3098603</v>
      </c>
      <c r="F7" s="5">
        <v>3214887</v>
      </c>
    </row>
    <row r="8" spans="2:6" ht="14" customHeight="1" x14ac:dyDescent="0.3">
      <c r="B8" s="4" t="s">
        <v>39</v>
      </c>
      <c r="C8" s="5">
        <f>C6-C7</f>
        <v>10367483</v>
      </c>
      <c r="D8" s="5">
        <f>D6-D7</f>
        <v>10439104</v>
      </c>
      <c r="E8" s="5">
        <f>E6-E7</f>
        <v>10606124</v>
      </c>
      <c r="F8" s="5">
        <f>F6-F7</f>
        <v>11194234</v>
      </c>
    </row>
    <row r="9" spans="2:6" ht="13.5" customHeight="1" x14ac:dyDescent="0.25">
      <c r="B9" t="s">
        <v>40</v>
      </c>
      <c r="C9" s="7">
        <f>C8/C6</f>
        <v>0.7892303508915901</v>
      </c>
      <c r="D9" s="7">
        <f>D8/D6</f>
        <v>0.78051890868408547</v>
      </c>
      <c r="E9" s="7">
        <f>E8/E6</f>
        <v>0.77390261039129049</v>
      </c>
      <c r="F9" s="7">
        <f>F8/F6</f>
        <v>0.7768852798168604</v>
      </c>
    </row>
    <row r="10" spans="2:6" ht="14" customHeight="1" x14ac:dyDescent="0.3">
      <c r="B10" s="4" t="s">
        <v>41</v>
      </c>
      <c r="C10" s="5">
        <v>8522530</v>
      </c>
      <c r="D10" s="5">
        <v>8501722</v>
      </c>
      <c r="E10" s="5">
        <v>8936485</v>
      </c>
      <c r="F10" s="5">
        <v>9407824</v>
      </c>
    </row>
    <row r="11" spans="2:6" ht="14" customHeight="1" x14ac:dyDescent="0.3">
      <c r="B11" s="4" t="s">
        <v>42</v>
      </c>
      <c r="C11" s="5">
        <v>1844953</v>
      </c>
      <c r="D11" s="5">
        <v>1937382</v>
      </c>
      <c r="E11" s="5">
        <v>1669639</v>
      </c>
      <c r="F11" s="5">
        <v>1786410</v>
      </c>
    </row>
    <row r="12" spans="2:6" ht="14" customHeight="1" x14ac:dyDescent="0.3">
      <c r="B12" s="4" t="s">
        <v>43</v>
      </c>
      <c r="C12" s="5">
        <v>1213116</v>
      </c>
      <c r="D12" s="5">
        <v>1279521</v>
      </c>
      <c r="E12" s="5">
        <v>1000016</v>
      </c>
      <c r="F12" s="5">
        <v>1037032</v>
      </c>
    </row>
    <row r="13" spans="2:6" ht="13.5" customHeight="1" x14ac:dyDescent="0.25">
      <c r="B13" t="s">
        <v>44</v>
      </c>
      <c r="C13" s="7">
        <f>C11/C6</f>
        <v>0.14044806281027822</v>
      </c>
      <c r="D13" s="7">
        <f>D11/D6</f>
        <v>0.14485565852626728</v>
      </c>
      <c r="E13" s="7">
        <f>E11/E6</f>
        <v>0.12182942425631682</v>
      </c>
      <c r="F13" s="7">
        <f>F11/F6</f>
        <v>0.12397772216639724</v>
      </c>
    </row>
    <row r="14" spans="2:6" ht="13.5" customHeight="1" x14ac:dyDescent="0.25">
      <c r="B14" t="s">
        <v>45</v>
      </c>
      <c r="C14" s="7">
        <f>C12/C6</f>
        <v>9.2349123345772749E-2</v>
      </c>
      <c r="D14" s="7">
        <f>D12/D6</f>
        <v>9.566820433615468E-2</v>
      </c>
      <c r="E14" s="7">
        <f>E12/E6</f>
        <v>7.2968691751393519E-2</v>
      </c>
      <c r="F14" s="7">
        <f>F12/F6</f>
        <v>7.1970524780796824E-2</v>
      </c>
    </row>
    <row r="15" spans="2:6" ht="13.5" customHeight="1" x14ac:dyDescent="0.25">
      <c r="B15" t="s">
        <v>46</v>
      </c>
      <c r="C15" t="s">
        <v>47</v>
      </c>
      <c r="D15" s="7">
        <f>(D6-C6)/C6</f>
        <v>1.8146428105431451E-2</v>
      </c>
      <c r="E15" s="7">
        <f>(E6-D6)/D6</f>
        <v>2.4685505753493812E-2</v>
      </c>
      <c r="F15" s="7">
        <f>(F6-E6)/E6</f>
        <v>5.139788629135042E-2</v>
      </c>
    </row>
    <row r="16" spans="2:6" ht="13.5" customHeight="1" x14ac:dyDescent="0.25">
      <c r="B16" t="s">
        <v>48</v>
      </c>
      <c r="C16" t="s">
        <v>47</v>
      </c>
      <c r="D16" s="7">
        <f>(D11-C11)/C11</f>
        <v>5.0098295186923464E-2</v>
      </c>
      <c r="E16" s="7">
        <f>(E11-D11)/D11</f>
        <v>-0.13819835220932164</v>
      </c>
      <c r="F16" s="7">
        <f>(F11-E11)/E11</f>
        <v>6.9937872797652664E-2</v>
      </c>
    </row>
    <row r="18" spans="2:6" ht="14" customHeight="1" x14ac:dyDescent="0.3">
      <c r="B18" s="3" t="s">
        <v>49</v>
      </c>
    </row>
    <row r="19" spans="2:6" ht="14" customHeight="1" x14ac:dyDescent="0.3">
      <c r="B19" s="4" t="s">
        <v>50</v>
      </c>
      <c r="C19" s="5">
        <v>2261013</v>
      </c>
      <c r="D19" s="5">
        <v>2374159</v>
      </c>
      <c r="E19" s="5">
        <v>2364031</v>
      </c>
      <c r="F19" s="5">
        <v>1485190</v>
      </c>
    </row>
    <row r="20" spans="2:6" ht="14" customHeight="1" x14ac:dyDescent="0.3">
      <c r="B20" s="4" t="s">
        <v>51</v>
      </c>
      <c r="C20" s="5"/>
      <c r="D20" s="5"/>
      <c r="E20" s="5"/>
      <c r="F20" s="5"/>
    </row>
    <row r="21" spans="2:6" ht="14" customHeight="1" x14ac:dyDescent="0.3">
      <c r="B21" s="4" t="s">
        <v>52</v>
      </c>
    </row>
    <row r="22" spans="2:6" x14ac:dyDescent="0.2">
      <c r="B22" t="s">
        <v>53</v>
      </c>
    </row>
    <row r="23" spans="2:6" x14ac:dyDescent="0.2">
      <c r="B23" t="s">
        <v>54</v>
      </c>
    </row>
    <row r="25" spans="2:6" ht="14" customHeight="1" x14ac:dyDescent="0.3">
      <c r="B25" s="3" t="s">
        <v>55</v>
      </c>
    </row>
    <row r="26" spans="2:6" ht="14" customHeight="1" x14ac:dyDescent="0.3">
      <c r="B26" s="4" t="s">
        <v>56</v>
      </c>
      <c r="C26" s="5">
        <v>793920</v>
      </c>
      <c r="D26" s="5">
        <v>982874</v>
      </c>
      <c r="E26" s="5">
        <v>1000994</v>
      </c>
      <c r="F26" s="5">
        <v>1921882</v>
      </c>
    </row>
    <row r="27" spans="2:6" ht="14" customHeight="1" x14ac:dyDescent="0.3">
      <c r="B27" s="4" t="s">
        <v>57</v>
      </c>
      <c r="C27" s="5"/>
      <c r="D27" s="5"/>
      <c r="E27" s="5"/>
      <c r="F27" s="5"/>
    </row>
    <row r="28" spans="2:6" ht="14" customHeight="1" x14ac:dyDescent="0.3">
      <c r="B28" s="4" t="s">
        <v>58</v>
      </c>
    </row>
    <row r="30" spans="2:6" ht="14" customHeight="1" x14ac:dyDescent="0.3">
      <c r="B30" s="1" t="s">
        <v>59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customHeight="1" x14ac:dyDescent="0.4">
      <c r="B2" s="2" t="s">
        <v>60</v>
      </c>
    </row>
    <row r="4" spans="2:7" ht="14" customHeight="1" x14ac:dyDescent="0.3">
      <c r="B4" s="8" t="s">
        <v>61</v>
      </c>
      <c r="C4" s="9"/>
      <c r="D4" s="9"/>
      <c r="E4" s="9"/>
      <c r="F4" s="9"/>
      <c r="G4" s="9"/>
    </row>
    <row r="5" spans="2:7" ht="14" customHeight="1" x14ac:dyDescent="0.3">
      <c r="B5" s="4" t="s">
        <v>62</v>
      </c>
      <c r="C5" s="7">
        <v>0.13051499999999999</v>
      </c>
    </row>
    <row r="6" spans="2:7" ht="14" customHeight="1" x14ac:dyDescent="0.3">
      <c r="B6" s="4" t="s">
        <v>63</v>
      </c>
      <c r="C6" s="7">
        <v>0.25</v>
      </c>
    </row>
    <row r="7" spans="2:7" ht="14" customHeight="1" x14ac:dyDescent="0.3">
      <c r="B7" s="4" t="s">
        <v>64</v>
      </c>
      <c r="C7" s="7">
        <v>2.9700000000000001E-2</v>
      </c>
    </row>
    <row r="8" spans="2:7" ht="14" customHeight="1" x14ac:dyDescent="0.3">
      <c r="B8" s="4" t="s">
        <v>65</v>
      </c>
      <c r="C8" s="12">
        <v>0.6</v>
      </c>
    </row>
    <row r="9" spans="2:7" ht="14" customHeight="1" x14ac:dyDescent="0.3">
      <c r="B9" s="4" t="s">
        <v>66</v>
      </c>
      <c r="C9" s="7">
        <v>6.5000000000000002E-2</v>
      </c>
    </row>
    <row r="10" spans="2:7" ht="14" customHeight="1" x14ac:dyDescent="0.3">
      <c r="B10" s="4" t="s">
        <v>67</v>
      </c>
      <c r="C10" s="7">
        <v>0.01</v>
      </c>
    </row>
    <row r="11" spans="2:7" ht="14" customHeight="1" x14ac:dyDescent="0.3">
      <c r="B11" s="4" t="s">
        <v>68</v>
      </c>
      <c r="C11" s="7">
        <v>1.2800000000000001E-2</v>
      </c>
    </row>
    <row r="12" spans="2:7" ht="14" customHeight="1" x14ac:dyDescent="0.3">
      <c r="B12" s="4" t="s">
        <v>69</v>
      </c>
      <c r="C12" s="13">
        <v>1.0724</v>
      </c>
    </row>
    <row r="13" spans="2:7" ht="14" customHeight="1" x14ac:dyDescent="0.3">
      <c r="B13" s="4" t="s">
        <v>70</v>
      </c>
      <c r="C13" s="7">
        <v>0.01</v>
      </c>
    </row>
    <row r="14" spans="2:7" ht="14" customHeight="1" x14ac:dyDescent="0.3">
      <c r="B14" s="4" t="s">
        <v>71</v>
      </c>
      <c r="C14" s="14">
        <v>9.1999999999999993</v>
      </c>
    </row>
    <row r="15" spans="2:7" ht="14" customHeight="1" x14ac:dyDescent="0.3">
      <c r="B15" s="4" t="s">
        <v>72</v>
      </c>
      <c r="C15" s="15">
        <v>81027939965</v>
      </c>
    </row>
    <row r="16" spans="2:7" ht="14" customHeight="1" x14ac:dyDescent="0.3">
      <c r="B16" s="4" t="s">
        <v>73</v>
      </c>
      <c r="C16" s="5">
        <v>14997658</v>
      </c>
    </row>
    <row r="17" spans="2:7" ht="14" customHeight="1" x14ac:dyDescent="0.3">
      <c r="B17" s="4" t="s">
        <v>74</v>
      </c>
      <c r="C17" s="5">
        <v>14409121</v>
      </c>
    </row>
    <row r="18" spans="2:7" ht="14" customHeight="1" x14ac:dyDescent="0.3">
      <c r="B18" s="4" t="s">
        <v>75</v>
      </c>
      <c r="C18" s="7">
        <v>0.12429999999999999</v>
      </c>
    </row>
    <row r="19" spans="2:7" ht="14" customHeight="1" x14ac:dyDescent="0.3">
      <c r="B19" s="4" t="s">
        <v>76</v>
      </c>
      <c r="C19" s="12">
        <v>1</v>
      </c>
    </row>
    <row r="20" spans="2:7" ht="14" customHeight="1" x14ac:dyDescent="0.3">
      <c r="B20" s="4" t="s">
        <v>77</v>
      </c>
      <c r="C20" s="5">
        <v>14409121</v>
      </c>
    </row>
    <row r="22" spans="2:7" ht="14" customHeight="1" x14ac:dyDescent="0.3">
      <c r="B22" s="8" t="s">
        <v>78</v>
      </c>
      <c r="C22" s="9"/>
      <c r="D22" s="9"/>
      <c r="E22" s="9"/>
      <c r="F22" s="9"/>
      <c r="G22" s="9"/>
    </row>
    <row r="23" spans="2:7" ht="14" customHeight="1" x14ac:dyDescent="0.3">
      <c r="B23" s="4" t="s">
        <v>79</v>
      </c>
      <c r="C23" s="16">
        <f>C7+C8*C9+C10</f>
        <v>7.8699999999999992E-2</v>
      </c>
    </row>
    <row r="24" spans="2:7" ht="14" customHeight="1" x14ac:dyDescent="0.3">
      <c r="B24" s="4" t="s">
        <v>80</v>
      </c>
      <c r="C24" s="16">
        <f>1/(1+C12)</f>
        <v>0.48253232966608761</v>
      </c>
    </row>
    <row r="25" spans="2:7" ht="14" customHeight="1" x14ac:dyDescent="0.3">
      <c r="B25" s="4" t="s">
        <v>81</v>
      </c>
      <c r="C25" s="16">
        <f>C12/(1+C12)</f>
        <v>0.51746767033391239</v>
      </c>
    </row>
    <row r="26" spans="2:7" ht="14" customHeight="1" x14ac:dyDescent="0.3">
      <c r="B26" s="4" t="s">
        <v>82</v>
      </c>
      <c r="C26" s="16">
        <f>C23*C24+C11*C25</f>
        <v>4.4598880524995173E-2</v>
      </c>
    </row>
    <row r="27" spans="2:7" ht="14" customHeight="1" x14ac:dyDescent="0.3">
      <c r="B27" s="4" t="s">
        <v>83</v>
      </c>
      <c r="C27" s="17" t="s">
        <v>84</v>
      </c>
      <c r="D27" s="6">
        <f>MATCH(C27,B69:B73,0)</f>
        <v>1</v>
      </c>
    </row>
    <row r="28" spans="2:7" ht="14" customHeight="1" x14ac:dyDescent="0.3">
      <c r="B28" s="8" t="s">
        <v>85</v>
      </c>
      <c r="C28" s="9"/>
      <c r="D28" s="9"/>
      <c r="E28" s="9"/>
      <c r="F28" s="9"/>
      <c r="G28" s="9"/>
    </row>
    <row r="29" spans="2:7" ht="14" customHeight="1" x14ac:dyDescent="0.3">
      <c r="C29" s="10" t="s">
        <v>86</v>
      </c>
      <c r="D29" s="10" t="s">
        <v>87</v>
      </c>
      <c r="E29" s="10" t="s">
        <v>88</v>
      </c>
      <c r="F29" s="10" t="s">
        <v>89</v>
      </c>
      <c r="G29" s="10" t="s">
        <v>90</v>
      </c>
    </row>
    <row r="30" spans="2:7" ht="14" customHeight="1" x14ac:dyDescent="0.3">
      <c r="B30" s="4" t="s">
        <v>46</v>
      </c>
      <c r="C30" s="18">
        <f>CHOOSE($D$27,C69,C70,C71,C72,C73)</f>
        <v>0.02</v>
      </c>
      <c r="D30" s="18">
        <f>CHOOSE($D$27,D69,D70,D71,D72,D73)</f>
        <v>0.02</v>
      </c>
      <c r="E30" s="18">
        <f>CHOOSE($D$27,E69,E70,E71,E72,E73)</f>
        <v>0.02</v>
      </c>
      <c r="F30" s="18">
        <f>CHOOSE($D$27,F69,F70,F71,F72,F73)</f>
        <v>0.02</v>
      </c>
      <c r="G30" s="18">
        <f>CHOOSE($D$27,G69,G70,G71,G72,G73)</f>
        <v>1.4999999999999999E-2</v>
      </c>
    </row>
    <row r="31" spans="2:7" ht="14" customHeight="1" x14ac:dyDescent="0.3">
      <c r="B31" s="4" t="s">
        <v>91</v>
      </c>
      <c r="C31" s="18">
        <f>CHOOSE($D$27,C76,C77,C78,C79,C80)</f>
        <v>0.56999999999999995</v>
      </c>
      <c r="D31" s="18">
        <f>CHOOSE($D$27,D76,D77,D78,D79,D80)</f>
        <v>0.56999999999999995</v>
      </c>
      <c r="E31" s="18">
        <f>CHOOSE($D$27,E76,E77,E78,E79,E80)</f>
        <v>0.56999999999999995</v>
      </c>
      <c r="F31" s="18">
        <f>CHOOSE($D$27,F76,F77,F78,F79,F80)</f>
        <v>0.56999999999999995</v>
      </c>
      <c r="G31" s="18">
        <f>CHOOSE($D$27,G76,G77,G78,G79,G80)</f>
        <v>0.56999999999999995</v>
      </c>
    </row>
    <row r="32" spans="2:7" ht="14" customHeight="1" x14ac:dyDescent="0.3">
      <c r="B32" s="4" t="s">
        <v>92</v>
      </c>
      <c r="C32" s="18">
        <f>CHOOSE($D$27,C83,C84,C85,C86,C87)</f>
        <v>0.30399999999999999</v>
      </c>
      <c r="D32" s="18">
        <f>CHOOSE($D$27,D83,D84,D85,D86,D87)</f>
        <v>0.30199999999999999</v>
      </c>
      <c r="E32" s="18">
        <f>CHOOSE($D$27,E83,E84,E85,E86,E87)</f>
        <v>0.30020000000000002</v>
      </c>
      <c r="F32" s="18">
        <f>CHOOSE($D$27,F83,F84,F85,F86,F87)</f>
        <v>0.29880000000000001</v>
      </c>
      <c r="G32" s="18">
        <f>CHOOSE($D$27,G83,G84,G85,G86,G87)</f>
        <v>0.29780000000000001</v>
      </c>
    </row>
    <row r="33" spans="2:7" ht="14" customHeight="1" x14ac:dyDescent="0.3">
      <c r="B33" s="4" t="s">
        <v>37</v>
      </c>
      <c r="C33" s="5">
        <f>C17*(1+C30)</f>
        <v>14697303.42</v>
      </c>
      <c r="D33" s="5">
        <f>C33*(1+D30)</f>
        <v>14991249.488400001</v>
      </c>
      <c r="E33" s="5">
        <f>D33*(1+E30)</f>
        <v>15291074.478168001</v>
      </c>
      <c r="F33" s="5">
        <f>E33*(1+F30)</f>
        <v>15596895.967731362</v>
      </c>
      <c r="G33" s="5">
        <f>F33*(1+G30)</f>
        <v>15830849.407247331</v>
      </c>
    </row>
    <row r="34" spans="2:7" ht="14" customHeight="1" x14ac:dyDescent="0.3">
      <c r="B34" s="4" t="s">
        <v>38</v>
      </c>
      <c r="C34" s="5">
        <f>C33*C31</f>
        <v>8377462.9493999993</v>
      </c>
      <c r="D34" s="5">
        <f>D33*D31</f>
        <v>8545012.2083880007</v>
      </c>
      <c r="E34" s="5">
        <f>E33*E31</f>
        <v>8715912.4525557607</v>
      </c>
      <c r="F34" s="5">
        <f>F33*F31</f>
        <v>8890230.7016068753</v>
      </c>
      <c r="G34" s="5">
        <f>G33*G31</f>
        <v>9023584.162130978</v>
      </c>
    </row>
    <row r="35" spans="2:7" ht="14" customHeight="1" x14ac:dyDescent="0.3">
      <c r="B35" s="4" t="s">
        <v>39</v>
      </c>
      <c r="C35" s="19">
        <f>C33-C34</f>
        <v>6319840.4706000006</v>
      </c>
      <c r="D35" s="19">
        <f>D33-D34</f>
        <v>6446237.2800120004</v>
      </c>
      <c r="E35" s="19">
        <f>E33-E34</f>
        <v>6575162.0256122407</v>
      </c>
      <c r="F35" s="19">
        <f>F33-F34</f>
        <v>6706665.2661244869</v>
      </c>
      <c r="G35" s="19">
        <f>G33-G34</f>
        <v>6807265.245116353</v>
      </c>
    </row>
    <row r="36" spans="2:7" ht="14" customHeight="1" x14ac:dyDescent="0.3">
      <c r="B36" s="4" t="s">
        <v>40</v>
      </c>
      <c r="C36" s="7">
        <f>C35/C33</f>
        <v>0.43000000000000005</v>
      </c>
      <c r="D36" s="7">
        <f>D35/D33</f>
        <v>0.43</v>
      </c>
      <c r="E36" s="7">
        <f>E35/E33</f>
        <v>0.43</v>
      </c>
      <c r="F36" s="7">
        <f>F35/F33</f>
        <v>0.43000000000000005</v>
      </c>
      <c r="G36" s="7">
        <f>G35/G33</f>
        <v>0.43000000000000005</v>
      </c>
    </row>
    <row r="37" spans="2:7" ht="14" customHeight="1" x14ac:dyDescent="0.3">
      <c r="B37" s="4" t="s">
        <v>93</v>
      </c>
      <c r="C37" s="5">
        <f>C33*C32</f>
        <v>4467980.2396799996</v>
      </c>
      <c r="D37" s="5">
        <f>D33*D32</f>
        <v>4527357.3454967998</v>
      </c>
      <c r="E37" s="5">
        <f>E33*E32</f>
        <v>4590380.558346034</v>
      </c>
      <c r="F37" s="5">
        <f>F33*F32</f>
        <v>4660352.5151581308</v>
      </c>
      <c r="G37" s="5">
        <f>G33*G32</f>
        <v>4714426.9534782553</v>
      </c>
    </row>
    <row r="38" spans="2:7" ht="14" customHeight="1" x14ac:dyDescent="0.3">
      <c r="B38" s="4" t="s">
        <v>94</v>
      </c>
      <c r="C38" s="7">
        <f>(C35-C37)/C33</f>
        <v>0.12600000000000006</v>
      </c>
      <c r="D38" s="7">
        <f>(D35-D37)/D33</f>
        <v>0.12800000000000003</v>
      </c>
      <c r="E38" s="7">
        <f>(E35-E37)/E33</f>
        <v>0.1298</v>
      </c>
      <c r="F38" s="7">
        <f>(F35-F37)/F33</f>
        <v>0.13120000000000009</v>
      </c>
      <c r="G38" s="7">
        <f>(G35-G37)/G33</f>
        <v>0.13220000000000004</v>
      </c>
    </row>
    <row r="39" spans="2:7" ht="14" customHeight="1" x14ac:dyDescent="0.3">
      <c r="B39" s="4" t="s">
        <v>95</v>
      </c>
      <c r="C39" s="19">
        <f>C35-C37</f>
        <v>1851860.2309200009</v>
      </c>
      <c r="D39" s="19">
        <f>D35-D37</f>
        <v>1918879.9345152006</v>
      </c>
      <c r="E39" s="19">
        <f>E35-E37</f>
        <v>1984781.4672662066</v>
      </c>
      <c r="F39" s="19">
        <f>F35-F37</f>
        <v>2046312.7509663561</v>
      </c>
      <c r="G39" s="19">
        <f>G35-G37</f>
        <v>2092838.2916380977</v>
      </c>
    </row>
    <row r="40" spans="2:7" ht="14" customHeight="1" x14ac:dyDescent="0.3">
      <c r="B40" s="4" t="s">
        <v>96</v>
      </c>
      <c r="C40" s="5">
        <f>MAX(0,C39*C6)</f>
        <v>462965.05773000023</v>
      </c>
      <c r="D40" s="5">
        <f>MAX(0,D39*C6)</f>
        <v>479719.98362880014</v>
      </c>
      <c r="E40" s="5">
        <f>MAX(0,E39*C6)</f>
        <v>496195.36681655166</v>
      </c>
      <c r="F40" s="5">
        <f>MAX(0,F39*C6)</f>
        <v>511578.18774158903</v>
      </c>
      <c r="G40" s="5">
        <f>MAX(0,G39*C6)</f>
        <v>523209.57290952443</v>
      </c>
    </row>
    <row r="41" spans="2:7" ht="14" customHeight="1" x14ac:dyDescent="0.3">
      <c r="B41" s="4" t="s">
        <v>97</v>
      </c>
      <c r="C41" s="19">
        <f>C39-C40</f>
        <v>1388895.1731900007</v>
      </c>
      <c r="D41" s="19">
        <f>D39-D40</f>
        <v>1439159.9508864004</v>
      </c>
      <c r="E41" s="19">
        <f>E39-E40</f>
        <v>1488586.100449655</v>
      </c>
      <c r="F41" s="19">
        <f>F39-F40</f>
        <v>1534734.5632247671</v>
      </c>
      <c r="G41" s="19">
        <f>G39-G40</f>
        <v>1569628.7187285733</v>
      </c>
    </row>
    <row r="42" spans="2:7" ht="14" customHeight="1" x14ac:dyDescent="0.3">
      <c r="B42" s="4" t="s">
        <v>98</v>
      </c>
      <c r="C42" s="5">
        <f>C33*C18</f>
        <v>1826874.8151059998</v>
      </c>
      <c r="D42" s="5">
        <f>D33*C18</f>
        <v>1863412.31140812</v>
      </c>
      <c r="E42" s="5">
        <f>E33*C18</f>
        <v>1900680.5576362824</v>
      </c>
      <c r="F42" s="5">
        <f>F33*C18</f>
        <v>1938694.1687890082</v>
      </c>
      <c r="G42" s="5">
        <f>G33*C18</f>
        <v>1967774.5813208432</v>
      </c>
    </row>
    <row r="43" spans="2:7" ht="14" customHeight="1" x14ac:dyDescent="0.3">
      <c r="B43" s="4" t="s">
        <v>99</v>
      </c>
      <c r="C43" s="5">
        <v>2173200</v>
      </c>
      <c r="D43" s="5">
        <v>2146500</v>
      </c>
      <c r="E43" s="5">
        <v>2119700</v>
      </c>
      <c r="F43" s="5">
        <v>2093000</v>
      </c>
      <c r="G43" s="5">
        <v>2066200</v>
      </c>
    </row>
    <row r="44" spans="2:7" ht="14" customHeight="1" x14ac:dyDescent="0.3">
      <c r="B44" s="4" t="s">
        <v>100</v>
      </c>
      <c r="C44" s="5">
        <f>'NWC Schedule'!D19</f>
        <v>-4478491.5337731503</v>
      </c>
      <c r="D44" s="5">
        <f>'NWC Schedule'!E19</f>
        <v>-27510.130675463006</v>
      </c>
      <c r="E44" s="5">
        <f>'NWC Schedule'!F19</f>
        <v>-28060.333288973197</v>
      </c>
      <c r="F44" s="5">
        <f>'NWC Schedule'!G19</f>
        <v>-28621.53995475173</v>
      </c>
      <c r="G44" s="5">
        <f>'NWC Schedule'!H19</f>
        <v>-21895.478065383621</v>
      </c>
    </row>
    <row r="45" spans="2:7" ht="14" customHeight="1" x14ac:dyDescent="0.3">
      <c r="B45" s="4" t="s">
        <v>101</v>
      </c>
      <c r="C45" s="20">
        <f>C41+C42-C43-C44</f>
        <v>5521061.5220691506</v>
      </c>
      <c r="D45" s="20">
        <f>D41+D42-D43-D44</f>
        <v>1183582.3929699836</v>
      </c>
      <c r="E45" s="20">
        <f>E41+E42-E43-E44</f>
        <v>1297626.9913749108</v>
      </c>
      <c r="F45" s="20">
        <f>F41+F42-F43-F44</f>
        <v>1409050.2719685268</v>
      </c>
      <c r="G45" s="20">
        <f>G41+G42-G43-G44</f>
        <v>1493098.7781148003</v>
      </c>
    </row>
    <row r="46" spans="2:7" ht="14" customHeight="1" x14ac:dyDescent="0.3">
      <c r="B46" s="4" t="s">
        <v>102</v>
      </c>
      <c r="C46" s="21">
        <f>1/(1+C26)^(C19+0)</f>
        <v>0.95730525720783777</v>
      </c>
      <c r="D46" s="21">
        <f>1/(1+C26)^(C19+1)</f>
        <v>0.91643335547776439</v>
      </c>
      <c r="E46" s="21">
        <f>1/(1+C26)^(C19+2)</f>
        <v>0.87730646907948306</v>
      </c>
      <c r="F46" s="21">
        <f>1/(1+C26)^(C19+3)</f>
        <v>0.83985009503223451</v>
      </c>
      <c r="G46" s="21">
        <f>1/(1+C26)^(C19+4)</f>
        <v>0.80399291124086014</v>
      </c>
    </row>
    <row r="47" spans="2:7" ht="14" customHeight="1" x14ac:dyDescent="0.3">
      <c r="B47" s="4" t="s">
        <v>103</v>
      </c>
      <c r="C47" s="19">
        <f>C45*C46</f>
        <v>5285341.2204447044</v>
      </c>
      <c r="D47" s="19">
        <f>D45*D46</f>
        <v>1084674.3838738841</v>
      </c>
      <c r="E47" s="19">
        <f>E45*E46</f>
        <v>1138416.5539853559</v>
      </c>
      <c r="F47" s="19">
        <f>F45*F46</f>
        <v>1183391.0048179631</v>
      </c>
      <c r="G47" s="19">
        <f>G45*G46</f>
        <v>1200440.8333866894</v>
      </c>
    </row>
    <row r="49" spans="2:7" ht="14" customHeight="1" x14ac:dyDescent="0.3">
      <c r="B49" s="22" t="s">
        <v>104</v>
      </c>
      <c r="C49" s="23"/>
      <c r="D49" s="23"/>
      <c r="E49" s="23"/>
      <c r="F49" s="23"/>
      <c r="G49" s="23"/>
    </row>
    <row r="50" spans="2:7" ht="14" customHeight="1" x14ac:dyDescent="0.3">
      <c r="B50" s="4" t="s">
        <v>105</v>
      </c>
      <c r="C50" s="5">
        <f>SUM(C47:G47)</f>
        <v>9892263.9965085965</v>
      </c>
    </row>
    <row r="51" spans="2:7" ht="14" customHeight="1" x14ac:dyDescent="0.3">
      <c r="B51" s="4" t="s">
        <v>106</v>
      </c>
      <c r="C51" s="5">
        <f>G45*(1+C13)/(C26-C13)</f>
        <v>43586085.532637581</v>
      </c>
    </row>
    <row r="52" spans="2:7" ht="14" customHeight="1" x14ac:dyDescent="0.3">
      <c r="B52" s="4" t="s">
        <v>107</v>
      </c>
      <c r="C52" s="5">
        <f>C51*G46</f>
        <v>35042903.796978422</v>
      </c>
    </row>
    <row r="53" spans="2:7" ht="14" customHeight="1" x14ac:dyDescent="0.3">
      <c r="B53" s="4" t="s">
        <v>108</v>
      </c>
      <c r="C53" s="5">
        <f>C50+C52</f>
        <v>44935167.79348702</v>
      </c>
    </row>
    <row r="54" spans="2:7" ht="14" customHeight="1" x14ac:dyDescent="0.3">
      <c r="B54" s="4" t="s">
        <v>109</v>
      </c>
      <c r="C54" s="5">
        <f>C53-C16</f>
        <v>29937509.79348702</v>
      </c>
    </row>
    <row r="55" spans="2:7" ht="14" customHeight="1" x14ac:dyDescent="0.3">
      <c r="B55" s="4" t="s">
        <v>110</v>
      </c>
      <c r="C55" s="24">
        <f>ROUND(C54*1000000/C15,0)</f>
        <v>369</v>
      </c>
    </row>
    <row r="57" spans="2:7" ht="14" customHeight="1" x14ac:dyDescent="0.3">
      <c r="B57" s="22" t="s">
        <v>111</v>
      </c>
      <c r="C57" s="23"/>
      <c r="D57" s="23"/>
      <c r="E57" s="23"/>
      <c r="F57" s="23"/>
      <c r="G57" s="23"/>
    </row>
    <row r="58" spans="2:7" ht="14" customHeight="1" x14ac:dyDescent="0.3">
      <c r="B58" s="4" t="s">
        <v>105</v>
      </c>
      <c r="C58" s="5">
        <f>C50</f>
        <v>9892263.9965085965</v>
      </c>
    </row>
    <row r="59" spans="2:7" ht="14" customHeight="1" x14ac:dyDescent="0.3">
      <c r="B59" s="4" t="s">
        <v>112</v>
      </c>
      <c r="C59" s="5">
        <f>G39+G42</f>
        <v>4060612.8729589409</v>
      </c>
    </row>
    <row r="60" spans="2:7" ht="14" customHeight="1" x14ac:dyDescent="0.3">
      <c r="B60" s="4" t="s">
        <v>113</v>
      </c>
      <c r="C60" s="5">
        <f>C59*C14</f>
        <v>37357638.431222253</v>
      </c>
    </row>
    <row r="61" spans="2:7" ht="14" customHeight="1" x14ac:dyDescent="0.3">
      <c r="B61" s="4" t="s">
        <v>107</v>
      </c>
      <c r="C61" s="5">
        <f>C60*G46</f>
        <v>30035276.479401819</v>
      </c>
    </row>
    <row r="62" spans="2:7" ht="14" customHeight="1" x14ac:dyDescent="0.3">
      <c r="B62" s="4" t="s">
        <v>108</v>
      </c>
      <c r="C62" s="5">
        <f>C58+C61</f>
        <v>39927540.475910418</v>
      </c>
    </row>
    <row r="63" spans="2:7" ht="14" customHeight="1" x14ac:dyDescent="0.3">
      <c r="B63" s="4" t="s">
        <v>109</v>
      </c>
      <c r="C63" s="5">
        <f>C62-C16</f>
        <v>24929882.475910418</v>
      </c>
    </row>
    <row r="64" spans="2:7" ht="14" customHeight="1" x14ac:dyDescent="0.3">
      <c r="B64" s="4" t="s">
        <v>114</v>
      </c>
      <c r="C64" s="24">
        <f>ROUND(C63*1000000/C15,0)</f>
        <v>308</v>
      </c>
    </row>
    <row r="66" spans="2:7" ht="14" customHeight="1" x14ac:dyDescent="0.3">
      <c r="B66" s="22" t="s">
        <v>115</v>
      </c>
      <c r="C66" s="23"/>
      <c r="D66" s="23"/>
      <c r="E66" s="23"/>
      <c r="F66" s="23"/>
      <c r="G66" s="23"/>
    </row>
    <row r="67" spans="2:7" ht="14" customHeight="1" x14ac:dyDescent="0.3">
      <c r="C67" s="25" t="s">
        <v>116</v>
      </c>
      <c r="D67" s="25" t="s">
        <v>117</v>
      </c>
      <c r="E67" s="25" t="s">
        <v>118</v>
      </c>
      <c r="F67" s="25" t="s">
        <v>119</v>
      </c>
      <c r="G67" s="25" t="s">
        <v>120</v>
      </c>
    </row>
    <row r="68" spans="2:7" ht="14" customHeight="1" x14ac:dyDescent="0.3">
      <c r="B68" s="3" t="s">
        <v>46</v>
      </c>
    </row>
    <row r="69" spans="2:7" ht="14" customHeight="1" x14ac:dyDescent="0.3">
      <c r="B69" s="4" t="s">
        <v>84</v>
      </c>
      <c r="C69" s="26">
        <v>0.02</v>
      </c>
      <c r="D69" s="26">
        <v>0.02</v>
      </c>
      <c r="E69" s="26">
        <v>0.02</v>
      </c>
      <c r="F69" s="26">
        <v>0.02</v>
      </c>
      <c r="G69" s="26">
        <v>1.4999999999999999E-2</v>
      </c>
    </row>
    <row r="70" spans="2:7" ht="14" customHeight="1" x14ac:dyDescent="0.3">
      <c r="B70" s="4" t="s">
        <v>121</v>
      </c>
      <c r="C70" s="26">
        <v>0.03</v>
      </c>
      <c r="D70" s="26">
        <v>0.03</v>
      </c>
      <c r="E70" s="26">
        <v>2.5000000000000001E-2</v>
      </c>
      <c r="F70" s="26">
        <v>2.5000000000000001E-2</v>
      </c>
      <c r="G70" s="26">
        <v>0.02</v>
      </c>
    </row>
    <row r="71" spans="2:7" ht="14" customHeight="1" x14ac:dyDescent="0.3">
      <c r="B71" s="4" t="s">
        <v>122</v>
      </c>
      <c r="C71" s="26">
        <v>0.02</v>
      </c>
      <c r="D71" s="26">
        <v>0.02</v>
      </c>
      <c r="E71" s="26">
        <v>0.02</v>
      </c>
      <c r="F71" s="26">
        <v>0.02</v>
      </c>
      <c r="G71" s="26">
        <v>1.4999999999999999E-2</v>
      </c>
    </row>
    <row r="72" spans="2:7" ht="14" customHeight="1" x14ac:dyDescent="0.3">
      <c r="B72" s="4" t="s">
        <v>123</v>
      </c>
      <c r="C72" s="26">
        <v>0.01</v>
      </c>
      <c r="D72" s="26">
        <v>1.4999999999999999E-2</v>
      </c>
      <c r="E72" s="26">
        <v>1.4999999999999999E-2</v>
      </c>
      <c r="F72" s="26">
        <v>1.4999999999999999E-2</v>
      </c>
      <c r="G72" s="26">
        <v>0.01</v>
      </c>
    </row>
    <row r="73" spans="2:7" ht="14" customHeight="1" x14ac:dyDescent="0.3">
      <c r="B73" s="4" t="s">
        <v>124</v>
      </c>
      <c r="C73" s="26">
        <v>-0.05</v>
      </c>
      <c r="D73" s="26">
        <v>-0.01</v>
      </c>
      <c r="E73" s="26">
        <v>0.01</v>
      </c>
      <c r="F73" s="26">
        <v>1.4999999999999999E-2</v>
      </c>
      <c r="G73" s="26">
        <v>1.4999999999999999E-2</v>
      </c>
    </row>
    <row r="75" spans="2:7" ht="14" customHeight="1" x14ac:dyDescent="0.3">
      <c r="B75" s="3" t="s">
        <v>91</v>
      </c>
    </row>
    <row r="76" spans="2:7" ht="14" customHeight="1" x14ac:dyDescent="0.3">
      <c r="B76" s="4" t="s">
        <v>84</v>
      </c>
      <c r="C76" s="26">
        <v>0.56999999999999995</v>
      </c>
      <c r="D76" s="26">
        <v>0.56999999999999995</v>
      </c>
      <c r="E76" s="26">
        <v>0.56999999999999995</v>
      </c>
      <c r="F76" s="26">
        <v>0.56999999999999995</v>
      </c>
      <c r="G76" s="26">
        <v>0.56999999999999995</v>
      </c>
    </row>
    <row r="77" spans="2:7" ht="14" customHeight="1" x14ac:dyDescent="0.3">
      <c r="B77" s="4" t="s">
        <v>121</v>
      </c>
      <c r="C77" s="26">
        <v>0.56000000000000005</v>
      </c>
      <c r="D77" s="26">
        <v>0.56000000000000005</v>
      </c>
      <c r="E77" s="26">
        <v>0.56000000000000005</v>
      </c>
      <c r="F77" s="26">
        <v>0.56000000000000005</v>
      </c>
      <c r="G77" s="26">
        <v>0.56000000000000005</v>
      </c>
    </row>
    <row r="78" spans="2:7" ht="14" customHeight="1" x14ac:dyDescent="0.3">
      <c r="B78" s="4" t="s">
        <v>122</v>
      </c>
      <c r="C78" s="26">
        <v>0.56999999999999995</v>
      </c>
      <c r="D78" s="26">
        <v>0.56999999999999995</v>
      </c>
      <c r="E78" s="26">
        <v>0.56999999999999995</v>
      </c>
      <c r="F78" s="26">
        <v>0.56999999999999995</v>
      </c>
      <c r="G78" s="26">
        <v>0.56999999999999995</v>
      </c>
    </row>
    <row r="79" spans="2:7" ht="14" customHeight="1" x14ac:dyDescent="0.3">
      <c r="B79" s="4" t="s">
        <v>123</v>
      </c>
      <c r="C79" s="26">
        <v>0.57799999999999996</v>
      </c>
      <c r="D79" s="26">
        <v>0.57799999999999996</v>
      </c>
      <c r="E79" s="26">
        <v>0.57799999999999996</v>
      </c>
      <c r="F79" s="26">
        <v>0.57799999999999996</v>
      </c>
      <c r="G79" s="26">
        <v>0.57799999999999996</v>
      </c>
    </row>
    <row r="80" spans="2:7" ht="14" customHeight="1" x14ac:dyDescent="0.3">
      <c r="B80" s="4" t="s">
        <v>124</v>
      </c>
      <c r="C80" s="26">
        <v>0.59499999999999997</v>
      </c>
      <c r="D80" s="26">
        <v>0.59499999999999997</v>
      </c>
      <c r="E80" s="26">
        <v>0.59499999999999997</v>
      </c>
      <c r="F80" s="26">
        <v>0.59499999999999997</v>
      </c>
      <c r="G80" s="26">
        <v>0.59499999999999997</v>
      </c>
    </row>
    <row r="82" spans="2:7" ht="14" customHeight="1" x14ac:dyDescent="0.3">
      <c r="B82" s="3" t="s">
        <v>92</v>
      </c>
    </row>
    <row r="83" spans="2:7" ht="14" customHeight="1" x14ac:dyDescent="0.3">
      <c r="B83" s="4" t="s">
        <v>84</v>
      </c>
      <c r="C83" s="26">
        <v>0.30399999999999999</v>
      </c>
      <c r="D83" s="26">
        <v>0.30199999999999999</v>
      </c>
      <c r="E83" s="26">
        <v>0.30020000000000002</v>
      </c>
      <c r="F83" s="26">
        <v>0.29880000000000001</v>
      </c>
      <c r="G83" s="26">
        <v>0.29780000000000001</v>
      </c>
    </row>
    <row r="84" spans="2:7" ht="14" customHeight="1" x14ac:dyDescent="0.3">
      <c r="B84" s="4" t="s">
        <v>121</v>
      </c>
      <c r="C84" s="26">
        <v>0.307</v>
      </c>
      <c r="D84" s="26">
        <v>0.30349999999999999</v>
      </c>
      <c r="E84" s="26">
        <v>0.30099999999999999</v>
      </c>
      <c r="F84" s="26">
        <v>0.29949999999999999</v>
      </c>
      <c r="G84" s="26">
        <v>0.29849999999999999</v>
      </c>
    </row>
    <row r="85" spans="2:7" ht="14" customHeight="1" x14ac:dyDescent="0.3">
      <c r="B85" s="4" t="s">
        <v>122</v>
      </c>
      <c r="C85" s="26">
        <v>0.30399999999999999</v>
      </c>
      <c r="D85" s="26">
        <v>0.30199999999999999</v>
      </c>
      <c r="E85" s="26">
        <v>0.30020000000000002</v>
      </c>
      <c r="F85" s="26">
        <v>0.29880000000000001</v>
      </c>
      <c r="G85" s="26">
        <v>0.29780000000000001</v>
      </c>
    </row>
    <row r="86" spans="2:7" ht="14" customHeight="1" x14ac:dyDescent="0.3">
      <c r="B86" s="4" t="s">
        <v>123</v>
      </c>
      <c r="C86" s="26">
        <v>0.29849999999999999</v>
      </c>
      <c r="D86" s="26">
        <v>0.29859999999999998</v>
      </c>
      <c r="E86" s="26">
        <v>0.29859999999999998</v>
      </c>
      <c r="F86" s="26">
        <v>0.29859999999999998</v>
      </c>
      <c r="G86" s="26">
        <v>0.29859999999999998</v>
      </c>
    </row>
    <row r="87" spans="2:7" ht="14" customHeight="1" x14ac:dyDescent="0.3">
      <c r="B87" s="4" t="s">
        <v>124</v>
      </c>
      <c r="C87" s="26">
        <v>0.29699999999999999</v>
      </c>
      <c r="D87" s="26">
        <v>0.30499999999999999</v>
      </c>
      <c r="E87" s="26">
        <v>0.307</v>
      </c>
      <c r="F87" s="26">
        <v>0.307</v>
      </c>
      <c r="G87" s="26">
        <v>0.30599999999999999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B2:I79"/>
  <sheetViews>
    <sheetView workbookViewId="0"/>
  </sheetViews>
  <sheetFormatPr defaultRowHeight="13" x14ac:dyDescent="0.2"/>
  <cols>
    <col min="1" max="1" width="3" customWidth="1"/>
    <col min="2" max="2" width="52" customWidth="1"/>
    <col min="3" max="9" width="15" customWidth="1"/>
  </cols>
  <sheetData>
    <row r="2" spans="2:9" ht="18" customHeight="1" x14ac:dyDescent="0.4">
      <c r="B2" s="2" t="s">
        <v>125</v>
      </c>
    </row>
    <row r="3" spans="2:9" ht="14" customHeight="1" x14ac:dyDescent="0.3">
      <c r="B3" s="1" t="s">
        <v>126</v>
      </c>
    </row>
    <row r="5" spans="2:9" ht="14" customHeight="1" x14ac:dyDescent="0.3">
      <c r="B5" s="8" t="s">
        <v>127</v>
      </c>
      <c r="C5" s="9"/>
      <c r="D5" s="9"/>
      <c r="E5" s="9"/>
      <c r="F5" s="9"/>
      <c r="G5" s="9"/>
      <c r="H5" s="9"/>
      <c r="I5" s="9"/>
    </row>
    <row r="6" spans="2:9" ht="14" customHeight="1" x14ac:dyDescent="0.3">
      <c r="B6" s="4" t="s">
        <v>128</v>
      </c>
      <c r="C6" s="15">
        <f>'Executive Summary'!C9</f>
        <v>172.6000061035156</v>
      </c>
    </row>
    <row r="7" spans="2:9" ht="14" customHeight="1" x14ac:dyDescent="0.3">
      <c r="B7" s="4" t="s">
        <v>72</v>
      </c>
      <c r="C7" s="15">
        <f>'DCF Model'!C15</f>
        <v>81027939965</v>
      </c>
    </row>
    <row r="8" spans="2:9" ht="14" customHeight="1" x14ac:dyDescent="0.3">
      <c r="B8" s="4" t="s">
        <v>129</v>
      </c>
      <c r="C8" s="5">
        <f>C6*C7/1000000</f>
        <v>13985422.932514295</v>
      </c>
    </row>
    <row r="9" spans="2:9" ht="14" customHeight="1" x14ac:dyDescent="0.3">
      <c r="B9" s="4" t="s">
        <v>73</v>
      </c>
      <c r="C9" s="5">
        <f>'DCF Model'!C16</f>
        <v>14997658</v>
      </c>
    </row>
    <row r="10" spans="2:9" ht="14" customHeight="1" x14ac:dyDescent="0.3">
      <c r="B10" s="4" t="s">
        <v>130</v>
      </c>
      <c r="C10" s="5">
        <f>C8+C9</f>
        <v>28983080.932514295</v>
      </c>
    </row>
    <row r="11" spans="2:9" ht="14" customHeight="1" x14ac:dyDescent="0.3">
      <c r="B11" s="4" t="s">
        <v>131</v>
      </c>
      <c r="C11" s="16">
        <f>'DCF Model'!C26</f>
        <v>4.4598880524995173E-2</v>
      </c>
    </row>
    <row r="12" spans="2:9" ht="14" customHeight="1" x14ac:dyDescent="0.3">
      <c r="B12" s="4" t="s">
        <v>132</v>
      </c>
      <c r="C12" s="16">
        <f>'DCF Model'!C13</f>
        <v>0.01</v>
      </c>
    </row>
    <row r="13" spans="2:9" ht="14" customHeight="1" x14ac:dyDescent="0.3">
      <c r="B13" s="4" t="s">
        <v>133</v>
      </c>
      <c r="C13" s="16">
        <f>'DCF Model'!C6</f>
        <v>0.25</v>
      </c>
    </row>
    <row r="14" spans="2:9" ht="14" customHeight="1" x14ac:dyDescent="0.3">
      <c r="B14" s="4" t="s">
        <v>134</v>
      </c>
      <c r="C14" s="27">
        <v>1786410</v>
      </c>
    </row>
    <row r="15" spans="2:9" ht="14" customHeight="1" x14ac:dyDescent="0.3">
      <c r="B15" s="4" t="s">
        <v>135</v>
      </c>
      <c r="C15" s="27">
        <v>1937382</v>
      </c>
    </row>
    <row r="16" spans="2:9" ht="14" customHeight="1" x14ac:dyDescent="0.3">
      <c r="B16" s="4" t="s">
        <v>136</v>
      </c>
      <c r="C16" s="5">
        <f>'DCF Model'!G33</f>
        <v>15830849.407247331</v>
      </c>
    </row>
    <row r="17" spans="2:9" ht="14" customHeight="1" x14ac:dyDescent="0.3">
      <c r="B17" s="4" t="s">
        <v>137</v>
      </c>
      <c r="C17" s="5">
        <f>'DCF Model'!C53</f>
        <v>44935167.79348702</v>
      </c>
    </row>
    <row r="18" spans="2:9" ht="14" customHeight="1" x14ac:dyDescent="0.3">
      <c r="B18" s="4" t="s">
        <v>138</v>
      </c>
      <c r="C18" s="26">
        <v>0.14485565852626731</v>
      </c>
    </row>
    <row r="19" spans="2:9" ht="14" customHeight="1" x14ac:dyDescent="0.3">
      <c r="B19" s="4" t="s">
        <v>139</v>
      </c>
      <c r="C19" s="5">
        <f>C10-C17</f>
        <v>-15952086.860972725</v>
      </c>
    </row>
    <row r="20" spans="2:9" ht="14" customHeight="1" x14ac:dyDescent="0.3">
      <c r="B20" s="4" t="s">
        <v>140</v>
      </c>
      <c r="C20" s="15">
        <f>IFERROR(ROUND(C19*1000000/C7,0),"N/A")</f>
        <v>-197</v>
      </c>
    </row>
    <row r="22" spans="2:9" ht="14" customHeight="1" x14ac:dyDescent="0.3">
      <c r="B22" s="8" t="s">
        <v>141</v>
      </c>
      <c r="C22" s="9"/>
      <c r="D22" s="9"/>
      <c r="E22" s="9"/>
      <c r="F22" s="9"/>
      <c r="G22" s="9"/>
      <c r="H22" s="9"/>
      <c r="I22" s="9"/>
    </row>
    <row r="23" spans="2:9" ht="14" customHeight="1" x14ac:dyDescent="0.3">
      <c r="B23" s="1" t="s">
        <v>142</v>
      </c>
    </row>
    <row r="24" spans="2:9" ht="14" customHeight="1" x14ac:dyDescent="0.3">
      <c r="B24" s="4" t="s">
        <v>143</v>
      </c>
      <c r="C24" s="5">
        <f>C10*(C11-C12)</f>
        <v>1002782.1544303277</v>
      </c>
    </row>
    <row r="25" spans="2:9" ht="14" customHeight="1" x14ac:dyDescent="0.3">
      <c r="B25" s="4" t="s">
        <v>144</v>
      </c>
      <c r="C25" s="5">
        <f>IFERROR(C24/(1-C13),"N/A")</f>
        <v>1337042.8725737703</v>
      </c>
    </row>
    <row r="26" spans="2:9" ht="13.5" customHeight="1" x14ac:dyDescent="0.25">
      <c r="B26" s="6" t="s">
        <v>145</v>
      </c>
      <c r="C26" s="14">
        <f>IFERROR(C25/C15,"N/A")</f>
        <v>0.69012867497157004</v>
      </c>
    </row>
    <row r="27" spans="2:9" ht="13.5" customHeight="1" x14ac:dyDescent="0.25">
      <c r="B27" s="6" t="s">
        <v>146</v>
      </c>
      <c r="C27" s="14">
        <f>IFERROR(C25/C14,"N/A")</f>
        <v>0.74845241158175912</v>
      </c>
    </row>
    <row r="28" spans="2:9" ht="13.5" customHeight="1" x14ac:dyDescent="0.25">
      <c r="B28" s="6" t="s">
        <v>147</v>
      </c>
      <c r="C28" s="7">
        <f>IFERROR(C25/C16,"N/A")</f>
        <v>8.4458062746884249E-2</v>
      </c>
    </row>
    <row r="29" spans="2:9" ht="13.5" customHeight="1" x14ac:dyDescent="0.25">
      <c r="B29" s="6" t="s">
        <v>148</v>
      </c>
      <c r="C29" s="5">
        <f>IFERROR(C25/C18,"N/A")</f>
        <v>9230173.5822858345</v>
      </c>
    </row>
    <row r="32" spans="2:9" ht="14" customHeight="1" x14ac:dyDescent="0.3">
      <c r="B32" s="8" t="s">
        <v>149</v>
      </c>
      <c r="C32" s="9"/>
      <c r="D32" s="9"/>
      <c r="E32" s="9"/>
      <c r="F32" s="9"/>
      <c r="G32" s="9"/>
      <c r="H32" s="9"/>
      <c r="I32" s="9"/>
    </row>
    <row r="33" spans="2:9" ht="14" customHeight="1" x14ac:dyDescent="0.3">
      <c r="B33" s="1" t="s">
        <v>150</v>
      </c>
    </row>
    <row r="34" spans="2:9" ht="14" customHeight="1" x14ac:dyDescent="0.3">
      <c r="B34" s="1" t="s">
        <v>151</v>
      </c>
    </row>
    <row r="36" spans="2:9" ht="14" customHeight="1" x14ac:dyDescent="0.3">
      <c r="B36" s="28" t="s">
        <v>152</v>
      </c>
      <c r="C36" s="28" t="s">
        <v>153</v>
      </c>
      <c r="D36" s="29">
        <f>'DCF Model'!C26-0.02</f>
        <v>2.4598880524995172E-2</v>
      </c>
      <c r="E36" s="29">
        <f>'DCF Model'!C26-0.01</f>
        <v>3.4598880524995171E-2</v>
      </c>
      <c r="F36" s="29">
        <f>'DCF Model'!C26</f>
        <v>4.4598880524995173E-2</v>
      </c>
      <c r="G36" s="29">
        <f>'DCF Model'!C26+0.01</f>
        <v>5.4598880524995175E-2</v>
      </c>
      <c r="H36" s="29">
        <f>'DCF Model'!C26+0.02</f>
        <v>6.459888052499517E-2</v>
      </c>
    </row>
    <row r="37" spans="2:9" ht="14" customHeight="1" x14ac:dyDescent="0.3">
      <c r="B37" s="3" t="s">
        <v>154</v>
      </c>
    </row>
    <row r="38" spans="2:9" ht="14" customHeight="1" x14ac:dyDescent="0.3">
      <c r="B38" s="4" t="s">
        <v>155</v>
      </c>
      <c r="C38" s="30">
        <v>3</v>
      </c>
      <c r="D38" s="13">
        <f t="shared" ref="D38:H41" si="0">IFERROR((1-(1+D$36)^(-$C38))/D$36-(1+D$36)/(D$36^2*$C38)*(1-($C38+1)/(1+D$36)^$C38+$C38/(1+D$36)^($C38+1)),"N/A")</f>
        <v>0.96818106201422172</v>
      </c>
      <c r="E38" s="13">
        <f t="shared" si="0"/>
        <v>0.95578367784809126</v>
      </c>
      <c r="F38" s="13">
        <f t="shared" si="0"/>
        <v>0.94368128996450951</v>
      </c>
      <c r="G38" s="13">
        <f t="shared" si="0"/>
        <v>0.93186388267541442</v>
      </c>
      <c r="H38" s="13">
        <f t="shared" si="0"/>
        <v>0.92032187705533941</v>
      </c>
    </row>
    <row r="39" spans="2:9" ht="14" customHeight="1" x14ac:dyDescent="0.3">
      <c r="B39" s="4" t="s">
        <v>156</v>
      </c>
      <c r="C39" s="30">
        <v>5</v>
      </c>
      <c r="D39" s="13">
        <f t="shared" si="0"/>
        <v>1.9056794437060498</v>
      </c>
      <c r="E39" s="13">
        <f t="shared" si="0"/>
        <v>1.869543115911612</v>
      </c>
      <c r="F39" s="13">
        <f t="shared" si="0"/>
        <v>1.8345968256911229</v>
      </c>
      <c r="G39" s="13">
        <f t="shared" si="0"/>
        <v>1.800787280047043</v>
      </c>
      <c r="H39" s="13">
        <f t="shared" si="0"/>
        <v>1.7680641431320283</v>
      </c>
    </row>
    <row r="40" spans="2:9" ht="14" customHeight="1" x14ac:dyDescent="0.3">
      <c r="B40" s="4" t="s">
        <v>157</v>
      </c>
      <c r="C40" s="30">
        <v>7</v>
      </c>
      <c r="D40" s="13">
        <f t="shared" si="0"/>
        <v>2.8135881740743183</v>
      </c>
      <c r="E40" s="13">
        <f t="shared" si="0"/>
        <v>2.7433546716663271</v>
      </c>
      <c r="F40" s="13">
        <f t="shared" si="0"/>
        <v>2.6760609921744183</v>
      </c>
      <c r="G40" s="13">
        <f t="shared" si="0"/>
        <v>2.6115443340634896</v>
      </c>
      <c r="H40" s="13">
        <f t="shared" si="0"/>
        <v>2.5496528232096485</v>
      </c>
    </row>
    <row r="41" spans="2:9" ht="14" customHeight="1" x14ac:dyDescent="0.3">
      <c r="B41" s="4" t="s">
        <v>158</v>
      </c>
      <c r="C41" s="30">
        <v>10</v>
      </c>
      <c r="D41" s="13">
        <f t="shared" si="0"/>
        <v>4.1222599098620858</v>
      </c>
      <c r="E41" s="13">
        <f t="shared" si="0"/>
        <v>3.9834440955829704</v>
      </c>
      <c r="F41" s="13">
        <f t="shared" si="0"/>
        <v>3.8522438782850088</v>
      </c>
      <c r="G41" s="13">
        <f t="shared" si="0"/>
        <v>3.728119768634802</v>
      </c>
      <c r="H41" s="13">
        <f t="shared" si="0"/>
        <v>3.6105776563142356</v>
      </c>
    </row>
    <row r="42" spans="2:9" ht="14" customHeight="1" x14ac:dyDescent="0.3">
      <c r="B42" s="3" t="s">
        <v>159</v>
      </c>
    </row>
    <row r="43" spans="2:9" ht="14" customHeight="1" x14ac:dyDescent="0.3">
      <c r="B43" s="4" t="s">
        <v>155</v>
      </c>
      <c r="C43" s="30">
        <v>3</v>
      </c>
      <c r="D43" s="13">
        <f t="shared" ref="D43:H46" si="1">IFERROR((1+D$36)/(D$36^2*$C43)*(1-($C43+1)/(1+D$36)^$C43+$C43/(1+D$36)^($C43+1))+(1+$C$12)/((D$36-$C$12)*(1+D$36)^$C43),"N/A")</f>
        <v>66.209194862737078</v>
      </c>
      <c r="E43" s="13">
        <f t="shared" si="1"/>
        <v>38.923757602964763</v>
      </c>
      <c r="F43" s="13">
        <f t="shared" si="1"/>
        <v>27.417427479559205</v>
      </c>
      <c r="G43" s="13">
        <f t="shared" si="1"/>
        <v>21.076006050153556</v>
      </c>
      <c r="H43" s="13">
        <f t="shared" si="1"/>
        <v>17.061430559058369</v>
      </c>
    </row>
    <row r="44" spans="2:9" ht="14" customHeight="1" x14ac:dyDescent="0.3">
      <c r="B44" s="4" t="s">
        <v>156</v>
      </c>
      <c r="C44" s="30">
        <v>5</v>
      </c>
      <c r="D44" s="13">
        <f t="shared" si="1"/>
        <v>64.013339305716258</v>
      </c>
      <c r="E44" s="13">
        <f t="shared" si="1"/>
        <v>37.288100825097636</v>
      </c>
      <c r="F44" s="13">
        <f t="shared" si="1"/>
        <v>26.030207861718957</v>
      </c>
      <c r="G44" s="13">
        <f t="shared" si="1"/>
        <v>19.834644755896765</v>
      </c>
      <c r="H44" s="13">
        <f t="shared" si="1"/>
        <v>15.919308545306832</v>
      </c>
    </row>
    <row r="45" spans="2:9" ht="14" customHeight="1" x14ac:dyDescent="0.3">
      <c r="B45" s="4" t="s">
        <v>157</v>
      </c>
      <c r="C45" s="30">
        <v>7</v>
      </c>
      <c r="D45" s="13">
        <f t="shared" si="1"/>
        <v>61.906770125738134</v>
      </c>
      <c r="E45" s="13">
        <f t="shared" si="1"/>
        <v>35.739867728421842</v>
      </c>
      <c r="F45" s="13">
        <f t="shared" si="1"/>
        <v>24.733914079926947</v>
      </c>
      <c r="G45" s="13">
        <f t="shared" si="1"/>
        <v>18.689015379835091</v>
      </c>
      <c r="H45" s="13">
        <f t="shared" si="1"/>
        <v>14.87798161028144</v>
      </c>
    </row>
    <row r="46" spans="2:9" ht="14" customHeight="1" x14ac:dyDescent="0.3">
      <c r="B46" s="4" t="s">
        <v>158</v>
      </c>
      <c r="C46" s="30">
        <v>10</v>
      </c>
      <c r="D46" s="13">
        <f t="shared" si="1"/>
        <v>58.905880934647726</v>
      </c>
      <c r="E46" s="13">
        <f t="shared" si="1"/>
        <v>33.570389693537734</v>
      </c>
      <c r="F46" s="13">
        <f t="shared" si="1"/>
        <v>22.945749651541977</v>
      </c>
      <c r="G46" s="13">
        <f t="shared" si="1"/>
        <v>17.132384029473865</v>
      </c>
      <c r="H46" s="13">
        <f t="shared" si="1"/>
        <v>13.483617654840064</v>
      </c>
    </row>
    <row r="47" spans="2:9" ht="14" customHeight="1" x14ac:dyDescent="0.3">
      <c r="B47" s="22" t="s">
        <v>160</v>
      </c>
      <c r="C47" s="23"/>
      <c r="D47" s="23"/>
      <c r="E47" s="23"/>
      <c r="F47" s="23"/>
      <c r="G47" s="23"/>
      <c r="H47" s="23"/>
      <c r="I47" s="23"/>
    </row>
    <row r="48" spans="2:9" ht="14" customHeight="1" x14ac:dyDescent="0.3">
      <c r="B48" s="4" t="s">
        <v>155</v>
      </c>
      <c r="C48" s="30">
        <v>3</v>
      </c>
      <c r="D48" s="5">
        <f t="shared" ref="D48:H51" si="2">IFERROR(($C$10/(1-$C$13)-$C$14*D38)/D43,"N/A")</f>
        <v>557544.00360186154</v>
      </c>
      <c r="E48" s="5">
        <f t="shared" si="2"/>
        <v>948949.65606457903</v>
      </c>
      <c r="F48" s="5">
        <f t="shared" si="2"/>
        <v>1347985.9204284381</v>
      </c>
      <c r="G48" s="5">
        <f t="shared" si="2"/>
        <v>1754574.2235682956</v>
      </c>
      <c r="H48" s="5">
        <f t="shared" si="2"/>
        <v>2168636.1866053678</v>
      </c>
    </row>
    <row r="49" spans="2:9" ht="14" customHeight="1" x14ac:dyDescent="0.3">
      <c r="B49" s="4" t="s">
        <v>156</v>
      </c>
      <c r="C49" s="30">
        <v>5</v>
      </c>
      <c r="D49" s="5">
        <f t="shared" si="2"/>
        <v>550506.87055535777</v>
      </c>
      <c r="E49" s="5">
        <f t="shared" si="2"/>
        <v>946799.02197005914</v>
      </c>
      <c r="F49" s="5">
        <f t="shared" si="2"/>
        <v>1358681.6510462037</v>
      </c>
      <c r="G49" s="5">
        <f t="shared" si="2"/>
        <v>1786125.4356238402</v>
      </c>
      <c r="H49" s="5">
        <f t="shared" si="2"/>
        <v>2229093.0754368776</v>
      </c>
    </row>
    <row r="50" spans="2:9" ht="14" customHeight="1" x14ac:dyDescent="0.3">
      <c r="B50" s="4" t="s">
        <v>157</v>
      </c>
      <c r="C50" s="30">
        <v>7</v>
      </c>
      <c r="D50" s="5">
        <f t="shared" si="2"/>
        <v>543040.53969687084</v>
      </c>
      <c r="E50" s="5">
        <f t="shared" si="2"/>
        <v>944137.56501324405</v>
      </c>
      <c r="F50" s="5">
        <f t="shared" si="2"/>
        <v>1369114.7176932693</v>
      </c>
      <c r="G50" s="5">
        <f t="shared" si="2"/>
        <v>1818117.1295341151</v>
      </c>
      <c r="H50" s="5">
        <f t="shared" si="2"/>
        <v>2291263.9296819414</v>
      </c>
    </row>
    <row r="51" spans="2:9" ht="14" customHeight="1" x14ac:dyDescent="0.3">
      <c r="B51" s="4" t="s">
        <v>158</v>
      </c>
      <c r="C51" s="30">
        <v>10</v>
      </c>
      <c r="D51" s="5">
        <f t="shared" si="2"/>
        <v>531017.63504981005</v>
      </c>
      <c r="E51" s="5">
        <f t="shared" si="2"/>
        <v>939162.27458324097</v>
      </c>
      <c r="F51" s="5">
        <f t="shared" si="2"/>
        <v>1384239.8442309108</v>
      </c>
      <c r="G51" s="5">
        <f t="shared" si="2"/>
        <v>1866883.0572037089</v>
      </c>
      <c r="H51" s="5">
        <f t="shared" si="2"/>
        <v>2387648.2338140449</v>
      </c>
    </row>
    <row r="52" spans="2:9" ht="14" customHeight="1" x14ac:dyDescent="0.3">
      <c r="B52" s="22" t="s">
        <v>161</v>
      </c>
      <c r="C52" s="23"/>
      <c r="D52" s="23"/>
      <c r="E52" s="23"/>
      <c r="F52" s="23"/>
      <c r="G52" s="23"/>
      <c r="H52" s="23"/>
      <c r="I52" s="23"/>
    </row>
    <row r="53" spans="2:9" ht="14" customHeight="1" x14ac:dyDescent="0.3">
      <c r="B53" s="4" t="s">
        <v>155</v>
      </c>
      <c r="C53" s="30">
        <v>3</v>
      </c>
      <c r="D53" s="14">
        <f t="shared" ref="D53:H56" si="3">IFERROR(D48/$C$15,"N/A")</f>
        <v>0.28778217388303468</v>
      </c>
      <c r="E53" s="14">
        <f t="shared" si="3"/>
        <v>0.48981029867345677</v>
      </c>
      <c r="F53" s="14">
        <f t="shared" si="3"/>
        <v>0.695777043674628</v>
      </c>
      <c r="G53" s="14">
        <f t="shared" si="3"/>
        <v>0.90564185254549467</v>
      </c>
      <c r="H53" s="14">
        <f t="shared" si="3"/>
        <v>1.1193642692072951</v>
      </c>
    </row>
    <row r="54" spans="2:9" ht="14" customHeight="1" x14ac:dyDescent="0.3">
      <c r="B54" s="4" t="s">
        <v>156</v>
      </c>
      <c r="C54" s="30">
        <v>5</v>
      </c>
      <c r="D54" s="14">
        <f t="shared" si="3"/>
        <v>0.28414988399570029</v>
      </c>
      <c r="E54" s="14">
        <f t="shared" si="3"/>
        <v>0.48870022637252702</v>
      </c>
      <c r="F54" s="14">
        <f t="shared" si="3"/>
        <v>0.70129775699691832</v>
      </c>
      <c r="G54" s="14">
        <f t="shared" si="3"/>
        <v>0.92192734092906825</v>
      </c>
      <c r="H54" s="14">
        <f t="shared" si="3"/>
        <v>1.1505697252461711</v>
      </c>
    </row>
    <row r="55" spans="2:9" ht="14" customHeight="1" x14ac:dyDescent="0.3">
      <c r="B55" s="4" t="s">
        <v>157</v>
      </c>
      <c r="C55" s="30">
        <v>7</v>
      </c>
      <c r="D55" s="14">
        <f t="shared" si="3"/>
        <v>0.28029605916482697</v>
      </c>
      <c r="E55" s="14">
        <f t="shared" si="3"/>
        <v>0.48732648750388102</v>
      </c>
      <c r="F55" s="14">
        <f t="shared" si="3"/>
        <v>0.70668289356114034</v>
      </c>
      <c r="G55" s="14">
        <f t="shared" si="3"/>
        <v>0.93844018863296708</v>
      </c>
      <c r="H55" s="14">
        <f t="shared" si="3"/>
        <v>1.1826598624752069</v>
      </c>
    </row>
    <row r="56" spans="2:9" ht="14" customHeight="1" x14ac:dyDescent="0.3">
      <c r="B56" s="4" t="s">
        <v>158</v>
      </c>
      <c r="C56" s="30">
        <v>10</v>
      </c>
      <c r="D56" s="14">
        <f t="shared" si="3"/>
        <v>0.27409031107433124</v>
      </c>
      <c r="E56" s="14">
        <f t="shared" si="3"/>
        <v>0.48475843926661905</v>
      </c>
      <c r="F56" s="14">
        <f t="shared" si="3"/>
        <v>0.71448988595481466</v>
      </c>
      <c r="G56" s="14">
        <f t="shared" si="3"/>
        <v>0.96361123268602111</v>
      </c>
      <c r="H56" s="14">
        <f t="shared" si="3"/>
        <v>1.2324096300131027</v>
      </c>
    </row>
    <row r="58" spans="2:9" ht="14" customHeight="1" x14ac:dyDescent="0.3">
      <c r="B58" s="8" t="s">
        <v>162</v>
      </c>
      <c r="C58" s="9"/>
      <c r="D58" s="9"/>
      <c r="E58" s="9"/>
      <c r="F58" s="9"/>
      <c r="G58" s="9"/>
      <c r="H58" s="9"/>
      <c r="I58" s="9"/>
    </row>
    <row r="59" spans="2:9" ht="14" customHeight="1" x14ac:dyDescent="0.3">
      <c r="B59" s="1" t="s">
        <v>163</v>
      </c>
    </row>
    <row r="60" spans="2:9" ht="14" customHeight="1" x14ac:dyDescent="0.3">
      <c r="B60" s="4" t="s">
        <v>164</v>
      </c>
      <c r="C60" s="5">
        <f>F49</f>
        <v>1358681.6510462037</v>
      </c>
    </row>
    <row r="62" spans="2:9" ht="14" customHeight="1" x14ac:dyDescent="0.3">
      <c r="B62" s="28" t="s">
        <v>165</v>
      </c>
      <c r="C62" s="28" t="s">
        <v>166</v>
      </c>
      <c r="D62" s="28" t="s">
        <v>167</v>
      </c>
    </row>
    <row r="63" spans="2:9" ht="14" customHeight="1" x14ac:dyDescent="0.3">
      <c r="B63" s="31">
        <v>7.2400000000000006E-2</v>
      </c>
      <c r="C63" s="5">
        <f>IFERROR($C$60/B63,"N/A")</f>
        <v>18766321.147047009</v>
      </c>
      <c r="D63" s="14">
        <f>IFERROR(C63/'DCF Model'!C17,"N/A")</f>
        <v>1.3023918077339354</v>
      </c>
    </row>
    <row r="64" spans="2:9" ht="14" customHeight="1" x14ac:dyDescent="0.3">
      <c r="B64" s="31">
        <v>0.1086</v>
      </c>
      <c r="C64" s="5">
        <f>IFERROR($C$60/B64,"N/A")</f>
        <v>12510880.764698008</v>
      </c>
      <c r="D64" s="14">
        <f>IFERROR(C64/'DCF Model'!C17,"N/A")</f>
        <v>0.86826120515595695</v>
      </c>
    </row>
    <row r="65" spans="2:9" ht="14" customHeight="1" x14ac:dyDescent="0.3">
      <c r="B65" s="4" t="s">
        <v>168</v>
      </c>
      <c r="C65" s="5">
        <f>IFERROR($C$60/$C$18,"N/A")</f>
        <v>9379555.2405005153</v>
      </c>
      <c r="D65" s="14">
        <f>IFERROR(C65/'DCF Model'!C17,"N/A")</f>
        <v>0.65094569200303853</v>
      </c>
    </row>
    <row r="66" spans="2:9" ht="14" customHeight="1" x14ac:dyDescent="0.3">
      <c r="B66" s="31">
        <v>0.18110000000000001</v>
      </c>
      <c r="C66" s="5">
        <f>IFERROR($C$60/B66,"N/A")</f>
        <v>7502383.4955615876</v>
      </c>
      <c r="D66" s="14">
        <f>IFERROR(C66/'DCF Model'!C17,"N/A")</f>
        <v>0.52066906062913809</v>
      </c>
    </row>
    <row r="67" spans="2:9" ht="14" customHeight="1" x14ac:dyDescent="0.3">
      <c r="B67" s="31">
        <v>0.21729999999999999</v>
      </c>
      <c r="C67" s="5">
        <f>IFERROR($C$60/B67,"N/A")</f>
        <v>6252561.6707142368</v>
      </c>
      <c r="D67" s="14">
        <f>IFERROR(C67/'DCF Model'!C17,"N/A")</f>
        <v>0.43393081859151833</v>
      </c>
    </row>
    <row r="69" spans="2:9" ht="14" customHeight="1" x14ac:dyDescent="0.3">
      <c r="B69" s="8" t="s">
        <v>169</v>
      </c>
      <c r="C69" s="9"/>
      <c r="D69" s="9"/>
      <c r="E69" s="9"/>
      <c r="F69" s="9"/>
      <c r="G69" s="9"/>
      <c r="H69" s="9"/>
      <c r="I69" s="9"/>
    </row>
    <row r="70" spans="2:9" ht="13.5" customHeight="1" x14ac:dyDescent="0.25">
      <c r="B70" s="6" t="s">
        <v>170</v>
      </c>
      <c r="C70" s="14">
        <f>IFERROR(C10/'Comps Analysis'!G5,"N/A")</f>
        <v>8.1017324438534697</v>
      </c>
    </row>
    <row r="71" spans="2:9" ht="13.5" customHeight="1" x14ac:dyDescent="0.25">
      <c r="B71" s="6" t="s">
        <v>171</v>
      </c>
      <c r="C71" s="14">
        <f>IFERROR(C10/'Comps Analysis'!F5,"N/A")</f>
        <v>2.01143990202555</v>
      </c>
    </row>
    <row r="72" spans="2:9" ht="14" customHeight="1" x14ac:dyDescent="0.3">
      <c r="B72" s="4" t="s">
        <v>172</v>
      </c>
      <c r="C72" s="14">
        <f>IFERROR(C10/(C25+'DCF Model'!G42),"N/A")</f>
        <v>8.7699491233195754</v>
      </c>
    </row>
    <row r="73" spans="2:9" ht="14" customHeight="1" x14ac:dyDescent="0.3">
      <c r="B73" s="4" t="s">
        <v>173</v>
      </c>
      <c r="C73" s="14">
        <f>IFERROR(C10/(C60+'DCF Model'!G42),"N/A")</f>
        <v>8.7129001279209533</v>
      </c>
    </row>
    <row r="74" spans="2:9" ht="14" customHeight="1" x14ac:dyDescent="0.3">
      <c r="B74" s="4" t="s">
        <v>174</v>
      </c>
      <c r="C74" s="14">
        <f>IFERROR('Comps Analysis'!D16,"N/A")</f>
        <v>9.2079191774778142</v>
      </c>
    </row>
    <row r="75" spans="2:9" ht="14" customHeight="1" x14ac:dyDescent="0.3">
      <c r="B75" s="1" t="s">
        <v>175</v>
      </c>
    </row>
    <row r="77" spans="2:9" ht="14" customHeight="1" x14ac:dyDescent="0.3">
      <c r="B77" s="22" t="s">
        <v>176</v>
      </c>
      <c r="C77" s="23"/>
      <c r="D77" s="23"/>
      <c r="E77" s="23"/>
      <c r="F77" s="23"/>
      <c r="G77" s="23"/>
      <c r="H77" s="23"/>
      <c r="I77" s="23"/>
    </row>
    <row r="78" spans="2:9" ht="14" customHeight="1" x14ac:dyDescent="0.3">
      <c r="B78" s="4" t="str">
        <f>"At "&amp;TEXT(C6,"#,##0")&amp;" yen the market is paying for a steady-state operating profit of "&amp;TEXT(F49,"#,##0")&amp;" mn JPY - "&amp;TEXT(F54,"0.00")&amp;"x the FY2024 cycle peak of "&amp;TEXT(C15,"#,##0")&amp;" mn - reached in 5 years and sustained for ever, against "&amp;TEXT(C14,"#,##0")&amp;" mn actually earned in FY2026."</f>
        <v>At 173 yen the market is paying for a steady-state operating profit of 1,358,682 mn JPY - 0.70x the FY2024 cycle peak of 1,937,382 mn - reached in 5 years and sustained for ever, against 1,786,410 mn actually earned in FY2026.</v>
      </c>
    </row>
    <row r="79" spans="2:9" ht="14" customHeight="1" x14ac:dyDescent="0.3">
      <c r="B79" s="4" t="str">
        <f>"Even with no ramp at all (Block A) the price needs "&amp;TEXT(C25,"#,##0")&amp;" mn, or "&amp;TEXT(C26,"0.00")&amp;"x the peak. The base case supports an EV of only "&amp;TEXT(C17,"#,##0")&amp;" mn, leaving "&amp;TEXT(C20,"#,##0")&amp;" yen per share of the current price unexplained by mid-cycle economics."</f>
        <v>Even with no ramp at all (Block A) the price needs 1,337,043 mn, or 0.69x the peak. The base case supports an EV of only 44,935,168 mn, leaving -197 yen per share of the current price unexplained by mid-cycle economics.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customHeight="1" x14ac:dyDescent="0.4">
      <c r="B2" s="2" t="s">
        <v>177</v>
      </c>
    </row>
    <row r="4" spans="2:8" ht="14" customHeight="1" x14ac:dyDescent="0.3">
      <c r="B4" s="8" t="s">
        <v>178</v>
      </c>
      <c r="C4" s="32" t="s">
        <v>179</v>
      </c>
      <c r="D4" s="32" t="s">
        <v>86</v>
      </c>
      <c r="E4" s="32" t="s">
        <v>87</v>
      </c>
      <c r="F4" s="32" t="s">
        <v>88</v>
      </c>
      <c r="G4" s="32" t="s">
        <v>89</v>
      </c>
      <c r="H4" s="32" t="s">
        <v>90</v>
      </c>
    </row>
    <row r="5" spans="2:8" ht="14" customHeight="1" x14ac:dyDescent="0.3">
      <c r="B5" s="33" t="s">
        <v>180</v>
      </c>
      <c r="C5" s="34">
        <f>C12/C9*365</f>
        <v>140.61784927755136</v>
      </c>
      <c r="D5" s="34">
        <f>CHOOSE('DCF Model'!$D$27,D25,D26,D27,D28,D29)</f>
        <v>130</v>
      </c>
      <c r="E5" s="34">
        <f>CHOOSE('DCF Model'!$D$27,E25,E26,E27,E28,E29)</f>
        <v>130</v>
      </c>
      <c r="F5" s="34">
        <f>CHOOSE('DCF Model'!$D$27,F25,F26,F27,F28,F29)</f>
        <v>130</v>
      </c>
      <c r="G5" s="34">
        <f>CHOOSE('DCF Model'!$D$27,G25,G26,G27,G28,G29)</f>
        <v>130</v>
      </c>
      <c r="H5" s="34">
        <f>CHOOSE('DCF Model'!$D$27,H25,H26,H27,H28,H29)</f>
        <v>130</v>
      </c>
    </row>
    <row r="6" spans="2:8" ht="14" customHeight="1" x14ac:dyDescent="0.3">
      <c r="B6" s="33" t="s">
        <v>181</v>
      </c>
      <c r="C6" s="34">
        <f>C13/C10*365</f>
        <v>70.939306731465209</v>
      </c>
      <c r="D6" s="34">
        <f>CHOOSE('DCF Model'!$D$27,D32,D33,D34,D35,D36)</f>
        <v>67</v>
      </c>
      <c r="E6" s="34">
        <f>CHOOSE('DCF Model'!$D$27,E32,E33,E34,E35,E36)</f>
        <v>67</v>
      </c>
      <c r="F6" s="34">
        <f>CHOOSE('DCF Model'!$D$27,F32,F33,F34,F35,F36)</f>
        <v>67</v>
      </c>
      <c r="G6" s="34">
        <f>CHOOSE('DCF Model'!$D$27,G32,G33,G34,G35,G36)</f>
        <v>67</v>
      </c>
      <c r="H6" s="34">
        <f>CHOOSE('DCF Model'!$D$27,H32,H33,H34,H35,H36)</f>
        <v>67</v>
      </c>
    </row>
    <row r="7" spans="2:8" ht="14" customHeight="1" x14ac:dyDescent="0.3">
      <c r="B7" s="33" t="s">
        <v>182</v>
      </c>
      <c r="C7" s="34">
        <f>C15/C10*365</f>
        <v>348.89311350601128</v>
      </c>
      <c r="D7" s="34">
        <f>CHOOSE('DCF Model'!$D$27,D39,D40,D41,D42,D43)</f>
        <v>355</v>
      </c>
      <c r="E7" s="34">
        <f>CHOOSE('DCF Model'!$D$27,E39,E40,E41,E42,E43)</f>
        <v>355</v>
      </c>
      <c r="F7" s="34">
        <f>CHOOSE('DCF Model'!$D$27,F39,F40,F41,F42,F43)</f>
        <v>355</v>
      </c>
      <c r="G7" s="34">
        <f>CHOOSE('DCF Model'!$D$27,G39,G40,G41,G42,G43)</f>
        <v>355</v>
      </c>
      <c r="H7" s="34">
        <f>CHOOSE('DCF Model'!$D$27,H39,H40,H41,H42,H43)</f>
        <v>355</v>
      </c>
    </row>
    <row r="8" spans="2:8" ht="14" customHeight="1" x14ac:dyDescent="0.3">
      <c r="B8" s="8" t="s">
        <v>183</v>
      </c>
      <c r="C8" s="9"/>
      <c r="D8" s="9"/>
      <c r="E8" s="9"/>
      <c r="F8" s="9"/>
      <c r="G8" s="9"/>
      <c r="H8" s="9"/>
    </row>
    <row r="9" spans="2:8" ht="14" customHeight="1" x14ac:dyDescent="0.3">
      <c r="B9" s="33" t="s">
        <v>37</v>
      </c>
      <c r="C9" s="35">
        <v>14409121</v>
      </c>
      <c r="D9" s="35">
        <f>'DCF Model'!C33</f>
        <v>14697303.42</v>
      </c>
      <c r="E9" s="35">
        <f>'DCF Model'!D33</f>
        <v>14991249.488400001</v>
      </c>
      <c r="F9" s="35">
        <f>'DCF Model'!E33</f>
        <v>15291074.478168001</v>
      </c>
      <c r="G9" s="35">
        <f>'DCF Model'!F33</f>
        <v>15596895.967731362</v>
      </c>
      <c r="H9" s="35">
        <f>'DCF Model'!G33</f>
        <v>15830849.407247331</v>
      </c>
    </row>
    <row r="10" spans="2:8" ht="14" customHeight="1" x14ac:dyDescent="0.3">
      <c r="B10" s="33" t="s">
        <v>38</v>
      </c>
      <c r="C10" s="35">
        <v>3214887</v>
      </c>
      <c r="D10" s="35">
        <f>'DCF Model'!C34</f>
        <v>8377462.9493999993</v>
      </c>
      <c r="E10" s="35">
        <f>'DCF Model'!D34</f>
        <v>8545012.2083880007</v>
      </c>
      <c r="F10" s="35">
        <f>'DCF Model'!E34</f>
        <v>8715912.4525557607</v>
      </c>
      <c r="G10" s="35">
        <f>'DCF Model'!F34</f>
        <v>8890230.7016068753</v>
      </c>
      <c r="H10" s="35">
        <f>'DCF Model'!G34</f>
        <v>9023584.162130978</v>
      </c>
    </row>
    <row r="11" spans="2:8" ht="14" customHeight="1" x14ac:dyDescent="0.3">
      <c r="B11" s="8" t="s">
        <v>184</v>
      </c>
      <c r="C11" s="9"/>
      <c r="D11" s="9"/>
      <c r="E11" s="9"/>
      <c r="F11" s="9"/>
      <c r="G11" s="9"/>
      <c r="H11" s="9"/>
    </row>
    <row r="12" spans="2:8" ht="14" customHeight="1" x14ac:dyDescent="0.3">
      <c r="B12" s="33" t="s">
        <v>185</v>
      </c>
      <c r="C12" s="35">
        <v>5551177</v>
      </c>
      <c r="D12" s="35">
        <f t="shared" ref="D12:H13" si="0">D9*D5/365</f>
        <v>5234656.012602739</v>
      </c>
      <c r="E12" s="35">
        <f t="shared" si="0"/>
        <v>5339349.1328547951</v>
      </c>
      <c r="F12" s="35">
        <f t="shared" si="0"/>
        <v>5446136.1155118905</v>
      </c>
      <c r="G12" s="35">
        <f t="shared" si="0"/>
        <v>5555058.837822129</v>
      </c>
      <c r="H12" s="35">
        <f t="shared" si="0"/>
        <v>5638384.7203894602</v>
      </c>
    </row>
    <row r="13" spans="2:8" ht="14" customHeight="1" x14ac:dyDescent="0.3">
      <c r="B13" s="33" t="s">
        <v>186</v>
      </c>
      <c r="C13" s="35">
        <v>624827</v>
      </c>
      <c r="D13" s="35">
        <f t="shared" si="0"/>
        <v>1537780.8701638356</v>
      </c>
      <c r="E13" s="35">
        <f t="shared" si="0"/>
        <v>1568536.4875671125</v>
      </c>
      <c r="F13" s="35">
        <f t="shared" si="0"/>
        <v>1599907.2173184548</v>
      </c>
      <c r="G13" s="35">
        <f t="shared" si="0"/>
        <v>1631905.3616648237</v>
      </c>
      <c r="H13" s="35">
        <f t="shared" si="0"/>
        <v>1656383.9420897961</v>
      </c>
    </row>
    <row r="14" spans="2:8" ht="14" customHeight="1" x14ac:dyDescent="0.3">
      <c r="B14" s="33" t="s">
        <v>187</v>
      </c>
      <c r="C14" s="35">
        <f t="shared" ref="C14:H14" si="1">C12+C13</f>
        <v>6176004</v>
      </c>
      <c r="D14" s="35">
        <f t="shared" si="1"/>
        <v>6772436.8827665746</v>
      </c>
      <c r="E14" s="35">
        <f t="shared" si="1"/>
        <v>6907885.6204219079</v>
      </c>
      <c r="F14" s="35">
        <f t="shared" si="1"/>
        <v>7046043.3328303453</v>
      </c>
      <c r="G14" s="35">
        <f t="shared" si="1"/>
        <v>7186964.1994869523</v>
      </c>
      <c r="H14" s="35">
        <f t="shared" si="1"/>
        <v>7294768.6624792563</v>
      </c>
    </row>
    <row r="15" spans="2:8" ht="14" customHeight="1" x14ac:dyDescent="0.3">
      <c r="B15" s="33" t="s">
        <v>188</v>
      </c>
      <c r="C15" s="35">
        <v>3073019</v>
      </c>
      <c r="D15" s="35">
        <f>D10*D7/365</f>
        <v>8147943.4165397249</v>
      </c>
      <c r="E15" s="35">
        <f>E10*E7/365</f>
        <v>8310902.2848705212</v>
      </c>
      <c r="F15" s="35">
        <f>F10*F7/365</f>
        <v>8477120.3305679318</v>
      </c>
      <c r="G15" s="35">
        <f>G10*G7/365</f>
        <v>8646662.7371792905</v>
      </c>
      <c r="H15" s="35">
        <f>H10*H7/365</f>
        <v>8776362.6782369781</v>
      </c>
    </row>
    <row r="16" spans="2:8" ht="14" customHeight="1" x14ac:dyDescent="0.3">
      <c r="B16" s="33" t="s">
        <v>189</v>
      </c>
      <c r="C16" s="35">
        <f t="shared" ref="C16:H16" si="2">C15</f>
        <v>3073019</v>
      </c>
      <c r="D16" s="35">
        <f t="shared" si="2"/>
        <v>8147943.4165397249</v>
      </c>
      <c r="E16" s="35">
        <f t="shared" si="2"/>
        <v>8310902.2848705212</v>
      </c>
      <c r="F16" s="35">
        <f t="shared" si="2"/>
        <v>8477120.3305679318</v>
      </c>
      <c r="G16" s="35">
        <f t="shared" si="2"/>
        <v>8646662.7371792905</v>
      </c>
      <c r="H16" s="35">
        <f t="shared" si="2"/>
        <v>8776362.6782369781</v>
      </c>
    </row>
    <row r="17" spans="2:8" ht="14" customHeight="1" x14ac:dyDescent="0.3">
      <c r="B17" s="22" t="s">
        <v>190</v>
      </c>
      <c r="C17" s="23"/>
      <c r="D17" s="23"/>
      <c r="E17" s="23"/>
      <c r="F17" s="23"/>
      <c r="G17" s="23"/>
      <c r="H17" s="23"/>
    </row>
    <row r="18" spans="2:8" ht="14" customHeight="1" x14ac:dyDescent="0.3">
      <c r="B18" s="33" t="s">
        <v>191</v>
      </c>
      <c r="C18" s="20">
        <f t="shared" ref="C18:H18" si="3">C14-C16</f>
        <v>3102985</v>
      </c>
      <c r="D18" s="20">
        <f t="shared" si="3"/>
        <v>-1375506.5337731503</v>
      </c>
      <c r="E18" s="20">
        <f t="shared" si="3"/>
        <v>-1403016.6644486133</v>
      </c>
      <c r="F18" s="20">
        <f t="shared" si="3"/>
        <v>-1431076.9977375865</v>
      </c>
      <c r="G18" s="20">
        <f t="shared" si="3"/>
        <v>-1459698.5376923382</v>
      </c>
      <c r="H18" s="20">
        <f t="shared" si="3"/>
        <v>-1481594.0157577218</v>
      </c>
    </row>
    <row r="19" spans="2:8" ht="14" customHeight="1" x14ac:dyDescent="0.3">
      <c r="B19" s="33" t="s">
        <v>100</v>
      </c>
      <c r="C19" s="36" t="s">
        <v>47</v>
      </c>
      <c r="D19" s="24">
        <f>D18-C18</f>
        <v>-4478491.5337731503</v>
      </c>
      <c r="E19" s="24">
        <f>E18-D18</f>
        <v>-27510.130675463006</v>
      </c>
      <c r="F19" s="24">
        <f>F18-E18</f>
        <v>-28060.333288973197</v>
      </c>
      <c r="G19" s="24">
        <f>G18-F18</f>
        <v>-28621.53995475173</v>
      </c>
      <c r="H19" s="24">
        <f>H18-G18</f>
        <v>-21895.478065383621</v>
      </c>
    </row>
    <row r="22" spans="2:8" ht="14" customHeight="1" x14ac:dyDescent="0.3">
      <c r="B22" s="22" t="s">
        <v>192</v>
      </c>
      <c r="C22" s="23"/>
      <c r="D22" s="23"/>
      <c r="E22" s="23"/>
      <c r="F22" s="23"/>
      <c r="G22" s="23"/>
      <c r="H22" s="23"/>
    </row>
    <row r="23" spans="2:8" ht="14" customHeight="1" x14ac:dyDescent="0.3">
      <c r="D23" s="25" t="s">
        <v>86</v>
      </c>
      <c r="E23" s="25" t="s">
        <v>87</v>
      </c>
      <c r="F23" s="25" t="s">
        <v>88</v>
      </c>
      <c r="G23" s="25" t="s">
        <v>89</v>
      </c>
      <c r="H23" s="25" t="s">
        <v>90</v>
      </c>
    </row>
    <row r="24" spans="2:8" ht="14" customHeight="1" x14ac:dyDescent="0.3">
      <c r="B24" s="3" t="s">
        <v>193</v>
      </c>
    </row>
    <row r="25" spans="2:8" ht="14" customHeight="1" x14ac:dyDescent="0.3">
      <c r="B25" s="4" t="s">
        <v>84</v>
      </c>
      <c r="D25" s="30">
        <v>130</v>
      </c>
      <c r="E25" s="30">
        <v>130</v>
      </c>
      <c r="F25" s="30">
        <v>130</v>
      </c>
      <c r="G25" s="30">
        <v>130</v>
      </c>
      <c r="H25" s="30">
        <v>130</v>
      </c>
    </row>
    <row r="26" spans="2:8" ht="14" customHeight="1" x14ac:dyDescent="0.3">
      <c r="B26" s="4" t="s">
        <v>121</v>
      </c>
      <c r="D26" s="30">
        <v>127</v>
      </c>
      <c r="E26" s="30">
        <v>127</v>
      </c>
      <c r="F26" s="30">
        <v>127</v>
      </c>
      <c r="G26" s="30">
        <v>127</v>
      </c>
      <c r="H26" s="30">
        <v>127</v>
      </c>
    </row>
    <row r="27" spans="2:8" ht="14" customHeight="1" x14ac:dyDescent="0.3">
      <c r="B27" s="4" t="s">
        <v>122</v>
      </c>
      <c r="D27" s="30">
        <v>130</v>
      </c>
      <c r="E27" s="30">
        <v>130</v>
      </c>
      <c r="F27" s="30">
        <v>130</v>
      </c>
      <c r="G27" s="30">
        <v>130</v>
      </c>
      <c r="H27" s="30">
        <v>130</v>
      </c>
    </row>
    <row r="28" spans="2:8" ht="14" customHeight="1" x14ac:dyDescent="0.3">
      <c r="B28" s="4" t="s">
        <v>123</v>
      </c>
      <c r="D28" s="30">
        <v>134</v>
      </c>
      <c r="E28" s="30">
        <v>134</v>
      </c>
      <c r="F28" s="30">
        <v>134</v>
      </c>
      <c r="G28" s="30">
        <v>134</v>
      </c>
      <c r="H28" s="30">
        <v>134</v>
      </c>
    </row>
    <row r="29" spans="2:8" ht="14" customHeight="1" x14ac:dyDescent="0.3">
      <c r="B29" s="4" t="s">
        <v>124</v>
      </c>
      <c r="D29" s="30">
        <v>138</v>
      </c>
      <c r="E29" s="30">
        <v>138</v>
      </c>
      <c r="F29" s="30">
        <v>138</v>
      </c>
      <c r="G29" s="30">
        <v>138</v>
      </c>
      <c r="H29" s="30">
        <v>138</v>
      </c>
    </row>
    <row r="31" spans="2:8" ht="14" customHeight="1" x14ac:dyDescent="0.3">
      <c r="B31" s="3" t="s">
        <v>194</v>
      </c>
    </row>
    <row r="32" spans="2:8" ht="14" customHeight="1" x14ac:dyDescent="0.3">
      <c r="B32" s="4" t="s">
        <v>84</v>
      </c>
      <c r="D32" s="30">
        <v>67</v>
      </c>
      <c r="E32" s="30">
        <v>67</v>
      </c>
      <c r="F32" s="30">
        <v>67</v>
      </c>
      <c r="G32" s="30">
        <v>67</v>
      </c>
      <c r="H32" s="30">
        <v>67</v>
      </c>
    </row>
    <row r="33" spans="2:8" ht="14" customHeight="1" x14ac:dyDescent="0.3">
      <c r="B33" s="4" t="s">
        <v>121</v>
      </c>
      <c r="D33" s="30">
        <v>61</v>
      </c>
      <c r="E33" s="30">
        <v>61</v>
      </c>
      <c r="F33" s="30">
        <v>61</v>
      </c>
      <c r="G33" s="30">
        <v>61</v>
      </c>
      <c r="H33" s="30">
        <v>61</v>
      </c>
    </row>
    <row r="34" spans="2:8" ht="14" customHeight="1" x14ac:dyDescent="0.3">
      <c r="B34" s="4" t="s">
        <v>122</v>
      </c>
      <c r="D34" s="30">
        <v>67</v>
      </c>
      <c r="E34" s="30">
        <v>67</v>
      </c>
      <c r="F34" s="30">
        <v>67</v>
      </c>
      <c r="G34" s="30">
        <v>67</v>
      </c>
      <c r="H34" s="30">
        <v>67</v>
      </c>
    </row>
    <row r="35" spans="2:8" ht="14" customHeight="1" x14ac:dyDescent="0.3">
      <c r="B35" s="4" t="s">
        <v>123</v>
      </c>
      <c r="D35" s="30">
        <v>74</v>
      </c>
      <c r="E35" s="30">
        <v>74</v>
      </c>
      <c r="F35" s="30">
        <v>74</v>
      </c>
      <c r="G35" s="30">
        <v>74</v>
      </c>
      <c r="H35" s="30">
        <v>74</v>
      </c>
    </row>
    <row r="36" spans="2:8" ht="14" customHeight="1" x14ac:dyDescent="0.3">
      <c r="B36" s="4" t="s">
        <v>124</v>
      </c>
      <c r="D36" s="30">
        <v>81</v>
      </c>
      <c r="E36" s="30">
        <v>81</v>
      </c>
      <c r="F36" s="30">
        <v>81</v>
      </c>
      <c r="G36" s="30">
        <v>81</v>
      </c>
      <c r="H36" s="30">
        <v>81</v>
      </c>
    </row>
    <row r="38" spans="2:8" ht="14" customHeight="1" x14ac:dyDescent="0.3">
      <c r="B38" s="3" t="s">
        <v>195</v>
      </c>
    </row>
    <row r="39" spans="2:8" ht="14" customHeight="1" x14ac:dyDescent="0.3">
      <c r="B39" s="4" t="s">
        <v>84</v>
      </c>
      <c r="D39" s="30">
        <v>355</v>
      </c>
      <c r="E39" s="30">
        <v>355</v>
      </c>
      <c r="F39" s="30">
        <v>355</v>
      </c>
      <c r="G39" s="30">
        <v>355</v>
      </c>
      <c r="H39" s="30">
        <v>355</v>
      </c>
    </row>
    <row r="40" spans="2:8" ht="14" customHeight="1" x14ac:dyDescent="0.3">
      <c r="B40" s="4" t="s">
        <v>121</v>
      </c>
      <c r="D40" s="30">
        <v>357</v>
      </c>
      <c r="E40" s="30">
        <v>357</v>
      </c>
      <c r="F40" s="30">
        <v>357</v>
      </c>
      <c r="G40" s="30">
        <v>357</v>
      </c>
      <c r="H40" s="30">
        <v>357</v>
      </c>
    </row>
    <row r="41" spans="2:8" ht="14" customHeight="1" x14ac:dyDescent="0.3">
      <c r="B41" s="4" t="s">
        <v>122</v>
      </c>
      <c r="D41" s="30">
        <v>355</v>
      </c>
      <c r="E41" s="30">
        <v>355</v>
      </c>
      <c r="F41" s="30">
        <v>355</v>
      </c>
      <c r="G41" s="30">
        <v>355</v>
      </c>
      <c r="H41" s="30">
        <v>355</v>
      </c>
    </row>
    <row r="42" spans="2:8" ht="14" customHeight="1" x14ac:dyDescent="0.3">
      <c r="B42" s="4" t="s">
        <v>123</v>
      </c>
      <c r="D42" s="30">
        <v>352</v>
      </c>
      <c r="E42" s="30">
        <v>352</v>
      </c>
      <c r="F42" s="30">
        <v>352</v>
      </c>
      <c r="G42" s="30">
        <v>352</v>
      </c>
      <c r="H42" s="30">
        <v>352</v>
      </c>
    </row>
    <row r="43" spans="2:8" ht="14" customHeight="1" x14ac:dyDescent="0.3">
      <c r="B43" s="4" t="s">
        <v>124</v>
      </c>
      <c r="D43" s="30">
        <v>349</v>
      </c>
      <c r="E43" s="30">
        <v>349</v>
      </c>
      <c r="F43" s="30">
        <v>349</v>
      </c>
      <c r="G43" s="30">
        <v>349</v>
      </c>
      <c r="H43" s="30">
        <v>349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006600"/>
  </sheetPr>
  <dimension ref="B2:Q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6" width="12" customWidth="1"/>
    <col min="17" max="17" width="26" customWidth="1"/>
  </cols>
  <sheetData>
    <row r="2" spans="2:17" ht="18" customHeight="1" x14ac:dyDescent="0.4">
      <c r="B2" s="2" t="s">
        <v>196</v>
      </c>
    </row>
    <row r="3" spans="2:17" ht="14" customHeight="1" x14ac:dyDescent="0.3">
      <c r="B3" s="1" t="s">
        <v>197</v>
      </c>
    </row>
    <row r="4" spans="2:17" ht="28" customHeight="1" x14ac:dyDescent="0.3">
      <c r="B4" s="10" t="s">
        <v>3</v>
      </c>
      <c r="C4" s="10" t="s">
        <v>5</v>
      </c>
      <c r="D4" s="10" t="s">
        <v>198</v>
      </c>
      <c r="E4" s="10" t="s">
        <v>199</v>
      </c>
      <c r="F4" s="10" t="s">
        <v>200</v>
      </c>
      <c r="G4" s="10" t="s">
        <v>201</v>
      </c>
      <c r="H4" s="10" t="s">
        <v>202</v>
      </c>
      <c r="I4" s="10" t="s">
        <v>203</v>
      </c>
      <c r="J4" s="10" t="s">
        <v>204</v>
      </c>
      <c r="K4" s="10" t="s">
        <v>205</v>
      </c>
      <c r="L4" s="10" t="s">
        <v>206</v>
      </c>
      <c r="M4" s="10" t="s">
        <v>207</v>
      </c>
      <c r="N4" s="10" t="s">
        <v>208</v>
      </c>
      <c r="O4" s="10" t="s">
        <v>209</v>
      </c>
      <c r="P4" s="10" t="s">
        <v>210</v>
      </c>
      <c r="Q4" s="10" t="s">
        <v>211</v>
      </c>
    </row>
    <row r="5" spans="2:17" ht="14" customHeight="1" x14ac:dyDescent="0.3">
      <c r="B5" s="4" t="s">
        <v>212</v>
      </c>
      <c r="C5" t="s">
        <v>213</v>
      </c>
      <c r="D5" s="37">
        <f>'Executive Summary'!C9*C23/1000000</f>
        <v>13985422.932514295</v>
      </c>
      <c r="E5" s="37">
        <f>D5+C24</f>
        <v>28983080.932514295</v>
      </c>
      <c r="F5" s="37">
        <v>14409121</v>
      </c>
      <c r="G5" s="37">
        <v>3577393</v>
      </c>
      <c r="H5" s="37">
        <v>1786410</v>
      </c>
      <c r="I5" s="37">
        <v>1037032</v>
      </c>
      <c r="J5" s="38">
        <f>IFERROR(E5/G5,"")</f>
        <v>8.1017324438534697</v>
      </c>
      <c r="K5" s="38">
        <f>IFERROR(E5/F5,"")</f>
        <v>2.01143990202555</v>
      </c>
      <c r="L5" s="38">
        <f>IFERROR(D5/I5,"")</f>
        <v>13.486009045539863</v>
      </c>
      <c r="M5" s="38">
        <f>IFERROR(D5/P5,"")</f>
        <v>1.4377019887092968</v>
      </c>
      <c r="N5" s="39">
        <f>IFERROR(H5/F5,"")</f>
        <v>0.12397772216639724</v>
      </c>
      <c r="O5" s="39">
        <f>IFERROR(I5/P5,"")</f>
        <v>0.10660692750942342</v>
      </c>
      <c r="P5" s="37">
        <v>9727623</v>
      </c>
    </row>
    <row r="6" spans="2:17" ht="14" customHeight="1" x14ac:dyDescent="0.3">
      <c r="B6" s="4" t="s">
        <v>214</v>
      </c>
      <c r="C6" t="s">
        <v>215</v>
      </c>
      <c r="D6" s="37">
        <v>11017665</v>
      </c>
      <c r="E6" s="37">
        <v>15744495</v>
      </c>
      <c r="F6" s="37">
        <v>6071915</v>
      </c>
      <c r="G6" s="37">
        <v>1747505</v>
      </c>
      <c r="H6" s="37">
        <v>1059234</v>
      </c>
      <c r="I6" s="37">
        <v>707112</v>
      </c>
      <c r="J6" s="38">
        <f>IFERROR(E6/G6,"")</f>
        <v>9.0096995430628244</v>
      </c>
      <c r="K6" s="38">
        <f>IFERROR(E6/F6,"")</f>
        <v>2.593003195861602</v>
      </c>
      <c r="L6" s="38">
        <f>IFERROR(D6/I6,"")</f>
        <v>15.581216271255473</v>
      </c>
      <c r="M6" s="38">
        <f>IFERROR(D6/P6,"")</f>
        <v>2.1702252509386932</v>
      </c>
      <c r="N6" s="39">
        <f>IFERROR(H6/F6,"")</f>
        <v>0.17444809421739271</v>
      </c>
      <c r="O6" s="39">
        <f>IFERROR(I6/P6,"")</f>
        <v>0.13928471392457126</v>
      </c>
      <c r="P6" s="37">
        <v>5076738</v>
      </c>
    </row>
    <row r="7" spans="2:17" ht="14" customHeight="1" x14ac:dyDescent="0.3">
      <c r="B7" s="4" t="s">
        <v>216</v>
      </c>
      <c r="C7" t="s">
        <v>217</v>
      </c>
      <c r="D7" s="37">
        <v>11441825</v>
      </c>
      <c r="E7" s="37">
        <v>16487608</v>
      </c>
      <c r="F7" s="37">
        <v>7038680</v>
      </c>
      <c r="G7" s="37">
        <v>1790590</v>
      </c>
      <c r="H7" s="37">
        <v>1042576</v>
      </c>
      <c r="I7" s="37">
        <v>550759</v>
      </c>
      <c r="J7" s="38">
        <f>IFERROR(E7/G7,"")</f>
        <v>9.2079191774778142</v>
      </c>
      <c r="K7" s="38">
        <f>IFERROR(E7/F7,"")</f>
        <v>2.3424289781606777</v>
      </c>
      <c r="L7" s="38">
        <f>IFERROR(D7/I7,"")</f>
        <v>20.774649165969144</v>
      </c>
      <c r="M7" s="38">
        <f>IFERROR(D7/P7,"")</f>
        <v>3.8682793872189309</v>
      </c>
      <c r="N7" s="39">
        <f>IFERROR(H7/F7,"")</f>
        <v>0.14812095449715004</v>
      </c>
      <c r="O7" s="39">
        <f>IFERROR(I7/P7,"")</f>
        <v>0.18620191158537308</v>
      </c>
      <c r="P7" s="37">
        <v>2957859</v>
      </c>
    </row>
    <row r="8" spans="2:17" ht="14" customHeight="1" x14ac:dyDescent="0.3">
      <c r="B8" s="4" t="s">
        <v>218</v>
      </c>
      <c r="C8" t="s">
        <v>219</v>
      </c>
      <c r="D8" s="37">
        <v>382283</v>
      </c>
      <c r="E8" s="37">
        <v>378881</v>
      </c>
      <c r="F8" s="37">
        <v>86348</v>
      </c>
      <c r="G8" s="37">
        <v>25048</v>
      </c>
      <c r="H8" s="37">
        <v>18697</v>
      </c>
      <c r="I8" s="37">
        <v>13217</v>
      </c>
      <c r="J8" s="38">
        <f>IFERROR(E8/G8,"")</f>
        <v>15.126197700415203</v>
      </c>
      <c r="K8" s="38">
        <f>IFERROR(E8/F8,"")</f>
        <v>4.3878375874368833</v>
      </c>
      <c r="L8" s="38">
        <f>IFERROR(D8/I8,"")</f>
        <v>28.923583263978209</v>
      </c>
      <c r="M8" s="38">
        <f>IFERROR(D8/P8,"")</f>
        <v>3.8628100843732631</v>
      </c>
      <c r="N8" s="39">
        <f>IFERROR(H8/F8,"")</f>
        <v>0.21653078241534257</v>
      </c>
      <c r="O8" s="39">
        <f>IFERROR(I8/P8,"")</f>
        <v>0.13355226595260949</v>
      </c>
      <c r="P8" s="37">
        <v>98965</v>
      </c>
    </row>
    <row r="14" spans="2:17" ht="14" customHeight="1" x14ac:dyDescent="0.3">
      <c r="B14" s="3" t="s">
        <v>220</v>
      </c>
    </row>
    <row r="15" spans="2:17" ht="14" customHeight="1" x14ac:dyDescent="0.3">
      <c r="B15" s="4" t="s">
        <v>221</v>
      </c>
      <c r="D15" s="38">
        <f t="shared" ref="D15:I15" si="0">PERCENTILE(J6:J8,0.25)</f>
        <v>9.1088093602703193</v>
      </c>
      <c r="E15" s="38">
        <f t="shared" si="0"/>
        <v>2.4677160870111399</v>
      </c>
      <c r="F15" s="38">
        <f t="shared" si="0"/>
        <v>18.177932718612308</v>
      </c>
      <c r="G15" s="38">
        <f t="shared" si="0"/>
        <v>3.016517667655978</v>
      </c>
      <c r="H15" s="39">
        <f t="shared" si="0"/>
        <v>0.16128452435727136</v>
      </c>
      <c r="I15" s="39">
        <f t="shared" si="0"/>
        <v>0.13641848993859038</v>
      </c>
    </row>
    <row r="16" spans="2:17" ht="14" customHeight="1" x14ac:dyDescent="0.3">
      <c r="B16" s="4" t="s">
        <v>222</v>
      </c>
      <c r="D16" s="38">
        <f t="shared" ref="D16:I16" si="1">MEDIAN(J6:J8)</f>
        <v>9.2079191774778142</v>
      </c>
      <c r="E16" s="38">
        <f t="shared" si="1"/>
        <v>2.593003195861602</v>
      </c>
      <c r="F16" s="38">
        <f t="shared" si="1"/>
        <v>20.774649165969144</v>
      </c>
      <c r="G16" s="38">
        <f t="shared" si="1"/>
        <v>3.8628100843732631</v>
      </c>
      <c r="H16" s="39">
        <f t="shared" si="1"/>
        <v>0.17444809421739271</v>
      </c>
      <c r="I16" s="39">
        <f t="shared" si="1"/>
        <v>0.13928471392457126</v>
      </c>
    </row>
    <row r="17" spans="2:9" ht="14" customHeight="1" x14ac:dyDescent="0.3">
      <c r="B17" s="4" t="s">
        <v>223</v>
      </c>
      <c r="D17" s="38">
        <f t="shared" ref="D17:I17" si="2">PERCENTILE(J6:J8,0.75)</f>
        <v>12.167058438946508</v>
      </c>
      <c r="E17" s="38">
        <f t="shared" si="2"/>
        <v>3.4904203916492427</v>
      </c>
      <c r="F17" s="38">
        <f t="shared" si="2"/>
        <v>24.849116214973677</v>
      </c>
      <c r="G17" s="38">
        <f t="shared" si="2"/>
        <v>3.8655447357960968</v>
      </c>
      <c r="H17" s="39">
        <f t="shared" si="2"/>
        <v>0.19548943831636764</v>
      </c>
      <c r="I17" s="39">
        <f t="shared" si="2"/>
        <v>0.16274331275497217</v>
      </c>
    </row>
    <row r="19" spans="2:9" ht="14" customHeight="1" x14ac:dyDescent="0.3">
      <c r="B19" s="22" t="s">
        <v>224</v>
      </c>
      <c r="C19" s="23"/>
      <c r="D19" s="23"/>
      <c r="E19" s="23"/>
      <c r="F19" s="23"/>
      <c r="G19" s="23"/>
      <c r="H19" s="23"/>
      <c r="I19" s="23"/>
    </row>
    <row r="20" spans="2:9" ht="14" customHeight="1" x14ac:dyDescent="0.3">
      <c r="B20" s="3" t="s">
        <v>225</v>
      </c>
    </row>
    <row r="21" spans="2:9" ht="14" customHeight="1" x14ac:dyDescent="0.3">
      <c r="B21" s="4" t="s">
        <v>226</v>
      </c>
      <c r="C21" s="5">
        <v>3577393</v>
      </c>
    </row>
    <row r="22" spans="2:9" ht="14" customHeight="1" x14ac:dyDescent="0.3">
      <c r="B22" s="4" t="s">
        <v>227</v>
      </c>
      <c r="C22" s="5">
        <v>1037032</v>
      </c>
    </row>
    <row r="23" spans="2:9" ht="14" customHeight="1" x14ac:dyDescent="0.3">
      <c r="B23" s="4" t="s">
        <v>228</v>
      </c>
      <c r="C23" s="15">
        <v>81027939965</v>
      </c>
    </row>
    <row r="24" spans="2:9" ht="14" customHeight="1" x14ac:dyDescent="0.3">
      <c r="B24" s="4" t="s">
        <v>73</v>
      </c>
      <c r="C24" s="5">
        <v>14997658</v>
      </c>
    </row>
    <row r="26" spans="2:9" ht="14" customHeight="1" x14ac:dyDescent="0.3">
      <c r="B26" s="3" t="s">
        <v>229</v>
      </c>
    </row>
    <row r="27" spans="2:9" ht="14" customHeight="1" x14ac:dyDescent="0.3">
      <c r="B27" s="4" t="s">
        <v>230</v>
      </c>
      <c r="C27" s="24">
        <f>ROUND((C21*D16-C24)*1000000/C23,0)</f>
        <v>221</v>
      </c>
    </row>
    <row r="28" spans="2:9" ht="14" customHeight="1" x14ac:dyDescent="0.3">
      <c r="B28" s="4" t="s">
        <v>231</v>
      </c>
      <c r="C28" s="24">
        <f>ROUND(C22*F16*1000000/C23,0)</f>
        <v>266</v>
      </c>
    </row>
  </sheetData>
  <phoneticPr fontId="8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customHeight="1" x14ac:dyDescent="0.4">
      <c r="B2" s="2" t="s">
        <v>232</v>
      </c>
    </row>
    <row r="3" spans="2:9" ht="14" customHeight="1" x14ac:dyDescent="0.3">
      <c r="B3" s="4" t="s">
        <v>233</v>
      </c>
      <c r="C3" s="16">
        <f>'DCF Model'!C26</f>
        <v>4.4598880524995173E-2</v>
      </c>
      <c r="E3" s="4" t="s">
        <v>234</v>
      </c>
      <c r="F3" s="16">
        <f>'DCF Model'!C13</f>
        <v>0.01</v>
      </c>
      <c r="H3" s="4" t="s">
        <v>235</v>
      </c>
      <c r="I3" s="14">
        <f>'DCF Model'!C14</f>
        <v>9.1999999999999993</v>
      </c>
    </row>
    <row r="5" spans="2:9" ht="14" customHeight="1" x14ac:dyDescent="0.3">
      <c r="B5" s="3" t="s">
        <v>236</v>
      </c>
    </row>
    <row r="6" spans="2:9" ht="14" customHeight="1" x14ac:dyDescent="0.3">
      <c r="B6" s="40" t="s">
        <v>237</v>
      </c>
      <c r="C6" s="41">
        <f>$F$3-0.0075</f>
        <v>2.5000000000000005E-3</v>
      </c>
      <c r="D6" s="41">
        <f>$F$3-0.005</f>
        <v>5.0000000000000001E-3</v>
      </c>
      <c r="E6" s="41">
        <f>$F$3-0.0025</f>
        <v>7.4999999999999997E-3</v>
      </c>
      <c r="F6" s="41">
        <f>$F$3</f>
        <v>0.01</v>
      </c>
      <c r="G6" s="41">
        <f>$F$3+0.0025</f>
        <v>1.2500000000000001E-2</v>
      </c>
      <c r="H6" s="41">
        <f>$F$3+0.005</f>
        <v>1.4999999999999999E-2</v>
      </c>
      <c r="I6" s="41">
        <f>$F$3+0.0075</f>
        <v>1.7500000000000002E-2</v>
      </c>
    </row>
    <row r="7" spans="2:9" ht="13.5" customHeight="1" x14ac:dyDescent="0.25">
      <c r="B7" s="39">
        <f>$C$3-0.015</f>
        <v>2.9598880524995173E-2</v>
      </c>
      <c r="C7" s="37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530</v>
      </c>
      <c r="D7" s="37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592</v>
      </c>
      <c r="E7" s="37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667</v>
      </c>
      <c r="F7" s="37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762</v>
      </c>
      <c r="G7" s="37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884</v>
      </c>
      <c r="H7" s="37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1048</v>
      </c>
      <c r="I7" s="37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1280</v>
      </c>
    </row>
    <row r="8" spans="2:9" ht="13.5" customHeight="1" x14ac:dyDescent="0.25">
      <c r="B8" s="39">
        <f>$C$3-0.01</f>
        <v>3.4598880524995171E-2</v>
      </c>
      <c r="C8" s="37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425</v>
      </c>
      <c r="D8" s="37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467</v>
      </c>
      <c r="E8" s="37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518</v>
      </c>
      <c r="F8" s="37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578</v>
      </c>
      <c r="G8" s="37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652</v>
      </c>
      <c r="H8" s="37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745</v>
      </c>
      <c r="I8" s="37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865</v>
      </c>
    </row>
    <row r="9" spans="2:9" ht="13.5" customHeight="1" x14ac:dyDescent="0.25">
      <c r="B9" s="39">
        <f>$C$3-0.005</f>
        <v>3.9598880524995175E-2</v>
      </c>
      <c r="C9" s="37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348</v>
      </c>
      <c r="D9" s="37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379</v>
      </c>
      <c r="E9" s="37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415</v>
      </c>
      <c r="F9" s="37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456</v>
      </c>
      <c r="G9" s="37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505</v>
      </c>
      <c r="H9" s="37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564</v>
      </c>
      <c r="I9" s="37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637</v>
      </c>
    </row>
    <row r="10" spans="2:9" ht="13.5" customHeight="1" x14ac:dyDescent="0.25">
      <c r="B10" s="39">
        <f>$C$3</f>
        <v>4.4598880524995173E-2</v>
      </c>
      <c r="C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290</v>
      </c>
      <c r="D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313</v>
      </c>
      <c r="E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339</v>
      </c>
      <c r="F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369</v>
      </c>
      <c r="G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404</v>
      </c>
      <c r="H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445</v>
      </c>
      <c r="I10" s="37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493</v>
      </c>
    </row>
    <row r="11" spans="2:9" ht="13.5" customHeight="1" x14ac:dyDescent="0.25">
      <c r="B11" s="39">
        <f>$C$3+0.005</f>
        <v>4.959888052499517E-2</v>
      </c>
      <c r="C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244</v>
      </c>
      <c r="D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262</v>
      </c>
      <c r="E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282</v>
      </c>
      <c r="F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305</v>
      </c>
      <c r="G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331</v>
      </c>
      <c r="H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360</v>
      </c>
      <c r="I11" s="37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394</v>
      </c>
    </row>
    <row r="12" spans="2:9" ht="13.5" customHeight="1" x14ac:dyDescent="0.25">
      <c r="B12" s="39">
        <f>$C$3+0.01</f>
        <v>5.4598880524995175E-2</v>
      </c>
      <c r="C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206</v>
      </c>
      <c r="D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221</v>
      </c>
      <c r="E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237</v>
      </c>
      <c r="F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254</v>
      </c>
      <c r="G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274</v>
      </c>
      <c r="H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297</v>
      </c>
      <c r="I12" s="37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322</v>
      </c>
    </row>
    <row r="13" spans="2:9" ht="13.5" customHeight="1" x14ac:dyDescent="0.25">
      <c r="B13" s="39">
        <f>$C$3+0.015</f>
        <v>5.9598880524995172E-2</v>
      </c>
      <c r="C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175</v>
      </c>
      <c r="D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187</v>
      </c>
      <c r="E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200</v>
      </c>
      <c r="F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214</v>
      </c>
      <c r="G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230</v>
      </c>
      <c r="H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247</v>
      </c>
      <c r="I13" s="37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267</v>
      </c>
    </row>
    <row r="16" spans="2:9" ht="14" customHeight="1" x14ac:dyDescent="0.3">
      <c r="B16" s="3" t="s">
        <v>238</v>
      </c>
    </row>
    <row r="17" spans="2:9" ht="14" customHeight="1" x14ac:dyDescent="0.3">
      <c r="B17" s="40" t="s">
        <v>239</v>
      </c>
      <c r="C17" s="42">
        <f>$I$3-3</f>
        <v>6.1999999999999993</v>
      </c>
      <c r="D17" s="42">
        <f>$I$3-2</f>
        <v>7.1999999999999993</v>
      </c>
      <c r="E17" s="42">
        <f>$I$3-1</f>
        <v>8.1999999999999993</v>
      </c>
      <c r="F17" s="42">
        <f>$I$3</f>
        <v>9.1999999999999993</v>
      </c>
      <c r="G17" s="42">
        <f>$I$3+1</f>
        <v>10.199999999999999</v>
      </c>
      <c r="H17" s="42">
        <f>$I$3+2</f>
        <v>11.2</v>
      </c>
      <c r="I17" s="42">
        <f>$I$3+3</f>
        <v>12.2</v>
      </c>
    </row>
    <row r="18" spans="2:9" ht="13.5" customHeight="1" x14ac:dyDescent="0.25">
      <c r="B18" s="39">
        <f>$C$3-0.015</f>
        <v>2.9598880524995173E-2</v>
      </c>
      <c r="C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Model'!G42)*C$17/(1+$B18)^('DCF Model'!C19+4)-'DCF Model'!C16)*1000000/'DCF Model'!C15,0),"")</f>
        <v>209</v>
      </c>
      <c r="D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Model'!G42)*D$17/(1+$B18)^('DCF Model'!C19+4)-'DCF Model'!C16)*1000000/'DCF Model'!C15,0),"")</f>
        <v>253</v>
      </c>
      <c r="E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Model'!G42)*E$17/(1+$B18)^('DCF Model'!C19+4)-'DCF Model'!C16)*1000000/'DCF Model'!C15,0),"")</f>
        <v>296</v>
      </c>
      <c r="F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Model'!G42)*F$17/(1+$B18)^('DCF Model'!C19+4)-'DCF Model'!C16)*1000000/'DCF Model'!C15,0),"")</f>
        <v>339</v>
      </c>
      <c r="G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Model'!G42)*G$17/(1+$B18)^('DCF Model'!C19+4)-'DCF Model'!C16)*1000000/'DCF Model'!C15,0),"")</f>
        <v>383</v>
      </c>
      <c r="H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Model'!G42)*H$17/(1+$B18)^('DCF Model'!C19+4)-'DCF Model'!C16)*1000000/'DCF Model'!C15,0),"")</f>
        <v>426</v>
      </c>
      <c r="I18" s="37">
        <f>IFERROR(ROUND(('DCF Model'!C45/(1+$B18)^('DCF Model'!C19+0)+'DCF Model'!D45/(1+$B18)^('DCF Model'!C19+1)+'DCF Model'!E45/(1+$B18)^('DCF Model'!C19+2)+'DCF Model'!F45/(1+$B18)^('DCF Model'!C19+3)+'DCF Model'!G45/(1+$B18)^('DCF Model'!C19+4)+('DCF Model'!G39+'DCF Model'!G42)*I$17/(1+$B18)^('DCF Model'!C19+4)-'DCF Model'!C16)*1000000/'DCF Model'!C15,0),"")</f>
        <v>469</v>
      </c>
    </row>
    <row r="19" spans="2:9" ht="13.5" customHeight="1" x14ac:dyDescent="0.25">
      <c r="B19" s="39">
        <f>$C$3-0.01</f>
        <v>3.4598880524995171E-2</v>
      </c>
      <c r="C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Model'!G42)*C$17/(1+$B19)^('DCF Model'!C19+4)-'DCF Model'!C16)*1000000/'DCF Model'!C15,0),"")</f>
        <v>202</v>
      </c>
      <c r="D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Model'!G42)*D$17/(1+$B19)^('DCF Model'!C19+4)-'DCF Model'!C16)*1000000/'DCF Model'!C15,0),"")</f>
        <v>244</v>
      </c>
      <c r="E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Model'!G42)*E$17/(1+$B19)^('DCF Model'!C19+4)-'DCF Model'!C16)*1000000/'DCF Model'!C15,0),"")</f>
        <v>286</v>
      </c>
      <c r="F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Model'!G42)*F$17/(1+$B19)^('DCF Model'!C19+4)-'DCF Model'!C16)*1000000/'DCF Model'!C15,0),"")</f>
        <v>329</v>
      </c>
      <c r="G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Model'!G42)*G$17/(1+$B19)^('DCF Model'!C19+4)-'DCF Model'!C16)*1000000/'DCF Model'!C15,0),"")</f>
        <v>371</v>
      </c>
      <c r="H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Model'!G42)*H$17/(1+$B19)^('DCF Model'!C19+4)-'DCF Model'!C16)*1000000/'DCF Model'!C15,0),"")</f>
        <v>413</v>
      </c>
      <c r="I19" s="37">
        <f>IFERROR(ROUND(('DCF Model'!C45/(1+$B19)^('DCF Model'!C19+0)+'DCF Model'!D45/(1+$B19)^('DCF Model'!C19+1)+'DCF Model'!E45/(1+$B19)^('DCF Model'!C19+2)+'DCF Model'!F45/(1+$B19)^('DCF Model'!C19+3)+'DCF Model'!G45/(1+$B19)^('DCF Model'!C19+4)+('DCF Model'!G39+'DCF Model'!G42)*I$17/(1+$B19)^('DCF Model'!C19+4)-'DCF Model'!C16)*1000000/'DCF Model'!C15,0),"")</f>
        <v>455</v>
      </c>
    </row>
    <row r="20" spans="2:9" ht="13.5" customHeight="1" x14ac:dyDescent="0.25">
      <c r="B20" s="39">
        <f>$C$3-0.005</f>
        <v>3.9598880524995175E-2</v>
      </c>
      <c r="C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Model'!G42)*C$17/(1+$B20)^('DCF Model'!C19+4)-'DCF Model'!C16)*1000000/'DCF Model'!C15,0),"")</f>
        <v>194</v>
      </c>
      <c r="D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Model'!G42)*D$17/(1+$B20)^('DCF Model'!C19+4)-'DCF Model'!C16)*1000000/'DCF Model'!C15,0),"")</f>
        <v>235</v>
      </c>
      <c r="E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Model'!G42)*E$17/(1+$B20)^('DCF Model'!C19+4)-'DCF Model'!C16)*1000000/'DCF Model'!C15,0),"")</f>
        <v>277</v>
      </c>
      <c r="F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Model'!G42)*F$17/(1+$B20)^('DCF Model'!C19+4)-'DCF Model'!C16)*1000000/'DCF Model'!C15,0),"")</f>
        <v>318</v>
      </c>
      <c r="G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Model'!G42)*G$17/(1+$B20)^('DCF Model'!C19+4)-'DCF Model'!C16)*1000000/'DCF Model'!C15,0),"")</f>
        <v>359</v>
      </c>
      <c r="H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Model'!G42)*H$17/(1+$B20)^('DCF Model'!C19+4)-'DCF Model'!C16)*1000000/'DCF Model'!C15,0),"")</f>
        <v>400</v>
      </c>
      <c r="I20" s="37">
        <f>IFERROR(ROUND(('DCF Model'!C45/(1+$B20)^('DCF Model'!C19+0)+'DCF Model'!D45/(1+$B20)^('DCF Model'!C19+1)+'DCF Model'!E45/(1+$B20)^('DCF Model'!C19+2)+'DCF Model'!F45/(1+$B20)^('DCF Model'!C19+3)+'DCF Model'!G45/(1+$B20)^('DCF Model'!C19+4)+('DCF Model'!G39+'DCF Model'!G42)*I$17/(1+$B20)^('DCF Model'!C19+4)-'DCF Model'!C16)*1000000/'DCF Model'!C15,0),"")</f>
        <v>442</v>
      </c>
    </row>
    <row r="21" spans="2:9" ht="13.5" customHeight="1" x14ac:dyDescent="0.25">
      <c r="B21" s="39">
        <f>$C$3</f>
        <v>4.4598880524995173E-2</v>
      </c>
      <c r="C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Model'!G42)*C$17/(1+$B21)^('DCF Model'!C19+4)-'DCF Model'!C16)*1000000/'DCF Model'!C15,0),"")</f>
        <v>187</v>
      </c>
      <c r="D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Model'!G42)*D$17/(1+$B21)^('DCF Model'!C19+4)-'DCF Model'!C16)*1000000/'DCF Model'!C15,0),"")</f>
        <v>227</v>
      </c>
      <c r="E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Model'!G42)*E$17/(1+$B21)^('DCF Model'!C19+4)-'DCF Model'!C16)*1000000/'DCF Model'!C15,0),"")</f>
        <v>267</v>
      </c>
      <c r="F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Model'!G42)*F$17/(1+$B21)^('DCF Model'!C19+4)-'DCF Model'!C16)*1000000/'DCF Model'!C15,0),"")</f>
        <v>308</v>
      </c>
      <c r="G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Model'!G42)*G$17/(1+$B21)^('DCF Model'!C19+4)-'DCF Model'!C16)*1000000/'DCF Model'!C15,0),"")</f>
        <v>348</v>
      </c>
      <c r="H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Model'!G42)*H$17/(1+$B21)^('DCF Model'!C19+4)-'DCF Model'!C16)*1000000/'DCF Model'!C15,0),"")</f>
        <v>388</v>
      </c>
      <c r="I21" s="37">
        <f>IFERROR(ROUND(('DCF Model'!C45/(1+$B21)^('DCF Model'!C19+0)+'DCF Model'!D45/(1+$B21)^('DCF Model'!C19+1)+'DCF Model'!E45/(1+$B21)^('DCF Model'!C19+2)+'DCF Model'!F45/(1+$B21)^('DCF Model'!C19+3)+'DCF Model'!G45/(1+$B21)^('DCF Model'!C19+4)+('DCF Model'!G39+'DCF Model'!G42)*I$17/(1+$B21)^('DCF Model'!C19+4)-'DCF Model'!C16)*1000000/'DCF Model'!C15,0),"")</f>
        <v>429</v>
      </c>
    </row>
    <row r="22" spans="2:9" ht="13.5" customHeight="1" x14ac:dyDescent="0.25">
      <c r="B22" s="39">
        <f>$C$3+0.005</f>
        <v>4.959888052499517E-2</v>
      </c>
      <c r="C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Model'!G42)*C$17/(1+$B22)^('DCF Model'!C19+4)-'DCF Model'!C16)*1000000/'DCF Model'!C15,0),"")</f>
        <v>180</v>
      </c>
      <c r="D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Model'!G42)*D$17/(1+$B22)^('DCF Model'!C19+4)-'DCF Model'!C16)*1000000/'DCF Model'!C15,0),"")</f>
        <v>219</v>
      </c>
      <c r="E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Model'!G42)*E$17/(1+$B22)^('DCF Model'!C19+4)-'DCF Model'!C16)*1000000/'DCF Model'!C15,0),"")</f>
        <v>258</v>
      </c>
      <c r="F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Model'!G42)*F$17/(1+$B22)^('DCF Model'!C19+4)-'DCF Model'!C16)*1000000/'DCF Model'!C15,0),"")</f>
        <v>298</v>
      </c>
      <c r="G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Model'!G42)*G$17/(1+$B22)^('DCF Model'!C19+4)-'DCF Model'!C16)*1000000/'DCF Model'!C15,0),"")</f>
        <v>337</v>
      </c>
      <c r="H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Model'!G42)*H$17/(1+$B22)^('DCF Model'!C19+4)-'DCF Model'!C16)*1000000/'DCF Model'!C15,0),"")</f>
        <v>376</v>
      </c>
      <c r="I22" s="37">
        <f>IFERROR(ROUND(('DCF Model'!C45/(1+$B22)^('DCF Model'!C19+0)+'DCF Model'!D45/(1+$B22)^('DCF Model'!C19+1)+'DCF Model'!E45/(1+$B22)^('DCF Model'!C19+2)+'DCF Model'!F45/(1+$B22)^('DCF Model'!C19+3)+'DCF Model'!G45/(1+$B22)^('DCF Model'!C19+4)+('DCF Model'!G39+'DCF Model'!G42)*I$17/(1+$B22)^('DCF Model'!C19+4)-'DCF Model'!C16)*1000000/'DCF Model'!C15,0),"")</f>
        <v>416</v>
      </c>
    </row>
    <row r="23" spans="2:9" ht="13.5" customHeight="1" x14ac:dyDescent="0.25">
      <c r="B23" s="39">
        <f>$C$3+0.01</f>
        <v>5.4598880524995175E-2</v>
      </c>
      <c r="C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Model'!G42)*C$17/(1+$B23)^('DCF Model'!C19+4)-'DCF Model'!C16)*1000000/'DCF Model'!C15,0),"")</f>
        <v>173</v>
      </c>
      <c r="D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Model'!G42)*D$17/(1+$B23)^('DCF Model'!C19+4)-'DCF Model'!C16)*1000000/'DCF Model'!C15,0),"")</f>
        <v>211</v>
      </c>
      <c r="E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Model'!G42)*E$17/(1+$B23)^('DCF Model'!C19+4)-'DCF Model'!C16)*1000000/'DCF Model'!C15,0),"")</f>
        <v>250</v>
      </c>
      <c r="F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Model'!G42)*F$17/(1+$B23)^('DCF Model'!C19+4)-'DCF Model'!C16)*1000000/'DCF Model'!C15,0),"")</f>
        <v>288</v>
      </c>
      <c r="G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Model'!G42)*G$17/(1+$B23)^('DCF Model'!C19+4)-'DCF Model'!C16)*1000000/'DCF Model'!C15,0),"")</f>
        <v>326</v>
      </c>
      <c r="H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Model'!G42)*H$17/(1+$B23)^('DCF Model'!C19+4)-'DCF Model'!C16)*1000000/'DCF Model'!C15,0),"")</f>
        <v>365</v>
      </c>
      <c r="I23" s="37">
        <f>IFERROR(ROUND(('DCF Model'!C45/(1+$B23)^('DCF Model'!C19+0)+'DCF Model'!D45/(1+$B23)^('DCF Model'!C19+1)+'DCF Model'!E45/(1+$B23)^('DCF Model'!C19+2)+'DCF Model'!F45/(1+$B23)^('DCF Model'!C19+3)+'DCF Model'!G45/(1+$B23)^('DCF Model'!C19+4)+('DCF Model'!G39+'DCF Model'!G42)*I$17/(1+$B23)^('DCF Model'!C19+4)-'DCF Model'!C16)*1000000/'DCF Model'!C15,0),"")</f>
        <v>403</v>
      </c>
    </row>
    <row r="24" spans="2:9" ht="13.5" customHeight="1" x14ac:dyDescent="0.25">
      <c r="B24" s="39">
        <f>$C$3+0.015</f>
        <v>5.9598880524995172E-2</v>
      </c>
      <c r="C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Model'!G42)*C$17/(1+$B24)^('DCF Model'!C19+4)-'DCF Model'!C16)*1000000/'DCF Model'!C15,0),"")</f>
        <v>166</v>
      </c>
      <c r="D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Model'!G42)*D$17/(1+$B24)^('DCF Model'!C19+4)-'DCF Model'!C16)*1000000/'DCF Model'!C15,0),"")</f>
        <v>203</v>
      </c>
      <c r="E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Model'!G42)*E$17/(1+$B24)^('DCF Model'!C19+4)-'DCF Model'!C16)*1000000/'DCF Model'!C15,0),"")</f>
        <v>241</v>
      </c>
      <c r="F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Model'!G42)*F$17/(1+$B24)^('DCF Model'!C19+4)-'DCF Model'!C16)*1000000/'DCF Model'!C15,0),"")</f>
        <v>278</v>
      </c>
      <c r="G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Model'!G42)*G$17/(1+$B24)^('DCF Model'!C19+4)-'DCF Model'!C16)*1000000/'DCF Model'!C15,0),"")</f>
        <v>316</v>
      </c>
      <c r="H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Model'!G42)*H$17/(1+$B24)^('DCF Model'!C19+4)-'DCF Model'!C16)*1000000/'DCF Model'!C15,0),"")</f>
        <v>353</v>
      </c>
      <c r="I24" s="37">
        <f>IFERROR(ROUND(('DCF Model'!C45/(1+$B24)^('DCF Model'!C19+0)+'DCF Model'!D45/(1+$B24)^('DCF Model'!C19+1)+'DCF Model'!E45/(1+$B24)^('DCF Model'!C19+2)+'DCF Model'!F45/(1+$B24)^('DCF Model'!C19+3)+'DCF Model'!G45/(1+$B24)^('DCF Model'!C19+4)+('DCF Model'!G39+'DCF Model'!G42)*I$17/(1+$B24)^('DCF Model'!C19+4)-'DCF Model'!C16)*1000000/'DCF Model'!C15,0),"")</f>
        <v>391</v>
      </c>
    </row>
    <row r="26" spans="2:9" ht="14" customHeight="1" x14ac:dyDescent="0.3">
      <c r="B26" s="46" t="s">
        <v>240</v>
      </c>
      <c r="C26" s="45"/>
      <c r="D26" s="45"/>
      <c r="E26" s="45"/>
      <c r="F26" s="45"/>
      <c r="G26" s="45"/>
      <c r="H26" s="45"/>
      <c r="I26" s="45"/>
    </row>
  </sheetData>
  <mergeCells count="1">
    <mergeCell ref="B26:I26"/>
  </mergeCells>
  <phoneticPr fontId="8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808080"/>
  </sheetPr>
  <dimension ref="B2:G64"/>
  <sheetViews>
    <sheetView workbookViewId="0"/>
  </sheetViews>
  <sheetFormatPr defaultRowHeight="13" x14ac:dyDescent="0.2"/>
  <cols>
    <col min="1" max="1" width="3" customWidth="1"/>
    <col min="2" max="2" width="14" customWidth="1"/>
    <col min="3" max="3" width="16" customWidth="1"/>
    <col min="4" max="5" width="46" customWidth="1"/>
    <col min="6" max="6" width="20" customWidth="1"/>
    <col min="7" max="7" width="12" customWidth="1"/>
  </cols>
  <sheetData>
    <row r="2" spans="2:7" ht="18" customHeight="1" x14ac:dyDescent="0.4">
      <c r="B2" s="2" t="s">
        <v>241</v>
      </c>
    </row>
    <row r="4" spans="2:7" ht="14" customHeight="1" x14ac:dyDescent="0.3">
      <c r="B4" s="10" t="s">
        <v>242</v>
      </c>
      <c r="C4" s="10" t="s">
        <v>243</v>
      </c>
      <c r="D4" s="10" t="s">
        <v>244</v>
      </c>
      <c r="E4" s="10" t="s">
        <v>245</v>
      </c>
      <c r="F4" s="10" t="s">
        <v>246</v>
      </c>
      <c r="G4" s="10" t="s">
        <v>247</v>
      </c>
    </row>
    <row r="5" spans="2:7" x14ac:dyDescent="0.2">
      <c r="B5" t="s">
        <v>248</v>
      </c>
      <c r="C5" t="s">
        <v>249</v>
      </c>
      <c r="D5" t="s">
        <v>250</v>
      </c>
      <c r="E5" t="s">
        <v>251</v>
      </c>
      <c r="F5" t="s">
        <v>249</v>
      </c>
      <c r="G5" t="s">
        <v>252</v>
      </c>
    </row>
    <row r="6" spans="2:7" ht="30" customHeight="1" x14ac:dyDescent="0.3">
      <c r="B6" s="43" t="s">
        <v>253</v>
      </c>
      <c r="C6" s="4" t="s">
        <v>254</v>
      </c>
      <c r="D6" s="43" t="s">
        <v>255</v>
      </c>
      <c r="E6" s="43" t="s">
        <v>256</v>
      </c>
      <c r="F6" s="43" t="s">
        <v>257</v>
      </c>
      <c r="G6" s="43" t="s">
        <v>258</v>
      </c>
    </row>
    <row r="7" spans="2:7" ht="30" customHeight="1" x14ac:dyDescent="0.3">
      <c r="B7" s="43" t="s">
        <v>253</v>
      </c>
      <c r="C7" s="4" t="s">
        <v>259</v>
      </c>
      <c r="D7" s="43" t="s">
        <v>260</v>
      </c>
      <c r="E7" s="43" t="s">
        <v>261</v>
      </c>
      <c r="F7" s="43" t="s">
        <v>262</v>
      </c>
      <c r="G7" s="43" t="s">
        <v>263</v>
      </c>
    </row>
    <row r="8" spans="2:7" ht="30" customHeight="1" x14ac:dyDescent="0.3">
      <c r="B8" s="43" t="s">
        <v>253</v>
      </c>
      <c r="C8" s="4" t="s">
        <v>264</v>
      </c>
      <c r="D8" s="43" t="s">
        <v>265</v>
      </c>
      <c r="E8" s="43" t="s">
        <v>266</v>
      </c>
      <c r="F8" s="43" t="s">
        <v>267</v>
      </c>
      <c r="G8" s="43" t="s">
        <v>263</v>
      </c>
    </row>
    <row r="9" spans="2:7" ht="30" customHeight="1" x14ac:dyDescent="0.3">
      <c r="B9" s="43" t="s">
        <v>253</v>
      </c>
      <c r="C9" s="4" t="s">
        <v>268</v>
      </c>
      <c r="D9" s="43" t="s">
        <v>269</v>
      </c>
      <c r="E9" s="43" t="s">
        <v>270</v>
      </c>
      <c r="F9" s="43" t="s">
        <v>271</v>
      </c>
      <c r="G9" s="43" t="s">
        <v>272</v>
      </c>
    </row>
    <row r="10" spans="2:7" ht="30" customHeight="1" x14ac:dyDescent="0.3">
      <c r="B10" s="43" t="s">
        <v>253</v>
      </c>
      <c r="C10" s="4" t="s">
        <v>273</v>
      </c>
      <c r="D10" s="43" t="s">
        <v>274</v>
      </c>
      <c r="E10" s="43" t="s">
        <v>275</v>
      </c>
      <c r="F10" s="43" t="s">
        <v>276</v>
      </c>
      <c r="G10" s="43" t="s">
        <v>277</v>
      </c>
    </row>
    <row r="11" spans="2:7" ht="30" customHeight="1" x14ac:dyDescent="0.3">
      <c r="B11" s="43" t="s">
        <v>253</v>
      </c>
      <c r="C11" s="4" t="s">
        <v>278</v>
      </c>
      <c r="D11" s="43" t="s">
        <v>279</v>
      </c>
      <c r="E11" s="43" t="s">
        <v>280</v>
      </c>
      <c r="F11" s="43" t="s">
        <v>281</v>
      </c>
      <c r="G11" s="43" t="s">
        <v>282</v>
      </c>
    </row>
    <row r="12" spans="2:7" ht="30" customHeight="1" x14ac:dyDescent="0.3">
      <c r="B12" s="43" t="s">
        <v>253</v>
      </c>
      <c r="C12" s="4" t="s">
        <v>283</v>
      </c>
      <c r="D12" s="43" t="s">
        <v>284</v>
      </c>
      <c r="E12" s="43" t="s">
        <v>285</v>
      </c>
      <c r="F12" s="43" t="s">
        <v>286</v>
      </c>
      <c r="G12" s="43" t="s">
        <v>263</v>
      </c>
    </row>
    <row r="13" spans="2:7" ht="30" customHeight="1" x14ac:dyDescent="0.3">
      <c r="B13" s="43" t="s">
        <v>253</v>
      </c>
      <c r="C13" s="4" t="s">
        <v>287</v>
      </c>
      <c r="D13" s="43" t="s">
        <v>288</v>
      </c>
      <c r="E13" s="43" t="s">
        <v>289</v>
      </c>
      <c r="F13" s="43" t="s">
        <v>290</v>
      </c>
      <c r="G13" s="43" t="s">
        <v>263</v>
      </c>
    </row>
    <row r="14" spans="2:7" ht="30" customHeight="1" x14ac:dyDescent="0.3">
      <c r="B14" s="43" t="s">
        <v>253</v>
      </c>
      <c r="C14" s="4" t="s">
        <v>291</v>
      </c>
      <c r="D14" s="43" t="s">
        <v>292</v>
      </c>
      <c r="E14" s="43" t="s">
        <v>293</v>
      </c>
      <c r="F14" s="43" t="s">
        <v>249</v>
      </c>
      <c r="G14" s="43" t="s">
        <v>263</v>
      </c>
    </row>
    <row r="15" spans="2:7" ht="30" customHeight="1" x14ac:dyDescent="0.3">
      <c r="B15" s="43" t="s">
        <v>253</v>
      </c>
      <c r="C15" s="4" t="s">
        <v>294</v>
      </c>
      <c r="D15" s="43" t="s">
        <v>295</v>
      </c>
      <c r="E15" s="43" t="s">
        <v>296</v>
      </c>
      <c r="F15" s="43" t="s">
        <v>297</v>
      </c>
      <c r="G15" s="43" t="s">
        <v>263</v>
      </c>
    </row>
    <row r="16" spans="2:7" ht="30" customHeight="1" x14ac:dyDescent="0.3">
      <c r="B16" s="43" t="s">
        <v>253</v>
      </c>
      <c r="C16" s="4" t="s">
        <v>298</v>
      </c>
      <c r="D16" s="43" t="s">
        <v>299</v>
      </c>
      <c r="E16" s="43" t="s">
        <v>300</v>
      </c>
      <c r="F16" s="43" t="s">
        <v>249</v>
      </c>
      <c r="G16" s="43" t="s">
        <v>301</v>
      </c>
    </row>
    <row r="17" spans="2:7" ht="30" customHeight="1" x14ac:dyDescent="0.3">
      <c r="B17" s="43" t="s">
        <v>253</v>
      </c>
      <c r="C17" s="4" t="s">
        <v>302</v>
      </c>
      <c r="D17" s="43" t="s">
        <v>303</v>
      </c>
      <c r="E17" s="43" t="s">
        <v>304</v>
      </c>
      <c r="F17" s="43" t="s">
        <v>267</v>
      </c>
      <c r="G17" s="43" t="s">
        <v>263</v>
      </c>
    </row>
    <row r="18" spans="2:7" ht="30" customHeight="1" x14ac:dyDescent="0.3">
      <c r="B18" s="43" t="s">
        <v>253</v>
      </c>
      <c r="C18" s="4" t="s">
        <v>305</v>
      </c>
      <c r="D18" s="43" t="s">
        <v>306</v>
      </c>
      <c r="E18" s="43" t="s">
        <v>307</v>
      </c>
      <c r="F18" s="43" t="s">
        <v>249</v>
      </c>
      <c r="G18" s="43" t="s">
        <v>263</v>
      </c>
    </row>
    <row r="19" spans="2:7" ht="30" customHeight="1" x14ac:dyDescent="0.3">
      <c r="B19" s="43" t="s">
        <v>253</v>
      </c>
      <c r="C19" s="4" t="s">
        <v>308</v>
      </c>
      <c r="D19" s="43" t="s">
        <v>309</v>
      </c>
      <c r="E19" s="43" t="s">
        <v>310</v>
      </c>
      <c r="F19" s="43" t="s">
        <v>249</v>
      </c>
      <c r="G19" s="43" t="s">
        <v>258</v>
      </c>
    </row>
    <row r="20" spans="2:7" ht="30" customHeight="1" x14ac:dyDescent="0.3">
      <c r="B20" s="43" t="s">
        <v>253</v>
      </c>
      <c r="C20" s="4" t="s">
        <v>311</v>
      </c>
      <c r="D20" s="43" t="s">
        <v>312</v>
      </c>
      <c r="E20" s="43" t="s">
        <v>313</v>
      </c>
      <c r="F20" s="43" t="s">
        <v>249</v>
      </c>
      <c r="G20" s="43" t="s">
        <v>314</v>
      </c>
    </row>
    <row r="21" spans="2:7" ht="30" customHeight="1" x14ac:dyDescent="0.3">
      <c r="B21" s="43" t="s">
        <v>253</v>
      </c>
      <c r="C21" s="4" t="s">
        <v>315</v>
      </c>
      <c r="D21" s="43" t="s">
        <v>316</v>
      </c>
      <c r="E21" s="43" t="s">
        <v>317</v>
      </c>
      <c r="F21" s="43" t="s">
        <v>249</v>
      </c>
      <c r="G21" s="43" t="s">
        <v>318</v>
      </c>
    </row>
    <row r="22" spans="2:7" ht="30" customHeight="1" x14ac:dyDescent="0.3">
      <c r="B22" s="43" t="s">
        <v>253</v>
      </c>
      <c r="C22" s="4" t="s">
        <v>315</v>
      </c>
      <c r="D22" s="43" t="s">
        <v>319</v>
      </c>
      <c r="E22" s="43" t="s">
        <v>320</v>
      </c>
      <c r="F22" s="43" t="s">
        <v>249</v>
      </c>
      <c r="G22" s="43" t="s">
        <v>318</v>
      </c>
    </row>
    <row r="23" spans="2:7" ht="30" customHeight="1" x14ac:dyDescent="0.3">
      <c r="B23" s="43" t="s">
        <v>253</v>
      </c>
      <c r="C23" s="4" t="s">
        <v>315</v>
      </c>
      <c r="D23" s="43" t="s">
        <v>321</v>
      </c>
      <c r="E23" s="43" t="s">
        <v>322</v>
      </c>
      <c r="F23" s="43" t="s">
        <v>249</v>
      </c>
      <c r="G23" s="43" t="s">
        <v>318</v>
      </c>
    </row>
    <row r="24" spans="2:7" ht="30" customHeight="1" x14ac:dyDescent="0.3">
      <c r="B24" s="43" t="s">
        <v>253</v>
      </c>
      <c r="C24" s="4" t="s">
        <v>315</v>
      </c>
      <c r="D24" s="43" t="s">
        <v>323</v>
      </c>
      <c r="E24" s="43" t="s">
        <v>324</v>
      </c>
      <c r="F24" s="43" t="s">
        <v>249</v>
      </c>
      <c r="G24" s="43" t="s">
        <v>318</v>
      </c>
    </row>
    <row r="25" spans="2:7" ht="14" customHeight="1" x14ac:dyDescent="0.2"/>
    <row r="26" spans="2:7" ht="14" customHeight="1" x14ac:dyDescent="0.3">
      <c r="B26" s="8" t="s">
        <v>325</v>
      </c>
    </row>
    <row r="27" spans="2:7" ht="14" customHeight="1" x14ac:dyDescent="0.3">
      <c r="B27" s="10" t="s">
        <v>326</v>
      </c>
      <c r="C27" s="10" t="s">
        <v>327</v>
      </c>
    </row>
    <row r="28" spans="2:7" ht="14" customHeight="1" x14ac:dyDescent="0.3">
      <c r="B28" s="4" t="s">
        <v>328</v>
      </c>
      <c r="C28" t="s">
        <v>329</v>
      </c>
    </row>
    <row r="29" spans="2:7" ht="14" customHeight="1" x14ac:dyDescent="0.3">
      <c r="B29" s="4" t="s">
        <v>330</v>
      </c>
      <c r="C29" t="s">
        <v>331</v>
      </c>
    </row>
    <row r="30" spans="2:7" ht="14" customHeight="1" x14ac:dyDescent="0.3">
      <c r="B30" s="4" t="s">
        <v>332</v>
      </c>
      <c r="C30" t="s">
        <v>333</v>
      </c>
    </row>
    <row r="31" spans="2:7" ht="14" customHeight="1" x14ac:dyDescent="0.3">
      <c r="B31" s="4" t="s">
        <v>334</v>
      </c>
      <c r="C31" t="s">
        <v>47</v>
      </c>
    </row>
    <row r="32" spans="2:7" ht="14" customHeight="1" x14ac:dyDescent="0.3">
      <c r="B32" s="4" t="s">
        <v>335</v>
      </c>
      <c r="C32" t="s">
        <v>4</v>
      </c>
    </row>
    <row r="33" spans="2:3" ht="14" customHeight="1" x14ac:dyDescent="0.3">
      <c r="B33" s="4" t="s">
        <v>336</v>
      </c>
      <c r="C33" t="s">
        <v>248</v>
      </c>
    </row>
    <row r="34" spans="2:3" ht="14" customHeight="1" x14ac:dyDescent="0.3">
      <c r="B34" s="4" t="s">
        <v>337</v>
      </c>
      <c r="C34" t="s">
        <v>338</v>
      </c>
    </row>
    <row r="35" spans="2:3" ht="14" customHeight="1" x14ac:dyDescent="0.3">
      <c r="B35" s="4" t="s">
        <v>339</v>
      </c>
      <c r="C35" t="s">
        <v>340</v>
      </c>
    </row>
    <row r="36" spans="2:3" ht="14" customHeight="1" x14ac:dyDescent="0.3">
      <c r="B36" s="4" t="s">
        <v>341</v>
      </c>
      <c r="C36" t="s">
        <v>342</v>
      </c>
    </row>
    <row r="37" spans="2:3" ht="14" customHeight="1" x14ac:dyDescent="0.3">
      <c r="B37" s="4" t="s">
        <v>343</v>
      </c>
      <c r="C37" t="s">
        <v>344</v>
      </c>
    </row>
    <row r="38" spans="2:3" ht="14" customHeight="1" x14ac:dyDescent="0.3">
      <c r="B38" s="4" t="s">
        <v>345</v>
      </c>
      <c r="C38" t="s">
        <v>346</v>
      </c>
    </row>
    <row r="39" spans="2:3" ht="14" customHeight="1" x14ac:dyDescent="0.3">
      <c r="B39" s="4" t="s">
        <v>347</v>
      </c>
      <c r="C39" t="s">
        <v>342</v>
      </c>
    </row>
    <row r="40" spans="2:3" ht="14" customHeight="1" x14ac:dyDescent="0.3">
      <c r="B40" s="4" t="s">
        <v>348</v>
      </c>
      <c r="C40" t="s">
        <v>338</v>
      </c>
    </row>
    <row r="41" spans="2:3" ht="14" customHeight="1" x14ac:dyDescent="0.3">
      <c r="B41" s="4" t="s">
        <v>349</v>
      </c>
      <c r="C41" t="s">
        <v>350</v>
      </c>
    </row>
    <row r="42" spans="2:3" ht="14" customHeight="1" x14ac:dyDescent="0.3">
      <c r="B42" s="4" t="s">
        <v>351</v>
      </c>
      <c r="C42" t="s">
        <v>352</v>
      </c>
    </row>
    <row r="43" spans="2:3" ht="14" customHeight="1" x14ac:dyDescent="0.3">
      <c r="B43" s="4" t="s">
        <v>353</v>
      </c>
      <c r="C43" t="s">
        <v>354</v>
      </c>
    </row>
    <row r="44" spans="2:3" ht="14" customHeight="1" x14ac:dyDescent="0.3">
      <c r="B44" s="4" t="s">
        <v>355</v>
      </c>
      <c r="C44" t="s">
        <v>356</v>
      </c>
    </row>
    <row r="45" spans="2:3" ht="14" customHeight="1" x14ac:dyDescent="0.3">
      <c r="B45" s="4" t="s">
        <v>357</v>
      </c>
      <c r="C45" t="s">
        <v>358</v>
      </c>
    </row>
    <row r="46" spans="2:3" ht="14" customHeight="1" x14ac:dyDescent="0.3">
      <c r="B46" s="4" t="s">
        <v>359</v>
      </c>
      <c r="C46" t="s">
        <v>360</v>
      </c>
    </row>
    <row r="47" spans="2:3" ht="14" customHeight="1" x14ac:dyDescent="0.3">
      <c r="B47" s="4" t="s">
        <v>361</v>
      </c>
      <c r="C47" t="s">
        <v>362</v>
      </c>
    </row>
    <row r="48" spans="2:3" ht="14" customHeight="1" x14ac:dyDescent="0.3">
      <c r="B48" s="4" t="s">
        <v>363</v>
      </c>
      <c r="C48" t="s">
        <v>364</v>
      </c>
    </row>
    <row r="49" spans="2:3" ht="14" customHeight="1" x14ac:dyDescent="0.3">
      <c r="B49" s="4" t="s">
        <v>365</v>
      </c>
      <c r="C49" t="s">
        <v>331</v>
      </c>
    </row>
    <row r="50" spans="2:3" ht="14" customHeight="1" x14ac:dyDescent="0.3">
      <c r="B50" s="4" t="s">
        <v>366</v>
      </c>
      <c r="C50" t="s">
        <v>367</v>
      </c>
    </row>
    <row r="51" spans="2:3" ht="14" x14ac:dyDescent="0.3">
      <c r="B51" s="4" t="s">
        <v>368</v>
      </c>
      <c r="C51" t="s">
        <v>47</v>
      </c>
    </row>
    <row r="52" spans="2:3" ht="14" x14ac:dyDescent="0.3">
      <c r="B52" s="4" t="s">
        <v>369</v>
      </c>
      <c r="C52" t="s">
        <v>370</v>
      </c>
    </row>
    <row r="53" spans="2:3" ht="14" x14ac:dyDescent="0.3">
      <c r="B53" s="4" t="s">
        <v>371</v>
      </c>
      <c r="C53" t="s">
        <v>372</v>
      </c>
    </row>
    <row r="54" spans="2:3" ht="14" x14ac:dyDescent="0.3">
      <c r="B54" s="4" t="s">
        <v>373</v>
      </c>
      <c r="C54" t="s">
        <v>374</v>
      </c>
    </row>
    <row r="55" spans="2:3" ht="14" x14ac:dyDescent="0.3">
      <c r="B55" s="4" t="s">
        <v>375</v>
      </c>
      <c r="C55" t="s">
        <v>376</v>
      </c>
    </row>
    <row r="56" spans="2:3" ht="14" x14ac:dyDescent="0.3">
      <c r="B56" s="4" t="s">
        <v>377</v>
      </c>
      <c r="C56" t="s">
        <v>378</v>
      </c>
    </row>
    <row r="57" spans="2:3" ht="14" x14ac:dyDescent="0.3">
      <c r="B57" s="4" t="s">
        <v>379</v>
      </c>
      <c r="C57" t="s">
        <v>380</v>
      </c>
    </row>
    <row r="58" spans="2:3" ht="14" x14ac:dyDescent="0.3">
      <c r="B58" s="4" t="s">
        <v>381</v>
      </c>
      <c r="C58" t="s">
        <v>382</v>
      </c>
    </row>
    <row r="59" spans="2:3" ht="14" x14ac:dyDescent="0.3">
      <c r="B59" s="4" t="s">
        <v>383</v>
      </c>
      <c r="C59" t="s">
        <v>338</v>
      </c>
    </row>
    <row r="60" spans="2:3" ht="14" x14ac:dyDescent="0.3">
      <c r="B60" s="4" t="s">
        <v>384</v>
      </c>
      <c r="C60" t="s">
        <v>385</v>
      </c>
    </row>
    <row r="61" spans="2:3" ht="14" x14ac:dyDescent="0.3">
      <c r="B61" s="4" t="s">
        <v>386</v>
      </c>
      <c r="C61" t="s">
        <v>387</v>
      </c>
    </row>
    <row r="62" spans="2:3" ht="14" x14ac:dyDescent="0.3">
      <c r="B62" s="4" t="s">
        <v>388</v>
      </c>
      <c r="C62" t="s">
        <v>389</v>
      </c>
    </row>
    <row r="63" spans="2:3" ht="14" x14ac:dyDescent="0.3">
      <c r="B63" s="4" t="s">
        <v>390</v>
      </c>
      <c r="C63" t="s">
        <v>391</v>
      </c>
    </row>
    <row r="64" spans="2:3" ht="14" x14ac:dyDescent="0.3">
      <c r="B64" s="4" t="s">
        <v>392</v>
      </c>
      <c r="C64" t="s">
        <v>213</v>
      </c>
    </row>
  </sheetData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Executive Summary</vt:lpstr>
      <vt:lpstr>Financial Statements</vt:lpstr>
      <vt:lpstr>DCF Model</vt:lpstr>
      <vt:lpstr>Reverse DCF</vt:lpstr>
      <vt:lpstr>NWC Schedule</vt:lpstr>
      <vt:lpstr>Comps Analysis</vt:lpstr>
      <vt:lpstr>Sensitivity Analysis</vt:lpstr>
      <vt:lpstr>Adjustments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2026-09-06T03:39:34Z</dcterms:created>
  <dcterms:modified xsi:type="dcterms:W3CDTF">2026-09-06T04:42:03Z</dcterms:modified>
</cp:coreProperties>
</file>