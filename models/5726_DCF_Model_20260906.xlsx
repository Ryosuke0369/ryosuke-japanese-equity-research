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F47105FA-6C58-49F9-9675-2480005E5B89}"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7" i="7" l="1"/>
  <c r="H37" i="7"/>
  <c r="G37" i="7"/>
  <c r="F37" i="7"/>
  <c r="E37" i="7"/>
  <c r="D37" i="7"/>
  <c r="C37" i="7"/>
  <c r="I3" i="7"/>
  <c r="I17" i="7" s="1"/>
  <c r="F3" i="7"/>
  <c r="I6" i="7" s="1"/>
  <c r="C29" i="6"/>
  <c r="O11" i="6"/>
  <c r="N11" i="6"/>
  <c r="M11" i="6"/>
  <c r="L11" i="6"/>
  <c r="K11" i="6"/>
  <c r="J11" i="6"/>
  <c r="O10" i="6"/>
  <c r="N10" i="6"/>
  <c r="M10" i="6"/>
  <c r="L10" i="6"/>
  <c r="K10" i="6"/>
  <c r="J10" i="6"/>
  <c r="O9" i="6"/>
  <c r="N9" i="6"/>
  <c r="M9" i="6"/>
  <c r="L9" i="6"/>
  <c r="K9" i="6"/>
  <c r="J9" i="6"/>
  <c r="O8" i="6"/>
  <c r="N8" i="6"/>
  <c r="M8" i="6"/>
  <c r="L8" i="6"/>
  <c r="K8" i="6"/>
  <c r="J8" i="6"/>
  <c r="O7" i="6"/>
  <c r="N7" i="6"/>
  <c r="M7" i="6"/>
  <c r="L7" i="6"/>
  <c r="K7" i="6"/>
  <c r="J7" i="6"/>
  <c r="D16" i="6" s="1"/>
  <c r="O6" i="6"/>
  <c r="N6" i="6"/>
  <c r="M6" i="6"/>
  <c r="L6" i="6"/>
  <c r="K6" i="6"/>
  <c r="J6" i="6"/>
  <c r="O5" i="6"/>
  <c r="N5" i="6"/>
  <c r="L5" i="6"/>
  <c r="D5" i="6"/>
  <c r="E5" i="6" s="1"/>
  <c r="C16" i="5"/>
  <c r="C14" i="5"/>
  <c r="C18" i="5" s="1"/>
  <c r="C7" i="5"/>
  <c r="C6" i="5"/>
  <c r="C5" i="5"/>
  <c r="C79" i="4"/>
  <c r="C78" i="4"/>
  <c r="C13" i="4"/>
  <c r="C12" i="4"/>
  <c r="C9" i="4"/>
  <c r="C7" i="4"/>
  <c r="C6" i="4"/>
  <c r="D27" i="3"/>
  <c r="D7" i="5" s="1"/>
  <c r="C25" i="3"/>
  <c r="C24" i="3"/>
  <c r="C23" i="3"/>
  <c r="G28" i="2"/>
  <c r="F28" i="2"/>
  <c r="E28" i="2"/>
  <c r="D28" i="2"/>
  <c r="C28" i="2"/>
  <c r="G23" i="2"/>
  <c r="F23" i="2"/>
  <c r="E23" i="2"/>
  <c r="D23" i="2"/>
  <c r="C23" i="2"/>
  <c r="F22" i="2"/>
  <c r="G21" i="2"/>
  <c r="G22" i="2" s="1"/>
  <c r="F21" i="2"/>
  <c r="E21" i="2"/>
  <c r="E22" i="2" s="1"/>
  <c r="D21" i="2"/>
  <c r="D22" i="2" s="1"/>
  <c r="C21" i="2"/>
  <c r="C22" i="2" s="1"/>
  <c r="G16" i="2"/>
  <c r="F16" i="2"/>
  <c r="E16" i="2"/>
  <c r="D16" i="2"/>
  <c r="G15" i="2"/>
  <c r="F15" i="2"/>
  <c r="E15" i="2"/>
  <c r="D15" i="2"/>
  <c r="G14" i="2"/>
  <c r="F14" i="2"/>
  <c r="E14" i="2"/>
  <c r="D14" i="2"/>
  <c r="C14" i="2"/>
  <c r="G13" i="2"/>
  <c r="F13" i="2"/>
  <c r="E13" i="2"/>
  <c r="D13" i="2"/>
  <c r="C13" i="2"/>
  <c r="F9" i="2"/>
  <c r="C9" i="2"/>
  <c r="G8" i="2"/>
  <c r="G9" i="2" s="1"/>
  <c r="F8" i="2"/>
  <c r="E8" i="2"/>
  <c r="E9" i="2" s="1"/>
  <c r="D8" i="2"/>
  <c r="D9" i="2" s="1"/>
  <c r="C8" i="2"/>
  <c r="F31" i="3" l="1"/>
  <c r="E16" i="6"/>
  <c r="G15" i="6"/>
  <c r="I16" i="6"/>
  <c r="C8" i="4"/>
  <c r="C10" i="4" s="1"/>
  <c r="C70" i="4" s="1"/>
  <c r="F17" i="6"/>
  <c r="C26" i="3"/>
  <c r="E46" i="3" s="1"/>
  <c r="G17" i="6"/>
  <c r="C30" i="3"/>
  <c r="C33" i="3" s="1"/>
  <c r="H15" i="6"/>
  <c r="I15" i="6"/>
  <c r="D15" i="6"/>
  <c r="F16" i="6"/>
  <c r="C28" i="6" s="1"/>
  <c r="C19" i="1" s="1"/>
  <c r="D19" i="1" s="1"/>
  <c r="H17" i="6"/>
  <c r="C32" i="7"/>
  <c r="D9" i="5"/>
  <c r="C74" i="4"/>
  <c r="C27" i="6"/>
  <c r="C18" i="1" s="1"/>
  <c r="D18" i="1" s="1"/>
  <c r="K5" i="6"/>
  <c r="J5" i="6"/>
  <c r="D36" i="4"/>
  <c r="F36" i="4"/>
  <c r="C81" i="4"/>
  <c r="C80" i="4"/>
  <c r="D30" i="3"/>
  <c r="D33" i="3" s="1"/>
  <c r="G31" i="3"/>
  <c r="D6" i="5"/>
  <c r="F7" i="5"/>
  <c r="M5" i="6"/>
  <c r="E15" i="6"/>
  <c r="G16" i="6"/>
  <c r="I17" i="6"/>
  <c r="C6" i="7"/>
  <c r="D17" i="7"/>
  <c r="E7" i="5"/>
  <c r="C17" i="7"/>
  <c r="E30" i="3"/>
  <c r="C32" i="3"/>
  <c r="C37" i="3" s="1"/>
  <c r="E6" i="5"/>
  <c r="G7" i="5"/>
  <c r="F15" i="6"/>
  <c r="H16" i="6"/>
  <c r="D6" i="7"/>
  <c r="E17" i="7"/>
  <c r="F30" i="3"/>
  <c r="E6" i="7"/>
  <c r="F17" i="7"/>
  <c r="D5" i="5"/>
  <c r="F6" i="5"/>
  <c r="H7" i="5"/>
  <c r="G30" i="3"/>
  <c r="E32" i="3"/>
  <c r="E5" i="5"/>
  <c r="G6" i="5"/>
  <c r="D17" i="6"/>
  <c r="F6" i="7"/>
  <c r="G17" i="7"/>
  <c r="D32" i="3"/>
  <c r="C31" i="3"/>
  <c r="C34" i="3" s="1"/>
  <c r="F32" i="3"/>
  <c r="F5" i="5"/>
  <c r="H6" i="5"/>
  <c r="E17" i="6"/>
  <c r="G6" i="7"/>
  <c r="H17" i="7"/>
  <c r="D31" i="3"/>
  <c r="G32" i="3"/>
  <c r="G5" i="5"/>
  <c r="H6" i="7"/>
  <c r="E31" i="3"/>
  <c r="H5" i="5"/>
  <c r="E36" i="4" l="1"/>
  <c r="E46" i="4" s="1"/>
  <c r="C11" i="4"/>
  <c r="C24" i="4" s="1"/>
  <c r="C25" i="4" s="1"/>
  <c r="C72" i="4" s="1"/>
  <c r="C30" i="6"/>
  <c r="H36" i="4"/>
  <c r="H44" i="4" s="1"/>
  <c r="C71" i="4"/>
  <c r="G36" i="4"/>
  <c r="C46" i="3"/>
  <c r="G46" i="3"/>
  <c r="C3" i="7"/>
  <c r="B23" i="7" s="1"/>
  <c r="F46" i="3"/>
  <c r="D46" i="3"/>
  <c r="C33" i="7"/>
  <c r="C35" i="7" s="1"/>
  <c r="D10" i="5"/>
  <c r="C35" i="3"/>
  <c r="H40" i="4"/>
  <c r="E9" i="5"/>
  <c r="E12" i="5" s="1"/>
  <c r="D34" i="3"/>
  <c r="E10" i="5" s="1"/>
  <c r="D37" i="3"/>
  <c r="D35" i="3"/>
  <c r="E33" i="3"/>
  <c r="B24" i="7"/>
  <c r="B19" i="7"/>
  <c r="B18" i="7"/>
  <c r="B13" i="7"/>
  <c r="B12" i="7"/>
  <c r="B7" i="7"/>
  <c r="G38" i="4"/>
  <c r="G41" i="4"/>
  <c r="G51" i="4" s="1"/>
  <c r="G56" i="4" s="1"/>
  <c r="G45" i="4"/>
  <c r="G39" i="4"/>
  <c r="G43" i="4"/>
  <c r="G46" i="4"/>
  <c r="G40" i="4"/>
  <c r="G44" i="4"/>
  <c r="F44" i="4"/>
  <c r="F38" i="4"/>
  <c r="F48" i="4" s="1"/>
  <c r="F53" i="4" s="1"/>
  <c r="F41" i="4"/>
  <c r="F51" i="4" s="1"/>
  <c r="F56" i="4" s="1"/>
  <c r="F39" i="4"/>
  <c r="F45" i="4"/>
  <c r="F43" i="4"/>
  <c r="F46" i="4"/>
  <c r="F40" i="4"/>
  <c r="D46" i="4"/>
  <c r="D40" i="4"/>
  <c r="D50" i="4" s="1"/>
  <c r="D55" i="4" s="1"/>
  <c r="D44" i="4"/>
  <c r="D38" i="4"/>
  <c r="D41" i="4"/>
  <c r="D45" i="4"/>
  <c r="D39" i="4"/>
  <c r="D43" i="4"/>
  <c r="D12" i="5"/>
  <c r="C29" i="4"/>
  <c r="C26" i="4"/>
  <c r="E41" i="4"/>
  <c r="E45" i="4"/>
  <c r="E39" i="4"/>
  <c r="E43" i="4"/>
  <c r="H45" i="4" l="1"/>
  <c r="H50" i="4" s="1"/>
  <c r="H55" i="4" s="1"/>
  <c r="E44" i="4"/>
  <c r="E49" i="4" s="1"/>
  <c r="E54" i="4" s="1"/>
  <c r="B9" i="7"/>
  <c r="B21" i="7"/>
  <c r="H41" i="4"/>
  <c r="E38" i="4"/>
  <c r="B8" i="7"/>
  <c r="B20" i="7"/>
  <c r="E40" i="4"/>
  <c r="D51" i="4"/>
  <c r="D56" i="4" s="1"/>
  <c r="B10" i="7"/>
  <c r="B22" i="7"/>
  <c r="H38" i="4"/>
  <c r="H43" i="4"/>
  <c r="H46" i="4"/>
  <c r="H39" i="4"/>
  <c r="C27" i="4"/>
  <c r="D48" i="4"/>
  <c r="D53" i="4" s="1"/>
  <c r="F49" i="4"/>
  <c r="G49" i="4"/>
  <c r="G54" i="4" s="1"/>
  <c r="B11" i="7"/>
  <c r="E51" i="4"/>
  <c r="E56" i="4" s="1"/>
  <c r="E48" i="4"/>
  <c r="E53" i="4" s="1"/>
  <c r="F50" i="4"/>
  <c r="F55" i="4" s="1"/>
  <c r="H49" i="4"/>
  <c r="H54" i="4" s="1"/>
  <c r="F9" i="5"/>
  <c r="F12" i="5" s="1"/>
  <c r="E34" i="3"/>
  <c r="F10" i="5" s="1"/>
  <c r="E37" i="3"/>
  <c r="F33" i="3"/>
  <c r="G48" i="4"/>
  <c r="G53" i="4" s="1"/>
  <c r="D36" i="3"/>
  <c r="D39" i="3"/>
  <c r="D38" i="3"/>
  <c r="E50" i="4"/>
  <c r="E55" i="4" s="1"/>
  <c r="D49" i="4"/>
  <c r="D54" i="4" s="1"/>
  <c r="G50" i="4"/>
  <c r="G55" i="4" s="1"/>
  <c r="E15" i="5"/>
  <c r="E16" i="5" s="1"/>
  <c r="E13" i="5"/>
  <c r="E14" i="5"/>
  <c r="E18" i="5" s="1"/>
  <c r="H51" i="4"/>
  <c r="H56" i="4" s="1"/>
  <c r="C36" i="3"/>
  <c r="C39" i="3"/>
  <c r="C38" i="3"/>
  <c r="D15" i="5"/>
  <c r="D16" i="5" s="1"/>
  <c r="D13" i="5"/>
  <c r="D14" i="5" s="1"/>
  <c r="F54" i="4"/>
  <c r="C60" i="4"/>
  <c r="B89" i="4"/>
  <c r="D18" i="5" l="1"/>
  <c r="D19" i="5" s="1"/>
  <c r="C44" i="3" s="1"/>
  <c r="H48" i="4"/>
  <c r="H53" i="4" s="1"/>
  <c r="D40" i="3"/>
  <c r="D41" i="3" s="1"/>
  <c r="D45" i="3" s="1"/>
  <c r="D47" i="3" s="1"/>
  <c r="C64" i="4"/>
  <c r="D64" i="4" s="1"/>
  <c r="C67" i="4"/>
  <c r="D67" i="4" s="1"/>
  <c r="C63" i="4"/>
  <c r="D63" i="4" s="1"/>
  <c r="C66" i="4"/>
  <c r="D66" i="4" s="1"/>
  <c r="C65" i="4"/>
  <c r="D65" i="4" s="1"/>
  <c r="C73" i="4"/>
  <c r="E19" i="5"/>
  <c r="D44" i="3" s="1"/>
  <c r="G9" i="5"/>
  <c r="G12" i="5" s="1"/>
  <c r="F34" i="3"/>
  <c r="G10" i="5" s="1"/>
  <c r="F37" i="3"/>
  <c r="F35" i="3"/>
  <c r="G33" i="3"/>
  <c r="E35" i="3"/>
  <c r="C40" i="3"/>
  <c r="C41" i="3" s="1"/>
  <c r="C45" i="3" s="1"/>
  <c r="C34" i="7"/>
  <c r="F13" i="5"/>
  <c r="F14" i="5" s="1"/>
  <c r="F15" i="5"/>
  <c r="F16" i="5" s="1"/>
  <c r="F18" i="5" l="1"/>
  <c r="F19" i="5" s="1"/>
  <c r="E44" i="3" s="1"/>
  <c r="F38" i="3"/>
  <c r="F36" i="3"/>
  <c r="F39" i="3"/>
  <c r="G13" i="5"/>
  <c r="G14" i="5" s="1"/>
  <c r="G18" i="5" s="1"/>
  <c r="G19" i="5" s="1"/>
  <c r="F44" i="3" s="1"/>
  <c r="G15" i="5"/>
  <c r="G16" i="5" s="1"/>
  <c r="E39" i="3"/>
  <c r="E38" i="3"/>
  <c r="E36" i="3"/>
  <c r="H38" i="7"/>
  <c r="H39" i="7" s="1"/>
  <c r="G38" i="7"/>
  <c r="G39" i="7" s="1"/>
  <c r="F38" i="7"/>
  <c r="F39" i="7" s="1"/>
  <c r="E38" i="7"/>
  <c r="E39" i="7" s="1"/>
  <c r="D38" i="7"/>
  <c r="D39" i="7" s="1"/>
  <c r="C38" i="7"/>
  <c r="C39" i="7" s="1"/>
  <c r="I38" i="7"/>
  <c r="I39" i="7" s="1"/>
  <c r="G37" i="3"/>
  <c r="C16" i="4"/>
  <c r="C28" i="4" s="1"/>
  <c r="H9" i="5"/>
  <c r="H12" i="5" s="1"/>
  <c r="G34" i="3"/>
  <c r="H10" i="5" s="1"/>
  <c r="C47" i="3"/>
  <c r="G35" i="3" l="1"/>
  <c r="E40" i="3"/>
  <c r="E41" i="3"/>
  <c r="E45" i="3" s="1"/>
  <c r="H13" i="5"/>
  <c r="H15" i="5"/>
  <c r="H16" i="5" s="1"/>
  <c r="H14" i="5"/>
  <c r="H18" i="5" s="1"/>
  <c r="H19" i="5" s="1"/>
  <c r="G44" i="3" s="1"/>
  <c r="G38" i="3"/>
  <c r="G36" i="3"/>
  <c r="G39" i="3"/>
  <c r="F40" i="3"/>
  <c r="F41" i="3" s="1"/>
  <c r="F45" i="3" s="1"/>
  <c r="F47" i="3" s="1"/>
  <c r="E47" i="3" l="1"/>
  <c r="C59" i="3"/>
  <c r="C60" i="3" s="1"/>
  <c r="C61" i="3" s="1"/>
  <c r="G40" i="3"/>
  <c r="G41" i="3" s="1"/>
  <c r="G45" i="3" s="1"/>
  <c r="G47" i="3" l="1"/>
  <c r="C51" i="3"/>
  <c r="C52" i="3" s="1"/>
  <c r="E9" i="7"/>
  <c r="G12" i="7"/>
  <c r="C12" i="7"/>
  <c r="G21" i="7"/>
  <c r="H12" i="7"/>
  <c r="G7" i="7"/>
  <c r="G20" i="7"/>
  <c r="H19" i="7"/>
  <c r="H11" i="7"/>
  <c r="E22" i="7"/>
  <c r="G18" i="7"/>
  <c r="D10" i="7"/>
  <c r="E10" i="7"/>
  <c r="E23" i="7"/>
  <c r="G24" i="7"/>
  <c r="I22" i="7"/>
  <c r="C8" i="7"/>
  <c r="C11" i="7"/>
  <c r="I9" i="7"/>
  <c r="E20" i="7"/>
  <c r="G22" i="7"/>
  <c r="I20" i="7"/>
  <c r="F9" i="7"/>
  <c r="G10" i="7"/>
  <c r="E11" i="7"/>
  <c r="F18" i="7"/>
  <c r="F23" i="7"/>
  <c r="H21" i="7"/>
  <c r="F12" i="7"/>
  <c r="F24" i="7"/>
  <c r="H8" i="7"/>
  <c r="D8" i="7"/>
  <c r="F19" i="7"/>
  <c r="D19" i="7"/>
  <c r="C20" i="7"/>
  <c r="D18" i="7"/>
  <c r="C7" i="7"/>
  <c r="D9" i="7"/>
  <c r="D24" i="7"/>
  <c r="I23" i="7"/>
  <c r="I19" i="7"/>
  <c r="F10" i="7"/>
  <c r="F22" i="7"/>
  <c r="F8" i="7"/>
  <c r="D13" i="7"/>
  <c r="G9" i="7"/>
  <c r="E12" i="7"/>
  <c r="G19" i="7"/>
  <c r="D22" i="7"/>
  <c r="D11" i="7"/>
  <c r="I21" i="7"/>
  <c r="H9" i="7"/>
  <c r="G8" i="7"/>
  <c r="H7" i="7"/>
  <c r="C18" i="7"/>
  <c r="F20" i="7"/>
  <c r="C19" i="7"/>
  <c r="E7" i="7"/>
  <c r="C10" i="7"/>
  <c r="I10" i="7"/>
  <c r="C23" i="7"/>
  <c r="I12" i="7"/>
  <c r="H18" i="7"/>
  <c r="H22" i="7"/>
  <c r="F13" i="7"/>
  <c r="G13" i="7"/>
  <c r="C13" i="7"/>
  <c r="E8" i="7"/>
  <c r="I7" i="7"/>
  <c r="E18" i="7"/>
  <c r="C22" i="7"/>
  <c r="F7" i="7"/>
  <c r="H10" i="7"/>
  <c r="G11" i="7"/>
  <c r="G23" i="7"/>
  <c r="I8" i="7"/>
  <c r="E19" i="7"/>
  <c r="H13" i="7"/>
  <c r="C24" i="7"/>
  <c r="C21" i="7"/>
  <c r="E21" i="7"/>
  <c r="E24" i="7"/>
  <c r="E13" i="7"/>
  <c r="F21" i="7"/>
  <c r="D20" i="7"/>
  <c r="F11" i="7"/>
  <c r="I18" i="7"/>
  <c r="D7" i="7"/>
  <c r="H23" i="7"/>
  <c r="D23" i="7"/>
  <c r="I11" i="7"/>
  <c r="I24" i="7"/>
  <c r="D21" i="7"/>
  <c r="I13" i="7"/>
  <c r="D12" i="7"/>
  <c r="H20" i="7"/>
  <c r="H24" i="7"/>
  <c r="C9" i="7"/>
  <c r="C50" i="3"/>
  <c r="C58" i="3" l="1"/>
  <c r="C62" i="3" s="1"/>
  <c r="C53" i="3"/>
  <c r="C17" i="4" l="1"/>
  <c r="C54" i="3"/>
  <c r="C55" i="3" s="1"/>
  <c r="C16" i="1"/>
  <c r="C63" i="3"/>
  <c r="C64" i="3" s="1"/>
  <c r="C17" i="1" s="1"/>
  <c r="D17" i="1" s="1"/>
  <c r="C10" i="1" l="1"/>
  <c r="D16" i="1"/>
  <c r="C21" i="1"/>
  <c r="C19" i="4"/>
  <c r="C20" i="4" s="1"/>
  <c r="B90" i="4" s="1"/>
  <c r="C12" i="1" l="1"/>
  <c r="C11" i="1" s="1"/>
  <c r="B26" i="1"/>
</calcChain>
</file>

<file path=xl/sharedStrings.xml><?xml version="1.0" encoding="utf-8"?>
<sst xmlns="http://schemas.openxmlformats.org/spreadsheetml/2006/main" count="482" uniqueCount="396">
  <si>
    <t>DISCLAIMER: This is a sample analysis for demonstration purposes only. It does not constitute investment advice.</t>
  </si>
  <si>
    <t>Osaka Titanium Technologies (5726.T)</t>
  </si>
  <si>
    <t>Equity Research Report</t>
  </si>
  <si>
    <t>Company</t>
  </si>
  <si>
    <t>Osaka Titanium Technologies</t>
  </si>
  <si>
    <t>Ticker</t>
  </si>
  <si>
    <t>5726.T (TSE Prime)</t>
  </si>
  <si>
    <t>Sector</t>
  </si>
  <si>
    <t>Sponge Titanium / Aerospace Materials</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</si>
  <si>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</si>
  <si>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</si>
  <si>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</si>
  <si>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</si>
  <si>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</si>
  <si>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</si>
  <si>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</si>
  <si>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</si>
  <si>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</si>
  <si>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</si>
  <si>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</si>
  <si>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</si>
  <si>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</si>
  <si>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</si>
  <si>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</si>
  <si>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Osaka Titanium is now the only listed pure-play sponge titanium producer in Japan: Toho Titanium, the other half of the domestic duopoly, was delisted on 28 May 2026 when JX Advanced Metals took it over in a share exchange at 0.70 JX shares per Toho share.</t>
  </si>
  <si>
    <t>Aerospace build rates, the replacement of Russian VSMPO-AVISMA supply and defence programmes all pull on the same narrow sponge capacity; the company is funding an expansion, with construction in progress up to JPY4.3bn at the end of Q1 FY3/27 after drawing JPY16.4bn of long-term borrowings in FY3/26.</t>
  </si>
  <si>
    <t>Key Risks</t>
  </si>
  <si>
    <t>Working capital is enormous and sticky: inventory was JPY36.9bn at FY3/26 against JPY35.4bn of annual cost of sales, or 380 days, so a volume recovery consumes cash long before it produces free cash flow.</t>
  </si>
  <si>
    <t>Net debt of JPY45.8bn sits against JPY44.3bn of book equity while capex runs at roughly 2.6x depreciation; if the aerospace build rate slips, the expanded capacity turns into fixed cost against a falling sponge price.</t>
  </si>
  <si>
    <t>The reverse DCF shows the price already discounts a steady-state operating profit well above the FY3/25 peak of JPY10.1bn, so a return to mid-cycle margins alone does not support it.</t>
  </si>
  <si>
    <t>Osaka Titanium Technologies - Historical Financials (JPY mn)</t>
  </si>
  <si>
    <t>FY2022/3</t>
  </si>
  <si>
    <t>FY2023/3</t>
  </si>
  <si>
    <t>FY2024/3</t>
  </si>
  <si>
    <t>FY2025/3</t>
  </si>
  <si>
    <t>FY2026/3</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</si>
  <si>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</si>
  <si>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</si>
  <si>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</si>
  <si>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</si>
  <si>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</si>
  <si>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</si>
  <si>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</si>
  <si>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</si>
  <si>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</si>
  <si>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</si>
  <si>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</si>
  <si>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</si>
  <si>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</si>
  <si>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</si>
  <si>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</si>
  <si>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</si>
  <si>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</si>
  <si>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</si>
  <si>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</si>
  <si>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</si>
  <si>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</si>
  <si>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</si>
  <si>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</si>
  <si>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5/5, Cash 5/5, Debt 5/5 — blank cells are years with no year-key match in the source data (verify against 決算短信 or set hist_ocf / hist_cash / hist_debt in overrides).</t>
  </si>
  <si>
    <t>DCF Valuation Model - Osaka Titanium Technologies</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</si>
  <si>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</si>
  <si>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</si>
  <si>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</si>
  <si>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</si>
  <si>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</si>
  <si>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</si>
  <si>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</si>
  <si>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</si>
  <si>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</si>
  <si>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</si>
  <si>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</si>
  <si>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</si>
  <si>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</si>
  <si>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</si>
  <si>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 (fallback)</t>
  </si>
  <si>
    <t>Stub Fraction (yr remaining)</t>
  </si>
  <si>
    <t>LTM Revenue (JPY mn) (override)</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</si>
  <si>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</si>
  <si>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</si>
  <si>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</si>
  <si>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</si>
  <si>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</si>
  <si>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</si>
  <si>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</si>
  <si>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</si>
  <si>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</si>
  <si>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</si>
  <si>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</si>
  <si>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</si>
  <si>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</si>
  <si>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</si>
  <si>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</si>
  <si>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</si>
  <si>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</si>
  <si>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</si>
  <si>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</si>
  <si>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</si>
  <si>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</si>
  <si>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</si>
  <si>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</si>
  <si>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</si>
  <si>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</si>
  <si>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</si>
  <si>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</si>
  <si>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</si>
  <si>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</si>
  <si>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</si>
  <si>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</si>
  <si>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</si>
  <si>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</si>
  <si>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</si>
  <si>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</si>
  <si>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</si>
  <si>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</si>
  <si>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</si>
  <si>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</si>
  <si>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</si>
  <si>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</si>
  <si>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</si>
  <si>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</si>
  <si>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</si>
  <si>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</si>
  <si>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</si>
  <si>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</si>
  <si>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Osaka Titanium Technologies (5726.T)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</si>
  <si>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</si>
  <si>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</si>
  <si>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</si>
  <si>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</si>
  <si>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</si>
  <si>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</si>
  <si>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</si>
  <si>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</si>
  <si>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(FY2026/3 actual)</t>
  </si>
  <si>
    <t>Cycle-peak Operating Profit (FY2025/3 actual)</t>
  </si>
  <si>
    <t>Terminal-year Revenue, active scenario (JPY mn)</t>
  </si>
  <si>
    <t>Base-case DCF Enterprise Value, PGM (JPY mn)</t>
  </si>
  <si>
    <t>Cycle-peak Operating Margin (FY2025/3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</si>
  <si>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</si>
  <si>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</si>
  <si>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</si>
  <si>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</si>
  <si>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</si>
  <si>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</si>
  <si>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FY2025/3 peak</t>
  </si>
  <si>
    <t>... as a multiple of FY2026/3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</si>
  <si>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</si>
  <si>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</si>
  <si>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</si>
  <si>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</si>
  <si>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</si>
  <si>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</si>
  <si>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</si>
  <si>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</si>
  <si>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</si>
  <si>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</si>
  <si>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</si>
  <si>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</si>
  <si>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</si>
  <si>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</si>
  <si>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</si>
  <si>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</si>
  <si>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</si>
  <si>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</si>
  <si>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</si>
  <si>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</si>
  <si>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</si>
  <si>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</si>
  <si>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</si>
  <si>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</si>
  <si>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</si>
  <si>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</si>
  <si>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</si>
  <si>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</si>
  <si>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</si>
  <si>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E: Transaction benchmark (control price paid for the direct peer)</t>
  </si>
  <si>
    <t>Peer row EV / EBITDA at the announced deal terms</t>
  </si>
  <si>
    <t>Peer row EV / Revenue at the announced deal terms</t>
  </si>
  <si>
    <t>Subject share price implied by that EV / EBITDA</t>
  </si>
  <si>
    <t>Subject share price implied by that EV / Revenue</t>
  </si>
  <si>
    <t>Toho Titanium (5727) は 2026-05-28 上場廃止。JX金属(5016)が株式交換(東邦1株:JX0.70株、効力発生2026-06-01)で完全子会社化。</t>
  </si>
  <si>
    <t>Comps の東邦行は 0.70 × JX金属3,785円 × 71.19百万株 = 188,618百万円として再構成した推定値であり、統計からは除外している。</t>
  </si>
  <si>
    <t>東邦行は peer 統計から鮮度チェックにより自動除外済(Comps の Note 欄参照)。以下は取引条件そのものを基準にした読みである。</t>
  </si>
  <si>
    <t>CAVEAT: Toho の FY2026/3 営業利益率は5.3%と低く、22.9倍のEV/EBITDAは利益が落ち込んだ局面の倍率である。EV/Revenue の読み(2.90倍)の方が安定している。</t>
  </si>
  <si>
    <t>Block F: The one-line answer</t>
  </si>
  <si>
    <t>NWC Schedule - Osaka Titanium Technologies</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</si>
  <si>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</si>
  <si>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</si>
  <si>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</si>
  <si>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</si>
  <si>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</si>
  <si>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</si>
  <si>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</si>
  <si>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</si>
  <si>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</si>
  <si>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</si>
  <si>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</si>
  <si>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</si>
  <si>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</si>
  <si>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</si>
  <si>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</si>
  <si>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</si>
  <si>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</si>
  <si>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</si>
  <si>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</si>
  <si>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</si>
  <si>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</si>
  <si>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</si>
  <si>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</si>
  <si>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</si>
  <si>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</si>
  <si>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</si>
  <si>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</si>
  <si>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</si>
  <si>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</si>
  <si>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</si>
  <si>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</si>
  <si>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</si>
  <si>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</si>
  <si>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</si>
  <si>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5726.T</t>
  </si>
  <si>
    <t>Toho Titanium (delisted 2026-05-28)</t>
  </si>
  <si>
    <t>5727.T</t>
  </si>
  <si>
    <t>(price unavailable — delisted or wrong ticker?)</t>
  </si>
  <si>
    <t>ATI Inc.</t>
  </si>
  <si>
    <t>ATI</t>
  </si>
  <si>
    <t>Carpenter Technology</t>
  </si>
  <si>
    <t>CRS</t>
  </si>
  <si>
    <t>Baoji Titanium Industry</t>
  </si>
  <si>
    <t>600456.SS</t>
  </si>
  <si>
    <t>Nippon Yakin Kogyo</t>
  </si>
  <si>
    <t>5480.T</t>
  </si>
  <si>
    <t>Daido Steel</t>
  </si>
  <si>
    <t>5471.T</t>
  </si>
  <si>
    <t>Statistics</t>
  </si>
  <si>
    <t>25th Percentile</t>
  </si>
  <si>
    <t>Median (50th)</t>
  </si>
  <si>
    <t>75th Percentile</t>
  </si>
  <si>
    <t>Implied Valuation for Osaka Titanium Technologies</t>
  </si>
  <si>
    <t>Osaka Titanium Technologies Financials</t>
  </si>
  <si>
    <t>EBITDA (JPY mn)</t>
  </si>
  <si>
    <t>Net Income (JPY mn)</t>
  </si>
  <si>
    <t>Shares Outstanding</t>
  </si>
  <si>
    <t>Implied Share Price (Median Multiples)</t>
  </si>
  <si>
    <t>Via EV/EBITDA (Median)</t>
  </si>
  <si>
    <t>Via PER (Median)</t>
  </si>
  <si>
    <t>Net Income normalized (pretax 3,814 + 特損2,619, tax 30.6%)</t>
  </si>
  <si>
    <t>特別損失2,619(固定資産除却1,722・減損461・圧縮記帳92・環境対策引当343)を税引前利益に戻し、法定実効税率30.6%を適用した参考値。core_net_income 2,576 の PER 39.0倍に対し、正常化ベースでは約23倍。Target には算入しない。</t>
  </si>
  <si>
    <t>Via PER (Median, normalized NI) [参考・Target不算入]</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</si>
  <si>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</si>
  <si>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</si>
  <si>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</si>
  <si>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</si>
  <si>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</si>
  <si>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</si>
  <si>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</si>
  <si>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</si>
  <si>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</si>
  <si>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Table 3: FX Sensitivity - FY2027(E) Operating Income (USD連動比率は推定・会社開示なし・要確認)</t>
  </si>
  <si>
    <t>Company FX assumption (USD/JPY, H2 guidance)</t>
  </si>
  <si>
    <t>USD-linked revenue ratio (推定)</t>
  </si>
  <si>
    <t>USD-linked COGS ratio (推定)</t>
  </si>
  <si>
    <t>FY2027(E) Revenue - active scenario</t>
  </si>
  <si>
    <t>FY2027(E) COGS - active scenario</t>
  </si>
  <si>
    <t>FY2027(E) Operating Income - active scenario</t>
  </si>
  <si>
    <t>OP sensitivity per +/-1 JPY per USD (JPY mn)</t>
  </si>
  <si>
    <t>USD/JPY rate</t>
  </si>
  <si>
    <t>Implied FY2027(E) OP (JPY mn)</t>
  </si>
  <si>
    <t>Implied OPM</t>
  </si>
  <si>
    <t>円高10円でOPは約▲1.3bn(約▲32%)。円安バフ剥落のDownsideチェックに使用。COGS側のUSD連動(原料輸入)が円高メリットとして一部相殺する構造。</t>
  </si>
  <si>
    <t>Adjustments Log - Osaka Titanium Technologies</t>
  </si>
  <si>
    <t>日付</t>
  </si>
  <si>
    <t>セル</t>
  </si>
  <si>
    <t>変更内容</t>
  </si>
  <si>
    <t>理由</t>
  </si>
  <si>
    <t>元の値</t>
  </si>
  <si>
    <t>状態</t>
  </si>
  <si>
    <t>2026-09-06</t>
  </si>
  <si>
    <t>-</t>
  </si>
  <si>
    <t>Generated by pipeline on 2026-09-06 21:09, template rev b29b23d</t>
  </si>
  <si>
    <t>初期生成（手修正なし）</t>
  </si>
  <si>
    <t>generated</t>
  </si>
  <si>
    <t>DCF Model!C11</t>
  </si>
  <si>
    <t>After-tax Cost of Debt = 0.59% (実績ベース)</t>
  </si>
  <si>
    <t>実績Kd = 支払利息342 + 手数料57 ÷ 平均有利子負債46,750(期首43,700/期末49,800、hist_debt[-2:]) = 税引前0.85% × (1−30.6%) = 0.59%。【マージナルコスト注記】これは既存借入の実績平均コストであり、新規調達の限界コストではない。テンプレ既定(税引前2.8% = 税引後1.94%)は10年JGB+スプレッドの推定値で、金利上昇局面での借換え・増額調達には既定値に近い水準を当てるべき。WACCは実績Kd採用で低下する（＝保守的でない方向）</t>
  </si>
  <si>
    <t>テンプレ既定/overrides 1.94%(税引後)</t>
  </si>
  <si>
    <t>確定(実績)</t>
  </si>
  <si>
    <t>DCF Model!C8</t>
  </si>
  <si>
    <t>Beta = 1.369（採用値）</t>
  </si>
  <si>
    <t>実測β(raw) = 1.550 → Blume調整 0.67×raw + 0.33×1.00 = 1.369 → 採用 1.369。クランプ域 [0.3, 2.0] の内側。置換なし。回帰βは平均回帰するため Blume 調整を既定とする（2026-09-05 バッチで85件中57件が旧下限 0.60 に張り付き、両裾の歪みが実証された）。</t>
  </si>
  <si>
    <t>実測 1.550</t>
  </si>
  <si>
    <t>確定</t>
  </si>
  <si>
    <t>Sensitivity!C29:C31</t>
  </si>
  <si>
    <t>為替感応度 Table 3 を生成（USD/JPY 150円、売上連動比率60%、原価連動比率25%）</t>
  </si>
  <si>
    <t>輸出型フラグ(fx_sensitivity.enabled)がONのため生成。【推定・要確認】連動比率は会社開示が無く推定値。青字入力セルであり、開示または IR 確認が取れ次第上書きすること。感応度 = (売上×売上連動比率 − COGS×原価連動比率) ÷ 前提レート で、原価側の連動が円高メリットを一部相殺する構造を織り込んでいる。</t>
  </si>
  <si>
    <t>推定・要確認</t>
  </si>
  <si>
    <t>Pipeline Metadata (do not edit — read by scripts/validate_output.py)</t>
  </si>
  <si>
    <t>key</t>
  </si>
  <si>
    <t>value</t>
  </si>
  <si>
    <t>auto_log_entries</t>
  </si>
  <si>
    <t>3</t>
  </si>
  <si>
    <t>beta_adopted_c8</t>
  </si>
  <si>
    <t>1.3685</t>
  </si>
  <si>
    <t>beta_basis</t>
  </si>
  <si>
    <t>Blume: 0.67 x 1.550 + 0.33 x 1.00 = 1.369</t>
  </si>
  <si>
    <t>beta_blume_adjusted</t>
  </si>
  <si>
    <t>beta_clamped</t>
  </si>
  <si>
    <t>no</t>
  </si>
  <si>
    <t>beta_raw</t>
  </si>
  <si>
    <t>1.55</t>
  </si>
  <si>
    <t>capex_pct_basis</t>
  </si>
  <si>
    <t>explicit_override</t>
  </si>
  <si>
    <t>capex_pct_c5</t>
  </si>
  <si>
    <t>0.078</t>
  </si>
  <si>
    <t>capex_pct_hist3yr</t>
  </si>
  <si>
    <t>0.092401</t>
  </si>
  <si>
    <t>company_name</t>
  </si>
  <si>
    <t>comps_asof</t>
  </si>
  <si>
    <t>comps_da_missing</t>
  </si>
  <si>
    <t>none</t>
  </si>
  <si>
    <t>comps_ebitda_excluded</t>
  </si>
  <si>
    <t>comps_ev_ebitda_invalid</t>
  </si>
  <si>
    <t>comps_ev_ebitda_rows</t>
  </si>
  <si>
    <t>7,8,9,10,11</t>
  </si>
  <si>
    <t>comps_impl_mult_row</t>
  </si>
  <si>
    <t>27</t>
  </si>
  <si>
    <t>comps_impl_per_row</t>
  </si>
  <si>
    <t>28</t>
  </si>
  <si>
    <t>comps_normalized_ni_row</t>
  </si>
  <si>
    <t>29</t>
  </si>
  <si>
    <t>comps_normalized_per_row</t>
  </si>
  <si>
    <t>30</t>
  </si>
  <si>
    <t>comps_peer_rows</t>
  </si>
  <si>
    <t>comps_per_excluded</t>
  </si>
  <si>
    <t>comps_stale_excluded</t>
  </si>
  <si>
    <t>comps_stat_median_row</t>
  </si>
  <si>
    <t>16</t>
  </si>
  <si>
    <t>comps_subject_row</t>
  </si>
  <si>
    <t>5</t>
  </si>
  <si>
    <t>core_ebitda</t>
  </si>
  <si>
    <t>8575</t>
  </si>
  <si>
    <t>core_net_income</t>
  </si>
  <si>
    <t>2576</t>
  </si>
  <si>
    <t>cost_of_debt_actual</t>
  </si>
  <si>
    <t>interest 399 (expense 342 + fees 57) / avg debt 46,750 (hist_debt[-2:]) = 0.008535 pre-tax -&gt; 0.005900 after-tax</t>
  </si>
  <si>
    <t>cost_of_debt_at_c11</t>
  </si>
  <si>
    <t>0.0059</t>
  </si>
  <si>
    <t>cost_of_debt_avg_debt</t>
  </si>
  <si>
    <t>46750.0</t>
  </si>
  <si>
    <t>cost_of_debt_basis</t>
  </si>
  <si>
    <t>actual</t>
  </si>
  <si>
    <t>cost_of_debt_interest</t>
  </si>
  <si>
    <t>399.0</t>
  </si>
  <si>
    <t>cost_of_debt_pretax</t>
  </si>
  <si>
    <t>0.00853475935828877</t>
  </si>
  <si>
    <t>da_pct_basis</t>
  </si>
  <si>
    <t>da_pct_c18</t>
  </si>
  <si>
    <t>0.079</t>
  </si>
  <si>
    <t>da_pct_hist3yr</t>
  </si>
  <si>
    <t>0.057487</t>
  </si>
  <si>
    <t>fs_year_coverage</t>
  </si>
  <si>
    <t>OCF 5/5, Cash 5/5, Debt 5/5</t>
  </si>
  <si>
    <t>fs_year_map</t>
  </si>
  <si>
    <t>FY2022/3&lt;-FY2022[ocf+cash+debt]; FY2023/3&lt;-FY2023[ocf+cash+debt]; FY2024/3&lt;-FY2024[ocf+cash+debt]; FY2025/3&lt;-FY2025[ocf+cash+debt]; FY2026/3&lt;-FY2026[ocf+cash+debt]</t>
  </si>
  <si>
    <t>fs_year_sources</t>
  </si>
  <si>
    <t>overrides: hist_ocf, hist_cash, hist_debt, hist_capex, hist_depreciation | EDINET year-key match: none</t>
  </si>
  <si>
    <t>fx_sensitivity</t>
  </si>
  <si>
    <t>rows 28-40; USD/JPY @ 150; rev_ratio=0.6 cogs_ratio=0.25; offsets=-20,-10,-5,0,5,10,20; estimated</t>
  </si>
  <si>
    <t>generated_at</t>
  </si>
  <si>
    <t>2026-09-06 21:09:42</t>
  </si>
  <si>
    <t>guidance_note</t>
  </si>
  <si>
    <t>TDnet 決算短信 via screener guidance table: FY2027 disclosed 2026-08-25 (net_income=1,700mn, operating_income=3,700mn, revenue=48,000mn)</t>
  </si>
  <si>
    <t>guidance_source</t>
  </si>
  <si>
    <t>tdnet_screener_db</t>
  </si>
  <si>
    <t>latest_operating_income</t>
  </si>
  <si>
    <t>5524</t>
  </si>
  <si>
    <t>ltm_revenue_c20</t>
  </si>
  <si>
    <t>47228</t>
  </si>
  <si>
    <t>ltm_revenue_source</t>
  </si>
  <si>
    <t>override</t>
  </si>
  <si>
    <t>market_data_source</t>
  </si>
  <si>
    <t>yfinance; from overrides: beta, current_price, shares, shares_outstanding</t>
  </si>
  <si>
    <t>narrative_tokens_used</t>
  </si>
  <si>
    <t>pb,per,price,target_price,upside_pct,wacc</t>
  </si>
  <si>
    <t>net_debt_source</t>
  </si>
  <si>
    <t>EDINET net_debt</t>
  </si>
  <si>
    <t>reverse_dcf_sheet</t>
  </si>
  <si>
    <t>op0=5,524(FY2026/3) peak=10,088(FY2025/3) peak_opm=0.1940 N=3/5/7/10 benchmark_row=6</t>
  </si>
  <si>
    <t>scenario_index_range</t>
  </si>
  <si>
    <t>B69:B73</t>
  </si>
  <si>
    <t>tax_rate_c6</t>
  </si>
  <si>
    <t>0.306</t>
  </si>
  <si>
    <t>template_rev</t>
  </si>
  <si>
    <t>b29b23d</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</si>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</sst>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
    <numFmt numFmtId="177" formatCode="0.0%;\(0.0%\)"/>
    <numFmt numFmtId="178" formatCode="0.000"/>
    <numFmt numFmtId="179" formatCode="0.00&quot;x&quot;"/>
    <numFmt numFmtId="180" formatCode="0.00%;\(0.00%\)"/>
    <numFmt numFmtId="181" formatCode="0.0000"/>
    <numFmt numFmtId="182" formatCode="#,##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4" fontId="5" fillId="0" borderId="2" xfId="0" applyNumberFormat="1" applyFont="1" applyBorder="1"/>
    <xf numFmtId="176" fontId="5" fillId="5" borderId="0" xfId="0" applyNumberFormat="1" applyFont="1" applyFill="1"/>
    <xf numFmtId="182" fontId="6" fillId="3" borderId="0" xfId="0" applyNumberFormat="1" applyFont="1" applyFill="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8" t="s">
        <v>0</v>
      </c>
      <c r="C1" s="47"/>
      <c r="D1" s="47"/>
      <c r="E1" s="47"/>
    </row>
    <row r="3" spans="2:5" ht="18" x14ac:dyDescent="0.4">
      <c r="B3" s="46" t="s">
        <v>1</v>
      </c>
      <c r="C3" s="47"/>
      <c r="D3" s="47"/>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2727</v>
      </c>
    </row>
    <row r="10" spans="2:5" ht="14" x14ac:dyDescent="0.3">
      <c r="B10" s="4" t="s">
        <v>10</v>
      </c>
      <c r="C10" s="5">
        <f>IF(COUNT(C16:C17)=0,"N/A",ROUND(AVERAGE(C16:C17),0))</f>
        <v>493</v>
      </c>
    </row>
    <row r="11" spans="2:5" ht="14" x14ac:dyDescent="0.3">
      <c r="B11" s="4" t="s">
        <v>11</v>
      </c>
      <c r="C11" s="6" t="str">
        <f>IF(NOT(ISNUMBER(C12)),"N/A",IF(C12&gt;0.15,"BUY",IF(C12&gt;0.05,"HOLD","SELL")))</f>
        <v>SELL</v>
      </c>
    </row>
    <row r="12" spans="2:5" ht="14" x14ac:dyDescent="0.3">
      <c r="B12" s="4" t="s">
        <v>12</v>
      </c>
      <c r="C12" s="7">
        <f>IF(ISNUMBER(C10),(C10-C9)/C9,"N/A")</f>
        <v>-0.81921525485881919</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372</v>
      </c>
      <c r="D16" s="7">
        <f>IF(ISNUMBER(C16),(C16-C9)/C9,"N/A")</f>
        <v>-0.86358635863586364</v>
      </c>
    </row>
    <row r="17" spans="2:5" ht="13.5" x14ac:dyDescent="0.25">
      <c r="B17" t="s">
        <v>18</v>
      </c>
      <c r="C17" s="11">
        <f>IF('DCF Model'!C62&lt;'DCF Model'!C16,"INVALID (EV &lt; net debt)",'DCF Model'!C64)</f>
        <v>613</v>
      </c>
      <c r="D17" s="7">
        <f>IF(ISNUMBER(C17),(C17-C9)/C9,"N/A")</f>
        <v>-0.77521085441877524</v>
      </c>
    </row>
    <row r="18" spans="2:5" ht="13.5" x14ac:dyDescent="0.25">
      <c r="B18" t="s">
        <v>19</v>
      </c>
      <c r="C18" s="11">
        <f>'Comps Analysis'!C27</f>
        <v>1582</v>
      </c>
      <c r="D18" s="7">
        <f>IF(ISNUMBER(C18),(C18-C9)/C9,"N/A")</f>
        <v>-0.4198753208654199</v>
      </c>
    </row>
    <row r="19" spans="2:5" ht="13.5" x14ac:dyDescent="0.25">
      <c r="B19" t="s">
        <v>20</v>
      </c>
      <c r="C19" s="11">
        <f>'Comps Analysis'!C28</f>
        <v>2247</v>
      </c>
      <c r="D19" s="7">
        <f>IF(ISNUMBER(C19),(C19-C9)/C9,"N/A")</f>
        <v>-0.17601760176017603</v>
      </c>
    </row>
    <row r="20" spans="2:5" ht="14" x14ac:dyDescent="0.3">
      <c r="B20" s="48" t="s">
        <v>21</v>
      </c>
      <c r="C20" s="47"/>
      <c r="D20" s="47"/>
      <c r="E20" s="47"/>
    </row>
    <row r="21" spans="2:5" ht="14" x14ac:dyDescent="0.3">
      <c r="B21" s="4" t="s">
        <v>22</v>
      </c>
      <c r="C21" s="6" t="str">
        <f>IF(COUNT(C16:C17)=0,"N/A",MIN(C16:C17)&amp;" - "&amp;MAX(C16:C17))</f>
        <v>372 - 613</v>
      </c>
    </row>
    <row r="23" spans="2:5" ht="14" x14ac:dyDescent="0.3">
      <c r="B23" s="8" t="s">
        <v>23</v>
      </c>
      <c r="C23" s="9"/>
      <c r="D23" s="9"/>
    </row>
    <row r="24" spans="2:5" x14ac:dyDescent="0.2">
      <c r="B24" t="s">
        <v>24</v>
      </c>
    </row>
    <row r="25" spans="2:5" x14ac:dyDescent="0.2">
      <c r="B25" t="s">
        <v>25</v>
      </c>
    </row>
    <row r="26" spans="2:5" x14ac:dyDescent="0.2">
      <c r="B26" t="str">
        <f>"At "&amp;TEXT(C9,"#,##0")&amp;" the shares trade at "&amp;TEXT('Comps Analysis'!L5,"0.0""x""")&amp;" earnings and "&amp;TEXT('Comps Analysis'!M5,"0.00""x""")&amp;" book against a target of "&amp;TEXT(C10,"#,##0")&amp;" ("&amp;TEXT(C12,"+0.0%;-0.0%")&amp;") at a WACC of "&amp;TEXT('DCF Model'!C26,"0.00%")&amp;", so the case has to be argued on the reverse DCF, not on the base case."</f>
        <v>At 2,727 the shares trade at 39.0x earnings and 2.26x book against a target of 493 (-81.9%) at a WACC of 8.37%, so the case has to be argued on the reverse DCF, not on the base case.</v>
      </c>
    </row>
    <row r="28" spans="2:5" ht="14" x14ac:dyDescent="0.3">
      <c r="B28" s="8" t="s">
        <v>26</v>
      </c>
      <c r="C28" s="9"/>
      <c r="D28" s="9"/>
    </row>
    <row r="29" spans="2:5" x14ac:dyDescent="0.2">
      <c r="B29" t="s">
        <v>27</v>
      </c>
    </row>
    <row r="30" spans="2:5" x14ac:dyDescent="0.2">
      <c r="B30" t="s">
        <v>28</v>
      </c>
    </row>
    <row r="31" spans="2:5" x14ac:dyDescent="0.2">
      <c r="B31" t="s">
        <v>29</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G30"/>
  <sheetViews>
    <sheetView workbookViewId="0"/>
  </sheetViews>
  <sheetFormatPr defaultRowHeight="13" x14ac:dyDescent="0.2"/>
  <cols>
    <col min="1" max="1" width="3" customWidth="1"/>
    <col min="2" max="2" width="32" customWidth="1"/>
    <col min="3" max="7" width="18" customWidth="1"/>
  </cols>
  <sheetData>
    <row r="2" spans="2:7" ht="18" x14ac:dyDescent="0.4">
      <c r="B2" s="2" t="s">
        <v>30</v>
      </c>
    </row>
    <row r="4" spans="2:7" ht="14" x14ac:dyDescent="0.3">
      <c r="C4" s="10" t="s">
        <v>31</v>
      </c>
      <c r="D4" s="10" t="s">
        <v>32</v>
      </c>
      <c r="E4" s="10" t="s">
        <v>33</v>
      </c>
      <c r="F4" s="10" t="s">
        <v>34</v>
      </c>
      <c r="G4" s="10" t="s">
        <v>35</v>
      </c>
    </row>
    <row r="5" spans="2:7" ht="14" x14ac:dyDescent="0.3">
      <c r="B5" s="3" t="s">
        <v>36</v>
      </c>
    </row>
    <row r="6" spans="2:7" ht="14" x14ac:dyDescent="0.3">
      <c r="B6" s="4" t="s">
        <v>37</v>
      </c>
      <c r="C6" s="5">
        <v>28549</v>
      </c>
      <c r="D6" s="5">
        <v>43074</v>
      </c>
      <c r="E6" s="5">
        <v>55322</v>
      </c>
      <c r="F6" s="5">
        <v>51914</v>
      </c>
      <c r="G6" s="5">
        <v>46952</v>
      </c>
    </row>
    <row r="7" spans="2:7" ht="14" x14ac:dyDescent="0.3">
      <c r="B7" s="4" t="s">
        <v>38</v>
      </c>
      <c r="C7" s="5">
        <v>26229</v>
      </c>
      <c r="D7" s="5">
        <v>34099</v>
      </c>
      <c r="E7" s="5">
        <v>41878</v>
      </c>
      <c r="F7" s="5">
        <v>35783</v>
      </c>
      <c r="G7" s="5">
        <v>35399</v>
      </c>
    </row>
    <row r="8" spans="2:7" ht="14" x14ac:dyDescent="0.3">
      <c r="B8" s="4" t="s">
        <v>39</v>
      </c>
      <c r="C8" s="5">
        <f>C6-C7</f>
        <v>2320</v>
      </c>
      <c r="D8" s="5">
        <f>D6-D7</f>
        <v>8975</v>
      </c>
      <c r="E8" s="5">
        <f>E6-E7</f>
        <v>13444</v>
      </c>
      <c r="F8" s="5">
        <f>F6-F7</f>
        <v>16131</v>
      </c>
      <c r="G8" s="5">
        <f>G6-G7</f>
        <v>11553</v>
      </c>
    </row>
    <row r="9" spans="2:7" ht="13.5" x14ac:dyDescent="0.25">
      <c r="B9" t="s">
        <v>40</v>
      </c>
      <c r="C9" s="7">
        <f>C8/C6</f>
        <v>8.1263792076780278E-2</v>
      </c>
      <c r="D9" s="7">
        <f>D8/D6</f>
        <v>0.20836235315967869</v>
      </c>
      <c r="E9" s="7">
        <f>E8/E6</f>
        <v>0.24301362929756698</v>
      </c>
      <c r="F9" s="7">
        <f>F8/F6</f>
        <v>0.31072543051970569</v>
      </c>
      <c r="G9" s="7">
        <f>G8/G6</f>
        <v>0.2460598057590731</v>
      </c>
    </row>
    <row r="10" spans="2:7" ht="14" x14ac:dyDescent="0.3">
      <c r="B10" s="4" t="s">
        <v>41</v>
      </c>
      <c r="C10" s="5">
        <v>4235</v>
      </c>
      <c r="D10" s="5">
        <v>4195</v>
      </c>
      <c r="E10" s="5">
        <v>5154</v>
      </c>
      <c r="F10" s="5">
        <v>6041</v>
      </c>
      <c r="G10" s="5">
        <v>6028</v>
      </c>
    </row>
    <row r="11" spans="2:7" ht="14" x14ac:dyDescent="0.3">
      <c r="B11" s="4" t="s">
        <v>42</v>
      </c>
      <c r="C11" s="5">
        <v>-1914</v>
      </c>
      <c r="D11" s="5">
        <v>4780</v>
      </c>
      <c r="E11" s="5">
        <v>8288</v>
      </c>
      <c r="F11" s="5">
        <v>10088</v>
      </c>
      <c r="G11" s="5">
        <v>5524</v>
      </c>
    </row>
    <row r="12" spans="2:7" ht="14" x14ac:dyDescent="0.3">
      <c r="B12" s="4" t="s">
        <v>43</v>
      </c>
      <c r="C12" s="5">
        <v>-3112</v>
      </c>
      <c r="D12" s="5">
        <v>4388</v>
      </c>
      <c r="E12" s="5">
        <v>9689</v>
      </c>
      <c r="F12" s="5">
        <v>7090</v>
      </c>
      <c r="G12" s="5">
        <v>2576</v>
      </c>
    </row>
    <row r="13" spans="2:7" ht="13.5" x14ac:dyDescent="0.25">
      <c r="B13" t="s">
        <v>44</v>
      </c>
      <c r="C13" s="7">
        <f>C11/C6</f>
        <v>-6.7042628463343731E-2</v>
      </c>
      <c r="D13" s="7">
        <f>D11/D6</f>
        <v>0.11097181594465338</v>
      </c>
      <c r="E13" s="7">
        <f>E11/E6</f>
        <v>0.14981381728787824</v>
      </c>
      <c r="F13" s="7">
        <f>F11/F6</f>
        <v>0.19432137766305813</v>
      </c>
      <c r="G13" s="7">
        <f>G11/G6</f>
        <v>0.11765207019935253</v>
      </c>
    </row>
    <row r="14" spans="2:7" ht="13.5" x14ac:dyDescent="0.25">
      <c r="B14" t="s">
        <v>45</v>
      </c>
      <c r="C14" s="7">
        <f>C12/C6</f>
        <v>-0.10900556937195699</v>
      </c>
      <c r="D14" s="7">
        <f>D12/D6</f>
        <v>0.10187119840274876</v>
      </c>
      <c r="E14" s="7">
        <f>E12/E6</f>
        <v>0.17513828133473122</v>
      </c>
      <c r="F14" s="7">
        <f>F12/F6</f>
        <v>0.13657202296105098</v>
      </c>
      <c r="G14" s="7">
        <f>G12/G6</f>
        <v>5.4864542511501108E-2</v>
      </c>
    </row>
    <row r="15" spans="2:7" ht="13.5" x14ac:dyDescent="0.25">
      <c r="B15" t="s">
        <v>46</v>
      </c>
      <c r="C15" t="s">
        <v>47</v>
      </c>
      <c r="D15" s="7">
        <f>(D6-C6)/C6</f>
        <v>0.50877438789449714</v>
      </c>
      <c r="E15" s="7">
        <f>(E6-D6)/D6</f>
        <v>0.28434786646236709</v>
      </c>
      <c r="F15" s="7">
        <f>(F6-E6)/E6</f>
        <v>-6.1602978923393947E-2</v>
      </c>
      <c r="G15" s="7">
        <f>(G6-F6)/F6</f>
        <v>-9.5581153446083908E-2</v>
      </c>
    </row>
    <row r="16" spans="2:7" ht="13.5" x14ac:dyDescent="0.25">
      <c r="B16" t="s">
        <v>48</v>
      </c>
      <c r="C16" t="s">
        <v>47</v>
      </c>
      <c r="D16" s="7">
        <f>(D11-C11)/C11</f>
        <v>-3.497387669801463</v>
      </c>
      <c r="E16" s="7">
        <f>(E11-D11)/D11</f>
        <v>0.73389121338912133</v>
      </c>
      <c r="F16" s="7">
        <f>(F11-E11)/E11</f>
        <v>0.21718146718146719</v>
      </c>
      <c r="G16" s="7">
        <f>(G11-F11)/F11</f>
        <v>-0.45241871530531325</v>
      </c>
    </row>
    <row r="18" spans="2:7" ht="14" x14ac:dyDescent="0.3">
      <c r="B18" s="3" t="s">
        <v>49</v>
      </c>
    </row>
    <row r="19" spans="2:7" ht="14" x14ac:dyDescent="0.3">
      <c r="B19" s="4" t="s">
        <v>50</v>
      </c>
      <c r="C19" s="5">
        <v>6304</v>
      </c>
      <c r="D19" s="5">
        <v>741</v>
      </c>
      <c r="E19" s="5">
        <v>2098</v>
      </c>
      <c r="F19" s="5">
        <v>2859</v>
      </c>
      <c r="G19" s="5">
        <v>4169</v>
      </c>
    </row>
    <row r="20" spans="2:7" ht="14" x14ac:dyDescent="0.3">
      <c r="B20" s="4" t="s">
        <v>51</v>
      </c>
      <c r="C20" s="5">
        <v>996</v>
      </c>
      <c r="D20" s="5">
        <v>2357</v>
      </c>
      <c r="E20" s="5">
        <v>2717</v>
      </c>
      <c r="F20" s="5">
        <v>2916</v>
      </c>
      <c r="G20" s="5">
        <v>8072</v>
      </c>
    </row>
    <row r="21" spans="2:7" ht="14" x14ac:dyDescent="0.3">
      <c r="B21" s="4" t="s">
        <v>52</v>
      </c>
      <c r="C21" s="5">
        <f>C19-C20</f>
        <v>5308</v>
      </c>
      <c r="D21" s="5">
        <f>D19-D20</f>
        <v>-1616</v>
      </c>
      <c r="E21" s="5">
        <f>E19-E20</f>
        <v>-619</v>
      </c>
      <c r="F21" s="5">
        <f>F19-F20</f>
        <v>-57</v>
      </c>
      <c r="G21" s="5">
        <f>G19-G20</f>
        <v>-3903</v>
      </c>
    </row>
    <row r="22" spans="2:7" ht="13.5" x14ac:dyDescent="0.25">
      <c r="B22" t="s">
        <v>53</v>
      </c>
      <c r="C22" s="7">
        <f>C21/C6</f>
        <v>0.18592595187221969</v>
      </c>
      <c r="D22" s="7">
        <f>D21/D6</f>
        <v>-3.7516831499280305E-2</v>
      </c>
      <c r="E22" s="7">
        <f>E21/E6</f>
        <v>-1.1189038718773725E-2</v>
      </c>
      <c r="F22" s="7">
        <f>F21/F6</f>
        <v>-1.0979697191509034E-3</v>
      </c>
      <c r="G22" s="7">
        <f>G21/G6</f>
        <v>-8.3127449309933543E-2</v>
      </c>
    </row>
    <row r="23" spans="2:7" ht="13.5" x14ac:dyDescent="0.25">
      <c r="B23" t="s">
        <v>54</v>
      </c>
      <c r="C23" s="7">
        <f>C20/C6</f>
        <v>3.4887386598479807E-2</v>
      </c>
      <c r="D23" s="7">
        <f>D20/D6</f>
        <v>5.471978455680921E-2</v>
      </c>
      <c r="E23" s="7">
        <f>E20/E6</f>
        <v>4.911246881891472E-2</v>
      </c>
      <c r="F23" s="7">
        <f>F20/F6</f>
        <v>5.6169819316562009E-2</v>
      </c>
      <c r="G23" s="7">
        <f>G20/G6</f>
        <v>0.17192025898790253</v>
      </c>
    </row>
    <row r="25" spans="2:7" ht="14" x14ac:dyDescent="0.3">
      <c r="B25" s="3" t="s">
        <v>55</v>
      </c>
    </row>
    <row r="26" spans="2:7" ht="14" x14ac:dyDescent="0.3">
      <c r="B26" s="4" t="s">
        <v>56</v>
      </c>
      <c r="C26" s="5">
        <v>10666</v>
      </c>
      <c r="D26" s="5">
        <v>6971</v>
      </c>
      <c r="E26" s="5">
        <v>5975</v>
      </c>
      <c r="F26" s="5">
        <v>4619</v>
      </c>
      <c r="G26" s="5">
        <v>4145</v>
      </c>
    </row>
    <row r="27" spans="2:7" ht="14" x14ac:dyDescent="0.3">
      <c r="B27" s="4" t="s">
        <v>57</v>
      </c>
      <c r="C27" s="5">
        <v>40500</v>
      </c>
      <c r="D27" s="5">
        <v>40500</v>
      </c>
      <c r="E27" s="5">
        <v>40100</v>
      </c>
      <c r="F27" s="5">
        <v>43700</v>
      </c>
      <c r="G27" s="5">
        <v>49800</v>
      </c>
    </row>
    <row r="28" spans="2:7" ht="14" x14ac:dyDescent="0.3">
      <c r="B28" s="4" t="s">
        <v>58</v>
      </c>
      <c r="C28" s="5">
        <f>C27-C26</f>
        <v>29834</v>
      </c>
      <c r="D28" s="5">
        <f>D27-D26</f>
        <v>33529</v>
      </c>
      <c r="E28" s="5">
        <f>E27-E26</f>
        <v>34125</v>
      </c>
      <c r="F28" s="5">
        <f>F27-F26</f>
        <v>39081</v>
      </c>
      <c r="G28" s="5">
        <f>G27-G26</f>
        <v>45655</v>
      </c>
    </row>
    <row r="30" spans="2:7"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7.8E-2</v>
      </c>
    </row>
    <row r="6" spans="2:7" ht="14" x14ac:dyDescent="0.3">
      <c r="B6" s="4" t="s">
        <v>63</v>
      </c>
      <c r="C6" s="7">
        <v>0.30599999999999999</v>
      </c>
    </row>
    <row r="7" spans="2:7" ht="14" x14ac:dyDescent="0.3">
      <c r="B7" s="4" t="s">
        <v>64</v>
      </c>
      <c r="C7" s="7">
        <v>2.9000000000000001E-2</v>
      </c>
    </row>
    <row r="8" spans="2:7" ht="14" x14ac:dyDescent="0.3">
      <c r="B8" s="4" t="s">
        <v>65</v>
      </c>
      <c r="C8" s="12">
        <v>1.3685</v>
      </c>
    </row>
    <row r="9" spans="2:7" ht="14" x14ac:dyDescent="0.3">
      <c r="B9" s="4" t="s">
        <v>66</v>
      </c>
      <c r="C9" s="7">
        <v>5.5E-2</v>
      </c>
    </row>
    <row r="10" spans="2:7" ht="14" x14ac:dyDescent="0.3">
      <c r="B10" s="4" t="s">
        <v>67</v>
      </c>
      <c r="C10" s="7">
        <v>1.4999999999999999E-2</v>
      </c>
    </row>
    <row r="11" spans="2:7" ht="14" x14ac:dyDescent="0.3">
      <c r="B11" s="4" t="s">
        <v>68</v>
      </c>
      <c r="C11" s="7">
        <v>5.8999999999999999E-3</v>
      </c>
    </row>
    <row r="12" spans="2:7" ht="14" x14ac:dyDescent="0.3">
      <c r="B12" s="4" t="s">
        <v>69</v>
      </c>
      <c r="C12" s="13">
        <v>0.45679999999999998</v>
      </c>
    </row>
    <row r="13" spans="2:7" ht="14" x14ac:dyDescent="0.3">
      <c r="B13" s="4" t="s">
        <v>70</v>
      </c>
      <c r="C13" s="7">
        <v>1.4999999999999999E-2</v>
      </c>
    </row>
    <row r="14" spans="2:7" ht="14" x14ac:dyDescent="0.3">
      <c r="B14" s="4" t="s">
        <v>71</v>
      </c>
      <c r="C14" s="14">
        <v>8</v>
      </c>
    </row>
    <row r="15" spans="2:7" ht="14" x14ac:dyDescent="0.3">
      <c r="B15" s="4" t="s">
        <v>72</v>
      </c>
      <c r="C15" s="15">
        <v>36800000</v>
      </c>
    </row>
    <row r="16" spans="2:7" ht="14" x14ac:dyDescent="0.3">
      <c r="B16" s="4" t="s">
        <v>73</v>
      </c>
      <c r="C16" s="5">
        <v>45837</v>
      </c>
    </row>
    <row r="17" spans="2:7" ht="14" x14ac:dyDescent="0.3">
      <c r="B17" s="4" t="s">
        <v>74</v>
      </c>
      <c r="C17" s="5">
        <v>46952</v>
      </c>
    </row>
    <row r="18" spans="2:7" ht="14" x14ac:dyDescent="0.3">
      <c r="B18" s="4" t="s">
        <v>75</v>
      </c>
      <c r="C18" s="7">
        <v>7.9000000000000001E-2</v>
      </c>
    </row>
    <row r="19" spans="2:7" ht="14" x14ac:dyDescent="0.3">
      <c r="B19" s="4" t="s">
        <v>76</v>
      </c>
      <c r="C19" s="12">
        <v>0.75</v>
      </c>
    </row>
    <row r="20" spans="2:7" ht="14" x14ac:dyDescent="0.3">
      <c r="B20" s="4" t="s">
        <v>77</v>
      </c>
      <c r="C20" s="5">
        <v>47228</v>
      </c>
    </row>
    <row r="22" spans="2:7" ht="14" x14ac:dyDescent="0.3">
      <c r="B22" s="8" t="s">
        <v>78</v>
      </c>
      <c r="C22" s="9"/>
      <c r="D22" s="9"/>
      <c r="E22" s="9"/>
      <c r="F22" s="9"/>
      <c r="G22" s="9"/>
    </row>
    <row r="23" spans="2:7" ht="14" x14ac:dyDescent="0.3">
      <c r="B23" s="4" t="s">
        <v>79</v>
      </c>
      <c r="C23" s="16">
        <f>C7+C8*C9+C10</f>
        <v>0.1192675</v>
      </c>
    </row>
    <row r="24" spans="2:7" ht="14" x14ac:dyDescent="0.3">
      <c r="B24" s="4" t="s">
        <v>80</v>
      </c>
      <c r="C24" s="16">
        <f>1/(1+C12)</f>
        <v>0.68643602416254812</v>
      </c>
    </row>
    <row r="25" spans="2:7" ht="14" x14ac:dyDescent="0.3">
      <c r="B25" s="4" t="s">
        <v>81</v>
      </c>
      <c r="C25" s="16">
        <f>C12/(1+C12)</f>
        <v>0.31356397583745199</v>
      </c>
    </row>
    <row r="26" spans="2:7" ht="14" x14ac:dyDescent="0.3">
      <c r="B26" s="4" t="s">
        <v>82</v>
      </c>
      <c r="C26" s="16">
        <f>C23*C24+C11*C25</f>
        <v>8.3719535969247666E-2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6.6000000000000003E-2</v>
      </c>
      <c r="D30" s="18">
        <f>CHOOSE($D$27,D69,D70,D71,D72,D73)</f>
        <v>0.06</v>
      </c>
      <c r="E30" s="18">
        <f>CHOOSE($D$27,E69,E70,E71,E72,E73)</f>
        <v>0.05</v>
      </c>
      <c r="F30" s="18">
        <f>CHOOSE($D$27,F69,F70,F71,F72,F73)</f>
        <v>0.04</v>
      </c>
      <c r="G30" s="18">
        <f>CHOOSE($D$27,G69,G70,G71,G72,G73)</f>
        <v>0.03</v>
      </c>
    </row>
    <row r="31" spans="2:7" ht="14" x14ac:dyDescent="0.3">
      <c r="B31" s="4" t="s">
        <v>91</v>
      </c>
      <c r="C31" s="18">
        <f>CHOOSE($D$27,C76,C77,C78,C79,C80)</f>
        <v>0.79500000000000004</v>
      </c>
      <c r="D31" s="18">
        <f>CHOOSE($D$27,D76,D77,D78,D79,D80)</f>
        <v>0.78200000000000003</v>
      </c>
      <c r="E31" s="18">
        <f>CHOOSE($D$27,E76,E77,E78,E79,E80)</f>
        <v>0.77</v>
      </c>
      <c r="F31" s="18">
        <f>CHOOSE($D$27,F76,F77,F78,F79,F80)</f>
        <v>0.76700000000000002</v>
      </c>
      <c r="G31" s="18">
        <f>CHOOSE($D$27,G76,G77,G78,G79,G80)</f>
        <v>0.76800000000000002</v>
      </c>
    </row>
    <row r="32" spans="2:7" ht="14" x14ac:dyDescent="0.3">
      <c r="B32" s="4" t="s">
        <v>92</v>
      </c>
      <c r="C32" s="18">
        <f>CHOOSE($D$27,C83,C84,C85,C86,C87)</f>
        <v>0.122</v>
      </c>
      <c r="D32" s="18">
        <f>CHOOSE($D$27,D83,D84,D85,D86,D87)</f>
        <v>0.11799999999999999</v>
      </c>
      <c r="E32" s="18">
        <f>CHOOSE($D$27,E83,E84,E85,E86,E87)</f>
        <v>0.115</v>
      </c>
      <c r="F32" s="18">
        <f>CHOOSE($D$27,F83,F84,F85,F86,F87)</f>
        <v>0.113</v>
      </c>
      <c r="G32" s="18">
        <f>CHOOSE($D$27,G83,G84,G85,G86,G87)</f>
        <v>0.112</v>
      </c>
    </row>
    <row r="33" spans="2:7" ht="14" x14ac:dyDescent="0.3">
      <c r="B33" s="4" t="s">
        <v>37</v>
      </c>
      <c r="C33" s="5">
        <f>C17*(1+C30)</f>
        <v>50050.832000000002</v>
      </c>
      <c r="D33" s="5">
        <f>C33*(1+D30)</f>
        <v>53053.881920000007</v>
      </c>
      <c r="E33" s="5">
        <f>D33*(1+E30)</f>
        <v>55706.576016000006</v>
      </c>
      <c r="F33" s="5">
        <f>E33*(1+F30)</f>
        <v>57934.839056640012</v>
      </c>
      <c r="G33" s="5">
        <f>F33*(1+G30)</f>
        <v>59672.884228339215</v>
      </c>
    </row>
    <row r="34" spans="2:7" ht="14" x14ac:dyDescent="0.3">
      <c r="B34" s="4" t="s">
        <v>38</v>
      </c>
      <c r="C34" s="5">
        <f>C33*C31</f>
        <v>39790.411440000003</v>
      </c>
      <c r="D34" s="5">
        <f>D33*D31</f>
        <v>41488.135661440007</v>
      </c>
      <c r="E34" s="5">
        <f>E33*E31</f>
        <v>42894.063532320004</v>
      </c>
      <c r="F34" s="5">
        <f>F33*F31</f>
        <v>44436.021556442887</v>
      </c>
      <c r="G34" s="5">
        <f>G33*G31</f>
        <v>45828.77508736452</v>
      </c>
    </row>
    <row r="35" spans="2:7" ht="14" x14ac:dyDescent="0.3">
      <c r="B35" s="4" t="s">
        <v>39</v>
      </c>
      <c r="C35" s="19">
        <f>C33-C34</f>
        <v>10260.420559999999</v>
      </c>
      <c r="D35" s="19">
        <f>D33-D34</f>
        <v>11565.746258560001</v>
      </c>
      <c r="E35" s="19">
        <f>E33-E34</f>
        <v>12812.512483680002</v>
      </c>
      <c r="F35" s="19">
        <f>F33-F34</f>
        <v>13498.817500197125</v>
      </c>
      <c r="G35" s="19">
        <f>G33-G34</f>
        <v>13844.109140974695</v>
      </c>
    </row>
    <row r="36" spans="2:7" ht="14" x14ac:dyDescent="0.3">
      <c r="B36" s="4" t="s">
        <v>40</v>
      </c>
      <c r="C36" s="7">
        <f>C35/C33</f>
        <v>0.20499999999999996</v>
      </c>
      <c r="D36" s="7">
        <f>D35/D33</f>
        <v>0.21799999999999997</v>
      </c>
      <c r="E36" s="7">
        <f>E35/E33</f>
        <v>0.23</v>
      </c>
      <c r="F36" s="7">
        <f>F35/F33</f>
        <v>0.23300000000000004</v>
      </c>
      <c r="G36" s="7">
        <f>G35/G33</f>
        <v>0.23199999999999996</v>
      </c>
    </row>
    <row r="37" spans="2:7" ht="14" x14ac:dyDescent="0.3">
      <c r="B37" s="4" t="s">
        <v>93</v>
      </c>
      <c r="C37" s="5">
        <f>C33*C32</f>
        <v>6106.2015040000006</v>
      </c>
      <c r="D37" s="5">
        <f>D33*D32</f>
        <v>6260.3580665600002</v>
      </c>
      <c r="E37" s="5">
        <f>E33*E32</f>
        <v>6406.2562418400012</v>
      </c>
      <c r="F37" s="5">
        <f>F33*F32</f>
        <v>6546.6368134003214</v>
      </c>
      <c r="G37" s="5">
        <f>G33*G32</f>
        <v>6683.3630335739927</v>
      </c>
    </row>
    <row r="38" spans="2:7" ht="14" x14ac:dyDescent="0.3">
      <c r="B38" s="4" t="s">
        <v>94</v>
      </c>
      <c r="C38" s="7">
        <f>(C35-C37)/C33</f>
        <v>8.2999999999999963E-2</v>
      </c>
      <c r="D38" s="7">
        <f>(D35-D37)/D33</f>
        <v>9.9999999999999992E-2</v>
      </c>
      <c r="E38" s="7">
        <f>(E35-E37)/E33</f>
        <v>0.115</v>
      </c>
      <c r="F38" s="7">
        <f>(F35-F37)/F33</f>
        <v>0.12000000000000004</v>
      </c>
      <c r="G38" s="7">
        <f>(G35-G37)/G33</f>
        <v>0.11999999999999994</v>
      </c>
    </row>
    <row r="39" spans="2:7" ht="14" x14ac:dyDescent="0.3">
      <c r="B39" s="4" t="s">
        <v>95</v>
      </c>
      <c r="C39" s="19">
        <f>C35-C37</f>
        <v>4154.2190559999981</v>
      </c>
      <c r="D39" s="19">
        <f>D35-D37</f>
        <v>5305.3881920000003</v>
      </c>
      <c r="E39" s="19">
        <f>E35-E37</f>
        <v>6406.2562418400012</v>
      </c>
      <c r="F39" s="19">
        <f>F35-F37</f>
        <v>6952.1806867968035</v>
      </c>
      <c r="G39" s="19">
        <f>G35-G37</f>
        <v>7160.7461074007024</v>
      </c>
    </row>
    <row r="40" spans="2:7" ht="14" x14ac:dyDescent="0.3">
      <c r="B40" s="4" t="s">
        <v>96</v>
      </c>
      <c r="C40" s="5">
        <f>MAX(0,C39*C6)</f>
        <v>1271.1910311359993</v>
      </c>
      <c r="D40" s="5">
        <f>MAX(0,D39*C6)</f>
        <v>1623.4487867520002</v>
      </c>
      <c r="E40" s="5">
        <f>MAX(0,E39*C6)</f>
        <v>1960.3144100030404</v>
      </c>
      <c r="F40" s="5">
        <f>MAX(0,F39*C6)</f>
        <v>2127.367290159822</v>
      </c>
      <c r="G40" s="5">
        <f>MAX(0,G39*C6)</f>
        <v>2191.188308864615</v>
      </c>
    </row>
    <row r="41" spans="2:7" ht="14" x14ac:dyDescent="0.3">
      <c r="B41" s="4" t="s">
        <v>97</v>
      </c>
      <c r="C41" s="19">
        <f>C39-C40</f>
        <v>2883.0280248639988</v>
      </c>
      <c r="D41" s="19">
        <f>D39-D40</f>
        <v>3681.9394052480002</v>
      </c>
      <c r="E41" s="19">
        <f>E39-E40</f>
        <v>4445.9418318369608</v>
      </c>
      <c r="F41" s="19">
        <f>F39-F40</f>
        <v>4824.8133966369815</v>
      </c>
      <c r="G41" s="19">
        <f>G39-G40</f>
        <v>4969.5577985360869</v>
      </c>
    </row>
    <row r="42" spans="2:7" ht="14" x14ac:dyDescent="0.3">
      <c r="B42" s="4" t="s">
        <v>98</v>
      </c>
      <c r="C42" s="5">
        <v>3400</v>
      </c>
      <c r="D42" s="5">
        <v>3700</v>
      </c>
      <c r="E42" s="5">
        <v>3900</v>
      </c>
      <c r="F42" s="5">
        <v>3950</v>
      </c>
      <c r="G42" s="5">
        <v>3950</v>
      </c>
    </row>
    <row r="43" spans="2:7" ht="14" x14ac:dyDescent="0.3">
      <c r="B43" s="4" t="s">
        <v>99</v>
      </c>
      <c r="C43" s="5">
        <v>7500</v>
      </c>
      <c r="D43" s="5">
        <v>6000</v>
      </c>
      <c r="E43" s="5">
        <v>4800</v>
      </c>
      <c r="F43" s="5">
        <v>4100</v>
      </c>
      <c r="G43" s="5">
        <v>3900</v>
      </c>
    </row>
    <row r="44" spans="2:7" ht="14" x14ac:dyDescent="0.3">
      <c r="B44" s="4" t="s">
        <v>100</v>
      </c>
      <c r="C44" s="5">
        <f>'NWC Schedule'!D19</f>
        <v>2678.0210947945307</v>
      </c>
      <c r="D44" s="5">
        <f>'NWC Schedule'!E19</f>
        <v>238.8837079741279</v>
      </c>
      <c r="E44" s="5">
        <f>'NWC Schedule'!F19</f>
        <v>-394.2702868712222</v>
      </c>
      <c r="F44" s="5">
        <f>'NWC Schedule'!G19</f>
        <v>-373.83538508666243</v>
      </c>
      <c r="G44" s="5">
        <f>'NWC Schedule'!H19</f>
        <v>-119.31719785110909</v>
      </c>
    </row>
    <row r="45" spans="2:7" ht="14" x14ac:dyDescent="0.3">
      <c r="B45" s="4" t="s">
        <v>101</v>
      </c>
      <c r="C45" s="20">
        <f>C41+C42-C43-C44</f>
        <v>-3894.9930699305314</v>
      </c>
      <c r="D45" s="20">
        <f>D41+D42-D43-D44</f>
        <v>1143.0556972738723</v>
      </c>
      <c r="E45" s="20">
        <f>E41+E42-E43-E44</f>
        <v>3940.212118708183</v>
      </c>
      <c r="F45" s="20">
        <f>F41+F42-F43-F44</f>
        <v>5048.6487817236448</v>
      </c>
      <c r="G45" s="20">
        <f>G41+G42-G43-G44</f>
        <v>5138.874996387196</v>
      </c>
    </row>
    <row r="46" spans="2:7" ht="14" x14ac:dyDescent="0.3">
      <c r="B46" s="4" t="s">
        <v>102</v>
      </c>
      <c r="C46" s="21">
        <f>1/(1+C26)^(C19+0)</f>
        <v>0.94148265464260916</v>
      </c>
      <c r="D46" s="21">
        <f>1/(1+C26)^(C19+1)</f>
        <v>0.86875120674148787</v>
      </c>
      <c r="E46" s="21">
        <f>1/(1+C26)^(C19+2)</f>
        <v>0.80163841096073041</v>
      </c>
      <c r="F46" s="21">
        <f>1/(1+C26)^(C19+3)</f>
        <v>0.73971021500850587</v>
      </c>
      <c r="G46" s="21">
        <f>1/(1+C26)^(C19+4)</f>
        <v>0.68256609801440016</v>
      </c>
    </row>
    <row r="47" spans="2:7" ht="14" x14ac:dyDescent="0.3">
      <c r="B47" s="4" t="s">
        <v>103</v>
      </c>
      <c r="C47" s="19">
        <f>C45*C46</f>
        <v>-3667.0684152927624</v>
      </c>
      <c r="D47" s="19">
        <f>D45*D46</f>
        <v>993.03101637940938</v>
      </c>
      <c r="E47" s="19">
        <f>E45*E46</f>
        <v>3158.6253816894405</v>
      </c>
      <c r="F47" s="19">
        <f>F45*F46</f>
        <v>3734.5370758312283</v>
      </c>
      <c r="G47" s="19">
        <f>G45*G46</f>
        <v>3507.6218544677731</v>
      </c>
    </row>
    <row r="49" spans="2:7" ht="14" x14ac:dyDescent="0.3">
      <c r="B49" s="22" t="s">
        <v>104</v>
      </c>
      <c r="C49" s="23"/>
      <c r="D49" s="23"/>
      <c r="E49" s="23"/>
      <c r="F49" s="23"/>
      <c r="G49" s="23"/>
    </row>
    <row r="50" spans="2:7" ht="14" x14ac:dyDescent="0.3">
      <c r="B50" s="4" t="s">
        <v>105</v>
      </c>
      <c r="C50" s="5">
        <f>SUM(C47:G47)</f>
        <v>7726.7469130750887</v>
      </c>
    </row>
    <row r="51" spans="2:7" ht="14" x14ac:dyDescent="0.3">
      <c r="B51" s="4" t="s">
        <v>106</v>
      </c>
      <c r="C51" s="5">
        <f>G45*(1+C13)/(C26-C13)</f>
        <v>75902.114991975075</v>
      </c>
    </row>
    <row r="52" spans="2:7" ht="14" x14ac:dyDescent="0.3">
      <c r="B52" s="4" t="s">
        <v>107</v>
      </c>
      <c r="C52" s="5">
        <f>C51*G46</f>
        <v>51808.210461112729</v>
      </c>
    </row>
    <row r="53" spans="2:7" ht="14" x14ac:dyDescent="0.3">
      <c r="B53" s="4" t="s">
        <v>108</v>
      </c>
      <c r="C53" s="5">
        <f>C50+C52</f>
        <v>59534.957374187819</v>
      </c>
    </row>
    <row r="54" spans="2:7" ht="14" x14ac:dyDescent="0.3">
      <c r="B54" s="4" t="s">
        <v>109</v>
      </c>
      <c r="C54" s="5">
        <f>C53-C16</f>
        <v>13697.957374187819</v>
      </c>
    </row>
    <row r="55" spans="2:7" ht="14" x14ac:dyDescent="0.3">
      <c r="B55" s="4" t="s">
        <v>110</v>
      </c>
      <c r="C55" s="24">
        <f>ROUND(C54*1000000/C15,0)</f>
        <v>372</v>
      </c>
    </row>
    <row r="57" spans="2:7" ht="14" x14ac:dyDescent="0.3">
      <c r="B57" s="22" t="s">
        <v>111</v>
      </c>
      <c r="C57" s="23"/>
      <c r="D57" s="23"/>
      <c r="E57" s="23"/>
      <c r="F57" s="23"/>
      <c r="G57" s="23"/>
    </row>
    <row r="58" spans="2:7" ht="14" x14ac:dyDescent="0.3">
      <c r="B58" s="4" t="s">
        <v>105</v>
      </c>
      <c r="C58" s="5">
        <f>C50</f>
        <v>7726.7469130750887</v>
      </c>
    </row>
    <row r="59" spans="2:7" ht="14" x14ac:dyDescent="0.3">
      <c r="B59" s="4" t="s">
        <v>112</v>
      </c>
      <c r="C59" s="5">
        <f>G39+G42</f>
        <v>11110.746107400702</v>
      </c>
    </row>
    <row r="60" spans="2:7" ht="14" x14ac:dyDescent="0.3">
      <c r="B60" s="4" t="s">
        <v>113</v>
      </c>
      <c r="C60" s="5">
        <f>C59*C14</f>
        <v>88885.968859205619</v>
      </c>
    </row>
    <row r="61" spans="2:7" ht="14" x14ac:dyDescent="0.3">
      <c r="B61" s="4" t="s">
        <v>107</v>
      </c>
      <c r="C61" s="5">
        <f>C60*G46</f>
        <v>60670.548932457459</v>
      </c>
    </row>
    <row r="62" spans="2:7" ht="14" x14ac:dyDescent="0.3">
      <c r="B62" s="4" t="s">
        <v>108</v>
      </c>
      <c r="C62" s="5">
        <f>C58+C61</f>
        <v>68397.295845532542</v>
      </c>
    </row>
    <row r="63" spans="2:7" ht="14" x14ac:dyDescent="0.3">
      <c r="B63" s="4" t="s">
        <v>109</v>
      </c>
      <c r="C63" s="5">
        <f>C62-C16</f>
        <v>22560.295845532542</v>
      </c>
    </row>
    <row r="64" spans="2:7" ht="14" x14ac:dyDescent="0.3">
      <c r="B64" s="4" t="s">
        <v>114</v>
      </c>
      <c r="C64" s="24">
        <f>ROUND(C63*1000000/C15,0)</f>
        <v>613</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6.6000000000000003E-2</v>
      </c>
      <c r="D69" s="26">
        <v>0.06</v>
      </c>
      <c r="E69" s="26">
        <v>0.05</v>
      </c>
      <c r="F69" s="26">
        <v>0.04</v>
      </c>
      <c r="G69" s="26">
        <v>0.03</v>
      </c>
    </row>
    <row r="70" spans="2:7" ht="14" x14ac:dyDescent="0.3">
      <c r="B70" s="4" t="s">
        <v>121</v>
      </c>
      <c r="C70" s="26">
        <v>0.1</v>
      </c>
      <c r="D70" s="26">
        <v>0.12</v>
      </c>
      <c r="E70" s="26">
        <v>0.1</v>
      </c>
      <c r="F70" s="26">
        <v>7.0000000000000007E-2</v>
      </c>
      <c r="G70" s="26">
        <v>0.04</v>
      </c>
    </row>
    <row r="71" spans="2:7" ht="14" x14ac:dyDescent="0.3">
      <c r="B71" s="4" t="s">
        <v>122</v>
      </c>
      <c r="C71" s="26">
        <v>2.23E-2</v>
      </c>
      <c r="D71" s="26">
        <v>0.08</v>
      </c>
      <c r="E71" s="26">
        <v>7.0000000000000007E-2</v>
      </c>
      <c r="F71" s="26">
        <v>0.05</v>
      </c>
      <c r="G71" s="26">
        <v>0.03</v>
      </c>
    </row>
    <row r="72" spans="2:7" ht="14" x14ac:dyDescent="0.3">
      <c r="B72" s="4" t="s">
        <v>123</v>
      </c>
      <c r="C72" s="26">
        <v>0</v>
      </c>
      <c r="D72" s="26">
        <v>0.02</v>
      </c>
      <c r="E72" s="26">
        <v>0.03</v>
      </c>
      <c r="F72" s="26">
        <v>0.03</v>
      </c>
      <c r="G72" s="26">
        <v>0.02</v>
      </c>
    </row>
    <row r="73" spans="2:7" ht="14" x14ac:dyDescent="0.3">
      <c r="B73" s="4" t="s">
        <v>124</v>
      </c>
      <c r="C73" s="26">
        <v>-0.06</v>
      </c>
      <c r="D73" s="26">
        <v>-0.05</v>
      </c>
      <c r="E73" s="26">
        <v>0</v>
      </c>
      <c r="F73" s="26">
        <v>0.02</v>
      </c>
      <c r="G73" s="26">
        <v>0.02</v>
      </c>
    </row>
    <row r="75" spans="2:7" ht="14" x14ac:dyDescent="0.3">
      <c r="B75" s="3" t="s">
        <v>91</v>
      </c>
    </row>
    <row r="76" spans="2:7" ht="14" x14ac:dyDescent="0.3">
      <c r="B76" s="4" t="s">
        <v>84</v>
      </c>
      <c r="C76" s="26">
        <v>0.79500000000000004</v>
      </c>
      <c r="D76" s="26">
        <v>0.78200000000000003</v>
      </c>
      <c r="E76" s="26">
        <v>0.77</v>
      </c>
      <c r="F76" s="26">
        <v>0.76700000000000002</v>
      </c>
      <c r="G76" s="26">
        <v>0.76800000000000002</v>
      </c>
    </row>
    <row r="77" spans="2:7" ht="14" x14ac:dyDescent="0.3">
      <c r="B77" s="4" t="s">
        <v>121</v>
      </c>
      <c r="C77" s="26">
        <v>0.78</v>
      </c>
      <c r="D77" s="26">
        <v>0.748</v>
      </c>
      <c r="E77" s="26">
        <v>0.72299999999999998</v>
      </c>
      <c r="F77" s="26">
        <v>0.71599999999999997</v>
      </c>
      <c r="G77" s="26">
        <v>0.72199999999999998</v>
      </c>
    </row>
    <row r="78" spans="2:7" ht="14" x14ac:dyDescent="0.3">
      <c r="B78" s="4" t="s">
        <v>122</v>
      </c>
      <c r="C78" s="26">
        <v>0.79700000000000004</v>
      </c>
      <c r="D78" s="26">
        <v>0.78</v>
      </c>
      <c r="E78" s="26">
        <v>0.76600000000000001</v>
      </c>
      <c r="F78" s="26">
        <v>0.75800000000000001</v>
      </c>
      <c r="G78" s="26">
        <v>0.75900000000000001</v>
      </c>
    </row>
    <row r="79" spans="2:7" ht="14" x14ac:dyDescent="0.3">
      <c r="B79" s="4" t="s">
        <v>123</v>
      </c>
      <c r="C79" s="26">
        <v>0.80200000000000005</v>
      </c>
      <c r="D79" s="26">
        <v>0.79400000000000004</v>
      </c>
      <c r="E79" s="26">
        <v>0.78</v>
      </c>
      <c r="F79" s="26">
        <v>0.77200000000000002</v>
      </c>
      <c r="G79" s="26">
        <v>0.76700000000000002</v>
      </c>
    </row>
    <row r="80" spans="2:7" ht="14" x14ac:dyDescent="0.3">
      <c r="B80" s="4" t="s">
        <v>124</v>
      </c>
      <c r="C80" s="26">
        <v>0.82499999999999996</v>
      </c>
      <c r="D80" s="26">
        <v>0.83199999999999996</v>
      </c>
      <c r="E80" s="26">
        <v>0.83299999999999996</v>
      </c>
      <c r="F80" s="26">
        <v>0.82899999999999996</v>
      </c>
      <c r="G80" s="26">
        <v>0.82599999999999996</v>
      </c>
    </row>
    <row r="82" spans="2:7" ht="14" x14ac:dyDescent="0.3">
      <c r="B82" s="3" t="s">
        <v>92</v>
      </c>
    </row>
    <row r="83" spans="2:7" ht="14" x14ac:dyDescent="0.3">
      <c r="B83" s="4" t="s">
        <v>84</v>
      </c>
      <c r="C83" s="26">
        <v>0.122</v>
      </c>
      <c r="D83" s="26">
        <v>0.11799999999999999</v>
      </c>
      <c r="E83" s="26">
        <v>0.115</v>
      </c>
      <c r="F83" s="26">
        <v>0.113</v>
      </c>
      <c r="G83" s="26">
        <v>0.112</v>
      </c>
    </row>
    <row r="84" spans="2:7" ht="14" x14ac:dyDescent="0.3">
      <c r="B84" s="4" t="s">
        <v>121</v>
      </c>
      <c r="C84" s="26">
        <v>0.12</v>
      </c>
      <c r="D84" s="26">
        <v>0.112</v>
      </c>
      <c r="E84" s="26">
        <v>0.107</v>
      </c>
      <c r="F84" s="26">
        <v>0.104</v>
      </c>
      <c r="G84" s="26">
        <v>0.10299999999999999</v>
      </c>
    </row>
    <row r="85" spans="2:7" ht="14" x14ac:dyDescent="0.3">
      <c r="B85" s="4" t="s">
        <v>122</v>
      </c>
      <c r="C85" s="26">
        <v>0.126</v>
      </c>
      <c r="D85" s="26">
        <v>0.12</v>
      </c>
      <c r="E85" s="26">
        <v>0.114</v>
      </c>
      <c r="F85" s="26">
        <v>0.112</v>
      </c>
      <c r="G85" s="26">
        <v>0.111</v>
      </c>
    </row>
    <row r="86" spans="2:7" ht="14" x14ac:dyDescent="0.3">
      <c r="B86" s="4" t="s">
        <v>123</v>
      </c>
      <c r="C86" s="26">
        <v>0.128</v>
      </c>
      <c r="D86" s="26">
        <v>0.126</v>
      </c>
      <c r="E86" s="26">
        <v>0.125</v>
      </c>
      <c r="F86" s="26">
        <v>0.123</v>
      </c>
      <c r="G86" s="26">
        <v>0.123</v>
      </c>
    </row>
    <row r="87" spans="2:7" ht="14" x14ac:dyDescent="0.3">
      <c r="B87" s="4" t="s">
        <v>124</v>
      </c>
      <c r="C87" s="26">
        <v>0.13500000000000001</v>
      </c>
      <c r="D87" s="26">
        <v>0.13800000000000001</v>
      </c>
      <c r="E87" s="26">
        <v>0.13700000000000001</v>
      </c>
      <c r="F87" s="26">
        <v>0.13600000000000001</v>
      </c>
      <c r="G87" s="26">
        <v>0.13400000000000001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90"/>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2727</v>
      </c>
    </row>
    <row r="7" spans="2:9" ht="14" x14ac:dyDescent="0.3">
      <c r="B7" s="4" t="s">
        <v>72</v>
      </c>
      <c r="C7" s="15">
        <f>'DCF Model'!C15</f>
        <v>36800000</v>
      </c>
    </row>
    <row r="8" spans="2:9" ht="14" x14ac:dyDescent="0.3">
      <c r="B8" s="4" t="s">
        <v>129</v>
      </c>
      <c r="C8" s="5">
        <f>C6*C7/1000000</f>
        <v>100353.60000000001</v>
      </c>
    </row>
    <row r="9" spans="2:9" ht="14" x14ac:dyDescent="0.3">
      <c r="B9" s="4" t="s">
        <v>73</v>
      </c>
      <c r="C9" s="5">
        <f>'DCF Model'!C16</f>
        <v>45837</v>
      </c>
    </row>
    <row r="10" spans="2:9" ht="14" x14ac:dyDescent="0.3">
      <c r="B10" s="4" t="s">
        <v>130</v>
      </c>
      <c r="C10" s="5">
        <f>C8+C9</f>
        <v>146190.6</v>
      </c>
    </row>
    <row r="11" spans="2:9" ht="14" x14ac:dyDescent="0.3">
      <c r="B11" s="4" t="s">
        <v>131</v>
      </c>
      <c r="C11" s="16">
        <f>'DCF Model'!C26</f>
        <v>8.3719535969247666E-2</v>
      </c>
    </row>
    <row r="12" spans="2:9" ht="14" x14ac:dyDescent="0.3">
      <c r="B12" s="4" t="s">
        <v>132</v>
      </c>
      <c r="C12" s="16">
        <f>'DCF Model'!C13</f>
        <v>1.4999999999999999E-2</v>
      </c>
    </row>
    <row r="13" spans="2:9" ht="14" x14ac:dyDescent="0.3">
      <c r="B13" s="4" t="s">
        <v>133</v>
      </c>
      <c r="C13" s="16">
        <f>'DCF Model'!C6</f>
        <v>0.30599999999999999</v>
      </c>
    </row>
    <row r="14" spans="2:9" ht="14" x14ac:dyDescent="0.3">
      <c r="B14" s="4" t="s">
        <v>134</v>
      </c>
      <c r="C14" s="27">
        <v>5524</v>
      </c>
    </row>
    <row r="15" spans="2:9" ht="14" x14ac:dyDescent="0.3">
      <c r="B15" s="4" t="s">
        <v>135</v>
      </c>
      <c r="C15" s="27">
        <v>10088</v>
      </c>
    </row>
    <row r="16" spans="2:9" ht="14" x14ac:dyDescent="0.3">
      <c r="B16" s="4" t="s">
        <v>136</v>
      </c>
      <c r="C16" s="5">
        <f>'DCF Model'!G33</f>
        <v>59672.884228339215</v>
      </c>
    </row>
    <row r="17" spans="2:9" ht="14" x14ac:dyDescent="0.3">
      <c r="B17" s="4" t="s">
        <v>137</v>
      </c>
      <c r="C17" s="5">
        <f>'DCF Model'!C53</f>
        <v>59534.957374187819</v>
      </c>
    </row>
    <row r="18" spans="2:9" ht="14" x14ac:dyDescent="0.3">
      <c r="B18" s="4" t="s">
        <v>138</v>
      </c>
      <c r="C18" s="26">
        <v>0.19400000000000001</v>
      </c>
    </row>
    <row r="19" spans="2:9" ht="14" x14ac:dyDescent="0.3">
      <c r="B19" s="4" t="s">
        <v>139</v>
      </c>
      <c r="C19" s="5">
        <f>C10-C17</f>
        <v>86655.642625812179</v>
      </c>
    </row>
    <row r="20" spans="2:9" ht="14" x14ac:dyDescent="0.3">
      <c r="B20" s="4" t="s">
        <v>140</v>
      </c>
      <c r="C20" s="15">
        <f>IFERROR(ROUND(C19*1000000/C7,0),"N/A")</f>
        <v>2355</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10046.150195065899</v>
      </c>
    </row>
    <row r="25" spans="2:9" ht="14" x14ac:dyDescent="0.3">
      <c r="B25" s="4" t="s">
        <v>144</v>
      </c>
      <c r="C25" s="5">
        <f>IFERROR(C24/(1-C13),"N/A")</f>
        <v>14475.720742169884</v>
      </c>
    </row>
    <row r="26" spans="2:9" ht="13.5" x14ac:dyDescent="0.25">
      <c r="B26" s="6" t="s">
        <v>145</v>
      </c>
      <c r="C26" s="14">
        <f>IFERROR(C25/C15,"N/A")</f>
        <v>1.4349445620707657</v>
      </c>
    </row>
    <row r="27" spans="2:9" ht="13.5" x14ac:dyDescent="0.25">
      <c r="B27" s="6" t="s">
        <v>146</v>
      </c>
      <c r="C27" s="14">
        <f>IFERROR(C25/C14,"N/A")</f>
        <v>2.6205142545564599</v>
      </c>
    </row>
    <row r="28" spans="2:9" ht="13.5" x14ac:dyDescent="0.25">
      <c r="B28" s="6" t="s">
        <v>147</v>
      </c>
      <c r="C28" s="7">
        <f>IFERROR(C25/C16,"N/A")</f>
        <v>0.24258456632962996</v>
      </c>
    </row>
    <row r="29" spans="2:9" ht="13.5" x14ac:dyDescent="0.25">
      <c r="B29" s="6" t="s">
        <v>148</v>
      </c>
      <c r="C29" s="5">
        <f>IFERROR(C25/C18,"N/A")</f>
        <v>74617.117227679817</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6.3719535969247662E-2</v>
      </c>
      <c r="E36" s="29">
        <f>'DCF Model'!C26-0.01</f>
        <v>7.3719535969247671E-2</v>
      </c>
      <c r="F36" s="29">
        <f>'DCF Model'!C26</f>
        <v>8.3719535969247666E-2</v>
      </c>
      <c r="G36" s="29">
        <f>'DCF Model'!C26+0.01</f>
        <v>9.3719535969247661E-2</v>
      </c>
      <c r="H36" s="29">
        <f>'DCF Model'!C26+0.02</f>
        <v>0.10371953596924767</v>
      </c>
    </row>
    <row r="37" spans="2:9" ht="14" x14ac:dyDescent="0.3">
      <c r="B37" s="3" t="s">
        <v>154</v>
      </c>
    </row>
    <row r="38" spans="2:9" ht="14" x14ac:dyDescent="0.3">
      <c r="B38" s="4" t="s">
        <v>155</v>
      </c>
      <c r="C38" s="30">
        <v>3</v>
      </c>
      <c r="D38" s="13">
        <f t="shared" ref="D38:H41" si="0">IFERROR((1-(1+D$36)^(-$C38))/D$36-(1+D$36)/(D$36^2*$C38)*(1-($C38+1)/(1+D$36)^$C38+$C38/(1+D$36)^($C38+1)),"N/A")</f>
        <v>0.92132601019236215</v>
      </c>
      <c r="E38" s="13">
        <f t="shared" si="0"/>
        <v>0.91002718698966523</v>
      </c>
      <c r="F38" s="13">
        <f t="shared" si="0"/>
        <v>0.89898658317381863</v>
      </c>
      <c r="G38" s="13">
        <f t="shared" si="0"/>
        <v>0.88819576518311982</v>
      </c>
      <c r="H38" s="13">
        <f t="shared" si="0"/>
        <v>0.87764665360754623</v>
      </c>
    </row>
    <row r="39" spans="2:9" ht="14" x14ac:dyDescent="0.3">
      <c r="B39" s="4" t="s">
        <v>156</v>
      </c>
      <c r="C39" s="30">
        <v>5</v>
      </c>
      <c r="D39" s="13">
        <f t="shared" si="0"/>
        <v>1.7708993026385791</v>
      </c>
      <c r="E39" s="13">
        <f t="shared" si="0"/>
        <v>1.7391254930822684</v>
      </c>
      <c r="F39" s="13">
        <f t="shared" si="0"/>
        <v>1.7083493887484078</v>
      </c>
      <c r="G39" s="13">
        <f t="shared" si="0"/>
        <v>1.678528214045754</v>
      </c>
      <c r="H39" s="13">
        <f t="shared" si="0"/>
        <v>1.6496214714346338</v>
      </c>
    </row>
    <row r="40" spans="2:9" ht="14" x14ac:dyDescent="0.3">
      <c r="B40" s="4" t="s">
        <v>157</v>
      </c>
      <c r="C40" s="30">
        <v>7</v>
      </c>
      <c r="D40" s="13">
        <f t="shared" si="0"/>
        <v>2.5549936394439676</v>
      </c>
      <c r="E40" s="13">
        <f t="shared" si="0"/>
        <v>2.4953725504376334</v>
      </c>
      <c r="F40" s="13">
        <f t="shared" si="0"/>
        <v>2.4381136137966171</v>
      </c>
      <c r="G40" s="13">
        <f t="shared" si="0"/>
        <v>2.3830922000013097</v>
      </c>
      <c r="H40" s="13">
        <f t="shared" si="0"/>
        <v>2.3301916808893446</v>
      </c>
    </row>
    <row r="41" spans="2:9" ht="14" x14ac:dyDescent="0.3">
      <c r="B41" s="4" t="s">
        <v>158</v>
      </c>
      <c r="C41" s="30">
        <v>10</v>
      </c>
      <c r="D41" s="13">
        <f t="shared" si="0"/>
        <v>3.6206615622605636</v>
      </c>
      <c r="E41" s="13">
        <f t="shared" si="0"/>
        <v>3.5087266206413639</v>
      </c>
      <c r="F41" s="13">
        <f t="shared" si="0"/>
        <v>3.4025398464633141</v>
      </c>
      <c r="G41" s="13">
        <f t="shared" si="0"/>
        <v>3.3017161535187656</v>
      </c>
      <c r="H41" s="13">
        <f t="shared" si="0"/>
        <v>3.2059012759382179</v>
      </c>
    </row>
    <row r="42" spans="2:9" ht="14" x14ac:dyDescent="0.3">
      <c r="B42" s="3" t="s">
        <v>159</v>
      </c>
    </row>
    <row r="43" spans="2:9" ht="14" x14ac:dyDescent="0.3">
      <c r="B43" s="4" t="s">
        <v>155</v>
      </c>
      <c r="C43" s="30">
        <v>3</v>
      </c>
      <c r="D43" s="13">
        <f t="shared" ref="D43:H46" si="1">IFERROR((1+D$36)/(D$36^2*$C43)*(1-($C43+1)/(1+D$36)^$C43+$C43/(1+D$36)^($C43+1))+(1+$C$12)/((D$36-$C$12)*(1+D$36)^$C43),"N/A")</f>
        <v>19.042776102295043</v>
      </c>
      <c r="E43" s="13">
        <f t="shared" si="1"/>
        <v>15.660589203730408</v>
      </c>
      <c r="F43" s="13">
        <f t="shared" si="1"/>
        <v>13.265643744320831</v>
      </c>
      <c r="G43" s="13">
        <f t="shared" si="1"/>
        <v>11.481616204411408</v>
      </c>
      <c r="H43" s="13">
        <f t="shared" si="1"/>
        <v>10.101855200439754</v>
      </c>
    </row>
    <row r="44" spans="2:9" ht="14" x14ac:dyDescent="0.3">
      <c r="B44" s="4" t="s">
        <v>156</v>
      </c>
      <c r="C44" s="30">
        <v>5</v>
      </c>
      <c r="D44" s="13">
        <f t="shared" si="1"/>
        <v>17.696918837801231</v>
      </c>
      <c r="E44" s="13">
        <f t="shared" si="1"/>
        <v>14.432929490850197</v>
      </c>
      <c r="F44" s="13">
        <f t="shared" si="1"/>
        <v>12.126532540356978</v>
      </c>
      <c r="G44" s="13">
        <f t="shared" si="1"/>
        <v>10.412476956153688</v>
      </c>
      <c r="H44" s="13">
        <f t="shared" si="1"/>
        <v>9.0902041780810787</v>
      </c>
    </row>
    <row r="45" spans="2:9" ht="14" x14ac:dyDescent="0.3">
      <c r="B45" s="4" t="s">
        <v>157</v>
      </c>
      <c r="C45" s="30">
        <v>7</v>
      </c>
      <c r="D45" s="13">
        <f t="shared" si="1"/>
        <v>16.474217076801693</v>
      </c>
      <c r="E45" s="13">
        <f t="shared" si="1"/>
        <v>13.330971167060513</v>
      </c>
      <c r="F45" s="13">
        <f t="shared" si="1"/>
        <v>11.11599948669773</v>
      </c>
      <c r="G45" s="13">
        <f t="shared" si="1"/>
        <v>9.4748402623552401</v>
      </c>
      <c r="H45" s="13">
        <f t="shared" si="1"/>
        <v>8.2128872674682629</v>
      </c>
    </row>
    <row r="46" spans="2:9" ht="14" x14ac:dyDescent="0.3">
      <c r="B46" s="4" t="s">
        <v>158</v>
      </c>
      <c r="C46" s="30">
        <v>10</v>
      </c>
      <c r="D46" s="13">
        <f t="shared" si="1"/>
        <v>14.844334322864079</v>
      </c>
      <c r="E46" s="13">
        <f t="shared" si="1"/>
        <v>11.883071693650965</v>
      </c>
      <c r="F46" s="13">
        <f t="shared" si="1"/>
        <v>9.8066421678860038</v>
      </c>
      <c r="G46" s="13">
        <f t="shared" si="1"/>
        <v>8.2762903051008934</v>
      </c>
      <c r="H46" s="13">
        <f t="shared" si="1"/>
        <v>7.1061137601035389</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10794.638006263602</v>
      </c>
      <c r="E48" s="5">
        <f t="shared" si="2"/>
        <v>13129.92038058147</v>
      </c>
      <c r="F48" s="5">
        <f t="shared" si="2"/>
        <v>15504.960152537493</v>
      </c>
      <c r="G48" s="5">
        <f t="shared" si="2"/>
        <v>17919.33143114328</v>
      </c>
      <c r="H48" s="5">
        <f t="shared" si="2"/>
        <v>20372.610311759163</v>
      </c>
    </row>
    <row r="49" spans="2:9" ht="14" x14ac:dyDescent="0.3">
      <c r="B49" s="4" t="s">
        <v>156</v>
      </c>
      <c r="C49" s="30">
        <v>5</v>
      </c>
      <c r="D49" s="5">
        <f t="shared" si="2"/>
        <v>11350.384416188366</v>
      </c>
      <c r="E49" s="5">
        <f t="shared" si="2"/>
        <v>13929.420942752469</v>
      </c>
      <c r="F49" s="5">
        <f t="shared" si="2"/>
        <v>16592.736369265163</v>
      </c>
      <c r="G49" s="5">
        <f t="shared" si="2"/>
        <v>19339.979385548988</v>
      </c>
      <c r="H49" s="5">
        <f t="shared" si="2"/>
        <v>22170.763888522906</v>
      </c>
    </row>
    <row r="50" spans="2:9" ht="14" x14ac:dyDescent="0.3">
      <c r="B50" s="4" t="s">
        <v>157</v>
      </c>
      <c r="C50" s="30">
        <v>7</v>
      </c>
      <c r="D50" s="5">
        <f t="shared" si="2"/>
        <v>11929.883754619792</v>
      </c>
      <c r="E50" s="5">
        <f t="shared" si="2"/>
        <v>14767.479360897625</v>
      </c>
      <c r="F50" s="5">
        <f t="shared" si="2"/>
        <v>17738.498474406617</v>
      </c>
      <c r="G50" s="5">
        <f t="shared" si="2"/>
        <v>20843.103710226264</v>
      </c>
      <c r="H50" s="5">
        <f t="shared" si="2"/>
        <v>24081.336350138383</v>
      </c>
    </row>
    <row r="51" spans="2:9" ht="14" x14ac:dyDescent="0.3">
      <c r="B51" s="4" t="s">
        <v>158</v>
      </c>
      <c r="C51" s="30">
        <v>10</v>
      </c>
      <c r="D51" s="5">
        <f t="shared" si="2"/>
        <v>12843.199359592007</v>
      </c>
      <c r="E51" s="5">
        <f t="shared" si="2"/>
        <v>16095.760306543852</v>
      </c>
      <c r="F51" s="5">
        <f t="shared" si="2"/>
        <v>19563.643308543302</v>
      </c>
      <c r="G51" s="5">
        <f t="shared" si="2"/>
        <v>23248.411113404225</v>
      </c>
      <c r="H51" s="5">
        <f t="shared" si="2"/>
        <v>27151.251359619524</v>
      </c>
    </row>
    <row r="52" spans="2:9" ht="14" x14ac:dyDescent="0.3">
      <c r="B52" s="22" t="s">
        <v>161</v>
      </c>
      <c r="C52" s="23"/>
      <c r="D52" s="23"/>
      <c r="E52" s="23"/>
      <c r="F52" s="23"/>
      <c r="G52" s="23"/>
      <c r="H52" s="23"/>
      <c r="I52" s="23"/>
    </row>
    <row r="53" spans="2:9" ht="14" x14ac:dyDescent="0.3">
      <c r="B53" s="4" t="s">
        <v>155</v>
      </c>
      <c r="C53" s="30">
        <v>3</v>
      </c>
      <c r="D53" s="14">
        <f t="shared" ref="D53:H56" si="3">IFERROR(D48/$C$15,"N/A")</f>
        <v>1.070047383650238</v>
      </c>
      <c r="E53" s="14">
        <f t="shared" si="3"/>
        <v>1.3015384992646184</v>
      </c>
      <c r="F53" s="14">
        <f t="shared" si="3"/>
        <v>1.5369706733284589</v>
      </c>
      <c r="G53" s="14">
        <f t="shared" si="3"/>
        <v>1.7763016882576605</v>
      </c>
      <c r="H53" s="14">
        <f t="shared" si="3"/>
        <v>2.0194895233702579</v>
      </c>
    </row>
    <row r="54" spans="2:9" ht="14" x14ac:dyDescent="0.3">
      <c r="B54" s="4" t="s">
        <v>156</v>
      </c>
      <c r="C54" s="30">
        <v>5</v>
      </c>
      <c r="D54" s="14">
        <f t="shared" si="3"/>
        <v>1.1251372339599888</v>
      </c>
      <c r="E54" s="14">
        <f t="shared" si="3"/>
        <v>1.380791132310911</v>
      </c>
      <c r="F54" s="14">
        <f t="shared" si="3"/>
        <v>1.6447994021872683</v>
      </c>
      <c r="G54" s="14">
        <f t="shared" si="3"/>
        <v>1.9171272190274571</v>
      </c>
      <c r="H54" s="14">
        <f t="shared" si="3"/>
        <v>2.1977363093301849</v>
      </c>
    </row>
    <row r="55" spans="2:9" ht="14" x14ac:dyDescent="0.3">
      <c r="B55" s="4" t="s">
        <v>157</v>
      </c>
      <c r="C55" s="30">
        <v>7</v>
      </c>
      <c r="D55" s="14">
        <f t="shared" si="3"/>
        <v>1.1825816568814227</v>
      </c>
      <c r="E55" s="14">
        <f t="shared" si="3"/>
        <v>1.46386591602871</v>
      </c>
      <c r="F55" s="14">
        <f t="shared" si="3"/>
        <v>1.7583761374312665</v>
      </c>
      <c r="G55" s="14">
        <f t="shared" si="3"/>
        <v>2.0661284407440785</v>
      </c>
      <c r="H55" s="14">
        <f t="shared" si="3"/>
        <v>2.3871269181342569</v>
      </c>
    </row>
    <row r="56" spans="2:9" ht="14" x14ac:dyDescent="0.3">
      <c r="B56" s="4" t="s">
        <v>158</v>
      </c>
      <c r="C56" s="30">
        <v>10</v>
      </c>
      <c r="D56" s="14">
        <f t="shared" si="3"/>
        <v>1.2731165106653457</v>
      </c>
      <c r="E56" s="14">
        <f t="shared" si="3"/>
        <v>1.595535319839795</v>
      </c>
      <c r="F56" s="14">
        <f t="shared" si="3"/>
        <v>1.9392985040189632</v>
      </c>
      <c r="G56" s="14">
        <f t="shared" si="3"/>
        <v>2.3045609747625124</v>
      </c>
      <c r="H56" s="14">
        <f t="shared" si="3"/>
        <v>2.6914404599147028</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16592.736369265163</v>
      </c>
    </row>
    <row r="62" spans="2:9" ht="14" x14ac:dyDescent="0.3">
      <c r="B62" s="28" t="s">
        <v>165</v>
      </c>
      <c r="C62" s="28" t="s">
        <v>166</v>
      </c>
      <c r="D62" s="28" t="s">
        <v>167</v>
      </c>
    </row>
    <row r="63" spans="2:9" ht="14" x14ac:dyDescent="0.3">
      <c r="B63" s="31">
        <v>0.1</v>
      </c>
      <c r="C63" s="5">
        <f>IFERROR($C$60/B63,"N/A")</f>
        <v>165927.36369265162</v>
      </c>
      <c r="D63" s="14">
        <f>IFERROR(C63/'DCF Model'!C17,"N/A")</f>
        <v>3.5339786099133503</v>
      </c>
    </row>
    <row r="64" spans="2:9" ht="14" x14ac:dyDescent="0.3">
      <c r="B64" s="31">
        <v>0.12</v>
      </c>
      <c r="C64" s="5">
        <f>IFERROR($C$60/B64,"N/A")</f>
        <v>138272.80307720971</v>
      </c>
      <c r="D64" s="14">
        <f>IFERROR(C64/'DCF Model'!C17,"N/A")</f>
        <v>2.9449821749277927</v>
      </c>
    </row>
    <row r="65" spans="2:9" ht="14" x14ac:dyDescent="0.3">
      <c r="B65" s="31">
        <v>0.15</v>
      </c>
      <c r="C65" s="5">
        <f>IFERROR($C$60/B65,"N/A")</f>
        <v>110618.24246176776</v>
      </c>
      <c r="D65" s="14">
        <f>IFERROR(C65/'DCF Model'!C17,"N/A")</f>
        <v>2.3559857399422337</v>
      </c>
    </row>
    <row r="66" spans="2:9" ht="14" x14ac:dyDescent="0.3">
      <c r="B66" s="4" t="s">
        <v>168</v>
      </c>
      <c r="C66" s="5">
        <f>IFERROR($C$60/$C$18,"N/A")</f>
        <v>85529.568913737952</v>
      </c>
      <c r="D66" s="14">
        <f>IFERROR(C66/'DCF Model'!C17,"N/A")</f>
        <v>1.8216384587182219</v>
      </c>
    </row>
    <row r="67" spans="2:9" ht="14" x14ac:dyDescent="0.3">
      <c r="B67" s="31">
        <v>0.25</v>
      </c>
      <c r="C67" s="5">
        <f>IFERROR($C$60/B67,"N/A")</f>
        <v>66370.945477060654</v>
      </c>
      <c r="D67" s="14">
        <f>IFERROR(C67/'DCF Model'!C17,"N/A")</f>
        <v>1.4135914439653403</v>
      </c>
    </row>
    <row r="69" spans="2:9" ht="14" x14ac:dyDescent="0.3">
      <c r="B69" s="8" t="s">
        <v>169</v>
      </c>
      <c r="C69" s="9"/>
      <c r="D69" s="9"/>
      <c r="E69" s="9"/>
      <c r="F69" s="9"/>
      <c r="G69" s="9"/>
      <c r="H69" s="9"/>
      <c r="I69" s="9"/>
    </row>
    <row r="70" spans="2:9" ht="13.5" x14ac:dyDescent="0.25">
      <c r="B70" s="6" t="s">
        <v>170</v>
      </c>
      <c r="C70" s="14">
        <f>IFERROR(C10/'Comps Analysis'!G5,"N/A")</f>
        <v>17.048466472303208</v>
      </c>
    </row>
    <row r="71" spans="2:9" ht="13.5" x14ac:dyDescent="0.25">
      <c r="B71" s="6" t="s">
        <v>171</v>
      </c>
      <c r="C71" s="14">
        <f>IFERROR(C10/'Comps Analysis'!F5,"N/A")</f>
        <v>3.1136181632305333</v>
      </c>
    </row>
    <row r="72" spans="2:9" ht="14" x14ac:dyDescent="0.3">
      <c r="B72" s="4" t="s">
        <v>172</v>
      </c>
      <c r="C72" s="14">
        <f>IFERROR(C10/(C25+'DCF Model'!G42),"N/A")</f>
        <v>7.9340505614752974</v>
      </c>
    </row>
    <row r="73" spans="2:9" ht="14" x14ac:dyDescent="0.3">
      <c r="B73" s="4" t="s">
        <v>173</v>
      </c>
      <c r="C73" s="14">
        <f>IFERROR(C10/(C60+'DCF Model'!G42),"N/A")</f>
        <v>7.1164131872286402</v>
      </c>
    </row>
    <row r="74" spans="2:9" ht="14" x14ac:dyDescent="0.3">
      <c r="B74" s="4" t="s">
        <v>174</v>
      </c>
      <c r="C74" s="14">
        <f>IFERROR('Comps Analysis'!D16,"N/A")</f>
        <v>12.135440102454051</v>
      </c>
    </row>
    <row r="75" spans="2:9" ht="14" x14ac:dyDescent="0.3">
      <c r="B75" s="1" t="s">
        <v>175</v>
      </c>
    </row>
    <row r="77" spans="2:9" ht="14" x14ac:dyDescent="0.3">
      <c r="B77" s="8" t="s">
        <v>176</v>
      </c>
      <c r="C77" s="9"/>
      <c r="D77" s="9"/>
      <c r="E77" s="9"/>
      <c r="F77" s="9"/>
      <c r="G77" s="9"/>
      <c r="H77" s="9"/>
      <c r="I77" s="9"/>
    </row>
    <row r="78" spans="2:9" ht="13.5" x14ac:dyDescent="0.25">
      <c r="B78" s="6" t="s">
        <v>177</v>
      </c>
      <c r="C78" s="14">
        <f>IFERROR('Comps Analysis'!J6,"N/A")</f>
        <v>22.913456063769218</v>
      </c>
    </row>
    <row r="79" spans="2:9" ht="13.5" x14ac:dyDescent="0.25">
      <c r="B79" s="6" t="s">
        <v>178</v>
      </c>
      <c r="C79" s="14">
        <f>IFERROR('Comps Analysis'!K6,"N/A")</f>
        <v>2.8956097326985573</v>
      </c>
    </row>
    <row r="80" spans="2:9" ht="14" x14ac:dyDescent="0.3">
      <c r="B80" s="4" t="s">
        <v>179</v>
      </c>
      <c r="C80" s="15">
        <f>IFERROR(ROUND(('Comps Analysis'!G5*'Comps Analysis'!J6-C9)*1000000/C7,0),"N/A")</f>
        <v>4094</v>
      </c>
    </row>
    <row r="81" spans="2:9" ht="14" x14ac:dyDescent="0.3">
      <c r="B81" s="4" t="s">
        <v>180</v>
      </c>
      <c r="C81" s="15">
        <f>IFERROR(ROUND(('Comps Analysis'!F5*'Comps Analysis'!K6-C9)*1000000/C7,0),"N/A")</f>
        <v>2449</v>
      </c>
    </row>
    <row r="83" spans="2:9" ht="14" x14ac:dyDescent="0.3">
      <c r="B83" s="1" t="s">
        <v>181</v>
      </c>
    </row>
    <row r="84" spans="2:9" ht="14" x14ac:dyDescent="0.3">
      <c r="B84" s="1" t="s">
        <v>182</v>
      </c>
    </row>
    <row r="85" spans="2:9" ht="14" x14ac:dyDescent="0.3">
      <c r="B85" s="1" t="s">
        <v>183</v>
      </c>
    </row>
    <row r="86" spans="2:9" ht="14" x14ac:dyDescent="0.3">
      <c r="B86" s="1" t="s">
        <v>184</v>
      </c>
    </row>
    <row r="88" spans="2:9" ht="14" x14ac:dyDescent="0.3">
      <c r="B88" s="22" t="s">
        <v>185</v>
      </c>
      <c r="C88" s="23"/>
      <c r="D88" s="23"/>
      <c r="E88" s="23"/>
      <c r="F88" s="23"/>
      <c r="G88" s="23"/>
      <c r="H88" s="23"/>
      <c r="I88" s="23"/>
    </row>
    <row r="89" spans="2:9" ht="14" x14ac:dyDescent="0.3">
      <c r="B89" s="4" t="str">
        <f>"At "&amp;TEXT(C6,"#,##0")&amp;" yen the market is paying for a steady-state operating profit of "&amp;TEXT(F49,"#,##0")&amp;" mn JPY - "&amp;TEXT(F54,"0.00")&amp;"x the FY2025/3 cycle peak of "&amp;TEXT(C15,"#,##0")&amp;" mn - reached in 5 years and sustained for ever, against "&amp;TEXT(C14,"#,##0")&amp;" mn actually earned in FY2026/3."</f>
        <v>At 2,727 yen the market is paying for a steady-state operating profit of 16,593 mn JPY - 1.64x the FY2025/3 cycle peak of 10,088 mn - reached in 5 years and sustained for ever, against 5,524 mn actually earned in FY2026/3.</v>
      </c>
    </row>
    <row r="90" spans="2:9" ht="14" x14ac:dyDescent="0.3">
      <c r="B90"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14,476 mn, or 1.43x the peak. The base case supports an EV of only 59,535 mn, leaving 2,355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186</v>
      </c>
    </row>
    <row r="4" spans="2:8" ht="14" x14ac:dyDescent="0.3">
      <c r="B4" s="8" t="s">
        <v>187</v>
      </c>
      <c r="C4" s="32" t="s">
        <v>188</v>
      </c>
      <c r="D4" s="32" t="s">
        <v>86</v>
      </c>
      <c r="E4" s="32" t="s">
        <v>87</v>
      </c>
      <c r="F4" s="32" t="s">
        <v>88</v>
      </c>
      <c r="G4" s="32" t="s">
        <v>89</v>
      </c>
      <c r="H4" s="32" t="s">
        <v>90</v>
      </c>
    </row>
    <row r="5" spans="2:8" ht="14" x14ac:dyDescent="0.3">
      <c r="B5" s="33" t="s">
        <v>189</v>
      </c>
      <c r="C5" s="34">
        <f>C12/C9*365</f>
        <v>182.77986028284207</v>
      </c>
      <c r="D5" s="34">
        <f>CHOOSE('DCF Model'!$D$27,D25,D26,D27,D28,D29)</f>
        <v>178</v>
      </c>
      <c r="E5" s="34">
        <f>CHOOSE('DCF Model'!$D$27,E25,E26,E27,E28,E29)</f>
        <v>172</v>
      </c>
      <c r="F5" s="34">
        <f>CHOOSE('DCF Model'!$D$27,F25,F26,F27,F28,F29)</f>
        <v>166</v>
      </c>
      <c r="G5" s="34">
        <f>CHOOSE('DCF Model'!$D$27,G25,G26,G27,G28,G29)</f>
        <v>162</v>
      </c>
      <c r="H5" s="34">
        <f>CHOOSE('DCF Model'!$D$27,H25,H26,H27,H28,H29)</f>
        <v>158</v>
      </c>
    </row>
    <row r="6" spans="2:8" ht="14" x14ac:dyDescent="0.3">
      <c r="B6" s="33" t="s">
        <v>190</v>
      </c>
      <c r="C6" s="34">
        <f>C13/C10*365</f>
        <v>380.50778270572619</v>
      </c>
      <c r="D6" s="34">
        <f>CHOOSE('DCF Model'!$D$27,D32,D33,D34,D35,D36)</f>
        <v>360</v>
      </c>
      <c r="E6" s="34">
        <f>CHOOSE('DCF Model'!$D$27,E32,E33,E34,E35,E36)</f>
        <v>345</v>
      </c>
      <c r="F6" s="34">
        <f>CHOOSE('DCF Model'!$D$27,F32,F33,F34,F35,F36)</f>
        <v>330</v>
      </c>
      <c r="G6" s="34">
        <f>CHOOSE('DCF Model'!$D$27,G32,G33,G34,G35,G36)</f>
        <v>315</v>
      </c>
      <c r="H6" s="34">
        <f>CHOOSE('DCF Model'!$D$27,H32,H33,H34,H35,H36)</f>
        <v>305</v>
      </c>
    </row>
    <row r="7" spans="2:8" ht="14" x14ac:dyDescent="0.3">
      <c r="B7" s="33" t="s">
        <v>191</v>
      </c>
      <c r="C7" s="34">
        <f>C15/C10*365</f>
        <v>44.801406819401677</v>
      </c>
      <c r="D7" s="34">
        <f>CHOOSE('DCF Model'!$D$27,D39,D40,D41,D42,D43)</f>
        <v>45</v>
      </c>
      <c r="E7" s="34">
        <f>CHOOSE('DCF Model'!$D$27,E39,E40,E41,E42,E43)</f>
        <v>46</v>
      </c>
      <c r="F7" s="34">
        <f>CHOOSE('DCF Model'!$D$27,F39,F40,F41,F42,F43)</f>
        <v>47</v>
      </c>
      <c r="G7" s="34">
        <f>CHOOSE('DCF Model'!$D$27,G39,G40,G41,G42,G43)</f>
        <v>48</v>
      </c>
      <c r="H7" s="34">
        <f>CHOOSE('DCF Model'!$D$27,H39,H40,H41,H42,H43)</f>
        <v>48</v>
      </c>
    </row>
    <row r="8" spans="2:8" ht="14" x14ac:dyDescent="0.3">
      <c r="B8" s="8" t="s">
        <v>192</v>
      </c>
      <c r="C8" s="9"/>
      <c r="D8" s="9"/>
      <c r="E8" s="9"/>
      <c r="F8" s="9"/>
      <c r="G8" s="9"/>
      <c r="H8" s="9"/>
    </row>
    <row r="9" spans="2:8" ht="14" x14ac:dyDescent="0.3">
      <c r="B9" s="33" t="s">
        <v>37</v>
      </c>
      <c r="C9" s="35">
        <v>46952</v>
      </c>
      <c r="D9" s="35">
        <f>'DCF Model'!C33</f>
        <v>50050.832000000002</v>
      </c>
      <c r="E9" s="35">
        <f>'DCF Model'!D33</f>
        <v>53053.881920000007</v>
      </c>
      <c r="F9" s="35">
        <f>'DCF Model'!E33</f>
        <v>55706.576016000006</v>
      </c>
      <c r="G9" s="35">
        <f>'DCF Model'!F33</f>
        <v>57934.839056640012</v>
      </c>
      <c r="H9" s="35">
        <f>'DCF Model'!G33</f>
        <v>59672.884228339215</v>
      </c>
    </row>
    <row r="10" spans="2:8" ht="14" x14ac:dyDescent="0.3">
      <c r="B10" s="33" t="s">
        <v>38</v>
      </c>
      <c r="C10" s="35">
        <v>35399</v>
      </c>
      <c r="D10" s="35">
        <f>'DCF Model'!C34</f>
        <v>39790.411440000003</v>
      </c>
      <c r="E10" s="35">
        <f>'DCF Model'!D34</f>
        <v>41488.135661440007</v>
      </c>
      <c r="F10" s="35">
        <f>'DCF Model'!E34</f>
        <v>42894.063532320004</v>
      </c>
      <c r="G10" s="35">
        <f>'DCF Model'!F34</f>
        <v>44436.021556442887</v>
      </c>
      <c r="H10" s="35">
        <f>'DCF Model'!G34</f>
        <v>45828.77508736452</v>
      </c>
    </row>
    <row r="11" spans="2:8" ht="14" x14ac:dyDescent="0.3">
      <c r="B11" s="8" t="s">
        <v>193</v>
      </c>
      <c r="C11" s="9"/>
      <c r="D11" s="9"/>
      <c r="E11" s="9"/>
      <c r="F11" s="9"/>
      <c r="G11" s="9"/>
      <c r="H11" s="9"/>
    </row>
    <row r="12" spans="2:8" ht="14" x14ac:dyDescent="0.3">
      <c r="B12" s="33" t="s">
        <v>194</v>
      </c>
      <c r="C12" s="35">
        <v>23512</v>
      </c>
      <c r="D12" s="35">
        <f t="shared" ref="D12:H13" si="0">D9*D5/365</f>
        <v>24408.350947945208</v>
      </c>
      <c r="E12" s="35">
        <f t="shared" si="0"/>
        <v>25000.733397917811</v>
      </c>
      <c r="F12" s="35">
        <f t="shared" si="0"/>
        <v>25335.045530564388</v>
      </c>
      <c r="G12" s="35">
        <f t="shared" si="0"/>
        <v>25713.545005960772</v>
      </c>
      <c r="H12" s="35">
        <f t="shared" si="0"/>
        <v>25831.001939938622</v>
      </c>
    </row>
    <row r="13" spans="2:8" ht="14" x14ac:dyDescent="0.3">
      <c r="B13" s="33" t="s">
        <v>195</v>
      </c>
      <c r="C13" s="35">
        <v>36903</v>
      </c>
      <c r="D13" s="35">
        <f t="shared" si="0"/>
        <v>39245.337310684939</v>
      </c>
      <c r="E13" s="35">
        <f t="shared" si="0"/>
        <v>39214.813159443293</v>
      </c>
      <c r="F13" s="35">
        <f t="shared" si="0"/>
        <v>38780.934152508496</v>
      </c>
      <c r="G13" s="35">
        <f t="shared" si="0"/>
        <v>38348.89531583427</v>
      </c>
      <c r="H13" s="35">
        <f t="shared" si="0"/>
        <v>38295.277812729255</v>
      </c>
    </row>
    <row r="14" spans="2:8" ht="14" x14ac:dyDescent="0.3">
      <c r="B14" s="33" t="s">
        <v>196</v>
      </c>
      <c r="C14" s="35">
        <f t="shared" ref="C14:H14" si="1">C12+C13</f>
        <v>60415</v>
      </c>
      <c r="D14" s="35">
        <f t="shared" si="1"/>
        <v>63653.688258630151</v>
      </c>
      <c r="E14" s="35">
        <f t="shared" si="1"/>
        <v>64215.5465573611</v>
      </c>
      <c r="F14" s="35">
        <f t="shared" si="1"/>
        <v>64115.979683072888</v>
      </c>
      <c r="G14" s="35">
        <f t="shared" si="1"/>
        <v>64062.440321795046</v>
      </c>
      <c r="H14" s="35">
        <f t="shared" si="1"/>
        <v>64126.279752667877</v>
      </c>
    </row>
    <row r="15" spans="2:8" ht="14" x14ac:dyDescent="0.3">
      <c r="B15" s="33" t="s">
        <v>197</v>
      </c>
      <c r="C15" s="35">
        <v>4345</v>
      </c>
      <c r="D15" s="35">
        <f>D10*D7/365</f>
        <v>4905.6671638356174</v>
      </c>
      <c r="E15" s="35">
        <f>E10*E7/365</f>
        <v>5228.6417545924387</v>
      </c>
      <c r="F15" s="35">
        <f>F10*F7/365</f>
        <v>5523.3451671754528</v>
      </c>
      <c r="G15" s="35">
        <f>G10*G7/365</f>
        <v>5843.64119098427</v>
      </c>
      <c r="H15" s="35">
        <f>H10*H7/365</f>
        <v>6026.7978197082111</v>
      </c>
    </row>
    <row r="16" spans="2:8" ht="14" x14ac:dyDescent="0.3">
      <c r="B16" s="33" t="s">
        <v>198</v>
      </c>
      <c r="C16" s="35">
        <f t="shared" ref="C16:H16" si="2">C15</f>
        <v>4345</v>
      </c>
      <c r="D16" s="35">
        <f t="shared" si="2"/>
        <v>4905.6671638356174</v>
      </c>
      <c r="E16" s="35">
        <f t="shared" si="2"/>
        <v>5228.6417545924387</v>
      </c>
      <c r="F16" s="35">
        <f t="shared" si="2"/>
        <v>5523.3451671754528</v>
      </c>
      <c r="G16" s="35">
        <f t="shared" si="2"/>
        <v>5843.64119098427</v>
      </c>
      <c r="H16" s="35">
        <f t="shared" si="2"/>
        <v>6026.7978197082111</v>
      </c>
    </row>
    <row r="17" spans="2:8" ht="14" x14ac:dyDescent="0.3">
      <c r="B17" s="22" t="s">
        <v>199</v>
      </c>
      <c r="C17" s="23"/>
      <c r="D17" s="23"/>
      <c r="E17" s="23"/>
      <c r="F17" s="23"/>
      <c r="G17" s="23"/>
      <c r="H17" s="23"/>
    </row>
    <row r="18" spans="2:8" ht="14" x14ac:dyDescent="0.3">
      <c r="B18" s="33" t="s">
        <v>200</v>
      </c>
      <c r="C18" s="20">
        <f t="shared" ref="C18:H18" si="3">C14-C16</f>
        <v>56070</v>
      </c>
      <c r="D18" s="20">
        <f t="shared" si="3"/>
        <v>58748.021094794531</v>
      </c>
      <c r="E18" s="20">
        <f t="shared" si="3"/>
        <v>58986.904802768659</v>
      </c>
      <c r="F18" s="20">
        <f t="shared" si="3"/>
        <v>58592.634515897436</v>
      </c>
      <c r="G18" s="20">
        <f t="shared" si="3"/>
        <v>58218.799130810774</v>
      </c>
      <c r="H18" s="20">
        <f t="shared" si="3"/>
        <v>58099.481932959665</v>
      </c>
    </row>
    <row r="19" spans="2:8" ht="14" x14ac:dyDescent="0.3">
      <c r="B19" s="33" t="s">
        <v>100</v>
      </c>
      <c r="C19" s="36" t="s">
        <v>47</v>
      </c>
      <c r="D19" s="24">
        <f>D18-C18</f>
        <v>2678.0210947945307</v>
      </c>
      <c r="E19" s="24">
        <f>E18-D18</f>
        <v>238.8837079741279</v>
      </c>
      <c r="F19" s="24">
        <f>F18-E18</f>
        <v>-394.2702868712222</v>
      </c>
      <c r="G19" s="24">
        <f>G18-F18</f>
        <v>-373.83538508666243</v>
      </c>
      <c r="H19" s="24">
        <f>H18-G18</f>
        <v>-119.31719785110909</v>
      </c>
    </row>
    <row r="22" spans="2:8" ht="14" x14ac:dyDescent="0.3">
      <c r="B22" s="22" t="s">
        <v>201</v>
      </c>
      <c r="C22" s="23"/>
      <c r="D22" s="23"/>
      <c r="E22" s="23"/>
      <c r="F22" s="23"/>
      <c r="G22" s="23"/>
      <c r="H22" s="23"/>
    </row>
    <row r="23" spans="2:8" ht="14" x14ac:dyDescent="0.3">
      <c r="D23" s="25" t="s">
        <v>86</v>
      </c>
      <c r="E23" s="25" t="s">
        <v>87</v>
      </c>
      <c r="F23" s="25" t="s">
        <v>88</v>
      </c>
      <c r="G23" s="25" t="s">
        <v>89</v>
      </c>
      <c r="H23" s="25" t="s">
        <v>90</v>
      </c>
    </row>
    <row r="24" spans="2:8" ht="14" x14ac:dyDescent="0.3">
      <c r="B24" s="3" t="s">
        <v>202</v>
      </c>
    </row>
    <row r="25" spans="2:8" ht="14" x14ac:dyDescent="0.3">
      <c r="B25" s="4" t="s">
        <v>84</v>
      </c>
      <c r="D25" s="30">
        <v>178</v>
      </c>
      <c r="E25" s="30">
        <v>172</v>
      </c>
      <c r="F25" s="30">
        <v>166</v>
      </c>
      <c r="G25" s="30">
        <v>162</v>
      </c>
      <c r="H25" s="30">
        <v>158</v>
      </c>
    </row>
    <row r="26" spans="2:8" ht="14" x14ac:dyDescent="0.3">
      <c r="B26" s="4" t="s">
        <v>121</v>
      </c>
      <c r="D26" s="30">
        <v>172</v>
      </c>
      <c r="E26" s="30">
        <v>164</v>
      </c>
      <c r="F26" s="30">
        <v>156</v>
      </c>
      <c r="G26" s="30">
        <v>150</v>
      </c>
      <c r="H26" s="30">
        <v>148</v>
      </c>
    </row>
    <row r="27" spans="2:8" ht="14" x14ac:dyDescent="0.3">
      <c r="B27" s="4" t="s">
        <v>122</v>
      </c>
      <c r="D27" s="30">
        <v>180</v>
      </c>
      <c r="E27" s="30">
        <v>175</v>
      </c>
      <c r="F27" s="30">
        <v>170</v>
      </c>
      <c r="G27" s="30">
        <v>166</v>
      </c>
      <c r="H27" s="30">
        <v>163</v>
      </c>
    </row>
    <row r="28" spans="2:8" ht="14" x14ac:dyDescent="0.3">
      <c r="B28" s="4" t="s">
        <v>123</v>
      </c>
      <c r="D28" s="30">
        <v>185</v>
      </c>
      <c r="E28" s="30">
        <v>184</v>
      </c>
      <c r="F28" s="30">
        <v>182</v>
      </c>
      <c r="G28" s="30">
        <v>180</v>
      </c>
      <c r="H28" s="30">
        <v>178</v>
      </c>
    </row>
    <row r="29" spans="2:8" ht="14" x14ac:dyDescent="0.3">
      <c r="B29" s="4" t="s">
        <v>124</v>
      </c>
      <c r="D29" s="30">
        <v>188</v>
      </c>
      <c r="E29" s="30">
        <v>190</v>
      </c>
      <c r="F29" s="30">
        <v>190</v>
      </c>
      <c r="G29" s="30">
        <v>188</v>
      </c>
      <c r="H29" s="30">
        <v>186</v>
      </c>
    </row>
    <row r="31" spans="2:8" ht="14" x14ac:dyDescent="0.3">
      <c r="B31" s="3" t="s">
        <v>203</v>
      </c>
    </row>
    <row r="32" spans="2:8" ht="14" x14ac:dyDescent="0.3">
      <c r="B32" s="4" t="s">
        <v>84</v>
      </c>
      <c r="D32" s="30">
        <v>360</v>
      </c>
      <c r="E32" s="30">
        <v>345</v>
      </c>
      <c r="F32" s="30">
        <v>330</v>
      </c>
      <c r="G32" s="30">
        <v>315</v>
      </c>
      <c r="H32" s="30">
        <v>305</v>
      </c>
    </row>
    <row r="33" spans="2:8" ht="14" x14ac:dyDescent="0.3">
      <c r="B33" s="4" t="s">
        <v>121</v>
      </c>
      <c r="D33" s="30">
        <v>340</v>
      </c>
      <c r="E33" s="30">
        <v>310</v>
      </c>
      <c r="F33" s="30">
        <v>285</v>
      </c>
      <c r="G33" s="30">
        <v>270</v>
      </c>
      <c r="H33" s="30">
        <v>260</v>
      </c>
    </row>
    <row r="34" spans="2:8" ht="14" x14ac:dyDescent="0.3">
      <c r="B34" s="4" t="s">
        <v>122</v>
      </c>
      <c r="D34" s="30">
        <v>368</v>
      </c>
      <c r="E34" s="30">
        <v>355</v>
      </c>
      <c r="F34" s="30">
        <v>342</v>
      </c>
      <c r="G34" s="30">
        <v>330</v>
      </c>
      <c r="H34" s="30">
        <v>320</v>
      </c>
    </row>
    <row r="35" spans="2:8" ht="14" x14ac:dyDescent="0.3">
      <c r="B35" s="4" t="s">
        <v>123</v>
      </c>
      <c r="D35" s="30">
        <v>385</v>
      </c>
      <c r="E35" s="30">
        <v>382</v>
      </c>
      <c r="F35" s="30">
        <v>375</v>
      </c>
      <c r="G35" s="30">
        <v>368</v>
      </c>
      <c r="H35" s="30">
        <v>360</v>
      </c>
    </row>
    <row r="36" spans="2:8" ht="14" x14ac:dyDescent="0.3">
      <c r="B36" s="4" t="s">
        <v>124</v>
      </c>
      <c r="D36" s="30">
        <v>405</v>
      </c>
      <c r="E36" s="30">
        <v>420</v>
      </c>
      <c r="F36" s="30">
        <v>420</v>
      </c>
      <c r="G36" s="30">
        <v>412</v>
      </c>
      <c r="H36" s="30">
        <v>405</v>
      </c>
    </row>
    <row r="38" spans="2:8" ht="14" x14ac:dyDescent="0.3">
      <c r="B38" s="3" t="s">
        <v>204</v>
      </c>
    </row>
    <row r="39" spans="2:8" ht="14" x14ac:dyDescent="0.3">
      <c r="B39" s="4" t="s">
        <v>84</v>
      </c>
      <c r="D39" s="30">
        <v>45</v>
      </c>
      <c r="E39" s="30">
        <v>46</v>
      </c>
      <c r="F39" s="30">
        <v>47</v>
      </c>
      <c r="G39" s="30">
        <v>48</v>
      </c>
      <c r="H39" s="30">
        <v>48</v>
      </c>
    </row>
    <row r="40" spans="2:8" ht="14" x14ac:dyDescent="0.3">
      <c r="B40" s="4" t="s">
        <v>121</v>
      </c>
      <c r="D40" s="30">
        <v>46</v>
      </c>
      <c r="E40" s="30">
        <v>48</v>
      </c>
      <c r="F40" s="30">
        <v>50</v>
      </c>
      <c r="G40" s="30">
        <v>52</v>
      </c>
      <c r="H40" s="30">
        <v>52</v>
      </c>
    </row>
    <row r="41" spans="2:8" ht="14" x14ac:dyDescent="0.3">
      <c r="B41" s="4" t="s">
        <v>122</v>
      </c>
      <c r="D41" s="30">
        <v>45</v>
      </c>
      <c r="E41" s="30">
        <v>46</v>
      </c>
      <c r="F41" s="30">
        <v>46</v>
      </c>
      <c r="G41" s="30">
        <v>47</v>
      </c>
      <c r="H41" s="30">
        <v>48</v>
      </c>
    </row>
    <row r="42" spans="2:8" ht="14" x14ac:dyDescent="0.3">
      <c r="B42" s="4" t="s">
        <v>123</v>
      </c>
      <c r="D42" s="30">
        <v>44</v>
      </c>
      <c r="E42" s="30">
        <v>44</v>
      </c>
      <c r="F42" s="30">
        <v>45</v>
      </c>
      <c r="G42" s="30">
        <v>45</v>
      </c>
      <c r="H42" s="30">
        <v>46</v>
      </c>
    </row>
    <row r="43" spans="2:8" ht="14" x14ac:dyDescent="0.3">
      <c r="B43" s="4" t="s">
        <v>124</v>
      </c>
      <c r="D43" s="30">
        <v>43</v>
      </c>
      <c r="E43" s="30">
        <v>42</v>
      </c>
      <c r="F43" s="30">
        <v>42</v>
      </c>
      <c r="G43" s="30">
        <v>43</v>
      </c>
      <c r="H43" s="30">
        <v>43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30"/>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205</v>
      </c>
    </row>
    <row r="3" spans="2:17" ht="14" x14ac:dyDescent="0.3">
      <c r="B3" s="1" t="s">
        <v>206</v>
      </c>
    </row>
    <row r="4" spans="2:17" ht="28" x14ac:dyDescent="0.3">
      <c r="B4" s="10" t="s">
        <v>3</v>
      </c>
      <c r="C4" s="10" t="s">
        <v>5</v>
      </c>
      <c r="D4" s="10" t="s">
        <v>207</v>
      </c>
      <c r="E4" s="10" t="s">
        <v>208</v>
      </c>
      <c r="F4" s="10" t="s">
        <v>209</v>
      </c>
      <c r="G4" s="10" t="s">
        <v>210</v>
      </c>
      <c r="H4" s="10" t="s">
        <v>211</v>
      </c>
      <c r="I4" s="10" t="s">
        <v>212</v>
      </c>
      <c r="J4" s="10" t="s">
        <v>213</v>
      </c>
      <c r="K4" s="10" t="s">
        <v>214</v>
      </c>
      <c r="L4" s="10" t="s">
        <v>215</v>
      </c>
      <c r="M4" s="10" t="s">
        <v>216</v>
      </c>
      <c r="N4" s="10" t="s">
        <v>217</v>
      </c>
      <c r="O4" s="10" t="s">
        <v>218</v>
      </c>
      <c r="P4" s="10" t="s">
        <v>219</v>
      </c>
      <c r="Q4" s="10" t="s">
        <v>220</v>
      </c>
    </row>
    <row r="5" spans="2:17" ht="14" x14ac:dyDescent="0.3">
      <c r="B5" s="4" t="s">
        <v>4</v>
      </c>
      <c r="C5" t="s">
        <v>221</v>
      </c>
      <c r="D5" s="37">
        <f>'Executive Summary'!C9*C23/1000000</f>
        <v>100353.60000000001</v>
      </c>
      <c r="E5" s="37">
        <f>D5+C24</f>
        <v>146190.6</v>
      </c>
      <c r="F5" s="37">
        <v>46952</v>
      </c>
      <c r="G5" s="37">
        <v>8575</v>
      </c>
      <c r="H5" s="37">
        <v>5524</v>
      </c>
      <c r="I5" s="37">
        <v>2576</v>
      </c>
      <c r="J5" s="38">
        <f t="shared" ref="J5:J11" si="0">IFERROR(E5/G5,"")</f>
        <v>17.048466472303208</v>
      </c>
      <c r="K5" s="38">
        <f t="shared" ref="K5:K11" si="1">IFERROR(E5/F5,"")</f>
        <v>3.1136181632305333</v>
      </c>
      <c r="L5" s="38">
        <f t="shared" ref="L5:L11" si="2">IFERROR(D5/I5,"")</f>
        <v>38.957142857142863</v>
      </c>
      <c r="M5" s="38">
        <f t="shared" ref="M5:M11" si="3">IFERROR(D5/P5,"")</f>
        <v>2.2647559296788611</v>
      </c>
      <c r="N5" s="39">
        <f t="shared" ref="N5:N11" si="4">IFERROR(H5/F5,"")</f>
        <v>0.11765207019935253</v>
      </c>
      <c r="O5" s="39">
        <f t="shared" ref="O5:O11" si="5">IFERROR(I5/P5,"")</f>
        <v>5.8134548983322425E-2</v>
      </c>
      <c r="P5" s="37">
        <v>44311</v>
      </c>
    </row>
    <row r="6" spans="2:17" ht="14" x14ac:dyDescent="0.3">
      <c r="B6" s="4" t="s">
        <v>222</v>
      </c>
      <c r="C6" t="s">
        <v>223</v>
      </c>
      <c r="D6" s="37">
        <v>188618</v>
      </c>
      <c r="E6" s="37">
        <v>241462</v>
      </c>
      <c r="F6" s="37">
        <v>83389</v>
      </c>
      <c r="G6" s="37">
        <v>10538</v>
      </c>
      <c r="H6" s="37">
        <v>4401</v>
      </c>
      <c r="I6" s="37">
        <v>2847</v>
      </c>
      <c r="J6" s="38">
        <f t="shared" si="0"/>
        <v>22.913456063769218</v>
      </c>
      <c r="K6" s="38">
        <f t="shared" si="1"/>
        <v>2.8956097326985573</v>
      </c>
      <c r="L6" s="38">
        <f t="shared" si="2"/>
        <v>66.251492799438012</v>
      </c>
      <c r="M6" s="38">
        <f t="shared" si="3"/>
        <v>3.1368890219361707</v>
      </c>
      <c r="N6" s="39">
        <f t="shared" si="4"/>
        <v>5.2776745134250319E-2</v>
      </c>
      <c r="O6" s="39">
        <f t="shared" si="5"/>
        <v>4.7348201367060819E-2</v>
      </c>
      <c r="P6" s="37">
        <v>60129</v>
      </c>
      <c r="Q6" s="1" t="s">
        <v>224</v>
      </c>
    </row>
    <row r="7" spans="2:17" ht="14" x14ac:dyDescent="0.3">
      <c r="B7" s="4" t="s">
        <v>225</v>
      </c>
      <c r="C7" t="s">
        <v>226</v>
      </c>
      <c r="D7" s="37">
        <v>4660551</v>
      </c>
      <c r="E7" s="37">
        <v>4886579</v>
      </c>
      <c r="F7" s="37">
        <v>729471</v>
      </c>
      <c r="G7" s="37">
        <v>129070</v>
      </c>
      <c r="H7" s="37">
        <v>104642</v>
      </c>
      <c r="I7" s="37">
        <v>64297</v>
      </c>
      <c r="J7" s="38">
        <f t="shared" si="0"/>
        <v>37.859913225381575</v>
      </c>
      <c r="K7" s="38">
        <f t="shared" si="1"/>
        <v>6.698798170180857</v>
      </c>
      <c r="L7" s="38">
        <f t="shared" si="2"/>
        <v>72.484734902094971</v>
      </c>
      <c r="M7" s="38">
        <f t="shared" si="3"/>
        <v>15.287462154883702</v>
      </c>
      <c r="N7" s="39">
        <f t="shared" si="4"/>
        <v>0.14344915699184752</v>
      </c>
      <c r="O7" s="39">
        <f t="shared" si="5"/>
        <v>0.21090595386093991</v>
      </c>
      <c r="P7" s="37">
        <v>304861</v>
      </c>
    </row>
    <row r="8" spans="2:17" ht="14" x14ac:dyDescent="0.3">
      <c r="B8" s="4" t="s">
        <v>227</v>
      </c>
      <c r="C8" t="s">
        <v>228</v>
      </c>
      <c r="D8" s="37">
        <v>3831013</v>
      </c>
      <c r="E8" s="37">
        <v>3884161</v>
      </c>
      <c r="F8" s="37">
        <v>496810</v>
      </c>
      <c r="G8" s="37">
        <v>134032</v>
      </c>
      <c r="H8" s="37">
        <v>110637</v>
      </c>
      <c r="I8" s="37">
        <v>84222</v>
      </c>
      <c r="J8" s="38">
        <f t="shared" si="0"/>
        <v>28.979355676256418</v>
      </c>
      <c r="K8" s="38">
        <f t="shared" si="1"/>
        <v>7.8182021295867639</v>
      </c>
      <c r="L8" s="38">
        <f t="shared" si="2"/>
        <v>45.487081760110186</v>
      </c>
      <c r="M8" s="38">
        <f t="shared" si="3"/>
        <v>10.812327309571318</v>
      </c>
      <c r="N8" s="39">
        <f t="shared" si="4"/>
        <v>0.22269479277792315</v>
      </c>
      <c r="O8" s="39">
        <f t="shared" si="5"/>
        <v>0.23770105469929639</v>
      </c>
      <c r="P8" s="37">
        <v>354319</v>
      </c>
    </row>
    <row r="9" spans="2:17" ht="14" x14ac:dyDescent="0.3">
      <c r="B9" s="4" t="s">
        <v>229</v>
      </c>
      <c r="C9" t="s">
        <v>230</v>
      </c>
      <c r="D9" s="37">
        <v>304214</v>
      </c>
      <c r="E9" s="37">
        <v>350605</v>
      </c>
      <c r="F9" s="37">
        <v>144742</v>
      </c>
      <c r="G9" s="37">
        <v>28891</v>
      </c>
      <c r="H9" s="37">
        <v>18810</v>
      </c>
      <c r="I9" s="37">
        <v>9475</v>
      </c>
      <c r="J9" s="38">
        <f t="shared" si="0"/>
        <v>12.135440102454051</v>
      </c>
      <c r="K9" s="38">
        <f t="shared" si="1"/>
        <v>2.4222754970913765</v>
      </c>
      <c r="L9" s="38">
        <f t="shared" si="2"/>
        <v>32.107018469656992</v>
      </c>
      <c r="M9" s="38">
        <f t="shared" si="3"/>
        <v>1.7930802782034658</v>
      </c>
      <c r="N9" s="39">
        <f t="shared" si="4"/>
        <v>0.12995536886321868</v>
      </c>
      <c r="O9" s="39">
        <f t="shared" si="5"/>
        <v>5.5846988093834725E-2</v>
      </c>
      <c r="P9" s="37">
        <v>169660</v>
      </c>
    </row>
    <row r="10" spans="2:17" ht="14" x14ac:dyDescent="0.3">
      <c r="B10" s="4" t="s">
        <v>231</v>
      </c>
      <c r="C10" t="s">
        <v>232</v>
      </c>
      <c r="D10" s="37">
        <v>75919</v>
      </c>
      <c r="E10" s="37">
        <v>145174</v>
      </c>
      <c r="F10" s="37">
        <v>150866</v>
      </c>
      <c r="G10" s="37">
        <v>17508</v>
      </c>
      <c r="H10" s="37">
        <v>10974</v>
      </c>
      <c r="I10" s="37">
        <v>7215</v>
      </c>
      <c r="J10" s="38">
        <f t="shared" si="0"/>
        <v>8.2918665752798724</v>
      </c>
      <c r="K10" s="38">
        <f t="shared" si="1"/>
        <v>0.96227115453448753</v>
      </c>
      <c r="L10" s="38">
        <f t="shared" si="2"/>
        <v>10.522383922383922</v>
      </c>
      <c r="M10" s="38">
        <f t="shared" si="3"/>
        <v>0.75087035645052813</v>
      </c>
      <c r="N10" s="39">
        <f t="shared" si="4"/>
        <v>7.2740047459334781E-2</v>
      </c>
      <c r="O10" s="39">
        <f t="shared" si="5"/>
        <v>7.1359338529097593E-2</v>
      </c>
      <c r="P10" s="37">
        <v>101108</v>
      </c>
    </row>
    <row r="11" spans="2:17" ht="14" x14ac:dyDescent="0.3">
      <c r="B11" s="4" t="s">
        <v>233</v>
      </c>
      <c r="C11" t="s">
        <v>234</v>
      </c>
      <c r="D11" s="37">
        <v>455667</v>
      </c>
      <c r="E11" s="37">
        <v>574355</v>
      </c>
      <c r="F11" s="37">
        <v>578129</v>
      </c>
      <c r="G11" s="37">
        <v>73210</v>
      </c>
      <c r="H11" s="37">
        <v>42081</v>
      </c>
      <c r="I11" s="37">
        <v>32605</v>
      </c>
      <c r="J11" s="38">
        <f t="shared" si="0"/>
        <v>7.8453080180303241</v>
      </c>
      <c r="K11" s="38">
        <f t="shared" si="1"/>
        <v>0.99347204516639021</v>
      </c>
      <c r="L11" s="38">
        <f t="shared" si="2"/>
        <v>13.975371875479221</v>
      </c>
      <c r="M11" s="38">
        <f t="shared" si="3"/>
        <v>0.96424195613301877</v>
      </c>
      <c r="N11" s="39">
        <f t="shared" si="4"/>
        <v>7.2788253140735032E-2</v>
      </c>
      <c r="O11" s="39">
        <f t="shared" si="5"/>
        <v>6.8995799519642798E-2</v>
      </c>
      <c r="P11" s="37">
        <v>472565</v>
      </c>
    </row>
    <row r="14" spans="2:17" ht="14" x14ac:dyDescent="0.3">
      <c r="B14" s="3" t="s">
        <v>235</v>
      </c>
    </row>
    <row r="15" spans="2:17" ht="14" x14ac:dyDescent="0.3">
      <c r="B15" s="4" t="s">
        <v>236</v>
      </c>
      <c r="D15" s="38">
        <f t="shared" ref="D15:I15" si="6">PERCENTILE(J7:J11,0.25)</f>
        <v>8.2918665752798724</v>
      </c>
      <c r="E15" s="38">
        <f t="shared" si="6"/>
        <v>0.99347204516639021</v>
      </c>
      <c r="F15" s="38">
        <f t="shared" si="6"/>
        <v>13.975371875479221</v>
      </c>
      <c r="G15" s="38">
        <f t="shared" si="6"/>
        <v>0.96424195613301877</v>
      </c>
      <c r="H15" s="39">
        <f t="shared" si="6"/>
        <v>7.2788253140735032E-2</v>
      </c>
      <c r="I15" s="39">
        <f t="shared" si="6"/>
        <v>6.8995799519642798E-2</v>
      </c>
    </row>
    <row r="16" spans="2:17" ht="14" x14ac:dyDescent="0.3">
      <c r="B16" s="4" t="s">
        <v>237</v>
      </c>
      <c r="D16" s="38">
        <f t="shared" ref="D16:I16" si="7">MEDIAN(J7:J11)</f>
        <v>12.135440102454051</v>
      </c>
      <c r="E16" s="38">
        <f t="shared" si="7"/>
        <v>2.4222754970913765</v>
      </c>
      <c r="F16" s="38">
        <f t="shared" si="7"/>
        <v>32.107018469656992</v>
      </c>
      <c r="G16" s="38">
        <f t="shared" si="7"/>
        <v>1.7930802782034658</v>
      </c>
      <c r="H16" s="39">
        <f t="shared" si="7"/>
        <v>0.12995536886321868</v>
      </c>
      <c r="I16" s="39">
        <f t="shared" si="7"/>
        <v>7.1359338529097593E-2</v>
      </c>
    </row>
    <row r="17" spans="2:9" ht="14" x14ac:dyDescent="0.3">
      <c r="B17" s="4" t="s">
        <v>238</v>
      </c>
      <c r="D17" s="38">
        <f t="shared" ref="D17:I17" si="8">PERCENTILE(J7:J11,0.75)</f>
        <v>28.979355676256418</v>
      </c>
      <c r="E17" s="38">
        <f t="shared" si="8"/>
        <v>6.698798170180857</v>
      </c>
      <c r="F17" s="38">
        <f t="shared" si="8"/>
        <v>45.487081760110186</v>
      </c>
      <c r="G17" s="38">
        <f t="shared" si="8"/>
        <v>10.812327309571318</v>
      </c>
      <c r="H17" s="39">
        <f t="shared" si="8"/>
        <v>0.14344915699184752</v>
      </c>
      <c r="I17" s="39">
        <f t="shared" si="8"/>
        <v>0.21090595386093991</v>
      </c>
    </row>
    <row r="19" spans="2:9" ht="14" x14ac:dyDescent="0.3">
      <c r="B19" s="22" t="s">
        <v>239</v>
      </c>
      <c r="C19" s="23"/>
      <c r="D19" s="23"/>
      <c r="E19" s="23"/>
      <c r="F19" s="23"/>
      <c r="G19" s="23"/>
      <c r="H19" s="23"/>
      <c r="I19" s="23"/>
    </row>
    <row r="20" spans="2:9" ht="14" x14ac:dyDescent="0.3">
      <c r="B20" s="3" t="s">
        <v>240</v>
      </c>
    </row>
    <row r="21" spans="2:9" ht="14" x14ac:dyDescent="0.3">
      <c r="B21" s="4" t="s">
        <v>241</v>
      </c>
      <c r="C21" s="5">
        <v>8575</v>
      </c>
    </row>
    <row r="22" spans="2:9" ht="14" x14ac:dyDescent="0.3">
      <c r="B22" s="4" t="s">
        <v>242</v>
      </c>
      <c r="C22" s="5">
        <v>2576</v>
      </c>
    </row>
    <row r="23" spans="2:9" ht="14" x14ac:dyDescent="0.3">
      <c r="B23" s="4" t="s">
        <v>243</v>
      </c>
      <c r="C23" s="15">
        <v>36800000</v>
      </c>
    </row>
    <row r="24" spans="2:9" ht="14" x14ac:dyDescent="0.3">
      <c r="B24" s="4" t="s">
        <v>73</v>
      </c>
      <c r="C24" s="5">
        <v>45837</v>
      </c>
    </row>
    <row r="26" spans="2:9" ht="14" x14ac:dyDescent="0.3">
      <c r="B26" s="3" t="s">
        <v>244</v>
      </c>
    </row>
    <row r="27" spans="2:9" ht="14" x14ac:dyDescent="0.3">
      <c r="B27" s="4" t="s">
        <v>245</v>
      </c>
      <c r="C27" s="24">
        <f>ROUND((C21*D16-C24)*1000000/C23,0)</f>
        <v>1582</v>
      </c>
    </row>
    <row r="28" spans="2:9" ht="14" x14ac:dyDescent="0.3">
      <c r="B28" s="4" t="s">
        <v>246</v>
      </c>
      <c r="C28" s="24">
        <f>ROUND(C22*F16*1000000/C23,0)</f>
        <v>2247</v>
      </c>
    </row>
    <row r="29" spans="2:9" ht="14" x14ac:dyDescent="0.3">
      <c r="B29" s="4" t="s">
        <v>247</v>
      </c>
      <c r="C29" s="5">
        <f>ROUND((3814+2619)*(1-'DCF Model'!C6),0)</f>
        <v>4465</v>
      </c>
      <c r="D29" s="1" t="s">
        <v>248</v>
      </c>
    </row>
    <row r="30" spans="2:9" ht="14" x14ac:dyDescent="0.3">
      <c r="B30" s="4" t="s">
        <v>249</v>
      </c>
      <c r="C30" s="5">
        <f>ROUND(C29*F16*1000000/C23,0)</f>
        <v>3896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40"/>
  <sheetViews>
    <sheetView workbookViewId="0"/>
  </sheetViews>
  <sheetFormatPr defaultRowHeight="13" x14ac:dyDescent="0.2"/>
  <cols>
    <col min="1" max="1" width="3" customWidth="1"/>
    <col min="2" max="2" width="24" customWidth="1"/>
    <col min="3" max="9" width="14" customWidth="1"/>
  </cols>
  <sheetData>
    <row r="2" spans="2:9" ht="18" x14ac:dyDescent="0.4">
      <c r="B2" s="2" t="s">
        <v>250</v>
      </c>
    </row>
    <row r="3" spans="2:9" ht="14" x14ac:dyDescent="0.3">
      <c r="B3" s="4" t="s">
        <v>251</v>
      </c>
      <c r="C3" s="16">
        <f>'DCF Model'!C26</f>
        <v>8.3719535969247666E-2</v>
      </c>
      <c r="E3" s="4" t="s">
        <v>252</v>
      </c>
      <c r="F3" s="16">
        <f>'DCF Model'!C13</f>
        <v>1.4999999999999999E-2</v>
      </c>
      <c r="H3" s="4" t="s">
        <v>253</v>
      </c>
      <c r="I3" s="14">
        <f>'DCF Model'!C14</f>
        <v>8</v>
      </c>
    </row>
    <row r="5" spans="2:9" ht="14" x14ac:dyDescent="0.3">
      <c r="B5" s="3" t="s">
        <v>254</v>
      </c>
    </row>
    <row r="6" spans="2:9" ht="14" x14ac:dyDescent="0.3">
      <c r="B6" s="40" t="s">
        <v>255</v>
      </c>
      <c r="C6" s="41">
        <f>$F$3-0.0075</f>
        <v>7.4999999999999997E-3</v>
      </c>
      <c r="D6" s="41">
        <f>$F$3-0.005</f>
        <v>9.9999999999999985E-3</v>
      </c>
      <c r="E6" s="41">
        <f>$F$3-0.0025</f>
        <v>1.2499999999999999E-2</v>
      </c>
      <c r="F6" s="41">
        <f>$F$3</f>
        <v>1.4999999999999999E-2</v>
      </c>
      <c r="G6" s="41">
        <f>$F$3+0.0025</f>
        <v>1.7499999999999998E-2</v>
      </c>
      <c r="H6" s="41">
        <f>$F$3+0.005</f>
        <v>0.02</v>
      </c>
      <c r="I6" s="41">
        <f>$F$3+0.0075</f>
        <v>2.2499999999999999E-2</v>
      </c>
    </row>
    <row r="7" spans="2:9" ht="13.5" x14ac:dyDescent="0.25">
      <c r="B7" s="39">
        <f>$C$3-0.015</f>
        <v>6.8719535969247666E-2</v>
      </c>
      <c r="C7" s="37">
        <f>IFERROR(ROUND(('DCF Model'!C45/(1+$B7)^('DCF Model'!C19+0)+'DCF Model'!D45/(1+$B7)^('DCF Model'!C19+1)+'DCF Model'!E45/(1+$B7)^('DCF Model'!C19+2)+'DCF Model'!F45/(1+$B7)^('DCF Model'!C19+3)+'DCF Model'!G45/(1+$B7)^('DCF Model'!C19+4)+'DCF Model'!G45*(1+C$6)/($B7-C$6)/(1+$B7)^('DCF Model'!C19+4)-'DCF Model'!C16)*1000000/'DCF Model'!C15,0),"")</f>
        <v>655</v>
      </c>
      <c r="D7" s="37">
        <f>IFERROR(ROUND(('DCF Model'!C45/(1+$B7)^('DCF Model'!C19+0)+'DCF Model'!D45/(1+$B7)^('DCF Model'!C19+1)+'DCF Model'!E45/(1+$B7)^('DCF Model'!C19+2)+'DCF Model'!F45/(1+$B7)^('DCF Model'!C19+3)+'DCF Model'!G45/(1+$B7)^('DCF Model'!C19+4)+'DCF Model'!G45*(1+D$6)/($B7-D$6)/(1+$B7)^('DCF Model'!C19+4)-'DCF Model'!C16)*1000000/'DCF Model'!C15,0),"")</f>
        <v>731</v>
      </c>
      <c r="E7" s="37">
        <f>IFERROR(ROUND(('DCF Model'!C45/(1+$B7)^('DCF Model'!C19+0)+'DCF Model'!D45/(1+$B7)^('DCF Model'!C19+1)+'DCF Model'!E45/(1+$B7)^('DCF Model'!C19+2)+'DCF Model'!F45/(1+$B7)^('DCF Model'!C19+3)+'DCF Model'!G45/(1+$B7)^('DCF Model'!C19+4)+'DCF Model'!G45*(1+E$6)/($B7-E$6)/(1+$B7)^('DCF Model'!C19+4)-'DCF Model'!C16)*1000000/'DCF Model'!C15,0),"")</f>
        <v>813</v>
      </c>
      <c r="F7" s="37">
        <f>IFERROR(ROUND(('DCF Model'!C45/(1+$B7)^('DCF Model'!C19+0)+'DCF Model'!D45/(1+$B7)^('DCF Model'!C19+1)+'DCF Model'!E45/(1+$B7)^('DCF Model'!C19+2)+'DCF Model'!F45/(1+$B7)^('DCF Model'!C19+3)+'DCF Model'!G45/(1+$B7)^('DCF Model'!C19+4)+'DCF Model'!G45*(1+F$6)/($B7-F$6)/(1+$B7)^('DCF Model'!C19+4)-'DCF Model'!C16)*1000000/'DCF Model'!C15,0),"")</f>
        <v>904</v>
      </c>
      <c r="G7" s="37">
        <f>IFERROR(ROUND(('DCF Model'!C45/(1+$B7)^('DCF Model'!C19+0)+'DCF Model'!D45/(1+$B7)^('DCF Model'!C19+1)+'DCF Model'!E45/(1+$B7)^('DCF Model'!C19+2)+'DCF Model'!F45/(1+$B7)^('DCF Model'!C19+3)+'DCF Model'!G45/(1+$B7)^('DCF Model'!C19+4)+'DCF Model'!G45*(1+G$6)/($B7-G$6)/(1+$B7)^('DCF Model'!C19+4)-'DCF Model'!C16)*1000000/'DCF Model'!C15,0),"")</f>
        <v>1002</v>
      </c>
      <c r="H7" s="37">
        <f>IFERROR(ROUND(('DCF Model'!C45/(1+$B7)^('DCF Model'!C19+0)+'DCF Model'!D45/(1+$B7)^('DCF Model'!C19+1)+'DCF Model'!E45/(1+$B7)^('DCF Model'!C19+2)+'DCF Model'!F45/(1+$B7)^('DCF Model'!C19+3)+'DCF Model'!G45/(1+$B7)^('DCF Model'!C19+4)+'DCF Model'!G45*(1+H$6)/($B7-H$6)/(1+$B7)^('DCF Model'!C19+4)-'DCF Model'!C16)*1000000/'DCF Model'!C15,0),"")</f>
        <v>1111</v>
      </c>
      <c r="I7" s="37">
        <f>IFERROR(ROUND(('DCF Model'!C45/(1+$B7)^('DCF Model'!C19+0)+'DCF Model'!D45/(1+$B7)^('DCF Model'!C19+1)+'DCF Model'!E45/(1+$B7)^('DCF Model'!C19+2)+'DCF Model'!F45/(1+$B7)^('DCF Model'!C19+3)+'DCF Model'!G45/(1+$B7)^('DCF Model'!C19+4)+'DCF Model'!G45*(1+I$6)/($B7-I$6)/(1+$B7)^('DCF Model'!C19+4)-'DCF Model'!C16)*1000000/'DCF Model'!C15,0),"")</f>
        <v>1232</v>
      </c>
    </row>
    <row r="8" spans="2:9" ht="13.5" x14ac:dyDescent="0.25">
      <c r="B8" s="39">
        <f>$C$3-0.01</f>
        <v>7.3719535969247671E-2</v>
      </c>
      <c r="C8" s="37">
        <f>IFERROR(ROUND(('DCF Model'!C45/(1+$B8)^('DCF Model'!C19+0)+'DCF Model'!D45/(1+$B8)^('DCF Model'!C19+1)+'DCF Model'!E45/(1+$B8)^('DCF Model'!C19+2)+'DCF Model'!F45/(1+$B8)^('DCF Model'!C19+3)+'DCF Model'!G45/(1+$B8)^('DCF Model'!C19+4)+'DCF Model'!G45*(1+C$6)/($B8-C$6)/(1+$B8)^('DCF Model'!C19+4)-'DCF Model'!C16)*1000000/'DCF Model'!C15,0),"")</f>
        <v>490</v>
      </c>
      <c r="D8" s="37">
        <f>IFERROR(ROUND(('DCF Model'!C45/(1+$B8)^('DCF Model'!C19+0)+'DCF Model'!D45/(1+$B8)^('DCF Model'!C19+1)+'DCF Model'!E45/(1+$B8)^('DCF Model'!C19+2)+'DCF Model'!F45/(1+$B8)^('DCF Model'!C19+3)+'DCF Model'!G45/(1+$B8)^('DCF Model'!C19+4)+'DCF Model'!G45*(1+D$6)/($B8-D$6)/(1+$B8)^('DCF Model'!C19+4)-'DCF Model'!C16)*1000000/'DCF Model'!C15,0),"")</f>
        <v>553</v>
      </c>
      <c r="E8" s="37">
        <f>IFERROR(ROUND(('DCF Model'!C45/(1+$B8)^('DCF Model'!C19+0)+'DCF Model'!D45/(1+$B8)^('DCF Model'!C19+1)+'DCF Model'!E45/(1+$B8)^('DCF Model'!C19+2)+'DCF Model'!F45/(1+$B8)^('DCF Model'!C19+3)+'DCF Model'!G45/(1+$B8)^('DCF Model'!C19+4)+'DCF Model'!G45*(1+E$6)/($B8-E$6)/(1+$B8)^('DCF Model'!C19+4)-'DCF Model'!C16)*1000000/'DCF Model'!C15,0),"")</f>
        <v>622</v>
      </c>
      <c r="F8" s="37">
        <f>IFERROR(ROUND(('DCF Model'!C45/(1+$B8)^('DCF Model'!C19+0)+'DCF Model'!D45/(1+$B8)^('DCF Model'!C19+1)+'DCF Model'!E45/(1+$B8)^('DCF Model'!C19+2)+'DCF Model'!F45/(1+$B8)^('DCF Model'!C19+3)+'DCF Model'!G45/(1+$B8)^('DCF Model'!C19+4)+'DCF Model'!G45*(1+F$6)/($B8-F$6)/(1+$B8)^('DCF Model'!C19+4)-'DCF Model'!C16)*1000000/'DCF Model'!C15,0),"")</f>
        <v>696</v>
      </c>
      <c r="G8" s="37">
        <f>IFERROR(ROUND(('DCF Model'!C45/(1+$B8)^('DCF Model'!C19+0)+'DCF Model'!D45/(1+$B8)^('DCF Model'!C19+1)+'DCF Model'!E45/(1+$B8)^('DCF Model'!C19+2)+'DCF Model'!F45/(1+$B8)^('DCF Model'!C19+3)+'DCF Model'!G45/(1+$B8)^('DCF Model'!C19+4)+'DCF Model'!G45*(1+G$6)/($B8-G$6)/(1+$B8)^('DCF Model'!C19+4)-'DCF Model'!C16)*1000000/'DCF Model'!C15,0),"")</f>
        <v>777</v>
      </c>
      <c r="H8" s="37">
        <f>IFERROR(ROUND(('DCF Model'!C45/(1+$B8)^('DCF Model'!C19+0)+'DCF Model'!D45/(1+$B8)^('DCF Model'!C19+1)+'DCF Model'!E45/(1+$B8)^('DCF Model'!C19+2)+'DCF Model'!F45/(1+$B8)^('DCF Model'!C19+3)+'DCF Model'!G45/(1+$B8)^('DCF Model'!C19+4)+'DCF Model'!G45*(1+H$6)/($B8-H$6)/(1+$B8)^('DCF Model'!C19+4)-'DCF Model'!C16)*1000000/'DCF Model'!C15,0),"")</f>
        <v>866</v>
      </c>
      <c r="I8" s="37">
        <f>IFERROR(ROUND(('DCF Model'!C45/(1+$B8)^('DCF Model'!C19+0)+'DCF Model'!D45/(1+$B8)^('DCF Model'!C19+1)+'DCF Model'!E45/(1+$B8)^('DCF Model'!C19+2)+'DCF Model'!F45/(1+$B8)^('DCF Model'!C19+3)+'DCF Model'!G45/(1+$B8)^('DCF Model'!C19+4)+'DCF Model'!G45*(1+I$6)/($B8-I$6)/(1+$B8)^('DCF Model'!C19+4)-'DCF Model'!C16)*1000000/'DCF Model'!C15,0),"")</f>
        <v>963</v>
      </c>
    </row>
    <row r="9" spans="2:9" ht="13.5" x14ac:dyDescent="0.25">
      <c r="B9" s="39">
        <f>$C$3-0.005</f>
        <v>7.8719535969247661E-2</v>
      </c>
      <c r="C9" s="37">
        <f>IFERROR(ROUND(('DCF Model'!C45/(1+$B9)^('DCF Model'!C19+0)+'DCF Model'!D45/(1+$B9)^('DCF Model'!C19+1)+'DCF Model'!E45/(1+$B9)^('DCF Model'!C19+2)+'DCF Model'!F45/(1+$B9)^('DCF Model'!C19+3)+'DCF Model'!G45/(1+$B9)^('DCF Model'!C19+4)+'DCF Model'!G45*(1+C$6)/($B9-C$6)/(1+$B9)^('DCF Model'!C19+4)-'DCF Model'!C16)*1000000/'DCF Model'!C15,0),"")</f>
        <v>348</v>
      </c>
      <c r="D9" s="37">
        <f>IFERROR(ROUND(('DCF Model'!C45/(1+$B9)^('DCF Model'!C19+0)+'DCF Model'!D45/(1+$B9)^('DCF Model'!C19+1)+'DCF Model'!E45/(1+$B9)^('DCF Model'!C19+2)+'DCF Model'!F45/(1+$B9)^('DCF Model'!C19+3)+'DCF Model'!G45/(1+$B9)^('DCF Model'!C19+4)+'DCF Model'!G45*(1+D$6)/($B9-D$6)/(1+$B9)^('DCF Model'!C19+4)-'DCF Model'!C16)*1000000/'DCF Model'!C15,0),"")</f>
        <v>401</v>
      </c>
      <c r="E9" s="37">
        <f>IFERROR(ROUND(('DCF Model'!C45/(1+$B9)^('DCF Model'!C19+0)+'DCF Model'!D45/(1+$B9)^('DCF Model'!C19+1)+'DCF Model'!E45/(1+$B9)^('DCF Model'!C19+2)+'DCF Model'!F45/(1+$B9)^('DCF Model'!C19+3)+'DCF Model'!G45/(1+$B9)^('DCF Model'!C19+4)+'DCF Model'!G45*(1+E$6)/($B9-E$6)/(1+$B9)^('DCF Model'!C19+4)-'DCF Model'!C16)*1000000/'DCF Model'!C15,0),"")</f>
        <v>459</v>
      </c>
      <c r="F9" s="37">
        <f>IFERROR(ROUND(('DCF Model'!C45/(1+$B9)^('DCF Model'!C19+0)+'DCF Model'!D45/(1+$B9)^('DCF Model'!C19+1)+'DCF Model'!E45/(1+$B9)^('DCF Model'!C19+2)+'DCF Model'!F45/(1+$B9)^('DCF Model'!C19+3)+'DCF Model'!G45/(1+$B9)^('DCF Model'!C19+4)+'DCF Model'!G45*(1+F$6)/($B9-F$6)/(1+$B9)^('DCF Model'!C19+4)-'DCF Model'!C16)*1000000/'DCF Model'!C15,0),"")</f>
        <v>521</v>
      </c>
      <c r="G9" s="37">
        <f>IFERROR(ROUND(('DCF Model'!C45/(1+$B9)^('DCF Model'!C19+0)+'DCF Model'!D45/(1+$B9)^('DCF Model'!C19+1)+'DCF Model'!E45/(1+$B9)^('DCF Model'!C19+2)+'DCF Model'!F45/(1+$B9)^('DCF Model'!C19+3)+'DCF Model'!G45/(1+$B9)^('DCF Model'!C19+4)+'DCF Model'!G45*(1+G$6)/($B9-G$6)/(1+$B9)^('DCF Model'!C19+4)-'DCF Model'!C16)*1000000/'DCF Model'!C15,0),"")</f>
        <v>589</v>
      </c>
      <c r="H9" s="37">
        <f>IFERROR(ROUND(('DCF Model'!C45/(1+$B9)^('DCF Model'!C19+0)+'DCF Model'!D45/(1+$B9)^('DCF Model'!C19+1)+'DCF Model'!E45/(1+$B9)^('DCF Model'!C19+2)+'DCF Model'!F45/(1+$B9)^('DCF Model'!C19+3)+'DCF Model'!G45/(1+$B9)^('DCF Model'!C19+4)+'DCF Model'!G45*(1+H$6)/($B9-H$6)/(1+$B9)^('DCF Model'!C19+4)-'DCF Model'!C16)*1000000/'DCF Model'!C15,0),"")</f>
        <v>662</v>
      </c>
      <c r="I9" s="37">
        <f>IFERROR(ROUND(('DCF Model'!C45/(1+$B9)^('DCF Model'!C19+0)+'DCF Model'!D45/(1+$B9)^('DCF Model'!C19+1)+'DCF Model'!E45/(1+$B9)^('DCF Model'!C19+2)+'DCF Model'!F45/(1+$B9)^('DCF Model'!C19+3)+'DCF Model'!G45/(1+$B9)^('DCF Model'!C19+4)+'DCF Model'!G45*(1+I$6)/($B9-I$6)/(1+$B9)^('DCF Model'!C19+4)-'DCF Model'!C16)*1000000/'DCF Model'!C15,0),"")</f>
        <v>741</v>
      </c>
    </row>
    <row r="10" spans="2:9" ht="13.5" x14ac:dyDescent="0.25">
      <c r="B10" s="39">
        <f>$C$3</f>
        <v>8.3719535969247666E-2</v>
      </c>
      <c r="C10" s="37">
        <f>IFERROR(ROUND(('DCF Model'!C45/(1+$B10)^('DCF Model'!C19+0)+'DCF Model'!D45/(1+$B10)^('DCF Model'!C19+1)+'DCF Model'!E45/(1+$B10)^('DCF Model'!C19+2)+'DCF Model'!F45/(1+$B10)^('DCF Model'!C19+3)+'DCF Model'!G45/(1+$B10)^('DCF Model'!C19+4)+'DCF Model'!G45*(1+C$6)/($B10-C$6)/(1+$B10)^('DCF Model'!C19+4)-'DCF Model'!C16)*1000000/'DCF Model'!C15,0),"")</f>
        <v>224</v>
      </c>
      <c r="D10" s="37">
        <f>IFERROR(ROUND(('DCF Model'!C45/(1+$B10)^('DCF Model'!C19+0)+'DCF Model'!D45/(1+$B10)^('DCF Model'!C19+1)+'DCF Model'!E45/(1+$B10)^('DCF Model'!C19+2)+'DCF Model'!F45/(1+$B10)^('DCF Model'!C19+3)+'DCF Model'!G45/(1+$B10)^('DCF Model'!C19+4)+'DCF Model'!G45*(1+D$6)/($B10-D$6)/(1+$B10)^('DCF Model'!C19+4)-'DCF Model'!C16)*1000000/'DCF Model'!C15,0),"")</f>
        <v>270</v>
      </c>
      <c r="E10" s="37">
        <f>IFERROR(ROUND(('DCF Model'!C45/(1+$B10)^('DCF Model'!C19+0)+'DCF Model'!D45/(1+$B10)^('DCF Model'!C19+1)+'DCF Model'!E45/(1+$B10)^('DCF Model'!C19+2)+'DCF Model'!F45/(1+$B10)^('DCF Model'!C19+3)+'DCF Model'!G45/(1+$B10)^('DCF Model'!C19+4)+'DCF Model'!G45*(1+E$6)/($B10-E$6)/(1+$B10)^('DCF Model'!C19+4)-'DCF Model'!C16)*1000000/'DCF Model'!C15,0),"")</f>
        <v>319</v>
      </c>
      <c r="F10" s="37">
        <f>IFERROR(ROUND(('DCF Model'!C45/(1+$B10)^('DCF Model'!C19+0)+'DCF Model'!D45/(1+$B10)^('DCF Model'!C19+1)+'DCF Model'!E45/(1+$B10)^('DCF Model'!C19+2)+'DCF Model'!F45/(1+$B10)^('DCF Model'!C19+3)+'DCF Model'!G45/(1+$B10)^('DCF Model'!C19+4)+'DCF Model'!G45*(1+F$6)/($B10-F$6)/(1+$B10)^('DCF Model'!C19+4)-'DCF Model'!C16)*1000000/'DCF Model'!C15,0),"")</f>
        <v>372</v>
      </c>
      <c r="G10" s="37">
        <f>IFERROR(ROUND(('DCF Model'!C45/(1+$B10)^('DCF Model'!C19+0)+'DCF Model'!D45/(1+$B10)^('DCF Model'!C19+1)+'DCF Model'!E45/(1+$B10)^('DCF Model'!C19+2)+'DCF Model'!F45/(1+$B10)^('DCF Model'!C19+3)+'DCF Model'!G45/(1+$B10)^('DCF Model'!C19+4)+'DCF Model'!G45*(1+G$6)/($B10-G$6)/(1+$B10)^('DCF Model'!C19+4)-'DCF Model'!C16)*1000000/'DCF Model'!C15,0),"")</f>
        <v>429</v>
      </c>
      <c r="H10" s="37">
        <f>IFERROR(ROUND(('DCF Model'!C45/(1+$B10)^('DCF Model'!C19+0)+'DCF Model'!D45/(1+$B10)^('DCF Model'!C19+1)+'DCF Model'!E45/(1+$B10)^('DCF Model'!C19+2)+'DCF Model'!F45/(1+$B10)^('DCF Model'!C19+3)+'DCF Model'!G45/(1+$B10)^('DCF Model'!C19+4)+'DCF Model'!G45*(1+H$6)/($B10-H$6)/(1+$B10)^('DCF Model'!C19+4)-'DCF Model'!C16)*1000000/'DCF Model'!C15,0),"")</f>
        <v>490</v>
      </c>
      <c r="I10" s="37">
        <f>IFERROR(ROUND(('DCF Model'!C45/(1+$B10)^('DCF Model'!C19+0)+'DCF Model'!D45/(1+$B10)^('DCF Model'!C19+1)+'DCF Model'!E45/(1+$B10)^('DCF Model'!C19+2)+'DCF Model'!F45/(1+$B10)^('DCF Model'!C19+3)+'DCF Model'!G45/(1+$B10)^('DCF Model'!C19+4)+'DCF Model'!G45*(1+I$6)/($B10-I$6)/(1+$B10)^('DCF Model'!C19+4)-'DCF Model'!C16)*1000000/'DCF Model'!C15,0),"")</f>
        <v>556</v>
      </c>
    </row>
    <row r="11" spans="2:9" ht="13.5" x14ac:dyDescent="0.25">
      <c r="B11" s="39">
        <f>$C$3+0.005</f>
        <v>8.871953596924767E-2</v>
      </c>
      <c r="C11" s="37">
        <f>IFERROR(ROUND(('DCF Model'!C45/(1+$B11)^('DCF Model'!C19+0)+'DCF Model'!D45/(1+$B11)^('DCF Model'!C19+1)+'DCF Model'!E45/(1+$B11)^('DCF Model'!C19+2)+'DCF Model'!F45/(1+$B11)^('DCF Model'!C19+3)+'DCF Model'!G45/(1+$B11)^('DCF Model'!C19+4)+'DCF Model'!G45*(1+C$6)/($B11-C$6)/(1+$B11)^('DCF Model'!C19+4)-'DCF Model'!C16)*1000000/'DCF Model'!C15,0),"")</f>
        <v>116</v>
      </c>
      <c r="D11" s="37">
        <f>IFERROR(ROUND(('DCF Model'!C45/(1+$B11)^('DCF Model'!C19+0)+'DCF Model'!D45/(1+$B11)^('DCF Model'!C19+1)+'DCF Model'!E45/(1+$B11)^('DCF Model'!C19+2)+'DCF Model'!F45/(1+$B11)^('DCF Model'!C19+3)+'DCF Model'!G45/(1+$B11)^('DCF Model'!C19+4)+'DCF Model'!G45*(1+D$6)/($B11-D$6)/(1+$B11)^('DCF Model'!C19+4)-'DCF Model'!C16)*1000000/'DCF Model'!C15,0),"")</f>
        <v>156</v>
      </c>
      <c r="E11" s="37">
        <f>IFERROR(ROUND(('DCF Model'!C45/(1+$B11)^('DCF Model'!C19+0)+'DCF Model'!D45/(1+$B11)^('DCF Model'!C19+1)+'DCF Model'!E45/(1+$B11)^('DCF Model'!C19+2)+'DCF Model'!F45/(1+$B11)^('DCF Model'!C19+3)+'DCF Model'!G45/(1+$B11)^('DCF Model'!C19+4)+'DCF Model'!G45*(1+E$6)/($B11-E$6)/(1+$B11)^('DCF Model'!C19+4)-'DCF Model'!C16)*1000000/'DCF Model'!C15,0),"")</f>
        <v>198</v>
      </c>
      <c r="F11" s="37">
        <f>IFERROR(ROUND(('DCF Model'!C45/(1+$B11)^('DCF Model'!C19+0)+'DCF Model'!D45/(1+$B11)^('DCF Model'!C19+1)+'DCF Model'!E45/(1+$B11)^('DCF Model'!C19+2)+'DCF Model'!F45/(1+$B11)^('DCF Model'!C19+3)+'DCF Model'!G45/(1+$B11)^('DCF Model'!C19+4)+'DCF Model'!G45*(1+F$6)/($B11-F$6)/(1+$B11)^('DCF Model'!C19+4)-'DCF Model'!C16)*1000000/'DCF Model'!C15,0),"")</f>
        <v>244</v>
      </c>
      <c r="G11" s="37">
        <f>IFERROR(ROUND(('DCF Model'!C45/(1+$B11)^('DCF Model'!C19+0)+'DCF Model'!D45/(1+$B11)^('DCF Model'!C19+1)+'DCF Model'!E45/(1+$B11)^('DCF Model'!C19+2)+'DCF Model'!F45/(1+$B11)^('DCF Model'!C19+3)+'DCF Model'!G45/(1+$B11)^('DCF Model'!C19+4)+'DCF Model'!G45*(1+G$6)/($B11-G$6)/(1+$B11)^('DCF Model'!C19+4)-'DCF Model'!C16)*1000000/'DCF Model'!C15,0),"")</f>
        <v>292</v>
      </c>
      <c r="H11" s="37">
        <f>IFERROR(ROUND(('DCF Model'!C45/(1+$B11)^('DCF Model'!C19+0)+'DCF Model'!D45/(1+$B11)^('DCF Model'!C19+1)+'DCF Model'!E45/(1+$B11)^('DCF Model'!C19+2)+'DCF Model'!F45/(1+$B11)^('DCF Model'!C19+3)+'DCF Model'!G45/(1+$B11)^('DCF Model'!C19+4)+'DCF Model'!G45*(1+H$6)/($B11-H$6)/(1+$B11)^('DCF Model'!C19+4)-'DCF Model'!C16)*1000000/'DCF Model'!C15,0),"")</f>
        <v>344</v>
      </c>
      <c r="I11" s="37">
        <f>IFERROR(ROUND(('DCF Model'!C45/(1+$B11)^('DCF Model'!C19+0)+'DCF Model'!D45/(1+$B11)^('DCF Model'!C19+1)+'DCF Model'!E45/(1+$B11)^('DCF Model'!C19+2)+'DCF Model'!F45/(1+$B11)^('DCF Model'!C19+3)+'DCF Model'!G45/(1+$B11)^('DCF Model'!C19+4)+'DCF Model'!G45*(1+I$6)/($B11-I$6)/(1+$B11)^('DCF Model'!C19+4)-'DCF Model'!C16)*1000000/'DCF Model'!C15,0),"")</f>
        <v>400</v>
      </c>
    </row>
    <row r="12" spans="2:9" ht="13.5" x14ac:dyDescent="0.25">
      <c r="B12" s="39">
        <f>$C$3+0.01</f>
        <v>9.3719535969247661E-2</v>
      </c>
      <c r="C12" s="37">
        <f>IFERROR(ROUND(('DCF Model'!C45/(1+$B12)^('DCF Model'!C19+0)+'DCF Model'!D45/(1+$B12)^('DCF Model'!C19+1)+'DCF Model'!E45/(1+$B12)^('DCF Model'!C19+2)+'DCF Model'!F45/(1+$B12)^('DCF Model'!C19+3)+'DCF Model'!G45/(1+$B12)^('DCF Model'!C19+4)+'DCF Model'!G45*(1+C$6)/($B12-C$6)/(1+$B12)^('DCF Model'!C19+4)-'DCF Model'!C16)*1000000/'DCF Model'!C15,0),"")</f>
        <v>21</v>
      </c>
      <c r="D12" s="37">
        <f>IFERROR(ROUND(('DCF Model'!C45/(1+$B12)^('DCF Model'!C19+0)+'DCF Model'!D45/(1+$B12)^('DCF Model'!C19+1)+'DCF Model'!E45/(1+$B12)^('DCF Model'!C19+2)+'DCF Model'!F45/(1+$B12)^('DCF Model'!C19+3)+'DCF Model'!G45/(1+$B12)^('DCF Model'!C19+4)+'DCF Model'!G45*(1+D$6)/($B12-D$6)/(1+$B12)^('DCF Model'!C19+4)-'DCF Model'!C16)*1000000/'DCF Model'!C15,0),"")</f>
        <v>56</v>
      </c>
      <c r="E12" s="37">
        <f>IFERROR(ROUND(('DCF Model'!C45/(1+$B12)^('DCF Model'!C19+0)+'DCF Model'!D45/(1+$B12)^('DCF Model'!C19+1)+'DCF Model'!E45/(1+$B12)^('DCF Model'!C19+2)+'DCF Model'!F45/(1+$B12)^('DCF Model'!C19+3)+'DCF Model'!G45/(1+$B12)^('DCF Model'!C19+4)+'DCF Model'!G45*(1+E$6)/($B12-E$6)/(1+$B12)^('DCF Model'!C19+4)-'DCF Model'!C16)*1000000/'DCF Model'!C15,0),"")</f>
        <v>93</v>
      </c>
      <c r="F12" s="37">
        <f>IFERROR(ROUND(('DCF Model'!C45/(1+$B12)^('DCF Model'!C19+0)+'DCF Model'!D45/(1+$B12)^('DCF Model'!C19+1)+'DCF Model'!E45/(1+$B12)^('DCF Model'!C19+2)+'DCF Model'!F45/(1+$B12)^('DCF Model'!C19+3)+'DCF Model'!G45/(1+$B12)^('DCF Model'!C19+4)+'DCF Model'!G45*(1+F$6)/($B12-F$6)/(1+$B12)^('DCF Model'!C19+4)-'DCF Model'!C16)*1000000/'DCF Model'!C15,0),"")</f>
        <v>132</v>
      </c>
      <c r="G12" s="37">
        <f>IFERROR(ROUND(('DCF Model'!C45/(1+$B12)^('DCF Model'!C19+0)+'DCF Model'!D45/(1+$B12)^('DCF Model'!C19+1)+'DCF Model'!E45/(1+$B12)^('DCF Model'!C19+2)+'DCF Model'!F45/(1+$B12)^('DCF Model'!C19+3)+'DCF Model'!G45/(1+$B12)^('DCF Model'!C19+4)+'DCF Model'!G45*(1+G$6)/($B12-G$6)/(1+$B12)^('DCF Model'!C19+4)-'DCF Model'!C16)*1000000/'DCF Model'!C15,0),"")</f>
        <v>173</v>
      </c>
      <c r="H12" s="37">
        <f>IFERROR(ROUND(('DCF Model'!C45/(1+$B12)^('DCF Model'!C19+0)+'DCF Model'!D45/(1+$B12)^('DCF Model'!C19+1)+'DCF Model'!E45/(1+$B12)^('DCF Model'!C19+2)+'DCF Model'!F45/(1+$B12)^('DCF Model'!C19+3)+'DCF Model'!G45/(1+$B12)^('DCF Model'!C19+4)+'DCF Model'!G45*(1+H$6)/($B12-H$6)/(1+$B12)^('DCF Model'!C19+4)-'DCF Model'!C16)*1000000/'DCF Model'!C15,0),"")</f>
        <v>218</v>
      </c>
      <c r="I12" s="37">
        <f>IFERROR(ROUND(('DCF Model'!C45/(1+$B12)^('DCF Model'!C19+0)+'DCF Model'!D45/(1+$B12)^('DCF Model'!C19+1)+'DCF Model'!E45/(1+$B12)^('DCF Model'!C19+2)+'DCF Model'!F45/(1+$B12)^('DCF Model'!C19+3)+'DCF Model'!G45/(1+$B12)^('DCF Model'!C19+4)+'DCF Model'!G45*(1+I$6)/($B12-I$6)/(1+$B12)^('DCF Model'!C19+4)-'DCF Model'!C16)*1000000/'DCF Model'!C15,0),"")</f>
        <v>265</v>
      </c>
    </row>
    <row r="13" spans="2:9" ht="13.5" x14ac:dyDescent="0.25">
      <c r="B13" s="39">
        <f>$C$3+0.015</f>
        <v>9.8719535969247665E-2</v>
      </c>
      <c r="C13" s="37">
        <f>IFERROR(ROUND(('DCF Model'!C45/(1+$B13)^('DCF Model'!C19+0)+'DCF Model'!D45/(1+$B13)^('DCF Model'!C19+1)+'DCF Model'!E45/(1+$B13)^('DCF Model'!C19+2)+'DCF Model'!F45/(1+$B13)^('DCF Model'!C19+3)+'DCF Model'!G45/(1+$B13)^('DCF Model'!C19+4)+'DCF Model'!G45*(1+C$6)/($B13-C$6)/(1+$B13)^('DCF Model'!C19+4)-'DCF Model'!C16)*1000000/'DCF Model'!C15,0),"")</f>
        <v>-63</v>
      </c>
      <c r="D13" s="37">
        <f>IFERROR(ROUND(('DCF Model'!C45/(1+$B13)^('DCF Model'!C19+0)+'DCF Model'!D45/(1+$B13)^('DCF Model'!C19+1)+'DCF Model'!E45/(1+$B13)^('DCF Model'!C19+2)+'DCF Model'!F45/(1+$B13)^('DCF Model'!C19+3)+'DCF Model'!G45/(1+$B13)^('DCF Model'!C19+4)+'DCF Model'!G45*(1+D$6)/($B13-D$6)/(1+$B13)^('DCF Model'!C19+4)-'DCF Model'!C16)*1000000/'DCF Model'!C15,0),"")</f>
        <v>-33</v>
      </c>
      <c r="E13" s="37">
        <f>IFERROR(ROUND(('DCF Model'!C45/(1+$B13)^('DCF Model'!C19+0)+'DCF Model'!D45/(1+$B13)^('DCF Model'!C19+1)+'DCF Model'!E45/(1+$B13)^('DCF Model'!C19+2)+'DCF Model'!F45/(1+$B13)^('DCF Model'!C19+3)+'DCF Model'!G45/(1+$B13)^('DCF Model'!C19+4)+'DCF Model'!G45*(1+E$6)/($B13-E$6)/(1+$B13)^('DCF Model'!C19+4)-'DCF Model'!C16)*1000000/'DCF Model'!C15,0),"")</f>
        <v>-1</v>
      </c>
      <c r="F13" s="37">
        <f>IFERROR(ROUND(('DCF Model'!C45/(1+$B13)^('DCF Model'!C19+0)+'DCF Model'!D45/(1+$B13)^('DCF Model'!C19+1)+'DCF Model'!E45/(1+$B13)^('DCF Model'!C19+2)+'DCF Model'!F45/(1+$B13)^('DCF Model'!C19+3)+'DCF Model'!G45/(1+$B13)^('DCF Model'!C19+4)+'DCF Model'!G45*(1+F$6)/($B13-F$6)/(1+$B13)^('DCF Model'!C19+4)-'DCF Model'!C16)*1000000/'DCF Model'!C15,0),"")</f>
        <v>33</v>
      </c>
      <c r="G13" s="37">
        <f>IFERROR(ROUND(('DCF Model'!C45/(1+$B13)^('DCF Model'!C19+0)+'DCF Model'!D45/(1+$B13)^('DCF Model'!C19+1)+'DCF Model'!E45/(1+$B13)^('DCF Model'!C19+2)+'DCF Model'!F45/(1+$B13)^('DCF Model'!C19+3)+'DCF Model'!G45/(1+$B13)^('DCF Model'!C19+4)+'DCF Model'!G45*(1+G$6)/($B13-G$6)/(1+$B13)^('DCF Model'!C19+4)-'DCF Model'!C16)*1000000/'DCF Model'!C15,0),"")</f>
        <v>69</v>
      </c>
      <c r="H13" s="37">
        <f>IFERROR(ROUND(('DCF Model'!C45/(1+$B13)^('DCF Model'!C19+0)+'DCF Model'!D45/(1+$B13)^('DCF Model'!C19+1)+'DCF Model'!E45/(1+$B13)^('DCF Model'!C19+2)+'DCF Model'!F45/(1+$B13)^('DCF Model'!C19+3)+'DCF Model'!G45/(1+$B13)^('DCF Model'!C19+4)+'DCF Model'!G45*(1+H$6)/($B13-H$6)/(1+$B13)^('DCF Model'!C19+4)-'DCF Model'!C16)*1000000/'DCF Model'!C15,0),"")</f>
        <v>107</v>
      </c>
      <c r="I13" s="37">
        <f>IFERROR(ROUND(('DCF Model'!C45/(1+$B13)^('DCF Model'!C19+0)+'DCF Model'!D45/(1+$B13)^('DCF Model'!C19+1)+'DCF Model'!E45/(1+$B13)^('DCF Model'!C19+2)+'DCF Model'!F45/(1+$B13)^('DCF Model'!C19+3)+'DCF Model'!G45/(1+$B13)^('DCF Model'!C19+4)+'DCF Model'!G45*(1+I$6)/($B13-I$6)/(1+$B13)^('DCF Model'!C19+4)-'DCF Model'!C16)*1000000/'DCF Model'!C15,0),"")</f>
        <v>148</v>
      </c>
    </row>
    <row r="16" spans="2:9" ht="14" x14ac:dyDescent="0.3">
      <c r="B16" s="3" t="s">
        <v>256</v>
      </c>
    </row>
    <row r="17" spans="2:9" ht="14" x14ac:dyDescent="0.3">
      <c r="B17" s="40" t="s">
        <v>257</v>
      </c>
      <c r="C17" s="42">
        <f>$I$3-3</f>
        <v>5</v>
      </c>
      <c r="D17" s="42">
        <f>$I$3-2</f>
        <v>6</v>
      </c>
      <c r="E17" s="42">
        <f>$I$3-1</f>
        <v>7</v>
      </c>
      <c r="F17" s="42">
        <f>$I$3</f>
        <v>8</v>
      </c>
      <c r="G17" s="42">
        <f>$I$3+1</f>
        <v>9</v>
      </c>
      <c r="H17" s="42">
        <f>$I$3+2</f>
        <v>10</v>
      </c>
      <c r="I17" s="42">
        <f>$I$3+3</f>
        <v>11</v>
      </c>
    </row>
    <row r="18" spans="2:9" ht="13.5" x14ac:dyDescent="0.25">
      <c r="B18" s="39">
        <f>$C$3-0.015</f>
        <v>6.8719535969247666E-2</v>
      </c>
      <c r="C18" s="37">
        <f>IFERROR(ROUND(('DCF Model'!C45/(1+$B18)^('DCF Model'!C19+0)+'DCF Model'!D45/(1+$B18)^('DCF Model'!C19+1)+'DCF Model'!E45/(1+$B18)^('DCF Model'!C19+2)+'DCF Model'!F45/(1+$B18)^('DCF Model'!C19+3)+'DCF Model'!G45/(1+$B18)^('DCF Model'!C19+4)+('DCF Model'!G39+'DCF Model'!G42)*C$17/(1+$B18)^('DCF Model'!C19+4)-'DCF Model'!C16)*1000000/'DCF Model'!C15,0),"")</f>
        <v>80</v>
      </c>
      <c r="D18" s="37">
        <f>IFERROR(ROUND(('DCF Model'!C45/(1+$B18)^('DCF Model'!C19+0)+'DCF Model'!D45/(1+$B18)^('DCF Model'!C19+1)+'DCF Model'!E45/(1+$B18)^('DCF Model'!C19+2)+'DCF Model'!F45/(1+$B18)^('DCF Model'!C19+3)+'DCF Model'!G45/(1+$B18)^('DCF Model'!C19+4)+('DCF Model'!G39+'DCF Model'!G42)*D$17/(1+$B18)^('DCF Model'!C19+4)-'DCF Model'!C16)*1000000/'DCF Model'!C15,0),"")</f>
        <v>300</v>
      </c>
      <c r="E18" s="37">
        <f>IFERROR(ROUND(('DCF Model'!C45/(1+$B18)^('DCF Model'!C19+0)+'DCF Model'!D45/(1+$B18)^('DCF Model'!C19+1)+'DCF Model'!E45/(1+$B18)^('DCF Model'!C19+2)+'DCF Model'!F45/(1+$B18)^('DCF Model'!C19+3)+'DCF Model'!G45/(1+$B18)^('DCF Model'!C19+4)+('DCF Model'!G39+'DCF Model'!G42)*E$17/(1+$B18)^('DCF Model'!C19+4)-'DCF Model'!C16)*1000000/'DCF Model'!C15,0),"")</f>
        <v>521</v>
      </c>
      <c r="F18" s="37">
        <f>IFERROR(ROUND(('DCF Model'!C45/(1+$B18)^('DCF Model'!C19+0)+'DCF Model'!D45/(1+$B18)^('DCF Model'!C19+1)+'DCF Model'!E45/(1+$B18)^('DCF Model'!C19+2)+'DCF Model'!F45/(1+$B18)^('DCF Model'!C19+3)+'DCF Model'!G45/(1+$B18)^('DCF Model'!C19+4)+('DCF Model'!G39+'DCF Model'!G42)*F$17/(1+$B18)^('DCF Model'!C19+4)-'DCF Model'!C16)*1000000/'DCF Model'!C15,0),"")</f>
        <v>741</v>
      </c>
      <c r="G18" s="37">
        <f>IFERROR(ROUND(('DCF Model'!C45/(1+$B18)^('DCF Model'!C19+0)+'DCF Model'!D45/(1+$B18)^('DCF Model'!C19+1)+'DCF Model'!E45/(1+$B18)^('DCF Model'!C19+2)+'DCF Model'!F45/(1+$B18)^('DCF Model'!C19+3)+'DCF Model'!G45/(1+$B18)^('DCF Model'!C19+4)+('DCF Model'!G39+'DCF Model'!G42)*G$17/(1+$B18)^('DCF Model'!C19+4)-'DCF Model'!C16)*1000000/'DCF Model'!C15,0),"")</f>
        <v>961</v>
      </c>
      <c r="H18" s="37">
        <f>IFERROR(ROUND(('DCF Model'!C45/(1+$B18)^('DCF Model'!C19+0)+'DCF Model'!D45/(1+$B18)^('DCF Model'!C19+1)+'DCF Model'!E45/(1+$B18)^('DCF Model'!C19+2)+'DCF Model'!F45/(1+$B18)^('DCF Model'!C19+3)+'DCF Model'!G45/(1+$B18)^('DCF Model'!C19+4)+('DCF Model'!G39+'DCF Model'!G42)*H$17/(1+$B18)^('DCF Model'!C19+4)-'DCF Model'!C16)*1000000/'DCF Model'!C15,0),"")</f>
        <v>1181</v>
      </c>
      <c r="I18" s="37">
        <f>IFERROR(ROUND(('DCF Model'!C45/(1+$B18)^('DCF Model'!C19+0)+'DCF Model'!D45/(1+$B18)^('DCF Model'!C19+1)+'DCF Model'!E45/(1+$B18)^('DCF Model'!C19+2)+'DCF Model'!F45/(1+$B18)^('DCF Model'!C19+3)+'DCF Model'!G45/(1+$B18)^('DCF Model'!C19+4)+('DCF Model'!G39+'DCF Model'!G42)*I$17/(1+$B18)^('DCF Model'!C19+4)-'DCF Model'!C16)*1000000/'DCF Model'!C15,0),"")</f>
        <v>1401</v>
      </c>
    </row>
    <row r="19" spans="2:9" ht="13.5" x14ac:dyDescent="0.25">
      <c r="B19" s="39">
        <f>$C$3-0.01</f>
        <v>7.3719535969247671E-2</v>
      </c>
      <c r="C19" s="37">
        <f>IFERROR(ROUND(('DCF Model'!C45/(1+$B19)^('DCF Model'!C19+0)+'DCF Model'!D45/(1+$B19)^('DCF Model'!C19+1)+'DCF Model'!E45/(1+$B19)^('DCF Model'!C19+2)+'DCF Model'!F45/(1+$B19)^('DCF Model'!C19+3)+'DCF Model'!G45/(1+$B19)^('DCF Model'!C19+4)+('DCF Model'!G39+'DCF Model'!G42)*C$17/(1+$B19)^('DCF Model'!C19+4)-'DCF Model'!C16)*1000000/'DCF Model'!C15,0),"")</f>
        <v>51</v>
      </c>
      <c r="D19" s="37">
        <f>IFERROR(ROUND(('DCF Model'!C45/(1+$B19)^('DCF Model'!C19+0)+'DCF Model'!D45/(1+$B19)^('DCF Model'!C19+1)+'DCF Model'!E45/(1+$B19)^('DCF Model'!C19+2)+'DCF Model'!F45/(1+$B19)^('DCF Model'!C19+3)+'DCF Model'!G45/(1+$B19)^('DCF Model'!C19+4)+('DCF Model'!G39+'DCF Model'!G42)*D$17/(1+$B19)^('DCF Model'!C19+4)-'DCF Model'!C16)*1000000/'DCF Model'!C15,0),"")</f>
        <v>266</v>
      </c>
      <c r="E19" s="37">
        <f>IFERROR(ROUND(('DCF Model'!C45/(1+$B19)^('DCF Model'!C19+0)+'DCF Model'!D45/(1+$B19)^('DCF Model'!C19+1)+'DCF Model'!E45/(1+$B19)^('DCF Model'!C19+2)+'DCF Model'!F45/(1+$B19)^('DCF Model'!C19+3)+'DCF Model'!G45/(1+$B19)^('DCF Model'!C19+4)+('DCF Model'!G39+'DCF Model'!G42)*E$17/(1+$B19)^('DCF Model'!C19+4)-'DCF Model'!C16)*1000000/'DCF Model'!C15,0),"")</f>
        <v>482</v>
      </c>
      <c r="F19" s="37">
        <f>IFERROR(ROUND(('DCF Model'!C45/(1+$B19)^('DCF Model'!C19+0)+'DCF Model'!D45/(1+$B19)^('DCF Model'!C19+1)+'DCF Model'!E45/(1+$B19)^('DCF Model'!C19+2)+'DCF Model'!F45/(1+$B19)^('DCF Model'!C19+3)+'DCF Model'!G45/(1+$B19)^('DCF Model'!C19+4)+('DCF Model'!G39+'DCF Model'!G42)*F$17/(1+$B19)^('DCF Model'!C19+4)-'DCF Model'!C16)*1000000/'DCF Model'!C15,0),"")</f>
        <v>697</v>
      </c>
      <c r="G19" s="37">
        <f>IFERROR(ROUND(('DCF Model'!C45/(1+$B19)^('DCF Model'!C19+0)+'DCF Model'!D45/(1+$B19)^('DCF Model'!C19+1)+'DCF Model'!E45/(1+$B19)^('DCF Model'!C19+2)+'DCF Model'!F45/(1+$B19)^('DCF Model'!C19+3)+'DCF Model'!G45/(1+$B19)^('DCF Model'!C19+4)+('DCF Model'!G39+'DCF Model'!G42)*G$17/(1+$B19)^('DCF Model'!C19+4)-'DCF Model'!C16)*1000000/'DCF Model'!C15,0),"")</f>
        <v>912</v>
      </c>
      <c r="H19" s="37">
        <f>IFERROR(ROUND(('DCF Model'!C45/(1+$B19)^('DCF Model'!C19+0)+'DCF Model'!D45/(1+$B19)^('DCF Model'!C19+1)+'DCF Model'!E45/(1+$B19)^('DCF Model'!C19+2)+'DCF Model'!F45/(1+$B19)^('DCF Model'!C19+3)+'DCF Model'!G45/(1+$B19)^('DCF Model'!C19+4)+('DCF Model'!G39+'DCF Model'!G42)*H$17/(1+$B19)^('DCF Model'!C19+4)-'DCF Model'!C16)*1000000/'DCF Model'!C15,0),"")</f>
        <v>1128</v>
      </c>
      <c r="I19" s="37">
        <f>IFERROR(ROUND(('DCF Model'!C45/(1+$B19)^('DCF Model'!C19+0)+'DCF Model'!D45/(1+$B19)^('DCF Model'!C19+1)+'DCF Model'!E45/(1+$B19)^('DCF Model'!C19+2)+'DCF Model'!F45/(1+$B19)^('DCF Model'!C19+3)+'DCF Model'!G45/(1+$B19)^('DCF Model'!C19+4)+('DCF Model'!G39+'DCF Model'!G42)*I$17/(1+$B19)^('DCF Model'!C19+4)-'DCF Model'!C16)*1000000/'DCF Model'!C15,0),"")</f>
        <v>1343</v>
      </c>
    </row>
    <row r="20" spans="2:9" ht="13.5" x14ac:dyDescent="0.25">
      <c r="B20" s="39">
        <f>$C$3-0.005</f>
        <v>7.8719535969247661E-2</v>
      </c>
      <c r="C20" s="37">
        <f>IFERROR(ROUND(('DCF Model'!C45/(1+$B20)^('DCF Model'!C19+0)+'DCF Model'!D45/(1+$B20)^('DCF Model'!C19+1)+'DCF Model'!E45/(1+$B20)^('DCF Model'!C19+2)+'DCF Model'!F45/(1+$B20)^('DCF Model'!C19+3)+'DCF Model'!G45/(1+$B20)^('DCF Model'!C19+4)+('DCF Model'!G39+'DCF Model'!G42)*C$17/(1+$B20)^('DCF Model'!C19+4)-'DCF Model'!C16)*1000000/'DCF Model'!C15,0),"")</f>
        <v>23</v>
      </c>
      <c r="D20" s="37">
        <f>IFERROR(ROUND(('DCF Model'!C45/(1+$B20)^('DCF Model'!C19+0)+'DCF Model'!D45/(1+$B20)^('DCF Model'!C19+1)+'DCF Model'!E45/(1+$B20)^('DCF Model'!C19+2)+'DCF Model'!F45/(1+$B20)^('DCF Model'!C19+3)+'DCF Model'!G45/(1+$B20)^('DCF Model'!C19+4)+('DCF Model'!G39+'DCF Model'!G42)*D$17/(1+$B20)^('DCF Model'!C19+4)-'DCF Model'!C16)*1000000/'DCF Model'!C15,0),"")</f>
        <v>233</v>
      </c>
      <c r="E20" s="37">
        <f>IFERROR(ROUND(('DCF Model'!C45/(1+$B20)^('DCF Model'!C19+0)+'DCF Model'!D45/(1+$B20)^('DCF Model'!C19+1)+'DCF Model'!E45/(1+$B20)^('DCF Model'!C19+2)+'DCF Model'!F45/(1+$B20)^('DCF Model'!C19+3)+'DCF Model'!G45/(1+$B20)^('DCF Model'!C19+4)+('DCF Model'!G39+'DCF Model'!G42)*E$17/(1+$B20)^('DCF Model'!C19+4)-'DCF Model'!C16)*1000000/'DCF Model'!C15,0),"")</f>
        <v>444</v>
      </c>
      <c r="F20" s="37">
        <f>IFERROR(ROUND(('DCF Model'!C45/(1+$B20)^('DCF Model'!C19+0)+'DCF Model'!D45/(1+$B20)^('DCF Model'!C19+1)+'DCF Model'!E45/(1+$B20)^('DCF Model'!C19+2)+'DCF Model'!F45/(1+$B20)^('DCF Model'!C19+3)+'DCF Model'!G45/(1+$B20)^('DCF Model'!C19+4)+('DCF Model'!G39+'DCF Model'!G42)*F$17/(1+$B20)^('DCF Model'!C19+4)-'DCF Model'!C16)*1000000/'DCF Model'!C15,0),"")</f>
        <v>655</v>
      </c>
      <c r="G20" s="37">
        <f>IFERROR(ROUND(('DCF Model'!C45/(1+$B20)^('DCF Model'!C19+0)+'DCF Model'!D45/(1+$B20)^('DCF Model'!C19+1)+'DCF Model'!E45/(1+$B20)^('DCF Model'!C19+2)+'DCF Model'!F45/(1+$B20)^('DCF Model'!C19+3)+'DCF Model'!G45/(1+$B20)^('DCF Model'!C19+4)+('DCF Model'!G39+'DCF Model'!G42)*G$17/(1+$B20)^('DCF Model'!C19+4)-'DCF Model'!C16)*1000000/'DCF Model'!C15,0),"")</f>
        <v>865</v>
      </c>
      <c r="H20" s="37">
        <f>IFERROR(ROUND(('DCF Model'!C45/(1+$B20)^('DCF Model'!C19+0)+'DCF Model'!D45/(1+$B20)^('DCF Model'!C19+1)+'DCF Model'!E45/(1+$B20)^('DCF Model'!C19+2)+'DCF Model'!F45/(1+$B20)^('DCF Model'!C19+3)+'DCF Model'!G45/(1+$B20)^('DCF Model'!C19+4)+('DCF Model'!G39+'DCF Model'!G42)*H$17/(1+$B20)^('DCF Model'!C19+4)-'DCF Model'!C16)*1000000/'DCF Model'!C15,0),"")</f>
        <v>1076</v>
      </c>
      <c r="I20" s="37">
        <f>IFERROR(ROUND(('DCF Model'!C45/(1+$B20)^('DCF Model'!C19+0)+'DCF Model'!D45/(1+$B20)^('DCF Model'!C19+1)+'DCF Model'!E45/(1+$B20)^('DCF Model'!C19+2)+'DCF Model'!F45/(1+$B20)^('DCF Model'!C19+3)+'DCF Model'!G45/(1+$B20)^('DCF Model'!C19+4)+('DCF Model'!G39+'DCF Model'!G42)*I$17/(1+$B20)^('DCF Model'!C19+4)-'DCF Model'!C16)*1000000/'DCF Model'!C15,0),"")</f>
        <v>1287</v>
      </c>
    </row>
    <row r="21" spans="2:9" ht="13.5" x14ac:dyDescent="0.25">
      <c r="B21" s="39">
        <f>$C$3</f>
        <v>8.3719535969247666E-2</v>
      </c>
      <c r="C21" s="37">
        <f>IFERROR(ROUND(('DCF Model'!C45/(1+$B21)^('DCF Model'!C19+0)+'DCF Model'!D45/(1+$B21)^('DCF Model'!C19+1)+'DCF Model'!E45/(1+$B21)^('DCF Model'!C19+2)+'DCF Model'!F45/(1+$B21)^('DCF Model'!C19+3)+'DCF Model'!G45/(1+$B21)^('DCF Model'!C19+4)+('DCF Model'!G39+'DCF Model'!G42)*C$17/(1+$B21)^('DCF Model'!C19+4)-'DCF Model'!C16)*1000000/'DCF Model'!C15,0),"")</f>
        <v>-5</v>
      </c>
      <c r="D21" s="37">
        <f>IFERROR(ROUND(('DCF Model'!C45/(1+$B21)^('DCF Model'!C19+0)+'DCF Model'!D45/(1+$B21)^('DCF Model'!C19+1)+'DCF Model'!E45/(1+$B21)^('DCF Model'!C19+2)+'DCF Model'!F45/(1+$B21)^('DCF Model'!C19+3)+'DCF Model'!G45/(1+$B21)^('DCF Model'!C19+4)+('DCF Model'!G39+'DCF Model'!G42)*D$17/(1+$B21)^('DCF Model'!C19+4)-'DCF Model'!C16)*1000000/'DCF Model'!C15,0),"")</f>
        <v>201</v>
      </c>
      <c r="E21" s="37">
        <f>IFERROR(ROUND(('DCF Model'!C45/(1+$B21)^('DCF Model'!C19+0)+'DCF Model'!D45/(1+$B21)^('DCF Model'!C19+1)+'DCF Model'!E45/(1+$B21)^('DCF Model'!C19+2)+'DCF Model'!F45/(1+$B21)^('DCF Model'!C19+3)+'DCF Model'!G45/(1+$B21)^('DCF Model'!C19+4)+('DCF Model'!G39+'DCF Model'!G42)*E$17/(1+$B21)^('DCF Model'!C19+4)-'DCF Model'!C16)*1000000/'DCF Model'!C15,0),"")</f>
        <v>407</v>
      </c>
      <c r="F21" s="37">
        <f>IFERROR(ROUND(('DCF Model'!C45/(1+$B21)^('DCF Model'!C19+0)+'DCF Model'!D45/(1+$B21)^('DCF Model'!C19+1)+'DCF Model'!E45/(1+$B21)^('DCF Model'!C19+2)+'DCF Model'!F45/(1+$B21)^('DCF Model'!C19+3)+'DCF Model'!G45/(1+$B21)^('DCF Model'!C19+4)+('DCF Model'!G39+'DCF Model'!G42)*F$17/(1+$B21)^('DCF Model'!C19+4)-'DCF Model'!C16)*1000000/'DCF Model'!C15,0),"")</f>
        <v>613</v>
      </c>
      <c r="G21" s="37">
        <f>IFERROR(ROUND(('DCF Model'!C45/(1+$B21)^('DCF Model'!C19+0)+'DCF Model'!D45/(1+$B21)^('DCF Model'!C19+1)+'DCF Model'!E45/(1+$B21)^('DCF Model'!C19+2)+'DCF Model'!F45/(1+$B21)^('DCF Model'!C19+3)+'DCF Model'!G45/(1+$B21)^('DCF Model'!C19+4)+('DCF Model'!G39+'DCF Model'!G42)*G$17/(1+$B21)^('DCF Model'!C19+4)-'DCF Model'!C16)*1000000/'DCF Model'!C15,0),"")</f>
        <v>819</v>
      </c>
      <c r="H21" s="37">
        <f>IFERROR(ROUND(('DCF Model'!C45/(1+$B21)^('DCF Model'!C19+0)+'DCF Model'!D45/(1+$B21)^('DCF Model'!C19+1)+'DCF Model'!E45/(1+$B21)^('DCF Model'!C19+2)+'DCF Model'!F45/(1+$B21)^('DCF Model'!C19+3)+'DCF Model'!G45/(1+$B21)^('DCF Model'!C19+4)+('DCF Model'!G39+'DCF Model'!G42)*H$17/(1+$B21)^('DCF Model'!C19+4)-'DCF Model'!C16)*1000000/'DCF Model'!C15,0),"")</f>
        <v>1025</v>
      </c>
      <c r="I21" s="37">
        <f>IFERROR(ROUND(('DCF Model'!C45/(1+$B21)^('DCF Model'!C19+0)+'DCF Model'!D45/(1+$B21)^('DCF Model'!C19+1)+'DCF Model'!E45/(1+$B21)^('DCF Model'!C19+2)+'DCF Model'!F45/(1+$B21)^('DCF Model'!C19+3)+'DCF Model'!G45/(1+$B21)^('DCF Model'!C19+4)+('DCF Model'!G39+'DCF Model'!G42)*I$17/(1+$B21)^('DCF Model'!C19+4)-'DCF Model'!C16)*1000000/'DCF Model'!C15,0),"")</f>
        <v>1231</v>
      </c>
    </row>
    <row r="22" spans="2:9" ht="13.5" x14ac:dyDescent="0.25">
      <c r="B22" s="39">
        <f>$C$3+0.005</f>
        <v>8.871953596924767E-2</v>
      </c>
      <c r="C22" s="37">
        <f>IFERROR(ROUND(('DCF Model'!C45/(1+$B22)^('DCF Model'!C19+0)+'DCF Model'!D45/(1+$B22)^('DCF Model'!C19+1)+'DCF Model'!E45/(1+$B22)^('DCF Model'!C19+2)+'DCF Model'!F45/(1+$B22)^('DCF Model'!C19+3)+'DCF Model'!G45/(1+$B22)^('DCF Model'!C19+4)+('DCF Model'!G39+'DCF Model'!G42)*C$17/(1+$B22)^('DCF Model'!C19+4)-'DCF Model'!C16)*1000000/'DCF Model'!C15,0),"")</f>
        <v>-32</v>
      </c>
      <c r="D22" s="37">
        <f>IFERROR(ROUND(('DCF Model'!C45/(1+$B22)^('DCF Model'!C19+0)+'DCF Model'!D45/(1+$B22)^('DCF Model'!C19+1)+'DCF Model'!E45/(1+$B22)^('DCF Model'!C19+2)+'DCF Model'!F45/(1+$B22)^('DCF Model'!C19+3)+'DCF Model'!G45/(1+$B22)^('DCF Model'!C19+4)+('DCF Model'!G39+'DCF Model'!G42)*D$17/(1+$B22)^('DCF Model'!C19+4)-'DCF Model'!C16)*1000000/'DCF Model'!C15,0),"")</f>
        <v>169</v>
      </c>
      <c r="E22" s="37">
        <f>IFERROR(ROUND(('DCF Model'!C45/(1+$B22)^('DCF Model'!C19+0)+'DCF Model'!D45/(1+$B22)^('DCF Model'!C19+1)+'DCF Model'!E45/(1+$B22)^('DCF Model'!C19+2)+'DCF Model'!F45/(1+$B22)^('DCF Model'!C19+3)+'DCF Model'!G45/(1+$B22)^('DCF Model'!C19+4)+('DCF Model'!G39+'DCF Model'!G42)*E$17/(1+$B22)^('DCF Model'!C19+4)-'DCF Model'!C16)*1000000/'DCF Model'!C15,0),"")</f>
        <v>371</v>
      </c>
      <c r="F22" s="37">
        <f>IFERROR(ROUND(('DCF Model'!C45/(1+$B22)^('DCF Model'!C19+0)+'DCF Model'!D45/(1+$B22)^('DCF Model'!C19+1)+'DCF Model'!E45/(1+$B22)^('DCF Model'!C19+2)+'DCF Model'!F45/(1+$B22)^('DCF Model'!C19+3)+'DCF Model'!G45/(1+$B22)^('DCF Model'!C19+4)+('DCF Model'!G39+'DCF Model'!G42)*F$17/(1+$B22)^('DCF Model'!C19+4)-'DCF Model'!C16)*1000000/'DCF Model'!C15,0),"")</f>
        <v>573</v>
      </c>
      <c r="G22" s="37">
        <f>IFERROR(ROUND(('DCF Model'!C45/(1+$B22)^('DCF Model'!C19+0)+'DCF Model'!D45/(1+$B22)^('DCF Model'!C19+1)+'DCF Model'!E45/(1+$B22)^('DCF Model'!C19+2)+'DCF Model'!F45/(1+$B22)^('DCF Model'!C19+3)+'DCF Model'!G45/(1+$B22)^('DCF Model'!C19+4)+('DCF Model'!G39+'DCF Model'!G42)*G$17/(1+$B22)^('DCF Model'!C19+4)-'DCF Model'!C16)*1000000/'DCF Model'!C15,0),"")</f>
        <v>774</v>
      </c>
      <c r="H22" s="37">
        <f>IFERROR(ROUND(('DCF Model'!C45/(1+$B22)^('DCF Model'!C19+0)+'DCF Model'!D45/(1+$B22)^('DCF Model'!C19+1)+'DCF Model'!E45/(1+$B22)^('DCF Model'!C19+2)+'DCF Model'!F45/(1+$B22)^('DCF Model'!C19+3)+'DCF Model'!G45/(1+$B22)^('DCF Model'!C19+4)+('DCF Model'!G39+'DCF Model'!G42)*H$17/(1+$B22)^('DCF Model'!C19+4)-'DCF Model'!C16)*1000000/'DCF Model'!C15,0),"")</f>
        <v>976</v>
      </c>
      <c r="I22" s="37">
        <f>IFERROR(ROUND(('DCF Model'!C45/(1+$B22)^('DCF Model'!C19+0)+'DCF Model'!D45/(1+$B22)^('DCF Model'!C19+1)+'DCF Model'!E45/(1+$B22)^('DCF Model'!C19+2)+'DCF Model'!F45/(1+$B22)^('DCF Model'!C19+3)+'DCF Model'!G45/(1+$B22)^('DCF Model'!C19+4)+('DCF Model'!G39+'DCF Model'!G42)*I$17/(1+$B22)^('DCF Model'!C19+4)-'DCF Model'!C16)*1000000/'DCF Model'!C15,0),"")</f>
        <v>1178</v>
      </c>
    </row>
    <row r="23" spans="2:9" ht="13.5" x14ac:dyDescent="0.25">
      <c r="B23" s="39">
        <f>$C$3+0.01</f>
        <v>9.3719535969247661E-2</v>
      </c>
      <c r="C23" s="37">
        <f>IFERROR(ROUND(('DCF Model'!C45/(1+$B23)^('DCF Model'!C19+0)+'DCF Model'!D45/(1+$B23)^('DCF Model'!C19+1)+'DCF Model'!E45/(1+$B23)^('DCF Model'!C19+2)+'DCF Model'!F45/(1+$B23)^('DCF Model'!C19+3)+'DCF Model'!G45/(1+$B23)^('DCF Model'!C19+4)+('DCF Model'!G39+'DCF Model'!G42)*C$17/(1+$B23)^('DCF Model'!C19+4)-'DCF Model'!C16)*1000000/'DCF Model'!C15,0),"")</f>
        <v>-59</v>
      </c>
      <c r="D23" s="37">
        <f>IFERROR(ROUND(('DCF Model'!C45/(1+$B23)^('DCF Model'!C19+0)+'DCF Model'!D45/(1+$B23)^('DCF Model'!C19+1)+'DCF Model'!E45/(1+$B23)^('DCF Model'!C19+2)+'DCF Model'!F45/(1+$B23)^('DCF Model'!C19+3)+'DCF Model'!G45/(1+$B23)^('DCF Model'!C19+4)+('DCF Model'!G39+'DCF Model'!G42)*D$17/(1+$B23)^('DCF Model'!C19+4)-'DCF Model'!C16)*1000000/'DCF Model'!C15,0),"")</f>
        <v>139</v>
      </c>
      <c r="E23" s="37">
        <f>IFERROR(ROUND(('DCF Model'!C45/(1+$B23)^('DCF Model'!C19+0)+'DCF Model'!D45/(1+$B23)^('DCF Model'!C19+1)+'DCF Model'!E45/(1+$B23)^('DCF Model'!C19+2)+'DCF Model'!F45/(1+$B23)^('DCF Model'!C19+3)+'DCF Model'!G45/(1+$B23)^('DCF Model'!C19+4)+('DCF Model'!G39+'DCF Model'!G42)*E$17/(1+$B23)^('DCF Model'!C19+4)-'DCF Model'!C16)*1000000/'DCF Model'!C15,0),"")</f>
        <v>336</v>
      </c>
      <c r="F23" s="37">
        <f>IFERROR(ROUND(('DCF Model'!C45/(1+$B23)^('DCF Model'!C19+0)+'DCF Model'!D45/(1+$B23)^('DCF Model'!C19+1)+'DCF Model'!E45/(1+$B23)^('DCF Model'!C19+2)+'DCF Model'!F45/(1+$B23)^('DCF Model'!C19+3)+'DCF Model'!G45/(1+$B23)^('DCF Model'!C19+4)+('DCF Model'!G39+'DCF Model'!G42)*F$17/(1+$B23)^('DCF Model'!C19+4)-'DCF Model'!C16)*1000000/'DCF Model'!C15,0),"")</f>
        <v>533</v>
      </c>
      <c r="G23" s="37">
        <f>IFERROR(ROUND(('DCF Model'!C45/(1+$B23)^('DCF Model'!C19+0)+'DCF Model'!D45/(1+$B23)^('DCF Model'!C19+1)+'DCF Model'!E45/(1+$B23)^('DCF Model'!C19+2)+'DCF Model'!F45/(1+$B23)^('DCF Model'!C19+3)+'DCF Model'!G45/(1+$B23)^('DCF Model'!C19+4)+('DCF Model'!G39+'DCF Model'!G42)*G$17/(1+$B23)^('DCF Model'!C19+4)-'DCF Model'!C16)*1000000/'DCF Model'!C15,0),"")</f>
        <v>731</v>
      </c>
      <c r="H23" s="37">
        <f>IFERROR(ROUND(('DCF Model'!C45/(1+$B23)^('DCF Model'!C19+0)+'DCF Model'!D45/(1+$B23)^('DCF Model'!C19+1)+'DCF Model'!E45/(1+$B23)^('DCF Model'!C19+2)+'DCF Model'!F45/(1+$B23)^('DCF Model'!C19+3)+'DCF Model'!G45/(1+$B23)^('DCF Model'!C19+4)+('DCF Model'!G39+'DCF Model'!G42)*H$17/(1+$B23)^('DCF Model'!C19+4)-'DCF Model'!C16)*1000000/'DCF Model'!C15,0),"")</f>
        <v>928</v>
      </c>
      <c r="I23" s="37">
        <f>IFERROR(ROUND(('DCF Model'!C45/(1+$B23)^('DCF Model'!C19+0)+'DCF Model'!D45/(1+$B23)^('DCF Model'!C19+1)+'DCF Model'!E45/(1+$B23)^('DCF Model'!C19+2)+'DCF Model'!F45/(1+$B23)^('DCF Model'!C19+3)+'DCF Model'!G45/(1+$B23)^('DCF Model'!C19+4)+('DCF Model'!G39+'DCF Model'!G42)*I$17/(1+$B23)^('DCF Model'!C19+4)-'DCF Model'!C16)*1000000/'DCF Model'!C15,0),"")</f>
        <v>1125</v>
      </c>
    </row>
    <row r="24" spans="2:9" ht="13.5" x14ac:dyDescent="0.25">
      <c r="B24" s="39">
        <f>$C$3+0.015</f>
        <v>9.8719535969247665E-2</v>
      </c>
      <c r="C24" s="37">
        <f>IFERROR(ROUND(('DCF Model'!C45/(1+$B24)^('DCF Model'!C19+0)+'DCF Model'!D45/(1+$B24)^('DCF Model'!C19+1)+'DCF Model'!E45/(1+$B24)^('DCF Model'!C19+2)+'DCF Model'!F45/(1+$B24)^('DCF Model'!C19+3)+'DCF Model'!G45/(1+$B24)^('DCF Model'!C19+4)+('DCF Model'!G39+'DCF Model'!G42)*C$17/(1+$B24)^('DCF Model'!C19+4)-'DCF Model'!C16)*1000000/'DCF Model'!C15,0),"")</f>
        <v>-84</v>
      </c>
      <c r="D24" s="37">
        <f>IFERROR(ROUND(('DCF Model'!C45/(1+$B24)^('DCF Model'!C19+0)+'DCF Model'!D45/(1+$B24)^('DCF Model'!C19+1)+'DCF Model'!E45/(1+$B24)^('DCF Model'!C19+2)+'DCF Model'!F45/(1+$B24)^('DCF Model'!C19+3)+'DCF Model'!G45/(1+$B24)^('DCF Model'!C19+4)+('DCF Model'!G39+'DCF Model'!G42)*D$17/(1+$B24)^('DCF Model'!C19+4)-'DCF Model'!C16)*1000000/'DCF Model'!C15,0),"")</f>
        <v>109</v>
      </c>
      <c r="E24" s="37">
        <f>IFERROR(ROUND(('DCF Model'!C45/(1+$B24)^('DCF Model'!C19+0)+'DCF Model'!D45/(1+$B24)^('DCF Model'!C19+1)+'DCF Model'!E45/(1+$B24)^('DCF Model'!C19+2)+'DCF Model'!F45/(1+$B24)^('DCF Model'!C19+3)+'DCF Model'!G45/(1+$B24)^('DCF Model'!C19+4)+('DCF Model'!G39+'DCF Model'!G42)*E$17/(1+$B24)^('DCF Model'!C19+4)-'DCF Model'!C16)*1000000/'DCF Model'!C15,0),"")</f>
        <v>302</v>
      </c>
      <c r="F24" s="37">
        <f>IFERROR(ROUND(('DCF Model'!C45/(1+$B24)^('DCF Model'!C19+0)+'DCF Model'!D45/(1+$B24)^('DCF Model'!C19+1)+'DCF Model'!E45/(1+$B24)^('DCF Model'!C19+2)+'DCF Model'!F45/(1+$B24)^('DCF Model'!C19+3)+'DCF Model'!G45/(1+$B24)^('DCF Model'!C19+4)+('DCF Model'!G39+'DCF Model'!G42)*F$17/(1+$B24)^('DCF Model'!C19+4)-'DCF Model'!C16)*1000000/'DCF Model'!C15,0),"")</f>
        <v>495</v>
      </c>
      <c r="G24" s="37">
        <f>IFERROR(ROUND(('DCF Model'!C45/(1+$B24)^('DCF Model'!C19+0)+'DCF Model'!D45/(1+$B24)^('DCF Model'!C19+1)+'DCF Model'!E45/(1+$B24)^('DCF Model'!C19+2)+'DCF Model'!F45/(1+$B24)^('DCF Model'!C19+3)+'DCF Model'!G45/(1+$B24)^('DCF Model'!C19+4)+('DCF Model'!G39+'DCF Model'!G42)*G$17/(1+$B24)^('DCF Model'!C19+4)-'DCF Model'!C16)*1000000/'DCF Model'!C15,0),"")</f>
        <v>688</v>
      </c>
      <c r="H24" s="37">
        <f>IFERROR(ROUND(('DCF Model'!C45/(1+$B24)^('DCF Model'!C19+0)+'DCF Model'!D45/(1+$B24)^('DCF Model'!C19+1)+'DCF Model'!E45/(1+$B24)^('DCF Model'!C19+2)+'DCF Model'!F45/(1+$B24)^('DCF Model'!C19+3)+'DCF Model'!G45/(1+$B24)^('DCF Model'!C19+4)+('DCF Model'!G39+'DCF Model'!G42)*H$17/(1+$B24)^('DCF Model'!C19+4)-'DCF Model'!C16)*1000000/'DCF Model'!C15,0),"")</f>
        <v>881</v>
      </c>
      <c r="I24" s="37">
        <f>IFERROR(ROUND(('DCF Model'!C45/(1+$B24)^('DCF Model'!C19+0)+'DCF Model'!D45/(1+$B24)^('DCF Model'!C19+1)+'DCF Model'!E45/(1+$B24)^('DCF Model'!C19+2)+'DCF Model'!F45/(1+$B24)^('DCF Model'!C19+3)+'DCF Model'!G45/(1+$B24)^('DCF Model'!C19+4)+('DCF Model'!G39+'DCF Model'!G42)*I$17/(1+$B24)^('DCF Model'!C19+4)-'DCF Model'!C16)*1000000/'DCF Model'!C15,0),"")</f>
        <v>1074</v>
      </c>
    </row>
    <row r="26" spans="2:9" ht="14" x14ac:dyDescent="0.3">
      <c r="B26" s="48" t="s">
        <v>258</v>
      </c>
      <c r="C26" s="47"/>
      <c r="D26" s="47"/>
      <c r="E26" s="47"/>
      <c r="F26" s="47"/>
      <c r="G26" s="47"/>
      <c r="H26" s="47"/>
      <c r="I26" s="47"/>
    </row>
    <row r="28" spans="2:9" ht="14" x14ac:dyDescent="0.3">
      <c r="B28" s="3" t="s">
        <v>259</v>
      </c>
    </row>
    <row r="29" spans="2:9" ht="14" x14ac:dyDescent="0.3">
      <c r="B29" s="4" t="s">
        <v>260</v>
      </c>
      <c r="C29" s="43">
        <v>150</v>
      </c>
    </row>
    <row r="30" spans="2:9" ht="14" x14ac:dyDescent="0.3">
      <c r="B30" s="4" t="s">
        <v>261</v>
      </c>
      <c r="C30" s="26">
        <v>0.6</v>
      </c>
    </row>
    <row r="31" spans="2:9" ht="14" x14ac:dyDescent="0.3">
      <c r="B31" s="4" t="s">
        <v>262</v>
      </c>
      <c r="C31" s="26">
        <v>0.25</v>
      </c>
    </row>
    <row r="32" spans="2:9" ht="14" x14ac:dyDescent="0.3">
      <c r="B32" s="4" t="s">
        <v>263</v>
      </c>
      <c r="C32" s="5">
        <f>'DCF Model'!C33</f>
        <v>50050.832000000002</v>
      </c>
    </row>
    <row r="33" spans="2:9" ht="14" x14ac:dyDescent="0.3">
      <c r="B33" s="4" t="s">
        <v>264</v>
      </c>
      <c r="C33" s="5">
        <f>'DCF Model'!C34</f>
        <v>39790.411440000003</v>
      </c>
    </row>
    <row r="34" spans="2:9" ht="14" x14ac:dyDescent="0.3">
      <c r="B34" s="4" t="s">
        <v>265</v>
      </c>
      <c r="C34" s="5">
        <f>'DCF Model'!C39</f>
        <v>4154.2190559999981</v>
      </c>
    </row>
    <row r="35" spans="2:9" ht="14" x14ac:dyDescent="0.3">
      <c r="B35" s="4" t="s">
        <v>266</v>
      </c>
      <c r="C35" s="44">
        <f>(C32*C30-C33*C31)/C29</f>
        <v>133.88597559999999</v>
      </c>
    </row>
    <row r="37" spans="2:9" ht="14" x14ac:dyDescent="0.3">
      <c r="B37" s="28" t="s">
        <v>267</v>
      </c>
      <c r="C37" s="45">
        <f>$C$29-20</f>
        <v>130</v>
      </c>
      <c r="D37" s="45">
        <f>$C$29-10</f>
        <v>140</v>
      </c>
      <c r="E37" s="45">
        <f>$C$29-5</f>
        <v>145</v>
      </c>
      <c r="F37" s="45">
        <f>$C$29</f>
        <v>150</v>
      </c>
      <c r="G37" s="45">
        <f>$C$29+5</f>
        <v>155</v>
      </c>
      <c r="H37" s="45">
        <f>$C$29+10</f>
        <v>160</v>
      </c>
      <c r="I37" s="45">
        <f>$C$29+20</f>
        <v>170</v>
      </c>
    </row>
    <row r="38" spans="2:9" ht="14" x14ac:dyDescent="0.3">
      <c r="B38" s="4" t="s">
        <v>268</v>
      </c>
      <c r="C38" s="37">
        <f t="shared" ref="C38:I38" si="0">$C$34+(C37-$C$29)*$C$35</f>
        <v>1476.4995439999984</v>
      </c>
      <c r="D38" s="37">
        <f t="shared" si="0"/>
        <v>2815.3592999999983</v>
      </c>
      <c r="E38" s="37">
        <f t="shared" si="0"/>
        <v>3484.7891779999982</v>
      </c>
      <c r="F38" s="37">
        <f t="shared" si="0"/>
        <v>4154.2190559999981</v>
      </c>
      <c r="G38" s="37">
        <f t="shared" si="0"/>
        <v>4823.648933999998</v>
      </c>
      <c r="H38" s="37">
        <f t="shared" si="0"/>
        <v>5493.0788119999979</v>
      </c>
      <c r="I38" s="37">
        <f t="shared" si="0"/>
        <v>6831.9385679999978</v>
      </c>
    </row>
    <row r="39" spans="2:9" ht="14" x14ac:dyDescent="0.3">
      <c r="B39" s="4" t="s">
        <v>269</v>
      </c>
      <c r="C39" s="39">
        <f t="shared" ref="C39:I39" si="1">IFERROR(C38/$C$32,"N/A")</f>
        <v>2.9499999999999967E-2</v>
      </c>
      <c r="D39" s="39">
        <f t="shared" si="1"/>
        <v>5.624999999999996E-2</v>
      </c>
      <c r="E39" s="39">
        <f t="shared" si="1"/>
        <v>6.9624999999999965E-2</v>
      </c>
      <c r="F39" s="39">
        <f t="shared" si="1"/>
        <v>8.2999999999999963E-2</v>
      </c>
      <c r="G39" s="39">
        <f t="shared" si="1"/>
        <v>9.6374999999999961E-2</v>
      </c>
      <c r="H39" s="39">
        <f t="shared" si="1"/>
        <v>0.10974999999999996</v>
      </c>
      <c r="I39" s="39">
        <f t="shared" si="1"/>
        <v>0.13649999999999995</v>
      </c>
    </row>
    <row r="40" spans="2:9" ht="14" x14ac:dyDescent="0.3">
      <c r="B40" s="48" t="s">
        <v>270</v>
      </c>
      <c r="C40" s="47"/>
      <c r="D40" s="47"/>
      <c r="E40" s="47"/>
      <c r="F40" s="47"/>
      <c r="G40" s="47"/>
      <c r="H40" s="47"/>
      <c r="I40" s="47"/>
    </row>
  </sheetData>
  <mergeCells count="2">
    <mergeCell ref="B40:I40"/>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6"/>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271</v>
      </c>
    </row>
    <row r="4" spans="2:7" ht="14" x14ac:dyDescent="0.3">
      <c r="B4" s="10" t="s">
        <v>272</v>
      </c>
      <c r="C4" s="10" t="s">
        <v>273</v>
      </c>
      <c r="D4" s="10" t="s">
        <v>274</v>
      </c>
      <c r="E4" s="10" t="s">
        <v>275</v>
      </c>
      <c r="F4" s="10" t="s">
        <v>276</v>
      </c>
      <c r="G4" s="10" t="s">
        <v>277</v>
      </c>
    </row>
    <row r="5" spans="2:7" x14ac:dyDescent="0.2">
      <c r="B5" t="s">
        <v>278</v>
      </c>
      <c r="C5" t="s">
        <v>279</v>
      </c>
      <c r="D5" t="s">
        <v>280</v>
      </c>
      <c r="E5" t="s">
        <v>281</v>
      </c>
      <c r="F5" t="s">
        <v>279</v>
      </c>
      <c r="G5" t="s">
        <v>282</v>
      </c>
    </row>
    <row r="6" spans="2:7" ht="30" customHeight="1" x14ac:dyDescent="0.3">
      <c r="B6" t="s">
        <v>278</v>
      </c>
      <c r="C6" s="4" t="s">
        <v>283</v>
      </c>
      <c r="D6" t="s">
        <v>284</v>
      </c>
      <c r="E6" t="s">
        <v>285</v>
      </c>
      <c r="F6" t="s">
        <v>286</v>
      </c>
      <c r="G6" t="s">
        <v>287</v>
      </c>
    </row>
    <row r="7" spans="2:7" ht="30" customHeight="1" x14ac:dyDescent="0.3">
      <c r="B7" t="s">
        <v>278</v>
      </c>
      <c r="C7" s="4" t="s">
        <v>288</v>
      </c>
      <c r="D7" t="s">
        <v>289</v>
      </c>
      <c r="E7" t="s">
        <v>290</v>
      </c>
      <c r="F7" t="s">
        <v>291</v>
      </c>
      <c r="G7" t="s">
        <v>292</v>
      </c>
    </row>
    <row r="8" spans="2:7" ht="30" customHeight="1" x14ac:dyDescent="0.3">
      <c r="B8" t="s">
        <v>278</v>
      </c>
      <c r="C8" s="4" t="s">
        <v>293</v>
      </c>
      <c r="D8" t="s">
        <v>294</v>
      </c>
      <c r="E8" t="s">
        <v>295</v>
      </c>
      <c r="F8" t="s">
        <v>279</v>
      </c>
      <c r="G8" t="s">
        <v>296</v>
      </c>
    </row>
    <row r="12" spans="2:7" ht="14" x14ac:dyDescent="0.3">
      <c r="B12" s="8" t="s">
        <v>297</v>
      </c>
    </row>
    <row r="13" spans="2:7" ht="14" x14ac:dyDescent="0.3">
      <c r="B13" s="10" t="s">
        <v>298</v>
      </c>
      <c r="C13" s="10" t="s">
        <v>299</v>
      </c>
    </row>
    <row r="14" spans="2:7" ht="14" x14ac:dyDescent="0.3">
      <c r="B14" s="4" t="s">
        <v>300</v>
      </c>
      <c r="C14" t="s">
        <v>301</v>
      </c>
    </row>
    <row r="15" spans="2:7" ht="14" x14ac:dyDescent="0.3">
      <c r="B15" s="4" t="s">
        <v>302</v>
      </c>
      <c r="C15" t="s">
        <v>303</v>
      </c>
    </row>
    <row r="16" spans="2:7" ht="14" x14ac:dyDescent="0.3">
      <c r="B16" s="4" t="s">
        <v>304</v>
      </c>
      <c r="C16" t="s">
        <v>305</v>
      </c>
    </row>
    <row r="17" spans="2:3" ht="14" x14ac:dyDescent="0.3">
      <c r="B17" s="4" t="s">
        <v>306</v>
      </c>
      <c r="C17" t="s">
        <v>303</v>
      </c>
    </row>
    <row r="18" spans="2:3" ht="14" x14ac:dyDescent="0.3">
      <c r="B18" s="4" t="s">
        <v>307</v>
      </c>
      <c r="C18" t="s">
        <v>308</v>
      </c>
    </row>
    <row r="19" spans="2:3" ht="14" x14ac:dyDescent="0.3">
      <c r="B19" s="4" t="s">
        <v>309</v>
      </c>
      <c r="C19" t="s">
        <v>310</v>
      </c>
    </row>
    <row r="20" spans="2:3" ht="14" x14ac:dyDescent="0.3">
      <c r="B20" s="4" t="s">
        <v>311</v>
      </c>
      <c r="C20" t="s">
        <v>312</v>
      </c>
    </row>
    <row r="21" spans="2:3" ht="14" x14ac:dyDescent="0.3">
      <c r="B21" s="4" t="s">
        <v>313</v>
      </c>
      <c r="C21" t="s">
        <v>314</v>
      </c>
    </row>
    <row r="22" spans="2:3" ht="14" x14ac:dyDescent="0.3">
      <c r="B22" s="4" t="s">
        <v>315</v>
      </c>
      <c r="C22" t="s">
        <v>316</v>
      </c>
    </row>
    <row r="23" spans="2:3" ht="14" x14ac:dyDescent="0.3">
      <c r="B23" s="4" t="s">
        <v>317</v>
      </c>
      <c r="C23" t="s">
        <v>4</v>
      </c>
    </row>
    <row r="24" spans="2:3" ht="14" x14ac:dyDescent="0.3">
      <c r="B24" s="4" t="s">
        <v>318</v>
      </c>
      <c r="C24" t="s">
        <v>278</v>
      </c>
    </row>
    <row r="25" spans="2:3" ht="14" x14ac:dyDescent="0.3">
      <c r="B25" s="4" t="s">
        <v>319</v>
      </c>
      <c r="C25" t="s">
        <v>320</v>
      </c>
    </row>
    <row r="26" spans="2:3" ht="14" x14ac:dyDescent="0.3">
      <c r="B26" s="4" t="s">
        <v>321</v>
      </c>
      <c r="C26" t="s">
        <v>308</v>
      </c>
    </row>
    <row r="27" spans="2:3" ht="14" x14ac:dyDescent="0.3">
      <c r="B27" s="4" t="s">
        <v>322</v>
      </c>
      <c r="C27" t="s">
        <v>308</v>
      </c>
    </row>
    <row r="28" spans="2:3" ht="14" x14ac:dyDescent="0.3">
      <c r="B28" s="4" t="s">
        <v>323</v>
      </c>
      <c r="C28" t="s">
        <v>324</v>
      </c>
    </row>
    <row r="29" spans="2:3" ht="14" x14ac:dyDescent="0.3">
      <c r="B29" s="4" t="s">
        <v>325</v>
      </c>
      <c r="C29" t="s">
        <v>326</v>
      </c>
    </row>
    <row r="30" spans="2:3" ht="14" x14ac:dyDescent="0.3">
      <c r="B30" s="4" t="s">
        <v>327</v>
      </c>
      <c r="C30" t="s">
        <v>328</v>
      </c>
    </row>
    <row r="31" spans="2:3" ht="14" x14ac:dyDescent="0.3">
      <c r="B31" s="4" t="s">
        <v>329</v>
      </c>
      <c r="C31" t="s">
        <v>330</v>
      </c>
    </row>
    <row r="32" spans="2:3" ht="14" x14ac:dyDescent="0.3">
      <c r="B32" s="4" t="s">
        <v>331</v>
      </c>
      <c r="C32" t="s">
        <v>332</v>
      </c>
    </row>
    <row r="33" spans="2:3" ht="14" x14ac:dyDescent="0.3">
      <c r="B33" s="4" t="s">
        <v>333</v>
      </c>
      <c r="C33" t="s">
        <v>324</v>
      </c>
    </row>
    <row r="34" spans="2:3" ht="14" x14ac:dyDescent="0.3">
      <c r="B34" s="4" t="s">
        <v>334</v>
      </c>
      <c r="C34" t="s">
        <v>308</v>
      </c>
    </row>
    <row r="35" spans="2:3" ht="14" x14ac:dyDescent="0.3">
      <c r="B35" s="4" t="s">
        <v>335</v>
      </c>
      <c r="C35" t="s">
        <v>222</v>
      </c>
    </row>
    <row r="36" spans="2:3" ht="14" x14ac:dyDescent="0.3">
      <c r="B36" s="4" t="s">
        <v>336</v>
      </c>
      <c r="C36" t="s">
        <v>337</v>
      </c>
    </row>
    <row r="37" spans="2:3" ht="14" x14ac:dyDescent="0.3">
      <c r="B37" s="4" t="s">
        <v>338</v>
      </c>
      <c r="C37" t="s">
        <v>339</v>
      </c>
    </row>
    <row r="38" spans="2:3" ht="14" x14ac:dyDescent="0.3">
      <c r="B38" s="4" t="s">
        <v>340</v>
      </c>
      <c r="C38" t="s">
        <v>341</v>
      </c>
    </row>
    <row r="39" spans="2:3" ht="14" x14ac:dyDescent="0.3">
      <c r="B39" s="4" t="s">
        <v>342</v>
      </c>
      <c r="C39" t="s">
        <v>343</v>
      </c>
    </row>
    <row r="40" spans="2:3" ht="14" x14ac:dyDescent="0.3">
      <c r="B40" s="4" t="s">
        <v>344</v>
      </c>
      <c r="C40" t="s">
        <v>345</v>
      </c>
    </row>
    <row r="41" spans="2:3" ht="14" x14ac:dyDescent="0.3">
      <c r="B41" s="4" t="s">
        <v>346</v>
      </c>
      <c r="C41" t="s">
        <v>347</v>
      </c>
    </row>
    <row r="42" spans="2:3" ht="14" x14ac:dyDescent="0.3">
      <c r="B42" s="4" t="s">
        <v>348</v>
      </c>
      <c r="C42" t="s">
        <v>349</v>
      </c>
    </row>
    <row r="43" spans="2:3" ht="14" x14ac:dyDescent="0.3">
      <c r="B43" s="4" t="s">
        <v>350</v>
      </c>
      <c r="C43" t="s">
        <v>351</v>
      </c>
    </row>
    <row r="44" spans="2:3" ht="14" x14ac:dyDescent="0.3">
      <c r="B44" s="4" t="s">
        <v>352</v>
      </c>
      <c r="C44" t="s">
        <v>353</v>
      </c>
    </row>
    <row r="45" spans="2:3" ht="14" x14ac:dyDescent="0.3">
      <c r="B45" s="4" t="s">
        <v>354</v>
      </c>
      <c r="C45" t="s">
        <v>355</v>
      </c>
    </row>
    <row r="46" spans="2:3" ht="14" x14ac:dyDescent="0.3">
      <c r="B46" s="4" t="s">
        <v>356</v>
      </c>
      <c r="C46" t="s">
        <v>312</v>
      </c>
    </row>
    <row r="47" spans="2:3" ht="14" x14ac:dyDescent="0.3">
      <c r="B47" s="4" t="s">
        <v>357</v>
      </c>
      <c r="C47" t="s">
        <v>358</v>
      </c>
    </row>
    <row r="48" spans="2:3" ht="14" x14ac:dyDescent="0.3">
      <c r="B48" s="4" t="s">
        <v>359</v>
      </c>
      <c r="C48" t="s">
        <v>360</v>
      </c>
    </row>
    <row r="49" spans="2:3" ht="14" x14ac:dyDescent="0.3">
      <c r="B49" s="4" t="s">
        <v>361</v>
      </c>
      <c r="C49" t="s">
        <v>362</v>
      </c>
    </row>
    <row r="50" spans="2:3" ht="14" x14ac:dyDescent="0.3">
      <c r="B50" s="4" t="s">
        <v>363</v>
      </c>
      <c r="C50" t="s">
        <v>364</v>
      </c>
    </row>
    <row r="51" spans="2:3" ht="14" x14ac:dyDescent="0.3">
      <c r="B51" s="4" t="s">
        <v>365</v>
      </c>
      <c r="C51" t="s">
        <v>366</v>
      </c>
    </row>
    <row r="52" spans="2:3" ht="14" x14ac:dyDescent="0.3">
      <c r="B52" s="4" t="s">
        <v>367</v>
      </c>
      <c r="C52" t="s">
        <v>368</v>
      </c>
    </row>
    <row r="53" spans="2:3" ht="14" x14ac:dyDescent="0.3">
      <c r="B53" s="4" t="s">
        <v>369</v>
      </c>
      <c r="C53" t="s">
        <v>370</v>
      </c>
    </row>
    <row r="54" spans="2:3" ht="14" x14ac:dyDescent="0.3">
      <c r="B54" s="4" t="s">
        <v>371</v>
      </c>
      <c r="C54" t="s">
        <v>372</v>
      </c>
    </row>
    <row r="55" spans="2:3" ht="14" x14ac:dyDescent="0.3">
      <c r="B55" s="4" t="s">
        <v>373</v>
      </c>
      <c r="C55" t="s">
        <v>374</v>
      </c>
    </row>
    <row r="56" spans="2:3" ht="14" x14ac:dyDescent="0.3">
      <c r="B56" s="4" t="s">
        <v>375</v>
      </c>
      <c r="C56" t="s">
        <v>376</v>
      </c>
    </row>
    <row r="57" spans="2:3" ht="14" x14ac:dyDescent="0.3">
      <c r="B57" s="4" t="s">
        <v>377</v>
      </c>
      <c r="C57" t="s">
        <v>378</v>
      </c>
    </row>
    <row r="58" spans="2:3" ht="14" x14ac:dyDescent="0.3">
      <c r="B58" s="4" t="s">
        <v>379</v>
      </c>
      <c r="C58" t="s">
        <v>380</v>
      </c>
    </row>
    <row r="59" spans="2:3" ht="14" x14ac:dyDescent="0.3">
      <c r="B59" s="4" t="s">
        <v>381</v>
      </c>
      <c r="C59" t="s">
        <v>382</v>
      </c>
    </row>
    <row r="60" spans="2:3" ht="14" x14ac:dyDescent="0.3">
      <c r="B60" s="4" t="s">
        <v>383</v>
      </c>
      <c r="C60" t="s">
        <v>384</v>
      </c>
    </row>
    <row r="61" spans="2:3" ht="14" x14ac:dyDescent="0.3">
      <c r="B61" s="4" t="s">
        <v>385</v>
      </c>
      <c r="C61" t="s">
        <v>386</v>
      </c>
    </row>
    <row r="62" spans="2:3" ht="14" x14ac:dyDescent="0.3">
      <c r="B62" s="4" t="s">
        <v>387</v>
      </c>
      <c r="C62" t="s">
        <v>388</v>
      </c>
    </row>
    <row r="63" spans="2:3" ht="14" x14ac:dyDescent="0.3">
      <c r="B63" s="4" t="s">
        <v>389</v>
      </c>
      <c r="C63" t="s">
        <v>390</v>
      </c>
    </row>
    <row r="64" spans="2:3" ht="14" x14ac:dyDescent="0.3">
      <c r="B64" s="4" t="s">
        <v>391</v>
      </c>
      <c r="C64" t="s">
        <v>392</v>
      </c>
    </row>
    <row r="65" spans="2:3" ht="14" x14ac:dyDescent="0.3">
      <c r="B65" s="4" t="s">
        <v>393</v>
      </c>
      <c r="C65" t="s">
        <v>394</v>
      </c>
    </row>
    <row r="66" spans="2:3" ht="14" x14ac:dyDescent="0.3">
      <c r="B66" s="4" t="s">
        <v>395</v>
      </c>
      <c r="C66" t="s">
        <v>221</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2026-09-06T12:09:42Z</dcterms:created>
  <dcterms:modified xsi:type="dcterms:W3CDTF">2026-09-06T12:09:45Z</dcterms:modified>
</cp:coreProperties>
</file>