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19CF40E-F242-483D-BB85-3A5FDA042B0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F16" i="6" s="1"/>
  <c r="C28" i="6" s="1"/>
  <c r="C19" i="1" s="1"/>
  <c r="D19" i="1" s="1"/>
  <c r="K8" i="6"/>
  <c r="J8" i="6"/>
  <c r="O7" i="6"/>
  <c r="N7" i="6"/>
  <c r="M7" i="6"/>
  <c r="L7" i="6"/>
  <c r="K7" i="6"/>
  <c r="J7" i="6"/>
  <c r="D16" i="6" s="1"/>
  <c r="O6" i="6"/>
  <c r="N6" i="6"/>
  <c r="M6" i="6"/>
  <c r="L6" i="6"/>
  <c r="K6" i="6"/>
  <c r="J6" i="6"/>
  <c r="O5" i="6"/>
  <c r="N5" i="6"/>
  <c r="M5" i="6"/>
  <c r="D5" i="6"/>
  <c r="L5" i="6" s="1"/>
  <c r="C16" i="5"/>
  <c r="C14" i="5"/>
  <c r="C18" i="5" s="1"/>
  <c r="C7" i="5"/>
  <c r="C6" i="5"/>
  <c r="C5" i="5"/>
  <c r="C13" i="4"/>
  <c r="C12" i="4"/>
  <c r="C9" i="4"/>
  <c r="C7" i="4"/>
  <c r="C6" i="4"/>
  <c r="D27" i="3"/>
  <c r="E31" i="3" s="1"/>
  <c r="C25" i="3"/>
  <c r="C26" i="3" s="1"/>
  <c r="C24" i="3"/>
  <c r="C23" i="3"/>
  <c r="F23" i="2"/>
  <c r="E23" i="2"/>
  <c r="D23" i="2"/>
  <c r="C23" i="2"/>
  <c r="F22" i="2"/>
  <c r="E22" i="2"/>
  <c r="F21" i="2"/>
  <c r="E21" i="2"/>
  <c r="D21" i="2"/>
  <c r="D22" i="2" s="1"/>
  <c r="C21" i="2"/>
  <c r="C22" i="2" s="1"/>
  <c r="F16" i="2"/>
  <c r="E16" i="2"/>
  <c r="D16" i="2"/>
  <c r="F15" i="2"/>
  <c r="E15" i="2"/>
  <c r="D15" i="2"/>
  <c r="F14" i="2"/>
  <c r="E14" i="2"/>
  <c r="D14" i="2"/>
  <c r="C14" i="2"/>
  <c r="F13" i="2"/>
  <c r="E13" i="2"/>
  <c r="D13" i="2"/>
  <c r="C13" i="2"/>
  <c r="D9" i="2"/>
  <c r="C9" i="2"/>
  <c r="F8" i="2"/>
  <c r="F9" i="2" s="1"/>
  <c r="E8" i="2"/>
  <c r="E9" i="2" s="1"/>
  <c r="D8" i="2"/>
  <c r="C8" i="2"/>
  <c r="B24" i="1" l="1"/>
  <c r="B30" i="1"/>
  <c r="E16" i="6"/>
  <c r="G16" i="6"/>
  <c r="E5" i="6"/>
  <c r="J5" i="6" s="1"/>
  <c r="C3" i="7"/>
  <c r="G36" i="4"/>
  <c r="C11" i="4"/>
  <c r="G46" i="3"/>
  <c r="F36" i="4"/>
  <c r="F46" i="3"/>
  <c r="E36" i="4"/>
  <c r="H36" i="4"/>
  <c r="E46" i="3"/>
  <c r="C46" i="3"/>
  <c r="B25" i="1"/>
  <c r="D46" i="3"/>
  <c r="D36" i="4"/>
  <c r="D30" i="3"/>
  <c r="C32" i="3"/>
  <c r="F6" i="5"/>
  <c r="F15" i="6"/>
  <c r="E30" i="3"/>
  <c r="D32" i="3"/>
  <c r="G17" i="6"/>
  <c r="H15" i="6"/>
  <c r="D17" i="6"/>
  <c r="F30" i="3"/>
  <c r="F32" i="3"/>
  <c r="F7" i="5"/>
  <c r="C31" i="3"/>
  <c r="G32" i="3"/>
  <c r="G7" i="5"/>
  <c r="I16" i="6"/>
  <c r="I17" i="6"/>
  <c r="I15" i="6"/>
  <c r="H7" i="5"/>
  <c r="C27" i="6"/>
  <c r="C18" i="1" s="1"/>
  <c r="D18" i="1" s="1"/>
  <c r="C74" i="4"/>
  <c r="D15" i="6"/>
  <c r="D31" i="3"/>
  <c r="E15" i="6"/>
  <c r="G5" i="5"/>
  <c r="E32" i="3"/>
  <c r="G30" i="3"/>
  <c r="H6" i="5"/>
  <c r="F5" i="5"/>
  <c r="G6" i="5"/>
  <c r="E5" i="5"/>
  <c r="E7" i="5"/>
  <c r="D7" i="5"/>
  <c r="H5" i="5"/>
  <c r="C8" i="4"/>
  <c r="C10" i="4" s="1"/>
  <c r="D5" i="5"/>
  <c r="F31" i="3"/>
  <c r="D6" i="5"/>
  <c r="C30" i="3"/>
  <c r="C33" i="3" s="1"/>
  <c r="G31" i="3"/>
  <c r="E6" i="5"/>
  <c r="E17" i="6"/>
  <c r="G15" i="6"/>
  <c r="K5" i="6"/>
  <c r="I6" i="7"/>
  <c r="F17" i="6"/>
  <c r="C17" i="7"/>
  <c r="C6" i="7"/>
  <c r="D17" i="7"/>
  <c r="H17" i="6"/>
  <c r="D6" i="7"/>
  <c r="E17" i="7"/>
  <c r="E6" i="7"/>
  <c r="F17" i="7"/>
  <c r="H16" i="6"/>
  <c r="F6" i="7"/>
  <c r="G17" i="7"/>
  <c r="G6" i="7"/>
  <c r="H17" i="7"/>
  <c r="E39" i="4" l="1"/>
  <c r="E43" i="4"/>
  <c r="E46" i="4"/>
  <c r="E45" i="4"/>
  <c r="E38" i="4"/>
  <c r="E41" i="4"/>
  <c r="E40" i="4"/>
  <c r="E50" i="4" s="1"/>
  <c r="E55" i="4" s="1"/>
  <c r="E44" i="4"/>
  <c r="C42" i="3"/>
  <c r="C34" i="3"/>
  <c r="D10" i="5" s="1"/>
  <c r="D9" i="5"/>
  <c r="D12" i="5" s="1"/>
  <c r="C37" i="3"/>
  <c r="C35" i="3"/>
  <c r="D33" i="3"/>
  <c r="C43" i="3"/>
  <c r="D45" i="4"/>
  <c r="D39" i="4"/>
  <c r="D43" i="4"/>
  <c r="D41" i="4"/>
  <c r="D44" i="4"/>
  <c r="D46" i="4"/>
  <c r="D38" i="4"/>
  <c r="D40" i="4"/>
  <c r="D50" i="4" s="1"/>
  <c r="D55" i="4" s="1"/>
  <c r="F43" i="4"/>
  <c r="F48" i="4" s="1"/>
  <c r="F53" i="4" s="1"/>
  <c r="F46" i="4"/>
  <c r="F40" i="4"/>
  <c r="F45" i="4"/>
  <c r="F39" i="4"/>
  <c r="F38" i="4"/>
  <c r="F41" i="4"/>
  <c r="F44" i="4"/>
  <c r="F49" i="4" s="1"/>
  <c r="G46" i="4"/>
  <c r="G51" i="4" s="1"/>
  <c r="G56" i="4" s="1"/>
  <c r="G40" i="4"/>
  <c r="G44" i="4"/>
  <c r="G43" i="4"/>
  <c r="G39" i="4"/>
  <c r="G38" i="4"/>
  <c r="G41" i="4"/>
  <c r="G45" i="4"/>
  <c r="H40" i="4"/>
  <c r="H50" i="4" s="1"/>
  <c r="H55" i="4" s="1"/>
  <c r="H44" i="4"/>
  <c r="H38" i="4"/>
  <c r="H46" i="4"/>
  <c r="H39" i="4"/>
  <c r="H43" i="4"/>
  <c r="H48" i="4" s="1"/>
  <c r="H53" i="4" s="1"/>
  <c r="H41" i="4"/>
  <c r="H51" i="4" s="1"/>
  <c r="H56" i="4" s="1"/>
  <c r="H45" i="4"/>
  <c r="C24" i="4"/>
  <c r="C25" i="4" s="1"/>
  <c r="C71" i="4"/>
  <c r="F50" i="4"/>
  <c r="F55" i="4" s="1"/>
  <c r="G49" i="4"/>
  <c r="G54" i="4" s="1"/>
  <c r="D48" i="4"/>
  <c r="D53" i="4" s="1"/>
  <c r="G48" i="4"/>
  <c r="G53" i="4" s="1"/>
  <c r="E48" i="4"/>
  <c r="E53" i="4" s="1"/>
  <c r="C70" i="4"/>
  <c r="B13" i="7"/>
  <c r="B12" i="7"/>
  <c r="B11" i="7"/>
  <c r="B10" i="7"/>
  <c r="B9" i="7"/>
  <c r="B8" i="7"/>
  <c r="B7" i="7"/>
  <c r="B24" i="7"/>
  <c r="B23" i="7"/>
  <c r="B22" i="7"/>
  <c r="B21" i="7"/>
  <c r="B20" i="7"/>
  <c r="B19" i="7"/>
  <c r="B18" i="7"/>
  <c r="D51" i="4" l="1"/>
  <c r="D56" i="4" s="1"/>
  <c r="E51" i="4"/>
  <c r="E56" i="4" s="1"/>
  <c r="H49" i="4"/>
  <c r="H54" i="4" s="1"/>
  <c r="G50" i="4"/>
  <c r="G55" i="4" s="1"/>
  <c r="F51" i="4"/>
  <c r="F56" i="4" s="1"/>
  <c r="D49" i="4"/>
  <c r="D54" i="4" s="1"/>
  <c r="E49" i="4"/>
  <c r="E54" i="4" s="1"/>
  <c r="C60" i="4"/>
  <c r="F54" i="4"/>
  <c r="B78" i="4"/>
  <c r="C27" i="4"/>
  <c r="C26" i="4"/>
  <c r="C29" i="4"/>
  <c r="D37" i="3"/>
  <c r="E9" i="5"/>
  <c r="E12" i="5" s="1"/>
  <c r="D42" i="3"/>
  <c r="E33" i="3"/>
  <c r="D43" i="3"/>
  <c r="D34" i="3"/>
  <c r="E10" i="5" s="1"/>
  <c r="C38" i="3"/>
  <c r="C39" i="3"/>
  <c r="C36" i="3"/>
  <c r="D15" i="5"/>
  <c r="D16" i="5" s="1"/>
  <c r="D13" i="5"/>
  <c r="D14" i="5" s="1"/>
  <c r="D18" i="5" s="1"/>
  <c r="D19" i="5" s="1"/>
  <c r="C44" i="3" s="1"/>
  <c r="F9" i="5" l="1"/>
  <c r="F12" i="5" s="1"/>
  <c r="E37" i="3"/>
  <c r="F33" i="3"/>
  <c r="E42" i="3"/>
  <c r="E43" i="3"/>
  <c r="E34" i="3"/>
  <c r="F10" i="5" s="1"/>
  <c r="D35" i="3"/>
  <c r="E13" i="5"/>
  <c r="E14" i="5" s="1"/>
  <c r="E15" i="5"/>
  <c r="E16" i="5" s="1"/>
  <c r="C40" i="3"/>
  <c r="C41" i="3" s="1"/>
  <c r="C45" i="3" s="1"/>
  <c r="C65" i="4"/>
  <c r="D65" i="4" s="1"/>
  <c r="C66" i="4"/>
  <c r="D66" i="4" s="1"/>
  <c r="C67" i="4"/>
  <c r="D67" i="4" s="1"/>
  <c r="C64" i="4"/>
  <c r="D64" i="4" s="1"/>
  <c r="C63" i="4"/>
  <c r="D63" i="4" s="1"/>
  <c r="E18" i="5" l="1"/>
  <c r="E19" i="5" s="1"/>
  <c r="D44" i="3" s="1"/>
  <c r="C47" i="3"/>
  <c r="F13" i="5"/>
  <c r="F14" i="5" s="1"/>
  <c r="F15" i="5"/>
  <c r="F16" i="5" s="1"/>
  <c r="F43" i="3"/>
  <c r="F35" i="3"/>
  <c r="G9" i="5"/>
  <c r="G12" i="5" s="1"/>
  <c r="F42" i="3"/>
  <c r="F34" i="3"/>
  <c r="G10" i="5" s="1"/>
  <c r="F37" i="3"/>
  <c r="G33" i="3"/>
  <c r="D39" i="3"/>
  <c r="D38" i="3"/>
  <c r="D36" i="3"/>
  <c r="E35" i="3"/>
  <c r="F18" i="5" l="1"/>
  <c r="F19" i="5" s="1"/>
  <c r="E44" i="3" s="1"/>
  <c r="E38" i="3"/>
  <c r="E36" i="3"/>
  <c r="E39" i="3"/>
  <c r="D40" i="3"/>
  <c r="D41" i="3" s="1"/>
  <c r="D45" i="3" s="1"/>
  <c r="H9" i="5"/>
  <c r="H12" i="5" s="1"/>
  <c r="G42" i="3"/>
  <c r="G43" i="3"/>
  <c r="C16" i="4"/>
  <c r="C28" i="4" s="1"/>
  <c r="G34" i="3"/>
  <c r="H10" i="5" s="1"/>
  <c r="G37" i="3"/>
  <c r="G35" i="3"/>
  <c r="F38" i="3"/>
  <c r="F36" i="3"/>
  <c r="F39" i="3"/>
  <c r="G13" i="5"/>
  <c r="G14" i="5" s="1"/>
  <c r="G18" i="5" s="1"/>
  <c r="G19" i="5" s="1"/>
  <c r="F44" i="3" s="1"/>
  <c r="G15" i="5"/>
  <c r="G16" i="5" s="1"/>
  <c r="D47" i="3" l="1"/>
  <c r="E40" i="3"/>
  <c r="E41" i="3" s="1"/>
  <c r="E45" i="3" s="1"/>
  <c r="F40" i="3"/>
  <c r="F41" i="3" s="1"/>
  <c r="F45" i="3" s="1"/>
  <c r="F47" i="3" s="1"/>
  <c r="G38" i="3"/>
  <c r="G36" i="3"/>
  <c r="G39" i="3"/>
  <c r="C72" i="4"/>
  <c r="C73" i="4"/>
  <c r="H13" i="5"/>
  <c r="H14" i="5" s="1"/>
  <c r="H15" i="5"/>
  <c r="H16" i="5" s="1"/>
  <c r="H18" i="5" l="1"/>
  <c r="H19" i="5" s="1"/>
  <c r="G44" i="3" s="1"/>
  <c r="E47" i="3"/>
  <c r="G40" i="3"/>
  <c r="G41" i="3"/>
  <c r="C59" i="3"/>
  <c r="C60" i="3" s="1"/>
  <c r="C61" i="3" s="1"/>
  <c r="G45" i="3" l="1"/>
  <c r="F8" i="7"/>
  <c r="F7" i="7"/>
  <c r="H24" i="7"/>
  <c r="E24" i="7"/>
  <c r="E11" i="7"/>
  <c r="D13" i="7"/>
  <c r="H21" i="7"/>
  <c r="I20" i="7"/>
  <c r="E13" i="7"/>
  <c r="E20" i="7"/>
  <c r="E8" i="7"/>
  <c r="G10" i="7"/>
  <c r="D20" i="7"/>
  <c r="H22" i="7"/>
  <c r="D18" i="7"/>
  <c r="D19" i="7"/>
  <c r="C24" i="7"/>
  <c r="I11" i="7"/>
  <c r="D22" i="7"/>
  <c r="H10" i="7"/>
  <c r="C51" i="3"/>
  <c r="C52" i="3" s="1"/>
  <c r="G47" i="3"/>
  <c r="C50" i="3" s="1"/>
  <c r="H8" i="7"/>
  <c r="I8" i="7"/>
  <c r="F13" i="7"/>
  <c r="F9" i="7"/>
  <c r="I13" i="7"/>
  <c r="F18" i="7"/>
  <c r="H19" i="7"/>
  <c r="E12" i="7"/>
  <c r="C19" i="7"/>
  <c r="H13" i="7"/>
  <c r="G11" i="7"/>
  <c r="D12" i="7"/>
  <c r="G7" i="7"/>
  <c r="D24" i="7"/>
  <c r="C8" i="7"/>
  <c r="G22" i="7"/>
  <c r="F12" i="7"/>
  <c r="C22" i="7"/>
  <c r="G21" i="7"/>
  <c r="G23" i="7"/>
  <c r="D9" i="7"/>
  <c r="I9" i="7"/>
  <c r="G9" i="7"/>
  <c r="F23" i="7"/>
  <c r="C13" i="7"/>
  <c r="G18" i="7"/>
  <c r="I10" i="7"/>
  <c r="C18" i="7"/>
  <c r="E19" i="7"/>
  <c r="H20" i="7"/>
  <c r="G24" i="7"/>
  <c r="E21" i="7"/>
  <c r="E9" i="7"/>
  <c r="C21" i="7"/>
  <c r="H12" i="7"/>
  <c r="I21" i="7"/>
  <c r="G12" i="7"/>
  <c r="E22" i="7"/>
  <c r="I12" i="7"/>
  <c r="E18" i="7"/>
  <c r="D23" i="7"/>
  <c r="H7" i="7"/>
  <c r="D21" i="7"/>
  <c r="D7" i="7"/>
  <c r="G8" i="7"/>
  <c r="C20" i="7"/>
  <c r="E23" i="7"/>
  <c r="G20" i="7"/>
  <c r="F22" i="7"/>
  <c r="E7" i="7"/>
  <c r="H9" i="7"/>
  <c r="I18" i="7"/>
  <c r="C10" i="7"/>
  <c r="F10" i="7"/>
  <c r="D10" i="7"/>
  <c r="F11" i="7"/>
  <c r="I7" i="7"/>
  <c r="H18" i="7"/>
  <c r="C23" i="7"/>
  <c r="F24" i="7"/>
  <c r="F19" i="7"/>
  <c r="H11" i="7"/>
  <c r="I19" i="7"/>
  <c r="D11" i="7"/>
  <c r="C12" i="7"/>
  <c r="C7" i="7" l="1"/>
  <c r="I23" i="7"/>
  <c r="I24" i="7"/>
  <c r="H23" i="7"/>
  <c r="I22" i="7"/>
  <c r="F21" i="7"/>
  <c r="F20" i="7"/>
  <c r="C11" i="7"/>
  <c r="G19" i="7"/>
  <c r="D8" i="7"/>
  <c r="C9" i="7"/>
  <c r="G13" i="7"/>
  <c r="E10" i="7"/>
  <c r="C53" i="3"/>
  <c r="C58" i="3"/>
  <c r="C62" i="3" s="1"/>
  <c r="C63" i="3" l="1"/>
  <c r="C64" i="3" s="1"/>
  <c r="C17" i="1" s="1"/>
  <c r="D17" i="1" s="1"/>
  <c r="C54" i="3"/>
  <c r="C55" i="3" s="1"/>
  <c r="C16" i="1" s="1"/>
  <c r="C17" i="4"/>
  <c r="C19" i="4" l="1"/>
  <c r="C20" i="4" s="1"/>
  <c r="B79" i="4" s="1"/>
  <c r="D16" i="1"/>
  <c r="C21" i="1"/>
  <c r="C10" i="1"/>
  <c r="C12" i="1" l="1"/>
  <c r="C11" i="1" s="1"/>
  <c r="B29" i="1"/>
  <c r="B26" i="1" l="1"/>
</calcChain>
</file>

<file path=xl/sharedStrings.xml><?xml version="1.0" encoding="utf-8"?>
<sst xmlns="http://schemas.openxmlformats.org/spreadsheetml/2006/main" count="518" uniqueCount="391">
  <si>
    <t>DISCLAIMER: This is a sample analysis for demonstration purposes only. It does not constitute investment advice.</t>
  </si>
  <si>
    <t>キーエンス (6861.T)</t>
  </si>
  <si>
    <t>Equity Research Report</t>
  </si>
  <si>
    <t>Company</t>
  </si>
  <si>
    <t>キーエンス</t>
  </si>
  <si>
    <t>Ticker</t>
  </si>
  <si>
    <t>6861.T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</si>
  <si>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</si>
  <si>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</si>
  <si>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</si>
  <si>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</si>
  <si>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</si>
  <si>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</si>
  <si>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</si>
  <si>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</si>
  <si>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</si>
  <si>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</si>
  <si>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</si>
  <si>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</si>
  <si>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</si>
  <si>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</si>
  <si>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</si>
  <si>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</si>
  <si>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</si>
  <si>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</si>
  <si>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tracks global capital spending on automation, and the base case assumes high-single-digit growth decaying only gradually — a path the last two years support but the cycle may not.</t>
  </si>
  <si>
    <t>キーエンス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</si>
  <si>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</si>
  <si>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</si>
  <si>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</si>
  <si>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</si>
  <si>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</si>
  <si>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</si>
  <si>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</si>
  <si>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</si>
  <si>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</si>
  <si>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</si>
  <si>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</si>
  <si>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</si>
  <si>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</si>
  <si>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</si>
  <si>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</si>
  <si>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</si>
  <si>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</si>
  <si>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</si>
  <si>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</si>
  <si>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</si>
  <si>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</si>
  <si>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</si>
  <si>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</si>
  <si>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</si>
  <si>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</si>
  <si>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</si>
  <si>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</si>
  <si>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</si>
  <si>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キーエンス</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</si>
  <si>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</si>
  <si>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</si>
  <si>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</si>
  <si>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</si>
  <si>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</si>
  <si>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</si>
  <si>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</si>
  <si>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</si>
  <si>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</si>
  <si>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</si>
  <si>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</si>
  <si>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</si>
  <si>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</si>
  <si>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</si>
  <si>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</si>
  <si>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</si>
  <si>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</si>
  <si>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</si>
  <si>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</si>
  <si>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</si>
  <si>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</si>
  <si>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</si>
  <si>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</si>
  <si>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</si>
  <si>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</si>
  <si>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</si>
  <si>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</si>
  <si>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</si>
  <si>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</si>
  <si>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</si>
  <si>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</si>
  <si>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</si>
  <si>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</si>
  <si>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</si>
  <si>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</si>
  <si>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</si>
  <si>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</si>
  <si>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</si>
  <si>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</si>
  <si>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</si>
  <si>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</si>
  <si>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</si>
  <si>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</si>
  <si>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</si>
  <si>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</si>
  <si>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</si>
  <si>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</si>
  <si>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</si>
  <si>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</si>
  <si>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</si>
  <si>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</si>
  <si>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</si>
  <si>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</si>
  <si>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</si>
  <si>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</si>
  <si>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</si>
  <si>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</si>
  <si>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</si>
  <si>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</si>
  <si>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</si>
  <si>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</si>
  <si>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</si>
  <si>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</si>
  <si>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キーエンス (6861.T)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</si>
  <si>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</si>
  <si>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</si>
  <si>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</si>
  <si>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</si>
  <si>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</si>
  <si>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</si>
  <si>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</si>
  <si>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</si>
  <si>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</si>
  <si>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</si>
  <si>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</si>
  <si>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</si>
  <si>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</si>
  <si>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</si>
  <si>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</si>
  <si>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</si>
  <si>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</si>
  <si>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</si>
  <si>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</si>
  <si>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</si>
  <si>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</si>
  <si>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</si>
  <si>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</si>
  <si>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</si>
  <si>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</si>
  <si>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</si>
  <si>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</si>
  <si>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</si>
  <si>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</si>
  <si>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</si>
  <si>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</si>
  <si>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</si>
  <si>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</si>
  <si>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</si>
  <si>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</si>
  <si>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</si>
  <si>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</si>
  <si>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</si>
  <si>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</si>
  <si>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</si>
  <si>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</si>
  <si>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</si>
  <si>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</si>
  <si>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</si>
  <si>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</si>
  <si>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</si>
  <si>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</si>
  <si>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</si>
  <si>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</si>
  <si>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</si>
  <si>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</si>
  <si>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キーエンス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</si>
  <si>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</si>
  <si>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</si>
  <si>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</si>
  <si>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</si>
  <si>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</si>
  <si>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</si>
  <si>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</si>
  <si>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</si>
  <si>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</si>
  <si>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</si>
  <si>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</si>
  <si>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</si>
  <si>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</si>
  <si>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</si>
  <si>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</si>
  <si>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</si>
  <si>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</si>
  <si>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</si>
  <si>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</si>
  <si>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</si>
  <si>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</si>
  <si>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</si>
  <si>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</si>
  <si>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</si>
  <si>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</si>
  <si>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</si>
  <si>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</si>
  <si>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</si>
  <si>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</si>
  <si>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</si>
  <si>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</si>
  <si>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</si>
  <si>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</si>
  <si>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</si>
  <si>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Keyence Corporation</t>
  </si>
  <si>
    <t>6861.T</t>
  </si>
  <si>
    <t>Fanuc Corporation</t>
  </si>
  <si>
    <t>6954.T</t>
  </si>
  <si>
    <t>SMC Corporation</t>
  </si>
  <si>
    <t>6273.T</t>
  </si>
  <si>
    <t>OMRON Corporation</t>
  </si>
  <si>
    <t>6645.T</t>
  </si>
  <si>
    <t>YASKAWA Electric Corporation</t>
  </si>
  <si>
    <t>6506.T</t>
  </si>
  <si>
    <t>Murata Manufacturing Co., Ltd.</t>
  </si>
  <si>
    <t>6981.T</t>
  </si>
  <si>
    <t>Statistics</t>
  </si>
  <si>
    <t>25th Percentile</t>
  </si>
  <si>
    <t>Median (50th)</t>
  </si>
  <si>
    <t>75th Percentile</t>
  </si>
  <si>
    <t>Implied Valuation for キーエンス</t>
  </si>
  <si>
    <t>キーエンス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</si>
  <si>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</si>
  <si>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</si>
  <si>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</si>
  <si>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</si>
  <si>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</si>
  <si>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</si>
  <si>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</si>
  <si>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</si>
  <si>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</si>
  <si>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</si>
  <si>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</si>
  <si>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</si>
  <si>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</si>
  <si>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</si>
  <si>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</si>
  <si>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キーエンス</t>
  </si>
  <si>
    <t>日付</t>
  </si>
  <si>
    <t>セル</t>
  </si>
  <si>
    <t>変更内容</t>
  </si>
  <si>
    <t>理由</t>
  </si>
  <si>
    <t>元の値</t>
  </si>
  <si>
    <t>状態</t>
  </si>
  <si>
    <t>2026-09-05</t>
  </si>
  <si>
    <t>-</t>
  </si>
  <si>
    <t>Generated by pipeline on 2026-09-05 17:55,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</si>
  <si>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</si>
  <si>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</si>
  <si>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</si>
  <si>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</si>
  <si>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</si>
  <si>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</si>
  <si>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</si>
  <si>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</si>
  <si>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</si>
  <si>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</si>
  <si>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</si>
  <si>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</si>
  <si>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</si>
  <si>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</si>
  <si>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18,849,053百万円。■テンプレートの自動規則(&gt;=1兆円 -&gt; 0.0%、&gt;=1,000億円 -&gt; 1.5%)とは異なる値であり、明示指定で上書きしている。</t>
  </si>
  <si>
    <t>テンプレ自動値</t>
  </si>
  <si>
    <t>DCF Model!C8</t>
  </si>
  <si>
    <t>Beta = 1.00</t>
  </si>
  <si>
    <t>yfinance実測 **1.003** はテンプレのクランプ域 [0.6, 1.75] の**内側**のため素通し（クランプ・フォールバック1.0への置換は発動していない）。**偶然 1.0 に近いが、これは実測値であってフォールバックではない**（追補3 §M の β要再導出リストには該当しない）。</t>
  </si>
  <si>
    <t>yfinance実測 1.003</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</si>
  <si>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</si>
  <si>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</si>
  <si>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</si>
  <si>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</si>
  <si>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</si>
  <si>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</si>
  <si>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</si>
  <si>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有利子負債ゼロ・ネットキャッシュ（net_debt −596,976百万円）で D/E = 0 のため、負債コストは WACC に一切寄与しない（WACC = Ke = 10.47%）。</t>
  </si>
  <si>
    <t>テンプレ既定</t>
  </si>
  <si>
    <t>DCF Model!C13</t>
  </si>
  <si>
    <t>Terminal Growth = 1.0%</t>
  </si>
  <si>
    <t>バッチ共通の固定前提(v2 §1-3)。</t>
  </si>
  <si>
    <t>テンプレ既定 2.0%</t>
  </si>
  <si>
    <t>DCF Model!C14</t>
  </si>
  <si>
    <t>Exit Multiple (EV/EBITDA) = 18.3x</t>
  </si>
  <si>
    <t>Peer 5社の実測EV/EBITDA中央値 18.26x（6954 / 6273 / 6645 / 6506 / 6981）。 自社の現在倍率 29.78x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</si>
  <si>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</si>
  <si>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</si>
  <si>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</si>
  <si>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なし（有利子負債ゼロ）。NonOp/OP +6.7%。OPMレンジ3.1pt・赤字年なしで型Bにも該当しない。</t>
  </si>
  <si>
    <t>Financial Statements / hist_* / 市場データ / net_debt</t>
  </si>
  <si>
    <t>追補2 §F-2 + 追補3 §L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</si>
  <si>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で逆算。**追補3 §L に従い current_price / shares_outstanding も予防的に明示指定**（プレースホルダ降格の回避＋再現性確保）。**net_debt も明示指定**（EDINET の有利子負債抽出が 0 に落ちる既知パターンの予防）。■**結果として初回生成で合格（リトライ0回）**。</t>
  </si>
  <si>
    <t>EDINET自動抽出値</t>
  </si>
  <si>
    <t>Comps Analysis / core_ebitda</t>
  </si>
  <si>
    <t>core_ebitda = 612,986百万円 を明示指定（営業利益 595,759 + D&amp;A 17,227）</t>
  </si>
  <si>
    <t>【追補2 §G】core_ebitda を明示指定（= 直近営業利益 + 直近CF計算書D&amp;A）。Peer と同一定義に揃えるため予防的に指定し、生成後に batch/check_core_ebitda.py で comps CSV 自社行との一致を確認済み（品質ゲート合格）。</t>
  </si>
  <si>
    <t>EDINET由来の自動計算値</t>
  </si>
  <si>
    <t>DCF Model!C5 / C18</t>
  </si>
  <si>
    <t>capex_method / da_method とも revenue_pct(capex 1.57% / D&amp;A 1.50%)</t>
  </si>
  <si>
    <t>当社は自社工場を持たない外注生産型で、実績 capex 1.3-4.3% / D&amp;A 1.2-1.5% と**本バッチで最も資産が軽い**。ターミナル比率 1.047x でレンジ[0.90,1.15]内（validate チェック9 PASS）。■資産が軽いぶん FCF は営業利益にほぼ直結し、capex 前提が Target に与える影響は他銘柄より小さい。</t>
  </si>
  <si>
    <t>DCF Model シナリオ5本</t>
  </si>
  <si>
    <t>実績OPM分布からの導出(min 50.95 / p25 51.12 / med 51.54 / p75 52.45 / max 54.09%)</t>
  </si>
  <si>
    <t>直近 50.95%(観測窓の最低)が中央値を下回るため Base は実績中央値 51.54% へ収束(実質横ばい)。Upside は max(p75 52.45, 直近+1.0pt = 51.95) = 52.45%。Downside 1 は min(p25 51.12, 直近 50.95) = 50.95% を下回る 47.70%。Downside 2 は実績トラフ(50.95%)が直近実績そのものでトラフとして機能しないため、売上-12%+OPM半減(25.5-32.0%)。■SGA% は yfinance から取得できないため COGS% を直近実績 17.0% に固定し逆算した。既存銘柄からの流用なし。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</si>
  <si>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</si>
  <si>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</si>
  <si>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</si>
  <si>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</si>
  <si>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</si>
  <si>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</si>
  <si>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116 / DIH 171 / DPO 31 日</t>
  </si>
  <si>
    <t>実績4期平均。DPO 31日が極端に短く（自社工場を持たない外注生産で支払サイトが短い）、DSO+DIH 287日との差が大きいため運転資本の資金拘束は重い。</t>
  </si>
  <si>
    <t>Comps Analysis</t>
  </si>
  <si>
    <t>Peer 5社 = 6954 ファナック / 6273 SMC / 6645 オムロン / 6506 安川電機 / 6981 村田製作所</t>
  </si>
  <si>
    <t>■選定理由: ファクトリーオートメーション（FA）機器。■**時価総額バンドの逸脱**: v2 §5 の 0.3〜3倍は 5.65〜56.5兆円だが、FA としての事業比較可能性を優先して 6954(5.51兆) / 6273(4.19兆) / 6645(1.22兆) / 6506(1.19兆) を採用した（業種同一性・事業比較可能性が第一基準、時価総額バンドは第二基準）。バンド内は 6981 村田(13.1兆) のみ。■**Peer との収益性の差が大きい**: 当社 OPM 51.0% に対し Peer は 7.6〜22.6%。同じ FA でも直販コンサル型と部品製造型では economics が異なる点に留保が必要。■海外Peer（Cognex / Sick / Omron 海外事業）は v2 §5 により不使用。■D&amp;A取得状況: 全6社で減価償却費を取得でき統一。**D&amp;A欠損による除外はゼロ**（validate チェック12 PASS）。</t>
  </si>
  <si>
    <t>Executive Summary!C10 / Target</t>
  </si>
  <si>
    <t>Target Price = 37,596円 = PGM 26,172円 と Exit 49,020円 の2本平均。Comps 2本(EV/EBITDA 48,611円 / PER 61,742円)は [参考・Target不算入]</t>
  </si>
  <si>
    <t>メモ§2 の規約どおり。validate チェック14 PASS(C10 が C16:C17 のみを平均)。EV&lt;net_debt による INVALID 化は発生していない（ネットキャッシュのため）。**自社の実測 EV/EBITDA 29.78x は Peer中央値 18.26x の 1.63倍**。本モデルの Exit 法は Peer中央値をそのまま用い当社のプレミアムが永続するとは仮定していないため、これが乖離の最大の要因である。</t>
  </si>
  <si>
    <t>全体(納品状態)</t>
  </si>
  <si>
    <t>本ファイルは DRAFT。_FINAL は付けない</t>
  </si>
  <si>
    <t>バッチモードでの機械生成物であり人間の検証を経ていない。FINAL化は手順書v2 §6 に従い検証後に行う。</t>
  </si>
  <si>
    <t>DRAFT</t>
  </si>
  <si>
    <t>全体(未解決)</t>
  </si>
  <si>
    <t>**自社倍率 29.78x と Peer中央値 18.26x の差（＝バリュエーション・プレミアム）をどう扱うか**</t>
  </si>
  <si>
    <t>本モデルの Exit 法は Peer中央値をそのまま用い、当社のプレミアムが永続するとは仮定していない。これが −51.6% という乖離の最大の要因。プレミアムの源泉（直販コンサル型モデルによる 51% の営業利益率）が持続的と判断するなら Exit 倍率を引き上げるべきで、その場合 Target は大きく上振れる。</t>
  </si>
  <si>
    <t>未解決</t>
  </si>
  <si>
    <t>Peer との収益性の差が大きく、倍率比較の前提が弱い</t>
  </si>
  <si>
    <t>当社 OPM 51.0% に対し Peer は 7.6〜22.6%。同じ FA でも直販コンサル型と部品製造型では economics が異なる。Peer中央値 18.26x を当社に当てることの妥当性は人間の判断を要する。</t>
  </si>
  <si>
    <t>営業利益率 50% 超の持続性</t>
  </si>
  <si>
    <t>Downside 2 で半減（25.5%）を置いたが、これは競争・顧客からの価格圧力を想定した仮定であり観測データから導いたものではない。</t>
  </si>
  <si>
    <t>Pipeline Metadata (do not edit — read by scripts/validate_output.py)</t>
  </si>
  <si>
    <t>key</t>
  </si>
  <si>
    <t>value</t>
  </si>
  <si>
    <t>auto_log_entries</t>
  </si>
  <si>
    <t>0</t>
  </si>
  <si>
    <t>capex_pct_basis</t>
  </si>
  <si>
    <t>assumption</t>
  </si>
  <si>
    <t>capex_pct_c5</t>
  </si>
  <si>
    <t>0.0157</t>
  </si>
  <si>
    <t>capex_pct_hist3yr</t>
  </si>
  <si>
    <t>0.016906</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</si>
  <si>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</si>
  <si>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</si>
  <si>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</si>
  <si>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</si>
  <si>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</si>
  <si>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</si>
  <si>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</si>
  <si>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</si>
  <si>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</si>
  <si>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</si>
  <si>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</si>
  <si>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</si>
  <si>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</si>
  <si>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</si>
  <si>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</si>
  <si>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</si>
  <si>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</si>
  <si>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</si>
  <si>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</si>
  <si>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</si>
  <si>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</si>
  <si>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</si>
  <si>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</si>
  <si>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0.015</t>
  </si>
  <si>
    <t>da_pct_hist3yr</t>
  </si>
  <si>
    <t>0.014437</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</si>
  <si>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</si>
  <si>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</si>
  <si>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</si>
  <si>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</si>
  <si>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</si>
  <si>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</si>
  <si>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</si>
  <si>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</si>
  <si>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</si>
  <si>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2026-09-05 17:55:44</t>
  </si>
  <si>
    <t>ltm_revenue_c20</t>
  </si>
  <si>
    <t>1169289.0</t>
  </si>
  <si>
    <t>ltm_revenue_source</t>
  </si>
  <si>
    <t>latest FY (no LTM)</t>
  </si>
  <si>
    <t>narrative_tokens_used</t>
  </si>
  <si>
    <t>pb,per,price,target_price,upside_pct,wacc</t>
  </si>
  <si>
    <t>reverse_dcf_sheet</t>
  </si>
  <si>
    <t>op0=595,759(FY2026) peak=595,759(FY2026) peak_opm=0.5095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</si>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</sst>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77720</v>
      </c>
    </row>
    <row r="10" spans="2:5" ht="14" customHeight="1" x14ac:dyDescent="0.3">
      <c r="B10" s="4" t="s">
        <v>10</v>
      </c>
      <c r="C10" s="5">
        <f>IF(COUNT(C16:C17)=0,"N/A",ROUND(AVERAGE(C16:C17),0))</f>
        <v>37596</v>
      </c>
    </row>
    <row r="11" spans="2:5" ht="14" customHeight="1" x14ac:dyDescent="0.3">
      <c r="B11" s="4" t="s">
        <v>11</v>
      </c>
      <c r="C11" s="6" t="str">
        <f>IF(NOT(ISNUMBER(C12)),"N/A",IF(C12&gt;0.15,"BUY",IF(C12&gt;0.05,"HOLD","SELL")))</f>
        <v>SELL</v>
      </c>
    </row>
    <row r="12" spans="2:5" ht="14" customHeight="1" x14ac:dyDescent="0.3">
      <c r="B12" s="4" t="s">
        <v>12</v>
      </c>
      <c r="C12" s="7">
        <f>IF(ISNUMBER(C10),(C10-C9)/C9,"N/A")</f>
        <v>-0.51626351003602677</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26172</v>
      </c>
      <c r="D16" s="7">
        <f>IF(ISNUMBER(C16),(C16-C9)/C9,"N/A")</f>
        <v>-0.66325270200720532</v>
      </c>
    </row>
    <row r="17" spans="2:5" ht="13.5" customHeight="1" x14ac:dyDescent="0.25">
      <c r="B17" t="s">
        <v>18</v>
      </c>
      <c r="C17" s="11">
        <f>IF('DCF Model'!C62&lt;'DCF Model'!C16,"INVALID (EV &lt; net debt)",'DCF Model'!C64)</f>
        <v>49020</v>
      </c>
      <c r="D17" s="7">
        <f>IF(ISNUMBER(C17),(C17-C9)/C9,"N/A")</f>
        <v>-0.36927431806484817</v>
      </c>
    </row>
    <row r="18" spans="2:5" ht="13.5" customHeight="1" x14ac:dyDescent="0.25">
      <c r="B18" t="s">
        <v>19</v>
      </c>
      <c r="C18" s="11">
        <f>'Comps Analysis'!C27</f>
        <v>48611</v>
      </c>
      <c r="D18" s="7">
        <f>IF(ISNUMBER(C18),(C18-C9)/C9,"N/A")</f>
        <v>-0.37453679876479673</v>
      </c>
    </row>
    <row r="19" spans="2:5" ht="13.5" customHeight="1" x14ac:dyDescent="0.25">
      <c r="B19" t="s">
        <v>20</v>
      </c>
      <c r="C19" s="11">
        <f>'Comps Analysis'!C28</f>
        <v>61742</v>
      </c>
      <c r="D19" s="7">
        <f>IF(ISNUMBER(C19),(C19-C9)/C9,"N/A")</f>
        <v>-0.20558414822439527</v>
      </c>
    </row>
    <row r="20" spans="2:5" ht="14" customHeight="1" x14ac:dyDescent="0.3">
      <c r="B20" s="46" t="s">
        <v>21</v>
      </c>
      <c r="C20" s="45"/>
      <c r="D20" s="45"/>
      <c r="E20" s="45"/>
    </row>
    <row r="21" spans="2:5" ht="14" customHeight="1" x14ac:dyDescent="0.3">
      <c r="B21" s="4" t="s">
        <v>22</v>
      </c>
      <c r="C21" s="6" t="str">
        <f>IF(COUNT(C16:C17)=0,"N/A",MIN(C16:C17)&amp;" - "&amp;MAX(C16:C17))</f>
        <v>26172 - 49020</v>
      </c>
    </row>
    <row r="23" spans="2:5" ht="14" customHeight="1" x14ac:dyDescent="0.3">
      <c r="B23" s="8" t="s">
        <v>23</v>
      </c>
      <c r="C23" s="9"/>
      <c r="D23" s="9"/>
    </row>
    <row r="24" spans="2:5" x14ac:dyDescent="0.2">
      <c r="B24" t="str">
        <f>"Keyence sells factory-automation sensors through a direct consultative model that sustains an operating margin above fifty percent — the highest in this batch by a wide margin; the shares trade at "&amp;TEXT('Comps Analysis'!L5,"0.0""x""")&amp;" earnings and "&amp;TEXT('Comps Analysis'!M5,"0.00""x""")&amp;" book."</f>
        <v>Keyence sells factory-automation sensors through a direct consultative model that sustains an operating margin above fifty percent — the highest in this batch by a wide margin; the shares trade at 42.3x earnings and 5.43x book.</v>
      </c>
    </row>
    <row r="25" spans="2:5" x14ac:dyDescent="0.2">
      <c r="B25" t="str">
        <f>"The company carries no interest-bearing debt and holds substantial net cash, so the "&amp;TEXT('DCF Model'!C26,"0.00%")&amp;" discount rate is the cost of equity and the asset base is unusually light for a manufacturer."</f>
        <v>The company carries no interest-bearing debt and holds substantial net cash, so the 10.47% discount rate is the cost of equity and the asset base is unusually light for a manufacturer.</v>
      </c>
    </row>
    <row r="26" spans="2:5" x14ac:dyDescent="0.2">
      <c r="B26" t="str">
        <f>"At "&amp;TEXT(C9,"#,##0")&amp;" the shares are held at roughly 1.6 times the automation peer median EV/EBITDA; this model values the exit on that peer median rather than on the premium the market awards, which is why "&amp;TEXT(C10,"#,##0")&amp;" sits "&amp;TEXT(C12,"+0.0%;-0.0%")&amp;" from here."</f>
        <v>At 77,720 the shares are held at roughly 1.6 times the automation peer median EV/EBITDA; this model values the exit on that peer median rather than on the premium the market awards, which is why 37,596 sits -51.6% from here.</v>
      </c>
    </row>
    <row r="28" spans="2:5" ht="14" customHeight="1" x14ac:dyDescent="0.3">
      <c r="B28" s="8" t="s">
        <v>24</v>
      </c>
      <c r="C28" s="9"/>
      <c r="D28" s="9"/>
    </row>
    <row r="29" spans="2:5" x14ac:dyDescent="0.2">
      <c r="B29" t="str">
        <f>"The exit leg deliberately does not extend the valuation premium into the terminal year, and that single choice accounts for most of the gap between "&amp;TEXT(C9,"#,##0")&amp;" and "&amp;TEXT(C10,"#,##0")&amp;"."</f>
        <v>The exit leg deliberately does not extend the valuation premium into the terminal year, and that single choice accounts for most of the gap between 77,720 and 37,596.</v>
      </c>
    </row>
    <row r="30" spans="2:5" x14ac:dyDescent="0.2">
      <c r="B30" t="str">
        <f>"A fifty-percent operating margin invites competitive and customer pushback; the second downside case halves it, which is far below anything the "&amp;TEXT('Comps Analysis'!L5,"0.0""x""")&amp;" the market pays contemplates."</f>
        <v>A fifty-percent operating margin invites competitive and customer pushback; the second downside case halves it, which is far below anything the 42.3x the market pays contemplates.</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922422</v>
      </c>
      <c r="D6" s="5">
        <v>967288</v>
      </c>
      <c r="E6" s="5">
        <v>1059145</v>
      </c>
      <c r="F6" s="5">
        <v>1169289</v>
      </c>
    </row>
    <row r="7" spans="2:6" ht="14" customHeight="1" x14ac:dyDescent="0.3">
      <c r="B7" s="4" t="s">
        <v>33</v>
      </c>
      <c r="C7" s="5">
        <v>167690</v>
      </c>
      <c r="D7" s="5">
        <v>164782</v>
      </c>
      <c r="E7" s="5">
        <v>171444</v>
      </c>
      <c r="F7" s="5">
        <v>198552</v>
      </c>
    </row>
    <row r="8" spans="2:6" ht="14" customHeight="1" x14ac:dyDescent="0.3">
      <c r="B8" s="4" t="s">
        <v>34</v>
      </c>
      <c r="C8" s="5">
        <f>C6-C7</f>
        <v>754732</v>
      </c>
      <c r="D8" s="5">
        <f>D6-D7</f>
        <v>802506</v>
      </c>
      <c r="E8" s="5">
        <f>E6-E7</f>
        <v>887701</v>
      </c>
      <c r="F8" s="5">
        <f>F6-F7</f>
        <v>970737</v>
      </c>
    </row>
    <row r="9" spans="2:6" ht="13.5" customHeight="1" x14ac:dyDescent="0.25">
      <c r="B9" t="s">
        <v>35</v>
      </c>
      <c r="C9" s="7">
        <f>C8/C6</f>
        <v>0.81820685109418467</v>
      </c>
      <c r="D9" s="7">
        <f>D8/D6</f>
        <v>0.82964535898305369</v>
      </c>
      <c r="E9" s="7">
        <f>E8/E6</f>
        <v>0.83812981225422389</v>
      </c>
      <c r="F9" s="7">
        <f>F8/F6</f>
        <v>0.83019424624707838</v>
      </c>
    </row>
    <row r="10" spans="2:6" ht="14" customHeight="1" x14ac:dyDescent="0.3">
      <c r="B10" s="4" t="s">
        <v>36</v>
      </c>
      <c r="C10" s="5">
        <v>255817</v>
      </c>
      <c r="D10" s="5">
        <v>307492</v>
      </c>
      <c r="E10" s="5">
        <v>337926</v>
      </c>
      <c r="F10" s="5">
        <v>374978</v>
      </c>
    </row>
    <row r="11" spans="2:6" ht="14" customHeight="1" x14ac:dyDescent="0.3">
      <c r="B11" s="4" t="s">
        <v>37</v>
      </c>
      <c r="C11" s="5">
        <v>498915</v>
      </c>
      <c r="D11" s="5">
        <v>495014</v>
      </c>
      <c r="E11" s="5">
        <v>549775</v>
      </c>
      <c r="F11" s="5">
        <v>595759</v>
      </c>
    </row>
    <row r="12" spans="2:6" ht="14" customHeight="1" x14ac:dyDescent="0.3">
      <c r="B12" s="4" t="s">
        <v>38</v>
      </c>
      <c r="C12" s="5">
        <v>362963</v>
      </c>
      <c r="D12" s="5">
        <v>369642</v>
      </c>
      <c r="E12" s="5">
        <v>398656</v>
      </c>
      <c r="F12" s="5">
        <v>445185</v>
      </c>
    </row>
    <row r="13" spans="2:6" ht="13.5" customHeight="1" x14ac:dyDescent="0.25">
      <c r="B13" t="s">
        <v>39</v>
      </c>
      <c r="C13" s="7">
        <f>C11/C6</f>
        <v>0.54087500081307682</v>
      </c>
      <c r="D13" s="7">
        <f>D11/D6</f>
        <v>0.51175451365053637</v>
      </c>
      <c r="E13" s="7">
        <f>E11/E6</f>
        <v>0.5190743477049885</v>
      </c>
      <c r="F13" s="7">
        <f>F11/F6</f>
        <v>0.50950534897702793</v>
      </c>
    </row>
    <row r="14" spans="2:6" ht="13.5" customHeight="1" x14ac:dyDescent="0.25">
      <c r="B14" t="s">
        <v>40</v>
      </c>
      <c r="C14" s="7">
        <f>C12/C6</f>
        <v>0.39348909718111669</v>
      </c>
      <c r="D14" s="7">
        <f>D12/D6</f>
        <v>0.38214265037920453</v>
      </c>
      <c r="E14" s="7">
        <f>E12/E6</f>
        <v>0.3763941669931879</v>
      </c>
      <c r="F14" s="7">
        <f>F12/F6</f>
        <v>0.38073136752334108</v>
      </c>
    </row>
    <row r="15" spans="2:6" ht="13.5" customHeight="1" x14ac:dyDescent="0.25">
      <c r="B15" t="s">
        <v>41</v>
      </c>
      <c r="C15" t="s">
        <v>42</v>
      </c>
      <c r="D15" s="7">
        <f>(D6-C6)/C6</f>
        <v>4.8639342947154336E-2</v>
      </c>
      <c r="E15" s="7">
        <f>(E6-D6)/D6</f>
        <v>9.4963444186219617E-2</v>
      </c>
      <c r="F15" s="7">
        <f>(F6-E6)/E6</f>
        <v>0.10399331536286344</v>
      </c>
    </row>
    <row r="16" spans="2:6" ht="13.5" customHeight="1" x14ac:dyDescent="0.25">
      <c r="B16" t="s">
        <v>43</v>
      </c>
      <c r="C16" t="s">
        <v>42</v>
      </c>
      <c r="D16" s="7">
        <f>(D11-C11)/C11</f>
        <v>-7.818967158734454E-3</v>
      </c>
      <c r="E16" s="7">
        <f>(E11-D11)/D11</f>
        <v>0.11062515403604746</v>
      </c>
      <c r="F16" s="7">
        <f>(F11-E11)/E11</f>
        <v>8.3641489700331959E-2</v>
      </c>
    </row>
    <row r="18" spans="2:6" ht="14" customHeight="1" x14ac:dyDescent="0.3">
      <c r="B18" s="3" t="s">
        <v>44</v>
      </c>
    </row>
    <row r="19" spans="2:6" ht="14" customHeight="1" x14ac:dyDescent="0.3">
      <c r="B19" s="4" t="s">
        <v>45</v>
      </c>
      <c r="C19" s="5">
        <v>302628</v>
      </c>
      <c r="D19" s="5">
        <v>387916</v>
      </c>
      <c r="E19" s="5">
        <v>409522</v>
      </c>
      <c r="F19" s="5">
        <v>430680</v>
      </c>
    </row>
    <row r="20" spans="2:6" ht="14" customHeight="1" x14ac:dyDescent="0.3">
      <c r="B20" s="4" t="s">
        <v>46</v>
      </c>
      <c r="C20" s="5">
        <v>39345</v>
      </c>
      <c r="D20" s="5">
        <v>12492</v>
      </c>
      <c r="E20" s="5">
        <v>14342</v>
      </c>
      <c r="F20" s="5">
        <v>28371</v>
      </c>
    </row>
    <row r="21" spans="2:6" ht="14" customHeight="1" x14ac:dyDescent="0.3">
      <c r="B21" s="4" t="s">
        <v>47</v>
      </c>
      <c r="C21" s="5">
        <f>C19-C20</f>
        <v>263283</v>
      </c>
      <c r="D21" s="5">
        <f>D19-D20</f>
        <v>375424</v>
      </c>
      <c r="E21" s="5">
        <f>E19-E20</f>
        <v>395180</v>
      </c>
      <c r="F21" s="5">
        <f>F19-F20</f>
        <v>402309</v>
      </c>
    </row>
    <row r="22" spans="2:6" ht="13.5" customHeight="1" x14ac:dyDescent="0.25">
      <c r="B22" t="s">
        <v>48</v>
      </c>
      <c r="C22" s="7">
        <f>C21/C6</f>
        <v>0.28542575957641947</v>
      </c>
      <c r="D22" s="7">
        <f>D21/D6</f>
        <v>0.38812018757598565</v>
      </c>
      <c r="E22" s="7">
        <f>E21/E6</f>
        <v>0.37311227452331835</v>
      </c>
      <c r="F22" s="7">
        <f>F21/F6</f>
        <v>0.34406293055010351</v>
      </c>
    </row>
    <row r="23" spans="2:6" ht="13.5" customHeight="1" x14ac:dyDescent="0.25">
      <c r="B23" t="s">
        <v>49</v>
      </c>
      <c r="C23" s="7">
        <f>C20/C6</f>
        <v>4.2654013022239277E-2</v>
      </c>
      <c r="D23" s="7">
        <f>D20/D6</f>
        <v>1.291445774164468E-2</v>
      </c>
      <c r="E23" s="7">
        <f>E20/E6</f>
        <v>1.3541110990468726E-2</v>
      </c>
      <c r="F23" s="7">
        <f>F20/F6</f>
        <v>2.4263462668339477E-2</v>
      </c>
    </row>
    <row r="25" spans="2:6" ht="14" customHeight="1" x14ac:dyDescent="0.3">
      <c r="B25" s="3" t="s">
        <v>50</v>
      </c>
    </row>
    <row r="26" spans="2:6" ht="14" customHeight="1" x14ac:dyDescent="0.3">
      <c r="B26" s="4" t="s">
        <v>51</v>
      </c>
      <c r="C26" s="5">
        <v>344002</v>
      </c>
      <c r="D26" s="5">
        <v>406065</v>
      </c>
      <c r="E26" s="5">
        <v>579051</v>
      </c>
      <c r="F26" s="5">
        <v>596976</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1.5699999999999999E-2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1</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18.3</v>
      </c>
    </row>
    <row r="15" spans="2:7" ht="14" customHeight="1" x14ac:dyDescent="0.3">
      <c r="B15" s="4" t="s">
        <v>66</v>
      </c>
      <c r="C15" s="15">
        <v>242525136</v>
      </c>
    </row>
    <row r="16" spans="2:7" ht="14" customHeight="1" x14ac:dyDescent="0.3">
      <c r="B16" s="4" t="s">
        <v>67</v>
      </c>
      <c r="C16" s="5">
        <v>-596976</v>
      </c>
    </row>
    <row r="17" spans="2:7" ht="14" customHeight="1" x14ac:dyDescent="0.3">
      <c r="B17" s="4" t="s">
        <v>68</v>
      </c>
      <c r="C17" s="5">
        <v>1169289</v>
      </c>
    </row>
    <row r="18" spans="2:7" ht="14" customHeight="1" x14ac:dyDescent="0.3">
      <c r="B18" s="4" t="s">
        <v>69</v>
      </c>
      <c r="C18" s="7">
        <v>1.4999999999999999E-2</v>
      </c>
    </row>
    <row r="19" spans="2:7" ht="14" customHeight="1" x14ac:dyDescent="0.3">
      <c r="B19" s="4" t="s">
        <v>70</v>
      </c>
      <c r="C19" s="12">
        <v>1</v>
      </c>
    </row>
    <row r="20" spans="2:7" ht="14" customHeight="1" x14ac:dyDescent="0.3">
      <c r="B20" s="4" t="s">
        <v>71</v>
      </c>
      <c r="C20" s="5">
        <v>1169289</v>
      </c>
    </row>
    <row r="22" spans="2:7" ht="14" customHeight="1" x14ac:dyDescent="0.3">
      <c r="B22" s="8" t="s">
        <v>72</v>
      </c>
      <c r="C22" s="9"/>
      <c r="D22" s="9"/>
      <c r="E22" s="9"/>
      <c r="F22" s="9"/>
      <c r="G22" s="9"/>
    </row>
    <row r="23" spans="2:7" ht="14" customHeight="1" x14ac:dyDescent="0.3">
      <c r="B23" s="4" t="s">
        <v>73</v>
      </c>
      <c r="C23" s="16">
        <f>C7+C8*C9+C10</f>
        <v>0.1047</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0.1047</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0.09</v>
      </c>
      <c r="D30" s="18">
        <f>CHOOSE($D$27,D69,D70,D71,D72,D73)</f>
        <v>7.4999999999999997E-2</v>
      </c>
      <c r="E30" s="18">
        <f>CHOOSE($D$27,E69,E70,E71,E72,E73)</f>
        <v>0.06</v>
      </c>
      <c r="F30" s="18">
        <f>CHOOSE($D$27,F69,F70,F71,F72,F73)</f>
        <v>0.05</v>
      </c>
      <c r="G30" s="18">
        <f>CHOOSE($D$27,G69,G70,G71,G72,G73)</f>
        <v>0.04</v>
      </c>
    </row>
    <row r="31" spans="2:7" ht="14" customHeight="1" x14ac:dyDescent="0.3">
      <c r="B31" s="4" t="s">
        <v>85</v>
      </c>
      <c r="C31" s="18">
        <f>CHOOSE($D$27,C76,C77,C78,C79,C80)</f>
        <v>0.17</v>
      </c>
      <c r="D31" s="18">
        <f>CHOOSE($D$27,D76,D77,D78,D79,D80)</f>
        <v>0.17</v>
      </c>
      <c r="E31" s="18">
        <f>CHOOSE($D$27,E76,E77,E78,E79,E80)</f>
        <v>0.17</v>
      </c>
      <c r="F31" s="18">
        <f>CHOOSE($D$27,F76,F77,F78,F79,F80)</f>
        <v>0.17</v>
      </c>
      <c r="G31" s="18">
        <f>CHOOSE($D$27,G76,G77,G78,G79,G80)</f>
        <v>0.17</v>
      </c>
    </row>
    <row r="32" spans="2:7" ht="14" customHeight="1" x14ac:dyDescent="0.3">
      <c r="B32" s="4" t="s">
        <v>86</v>
      </c>
      <c r="C32" s="18">
        <f>CHOOSE($D$27,C83,C84,C85,C86,C87)</f>
        <v>0.31900000000000001</v>
      </c>
      <c r="D32" s="18">
        <f>CHOOSE($D$27,D83,D84,D85,D86,D87)</f>
        <v>0.318</v>
      </c>
      <c r="E32" s="18">
        <f>CHOOSE($D$27,E83,E84,E85,E86,E87)</f>
        <v>0.3165</v>
      </c>
      <c r="F32" s="18">
        <f>CHOOSE($D$27,F83,F84,F85,F86,F87)</f>
        <v>0.3155</v>
      </c>
      <c r="G32" s="18">
        <f>CHOOSE($D$27,G83,G84,G85,G86,G87)</f>
        <v>0.31459999999999999</v>
      </c>
    </row>
    <row r="33" spans="2:7" ht="14" customHeight="1" x14ac:dyDescent="0.3">
      <c r="B33" s="4" t="s">
        <v>32</v>
      </c>
      <c r="C33" s="5">
        <f>C17*(1+C30)</f>
        <v>1274525.01</v>
      </c>
      <c r="D33" s="5">
        <f>C33*(1+D30)</f>
        <v>1370114.3857499999</v>
      </c>
      <c r="E33" s="5">
        <f>D33*(1+E30)</f>
        <v>1452321.248895</v>
      </c>
      <c r="F33" s="5">
        <f>E33*(1+F30)</f>
        <v>1524937.31133975</v>
      </c>
      <c r="G33" s="5">
        <f>F33*(1+G30)</f>
        <v>1585934.80379334</v>
      </c>
    </row>
    <row r="34" spans="2:7" ht="14" customHeight="1" x14ac:dyDescent="0.3">
      <c r="B34" s="4" t="s">
        <v>33</v>
      </c>
      <c r="C34" s="5">
        <f>C33*C31</f>
        <v>216669.25170000002</v>
      </c>
      <c r="D34" s="5">
        <f>D33*D31</f>
        <v>232919.44557750001</v>
      </c>
      <c r="E34" s="5">
        <f>E33*E31</f>
        <v>246894.61231215001</v>
      </c>
      <c r="F34" s="5">
        <f>F33*F31</f>
        <v>259239.34292775751</v>
      </c>
      <c r="G34" s="5">
        <f>G33*G31</f>
        <v>269608.9166448678</v>
      </c>
    </row>
    <row r="35" spans="2:7" ht="14" customHeight="1" x14ac:dyDescent="0.3">
      <c r="B35" s="4" t="s">
        <v>34</v>
      </c>
      <c r="C35" s="19">
        <f>C33-C34</f>
        <v>1057855.7582999999</v>
      </c>
      <c r="D35" s="19">
        <f>D33-D34</f>
        <v>1137194.9401725</v>
      </c>
      <c r="E35" s="19">
        <f>E33-E34</f>
        <v>1205426.63658285</v>
      </c>
      <c r="F35" s="19">
        <f>F33-F34</f>
        <v>1265697.9684119925</v>
      </c>
      <c r="G35" s="19">
        <f>G33-G34</f>
        <v>1316325.8871484722</v>
      </c>
    </row>
    <row r="36" spans="2:7" ht="14" customHeight="1" x14ac:dyDescent="0.3">
      <c r="B36" s="4" t="s">
        <v>35</v>
      </c>
      <c r="C36" s="7">
        <f>C35/C33</f>
        <v>0.82999999999999985</v>
      </c>
      <c r="D36" s="7">
        <f>D35/D33</f>
        <v>0.83000000000000007</v>
      </c>
      <c r="E36" s="7">
        <f>E35/E33</f>
        <v>0.83000000000000007</v>
      </c>
      <c r="F36" s="7">
        <f>F35/F33</f>
        <v>0.83000000000000007</v>
      </c>
      <c r="G36" s="7">
        <f>G35/G33</f>
        <v>0.83000000000000007</v>
      </c>
    </row>
    <row r="37" spans="2:7" ht="14" customHeight="1" x14ac:dyDescent="0.3">
      <c r="B37" s="4" t="s">
        <v>87</v>
      </c>
      <c r="C37" s="5">
        <f>C33*C32</f>
        <v>406573.47818999999</v>
      </c>
      <c r="D37" s="5">
        <f>D33*D32</f>
        <v>435696.37466849998</v>
      </c>
      <c r="E37" s="5">
        <f>E33*E32</f>
        <v>459659.67527526751</v>
      </c>
      <c r="F37" s="5">
        <f>F33*F32</f>
        <v>481117.72172769113</v>
      </c>
      <c r="G37" s="5">
        <f>G33*G32</f>
        <v>498935.08927338477</v>
      </c>
    </row>
    <row r="38" spans="2:7" ht="14" customHeight="1" x14ac:dyDescent="0.3">
      <c r="B38" s="4" t="s">
        <v>88</v>
      </c>
      <c r="C38" s="7">
        <f>(C35-C37)/C33</f>
        <v>0.5109999999999999</v>
      </c>
      <c r="D38" s="7">
        <f>(D35-D37)/D33</f>
        <v>0.51200000000000012</v>
      </c>
      <c r="E38" s="7">
        <f>(E35-E37)/E33</f>
        <v>0.51349999999999996</v>
      </c>
      <c r="F38" s="7">
        <f>(F35-F37)/F33</f>
        <v>0.51450000000000007</v>
      </c>
      <c r="G38" s="7">
        <f>(G35-G37)/G33</f>
        <v>0.51540000000000008</v>
      </c>
    </row>
    <row r="39" spans="2:7" ht="14" customHeight="1" x14ac:dyDescent="0.3">
      <c r="B39" s="4" t="s">
        <v>89</v>
      </c>
      <c r="C39" s="19">
        <f>C35-C37</f>
        <v>651282.28010999993</v>
      </c>
      <c r="D39" s="19">
        <f>D35-D37</f>
        <v>701498.56550400006</v>
      </c>
      <c r="E39" s="19">
        <f>E35-E37</f>
        <v>745766.96130758245</v>
      </c>
      <c r="F39" s="19">
        <f>F35-F37</f>
        <v>784580.24668430141</v>
      </c>
      <c r="G39" s="19">
        <f>G35-G37</f>
        <v>817390.79787508748</v>
      </c>
    </row>
    <row r="40" spans="2:7" ht="14" customHeight="1" x14ac:dyDescent="0.3">
      <c r="B40" s="4" t="s">
        <v>90</v>
      </c>
      <c r="C40" s="5">
        <f>MAX(0,C39*C6)</f>
        <v>162820.57002749998</v>
      </c>
      <c r="D40" s="5">
        <f>MAX(0,D39*C6)</f>
        <v>175374.64137600001</v>
      </c>
      <c r="E40" s="5">
        <f>MAX(0,E39*C6)</f>
        <v>186441.74032689561</v>
      </c>
      <c r="F40" s="5">
        <f>MAX(0,F39*C6)</f>
        <v>196145.06167107535</v>
      </c>
      <c r="G40" s="5">
        <f>MAX(0,G39*C6)</f>
        <v>204347.69946877187</v>
      </c>
    </row>
    <row r="41" spans="2:7" ht="14" customHeight="1" x14ac:dyDescent="0.3">
      <c r="B41" s="4" t="s">
        <v>91</v>
      </c>
      <c r="C41" s="19">
        <f>C39-C40</f>
        <v>488461.71008249995</v>
      </c>
      <c r="D41" s="19">
        <f>D39-D40</f>
        <v>526123.92412800004</v>
      </c>
      <c r="E41" s="19">
        <f>E39-E40</f>
        <v>559325.22098068683</v>
      </c>
      <c r="F41" s="19">
        <f>F39-F40</f>
        <v>588435.185013226</v>
      </c>
      <c r="G41" s="19">
        <f>G39-G40</f>
        <v>613043.09840631555</v>
      </c>
    </row>
    <row r="42" spans="2:7" ht="14" customHeight="1" x14ac:dyDescent="0.3">
      <c r="B42" s="4" t="s">
        <v>92</v>
      </c>
      <c r="C42" s="5">
        <f>C33*C18</f>
        <v>19117.87515</v>
      </c>
      <c r="D42" s="5">
        <f>D33*C18</f>
        <v>20551.715786249999</v>
      </c>
      <c r="E42" s="5">
        <f>E33*C18</f>
        <v>21784.818733425</v>
      </c>
      <c r="F42" s="5">
        <f>F33*C18</f>
        <v>22874.059670096249</v>
      </c>
      <c r="G42" s="5">
        <f>G33*C18</f>
        <v>23789.022056900099</v>
      </c>
    </row>
    <row r="43" spans="2:7" ht="14" customHeight="1" x14ac:dyDescent="0.3">
      <c r="B43" s="4" t="s">
        <v>93</v>
      </c>
      <c r="C43" s="5">
        <f>C33*C5</f>
        <v>20010.042656999998</v>
      </c>
      <c r="D43" s="5">
        <f>D33*C5</f>
        <v>21510.795856274995</v>
      </c>
      <c r="E43" s="5">
        <f>E33*C5</f>
        <v>22801.443607651498</v>
      </c>
      <c r="F43" s="5">
        <f>F33*C5</f>
        <v>23941.515788034074</v>
      </c>
      <c r="G43" s="5">
        <f>G33*C5</f>
        <v>24899.176419555435</v>
      </c>
    </row>
    <row r="44" spans="2:7" ht="14" customHeight="1" x14ac:dyDescent="0.3">
      <c r="B44" s="4" t="s">
        <v>94</v>
      </c>
      <c r="C44" s="5">
        <f>'NWC Schedule'!D19</f>
        <v>34187.538076712342</v>
      </c>
      <c r="D44" s="5">
        <f>'NWC Schedule'!E19</f>
        <v>36612.040355753445</v>
      </c>
      <c r="E44" s="5">
        <f>'NWC Schedule'!F19</f>
        <v>31486.354705947917</v>
      </c>
      <c r="F44" s="5">
        <f>'NWC Schedule'!G19</f>
        <v>27812.946656920598</v>
      </c>
      <c r="G44" s="5">
        <f>'NWC Schedule'!H19</f>
        <v>23362.875191813335</v>
      </c>
    </row>
    <row r="45" spans="2:7" ht="14" customHeight="1" x14ac:dyDescent="0.3">
      <c r="B45" s="4" t="s">
        <v>95</v>
      </c>
      <c r="C45" s="20">
        <f>C41+C42-C43-C44</f>
        <v>453382.00449878757</v>
      </c>
      <c r="D45" s="20">
        <f>D41+D42-D43-D44</f>
        <v>488552.80370222154</v>
      </c>
      <c r="E45" s="20">
        <f>E41+E42-E43-E44</f>
        <v>526822.2414005124</v>
      </c>
      <c r="F45" s="20">
        <f>F41+F42-F43-F44</f>
        <v>559554.7822383676</v>
      </c>
      <c r="G45" s="20">
        <f>G41+G42-G43-G44</f>
        <v>588570.06885184685</v>
      </c>
    </row>
    <row r="46" spans="2:7" ht="14" customHeight="1" x14ac:dyDescent="0.3">
      <c r="B46" s="4" t="s">
        <v>96</v>
      </c>
      <c r="C46" s="21">
        <f>1/(1+C26)^(C19+0)</f>
        <v>0.90522313750339456</v>
      </c>
      <c r="D46" s="21">
        <f>1/(1+C26)^(C19+1)</f>
        <v>0.81942892867148953</v>
      </c>
      <c r="E46" s="21">
        <f>1/(1+C26)^(C19+2)</f>
        <v>0.74176602577305117</v>
      </c>
      <c r="F46" s="21">
        <f>1/(1+C26)^(C19+3)</f>
        <v>0.67146376914370509</v>
      </c>
      <c r="G46" s="21">
        <f>1/(1+C26)^(C19+4)</f>
        <v>0.60782453982411977</v>
      </c>
    </row>
    <row r="47" spans="2:7" ht="14" customHeight="1" x14ac:dyDescent="0.3">
      <c r="B47" s="4" t="s">
        <v>97</v>
      </c>
      <c r="C47" s="19">
        <f>C45*C46</f>
        <v>410411.88059997064</v>
      </c>
      <c r="D47" s="19">
        <f>D45*D46</f>
        <v>400334.30053716392</v>
      </c>
      <c r="E47" s="19">
        <f>E45*E46</f>
        <v>390778.84029250906</v>
      </c>
      <c r="F47" s="19">
        <f>F45*F46</f>
        <v>375720.76312415942</v>
      </c>
      <c r="G47" s="19">
        <f>G45*G46</f>
        <v>357747.33125412429</v>
      </c>
    </row>
    <row r="49" spans="2:7" ht="14" customHeight="1" x14ac:dyDescent="0.3">
      <c r="B49" s="22" t="s">
        <v>98</v>
      </c>
      <c r="C49" s="23"/>
      <c r="D49" s="23"/>
      <c r="E49" s="23"/>
      <c r="F49" s="23"/>
      <c r="G49" s="23"/>
    </row>
    <row r="50" spans="2:7" ht="14" customHeight="1" x14ac:dyDescent="0.3">
      <c r="B50" s="4" t="s">
        <v>99</v>
      </c>
      <c r="C50" s="5">
        <f>SUM(C47:G47)</f>
        <v>1934993.1158079272</v>
      </c>
    </row>
    <row r="51" spans="2:7" ht="14" customHeight="1" x14ac:dyDescent="0.3">
      <c r="B51" s="4" t="s">
        <v>100</v>
      </c>
      <c r="C51" s="5">
        <f>G45*(1+C13)/(C26-C13)</f>
        <v>6277252.0542805204</v>
      </c>
    </row>
    <row r="52" spans="2:7" ht="14" customHeight="1" x14ac:dyDescent="0.3">
      <c r="B52" s="4" t="s">
        <v>101</v>
      </c>
      <c r="C52" s="5">
        <f>C51*G46</f>
        <v>3815467.8412530678</v>
      </c>
    </row>
    <row r="53" spans="2:7" ht="14" customHeight="1" x14ac:dyDescent="0.3">
      <c r="B53" s="4" t="s">
        <v>102</v>
      </c>
      <c r="C53" s="5">
        <f>C50+C52</f>
        <v>5750460.9570609946</v>
      </c>
    </row>
    <row r="54" spans="2:7" ht="14" customHeight="1" x14ac:dyDescent="0.3">
      <c r="B54" s="4" t="s">
        <v>103</v>
      </c>
      <c r="C54" s="5">
        <f>C53-C16</f>
        <v>6347436.9570609946</v>
      </c>
    </row>
    <row r="55" spans="2:7" ht="14" customHeight="1" x14ac:dyDescent="0.3">
      <c r="B55" s="4" t="s">
        <v>104</v>
      </c>
      <c r="C55" s="24">
        <f>ROUND(C54*1000000/C15,0)</f>
        <v>26172</v>
      </c>
    </row>
    <row r="57" spans="2:7" ht="14" customHeight="1" x14ac:dyDescent="0.3">
      <c r="B57" s="22" t="s">
        <v>105</v>
      </c>
      <c r="C57" s="23"/>
      <c r="D57" s="23"/>
      <c r="E57" s="23"/>
      <c r="F57" s="23"/>
      <c r="G57" s="23"/>
    </row>
    <row r="58" spans="2:7" ht="14" customHeight="1" x14ac:dyDescent="0.3">
      <c r="B58" s="4" t="s">
        <v>99</v>
      </c>
      <c r="C58" s="5">
        <f>C50</f>
        <v>1934993.1158079272</v>
      </c>
    </row>
    <row r="59" spans="2:7" ht="14" customHeight="1" x14ac:dyDescent="0.3">
      <c r="B59" s="4" t="s">
        <v>106</v>
      </c>
      <c r="C59" s="5">
        <f>G39+G42</f>
        <v>841179.81993198756</v>
      </c>
    </row>
    <row r="60" spans="2:7" ht="14" customHeight="1" x14ac:dyDescent="0.3">
      <c r="B60" s="4" t="s">
        <v>107</v>
      </c>
      <c r="C60" s="5">
        <f>C59*C14</f>
        <v>15393590.704755373</v>
      </c>
    </row>
    <row r="61" spans="2:7" ht="14" customHeight="1" x14ac:dyDescent="0.3">
      <c r="B61" s="4" t="s">
        <v>101</v>
      </c>
      <c r="C61" s="5">
        <f>C60*G46</f>
        <v>9356602.1863587815</v>
      </c>
    </row>
    <row r="62" spans="2:7" ht="14" customHeight="1" x14ac:dyDescent="0.3">
      <c r="B62" s="4" t="s">
        <v>102</v>
      </c>
      <c r="C62" s="5">
        <f>C58+C61</f>
        <v>11291595.302166708</v>
      </c>
    </row>
    <row r="63" spans="2:7" ht="14" customHeight="1" x14ac:dyDescent="0.3">
      <c r="B63" s="4" t="s">
        <v>103</v>
      </c>
      <c r="C63" s="5">
        <f>C62-C16</f>
        <v>11888571.302166708</v>
      </c>
    </row>
    <row r="64" spans="2:7" ht="14" customHeight="1" x14ac:dyDescent="0.3">
      <c r="B64" s="4" t="s">
        <v>108</v>
      </c>
      <c r="C64" s="24">
        <f>ROUND(C63*1000000/C15,0)</f>
        <v>49020</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0.09</v>
      </c>
      <c r="D69" s="26">
        <v>7.4999999999999997E-2</v>
      </c>
      <c r="E69" s="26">
        <v>0.06</v>
      </c>
      <c r="F69" s="26">
        <v>0.05</v>
      </c>
      <c r="G69" s="26">
        <v>0.04</v>
      </c>
    </row>
    <row r="70" spans="2:7" ht="14" customHeight="1" x14ac:dyDescent="0.3">
      <c r="B70" s="4" t="s">
        <v>115</v>
      </c>
      <c r="C70" s="26">
        <v>0.11</v>
      </c>
      <c r="D70" s="26">
        <v>0.09</v>
      </c>
      <c r="E70" s="26">
        <v>7.4999999999999997E-2</v>
      </c>
      <c r="F70" s="26">
        <v>0.06</v>
      </c>
      <c r="G70" s="26">
        <v>0.05</v>
      </c>
    </row>
    <row r="71" spans="2:7" ht="14" customHeight="1" x14ac:dyDescent="0.3">
      <c r="B71" s="4" t="s">
        <v>116</v>
      </c>
      <c r="C71" s="26">
        <v>0.09</v>
      </c>
      <c r="D71" s="26">
        <v>7.4999999999999997E-2</v>
      </c>
      <c r="E71" s="26">
        <v>0.06</v>
      </c>
      <c r="F71" s="26">
        <v>0.05</v>
      </c>
      <c r="G71" s="26">
        <v>0.04</v>
      </c>
    </row>
    <row r="72" spans="2:7" ht="14" customHeight="1" x14ac:dyDescent="0.3">
      <c r="B72" s="4" t="s">
        <v>117</v>
      </c>
      <c r="C72" s="26">
        <v>0.03</v>
      </c>
      <c r="D72" s="26">
        <v>2.5000000000000001E-2</v>
      </c>
      <c r="E72" s="26">
        <v>0.02</v>
      </c>
      <c r="F72" s="26">
        <v>1.4999999999999999E-2</v>
      </c>
      <c r="G72" s="26">
        <v>1.4999999999999999E-2</v>
      </c>
    </row>
    <row r="73" spans="2:7" ht="14" customHeight="1" x14ac:dyDescent="0.3">
      <c r="B73" s="4" t="s">
        <v>118</v>
      </c>
      <c r="C73" s="26">
        <v>-0.12</v>
      </c>
      <c r="D73" s="26">
        <v>-0.03</v>
      </c>
      <c r="E73" s="26">
        <v>0.02</v>
      </c>
      <c r="F73" s="26">
        <v>0.04</v>
      </c>
      <c r="G73" s="26">
        <v>4.4999999999999998E-2</v>
      </c>
    </row>
    <row r="75" spans="2:7" ht="14" customHeight="1" x14ac:dyDescent="0.3">
      <c r="B75" s="3" t="s">
        <v>85</v>
      </c>
    </row>
    <row r="76" spans="2:7" ht="14" customHeight="1" x14ac:dyDescent="0.3">
      <c r="B76" s="4" t="s">
        <v>78</v>
      </c>
      <c r="C76" s="26">
        <v>0.17</v>
      </c>
      <c r="D76" s="26">
        <v>0.17</v>
      </c>
      <c r="E76" s="26">
        <v>0.17</v>
      </c>
      <c r="F76" s="26">
        <v>0.17</v>
      </c>
      <c r="G76" s="26">
        <v>0.17</v>
      </c>
    </row>
    <row r="77" spans="2:7" ht="14" customHeight="1" x14ac:dyDescent="0.3">
      <c r="B77" s="4" t="s">
        <v>115</v>
      </c>
      <c r="C77" s="26">
        <v>0.16700000000000001</v>
      </c>
      <c r="D77" s="26">
        <v>0.16700000000000001</v>
      </c>
      <c r="E77" s="26">
        <v>0.16700000000000001</v>
      </c>
      <c r="F77" s="26">
        <v>0.16700000000000001</v>
      </c>
      <c r="G77" s="26">
        <v>0.16700000000000001</v>
      </c>
    </row>
    <row r="78" spans="2:7" ht="14" customHeight="1" x14ac:dyDescent="0.3">
      <c r="B78" s="4" t="s">
        <v>116</v>
      </c>
      <c r="C78" s="26">
        <v>0.17</v>
      </c>
      <c r="D78" s="26">
        <v>0.17</v>
      </c>
      <c r="E78" s="26">
        <v>0.17</v>
      </c>
      <c r="F78" s="26">
        <v>0.17</v>
      </c>
      <c r="G78" s="26">
        <v>0.17</v>
      </c>
    </row>
    <row r="79" spans="2:7" ht="14" customHeight="1" x14ac:dyDescent="0.3">
      <c r="B79" s="4" t="s">
        <v>117</v>
      </c>
      <c r="C79" s="26">
        <v>0.17599999999999999</v>
      </c>
      <c r="D79" s="26">
        <v>0.17599999999999999</v>
      </c>
      <c r="E79" s="26">
        <v>0.17599999999999999</v>
      </c>
      <c r="F79" s="26">
        <v>0.17599999999999999</v>
      </c>
      <c r="G79" s="26">
        <v>0.17599999999999999</v>
      </c>
    </row>
    <row r="80" spans="2:7" ht="14" customHeight="1" x14ac:dyDescent="0.3">
      <c r="B80" s="4" t="s">
        <v>118</v>
      </c>
      <c r="C80" s="26">
        <v>0.19500000000000001</v>
      </c>
      <c r="D80" s="26">
        <v>0.19500000000000001</v>
      </c>
      <c r="E80" s="26">
        <v>0.19500000000000001</v>
      </c>
      <c r="F80" s="26">
        <v>0.19500000000000001</v>
      </c>
      <c r="G80" s="26">
        <v>0.19500000000000001</v>
      </c>
    </row>
    <row r="82" spans="2:7" ht="14" customHeight="1" x14ac:dyDescent="0.3">
      <c r="B82" s="3" t="s">
        <v>86</v>
      </c>
    </row>
    <row r="83" spans="2:7" ht="14" customHeight="1" x14ac:dyDescent="0.3">
      <c r="B83" s="4" t="s">
        <v>78</v>
      </c>
      <c r="C83" s="26">
        <v>0.31900000000000001</v>
      </c>
      <c r="D83" s="26">
        <v>0.318</v>
      </c>
      <c r="E83" s="26">
        <v>0.3165</v>
      </c>
      <c r="F83" s="26">
        <v>0.3155</v>
      </c>
      <c r="G83" s="26">
        <v>0.31459999999999999</v>
      </c>
    </row>
    <row r="84" spans="2:7" ht="14" customHeight="1" x14ac:dyDescent="0.3">
      <c r="B84" s="4" t="s">
        <v>115</v>
      </c>
      <c r="C84" s="26">
        <v>0.318</v>
      </c>
      <c r="D84" s="26">
        <v>0.315</v>
      </c>
      <c r="E84" s="26">
        <v>0.312</v>
      </c>
      <c r="F84" s="26">
        <v>0.31</v>
      </c>
      <c r="G84" s="26">
        <v>0.3085</v>
      </c>
    </row>
    <row r="85" spans="2:7" ht="14" customHeight="1" x14ac:dyDescent="0.3">
      <c r="B85" s="4" t="s">
        <v>116</v>
      </c>
      <c r="C85" s="26">
        <v>0.31900000000000001</v>
      </c>
      <c r="D85" s="26">
        <v>0.318</v>
      </c>
      <c r="E85" s="26">
        <v>0.3165</v>
      </c>
      <c r="F85" s="26">
        <v>0.3155</v>
      </c>
      <c r="G85" s="26">
        <v>0.31459999999999999</v>
      </c>
    </row>
    <row r="86" spans="2:7" ht="14" customHeight="1" x14ac:dyDescent="0.3">
      <c r="B86" s="4" t="s">
        <v>117</v>
      </c>
      <c r="C86" s="26">
        <v>0.32400000000000001</v>
      </c>
      <c r="D86" s="26">
        <v>0.33400000000000002</v>
      </c>
      <c r="E86" s="26">
        <v>0.34200000000000003</v>
      </c>
      <c r="F86" s="26">
        <v>0.34699999999999998</v>
      </c>
      <c r="G86" s="26">
        <v>0.34699999999999998</v>
      </c>
    </row>
    <row r="87" spans="2:7" ht="14" customHeight="1" x14ac:dyDescent="0.3">
      <c r="B87" s="4" t="s">
        <v>118</v>
      </c>
      <c r="C87" s="26">
        <v>0.48499999999999999</v>
      </c>
      <c r="D87" s="26">
        <v>0.54500000000000004</v>
      </c>
      <c r="E87" s="26">
        <v>0.55000000000000004</v>
      </c>
      <c r="F87" s="26">
        <v>0.53500000000000003</v>
      </c>
      <c r="G87" s="26">
        <v>0.51500000000000001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77720</v>
      </c>
    </row>
    <row r="7" spans="2:9" ht="14" customHeight="1" x14ac:dyDescent="0.3">
      <c r="B7" s="4" t="s">
        <v>66</v>
      </c>
      <c r="C7" s="15">
        <f>'DCF Model'!C15</f>
        <v>242525136</v>
      </c>
    </row>
    <row r="8" spans="2:9" ht="14" customHeight="1" x14ac:dyDescent="0.3">
      <c r="B8" s="4" t="s">
        <v>123</v>
      </c>
      <c r="C8" s="5">
        <f>C6*C7/1000000</f>
        <v>18849053.56992</v>
      </c>
    </row>
    <row r="9" spans="2:9" ht="14" customHeight="1" x14ac:dyDescent="0.3">
      <c r="B9" s="4" t="s">
        <v>67</v>
      </c>
      <c r="C9" s="5">
        <f>'DCF Model'!C16</f>
        <v>-596976</v>
      </c>
    </row>
    <row r="10" spans="2:9" ht="14" customHeight="1" x14ac:dyDescent="0.3">
      <c r="B10" s="4" t="s">
        <v>124</v>
      </c>
      <c r="C10" s="5">
        <f>C8+C9</f>
        <v>18252077.56992</v>
      </c>
    </row>
    <row r="11" spans="2:9" ht="14" customHeight="1" x14ac:dyDescent="0.3">
      <c r="B11" s="4" t="s">
        <v>125</v>
      </c>
      <c r="C11" s="16">
        <f>'DCF Model'!C26</f>
        <v>0.1047</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595759</v>
      </c>
    </row>
    <row r="15" spans="2:9" ht="14" customHeight="1" x14ac:dyDescent="0.3">
      <c r="B15" s="4" t="s">
        <v>129</v>
      </c>
      <c r="C15" s="27">
        <v>595759</v>
      </c>
    </row>
    <row r="16" spans="2:9" ht="14" customHeight="1" x14ac:dyDescent="0.3">
      <c r="B16" s="4" t="s">
        <v>130</v>
      </c>
      <c r="C16" s="5">
        <f>'DCF Model'!G33</f>
        <v>1585934.80379334</v>
      </c>
    </row>
    <row r="17" spans="2:9" ht="14" customHeight="1" x14ac:dyDescent="0.3">
      <c r="B17" s="4" t="s">
        <v>131</v>
      </c>
      <c r="C17" s="5">
        <f>'DCF Model'!C53</f>
        <v>5750460.9570609946</v>
      </c>
    </row>
    <row r="18" spans="2:9" ht="14" customHeight="1" x14ac:dyDescent="0.3">
      <c r="B18" s="4" t="s">
        <v>132</v>
      </c>
      <c r="C18" s="26">
        <v>0.50950534897702793</v>
      </c>
    </row>
    <row r="19" spans="2:9" ht="14" customHeight="1" x14ac:dyDescent="0.3">
      <c r="B19" s="4" t="s">
        <v>133</v>
      </c>
      <c r="C19" s="5">
        <f>C10-C17</f>
        <v>12501616.612859005</v>
      </c>
    </row>
    <row r="20" spans="2:9" ht="14" customHeight="1" x14ac:dyDescent="0.3">
      <c r="B20" s="4" t="s">
        <v>134</v>
      </c>
      <c r="C20" s="15">
        <f>IFERROR(ROUND(C19*1000000/C7,0),"N/A")</f>
        <v>51548</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1728471.745871424</v>
      </c>
    </row>
    <row r="25" spans="2:9" ht="14" customHeight="1" x14ac:dyDescent="0.3">
      <c r="B25" s="4" t="s">
        <v>138</v>
      </c>
      <c r="C25" s="5">
        <f>IFERROR(C24/(1-C13),"N/A")</f>
        <v>2304628.9944952321</v>
      </c>
    </row>
    <row r="26" spans="2:9" ht="13.5" customHeight="1" x14ac:dyDescent="0.25">
      <c r="B26" s="6" t="s">
        <v>139</v>
      </c>
      <c r="C26" s="14">
        <f>IFERROR(C25/C15,"N/A")</f>
        <v>3.8683914040664633</v>
      </c>
    </row>
    <row r="27" spans="2:9" ht="13.5" customHeight="1" x14ac:dyDescent="0.25">
      <c r="B27" s="6" t="s">
        <v>140</v>
      </c>
      <c r="C27" s="14">
        <f>IFERROR(C25/C14,"N/A")</f>
        <v>3.8683914040664633</v>
      </c>
    </row>
    <row r="28" spans="2:9" ht="13.5" customHeight="1" x14ac:dyDescent="0.25">
      <c r="B28" s="6" t="s">
        <v>141</v>
      </c>
      <c r="C28" s="7">
        <f>IFERROR(C25/C16,"N/A")</f>
        <v>1.4531675507611495</v>
      </c>
    </row>
    <row r="29" spans="2:9" ht="13.5" customHeight="1" x14ac:dyDescent="0.25">
      <c r="B29" s="6" t="s">
        <v>142</v>
      </c>
      <c r="C29" s="5">
        <f>IFERROR(C25/C18,"N/A")</f>
        <v>4523267.5164694712</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8.4699999999999998E-2</v>
      </c>
      <c r="E36" s="29">
        <f>'DCF Model'!C26-0.01</f>
        <v>9.4700000000000006E-2</v>
      </c>
      <c r="F36" s="29">
        <f>'DCF Model'!C26</f>
        <v>0.1047</v>
      </c>
      <c r="G36" s="29">
        <f>'DCF Model'!C26+0.01</f>
        <v>0.1147</v>
      </c>
      <c r="H36" s="29">
        <f>'DCF Model'!C26+0.02</f>
        <v>0.12470000000000001</v>
      </c>
    </row>
    <row r="37" spans="2:9" ht="14" customHeight="1" x14ac:dyDescent="0.3">
      <c r="B37" s="3" t="s">
        <v>148</v>
      </c>
    </row>
    <row r="38" spans="2:9" ht="14" customHeight="1" x14ac:dyDescent="0.3">
      <c r="B38" s="4" t="s">
        <v>149</v>
      </c>
      <c r="C38" s="30">
        <v>3</v>
      </c>
      <c r="D38" s="13">
        <f t="shared" ref="D38:H41" si="0">IFERROR((1-(1+D$36)^(-$C38))/D$36-(1+D$36)/(D$36^2*$C38)*(1-($C38+1)/(1+D$36)^$C38+$C38/(1+D$36)^($C38+1)),"N/A")</f>
        <v>0.89791767101267017</v>
      </c>
      <c r="E38" s="13">
        <f t="shared" si="0"/>
        <v>0.88715090313639156</v>
      </c>
      <c r="F38" s="13">
        <f t="shared" si="0"/>
        <v>0.8766250678927674</v>
      </c>
      <c r="G38" s="13">
        <f t="shared" si="0"/>
        <v>0.8663324539873869</v>
      </c>
      <c r="H38" s="13">
        <f t="shared" si="0"/>
        <v>0.85626566763067169</v>
      </c>
    </row>
    <row r="39" spans="2:9" ht="14" customHeight="1" x14ac:dyDescent="0.3">
      <c r="B39" s="4" t="s">
        <v>150</v>
      </c>
      <c r="C39" s="30">
        <v>5</v>
      </c>
      <c r="D39" s="13">
        <f t="shared" si="0"/>
        <v>1.7053839785028742</v>
      </c>
      <c r="E39" s="13">
        <f t="shared" si="0"/>
        <v>1.6756542156273726</v>
      </c>
      <c r="F39" s="13">
        <f t="shared" si="0"/>
        <v>1.6468350313435702</v>
      </c>
      <c r="G39" s="13">
        <f t="shared" si="0"/>
        <v>1.6188882647482199</v>
      </c>
      <c r="H39" s="13">
        <f t="shared" si="0"/>
        <v>1.591777744036055</v>
      </c>
    </row>
    <row r="40" spans="2:9" ht="14" customHeight="1" x14ac:dyDescent="0.3">
      <c r="B40" s="4" t="s">
        <v>151</v>
      </c>
      <c r="C40" s="30">
        <v>7</v>
      </c>
      <c r="D40" s="13">
        <f t="shared" si="0"/>
        <v>2.4326219733811332</v>
      </c>
      <c r="E40" s="13">
        <f t="shared" si="0"/>
        <v>2.3778135383305101</v>
      </c>
      <c r="F40" s="13">
        <f t="shared" si="0"/>
        <v>2.3251149707915095</v>
      </c>
      <c r="G40" s="13">
        <f t="shared" si="0"/>
        <v>2.2744177429264396</v>
      </c>
      <c r="H40" s="13">
        <f t="shared" si="0"/>
        <v>2.2256201338324573</v>
      </c>
    </row>
    <row r="41" spans="2:9" ht="14" customHeight="1" x14ac:dyDescent="0.3">
      <c r="B41" s="4" t="s">
        <v>152</v>
      </c>
      <c r="C41" s="30">
        <v>10</v>
      </c>
      <c r="D41" s="13">
        <f t="shared" si="0"/>
        <v>3.392423269542153</v>
      </c>
      <c r="E41" s="13">
        <f t="shared" si="0"/>
        <v>3.2921058635017864</v>
      </c>
      <c r="F41" s="13">
        <f t="shared" si="0"/>
        <v>3.1967640886759918</v>
      </c>
      <c r="G41" s="13">
        <f t="shared" si="0"/>
        <v>3.1060742842930376</v>
      </c>
      <c r="H41" s="13">
        <f t="shared" si="0"/>
        <v>3.0197380234086331</v>
      </c>
    </row>
    <row r="42" spans="2:9" ht="14" customHeight="1" x14ac:dyDescent="0.3">
      <c r="B42" s="3" t="s">
        <v>153</v>
      </c>
    </row>
    <row r="43" spans="2:9" ht="14" customHeight="1" x14ac:dyDescent="0.3">
      <c r="B43" s="4" t="s">
        <v>149</v>
      </c>
      <c r="C43" s="30">
        <v>3</v>
      </c>
      <c r="D43" s="13">
        <f t="shared" ref="D43:H46" si="1">IFERROR((1+D$36)/(D$36^2*$C43)*(1-($C43+1)/(1+D$36)^$C43+$C43/(1+D$36)^($C43+1))+(1+$C$12)/((D$36-$C$12)*(1+D$36)^$C43),"N/A")</f>
        <v>12.251769193807187</v>
      </c>
      <c r="E43" s="13">
        <f t="shared" si="1"/>
        <v>10.712853768833034</v>
      </c>
      <c r="F43" s="13">
        <f t="shared" si="1"/>
        <v>9.5009195924900336</v>
      </c>
      <c r="G43" s="13">
        <f t="shared" si="1"/>
        <v>8.5222162563676331</v>
      </c>
      <c r="H43" s="13">
        <f t="shared" si="1"/>
        <v>7.7156897801688586</v>
      </c>
    </row>
    <row r="44" spans="2:9" ht="14" customHeight="1" x14ac:dyDescent="0.3">
      <c r="B44" s="4" t="s">
        <v>150</v>
      </c>
      <c r="C44" s="30">
        <v>5</v>
      </c>
      <c r="D44" s="13">
        <f t="shared" si="1"/>
        <v>11.242705728979853</v>
      </c>
      <c r="E44" s="13">
        <f t="shared" si="1"/>
        <v>9.7521406215744619</v>
      </c>
      <c r="F44" s="13">
        <f t="shared" si="1"/>
        <v>8.5814773381293286</v>
      </c>
      <c r="G44" s="13">
        <f t="shared" si="1"/>
        <v>7.6388416702883717</v>
      </c>
      <c r="H44" s="13">
        <f t="shared" si="1"/>
        <v>6.8644099999400972</v>
      </c>
    </row>
    <row r="45" spans="2:9" ht="14" customHeight="1" x14ac:dyDescent="0.3">
      <c r="B45" s="4" t="s">
        <v>151</v>
      </c>
      <c r="C45" s="30">
        <v>7</v>
      </c>
      <c r="D45" s="13">
        <f t="shared" si="1"/>
        <v>10.344125224479335</v>
      </c>
      <c r="E45" s="13">
        <f t="shared" si="1"/>
        <v>8.9062776770838088</v>
      </c>
      <c r="F45" s="13">
        <f t="shared" si="1"/>
        <v>7.7809121424178977</v>
      </c>
      <c r="G45" s="13">
        <f t="shared" si="1"/>
        <v>6.8780302041409556</v>
      </c>
      <c r="H45" s="13">
        <f t="shared" si="1"/>
        <v>6.1390480278782977</v>
      </c>
    </row>
    <row r="46" spans="2:9" ht="14" customHeight="1" x14ac:dyDescent="0.3">
      <c r="B46" s="4" t="s">
        <v>152</v>
      </c>
      <c r="C46" s="30">
        <v>10</v>
      </c>
      <c r="D46" s="13">
        <f t="shared" si="1"/>
        <v>9.1742946031890646</v>
      </c>
      <c r="E46" s="13">
        <f t="shared" si="1"/>
        <v>7.8197742135626989</v>
      </c>
      <c r="F46" s="13">
        <f t="shared" si="1"/>
        <v>6.7659615713919861</v>
      </c>
      <c r="G46" s="13">
        <f t="shared" si="1"/>
        <v>5.9256990876347668</v>
      </c>
      <c r="H46" s="13">
        <f t="shared" si="1"/>
        <v>5.2423032420831337</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1942671.3412807158</v>
      </c>
      <c r="E48" s="5">
        <f t="shared" si="2"/>
        <v>2222337.3720382405</v>
      </c>
      <c r="F48" s="5">
        <f t="shared" si="2"/>
        <v>2506478.0225653984</v>
      </c>
      <c r="G48" s="5">
        <f t="shared" si="2"/>
        <v>2795045.0157031752</v>
      </c>
      <c r="H48" s="5">
        <f t="shared" si="2"/>
        <v>3087990.3323635939</v>
      </c>
    </row>
    <row r="49" spans="2:9" ht="14" customHeight="1" x14ac:dyDescent="0.3">
      <c r="B49" s="4" t="s">
        <v>150</v>
      </c>
      <c r="C49" s="30">
        <v>5</v>
      </c>
      <c r="D49" s="5">
        <f t="shared" si="2"/>
        <v>2074243.1702005544</v>
      </c>
      <c r="E49" s="5">
        <f t="shared" si="2"/>
        <v>2393096.8853220055</v>
      </c>
      <c r="F49" s="5">
        <f t="shared" si="2"/>
        <v>2721557.8058279795</v>
      </c>
      <c r="G49" s="5">
        <f t="shared" si="2"/>
        <v>3059578.5567525146</v>
      </c>
      <c r="H49" s="5">
        <f t="shared" si="2"/>
        <v>3407108.186975271</v>
      </c>
    </row>
    <row r="50" spans="2:9" ht="14" customHeight="1" x14ac:dyDescent="0.3">
      <c r="B50" s="4" t="s">
        <v>151</v>
      </c>
      <c r="C50" s="30">
        <v>7</v>
      </c>
      <c r="D50" s="5">
        <f t="shared" si="2"/>
        <v>2212545.4299565894</v>
      </c>
      <c r="E50" s="5">
        <f t="shared" si="2"/>
        <v>2573409.5030239737</v>
      </c>
      <c r="F50" s="5">
        <f t="shared" si="2"/>
        <v>2949640.715200813</v>
      </c>
      <c r="G50" s="5">
        <f t="shared" si="2"/>
        <v>3341232.5774050821</v>
      </c>
      <c r="H50" s="5">
        <f t="shared" si="2"/>
        <v>3748165.8551546796</v>
      </c>
    </row>
    <row r="51" spans="2:9" ht="14" customHeight="1" x14ac:dyDescent="0.3">
      <c r="B51" s="4" t="s">
        <v>152</v>
      </c>
      <c r="C51" s="30">
        <v>10</v>
      </c>
      <c r="D51" s="5">
        <f t="shared" si="2"/>
        <v>2432343.5966579854</v>
      </c>
      <c r="E51" s="5">
        <f t="shared" si="2"/>
        <v>2861310.4570997646</v>
      </c>
      <c r="F51" s="5">
        <f t="shared" si="2"/>
        <v>3315360.6051651789</v>
      </c>
      <c r="G51" s="5">
        <f t="shared" si="2"/>
        <v>3794595.6054273704</v>
      </c>
      <c r="H51" s="5">
        <f t="shared" si="2"/>
        <v>4299077.3865489978</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3.2608342320984085</v>
      </c>
      <c r="E53" s="14">
        <f t="shared" si="3"/>
        <v>3.7302623578296603</v>
      </c>
      <c r="F53" s="14">
        <f t="shared" si="3"/>
        <v>4.2072012719327754</v>
      </c>
      <c r="G53" s="14">
        <f t="shared" si="3"/>
        <v>4.6915699396957082</v>
      </c>
      <c r="H53" s="14">
        <f t="shared" si="3"/>
        <v>5.1832877595866682</v>
      </c>
    </row>
    <row r="54" spans="2:9" ht="14" customHeight="1" x14ac:dyDescent="0.3">
      <c r="B54" s="4" t="s">
        <v>150</v>
      </c>
      <c r="C54" s="30">
        <v>5</v>
      </c>
      <c r="D54" s="14">
        <f t="shared" si="3"/>
        <v>3.4816816367030197</v>
      </c>
      <c r="E54" s="14">
        <f t="shared" si="3"/>
        <v>4.0168875087443165</v>
      </c>
      <c r="F54" s="14">
        <f t="shared" si="3"/>
        <v>4.5682193736527346</v>
      </c>
      <c r="G54" s="14">
        <f t="shared" si="3"/>
        <v>5.1355977110753086</v>
      </c>
      <c r="H54" s="14">
        <f t="shared" si="3"/>
        <v>5.7189369979727891</v>
      </c>
    </row>
    <row r="55" spans="2:9" ht="14" customHeight="1" x14ac:dyDescent="0.3">
      <c r="B55" s="4" t="s">
        <v>151</v>
      </c>
      <c r="C55" s="30">
        <v>7</v>
      </c>
      <c r="D55" s="14">
        <f t="shared" si="3"/>
        <v>3.7138262786740768</v>
      </c>
      <c r="E55" s="14">
        <f t="shared" si="3"/>
        <v>4.3195478423724589</v>
      </c>
      <c r="F55" s="14">
        <f t="shared" si="3"/>
        <v>4.9510636267363362</v>
      </c>
      <c r="G55" s="14">
        <f t="shared" si="3"/>
        <v>5.6083627396398246</v>
      </c>
      <c r="H55" s="14">
        <f t="shared" si="3"/>
        <v>6.2914128954068333</v>
      </c>
    </row>
    <row r="56" spans="2:9" ht="14" customHeight="1" x14ac:dyDescent="0.3">
      <c r="B56" s="4" t="s">
        <v>152</v>
      </c>
      <c r="C56" s="30">
        <v>10</v>
      </c>
      <c r="D56" s="14">
        <f t="shared" si="3"/>
        <v>4.082764333661741</v>
      </c>
      <c r="E56" s="14">
        <f t="shared" si="3"/>
        <v>4.8027985428667712</v>
      </c>
      <c r="F56" s="14">
        <f t="shared" si="3"/>
        <v>5.5649358300339209</v>
      </c>
      <c r="G56" s="14">
        <f t="shared" si="3"/>
        <v>6.3693466744562324</v>
      </c>
      <c r="H56" s="14">
        <f t="shared" si="3"/>
        <v>7.2161350253189589</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2721557.8058279795</v>
      </c>
    </row>
    <row r="62" spans="2:9" ht="14" customHeight="1" x14ac:dyDescent="0.3">
      <c r="B62" s="28" t="s">
        <v>159</v>
      </c>
      <c r="C62" s="28" t="s">
        <v>160</v>
      </c>
      <c r="D62" s="28" t="s">
        <v>161</v>
      </c>
    </row>
    <row r="63" spans="2:9" ht="14" customHeight="1" x14ac:dyDescent="0.3">
      <c r="B63" s="31">
        <v>0.25480000000000003</v>
      </c>
      <c r="C63" s="5">
        <f>IFERROR($C$60/B63,"N/A")</f>
        <v>10681153.084097249</v>
      </c>
      <c r="D63" s="14">
        <f>IFERROR(C63/'DCF Model'!C17,"N/A")</f>
        <v>9.1347417824825587</v>
      </c>
    </row>
    <row r="64" spans="2:9" ht="14" customHeight="1" x14ac:dyDescent="0.3">
      <c r="B64" s="31">
        <v>0.3821</v>
      </c>
      <c r="C64" s="5">
        <f>IFERROR($C$60/B64,"N/A")</f>
        <v>7122632.3104631761</v>
      </c>
      <c r="D64" s="14">
        <f>IFERROR(C64/'DCF Model'!C17,"N/A")</f>
        <v>6.0914216335424145</v>
      </c>
    </row>
    <row r="65" spans="2:9" ht="14" customHeight="1" x14ac:dyDescent="0.3">
      <c r="B65" s="4" t="s">
        <v>162</v>
      </c>
      <c r="C65" s="5">
        <f>IFERROR($C$60/$C$18,"N/A")</f>
        <v>5341568.6631990327</v>
      </c>
      <c r="D65" s="14">
        <f>IFERROR(C65/'DCF Model'!C17,"N/A")</f>
        <v>4.5682193736527346</v>
      </c>
    </row>
    <row r="66" spans="2:9" ht="14" customHeight="1" x14ac:dyDescent="0.3">
      <c r="B66" s="31">
        <v>0.63690000000000002</v>
      </c>
      <c r="C66" s="5">
        <f>IFERROR($C$60/B66,"N/A")</f>
        <v>4273132.0549976127</v>
      </c>
      <c r="D66" s="14">
        <f>IFERROR(C66/'DCF Model'!C17,"N/A")</f>
        <v>3.6544704132148791</v>
      </c>
    </row>
    <row r="67" spans="2:9" ht="14" customHeight="1" x14ac:dyDescent="0.3">
      <c r="B67" s="31">
        <v>0.76429999999999998</v>
      </c>
      <c r="C67" s="5">
        <f>IFERROR($C$60/B67,"N/A")</f>
        <v>3560850.1973413313</v>
      </c>
      <c r="D67" s="14">
        <f>IFERROR(C67/'DCF Model'!C17,"N/A")</f>
        <v>3.0453123200007282</v>
      </c>
    </row>
    <row r="69" spans="2:9" ht="14" customHeight="1" x14ac:dyDescent="0.3">
      <c r="B69" s="8" t="s">
        <v>163</v>
      </c>
      <c r="C69" s="9"/>
      <c r="D69" s="9"/>
      <c r="E69" s="9"/>
      <c r="F69" s="9"/>
      <c r="G69" s="9"/>
      <c r="H69" s="9"/>
      <c r="I69" s="9"/>
    </row>
    <row r="70" spans="2:9" ht="13.5" customHeight="1" x14ac:dyDescent="0.25">
      <c r="B70" s="6" t="s">
        <v>164</v>
      </c>
      <c r="C70" s="14">
        <f>IFERROR(C10/'Comps Analysis'!G5,"N/A")</f>
        <v>29.775684224305284</v>
      </c>
    </row>
    <row r="71" spans="2:9" ht="13.5" customHeight="1" x14ac:dyDescent="0.25">
      <c r="B71" s="6" t="s">
        <v>165</v>
      </c>
      <c r="C71" s="14">
        <f>IFERROR(C10/'Comps Analysis'!F5,"N/A")</f>
        <v>15.609552103816934</v>
      </c>
    </row>
    <row r="72" spans="2:9" ht="14" customHeight="1" x14ac:dyDescent="0.3">
      <c r="B72" s="4" t="s">
        <v>166</v>
      </c>
      <c r="C72" s="14">
        <f>IFERROR(C10/(C25+'DCF Model'!G42),"N/A")</f>
        <v>7.8388319623755773</v>
      </c>
    </row>
    <row r="73" spans="2:9" ht="14" customHeight="1" x14ac:dyDescent="0.3">
      <c r="B73" s="4" t="s">
        <v>167</v>
      </c>
      <c r="C73" s="14">
        <f>IFERROR(C10/(C60+'DCF Model'!G42),"N/A")</f>
        <v>6.6483685720620231</v>
      </c>
    </row>
    <row r="74" spans="2:9" ht="14" customHeight="1" x14ac:dyDescent="0.3">
      <c r="B74" s="4" t="s">
        <v>168</v>
      </c>
      <c r="C74" s="14">
        <f>IFERROR('Comps Analysis'!D16,"N/A")</f>
        <v>18.258808221981813</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77,720 yen the market is paying for a steady-state operating profit of 2,721,558 mn JPY - 4.57x the FY2026 cycle peak of 595,759 mn - reached in 5 years and sustained for ever, against 595,759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2,304,629 mn, or 3.87x the peak. The base case supports an EV of only 5,750,461 mn, leaving 51,548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118.49110869938912</v>
      </c>
      <c r="D5" s="34">
        <f>CHOOSE('DCF Model'!$D$27,D25,D26,D27,D28,D29)</f>
        <v>116</v>
      </c>
      <c r="E5" s="34">
        <f>CHOOSE('DCF Model'!$D$27,E25,E26,E27,E28,E29)</f>
        <v>116</v>
      </c>
      <c r="F5" s="34">
        <f>CHOOSE('DCF Model'!$D$27,F25,F26,F27,F28,F29)</f>
        <v>116</v>
      </c>
      <c r="G5" s="34">
        <f>CHOOSE('DCF Model'!$D$27,G25,G26,G27,G28,G29)</f>
        <v>116</v>
      </c>
      <c r="H5" s="34">
        <f>CHOOSE('DCF Model'!$D$27,H25,H26,H27,H28,H29)</f>
        <v>116</v>
      </c>
    </row>
    <row r="6" spans="2:8" ht="14" customHeight="1" x14ac:dyDescent="0.3">
      <c r="B6" s="33" t="s">
        <v>175</v>
      </c>
      <c r="C6" s="34">
        <f>C13/C10*365</f>
        <v>156.75815403521497</v>
      </c>
      <c r="D6" s="34">
        <f>CHOOSE('DCF Model'!$D$27,D32,D33,D34,D35,D36)</f>
        <v>171</v>
      </c>
      <c r="E6" s="34">
        <f>CHOOSE('DCF Model'!$D$27,E32,E33,E34,E35,E36)</f>
        <v>171</v>
      </c>
      <c r="F6" s="34">
        <f>CHOOSE('DCF Model'!$D$27,F32,F33,F34,F35,F36)</f>
        <v>171</v>
      </c>
      <c r="G6" s="34">
        <f>CHOOSE('DCF Model'!$D$27,G32,G33,G34,G35,G36)</f>
        <v>171</v>
      </c>
      <c r="H6" s="34">
        <f>CHOOSE('DCF Model'!$D$27,H32,H33,H34,H35,H36)</f>
        <v>171</v>
      </c>
    </row>
    <row r="7" spans="2:8" ht="14" customHeight="1" x14ac:dyDescent="0.3">
      <c r="B7" s="33" t="s">
        <v>176</v>
      </c>
      <c r="C7" s="34">
        <f>C15/C10*365</f>
        <v>20.019188927837543</v>
      </c>
      <c r="D7" s="34">
        <f>CHOOSE('DCF Model'!$D$27,D39,D40,D41,D42,D43)</f>
        <v>31</v>
      </c>
      <c r="E7" s="34">
        <f>CHOOSE('DCF Model'!$D$27,E39,E40,E41,E42,E43)</f>
        <v>31</v>
      </c>
      <c r="F7" s="34">
        <f>CHOOSE('DCF Model'!$D$27,F39,F40,F41,F42,F43)</f>
        <v>31</v>
      </c>
      <c r="G7" s="34">
        <f>CHOOSE('DCF Model'!$D$27,G39,G40,G41,G42,G43)</f>
        <v>31</v>
      </c>
      <c r="H7" s="34">
        <f>CHOOSE('DCF Model'!$D$27,H39,H40,H41,H42,H43)</f>
        <v>31</v>
      </c>
    </row>
    <row r="8" spans="2:8" ht="14" customHeight="1" x14ac:dyDescent="0.3">
      <c r="B8" s="8" t="s">
        <v>177</v>
      </c>
      <c r="C8" s="9"/>
      <c r="D8" s="9"/>
      <c r="E8" s="9"/>
      <c r="F8" s="9"/>
      <c r="G8" s="9"/>
      <c r="H8" s="9"/>
    </row>
    <row r="9" spans="2:8" ht="14" customHeight="1" x14ac:dyDescent="0.3">
      <c r="B9" s="33" t="s">
        <v>32</v>
      </c>
      <c r="C9" s="35">
        <v>1169289</v>
      </c>
      <c r="D9" s="35">
        <f>'DCF Model'!C33</f>
        <v>1274525.01</v>
      </c>
      <c r="E9" s="35">
        <f>'DCF Model'!D33</f>
        <v>1370114.3857499999</v>
      </c>
      <c r="F9" s="35">
        <f>'DCF Model'!E33</f>
        <v>1452321.248895</v>
      </c>
      <c r="G9" s="35">
        <f>'DCF Model'!F33</f>
        <v>1524937.31133975</v>
      </c>
      <c r="H9" s="35">
        <f>'DCF Model'!G33</f>
        <v>1585934.80379334</v>
      </c>
    </row>
    <row r="10" spans="2:8" ht="14" customHeight="1" x14ac:dyDescent="0.3">
      <c r="B10" s="33" t="s">
        <v>33</v>
      </c>
      <c r="C10" s="35">
        <v>198552</v>
      </c>
      <c r="D10" s="35">
        <f>'DCF Model'!C34</f>
        <v>216669.25170000002</v>
      </c>
      <c r="E10" s="35">
        <f>'DCF Model'!D34</f>
        <v>232919.44557750001</v>
      </c>
      <c r="F10" s="35">
        <f>'DCF Model'!E34</f>
        <v>246894.61231215001</v>
      </c>
      <c r="G10" s="35">
        <f>'DCF Model'!F34</f>
        <v>259239.34292775751</v>
      </c>
      <c r="H10" s="35">
        <f>'DCF Model'!G34</f>
        <v>269608.9166448678</v>
      </c>
    </row>
    <row r="11" spans="2:8" ht="14" customHeight="1" x14ac:dyDescent="0.3">
      <c r="B11" s="8" t="s">
        <v>178</v>
      </c>
      <c r="C11" s="9"/>
      <c r="D11" s="9"/>
      <c r="E11" s="9"/>
      <c r="F11" s="9"/>
      <c r="G11" s="9"/>
      <c r="H11" s="9"/>
    </row>
    <row r="12" spans="2:8" ht="14" customHeight="1" x14ac:dyDescent="0.3">
      <c r="B12" s="33" t="s">
        <v>179</v>
      </c>
      <c r="C12" s="35">
        <v>379590</v>
      </c>
      <c r="D12" s="35">
        <f t="shared" ref="D12:H13" si="0">D9*D5/365</f>
        <v>405054.5237260274</v>
      </c>
      <c r="E12" s="35">
        <f t="shared" si="0"/>
        <v>435433.61300547939</v>
      </c>
      <c r="F12" s="35">
        <f t="shared" si="0"/>
        <v>461559.62978580821</v>
      </c>
      <c r="G12" s="35">
        <f t="shared" si="0"/>
        <v>484637.61127509858</v>
      </c>
      <c r="H12" s="35">
        <f t="shared" si="0"/>
        <v>504023.11572610255</v>
      </c>
    </row>
    <row r="13" spans="2:8" ht="14" customHeight="1" x14ac:dyDescent="0.3">
      <c r="B13" s="33" t="s">
        <v>180</v>
      </c>
      <c r="C13" s="35">
        <v>85273</v>
      </c>
      <c r="D13" s="35">
        <f t="shared" si="0"/>
        <v>101508.06038547946</v>
      </c>
      <c r="E13" s="35">
        <f t="shared" si="0"/>
        <v>109121.16491439042</v>
      </c>
      <c r="F13" s="35">
        <f t="shared" si="0"/>
        <v>115668.43480925384</v>
      </c>
      <c r="G13" s="35">
        <f t="shared" si="0"/>
        <v>121451.85654971653</v>
      </c>
      <c r="H13" s="35">
        <f t="shared" si="0"/>
        <v>126309.93081170518</v>
      </c>
    </row>
    <row r="14" spans="2:8" ht="14" customHeight="1" x14ac:dyDescent="0.3">
      <c r="B14" s="33" t="s">
        <v>181</v>
      </c>
      <c r="C14" s="35">
        <f t="shared" ref="C14:H14" si="1">C12+C13</f>
        <v>464863</v>
      </c>
      <c r="D14" s="35">
        <f t="shared" si="1"/>
        <v>506562.58411150688</v>
      </c>
      <c r="E14" s="35">
        <f t="shared" si="1"/>
        <v>544554.77791986987</v>
      </c>
      <c r="F14" s="35">
        <f t="shared" si="1"/>
        <v>577228.06459506205</v>
      </c>
      <c r="G14" s="35">
        <f t="shared" si="1"/>
        <v>606089.46782481507</v>
      </c>
      <c r="H14" s="35">
        <f t="shared" si="1"/>
        <v>630333.04653780768</v>
      </c>
    </row>
    <row r="15" spans="2:8" ht="14" customHeight="1" x14ac:dyDescent="0.3">
      <c r="B15" s="33" t="s">
        <v>182</v>
      </c>
      <c r="C15" s="35">
        <v>10890</v>
      </c>
      <c r="D15" s="35">
        <f>D10*D7/365</f>
        <v>18402.046034794523</v>
      </c>
      <c r="E15" s="35">
        <f>E10*E7/365</f>
        <v>19782.199487404108</v>
      </c>
      <c r="F15" s="35">
        <f>F10*F7/365</f>
        <v>20969.131456648356</v>
      </c>
      <c r="G15" s="35">
        <f>G10*G7/365</f>
        <v>22017.588029480776</v>
      </c>
      <c r="H15" s="35">
        <f>H10*H7/365</f>
        <v>22898.291550660007</v>
      </c>
    </row>
    <row r="16" spans="2:8" ht="14" customHeight="1" x14ac:dyDescent="0.3">
      <c r="B16" s="33" t="s">
        <v>183</v>
      </c>
      <c r="C16" s="35">
        <f t="shared" ref="C16:H16" si="2">C15</f>
        <v>10890</v>
      </c>
      <c r="D16" s="35">
        <f t="shared" si="2"/>
        <v>18402.046034794523</v>
      </c>
      <c r="E16" s="35">
        <f t="shared" si="2"/>
        <v>19782.199487404108</v>
      </c>
      <c r="F16" s="35">
        <f t="shared" si="2"/>
        <v>20969.131456648356</v>
      </c>
      <c r="G16" s="35">
        <f t="shared" si="2"/>
        <v>22017.588029480776</v>
      </c>
      <c r="H16" s="35">
        <f t="shared" si="2"/>
        <v>22898.291550660007</v>
      </c>
    </row>
    <row r="17" spans="2:8" ht="14" customHeight="1" x14ac:dyDescent="0.3">
      <c r="B17" s="22" t="s">
        <v>184</v>
      </c>
      <c r="C17" s="23"/>
      <c r="D17" s="23"/>
      <c r="E17" s="23"/>
      <c r="F17" s="23"/>
      <c r="G17" s="23"/>
      <c r="H17" s="23"/>
    </row>
    <row r="18" spans="2:8" ht="14" customHeight="1" x14ac:dyDescent="0.3">
      <c r="B18" s="33" t="s">
        <v>185</v>
      </c>
      <c r="C18" s="20">
        <f t="shared" ref="C18:H18" si="3">C14-C16</f>
        <v>453973</v>
      </c>
      <c r="D18" s="20">
        <f t="shared" si="3"/>
        <v>488160.53807671234</v>
      </c>
      <c r="E18" s="20">
        <f t="shared" si="3"/>
        <v>524772.57843246579</v>
      </c>
      <c r="F18" s="20">
        <f t="shared" si="3"/>
        <v>556258.9331384137</v>
      </c>
      <c r="G18" s="20">
        <f t="shared" si="3"/>
        <v>584071.8797953343</v>
      </c>
      <c r="H18" s="20">
        <f t="shared" si="3"/>
        <v>607434.75498714764</v>
      </c>
    </row>
    <row r="19" spans="2:8" ht="14" customHeight="1" x14ac:dyDescent="0.3">
      <c r="B19" s="33" t="s">
        <v>94</v>
      </c>
      <c r="C19" s="36" t="s">
        <v>42</v>
      </c>
      <c r="D19" s="24">
        <f>D18-C18</f>
        <v>34187.538076712342</v>
      </c>
      <c r="E19" s="24">
        <f>E18-D18</f>
        <v>36612.040355753445</v>
      </c>
      <c r="F19" s="24">
        <f>F18-E18</f>
        <v>31486.354705947917</v>
      </c>
      <c r="G19" s="24">
        <f>G18-F18</f>
        <v>27812.946656920598</v>
      </c>
      <c r="H19" s="24">
        <f>H18-G18</f>
        <v>23362.875191813335</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116</v>
      </c>
      <c r="E25" s="30">
        <v>116</v>
      </c>
      <c r="F25" s="30">
        <v>116</v>
      </c>
      <c r="G25" s="30">
        <v>116</v>
      </c>
      <c r="H25" s="30">
        <v>116</v>
      </c>
    </row>
    <row r="26" spans="2:8" ht="14" customHeight="1" x14ac:dyDescent="0.3">
      <c r="B26" s="4" t="s">
        <v>115</v>
      </c>
      <c r="D26" s="30">
        <v>111</v>
      </c>
      <c r="E26" s="30">
        <v>111</v>
      </c>
      <c r="F26" s="30">
        <v>111</v>
      </c>
      <c r="G26" s="30">
        <v>111</v>
      </c>
      <c r="H26" s="30">
        <v>111</v>
      </c>
    </row>
    <row r="27" spans="2:8" ht="14" customHeight="1" x14ac:dyDescent="0.3">
      <c r="B27" s="4" t="s">
        <v>116</v>
      </c>
      <c r="D27" s="30">
        <v>116</v>
      </c>
      <c r="E27" s="30">
        <v>116</v>
      </c>
      <c r="F27" s="30">
        <v>116</v>
      </c>
      <c r="G27" s="30">
        <v>116</v>
      </c>
      <c r="H27" s="30">
        <v>116</v>
      </c>
    </row>
    <row r="28" spans="2:8" ht="14" customHeight="1" x14ac:dyDescent="0.3">
      <c r="B28" s="4" t="s">
        <v>117</v>
      </c>
      <c r="D28" s="30">
        <v>122</v>
      </c>
      <c r="E28" s="30">
        <v>122</v>
      </c>
      <c r="F28" s="30">
        <v>122</v>
      </c>
      <c r="G28" s="30">
        <v>122</v>
      </c>
      <c r="H28" s="30">
        <v>122</v>
      </c>
    </row>
    <row r="29" spans="2:8" ht="14" customHeight="1" x14ac:dyDescent="0.3">
      <c r="B29" s="4" t="s">
        <v>118</v>
      </c>
      <c r="D29" s="30">
        <v>128</v>
      </c>
      <c r="E29" s="30">
        <v>128</v>
      </c>
      <c r="F29" s="30">
        <v>128</v>
      </c>
      <c r="G29" s="30">
        <v>128</v>
      </c>
      <c r="H29" s="30">
        <v>128</v>
      </c>
    </row>
    <row r="31" spans="2:8" ht="14" customHeight="1" x14ac:dyDescent="0.3">
      <c r="B31" s="3" t="s">
        <v>188</v>
      </c>
    </row>
    <row r="32" spans="2:8" ht="14" customHeight="1" x14ac:dyDescent="0.3">
      <c r="B32" s="4" t="s">
        <v>78</v>
      </c>
      <c r="D32" s="30">
        <v>171</v>
      </c>
      <c r="E32" s="30">
        <v>171</v>
      </c>
      <c r="F32" s="30">
        <v>171</v>
      </c>
      <c r="G32" s="30">
        <v>171</v>
      </c>
      <c r="H32" s="30">
        <v>171</v>
      </c>
    </row>
    <row r="33" spans="2:8" ht="14" customHeight="1" x14ac:dyDescent="0.3">
      <c r="B33" s="4" t="s">
        <v>115</v>
      </c>
      <c r="D33" s="30">
        <v>163</v>
      </c>
      <c r="E33" s="30">
        <v>163</v>
      </c>
      <c r="F33" s="30">
        <v>163</v>
      </c>
      <c r="G33" s="30">
        <v>163</v>
      </c>
      <c r="H33" s="30">
        <v>163</v>
      </c>
    </row>
    <row r="34" spans="2:8" ht="14" customHeight="1" x14ac:dyDescent="0.3">
      <c r="B34" s="4" t="s">
        <v>116</v>
      </c>
      <c r="D34" s="30">
        <v>171</v>
      </c>
      <c r="E34" s="30">
        <v>171</v>
      </c>
      <c r="F34" s="30">
        <v>171</v>
      </c>
      <c r="G34" s="30">
        <v>171</v>
      </c>
      <c r="H34" s="30">
        <v>171</v>
      </c>
    </row>
    <row r="35" spans="2:8" ht="14" customHeight="1" x14ac:dyDescent="0.3">
      <c r="B35" s="4" t="s">
        <v>117</v>
      </c>
      <c r="D35" s="30">
        <v>180</v>
      </c>
      <c r="E35" s="30">
        <v>180</v>
      </c>
      <c r="F35" s="30">
        <v>180</v>
      </c>
      <c r="G35" s="30">
        <v>180</v>
      </c>
      <c r="H35" s="30">
        <v>180</v>
      </c>
    </row>
    <row r="36" spans="2:8" ht="14" customHeight="1" x14ac:dyDescent="0.3">
      <c r="B36" s="4" t="s">
        <v>118</v>
      </c>
      <c r="D36" s="30">
        <v>189</v>
      </c>
      <c r="E36" s="30">
        <v>189</v>
      </c>
      <c r="F36" s="30">
        <v>189</v>
      </c>
      <c r="G36" s="30">
        <v>189</v>
      </c>
      <c r="H36" s="30">
        <v>189</v>
      </c>
    </row>
    <row r="38" spans="2:8" ht="14" customHeight="1" x14ac:dyDescent="0.3">
      <c r="B38" s="3" t="s">
        <v>189</v>
      </c>
    </row>
    <row r="39" spans="2:8" ht="14" customHeight="1" x14ac:dyDescent="0.3">
      <c r="B39" s="4" t="s">
        <v>78</v>
      </c>
      <c r="D39" s="30">
        <v>31</v>
      </c>
      <c r="E39" s="30">
        <v>31</v>
      </c>
      <c r="F39" s="30">
        <v>31</v>
      </c>
      <c r="G39" s="30">
        <v>31</v>
      </c>
      <c r="H39" s="30">
        <v>31</v>
      </c>
    </row>
    <row r="40" spans="2:8" ht="14" customHeight="1" x14ac:dyDescent="0.3">
      <c r="B40" s="4" t="s">
        <v>115</v>
      </c>
      <c r="D40" s="30">
        <v>33</v>
      </c>
      <c r="E40" s="30">
        <v>33</v>
      </c>
      <c r="F40" s="30">
        <v>33</v>
      </c>
      <c r="G40" s="30">
        <v>33</v>
      </c>
      <c r="H40" s="30">
        <v>33</v>
      </c>
    </row>
    <row r="41" spans="2:8" ht="14" customHeight="1" x14ac:dyDescent="0.3">
      <c r="B41" s="4" t="s">
        <v>116</v>
      </c>
      <c r="D41" s="30">
        <v>31</v>
      </c>
      <c r="E41" s="30">
        <v>31</v>
      </c>
      <c r="F41" s="30">
        <v>31</v>
      </c>
      <c r="G41" s="30">
        <v>31</v>
      </c>
      <c r="H41" s="30">
        <v>31</v>
      </c>
    </row>
    <row r="42" spans="2:8" ht="14" customHeight="1" x14ac:dyDescent="0.3">
      <c r="B42" s="4" t="s">
        <v>117</v>
      </c>
      <c r="D42" s="30">
        <v>29</v>
      </c>
      <c r="E42" s="30">
        <v>29</v>
      </c>
      <c r="F42" s="30">
        <v>29</v>
      </c>
      <c r="G42" s="30">
        <v>29</v>
      </c>
      <c r="H42" s="30">
        <v>29</v>
      </c>
    </row>
    <row r="43" spans="2:8" ht="14" customHeight="1" x14ac:dyDescent="0.3">
      <c r="B43" s="4" t="s">
        <v>118</v>
      </c>
      <c r="D43" s="30">
        <v>28</v>
      </c>
      <c r="E43" s="30">
        <v>28</v>
      </c>
      <c r="F43" s="30">
        <v>28</v>
      </c>
      <c r="G43" s="30">
        <v>28</v>
      </c>
      <c r="H43" s="30">
        <v>28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18849053.56992</v>
      </c>
      <c r="E5" s="37">
        <f>D5+C24</f>
        <v>18252077.56992</v>
      </c>
      <c r="F5" s="37">
        <v>1169289</v>
      </c>
      <c r="G5" s="37">
        <v>612986</v>
      </c>
      <c r="H5" s="37">
        <v>595759</v>
      </c>
      <c r="I5" s="37">
        <v>445185</v>
      </c>
      <c r="J5" s="38">
        <f t="shared" ref="J5:J10" si="0">IFERROR(E5/G5,"")</f>
        <v>29.775684224305284</v>
      </c>
      <c r="K5" s="38">
        <f t="shared" ref="K5:K10" si="1">IFERROR(E5/F5,"")</f>
        <v>15.609552103816934</v>
      </c>
      <c r="L5" s="38">
        <f t="shared" ref="L5:L10" si="2">IFERROR(D5/I5,"")</f>
        <v>42.339821804238689</v>
      </c>
      <c r="M5" s="38">
        <f t="shared" ref="M5:M10" si="3">IFERROR(D5/P5,"")</f>
        <v>5.429702155057611</v>
      </c>
      <c r="N5" s="39">
        <f t="shared" ref="N5:N10" si="4">IFERROR(H5/F5,"")</f>
        <v>0.50950534897702793</v>
      </c>
      <c r="O5" s="39">
        <f t="shared" ref="O5:O10" si="5">IFERROR(I5/P5,"")</f>
        <v>0.12824102520228456</v>
      </c>
      <c r="P5" s="37">
        <v>3471471</v>
      </c>
    </row>
    <row r="6" spans="2:17" ht="14" customHeight="1" x14ac:dyDescent="0.3">
      <c r="B6" s="4" t="s">
        <v>208</v>
      </c>
      <c r="C6" t="s">
        <v>209</v>
      </c>
      <c r="D6" s="37">
        <v>5511090</v>
      </c>
      <c r="E6" s="37">
        <v>4793019</v>
      </c>
      <c r="F6" s="37">
        <v>857831</v>
      </c>
      <c r="G6" s="37">
        <v>231545</v>
      </c>
      <c r="H6" s="37">
        <v>183763</v>
      </c>
      <c r="I6" s="37">
        <v>166543</v>
      </c>
      <c r="J6" s="38">
        <f t="shared" si="0"/>
        <v>20.700161955559395</v>
      </c>
      <c r="K6" s="38">
        <f t="shared" si="1"/>
        <v>5.5873697733003356</v>
      </c>
      <c r="L6" s="38">
        <f t="shared" si="2"/>
        <v>33.091093591444853</v>
      </c>
      <c r="M6" s="38">
        <f t="shared" si="3"/>
        <v>2.9552124516923692</v>
      </c>
      <c r="N6" s="39">
        <f t="shared" si="4"/>
        <v>0.21421818516700841</v>
      </c>
      <c r="O6" s="39">
        <f t="shared" si="5"/>
        <v>8.9305372864932744E-2</v>
      </c>
      <c r="P6" s="37">
        <v>1864871</v>
      </c>
    </row>
    <row r="7" spans="2:17" ht="14" customHeight="1" x14ac:dyDescent="0.3">
      <c r="B7" s="4" t="s">
        <v>210</v>
      </c>
      <c r="C7" t="s">
        <v>211</v>
      </c>
      <c r="D7" s="37">
        <v>4194759</v>
      </c>
      <c r="E7" s="37">
        <v>3535981</v>
      </c>
      <c r="F7" s="37">
        <v>842541</v>
      </c>
      <c r="G7" s="37">
        <v>235405</v>
      </c>
      <c r="H7" s="37">
        <v>190559</v>
      </c>
      <c r="I7" s="37">
        <v>167304</v>
      </c>
      <c r="J7" s="38">
        <f t="shared" si="0"/>
        <v>15.020840678830101</v>
      </c>
      <c r="K7" s="38">
        <f t="shared" si="1"/>
        <v>4.1968058527715568</v>
      </c>
      <c r="L7" s="38">
        <f t="shared" si="2"/>
        <v>25.07267608664467</v>
      </c>
      <c r="M7" s="38">
        <f t="shared" si="3"/>
        <v>1.9832531948995078</v>
      </c>
      <c r="N7" s="39">
        <f t="shared" si="4"/>
        <v>0.22617178273816943</v>
      </c>
      <c r="O7" s="39">
        <f t="shared" si="5"/>
        <v>7.9100180134178688E-2</v>
      </c>
      <c r="P7" s="37">
        <v>2115090</v>
      </c>
    </row>
    <row r="8" spans="2:17" ht="14" customHeight="1" x14ac:dyDescent="0.3">
      <c r="B8" s="4" t="s">
        <v>212</v>
      </c>
      <c r="C8" t="s">
        <v>213</v>
      </c>
      <c r="D8" s="37">
        <v>1222445</v>
      </c>
      <c r="E8" s="37">
        <v>1297113</v>
      </c>
      <c r="F8" s="37">
        <v>767351</v>
      </c>
      <c r="G8" s="37">
        <v>88966</v>
      </c>
      <c r="H8" s="37">
        <v>55188</v>
      </c>
      <c r="I8" s="37">
        <v>28487</v>
      </c>
      <c r="J8" s="38">
        <f t="shared" si="0"/>
        <v>14.579873209990334</v>
      </c>
      <c r="K8" s="38">
        <f t="shared" si="1"/>
        <v>1.690377675926662</v>
      </c>
      <c r="L8" s="38">
        <f t="shared" si="2"/>
        <v>42.912381086109455</v>
      </c>
      <c r="M8" s="38">
        <f t="shared" si="3"/>
        <v>1.4624559598509363</v>
      </c>
      <c r="N8" s="39">
        <f t="shared" si="4"/>
        <v>7.1920151273667465E-2</v>
      </c>
      <c r="O8" s="39">
        <f t="shared" si="5"/>
        <v>3.4080046896403211E-2</v>
      </c>
      <c r="P8" s="37">
        <v>835885</v>
      </c>
    </row>
    <row r="9" spans="2:17" ht="14" customHeight="1" x14ac:dyDescent="0.3">
      <c r="B9" s="4" t="s">
        <v>214</v>
      </c>
      <c r="C9" t="s">
        <v>215</v>
      </c>
      <c r="D9" s="37">
        <v>1185311</v>
      </c>
      <c r="E9" s="37">
        <v>1248939</v>
      </c>
      <c r="F9" s="37">
        <v>542122</v>
      </c>
      <c r="G9" s="37">
        <v>68402</v>
      </c>
      <c r="H9" s="37">
        <v>47308</v>
      </c>
      <c r="I9" s="37">
        <v>35240</v>
      </c>
      <c r="J9" s="38">
        <f t="shared" si="0"/>
        <v>18.258808221981813</v>
      </c>
      <c r="K9" s="38">
        <f t="shared" si="1"/>
        <v>2.3037969313180429</v>
      </c>
      <c r="L9" s="38">
        <f t="shared" si="2"/>
        <v>33.635385925085131</v>
      </c>
      <c r="M9" s="38">
        <f t="shared" si="3"/>
        <v>2.4513092968139274</v>
      </c>
      <c r="N9" s="39">
        <f t="shared" si="4"/>
        <v>8.7264490280785506E-2</v>
      </c>
      <c r="O9" s="39">
        <f t="shared" si="5"/>
        <v>7.2878881255402844E-2</v>
      </c>
      <c r="P9" s="37">
        <v>483542</v>
      </c>
    </row>
    <row r="10" spans="2:17" ht="14" customHeight="1" x14ac:dyDescent="0.3">
      <c r="B10" s="4" t="s">
        <v>216</v>
      </c>
      <c r="C10" t="s">
        <v>217</v>
      </c>
      <c r="D10" s="37">
        <v>13089866</v>
      </c>
      <c r="E10" s="37">
        <v>12491933</v>
      </c>
      <c r="F10" s="37">
        <v>1830856</v>
      </c>
      <c r="G10" s="37">
        <v>460047</v>
      </c>
      <c r="H10" s="37">
        <v>281835</v>
      </c>
      <c r="I10" s="37">
        <v>233920</v>
      </c>
      <c r="J10" s="38">
        <f t="shared" si="0"/>
        <v>27.153601697217894</v>
      </c>
      <c r="K10" s="38">
        <f t="shared" si="1"/>
        <v>6.8230013720358125</v>
      </c>
      <c r="L10" s="38">
        <f t="shared" si="2"/>
        <v>55.958729480164159</v>
      </c>
      <c r="M10" s="38">
        <f t="shared" si="3"/>
        <v>4.814675752728375</v>
      </c>
      <c r="N10" s="39">
        <f t="shared" si="4"/>
        <v>0.15393619159562522</v>
      </c>
      <c r="O10" s="39">
        <f t="shared" si="5"/>
        <v>8.6039761757547517E-2</v>
      </c>
      <c r="P10" s="37">
        <v>2718743</v>
      </c>
    </row>
    <row r="14" spans="2:17" ht="14" customHeight="1" x14ac:dyDescent="0.3">
      <c r="B14" s="3" t="s">
        <v>218</v>
      </c>
    </row>
    <row r="15" spans="2:17" ht="14" customHeight="1" x14ac:dyDescent="0.3">
      <c r="B15" s="4" t="s">
        <v>219</v>
      </c>
      <c r="D15" s="38">
        <f t="shared" ref="D15:I15" si="6">PERCENTILE(J6:J10,0.25)</f>
        <v>15.020840678830101</v>
      </c>
      <c r="E15" s="38">
        <f t="shared" si="6"/>
        <v>2.3037969313180429</v>
      </c>
      <c r="F15" s="38">
        <f t="shared" si="6"/>
        <v>33.091093591444853</v>
      </c>
      <c r="G15" s="38">
        <f t="shared" si="6"/>
        <v>1.9832531948995078</v>
      </c>
      <c r="H15" s="39">
        <f t="shared" si="6"/>
        <v>8.7264490280785506E-2</v>
      </c>
      <c r="I15" s="39">
        <f t="shared" si="6"/>
        <v>7.2878881255402844E-2</v>
      </c>
    </row>
    <row r="16" spans="2:17" ht="14" customHeight="1" x14ac:dyDescent="0.3">
      <c r="B16" s="4" t="s">
        <v>220</v>
      </c>
      <c r="D16" s="38">
        <f t="shared" ref="D16:I16" si="7">MEDIAN(J6:J10)</f>
        <v>18.258808221981813</v>
      </c>
      <c r="E16" s="38">
        <f t="shared" si="7"/>
        <v>4.1968058527715568</v>
      </c>
      <c r="F16" s="38">
        <f t="shared" si="7"/>
        <v>33.635385925085131</v>
      </c>
      <c r="G16" s="38">
        <f t="shared" si="7"/>
        <v>2.4513092968139274</v>
      </c>
      <c r="H16" s="39">
        <f t="shared" si="7"/>
        <v>0.15393619159562522</v>
      </c>
      <c r="I16" s="39">
        <f t="shared" si="7"/>
        <v>7.9100180134178688E-2</v>
      </c>
    </row>
    <row r="17" spans="2:9" ht="14" customHeight="1" x14ac:dyDescent="0.3">
      <c r="B17" s="4" t="s">
        <v>221</v>
      </c>
      <c r="D17" s="38">
        <f t="shared" ref="D17:I17" si="8">PERCENTILE(J6:J10,0.75)</f>
        <v>20.700161955559395</v>
      </c>
      <c r="E17" s="38">
        <f t="shared" si="8"/>
        <v>5.5873697733003356</v>
      </c>
      <c r="F17" s="38">
        <f t="shared" si="8"/>
        <v>42.912381086109455</v>
      </c>
      <c r="G17" s="38">
        <f t="shared" si="8"/>
        <v>2.9552124516923692</v>
      </c>
      <c r="H17" s="39">
        <f t="shared" si="8"/>
        <v>0.21421818516700841</v>
      </c>
      <c r="I17" s="39">
        <f t="shared" si="8"/>
        <v>8.6039761757547517E-2</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612986</v>
      </c>
    </row>
    <row r="22" spans="2:9" ht="14" customHeight="1" x14ac:dyDescent="0.3">
      <c r="B22" s="4" t="s">
        <v>225</v>
      </c>
      <c r="C22" s="5">
        <v>445185</v>
      </c>
    </row>
    <row r="23" spans="2:9" ht="14" customHeight="1" x14ac:dyDescent="0.3">
      <c r="B23" s="4" t="s">
        <v>226</v>
      </c>
      <c r="C23" s="15">
        <v>242525136</v>
      </c>
    </row>
    <row r="24" spans="2:9" ht="14" customHeight="1" x14ac:dyDescent="0.3">
      <c r="B24" s="4" t="s">
        <v>67</v>
      </c>
      <c r="C24" s="5">
        <v>-596976</v>
      </c>
    </row>
    <row r="26" spans="2:9" ht="14" customHeight="1" x14ac:dyDescent="0.3">
      <c r="B26" s="3" t="s">
        <v>227</v>
      </c>
    </row>
    <row r="27" spans="2:9" ht="14" customHeight="1" x14ac:dyDescent="0.3">
      <c r="B27" s="4" t="s">
        <v>228</v>
      </c>
      <c r="C27" s="24">
        <f>ROUND((C21*D16-C24)*1000000/C23,0)</f>
        <v>48611</v>
      </c>
    </row>
    <row r="28" spans="2:9" ht="14" customHeight="1" x14ac:dyDescent="0.3">
      <c r="B28" s="4" t="s">
        <v>229</v>
      </c>
      <c r="C28" s="24">
        <f>ROUND(C22*F16*1000000/C23,0)</f>
        <v>61742</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0.1047</v>
      </c>
      <c r="E3" s="4" t="s">
        <v>232</v>
      </c>
      <c r="F3" s="16">
        <f>'DCF Model'!C13</f>
        <v>0.01</v>
      </c>
      <c r="H3" s="4" t="s">
        <v>233</v>
      </c>
      <c r="I3" s="14">
        <f>'DCF Model'!C14</f>
        <v>18.3</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8.9700000000000002E-2</v>
      </c>
      <c r="C7" s="37">
        <f>IFERROR(ROUND(('DCF Model'!C45/(1+$B7)^('DCF Model'!C19+0)+'DCF Model'!D45/(1+$B7)^('DCF Model'!C19+1)+'DCF Model'!E45/(1+$B7)^('DCF Model'!C19+2)+'DCF Model'!F45/(1+$B7)^('DCF Model'!C19+3)+'DCF Model'!G45/(1+$B7)^('DCF Model'!C19+4)+'DCF Model'!G45*(1+C$6)/($B7-C$6)/(1+$B7)^('DCF Model'!C19+4)-'DCF Model'!C16)*1000000/'DCF Model'!C15,0),"")</f>
        <v>28926</v>
      </c>
      <c r="D7" s="37">
        <f>IFERROR(ROUND(('DCF Model'!C45/(1+$B7)^('DCF Model'!C19+0)+'DCF Model'!D45/(1+$B7)^('DCF Model'!C19+1)+'DCF Model'!E45/(1+$B7)^('DCF Model'!C19+2)+'DCF Model'!F45/(1+$B7)^('DCF Model'!C19+3)+'DCF Model'!G45/(1+$B7)^('DCF Model'!C19+4)+'DCF Model'!G45*(1+D$6)/($B7-D$6)/(1+$B7)^('DCF Model'!C19+4)-'DCF Model'!C16)*1000000/'DCF Model'!C15,0),"")</f>
        <v>29509</v>
      </c>
      <c r="E7" s="37">
        <f>IFERROR(ROUND(('DCF Model'!C45/(1+$B7)^('DCF Model'!C19+0)+'DCF Model'!D45/(1+$B7)^('DCF Model'!C19+1)+'DCF Model'!E45/(1+$B7)^('DCF Model'!C19+2)+'DCF Model'!F45/(1+$B7)^('DCF Model'!C19+3)+'DCF Model'!G45/(1+$B7)^('DCF Model'!C19+4)+'DCF Model'!G45*(1+E$6)/($B7-E$6)/(1+$B7)^('DCF Model'!C19+4)-'DCF Model'!C16)*1000000/'DCF Model'!C15,0),"")</f>
        <v>30127</v>
      </c>
      <c r="F7" s="37">
        <f>IFERROR(ROUND(('DCF Model'!C45/(1+$B7)^('DCF Model'!C19+0)+'DCF Model'!D45/(1+$B7)^('DCF Model'!C19+1)+'DCF Model'!E45/(1+$B7)^('DCF Model'!C19+2)+'DCF Model'!F45/(1+$B7)^('DCF Model'!C19+3)+'DCF Model'!G45/(1+$B7)^('DCF Model'!C19+4)+'DCF Model'!G45*(1+F$6)/($B7-F$6)/(1+$B7)^('DCF Model'!C19+4)-'DCF Model'!C16)*1000000/'DCF Model'!C15,0),"")</f>
        <v>30784</v>
      </c>
      <c r="G7" s="37">
        <f>IFERROR(ROUND(('DCF Model'!C45/(1+$B7)^('DCF Model'!C19+0)+'DCF Model'!D45/(1+$B7)^('DCF Model'!C19+1)+'DCF Model'!E45/(1+$B7)^('DCF Model'!C19+2)+'DCF Model'!F45/(1+$B7)^('DCF Model'!C19+3)+'DCF Model'!G45/(1+$B7)^('DCF Model'!C19+4)+'DCF Model'!G45*(1+G$6)/($B7-G$6)/(1+$B7)^('DCF Model'!C19+4)-'DCF Model'!C16)*1000000/'DCF Model'!C15,0),"")</f>
        <v>31483</v>
      </c>
      <c r="H7" s="37">
        <f>IFERROR(ROUND(('DCF Model'!C45/(1+$B7)^('DCF Model'!C19+0)+'DCF Model'!D45/(1+$B7)^('DCF Model'!C19+1)+'DCF Model'!E45/(1+$B7)^('DCF Model'!C19+2)+'DCF Model'!F45/(1+$B7)^('DCF Model'!C19+3)+'DCF Model'!G45/(1+$B7)^('DCF Model'!C19+4)+'DCF Model'!G45*(1+H$6)/($B7-H$6)/(1+$B7)^('DCF Model'!C19+4)-'DCF Model'!C16)*1000000/'DCF Model'!C15,0),"")</f>
        <v>32229</v>
      </c>
      <c r="I7" s="37">
        <f>IFERROR(ROUND(('DCF Model'!C45/(1+$B7)^('DCF Model'!C19+0)+'DCF Model'!D45/(1+$B7)^('DCF Model'!C19+1)+'DCF Model'!E45/(1+$B7)^('DCF Model'!C19+2)+'DCF Model'!F45/(1+$B7)^('DCF Model'!C19+3)+'DCF Model'!G45/(1+$B7)^('DCF Model'!C19+4)+'DCF Model'!G45*(1+I$6)/($B7-I$6)/(1+$B7)^('DCF Model'!C19+4)-'DCF Model'!C16)*1000000/'DCF Model'!C15,0),"")</f>
        <v>33027</v>
      </c>
    </row>
    <row r="8" spans="2:9" ht="13.5" customHeight="1" x14ac:dyDescent="0.25">
      <c r="B8" s="39">
        <f>$C$3-0.01</f>
        <v>9.4700000000000006E-2</v>
      </c>
      <c r="C8" s="37">
        <f>IFERROR(ROUND(('DCF Model'!C45/(1+$B8)^('DCF Model'!C19+0)+'DCF Model'!D45/(1+$B8)^('DCF Model'!C19+1)+'DCF Model'!E45/(1+$B8)^('DCF Model'!C19+2)+'DCF Model'!F45/(1+$B8)^('DCF Model'!C19+3)+'DCF Model'!G45/(1+$B8)^('DCF Model'!C19+4)+'DCF Model'!G45*(1+C$6)/($B8-C$6)/(1+$B8)^('DCF Model'!C19+4)-'DCF Model'!C16)*1000000/'DCF Model'!C15,0),"")</f>
        <v>27441</v>
      </c>
      <c r="D8" s="37">
        <f>IFERROR(ROUND(('DCF Model'!C45/(1+$B8)^('DCF Model'!C19+0)+'DCF Model'!D45/(1+$B8)^('DCF Model'!C19+1)+'DCF Model'!E45/(1+$B8)^('DCF Model'!C19+2)+'DCF Model'!F45/(1+$B8)^('DCF Model'!C19+3)+'DCF Model'!G45/(1+$B8)^('DCF Model'!C19+4)+'DCF Model'!G45*(1+D$6)/($B8-D$6)/(1+$B8)^('DCF Model'!C19+4)-'DCF Model'!C16)*1000000/'DCF Model'!C15,0),"")</f>
        <v>27952</v>
      </c>
      <c r="E8" s="37">
        <f>IFERROR(ROUND(('DCF Model'!C45/(1+$B8)^('DCF Model'!C19+0)+'DCF Model'!D45/(1+$B8)^('DCF Model'!C19+1)+'DCF Model'!E45/(1+$B8)^('DCF Model'!C19+2)+'DCF Model'!F45/(1+$B8)^('DCF Model'!C19+3)+'DCF Model'!G45/(1+$B8)^('DCF Model'!C19+4)+'DCF Model'!G45*(1+E$6)/($B8-E$6)/(1+$B8)^('DCF Model'!C19+4)-'DCF Model'!C16)*1000000/'DCF Model'!C15,0),"")</f>
        <v>28492</v>
      </c>
      <c r="F8" s="37">
        <f>IFERROR(ROUND(('DCF Model'!C45/(1+$B8)^('DCF Model'!C19+0)+'DCF Model'!D45/(1+$B8)^('DCF Model'!C19+1)+'DCF Model'!E45/(1+$B8)^('DCF Model'!C19+2)+'DCF Model'!F45/(1+$B8)^('DCF Model'!C19+3)+'DCF Model'!G45/(1+$B8)^('DCF Model'!C19+4)+'DCF Model'!G45*(1+F$6)/($B8-F$6)/(1+$B8)^('DCF Model'!C19+4)-'DCF Model'!C16)*1000000/'DCF Model'!C15,0),"")</f>
        <v>29064</v>
      </c>
      <c r="G8" s="37">
        <f>IFERROR(ROUND(('DCF Model'!C45/(1+$B8)^('DCF Model'!C19+0)+'DCF Model'!D45/(1+$B8)^('DCF Model'!C19+1)+'DCF Model'!E45/(1+$B8)^('DCF Model'!C19+2)+'DCF Model'!F45/(1+$B8)^('DCF Model'!C19+3)+'DCF Model'!G45/(1+$B8)^('DCF Model'!C19+4)+'DCF Model'!G45*(1+G$6)/($B8-G$6)/(1+$B8)^('DCF Model'!C19+4)-'DCF Model'!C16)*1000000/'DCF Model'!C15,0),"")</f>
        <v>29671</v>
      </c>
      <c r="H8" s="37">
        <f>IFERROR(ROUND(('DCF Model'!C45/(1+$B8)^('DCF Model'!C19+0)+'DCF Model'!D45/(1+$B8)^('DCF Model'!C19+1)+'DCF Model'!E45/(1+$B8)^('DCF Model'!C19+2)+'DCF Model'!F45/(1+$B8)^('DCF Model'!C19+3)+'DCF Model'!G45/(1+$B8)^('DCF Model'!C19+4)+'DCF Model'!G45*(1+H$6)/($B8-H$6)/(1+$B8)^('DCF Model'!C19+4)-'DCF Model'!C16)*1000000/'DCF Model'!C15,0),"")</f>
        <v>30316</v>
      </c>
      <c r="I8" s="37">
        <f>IFERROR(ROUND(('DCF Model'!C45/(1+$B8)^('DCF Model'!C19+0)+'DCF Model'!D45/(1+$B8)^('DCF Model'!C19+1)+'DCF Model'!E45/(1+$B8)^('DCF Model'!C19+2)+'DCF Model'!F45/(1+$B8)^('DCF Model'!C19+3)+'DCF Model'!G45/(1+$B8)^('DCF Model'!C19+4)+'DCF Model'!G45*(1+I$6)/($B8-I$6)/(1+$B8)^('DCF Model'!C19+4)-'DCF Model'!C16)*1000000/'DCF Model'!C15,0),"")</f>
        <v>31003</v>
      </c>
    </row>
    <row r="9" spans="2:9" ht="13.5" customHeight="1" x14ac:dyDescent="0.25">
      <c r="B9" s="39">
        <f>$C$3-0.005</f>
        <v>9.9699999999999997E-2</v>
      </c>
      <c r="C9" s="37">
        <f>IFERROR(ROUND(('DCF Model'!C45/(1+$B9)^('DCF Model'!C19+0)+'DCF Model'!D45/(1+$B9)^('DCF Model'!C19+1)+'DCF Model'!E45/(1+$B9)^('DCF Model'!C19+2)+'DCF Model'!F45/(1+$B9)^('DCF Model'!C19+3)+'DCF Model'!G45/(1+$B9)^('DCF Model'!C19+4)+'DCF Model'!G45*(1+C$6)/($B9-C$6)/(1+$B9)^('DCF Model'!C19+4)-'DCF Model'!C16)*1000000/'DCF Model'!C15,0),"")</f>
        <v>26110</v>
      </c>
      <c r="D9" s="37">
        <f>IFERROR(ROUND(('DCF Model'!C45/(1+$B9)^('DCF Model'!C19+0)+'DCF Model'!D45/(1+$B9)^('DCF Model'!C19+1)+'DCF Model'!E45/(1+$B9)^('DCF Model'!C19+2)+'DCF Model'!F45/(1+$B9)^('DCF Model'!C19+3)+'DCF Model'!G45/(1+$B9)^('DCF Model'!C19+4)+'DCF Model'!G45*(1+D$6)/($B9-D$6)/(1+$B9)^('DCF Model'!C19+4)-'DCF Model'!C16)*1000000/'DCF Model'!C15,0),"")</f>
        <v>26561</v>
      </c>
      <c r="E9" s="37">
        <f>IFERROR(ROUND(('DCF Model'!C45/(1+$B9)^('DCF Model'!C19+0)+'DCF Model'!D45/(1+$B9)^('DCF Model'!C19+1)+'DCF Model'!E45/(1+$B9)^('DCF Model'!C19+2)+'DCF Model'!F45/(1+$B9)^('DCF Model'!C19+3)+'DCF Model'!G45/(1+$B9)^('DCF Model'!C19+4)+'DCF Model'!G45*(1+E$6)/($B9-E$6)/(1+$B9)^('DCF Model'!C19+4)-'DCF Model'!C16)*1000000/'DCF Model'!C15,0),"")</f>
        <v>27036</v>
      </c>
      <c r="F9" s="37">
        <f>IFERROR(ROUND(('DCF Model'!C45/(1+$B9)^('DCF Model'!C19+0)+'DCF Model'!D45/(1+$B9)^('DCF Model'!C19+1)+'DCF Model'!E45/(1+$B9)^('DCF Model'!C19+2)+'DCF Model'!F45/(1+$B9)^('DCF Model'!C19+3)+'DCF Model'!G45/(1+$B9)^('DCF Model'!C19+4)+'DCF Model'!G45*(1+F$6)/($B9-F$6)/(1+$B9)^('DCF Model'!C19+4)-'DCF Model'!C16)*1000000/'DCF Model'!C15,0),"")</f>
        <v>27537</v>
      </c>
      <c r="G9" s="37">
        <f>IFERROR(ROUND(('DCF Model'!C45/(1+$B9)^('DCF Model'!C19+0)+'DCF Model'!D45/(1+$B9)^('DCF Model'!C19+1)+'DCF Model'!E45/(1+$B9)^('DCF Model'!C19+2)+'DCF Model'!F45/(1+$B9)^('DCF Model'!C19+3)+'DCF Model'!G45/(1+$B9)^('DCF Model'!C19+4)+'DCF Model'!G45*(1+G$6)/($B9-G$6)/(1+$B9)^('DCF Model'!C19+4)-'DCF Model'!C16)*1000000/'DCF Model'!C15,0),"")</f>
        <v>28068</v>
      </c>
      <c r="H9" s="37">
        <f>IFERROR(ROUND(('DCF Model'!C45/(1+$B9)^('DCF Model'!C19+0)+'DCF Model'!D45/(1+$B9)^('DCF Model'!C19+1)+'DCF Model'!E45/(1+$B9)^('DCF Model'!C19+2)+'DCF Model'!F45/(1+$B9)^('DCF Model'!C19+3)+'DCF Model'!G45/(1+$B9)^('DCF Model'!C19+4)+'DCF Model'!G45*(1+H$6)/($B9-H$6)/(1+$B9)^('DCF Model'!C19+4)-'DCF Model'!C16)*1000000/'DCF Model'!C15,0),"")</f>
        <v>28629</v>
      </c>
      <c r="I9" s="37">
        <f>IFERROR(ROUND(('DCF Model'!C45/(1+$B9)^('DCF Model'!C19+0)+'DCF Model'!D45/(1+$B9)^('DCF Model'!C19+1)+'DCF Model'!E45/(1+$B9)^('DCF Model'!C19+2)+'DCF Model'!F45/(1+$B9)^('DCF Model'!C19+3)+'DCF Model'!G45/(1+$B9)^('DCF Model'!C19+4)+'DCF Model'!G45*(1+I$6)/($B9-I$6)/(1+$B9)^('DCF Model'!C19+4)-'DCF Model'!C16)*1000000/'DCF Model'!C15,0),"")</f>
        <v>29225</v>
      </c>
    </row>
    <row r="10" spans="2:9" ht="13.5" customHeight="1" x14ac:dyDescent="0.25">
      <c r="B10" s="39">
        <f>$C$3</f>
        <v>0.1047</v>
      </c>
      <c r="C10" s="37">
        <f>IFERROR(ROUND(('DCF Model'!C45/(1+$B10)^('DCF Model'!C19+0)+'DCF Model'!D45/(1+$B10)^('DCF Model'!C19+1)+'DCF Model'!E45/(1+$B10)^('DCF Model'!C19+2)+'DCF Model'!F45/(1+$B10)^('DCF Model'!C19+3)+'DCF Model'!G45/(1+$B10)^('DCF Model'!C19+4)+'DCF Model'!G45*(1+C$6)/($B10-C$6)/(1+$B10)^('DCF Model'!C19+4)-'DCF Model'!C16)*1000000/'DCF Model'!C15,0),"")</f>
        <v>24910</v>
      </c>
      <c r="D10" s="37">
        <f>IFERROR(ROUND(('DCF Model'!C45/(1+$B10)^('DCF Model'!C19+0)+'DCF Model'!D45/(1+$B10)^('DCF Model'!C19+1)+'DCF Model'!E45/(1+$B10)^('DCF Model'!C19+2)+'DCF Model'!F45/(1+$B10)^('DCF Model'!C19+3)+'DCF Model'!G45/(1+$B10)^('DCF Model'!C19+4)+'DCF Model'!G45*(1+D$6)/($B10-D$6)/(1+$B10)^('DCF Model'!C19+4)-'DCF Model'!C16)*1000000/'DCF Model'!C15,0),"")</f>
        <v>25309</v>
      </c>
      <c r="E10" s="37">
        <f>IFERROR(ROUND(('DCF Model'!C45/(1+$B10)^('DCF Model'!C19+0)+'DCF Model'!D45/(1+$B10)^('DCF Model'!C19+1)+'DCF Model'!E45/(1+$B10)^('DCF Model'!C19+2)+'DCF Model'!F45/(1+$B10)^('DCF Model'!C19+3)+'DCF Model'!G45/(1+$B10)^('DCF Model'!C19+4)+'DCF Model'!G45*(1+E$6)/($B10-E$6)/(1+$B10)^('DCF Model'!C19+4)-'DCF Model'!C16)*1000000/'DCF Model'!C15,0),"")</f>
        <v>25730</v>
      </c>
      <c r="F10" s="37">
        <f>IFERROR(ROUND(('DCF Model'!C45/(1+$B10)^('DCF Model'!C19+0)+'DCF Model'!D45/(1+$B10)^('DCF Model'!C19+1)+'DCF Model'!E45/(1+$B10)^('DCF Model'!C19+2)+'DCF Model'!F45/(1+$B10)^('DCF Model'!C19+3)+'DCF Model'!G45/(1+$B10)^('DCF Model'!C19+4)+'DCF Model'!G45*(1+F$6)/($B10-F$6)/(1+$B10)^('DCF Model'!C19+4)-'DCF Model'!C16)*1000000/'DCF Model'!C15,0),"")</f>
        <v>26172</v>
      </c>
      <c r="G10" s="37">
        <f>IFERROR(ROUND(('DCF Model'!C45/(1+$B10)^('DCF Model'!C19+0)+'DCF Model'!D45/(1+$B10)^('DCF Model'!C19+1)+'DCF Model'!E45/(1+$B10)^('DCF Model'!C19+2)+'DCF Model'!F45/(1+$B10)^('DCF Model'!C19+3)+'DCF Model'!G45/(1+$B10)^('DCF Model'!C19+4)+'DCF Model'!G45*(1+G$6)/($B10-G$6)/(1+$B10)^('DCF Model'!C19+4)-'DCF Model'!C16)*1000000/'DCF Model'!C15,0),"")</f>
        <v>26639</v>
      </c>
      <c r="H10" s="37">
        <f>IFERROR(ROUND(('DCF Model'!C45/(1+$B10)^('DCF Model'!C19+0)+'DCF Model'!D45/(1+$B10)^('DCF Model'!C19+1)+'DCF Model'!E45/(1+$B10)^('DCF Model'!C19+2)+'DCF Model'!F45/(1+$B10)^('DCF Model'!C19+3)+'DCF Model'!G45/(1+$B10)^('DCF Model'!C19+4)+'DCF Model'!G45*(1+H$6)/($B10-H$6)/(1+$B10)^('DCF Model'!C19+4)-'DCF Model'!C16)*1000000/'DCF Model'!C15,0),"")</f>
        <v>27131</v>
      </c>
      <c r="I10" s="37">
        <f>IFERROR(ROUND(('DCF Model'!C45/(1+$B10)^('DCF Model'!C19+0)+'DCF Model'!D45/(1+$B10)^('DCF Model'!C19+1)+'DCF Model'!E45/(1+$B10)^('DCF Model'!C19+2)+'DCF Model'!F45/(1+$B10)^('DCF Model'!C19+3)+'DCF Model'!G45/(1+$B10)^('DCF Model'!C19+4)+'DCF Model'!G45*(1+I$6)/($B10-I$6)/(1+$B10)^('DCF Model'!C19+4)-'DCF Model'!C16)*1000000/'DCF Model'!C15,0),"")</f>
        <v>27652</v>
      </c>
    </row>
    <row r="11" spans="2:9" ht="13.5" customHeight="1" x14ac:dyDescent="0.25">
      <c r="B11" s="39">
        <f>$C$3+0.005</f>
        <v>0.10970000000000001</v>
      </c>
      <c r="C11" s="37">
        <f>IFERROR(ROUND(('DCF Model'!C45/(1+$B11)^('DCF Model'!C19+0)+'DCF Model'!D45/(1+$B11)^('DCF Model'!C19+1)+'DCF Model'!E45/(1+$B11)^('DCF Model'!C19+2)+'DCF Model'!F45/(1+$B11)^('DCF Model'!C19+3)+'DCF Model'!G45/(1+$B11)^('DCF Model'!C19+4)+'DCF Model'!G45*(1+C$6)/($B11-C$6)/(1+$B11)^('DCF Model'!C19+4)-'DCF Model'!C16)*1000000/'DCF Model'!C15,0),"")</f>
        <v>23822</v>
      </c>
      <c r="D11" s="37">
        <f>IFERROR(ROUND(('DCF Model'!C45/(1+$B11)^('DCF Model'!C19+0)+'DCF Model'!D45/(1+$B11)^('DCF Model'!C19+1)+'DCF Model'!E45/(1+$B11)^('DCF Model'!C19+2)+'DCF Model'!F45/(1+$B11)^('DCF Model'!C19+3)+'DCF Model'!G45/(1+$B11)^('DCF Model'!C19+4)+'DCF Model'!G45*(1+D$6)/($B11-D$6)/(1+$B11)^('DCF Model'!C19+4)-'DCF Model'!C16)*1000000/'DCF Model'!C15,0),"")</f>
        <v>24178</v>
      </c>
      <c r="E11" s="37">
        <f>IFERROR(ROUND(('DCF Model'!C45/(1+$B11)^('DCF Model'!C19+0)+'DCF Model'!D45/(1+$B11)^('DCF Model'!C19+1)+'DCF Model'!E45/(1+$B11)^('DCF Model'!C19+2)+'DCF Model'!F45/(1+$B11)^('DCF Model'!C19+3)+'DCF Model'!G45/(1+$B11)^('DCF Model'!C19+4)+'DCF Model'!G45*(1+E$6)/($B11-E$6)/(1+$B11)^('DCF Model'!C19+4)-'DCF Model'!C16)*1000000/'DCF Model'!C15,0),"")</f>
        <v>24552</v>
      </c>
      <c r="F11" s="37">
        <f>IFERROR(ROUND(('DCF Model'!C45/(1+$B11)^('DCF Model'!C19+0)+'DCF Model'!D45/(1+$B11)^('DCF Model'!C19+1)+'DCF Model'!E45/(1+$B11)^('DCF Model'!C19+2)+'DCF Model'!F45/(1+$B11)^('DCF Model'!C19+3)+'DCF Model'!G45/(1+$B11)^('DCF Model'!C19+4)+'DCF Model'!G45*(1+F$6)/($B11-F$6)/(1+$B11)^('DCF Model'!C19+4)-'DCF Model'!C16)*1000000/'DCF Model'!C15,0),"")</f>
        <v>24945</v>
      </c>
      <c r="G11" s="37">
        <f>IFERROR(ROUND(('DCF Model'!C45/(1+$B11)^('DCF Model'!C19+0)+'DCF Model'!D45/(1+$B11)^('DCF Model'!C19+1)+'DCF Model'!E45/(1+$B11)^('DCF Model'!C19+2)+'DCF Model'!F45/(1+$B11)^('DCF Model'!C19+3)+'DCF Model'!G45/(1+$B11)^('DCF Model'!C19+4)+'DCF Model'!G45*(1+G$6)/($B11-G$6)/(1+$B11)^('DCF Model'!C19+4)-'DCF Model'!C16)*1000000/'DCF Model'!C15,0),"")</f>
        <v>25358</v>
      </c>
      <c r="H11" s="37">
        <f>IFERROR(ROUND(('DCF Model'!C45/(1+$B11)^('DCF Model'!C19+0)+'DCF Model'!D45/(1+$B11)^('DCF Model'!C19+1)+'DCF Model'!E45/(1+$B11)^('DCF Model'!C19+2)+'DCF Model'!F45/(1+$B11)^('DCF Model'!C19+3)+'DCF Model'!G45/(1+$B11)^('DCF Model'!C19+4)+'DCF Model'!G45*(1+H$6)/($B11-H$6)/(1+$B11)^('DCF Model'!C19+4)-'DCF Model'!C16)*1000000/'DCF Model'!C15,0),"")</f>
        <v>25792</v>
      </c>
      <c r="I11" s="37">
        <f>IFERROR(ROUND(('DCF Model'!C45/(1+$B11)^('DCF Model'!C19+0)+'DCF Model'!D45/(1+$B11)^('DCF Model'!C19+1)+'DCF Model'!E45/(1+$B11)^('DCF Model'!C19+2)+'DCF Model'!F45/(1+$B11)^('DCF Model'!C19+3)+'DCF Model'!G45/(1+$B11)^('DCF Model'!C19+4)+'DCF Model'!G45*(1+I$6)/($B11-I$6)/(1+$B11)^('DCF Model'!C19+4)-'DCF Model'!C16)*1000000/'DCF Model'!C15,0),"")</f>
        <v>26251</v>
      </c>
    </row>
    <row r="12" spans="2:9" ht="13.5" customHeight="1" x14ac:dyDescent="0.25">
      <c r="B12" s="39">
        <f>$C$3+0.01</f>
        <v>0.1147</v>
      </c>
      <c r="C12" s="37">
        <f>IFERROR(ROUND(('DCF Model'!C45/(1+$B12)^('DCF Model'!C19+0)+'DCF Model'!D45/(1+$B12)^('DCF Model'!C19+1)+'DCF Model'!E45/(1+$B12)^('DCF Model'!C19+2)+'DCF Model'!F45/(1+$B12)^('DCF Model'!C19+3)+'DCF Model'!G45/(1+$B12)^('DCF Model'!C19+4)+'DCF Model'!G45*(1+C$6)/($B12-C$6)/(1+$B12)^('DCF Model'!C19+4)-'DCF Model'!C16)*1000000/'DCF Model'!C15,0),"")</f>
        <v>22832</v>
      </c>
      <c r="D12" s="37">
        <f>IFERROR(ROUND(('DCF Model'!C45/(1+$B12)^('DCF Model'!C19+0)+'DCF Model'!D45/(1+$B12)^('DCF Model'!C19+1)+'DCF Model'!E45/(1+$B12)^('DCF Model'!C19+2)+'DCF Model'!F45/(1+$B12)^('DCF Model'!C19+3)+'DCF Model'!G45/(1+$B12)^('DCF Model'!C19+4)+'DCF Model'!G45*(1+D$6)/($B12-D$6)/(1+$B12)^('DCF Model'!C19+4)-'DCF Model'!C16)*1000000/'DCF Model'!C15,0),"")</f>
        <v>23151</v>
      </c>
      <c r="E12" s="37">
        <f>IFERROR(ROUND(('DCF Model'!C45/(1+$B12)^('DCF Model'!C19+0)+'DCF Model'!D45/(1+$B12)^('DCF Model'!C19+1)+'DCF Model'!E45/(1+$B12)^('DCF Model'!C19+2)+'DCF Model'!F45/(1+$B12)^('DCF Model'!C19+3)+'DCF Model'!G45/(1+$B12)^('DCF Model'!C19+4)+'DCF Model'!G45*(1+E$6)/($B12-E$6)/(1+$B12)^('DCF Model'!C19+4)-'DCF Model'!C16)*1000000/'DCF Model'!C15,0),"")</f>
        <v>23485</v>
      </c>
      <c r="F12" s="37">
        <f>IFERROR(ROUND(('DCF Model'!C45/(1+$B12)^('DCF Model'!C19+0)+'DCF Model'!D45/(1+$B12)^('DCF Model'!C19+1)+'DCF Model'!E45/(1+$B12)^('DCF Model'!C19+2)+'DCF Model'!F45/(1+$B12)^('DCF Model'!C19+3)+'DCF Model'!G45/(1+$B12)^('DCF Model'!C19+4)+'DCF Model'!G45*(1+F$6)/($B12-F$6)/(1+$B12)^('DCF Model'!C19+4)-'DCF Model'!C16)*1000000/'DCF Model'!C15,0),"")</f>
        <v>23835</v>
      </c>
      <c r="G12" s="37">
        <f>IFERROR(ROUND(('DCF Model'!C45/(1+$B12)^('DCF Model'!C19+0)+'DCF Model'!D45/(1+$B12)^('DCF Model'!C19+1)+'DCF Model'!E45/(1+$B12)^('DCF Model'!C19+2)+'DCF Model'!F45/(1+$B12)^('DCF Model'!C19+3)+'DCF Model'!G45/(1+$B12)^('DCF Model'!C19+4)+'DCF Model'!G45*(1+G$6)/($B12-G$6)/(1+$B12)^('DCF Model'!C19+4)-'DCF Model'!C16)*1000000/'DCF Model'!C15,0),"")</f>
        <v>24203</v>
      </c>
      <c r="H12" s="37">
        <f>IFERROR(ROUND(('DCF Model'!C45/(1+$B12)^('DCF Model'!C19+0)+'DCF Model'!D45/(1+$B12)^('DCF Model'!C19+1)+'DCF Model'!E45/(1+$B12)^('DCF Model'!C19+2)+'DCF Model'!F45/(1+$B12)^('DCF Model'!C19+3)+'DCF Model'!G45/(1+$B12)^('DCF Model'!C19+4)+'DCF Model'!G45*(1+H$6)/($B12-H$6)/(1+$B12)^('DCF Model'!C19+4)-'DCF Model'!C16)*1000000/'DCF Model'!C15,0),"")</f>
        <v>24588</v>
      </c>
      <c r="I12" s="37">
        <f>IFERROR(ROUND(('DCF Model'!C45/(1+$B12)^('DCF Model'!C19+0)+'DCF Model'!D45/(1+$B12)^('DCF Model'!C19+1)+'DCF Model'!E45/(1+$B12)^('DCF Model'!C19+2)+'DCF Model'!F45/(1+$B12)^('DCF Model'!C19+3)+'DCF Model'!G45/(1+$B12)^('DCF Model'!C19+4)+'DCF Model'!G45*(1+I$6)/($B12-I$6)/(1+$B12)^('DCF Model'!C19+4)-'DCF Model'!C16)*1000000/'DCF Model'!C15,0),"")</f>
        <v>24994</v>
      </c>
    </row>
    <row r="13" spans="2:9" ht="13.5" customHeight="1" x14ac:dyDescent="0.25">
      <c r="B13" s="39">
        <f>$C$3+0.015</f>
        <v>0.1197</v>
      </c>
      <c r="C13" s="37">
        <f>IFERROR(ROUND(('DCF Model'!C45/(1+$B13)^('DCF Model'!C19+0)+'DCF Model'!D45/(1+$B13)^('DCF Model'!C19+1)+'DCF Model'!E45/(1+$B13)^('DCF Model'!C19+2)+'DCF Model'!F45/(1+$B13)^('DCF Model'!C19+3)+'DCF Model'!G45/(1+$B13)^('DCF Model'!C19+4)+'DCF Model'!G45*(1+C$6)/($B13-C$6)/(1+$B13)^('DCF Model'!C19+4)-'DCF Model'!C16)*1000000/'DCF Model'!C15,0),"")</f>
        <v>21927</v>
      </c>
      <c r="D13" s="37">
        <f>IFERROR(ROUND(('DCF Model'!C45/(1+$B13)^('DCF Model'!C19+0)+'DCF Model'!D45/(1+$B13)^('DCF Model'!C19+1)+'DCF Model'!E45/(1+$B13)^('DCF Model'!C19+2)+'DCF Model'!F45/(1+$B13)^('DCF Model'!C19+3)+'DCF Model'!G45/(1+$B13)^('DCF Model'!C19+4)+'DCF Model'!G45*(1+D$6)/($B13-D$6)/(1+$B13)^('DCF Model'!C19+4)-'DCF Model'!C16)*1000000/'DCF Model'!C15,0),"")</f>
        <v>22214</v>
      </c>
      <c r="E13" s="37">
        <f>IFERROR(ROUND(('DCF Model'!C45/(1+$B13)^('DCF Model'!C19+0)+'DCF Model'!D45/(1+$B13)^('DCF Model'!C19+1)+'DCF Model'!E45/(1+$B13)^('DCF Model'!C19+2)+'DCF Model'!F45/(1+$B13)^('DCF Model'!C19+3)+'DCF Model'!G45/(1+$B13)^('DCF Model'!C19+4)+'DCF Model'!G45*(1+E$6)/($B13-E$6)/(1+$B13)^('DCF Model'!C19+4)-'DCF Model'!C16)*1000000/'DCF Model'!C15,0),"")</f>
        <v>22514</v>
      </c>
      <c r="F13" s="37">
        <f>IFERROR(ROUND(('DCF Model'!C45/(1+$B13)^('DCF Model'!C19+0)+'DCF Model'!D45/(1+$B13)^('DCF Model'!C19+1)+'DCF Model'!E45/(1+$B13)^('DCF Model'!C19+2)+'DCF Model'!F45/(1+$B13)^('DCF Model'!C19+3)+'DCF Model'!G45/(1+$B13)^('DCF Model'!C19+4)+'DCF Model'!G45*(1+F$6)/($B13-F$6)/(1+$B13)^('DCF Model'!C19+4)-'DCF Model'!C16)*1000000/'DCF Model'!C15,0),"")</f>
        <v>22827</v>
      </c>
      <c r="G13" s="37">
        <f>IFERROR(ROUND(('DCF Model'!C45/(1+$B13)^('DCF Model'!C19+0)+'DCF Model'!D45/(1+$B13)^('DCF Model'!C19+1)+'DCF Model'!E45/(1+$B13)^('DCF Model'!C19+2)+'DCF Model'!F45/(1+$B13)^('DCF Model'!C19+3)+'DCF Model'!G45/(1+$B13)^('DCF Model'!C19+4)+'DCF Model'!G45*(1+G$6)/($B13-G$6)/(1+$B13)^('DCF Model'!C19+4)-'DCF Model'!C16)*1000000/'DCF Model'!C15,0),"")</f>
        <v>23156</v>
      </c>
      <c r="H13" s="37">
        <f>IFERROR(ROUND(('DCF Model'!C45/(1+$B13)^('DCF Model'!C19+0)+'DCF Model'!D45/(1+$B13)^('DCF Model'!C19+1)+'DCF Model'!E45/(1+$B13)^('DCF Model'!C19+2)+'DCF Model'!F45/(1+$B13)^('DCF Model'!C19+3)+'DCF Model'!G45/(1+$B13)^('DCF Model'!C19+4)+'DCF Model'!G45*(1+H$6)/($B13-H$6)/(1+$B13)^('DCF Model'!C19+4)-'DCF Model'!C16)*1000000/'DCF Model'!C15,0),"")</f>
        <v>23500</v>
      </c>
      <c r="I13" s="37">
        <f>IFERROR(ROUND(('DCF Model'!C45/(1+$B13)^('DCF Model'!C19+0)+'DCF Model'!D45/(1+$B13)^('DCF Model'!C19+1)+'DCF Model'!E45/(1+$B13)^('DCF Model'!C19+2)+'DCF Model'!F45/(1+$B13)^('DCF Model'!C19+3)+'DCF Model'!G45/(1+$B13)^('DCF Model'!C19+4)+'DCF Model'!G45*(1+I$6)/($B13-I$6)/(1+$B13)^('DCF Model'!C19+4)-'DCF Model'!C16)*1000000/'DCF Model'!C15,0),"")</f>
        <v>23860</v>
      </c>
    </row>
    <row r="16" spans="2:9" ht="14" customHeight="1" x14ac:dyDescent="0.3">
      <c r="B16" s="3" t="s">
        <v>236</v>
      </c>
    </row>
    <row r="17" spans="2:9" ht="14" customHeight="1" x14ac:dyDescent="0.3">
      <c r="B17" s="40" t="s">
        <v>237</v>
      </c>
      <c r="C17" s="42">
        <f>$I$3-3</f>
        <v>15.3</v>
      </c>
      <c r="D17" s="42">
        <f>$I$3-2</f>
        <v>16.3</v>
      </c>
      <c r="E17" s="42">
        <f>$I$3-1</f>
        <v>17.3</v>
      </c>
      <c r="F17" s="42">
        <f>$I$3</f>
        <v>18.3</v>
      </c>
      <c r="G17" s="42">
        <f>$I$3+1</f>
        <v>19.3</v>
      </c>
      <c r="H17" s="42">
        <f>$I$3+2</f>
        <v>20.3</v>
      </c>
      <c r="I17" s="42">
        <f>$I$3+3</f>
        <v>21.3</v>
      </c>
    </row>
    <row r="18" spans="2:9" ht="13.5" customHeight="1" x14ac:dyDescent="0.25">
      <c r="B18" s="39">
        <f>$C$3-0.015</f>
        <v>8.9700000000000002E-2</v>
      </c>
      <c r="C18" s="37">
        <f>IFERROR(ROUND(('DCF Model'!C45/(1+$B18)^('DCF Model'!C19+0)+'DCF Model'!D45/(1+$B18)^('DCF Model'!C19+1)+'DCF Model'!E45/(1+$B18)^('DCF Model'!C19+2)+'DCF Model'!F45/(1+$B18)^('DCF Model'!C19+3)+'DCF Model'!G45/(1+$B18)^('DCF Model'!C19+4)+('DCF Model'!G39+'DCF Model'!G42)*C$17/(1+$B18)^('DCF Model'!C19+4)-'DCF Model'!C16)*1000000/'DCF Model'!C15,0),"")</f>
        <v>45305</v>
      </c>
      <c r="D18" s="37">
        <f>IFERROR(ROUND(('DCF Model'!C45/(1+$B18)^('DCF Model'!C19+0)+'DCF Model'!D45/(1+$B18)^('DCF Model'!C19+1)+'DCF Model'!E45/(1+$B18)^('DCF Model'!C19+2)+'DCF Model'!F45/(1+$B18)^('DCF Model'!C19+3)+'DCF Model'!G45/(1+$B18)^('DCF Model'!C19+4)+('DCF Model'!G39+'DCF Model'!G42)*D$17/(1+$B18)^('DCF Model'!C19+4)-'DCF Model'!C16)*1000000/'DCF Model'!C15,0),"")</f>
        <v>47563</v>
      </c>
      <c r="E18" s="37">
        <f>IFERROR(ROUND(('DCF Model'!C45/(1+$B18)^('DCF Model'!C19+0)+'DCF Model'!D45/(1+$B18)^('DCF Model'!C19+1)+'DCF Model'!E45/(1+$B18)^('DCF Model'!C19+2)+'DCF Model'!F45/(1+$B18)^('DCF Model'!C19+3)+'DCF Model'!G45/(1+$B18)^('DCF Model'!C19+4)+('DCF Model'!G39+'DCF Model'!G42)*E$17/(1+$B18)^('DCF Model'!C19+4)-'DCF Model'!C16)*1000000/'DCF Model'!C15,0),"")</f>
        <v>49820</v>
      </c>
      <c r="F18" s="37">
        <f>IFERROR(ROUND(('DCF Model'!C45/(1+$B18)^('DCF Model'!C19+0)+'DCF Model'!D45/(1+$B18)^('DCF Model'!C19+1)+'DCF Model'!E45/(1+$B18)^('DCF Model'!C19+2)+'DCF Model'!F45/(1+$B18)^('DCF Model'!C19+3)+'DCF Model'!G45/(1+$B18)^('DCF Model'!C19+4)+('DCF Model'!G39+'DCF Model'!G42)*F$17/(1+$B18)^('DCF Model'!C19+4)-'DCF Model'!C16)*1000000/'DCF Model'!C15,0),"")</f>
        <v>52077</v>
      </c>
      <c r="G18" s="37">
        <f>IFERROR(ROUND(('DCF Model'!C45/(1+$B18)^('DCF Model'!C19+0)+'DCF Model'!D45/(1+$B18)^('DCF Model'!C19+1)+'DCF Model'!E45/(1+$B18)^('DCF Model'!C19+2)+'DCF Model'!F45/(1+$B18)^('DCF Model'!C19+3)+'DCF Model'!G45/(1+$B18)^('DCF Model'!C19+4)+('DCF Model'!G39+'DCF Model'!G42)*G$17/(1+$B18)^('DCF Model'!C19+4)-'DCF Model'!C16)*1000000/'DCF Model'!C15,0),"")</f>
        <v>54335</v>
      </c>
      <c r="H18" s="37">
        <f>IFERROR(ROUND(('DCF Model'!C45/(1+$B18)^('DCF Model'!C19+0)+'DCF Model'!D45/(1+$B18)^('DCF Model'!C19+1)+'DCF Model'!E45/(1+$B18)^('DCF Model'!C19+2)+'DCF Model'!F45/(1+$B18)^('DCF Model'!C19+3)+'DCF Model'!G45/(1+$B18)^('DCF Model'!C19+4)+('DCF Model'!G39+'DCF Model'!G42)*H$17/(1+$B18)^('DCF Model'!C19+4)-'DCF Model'!C16)*1000000/'DCF Model'!C15,0),"")</f>
        <v>56592</v>
      </c>
      <c r="I18" s="37">
        <f>IFERROR(ROUND(('DCF Model'!C45/(1+$B18)^('DCF Model'!C19+0)+'DCF Model'!D45/(1+$B18)^('DCF Model'!C19+1)+'DCF Model'!E45/(1+$B18)^('DCF Model'!C19+2)+'DCF Model'!F45/(1+$B18)^('DCF Model'!C19+3)+'DCF Model'!G45/(1+$B18)^('DCF Model'!C19+4)+('DCF Model'!G39+'DCF Model'!G42)*I$17/(1+$B18)^('DCF Model'!C19+4)-'DCF Model'!C16)*1000000/'DCF Model'!C15,0),"")</f>
        <v>58849</v>
      </c>
    </row>
    <row r="19" spans="2:9" ht="13.5" customHeight="1" x14ac:dyDescent="0.25">
      <c r="B19" s="39">
        <f>$C$3-0.01</f>
        <v>9.4700000000000006E-2</v>
      </c>
      <c r="C19" s="37">
        <f>IFERROR(ROUND(('DCF Model'!C45/(1+$B19)^('DCF Model'!C19+0)+'DCF Model'!D45/(1+$B19)^('DCF Model'!C19+1)+'DCF Model'!E45/(1+$B19)^('DCF Model'!C19+2)+'DCF Model'!F45/(1+$B19)^('DCF Model'!C19+3)+'DCF Model'!G45/(1+$B19)^('DCF Model'!C19+4)+('DCF Model'!G39+'DCF Model'!G42)*C$17/(1+$B19)^('DCF Model'!C19+4)-'DCF Model'!C16)*1000000/'DCF Model'!C15,0),"")</f>
        <v>44412</v>
      </c>
      <c r="D19" s="37">
        <f>IFERROR(ROUND(('DCF Model'!C45/(1+$B19)^('DCF Model'!C19+0)+'DCF Model'!D45/(1+$B19)^('DCF Model'!C19+1)+'DCF Model'!E45/(1+$B19)^('DCF Model'!C19+2)+'DCF Model'!F45/(1+$B19)^('DCF Model'!C19+3)+'DCF Model'!G45/(1+$B19)^('DCF Model'!C19+4)+('DCF Model'!G39+'DCF Model'!G42)*D$17/(1+$B19)^('DCF Model'!C19+4)-'DCF Model'!C16)*1000000/'DCF Model'!C15,0),"")</f>
        <v>46618</v>
      </c>
      <c r="E19" s="37">
        <f>IFERROR(ROUND(('DCF Model'!C45/(1+$B19)^('DCF Model'!C19+0)+'DCF Model'!D45/(1+$B19)^('DCF Model'!C19+1)+'DCF Model'!E45/(1+$B19)^('DCF Model'!C19+2)+'DCF Model'!F45/(1+$B19)^('DCF Model'!C19+3)+'DCF Model'!G45/(1+$B19)^('DCF Model'!C19+4)+('DCF Model'!G39+'DCF Model'!G42)*E$17/(1+$B19)^('DCF Model'!C19+4)-'DCF Model'!C16)*1000000/'DCF Model'!C15,0),"")</f>
        <v>48825</v>
      </c>
      <c r="F19" s="37">
        <f>IFERROR(ROUND(('DCF Model'!C45/(1+$B19)^('DCF Model'!C19+0)+'DCF Model'!D45/(1+$B19)^('DCF Model'!C19+1)+'DCF Model'!E45/(1+$B19)^('DCF Model'!C19+2)+'DCF Model'!F45/(1+$B19)^('DCF Model'!C19+3)+'DCF Model'!G45/(1+$B19)^('DCF Model'!C19+4)+('DCF Model'!G39+'DCF Model'!G42)*F$17/(1+$B19)^('DCF Model'!C19+4)-'DCF Model'!C16)*1000000/'DCF Model'!C15,0),"")</f>
        <v>51031</v>
      </c>
      <c r="G19" s="37">
        <f>IFERROR(ROUND(('DCF Model'!C45/(1+$B19)^('DCF Model'!C19+0)+'DCF Model'!D45/(1+$B19)^('DCF Model'!C19+1)+'DCF Model'!E45/(1+$B19)^('DCF Model'!C19+2)+'DCF Model'!F45/(1+$B19)^('DCF Model'!C19+3)+'DCF Model'!G45/(1+$B19)^('DCF Model'!C19+4)+('DCF Model'!G39+'DCF Model'!G42)*G$17/(1+$B19)^('DCF Model'!C19+4)-'DCF Model'!C16)*1000000/'DCF Model'!C15,0),"")</f>
        <v>53237</v>
      </c>
      <c r="H19" s="37">
        <f>IFERROR(ROUND(('DCF Model'!C45/(1+$B19)^('DCF Model'!C19+0)+'DCF Model'!D45/(1+$B19)^('DCF Model'!C19+1)+'DCF Model'!E45/(1+$B19)^('DCF Model'!C19+2)+'DCF Model'!F45/(1+$B19)^('DCF Model'!C19+3)+'DCF Model'!G45/(1+$B19)^('DCF Model'!C19+4)+('DCF Model'!G39+'DCF Model'!G42)*H$17/(1+$B19)^('DCF Model'!C19+4)-'DCF Model'!C16)*1000000/'DCF Model'!C15,0),"")</f>
        <v>55443</v>
      </c>
      <c r="I19" s="37">
        <f>IFERROR(ROUND(('DCF Model'!C45/(1+$B19)^('DCF Model'!C19+0)+'DCF Model'!D45/(1+$B19)^('DCF Model'!C19+1)+'DCF Model'!E45/(1+$B19)^('DCF Model'!C19+2)+'DCF Model'!F45/(1+$B19)^('DCF Model'!C19+3)+'DCF Model'!G45/(1+$B19)^('DCF Model'!C19+4)+('DCF Model'!G39+'DCF Model'!G42)*I$17/(1+$B19)^('DCF Model'!C19+4)-'DCF Model'!C16)*1000000/'DCF Model'!C15,0),"")</f>
        <v>57650</v>
      </c>
    </row>
    <row r="20" spans="2:9" ht="13.5" customHeight="1" x14ac:dyDescent="0.25">
      <c r="B20" s="39">
        <f>$C$3-0.005</f>
        <v>9.9699999999999997E-2</v>
      </c>
      <c r="C20" s="37">
        <f>IFERROR(ROUND(('DCF Model'!C45/(1+$B20)^('DCF Model'!C19+0)+'DCF Model'!D45/(1+$B20)^('DCF Model'!C19+1)+'DCF Model'!E45/(1+$B20)^('DCF Model'!C19+2)+'DCF Model'!F45/(1+$B20)^('DCF Model'!C19+3)+'DCF Model'!G45/(1+$B20)^('DCF Model'!C19+4)+('DCF Model'!G39+'DCF Model'!G42)*C$17/(1+$B20)^('DCF Model'!C19+4)-'DCF Model'!C16)*1000000/'DCF Model'!C15,0),"")</f>
        <v>43542</v>
      </c>
      <c r="D20" s="37">
        <f>IFERROR(ROUND(('DCF Model'!C45/(1+$B20)^('DCF Model'!C19+0)+'DCF Model'!D45/(1+$B20)^('DCF Model'!C19+1)+'DCF Model'!E45/(1+$B20)^('DCF Model'!C19+2)+'DCF Model'!F45/(1+$B20)^('DCF Model'!C19+3)+'DCF Model'!G45/(1+$B20)^('DCF Model'!C19+4)+('DCF Model'!G39+'DCF Model'!G42)*D$17/(1+$B20)^('DCF Model'!C19+4)-'DCF Model'!C16)*1000000/'DCF Model'!C15,0),"")</f>
        <v>45699</v>
      </c>
      <c r="E20" s="37">
        <f>IFERROR(ROUND(('DCF Model'!C45/(1+$B20)^('DCF Model'!C19+0)+'DCF Model'!D45/(1+$B20)^('DCF Model'!C19+1)+'DCF Model'!E45/(1+$B20)^('DCF Model'!C19+2)+'DCF Model'!F45/(1+$B20)^('DCF Model'!C19+3)+'DCF Model'!G45/(1+$B20)^('DCF Model'!C19+4)+('DCF Model'!G39+'DCF Model'!G42)*E$17/(1+$B20)^('DCF Model'!C19+4)-'DCF Model'!C16)*1000000/'DCF Model'!C15,0),"")</f>
        <v>47855</v>
      </c>
      <c r="F20" s="37">
        <f>IFERROR(ROUND(('DCF Model'!C45/(1+$B20)^('DCF Model'!C19+0)+'DCF Model'!D45/(1+$B20)^('DCF Model'!C19+1)+'DCF Model'!E45/(1+$B20)^('DCF Model'!C19+2)+'DCF Model'!F45/(1+$B20)^('DCF Model'!C19+3)+'DCF Model'!G45/(1+$B20)^('DCF Model'!C19+4)+('DCF Model'!G39+'DCF Model'!G42)*F$17/(1+$B20)^('DCF Model'!C19+4)-'DCF Model'!C16)*1000000/'DCF Model'!C15,0),"")</f>
        <v>50012</v>
      </c>
      <c r="G20" s="37">
        <f>IFERROR(ROUND(('DCF Model'!C45/(1+$B20)^('DCF Model'!C19+0)+'DCF Model'!D45/(1+$B20)^('DCF Model'!C19+1)+'DCF Model'!E45/(1+$B20)^('DCF Model'!C19+2)+'DCF Model'!F45/(1+$B20)^('DCF Model'!C19+3)+'DCF Model'!G45/(1+$B20)^('DCF Model'!C19+4)+('DCF Model'!G39+'DCF Model'!G42)*G$17/(1+$B20)^('DCF Model'!C19+4)-'DCF Model'!C16)*1000000/'DCF Model'!C15,0),"")</f>
        <v>52169</v>
      </c>
      <c r="H20" s="37">
        <f>IFERROR(ROUND(('DCF Model'!C45/(1+$B20)^('DCF Model'!C19+0)+'DCF Model'!D45/(1+$B20)^('DCF Model'!C19+1)+'DCF Model'!E45/(1+$B20)^('DCF Model'!C19+2)+'DCF Model'!F45/(1+$B20)^('DCF Model'!C19+3)+'DCF Model'!G45/(1+$B20)^('DCF Model'!C19+4)+('DCF Model'!G39+'DCF Model'!G42)*H$17/(1+$B20)^('DCF Model'!C19+4)-'DCF Model'!C16)*1000000/'DCF Model'!C15,0),"")</f>
        <v>54325</v>
      </c>
      <c r="I20" s="37">
        <f>IFERROR(ROUND(('DCF Model'!C45/(1+$B20)^('DCF Model'!C19+0)+'DCF Model'!D45/(1+$B20)^('DCF Model'!C19+1)+'DCF Model'!E45/(1+$B20)^('DCF Model'!C19+2)+'DCF Model'!F45/(1+$B20)^('DCF Model'!C19+3)+'DCF Model'!G45/(1+$B20)^('DCF Model'!C19+4)+('DCF Model'!G39+'DCF Model'!G42)*I$17/(1+$B20)^('DCF Model'!C19+4)-'DCF Model'!C16)*1000000/'DCF Model'!C15,0),"")</f>
        <v>56482</v>
      </c>
    </row>
    <row r="21" spans="2:9" ht="13.5" customHeight="1" x14ac:dyDescent="0.25">
      <c r="B21" s="39">
        <f>$C$3</f>
        <v>0.1047</v>
      </c>
      <c r="C21" s="37">
        <f>IFERROR(ROUND(('DCF Model'!C45/(1+$B21)^('DCF Model'!C19+0)+'DCF Model'!D45/(1+$B21)^('DCF Model'!C19+1)+'DCF Model'!E45/(1+$B21)^('DCF Model'!C19+2)+'DCF Model'!F45/(1+$B21)^('DCF Model'!C19+3)+'DCF Model'!G45/(1+$B21)^('DCF Model'!C19+4)+('DCF Model'!G39+'DCF Model'!G42)*C$17/(1+$B21)^('DCF Model'!C19+4)-'DCF Model'!C16)*1000000/'DCF Model'!C15,0),"")</f>
        <v>42695</v>
      </c>
      <c r="D21" s="37">
        <f>IFERROR(ROUND(('DCF Model'!C45/(1+$B21)^('DCF Model'!C19+0)+'DCF Model'!D45/(1+$B21)^('DCF Model'!C19+1)+'DCF Model'!E45/(1+$B21)^('DCF Model'!C19+2)+'DCF Model'!F45/(1+$B21)^('DCF Model'!C19+3)+'DCF Model'!G45/(1+$B21)^('DCF Model'!C19+4)+('DCF Model'!G39+'DCF Model'!G42)*D$17/(1+$B21)^('DCF Model'!C19+4)-'DCF Model'!C16)*1000000/'DCF Model'!C15,0),"")</f>
        <v>44804</v>
      </c>
      <c r="E21" s="37">
        <f>IFERROR(ROUND(('DCF Model'!C45/(1+$B21)^('DCF Model'!C19+0)+'DCF Model'!D45/(1+$B21)^('DCF Model'!C19+1)+'DCF Model'!E45/(1+$B21)^('DCF Model'!C19+2)+'DCF Model'!F45/(1+$B21)^('DCF Model'!C19+3)+'DCF Model'!G45/(1+$B21)^('DCF Model'!C19+4)+('DCF Model'!G39+'DCF Model'!G42)*E$17/(1+$B21)^('DCF Model'!C19+4)-'DCF Model'!C16)*1000000/'DCF Model'!C15,0),"")</f>
        <v>46912</v>
      </c>
      <c r="F21" s="37">
        <f>IFERROR(ROUND(('DCF Model'!C45/(1+$B21)^('DCF Model'!C19+0)+'DCF Model'!D45/(1+$B21)^('DCF Model'!C19+1)+'DCF Model'!E45/(1+$B21)^('DCF Model'!C19+2)+'DCF Model'!F45/(1+$B21)^('DCF Model'!C19+3)+'DCF Model'!G45/(1+$B21)^('DCF Model'!C19+4)+('DCF Model'!G39+'DCF Model'!G42)*F$17/(1+$B21)^('DCF Model'!C19+4)-'DCF Model'!C16)*1000000/'DCF Model'!C15,0),"")</f>
        <v>49020</v>
      </c>
      <c r="G21" s="37">
        <f>IFERROR(ROUND(('DCF Model'!C45/(1+$B21)^('DCF Model'!C19+0)+'DCF Model'!D45/(1+$B21)^('DCF Model'!C19+1)+'DCF Model'!E45/(1+$B21)^('DCF Model'!C19+2)+'DCF Model'!F45/(1+$B21)^('DCF Model'!C19+3)+'DCF Model'!G45/(1+$B21)^('DCF Model'!C19+4)+('DCF Model'!G39+'DCF Model'!G42)*G$17/(1+$B21)^('DCF Model'!C19+4)-'DCF Model'!C16)*1000000/'DCF Model'!C15,0),"")</f>
        <v>51128</v>
      </c>
      <c r="H21" s="37">
        <f>IFERROR(ROUND(('DCF Model'!C45/(1+$B21)^('DCF Model'!C19+0)+'DCF Model'!D45/(1+$B21)^('DCF Model'!C19+1)+'DCF Model'!E45/(1+$B21)^('DCF Model'!C19+2)+'DCF Model'!F45/(1+$B21)^('DCF Model'!C19+3)+'DCF Model'!G45/(1+$B21)^('DCF Model'!C19+4)+('DCF Model'!G39+'DCF Model'!G42)*H$17/(1+$B21)^('DCF Model'!C19+4)-'DCF Model'!C16)*1000000/'DCF Model'!C15,0),"")</f>
        <v>53236</v>
      </c>
      <c r="I21" s="37">
        <f>IFERROR(ROUND(('DCF Model'!C45/(1+$B21)^('DCF Model'!C19+0)+'DCF Model'!D45/(1+$B21)^('DCF Model'!C19+1)+'DCF Model'!E45/(1+$B21)^('DCF Model'!C19+2)+'DCF Model'!F45/(1+$B21)^('DCF Model'!C19+3)+'DCF Model'!G45/(1+$B21)^('DCF Model'!C19+4)+('DCF Model'!G39+'DCF Model'!G42)*I$17/(1+$B21)^('DCF Model'!C19+4)-'DCF Model'!C16)*1000000/'DCF Model'!C15,0),"")</f>
        <v>55345</v>
      </c>
    </row>
    <row r="22" spans="2:9" ht="13.5" customHeight="1" x14ac:dyDescent="0.25">
      <c r="B22" s="39">
        <f>$C$3+0.005</f>
        <v>0.10970000000000001</v>
      </c>
      <c r="C22" s="37">
        <f>IFERROR(ROUND(('DCF Model'!C45/(1+$B22)^('DCF Model'!C19+0)+'DCF Model'!D45/(1+$B22)^('DCF Model'!C19+1)+'DCF Model'!E45/(1+$B22)^('DCF Model'!C19+2)+'DCF Model'!F45/(1+$B22)^('DCF Model'!C19+3)+'DCF Model'!G45/(1+$B22)^('DCF Model'!C19+4)+('DCF Model'!G39+'DCF Model'!G42)*C$17/(1+$B22)^('DCF Model'!C19+4)-'DCF Model'!C16)*1000000/'DCF Model'!C15,0),"")</f>
        <v>41870</v>
      </c>
      <c r="D22" s="37">
        <f>IFERROR(ROUND(('DCF Model'!C45/(1+$B22)^('DCF Model'!C19+0)+'DCF Model'!D45/(1+$B22)^('DCF Model'!C19+1)+'DCF Model'!E45/(1+$B22)^('DCF Model'!C19+2)+'DCF Model'!F45/(1+$B22)^('DCF Model'!C19+3)+'DCF Model'!G45/(1+$B22)^('DCF Model'!C19+4)+('DCF Model'!G39+'DCF Model'!G42)*D$17/(1+$B22)^('DCF Model'!C19+4)-'DCF Model'!C16)*1000000/'DCF Model'!C15,0),"")</f>
        <v>43932</v>
      </c>
      <c r="E22" s="37">
        <f>IFERROR(ROUND(('DCF Model'!C45/(1+$B22)^('DCF Model'!C19+0)+'DCF Model'!D45/(1+$B22)^('DCF Model'!C19+1)+'DCF Model'!E45/(1+$B22)^('DCF Model'!C19+2)+'DCF Model'!F45/(1+$B22)^('DCF Model'!C19+3)+'DCF Model'!G45/(1+$B22)^('DCF Model'!C19+4)+('DCF Model'!G39+'DCF Model'!G42)*E$17/(1+$B22)^('DCF Model'!C19+4)-'DCF Model'!C16)*1000000/'DCF Model'!C15,0),"")</f>
        <v>45993</v>
      </c>
      <c r="F22" s="37">
        <f>IFERROR(ROUND(('DCF Model'!C45/(1+$B22)^('DCF Model'!C19+0)+'DCF Model'!D45/(1+$B22)^('DCF Model'!C19+1)+'DCF Model'!E45/(1+$B22)^('DCF Model'!C19+2)+'DCF Model'!F45/(1+$B22)^('DCF Model'!C19+3)+'DCF Model'!G45/(1+$B22)^('DCF Model'!C19+4)+('DCF Model'!G39+'DCF Model'!G42)*F$17/(1+$B22)^('DCF Model'!C19+4)-'DCF Model'!C16)*1000000/'DCF Model'!C15,0),"")</f>
        <v>48054</v>
      </c>
      <c r="G22" s="37">
        <f>IFERROR(ROUND(('DCF Model'!C45/(1+$B22)^('DCF Model'!C19+0)+'DCF Model'!D45/(1+$B22)^('DCF Model'!C19+1)+'DCF Model'!E45/(1+$B22)^('DCF Model'!C19+2)+'DCF Model'!F45/(1+$B22)^('DCF Model'!C19+3)+'DCF Model'!G45/(1+$B22)^('DCF Model'!C19+4)+('DCF Model'!G39+'DCF Model'!G42)*G$17/(1+$B22)^('DCF Model'!C19+4)-'DCF Model'!C16)*1000000/'DCF Model'!C15,0),"")</f>
        <v>50115</v>
      </c>
      <c r="H22" s="37">
        <f>IFERROR(ROUND(('DCF Model'!C45/(1+$B22)^('DCF Model'!C19+0)+'DCF Model'!D45/(1+$B22)^('DCF Model'!C19+1)+'DCF Model'!E45/(1+$B22)^('DCF Model'!C19+2)+'DCF Model'!F45/(1+$B22)^('DCF Model'!C19+3)+'DCF Model'!G45/(1+$B22)^('DCF Model'!C19+4)+('DCF Model'!G39+'DCF Model'!G42)*H$17/(1+$B22)^('DCF Model'!C19+4)-'DCF Model'!C16)*1000000/'DCF Model'!C15,0),"")</f>
        <v>52176</v>
      </c>
      <c r="I22" s="37">
        <f>IFERROR(ROUND(('DCF Model'!C45/(1+$B22)^('DCF Model'!C19+0)+'DCF Model'!D45/(1+$B22)^('DCF Model'!C19+1)+'DCF Model'!E45/(1+$B22)^('DCF Model'!C19+2)+'DCF Model'!F45/(1+$B22)^('DCF Model'!C19+3)+'DCF Model'!G45/(1+$B22)^('DCF Model'!C19+4)+('DCF Model'!G39+'DCF Model'!G42)*I$17/(1+$B22)^('DCF Model'!C19+4)-'DCF Model'!C16)*1000000/'DCF Model'!C15,0),"")</f>
        <v>54237</v>
      </c>
    </row>
    <row r="23" spans="2:9" ht="13.5" customHeight="1" x14ac:dyDescent="0.25">
      <c r="B23" s="39">
        <f>$C$3+0.01</f>
        <v>0.1147</v>
      </c>
      <c r="C23" s="37">
        <f>IFERROR(ROUND(('DCF Model'!C45/(1+$B23)^('DCF Model'!C19+0)+'DCF Model'!D45/(1+$B23)^('DCF Model'!C19+1)+'DCF Model'!E45/(1+$B23)^('DCF Model'!C19+2)+'DCF Model'!F45/(1+$B23)^('DCF Model'!C19+3)+'DCF Model'!G45/(1+$B23)^('DCF Model'!C19+4)+('DCF Model'!G39+'DCF Model'!G42)*C$17/(1+$B23)^('DCF Model'!C19+4)-'DCF Model'!C16)*1000000/'DCF Model'!C15,0),"")</f>
        <v>41067</v>
      </c>
      <c r="D23" s="37">
        <f>IFERROR(ROUND(('DCF Model'!C45/(1+$B23)^('DCF Model'!C19+0)+'DCF Model'!D45/(1+$B23)^('DCF Model'!C19+1)+'DCF Model'!E45/(1+$B23)^('DCF Model'!C19+2)+'DCF Model'!F45/(1+$B23)^('DCF Model'!C19+3)+'DCF Model'!G45/(1+$B23)^('DCF Model'!C19+4)+('DCF Model'!G39+'DCF Model'!G42)*D$17/(1+$B23)^('DCF Model'!C19+4)-'DCF Model'!C16)*1000000/'DCF Model'!C15,0),"")</f>
        <v>43082</v>
      </c>
      <c r="E23" s="37">
        <f>IFERROR(ROUND(('DCF Model'!C45/(1+$B23)^('DCF Model'!C19+0)+'DCF Model'!D45/(1+$B23)^('DCF Model'!C19+1)+'DCF Model'!E45/(1+$B23)^('DCF Model'!C19+2)+'DCF Model'!F45/(1+$B23)^('DCF Model'!C19+3)+'DCF Model'!G45/(1+$B23)^('DCF Model'!C19+4)+('DCF Model'!G39+'DCF Model'!G42)*E$17/(1+$B23)^('DCF Model'!C19+4)-'DCF Model'!C16)*1000000/'DCF Model'!C15,0),"")</f>
        <v>45097</v>
      </c>
      <c r="F23" s="37">
        <f>IFERROR(ROUND(('DCF Model'!C45/(1+$B23)^('DCF Model'!C19+0)+'DCF Model'!D45/(1+$B23)^('DCF Model'!C19+1)+'DCF Model'!E45/(1+$B23)^('DCF Model'!C19+2)+'DCF Model'!F45/(1+$B23)^('DCF Model'!C19+3)+'DCF Model'!G45/(1+$B23)^('DCF Model'!C19+4)+('DCF Model'!G39+'DCF Model'!G42)*F$17/(1+$B23)^('DCF Model'!C19+4)-'DCF Model'!C16)*1000000/'DCF Model'!C15,0),"")</f>
        <v>47113</v>
      </c>
      <c r="G23" s="37">
        <f>IFERROR(ROUND(('DCF Model'!C45/(1+$B23)^('DCF Model'!C19+0)+'DCF Model'!D45/(1+$B23)^('DCF Model'!C19+1)+'DCF Model'!E45/(1+$B23)^('DCF Model'!C19+2)+'DCF Model'!F45/(1+$B23)^('DCF Model'!C19+3)+'DCF Model'!G45/(1+$B23)^('DCF Model'!C19+4)+('DCF Model'!G39+'DCF Model'!G42)*G$17/(1+$B23)^('DCF Model'!C19+4)-'DCF Model'!C16)*1000000/'DCF Model'!C15,0),"")</f>
        <v>49128</v>
      </c>
      <c r="H23" s="37">
        <f>IFERROR(ROUND(('DCF Model'!C45/(1+$B23)^('DCF Model'!C19+0)+'DCF Model'!D45/(1+$B23)^('DCF Model'!C19+1)+'DCF Model'!E45/(1+$B23)^('DCF Model'!C19+2)+'DCF Model'!F45/(1+$B23)^('DCF Model'!C19+3)+'DCF Model'!G45/(1+$B23)^('DCF Model'!C19+4)+('DCF Model'!G39+'DCF Model'!G42)*H$17/(1+$B23)^('DCF Model'!C19+4)-'DCF Model'!C16)*1000000/'DCF Model'!C15,0),"")</f>
        <v>51143</v>
      </c>
      <c r="I23" s="37">
        <f>IFERROR(ROUND(('DCF Model'!C45/(1+$B23)^('DCF Model'!C19+0)+'DCF Model'!D45/(1+$B23)^('DCF Model'!C19+1)+'DCF Model'!E45/(1+$B23)^('DCF Model'!C19+2)+'DCF Model'!F45/(1+$B23)^('DCF Model'!C19+3)+'DCF Model'!G45/(1+$B23)^('DCF Model'!C19+4)+('DCF Model'!G39+'DCF Model'!G42)*I$17/(1+$B23)^('DCF Model'!C19+4)-'DCF Model'!C16)*1000000/'DCF Model'!C15,0),"")</f>
        <v>53159</v>
      </c>
    </row>
    <row r="24" spans="2:9" ht="13.5" customHeight="1" x14ac:dyDescent="0.25">
      <c r="B24" s="39">
        <f>$C$3+0.015</f>
        <v>0.1197</v>
      </c>
      <c r="C24" s="37">
        <f>IFERROR(ROUND(('DCF Model'!C45/(1+$B24)^('DCF Model'!C19+0)+'DCF Model'!D45/(1+$B24)^('DCF Model'!C19+1)+'DCF Model'!E45/(1+$B24)^('DCF Model'!C19+2)+'DCF Model'!F45/(1+$B24)^('DCF Model'!C19+3)+'DCF Model'!G45/(1+$B24)^('DCF Model'!C19+4)+('DCF Model'!G39+'DCF Model'!G42)*C$17/(1+$B24)^('DCF Model'!C19+4)-'DCF Model'!C16)*1000000/'DCF Model'!C15,0),"")</f>
        <v>40284</v>
      </c>
      <c r="D24" s="37">
        <f>IFERROR(ROUND(('DCF Model'!C45/(1+$B24)^('DCF Model'!C19+0)+'DCF Model'!D45/(1+$B24)^('DCF Model'!C19+1)+'DCF Model'!E45/(1+$B24)^('DCF Model'!C19+2)+'DCF Model'!F45/(1+$B24)^('DCF Model'!C19+3)+'DCF Model'!G45/(1+$B24)^('DCF Model'!C19+4)+('DCF Model'!G39+'DCF Model'!G42)*D$17/(1+$B24)^('DCF Model'!C19+4)-'DCF Model'!C16)*1000000/'DCF Model'!C15,0),"")</f>
        <v>42255</v>
      </c>
      <c r="E24" s="37">
        <f>IFERROR(ROUND(('DCF Model'!C45/(1+$B24)^('DCF Model'!C19+0)+'DCF Model'!D45/(1+$B24)^('DCF Model'!C19+1)+'DCF Model'!E45/(1+$B24)^('DCF Model'!C19+2)+'DCF Model'!F45/(1+$B24)^('DCF Model'!C19+3)+'DCF Model'!G45/(1+$B24)^('DCF Model'!C19+4)+('DCF Model'!G39+'DCF Model'!G42)*E$17/(1+$B24)^('DCF Model'!C19+4)-'DCF Model'!C16)*1000000/'DCF Model'!C15,0),"")</f>
        <v>44225</v>
      </c>
      <c r="F24" s="37">
        <f>IFERROR(ROUND(('DCF Model'!C45/(1+$B24)^('DCF Model'!C19+0)+'DCF Model'!D45/(1+$B24)^('DCF Model'!C19+1)+'DCF Model'!E45/(1+$B24)^('DCF Model'!C19+2)+'DCF Model'!F45/(1+$B24)^('DCF Model'!C19+3)+'DCF Model'!G45/(1+$B24)^('DCF Model'!C19+4)+('DCF Model'!G39+'DCF Model'!G42)*F$17/(1+$B24)^('DCF Model'!C19+4)-'DCF Model'!C16)*1000000/'DCF Model'!C15,0),"")</f>
        <v>46196</v>
      </c>
      <c r="G24" s="37">
        <f>IFERROR(ROUND(('DCF Model'!C45/(1+$B24)^('DCF Model'!C19+0)+'DCF Model'!D45/(1+$B24)^('DCF Model'!C19+1)+'DCF Model'!E45/(1+$B24)^('DCF Model'!C19+2)+'DCF Model'!F45/(1+$B24)^('DCF Model'!C19+3)+'DCF Model'!G45/(1+$B24)^('DCF Model'!C19+4)+('DCF Model'!G39+'DCF Model'!G42)*G$17/(1+$B24)^('DCF Model'!C19+4)-'DCF Model'!C16)*1000000/'DCF Model'!C15,0),"")</f>
        <v>48167</v>
      </c>
      <c r="H24" s="37">
        <f>IFERROR(ROUND(('DCF Model'!C45/(1+$B24)^('DCF Model'!C19+0)+'DCF Model'!D45/(1+$B24)^('DCF Model'!C19+1)+'DCF Model'!E45/(1+$B24)^('DCF Model'!C19+2)+'DCF Model'!F45/(1+$B24)^('DCF Model'!C19+3)+'DCF Model'!G45/(1+$B24)^('DCF Model'!C19+4)+('DCF Model'!G39+'DCF Model'!G42)*H$17/(1+$B24)^('DCF Model'!C19+4)-'DCF Model'!C16)*1000000/'DCF Model'!C15,0),"")</f>
        <v>50137</v>
      </c>
      <c r="I24" s="37">
        <f>IFERROR(ROUND(('DCF Model'!C45/(1+$B24)^('DCF Model'!C19+0)+'DCF Model'!D45/(1+$B24)^('DCF Model'!C19+1)+'DCF Model'!E45/(1+$B24)^('DCF Model'!C19+2)+'DCF Model'!F45/(1+$B24)^('DCF Model'!C19+3)+'DCF Model'!G45/(1+$B24)^('DCF Model'!C19+4)+('DCF Model'!G39+'DCF Model'!G42)*I$17/(1+$B24)^('DCF Model'!C19+4)-'DCF Model'!C16)*1000000/'DCF Model'!C15,0),"")</f>
        <v>52108</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246</v>
      </c>
      <c r="C6" s="4" t="s">
        <v>251</v>
      </c>
      <c r="D6" s="43" t="s">
        <v>252</v>
      </c>
      <c r="E6" s="43" t="s">
        <v>253</v>
      </c>
      <c r="F6" s="43" t="s">
        <v>254</v>
      </c>
      <c r="G6" s="43" t="s">
        <v>255</v>
      </c>
    </row>
    <row r="7" spans="2:7" ht="30" customHeight="1" x14ac:dyDescent="0.3">
      <c r="B7" s="43" t="s">
        <v>246</v>
      </c>
      <c r="C7" s="4" t="s">
        <v>256</v>
      </c>
      <c r="D7" s="43" t="s">
        <v>257</v>
      </c>
      <c r="E7" s="43" t="s">
        <v>258</v>
      </c>
      <c r="F7" s="43" t="s">
        <v>259</v>
      </c>
      <c r="G7" s="43" t="s">
        <v>260</v>
      </c>
    </row>
    <row r="8" spans="2:7" ht="30" customHeight="1" x14ac:dyDescent="0.3">
      <c r="B8" s="43" t="s">
        <v>246</v>
      </c>
      <c r="C8" s="4" t="s">
        <v>261</v>
      </c>
      <c r="D8" s="43" t="s">
        <v>262</v>
      </c>
      <c r="E8" s="43" t="s">
        <v>263</v>
      </c>
      <c r="F8" s="43" t="s">
        <v>264</v>
      </c>
      <c r="G8" s="43" t="s">
        <v>260</v>
      </c>
    </row>
    <row r="9" spans="2:7" ht="30" customHeight="1" x14ac:dyDescent="0.3">
      <c r="B9" s="43" t="s">
        <v>246</v>
      </c>
      <c r="C9" s="4" t="s">
        <v>265</v>
      </c>
      <c r="D9" s="43" t="s">
        <v>266</v>
      </c>
      <c r="E9" s="43" t="s">
        <v>267</v>
      </c>
      <c r="F9" s="43" t="s">
        <v>268</v>
      </c>
      <c r="G9" s="43" t="s">
        <v>255</v>
      </c>
    </row>
    <row r="10" spans="2:7" ht="30" customHeight="1" x14ac:dyDescent="0.3">
      <c r="B10" s="43" t="s">
        <v>246</v>
      </c>
      <c r="C10" s="4" t="s">
        <v>269</v>
      </c>
      <c r="D10" s="43" t="s">
        <v>270</v>
      </c>
      <c r="E10" s="43" t="s">
        <v>271</v>
      </c>
      <c r="F10" s="43" t="s">
        <v>272</v>
      </c>
      <c r="G10" s="43" t="s">
        <v>273</v>
      </c>
    </row>
    <row r="11" spans="2:7" ht="30" customHeight="1" x14ac:dyDescent="0.3">
      <c r="B11" s="43" t="s">
        <v>246</v>
      </c>
      <c r="C11" s="4" t="s">
        <v>274</v>
      </c>
      <c r="D11" s="43" t="s">
        <v>275</v>
      </c>
      <c r="E11" s="43" t="s">
        <v>276</v>
      </c>
      <c r="F11" s="43" t="s">
        <v>277</v>
      </c>
      <c r="G11" s="43" t="s">
        <v>260</v>
      </c>
    </row>
    <row r="12" spans="2:7" ht="30" customHeight="1" x14ac:dyDescent="0.3">
      <c r="B12" s="43" t="s">
        <v>246</v>
      </c>
      <c r="C12" s="4" t="s">
        <v>278</v>
      </c>
      <c r="D12" s="43" t="s">
        <v>279</v>
      </c>
      <c r="E12" s="43" t="s">
        <v>280</v>
      </c>
      <c r="F12" s="43" t="s">
        <v>281</v>
      </c>
      <c r="G12" s="43" t="s">
        <v>260</v>
      </c>
    </row>
    <row r="13" spans="2:7" ht="30" customHeight="1" x14ac:dyDescent="0.3">
      <c r="B13" s="43" t="s">
        <v>246</v>
      </c>
      <c r="C13" s="4" t="s">
        <v>282</v>
      </c>
      <c r="D13" s="43" t="s">
        <v>283</v>
      </c>
      <c r="E13" s="43" t="s">
        <v>284</v>
      </c>
      <c r="F13" s="43" t="s">
        <v>285</v>
      </c>
      <c r="G13" s="43" t="s">
        <v>260</v>
      </c>
    </row>
    <row r="14" spans="2:7" ht="30" customHeight="1" x14ac:dyDescent="0.3">
      <c r="B14" s="43" t="s">
        <v>246</v>
      </c>
      <c r="C14" s="4" t="s">
        <v>286</v>
      </c>
      <c r="D14" s="43" t="s">
        <v>287</v>
      </c>
      <c r="E14" s="43" t="s">
        <v>288</v>
      </c>
      <c r="F14" s="43" t="s">
        <v>247</v>
      </c>
      <c r="G14" s="43" t="s">
        <v>260</v>
      </c>
    </row>
    <row r="15" spans="2:7" ht="30" customHeight="1" x14ac:dyDescent="0.3">
      <c r="B15" s="43" t="s">
        <v>246</v>
      </c>
      <c r="C15" s="4" t="s">
        <v>289</v>
      </c>
      <c r="D15" s="43" t="s">
        <v>290</v>
      </c>
      <c r="E15" s="43" t="s">
        <v>291</v>
      </c>
      <c r="F15" s="43" t="s">
        <v>292</v>
      </c>
      <c r="G15" s="43" t="s">
        <v>260</v>
      </c>
    </row>
    <row r="16" spans="2:7" ht="30" customHeight="1" x14ac:dyDescent="0.3">
      <c r="B16" s="43" t="s">
        <v>246</v>
      </c>
      <c r="C16" s="4" t="s">
        <v>293</v>
      </c>
      <c r="D16" s="43" t="s">
        <v>294</v>
      </c>
      <c r="E16" s="43" t="s">
        <v>295</v>
      </c>
      <c r="F16" s="43" t="s">
        <v>296</v>
      </c>
      <c r="G16" s="43" t="s">
        <v>260</v>
      </c>
    </row>
    <row r="17" spans="2:7" ht="30" customHeight="1" x14ac:dyDescent="0.3">
      <c r="B17" s="43" t="s">
        <v>246</v>
      </c>
      <c r="C17" s="4" t="s">
        <v>297</v>
      </c>
      <c r="D17" s="43" t="s">
        <v>298</v>
      </c>
      <c r="E17" s="43" t="s">
        <v>299</v>
      </c>
      <c r="F17" s="43" t="s">
        <v>264</v>
      </c>
      <c r="G17" s="43" t="s">
        <v>260</v>
      </c>
    </row>
    <row r="18" spans="2:7" ht="30" customHeight="1" x14ac:dyDescent="0.3">
      <c r="B18" s="43" t="s">
        <v>246</v>
      </c>
      <c r="C18" s="4" t="s">
        <v>300</v>
      </c>
      <c r="D18" s="43" t="s">
        <v>301</v>
      </c>
      <c r="E18" s="43" t="s">
        <v>302</v>
      </c>
      <c r="F18" s="43" t="s">
        <v>303</v>
      </c>
      <c r="G18" s="43" t="s">
        <v>260</v>
      </c>
    </row>
    <row r="19" spans="2:7" ht="30" customHeight="1" x14ac:dyDescent="0.3">
      <c r="B19" s="43" t="s">
        <v>246</v>
      </c>
      <c r="C19" s="4" t="s">
        <v>304</v>
      </c>
      <c r="D19" s="43" t="s">
        <v>305</v>
      </c>
      <c r="E19" s="43" t="s">
        <v>306</v>
      </c>
      <c r="F19" s="43" t="s">
        <v>247</v>
      </c>
      <c r="G19" s="43" t="s">
        <v>307</v>
      </c>
    </row>
    <row r="20" spans="2:7" ht="30" customHeight="1" x14ac:dyDescent="0.3">
      <c r="B20" s="43" t="s">
        <v>246</v>
      </c>
      <c r="C20" s="4" t="s">
        <v>308</v>
      </c>
      <c r="D20" s="43" t="s">
        <v>309</v>
      </c>
      <c r="E20" s="43" t="s">
        <v>310</v>
      </c>
      <c r="F20" s="43" t="s">
        <v>264</v>
      </c>
      <c r="G20" s="43" t="s">
        <v>260</v>
      </c>
    </row>
    <row r="21" spans="2:7" ht="30" customHeight="1" x14ac:dyDescent="0.3">
      <c r="B21" s="43" t="s">
        <v>246</v>
      </c>
      <c r="C21" s="4" t="s">
        <v>311</v>
      </c>
      <c r="D21" s="43" t="s">
        <v>312</v>
      </c>
      <c r="E21" s="43" t="s">
        <v>313</v>
      </c>
      <c r="F21" s="43" t="s">
        <v>247</v>
      </c>
      <c r="G21" s="43" t="s">
        <v>260</v>
      </c>
    </row>
    <row r="22" spans="2:7" ht="30" customHeight="1" x14ac:dyDescent="0.3">
      <c r="B22" s="43" t="s">
        <v>246</v>
      </c>
      <c r="C22" s="4" t="s">
        <v>314</v>
      </c>
      <c r="D22" s="43" t="s">
        <v>315</v>
      </c>
      <c r="E22" s="43" t="s">
        <v>316</v>
      </c>
      <c r="F22" s="43" t="s">
        <v>247</v>
      </c>
      <c r="G22" s="43" t="s">
        <v>255</v>
      </c>
    </row>
    <row r="23" spans="2:7" ht="30" customHeight="1" x14ac:dyDescent="0.3">
      <c r="B23" s="43" t="s">
        <v>246</v>
      </c>
      <c r="C23" s="4" t="s">
        <v>317</v>
      </c>
      <c r="D23" s="43" t="s">
        <v>318</v>
      </c>
      <c r="E23" s="43" t="s">
        <v>319</v>
      </c>
      <c r="F23" s="43" t="s">
        <v>247</v>
      </c>
      <c r="G23" s="43" t="s">
        <v>320</v>
      </c>
    </row>
    <row r="24" spans="2:7" ht="30" customHeight="1" x14ac:dyDescent="0.3">
      <c r="B24" s="43" t="s">
        <v>246</v>
      </c>
      <c r="C24" s="4" t="s">
        <v>321</v>
      </c>
      <c r="D24" s="43" t="s">
        <v>322</v>
      </c>
      <c r="E24" s="43" t="s">
        <v>323</v>
      </c>
      <c r="F24" s="43" t="s">
        <v>247</v>
      </c>
      <c r="G24" s="43" t="s">
        <v>324</v>
      </c>
    </row>
    <row r="25" spans="2:7" ht="30" customHeight="1" x14ac:dyDescent="0.3">
      <c r="B25" s="43" t="s">
        <v>246</v>
      </c>
      <c r="C25" s="4" t="s">
        <v>321</v>
      </c>
      <c r="D25" s="43" t="s">
        <v>325</v>
      </c>
      <c r="E25" s="43" t="s">
        <v>326</v>
      </c>
      <c r="F25" s="43" t="s">
        <v>247</v>
      </c>
      <c r="G25" s="43" t="s">
        <v>324</v>
      </c>
    </row>
    <row r="26" spans="2:7" ht="30" customHeight="1" x14ac:dyDescent="0.3">
      <c r="B26" s="43" t="s">
        <v>246</v>
      </c>
      <c r="C26" s="4" t="s">
        <v>321</v>
      </c>
      <c r="D26" s="43" t="s">
        <v>327</v>
      </c>
      <c r="E26" s="43" t="s">
        <v>328</v>
      </c>
      <c r="F26" s="43" t="s">
        <v>247</v>
      </c>
      <c r="G26" s="43" t="s">
        <v>324</v>
      </c>
    </row>
    <row r="27" spans="2:7" ht="14" customHeight="1" x14ac:dyDescent="0.2"/>
    <row r="28" spans="2:7" ht="14" customHeight="1" x14ac:dyDescent="0.3">
      <c r="B28" s="8" t="s">
        <v>329</v>
      </c>
    </row>
    <row r="29" spans="2:7" ht="14" customHeight="1" x14ac:dyDescent="0.3">
      <c r="B29" s="10" t="s">
        <v>330</v>
      </c>
      <c r="C29" s="10" t="s">
        <v>331</v>
      </c>
    </row>
    <row r="30" spans="2:7" ht="14" customHeight="1" x14ac:dyDescent="0.3">
      <c r="B30" s="4" t="s">
        <v>332</v>
      </c>
      <c r="C30" t="s">
        <v>333</v>
      </c>
    </row>
    <row r="31" spans="2:7" ht="14" customHeight="1" x14ac:dyDescent="0.3">
      <c r="B31" s="4" t="s">
        <v>334</v>
      </c>
      <c r="C31" t="s">
        <v>335</v>
      </c>
    </row>
    <row r="32" spans="2:7" ht="14" customHeight="1" x14ac:dyDescent="0.3">
      <c r="B32" s="4" t="s">
        <v>336</v>
      </c>
      <c r="C32" t="s">
        <v>337</v>
      </c>
    </row>
    <row r="33" spans="2:3" ht="14" customHeight="1" x14ac:dyDescent="0.3">
      <c r="B33" s="4" t="s">
        <v>338</v>
      </c>
      <c r="C33" t="s">
        <v>339</v>
      </c>
    </row>
    <row r="34" spans="2:3" ht="14" customHeight="1" x14ac:dyDescent="0.3">
      <c r="B34" s="4" t="s">
        <v>340</v>
      </c>
      <c r="C34" t="s">
        <v>4</v>
      </c>
    </row>
    <row r="35" spans="2:3" ht="14" customHeight="1" x14ac:dyDescent="0.3">
      <c r="B35" s="4" t="s">
        <v>341</v>
      </c>
      <c r="C35" t="s">
        <v>246</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347</v>
      </c>
    </row>
    <row r="42" spans="2:3" ht="14" customHeight="1" x14ac:dyDescent="0.3">
      <c r="B42" s="4" t="s">
        <v>353</v>
      </c>
      <c r="C42" t="s">
        <v>343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335</v>
      </c>
    </row>
    <row r="47" spans="2:3" ht="14" x14ac:dyDescent="0.3">
      <c r="B47" s="4" t="s">
        <v>361</v>
      </c>
      <c r="C47" t="s">
        <v>335</v>
      </c>
    </row>
    <row r="48" spans="2:3" ht="14" x14ac:dyDescent="0.3">
      <c r="B48" s="4" t="s">
        <v>362</v>
      </c>
      <c r="C48" t="s">
        <v>363</v>
      </c>
    </row>
    <row r="49" spans="2:3" ht="14" x14ac:dyDescent="0.3">
      <c r="B49" s="4" t="s">
        <v>364</v>
      </c>
      <c r="C49" t="s">
        <v>365</v>
      </c>
    </row>
    <row r="50" spans="2:3" ht="14" x14ac:dyDescent="0.3">
      <c r="B50" s="4" t="s">
        <v>366</v>
      </c>
      <c r="C50" t="s">
        <v>367</v>
      </c>
    </row>
    <row r="51" spans="2:3" ht="14" x14ac:dyDescent="0.3">
      <c r="B51" s="4" t="s">
        <v>368</v>
      </c>
      <c r="C51" t="s">
        <v>369</v>
      </c>
    </row>
    <row r="52" spans="2:3" ht="14" x14ac:dyDescent="0.3">
      <c r="B52" s="4" t="s">
        <v>370</v>
      </c>
      <c r="C52" t="s">
        <v>371</v>
      </c>
    </row>
    <row r="53" spans="2:3" ht="14" x14ac:dyDescent="0.3">
      <c r="B53" s="4" t="s">
        <v>372</v>
      </c>
      <c r="C53" t="s">
        <v>373</v>
      </c>
    </row>
    <row r="54" spans="2:3" ht="14" x14ac:dyDescent="0.3">
      <c r="B54" s="4" t="s">
        <v>374</v>
      </c>
      <c r="C54" t="s">
        <v>375</v>
      </c>
    </row>
    <row r="55" spans="2:3" ht="14" x14ac:dyDescent="0.3">
      <c r="B55" s="4" t="s">
        <v>376</v>
      </c>
      <c r="C55" t="s">
        <v>377</v>
      </c>
    </row>
    <row r="56" spans="2:3" ht="14" x14ac:dyDescent="0.3">
      <c r="B56" s="4" t="s">
        <v>378</v>
      </c>
      <c r="C56" t="s">
        <v>379</v>
      </c>
    </row>
    <row r="57" spans="2:3" ht="14" x14ac:dyDescent="0.3">
      <c r="B57" s="4" t="s">
        <v>380</v>
      </c>
      <c r="C57" t="s">
        <v>381</v>
      </c>
    </row>
    <row r="58" spans="2:3" ht="14" x14ac:dyDescent="0.3">
      <c r="B58" s="4" t="s">
        <v>382</v>
      </c>
      <c r="C58" t="s">
        <v>383</v>
      </c>
    </row>
    <row r="59" spans="2:3" ht="14" x14ac:dyDescent="0.3">
      <c r="B59" s="4" t="s">
        <v>384</v>
      </c>
      <c r="C59" t="s">
        <v>385</v>
      </c>
    </row>
    <row r="60" spans="2:3" ht="14" x14ac:dyDescent="0.3">
      <c r="B60" s="4" t="s">
        <v>386</v>
      </c>
      <c r="C60" t="s">
        <v>387</v>
      </c>
    </row>
    <row r="61" spans="2:3" ht="14" x14ac:dyDescent="0.3">
      <c r="B61" s="4" t="s">
        <v>388</v>
      </c>
      <c r="C61" t="s">
        <v>389</v>
      </c>
    </row>
    <row r="62" spans="2:3" ht="14" x14ac:dyDescent="0.3">
      <c r="B62" s="4" t="s">
        <v>390</v>
      </c>
      <c r="C62"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2026-09-05T08:55:44Z</dcterms:created>
  <dcterms:modified xsi:type="dcterms:W3CDTF">2026-09-05T09:10:17Z</dcterms:modified>
</cp:coreProperties>
</file>