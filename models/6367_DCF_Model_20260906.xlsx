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94FBE44-F525-4457-A405-E0C3A4159ECF}"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F6" i="7" l="1"/>
  <c r="I3" i="7"/>
  <c r="I17" i="7" s="1"/>
  <c r="F3" i="7"/>
  <c r="C6" i="7" s="1"/>
  <c r="O10" i="6"/>
  <c r="N10" i="6"/>
  <c r="M10" i="6"/>
  <c r="L10" i="6"/>
  <c r="K10" i="6"/>
  <c r="J10" i="6"/>
  <c r="O9" i="6"/>
  <c r="N9" i="6"/>
  <c r="M9" i="6"/>
  <c r="L9" i="6"/>
  <c r="K9" i="6"/>
  <c r="J9" i="6"/>
  <c r="O8" i="6"/>
  <c r="N8" i="6"/>
  <c r="M8" i="6"/>
  <c r="L8" i="6"/>
  <c r="K8" i="6"/>
  <c r="J8" i="6"/>
  <c r="O7" i="6"/>
  <c r="N7" i="6"/>
  <c r="M7" i="6"/>
  <c r="L7" i="6"/>
  <c r="K7" i="6"/>
  <c r="E15" i="6" s="1"/>
  <c r="J7" i="6"/>
  <c r="O6" i="6"/>
  <c r="I15" i="6" s="1"/>
  <c r="N6" i="6"/>
  <c r="H15" i="6" s="1"/>
  <c r="M6" i="6"/>
  <c r="L6" i="6"/>
  <c r="K6" i="6"/>
  <c r="J6" i="6"/>
  <c r="O5" i="6"/>
  <c r="N5" i="6"/>
  <c r="D5" i="6"/>
  <c r="M5" i="6" s="1"/>
  <c r="C16" i="5"/>
  <c r="C14" i="5"/>
  <c r="C18" i="5" s="1"/>
  <c r="C7" i="5"/>
  <c r="C6" i="5"/>
  <c r="C5" i="5"/>
  <c r="C13" i="4"/>
  <c r="C12" i="4"/>
  <c r="C9" i="4"/>
  <c r="C7" i="4"/>
  <c r="C6" i="4"/>
  <c r="C8" i="4" s="1"/>
  <c r="C10" i="4" s="1"/>
  <c r="G32" i="3"/>
  <c r="G31" i="3"/>
  <c r="D31" i="3"/>
  <c r="E30" i="3"/>
  <c r="D30" i="3"/>
  <c r="D27" i="3"/>
  <c r="G5" i="5" s="1"/>
  <c r="C26" i="3"/>
  <c r="C25" i="3"/>
  <c r="C24" i="3"/>
  <c r="C23" i="3"/>
  <c r="F28" i="2"/>
  <c r="E28" i="2"/>
  <c r="D28" i="2"/>
  <c r="C28" i="2"/>
  <c r="F23" i="2"/>
  <c r="E23" i="2"/>
  <c r="D23" i="2"/>
  <c r="C23" i="2"/>
  <c r="D22" i="2"/>
  <c r="C22" i="2"/>
  <c r="F21" i="2"/>
  <c r="F22" i="2" s="1"/>
  <c r="E21" i="2"/>
  <c r="E22" i="2" s="1"/>
  <c r="D21" i="2"/>
  <c r="C21" i="2"/>
  <c r="F16" i="2"/>
  <c r="E16" i="2"/>
  <c r="D16" i="2"/>
  <c r="F15" i="2"/>
  <c r="E15" i="2"/>
  <c r="D15" i="2"/>
  <c r="F14" i="2"/>
  <c r="E14" i="2"/>
  <c r="D14" i="2"/>
  <c r="C14" i="2"/>
  <c r="F13" i="2"/>
  <c r="E13" i="2"/>
  <c r="D13" i="2"/>
  <c r="C13" i="2"/>
  <c r="F8" i="2"/>
  <c r="F9" i="2" s="1"/>
  <c r="E8" i="2"/>
  <c r="E9" i="2" s="1"/>
  <c r="D8" i="2"/>
  <c r="D9" i="2" s="1"/>
  <c r="C8" i="2"/>
  <c r="C9" i="2" s="1"/>
  <c r="H6" i="7" l="1"/>
  <c r="L5" i="6"/>
  <c r="B30" i="1" s="1"/>
  <c r="G15" i="6"/>
  <c r="D17" i="6"/>
  <c r="F15" i="6"/>
  <c r="D6" i="7"/>
  <c r="E16" i="6"/>
  <c r="I16" i="6"/>
  <c r="E6" i="7"/>
  <c r="G17" i="6"/>
  <c r="G6" i="7"/>
  <c r="C3" i="7"/>
  <c r="G36" i="4"/>
  <c r="C11" i="4"/>
  <c r="G46" i="3"/>
  <c r="B31" i="1"/>
  <c r="F46" i="3"/>
  <c r="E46" i="3"/>
  <c r="E36" i="4"/>
  <c r="D36" i="4"/>
  <c r="D46" i="3"/>
  <c r="C46" i="3"/>
  <c r="B25" i="1"/>
  <c r="H36" i="4"/>
  <c r="F36" i="4"/>
  <c r="C24" i="4"/>
  <c r="C25" i="4" s="1"/>
  <c r="C71" i="4"/>
  <c r="C70" i="4"/>
  <c r="F5" i="5"/>
  <c r="E5" i="6"/>
  <c r="C31" i="3"/>
  <c r="F32" i="3"/>
  <c r="H5" i="5"/>
  <c r="D7" i="5"/>
  <c r="E17" i="6"/>
  <c r="I6" i="7"/>
  <c r="E7" i="5"/>
  <c r="D16" i="6"/>
  <c r="F17" i="6"/>
  <c r="C17" i="7"/>
  <c r="E31" i="3"/>
  <c r="D6" i="5"/>
  <c r="F7" i="5"/>
  <c r="D17" i="7"/>
  <c r="C30" i="3"/>
  <c r="C33" i="3" s="1"/>
  <c r="F31" i="3"/>
  <c r="E6" i="5"/>
  <c r="G7" i="5"/>
  <c r="D15" i="6"/>
  <c r="F16" i="6"/>
  <c r="C28" i="6" s="1"/>
  <c r="C19" i="1" s="1"/>
  <c r="D19" i="1" s="1"/>
  <c r="H17" i="6"/>
  <c r="E17" i="7"/>
  <c r="D5" i="5"/>
  <c r="F6" i="5"/>
  <c r="H7" i="5"/>
  <c r="G16" i="6"/>
  <c r="I17" i="6"/>
  <c r="F17" i="7"/>
  <c r="E5" i="5"/>
  <c r="G6" i="5"/>
  <c r="H16" i="6"/>
  <c r="G17" i="7"/>
  <c r="C32" i="3"/>
  <c r="F30" i="3"/>
  <c r="H6" i="5"/>
  <c r="H17" i="7"/>
  <c r="D32" i="3"/>
  <c r="G30" i="3"/>
  <c r="E32" i="3"/>
  <c r="B24" i="1" l="1"/>
  <c r="E39" i="4"/>
  <c r="E43" i="4"/>
  <c r="E46" i="4"/>
  <c r="E40" i="4"/>
  <c r="E44" i="4"/>
  <c r="E38" i="4"/>
  <c r="E45" i="4"/>
  <c r="E41" i="4"/>
  <c r="E51" i="4" s="1"/>
  <c r="E56" i="4" s="1"/>
  <c r="H40" i="4"/>
  <c r="H38" i="4"/>
  <c r="H41" i="4"/>
  <c r="H45" i="4"/>
  <c r="H39" i="4"/>
  <c r="H43" i="4"/>
  <c r="H46" i="4"/>
  <c r="H44" i="4"/>
  <c r="F43" i="4"/>
  <c r="F46" i="4"/>
  <c r="F40" i="4"/>
  <c r="F44" i="4"/>
  <c r="F38" i="4"/>
  <c r="F41" i="4"/>
  <c r="F45" i="4"/>
  <c r="F39" i="4"/>
  <c r="F49" i="4" s="1"/>
  <c r="C29" i="4"/>
  <c r="C26" i="4"/>
  <c r="C27" i="4"/>
  <c r="C27" i="6"/>
  <c r="C18" i="1" s="1"/>
  <c r="D18" i="1" s="1"/>
  <c r="C74" i="4"/>
  <c r="J5" i="6"/>
  <c r="K5" i="6"/>
  <c r="G46" i="4"/>
  <c r="G40" i="4"/>
  <c r="G44" i="4"/>
  <c r="G38" i="4"/>
  <c r="G41" i="4"/>
  <c r="G45" i="4"/>
  <c r="G43" i="4"/>
  <c r="G39" i="4"/>
  <c r="C42" i="3"/>
  <c r="C34" i="3"/>
  <c r="D10" i="5" s="1"/>
  <c r="C37" i="3"/>
  <c r="D9" i="5"/>
  <c r="D12" i="5" s="1"/>
  <c r="C43" i="3"/>
  <c r="D33" i="3"/>
  <c r="D45" i="4"/>
  <c r="D39" i="4"/>
  <c r="D43" i="4"/>
  <c r="D46" i="4"/>
  <c r="D40" i="4"/>
  <c r="D50" i="4" s="1"/>
  <c r="D55" i="4" s="1"/>
  <c r="D44" i="4"/>
  <c r="D41" i="4"/>
  <c r="D38" i="4"/>
  <c r="B13" i="7"/>
  <c r="B12" i="7"/>
  <c r="B11" i="7"/>
  <c r="B10" i="7"/>
  <c r="B9" i="7"/>
  <c r="B8" i="7"/>
  <c r="B7" i="7"/>
  <c r="B24" i="7"/>
  <c r="B23" i="7"/>
  <c r="B22" i="7"/>
  <c r="B21" i="7"/>
  <c r="B20" i="7"/>
  <c r="B19" i="7"/>
  <c r="B18" i="7"/>
  <c r="F51" i="4" l="1"/>
  <c r="F56" i="4" s="1"/>
  <c r="E48" i="4"/>
  <c r="E53" i="4" s="1"/>
  <c r="F48" i="4"/>
  <c r="F53" i="4" s="1"/>
  <c r="D51" i="4"/>
  <c r="D56" i="4" s="1"/>
  <c r="G51" i="4"/>
  <c r="G56" i="4" s="1"/>
  <c r="G48" i="4"/>
  <c r="G53" i="4" s="1"/>
  <c r="D37" i="3"/>
  <c r="E9" i="5"/>
  <c r="E12" i="5" s="1"/>
  <c r="D43" i="3"/>
  <c r="D42" i="3"/>
  <c r="D34" i="3"/>
  <c r="E10" i="5" s="1"/>
  <c r="E33" i="3"/>
  <c r="H49" i="4"/>
  <c r="H54" i="4" s="1"/>
  <c r="D15" i="5"/>
  <c r="D16" i="5" s="1"/>
  <c r="D13" i="5"/>
  <c r="D14" i="5" s="1"/>
  <c r="D18" i="5" s="1"/>
  <c r="D19" i="5" s="1"/>
  <c r="C44" i="3" s="1"/>
  <c r="G50" i="4"/>
  <c r="G55" i="4" s="1"/>
  <c r="E50" i="4"/>
  <c r="E55" i="4" s="1"/>
  <c r="F54" i="4"/>
  <c r="B78" i="4"/>
  <c r="C60" i="4"/>
  <c r="F50" i="4"/>
  <c r="F55" i="4" s="1"/>
  <c r="H51" i="4"/>
  <c r="H56" i="4" s="1"/>
  <c r="D49" i="4"/>
  <c r="D54" i="4" s="1"/>
  <c r="G49" i="4"/>
  <c r="G54" i="4" s="1"/>
  <c r="H48" i="4"/>
  <c r="H53" i="4" s="1"/>
  <c r="D48" i="4"/>
  <c r="D53" i="4" s="1"/>
  <c r="C35" i="3"/>
  <c r="H50" i="4"/>
  <c r="H55" i="4" s="1"/>
  <c r="E49" i="4"/>
  <c r="E54" i="4" s="1"/>
  <c r="E13" i="5" l="1"/>
  <c r="E14" i="5" s="1"/>
  <c r="E18" i="5" s="1"/>
  <c r="E19" i="5" s="1"/>
  <c r="D44" i="3" s="1"/>
  <c r="E15" i="5"/>
  <c r="E16" i="5" s="1"/>
  <c r="F9" i="5"/>
  <c r="F12" i="5" s="1"/>
  <c r="E43" i="3"/>
  <c r="F33" i="3"/>
  <c r="E37" i="3"/>
  <c r="E42" i="3"/>
  <c r="E34" i="3"/>
  <c r="F10" i="5" s="1"/>
  <c r="C38" i="3"/>
  <c r="C39" i="3"/>
  <c r="C36" i="3"/>
  <c r="D35" i="3"/>
  <c r="C64" i="4"/>
  <c r="D64" i="4" s="1"/>
  <c r="C67" i="4"/>
  <c r="D67" i="4" s="1"/>
  <c r="C63" i="4"/>
  <c r="D63" i="4" s="1"/>
  <c r="C66" i="4"/>
  <c r="D66" i="4" s="1"/>
  <c r="C65" i="4"/>
  <c r="D65" i="4" s="1"/>
  <c r="C40" i="3" l="1"/>
  <c r="C41" i="3"/>
  <c r="C45" i="3" s="1"/>
  <c r="E35" i="3"/>
  <c r="D36" i="3"/>
  <c r="D39" i="3"/>
  <c r="D38" i="3"/>
  <c r="F43" i="3"/>
  <c r="F35" i="3"/>
  <c r="F42" i="3"/>
  <c r="F34" i="3"/>
  <c r="G10" i="5" s="1"/>
  <c r="G9" i="5"/>
  <c r="G12" i="5" s="1"/>
  <c r="G33" i="3"/>
  <c r="F37" i="3"/>
  <c r="F15" i="5"/>
  <c r="F16" i="5" s="1"/>
  <c r="F13" i="5"/>
  <c r="F14" i="5"/>
  <c r="F18" i="5" l="1"/>
  <c r="F19" i="5" s="1"/>
  <c r="E44" i="3" s="1"/>
  <c r="F39" i="3"/>
  <c r="F38" i="3"/>
  <c r="F36" i="3"/>
  <c r="D40" i="3"/>
  <c r="D41" i="3" s="1"/>
  <c r="D45" i="3" s="1"/>
  <c r="D47" i="3" s="1"/>
  <c r="G42" i="3"/>
  <c r="G34" i="3"/>
  <c r="H10" i="5" s="1"/>
  <c r="C16" i="4"/>
  <c r="C28" i="4" s="1"/>
  <c r="G37" i="3"/>
  <c r="H9" i="5"/>
  <c r="H12" i="5" s="1"/>
  <c r="G43" i="3"/>
  <c r="C47" i="3"/>
  <c r="E38" i="3"/>
  <c r="E36" i="3"/>
  <c r="E39" i="3"/>
  <c r="G13" i="5"/>
  <c r="G14" i="5" s="1"/>
  <c r="G18" i="5" s="1"/>
  <c r="G19" i="5" s="1"/>
  <c r="F44" i="3" s="1"/>
  <c r="G15" i="5"/>
  <c r="G16" i="5" s="1"/>
  <c r="F40" i="3" l="1"/>
  <c r="F41" i="3" s="1"/>
  <c r="F45" i="3" s="1"/>
  <c r="F47" i="3" s="1"/>
  <c r="C72" i="4"/>
  <c r="C73" i="4"/>
  <c r="H15" i="5"/>
  <c r="H16" i="5" s="1"/>
  <c r="H13" i="5"/>
  <c r="H14" i="5" s="1"/>
  <c r="E40" i="3"/>
  <c r="E41" i="3" s="1"/>
  <c r="E45" i="3" s="1"/>
  <c r="G35" i="3"/>
  <c r="H18" i="5" l="1"/>
  <c r="H19" i="5" s="1"/>
  <c r="G44" i="3" s="1"/>
  <c r="E47" i="3"/>
  <c r="G38" i="3"/>
  <c r="G36" i="3"/>
  <c r="G39" i="3"/>
  <c r="C59" i="3" l="1"/>
  <c r="C60" i="3" s="1"/>
  <c r="C61" i="3" s="1"/>
  <c r="G40" i="3"/>
  <c r="G41" i="3" s="1"/>
  <c r="G45" i="3" s="1"/>
  <c r="C51" i="3" l="1"/>
  <c r="C52" i="3" s="1"/>
  <c r="G47" i="3"/>
  <c r="C50" i="3" s="1"/>
  <c r="I24" i="7"/>
  <c r="F8" i="7"/>
  <c r="I23" i="7"/>
  <c r="G23" i="7"/>
  <c r="E7" i="7"/>
  <c r="E23" i="7"/>
  <c r="D9" i="7"/>
  <c r="H21" i="7"/>
  <c r="F9" i="7"/>
  <c r="E12" i="7"/>
  <c r="E11" i="7"/>
  <c r="F11" i="7"/>
  <c r="F19" i="7"/>
  <c r="F13" i="7"/>
  <c r="E9" i="7"/>
  <c r="D11" i="7"/>
  <c r="F21" i="7"/>
  <c r="E22" i="7"/>
  <c r="D19" i="7"/>
  <c r="D13" i="7"/>
  <c r="G8" i="7"/>
  <c r="F18" i="7"/>
  <c r="C11" i="7"/>
  <c r="I13" i="7"/>
  <c r="D23" i="7"/>
  <c r="D7" i="7"/>
  <c r="I12" i="7"/>
  <c r="G13" i="7"/>
  <c r="E24" i="7"/>
  <c r="E21" i="7"/>
  <c r="C13" i="7"/>
  <c r="H13" i="7"/>
  <c r="D21" i="7"/>
  <c r="I22" i="7"/>
  <c r="E19" i="7"/>
  <c r="I9" i="7"/>
  <c r="D10" i="7"/>
  <c r="H20" i="7"/>
  <c r="I11" i="7"/>
  <c r="C21" i="7"/>
  <c r="H12" i="7"/>
  <c r="H22" i="7"/>
  <c r="C22" i="7"/>
  <c r="H7" i="7"/>
  <c r="D12" i="7"/>
  <c r="C7" i="7"/>
  <c r="I20" i="7"/>
  <c r="G7" i="7"/>
  <c r="C9" i="7"/>
  <c r="H10" i="7"/>
  <c r="C23" i="7"/>
  <c r="D20" i="7"/>
  <c r="H19" i="7"/>
  <c r="I8" i="7"/>
  <c r="E13" i="7"/>
  <c r="I19" i="7"/>
  <c r="I18" i="7"/>
  <c r="D22" i="7"/>
  <c r="F12" i="7"/>
  <c r="G22" i="7"/>
  <c r="G11" i="7"/>
  <c r="C19" i="7"/>
  <c r="G24" i="7"/>
  <c r="H8" i="7"/>
  <c r="H24" i="7"/>
  <c r="C8" i="7"/>
  <c r="F22" i="7"/>
  <c r="F20" i="7"/>
  <c r="C18" i="7"/>
  <c r="D24" i="7"/>
  <c r="I21" i="7"/>
  <c r="F23" i="7"/>
  <c r="H18" i="7"/>
  <c r="C10" i="7"/>
  <c r="D18" i="7"/>
  <c r="E8" i="7"/>
  <c r="G19" i="7"/>
  <c r="I7" i="7"/>
  <c r="E10" i="7"/>
  <c r="F10" i="7"/>
  <c r="G9" i="7"/>
  <c r="E20" i="7"/>
  <c r="F24" i="7"/>
  <c r="G12" i="7"/>
  <c r="C20" i="7"/>
  <c r="G10" i="7"/>
  <c r="C12" i="7"/>
  <c r="F7" i="7"/>
  <c r="H23" i="7"/>
  <c r="D8" i="7"/>
  <c r="E18" i="7"/>
  <c r="G18" i="7"/>
  <c r="H11" i="7"/>
  <c r="C24" i="7"/>
  <c r="I10" i="7"/>
  <c r="G20" i="7"/>
  <c r="G21" i="7"/>
  <c r="H9" i="7"/>
  <c r="C58" i="3" l="1"/>
  <c r="C62" i="3" s="1"/>
  <c r="C53" i="3"/>
  <c r="C63" i="3" l="1"/>
  <c r="C64" i="3" s="1"/>
  <c r="C17" i="1" s="1"/>
  <c r="C17" i="4"/>
  <c r="C54" i="3"/>
  <c r="C55" i="3" s="1"/>
  <c r="C16" i="1" s="1"/>
  <c r="D16" i="1" l="1"/>
  <c r="C21" i="1"/>
  <c r="C10" i="1"/>
  <c r="D17" i="1"/>
  <c r="C19" i="4"/>
  <c r="C20" i="4" s="1"/>
  <c r="B79" i="4" s="1"/>
  <c r="C12" i="1" l="1"/>
  <c r="C11" i="1" s="1"/>
  <c r="B29" i="1"/>
  <c r="B26" i="1"/>
</calcChain>
</file>

<file path=xl/sharedStrings.xml><?xml version="1.0" encoding="utf-8"?>
<sst xmlns="http://schemas.openxmlformats.org/spreadsheetml/2006/main" count="439" uniqueCount="355">
  <si>
    <t>DISCLAIMER: This is a sample analysis for demonstration purposes only. It does not constitute investment advice.</t>
  </si>
  <si>
    <t>ダイキン工業 (6367.T)</t>
  </si>
  <si>
    <t>Equity Research Report</t>
  </si>
  <si>
    <t>Company</t>
  </si>
  <si>
    <t>ダイキン工業</t>
  </si>
  <si>
    <t>Ticker</t>
  </si>
  <si>
    <t>6367.T (TSE Prime)</t>
  </si>
  <si>
    <t>Sector</t>
  </si>
  <si>
    <t>機械</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</si>
  <si>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</si>
  <si>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</si>
  <si>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</si>
  <si>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</si>
  <si>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</si>
  <si>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</si>
  <si>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</si>
  <si>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</si>
  <si>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</si>
  <si>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</si>
  <si>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</si>
  <si>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</si>
  <si>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**3.31倍** で 3.0倍を超えたため、**乖離そのものを裁定トリガーとする追補6 §X により中点平均を禁止**し、どちらの脚を落とすかを判定した。■**観測倍率バンドテスト**: Peer の実測 EV/EBITDA の第1〜第3四分位バンドは **(6.837823670530699, 15.552094158010673, 5)倍**。これに対し **PGM逆算 4.32倍 / 仮定Exit 14.30倍**。**PGM法のみがバンドの外にあるため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</si>
  <si>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</si>
  <si>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</si>
  <si>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</si>
  <si>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ダイキン工業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</si>
  <si>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</si>
  <si>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</si>
  <si>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</si>
  <si>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</si>
  <si>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</si>
  <si>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</si>
  <si>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</si>
  <si>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</si>
  <si>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</si>
  <si>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</si>
  <si>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</si>
  <si>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</si>
  <si>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</si>
  <si>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</si>
  <si>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</si>
  <si>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</si>
  <si>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</si>
  <si>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</si>
  <si>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</si>
  <si>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</si>
  <si>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</si>
  <si>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</si>
  <si>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</si>
  <si>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</si>
  <si>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</si>
  <si>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</si>
  <si>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</si>
  <si>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</si>
  <si>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ダイキン工業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</si>
  <si>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</si>
  <si>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</si>
  <si>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</si>
  <si>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</si>
  <si>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</si>
  <si>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</si>
  <si>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</si>
  <si>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</si>
  <si>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</si>
  <si>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</si>
  <si>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</si>
  <si>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</si>
  <si>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</si>
  <si>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</si>
  <si>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</si>
  <si>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</si>
  <si>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</si>
  <si>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</si>
  <si>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</si>
  <si>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</si>
  <si>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</si>
  <si>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</si>
  <si>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</si>
  <si>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</si>
  <si>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</si>
  <si>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</si>
  <si>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</si>
  <si>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</si>
  <si>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</si>
  <si>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</si>
  <si>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</si>
  <si>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</si>
  <si>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</si>
  <si>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</si>
  <si>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</si>
  <si>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</si>
  <si>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</si>
  <si>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</si>
  <si>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</si>
  <si>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</si>
  <si>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</si>
  <si>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</si>
  <si>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</si>
  <si>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</si>
  <si>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</si>
  <si>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</si>
  <si>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</si>
  <si>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</si>
  <si>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</si>
  <si>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</si>
  <si>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</si>
  <si>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</si>
  <si>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</si>
  <si>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</si>
  <si>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</si>
  <si>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</si>
  <si>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</si>
  <si>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</si>
  <si>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</si>
  <si>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</si>
  <si>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</si>
  <si>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</si>
  <si>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</si>
  <si>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ダイキン工業 (6367.T)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</si>
  <si>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</si>
  <si>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</si>
  <si>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</si>
  <si>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</si>
  <si>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</si>
  <si>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</si>
  <si>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</si>
  <si>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</si>
  <si>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</si>
  <si>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</si>
  <si>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</si>
  <si>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</si>
  <si>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</si>
  <si>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</si>
  <si>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</si>
  <si>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</si>
  <si>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</si>
  <si>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</si>
  <si>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</si>
  <si>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</si>
  <si>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</si>
  <si>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</si>
  <si>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</si>
  <si>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</si>
  <si>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</si>
  <si>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</si>
  <si>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</si>
  <si>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</si>
  <si>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</si>
  <si>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</si>
  <si>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</si>
  <si>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</si>
  <si>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</si>
  <si>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</si>
  <si>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</si>
  <si>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</si>
  <si>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</si>
  <si>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</si>
  <si>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</si>
  <si>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</si>
  <si>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</si>
  <si>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</si>
  <si>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</si>
  <si>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</si>
  <si>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</si>
  <si>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</si>
  <si>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</si>
  <si>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</si>
  <si>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</si>
  <si>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</si>
  <si>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</si>
  <si>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ダイキン工業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</si>
  <si>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</si>
  <si>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</si>
  <si>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</si>
  <si>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</si>
  <si>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</si>
  <si>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</si>
  <si>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</si>
  <si>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</si>
  <si>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</si>
  <si>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</si>
  <si>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</si>
  <si>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</si>
  <si>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</si>
  <si>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</si>
  <si>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</si>
  <si>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</si>
  <si>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</si>
  <si>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</si>
  <si>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</si>
  <si>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</si>
  <si>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</si>
  <si>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</si>
  <si>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</si>
  <si>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</si>
  <si>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</si>
  <si>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</si>
  <si>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</si>
  <si>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</si>
  <si>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</si>
  <si>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</si>
  <si>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</si>
  <si>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</si>
  <si>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</si>
  <si>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</si>
  <si>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Daikin Industries,Ltd.</t>
  </si>
  <si>
    <t>6367.T</t>
  </si>
  <si>
    <t>Hitachi, Ltd.</t>
  </si>
  <si>
    <t>6501.T</t>
  </si>
  <si>
    <t>Mitsubishi Electric Corporation</t>
  </si>
  <si>
    <t>6503.T</t>
  </si>
  <si>
    <t>DENSO Corporation</t>
  </si>
  <si>
    <t>6902.T</t>
  </si>
  <si>
    <t>Mitsubishi Heavy Industries, Ltd.</t>
  </si>
  <si>
    <t>7011.T</t>
  </si>
  <si>
    <t>Bridgestone Corporation</t>
  </si>
  <si>
    <t>5108.T</t>
  </si>
  <si>
    <t>Statistics</t>
  </si>
  <si>
    <t>25th Percentile</t>
  </si>
  <si>
    <t>Median (50th)</t>
  </si>
  <si>
    <t>75th Percentile</t>
  </si>
  <si>
    <t>Implied Valuation for ダイキン工業</t>
  </si>
  <si>
    <t>ダイキン工業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</si>
  <si>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</si>
  <si>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</si>
  <si>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</si>
  <si>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</si>
  <si>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</si>
  <si>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</si>
  <si>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</si>
  <si>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</si>
  <si>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</si>
  <si>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</si>
  <si>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</si>
  <si>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</si>
  <si>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</si>
  <si>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</si>
  <si>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</si>
  <si>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ダイキン工業</t>
  </si>
  <si>
    <t>日付</t>
  </si>
  <si>
    <t>セル</t>
  </si>
  <si>
    <t>変更内容</t>
  </si>
  <si>
    <t>理由</t>
  </si>
  <si>
    <t>元の値</t>
  </si>
  <si>
    <t>状態</t>
  </si>
  <si>
    <t>2026-09-06</t>
  </si>
  <si>
    <t>-</t>
  </si>
  <si>
    <t>Generated by pipeline on 2026-09-06 19:12, template rev 63983ab</t>
  </si>
  <si>
    <t>初期生成（手修正なし）</t>
  </si>
  <si>
    <t>generated</t>
  </si>
  <si>
    <t>DCF Model!C11</t>
  </si>
  <si>
    <t>After-tax Cost of Debt = 2.81% (実績ベース)</t>
  </si>
  <si>
    <t>実績Kd = 支払利息38,976 ÷ 平均有利子負債1,040,717(期首986,849/期末1,094,585、debt_beginning/debt_ending) = 税引前3.75% × (1−25.0%) = 2.81%。【マージナルコスト注記】これは既存借入の実績平均コストであり、新規調達の限界コストではない。テンプレ既定(税引前2.8%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</si>
  <si>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</si>
  <si>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</si>
  <si>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</si>
  <si>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0.885（採用値）</t>
  </si>
  <si>
    <t>実測β(raw) = 0.828 → Blume調整 0.67×raw + 0.33×1.00 = 0.885 → 採用 0.885。クランプ域 [0.3, 2.0] の内側。置換なし。回帰βは平均回帰するため Blume 調整を既定とする（2026-09-05 バッチで85件中57件が旧下限 0.60 に張り付き、両裾の歪みが実証された）。</t>
  </si>
  <si>
    <t>実測 0.828</t>
  </si>
  <si>
    <t>確定</t>
  </si>
  <si>
    <t>Pipeline Metadata (do not edit — read by scripts/validate_output.py)</t>
  </si>
  <si>
    <t>key</t>
  </si>
  <si>
    <t>value</t>
  </si>
  <si>
    <t>auto_log_entries</t>
  </si>
  <si>
    <t>2</t>
  </si>
  <si>
    <t>beta_adopted_c8</t>
  </si>
  <si>
    <t>0.8848</t>
  </si>
  <si>
    <t>beta_basis</t>
  </si>
  <si>
    <t>Blume: 0.67 x 0.828 + 0.33 x 1.00 = 0.885</t>
  </si>
  <si>
    <t>beta_blume_adjusted</t>
  </si>
  <si>
    <t>beta_clamped</t>
  </si>
  <si>
    <t>no</t>
  </si>
  <si>
    <t>beta_raw</t>
  </si>
  <si>
    <t>0.828</t>
  </si>
  <si>
    <t>capex_pct_basis</t>
  </si>
  <si>
    <t>explicit_override</t>
  </si>
  <si>
    <t>capex_pct_c5</t>
  </si>
  <si>
    <t>0.0577</t>
  </si>
  <si>
    <t>capex_pct_hist3yr</t>
  </si>
  <si>
    <t>0.049551</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</si>
  <si>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</si>
  <si>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</si>
  <si>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</si>
  <si>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</si>
  <si>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</si>
  <si>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</si>
  <si>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</si>
  <si>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</si>
  <si>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</si>
  <si>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</si>
  <si>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</si>
  <si>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</si>
  <si>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</si>
  <si>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</si>
  <si>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</si>
  <si>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</si>
  <si>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</si>
  <si>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</si>
  <si>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</si>
  <si>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</si>
  <si>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691198.0</t>
  </si>
  <si>
    <t>core_net_income</t>
  </si>
  <si>
    <t>275229.0</t>
  </si>
  <si>
    <t>cost_of_debt_actual</t>
  </si>
  <si>
    <t>interest 38,976 (expense 38,976 + fees 0) / avg debt 1,040,717 (debt_beginning/debt_ending) = 0.037451 pre-tax -&gt; 0.028100 after-tax</t>
  </si>
  <si>
    <t>cost_of_debt_at_c11</t>
  </si>
  <si>
    <t>0.0281</t>
  </si>
  <si>
    <t>cost_of_debt_avg_debt</t>
  </si>
  <si>
    <t>1040717.0</t>
  </si>
  <si>
    <t>cost_of_debt_basis</t>
  </si>
  <si>
    <t>actual</t>
  </si>
  <si>
    <t>cost_of_debt_interest</t>
  </si>
  <si>
    <t>38976.0</t>
  </si>
  <si>
    <t>cost_of_debt_pretax</t>
  </si>
  <si>
    <t>0.03745110342196774</t>
  </si>
  <si>
    <t>da_pct_basis</t>
  </si>
  <si>
    <t>da_pct_c18</t>
  </si>
  <si>
    <t>0.055</t>
  </si>
  <si>
    <t>da_pct_hist3yr</t>
  </si>
  <si>
    <t>0.041684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</si>
  <si>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</si>
  <si>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</si>
  <si>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</si>
  <si>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</si>
  <si>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</si>
  <si>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</si>
  <si>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</si>
  <si>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</si>
  <si>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</si>
  <si>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19:12:46</t>
  </si>
  <si>
    <t>guidance_note</t>
  </si>
  <si>
    <t>TDnet 決算短信 via screener guidance table: FY2027 disclosed 2026-08-04 (net_income=278,000mn, operating_income=436,000mn, revenue=5,150,000mn)</t>
  </si>
  <si>
    <t>guidance_source</t>
  </si>
  <si>
    <t>tdnet_screener_db</t>
  </si>
  <si>
    <t>latest_operating_income</t>
  </si>
  <si>
    <t>414992.0</t>
  </si>
  <si>
    <t>ltm_revenue_c20</t>
  </si>
  <si>
    <t>5015036.0</t>
  </si>
  <si>
    <t>ltm_revenue_source</t>
  </si>
  <si>
    <t>latest FY (no LTM)</t>
  </si>
  <si>
    <t>market_data_source</t>
  </si>
  <si>
    <t>yfinance; from overrides: beta, current_price, shares_outstanding</t>
  </si>
  <si>
    <t>narrative_tokens_used</t>
  </si>
  <si>
    <t>pb,per,price,target_price,upside_pct,wacc</t>
  </si>
  <si>
    <t>net_debt_source</t>
  </si>
  <si>
    <t>EDINET net_debt</t>
  </si>
  <si>
    <t>reverse_dcf_sheet</t>
  </si>
  <si>
    <t>op0=414,992(FY2026) peak=414,992(FY2026) peak_opm=0.0827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</si>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</sst>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20500</v>
      </c>
    </row>
    <row r="10" spans="2:5" ht="14" customHeight="1" x14ac:dyDescent="0.3">
      <c r="B10" s="4" t="s">
        <v>10</v>
      </c>
      <c r="C10" s="5">
        <f>IF(ISNUMBER(C17),ROUND(C17,0),"N/A")</f>
        <v>30987</v>
      </c>
    </row>
    <row r="11" spans="2:5" ht="14" customHeight="1" x14ac:dyDescent="0.3">
      <c r="B11" s="4" t="s">
        <v>11</v>
      </c>
      <c r="C11" s="6" t="str">
        <f>IF(NOT(ISNUMBER(C12)),"N/A",IF(C12&gt;0.15,"BUY",IF(C12&gt;0.05,"HOLD","SELL")))</f>
        <v>BUY</v>
      </c>
    </row>
    <row r="12" spans="2:5" ht="14" customHeight="1" x14ac:dyDescent="0.3">
      <c r="B12" s="4" t="s">
        <v>12</v>
      </c>
      <c r="C12" s="7">
        <f>IF(ISNUMBER(C10),(C10-C9)/C9,"N/A")</f>
        <v>0.51156097560975611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11592</v>
      </c>
      <c r="D16" s="7">
        <f>IF(ISNUMBER(C16),(C16-C9)/C9,"N/A")</f>
        <v>-0.43453658536585366</v>
      </c>
    </row>
    <row r="17" spans="2:5" ht="13.5" customHeight="1" x14ac:dyDescent="0.25">
      <c r="B17" t="s">
        <v>18</v>
      </c>
      <c r="C17" s="11">
        <f>IF('DCF Model'!C62&lt;'DCF Model'!C16,"INVALID (EV &lt; net debt)",'DCF Model'!C64)</f>
        <v>30987</v>
      </c>
      <c r="D17" s="7">
        <f>IF(ISNUMBER(C17),(C17-C9)/C9,"N/A")</f>
        <v>0.51156097560975611</v>
      </c>
    </row>
    <row r="18" spans="2:5" ht="13.5" customHeight="1" x14ac:dyDescent="0.25">
      <c r="B18" t="s">
        <v>19</v>
      </c>
      <c r="C18" s="11">
        <f>'Comps Analysis'!C27</f>
        <v>35015</v>
      </c>
      <c r="D18" s="7">
        <f>IF(ISNUMBER(C18),(C18-C9)/C9,"N/A")</f>
        <v>0.70804878048780484</v>
      </c>
    </row>
    <row r="19" spans="2:5" ht="13.5" customHeight="1" x14ac:dyDescent="0.25">
      <c r="B19" t="s">
        <v>20</v>
      </c>
      <c r="C19" s="11">
        <f>'Comps Analysis'!C28</f>
        <v>26044</v>
      </c>
      <c r="D19" s="7">
        <f>IF(ISNUMBER(C19),(C19-C9)/C9,"N/A")</f>
        <v>0.27043902439024392</v>
      </c>
    </row>
    <row r="20" spans="2:5" ht="14" customHeight="1" x14ac:dyDescent="0.3">
      <c r="B20" s="45" t="s">
        <v>21</v>
      </c>
      <c r="C20" s="44"/>
      <c r="D20" s="44"/>
      <c r="E20" s="44"/>
    </row>
    <row r="21" spans="2:5" ht="14" customHeight="1" x14ac:dyDescent="0.3">
      <c r="B21" s="4" t="s">
        <v>22</v>
      </c>
      <c r="C21" s="6" t="str">
        <f>IF(COUNT(C16:C17)=0,"N/A",MIN(C16:C17)&amp;" - "&amp;MAX(C16:C17))</f>
        <v>11592 - 30987</v>
      </c>
    </row>
    <row r="23" spans="2:5" ht="14" customHeight="1" x14ac:dyDescent="0.3">
      <c r="B23" s="8" t="s">
        <v>23</v>
      </c>
      <c r="C23" s="9"/>
      <c r="D23" s="9"/>
    </row>
    <row r="24" spans="2:5" x14ac:dyDescent="0.2">
      <c r="B24" t="str">
        <f>"Daikin holds the leading global position in air conditioning with a service and replacement base built on Goodman in North America, and revenue has compounded at eight percent over three years; the shares trade at "&amp;TEXT('Comps Analysis'!L5,"0.0""x""")&amp;" earnings and "&amp;TEXT('Comps Analysis'!M5,"0.00""x""")&amp;" book."</f>
        <v>Daikin holds the leading global position in air conditioning with a service and replacement base built on Goodman in North America, and revenue has compounded at eight percent over three years; the shares trade at 20.7x earnings and 1.75x book.</v>
      </c>
    </row>
    <row r="25" spans="2:5" x14ac:dyDescent="0.2">
      <c r="B25" t="str">
        <f>"The operating margin has slipped in each of the last four years, so this model assumes the decline halts rather than reverses — a deliberately modest base case against a "&amp;TEXT('DCF Model'!C26,"0.00%")&amp;" cost of capital built on an actual, filing-derived cost of debt."</f>
        <v>The operating margin has slipped in each of the last four years, so this model assumes the decline halts rather than reverses — a deliberately modest base case against a 9.53% cost of capital built on an actual, filing-derived cost of debt.</v>
      </c>
    </row>
    <row r="26" spans="2:5" x14ac:dyDescent="0.2">
      <c r="B26" t="str">
        <f>"At "&amp;TEXT(C9,"#,##0")&amp;" the shares are valued below the large industrial peer median on EV/EBITDA; valuing the exit on that median supports "&amp;TEXT(C10,"#,##0")&amp;", or "&amp;TEXT(C12,"+0.0%;-0.0%")&amp;" from here."</f>
        <v>At 20,500 the shares are valued below the large industrial peer median on EV/EBITDA; valuing the exit on that median supports 30,987, or +51.2% from here.</v>
      </c>
    </row>
    <row r="28" spans="2:5" ht="14" customHeight="1" x14ac:dyDescent="0.3">
      <c r="B28" s="8" t="s">
        <v>24</v>
      </c>
      <c r="C28" s="9"/>
      <c r="D28" s="9"/>
    </row>
    <row r="29" spans="2:5" x14ac:dyDescent="0.2">
      <c r="B29" t="str">
        <f>"The operating margin has fallen for four consecutive years while revenue grew, and nothing in the filings confirms the stabilisation the base case assumes behind "&amp;TEXT(C10,"#,##0")&amp;"."</f>
        <v>The operating margin has fallen for four consecutive years while revenue grew, and nothing in the filings confirms the stabilisation the base case assumes behind 30,987.</v>
      </c>
    </row>
    <row r="30" spans="2:5" x14ac:dyDescent="0.2">
      <c r="B30" t="str">
        <f>"There is no domestic air-conditioning peer, so the exit multiple comes from industrials chosen for similar margins and scale rather than for the same business — a weaker anchor than the "&amp;TEXT('Comps Analysis'!L5,"0.0""x""")&amp;" comparison suggests."</f>
        <v>There is no domestic air-conditioning peer, so the exit multiple comes from industrials chosen for similar margins and scale rather than for the same business — a weaker anchor than the 20.7x comparison suggests.</v>
      </c>
    </row>
    <row r="31" spans="2:5" x14ac:dyDescent="0.2">
      <c r="B31" t="str">
        <f>"Dollar-denominated debt at the North American operations makes the realised cost of debt inside "&amp;TEXT('DCF Model'!C26,"0.00%")&amp;" sensitive to US rates without any offset in the domestic business."</f>
        <v>Dollar-denominated debt at the North American operations makes the realised cost of debt inside 9.53% sensitive to US rates without any offset in the domestic business.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3981578</v>
      </c>
      <c r="D6" s="5">
        <v>4395317</v>
      </c>
      <c r="E6" s="5">
        <v>4752335</v>
      </c>
      <c r="F6" s="5">
        <v>5015036</v>
      </c>
    </row>
    <row r="7" spans="2:6" ht="14" customHeight="1" x14ac:dyDescent="0.3">
      <c r="B7" s="4" t="s">
        <v>32</v>
      </c>
      <c r="C7" s="5">
        <v>2650102</v>
      </c>
      <c r="D7" s="5">
        <v>2885644</v>
      </c>
      <c r="E7" s="5">
        <v>3125646</v>
      </c>
      <c r="F7" s="5">
        <v>3282519</v>
      </c>
    </row>
    <row r="8" spans="2:6" ht="14" customHeight="1" x14ac:dyDescent="0.3">
      <c r="B8" s="4" t="s">
        <v>33</v>
      </c>
      <c r="C8" s="5">
        <f>C6-C7</f>
        <v>1331476</v>
      </c>
      <c r="D8" s="5">
        <f>D6-D7</f>
        <v>1509673</v>
      </c>
      <c r="E8" s="5">
        <f>E6-E7</f>
        <v>1626689</v>
      </c>
      <c r="F8" s="5">
        <f>F6-F7</f>
        <v>1732517</v>
      </c>
    </row>
    <row r="9" spans="2:6" ht="13.5" customHeight="1" x14ac:dyDescent="0.25">
      <c r="B9" t="s">
        <v>34</v>
      </c>
      <c r="C9" s="7">
        <f>C8/C6</f>
        <v>0.33440912120772215</v>
      </c>
      <c r="D9" s="7">
        <f>D8/D6</f>
        <v>0.34347306462764804</v>
      </c>
      <c r="E9" s="7">
        <f>E8/E6</f>
        <v>0.34229257827994031</v>
      </c>
      <c r="F9" s="7">
        <f>F8/F6</f>
        <v>0.345464519098168</v>
      </c>
    </row>
    <row r="10" spans="2:6" ht="14" customHeight="1" x14ac:dyDescent="0.3">
      <c r="B10" s="4" t="s">
        <v>35</v>
      </c>
      <c r="C10" s="5">
        <v>954443</v>
      </c>
      <c r="D10" s="5">
        <v>1117536</v>
      </c>
      <c r="E10" s="5">
        <v>1225020</v>
      </c>
      <c r="F10" s="5">
        <v>1317525</v>
      </c>
    </row>
    <row r="11" spans="2:6" ht="14" customHeight="1" x14ac:dyDescent="0.3">
      <c r="B11" s="4" t="s">
        <v>36</v>
      </c>
      <c r="C11" s="5">
        <v>377033</v>
      </c>
      <c r="D11" s="5">
        <v>392137</v>
      </c>
      <c r="E11" s="5">
        <v>401669</v>
      </c>
      <c r="F11" s="5">
        <v>414992</v>
      </c>
    </row>
    <row r="12" spans="2:6" ht="14" customHeight="1" x14ac:dyDescent="0.3">
      <c r="B12" s="4" t="s">
        <v>37</v>
      </c>
      <c r="C12" s="5">
        <v>257754</v>
      </c>
      <c r="D12" s="5">
        <v>260311</v>
      </c>
      <c r="E12" s="5">
        <v>264757</v>
      </c>
      <c r="F12" s="5">
        <v>275229</v>
      </c>
    </row>
    <row r="13" spans="2:6" ht="13.5" customHeight="1" x14ac:dyDescent="0.25">
      <c r="B13" t="s">
        <v>38</v>
      </c>
      <c r="C13" s="7">
        <f>C11/C6</f>
        <v>9.4694364897535604E-2</v>
      </c>
      <c r="D13" s="7">
        <f>D11/D6</f>
        <v>8.9217000730550264E-2</v>
      </c>
      <c r="E13" s="7">
        <f>E11/E6</f>
        <v>8.4520346313969874E-2</v>
      </c>
      <c r="F13" s="7">
        <f>F11/F6</f>
        <v>8.2749555536590372E-2</v>
      </c>
    </row>
    <row r="14" spans="2:6" ht="13.5" customHeight="1" x14ac:dyDescent="0.25">
      <c r="B14" t="s">
        <v>39</v>
      </c>
      <c r="C14" s="7">
        <f>C12/C6</f>
        <v>6.4736644616782593E-2</v>
      </c>
      <c r="D14" s="7">
        <f>D12/D6</f>
        <v>5.9224624754027982E-2</v>
      </c>
      <c r="E14" s="7">
        <f>E12/E6</f>
        <v>5.5710929469408199E-2</v>
      </c>
      <c r="F14" s="7">
        <f>F12/F6</f>
        <v>5.4880762570797097E-2</v>
      </c>
    </row>
    <row r="15" spans="2:6" ht="13.5" customHeight="1" x14ac:dyDescent="0.25">
      <c r="B15" t="s">
        <v>40</v>
      </c>
      <c r="C15" t="s">
        <v>41</v>
      </c>
      <c r="D15" s="7">
        <f>(D6-C6)/C6</f>
        <v>0.10391332280819314</v>
      </c>
      <c r="E15" s="7">
        <f>(E6-D6)/D6</f>
        <v>8.1226905818169659E-2</v>
      </c>
      <c r="F15" s="7">
        <f>(F6-E6)/E6</f>
        <v>5.527830003566668E-2</v>
      </c>
    </row>
    <row r="16" spans="2:6" ht="13.5" customHeight="1" x14ac:dyDescent="0.25">
      <c r="B16" t="s">
        <v>42</v>
      </c>
      <c r="C16" t="s">
        <v>41</v>
      </c>
      <c r="D16" s="7">
        <f>(D11-C11)/C11</f>
        <v>4.006015388573414E-2</v>
      </c>
      <c r="E16" s="7">
        <f>(E11-D11)/D11</f>
        <v>2.4307831191649858E-2</v>
      </c>
      <c r="F16" s="7">
        <f>(F11-E11)/E11</f>
        <v>3.3169101922229501E-2</v>
      </c>
    </row>
    <row r="18" spans="2:6" ht="14" customHeight="1" x14ac:dyDescent="0.3">
      <c r="B18" s="3" t="s">
        <v>43</v>
      </c>
    </row>
    <row r="19" spans="2:6" ht="14" customHeight="1" x14ac:dyDescent="0.3">
      <c r="B19" s="4" t="s">
        <v>44</v>
      </c>
      <c r="C19" s="5">
        <v>158896</v>
      </c>
      <c r="D19" s="5">
        <v>399567</v>
      </c>
      <c r="E19" s="5">
        <v>514450</v>
      </c>
      <c r="F19" s="5">
        <v>465848</v>
      </c>
    </row>
    <row r="20" spans="2:6" ht="14" customHeight="1" x14ac:dyDescent="0.3">
      <c r="B20" s="4" t="s">
        <v>45</v>
      </c>
      <c r="C20" s="5">
        <v>175076</v>
      </c>
      <c r="D20" s="5">
        <v>242633</v>
      </c>
      <c r="E20" s="5">
        <v>245985</v>
      </c>
      <c r="F20" s="5">
        <v>209081</v>
      </c>
    </row>
    <row r="21" spans="2:6" ht="14" customHeight="1" x14ac:dyDescent="0.3">
      <c r="B21" s="4" t="s">
        <v>46</v>
      </c>
      <c r="C21" s="5">
        <f>C19-C20</f>
        <v>-16180</v>
      </c>
      <c r="D21" s="5">
        <f>D19-D20</f>
        <v>156934</v>
      </c>
      <c r="E21" s="5">
        <f>E19-E20</f>
        <v>268465</v>
      </c>
      <c r="F21" s="5">
        <f>F19-F20</f>
        <v>256767</v>
      </c>
    </row>
    <row r="22" spans="2:6" ht="13.5" customHeight="1" x14ac:dyDescent="0.25">
      <c r="B22" t="s">
        <v>47</v>
      </c>
      <c r="C22" s="7">
        <f>C21/C6</f>
        <v>-4.0637154414656703E-3</v>
      </c>
      <c r="D22" s="7">
        <f>D21/D6</f>
        <v>3.5704819470359021E-2</v>
      </c>
      <c r="E22" s="7">
        <f>E21/E6</f>
        <v>5.6491177494852531E-2</v>
      </c>
      <c r="F22" s="7">
        <f>F21/F6</f>
        <v>5.1199433064887272E-2</v>
      </c>
    </row>
    <row r="23" spans="2:6" ht="13.5" customHeight="1" x14ac:dyDescent="0.25">
      <c r="B23" t="s">
        <v>48</v>
      </c>
      <c r="C23" s="7">
        <f>C20/C6</f>
        <v>4.3971510792956962E-2</v>
      </c>
      <c r="D23" s="7">
        <f>D20/D6</f>
        <v>5.5202616785091953E-2</v>
      </c>
      <c r="E23" s="7">
        <f>E20/E6</f>
        <v>5.1760871234877173E-2</v>
      </c>
      <c r="F23" s="7">
        <f>F20/F6</f>
        <v>4.169082734401109E-2</v>
      </c>
    </row>
    <row r="25" spans="2:6" ht="14" customHeight="1" x14ac:dyDescent="0.3">
      <c r="B25" s="3" t="s">
        <v>49</v>
      </c>
    </row>
    <row r="26" spans="2:6" ht="14" customHeight="1" x14ac:dyDescent="0.3">
      <c r="B26" s="4" t="s">
        <v>50</v>
      </c>
      <c r="C26" s="5">
        <v>548242</v>
      </c>
      <c r="D26" s="5">
        <v>634008</v>
      </c>
      <c r="E26" s="5">
        <v>802663</v>
      </c>
      <c r="F26" s="5">
        <v>933484</v>
      </c>
    </row>
    <row r="27" spans="2:6" ht="14" customHeight="1" x14ac:dyDescent="0.3">
      <c r="B27" s="4" t="s">
        <v>51</v>
      </c>
      <c r="C27" s="5">
        <v>661589</v>
      </c>
      <c r="D27" s="5">
        <v>751569</v>
      </c>
      <c r="E27" s="5">
        <v>767739</v>
      </c>
      <c r="F27" s="5">
        <v>829769</v>
      </c>
    </row>
    <row r="28" spans="2:6" ht="14" customHeight="1" x14ac:dyDescent="0.3">
      <c r="B28" s="4" t="s">
        <v>52</v>
      </c>
      <c r="C28" s="5">
        <f>C27-C26</f>
        <v>113347</v>
      </c>
      <c r="D28" s="5">
        <f>D27-D26</f>
        <v>117561</v>
      </c>
      <c r="E28" s="5">
        <f>E27-E26</f>
        <v>-34924</v>
      </c>
      <c r="F28" s="5">
        <f>F27-F26</f>
        <v>-103715</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5.7700000000000001E-2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0.88480000000000003</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2.81E-2</v>
      </c>
    </row>
    <row r="12" spans="2:7" ht="14" customHeight="1" x14ac:dyDescent="0.3">
      <c r="B12" s="4" t="s">
        <v>62</v>
      </c>
      <c r="C12" s="13">
        <v>2.8199999999999999E-2</v>
      </c>
    </row>
    <row r="13" spans="2:7" ht="14" customHeight="1" x14ac:dyDescent="0.3">
      <c r="B13" s="4" t="s">
        <v>63</v>
      </c>
      <c r="C13" s="7">
        <v>0.01</v>
      </c>
    </row>
    <row r="14" spans="2:7" ht="14" customHeight="1" x14ac:dyDescent="0.3">
      <c r="B14" s="4" t="s">
        <v>64</v>
      </c>
      <c r="C14" s="14">
        <v>14.3</v>
      </c>
    </row>
    <row r="15" spans="2:7" ht="14" customHeight="1" x14ac:dyDescent="0.3">
      <c r="B15" s="4" t="s">
        <v>65</v>
      </c>
      <c r="C15" s="15">
        <v>278336120</v>
      </c>
    </row>
    <row r="16" spans="2:7" ht="14" customHeight="1" x14ac:dyDescent="0.3">
      <c r="B16" s="4" t="s">
        <v>66</v>
      </c>
      <c r="C16" s="5">
        <v>161101</v>
      </c>
    </row>
    <row r="17" spans="2:7" ht="14" customHeight="1" x14ac:dyDescent="0.3">
      <c r="B17" s="4" t="s">
        <v>67</v>
      </c>
      <c r="C17" s="5">
        <v>5015036</v>
      </c>
    </row>
    <row r="18" spans="2:7" ht="14" customHeight="1" x14ac:dyDescent="0.3">
      <c r="B18" s="4" t="s">
        <v>68</v>
      </c>
      <c r="C18" s="7">
        <v>5.5E-2</v>
      </c>
    </row>
    <row r="19" spans="2:7" ht="14" customHeight="1" x14ac:dyDescent="0.3">
      <c r="B19" s="4" t="s">
        <v>69</v>
      </c>
      <c r="C19" s="12">
        <v>1</v>
      </c>
    </row>
    <row r="20" spans="2:7" ht="14" customHeight="1" x14ac:dyDescent="0.3">
      <c r="B20" s="4" t="s">
        <v>70</v>
      </c>
      <c r="C20" s="5">
        <v>5015036</v>
      </c>
    </row>
    <row r="22" spans="2:7" ht="14" customHeight="1" x14ac:dyDescent="0.3">
      <c r="B22" s="8" t="s">
        <v>71</v>
      </c>
      <c r="C22" s="9"/>
      <c r="D22" s="9"/>
      <c r="E22" s="9"/>
      <c r="F22" s="9"/>
      <c r="G22" s="9"/>
    </row>
    <row r="23" spans="2:7" ht="14" customHeight="1" x14ac:dyDescent="0.3">
      <c r="B23" s="4" t="s">
        <v>72</v>
      </c>
      <c r="C23" s="16">
        <f>C7+C8*C9+C10</f>
        <v>9.7211999999999993E-2</v>
      </c>
    </row>
    <row r="24" spans="2:7" ht="14" customHeight="1" x14ac:dyDescent="0.3">
      <c r="B24" s="4" t="s">
        <v>73</v>
      </c>
      <c r="C24" s="16">
        <f>1/(1+C12)</f>
        <v>0.97257342929391166</v>
      </c>
    </row>
    <row r="25" spans="2:7" ht="14" customHeight="1" x14ac:dyDescent="0.3">
      <c r="B25" s="4" t="s">
        <v>74</v>
      </c>
      <c r="C25" s="16">
        <f>C12/(1+C12)</f>
        <v>2.742657070608831E-2</v>
      </c>
    </row>
    <row r="26" spans="2:7" ht="14" customHeight="1" x14ac:dyDescent="0.3">
      <c r="B26" s="4" t="s">
        <v>75</v>
      </c>
      <c r="C26" s="16">
        <f>C23*C24+C11*C25</f>
        <v>9.5316494845360825E-2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84</v>
      </c>
      <c r="C31" s="18">
        <f>CHOOSE($D$27,C76,C77,C78,C79,C80)</f>
        <v>0.65500000000000003</v>
      </c>
      <c r="D31" s="18">
        <f>CHOOSE($D$27,D76,D77,D78,D79,D80)</f>
        <v>0.65500000000000003</v>
      </c>
      <c r="E31" s="18">
        <f>CHOOSE($D$27,E76,E77,E78,E79,E80)</f>
        <v>0.65500000000000003</v>
      </c>
      <c r="F31" s="18">
        <f>CHOOSE($D$27,F76,F77,F78,F79,F80)</f>
        <v>0.65500000000000003</v>
      </c>
      <c r="G31" s="18">
        <f>CHOOSE($D$27,G76,G77,G78,G79,G80)</f>
        <v>0.65500000000000003</v>
      </c>
    </row>
    <row r="32" spans="2:7" ht="14" customHeight="1" x14ac:dyDescent="0.3">
      <c r="B32" s="4" t="s">
        <v>85</v>
      </c>
      <c r="C32" s="18">
        <f>CHOOSE($D$27,C83,C84,C85,C86,C87)</f>
        <v>0.26200000000000001</v>
      </c>
      <c r="D32" s="18">
        <f>CHOOSE($D$27,D83,D84,D85,D86,D87)</f>
        <v>0.26150000000000001</v>
      </c>
      <c r="E32" s="18">
        <f>CHOOSE($D$27,E83,E84,E85,E86,E87)</f>
        <v>0.26100000000000001</v>
      </c>
      <c r="F32" s="18">
        <f>CHOOSE($D$27,F83,F84,F85,F86,F87)</f>
        <v>0.26050000000000001</v>
      </c>
      <c r="G32" s="18">
        <f>CHOOSE($D$27,G83,G84,G85,G86,G87)</f>
        <v>0.26019999999999999</v>
      </c>
    </row>
    <row r="33" spans="2:7" ht="14" customHeight="1" x14ac:dyDescent="0.3">
      <c r="B33" s="4" t="s">
        <v>31</v>
      </c>
      <c r="C33" s="5">
        <f>C17*(1+C30)</f>
        <v>5265787.8</v>
      </c>
      <c r="D33" s="5">
        <f>C33*(1+D30)</f>
        <v>5502748.2509999992</v>
      </c>
      <c r="E33" s="5">
        <f>D33*(1+E30)</f>
        <v>5722858.1810399992</v>
      </c>
      <c r="F33" s="5">
        <f>E33*(1+F30)</f>
        <v>5923158.2173763989</v>
      </c>
      <c r="G33" s="5">
        <f>F33*(1+G30)</f>
        <v>6100852.9638976911</v>
      </c>
    </row>
    <row r="34" spans="2:7" ht="14" customHeight="1" x14ac:dyDescent="0.3">
      <c r="B34" s="4" t="s">
        <v>32</v>
      </c>
      <c r="C34" s="5">
        <f>C33*C31</f>
        <v>3449091.0090000001</v>
      </c>
      <c r="D34" s="5">
        <f>D33*D31</f>
        <v>3604300.1044049999</v>
      </c>
      <c r="E34" s="5">
        <f>E33*E31</f>
        <v>3748472.1085811998</v>
      </c>
      <c r="F34" s="5">
        <f>F33*F31</f>
        <v>3879668.6323815412</v>
      </c>
      <c r="G34" s="5">
        <f>G33*G31</f>
        <v>3996058.6913529877</v>
      </c>
    </row>
    <row r="35" spans="2:7" ht="14" customHeight="1" x14ac:dyDescent="0.3">
      <c r="B35" s="4" t="s">
        <v>33</v>
      </c>
      <c r="C35" s="19">
        <f>C33-C34</f>
        <v>1816696.7909999997</v>
      </c>
      <c r="D35" s="19">
        <f>D33-D34</f>
        <v>1898448.1465949994</v>
      </c>
      <c r="E35" s="19">
        <f>E33-E34</f>
        <v>1974386.0724587995</v>
      </c>
      <c r="F35" s="19">
        <f>F33-F34</f>
        <v>2043489.5849948577</v>
      </c>
      <c r="G35" s="19">
        <f>G33-G34</f>
        <v>2104794.2725447034</v>
      </c>
    </row>
    <row r="36" spans="2:7" ht="14" customHeight="1" x14ac:dyDescent="0.3">
      <c r="B36" s="4" t="s">
        <v>34</v>
      </c>
      <c r="C36" s="7">
        <f>C35/C33</f>
        <v>0.34499999999999997</v>
      </c>
      <c r="D36" s="7">
        <f>D35/D33</f>
        <v>0.34499999999999992</v>
      </c>
      <c r="E36" s="7">
        <f>E35/E33</f>
        <v>0.34499999999999997</v>
      </c>
      <c r="F36" s="7">
        <f>F35/F33</f>
        <v>0.34500000000000003</v>
      </c>
      <c r="G36" s="7">
        <f>G35/G33</f>
        <v>0.34500000000000003</v>
      </c>
    </row>
    <row r="37" spans="2:7" ht="14" customHeight="1" x14ac:dyDescent="0.3">
      <c r="B37" s="4" t="s">
        <v>86</v>
      </c>
      <c r="C37" s="5">
        <f>C33*C32</f>
        <v>1379636.4036000001</v>
      </c>
      <c r="D37" s="5">
        <f>D33*D32</f>
        <v>1438968.6676364997</v>
      </c>
      <c r="E37" s="5">
        <f>E33*E32</f>
        <v>1493665.98525144</v>
      </c>
      <c r="F37" s="5">
        <f>F33*F32</f>
        <v>1542982.715626552</v>
      </c>
      <c r="G37" s="5">
        <f>G33*G32</f>
        <v>1587441.9412061791</v>
      </c>
    </row>
    <row r="38" spans="2:7" ht="14" customHeight="1" x14ac:dyDescent="0.3">
      <c r="B38" s="4" t="s">
        <v>87</v>
      </c>
      <c r="C38" s="7">
        <f>(C35-C37)/C33</f>
        <v>8.2999999999999935E-2</v>
      </c>
      <c r="D38" s="7">
        <f>(D35-D37)/D33</f>
        <v>8.3499999999999935E-2</v>
      </c>
      <c r="E38" s="7">
        <f>(E35-E37)/E33</f>
        <v>8.3999999999999922E-2</v>
      </c>
      <c r="F38" s="7">
        <f>(F35-F37)/F33</f>
        <v>8.4499999999999992E-2</v>
      </c>
      <c r="G38" s="7">
        <f>(G35-G37)/G33</f>
        <v>8.4800000000000028E-2</v>
      </c>
    </row>
    <row r="39" spans="2:7" ht="14" customHeight="1" x14ac:dyDescent="0.3">
      <c r="B39" s="4" t="s">
        <v>88</v>
      </c>
      <c r="C39" s="19">
        <f>C35-C37</f>
        <v>437060.38739999966</v>
      </c>
      <c r="D39" s="19">
        <f>D35-D37</f>
        <v>459479.47895849962</v>
      </c>
      <c r="E39" s="19">
        <f>E35-E37</f>
        <v>480720.08720735949</v>
      </c>
      <c r="F39" s="19">
        <f>F35-F37</f>
        <v>500506.86936830566</v>
      </c>
      <c r="G39" s="19">
        <f>G35-G37</f>
        <v>517352.33133852435</v>
      </c>
    </row>
    <row r="40" spans="2:7" ht="14" customHeight="1" x14ac:dyDescent="0.3">
      <c r="B40" s="4" t="s">
        <v>89</v>
      </c>
      <c r="C40" s="5">
        <f>MAX(0,C39*C6)</f>
        <v>109265.09684999991</v>
      </c>
      <c r="D40" s="5">
        <f>MAX(0,D39*C6)</f>
        <v>114869.8697396249</v>
      </c>
      <c r="E40" s="5">
        <f>MAX(0,E39*C6)</f>
        <v>120180.02180183987</v>
      </c>
      <c r="F40" s="5">
        <f>MAX(0,F39*C6)</f>
        <v>125126.71734207642</v>
      </c>
      <c r="G40" s="5">
        <f>MAX(0,G39*C6)</f>
        <v>129338.08283463109</v>
      </c>
    </row>
    <row r="41" spans="2:7" ht="14" customHeight="1" x14ac:dyDescent="0.3">
      <c r="B41" s="4" t="s">
        <v>90</v>
      </c>
      <c r="C41" s="19">
        <f>C39-C40</f>
        <v>327795.29054999974</v>
      </c>
      <c r="D41" s="19">
        <f>D39-D40</f>
        <v>344609.60921887471</v>
      </c>
      <c r="E41" s="19">
        <f>E39-E40</f>
        <v>360540.06540551962</v>
      </c>
      <c r="F41" s="19">
        <f>F39-F40</f>
        <v>375380.15202622925</v>
      </c>
      <c r="G41" s="19">
        <f>G39-G40</f>
        <v>388014.24850389326</v>
      </c>
    </row>
    <row r="42" spans="2:7" ht="14" customHeight="1" x14ac:dyDescent="0.3">
      <c r="B42" s="4" t="s">
        <v>91</v>
      </c>
      <c r="C42" s="5">
        <f>C33*C18</f>
        <v>289618.32899999997</v>
      </c>
      <c r="D42" s="5">
        <f>D33*C18</f>
        <v>302651.15380499995</v>
      </c>
      <c r="E42" s="5">
        <f>E33*C18</f>
        <v>314757.19995719998</v>
      </c>
      <c r="F42" s="5">
        <f>F33*C18</f>
        <v>325773.70195570192</v>
      </c>
      <c r="G42" s="5">
        <f>G33*C18</f>
        <v>335546.91301437299</v>
      </c>
    </row>
    <row r="43" spans="2:7" ht="14" customHeight="1" x14ac:dyDescent="0.3">
      <c r="B43" s="4" t="s">
        <v>92</v>
      </c>
      <c r="C43" s="5">
        <f>C33*C5</f>
        <v>303835.95606</v>
      </c>
      <c r="D43" s="5">
        <f>D33*C5</f>
        <v>317508.57408269995</v>
      </c>
      <c r="E43" s="5">
        <f>E33*C5</f>
        <v>330208.91704600799</v>
      </c>
      <c r="F43" s="5">
        <f>F33*C5</f>
        <v>341766.22914261825</v>
      </c>
      <c r="G43" s="5">
        <f>G33*C5</f>
        <v>352019.21601689677</v>
      </c>
    </row>
    <row r="44" spans="2:7" ht="14" customHeight="1" x14ac:dyDescent="0.3">
      <c r="B44" s="4" t="s">
        <v>93</v>
      </c>
      <c r="C44" s="5">
        <f>'NWC Schedule'!D19</f>
        <v>55216.45524657541</v>
      </c>
      <c r="D44" s="5">
        <f>'NWC Schedule'!E19</f>
        <v>80290.640486095333</v>
      </c>
      <c r="E44" s="5">
        <f>'NWC Schedule'!F19</f>
        <v>74581.083829306765</v>
      </c>
      <c r="F44" s="5">
        <f>'NWC Schedule'!G19</f>
        <v>67868.78628466907</v>
      </c>
      <c r="G44" s="5">
        <f>'NWC Schedule'!H19</f>
        <v>60209.308975399472</v>
      </c>
    </row>
    <row r="45" spans="2:7" ht="14" customHeight="1" x14ac:dyDescent="0.3">
      <c r="B45" s="4" t="s">
        <v>94</v>
      </c>
      <c r="C45" s="20">
        <f>C41+C42-C43-C44</f>
        <v>258361.20824342431</v>
      </c>
      <c r="D45" s="20">
        <f>D41+D42-D43-D44</f>
        <v>249461.54845507944</v>
      </c>
      <c r="E45" s="20">
        <f>E41+E42-E43-E44</f>
        <v>270507.26448740478</v>
      </c>
      <c r="F45" s="20">
        <f>F41+F42-F43-F44</f>
        <v>291518.83855464391</v>
      </c>
      <c r="G45" s="20">
        <f>G41+G42-G43-G44</f>
        <v>311332.63652596995</v>
      </c>
    </row>
    <row r="46" spans="2:7" ht="14" customHeight="1" x14ac:dyDescent="0.3">
      <c r="B46" s="4" t="s">
        <v>95</v>
      </c>
      <c r="C46" s="21">
        <f>1/(1+C26)^(C19+0)</f>
        <v>0.91297812523236233</v>
      </c>
      <c r="D46" s="21">
        <f>1/(1+C26)^(C19+1)</f>
        <v>0.83352905715279901</v>
      </c>
      <c r="E46" s="21">
        <f>1/(1+C26)^(C19+2)</f>
        <v>0.76099379592606109</v>
      </c>
      <c r="F46" s="21">
        <f>1/(1+C26)^(C19+3)</f>
        <v>0.69477068911803408</v>
      </c>
      <c r="G46" s="21">
        <f>1/(1+C26)^(C19+4)</f>
        <v>0.63431044121737923</v>
      </c>
    </row>
    <row r="47" spans="2:7" ht="14" customHeight="1" x14ac:dyDescent="0.3">
      <c r="B47" s="4" t="s">
        <v>96</v>
      </c>
      <c r="C47" s="19">
        <f>C45*C46</f>
        <v>235878.13153484947</v>
      </c>
      <c r="D47" s="19">
        <f>D45*D46</f>
        <v>207933.44927963964</v>
      </c>
      <c r="E47" s="19">
        <f>E45*E46</f>
        <v>205854.35002784515</v>
      </c>
      <c r="F47" s="19">
        <f>F45*F46</f>
        <v>202538.74435349889</v>
      </c>
      <c r="G47" s="19">
        <f>G45*G46</f>
        <v>197481.54204015795</v>
      </c>
    </row>
    <row r="49" spans="2:7" ht="14" customHeight="1" x14ac:dyDescent="0.3">
      <c r="B49" s="22" t="s">
        <v>97</v>
      </c>
      <c r="C49" s="23"/>
      <c r="D49" s="23"/>
      <c r="E49" s="23"/>
      <c r="F49" s="23"/>
      <c r="G49" s="23"/>
    </row>
    <row r="50" spans="2:7" ht="14" customHeight="1" x14ac:dyDescent="0.3">
      <c r="B50" s="4" t="s">
        <v>98</v>
      </c>
      <c r="C50" s="5">
        <f>SUM(C47:G47)</f>
        <v>1049686.2172359913</v>
      </c>
    </row>
    <row r="51" spans="2:7" ht="14" customHeight="1" x14ac:dyDescent="0.3">
      <c r="B51" s="4" t="s">
        <v>99</v>
      </c>
      <c r="C51" s="5">
        <f>G45*(1+C13)/(C26-C13)</f>
        <v>3685640.9005219229</v>
      </c>
    </row>
    <row r="52" spans="2:7" ht="14" customHeight="1" x14ac:dyDescent="0.3">
      <c r="B52" s="4" t="s">
        <v>100</v>
      </c>
      <c r="C52" s="5">
        <f>C51*G46</f>
        <v>2337840.5057788799</v>
      </c>
    </row>
    <row r="53" spans="2:7" ht="14" customHeight="1" x14ac:dyDescent="0.3">
      <c r="B53" s="4" t="s">
        <v>101</v>
      </c>
      <c r="C53" s="5">
        <f>C50+C52</f>
        <v>3387526.7230148711</v>
      </c>
    </row>
    <row r="54" spans="2:7" ht="14" customHeight="1" x14ac:dyDescent="0.3">
      <c r="B54" s="4" t="s">
        <v>102</v>
      </c>
      <c r="C54" s="5">
        <f>C53-C16</f>
        <v>3226425.7230148711</v>
      </c>
    </row>
    <row r="55" spans="2:7" ht="14" customHeight="1" x14ac:dyDescent="0.3">
      <c r="B55" s="4" t="s">
        <v>103</v>
      </c>
      <c r="C55" s="24">
        <f>ROUND(C54*1000000/C15,0)</f>
        <v>11592</v>
      </c>
    </row>
    <row r="57" spans="2:7" ht="14" customHeight="1" x14ac:dyDescent="0.3">
      <c r="B57" s="22" t="s">
        <v>104</v>
      </c>
      <c r="C57" s="23"/>
      <c r="D57" s="23"/>
      <c r="E57" s="23"/>
      <c r="F57" s="23"/>
      <c r="G57" s="23"/>
    </row>
    <row r="58" spans="2:7" ht="14" customHeight="1" x14ac:dyDescent="0.3">
      <c r="B58" s="4" t="s">
        <v>98</v>
      </c>
      <c r="C58" s="5">
        <f>C50</f>
        <v>1049686.2172359913</v>
      </c>
    </row>
    <row r="59" spans="2:7" ht="14" customHeight="1" x14ac:dyDescent="0.3">
      <c r="B59" s="4" t="s">
        <v>105</v>
      </c>
      <c r="C59" s="5">
        <f>G39+G42</f>
        <v>852899.2443528974</v>
      </c>
    </row>
    <row r="60" spans="2:7" ht="14" customHeight="1" x14ac:dyDescent="0.3">
      <c r="B60" s="4" t="s">
        <v>106</v>
      </c>
      <c r="C60" s="5">
        <f>C59*C14</f>
        <v>12196459.194246434</v>
      </c>
    </row>
    <row r="61" spans="2:7" ht="14" customHeight="1" x14ac:dyDescent="0.3">
      <c r="B61" s="4" t="s">
        <v>100</v>
      </c>
      <c r="C61" s="5">
        <f>C60*G46</f>
        <v>7736341.412792217</v>
      </c>
    </row>
    <row r="62" spans="2:7" ht="14" customHeight="1" x14ac:dyDescent="0.3">
      <c r="B62" s="4" t="s">
        <v>101</v>
      </c>
      <c r="C62" s="5">
        <f>C58+C61</f>
        <v>8786027.6300282087</v>
      </c>
    </row>
    <row r="63" spans="2:7" ht="14" customHeight="1" x14ac:dyDescent="0.3">
      <c r="B63" s="4" t="s">
        <v>102</v>
      </c>
      <c r="C63" s="5">
        <f>C62-C16</f>
        <v>8624926.6300282087</v>
      </c>
    </row>
    <row r="64" spans="2:7" ht="14" customHeight="1" x14ac:dyDescent="0.3">
      <c r="B64" s="4" t="s">
        <v>107</v>
      </c>
      <c r="C64" s="24">
        <f>ROUND(C63*1000000/C15,0)</f>
        <v>30987</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0.05</v>
      </c>
      <c r="D69" s="26">
        <v>4.4999999999999998E-2</v>
      </c>
      <c r="E69" s="26">
        <v>0.04</v>
      </c>
      <c r="F69" s="26">
        <v>3.5000000000000003E-2</v>
      </c>
      <c r="G69" s="26">
        <v>0.03</v>
      </c>
    </row>
    <row r="70" spans="2:7" ht="14" customHeight="1" x14ac:dyDescent="0.3">
      <c r="B70" s="4" t="s">
        <v>114</v>
      </c>
      <c r="C70" s="26">
        <v>7.0000000000000007E-2</v>
      </c>
      <c r="D70" s="26">
        <v>0.06</v>
      </c>
      <c r="E70" s="26">
        <v>0.05</v>
      </c>
      <c r="F70" s="26">
        <v>4.4999999999999998E-2</v>
      </c>
      <c r="G70" s="26">
        <v>0.04</v>
      </c>
    </row>
    <row r="71" spans="2:7" ht="14" customHeight="1" x14ac:dyDescent="0.3">
      <c r="B71" s="4" t="s">
        <v>115</v>
      </c>
      <c r="C71" s="26">
        <v>0.05</v>
      </c>
      <c r="D71" s="26">
        <v>4.4999999999999998E-2</v>
      </c>
      <c r="E71" s="26">
        <v>0.04</v>
      </c>
      <c r="F71" s="26">
        <v>3.5000000000000003E-2</v>
      </c>
      <c r="G71" s="26">
        <v>0.03</v>
      </c>
    </row>
    <row r="72" spans="2:7" ht="14" customHeight="1" x14ac:dyDescent="0.3">
      <c r="B72" s="4" t="s">
        <v>116</v>
      </c>
      <c r="C72" s="26">
        <v>1.4999999999999999E-2</v>
      </c>
      <c r="D72" s="26">
        <v>0.01</v>
      </c>
      <c r="E72" s="26">
        <v>0.01</v>
      </c>
      <c r="F72" s="26">
        <v>0.01</v>
      </c>
      <c r="G72" s="26">
        <v>0.01</v>
      </c>
    </row>
    <row r="73" spans="2:7" ht="14" customHeight="1" x14ac:dyDescent="0.3">
      <c r="B73" s="4" t="s">
        <v>117</v>
      </c>
      <c r="C73" s="26">
        <v>-0.08</v>
      </c>
      <c r="D73" s="26">
        <v>-0.01</v>
      </c>
      <c r="E73" s="26">
        <v>5.0000000000000001E-3</v>
      </c>
      <c r="F73" s="26">
        <v>0.01</v>
      </c>
      <c r="G73" s="26">
        <v>1.4999999999999999E-2</v>
      </c>
    </row>
    <row r="75" spans="2:7" ht="14" customHeight="1" x14ac:dyDescent="0.3">
      <c r="B75" s="3" t="s">
        <v>84</v>
      </c>
    </row>
    <row r="76" spans="2:7" ht="14" customHeight="1" x14ac:dyDescent="0.3">
      <c r="B76" s="4" t="s">
        <v>77</v>
      </c>
      <c r="C76" s="26">
        <v>0.65500000000000003</v>
      </c>
      <c r="D76" s="26">
        <v>0.65500000000000003</v>
      </c>
      <c r="E76" s="26">
        <v>0.65500000000000003</v>
      </c>
      <c r="F76" s="26">
        <v>0.65500000000000003</v>
      </c>
      <c r="G76" s="26">
        <v>0.65500000000000003</v>
      </c>
    </row>
    <row r="77" spans="2:7" ht="14" customHeight="1" x14ac:dyDescent="0.3">
      <c r="B77" s="4" t="s">
        <v>114</v>
      </c>
      <c r="C77" s="26">
        <v>0.65</v>
      </c>
      <c r="D77" s="26">
        <v>0.65</v>
      </c>
      <c r="E77" s="26">
        <v>0.65</v>
      </c>
      <c r="F77" s="26">
        <v>0.65</v>
      </c>
      <c r="G77" s="26">
        <v>0.65</v>
      </c>
    </row>
    <row r="78" spans="2:7" ht="14" customHeight="1" x14ac:dyDescent="0.3">
      <c r="B78" s="4" t="s">
        <v>115</v>
      </c>
      <c r="C78" s="26">
        <v>0.65500000000000003</v>
      </c>
      <c r="D78" s="26">
        <v>0.65500000000000003</v>
      </c>
      <c r="E78" s="26">
        <v>0.65500000000000003</v>
      </c>
      <c r="F78" s="26">
        <v>0.65500000000000003</v>
      </c>
      <c r="G78" s="26">
        <v>0.65500000000000003</v>
      </c>
    </row>
    <row r="79" spans="2:7" ht="14" customHeight="1" x14ac:dyDescent="0.3">
      <c r="B79" s="4" t="s">
        <v>116</v>
      </c>
      <c r="C79" s="26">
        <v>0.66200000000000003</v>
      </c>
      <c r="D79" s="26">
        <v>0.66200000000000003</v>
      </c>
      <c r="E79" s="26">
        <v>0.66200000000000003</v>
      </c>
      <c r="F79" s="26">
        <v>0.66200000000000003</v>
      </c>
      <c r="G79" s="26">
        <v>0.66200000000000003</v>
      </c>
    </row>
    <row r="80" spans="2:7" ht="14" customHeight="1" x14ac:dyDescent="0.3">
      <c r="B80" s="4" t="s">
        <v>117</v>
      </c>
      <c r="C80" s="26">
        <v>0.68</v>
      </c>
      <c r="D80" s="26">
        <v>0.68</v>
      </c>
      <c r="E80" s="26">
        <v>0.68</v>
      </c>
      <c r="F80" s="26">
        <v>0.68</v>
      </c>
      <c r="G80" s="26">
        <v>0.68</v>
      </c>
    </row>
    <row r="82" spans="2:7" ht="14" customHeight="1" x14ac:dyDescent="0.3">
      <c r="B82" s="3" t="s">
        <v>85</v>
      </c>
    </row>
    <row r="83" spans="2:7" ht="14" customHeight="1" x14ac:dyDescent="0.3">
      <c r="B83" s="4" t="s">
        <v>77</v>
      </c>
      <c r="C83" s="26">
        <v>0.26200000000000001</v>
      </c>
      <c r="D83" s="26">
        <v>0.26150000000000001</v>
      </c>
      <c r="E83" s="26">
        <v>0.26100000000000001</v>
      </c>
      <c r="F83" s="26">
        <v>0.26050000000000001</v>
      </c>
      <c r="G83" s="26">
        <v>0.26019999999999999</v>
      </c>
    </row>
    <row r="84" spans="2:7" ht="14" customHeight="1" x14ac:dyDescent="0.3">
      <c r="B84" s="4" t="s">
        <v>114</v>
      </c>
      <c r="C84" s="26">
        <v>0.26400000000000001</v>
      </c>
      <c r="D84" s="26">
        <v>0.26200000000000001</v>
      </c>
      <c r="E84" s="26">
        <v>0.26</v>
      </c>
      <c r="F84" s="26">
        <v>0.25850000000000001</v>
      </c>
      <c r="G84" s="26">
        <v>0.25729999999999997</v>
      </c>
    </row>
    <row r="85" spans="2:7" ht="14" customHeight="1" x14ac:dyDescent="0.3">
      <c r="B85" s="4" t="s">
        <v>115</v>
      </c>
      <c r="C85" s="26">
        <v>0.26200000000000001</v>
      </c>
      <c r="D85" s="26">
        <v>0.26150000000000001</v>
      </c>
      <c r="E85" s="26">
        <v>0.26100000000000001</v>
      </c>
      <c r="F85" s="26">
        <v>0.26050000000000001</v>
      </c>
      <c r="G85" s="26">
        <v>0.26019999999999999</v>
      </c>
    </row>
    <row r="86" spans="2:7" ht="14" customHeight="1" x14ac:dyDescent="0.3">
      <c r="B86" s="4" t="s">
        <v>116</v>
      </c>
      <c r="C86" s="26">
        <v>0.25800000000000001</v>
      </c>
      <c r="D86" s="26">
        <v>0.26100000000000001</v>
      </c>
      <c r="E86" s="26">
        <v>0.26400000000000001</v>
      </c>
      <c r="F86" s="26">
        <v>0.26600000000000001</v>
      </c>
      <c r="G86" s="26">
        <v>0.26600000000000001</v>
      </c>
    </row>
    <row r="87" spans="2:7" ht="14" customHeight="1" x14ac:dyDescent="0.3">
      <c r="B87" s="4" t="s">
        <v>117</v>
      </c>
      <c r="C87" s="26">
        <v>0.27</v>
      </c>
      <c r="D87" s="26">
        <v>0.27800000000000002</v>
      </c>
      <c r="E87" s="26">
        <v>0.27900000000000003</v>
      </c>
      <c r="F87" s="26">
        <v>0.27600000000000002</v>
      </c>
      <c r="G87" s="26">
        <v>0.27200000000000002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20500</v>
      </c>
    </row>
    <row r="7" spans="2:9" ht="14" customHeight="1" x14ac:dyDescent="0.3">
      <c r="B7" s="4" t="s">
        <v>65</v>
      </c>
      <c r="C7" s="15">
        <f>'DCF Model'!C15</f>
        <v>278336120</v>
      </c>
    </row>
    <row r="8" spans="2:9" ht="14" customHeight="1" x14ac:dyDescent="0.3">
      <c r="B8" s="4" t="s">
        <v>122</v>
      </c>
      <c r="C8" s="5">
        <f>C6*C7/1000000</f>
        <v>5705890.46</v>
      </c>
    </row>
    <row r="9" spans="2:9" ht="14" customHeight="1" x14ac:dyDescent="0.3">
      <c r="B9" s="4" t="s">
        <v>66</v>
      </c>
      <c r="C9" s="5">
        <f>'DCF Model'!C16</f>
        <v>161101</v>
      </c>
    </row>
    <row r="10" spans="2:9" ht="14" customHeight="1" x14ac:dyDescent="0.3">
      <c r="B10" s="4" t="s">
        <v>123</v>
      </c>
      <c r="C10" s="5">
        <f>C8+C9</f>
        <v>5866991.46</v>
      </c>
    </row>
    <row r="11" spans="2:9" ht="14" customHeight="1" x14ac:dyDescent="0.3">
      <c r="B11" s="4" t="s">
        <v>124</v>
      </c>
      <c r="C11" s="16">
        <f>'DCF Model'!C26</f>
        <v>9.5316494845360825E-2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414992</v>
      </c>
    </row>
    <row r="15" spans="2:9" ht="14" customHeight="1" x14ac:dyDescent="0.3">
      <c r="B15" s="4" t="s">
        <v>128</v>
      </c>
      <c r="C15" s="27">
        <v>414992</v>
      </c>
    </row>
    <row r="16" spans="2:9" ht="14" customHeight="1" x14ac:dyDescent="0.3">
      <c r="B16" s="4" t="s">
        <v>129</v>
      </c>
      <c r="C16" s="5">
        <f>'DCF Model'!G33</f>
        <v>6100852.9638976911</v>
      </c>
    </row>
    <row r="17" spans="2:9" ht="14" customHeight="1" x14ac:dyDescent="0.3">
      <c r="B17" s="4" t="s">
        <v>130</v>
      </c>
      <c r="C17" s="5">
        <f>'DCF Model'!C53</f>
        <v>3387526.7230148711</v>
      </c>
    </row>
    <row r="18" spans="2:9" ht="14" customHeight="1" x14ac:dyDescent="0.3">
      <c r="B18" s="4" t="s">
        <v>131</v>
      </c>
      <c r="C18" s="26">
        <v>8.2749555536590372E-2</v>
      </c>
    </row>
    <row r="19" spans="2:9" ht="14" customHeight="1" x14ac:dyDescent="0.3">
      <c r="B19" s="4" t="s">
        <v>132</v>
      </c>
      <c r="C19" s="5">
        <f>C10-C17</f>
        <v>2479464.7369851288</v>
      </c>
    </row>
    <row r="20" spans="2:9" ht="14" customHeight="1" x14ac:dyDescent="0.3">
      <c r="B20" s="4" t="s">
        <v>133</v>
      </c>
      <c r="C20" s="15">
        <f>IFERROR(ROUND(C19*1000000/C7,0),"N/A")</f>
        <v>8908</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500551.146654866</v>
      </c>
    </row>
    <row r="25" spans="2:9" ht="14" customHeight="1" x14ac:dyDescent="0.3">
      <c r="B25" s="4" t="s">
        <v>137</v>
      </c>
      <c r="C25" s="5">
        <f>IFERROR(C24/(1-C13),"N/A")</f>
        <v>667401.52887315466</v>
      </c>
    </row>
    <row r="26" spans="2:9" ht="13.5" customHeight="1" x14ac:dyDescent="0.25">
      <c r="B26" s="6" t="s">
        <v>138</v>
      </c>
      <c r="C26" s="14">
        <f>IFERROR(C25/C15,"N/A")</f>
        <v>1.6082274570911117</v>
      </c>
    </row>
    <row r="27" spans="2:9" ht="13.5" customHeight="1" x14ac:dyDescent="0.25">
      <c r="B27" s="6" t="s">
        <v>139</v>
      </c>
      <c r="C27" s="14">
        <f>IFERROR(C25/C14,"N/A")</f>
        <v>1.6082274570911117</v>
      </c>
    </row>
    <row r="28" spans="2:9" ht="13.5" customHeight="1" x14ac:dyDescent="0.25">
      <c r="B28" s="6" t="s">
        <v>140</v>
      </c>
      <c r="C28" s="7">
        <f>IFERROR(C25/C16,"N/A")</f>
        <v>0.10939479001093112</v>
      </c>
    </row>
    <row r="29" spans="2:9" ht="13.5" customHeight="1" x14ac:dyDescent="0.25">
      <c r="B29" s="6" t="s">
        <v>141</v>
      </c>
      <c r="C29" s="5">
        <f>IFERROR(C25/C18,"N/A")</f>
        <v>8065318.5935003804</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7.5316494845360821E-2</v>
      </c>
      <c r="E36" s="29">
        <f>'DCF Model'!C26-0.01</f>
        <v>8.531649484536083E-2</v>
      </c>
      <c r="F36" s="29">
        <f>'DCF Model'!C26</f>
        <v>9.5316494845360825E-2</v>
      </c>
      <c r="G36" s="29">
        <f>'DCF Model'!C26+0.01</f>
        <v>0.10531649484536082</v>
      </c>
      <c r="H36" s="29">
        <f>'DCF Model'!C26+0.02</f>
        <v>0.11531649484536083</v>
      </c>
    </row>
    <row r="37" spans="2:9" ht="14" customHeight="1" x14ac:dyDescent="0.3">
      <c r="B37" s="3" t="s">
        <v>147</v>
      </c>
    </row>
    <row r="38" spans="2:9" ht="14" customHeight="1" x14ac:dyDescent="0.3">
      <c r="B38" s="4" t="s">
        <v>148</v>
      </c>
      <c r="C38" s="30">
        <v>3</v>
      </c>
      <c r="D38" s="13">
        <f t="shared" ref="D38:H41" si="0">IFERROR((1-(1+D$36)^(-$C38))/D$36-(1+D$36)/(D$36^2*$C38)*(1-($C38+1)/(1+D$36)^$C38+$C38/(1+D$36)^($C38+1)),"N/A")</f>
        <v>0.90824694542852691</v>
      </c>
      <c r="E38" s="13">
        <f t="shared" si="0"/>
        <v>0.89724678783583567</v>
      </c>
      <c r="F38" s="13">
        <f t="shared" si="0"/>
        <v>0.88649510253917785</v>
      </c>
      <c r="G38" s="13">
        <f t="shared" si="0"/>
        <v>0.87598386498393355</v>
      </c>
      <c r="H38" s="13">
        <f t="shared" si="0"/>
        <v>0.86570538392736762</v>
      </c>
    </row>
    <row r="39" spans="2:9" ht="14" customHeight="1" x14ac:dyDescent="0.3">
      <c r="B39" s="4" t="s">
        <v>149</v>
      </c>
      <c r="C39" s="30">
        <v>5</v>
      </c>
      <c r="D39" s="13">
        <f t="shared" si="0"/>
        <v>1.7341448708824081</v>
      </c>
      <c r="E39" s="13">
        <f t="shared" si="0"/>
        <v>1.7035240741070456</v>
      </c>
      <c r="F39" s="13">
        <f t="shared" si="0"/>
        <v>1.6738515906715934</v>
      </c>
      <c r="G39" s="13">
        <f t="shared" si="0"/>
        <v>1.6450872732751298</v>
      </c>
      <c r="H39" s="13">
        <f t="shared" si="0"/>
        <v>1.6171930873610232</v>
      </c>
    </row>
    <row r="40" spans="2:9" ht="14" customHeight="1" x14ac:dyDescent="0.3">
      <c r="B40" s="4" t="s">
        <v>150</v>
      </c>
      <c r="C40" s="30">
        <v>7</v>
      </c>
      <c r="D40" s="13">
        <f t="shared" si="0"/>
        <v>2.4860733737404894</v>
      </c>
      <c r="E40" s="13">
        <f t="shared" si="0"/>
        <v>2.4291799074901541</v>
      </c>
      <c r="F40" s="13">
        <f t="shared" si="0"/>
        <v>2.3745048182984618</v>
      </c>
      <c r="G40" s="13">
        <f t="shared" si="0"/>
        <v>2.3219326991569047</v>
      </c>
      <c r="H40" s="13">
        <f t="shared" si="0"/>
        <v>2.2713554570607091</v>
      </c>
    </row>
    <row r="41" spans="2:9" ht="14" customHeight="1" x14ac:dyDescent="0.3">
      <c r="B41" s="4" t="s">
        <v>151</v>
      </c>
      <c r="C41" s="30">
        <v>10</v>
      </c>
      <c r="D41" s="13">
        <f t="shared" si="0"/>
        <v>3.4913937235576129</v>
      </c>
      <c r="E41" s="13">
        <f t="shared" si="0"/>
        <v>3.3860884142125043</v>
      </c>
      <c r="F41" s="13">
        <f t="shared" si="0"/>
        <v>3.2860876201647757</v>
      </c>
      <c r="G41" s="13">
        <f t="shared" si="0"/>
        <v>3.1910417284417361</v>
      </c>
      <c r="H41" s="13">
        <f t="shared" si="0"/>
        <v>3.1006287036813376</v>
      </c>
    </row>
    <row r="42" spans="2:9" ht="14" customHeight="1" x14ac:dyDescent="0.3">
      <c r="B42" s="3" t="s">
        <v>152</v>
      </c>
    </row>
    <row r="43" spans="2:9" ht="14" customHeight="1" x14ac:dyDescent="0.3">
      <c r="B43" s="4" t="s">
        <v>148</v>
      </c>
      <c r="C43" s="30">
        <v>3</v>
      </c>
      <c r="D43" s="13">
        <f t="shared" ref="D43:H46" si="1">IFERROR((1+D$36)/(D$36^2*$C43)*(1-($C43+1)/(1+D$36)^$C43+$C43/(1+D$36)^($C43+1))+(1+$C$12)/((D$36-$C$12)*(1+D$36)^$C43),"N/A")</f>
        <v>14.127039035801094</v>
      </c>
      <c r="E43" s="13">
        <f t="shared" si="1"/>
        <v>12.145002463743449</v>
      </c>
      <c r="F43" s="13">
        <f t="shared" si="1"/>
        <v>10.629858563384719</v>
      </c>
      <c r="G43" s="13">
        <f t="shared" si="1"/>
        <v>9.4345890122547296</v>
      </c>
      <c r="H43" s="13">
        <f t="shared" si="1"/>
        <v>8.468016790900581</v>
      </c>
    </row>
    <row r="44" spans="2:9" ht="14" customHeight="1" x14ac:dyDescent="0.3">
      <c r="B44" s="4" t="s">
        <v>149</v>
      </c>
      <c r="C44" s="30">
        <v>5</v>
      </c>
      <c r="D44" s="13">
        <f t="shared" si="1"/>
        <v>13.063502920073647</v>
      </c>
      <c r="E44" s="13">
        <f t="shared" si="1"/>
        <v>11.139173095090207</v>
      </c>
      <c r="F44" s="13">
        <f t="shared" si="1"/>
        <v>9.6718710047092937</v>
      </c>
      <c r="G44" s="13">
        <f t="shared" si="1"/>
        <v>8.5175057053938552</v>
      </c>
      <c r="H44" s="13">
        <f t="shared" si="1"/>
        <v>7.5867255707695698</v>
      </c>
    </row>
    <row r="45" spans="2:9" ht="14" customHeight="1" x14ac:dyDescent="0.3">
      <c r="B45" s="4" t="s">
        <v>150</v>
      </c>
      <c r="C45" s="30">
        <v>7</v>
      </c>
      <c r="D45" s="13">
        <f t="shared" si="1"/>
        <v>12.106059372010968</v>
      </c>
      <c r="E45" s="13">
        <f t="shared" si="1"/>
        <v>10.244105539657845</v>
      </c>
      <c r="F45" s="13">
        <f t="shared" si="1"/>
        <v>8.8289918217317407</v>
      </c>
      <c r="G45" s="13">
        <f t="shared" si="1"/>
        <v>7.7195364974679492</v>
      </c>
      <c r="H45" s="13">
        <f t="shared" si="1"/>
        <v>6.8282137405002103</v>
      </c>
    </row>
    <row r="46" spans="2:9" ht="14" customHeight="1" x14ac:dyDescent="0.3">
      <c r="B46" s="4" t="s">
        <v>151</v>
      </c>
      <c r="C46" s="30">
        <v>10</v>
      </c>
      <c r="D46" s="13">
        <f t="shared" si="1"/>
        <v>10.843361317340706</v>
      </c>
      <c r="E46" s="13">
        <f t="shared" si="1"/>
        <v>9.0798252133590935</v>
      </c>
      <c r="F46" s="13">
        <f t="shared" si="1"/>
        <v>7.7472047938879021</v>
      </c>
      <c r="G46" s="13">
        <f t="shared" si="1"/>
        <v>6.7086816563235301</v>
      </c>
      <c r="H46" s="13">
        <f t="shared" si="1"/>
        <v>5.8794970095910601</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527055.95594048733</v>
      </c>
      <c r="E48" s="5">
        <f t="shared" si="2"/>
        <v>613446.15312050143</v>
      </c>
      <c r="F48" s="5">
        <f t="shared" si="2"/>
        <v>701304.4303416718</v>
      </c>
      <c r="G48" s="5">
        <f t="shared" si="2"/>
        <v>790615.14753995254</v>
      </c>
      <c r="H48" s="5">
        <f t="shared" si="2"/>
        <v>881362.73883314722</v>
      </c>
    </row>
    <row r="49" spans="2:9" ht="14" customHeight="1" x14ac:dyDescent="0.3">
      <c r="B49" s="4" t="s">
        <v>149</v>
      </c>
      <c r="C49" s="30">
        <v>5</v>
      </c>
      <c r="D49" s="5">
        <f t="shared" si="2"/>
        <v>543728.51410536713</v>
      </c>
      <c r="E49" s="5">
        <f t="shared" si="2"/>
        <v>638800.23738696962</v>
      </c>
      <c r="F49" s="5">
        <f t="shared" si="2"/>
        <v>736984.62864251784</v>
      </c>
      <c r="G49" s="5">
        <f t="shared" si="2"/>
        <v>838268.55763272429</v>
      </c>
      <c r="H49" s="5">
        <f t="shared" si="2"/>
        <v>942637.639859227</v>
      </c>
    </row>
    <row r="50" spans="2:9" ht="14" customHeight="1" x14ac:dyDescent="0.3">
      <c r="B50" s="4" t="s">
        <v>150</v>
      </c>
      <c r="C50" s="30">
        <v>7</v>
      </c>
      <c r="D50" s="5">
        <f t="shared" si="2"/>
        <v>560955.01515425195</v>
      </c>
      <c r="E50" s="5">
        <f t="shared" si="2"/>
        <v>665218.1613562773</v>
      </c>
      <c r="F50" s="5">
        <f t="shared" si="2"/>
        <v>774409.45857662021</v>
      </c>
      <c r="G50" s="5">
        <f t="shared" si="2"/>
        <v>888534.14807499025</v>
      </c>
      <c r="H50" s="5">
        <f t="shared" si="2"/>
        <v>1007593.0832914223</v>
      </c>
    </row>
    <row r="51" spans="2:9" ht="14" customHeight="1" x14ac:dyDescent="0.3">
      <c r="B51" s="4" t="s">
        <v>151</v>
      </c>
      <c r="C51" s="30">
        <v>10</v>
      </c>
      <c r="D51" s="5">
        <f t="shared" si="2"/>
        <v>587802.49309598014</v>
      </c>
      <c r="E51" s="5">
        <f t="shared" si="2"/>
        <v>706781.85163379135</v>
      </c>
      <c r="F51" s="5">
        <f t="shared" si="2"/>
        <v>833714.27220154589</v>
      </c>
      <c r="G51" s="5">
        <f t="shared" si="2"/>
        <v>968655.06875038368</v>
      </c>
      <c r="H51" s="5">
        <f t="shared" si="2"/>
        <v>1111645.9728340725</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1.2700388343401494</v>
      </c>
      <c r="E53" s="14">
        <f t="shared" si="3"/>
        <v>1.4782119971481413</v>
      </c>
      <c r="F53" s="14">
        <f t="shared" si="3"/>
        <v>1.6899227704188799</v>
      </c>
      <c r="G53" s="14">
        <f t="shared" si="3"/>
        <v>1.9051334665245416</v>
      </c>
      <c r="H53" s="14">
        <f t="shared" si="3"/>
        <v>2.1238065765921927</v>
      </c>
    </row>
    <row r="54" spans="2:9" ht="14" customHeight="1" x14ac:dyDescent="0.3">
      <c r="B54" s="4" t="s">
        <v>149</v>
      </c>
      <c r="C54" s="30">
        <v>5</v>
      </c>
      <c r="D54" s="14">
        <f t="shared" si="3"/>
        <v>1.3102144477613233</v>
      </c>
      <c r="E54" s="14">
        <f t="shared" si="3"/>
        <v>1.5393073538453022</v>
      </c>
      <c r="F54" s="14">
        <f t="shared" si="3"/>
        <v>1.7759008092746795</v>
      </c>
      <c r="G54" s="14">
        <f t="shared" si="3"/>
        <v>2.0199631743087201</v>
      </c>
      <c r="H54" s="14">
        <f t="shared" si="3"/>
        <v>2.2714597868374016</v>
      </c>
    </row>
    <row r="55" spans="2:9" ht="14" customHeight="1" x14ac:dyDescent="0.3">
      <c r="B55" s="4" t="s">
        <v>150</v>
      </c>
      <c r="C55" s="30">
        <v>7</v>
      </c>
      <c r="D55" s="14">
        <f t="shared" si="3"/>
        <v>1.3517248890442513</v>
      </c>
      <c r="E55" s="14">
        <f t="shared" si="3"/>
        <v>1.6029662291231572</v>
      </c>
      <c r="F55" s="14">
        <f t="shared" si="3"/>
        <v>1.8660828608180886</v>
      </c>
      <c r="G55" s="14">
        <f t="shared" si="3"/>
        <v>2.1410874139139797</v>
      </c>
      <c r="H55" s="14">
        <f t="shared" si="3"/>
        <v>2.4279819449324864</v>
      </c>
    </row>
    <row r="56" spans="2:9" ht="14" customHeight="1" x14ac:dyDescent="0.3">
      <c r="B56" s="4" t="s">
        <v>151</v>
      </c>
      <c r="C56" s="30">
        <v>10</v>
      </c>
      <c r="D56" s="14">
        <f t="shared" si="3"/>
        <v>1.4164188540887057</v>
      </c>
      <c r="E56" s="14">
        <f t="shared" si="3"/>
        <v>1.7031216303779142</v>
      </c>
      <c r="F56" s="14">
        <f t="shared" si="3"/>
        <v>2.0089887809922744</v>
      </c>
      <c r="G56" s="14">
        <f t="shared" si="3"/>
        <v>2.334153595130469</v>
      </c>
      <c r="H56" s="14">
        <f t="shared" si="3"/>
        <v>2.6787166326918892</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736984.62864251784</v>
      </c>
    </row>
    <row r="62" spans="2:9" ht="14" customHeight="1" x14ac:dyDescent="0.3">
      <c r="B62" s="28" t="s">
        <v>158</v>
      </c>
      <c r="C62" s="28" t="s">
        <v>159</v>
      </c>
      <c r="D62" s="28" t="s">
        <v>160</v>
      </c>
    </row>
    <row r="63" spans="2:9" ht="14" customHeight="1" x14ac:dyDescent="0.3">
      <c r="B63" s="31">
        <v>4.1399999999999999E-2</v>
      </c>
      <c r="C63" s="5">
        <f>IFERROR($C$60/B63,"N/A")</f>
        <v>17801561.078321688</v>
      </c>
      <c r="D63" s="14">
        <f>IFERROR(C63/'DCF Model'!C17,"N/A")</f>
        <v>3.5496377450374608</v>
      </c>
    </row>
    <row r="64" spans="2:9" ht="14" customHeight="1" x14ac:dyDescent="0.3">
      <c r="B64" s="31">
        <v>6.2100000000000002E-2</v>
      </c>
      <c r="C64" s="5">
        <f>IFERROR($C$60/B64,"N/A")</f>
        <v>11867707.385547791</v>
      </c>
      <c r="D64" s="14">
        <f>IFERROR(C64/'DCF Model'!C17,"N/A")</f>
        <v>2.3664251633583069</v>
      </c>
    </row>
    <row r="65" spans="2:9" ht="14" customHeight="1" x14ac:dyDescent="0.3">
      <c r="B65" s="4" t="s">
        <v>161</v>
      </c>
      <c r="C65" s="5">
        <f>IFERROR($C$60/$C$18,"N/A")</f>
        <v>8906206.4909416512</v>
      </c>
      <c r="D65" s="14">
        <f>IFERROR(C65/'DCF Model'!C17,"N/A")</f>
        <v>1.7759008092746795</v>
      </c>
    </row>
    <row r="66" spans="2:9" ht="14" customHeight="1" x14ac:dyDescent="0.3">
      <c r="B66" s="31">
        <v>0.10340000000000001</v>
      </c>
      <c r="C66" s="5">
        <f>IFERROR($C$60/B66,"N/A")</f>
        <v>7127510.9153048145</v>
      </c>
      <c r="D66" s="14">
        <f>IFERROR(C66/'DCF Model'!C17,"N/A")</f>
        <v>1.4212282654211883</v>
      </c>
    </row>
    <row r="67" spans="2:9" ht="14" customHeight="1" x14ac:dyDescent="0.3">
      <c r="B67" s="31">
        <v>0.1241</v>
      </c>
      <c r="C67" s="5">
        <f>IFERROR($C$60/B67,"N/A")</f>
        <v>5938635.202598854</v>
      </c>
      <c r="D67" s="14">
        <f>IFERROR(C67/'DCF Model'!C17,"N/A")</f>
        <v>1.1841660164750272</v>
      </c>
    </row>
    <row r="69" spans="2:9" ht="14" customHeight="1" x14ac:dyDescent="0.3">
      <c r="B69" s="8" t="s">
        <v>162</v>
      </c>
      <c r="C69" s="9"/>
      <c r="D69" s="9"/>
      <c r="E69" s="9"/>
      <c r="F69" s="9"/>
      <c r="G69" s="9"/>
      <c r="H69" s="9"/>
      <c r="I69" s="9"/>
    </row>
    <row r="70" spans="2:9" ht="13.5" customHeight="1" x14ac:dyDescent="0.25">
      <c r="B70" s="6" t="s">
        <v>163</v>
      </c>
      <c r="C70" s="14">
        <f>IFERROR(C10/'Comps Analysis'!G5,"N/A")</f>
        <v>8.4881487793656802</v>
      </c>
    </row>
    <row r="71" spans="2:9" ht="13.5" customHeight="1" x14ac:dyDescent="0.25">
      <c r="B71" s="6" t="s">
        <v>164</v>
      </c>
      <c r="C71" s="14">
        <f>IFERROR(C10/'Comps Analysis'!F5,"N/A")</f>
        <v>1.1698802281778236</v>
      </c>
    </row>
    <row r="72" spans="2:9" ht="14" customHeight="1" x14ac:dyDescent="0.3">
      <c r="B72" s="4" t="s">
        <v>165</v>
      </c>
      <c r="C72" s="14">
        <f>IFERROR(C10/(C25+'DCF Model'!G42),"N/A")</f>
        <v>5.8497438302595564</v>
      </c>
    </row>
    <row r="73" spans="2:9" ht="14" customHeight="1" x14ac:dyDescent="0.3">
      <c r="B73" s="4" t="s">
        <v>166</v>
      </c>
      <c r="C73" s="14">
        <f>IFERROR(C10/(C60+'DCF Model'!G42),"N/A")</f>
        <v>5.4702274312011658</v>
      </c>
    </row>
    <row r="74" spans="2:9" ht="14" customHeight="1" x14ac:dyDescent="0.3">
      <c r="B74" s="4" t="s">
        <v>167</v>
      </c>
      <c r="C74" s="14">
        <f>IFERROR('Comps Analysis'!D16,"N/A")</f>
        <v>14.333259113904496</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20,500 yen the market is paying for a steady-state operating profit of 736,985 mn JPY - 1.78x the FY2026 cycle peak of 414,992 mn - reached in 5 years and sustained for ever, against 414,992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667,402 mn, or 1.61x the peak. The base case supports an EV of only 3,387,527 mn, leaving 8,908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73.589294274258449</v>
      </c>
      <c r="D5" s="34">
        <f>CHOOSE('DCF Model'!$D$27,D25,D26,D27,D28,D29)</f>
        <v>68</v>
      </c>
      <c r="E5" s="34">
        <f>CHOOSE('DCF Model'!$D$27,E25,E26,E27,E28,E29)</f>
        <v>68</v>
      </c>
      <c r="F5" s="34">
        <f>CHOOSE('DCF Model'!$D$27,F25,F26,F27,F28,F29)</f>
        <v>68</v>
      </c>
      <c r="G5" s="34">
        <f>CHOOSE('DCF Model'!$D$27,G25,G26,G27,G28,G29)</f>
        <v>68</v>
      </c>
      <c r="H5" s="34">
        <f>CHOOSE('DCF Model'!$D$27,H25,H26,H27,H28,H29)</f>
        <v>68</v>
      </c>
    </row>
    <row r="6" spans="2:8" ht="14" customHeight="1" x14ac:dyDescent="0.3">
      <c r="B6" s="33" t="s">
        <v>174</v>
      </c>
      <c r="C6" s="34">
        <f>C13/C10*365</f>
        <v>126.52900562037873</v>
      </c>
      <c r="D6" s="34">
        <f>CHOOSE('DCF Model'!$D$27,D32,D33,D34,D35,D36)</f>
        <v>130</v>
      </c>
      <c r="E6" s="34">
        <f>CHOOSE('DCF Model'!$D$27,E32,E33,E34,E35,E36)</f>
        <v>130</v>
      </c>
      <c r="F6" s="34">
        <f>CHOOSE('DCF Model'!$D$27,F32,F33,F34,F35,F36)</f>
        <v>130</v>
      </c>
      <c r="G6" s="34">
        <f>CHOOSE('DCF Model'!$D$27,G32,G33,G34,G35,G36)</f>
        <v>130</v>
      </c>
      <c r="H6" s="34">
        <f>CHOOSE('DCF Model'!$D$27,H32,H33,H34,H35,H36)</f>
        <v>130</v>
      </c>
    </row>
    <row r="7" spans="2:8" ht="14" customHeight="1" x14ac:dyDescent="0.3">
      <c r="B7" s="33" t="s">
        <v>175</v>
      </c>
      <c r="C7" s="34">
        <f>C15/C10*365</f>
        <v>46.700270432555001</v>
      </c>
      <c r="D7" s="34">
        <f>CHOOSE('DCF Model'!$D$27,D39,D40,D41,D42,D43)</f>
        <v>45</v>
      </c>
      <c r="E7" s="34">
        <f>CHOOSE('DCF Model'!$D$27,E39,E40,E41,E42,E43)</f>
        <v>45</v>
      </c>
      <c r="F7" s="34">
        <f>CHOOSE('DCF Model'!$D$27,F39,F40,F41,F42,F43)</f>
        <v>45</v>
      </c>
      <c r="G7" s="34">
        <f>CHOOSE('DCF Model'!$D$27,G39,G40,G41,G42,G43)</f>
        <v>45</v>
      </c>
      <c r="H7" s="34">
        <f>CHOOSE('DCF Model'!$D$27,H39,H40,H41,H42,H43)</f>
        <v>45</v>
      </c>
    </row>
    <row r="8" spans="2:8" ht="14" customHeight="1" x14ac:dyDescent="0.3">
      <c r="B8" s="8" t="s">
        <v>176</v>
      </c>
      <c r="C8" s="9"/>
      <c r="D8" s="9"/>
      <c r="E8" s="9"/>
      <c r="F8" s="9"/>
      <c r="G8" s="9"/>
      <c r="H8" s="9"/>
    </row>
    <row r="9" spans="2:8" ht="14" customHeight="1" x14ac:dyDescent="0.3">
      <c r="B9" s="33" t="s">
        <v>31</v>
      </c>
      <c r="C9" s="35">
        <v>5015036</v>
      </c>
      <c r="D9" s="35">
        <f>'DCF Model'!C33</f>
        <v>5265787.8</v>
      </c>
      <c r="E9" s="35">
        <f>'DCF Model'!D33</f>
        <v>5502748.2509999992</v>
      </c>
      <c r="F9" s="35">
        <f>'DCF Model'!E33</f>
        <v>5722858.1810399992</v>
      </c>
      <c r="G9" s="35">
        <f>'DCF Model'!F33</f>
        <v>5923158.2173763989</v>
      </c>
      <c r="H9" s="35">
        <f>'DCF Model'!G33</f>
        <v>6100852.9638976911</v>
      </c>
    </row>
    <row r="10" spans="2:8" ht="14" customHeight="1" x14ac:dyDescent="0.3">
      <c r="B10" s="33" t="s">
        <v>32</v>
      </c>
      <c r="C10" s="35">
        <v>3282519</v>
      </c>
      <c r="D10" s="35">
        <f>'DCF Model'!C34</f>
        <v>3449091.0090000001</v>
      </c>
      <c r="E10" s="35">
        <f>'DCF Model'!D34</f>
        <v>3604300.1044049999</v>
      </c>
      <c r="F10" s="35">
        <f>'DCF Model'!E34</f>
        <v>3748472.1085811998</v>
      </c>
      <c r="G10" s="35">
        <f>'DCF Model'!F34</f>
        <v>3879668.6323815412</v>
      </c>
      <c r="H10" s="35">
        <f>'DCF Model'!G34</f>
        <v>3996058.6913529877</v>
      </c>
    </row>
    <row r="11" spans="2:8" ht="14" customHeight="1" x14ac:dyDescent="0.3">
      <c r="B11" s="8" t="s">
        <v>177</v>
      </c>
      <c r="C11" s="9"/>
      <c r="D11" s="9"/>
      <c r="E11" s="9"/>
      <c r="F11" s="9"/>
      <c r="G11" s="9"/>
      <c r="H11" s="9"/>
    </row>
    <row r="12" spans="2:8" ht="14" customHeight="1" x14ac:dyDescent="0.3">
      <c r="B12" s="33" t="s">
        <v>178</v>
      </c>
      <c r="C12" s="35">
        <v>1011104</v>
      </c>
      <c r="D12" s="35">
        <f t="shared" ref="D12:H13" si="0">D9*D5/365</f>
        <v>981023.48054794513</v>
      </c>
      <c r="E12" s="35">
        <f t="shared" si="0"/>
        <v>1025169.5371726026</v>
      </c>
      <c r="F12" s="35">
        <f t="shared" si="0"/>
        <v>1066176.3186595067</v>
      </c>
      <c r="G12" s="35">
        <f t="shared" si="0"/>
        <v>1103492.4898125893</v>
      </c>
      <c r="H12" s="35">
        <f t="shared" si="0"/>
        <v>1136597.264506967</v>
      </c>
    </row>
    <row r="13" spans="2:8" ht="14" customHeight="1" x14ac:dyDescent="0.3">
      <c r="B13" s="33" t="s">
        <v>179</v>
      </c>
      <c r="C13" s="35">
        <v>1137901</v>
      </c>
      <c r="D13" s="35">
        <f t="shared" si="0"/>
        <v>1228443.3730684931</v>
      </c>
      <c r="E13" s="35">
        <f t="shared" si="0"/>
        <v>1283723.3248565751</v>
      </c>
      <c r="F13" s="35">
        <f t="shared" si="0"/>
        <v>1335072.2578508381</v>
      </c>
      <c r="G13" s="35">
        <f t="shared" si="0"/>
        <v>1381799.7868756172</v>
      </c>
      <c r="H13" s="35">
        <f t="shared" si="0"/>
        <v>1423253.7804818861</v>
      </c>
    </row>
    <row r="14" spans="2:8" ht="14" customHeight="1" x14ac:dyDescent="0.3">
      <c r="B14" s="33" t="s">
        <v>180</v>
      </c>
      <c r="C14" s="35">
        <f t="shared" ref="C14:H14" si="1">C12+C13</f>
        <v>2149005</v>
      </c>
      <c r="D14" s="35">
        <f t="shared" si="1"/>
        <v>2209466.8536164383</v>
      </c>
      <c r="E14" s="35">
        <f t="shared" si="1"/>
        <v>2308892.8620291776</v>
      </c>
      <c r="F14" s="35">
        <f t="shared" si="1"/>
        <v>2401248.5765103446</v>
      </c>
      <c r="G14" s="35">
        <f t="shared" si="1"/>
        <v>2485292.2766882065</v>
      </c>
      <c r="H14" s="35">
        <f t="shared" si="1"/>
        <v>2559851.0449888529</v>
      </c>
    </row>
    <row r="15" spans="2:8" ht="14" customHeight="1" x14ac:dyDescent="0.3">
      <c r="B15" s="33" t="s">
        <v>181</v>
      </c>
      <c r="C15" s="35">
        <v>419985</v>
      </c>
      <c r="D15" s="35">
        <f>D10*D7/365</f>
        <v>425230.39836986299</v>
      </c>
      <c r="E15" s="35">
        <f>E10*E7/365</f>
        <v>444365.7662965068</v>
      </c>
      <c r="F15" s="35">
        <f>F10*F7/365</f>
        <v>462140.39694836712</v>
      </c>
      <c r="G15" s="35">
        <f>G10*G7/365</f>
        <v>478315.3108415599</v>
      </c>
      <c r="H15" s="35">
        <f>H10*H7/365</f>
        <v>492664.77016680676</v>
      </c>
    </row>
    <row r="16" spans="2:8" ht="14" customHeight="1" x14ac:dyDescent="0.3">
      <c r="B16" s="33" t="s">
        <v>182</v>
      </c>
      <c r="C16" s="35">
        <f t="shared" ref="C16:H16" si="2">C15</f>
        <v>419985</v>
      </c>
      <c r="D16" s="35">
        <f t="shared" si="2"/>
        <v>425230.39836986299</v>
      </c>
      <c r="E16" s="35">
        <f t="shared" si="2"/>
        <v>444365.7662965068</v>
      </c>
      <c r="F16" s="35">
        <f t="shared" si="2"/>
        <v>462140.39694836712</v>
      </c>
      <c r="G16" s="35">
        <f t="shared" si="2"/>
        <v>478315.3108415599</v>
      </c>
      <c r="H16" s="35">
        <f t="shared" si="2"/>
        <v>492664.77016680676</v>
      </c>
    </row>
    <row r="17" spans="2:8" ht="14" customHeight="1" x14ac:dyDescent="0.3">
      <c r="B17" s="22" t="s">
        <v>183</v>
      </c>
      <c r="C17" s="23"/>
      <c r="D17" s="23"/>
      <c r="E17" s="23"/>
      <c r="F17" s="23"/>
      <c r="G17" s="23"/>
      <c r="H17" s="23"/>
    </row>
    <row r="18" spans="2:8" ht="14" customHeight="1" x14ac:dyDescent="0.3">
      <c r="B18" s="33" t="s">
        <v>184</v>
      </c>
      <c r="C18" s="20">
        <f t="shared" ref="C18:H18" si="3">C14-C16</f>
        <v>1729020</v>
      </c>
      <c r="D18" s="20">
        <f t="shared" si="3"/>
        <v>1784236.4552465754</v>
      </c>
      <c r="E18" s="20">
        <f t="shared" si="3"/>
        <v>1864527.0957326707</v>
      </c>
      <c r="F18" s="20">
        <f t="shared" si="3"/>
        <v>1939108.1795619775</v>
      </c>
      <c r="G18" s="20">
        <f t="shared" si="3"/>
        <v>2006976.9658466466</v>
      </c>
      <c r="H18" s="20">
        <f t="shared" si="3"/>
        <v>2067186.274822046</v>
      </c>
    </row>
    <row r="19" spans="2:8" ht="14" customHeight="1" x14ac:dyDescent="0.3">
      <c r="B19" s="33" t="s">
        <v>93</v>
      </c>
      <c r="C19" s="36" t="s">
        <v>41</v>
      </c>
      <c r="D19" s="24">
        <f>D18-C18</f>
        <v>55216.45524657541</v>
      </c>
      <c r="E19" s="24">
        <f>E18-D18</f>
        <v>80290.640486095333</v>
      </c>
      <c r="F19" s="24">
        <f>F18-E18</f>
        <v>74581.083829306765</v>
      </c>
      <c r="G19" s="24">
        <f>G18-F18</f>
        <v>67868.78628466907</v>
      </c>
      <c r="H19" s="24">
        <f>H18-G18</f>
        <v>60209.308975399472</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68</v>
      </c>
      <c r="E25" s="30">
        <v>68</v>
      </c>
      <c r="F25" s="30">
        <v>68</v>
      </c>
      <c r="G25" s="30">
        <v>68</v>
      </c>
      <c r="H25" s="30">
        <v>68</v>
      </c>
    </row>
    <row r="26" spans="2:8" ht="14" customHeight="1" x14ac:dyDescent="0.3">
      <c r="B26" s="4" t="s">
        <v>114</v>
      </c>
      <c r="D26" s="30">
        <v>65</v>
      </c>
      <c r="E26" s="30">
        <v>65</v>
      </c>
      <c r="F26" s="30">
        <v>65</v>
      </c>
      <c r="G26" s="30">
        <v>65</v>
      </c>
      <c r="H26" s="30">
        <v>65</v>
      </c>
    </row>
    <row r="27" spans="2:8" ht="14" customHeight="1" x14ac:dyDescent="0.3">
      <c r="B27" s="4" t="s">
        <v>115</v>
      </c>
      <c r="D27" s="30">
        <v>68</v>
      </c>
      <c r="E27" s="30">
        <v>68</v>
      </c>
      <c r="F27" s="30">
        <v>68</v>
      </c>
      <c r="G27" s="30">
        <v>68</v>
      </c>
      <c r="H27" s="30">
        <v>68</v>
      </c>
    </row>
    <row r="28" spans="2:8" ht="14" customHeight="1" x14ac:dyDescent="0.3">
      <c r="B28" s="4" t="s">
        <v>116</v>
      </c>
      <c r="D28" s="30">
        <v>71</v>
      </c>
      <c r="E28" s="30">
        <v>71</v>
      </c>
      <c r="F28" s="30">
        <v>71</v>
      </c>
      <c r="G28" s="30">
        <v>71</v>
      </c>
      <c r="H28" s="30">
        <v>71</v>
      </c>
    </row>
    <row r="29" spans="2:8" ht="14" customHeight="1" x14ac:dyDescent="0.3">
      <c r="B29" s="4" t="s">
        <v>117</v>
      </c>
      <c r="D29" s="30">
        <v>75</v>
      </c>
      <c r="E29" s="30">
        <v>75</v>
      </c>
      <c r="F29" s="30">
        <v>75</v>
      </c>
      <c r="G29" s="30">
        <v>75</v>
      </c>
      <c r="H29" s="30">
        <v>75</v>
      </c>
    </row>
    <row r="31" spans="2:8" ht="14" customHeight="1" x14ac:dyDescent="0.3">
      <c r="B31" s="3" t="s">
        <v>187</v>
      </c>
    </row>
    <row r="32" spans="2:8" ht="14" customHeight="1" x14ac:dyDescent="0.3">
      <c r="B32" s="4" t="s">
        <v>77</v>
      </c>
      <c r="D32" s="30">
        <v>130</v>
      </c>
      <c r="E32" s="30">
        <v>130</v>
      </c>
      <c r="F32" s="30">
        <v>130</v>
      </c>
      <c r="G32" s="30">
        <v>130</v>
      </c>
      <c r="H32" s="30">
        <v>130</v>
      </c>
    </row>
    <row r="33" spans="2:8" ht="14" customHeight="1" x14ac:dyDescent="0.3">
      <c r="B33" s="4" t="s">
        <v>114</v>
      </c>
      <c r="D33" s="30">
        <v>124</v>
      </c>
      <c r="E33" s="30">
        <v>124</v>
      </c>
      <c r="F33" s="30">
        <v>124</v>
      </c>
      <c r="G33" s="30">
        <v>124</v>
      </c>
      <c r="H33" s="30">
        <v>124</v>
      </c>
    </row>
    <row r="34" spans="2:8" ht="14" customHeight="1" x14ac:dyDescent="0.3">
      <c r="B34" s="4" t="s">
        <v>115</v>
      </c>
      <c r="D34" s="30">
        <v>130</v>
      </c>
      <c r="E34" s="30">
        <v>130</v>
      </c>
      <c r="F34" s="30">
        <v>130</v>
      </c>
      <c r="G34" s="30">
        <v>130</v>
      </c>
      <c r="H34" s="30">
        <v>130</v>
      </c>
    </row>
    <row r="35" spans="2:8" ht="14" customHeight="1" x14ac:dyDescent="0.3">
      <c r="B35" s="4" t="s">
        <v>116</v>
      </c>
      <c r="D35" s="30">
        <v>137</v>
      </c>
      <c r="E35" s="30">
        <v>137</v>
      </c>
      <c r="F35" s="30">
        <v>137</v>
      </c>
      <c r="G35" s="30">
        <v>137</v>
      </c>
      <c r="H35" s="30">
        <v>137</v>
      </c>
    </row>
    <row r="36" spans="2:8" ht="14" customHeight="1" x14ac:dyDescent="0.3">
      <c r="B36" s="4" t="s">
        <v>117</v>
      </c>
      <c r="D36" s="30">
        <v>143</v>
      </c>
      <c r="E36" s="30">
        <v>143</v>
      </c>
      <c r="F36" s="30">
        <v>143</v>
      </c>
      <c r="G36" s="30">
        <v>143</v>
      </c>
      <c r="H36" s="30">
        <v>143</v>
      </c>
    </row>
    <row r="38" spans="2:8" ht="14" customHeight="1" x14ac:dyDescent="0.3">
      <c r="B38" s="3" t="s">
        <v>188</v>
      </c>
    </row>
    <row r="39" spans="2:8" ht="14" customHeight="1" x14ac:dyDescent="0.3">
      <c r="B39" s="4" t="s">
        <v>77</v>
      </c>
      <c r="D39" s="30">
        <v>45</v>
      </c>
      <c r="E39" s="30">
        <v>45</v>
      </c>
      <c r="F39" s="30">
        <v>45</v>
      </c>
      <c r="G39" s="30">
        <v>45</v>
      </c>
      <c r="H39" s="30">
        <v>45</v>
      </c>
    </row>
    <row r="40" spans="2:8" ht="14" customHeight="1" x14ac:dyDescent="0.3">
      <c r="B40" s="4" t="s">
        <v>114</v>
      </c>
      <c r="D40" s="30">
        <v>47</v>
      </c>
      <c r="E40" s="30">
        <v>47</v>
      </c>
      <c r="F40" s="30">
        <v>47</v>
      </c>
      <c r="G40" s="30">
        <v>47</v>
      </c>
      <c r="H40" s="30">
        <v>47</v>
      </c>
    </row>
    <row r="41" spans="2:8" ht="14" customHeight="1" x14ac:dyDescent="0.3">
      <c r="B41" s="4" t="s">
        <v>115</v>
      </c>
      <c r="D41" s="30">
        <v>45</v>
      </c>
      <c r="E41" s="30">
        <v>45</v>
      </c>
      <c r="F41" s="30">
        <v>45</v>
      </c>
      <c r="G41" s="30">
        <v>45</v>
      </c>
      <c r="H41" s="30">
        <v>45</v>
      </c>
    </row>
    <row r="42" spans="2:8" ht="14" customHeight="1" x14ac:dyDescent="0.3">
      <c r="B42" s="4" t="s">
        <v>116</v>
      </c>
      <c r="D42" s="30">
        <v>43</v>
      </c>
      <c r="E42" s="30">
        <v>43</v>
      </c>
      <c r="F42" s="30">
        <v>43</v>
      </c>
      <c r="G42" s="30">
        <v>43</v>
      </c>
      <c r="H42" s="30">
        <v>43</v>
      </c>
    </row>
    <row r="43" spans="2:8" ht="14" customHeight="1" x14ac:dyDescent="0.3">
      <c r="B43" s="4" t="s">
        <v>117</v>
      </c>
      <c r="D43" s="30">
        <v>41</v>
      </c>
      <c r="E43" s="30">
        <v>41</v>
      </c>
      <c r="F43" s="30">
        <v>41</v>
      </c>
      <c r="G43" s="30">
        <v>41</v>
      </c>
      <c r="H43" s="30">
        <v>41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5705890.46</v>
      </c>
      <c r="E5" s="37">
        <f>D5+C24</f>
        <v>5866991.46</v>
      </c>
      <c r="F5" s="37">
        <v>5015036</v>
      </c>
      <c r="G5" s="37">
        <v>691198</v>
      </c>
      <c r="H5" s="37">
        <v>414992</v>
      </c>
      <c r="I5" s="37">
        <v>275229</v>
      </c>
      <c r="J5" s="38">
        <f t="shared" ref="J5:J10" si="0">IFERROR(E5/G5,"")</f>
        <v>8.4881487793656802</v>
      </c>
      <c r="K5" s="38">
        <f t="shared" ref="K5:K10" si="1">IFERROR(E5/F5,"")</f>
        <v>1.1698802281778236</v>
      </c>
      <c r="L5" s="38">
        <f t="shared" ref="L5:L10" si="2">IFERROR(D5/I5,"")</f>
        <v>20.731428955524308</v>
      </c>
      <c r="M5" s="38">
        <f t="shared" ref="M5:M10" si="3">IFERROR(D5/P5,"")</f>
        <v>1.7531491723231853</v>
      </c>
      <c r="N5" s="39">
        <f t="shared" ref="N5:N10" si="4">IFERROR(H5/F5,"")</f>
        <v>8.2749555536590372E-2</v>
      </c>
      <c r="O5" s="39">
        <f t="shared" ref="O5:O10" si="5">IFERROR(I5/P5,"")</f>
        <v>8.4564801398121822E-2</v>
      </c>
      <c r="P5" s="37">
        <v>3254652</v>
      </c>
    </row>
    <row r="6" spans="2:17" ht="14" customHeight="1" x14ac:dyDescent="0.3">
      <c r="B6" s="4" t="s">
        <v>207</v>
      </c>
      <c r="C6" t="s">
        <v>208</v>
      </c>
      <c r="D6" s="37">
        <v>24068208</v>
      </c>
      <c r="E6" s="37">
        <v>23753765</v>
      </c>
      <c r="F6" s="37">
        <v>10586781</v>
      </c>
      <c r="G6" s="37">
        <v>1657248</v>
      </c>
      <c r="H6" s="37">
        <v>1199275</v>
      </c>
      <c r="I6" s="37">
        <v>802368</v>
      </c>
      <c r="J6" s="38">
        <f t="shared" si="0"/>
        <v>14.333259113904496</v>
      </c>
      <c r="K6" s="38">
        <f t="shared" si="1"/>
        <v>2.2437193137366305</v>
      </c>
      <c r="L6" s="38">
        <f t="shared" si="2"/>
        <v>29.996470447475474</v>
      </c>
      <c r="M6" s="38">
        <f t="shared" si="3"/>
        <v>3.6642594226968672</v>
      </c>
      <c r="N6" s="39">
        <f t="shared" si="4"/>
        <v>0.1132804201768224</v>
      </c>
      <c r="O6" s="39">
        <f t="shared" si="5"/>
        <v>0.12215635266532682</v>
      </c>
      <c r="P6" s="37">
        <v>6568369</v>
      </c>
    </row>
    <row r="7" spans="2:17" ht="14" customHeight="1" x14ac:dyDescent="0.3">
      <c r="B7" s="4" t="s">
        <v>209</v>
      </c>
      <c r="C7" t="s">
        <v>210</v>
      </c>
      <c r="D7" s="37">
        <v>10739696</v>
      </c>
      <c r="E7" s="37">
        <v>10371365</v>
      </c>
      <c r="F7" s="37">
        <v>5894747</v>
      </c>
      <c r="G7" s="37">
        <v>666879</v>
      </c>
      <c r="H7" s="37">
        <v>433095</v>
      </c>
      <c r="I7" s="37">
        <v>407758</v>
      </c>
      <c r="J7" s="38">
        <f t="shared" si="0"/>
        <v>15.552094158010673</v>
      </c>
      <c r="K7" s="38">
        <f t="shared" si="1"/>
        <v>1.7594249592052043</v>
      </c>
      <c r="L7" s="38">
        <f t="shared" si="2"/>
        <v>26.338406603917029</v>
      </c>
      <c r="M7" s="38">
        <f t="shared" si="3"/>
        <v>2.3949730011555959</v>
      </c>
      <c r="N7" s="39">
        <f t="shared" si="4"/>
        <v>7.3471346607411656E-2</v>
      </c>
      <c r="O7" s="39">
        <f t="shared" si="5"/>
        <v>9.0930823461409294E-2</v>
      </c>
      <c r="P7" s="37">
        <v>4484266</v>
      </c>
    </row>
    <row r="8" spans="2:17" ht="14" customHeight="1" x14ac:dyDescent="0.3">
      <c r="B8" s="4" t="s">
        <v>211</v>
      </c>
      <c r="C8" t="s">
        <v>212</v>
      </c>
      <c r="D8" s="37">
        <v>4804935</v>
      </c>
      <c r="E8" s="37">
        <v>4427091</v>
      </c>
      <c r="F8" s="37">
        <v>7539975</v>
      </c>
      <c r="G8" s="37">
        <v>930612</v>
      </c>
      <c r="H8" s="37">
        <v>552538</v>
      </c>
      <c r="I8" s="37">
        <v>443755</v>
      </c>
      <c r="J8" s="38">
        <f t="shared" si="0"/>
        <v>4.75718237031115</v>
      </c>
      <c r="K8" s="38">
        <f t="shared" si="1"/>
        <v>0.5871492942615858</v>
      </c>
      <c r="L8" s="38">
        <f t="shared" si="2"/>
        <v>10.827900530698246</v>
      </c>
      <c r="M8" s="38">
        <f t="shared" si="3"/>
        <v>0.87478737645623117</v>
      </c>
      <c r="N8" s="39">
        <f t="shared" si="4"/>
        <v>7.3281144831382067E-2</v>
      </c>
      <c r="O8" s="39">
        <f t="shared" si="5"/>
        <v>8.0790119375045627E-2</v>
      </c>
      <c r="P8" s="37">
        <v>5492689</v>
      </c>
    </row>
    <row r="9" spans="2:17" ht="14" customHeight="1" x14ac:dyDescent="0.3">
      <c r="B9" s="4" t="s">
        <v>213</v>
      </c>
      <c r="C9" t="s">
        <v>214</v>
      </c>
      <c r="D9" s="37">
        <v>12614226</v>
      </c>
      <c r="E9" s="37">
        <v>12155592</v>
      </c>
      <c r="F9" s="37">
        <v>4361127</v>
      </c>
      <c r="G9" s="37">
        <v>568788</v>
      </c>
      <c r="H9" s="37">
        <v>357574</v>
      </c>
      <c r="I9" s="37">
        <v>245447</v>
      </c>
      <c r="J9" s="38">
        <f t="shared" si="0"/>
        <v>21.371041583155762</v>
      </c>
      <c r="K9" s="38">
        <f t="shared" si="1"/>
        <v>2.7872593483289982</v>
      </c>
      <c r="L9" s="38">
        <f t="shared" si="2"/>
        <v>51.392870966033399</v>
      </c>
      <c r="M9" s="38">
        <f t="shared" si="3"/>
        <v>4.0841691581141539</v>
      </c>
      <c r="N9" s="39">
        <f t="shared" si="4"/>
        <v>8.1991191726358811E-2</v>
      </c>
      <c r="O9" s="39">
        <f t="shared" si="5"/>
        <v>7.946956613522263E-2</v>
      </c>
      <c r="P9" s="37">
        <v>3088566</v>
      </c>
    </row>
    <row r="10" spans="2:17" ht="14" customHeight="1" x14ac:dyDescent="0.3">
      <c r="B10" s="4" t="s">
        <v>215</v>
      </c>
      <c r="C10" t="s">
        <v>216</v>
      </c>
      <c r="D10" s="37">
        <v>4908944</v>
      </c>
      <c r="E10" s="37">
        <v>5022149</v>
      </c>
      <c r="F10" s="37">
        <v>4429452</v>
      </c>
      <c r="G10" s="37">
        <v>734466</v>
      </c>
      <c r="H10" s="37">
        <v>381237</v>
      </c>
      <c r="I10" s="37">
        <v>327264</v>
      </c>
      <c r="J10" s="38">
        <f t="shared" si="0"/>
        <v>6.8378236705306987</v>
      </c>
      <c r="K10" s="38">
        <f t="shared" si="1"/>
        <v>1.1338082002017404</v>
      </c>
      <c r="L10" s="38">
        <f t="shared" si="2"/>
        <v>14.999951109807373</v>
      </c>
      <c r="M10" s="38">
        <f t="shared" si="3"/>
        <v>1.3405847900195342</v>
      </c>
      <c r="N10" s="39">
        <f t="shared" si="4"/>
        <v>8.6068660412168374E-2</v>
      </c>
      <c r="O10" s="39">
        <f t="shared" si="5"/>
        <v>8.937261063091223E-2</v>
      </c>
      <c r="P10" s="37">
        <v>3661793</v>
      </c>
    </row>
    <row r="14" spans="2:17" ht="14" customHeight="1" x14ac:dyDescent="0.3">
      <c r="B14" s="3" t="s">
        <v>217</v>
      </c>
    </row>
    <row r="15" spans="2:17" ht="14" customHeight="1" x14ac:dyDescent="0.3">
      <c r="B15" s="4" t="s">
        <v>218</v>
      </c>
      <c r="D15" s="38">
        <f t="shared" ref="D15:I15" si="6">PERCENTILE(J6:J10,0.25)</f>
        <v>6.8378236705306987</v>
      </c>
      <c r="E15" s="38">
        <f t="shared" si="6"/>
        <v>1.1338082002017404</v>
      </c>
      <c r="F15" s="38">
        <f t="shared" si="6"/>
        <v>14.999951109807373</v>
      </c>
      <c r="G15" s="38">
        <f t="shared" si="6"/>
        <v>1.3405847900195342</v>
      </c>
      <c r="H15" s="39">
        <f t="shared" si="6"/>
        <v>7.3471346607411656E-2</v>
      </c>
      <c r="I15" s="39">
        <f t="shared" si="6"/>
        <v>8.0790119375045627E-2</v>
      </c>
    </row>
    <row r="16" spans="2:17" ht="14" customHeight="1" x14ac:dyDescent="0.3">
      <c r="B16" s="4" t="s">
        <v>219</v>
      </c>
      <c r="D16" s="38">
        <f t="shared" ref="D16:I16" si="7">MEDIAN(J6:J10)</f>
        <v>14.333259113904496</v>
      </c>
      <c r="E16" s="38">
        <f t="shared" si="7"/>
        <v>1.7594249592052043</v>
      </c>
      <c r="F16" s="38">
        <f t="shared" si="7"/>
        <v>26.338406603917029</v>
      </c>
      <c r="G16" s="38">
        <f t="shared" si="7"/>
        <v>2.3949730011555959</v>
      </c>
      <c r="H16" s="39">
        <f t="shared" si="7"/>
        <v>8.1991191726358811E-2</v>
      </c>
      <c r="I16" s="39">
        <f t="shared" si="7"/>
        <v>8.937261063091223E-2</v>
      </c>
    </row>
    <row r="17" spans="2:9" ht="14" customHeight="1" x14ac:dyDescent="0.3">
      <c r="B17" s="4" t="s">
        <v>220</v>
      </c>
      <c r="D17" s="38">
        <f t="shared" ref="D17:I17" si="8">PERCENTILE(J6:J10,0.75)</f>
        <v>15.552094158010673</v>
      </c>
      <c r="E17" s="38">
        <f t="shared" si="8"/>
        <v>2.2437193137366305</v>
      </c>
      <c r="F17" s="38">
        <f t="shared" si="8"/>
        <v>29.996470447475474</v>
      </c>
      <c r="G17" s="38">
        <f t="shared" si="8"/>
        <v>3.6642594226968672</v>
      </c>
      <c r="H17" s="39">
        <f t="shared" si="8"/>
        <v>8.6068660412168374E-2</v>
      </c>
      <c r="I17" s="39">
        <f t="shared" si="8"/>
        <v>9.0930823461409294E-2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691198</v>
      </c>
    </row>
    <row r="22" spans="2:9" ht="14" customHeight="1" x14ac:dyDescent="0.3">
      <c r="B22" s="4" t="s">
        <v>224</v>
      </c>
      <c r="C22" s="5">
        <v>275229</v>
      </c>
    </row>
    <row r="23" spans="2:9" ht="14" customHeight="1" x14ac:dyDescent="0.3">
      <c r="B23" s="4" t="s">
        <v>225</v>
      </c>
      <c r="C23" s="15">
        <v>278336120</v>
      </c>
    </row>
    <row r="24" spans="2:9" ht="14" customHeight="1" x14ac:dyDescent="0.3">
      <c r="B24" s="4" t="s">
        <v>66</v>
      </c>
      <c r="C24" s="5">
        <v>161101</v>
      </c>
    </row>
    <row r="26" spans="2:9" ht="14" customHeight="1" x14ac:dyDescent="0.3">
      <c r="B26" s="3" t="s">
        <v>226</v>
      </c>
    </row>
    <row r="27" spans="2:9" ht="14" customHeight="1" x14ac:dyDescent="0.3">
      <c r="B27" s="4" t="s">
        <v>227</v>
      </c>
      <c r="C27" s="24">
        <f>ROUND((C21*D16-C24)*1000000/C23,0)</f>
        <v>35015</v>
      </c>
    </row>
    <row r="28" spans="2:9" ht="14" customHeight="1" x14ac:dyDescent="0.3">
      <c r="B28" s="4" t="s">
        <v>228</v>
      </c>
      <c r="C28" s="24">
        <f>ROUND(C22*F16*1000000/C23,0)</f>
        <v>26044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9.5316494845360825E-2</v>
      </c>
      <c r="E3" s="4" t="s">
        <v>231</v>
      </c>
      <c r="F3" s="16">
        <f>'DCF Model'!C13</f>
        <v>0.01</v>
      </c>
      <c r="H3" s="4" t="s">
        <v>232</v>
      </c>
      <c r="I3" s="14">
        <f>'DCF Model'!C14</f>
        <v>14.3</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8.0316494845360825E-2</v>
      </c>
      <c r="C7" s="37">
        <f>IFERROR(ROUND(('DCF Model'!C45/(1+$B7)^('DCF Model'!C19+0)+'DCF Model'!D45/(1+$B7)^('DCF Model'!C19+1)+'DCF Model'!E45/(1+$B7)^('DCF Model'!C19+2)+'DCF Model'!F45/(1+$B7)^('DCF Model'!C19+3)+'DCF Model'!G45/(1+$B7)^('DCF Model'!C19+4)+'DCF Model'!G45*(1+C$6)/($B7-C$6)/(1+$B7)^('DCF Model'!C19+4)-'DCF Model'!C16)*1000000/'DCF Model'!C15,0),"")</f>
        <v>13141</v>
      </c>
      <c r="D7" s="37">
        <f>IFERROR(ROUND(('DCF Model'!C45/(1+$B7)^('DCF Model'!C19+0)+'DCF Model'!D45/(1+$B7)^('DCF Model'!C19+1)+'DCF Model'!E45/(1+$B7)^('DCF Model'!C19+2)+'DCF Model'!F45/(1+$B7)^('DCF Model'!C19+3)+'DCF Model'!G45/(1+$B7)^('DCF Model'!C19+4)+'DCF Model'!G45*(1+D$6)/($B7-D$6)/(1+$B7)^('DCF Model'!C19+4)-'DCF Model'!C16)*1000000/'DCF Model'!C15,0),"")</f>
        <v>13492</v>
      </c>
      <c r="E7" s="37">
        <f>IFERROR(ROUND(('DCF Model'!C45/(1+$B7)^('DCF Model'!C19+0)+'DCF Model'!D45/(1+$B7)^('DCF Model'!C19+1)+'DCF Model'!E45/(1+$B7)^('DCF Model'!C19+2)+'DCF Model'!F45/(1+$B7)^('DCF Model'!C19+3)+'DCF Model'!G45/(1+$B7)^('DCF Model'!C19+4)+'DCF Model'!G45*(1+E$6)/($B7-E$6)/(1+$B7)^('DCF Model'!C19+4)-'DCF Model'!C16)*1000000/'DCF Model'!C15,0),"")</f>
        <v>13866</v>
      </c>
      <c r="F7" s="37">
        <f>IFERROR(ROUND(('DCF Model'!C45/(1+$B7)^('DCF Model'!C19+0)+'DCF Model'!D45/(1+$B7)^('DCF Model'!C19+1)+'DCF Model'!E45/(1+$B7)^('DCF Model'!C19+2)+'DCF Model'!F45/(1+$B7)^('DCF Model'!C19+3)+'DCF Model'!G45/(1+$B7)^('DCF Model'!C19+4)+'DCF Model'!G45*(1+F$6)/($B7-F$6)/(1+$B7)^('DCF Model'!C19+4)-'DCF Model'!C16)*1000000/'DCF Model'!C15,0),"")</f>
        <v>14267</v>
      </c>
      <c r="G7" s="37">
        <f>IFERROR(ROUND(('DCF Model'!C45/(1+$B7)^('DCF Model'!C19+0)+'DCF Model'!D45/(1+$B7)^('DCF Model'!C19+1)+'DCF Model'!E45/(1+$B7)^('DCF Model'!C19+2)+'DCF Model'!F45/(1+$B7)^('DCF Model'!C19+3)+'DCF Model'!G45/(1+$B7)^('DCF Model'!C19+4)+'DCF Model'!G45*(1+G$6)/($B7-G$6)/(1+$B7)^('DCF Model'!C19+4)-'DCF Model'!C16)*1000000/'DCF Model'!C15,0),"")</f>
        <v>14697</v>
      </c>
      <c r="H7" s="37">
        <f>IFERROR(ROUND(('DCF Model'!C45/(1+$B7)^('DCF Model'!C19+0)+'DCF Model'!D45/(1+$B7)^('DCF Model'!C19+1)+'DCF Model'!E45/(1+$B7)^('DCF Model'!C19+2)+'DCF Model'!F45/(1+$B7)^('DCF Model'!C19+3)+'DCF Model'!G45/(1+$B7)^('DCF Model'!C19+4)+'DCF Model'!G45*(1+H$6)/($B7-H$6)/(1+$B7)^('DCF Model'!C19+4)-'DCF Model'!C16)*1000000/'DCF Model'!C15,0),"")</f>
        <v>15161</v>
      </c>
      <c r="I7" s="37">
        <f>IFERROR(ROUND(('DCF Model'!C45/(1+$B7)^('DCF Model'!C19+0)+'DCF Model'!D45/(1+$B7)^('DCF Model'!C19+1)+'DCF Model'!E45/(1+$B7)^('DCF Model'!C19+2)+'DCF Model'!F45/(1+$B7)^('DCF Model'!C19+3)+'DCF Model'!G45/(1+$B7)^('DCF Model'!C19+4)+'DCF Model'!G45*(1+I$6)/($B7-I$6)/(1+$B7)^('DCF Model'!C19+4)-'DCF Model'!C16)*1000000/'DCF Model'!C15,0),"")</f>
        <v>15661</v>
      </c>
    </row>
    <row r="8" spans="2:9" ht="13.5" customHeight="1" x14ac:dyDescent="0.25">
      <c r="B8" s="39">
        <f>$C$3-0.01</f>
        <v>8.531649484536083E-2</v>
      </c>
      <c r="C8" s="37">
        <f>IFERROR(ROUND(('DCF Model'!C45/(1+$B8)^('DCF Model'!C19+0)+'DCF Model'!D45/(1+$B8)^('DCF Model'!C19+1)+'DCF Model'!E45/(1+$B8)^('DCF Model'!C19+2)+'DCF Model'!F45/(1+$B8)^('DCF Model'!C19+3)+'DCF Model'!G45/(1+$B8)^('DCF Model'!C19+4)+'DCF Model'!G45*(1+C$6)/($B8-C$6)/(1+$B8)^('DCF Model'!C19+4)-'DCF Model'!C16)*1000000/'DCF Model'!C15,0),"")</f>
        <v>12287</v>
      </c>
      <c r="D8" s="37">
        <f>IFERROR(ROUND(('DCF Model'!C45/(1+$B8)^('DCF Model'!C19+0)+'DCF Model'!D45/(1+$B8)^('DCF Model'!C19+1)+'DCF Model'!E45/(1+$B8)^('DCF Model'!C19+2)+'DCF Model'!F45/(1+$B8)^('DCF Model'!C19+3)+'DCF Model'!G45/(1+$B8)^('DCF Model'!C19+4)+'DCF Model'!G45*(1+D$6)/($B8-D$6)/(1+$B8)^('DCF Model'!C19+4)-'DCF Model'!C16)*1000000/'DCF Model'!C15,0),"")</f>
        <v>12590</v>
      </c>
      <c r="E8" s="37">
        <f>IFERROR(ROUND(('DCF Model'!C45/(1+$B8)^('DCF Model'!C19+0)+'DCF Model'!D45/(1+$B8)^('DCF Model'!C19+1)+'DCF Model'!E45/(1+$B8)^('DCF Model'!C19+2)+'DCF Model'!F45/(1+$B8)^('DCF Model'!C19+3)+'DCF Model'!G45/(1+$B8)^('DCF Model'!C19+4)+'DCF Model'!G45*(1+E$6)/($B8-E$6)/(1+$B8)^('DCF Model'!C19+4)-'DCF Model'!C16)*1000000/'DCF Model'!C15,0),"")</f>
        <v>12912</v>
      </c>
      <c r="F8" s="37">
        <f>IFERROR(ROUND(('DCF Model'!C45/(1+$B8)^('DCF Model'!C19+0)+'DCF Model'!D45/(1+$B8)^('DCF Model'!C19+1)+'DCF Model'!E45/(1+$B8)^('DCF Model'!C19+2)+'DCF Model'!F45/(1+$B8)^('DCF Model'!C19+3)+'DCF Model'!G45/(1+$B8)^('DCF Model'!C19+4)+'DCF Model'!G45*(1+F$6)/($B8-F$6)/(1+$B8)^('DCF Model'!C19+4)-'DCF Model'!C16)*1000000/'DCF Model'!C15,0),"")</f>
        <v>13256</v>
      </c>
      <c r="G8" s="37">
        <f>IFERROR(ROUND(('DCF Model'!C45/(1+$B8)^('DCF Model'!C19+0)+'DCF Model'!D45/(1+$B8)^('DCF Model'!C19+1)+'DCF Model'!E45/(1+$B8)^('DCF Model'!C19+2)+'DCF Model'!F45/(1+$B8)^('DCF Model'!C19+3)+'DCF Model'!G45/(1+$B8)^('DCF Model'!C19+4)+'DCF Model'!G45*(1+G$6)/($B8-G$6)/(1+$B8)^('DCF Model'!C19+4)-'DCF Model'!C16)*1000000/'DCF Model'!C15,0),"")</f>
        <v>13624</v>
      </c>
      <c r="H8" s="37">
        <f>IFERROR(ROUND(('DCF Model'!C45/(1+$B8)^('DCF Model'!C19+0)+'DCF Model'!D45/(1+$B8)^('DCF Model'!C19+1)+'DCF Model'!E45/(1+$B8)^('DCF Model'!C19+2)+'DCF Model'!F45/(1+$B8)^('DCF Model'!C19+3)+'DCF Model'!G45/(1+$B8)^('DCF Model'!C19+4)+'DCF Model'!G45*(1+H$6)/($B8-H$6)/(1+$B8)^('DCF Model'!C19+4)-'DCF Model'!C16)*1000000/'DCF Model'!C15,0),"")</f>
        <v>14017</v>
      </c>
      <c r="I8" s="37">
        <f>IFERROR(ROUND(('DCF Model'!C45/(1+$B8)^('DCF Model'!C19+0)+'DCF Model'!D45/(1+$B8)^('DCF Model'!C19+1)+'DCF Model'!E45/(1+$B8)^('DCF Model'!C19+2)+'DCF Model'!F45/(1+$B8)^('DCF Model'!C19+3)+'DCF Model'!G45/(1+$B8)^('DCF Model'!C19+4)+'DCF Model'!G45*(1+I$6)/($B8-I$6)/(1+$B8)^('DCF Model'!C19+4)-'DCF Model'!C16)*1000000/'DCF Model'!C15,0),"")</f>
        <v>14440</v>
      </c>
    </row>
    <row r="9" spans="2:9" ht="13.5" customHeight="1" x14ac:dyDescent="0.25">
      <c r="B9" s="39">
        <f>$C$3-0.005</f>
        <v>9.031649484536082E-2</v>
      </c>
      <c r="C9" s="37">
        <f>IFERROR(ROUND(('DCF Model'!C45/(1+$B9)^('DCF Model'!C19+0)+'DCF Model'!D45/(1+$B9)^('DCF Model'!C19+1)+'DCF Model'!E45/(1+$B9)^('DCF Model'!C19+2)+'DCF Model'!F45/(1+$B9)^('DCF Model'!C19+3)+'DCF Model'!G45/(1+$B9)^('DCF Model'!C19+4)+'DCF Model'!G45*(1+C$6)/($B9-C$6)/(1+$B9)^('DCF Model'!C19+4)-'DCF Model'!C16)*1000000/'DCF Model'!C15,0),"")</f>
        <v>11530</v>
      </c>
      <c r="D9" s="37">
        <f>IFERROR(ROUND(('DCF Model'!C45/(1+$B9)^('DCF Model'!C19+0)+'DCF Model'!D45/(1+$B9)^('DCF Model'!C19+1)+'DCF Model'!E45/(1+$B9)^('DCF Model'!C19+2)+'DCF Model'!F45/(1+$B9)^('DCF Model'!C19+3)+'DCF Model'!G45/(1+$B9)^('DCF Model'!C19+4)+'DCF Model'!G45*(1+D$6)/($B9-D$6)/(1+$B9)^('DCF Model'!C19+4)-'DCF Model'!C16)*1000000/'DCF Model'!C15,0),"")</f>
        <v>11794</v>
      </c>
      <c r="E9" s="37">
        <f>IFERROR(ROUND(('DCF Model'!C45/(1+$B9)^('DCF Model'!C19+0)+'DCF Model'!D45/(1+$B9)^('DCF Model'!C19+1)+'DCF Model'!E45/(1+$B9)^('DCF Model'!C19+2)+'DCF Model'!F45/(1+$B9)^('DCF Model'!C19+3)+'DCF Model'!G45/(1+$B9)^('DCF Model'!C19+4)+'DCF Model'!G45*(1+E$6)/($B9-E$6)/(1+$B9)^('DCF Model'!C19+4)-'DCF Model'!C16)*1000000/'DCF Model'!C15,0),"")</f>
        <v>12075</v>
      </c>
      <c r="F9" s="37">
        <f>IFERROR(ROUND(('DCF Model'!C45/(1+$B9)^('DCF Model'!C19+0)+'DCF Model'!D45/(1+$B9)^('DCF Model'!C19+1)+'DCF Model'!E45/(1+$B9)^('DCF Model'!C19+2)+'DCF Model'!F45/(1+$B9)^('DCF Model'!C19+3)+'DCF Model'!G45/(1+$B9)^('DCF Model'!C19+4)+'DCF Model'!G45*(1+F$6)/($B9-F$6)/(1+$B9)^('DCF Model'!C19+4)-'DCF Model'!C16)*1000000/'DCF Model'!C15,0),"")</f>
        <v>12372</v>
      </c>
      <c r="G9" s="37">
        <f>IFERROR(ROUND(('DCF Model'!C45/(1+$B9)^('DCF Model'!C19+0)+'DCF Model'!D45/(1+$B9)^('DCF Model'!C19+1)+'DCF Model'!E45/(1+$B9)^('DCF Model'!C19+2)+'DCF Model'!F45/(1+$B9)^('DCF Model'!C19+3)+'DCF Model'!G45/(1+$B9)^('DCF Model'!C19+4)+'DCF Model'!G45*(1+G$6)/($B9-G$6)/(1+$B9)^('DCF Model'!C19+4)-'DCF Model'!C16)*1000000/'DCF Model'!C15,0),"")</f>
        <v>12689</v>
      </c>
      <c r="H9" s="37">
        <f>IFERROR(ROUND(('DCF Model'!C45/(1+$B9)^('DCF Model'!C19+0)+'DCF Model'!D45/(1+$B9)^('DCF Model'!C19+1)+'DCF Model'!E45/(1+$B9)^('DCF Model'!C19+2)+'DCF Model'!F45/(1+$B9)^('DCF Model'!C19+3)+'DCF Model'!G45/(1+$B9)^('DCF Model'!C19+4)+'DCF Model'!G45*(1+H$6)/($B9-H$6)/(1+$B9)^('DCF Model'!C19+4)-'DCF Model'!C16)*1000000/'DCF Model'!C15,0),"")</f>
        <v>13026</v>
      </c>
      <c r="I9" s="37">
        <f>IFERROR(ROUND(('DCF Model'!C45/(1+$B9)^('DCF Model'!C19+0)+'DCF Model'!D45/(1+$B9)^('DCF Model'!C19+1)+'DCF Model'!E45/(1+$B9)^('DCF Model'!C19+2)+'DCF Model'!F45/(1+$B9)^('DCF Model'!C19+3)+'DCF Model'!G45/(1+$B9)^('DCF Model'!C19+4)+'DCF Model'!G45*(1+I$6)/($B9-I$6)/(1+$B9)^('DCF Model'!C19+4)-'DCF Model'!C16)*1000000/'DCF Model'!C15,0),"")</f>
        <v>13387</v>
      </c>
    </row>
    <row r="10" spans="2:9" ht="13.5" customHeight="1" x14ac:dyDescent="0.25">
      <c r="B10" s="39">
        <f>$C$3</f>
        <v>9.5316494845360825E-2</v>
      </c>
      <c r="C10" s="37">
        <f>IFERROR(ROUND(('DCF Model'!C45/(1+$B10)^('DCF Model'!C19+0)+'DCF Model'!D45/(1+$B10)^('DCF Model'!C19+1)+'DCF Model'!E45/(1+$B10)^('DCF Model'!C19+2)+'DCF Model'!F45/(1+$B10)^('DCF Model'!C19+3)+'DCF Model'!G45/(1+$B10)^('DCF Model'!C19+4)+'DCF Model'!G45*(1+C$6)/($B10-C$6)/(1+$B10)^('DCF Model'!C19+4)-'DCF Model'!C16)*1000000/'DCF Model'!C15,0),"")</f>
        <v>10856</v>
      </c>
      <c r="D10" s="37">
        <f>IFERROR(ROUND(('DCF Model'!C45/(1+$B10)^('DCF Model'!C19+0)+'DCF Model'!D45/(1+$B10)^('DCF Model'!C19+1)+'DCF Model'!E45/(1+$B10)^('DCF Model'!C19+2)+'DCF Model'!F45/(1+$B10)^('DCF Model'!C19+3)+'DCF Model'!G45/(1+$B10)^('DCF Model'!C19+4)+'DCF Model'!G45*(1+D$6)/($B10-D$6)/(1+$B10)^('DCF Model'!C19+4)-'DCF Model'!C16)*1000000/'DCF Model'!C15,0),"")</f>
        <v>11088</v>
      </c>
      <c r="E10" s="37">
        <f>IFERROR(ROUND(('DCF Model'!C45/(1+$B10)^('DCF Model'!C19+0)+'DCF Model'!D45/(1+$B10)^('DCF Model'!C19+1)+'DCF Model'!E45/(1+$B10)^('DCF Model'!C19+2)+'DCF Model'!F45/(1+$B10)^('DCF Model'!C19+3)+'DCF Model'!G45/(1+$B10)^('DCF Model'!C19+4)+'DCF Model'!G45*(1+E$6)/($B10-E$6)/(1+$B10)^('DCF Model'!C19+4)-'DCF Model'!C16)*1000000/'DCF Model'!C15,0),"")</f>
        <v>11333</v>
      </c>
      <c r="F10" s="37">
        <f>IFERROR(ROUND(('DCF Model'!C45/(1+$B10)^('DCF Model'!C19+0)+'DCF Model'!D45/(1+$B10)^('DCF Model'!C19+1)+'DCF Model'!E45/(1+$B10)^('DCF Model'!C19+2)+'DCF Model'!F45/(1+$B10)^('DCF Model'!C19+3)+'DCF Model'!G45/(1+$B10)^('DCF Model'!C19+4)+'DCF Model'!G45*(1+F$6)/($B10-F$6)/(1+$B10)^('DCF Model'!C19+4)-'DCF Model'!C16)*1000000/'DCF Model'!C15,0),"")</f>
        <v>11592</v>
      </c>
      <c r="G10" s="37">
        <f>IFERROR(ROUND(('DCF Model'!C45/(1+$B10)^('DCF Model'!C19+0)+'DCF Model'!D45/(1+$B10)^('DCF Model'!C19+1)+'DCF Model'!E45/(1+$B10)^('DCF Model'!C19+2)+'DCF Model'!F45/(1+$B10)^('DCF Model'!C19+3)+'DCF Model'!G45/(1+$B10)^('DCF Model'!C19+4)+'DCF Model'!G45*(1+G$6)/($B10-G$6)/(1+$B10)^('DCF Model'!C19+4)-'DCF Model'!C16)*1000000/'DCF Model'!C15,0),"")</f>
        <v>11867</v>
      </c>
      <c r="H10" s="37">
        <f>IFERROR(ROUND(('DCF Model'!C45/(1+$B10)^('DCF Model'!C19+0)+'DCF Model'!D45/(1+$B10)^('DCF Model'!C19+1)+'DCF Model'!E45/(1+$B10)^('DCF Model'!C19+2)+'DCF Model'!F45/(1+$B10)^('DCF Model'!C19+3)+'DCF Model'!G45/(1+$B10)^('DCF Model'!C19+4)+'DCF Model'!G45*(1+H$6)/($B10-H$6)/(1+$B10)^('DCF Model'!C19+4)-'DCF Model'!C16)*1000000/'DCF Model'!C15,0),"")</f>
        <v>12159</v>
      </c>
      <c r="I10" s="37">
        <f>IFERROR(ROUND(('DCF Model'!C45/(1+$B10)^('DCF Model'!C19+0)+'DCF Model'!D45/(1+$B10)^('DCF Model'!C19+1)+'DCF Model'!E45/(1+$B10)^('DCF Model'!C19+2)+'DCF Model'!F45/(1+$B10)^('DCF Model'!C19+3)+'DCF Model'!G45/(1+$B10)^('DCF Model'!C19+4)+'DCF Model'!G45*(1+I$6)/($B10-I$6)/(1+$B10)^('DCF Model'!C19+4)-'DCF Model'!C16)*1000000/'DCF Model'!C15,0),"")</f>
        <v>12470</v>
      </c>
    </row>
    <row r="11" spans="2:9" ht="13.5" customHeight="1" x14ac:dyDescent="0.25">
      <c r="B11" s="39">
        <f>$C$3+0.005</f>
        <v>0.10031649484536083</v>
      </c>
      <c r="C11" s="37">
        <f>IFERROR(ROUND(('DCF Model'!C45/(1+$B11)^('DCF Model'!C19+0)+'DCF Model'!D45/(1+$B11)^('DCF Model'!C19+1)+'DCF Model'!E45/(1+$B11)^('DCF Model'!C19+2)+'DCF Model'!F45/(1+$B11)^('DCF Model'!C19+3)+'DCF Model'!G45/(1+$B11)^('DCF Model'!C19+4)+'DCF Model'!G45*(1+C$6)/($B11-C$6)/(1+$B11)^('DCF Model'!C19+4)-'DCF Model'!C16)*1000000/'DCF Model'!C15,0),"")</f>
        <v>10251</v>
      </c>
      <c r="D11" s="37">
        <f>IFERROR(ROUND(('DCF Model'!C45/(1+$B11)^('DCF Model'!C19+0)+'DCF Model'!D45/(1+$B11)^('DCF Model'!C19+1)+'DCF Model'!E45/(1+$B11)^('DCF Model'!C19+2)+'DCF Model'!F45/(1+$B11)^('DCF Model'!C19+3)+'DCF Model'!G45/(1+$B11)^('DCF Model'!C19+4)+'DCF Model'!G45*(1+D$6)/($B11-D$6)/(1+$B11)^('DCF Model'!C19+4)-'DCF Model'!C16)*1000000/'DCF Model'!C15,0),"")</f>
        <v>10455</v>
      </c>
      <c r="E11" s="37">
        <f>IFERROR(ROUND(('DCF Model'!C45/(1+$B11)^('DCF Model'!C19+0)+'DCF Model'!D45/(1+$B11)^('DCF Model'!C19+1)+'DCF Model'!E45/(1+$B11)^('DCF Model'!C19+2)+'DCF Model'!F45/(1+$B11)^('DCF Model'!C19+3)+'DCF Model'!G45/(1+$B11)^('DCF Model'!C19+4)+'DCF Model'!G45*(1+E$6)/($B11-E$6)/(1+$B11)^('DCF Model'!C19+4)-'DCF Model'!C16)*1000000/'DCF Model'!C15,0),"")</f>
        <v>10671</v>
      </c>
      <c r="F11" s="37">
        <f>IFERROR(ROUND(('DCF Model'!C45/(1+$B11)^('DCF Model'!C19+0)+'DCF Model'!D45/(1+$B11)^('DCF Model'!C19+1)+'DCF Model'!E45/(1+$B11)^('DCF Model'!C19+2)+'DCF Model'!F45/(1+$B11)^('DCF Model'!C19+3)+'DCF Model'!G45/(1+$B11)^('DCF Model'!C19+4)+'DCF Model'!G45*(1+F$6)/($B11-F$6)/(1+$B11)^('DCF Model'!C19+4)-'DCF Model'!C16)*1000000/'DCF Model'!C15,0),"")</f>
        <v>10898</v>
      </c>
      <c r="G11" s="37">
        <f>IFERROR(ROUND(('DCF Model'!C45/(1+$B11)^('DCF Model'!C19+0)+'DCF Model'!D45/(1+$B11)^('DCF Model'!C19+1)+'DCF Model'!E45/(1+$B11)^('DCF Model'!C19+2)+'DCF Model'!F45/(1+$B11)^('DCF Model'!C19+3)+'DCF Model'!G45/(1+$B11)^('DCF Model'!C19+4)+'DCF Model'!G45*(1+G$6)/($B11-G$6)/(1+$B11)^('DCF Model'!C19+4)-'DCF Model'!C16)*1000000/'DCF Model'!C15,0),"")</f>
        <v>11139</v>
      </c>
      <c r="H11" s="37">
        <f>IFERROR(ROUND(('DCF Model'!C45/(1+$B11)^('DCF Model'!C19+0)+'DCF Model'!D45/(1+$B11)^('DCF Model'!C19+1)+'DCF Model'!E45/(1+$B11)^('DCF Model'!C19+2)+'DCF Model'!F45/(1+$B11)^('DCF Model'!C19+3)+'DCF Model'!G45/(1+$B11)^('DCF Model'!C19+4)+'DCF Model'!G45*(1+H$6)/($B11-H$6)/(1+$B11)^('DCF Model'!C19+4)-'DCF Model'!C16)*1000000/'DCF Model'!C15,0),"")</f>
        <v>11394</v>
      </c>
      <c r="I11" s="37">
        <f>IFERROR(ROUND(('DCF Model'!C45/(1+$B11)^('DCF Model'!C19+0)+'DCF Model'!D45/(1+$B11)^('DCF Model'!C19+1)+'DCF Model'!E45/(1+$B11)^('DCF Model'!C19+2)+'DCF Model'!F45/(1+$B11)^('DCF Model'!C19+3)+'DCF Model'!G45/(1+$B11)^('DCF Model'!C19+4)+'DCF Model'!G45*(1+I$6)/($B11-I$6)/(1+$B11)^('DCF Model'!C19+4)-'DCF Model'!C16)*1000000/'DCF Model'!C15,0),"")</f>
        <v>11664</v>
      </c>
    </row>
    <row r="12" spans="2:9" ht="13.5" customHeight="1" x14ac:dyDescent="0.25">
      <c r="B12" s="39">
        <f>$C$3+0.01</f>
        <v>0.10531649484536082</v>
      </c>
      <c r="C12" s="37">
        <f>IFERROR(ROUND(('DCF Model'!C45/(1+$B12)^('DCF Model'!C19+0)+'DCF Model'!D45/(1+$B12)^('DCF Model'!C19+1)+'DCF Model'!E45/(1+$B12)^('DCF Model'!C19+2)+'DCF Model'!F45/(1+$B12)^('DCF Model'!C19+3)+'DCF Model'!G45/(1+$B12)^('DCF Model'!C19+4)+'DCF Model'!G45*(1+C$6)/($B12-C$6)/(1+$B12)^('DCF Model'!C19+4)-'DCF Model'!C16)*1000000/'DCF Model'!C15,0),"")</f>
        <v>9705</v>
      </c>
      <c r="D12" s="37">
        <f>IFERROR(ROUND(('DCF Model'!C45/(1+$B12)^('DCF Model'!C19+0)+'DCF Model'!D45/(1+$B12)^('DCF Model'!C19+1)+'DCF Model'!E45/(1+$B12)^('DCF Model'!C19+2)+'DCF Model'!F45/(1+$B12)^('DCF Model'!C19+3)+'DCF Model'!G45/(1+$B12)^('DCF Model'!C19+4)+'DCF Model'!G45*(1+D$6)/($B12-D$6)/(1+$B12)^('DCF Model'!C19+4)-'DCF Model'!C16)*1000000/'DCF Model'!C15,0),"")</f>
        <v>9886</v>
      </c>
      <c r="E12" s="37">
        <f>IFERROR(ROUND(('DCF Model'!C45/(1+$B12)^('DCF Model'!C19+0)+'DCF Model'!D45/(1+$B12)^('DCF Model'!C19+1)+'DCF Model'!E45/(1+$B12)^('DCF Model'!C19+2)+'DCF Model'!F45/(1+$B12)^('DCF Model'!C19+3)+'DCF Model'!G45/(1+$B12)^('DCF Model'!C19+4)+'DCF Model'!G45*(1+E$6)/($B12-E$6)/(1+$B12)^('DCF Model'!C19+4)-'DCF Model'!C16)*1000000/'DCF Model'!C15,0),"")</f>
        <v>10077</v>
      </c>
      <c r="F12" s="37">
        <f>IFERROR(ROUND(('DCF Model'!C45/(1+$B12)^('DCF Model'!C19+0)+'DCF Model'!D45/(1+$B12)^('DCF Model'!C19+1)+'DCF Model'!E45/(1+$B12)^('DCF Model'!C19+2)+'DCF Model'!F45/(1+$B12)^('DCF Model'!C19+3)+'DCF Model'!G45/(1+$B12)^('DCF Model'!C19+4)+'DCF Model'!G45*(1+F$6)/($B12-F$6)/(1+$B12)^('DCF Model'!C19+4)-'DCF Model'!C16)*1000000/'DCF Model'!C15,0),"")</f>
        <v>10278</v>
      </c>
      <c r="G12" s="37">
        <f>IFERROR(ROUND(('DCF Model'!C45/(1+$B12)^('DCF Model'!C19+0)+'DCF Model'!D45/(1+$B12)^('DCF Model'!C19+1)+'DCF Model'!E45/(1+$B12)^('DCF Model'!C19+2)+'DCF Model'!F45/(1+$B12)^('DCF Model'!C19+3)+'DCF Model'!G45/(1+$B12)^('DCF Model'!C19+4)+'DCF Model'!G45*(1+G$6)/($B12-G$6)/(1+$B12)^('DCF Model'!C19+4)-'DCF Model'!C16)*1000000/'DCF Model'!C15,0),"")</f>
        <v>10490</v>
      </c>
      <c r="H12" s="37">
        <f>IFERROR(ROUND(('DCF Model'!C45/(1+$B12)^('DCF Model'!C19+0)+'DCF Model'!D45/(1+$B12)^('DCF Model'!C19+1)+'DCF Model'!E45/(1+$B12)^('DCF Model'!C19+2)+'DCF Model'!F45/(1+$B12)^('DCF Model'!C19+3)+'DCF Model'!G45/(1+$B12)^('DCF Model'!C19+4)+'DCF Model'!G45*(1+H$6)/($B12-H$6)/(1+$B12)^('DCF Model'!C19+4)-'DCF Model'!C16)*1000000/'DCF Model'!C15,0),"")</f>
        <v>10713</v>
      </c>
      <c r="I12" s="37">
        <f>IFERROR(ROUND(('DCF Model'!C45/(1+$B12)^('DCF Model'!C19+0)+'DCF Model'!D45/(1+$B12)^('DCF Model'!C19+1)+'DCF Model'!E45/(1+$B12)^('DCF Model'!C19+2)+'DCF Model'!F45/(1+$B12)^('DCF Model'!C19+3)+'DCF Model'!G45/(1+$B12)^('DCF Model'!C19+4)+'DCF Model'!G45*(1+I$6)/($B12-I$6)/(1+$B12)^('DCF Model'!C19+4)-'DCF Model'!C16)*1000000/'DCF Model'!C15,0),"")</f>
        <v>10950</v>
      </c>
    </row>
    <row r="13" spans="2:9" ht="13.5" customHeight="1" x14ac:dyDescent="0.25">
      <c r="B13" s="39">
        <f>$C$3+0.015</f>
        <v>0.11031649484536082</v>
      </c>
      <c r="C13" s="37">
        <f>IFERROR(ROUND(('DCF Model'!C45/(1+$B13)^('DCF Model'!C19+0)+'DCF Model'!D45/(1+$B13)^('DCF Model'!C19+1)+'DCF Model'!E45/(1+$B13)^('DCF Model'!C19+2)+'DCF Model'!F45/(1+$B13)^('DCF Model'!C19+3)+'DCF Model'!G45/(1+$B13)^('DCF Model'!C19+4)+'DCF Model'!G45*(1+C$6)/($B13-C$6)/(1+$B13)^('DCF Model'!C19+4)-'DCF Model'!C16)*1000000/'DCF Model'!C15,0),"")</f>
        <v>9210</v>
      </c>
      <c r="D13" s="37">
        <f>IFERROR(ROUND(('DCF Model'!C45/(1+$B13)^('DCF Model'!C19+0)+'DCF Model'!D45/(1+$B13)^('DCF Model'!C19+1)+'DCF Model'!E45/(1+$B13)^('DCF Model'!C19+2)+'DCF Model'!F45/(1+$B13)^('DCF Model'!C19+3)+'DCF Model'!G45/(1+$B13)^('DCF Model'!C19+4)+'DCF Model'!G45*(1+D$6)/($B13-D$6)/(1+$B13)^('DCF Model'!C19+4)-'DCF Model'!C16)*1000000/'DCF Model'!C15,0),"")</f>
        <v>9372</v>
      </c>
      <c r="E13" s="37">
        <f>IFERROR(ROUND(('DCF Model'!C45/(1+$B13)^('DCF Model'!C19+0)+'DCF Model'!D45/(1+$B13)^('DCF Model'!C19+1)+'DCF Model'!E45/(1+$B13)^('DCF Model'!C19+2)+'DCF Model'!F45/(1+$B13)^('DCF Model'!C19+3)+'DCF Model'!G45/(1+$B13)^('DCF Model'!C19+4)+'DCF Model'!G45*(1+E$6)/($B13-E$6)/(1+$B13)^('DCF Model'!C19+4)-'DCF Model'!C16)*1000000/'DCF Model'!C15,0),"")</f>
        <v>9542</v>
      </c>
      <c r="F13" s="37">
        <f>IFERROR(ROUND(('DCF Model'!C45/(1+$B13)^('DCF Model'!C19+0)+'DCF Model'!D45/(1+$B13)^('DCF Model'!C19+1)+'DCF Model'!E45/(1+$B13)^('DCF Model'!C19+2)+'DCF Model'!F45/(1+$B13)^('DCF Model'!C19+3)+'DCF Model'!G45/(1+$B13)^('DCF Model'!C19+4)+'DCF Model'!G45*(1+F$6)/($B13-F$6)/(1+$B13)^('DCF Model'!C19+4)-'DCF Model'!C16)*1000000/'DCF Model'!C15,0),"")</f>
        <v>9720</v>
      </c>
      <c r="G13" s="37">
        <f>IFERROR(ROUND(('DCF Model'!C45/(1+$B13)^('DCF Model'!C19+0)+'DCF Model'!D45/(1+$B13)^('DCF Model'!C19+1)+'DCF Model'!E45/(1+$B13)^('DCF Model'!C19+2)+'DCF Model'!F45/(1+$B13)^('DCF Model'!C19+3)+'DCF Model'!G45/(1+$B13)^('DCF Model'!C19+4)+'DCF Model'!G45*(1+G$6)/($B13-G$6)/(1+$B13)^('DCF Model'!C19+4)-'DCF Model'!C16)*1000000/'DCF Model'!C15,0),"")</f>
        <v>9908</v>
      </c>
      <c r="H13" s="37">
        <f>IFERROR(ROUND(('DCF Model'!C45/(1+$B13)^('DCF Model'!C19+0)+'DCF Model'!D45/(1+$B13)^('DCF Model'!C19+1)+'DCF Model'!E45/(1+$B13)^('DCF Model'!C19+2)+'DCF Model'!F45/(1+$B13)^('DCF Model'!C19+3)+'DCF Model'!G45/(1+$B13)^('DCF Model'!C19+4)+'DCF Model'!G45*(1+H$6)/($B13-H$6)/(1+$B13)^('DCF Model'!C19+4)-'DCF Model'!C16)*1000000/'DCF Model'!C15,0),"")</f>
        <v>10105</v>
      </c>
      <c r="I13" s="37">
        <f>IFERROR(ROUND(('DCF Model'!C45/(1+$B13)^('DCF Model'!C19+0)+'DCF Model'!D45/(1+$B13)^('DCF Model'!C19+1)+'DCF Model'!E45/(1+$B13)^('DCF Model'!C19+2)+'DCF Model'!F45/(1+$B13)^('DCF Model'!C19+3)+'DCF Model'!G45/(1+$B13)^('DCF Model'!C19+4)+'DCF Model'!G45*(1+I$6)/($B13-I$6)/(1+$B13)^('DCF Model'!C19+4)-'DCF Model'!C16)*1000000/'DCF Model'!C15,0),"")</f>
        <v>10313</v>
      </c>
    </row>
    <row r="16" spans="2:9" ht="14" customHeight="1" x14ac:dyDescent="0.3">
      <c r="B16" s="3" t="s">
        <v>235</v>
      </c>
    </row>
    <row r="17" spans="2:9" ht="14" customHeight="1" x14ac:dyDescent="0.3">
      <c r="B17" s="40" t="s">
        <v>236</v>
      </c>
      <c r="C17" s="42">
        <f>$I$3-3</f>
        <v>11.3</v>
      </c>
      <c r="D17" s="42">
        <f>$I$3-2</f>
        <v>12.3</v>
      </c>
      <c r="E17" s="42">
        <f>$I$3-1</f>
        <v>13.3</v>
      </c>
      <c r="F17" s="42">
        <f>$I$3</f>
        <v>14.3</v>
      </c>
      <c r="G17" s="42">
        <f>$I$3+1</f>
        <v>15.3</v>
      </c>
      <c r="H17" s="42">
        <f>$I$3+2</f>
        <v>16.3</v>
      </c>
      <c r="I17" s="42">
        <f>$I$3+3</f>
        <v>17.3</v>
      </c>
    </row>
    <row r="18" spans="2:9" ht="13.5" customHeight="1" x14ac:dyDescent="0.25">
      <c r="B18" s="39">
        <f>$C$3-0.015</f>
        <v>8.0316494845360825E-2</v>
      </c>
      <c r="C18" s="37">
        <f>IFERROR(ROUND(('DCF Model'!C45/(1+$B18)^('DCF Model'!C19+0)+'DCF Model'!D45/(1+$B18)^('DCF Model'!C19+1)+'DCF Model'!E45/(1+$B18)^('DCF Model'!C19+2)+'DCF Model'!F45/(1+$B18)^('DCF Model'!C19+3)+'DCF Model'!G45/(1+$B18)^('DCF Model'!C19+4)+('DCF Model'!G39+'DCF Model'!G42)*C$17/(1+$B18)^('DCF Model'!C19+4)-'DCF Model'!C16)*1000000/'DCF Model'!C15,0),"")</f>
        <v>26880</v>
      </c>
      <c r="D18" s="37">
        <f>IFERROR(ROUND(('DCF Model'!C45/(1+$B18)^('DCF Model'!C19+0)+'DCF Model'!D45/(1+$B18)^('DCF Model'!C19+1)+'DCF Model'!E45/(1+$B18)^('DCF Model'!C19+2)+'DCF Model'!F45/(1+$B18)^('DCF Model'!C19+3)+'DCF Model'!G45/(1+$B18)^('DCF Model'!C19+4)+('DCF Model'!G39+'DCF Model'!G42)*D$17/(1+$B18)^('DCF Model'!C19+4)-'DCF Model'!C16)*1000000/'DCF Model'!C15,0),"")</f>
        <v>28962</v>
      </c>
      <c r="E18" s="37">
        <f>IFERROR(ROUND(('DCF Model'!C45/(1+$B18)^('DCF Model'!C19+0)+'DCF Model'!D45/(1+$B18)^('DCF Model'!C19+1)+'DCF Model'!E45/(1+$B18)^('DCF Model'!C19+2)+'DCF Model'!F45/(1+$B18)^('DCF Model'!C19+3)+'DCF Model'!G45/(1+$B18)^('DCF Model'!C19+4)+('DCF Model'!G39+'DCF Model'!G42)*E$17/(1+$B18)^('DCF Model'!C19+4)-'DCF Model'!C16)*1000000/'DCF Model'!C15,0),"")</f>
        <v>31045</v>
      </c>
      <c r="F18" s="37">
        <f>IFERROR(ROUND(('DCF Model'!C45/(1+$B18)^('DCF Model'!C19+0)+'DCF Model'!D45/(1+$B18)^('DCF Model'!C19+1)+'DCF Model'!E45/(1+$B18)^('DCF Model'!C19+2)+'DCF Model'!F45/(1+$B18)^('DCF Model'!C19+3)+'DCF Model'!G45/(1+$B18)^('DCF Model'!C19+4)+('DCF Model'!G39+'DCF Model'!G42)*F$17/(1+$B18)^('DCF Model'!C19+4)-'DCF Model'!C16)*1000000/'DCF Model'!C15,0),"")</f>
        <v>33127</v>
      </c>
      <c r="G18" s="37">
        <f>IFERROR(ROUND(('DCF Model'!C45/(1+$B18)^('DCF Model'!C19+0)+'DCF Model'!D45/(1+$B18)^('DCF Model'!C19+1)+'DCF Model'!E45/(1+$B18)^('DCF Model'!C19+2)+'DCF Model'!F45/(1+$B18)^('DCF Model'!C19+3)+'DCF Model'!G45/(1+$B18)^('DCF Model'!C19+4)+('DCF Model'!G39+'DCF Model'!G42)*G$17/(1+$B18)^('DCF Model'!C19+4)-'DCF Model'!C16)*1000000/'DCF Model'!C15,0),"")</f>
        <v>35210</v>
      </c>
      <c r="H18" s="37">
        <f>IFERROR(ROUND(('DCF Model'!C45/(1+$B18)^('DCF Model'!C19+0)+'DCF Model'!D45/(1+$B18)^('DCF Model'!C19+1)+'DCF Model'!E45/(1+$B18)^('DCF Model'!C19+2)+'DCF Model'!F45/(1+$B18)^('DCF Model'!C19+3)+'DCF Model'!G45/(1+$B18)^('DCF Model'!C19+4)+('DCF Model'!G39+'DCF Model'!G42)*H$17/(1+$B18)^('DCF Model'!C19+4)-'DCF Model'!C16)*1000000/'DCF Model'!C15,0),"")</f>
        <v>37292</v>
      </c>
      <c r="I18" s="37">
        <f>IFERROR(ROUND(('DCF Model'!C45/(1+$B18)^('DCF Model'!C19+0)+'DCF Model'!D45/(1+$B18)^('DCF Model'!C19+1)+'DCF Model'!E45/(1+$B18)^('DCF Model'!C19+2)+'DCF Model'!F45/(1+$B18)^('DCF Model'!C19+3)+'DCF Model'!G45/(1+$B18)^('DCF Model'!C19+4)+('DCF Model'!G39+'DCF Model'!G42)*I$17/(1+$B18)^('DCF Model'!C19+4)-'DCF Model'!C16)*1000000/'DCF Model'!C15,0),"")</f>
        <v>39375</v>
      </c>
    </row>
    <row r="19" spans="2:9" ht="13.5" customHeight="1" x14ac:dyDescent="0.25">
      <c r="B19" s="39">
        <f>$C$3-0.01</f>
        <v>8.531649484536083E-2</v>
      </c>
      <c r="C19" s="37">
        <f>IFERROR(ROUND(('DCF Model'!C45/(1+$B19)^('DCF Model'!C19+0)+'DCF Model'!D45/(1+$B19)^('DCF Model'!C19+1)+'DCF Model'!E45/(1+$B19)^('DCF Model'!C19+2)+'DCF Model'!F45/(1+$B19)^('DCF Model'!C19+3)+'DCF Model'!G45/(1+$B19)^('DCF Model'!C19+4)+('DCF Model'!G39+'DCF Model'!G42)*C$17/(1+$B19)^('DCF Model'!C19+4)-'DCF Model'!C16)*1000000/'DCF Model'!C15,0),"")</f>
        <v>26290</v>
      </c>
      <c r="D19" s="37">
        <f>IFERROR(ROUND(('DCF Model'!C45/(1+$B19)^('DCF Model'!C19+0)+'DCF Model'!D45/(1+$B19)^('DCF Model'!C19+1)+'DCF Model'!E45/(1+$B19)^('DCF Model'!C19+2)+'DCF Model'!F45/(1+$B19)^('DCF Model'!C19+3)+'DCF Model'!G45/(1+$B19)^('DCF Model'!C19+4)+('DCF Model'!G39+'DCF Model'!G42)*D$17/(1+$B19)^('DCF Model'!C19+4)-'DCF Model'!C16)*1000000/'DCF Model'!C15,0),"")</f>
        <v>28325</v>
      </c>
      <c r="E19" s="37">
        <f>IFERROR(ROUND(('DCF Model'!C45/(1+$B19)^('DCF Model'!C19+0)+'DCF Model'!D45/(1+$B19)^('DCF Model'!C19+1)+'DCF Model'!E45/(1+$B19)^('DCF Model'!C19+2)+'DCF Model'!F45/(1+$B19)^('DCF Model'!C19+3)+'DCF Model'!G45/(1+$B19)^('DCF Model'!C19+4)+('DCF Model'!G39+'DCF Model'!G42)*E$17/(1+$B19)^('DCF Model'!C19+4)-'DCF Model'!C16)*1000000/'DCF Model'!C15,0),"")</f>
        <v>30360</v>
      </c>
      <c r="F19" s="37">
        <f>IFERROR(ROUND(('DCF Model'!C45/(1+$B19)^('DCF Model'!C19+0)+'DCF Model'!D45/(1+$B19)^('DCF Model'!C19+1)+'DCF Model'!E45/(1+$B19)^('DCF Model'!C19+2)+'DCF Model'!F45/(1+$B19)^('DCF Model'!C19+3)+'DCF Model'!G45/(1+$B19)^('DCF Model'!C19+4)+('DCF Model'!G39+'DCF Model'!G42)*F$17/(1+$B19)^('DCF Model'!C19+4)-'DCF Model'!C16)*1000000/'DCF Model'!C15,0),"")</f>
        <v>32395</v>
      </c>
      <c r="G19" s="37">
        <f>IFERROR(ROUND(('DCF Model'!C45/(1+$B19)^('DCF Model'!C19+0)+'DCF Model'!D45/(1+$B19)^('DCF Model'!C19+1)+'DCF Model'!E45/(1+$B19)^('DCF Model'!C19+2)+'DCF Model'!F45/(1+$B19)^('DCF Model'!C19+3)+'DCF Model'!G45/(1+$B19)^('DCF Model'!C19+4)+('DCF Model'!G39+'DCF Model'!G42)*G$17/(1+$B19)^('DCF Model'!C19+4)-'DCF Model'!C16)*1000000/'DCF Model'!C15,0),"")</f>
        <v>34429</v>
      </c>
      <c r="H19" s="37">
        <f>IFERROR(ROUND(('DCF Model'!C45/(1+$B19)^('DCF Model'!C19+0)+'DCF Model'!D45/(1+$B19)^('DCF Model'!C19+1)+'DCF Model'!E45/(1+$B19)^('DCF Model'!C19+2)+'DCF Model'!F45/(1+$B19)^('DCF Model'!C19+3)+'DCF Model'!G45/(1+$B19)^('DCF Model'!C19+4)+('DCF Model'!G39+'DCF Model'!G42)*H$17/(1+$B19)^('DCF Model'!C19+4)-'DCF Model'!C16)*1000000/'DCF Model'!C15,0),"")</f>
        <v>36464</v>
      </c>
      <c r="I19" s="37">
        <f>IFERROR(ROUND(('DCF Model'!C45/(1+$B19)^('DCF Model'!C19+0)+'DCF Model'!D45/(1+$B19)^('DCF Model'!C19+1)+'DCF Model'!E45/(1+$B19)^('DCF Model'!C19+2)+'DCF Model'!F45/(1+$B19)^('DCF Model'!C19+3)+'DCF Model'!G45/(1+$B19)^('DCF Model'!C19+4)+('DCF Model'!G39+'DCF Model'!G42)*I$17/(1+$B19)^('DCF Model'!C19+4)-'DCF Model'!C16)*1000000/'DCF Model'!C15,0),"")</f>
        <v>38499</v>
      </c>
    </row>
    <row r="20" spans="2:9" ht="13.5" customHeight="1" x14ac:dyDescent="0.25">
      <c r="B20" s="39">
        <f>$C$3-0.005</f>
        <v>9.031649484536082E-2</v>
      </c>
      <c r="C20" s="37">
        <f>IFERROR(ROUND(('DCF Model'!C45/(1+$B20)^('DCF Model'!C19+0)+'DCF Model'!D45/(1+$B20)^('DCF Model'!C19+1)+'DCF Model'!E45/(1+$B20)^('DCF Model'!C19+2)+'DCF Model'!F45/(1+$B20)^('DCF Model'!C19+3)+'DCF Model'!G45/(1+$B20)^('DCF Model'!C19+4)+('DCF Model'!G39+'DCF Model'!G42)*C$17/(1+$B20)^('DCF Model'!C19+4)-'DCF Model'!C16)*1000000/'DCF Model'!C15,0),"")</f>
        <v>25715</v>
      </c>
      <c r="D20" s="37">
        <f>IFERROR(ROUND(('DCF Model'!C45/(1+$B20)^('DCF Model'!C19+0)+'DCF Model'!D45/(1+$B20)^('DCF Model'!C19+1)+'DCF Model'!E45/(1+$B20)^('DCF Model'!C19+2)+'DCF Model'!F45/(1+$B20)^('DCF Model'!C19+3)+'DCF Model'!G45/(1+$B20)^('DCF Model'!C19+4)+('DCF Model'!G39+'DCF Model'!G42)*D$17/(1+$B20)^('DCF Model'!C19+4)-'DCF Model'!C16)*1000000/'DCF Model'!C15,0),"")</f>
        <v>27704</v>
      </c>
      <c r="E20" s="37">
        <f>IFERROR(ROUND(('DCF Model'!C45/(1+$B20)^('DCF Model'!C19+0)+'DCF Model'!D45/(1+$B20)^('DCF Model'!C19+1)+'DCF Model'!E45/(1+$B20)^('DCF Model'!C19+2)+'DCF Model'!F45/(1+$B20)^('DCF Model'!C19+3)+'DCF Model'!G45/(1+$B20)^('DCF Model'!C19+4)+('DCF Model'!G39+'DCF Model'!G42)*E$17/(1+$B20)^('DCF Model'!C19+4)-'DCF Model'!C16)*1000000/'DCF Model'!C15,0),"")</f>
        <v>29693</v>
      </c>
      <c r="F20" s="37">
        <f>IFERROR(ROUND(('DCF Model'!C45/(1+$B20)^('DCF Model'!C19+0)+'DCF Model'!D45/(1+$B20)^('DCF Model'!C19+1)+'DCF Model'!E45/(1+$B20)^('DCF Model'!C19+2)+'DCF Model'!F45/(1+$B20)^('DCF Model'!C19+3)+'DCF Model'!G45/(1+$B20)^('DCF Model'!C19+4)+('DCF Model'!G39+'DCF Model'!G42)*F$17/(1+$B20)^('DCF Model'!C19+4)-'DCF Model'!C16)*1000000/'DCF Model'!C15,0),"")</f>
        <v>31681</v>
      </c>
      <c r="G20" s="37">
        <f>IFERROR(ROUND(('DCF Model'!C45/(1+$B20)^('DCF Model'!C19+0)+'DCF Model'!D45/(1+$B20)^('DCF Model'!C19+1)+'DCF Model'!E45/(1+$B20)^('DCF Model'!C19+2)+'DCF Model'!F45/(1+$B20)^('DCF Model'!C19+3)+'DCF Model'!G45/(1+$B20)^('DCF Model'!C19+4)+('DCF Model'!G39+'DCF Model'!G42)*G$17/(1+$B20)^('DCF Model'!C19+4)-'DCF Model'!C16)*1000000/'DCF Model'!C15,0),"")</f>
        <v>33670</v>
      </c>
      <c r="H20" s="37">
        <f>IFERROR(ROUND(('DCF Model'!C45/(1+$B20)^('DCF Model'!C19+0)+'DCF Model'!D45/(1+$B20)^('DCF Model'!C19+1)+'DCF Model'!E45/(1+$B20)^('DCF Model'!C19+2)+'DCF Model'!F45/(1+$B20)^('DCF Model'!C19+3)+'DCF Model'!G45/(1+$B20)^('DCF Model'!C19+4)+('DCF Model'!G39+'DCF Model'!G42)*H$17/(1+$B20)^('DCF Model'!C19+4)-'DCF Model'!C16)*1000000/'DCF Model'!C15,0),"")</f>
        <v>35659</v>
      </c>
      <c r="I20" s="37">
        <f>IFERROR(ROUND(('DCF Model'!C45/(1+$B20)^('DCF Model'!C19+0)+'DCF Model'!D45/(1+$B20)^('DCF Model'!C19+1)+'DCF Model'!E45/(1+$B20)^('DCF Model'!C19+2)+'DCF Model'!F45/(1+$B20)^('DCF Model'!C19+3)+'DCF Model'!G45/(1+$B20)^('DCF Model'!C19+4)+('DCF Model'!G39+'DCF Model'!G42)*I$17/(1+$B20)^('DCF Model'!C19+4)-'DCF Model'!C16)*1000000/'DCF Model'!C15,0),"")</f>
        <v>37648</v>
      </c>
    </row>
    <row r="21" spans="2:9" ht="13.5" customHeight="1" x14ac:dyDescent="0.25">
      <c r="B21" s="39">
        <f>$C$3</f>
        <v>9.5316494845360825E-2</v>
      </c>
      <c r="C21" s="37">
        <f>IFERROR(ROUND(('DCF Model'!C45/(1+$B21)^('DCF Model'!C19+0)+'DCF Model'!D45/(1+$B21)^('DCF Model'!C19+1)+'DCF Model'!E45/(1+$B21)^('DCF Model'!C19+2)+'DCF Model'!F45/(1+$B21)^('DCF Model'!C19+3)+'DCF Model'!G45/(1+$B21)^('DCF Model'!C19+4)+('DCF Model'!G39+'DCF Model'!G42)*C$17/(1+$B21)^('DCF Model'!C19+4)-'DCF Model'!C16)*1000000/'DCF Model'!C15,0),"")</f>
        <v>25156</v>
      </c>
      <c r="D21" s="37">
        <f>IFERROR(ROUND(('DCF Model'!C45/(1+$B21)^('DCF Model'!C19+0)+'DCF Model'!D45/(1+$B21)^('DCF Model'!C19+1)+'DCF Model'!E45/(1+$B21)^('DCF Model'!C19+2)+'DCF Model'!F45/(1+$B21)^('DCF Model'!C19+3)+'DCF Model'!G45/(1+$B21)^('DCF Model'!C19+4)+('DCF Model'!G39+'DCF Model'!G42)*D$17/(1+$B21)^('DCF Model'!C19+4)-'DCF Model'!C16)*1000000/'DCF Model'!C15,0),"")</f>
        <v>27100</v>
      </c>
      <c r="E21" s="37">
        <f>IFERROR(ROUND(('DCF Model'!C45/(1+$B21)^('DCF Model'!C19+0)+'DCF Model'!D45/(1+$B21)^('DCF Model'!C19+1)+'DCF Model'!E45/(1+$B21)^('DCF Model'!C19+2)+'DCF Model'!F45/(1+$B21)^('DCF Model'!C19+3)+'DCF Model'!G45/(1+$B21)^('DCF Model'!C19+4)+('DCF Model'!G39+'DCF Model'!G42)*E$17/(1+$B21)^('DCF Model'!C19+4)-'DCF Model'!C16)*1000000/'DCF Model'!C15,0),"")</f>
        <v>29044</v>
      </c>
      <c r="F21" s="37">
        <f>IFERROR(ROUND(('DCF Model'!C45/(1+$B21)^('DCF Model'!C19+0)+'DCF Model'!D45/(1+$B21)^('DCF Model'!C19+1)+'DCF Model'!E45/(1+$B21)^('DCF Model'!C19+2)+'DCF Model'!F45/(1+$B21)^('DCF Model'!C19+3)+'DCF Model'!G45/(1+$B21)^('DCF Model'!C19+4)+('DCF Model'!G39+'DCF Model'!G42)*F$17/(1+$B21)^('DCF Model'!C19+4)-'DCF Model'!C16)*1000000/'DCF Model'!C15,0),"")</f>
        <v>30987</v>
      </c>
      <c r="G21" s="37">
        <f>IFERROR(ROUND(('DCF Model'!C45/(1+$B21)^('DCF Model'!C19+0)+'DCF Model'!D45/(1+$B21)^('DCF Model'!C19+1)+'DCF Model'!E45/(1+$B21)^('DCF Model'!C19+2)+'DCF Model'!F45/(1+$B21)^('DCF Model'!C19+3)+'DCF Model'!G45/(1+$B21)^('DCF Model'!C19+4)+('DCF Model'!G39+'DCF Model'!G42)*G$17/(1+$B21)^('DCF Model'!C19+4)-'DCF Model'!C16)*1000000/'DCF Model'!C15,0),"")</f>
        <v>32931</v>
      </c>
      <c r="H21" s="37">
        <f>IFERROR(ROUND(('DCF Model'!C45/(1+$B21)^('DCF Model'!C19+0)+'DCF Model'!D45/(1+$B21)^('DCF Model'!C19+1)+'DCF Model'!E45/(1+$B21)^('DCF Model'!C19+2)+'DCF Model'!F45/(1+$B21)^('DCF Model'!C19+3)+'DCF Model'!G45/(1+$B21)^('DCF Model'!C19+4)+('DCF Model'!G39+'DCF Model'!G42)*H$17/(1+$B21)^('DCF Model'!C19+4)-'DCF Model'!C16)*1000000/'DCF Model'!C15,0),"")</f>
        <v>34875</v>
      </c>
      <c r="I21" s="37">
        <f>IFERROR(ROUND(('DCF Model'!C45/(1+$B21)^('DCF Model'!C19+0)+'DCF Model'!D45/(1+$B21)^('DCF Model'!C19+1)+'DCF Model'!E45/(1+$B21)^('DCF Model'!C19+2)+'DCF Model'!F45/(1+$B21)^('DCF Model'!C19+3)+'DCF Model'!G45/(1+$B21)^('DCF Model'!C19+4)+('DCF Model'!G39+'DCF Model'!G42)*I$17/(1+$B21)^('DCF Model'!C19+4)-'DCF Model'!C16)*1000000/'DCF Model'!C15,0),"")</f>
        <v>36819</v>
      </c>
    </row>
    <row r="22" spans="2:9" ht="13.5" customHeight="1" x14ac:dyDescent="0.25">
      <c r="B22" s="39">
        <f>$C$3+0.005</f>
        <v>0.10031649484536083</v>
      </c>
      <c r="C22" s="37">
        <f>IFERROR(ROUND(('DCF Model'!C45/(1+$B22)^('DCF Model'!C19+0)+'DCF Model'!D45/(1+$B22)^('DCF Model'!C19+1)+'DCF Model'!E45/(1+$B22)^('DCF Model'!C19+2)+'DCF Model'!F45/(1+$B22)^('DCF Model'!C19+3)+'DCF Model'!G45/(1+$B22)^('DCF Model'!C19+4)+('DCF Model'!G39+'DCF Model'!G42)*C$17/(1+$B22)^('DCF Model'!C19+4)-'DCF Model'!C16)*1000000/'DCF Model'!C15,0),"")</f>
        <v>24612</v>
      </c>
      <c r="D22" s="37">
        <f>IFERROR(ROUND(('DCF Model'!C45/(1+$B22)^('DCF Model'!C19+0)+'DCF Model'!D45/(1+$B22)^('DCF Model'!C19+1)+'DCF Model'!E45/(1+$B22)^('DCF Model'!C19+2)+'DCF Model'!F45/(1+$B22)^('DCF Model'!C19+3)+'DCF Model'!G45/(1+$B22)^('DCF Model'!C19+4)+('DCF Model'!G39+'DCF Model'!G42)*D$17/(1+$B22)^('DCF Model'!C19+4)-'DCF Model'!C16)*1000000/'DCF Model'!C15,0),"")</f>
        <v>26512</v>
      </c>
      <c r="E22" s="37">
        <f>IFERROR(ROUND(('DCF Model'!C45/(1+$B22)^('DCF Model'!C19+0)+'DCF Model'!D45/(1+$B22)^('DCF Model'!C19+1)+'DCF Model'!E45/(1+$B22)^('DCF Model'!C19+2)+'DCF Model'!F45/(1+$B22)^('DCF Model'!C19+3)+'DCF Model'!G45/(1+$B22)^('DCF Model'!C19+4)+('DCF Model'!G39+'DCF Model'!G42)*E$17/(1+$B22)^('DCF Model'!C19+4)-'DCF Model'!C16)*1000000/'DCF Model'!C15,0),"")</f>
        <v>28412</v>
      </c>
      <c r="F22" s="37">
        <f>IFERROR(ROUND(('DCF Model'!C45/(1+$B22)^('DCF Model'!C19+0)+'DCF Model'!D45/(1+$B22)^('DCF Model'!C19+1)+'DCF Model'!E45/(1+$B22)^('DCF Model'!C19+2)+'DCF Model'!F45/(1+$B22)^('DCF Model'!C19+3)+'DCF Model'!G45/(1+$B22)^('DCF Model'!C19+4)+('DCF Model'!G39+'DCF Model'!G42)*F$17/(1+$B22)^('DCF Model'!C19+4)-'DCF Model'!C16)*1000000/'DCF Model'!C15,0),"")</f>
        <v>30312</v>
      </c>
      <c r="G22" s="37">
        <f>IFERROR(ROUND(('DCF Model'!C45/(1+$B22)^('DCF Model'!C19+0)+'DCF Model'!D45/(1+$B22)^('DCF Model'!C19+1)+'DCF Model'!E45/(1+$B22)^('DCF Model'!C19+2)+'DCF Model'!F45/(1+$B22)^('DCF Model'!C19+3)+'DCF Model'!G45/(1+$B22)^('DCF Model'!C19+4)+('DCF Model'!G39+'DCF Model'!G42)*G$17/(1+$B22)^('DCF Model'!C19+4)-'DCF Model'!C16)*1000000/'DCF Model'!C15,0),"")</f>
        <v>32212</v>
      </c>
      <c r="H22" s="37">
        <f>IFERROR(ROUND(('DCF Model'!C45/(1+$B22)^('DCF Model'!C19+0)+'DCF Model'!D45/(1+$B22)^('DCF Model'!C19+1)+'DCF Model'!E45/(1+$B22)^('DCF Model'!C19+2)+'DCF Model'!F45/(1+$B22)^('DCF Model'!C19+3)+'DCF Model'!G45/(1+$B22)^('DCF Model'!C19+4)+('DCF Model'!G39+'DCF Model'!G42)*H$17/(1+$B22)^('DCF Model'!C19+4)-'DCF Model'!C16)*1000000/'DCF Model'!C15,0),"")</f>
        <v>34112</v>
      </c>
      <c r="I22" s="37">
        <f>IFERROR(ROUND(('DCF Model'!C45/(1+$B22)^('DCF Model'!C19+0)+'DCF Model'!D45/(1+$B22)^('DCF Model'!C19+1)+'DCF Model'!E45/(1+$B22)^('DCF Model'!C19+2)+'DCF Model'!F45/(1+$B22)^('DCF Model'!C19+3)+'DCF Model'!G45/(1+$B22)^('DCF Model'!C19+4)+('DCF Model'!G39+'DCF Model'!G42)*I$17/(1+$B22)^('DCF Model'!C19+4)-'DCF Model'!C16)*1000000/'DCF Model'!C15,0),"")</f>
        <v>36012</v>
      </c>
    </row>
    <row r="23" spans="2:9" ht="13.5" customHeight="1" x14ac:dyDescent="0.25">
      <c r="B23" s="39">
        <f>$C$3+0.01</f>
        <v>0.10531649484536082</v>
      </c>
      <c r="C23" s="37">
        <f>IFERROR(ROUND(('DCF Model'!C45/(1+$B23)^('DCF Model'!C19+0)+'DCF Model'!D45/(1+$B23)^('DCF Model'!C19+1)+'DCF Model'!E45/(1+$B23)^('DCF Model'!C19+2)+'DCF Model'!F45/(1+$B23)^('DCF Model'!C19+3)+'DCF Model'!G45/(1+$B23)^('DCF Model'!C19+4)+('DCF Model'!G39+'DCF Model'!G42)*C$17/(1+$B23)^('DCF Model'!C19+4)-'DCF Model'!C16)*1000000/'DCF Model'!C15,0),"")</f>
        <v>24082</v>
      </c>
      <c r="D23" s="37">
        <f>IFERROR(ROUND(('DCF Model'!C45/(1+$B23)^('DCF Model'!C19+0)+'DCF Model'!D45/(1+$B23)^('DCF Model'!C19+1)+'DCF Model'!E45/(1+$B23)^('DCF Model'!C19+2)+'DCF Model'!F45/(1+$B23)^('DCF Model'!C19+3)+'DCF Model'!G45/(1+$B23)^('DCF Model'!C19+4)+('DCF Model'!G39+'DCF Model'!G42)*D$17/(1+$B23)^('DCF Model'!C19+4)-'DCF Model'!C16)*1000000/'DCF Model'!C15,0),"")</f>
        <v>25939</v>
      </c>
      <c r="E23" s="37">
        <f>IFERROR(ROUND(('DCF Model'!C45/(1+$B23)^('DCF Model'!C19+0)+'DCF Model'!D45/(1+$B23)^('DCF Model'!C19+1)+'DCF Model'!E45/(1+$B23)^('DCF Model'!C19+2)+'DCF Model'!F45/(1+$B23)^('DCF Model'!C19+3)+'DCF Model'!G45/(1+$B23)^('DCF Model'!C19+4)+('DCF Model'!G39+'DCF Model'!G42)*E$17/(1+$B23)^('DCF Model'!C19+4)-'DCF Model'!C16)*1000000/'DCF Model'!C15,0),"")</f>
        <v>27797</v>
      </c>
      <c r="F23" s="37">
        <f>IFERROR(ROUND(('DCF Model'!C45/(1+$B23)^('DCF Model'!C19+0)+'DCF Model'!D45/(1+$B23)^('DCF Model'!C19+1)+'DCF Model'!E45/(1+$B23)^('DCF Model'!C19+2)+'DCF Model'!F45/(1+$B23)^('DCF Model'!C19+3)+'DCF Model'!G45/(1+$B23)^('DCF Model'!C19+4)+('DCF Model'!G39+'DCF Model'!G42)*F$17/(1+$B23)^('DCF Model'!C19+4)-'DCF Model'!C16)*1000000/'DCF Model'!C15,0),"")</f>
        <v>29654</v>
      </c>
      <c r="G23" s="37">
        <f>IFERROR(ROUND(('DCF Model'!C45/(1+$B23)^('DCF Model'!C19+0)+'DCF Model'!D45/(1+$B23)^('DCF Model'!C19+1)+'DCF Model'!E45/(1+$B23)^('DCF Model'!C19+2)+'DCF Model'!F45/(1+$B23)^('DCF Model'!C19+3)+'DCF Model'!G45/(1+$B23)^('DCF Model'!C19+4)+('DCF Model'!G39+'DCF Model'!G42)*G$17/(1+$B23)^('DCF Model'!C19+4)-'DCF Model'!C16)*1000000/'DCF Model'!C15,0),"")</f>
        <v>31512</v>
      </c>
      <c r="H23" s="37">
        <f>IFERROR(ROUND(('DCF Model'!C45/(1+$B23)^('DCF Model'!C19+0)+'DCF Model'!D45/(1+$B23)^('DCF Model'!C19+1)+'DCF Model'!E45/(1+$B23)^('DCF Model'!C19+2)+'DCF Model'!F45/(1+$B23)^('DCF Model'!C19+3)+'DCF Model'!G45/(1+$B23)^('DCF Model'!C19+4)+('DCF Model'!G39+'DCF Model'!G42)*H$17/(1+$B23)^('DCF Model'!C19+4)-'DCF Model'!C16)*1000000/'DCF Model'!C15,0),"")</f>
        <v>33369</v>
      </c>
      <c r="I23" s="37">
        <f>IFERROR(ROUND(('DCF Model'!C45/(1+$B23)^('DCF Model'!C19+0)+'DCF Model'!D45/(1+$B23)^('DCF Model'!C19+1)+'DCF Model'!E45/(1+$B23)^('DCF Model'!C19+2)+'DCF Model'!F45/(1+$B23)^('DCF Model'!C19+3)+'DCF Model'!G45/(1+$B23)^('DCF Model'!C19+4)+('DCF Model'!G39+'DCF Model'!G42)*I$17/(1+$B23)^('DCF Model'!C19+4)-'DCF Model'!C16)*1000000/'DCF Model'!C15,0),"")</f>
        <v>35226</v>
      </c>
    </row>
    <row r="24" spans="2:9" ht="13.5" customHeight="1" x14ac:dyDescent="0.25">
      <c r="B24" s="39">
        <f>$C$3+0.015</f>
        <v>0.11031649484536082</v>
      </c>
      <c r="C24" s="37">
        <f>IFERROR(ROUND(('DCF Model'!C45/(1+$B24)^('DCF Model'!C19+0)+'DCF Model'!D45/(1+$B24)^('DCF Model'!C19+1)+'DCF Model'!E45/(1+$B24)^('DCF Model'!C19+2)+'DCF Model'!F45/(1+$B24)^('DCF Model'!C19+3)+'DCF Model'!G45/(1+$B24)^('DCF Model'!C19+4)+('DCF Model'!G39+'DCF Model'!G42)*C$17/(1+$B24)^('DCF Model'!C19+4)-'DCF Model'!C16)*1000000/'DCF Model'!C15,0),"")</f>
        <v>23566</v>
      </c>
      <c r="D24" s="37">
        <f>IFERROR(ROUND(('DCF Model'!C45/(1+$B24)^('DCF Model'!C19+0)+'DCF Model'!D45/(1+$B24)^('DCF Model'!C19+1)+'DCF Model'!E45/(1+$B24)^('DCF Model'!C19+2)+'DCF Model'!F45/(1+$B24)^('DCF Model'!C19+3)+'DCF Model'!G45/(1+$B24)^('DCF Model'!C19+4)+('DCF Model'!G39+'DCF Model'!G42)*D$17/(1+$B24)^('DCF Model'!C19+4)-'DCF Model'!C16)*1000000/'DCF Model'!C15,0),"")</f>
        <v>25382</v>
      </c>
      <c r="E24" s="37">
        <f>IFERROR(ROUND(('DCF Model'!C45/(1+$B24)^('DCF Model'!C19+0)+'DCF Model'!D45/(1+$B24)^('DCF Model'!C19+1)+'DCF Model'!E45/(1+$B24)^('DCF Model'!C19+2)+'DCF Model'!F45/(1+$B24)^('DCF Model'!C19+3)+'DCF Model'!G45/(1+$B24)^('DCF Model'!C19+4)+('DCF Model'!G39+'DCF Model'!G42)*E$17/(1+$B24)^('DCF Model'!C19+4)-'DCF Model'!C16)*1000000/'DCF Model'!C15,0),"")</f>
        <v>27198</v>
      </c>
      <c r="F24" s="37">
        <f>IFERROR(ROUND(('DCF Model'!C45/(1+$B24)^('DCF Model'!C19+0)+'DCF Model'!D45/(1+$B24)^('DCF Model'!C19+1)+'DCF Model'!E45/(1+$B24)^('DCF Model'!C19+2)+'DCF Model'!F45/(1+$B24)^('DCF Model'!C19+3)+'DCF Model'!G45/(1+$B24)^('DCF Model'!C19+4)+('DCF Model'!G39+'DCF Model'!G42)*F$17/(1+$B24)^('DCF Model'!C19+4)-'DCF Model'!C16)*1000000/'DCF Model'!C15,0),"")</f>
        <v>29014</v>
      </c>
      <c r="G24" s="37">
        <f>IFERROR(ROUND(('DCF Model'!C45/(1+$B24)^('DCF Model'!C19+0)+'DCF Model'!D45/(1+$B24)^('DCF Model'!C19+1)+'DCF Model'!E45/(1+$B24)^('DCF Model'!C19+2)+'DCF Model'!F45/(1+$B24)^('DCF Model'!C19+3)+'DCF Model'!G45/(1+$B24)^('DCF Model'!C19+4)+('DCF Model'!G39+'DCF Model'!G42)*G$17/(1+$B24)^('DCF Model'!C19+4)-'DCF Model'!C16)*1000000/'DCF Model'!C15,0),"")</f>
        <v>30830</v>
      </c>
      <c r="H24" s="37">
        <f>IFERROR(ROUND(('DCF Model'!C45/(1+$B24)^('DCF Model'!C19+0)+'DCF Model'!D45/(1+$B24)^('DCF Model'!C19+1)+'DCF Model'!E45/(1+$B24)^('DCF Model'!C19+2)+'DCF Model'!F45/(1+$B24)^('DCF Model'!C19+3)+'DCF Model'!G45/(1+$B24)^('DCF Model'!C19+4)+('DCF Model'!G39+'DCF Model'!G42)*H$17/(1+$B24)^('DCF Model'!C19+4)-'DCF Model'!C16)*1000000/'DCF Model'!C15,0),"")</f>
        <v>32646</v>
      </c>
      <c r="I24" s="37">
        <f>IFERROR(ROUND(('DCF Model'!C45/(1+$B24)^('DCF Model'!C19+0)+'DCF Model'!D45/(1+$B24)^('DCF Model'!C19+1)+'DCF Model'!E45/(1+$B24)^('DCF Model'!C19+2)+'DCF Model'!F45/(1+$B24)^('DCF Model'!C19+3)+'DCF Model'!G45/(1+$B24)^('DCF Model'!C19+4)+('DCF Model'!G39+'DCF Model'!G42)*I$17/(1+$B24)^('DCF Model'!C19+4)-'DCF Model'!C16)*1000000/'DCF Model'!C15,0),"")</f>
        <v>34461</v>
      </c>
    </row>
    <row r="26" spans="2:9" ht="14" customHeight="1"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customHeight="1" x14ac:dyDescent="0.3">
      <c r="B12" s="8" t="s">
        <v>260</v>
      </c>
    </row>
    <row r="13" spans="2:7" ht="14" customHeight="1" x14ac:dyDescent="0.3">
      <c r="B13" s="10" t="s">
        <v>261</v>
      </c>
      <c r="C13" s="10" t="s">
        <v>262</v>
      </c>
    </row>
    <row r="14" spans="2:7" ht="14" customHeight="1" x14ac:dyDescent="0.3">
      <c r="B14" s="4" t="s">
        <v>263</v>
      </c>
      <c r="C14" t="s">
        <v>264</v>
      </c>
    </row>
    <row r="15" spans="2:7" ht="14" customHeight="1" x14ac:dyDescent="0.3">
      <c r="B15" s="4" t="s">
        <v>265</v>
      </c>
      <c r="C15" t="s">
        <v>266</v>
      </c>
    </row>
    <row r="16" spans="2:7" ht="14" customHeight="1" x14ac:dyDescent="0.3">
      <c r="B16" s="4" t="s">
        <v>267</v>
      </c>
      <c r="C16" t="s">
        <v>268</v>
      </c>
    </row>
    <row r="17" spans="2:3" ht="14" customHeight="1" x14ac:dyDescent="0.3">
      <c r="B17" s="4" t="s">
        <v>269</v>
      </c>
      <c r="C17" t="s">
        <v>266</v>
      </c>
    </row>
    <row r="18" spans="2:3" ht="14" customHeight="1" x14ac:dyDescent="0.3">
      <c r="B18" s="4" t="s">
        <v>270</v>
      </c>
      <c r="C18" t="s">
        <v>271</v>
      </c>
    </row>
    <row r="19" spans="2:3" ht="14" customHeight="1" x14ac:dyDescent="0.3">
      <c r="B19" s="4" t="s">
        <v>272</v>
      </c>
      <c r="C19" t="s">
        <v>273</v>
      </c>
    </row>
    <row r="20" spans="2:3" ht="14" customHeight="1" x14ac:dyDescent="0.3">
      <c r="B20" s="4" t="s">
        <v>274</v>
      </c>
      <c r="C20" t="s">
        <v>275</v>
      </c>
    </row>
    <row r="21" spans="2:3" ht="14" customHeight="1" x14ac:dyDescent="0.3">
      <c r="B21" s="4" t="s">
        <v>276</v>
      </c>
      <c r="C21" t="s">
        <v>277</v>
      </c>
    </row>
    <row r="22" spans="2:3" ht="14" customHeight="1" x14ac:dyDescent="0.3">
      <c r="B22" s="4" t="s">
        <v>278</v>
      </c>
      <c r="C22" t="s">
        <v>279</v>
      </c>
    </row>
    <row r="23" spans="2:3" ht="14" customHeight="1" x14ac:dyDescent="0.3">
      <c r="B23" s="4" t="s">
        <v>280</v>
      </c>
      <c r="C23" t="s">
        <v>4</v>
      </c>
    </row>
    <row r="24" spans="2:3" ht="14" customHeight="1" x14ac:dyDescent="0.3">
      <c r="B24" s="4" t="s">
        <v>281</v>
      </c>
      <c r="C24" t="s">
        <v>245</v>
      </c>
    </row>
    <row r="25" spans="2:3" ht="14" customHeight="1" x14ac:dyDescent="0.3">
      <c r="B25" s="4" t="s">
        <v>282</v>
      </c>
      <c r="C25" t="s">
        <v>283</v>
      </c>
    </row>
    <row r="26" spans="2:3" ht="14" customHeight="1" x14ac:dyDescent="0.3">
      <c r="B26" s="4" t="s">
        <v>284</v>
      </c>
      <c r="C26" t="s">
        <v>271</v>
      </c>
    </row>
    <row r="27" spans="2:3" ht="14" customHeight="1" x14ac:dyDescent="0.3">
      <c r="B27" s="4" t="s">
        <v>285</v>
      </c>
      <c r="C27" t="s">
        <v>271</v>
      </c>
    </row>
    <row r="28" spans="2:3" ht="14" customHeight="1" x14ac:dyDescent="0.3">
      <c r="B28" s="4" t="s">
        <v>286</v>
      </c>
      <c r="C28" t="s">
        <v>287</v>
      </c>
    </row>
    <row r="29" spans="2:3" ht="14" customHeight="1" x14ac:dyDescent="0.3">
      <c r="B29" s="4" t="s">
        <v>288</v>
      </c>
      <c r="C29" t="s">
        <v>289</v>
      </c>
    </row>
    <row r="30" spans="2:3" ht="14" customHeight="1" x14ac:dyDescent="0.3">
      <c r="B30" s="4" t="s">
        <v>290</v>
      </c>
      <c r="C30" t="s">
        <v>291</v>
      </c>
    </row>
    <row r="31" spans="2:3" ht="14" customHeight="1" x14ac:dyDescent="0.3">
      <c r="B31" s="4" t="s">
        <v>292</v>
      </c>
      <c r="C31" t="s">
        <v>287</v>
      </c>
    </row>
    <row r="32" spans="2:3" ht="14" customHeight="1" x14ac:dyDescent="0.3">
      <c r="B32" s="4" t="s">
        <v>293</v>
      </c>
      <c r="C32" t="s">
        <v>271</v>
      </c>
    </row>
    <row r="33" spans="2:3" ht="14" customHeight="1" x14ac:dyDescent="0.3">
      <c r="B33" s="4" t="s">
        <v>294</v>
      </c>
      <c r="C33" t="s">
        <v>283</v>
      </c>
    </row>
    <row r="34" spans="2:3" ht="14" customHeight="1" x14ac:dyDescent="0.3">
      <c r="B34" s="4" t="s">
        <v>295</v>
      </c>
      <c r="C34" t="s">
        <v>296</v>
      </c>
    </row>
    <row r="35" spans="2:3" ht="14" customHeight="1" x14ac:dyDescent="0.3">
      <c r="B35" s="4" t="s">
        <v>297</v>
      </c>
      <c r="C35" t="s">
        <v>298</v>
      </c>
    </row>
    <row r="36" spans="2:3" ht="14" customHeight="1" x14ac:dyDescent="0.3">
      <c r="B36" s="4" t="s">
        <v>299</v>
      </c>
      <c r="C36" t="s">
        <v>300</v>
      </c>
    </row>
    <row r="37" spans="2:3" ht="14" customHeight="1" x14ac:dyDescent="0.3">
      <c r="B37" s="4" t="s">
        <v>301</v>
      </c>
      <c r="C37" t="s">
        <v>302</v>
      </c>
    </row>
    <row r="38" spans="2:3" ht="14" customHeight="1" x14ac:dyDescent="0.3">
      <c r="B38" s="4" t="s">
        <v>303</v>
      </c>
      <c r="C38" t="s">
        <v>304</v>
      </c>
    </row>
    <row r="39" spans="2:3" ht="14" customHeight="1" x14ac:dyDescent="0.3">
      <c r="B39" s="4" t="s">
        <v>305</v>
      </c>
      <c r="C39" t="s">
        <v>306</v>
      </c>
    </row>
    <row r="40" spans="2:3" ht="14" customHeight="1" x14ac:dyDescent="0.3">
      <c r="B40" s="4" t="s">
        <v>307</v>
      </c>
      <c r="C40" t="s">
        <v>308</v>
      </c>
    </row>
    <row r="41" spans="2:3" ht="14" customHeight="1" x14ac:dyDescent="0.3">
      <c r="B41" s="4" t="s">
        <v>309</v>
      </c>
      <c r="C41" t="s">
        <v>310</v>
      </c>
    </row>
    <row r="42" spans="2:3" ht="14" customHeight="1" x14ac:dyDescent="0.3">
      <c r="B42" s="4" t="s">
        <v>311</v>
      </c>
      <c r="C42" t="s">
        <v>312</v>
      </c>
    </row>
    <row r="43" spans="2:3" ht="14" customHeight="1" x14ac:dyDescent="0.3">
      <c r="B43" s="4" t="s">
        <v>313</v>
      </c>
      <c r="C43" t="s">
        <v>314</v>
      </c>
    </row>
    <row r="44" spans="2:3" ht="14" customHeight="1" x14ac:dyDescent="0.3">
      <c r="B44" s="4" t="s">
        <v>315</v>
      </c>
      <c r="C44" t="s">
        <v>275</v>
      </c>
    </row>
    <row r="45" spans="2:3" ht="14" customHeight="1" x14ac:dyDescent="0.3">
      <c r="B45" s="4" t="s">
        <v>316</v>
      </c>
      <c r="C45" t="s">
        <v>317</v>
      </c>
    </row>
    <row r="46" spans="2:3" ht="14" customHeight="1" x14ac:dyDescent="0.3">
      <c r="B46" s="4" t="s">
        <v>318</v>
      </c>
      <c r="C46" t="s">
        <v>319</v>
      </c>
    </row>
    <row r="47" spans="2:3" ht="14" customHeight="1" x14ac:dyDescent="0.3">
      <c r="B47" s="4" t="s">
        <v>320</v>
      </c>
      <c r="C47" t="s">
        <v>321</v>
      </c>
    </row>
    <row r="48" spans="2:3" ht="14" customHeight="1" x14ac:dyDescent="0.3">
      <c r="B48" s="4" t="s">
        <v>322</v>
      </c>
      <c r="C48" t="s">
        <v>323</v>
      </c>
    </row>
    <row r="49" spans="2:3" ht="14" customHeight="1" x14ac:dyDescent="0.3">
      <c r="B49" s="4" t="s">
        <v>324</v>
      </c>
      <c r="C49" t="s">
        <v>325</v>
      </c>
    </row>
    <row r="50" spans="2:3" ht="14" customHeight="1" x14ac:dyDescent="0.3">
      <c r="B50" s="4" t="s">
        <v>326</v>
      </c>
      <c r="C50" t="s">
        <v>327</v>
      </c>
    </row>
    <row r="51" spans="2:3" ht="14" customHeight="1" x14ac:dyDescent="0.3">
      <c r="B51" s="4" t="s">
        <v>328</v>
      </c>
      <c r="C51" t="s">
        <v>329</v>
      </c>
    </row>
    <row r="52" spans="2:3" ht="14" customHeight="1" x14ac:dyDescent="0.3">
      <c r="B52" s="4" t="s">
        <v>330</v>
      </c>
      <c r="C52" t="s">
        <v>331</v>
      </c>
    </row>
    <row r="53" spans="2:3" ht="14" customHeight="1" x14ac:dyDescent="0.3">
      <c r="B53" s="4" t="s">
        <v>332</v>
      </c>
      <c r="C53" t="s">
        <v>333</v>
      </c>
    </row>
    <row r="54" spans="2:3" ht="14" customHeight="1" x14ac:dyDescent="0.3">
      <c r="B54" s="4" t="s">
        <v>334</v>
      </c>
      <c r="C54" t="s">
        <v>335</v>
      </c>
    </row>
    <row r="55" spans="2:3" ht="14" customHeight="1" x14ac:dyDescent="0.3">
      <c r="B55" s="4" t="s">
        <v>336</v>
      </c>
      <c r="C55" t="s">
        <v>337</v>
      </c>
    </row>
    <row r="56" spans="2:3" ht="14" customHeight="1" x14ac:dyDescent="0.3">
      <c r="B56" s="4" t="s">
        <v>338</v>
      </c>
      <c r="C56" t="s">
        <v>339</v>
      </c>
    </row>
    <row r="57" spans="2:3" ht="14" customHeight="1" x14ac:dyDescent="0.3">
      <c r="B57" s="4" t="s">
        <v>340</v>
      </c>
      <c r="C57" t="s">
        <v>341</v>
      </c>
    </row>
    <row r="58" spans="2:3" ht="14" customHeight="1" x14ac:dyDescent="0.3">
      <c r="B58" s="4" t="s">
        <v>342</v>
      </c>
      <c r="C58" t="s">
        <v>343</v>
      </c>
    </row>
    <row r="59" spans="2:3" ht="14" customHeight="1" x14ac:dyDescent="0.3">
      <c r="B59" s="4" t="s">
        <v>344</v>
      </c>
      <c r="C59" t="s">
        <v>345</v>
      </c>
    </row>
    <row r="60" spans="2:3" ht="14" customHeight="1" x14ac:dyDescent="0.3">
      <c r="B60" s="4" t="s">
        <v>346</v>
      </c>
      <c r="C60" t="s">
        <v>347</v>
      </c>
    </row>
    <row r="61" spans="2:3" ht="14" customHeight="1" x14ac:dyDescent="0.3">
      <c r="B61" s="4" t="s">
        <v>348</v>
      </c>
      <c r="C61" t="s">
        <v>349</v>
      </c>
    </row>
    <row r="62" spans="2:3" ht="14" customHeight="1" x14ac:dyDescent="0.3">
      <c r="B62" s="4" t="s">
        <v>350</v>
      </c>
      <c r="C62" t="s">
        <v>351</v>
      </c>
    </row>
    <row r="63" spans="2:3" ht="14" customHeight="1" x14ac:dyDescent="0.3">
      <c r="B63" s="4" t="s">
        <v>352</v>
      </c>
      <c r="C63" t="s">
        <v>353</v>
      </c>
    </row>
    <row r="64" spans="2:3" ht="14" customHeight="1" x14ac:dyDescent="0.3">
      <c r="B64" s="4" t="s">
        <v>354</v>
      </c>
      <c r="C64"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2026-09-06T10:12:46Z</dcterms:created>
  <dcterms:modified xsi:type="dcterms:W3CDTF">2026-09-06T11:18:29Z</dcterms:modified>
</cp:coreProperties>
</file>