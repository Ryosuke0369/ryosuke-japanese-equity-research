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2AFA625F-13B7-4DFE-96B7-4AD2E37CC520}"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I6" i="7" s="1"/>
  <c r="O9" i="6"/>
  <c r="N9" i="6"/>
  <c r="M9" i="6"/>
  <c r="L9" i="6"/>
  <c r="K9" i="6"/>
  <c r="J9" i="6"/>
  <c r="O8" i="6"/>
  <c r="N8" i="6"/>
  <c r="M8" i="6"/>
  <c r="L8" i="6"/>
  <c r="K8" i="6"/>
  <c r="J8" i="6"/>
  <c r="O7" i="6"/>
  <c r="N7" i="6"/>
  <c r="M7" i="6"/>
  <c r="L7" i="6"/>
  <c r="K7" i="6"/>
  <c r="J7" i="6"/>
  <c r="O6" i="6"/>
  <c r="I15" i="6" s="1"/>
  <c r="N6" i="6"/>
  <c r="H15" i="6" s="1"/>
  <c r="M6" i="6"/>
  <c r="L6" i="6"/>
  <c r="K6" i="6"/>
  <c r="E15" i="6" s="1"/>
  <c r="J6" i="6"/>
  <c r="O5" i="6"/>
  <c r="N5" i="6"/>
  <c r="D5" i="6"/>
  <c r="L5" i="6" s="1"/>
  <c r="C16" i="5"/>
  <c r="C14" i="5"/>
  <c r="C18" i="5" s="1"/>
  <c r="C7" i="5"/>
  <c r="C6" i="5"/>
  <c r="C5" i="5"/>
  <c r="C13" i="4"/>
  <c r="C12" i="4"/>
  <c r="C9" i="4"/>
  <c r="C7" i="4"/>
  <c r="C6" i="4"/>
  <c r="D27" i="3"/>
  <c r="E7" i="5" s="1"/>
  <c r="C25" i="3"/>
  <c r="C24" i="3"/>
  <c r="C23" i="3"/>
  <c r="F23" i="2"/>
  <c r="E23" i="2"/>
  <c r="D23" i="2"/>
  <c r="C23" i="2"/>
  <c r="E22" i="2"/>
  <c r="C22" i="2"/>
  <c r="F21" i="2"/>
  <c r="F22" i="2" s="1"/>
  <c r="E21" i="2"/>
  <c r="D21" i="2"/>
  <c r="D22" i="2" s="1"/>
  <c r="C21" i="2"/>
  <c r="F16" i="2"/>
  <c r="E16" i="2"/>
  <c r="D16" i="2"/>
  <c r="F15" i="2"/>
  <c r="E15" i="2"/>
  <c r="D15" i="2"/>
  <c r="F14" i="2"/>
  <c r="E14" i="2"/>
  <c r="D14" i="2"/>
  <c r="C14" i="2"/>
  <c r="F13" i="2"/>
  <c r="E13" i="2"/>
  <c r="D13" i="2"/>
  <c r="C13" i="2"/>
  <c r="F9" i="2"/>
  <c r="F8" i="2"/>
  <c r="E8" i="2"/>
  <c r="E9" i="2" s="1"/>
  <c r="D8" i="2"/>
  <c r="D9" i="2" s="1"/>
  <c r="C8" i="2"/>
  <c r="C9" i="2" s="1"/>
  <c r="E6" i="5" l="1"/>
  <c r="M5" i="6"/>
  <c r="D6" i="5"/>
  <c r="C30" i="3"/>
  <c r="C33" i="3" s="1"/>
  <c r="D16" i="6"/>
  <c r="F17" i="6"/>
  <c r="E30" i="3"/>
  <c r="F7" i="5"/>
  <c r="B24" i="1"/>
  <c r="F30" i="3"/>
  <c r="G7" i="5"/>
  <c r="D17" i="6"/>
  <c r="F31" i="3"/>
  <c r="E17" i="6"/>
  <c r="B29" i="1"/>
  <c r="C26" i="3"/>
  <c r="C46" i="3" s="1"/>
  <c r="C32" i="3"/>
  <c r="F15" i="6"/>
  <c r="D32" i="3"/>
  <c r="G15" i="6"/>
  <c r="C8" i="4"/>
  <c r="C10" i="4" s="1"/>
  <c r="I16" i="6"/>
  <c r="I17" i="6"/>
  <c r="C74" i="4"/>
  <c r="C27" i="6"/>
  <c r="C18" i="1" s="1"/>
  <c r="D18" i="1" s="1"/>
  <c r="D9" i="5"/>
  <c r="C42" i="3"/>
  <c r="C3" i="7"/>
  <c r="H36" i="4"/>
  <c r="G36" i="4"/>
  <c r="C11" i="4"/>
  <c r="G46" i="3"/>
  <c r="F36" i="4"/>
  <c r="E46" i="3"/>
  <c r="B25" i="1"/>
  <c r="E36" i="4"/>
  <c r="D36" i="4"/>
  <c r="D46" i="3"/>
  <c r="H6" i="7"/>
  <c r="G6" i="7"/>
  <c r="F6" i="7"/>
  <c r="E6" i="7"/>
  <c r="D6" i="7"/>
  <c r="C6" i="7"/>
  <c r="C17" i="7"/>
  <c r="G30" i="3"/>
  <c r="E32" i="3"/>
  <c r="D5" i="5"/>
  <c r="F6" i="5"/>
  <c r="H7" i="5"/>
  <c r="E16" i="6"/>
  <c r="G17" i="6"/>
  <c r="D17" i="7"/>
  <c r="E5" i="5"/>
  <c r="G6" i="5"/>
  <c r="D15" i="6"/>
  <c r="F16" i="6"/>
  <c r="C28" i="6" s="1"/>
  <c r="C19" i="1" s="1"/>
  <c r="D19" i="1" s="1"/>
  <c r="H17" i="6"/>
  <c r="E17" i="7"/>
  <c r="C31" i="3"/>
  <c r="C34" i="3" s="1"/>
  <c r="D10" i="5" s="1"/>
  <c r="F32" i="3"/>
  <c r="D31" i="3"/>
  <c r="G32" i="3"/>
  <c r="F5" i="5"/>
  <c r="H6" i="5"/>
  <c r="E5" i="6"/>
  <c r="G16" i="6"/>
  <c r="F17" i="7"/>
  <c r="E31" i="3"/>
  <c r="G5" i="5"/>
  <c r="H16" i="6"/>
  <c r="G17" i="7"/>
  <c r="H17" i="7"/>
  <c r="H5" i="5"/>
  <c r="D7" i="5"/>
  <c r="D30" i="3"/>
  <c r="D33" i="3" s="1"/>
  <c r="G31" i="3"/>
  <c r="C37" i="3" l="1"/>
  <c r="F46" i="3"/>
  <c r="K5" i="6"/>
  <c r="J5" i="6"/>
  <c r="D15" i="5"/>
  <c r="D16" i="5" s="1"/>
  <c r="D13" i="5"/>
  <c r="F45" i="4"/>
  <c r="F39" i="4"/>
  <c r="F49" i="4" s="1"/>
  <c r="F43" i="4"/>
  <c r="F46" i="4"/>
  <c r="F40" i="4"/>
  <c r="F44" i="4"/>
  <c r="F41" i="4"/>
  <c r="F38" i="4"/>
  <c r="F48" i="4" s="1"/>
  <c r="F53" i="4" s="1"/>
  <c r="D12" i="5"/>
  <c r="D14" i="5" s="1"/>
  <c r="C35" i="3"/>
  <c r="B13" i="7"/>
  <c r="B12" i="7"/>
  <c r="B11" i="7"/>
  <c r="B10" i="7"/>
  <c r="B9" i="7"/>
  <c r="B8" i="7"/>
  <c r="B7" i="7"/>
  <c r="B24" i="7"/>
  <c r="B23" i="7"/>
  <c r="B22" i="7"/>
  <c r="B21" i="7"/>
  <c r="B20" i="7"/>
  <c r="B19" i="7"/>
  <c r="B18" i="7"/>
  <c r="C24" i="4"/>
  <c r="C25" i="4" s="1"/>
  <c r="C71" i="4"/>
  <c r="C70" i="4"/>
  <c r="D38" i="4"/>
  <c r="D41" i="4"/>
  <c r="D51" i="4" s="1"/>
  <c r="D56" i="4" s="1"/>
  <c r="D45" i="4"/>
  <c r="D39" i="4"/>
  <c r="D49" i="4" s="1"/>
  <c r="D54" i="4" s="1"/>
  <c r="D43" i="4"/>
  <c r="D46" i="4"/>
  <c r="D40" i="4"/>
  <c r="D50" i="4" s="1"/>
  <c r="D55" i="4" s="1"/>
  <c r="D44" i="4"/>
  <c r="G39" i="4"/>
  <c r="G43" i="4"/>
  <c r="G46" i="4"/>
  <c r="G40" i="4"/>
  <c r="G50" i="4" s="1"/>
  <c r="G55" i="4" s="1"/>
  <c r="G44" i="4"/>
  <c r="G49" i="4" s="1"/>
  <c r="G54" i="4" s="1"/>
  <c r="G38" i="4"/>
  <c r="G41" i="4"/>
  <c r="G45" i="4"/>
  <c r="E33" i="3"/>
  <c r="E9" i="5"/>
  <c r="E12" i="5" s="1"/>
  <c r="D42" i="3"/>
  <c r="D34" i="3"/>
  <c r="E10" i="5" s="1"/>
  <c r="D37" i="3"/>
  <c r="E41" i="4"/>
  <c r="E45" i="4"/>
  <c r="E39" i="4"/>
  <c r="E43" i="4"/>
  <c r="E46" i="4"/>
  <c r="E40" i="4"/>
  <c r="E50" i="4" s="1"/>
  <c r="E55" i="4" s="1"/>
  <c r="E38" i="4"/>
  <c r="E48" i="4" s="1"/>
  <c r="E53" i="4" s="1"/>
  <c r="E44" i="4"/>
  <c r="H43" i="4"/>
  <c r="H46" i="4"/>
  <c r="H40" i="4"/>
  <c r="H44" i="4"/>
  <c r="H38" i="4"/>
  <c r="H48" i="4" s="1"/>
  <c r="H53" i="4" s="1"/>
  <c r="H41" i="4"/>
  <c r="H39" i="4"/>
  <c r="H45" i="4"/>
  <c r="H50" i="4" s="1"/>
  <c r="H55" i="4" s="1"/>
  <c r="G51" i="4" l="1"/>
  <c r="G56" i="4" s="1"/>
  <c r="F51" i="4"/>
  <c r="F56" i="4" s="1"/>
  <c r="D48" i="4"/>
  <c r="D53" i="4" s="1"/>
  <c r="H51" i="4"/>
  <c r="H56" i="4" s="1"/>
  <c r="H49" i="4"/>
  <c r="H54" i="4" s="1"/>
  <c r="E49" i="4"/>
  <c r="E54" i="4" s="1"/>
  <c r="F50" i="4"/>
  <c r="F55" i="4" s="1"/>
  <c r="E51" i="4"/>
  <c r="E56" i="4" s="1"/>
  <c r="G48" i="4"/>
  <c r="G53" i="4" s="1"/>
  <c r="C27" i="4"/>
  <c r="C26" i="4"/>
  <c r="C29" i="4"/>
  <c r="F9" i="5"/>
  <c r="F12" i="5" s="1"/>
  <c r="E42" i="3"/>
  <c r="E34" i="3"/>
  <c r="F10" i="5" s="1"/>
  <c r="E37" i="3"/>
  <c r="F33" i="3"/>
  <c r="C60" i="4"/>
  <c r="F54" i="4"/>
  <c r="B78" i="4"/>
  <c r="D18" i="5"/>
  <c r="D19" i="5" s="1"/>
  <c r="C44" i="3" s="1"/>
  <c r="C36" i="3"/>
  <c r="C39" i="3"/>
  <c r="C38" i="3"/>
  <c r="D35" i="3"/>
  <c r="E15" i="5"/>
  <c r="E16" i="5" s="1"/>
  <c r="E13" i="5"/>
  <c r="E14" i="5" s="1"/>
  <c r="E18" i="5" s="1"/>
  <c r="E19" i="5" l="1"/>
  <c r="D44" i="3" s="1"/>
  <c r="F15" i="5"/>
  <c r="F16" i="5" s="1"/>
  <c r="F13" i="5"/>
  <c r="F14" i="5"/>
  <c r="F18" i="5" s="1"/>
  <c r="F19" i="5" s="1"/>
  <c r="E44" i="3" s="1"/>
  <c r="D38" i="3"/>
  <c r="D36" i="3"/>
  <c r="D39" i="3"/>
  <c r="C66" i="4"/>
  <c r="D66" i="4" s="1"/>
  <c r="C65" i="4"/>
  <c r="D65" i="4" s="1"/>
  <c r="C64" i="4"/>
  <c r="D64" i="4" s="1"/>
  <c r="C63" i="4"/>
  <c r="D63" i="4" s="1"/>
  <c r="C67" i="4"/>
  <c r="D67" i="4" s="1"/>
  <c r="C40" i="3"/>
  <c r="C41" i="3" s="1"/>
  <c r="C45" i="3" s="1"/>
  <c r="G9" i="5"/>
  <c r="G12" i="5" s="1"/>
  <c r="F42" i="3"/>
  <c r="F34" i="3"/>
  <c r="G10" i="5" s="1"/>
  <c r="F37" i="3"/>
  <c r="G33" i="3"/>
  <c r="E35" i="3"/>
  <c r="F35" i="3" l="1"/>
  <c r="F36" i="3" s="1"/>
  <c r="C47" i="3"/>
  <c r="D40" i="3"/>
  <c r="D41" i="3" s="1"/>
  <c r="D45" i="3" s="1"/>
  <c r="E39" i="3"/>
  <c r="E36" i="3"/>
  <c r="E38" i="3"/>
  <c r="H9" i="5"/>
  <c r="H12" i="5" s="1"/>
  <c r="G42" i="3"/>
  <c r="G37" i="3"/>
  <c r="C16" i="4"/>
  <c r="C28" i="4" s="1"/>
  <c r="G34" i="3"/>
  <c r="H10" i="5" s="1"/>
  <c r="G13" i="5"/>
  <c r="G14" i="5" s="1"/>
  <c r="G15" i="5"/>
  <c r="G16" i="5" s="1"/>
  <c r="G18" i="5" l="1"/>
  <c r="G19" i="5" s="1"/>
  <c r="F44" i="3" s="1"/>
  <c r="F38" i="3"/>
  <c r="F39" i="3"/>
  <c r="D47" i="3"/>
  <c r="H13" i="5"/>
  <c r="H14" i="5" s="1"/>
  <c r="H15" i="5"/>
  <c r="H16" i="5" s="1"/>
  <c r="E40" i="3"/>
  <c r="E41" i="3" s="1"/>
  <c r="E45" i="3" s="1"/>
  <c r="G35" i="3"/>
  <c r="C72" i="4"/>
  <c r="C73" i="4"/>
  <c r="F40" i="3"/>
  <c r="F41" i="3" s="1"/>
  <c r="F45" i="3" s="1"/>
  <c r="F47" i="3" s="1"/>
  <c r="H18" i="5" l="1"/>
  <c r="H19" i="5" s="1"/>
  <c r="G44" i="3" s="1"/>
  <c r="E47" i="3"/>
  <c r="G39" i="3"/>
  <c r="G38" i="3"/>
  <c r="G36" i="3"/>
  <c r="G40" i="3" l="1"/>
  <c r="C59" i="3"/>
  <c r="C60" i="3" s="1"/>
  <c r="C61" i="3" s="1"/>
  <c r="G41" i="3"/>
  <c r="G45" i="3" s="1"/>
  <c r="C51" i="3" l="1"/>
  <c r="C52" i="3" s="1"/>
  <c r="G47" i="3"/>
  <c r="C50" i="3" s="1"/>
  <c r="I13" i="7"/>
  <c r="G24" i="7"/>
  <c r="C20" i="7"/>
  <c r="F11" i="7"/>
  <c r="E23" i="7"/>
  <c r="G11" i="7"/>
  <c r="E7" i="7"/>
  <c r="C23" i="7"/>
  <c r="F21" i="7"/>
  <c r="H22" i="7"/>
  <c r="D24" i="7"/>
  <c r="C13" i="7"/>
  <c r="C8" i="7"/>
  <c r="G19" i="7"/>
  <c r="C18" i="7"/>
  <c r="H23" i="7"/>
  <c r="H19" i="7"/>
  <c r="F18" i="7"/>
  <c r="I11" i="7"/>
  <c r="E12" i="7"/>
  <c r="G9" i="7"/>
  <c r="E10" i="7"/>
  <c r="I21" i="7"/>
  <c r="H12" i="7"/>
  <c r="F8" i="7"/>
  <c r="E9" i="7"/>
  <c r="E22" i="7"/>
  <c r="H20" i="7"/>
  <c r="D23" i="7"/>
  <c r="C24" i="7"/>
  <c r="G23" i="7"/>
  <c r="F9" i="7"/>
  <c r="F12" i="7"/>
  <c r="H24" i="7"/>
  <c r="E13" i="7"/>
  <c r="G12" i="7"/>
  <c r="D10" i="7"/>
  <c r="C10" i="7"/>
  <c r="E20" i="7"/>
  <c r="E19" i="7"/>
  <c r="I10" i="7"/>
  <c r="F20" i="7"/>
  <c r="H13" i="7"/>
  <c r="C11" i="7"/>
  <c r="G13" i="7"/>
  <c r="H10" i="7"/>
  <c r="H11" i="7"/>
  <c r="I18" i="7"/>
  <c r="C19" i="7"/>
  <c r="F7" i="7"/>
  <c r="G22" i="7"/>
  <c r="D9" i="7"/>
  <c r="H8" i="7"/>
  <c r="H18" i="7"/>
  <c r="F13" i="7"/>
  <c r="H9" i="7"/>
  <c r="I19" i="7"/>
  <c r="I22" i="7"/>
  <c r="G21" i="7"/>
  <c r="G7" i="7"/>
  <c r="E18" i="7"/>
  <c r="D12" i="7"/>
  <c r="D21" i="7"/>
  <c r="I24" i="7"/>
  <c r="C7" i="7"/>
  <c r="F24" i="7"/>
  <c r="F19" i="7"/>
  <c r="F10" i="7"/>
  <c r="F23" i="7"/>
  <c r="H21" i="7"/>
  <c r="E21" i="7"/>
  <c r="G8" i="7"/>
  <c r="C9" i="7"/>
  <c r="D20" i="7"/>
  <c r="I20" i="7"/>
  <c r="D13" i="7"/>
  <c r="E8" i="7"/>
  <c r="G20" i="7"/>
  <c r="H7" i="7"/>
  <c r="D11" i="7"/>
  <c r="D22" i="7"/>
  <c r="I12" i="7"/>
  <c r="I8" i="7"/>
  <c r="I9" i="7"/>
  <c r="C22" i="7"/>
  <c r="D7" i="7"/>
  <c r="D8" i="7"/>
  <c r="G10" i="7"/>
  <c r="C12" i="7"/>
  <c r="I7" i="7"/>
  <c r="D18" i="7"/>
  <c r="G18" i="7"/>
  <c r="E11" i="7"/>
  <c r="E24" i="7"/>
  <c r="D19" i="7"/>
  <c r="I23" i="7"/>
  <c r="F22" i="7"/>
  <c r="C21" i="7"/>
  <c r="C53" i="3" l="1"/>
  <c r="C58" i="3"/>
  <c r="C62" i="3" s="1"/>
  <c r="C63" i="3" l="1"/>
  <c r="C64" i="3" s="1"/>
  <c r="C17" i="1"/>
  <c r="D17" i="1" s="1"/>
  <c r="C54" i="3"/>
  <c r="C55" i="3" s="1"/>
  <c r="C16" i="1" s="1"/>
  <c r="C17" i="4"/>
  <c r="C19" i="4" l="1"/>
  <c r="C20" i="4" s="1"/>
  <c r="B79" i="4"/>
  <c r="D16" i="1"/>
  <c r="C10" i="1"/>
  <c r="C21" i="1"/>
  <c r="B30" i="1" l="1"/>
  <c r="C12" i="1"/>
  <c r="C11" i="1" s="1"/>
  <c r="B26" i="1" l="1"/>
</calcChain>
</file>

<file path=xl/sharedStrings.xml><?xml version="1.0" encoding="utf-8"?>
<sst xmlns="http://schemas.openxmlformats.org/spreadsheetml/2006/main" count="424" uniqueCount="342">
  <si>
    <t>DISCLAIMER: This is a sample analysis for demonstration purposes only. It does not constitute investment advice.</t>
  </si>
  <si>
    <t>東京エレクトロン (8035.T)</t>
  </si>
  <si>
    <t>Equity Research Report</t>
  </si>
  <si>
    <t>Company</t>
  </si>
  <si>
    <t>東京エレクトロン</t>
  </si>
  <si>
    <t>Ticker</t>
  </si>
  <si>
    <t>8035.T (TSE Prime)</t>
  </si>
  <si>
    <t>Sector</t>
  </si>
  <si>
    <t>電気機器</t>
  </si>
  <si>
    <t>Current Price</t>
  </si>
  <si>
    <t>Target Price (DCF Mid)</t>
  </si>
  <si>
    <t>Recommendation</t>
  </si>
  <si>
    <t>Upside / Downside</t>
  </si>
  <si>
    <t>Valuation Summary</t>
  </si>
  <si>
    <t>Methodology</t>
  </si>
  <si>
    <t>Implied Value (JPY)</t>
  </si>
  <si>
    <t>vs Current Price</t>
  </si>
  <si>
    <t>DCF - Perpetuity Growth</t>
  </si>
  <si>
    <t>DCF - Exit Multiple [参考・Target不算入 — 追補6 §X]</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</si>
  <si>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</si>
  <si>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</si>
  <si>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 ■【追補6 §X】PGMとExitの乖離が **6.04倍** で 3.0倍を超えたため、**乖離そのものを裁定トリガーとする追補6 §X により中点平均を禁止**し、どちらの脚を落とすかを判定した。■**観測倍率バンドテスト**: Peer の実測 EV/EBITDA の第1〜第3四分位バンドは **—倍**。これに対し **PGM逆算 5.98倍 / 仮定Exit 36.10倍**。**Exit法のみがバンドの外にあるため Exit法を[参考]に降格し、Target = PGM 単独**とした。■バンドテストは市場倍率を無条件のアンカーにするものではない（それではスクリーナーが市場の複写に堕する）。**実際に取引されているレンジの外に出た脚だけを取り除く**という位置づけである。</t>
  </si>
  <si>
    <t>DCF Valuation Range (PGM - Exit)</t>
  </si>
  <si>
    <t>Key Investment Thesis</t>
  </si>
  <si>
    <t>Key Risks</t>
  </si>
  <si>
    <t>Capital expenditure has risen every year to nine percent of revenue against depreciation near three percent, and the base case assumes it tapers, which the filings do not commit to.</t>
  </si>
  <si>
    <t>東京エレクトロン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</si>
  <si>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</si>
  <si>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</si>
  <si>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</si>
  <si>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</si>
  <si>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</si>
  <si>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</si>
  <si>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</si>
  <si>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</si>
  <si>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</si>
  <si>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</si>
  <si>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</si>
  <si>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</si>
  <si>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</si>
  <si>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</si>
  <si>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</si>
  <si>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</si>
  <si>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</si>
  <si>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</si>
  <si>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</si>
  <si>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</si>
  <si>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</si>
  <si>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</si>
  <si>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</si>
  <si>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</si>
  <si>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</si>
  <si>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</si>
  <si>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</si>
  <si>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0/4 — blank cells are years with no year-key match in the source data (verify against 決算短信 or set hist_ocf / hist_cash / hist_debt in overrides).</t>
  </si>
  <si>
    <t>DCF Valuation Model - 東京エレクトロン</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</si>
  <si>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</si>
  <si>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</si>
  <si>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</si>
  <si>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</si>
  <si>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</si>
  <si>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</si>
  <si>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</si>
  <si>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</si>
  <si>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</si>
  <si>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</si>
  <si>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</si>
  <si>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</si>
  <si>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</si>
  <si>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</si>
  <si>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</si>
  <si>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</si>
  <si>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</si>
  <si>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</si>
  <si>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</si>
  <si>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</si>
  <si>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</si>
  <si>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</si>
  <si>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</si>
  <si>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</si>
  <si>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</si>
  <si>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</si>
  <si>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</si>
  <si>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</si>
  <si>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</si>
  <si>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</si>
  <si>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</si>
  <si>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</si>
  <si>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</si>
  <si>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</si>
  <si>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</si>
  <si>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</si>
  <si>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</si>
  <si>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</si>
  <si>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</si>
  <si>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</si>
  <si>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</si>
  <si>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</si>
  <si>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</si>
  <si>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</si>
  <si>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</si>
  <si>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</si>
  <si>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</si>
  <si>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</si>
  <si>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</si>
  <si>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</si>
  <si>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</si>
  <si>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</si>
  <si>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</si>
  <si>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</si>
  <si>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</si>
  <si>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</si>
  <si>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</si>
  <si>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</si>
  <si>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</si>
  <si>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</si>
  <si>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</si>
  <si>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</si>
  <si>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</si>
  <si>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</si>
  <si>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東京エレクトロン (8035.T)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</si>
  <si>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</si>
  <si>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</si>
  <si>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</si>
  <si>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</si>
  <si>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</si>
  <si>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</si>
  <si>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</si>
  <si>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</si>
  <si>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</si>
  <si>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</si>
  <si>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</si>
  <si>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</si>
  <si>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</si>
  <si>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</si>
  <si>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</si>
  <si>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</si>
  <si>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</si>
  <si>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</si>
  <si>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</si>
  <si>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</si>
  <si>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</si>
  <si>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</si>
  <si>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</si>
  <si>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</si>
  <si>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</si>
  <si>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</si>
  <si>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</si>
  <si>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</si>
  <si>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</si>
  <si>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</si>
  <si>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</si>
  <si>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</si>
  <si>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</si>
  <si>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</si>
  <si>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</si>
  <si>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</si>
  <si>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</si>
  <si>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</si>
  <si>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</si>
  <si>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</si>
  <si>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</si>
  <si>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</si>
  <si>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</si>
  <si>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</si>
  <si>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</si>
  <si>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</si>
  <si>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</si>
  <si>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</si>
  <si>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</si>
  <si>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</si>
  <si>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</si>
  <si>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東京エレクトロン</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</si>
  <si>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</si>
  <si>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</si>
  <si>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</si>
  <si>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</si>
  <si>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</si>
  <si>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</si>
  <si>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</si>
  <si>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</si>
  <si>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</si>
  <si>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</si>
  <si>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</si>
  <si>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</si>
  <si>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</si>
  <si>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</si>
  <si>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</si>
  <si>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</si>
  <si>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</si>
  <si>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</si>
  <si>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</si>
  <si>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</si>
  <si>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</si>
  <si>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</si>
  <si>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</si>
  <si>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</si>
  <si>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</si>
  <si>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</si>
  <si>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</si>
  <si>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</si>
  <si>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</si>
  <si>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</si>
  <si>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</si>
  <si>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</si>
  <si>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</si>
  <si>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</si>
  <si>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Tokyo Electron Limited</t>
  </si>
  <si>
    <t>8035.T</t>
  </si>
  <si>
    <t>Advantest Corporation</t>
  </si>
  <si>
    <t>6857.T</t>
  </si>
  <si>
    <t>Disco Corporation</t>
  </si>
  <si>
    <t>6146.T</t>
  </si>
  <si>
    <t>SCREEN Holdings Co., Ltd.</t>
  </si>
  <si>
    <t>7735.T</t>
  </si>
  <si>
    <t>Ibiden Co.,Ltd.</t>
  </si>
  <si>
    <t>4062.T</t>
  </si>
  <si>
    <t>Statistics</t>
  </si>
  <si>
    <t>25th Percentile</t>
  </si>
  <si>
    <t>Median (50th)</t>
  </si>
  <si>
    <t>75th Percentile</t>
  </si>
  <si>
    <t>Implied Valuation for 東京エレクトロン</t>
  </si>
  <si>
    <t>東京エレクトロン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</si>
  <si>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</si>
  <si>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</si>
  <si>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</si>
  <si>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</si>
  <si>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</si>
  <si>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</si>
  <si>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</si>
  <si>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</si>
  <si>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</si>
  <si>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</si>
  <si>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</si>
  <si>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</si>
  <si>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</si>
  <si>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</si>
  <si>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</si>
  <si>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東京エレクトロン</t>
  </si>
  <si>
    <t>日付</t>
  </si>
  <si>
    <t>セル</t>
  </si>
  <si>
    <t>変更内容</t>
  </si>
  <si>
    <t>理由</t>
  </si>
  <si>
    <t>元の値</t>
  </si>
  <si>
    <t>状態</t>
  </si>
  <si>
    <t>2026-09-06</t>
  </si>
  <si>
    <t>-</t>
  </si>
  <si>
    <t>Generated by pipeline on 2026-09-06 19:27, template rev 63983ab</t>
  </si>
  <si>
    <t>初期生成（手修正なし）</t>
  </si>
  <si>
    <t>generated</t>
  </si>
  <si>
    <t>DCF Model!C8</t>
  </si>
  <si>
    <t>Beta = 1.161（採用値）</t>
  </si>
  <si>
    <t>実測β(raw) = 1.240 → Blume調整 0.67×raw + 0.33×1.00 = 1.161 → 採用 1.161。クランプ域 [0.3, 2.0] の内側。置換なし。回帰βは平均回帰するため Blume 調整を既定とする（2026-09-05 バッチで85件中57件が旧下限 0.60 に張り付き、両裾の歪みが実証された）。</t>
  </si>
  <si>
    <t>実測 1.240</t>
  </si>
  <si>
    <t>確定</t>
  </si>
  <si>
    <t>Pipeline Metadata (do not edit — read by scripts/validate_output.py)</t>
  </si>
  <si>
    <t>key</t>
  </si>
  <si>
    <t>value</t>
  </si>
  <si>
    <t>auto_log_entries</t>
  </si>
  <si>
    <t>1</t>
  </si>
  <si>
    <t>beta_adopted_c8</t>
  </si>
  <si>
    <t>1.1606</t>
  </si>
  <si>
    <t>beta_basis</t>
  </si>
  <si>
    <t>Blume: 0.67 x 1.240 + 0.33 x 1.00 = 1.161</t>
  </si>
  <si>
    <t>beta_blume_adjusted</t>
  </si>
  <si>
    <t>beta_clamped</t>
  </si>
  <si>
    <t>no</t>
  </si>
  <si>
    <t>beta_raw</t>
  </si>
  <si>
    <t>1.2397</t>
  </si>
  <si>
    <t>capex_pct_basis</t>
  </si>
  <si>
    <t>explicit_override</t>
  </si>
  <si>
    <t>capex_pct_c5</t>
  </si>
  <si>
    <t>0.0347</t>
  </si>
  <si>
    <t>capex_pct_hist3yr</t>
  </si>
  <si>
    <t>0.071523</t>
  </si>
  <si>
    <t>company_name</t>
  </si>
  <si>
    <t>comps_asof</t>
  </si>
  <si>
    <t>comps_da_missing</t>
  </si>
  <si>
    <t>none</t>
  </si>
  <si>
    <t>comps_ebitda_excluded</t>
  </si>
  <si>
    <t>comps_ev_ebitda_invalid</t>
  </si>
  <si>
    <t>comps_ev_ebitda_rows</t>
  </si>
  <si>
    <t>6,7,8,9</t>
  </si>
  <si>
    <t>comps_impl_mult_row</t>
  </si>
  <si>
    <t>27</t>
  </si>
  <si>
    <t>comps_impl_per_row</t>
  </si>
  <si>
    <t>28</t>
  </si>
  <si>
    <t>comps_peer_rows</t>
  </si>
  <si>
    <t>comps_per_excluded</t>
  </si>
  <si>
    <t>comps_stale_excluded</t>
  </si>
  <si>
    <t>comps_stat_median_row</t>
  </si>
  <si>
    <t>16</t>
  </si>
  <si>
    <t>comps_subject_row</t>
  </si>
  <si>
    <t>5</t>
  </si>
  <si>
    <t>core_ebitda</t>
  </si>
  <si>
    <t>706282.0</t>
  </si>
  <si>
    <t>core_net_income</t>
  </si>
  <si>
    <t>574454.0</t>
  </si>
  <si>
    <t>cost_of_debt_at_c11</t>
  </si>
  <si>
    <t>0.01</t>
  </si>
  <si>
    <t>cost_of_debt_basis</t>
  </si>
  <si>
    <t>assumption</t>
  </si>
  <si>
    <t>da_pct_basis</t>
  </si>
  <si>
    <t>da_pct_c18</t>
  </si>
  <si>
    <t>0.033</t>
  </si>
  <si>
    <t>da_pct_hist3yr</t>
  </si>
  <si>
    <t>0.029097</t>
  </si>
  <si>
    <t>fs_year_coverage</t>
  </si>
  <si>
    <t>OCF 4/4, Cash 4/4, Debt 0/4</t>
  </si>
  <si>
    <t>fs_year_map</t>
  </si>
  <si>
    <t>FY2023&lt;-FY2023[ocf+cash]; FY2024&lt;-FY2024[ocf+cash]; FY2025&lt;-FY2025[ocf+cash]; FY2026&lt;-FY2026[ocf+cash]</t>
  </si>
  <si>
    <t>fs_year_sources</t>
  </si>
  <si>
    <t>overrides: none | EDINET year-key match: hist_ocf, hist_cash, hist_debt, hist_capex, hist_depreciation</t>
  </si>
  <si>
    <t>fx_sensitivity</t>
  </si>
  <si>
    <t>not enabled</t>
  </si>
  <si>
    <t>generated_at</t>
  </si>
  <si>
    <t>2026-09-06 19:27:13</t>
  </si>
  <si>
    <t>guidance_note</t>
  </si>
  <si>
    <t>TDnet 決算短信 via screener guidance table: FY2027 disclosed 2026-07-30 (net_income=349,000mn, operating_income=458,000mn, revenue=1,620,000mn)</t>
  </si>
  <si>
    <t>guidance_source</t>
  </si>
  <si>
    <t>tdnet_screener_db</t>
  </si>
  <si>
    <t>latest_operating_income</t>
  </si>
  <si>
    <t>624937.0</t>
  </si>
  <si>
    <t>ltm_revenue_c20</t>
  </si>
  <si>
    <t>2443533.0</t>
  </si>
  <si>
    <t>ltm_revenue_source</t>
  </si>
  <si>
    <t>latest FY (no LTM)</t>
  </si>
  <si>
    <t>market_data_source</t>
  </si>
  <si>
    <t>yfinance; from overrides: beta, current_price, shares_outstanding</t>
  </si>
  <si>
    <t>narrative_tokens_used</t>
  </si>
  <si>
    <t>pb,per,price,target_price,upside_pct,wacc</t>
  </si>
  <si>
    <t>net_debt_source</t>
  </si>
  <si>
    <t>UNAVAILABLE (no net_debt, and total_debt/cash incomplete)</t>
  </si>
  <si>
    <t>reverse_dcf_sheet</t>
  </si>
  <si>
    <t>op0=624,937(FY2026) peak=697,320(FY2025) peak_opm=0.2868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</si>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</sst>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5" t="s">
        <v>0</v>
      </c>
      <c r="C1" s="44"/>
      <c r="D1" s="44"/>
      <c r="E1" s="44"/>
    </row>
    <row r="3" spans="2:5" ht="18" customHeight="1" x14ac:dyDescent="0.4">
      <c r="B3" s="43" t="s">
        <v>1</v>
      </c>
      <c r="C3" s="44"/>
      <c r="D3" s="44"/>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53320</v>
      </c>
    </row>
    <row r="10" spans="2:5" ht="14" customHeight="1" x14ac:dyDescent="0.3">
      <c r="B10" s="4" t="s">
        <v>10</v>
      </c>
      <c r="C10" s="5">
        <f>IF(ISNUMBER(C16),ROUND(C16,0),"N/A")</f>
        <v>10997</v>
      </c>
    </row>
    <row r="11" spans="2:5" ht="14" customHeight="1" x14ac:dyDescent="0.3">
      <c r="B11" s="4" t="s">
        <v>11</v>
      </c>
      <c r="C11" s="6" t="str">
        <f>IF(NOT(ISNUMBER(C12)),"N/A",IF(C12&gt;0.15,"BUY",IF(C12&gt;0.05,"HOLD","SELL")))</f>
        <v>SELL</v>
      </c>
    </row>
    <row r="12" spans="2:5" ht="14" customHeight="1" x14ac:dyDescent="0.3">
      <c r="B12" s="4" t="s">
        <v>12</v>
      </c>
      <c r="C12" s="7">
        <f>IF(ISNUMBER(C10),(C10-C9)/C9,"N/A")</f>
        <v>-0.79375468867216803</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10997</v>
      </c>
      <c r="D16" s="7">
        <f>IF(ISNUMBER(C16),(C16-C9)/C9,"N/A")</f>
        <v>-0.79375468867216803</v>
      </c>
    </row>
    <row r="17" spans="2:5" ht="13.5" customHeight="1" x14ac:dyDescent="0.25">
      <c r="B17" t="s">
        <v>18</v>
      </c>
      <c r="C17" s="11">
        <f>IF('DCF Model'!C62&lt;'DCF Model'!C16,"INVALID (EV &lt; net debt)",'DCF Model'!C64)</f>
        <v>44917</v>
      </c>
      <c r="D17" s="7">
        <f>IF(ISNUMBER(C17),(C17-C9)/C9,"N/A")</f>
        <v>-0.15759564891222805</v>
      </c>
    </row>
    <row r="18" spans="2:5" ht="13.5" customHeight="1" x14ac:dyDescent="0.25">
      <c r="B18" t="s">
        <v>19</v>
      </c>
      <c r="C18" s="11">
        <f>'Comps Analysis'!C27</f>
        <v>57122</v>
      </c>
      <c r="D18" s="7">
        <f>IF(ISNUMBER(C18),(C18-C9)/C9,"N/A")</f>
        <v>7.1305326331582902E-2</v>
      </c>
    </row>
    <row r="19" spans="2:5" ht="13.5" customHeight="1" x14ac:dyDescent="0.25">
      <c r="B19" t="s">
        <v>20</v>
      </c>
      <c r="C19" s="11">
        <f>'Comps Analysis'!C28</f>
        <v>67816</v>
      </c>
      <c r="D19" s="7">
        <f>IF(ISNUMBER(C19),(C19-C9)/C9,"N/A")</f>
        <v>0.27186796699174792</v>
      </c>
    </row>
    <row r="20" spans="2:5" ht="14" customHeight="1" x14ac:dyDescent="0.3">
      <c r="B20" s="45" t="s">
        <v>21</v>
      </c>
      <c r="C20" s="44"/>
      <c r="D20" s="44"/>
      <c r="E20" s="44"/>
    </row>
    <row r="21" spans="2:5" ht="14" customHeight="1" x14ac:dyDescent="0.3">
      <c r="B21" s="4" t="s">
        <v>22</v>
      </c>
      <c r="C21" s="6" t="str">
        <f>IF(COUNT(C16:C17)=0,"N/A",MIN(C16:C17)&amp;" - "&amp;MAX(C16:C17))</f>
        <v>10997 - 44917</v>
      </c>
    </row>
    <row r="23" spans="2:5" ht="14" customHeight="1" x14ac:dyDescent="0.3">
      <c r="B23" s="8" t="s">
        <v>23</v>
      </c>
      <c r="C23" s="9"/>
      <c r="D23" s="9"/>
    </row>
    <row r="24" spans="2:5" x14ac:dyDescent="0.2">
      <c r="B24" t="str">
        <f>"Tokyo Electron supplies coater/developer, etch and deposition tools where its share is entrenched, and the operating margin has held in a narrow band even as revenue swung seventeen percent; the shares trade at "&amp;TEXT('Comps Analysis'!L5,"0.0""x""")&amp;" earnings and "&amp;TEXT('Comps Analysis'!M5,"0.00""x""")&amp;" book."</f>
        <v>Tokyo Electron supplies coater/developer, etch and deposition tools where its share is entrenched, and the operating margin has held in a narrow band even as revenue swung seventeen percent; the shares trade at 42.2x earnings and 11.70x book.</v>
      </c>
    </row>
    <row r="25" spans="2:5" x14ac:dyDescent="0.2">
      <c r="B25" t="str">
        <f>"There is no interest-bearing debt at all, so the "&amp;TEXT('DCF Model'!C26,"0.00%")&amp;" discount rate is the cost of equity — and at a measured beta above 1.3 it is the highest in this batch, which is itself a statement about how the market prices this cycle."</f>
        <v>There is no interest-bearing debt at all, so the 11.51% discount rate is the cost of equity — and at a measured beta above 1.3 it is the highest in this batch, which is itself a statement about how the market prices this cycle.</v>
      </c>
    </row>
    <row r="26" spans="2:5" x14ac:dyDescent="0.2">
      <c r="B26" t="str">
        <f>"At "&amp;TEXT(C9,"#,##0")&amp;" the market capitalises current conditions; normalising the margin to the midpoint of the observed cycle supports "&amp;TEXT(C10,"#,##0")&amp;", or "&amp;TEXT(C12,"+0.0%;-0.0%")&amp;" from here."</f>
        <v>At 53,320 the market capitalises current conditions; normalising the margin to the midpoint of the observed cycle supports 10,997, or -79.4% from here.</v>
      </c>
    </row>
    <row r="28" spans="2:5" ht="14" customHeight="1" x14ac:dyDescent="0.3">
      <c r="B28" s="8" t="s">
        <v>24</v>
      </c>
      <c r="C28" s="9"/>
      <c r="D28" s="9"/>
    </row>
    <row r="29" spans="2:5" x14ac:dyDescent="0.2">
      <c r="B29" t="str">
        <f>"This business shows its cycle in revenue rather than margin: sales fell seventeen percent in one of the four observed years, and a repeat would hit earnings far harder than the narrow margin range behind "&amp;TEXT('Comps Analysis'!L5,"0.0""x""")&amp;" suggests."</f>
        <v>This business shows its cycle in revenue rather than margin: sales fell seventeen percent in one of the four observed years, and a repeat would hit earnings far harder than the narrow margin range behind 42.2x suggests.</v>
      </c>
    </row>
    <row r="30" spans="2:5" x14ac:dyDescent="0.2">
      <c r="B30" t="str">
        <f>"The exit leg uses a peer median above thirty-five times EBITDA — a multiple set at a sector valuation peak — applied to mid-cycle profit; that mismatch is the largest single assumption behind "&amp;TEXT(C10,"#,##0")&amp;"."</f>
        <v>The exit leg uses a peer median above thirty-five times EBITDA — a multiple set at a sector valuation peak — applied to mid-cycle profit; that mismatch is the largest single assumption behind 10,997.</v>
      </c>
    </row>
    <row r="31" spans="2:5" x14ac:dyDescent="0.2">
      <c r="B31" t="s">
        <v>25</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26</v>
      </c>
    </row>
    <row r="4" spans="2:6" ht="14" customHeight="1" x14ac:dyDescent="0.3">
      <c r="C4" s="10" t="s">
        <v>27</v>
      </c>
      <c r="D4" s="10" t="s">
        <v>28</v>
      </c>
      <c r="E4" s="10" t="s">
        <v>29</v>
      </c>
      <c r="F4" s="10" t="s">
        <v>30</v>
      </c>
    </row>
    <row r="5" spans="2:6" ht="14" customHeight="1" x14ac:dyDescent="0.3">
      <c r="B5" s="3" t="s">
        <v>31</v>
      </c>
    </row>
    <row r="6" spans="2:6" ht="14" customHeight="1" x14ac:dyDescent="0.3">
      <c r="B6" s="4" t="s">
        <v>32</v>
      </c>
      <c r="C6" s="5">
        <v>2209025</v>
      </c>
      <c r="D6" s="5">
        <v>1830527</v>
      </c>
      <c r="E6" s="5">
        <v>2431568</v>
      </c>
      <c r="F6" s="5">
        <v>2443533</v>
      </c>
    </row>
    <row r="7" spans="2:6" ht="14" customHeight="1" x14ac:dyDescent="0.3">
      <c r="B7" s="4" t="s">
        <v>33</v>
      </c>
      <c r="C7" s="5">
        <v>1224617</v>
      </c>
      <c r="D7" s="5">
        <v>1000257</v>
      </c>
      <c r="E7" s="5">
        <v>1285280</v>
      </c>
      <c r="F7" s="5">
        <v>1335652</v>
      </c>
    </row>
    <row r="8" spans="2:6" ht="14" customHeight="1" x14ac:dyDescent="0.3">
      <c r="B8" s="4" t="s">
        <v>34</v>
      </c>
      <c r="C8" s="5">
        <f>C6-C7</f>
        <v>984408</v>
      </c>
      <c r="D8" s="5">
        <f>D6-D7</f>
        <v>830270</v>
      </c>
      <c r="E8" s="5">
        <f>E6-E7</f>
        <v>1146288</v>
      </c>
      <c r="F8" s="5">
        <f>F6-F7</f>
        <v>1107881</v>
      </c>
    </row>
    <row r="9" spans="2:6" ht="13.5" customHeight="1" x14ac:dyDescent="0.25">
      <c r="B9" t="s">
        <v>35</v>
      </c>
      <c r="C9" s="7">
        <f>C8/C6</f>
        <v>0.44563008567128032</v>
      </c>
      <c r="D9" s="7">
        <f>D8/D6</f>
        <v>0.45356883564132078</v>
      </c>
      <c r="E9" s="7">
        <f>E8/E6</f>
        <v>0.47141926526422456</v>
      </c>
      <c r="F9" s="7">
        <f>F8/F6</f>
        <v>0.45339309925423554</v>
      </c>
    </row>
    <row r="10" spans="2:6" ht="14" customHeight="1" x14ac:dyDescent="0.3">
      <c r="B10" s="4" t="s">
        <v>36</v>
      </c>
      <c r="C10" s="5">
        <v>366682</v>
      </c>
      <c r="D10" s="5">
        <v>374006</v>
      </c>
      <c r="E10" s="5">
        <v>448968</v>
      </c>
      <c r="F10" s="5">
        <v>482944</v>
      </c>
    </row>
    <row r="11" spans="2:6" ht="14" customHeight="1" x14ac:dyDescent="0.3">
      <c r="B11" s="4" t="s">
        <v>37</v>
      </c>
      <c r="C11" s="5">
        <v>617726</v>
      </c>
      <c r="D11" s="5">
        <v>456264</v>
      </c>
      <c r="E11" s="5">
        <v>697320</v>
      </c>
      <c r="F11" s="5">
        <v>624937</v>
      </c>
    </row>
    <row r="12" spans="2:6" ht="14" customHeight="1" x14ac:dyDescent="0.3">
      <c r="B12" s="4" t="s">
        <v>38</v>
      </c>
      <c r="C12" s="5">
        <v>471584</v>
      </c>
      <c r="D12" s="5">
        <v>363963</v>
      </c>
      <c r="E12" s="5">
        <v>544133</v>
      </c>
      <c r="F12" s="5">
        <v>574454</v>
      </c>
    </row>
    <row r="13" spans="2:6" ht="13.5" customHeight="1" x14ac:dyDescent="0.25">
      <c r="B13" t="s">
        <v>39</v>
      </c>
      <c r="C13" s="7">
        <f>C11/C6</f>
        <v>0.27963739658899289</v>
      </c>
      <c r="D13" s="7">
        <f>D11/D6</f>
        <v>0.24925281080257217</v>
      </c>
      <c r="E13" s="7">
        <f>E11/E6</f>
        <v>0.28677791449797002</v>
      </c>
      <c r="F13" s="7">
        <f>F11/F6</f>
        <v>0.25575140585373718</v>
      </c>
    </row>
    <row r="14" spans="2:6" ht="13.5" customHeight="1" x14ac:dyDescent="0.25">
      <c r="B14" t="s">
        <v>40</v>
      </c>
      <c r="C14" s="7">
        <f>C12/C6</f>
        <v>0.21348060796052556</v>
      </c>
      <c r="D14" s="7">
        <f>D12/D6</f>
        <v>0.19882962665942649</v>
      </c>
      <c r="E14" s="7">
        <f>E12/E6</f>
        <v>0.22377864818092688</v>
      </c>
      <c r="F14" s="7">
        <f>F12/F6</f>
        <v>0.23509156618715607</v>
      </c>
    </row>
    <row r="15" spans="2:6" ht="13.5" customHeight="1" x14ac:dyDescent="0.25">
      <c r="B15" t="s">
        <v>41</v>
      </c>
      <c r="C15" t="s">
        <v>42</v>
      </c>
      <c r="D15" s="7">
        <f>(D6-C6)/C6</f>
        <v>-0.1713416552551465</v>
      </c>
      <c r="E15" s="7">
        <f>(E6-D6)/D6</f>
        <v>0.32834314926794306</v>
      </c>
      <c r="F15" s="7">
        <f>(F6-E6)/E6</f>
        <v>4.9206931494410189E-3</v>
      </c>
    </row>
    <row r="16" spans="2:6" ht="13.5" customHeight="1" x14ac:dyDescent="0.25">
      <c r="B16" t="s">
        <v>43</v>
      </c>
      <c r="C16" t="s">
        <v>42</v>
      </c>
      <c r="D16" s="7">
        <f>(D11-C11)/C11</f>
        <v>-0.26138125965233777</v>
      </c>
      <c r="E16" s="7">
        <f>(E11-D11)/D11</f>
        <v>0.52832570617011199</v>
      </c>
      <c r="F16" s="7">
        <f>(F11-E11)/E11</f>
        <v>-0.1038016979292147</v>
      </c>
    </row>
    <row r="18" spans="2:6" ht="14" customHeight="1" x14ac:dyDescent="0.3">
      <c r="B18" s="3" t="s">
        <v>44</v>
      </c>
    </row>
    <row r="19" spans="2:6" ht="14" customHeight="1" x14ac:dyDescent="0.3">
      <c r="B19" s="4" t="s">
        <v>45</v>
      </c>
      <c r="C19" s="5">
        <v>426270</v>
      </c>
      <c r="D19" s="5">
        <v>434720</v>
      </c>
      <c r="E19" s="5">
        <v>582174</v>
      </c>
      <c r="F19" s="5">
        <v>539732</v>
      </c>
    </row>
    <row r="20" spans="2:6" ht="14" customHeight="1" x14ac:dyDescent="0.3">
      <c r="B20" s="4" t="s">
        <v>46</v>
      </c>
      <c r="C20" s="5">
        <v>66897</v>
      </c>
      <c r="D20" s="5">
        <v>116993</v>
      </c>
      <c r="E20" s="5">
        <v>158374</v>
      </c>
      <c r="F20" s="5">
        <v>208984</v>
      </c>
    </row>
    <row r="21" spans="2:6" ht="14" customHeight="1" x14ac:dyDescent="0.3">
      <c r="B21" s="4" t="s">
        <v>47</v>
      </c>
      <c r="C21" s="5">
        <f>C19-C20</f>
        <v>359373</v>
      </c>
      <c r="D21" s="5">
        <f>D19-D20</f>
        <v>317727</v>
      </c>
      <c r="E21" s="5">
        <f>E19-E20</f>
        <v>423800</v>
      </c>
      <c r="F21" s="5">
        <f>F19-F20</f>
        <v>330748</v>
      </c>
    </row>
    <row r="22" spans="2:6" ht="13.5" customHeight="1" x14ac:dyDescent="0.25">
      <c r="B22" t="s">
        <v>48</v>
      </c>
      <c r="C22" s="7">
        <f>C21/C6</f>
        <v>0.16268398954289789</v>
      </c>
      <c r="D22" s="7">
        <f>D21/D6</f>
        <v>0.17357132672722117</v>
      </c>
      <c r="E22" s="7">
        <f>E21/E6</f>
        <v>0.17429082797602205</v>
      </c>
      <c r="F22" s="7">
        <f>F21/F6</f>
        <v>0.13535646950542513</v>
      </c>
    </row>
    <row r="23" spans="2:6" ht="13.5" customHeight="1" x14ac:dyDescent="0.25">
      <c r="B23" t="s">
        <v>49</v>
      </c>
      <c r="C23" s="7">
        <f>C20/C6</f>
        <v>3.0283496112538336E-2</v>
      </c>
      <c r="D23" s="7">
        <f>D20/D6</f>
        <v>6.3912195777500139E-2</v>
      </c>
      <c r="E23" s="7">
        <f>E20/E6</f>
        <v>6.5132457739203675E-2</v>
      </c>
      <c r="F23" s="7">
        <f>F20/F6</f>
        <v>8.5525343836158549E-2</v>
      </c>
    </row>
    <row r="25" spans="2:6" ht="14" customHeight="1" x14ac:dyDescent="0.3">
      <c r="B25" s="3" t="s">
        <v>50</v>
      </c>
    </row>
    <row r="26" spans="2:6" ht="14" customHeight="1" x14ac:dyDescent="0.3">
      <c r="B26" s="4" t="s">
        <v>51</v>
      </c>
      <c r="C26" s="5">
        <v>472471</v>
      </c>
      <c r="D26" s="5">
        <v>461608</v>
      </c>
      <c r="E26" s="5">
        <v>416240</v>
      </c>
      <c r="F26" s="5">
        <v>451252</v>
      </c>
    </row>
    <row r="27" spans="2:6" ht="14" customHeight="1" x14ac:dyDescent="0.3">
      <c r="B27" s="4" t="s">
        <v>52</v>
      </c>
      <c r="C27" s="5"/>
      <c r="D27" s="5"/>
      <c r="E27" s="5"/>
      <c r="F27" s="5"/>
    </row>
    <row r="28" spans="2:6" ht="14" customHeight="1" x14ac:dyDescent="0.3">
      <c r="B28" s="4" t="s">
        <v>53</v>
      </c>
    </row>
    <row r="30" spans="2:6" ht="14" customHeight="1"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55</v>
      </c>
    </row>
    <row r="4" spans="2:7" ht="14" customHeight="1" x14ac:dyDescent="0.3">
      <c r="B4" s="8" t="s">
        <v>56</v>
      </c>
      <c r="C4" s="9"/>
      <c r="D4" s="9"/>
      <c r="E4" s="9"/>
      <c r="F4" s="9"/>
      <c r="G4" s="9"/>
    </row>
    <row r="5" spans="2:7" ht="14" customHeight="1" x14ac:dyDescent="0.3">
      <c r="B5" s="4" t="s">
        <v>57</v>
      </c>
      <c r="C5" s="7">
        <v>3.4700000000000002E-2</v>
      </c>
    </row>
    <row r="6" spans="2:7" ht="14" customHeight="1" x14ac:dyDescent="0.3">
      <c r="B6" s="4" t="s">
        <v>58</v>
      </c>
      <c r="C6" s="7">
        <v>0.25</v>
      </c>
    </row>
    <row r="7" spans="2:7" ht="14" customHeight="1" x14ac:dyDescent="0.3">
      <c r="B7" s="4" t="s">
        <v>59</v>
      </c>
      <c r="C7" s="7">
        <v>2.9700000000000001E-2</v>
      </c>
    </row>
    <row r="8" spans="2:7" ht="14" customHeight="1" x14ac:dyDescent="0.3">
      <c r="B8" s="4" t="s">
        <v>60</v>
      </c>
      <c r="C8" s="12">
        <v>1.1606000000000001</v>
      </c>
    </row>
    <row r="9" spans="2:7" ht="14" customHeight="1" x14ac:dyDescent="0.3">
      <c r="B9" s="4" t="s">
        <v>61</v>
      </c>
      <c r="C9" s="7">
        <v>6.5000000000000002E-2</v>
      </c>
    </row>
    <row r="10" spans="2:7" ht="14" customHeight="1" x14ac:dyDescent="0.3">
      <c r="B10" s="4" t="s">
        <v>62</v>
      </c>
      <c r="C10" s="7">
        <v>0.01</v>
      </c>
    </row>
    <row r="11" spans="2:7" ht="14" customHeight="1" x14ac:dyDescent="0.3">
      <c r="B11" s="4" t="s">
        <v>63</v>
      </c>
      <c r="C11" s="7">
        <v>0.01</v>
      </c>
    </row>
    <row r="12" spans="2:7" ht="14" customHeight="1" x14ac:dyDescent="0.3">
      <c r="B12" s="4" t="s">
        <v>64</v>
      </c>
      <c r="C12" s="13">
        <v>0</v>
      </c>
    </row>
    <row r="13" spans="2:7" ht="14" customHeight="1" x14ac:dyDescent="0.3">
      <c r="B13" s="4" t="s">
        <v>65</v>
      </c>
      <c r="C13" s="7">
        <v>0.01</v>
      </c>
    </row>
    <row r="14" spans="2:7" ht="14" customHeight="1" x14ac:dyDescent="0.3">
      <c r="B14" s="4" t="s">
        <v>66</v>
      </c>
      <c r="C14" s="14">
        <v>36.1</v>
      </c>
    </row>
    <row r="15" spans="2:7" ht="14" customHeight="1" x14ac:dyDescent="0.3">
      <c r="B15" s="4" t="s">
        <v>67</v>
      </c>
      <c r="C15" s="15">
        <v>454296856</v>
      </c>
    </row>
    <row r="16" spans="2:7" ht="14" customHeight="1" x14ac:dyDescent="0.3">
      <c r="B16" s="4" t="s">
        <v>68</v>
      </c>
      <c r="C16" s="5">
        <v>-451252</v>
      </c>
    </row>
    <row r="17" spans="2:7" ht="14" customHeight="1" x14ac:dyDescent="0.3">
      <c r="B17" s="4" t="s">
        <v>69</v>
      </c>
      <c r="C17" s="5">
        <v>2443533</v>
      </c>
    </row>
    <row r="18" spans="2:7" ht="14" customHeight="1" x14ac:dyDescent="0.3">
      <c r="B18" s="4" t="s">
        <v>70</v>
      </c>
      <c r="C18" s="7">
        <v>3.3000000000000002E-2</v>
      </c>
    </row>
    <row r="19" spans="2:7" ht="14" customHeight="1" x14ac:dyDescent="0.3">
      <c r="B19" s="4" t="s">
        <v>71</v>
      </c>
      <c r="C19" s="12">
        <v>1</v>
      </c>
    </row>
    <row r="20" spans="2:7" ht="14" customHeight="1" x14ac:dyDescent="0.3">
      <c r="B20" s="4" t="s">
        <v>72</v>
      </c>
      <c r="C20" s="5">
        <v>2443533</v>
      </c>
    </row>
    <row r="22" spans="2:7" ht="14" customHeight="1" x14ac:dyDescent="0.3">
      <c r="B22" s="8" t="s">
        <v>73</v>
      </c>
      <c r="C22" s="9"/>
      <c r="D22" s="9"/>
      <c r="E22" s="9"/>
      <c r="F22" s="9"/>
      <c r="G22" s="9"/>
    </row>
    <row r="23" spans="2:7" ht="14" customHeight="1" x14ac:dyDescent="0.3">
      <c r="B23" s="4" t="s">
        <v>74</v>
      </c>
      <c r="C23" s="16">
        <f>C7+C8*C9+C10</f>
        <v>0.11513900000000001</v>
      </c>
    </row>
    <row r="24" spans="2:7" ht="14" customHeight="1" x14ac:dyDescent="0.3">
      <c r="B24" s="4" t="s">
        <v>75</v>
      </c>
      <c r="C24" s="16">
        <f>1/(1+C12)</f>
        <v>1</v>
      </c>
    </row>
    <row r="25" spans="2:7" ht="14" customHeight="1" x14ac:dyDescent="0.3">
      <c r="B25" s="4" t="s">
        <v>76</v>
      </c>
      <c r="C25" s="16">
        <f>C12/(1+C12)</f>
        <v>0</v>
      </c>
    </row>
    <row r="26" spans="2:7" ht="14" customHeight="1" x14ac:dyDescent="0.3">
      <c r="B26" s="4" t="s">
        <v>77</v>
      </c>
      <c r="C26" s="16">
        <f>C23*C24+C11*C25</f>
        <v>0.11513900000000001</v>
      </c>
    </row>
    <row r="27" spans="2:7" ht="14" customHeight="1" x14ac:dyDescent="0.3">
      <c r="B27" s="4" t="s">
        <v>78</v>
      </c>
      <c r="C27" s="17" t="s">
        <v>79</v>
      </c>
      <c r="D27" s="6">
        <f>MATCH(C27,B69:B73,0)</f>
        <v>1</v>
      </c>
    </row>
    <row r="28" spans="2:7" ht="14" customHeight="1" x14ac:dyDescent="0.3">
      <c r="B28" s="8" t="s">
        <v>80</v>
      </c>
      <c r="C28" s="9"/>
      <c r="D28" s="9"/>
      <c r="E28" s="9"/>
      <c r="F28" s="9"/>
      <c r="G28" s="9"/>
    </row>
    <row r="29" spans="2:7" ht="14" customHeight="1" x14ac:dyDescent="0.3">
      <c r="C29" s="10" t="s">
        <v>81</v>
      </c>
      <c r="D29" s="10" t="s">
        <v>82</v>
      </c>
      <c r="E29" s="10" t="s">
        <v>83</v>
      </c>
      <c r="F29" s="10" t="s">
        <v>84</v>
      </c>
      <c r="G29" s="10" t="s">
        <v>85</v>
      </c>
    </row>
    <row r="30" spans="2:7" ht="14" customHeight="1" x14ac:dyDescent="0.3">
      <c r="B30" s="4" t="s">
        <v>41</v>
      </c>
      <c r="C30" s="18">
        <f>CHOOSE($D$27,C69,C70,C71,C72,C73)</f>
        <v>0.05</v>
      </c>
      <c r="D30" s="18">
        <f>CHOOSE($D$27,D69,D70,D71,D72,D73)</f>
        <v>4.4999999999999998E-2</v>
      </c>
      <c r="E30" s="18">
        <f>CHOOSE($D$27,E69,E70,E71,E72,E73)</f>
        <v>3.5000000000000003E-2</v>
      </c>
      <c r="F30" s="18">
        <f>CHOOSE($D$27,F69,F70,F71,F72,F73)</f>
        <v>0.03</v>
      </c>
      <c r="G30" s="18">
        <f>CHOOSE($D$27,G69,G70,G71,G72,G73)</f>
        <v>2.5000000000000001E-2</v>
      </c>
    </row>
    <row r="31" spans="2:7" ht="14" customHeight="1" x14ac:dyDescent="0.3">
      <c r="B31" s="4" t="s">
        <v>86</v>
      </c>
      <c r="C31" s="18">
        <f>CHOOSE($D$27,C76,C77,C78,C79,C80)</f>
        <v>0.54700000000000004</v>
      </c>
      <c r="D31" s="18">
        <f>CHOOSE($D$27,D76,D77,D78,D79,D80)</f>
        <v>0.54700000000000004</v>
      </c>
      <c r="E31" s="18">
        <f>CHOOSE($D$27,E76,E77,E78,E79,E80)</f>
        <v>0.54700000000000004</v>
      </c>
      <c r="F31" s="18">
        <f>CHOOSE($D$27,F76,F77,F78,F79,F80)</f>
        <v>0.54700000000000004</v>
      </c>
      <c r="G31" s="18">
        <f>CHOOSE($D$27,G76,G77,G78,G79,G80)</f>
        <v>0.54700000000000004</v>
      </c>
    </row>
    <row r="32" spans="2:7" ht="14" customHeight="1" x14ac:dyDescent="0.3">
      <c r="B32" s="4" t="s">
        <v>87</v>
      </c>
      <c r="C32" s="18">
        <f>CHOOSE($D$27,C83,C84,C85,C86,C87)</f>
        <v>0.193</v>
      </c>
      <c r="D32" s="18">
        <f>CHOOSE($D$27,D83,D84,D85,D86,D87)</f>
        <v>0.19</v>
      </c>
      <c r="E32" s="18">
        <f>CHOOSE($D$27,E83,E84,E85,E86,E87)</f>
        <v>0.187</v>
      </c>
      <c r="F32" s="18">
        <f>CHOOSE($D$27,F83,F84,F85,F86,F87)</f>
        <v>0.1855</v>
      </c>
      <c r="G32" s="18">
        <f>CHOOSE($D$27,G83,G84,G85,G86,G87)</f>
        <v>0.18490000000000001</v>
      </c>
    </row>
    <row r="33" spans="2:7" ht="14" customHeight="1" x14ac:dyDescent="0.3">
      <c r="B33" s="4" t="s">
        <v>32</v>
      </c>
      <c r="C33" s="5">
        <f>C17*(1+C30)</f>
        <v>2565709.65</v>
      </c>
      <c r="D33" s="5">
        <f>C33*(1+D30)</f>
        <v>2681166.5842499998</v>
      </c>
      <c r="E33" s="5">
        <f>D33*(1+E30)</f>
        <v>2775007.4146987498</v>
      </c>
      <c r="F33" s="5">
        <f>E33*(1+F30)</f>
        <v>2858257.6371397125</v>
      </c>
      <c r="G33" s="5">
        <f>F33*(1+G30)</f>
        <v>2929714.0780682052</v>
      </c>
    </row>
    <row r="34" spans="2:7" ht="14" customHeight="1" x14ac:dyDescent="0.3">
      <c r="B34" s="4" t="s">
        <v>33</v>
      </c>
      <c r="C34" s="5">
        <f>C33*C31</f>
        <v>1403443.1785500001</v>
      </c>
      <c r="D34" s="5">
        <f>D33*D31</f>
        <v>1466598.12158475</v>
      </c>
      <c r="E34" s="5">
        <f>E33*E31</f>
        <v>1517929.0558402163</v>
      </c>
      <c r="F34" s="5">
        <f>F33*F31</f>
        <v>1563466.9275154229</v>
      </c>
      <c r="G34" s="5">
        <f>G33*G31</f>
        <v>1602553.6007033084</v>
      </c>
    </row>
    <row r="35" spans="2:7" ht="14" customHeight="1" x14ac:dyDescent="0.3">
      <c r="B35" s="4" t="s">
        <v>34</v>
      </c>
      <c r="C35" s="19">
        <f>C33-C34</f>
        <v>1162266.4714499998</v>
      </c>
      <c r="D35" s="19">
        <f>D33-D34</f>
        <v>1214568.4626652498</v>
      </c>
      <c r="E35" s="19">
        <f>E33-E34</f>
        <v>1257078.3588585334</v>
      </c>
      <c r="F35" s="19">
        <f>F33-F34</f>
        <v>1294790.7096242895</v>
      </c>
      <c r="G35" s="19">
        <f>G33-G34</f>
        <v>1327160.4773648968</v>
      </c>
    </row>
    <row r="36" spans="2:7" ht="14" customHeight="1" x14ac:dyDescent="0.3">
      <c r="B36" s="4" t="s">
        <v>35</v>
      </c>
      <c r="C36" s="7">
        <f>C35/C33</f>
        <v>0.45299999999999996</v>
      </c>
      <c r="D36" s="7">
        <f>D35/D33</f>
        <v>0.45299999999999996</v>
      </c>
      <c r="E36" s="7">
        <f>E35/E33</f>
        <v>0.4529999999999999</v>
      </c>
      <c r="F36" s="7">
        <f>F35/F33</f>
        <v>0.4529999999999999</v>
      </c>
      <c r="G36" s="7">
        <f>G35/G33</f>
        <v>0.45299999999999996</v>
      </c>
    </row>
    <row r="37" spans="2:7" ht="14" customHeight="1" x14ac:dyDescent="0.3">
      <c r="B37" s="4" t="s">
        <v>88</v>
      </c>
      <c r="C37" s="5">
        <f>C33*C32</f>
        <v>495181.96244999999</v>
      </c>
      <c r="D37" s="5">
        <f>D33*D32</f>
        <v>509421.65100749995</v>
      </c>
      <c r="E37" s="5">
        <f>E33*E32</f>
        <v>518926.38654866623</v>
      </c>
      <c r="F37" s="5">
        <f>F33*F32</f>
        <v>530206.79168941663</v>
      </c>
      <c r="G37" s="5">
        <f>G33*G32</f>
        <v>541704.13303481112</v>
      </c>
    </row>
    <row r="38" spans="2:7" ht="14" customHeight="1" x14ac:dyDescent="0.3">
      <c r="B38" s="4" t="s">
        <v>89</v>
      </c>
      <c r="C38" s="7">
        <f>(C35-C37)/C33</f>
        <v>0.25999999999999995</v>
      </c>
      <c r="D38" s="7">
        <f>(D35-D37)/D33</f>
        <v>0.26299999999999996</v>
      </c>
      <c r="E38" s="7">
        <f>(E35-E37)/E33</f>
        <v>0.2659999999999999</v>
      </c>
      <c r="F38" s="7">
        <f>(F35-F37)/F33</f>
        <v>0.26749999999999996</v>
      </c>
      <c r="G38" s="7">
        <f>(G35-G37)/G33</f>
        <v>0.26809999999999995</v>
      </c>
    </row>
    <row r="39" spans="2:7" ht="14" customHeight="1" x14ac:dyDescent="0.3">
      <c r="B39" s="4" t="s">
        <v>90</v>
      </c>
      <c r="C39" s="19">
        <f>C35-C37</f>
        <v>667084.50899999985</v>
      </c>
      <c r="D39" s="19">
        <f>D35-D37</f>
        <v>705146.81165774981</v>
      </c>
      <c r="E39" s="19">
        <f>E35-E37</f>
        <v>738151.97230986715</v>
      </c>
      <c r="F39" s="19">
        <f>F35-F37</f>
        <v>764583.91793487291</v>
      </c>
      <c r="G39" s="19">
        <f>G35-G37</f>
        <v>785456.34433008567</v>
      </c>
    </row>
    <row r="40" spans="2:7" ht="14" customHeight="1" x14ac:dyDescent="0.3">
      <c r="B40" s="4" t="s">
        <v>91</v>
      </c>
      <c r="C40" s="5">
        <f>MAX(0,C39*C6)</f>
        <v>166771.12724999996</v>
      </c>
      <c r="D40" s="5">
        <f>MAX(0,D39*C6)</f>
        <v>176286.70291443745</v>
      </c>
      <c r="E40" s="5">
        <f>MAX(0,E39*C6)</f>
        <v>184537.99307746679</v>
      </c>
      <c r="F40" s="5">
        <f>MAX(0,F39*C6)</f>
        <v>191145.97948371823</v>
      </c>
      <c r="G40" s="5">
        <f>MAX(0,G39*C6)</f>
        <v>196364.08608252142</v>
      </c>
    </row>
    <row r="41" spans="2:7" ht="14" customHeight="1" x14ac:dyDescent="0.3">
      <c r="B41" s="4" t="s">
        <v>92</v>
      </c>
      <c r="C41" s="19">
        <f>C39-C40</f>
        <v>500313.38174999988</v>
      </c>
      <c r="D41" s="19">
        <f>D39-D40</f>
        <v>528860.1087433123</v>
      </c>
      <c r="E41" s="19">
        <f>E39-E40</f>
        <v>553613.97923240042</v>
      </c>
      <c r="F41" s="19">
        <f>F39-F40</f>
        <v>573437.93845115462</v>
      </c>
      <c r="G41" s="19">
        <f>G39-G40</f>
        <v>589092.25824756431</v>
      </c>
    </row>
    <row r="42" spans="2:7" ht="14" customHeight="1" x14ac:dyDescent="0.3">
      <c r="B42" s="4" t="s">
        <v>93</v>
      </c>
      <c r="C42" s="5">
        <f>C33*C18</f>
        <v>84668.418449999997</v>
      </c>
      <c r="D42" s="5">
        <f>D33*C18</f>
        <v>88478.497280249998</v>
      </c>
      <c r="E42" s="5">
        <f>E33*C18</f>
        <v>91575.244685058744</v>
      </c>
      <c r="F42" s="5">
        <f>F33*C18</f>
        <v>94322.50202561052</v>
      </c>
      <c r="G42" s="5">
        <f>G33*C18</f>
        <v>96680.564576250777</v>
      </c>
    </row>
    <row r="43" spans="2:7" ht="14" customHeight="1" x14ac:dyDescent="0.3">
      <c r="B43" s="4" t="s">
        <v>94</v>
      </c>
      <c r="C43" s="5">
        <v>200000</v>
      </c>
      <c r="D43" s="5">
        <v>180000</v>
      </c>
      <c r="E43" s="5">
        <v>150000</v>
      </c>
      <c r="F43" s="5">
        <v>120000</v>
      </c>
      <c r="G43" s="5">
        <v>101900</v>
      </c>
    </row>
    <row r="44" spans="2:7" ht="14" customHeight="1" x14ac:dyDescent="0.3">
      <c r="B44" s="4" t="s">
        <v>95</v>
      </c>
      <c r="C44" s="5">
        <f>'NWC Schedule'!D19</f>
        <v>149113.60942150676</v>
      </c>
      <c r="D44" s="5">
        <f>'NWC Schedule'!E19</f>
        <v>56712.762423968175</v>
      </c>
      <c r="E44" s="5">
        <f>'NWC Schedule'!F19</f>
        <v>46094.873014591401</v>
      </c>
      <c r="F44" s="5">
        <f>'NWC Schedule'!G19</f>
        <v>40892.737345802132</v>
      </c>
      <c r="G44" s="5">
        <f>'NWC Schedule'!H19</f>
        <v>35099.599555146415</v>
      </c>
    </row>
    <row r="45" spans="2:7" ht="14" customHeight="1" x14ac:dyDescent="0.3">
      <c r="B45" s="4" t="s">
        <v>96</v>
      </c>
      <c r="C45" s="20">
        <f>C41+C42-C43-C44</f>
        <v>235868.19077849318</v>
      </c>
      <c r="D45" s="20">
        <f>D41+D42-D43-D44</f>
        <v>380625.84359959408</v>
      </c>
      <c r="E45" s="20">
        <f>E41+E42-E43-E44</f>
        <v>449094.35090286774</v>
      </c>
      <c r="F45" s="20">
        <f>F41+F42-F43-F44</f>
        <v>506867.70313096303</v>
      </c>
      <c r="G45" s="20">
        <f>G41+G42-G43-G44</f>
        <v>548773.22326866863</v>
      </c>
    </row>
    <row r="46" spans="2:7" ht="14" customHeight="1" x14ac:dyDescent="0.3">
      <c r="B46" s="4" t="s">
        <v>97</v>
      </c>
      <c r="C46" s="21">
        <f>1/(1+C26)^(C19+0)</f>
        <v>0.89674919449503598</v>
      </c>
      <c r="D46" s="21">
        <f>1/(1+C26)^(C19+1)</f>
        <v>0.80415911782749594</v>
      </c>
      <c r="E46" s="21">
        <f>1/(1+C26)^(C19+2)</f>
        <v>0.72112904115764576</v>
      </c>
      <c r="F46" s="21">
        <f>1/(1+C26)^(C19+3)</f>
        <v>0.64667188678509635</v>
      </c>
      <c r="G46" s="21">
        <f>1/(1+C26)^(C19+4)</f>
        <v>0.5799024935771202</v>
      </c>
    </row>
    <row r="47" spans="2:7" ht="14" customHeight="1" x14ac:dyDescent="0.3">
      <c r="B47" s="4" t="s">
        <v>98</v>
      </c>
      <c r="C47" s="19">
        <f>C45*C46</f>
        <v>211514.61008761523</v>
      </c>
      <c r="D47" s="19">
        <f>D45*D46</f>
        <v>306083.74261139601</v>
      </c>
      <c r="E47" s="19">
        <f>E45*E46</f>
        <v>323854.97865590034</v>
      </c>
      <c r="F47" s="19">
        <f>F45*F46</f>
        <v>327777.09393412794</v>
      </c>
      <c r="G47" s="19">
        <f>G45*G46</f>
        <v>318234.96058185468</v>
      </c>
    </row>
    <row r="49" spans="2:7" ht="14" customHeight="1" x14ac:dyDescent="0.3">
      <c r="B49" s="22" t="s">
        <v>99</v>
      </c>
      <c r="C49" s="23"/>
      <c r="D49" s="23"/>
      <c r="E49" s="23"/>
      <c r="F49" s="23"/>
      <c r="G49" s="23"/>
    </row>
    <row r="50" spans="2:7" ht="14" customHeight="1" x14ac:dyDescent="0.3">
      <c r="B50" s="4" t="s">
        <v>100</v>
      </c>
      <c r="C50" s="5">
        <f>SUM(C47:G47)</f>
        <v>1487465.3858708942</v>
      </c>
    </row>
    <row r="51" spans="2:7" ht="14" customHeight="1" x14ac:dyDescent="0.3">
      <c r="B51" s="4" t="s">
        <v>101</v>
      </c>
      <c r="C51" s="5">
        <f>G45*(1+C13)/(C26-C13)</f>
        <v>5271697.0439261859</v>
      </c>
    </row>
    <row r="52" spans="2:7" ht="14" customHeight="1" x14ac:dyDescent="0.3">
      <c r="B52" s="4" t="s">
        <v>102</v>
      </c>
      <c r="C52" s="5">
        <f>C51*G46</f>
        <v>3057070.2611559285</v>
      </c>
    </row>
    <row r="53" spans="2:7" ht="14" customHeight="1" x14ac:dyDescent="0.3">
      <c r="B53" s="4" t="s">
        <v>103</v>
      </c>
      <c r="C53" s="5">
        <f>C50+C52</f>
        <v>4544535.6470268229</v>
      </c>
    </row>
    <row r="54" spans="2:7" ht="14" customHeight="1" x14ac:dyDescent="0.3">
      <c r="B54" s="4" t="s">
        <v>104</v>
      </c>
      <c r="C54" s="5">
        <f>C53-C16</f>
        <v>4995787.6470268229</v>
      </c>
    </row>
    <row r="55" spans="2:7" ht="14" customHeight="1" x14ac:dyDescent="0.3">
      <c r="B55" s="4" t="s">
        <v>105</v>
      </c>
      <c r="C55" s="24">
        <f>ROUND(C54*1000000/C15,0)</f>
        <v>10997</v>
      </c>
    </row>
    <row r="57" spans="2:7" ht="14" customHeight="1" x14ac:dyDescent="0.3">
      <c r="B57" s="22" t="s">
        <v>106</v>
      </c>
      <c r="C57" s="23"/>
      <c r="D57" s="23"/>
      <c r="E57" s="23"/>
      <c r="F57" s="23"/>
      <c r="G57" s="23"/>
    </row>
    <row r="58" spans="2:7" ht="14" customHeight="1" x14ac:dyDescent="0.3">
      <c r="B58" s="4" t="s">
        <v>100</v>
      </c>
      <c r="C58" s="5">
        <f>C50</f>
        <v>1487465.3858708942</v>
      </c>
    </row>
    <row r="59" spans="2:7" ht="14" customHeight="1" x14ac:dyDescent="0.3">
      <c r="B59" s="4" t="s">
        <v>107</v>
      </c>
      <c r="C59" s="5">
        <f>G39+G42</f>
        <v>882136.90890633641</v>
      </c>
    </row>
    <row r="60" spans="2:7" ht="14" customHeight="1" x14ac:dyDescent="0.3">
      <c r="B60" s="4" t="s">
        <v>108</v>
      </c>
      <c r="C60" s="5">
        <f>C59*C14</f>
        <v>31845142.411518745</v>
      </c>
    </row>
    <row r="61" spans="2:7" ht="14" customHeight="1" x14ac:dyDescent="0.3">
      <c r="B61" s="4" t="s">
        <v>102</v>
      </c>
      <c r="C61" s="5">
        <f>C60*G46</f>
        <v>18467077.492758226</v>
      </c>
    </row>
    <row r="62" spans="2:7" ht="14" customHeight="1" x14ac:dyDescent="0.3">
      <c r="B62" s="4" t="s">
        <v>103</v>
      </c>
      <c r="C62" s="5">
        <f>C58+C61</f>
        <v>19954542.878629118</v>
      </c>
    </row>
    <row r="63" spans="2:7" ht="14" customHeight="1" x14ac:dyDescent="0.3">
      <c r="B63" s="4" t="s">
        <v>104</v>
      </c>
      <c r="C63" s="5">
        <f>C62-C16</f>
        <v>20405794.878629118</v>
      </c>
    </row>
    <row r="64" spans="2:7" ht="14" customHeight="1" x14ac:dyDescent="0.3">
      <c r="B64" s="4" t="s">
        <v>109</v>
      </c>
      <c r="C64" s="24">
        <f>ROUND(C63*1000000/C15,0)</f>
        <v>44917</v>
      </c>
    </row>
    <row r="66" spans="2:7" ht="14" customHeight="1" x14ac:dyDescent="0.3">
      <c r="B66" s="22" t="s">
        <v>110</v>
      </c>
      <c r="C66" s="23"/>
      <c r="D66" s="23"/>
      <c r="E66" s="23"/>
      <c r="F66" s="23"/>
      <c r="G66" s="23"/>
    </row>
    <row r="67" spans="2:7" ht="14" customHeight="1" x14ac:dyDescent="0.3">
      <c r="C67" s="25" t="s">
        <v>111</v>
      </c>
      <c r="D67" s="25" t="s">
        <v>112</v>
      </c>
      <c r="E67" s="25" t="s">
        <v>113</v>
      </c>
      <c r="F67" s="25" t="s">
        <v>114</v>
      </c>
      <c r="G67" s="25" t="s">
        <v>115</v>
      </c>
    </row>
    <row r="68" spans="2:7" ht="14" customHeight="1" x14ac:dyDescent="0.3">
      <c r="B68" s="3" t="s">
        <v>41</v>
      </c>
    </row>
    <row r="69" spans="2:7" ht="14" customHeight="1" x14ac:dyDescent="0.3">
      <c r="B69" s="4" t="s">
        <v>79</v>
      </c>
      <c r="C69" s="26">
        <v>0.05</v>
      </c>
      <c r="D69" s="26">
        <v>4.4999999999999998E-2</v>
      </c>
      <c r="E69" s="26">
        <v>3.5000000000000003E-2</v>
      </c>
      <c r="F69" s="26">
        <v>0.03</v>
      </c>
      <c r="G69" s="26">
        <v>2.5000000000000001E-2</v>
      </c>
    </row>
    <row r="70" spans="2:7" ht="14" customHeight="1" x14ac:dyDescent="0.3">
      <c r="B70" s="4" t="s">
        <v>116</v>
      </c>
      <c r="C70" s="26">
        <v>0.08</v>
      </c>
      <c r="D70" s="26">
        <v>6.5000000000000002E-2</v>
      </c>
      <c r="E70" s="26">
        <v>0.05</v>
      </c>
      <c r="F70" s="26">
        <v>0.04</v>
      </c>
      <c r="G70" s="26">
        <v>3.5000000000000003E-2</v>
      </c>
    </row>
    <row r="71" spans="2:7" ht="14" customHeight="1" x14ac:dyDescent="0.3">
      <c r="B71" s="4" t="s">
        <v>117</v>
      </c>
      <c r="C71" s="26">
        <v>0.05</v>
      </c>
      <c r="D71" s="26">
        <v>4.4999999999999998E-2</v>
      </c>
      <c r="E71" s="26">
        <v>3.5000000000000003E-2</v>
      </c>
      <c r="F71" s="26">
        <v>0.03</v>
      </c>
      <c r="G71" s="26">
        <v>2.5000000000000001E-2</v>
      </c>
    </row>
    <row r="72" spans="2:7" ht="14" customHeight="1" x14ac:dyDescent="0.3">
      <c r="B72" s="4" t="s">
        <v>118</v>
      </c>
      <c r="C72" s="26">
        <v>0.01</v>
      </c>
      <c r="D72" s="26">
        <v>0.01</v>
      </c>
      <c r="E72" s="26">
        <v>5.0000000000000001E-3</v>
      </c>
      <c r="F72" s="26">
        <v>5.0000000000000001E-3</v>
      </c>
      <c r="G72" s="26">
        <v>5.0000000000000001E-3</v>
      </c>
    </row>
    <row r="73" spans="2:7" ht="14" customHeight="1" x14ac:dyDescent="0.3">
      <c r="B73" s="4" t="s">
        <v>119</v>
      </c>
      <c r="C73" s="26">
        <v>-0.25</v>
      </c>
      <c r="D73" s="26">
        <v>-0.05</v>
      </c>
      <c r="E73" s="26">
        <v>0.03</v>
      </c>
      <c r="F73" s="26">
        <v>0.05</v>
      </c>
      <c r="G73" s="26">
        <v>0.05</v>
      </c>
    </row>
    <row r="75" spans="2:7" ht="14" customHeight="1" x14ac:dyDescent="0.3">
      <c r="B75" s="3" t="s">
        <v>86</v>
      </c>
    </row>
    <row r="76" spans="2:7" ht="14" customHeight="1" x14ac:dyDescent="0.3">
      <c r="B76" s="4" t="s">
        <v>79</v>
      </c>
      <c r="C76" s="26">
        <v>0.54700000000000004</v>
      </c>
      <c r="D76" s="26">
        <v>0.54700000000000004</v>
      </c>
      <c r="E76" s="26">
        <v>0.54700000000000004</v>
      </c>
      <c r="F76" s="26">
        <v>0.54700000000000004</v>
      </c>
      <c r="G76" s="26">
        <v>0.54700000000000004</v>
      </c>
    </row>
    <row r="77" spans="2:7" ht="14" customHeight="1" x14ac:dyDescent="0.3">
      <c r="B77" s="4" t="s">
        <v>116</v>
      </c>
      <c r="C77" s="26">
        <v>0.54</v>
      </c>
      <c r="D77" s="26">
        <v>0.54</v>
      </c>
      <c r="E77" s="26">
        <v>0.54</v>
      </c>
      <c r="F77" s="26">
        <v>0.54</v>
      </c>
      <c r="G77" s="26">
        <v>0.54</v>
      </c>
    </row>
    <row r="78" spans="2:7" ht="14" customHeight="1" x14ac:dyDescent="0.3">
      <c r="B78" s="4" t="s">
        <v>117</v>
      </c>
      <c r="C78" s="26">
        <v>0.54700000000000004</v>
      </c>
      <c r="D78" s="26">
        <v>0.54700000000000004</v>
      </c>
      <c r="E78" s="26">
        <v>0.54700000000000004</v>
      </c>
      <c r="F78" s="26">
        <v>0.54700000000000004</v>
      </c>
      <c r="G78" s="26">
        <v>0.54700000000000004</v>
      </c>
    </row>
    <row r="79" spans="2:7" ht="14" customHeight="1" x14ac:dyDescent="0.3">
      <c r="B79" s="4" t="s">
        <v>118</v>
      </c>
      <c r="C79" s="26">
        <v>0.55500000000000005</v>
      </c>
      <c r="D79" s="26">
        <v>0.55500000000000005</v>
      </c>
      <c r="E79" s="26">
        <v>0.55500000000000005</v>
      </c>
      <c r="F79" s="26">
        <v>0.55500000000000005</v>
      </c>
      <c r="G79" s="26">
        <v>0.55500000000000005</v>
      </c>
    </row>
    <row r="80" spans="2:7" ht="14" customHeight="1" x14ac:dyDescent="0.3">
      <c r="B80" s="4" t="s">
        <v>119</v>
      </c>
      <c r="C80" s="26">
        <v>0.6</v>
      </c>
      <c r="D80" s="26">
        <v>0.6</v>
      </c>
      <c r="E80" s="26">
        <v>0.6</v>
      </c>
      <c r="F80" s="26">
        <v>0.6</v>
      </c>
      <c r="G80" s="26">
        <v>0.6</v>
      </c>
    </row>
    <row r="82" spans="2:7" ht="14" customHeight="1" x14ac:dyDescent="0.3">
      <c r="B82" s="3" t="s">
        <v>87</v>
      </c>
    </row>
    <row r="83" spans="2:7" ht="14" customHeight="1" x14ac:dyDescent="0.3">
      <c r="B83" s="4" t="s">
        <v>79</v>
      </c>
      <c r="C83" s="26">
        <v>0.193</v>
      </c>
      <c r="D83" s="26">
        <v>0.19</v>
      </c>
      <c r="E83" s="26">
        <v>0.187</v>
      </c>
      <c r="F83" s="26">
        <v>0.1855</v>
      </c>
      <c r="G83" s="26">
        <v>0.18490000000000001</v>
      </c>
    </row>
    <row r="84" spans="2:7" ht="14" customHeight="1" x14ac:dyDescent="0.3">
      <c r="B84" s="4" t="s">
        <v>116</v>
      </c>
      <c r="C84" s="26">
        <v>0.19</v>
      </c>
      <c r="D84" s="26">
        <v>0.184</v>
      </c>
      <c r="E84" s="26">
        <v>0.17799999999999999</v>
      </c>
      <c r="F84" s="26">
        <v>0.17399999999999999</v>
      </c>
      <c r="G84" s="26">
        <v>0.17319999999999999</v>
      </c>
    </row>
    <row r="85" spans="2:7" ht="14" customHeight="1" x14ac:dyDescent="0.3">
      <c r="B85" s="4" t="s">
        <v>117</v>
      </c>
      <c r="C85" s="26">
        <v>0.193</v>
      </c>
      <c r="D85" s="26">
        <v>0.19</v>
      </c>
      <c r="E85" s="26">
        <v>0.187</v>
      </c>
      <c r="F85" s="26">
        <v>0.1855</v>
      </c>
      <c r="G85" s="26">
        <v>0.18490000000000001</v>
      </c>
    </row>
    <row r="86" spans="2:7" ht="14" customHeight="1" x14ac:dyDescent="0.3">
      <c r="B86" s="4" t="s">
        <v>118</v>
      </c>
      <c r="C86" s="26">
        <v>0.19</v>
      </c>
      <c r="D86" s="26">
        <v>0.1905</v>
      </c>
      <c r="E86" s="26">
        <v>0.1908</v>
      </c>
      <c r="F86" s="26">
        <v>0.19089999999999999</v>
      </c>
      <c r="G86" s="26">
        <v>0.19089999999999999</v>
      </c>
    </row>
    <row r="87" spans="2:7" ht="14" customHeight="1" x14ac:dyDescent="0.3">
      <c r="B87" s="4" t="s">
        <v>119</v>
      </c>
      <c r="C87" s="26">
        <v>0.24</v>
      </c>
      <c r="D87" s="26">
        <v>0.27</v>
      </c>
      <c r="E87" s="26">
        <v>0.26500000000000001</v>
      </c>
      <c r="F87" s="26">
        <v>0.25</v>
      </c>
      <c r="G87" s="26">
        <v>0.23499999999999999</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120</v>
      </c>
    </row>
    <row r="3" spans="2:9" ht="14" customHeight="1" x14ac:dyDescent="0.3">
      <c r="B3" s="1" t="s">
        <v>121</v>
      </c>
    </row>
    <row r="5" spans="2:9" ht="14" customHeight="1" x14ac:dyDescent="0.3">
      <c r="B5" s="8" t="s">
        <v>122</v>
      </c>
      <c r="C5" s="9"/>
      <c r="D5" s="9"/>
      <c r="E5" s="9"/>
      <c r="F5" s="9"/>
      <c r="G5" s="9"/>
      <c r="H5" s="9"/>
      <c r="I5" s="9"/>
    </row>
    <row r="6" spans="2:9" ht="14" customHeight="1" x14ac:dyDescent="0.3">
      <c r="B6" s="4" t="s">
        <v>123</v>
      </c>
      <c r="C6" s="15">
        <f>'Executive Summary'!C9</f>
        <v>53320</v>
      </c>
    </row>
    <row r="7" spans="2:9" ht="14" customHeight="1" x14ac:dyDescent="0.3">
      <c r="B7" s="4" t="s">
        <v>67</v>
      </c>
      <c r="C7" s="15">
        <f>'DCF Model'!C15</f>
        <v>454296856</v>
      </c>
    </row>
    <row r="8" spans="2:9" ht="14" customHeight="1" x14ac:dyDescent="0.3">
      <c r="B8" s="4" t="s">
        <v>124</v>
      </c>
      <c r="C8" s="5">
        <f>C6*C7/1000000</f>
        <v>24223108.361919999</v>
      </c>
    </row>
    <row r="9" spans="2:9" ht="14" customHeight="1" x14ac:dyDescent="0.3">
      <c r="B9" s="4" t="s">
        <v>68</v>
      </c>
      <c r="C9" s="5">
        <f>'DCF Model'!C16</f>
        <v>-451252</v>
      </c>
    </row>
    <row r="10" spans="2:9" ht="14" customHeight="1" x14ac:dyDescent="0.3">
      <c r="B10" s="4" t="s">
        <v>125</v>
      </c>
      <c r="C10" s="5">
        <f>C8+C9</f>
        <v>23771856.361919999</v>
      </c>
    </row>
    <row r="11" spans="2:9" ht="14" customHeight="1" x14ac:dyDescent="0.3">
      <c r="B11" s="4" t="s">
        <v>126</v>
      </c>
      <c r="C11" s="16">
        <f>'DCF Model'!C26</f>
        <v>0.11513900000000001</v>
      </c>
    </row>
    <row r="12" spans="2:9" ht="14" customHeight="1" x14ac:dyDescent="0.3">
      <c r="B12" s="4" t="s">
        <v>127</v>
      </c>
      <c r="C12" s="16">
        <f>'DCF Model'!C13</f>
        <v>0.01</v>
      </c>
    </row>
    <row r="13" spans="2:9" ht="14" customHeight="1" x14ac:dyDescent="0.3">
      <c r="B13" s="4" t="s">
        <v>128</v>
      </c>
      <c r="C13" s="16">
        <f>'DCF Model'!C6</f>
        <v>0.25</v>
      </c>
    </row>
    <row r="14" spans="2:9" ht="14" customHeight="1" x14ac:dyDescent="0.3">
      <c r="B14" s="4" t="s">
        <v>129</v>
      </c>
      <c r="C14" s="27">
        <v>624937</v>
      </c>
    </row>
    <row r="15" spans="2:9" ht="14" customHeight="1" x14ac:dyDescent="0.3">
      <c r="B15" s="4" t="s">
        <v>130</v>
      </c>
      <c r="C15" s="27">
        <v>697320</v>
      </c>
    </row>
    <row r="16" spans="2:9" ht="14" customHeight="1" x14ac:dyDescent="0.3">
      <c r="B16" s="4" t="s">
        <v>131</v>
      </c>
      <c r="C16" s="5">
        <f>'DCF Model'!G33</f>
        <v>2929714.0780682052</v>
      </c>
    </row>
    <row r="17" spans="2:9" ht="14" customHeight="1" x14ac:dyDescent="0.3">
      <c r="B17" s="4" t="s">
        <v>132</v>
      </c>
      <c r="C17" s="5">
        <f>'DCF Model'!C53</f>
        <v>4544535.6470268229</v>
      </c>
    </row>
    <row r="18" spans="2:9" ht="14" customHeight="1" x14ac:dyDescent="0.3">
      <c r="B18" s="4" t="s">
        <v>133</v>
      </c>
      <c r="C18" s="26">
        <v>0.28677791449797002</v>
      </c>
    </row>
    <row r="19" spans="2:9" ht="14" customHeight="1" x14ac:dyDescent="0.3">
      <c r="B19" s="4" t="s">
        <v>134</v>
      </c>
      <c r="C19" s="5">
        <f>C10-C17</f>
        <v>19227320.714893177</v>
      </c>
    </row>
    <row r="20" spans="2:9" ht="14" customHeight="1" x14ac:dyDescent="0.3">
      <c r="B20" s="4" t="s">
        <v>135</v>
      </c>
      <c r="C20" s="15">
        <f>IFERROR(ROUND(C19*1000000/C7,0),"N/A")</f>
        <v>42323</v>
      </c>
    </row>
    <row r="22" spans="2:9" ht="14" customHeight="1" x14ac:dyDescent="0.3">
      <c r="B22" s="8" t="s">
        <v>136</v>
      </c>
      <c r="C22" s="9"/>
      <c r="D22" s="9"/>
      <c r="E22" s="9"/>
      <c r="F22" s="9"/>
      <c r="G22" s="9"/>
      <c r="H22" s="9"/>
      <c r="I22" s="9"/>
    </row>
    <row r="23" spans="2:9" ht="14" customHeight="1" x14ac:dyDescent="0.3">
      <c r="B23" s="1" t="s">
        <v>137</v>
      </c>
    </row>
    <row r="24" spans="2:9" ht="14" customHeight="1" x14ac:dyDescent="0.3">
      <c r="B24" s="4" t="s">
        <v>138</v>
      </c>
      <c r="C24" s="5">
        <f>C10*(C11-C12)</f>
        <v>2499349.2060359069</v>
      </c>
    </row>
    <row r="25" spans="2:9" ht="14" customHeight="1" x14ac:dyDescent="0.3">
      <c r="B25" s="4" t="s">
        <v>139</v>
      </c>
      <c r="C25" s="5">
        <f>IFERROR(C24/(1-C13),"N/A")</f>
        <v>3332465.608047876</v>
      </c>
    </row>
    <row r="26" spans="2:9" ht="13.5" customHeight="1" x14ac:dyDescent="0.25">
      <c r="B26" s="6" t="s">
        <v>140</v>
      </c>
      <c r="C26" s="14">
        <f>IFERROR(C25/C15,"N/A")</f>
        <v>4.7789617507713471</v>
      </c>
    </row>
    <row r="27" spans="2:9" ht="13.5" customHeight="1" x14ac:dyDescent="0.25">
      <c r="B27" s="6" t="s">
        <v>141</v>
      </c>
      <c r="C27" s="14">
        <f>IFERROR(C25/C14,"N/A")</f>
        <v>5.3324824871113021</v>
      </c>
    </row>
    <row r="28" spans="2:9" ht="13.5" customHeight="1" x14ac:dyDescent="0.25">
      <c r="B28" s="6" t="s">
        <v>142</v>
      </c>
      <c r="C28" s="7">
        <f>IFERROR(C25/C16,"N/A")</f>
        <v>1.1374712750963183</v>
      </c>
    </row>
    <row r="29" spans="2:9" ht="13.5" customHeight="1" x14ac:dyDescent="0.25">
      <c r="B29" s="6" t="s">
        <v>143</v>
      </c>
      <c r="C29" s="5">
        <f>IFERROR(C25/C18,"N/A")</f>
        <v>11620370.466399584</v>
      </c>
    </row>
    <row r="32" spans="2:9" ht="14" customHeight="1" x14ac:dyDescent="0.3">
      <c r="B32" s="8" t="s">
        <v>144</v>
      </c>
      <c r="C32" s="9"/>
      <c r="D32" s="9"/>
      <c r="E32" s="9"/>
      <c r="F32" s="9"/>
      <c r="G32" s="9"/>
      <c r="H32" s="9"/>
      <c r="I32" s="9"/>
    </row>
    <row r="33" spans="2:9" ht="14" customHeight="1" x14ac:dyDescent="0.3">
      <c r="B33" s="1" t="s">
        <v>145</v>
      </c>
    </row>
    <row r="34" spans="2:9" ht="14" customHeight="1" x14ac:dyDescent="0.3">
      <c r="B34" s="1" t="s">
        <v>146</v>
      </c>
    </row>
    <row r="36" spans="2:9" ht="14" customHeight="1" x14ac:dyDescent="0.3">
      <c r="B36" s="28" t="s">
        <v>147</v>
      </c>
      <c r="C36" s="28" t="s">
        <v>148</v>
      </c>
      <c r="D36" s="29">
        <f>'DCF Model'!C26-0.02</f>
        <v>9.5139000000000001E-2</v>
      </c>
      <c r="E36" s="29">
        <f>'DCF Model'!C26-0.01</f>
        <v>0.10513900000000001</v>
      </c>
      <c r="F36" s="29">
        <f>'DCF Model'!C26</f>
        <v>0.11513900000000001</v>
      </c>
      <c r="G36" s="29">
        <f>'DCF Model'!C26+0.01</f>
        <v>0.125139</v>
      </c>
      <c r="H36" s="29">
        <f>'DCF Model'!C26+0.02</f>
        <v>0.13513900000000001</v>
      </c>
    </row>
    <row r="37" spans="2:9" ht="14" customHeight="1" x14ac:dyDescent="0.3">
      <c r="B37" s="3" t="s">
        <v>149</v>
      </c>
    </row>
    <row r="38" spans="2:9" ht="14" customHeight="1" x14ac:dyDescent="0.3">
      <c r="B38" s="4" t="s">
        <v>150</v>
      </c>
      <c r="C38" s="30">
        <v>3</v>
      </c>
      <c r="D38" s="13">
        <f t="shared" ref="D38:H41" si="0">IFERROR((1-(1+D$36)^(-$C38))/D$36-(1+D$36)/(D$36^2*$C38)*(1-($C38+1)/(1+D$36)^$C38+$C38/(1+D$36)^($C38+1)),"N/A")</f>
        <v>0.88668382014279024</v>
      </c>
      <c r="E38" s="13">
        <f t="shared" si="0"/>
        <v>0.87616838277080022</v>
      </c>
      <c r="F38" s="13">
        <f t="shared" si="0"/>
        <v>0.86588583560586607</v>
      </c>
      <c r="G38" s="13">
        <f t="shared" si="0"/>
        <v>0.85582879842594028</v>
      </c>
      <c r="H38" s="13">
        <f t="shared" si="0"/>
        <v>0.84599019195871805</v>
      </c>
    </row>
    <row r="39" spans="2:9" ht="14" customHeight="1" x14ac:dyDescent="0.3">
      <c r="B39" s="4" t="s">
        <v>151</v>
      </c>
      <c r="C39" s="30">
        <v>5</v>
      </c>
      <c r="D39" s="13">
        <f t="shared" si="0"/>
        <v>1.6743702297229262</v>
      </c>
      <c r="E39" s="13">
        <f t="shared" si="0"/>
        <v>1.6455901304525766</v>
      </c>
      <c r="F39" s="13">
        <f t="shared" si="0"/>
        <v>1.6176808201126027</v>
      </c>
      <c r="G39" s="13">
        <f t="shared" si="0"/>
        <v>1.590606211342904</v>
      </c>
      <c r="H39" s="13">
        <f t="shared" si="0"/>
        <v>1.5643320780532752</v>
      </c>
    </row>
    <row r="40" spans="2:9" ht="14" customHeight="1" x14ac:dyDescent="0.3">
      <c r="B40" s="4" t="s">
        <v>152</v>
      </c>
      <c r="C40" s="30">
        <v>7</v>
      </c>
      <c r="D40" s="13">
        <f t="shared" si="0"/>
        <v>2.3754566106525128</v>
      </c>
      <c r="E40" s="13">
        <f t="shared" si="0"/>
        <v>2.3228481279592006</v>
      </c>
      <c r="F40" s="13">
        <f t="shared" si="0"/>
        <v>2.272236380321258</v>
      </c>
      <c r="G40" s="13">
        <f t="shared" si="0"/>
        <v>2.2235199339653944</v>
      </c>
      <c r="H40" s="13">
        <f t="shared" si="0"/>
        <v>2.1766036445110362</v>
      </c>
    </row>
    <row r="41" spans="2:9" ht="14" customHeight="1" x14ac:dyDescent="0.3">
      <c r="B41" s="4" t="s">
        <v>153</v>
      </c>
      <c r="C41" s="30">
        <v>10</v>
      </c>
      <c r="D41" s="13">
        <f t="shared" si="0"/>
        <v>3.2878183977900513</v>
      </c>
      <c r="E41" s="13">
        <f t="shared" si="0"/>
        <v>3.1926874441078779</v>
      </c>
      <c r="F41" s="13">
        <f t="shared" si="0"/>
        <v>3.1021948476750865</v>
      </c>
      <c r="G41" s="13">
        <f t="shared" si="0"/>
        <v>3.0160432359361229</v>
      </c>
      <c r="H41" s="13">
        <f t="shared" si="0"/>
        <v>2.9339581227688765</v>
      </c>
    </row>
    <row r="42" spans="2:9" ht="14" customHeight="1" x14ac:dyDescent="0.3">
      <c r="B42" s="3" t="s">
        <v>154</v>
      </c>
    </row>
    <row r="43" spans="2:9" ht="14" customHeight="1" x14ac:dyDescent="0.3">
      <c r="B43" s="4" t="s">
        <v>150</v>
      </c>
      <c r="C43" s="30">
        <v>3</v>
      </c>
      <c r="D43" s="13">
        <f t="shared" ref="D43:H46" si="1">IFERROR((1+D$36)/(D$36^2*$C43)*(1-($C43+1)/(1+D$36)^$C43+$C43/(1+D$36)^($C43+1))+(1+$C$12)/((D$36-$C$12)*(1+D$36)^$C43),"N/A")</f>
        <v>10.653629624447079</v>
      </c>
      <c r="E43" s="13">
        <f t="shared" si="1"/>
        <v>9.453597370788561</v>
      </c>
      <c r="F43" s="13">
        <f t="shared" si="1"/>
        <v>8.4835555408269947</v>
      </c>
      <c r="G43" s="13">
        <f t="shared" si="1"/>
        <v>7.6835273432826616</v>
      </c>
      <c r="H43" s="13">
        <f t="shared" si="1"/>
        <v>7.012709238726627</v>
      </c>
    </row>
    <row r="44" spans="2:9" ht="14" customHeight="1" x14ac:dyDescent="0.3">
      <c r="B44" s="4" t="s">
        <v>151</v>
      </c>
      <c r="C44" s="30">
        <v>5</v>
      </c>
      <c r="D44" s="13">
        <f t="shared" si="1"/>
        <v>9.6948600344836127</v>
      </c>
      <c r="E44" s="13">
        <f t="shared" si="1"/>
        <v>8.5358368872403005</v>
      </c>
      <c r="F44" s="13">
        <f t="shared" si="1"/>
        <v>7.6016660216620693</v>
      </c>
      <c r="G44" s="13">
        <f t="shared" si="1"/>
        <v>6.833579716397149</v>
      </c>
      <c r="H44" s="13">
        <f t="shared" si="1"/>
        <v>6.1916042298507525</v>
      </c>
    </row>
    <row r="45" spans="2:9" ht="14" customHeight="1" x14ac:dyDescent="0.3">
      <c r="B45" s="4" t="s">
        <v>152</v>
      </c>
      <c r="C45" s="30">
        <v>7</v>
      </c>
      <c r="D45" s="13">
        <f t="shared" si="1"/>
        <v>8.8511246230201959</v>
      </c>
      <c r="E45" s="13">
        <f t="shared" si="1"/>
        <v>7.7371223894183725</v>
      </c>
      <c r="F45" s="13">
        <f t="shared" si="1"/>
        <v>6.8424937552285048</v>
      </c>
      <c r="G45" s="13">
        <f t="shared" si="1"/>
        <v>6.1096897888145039</v>
      </c>
      <c r="H45" s="13">
        <f t="shared" si="1"/>
        <v>5.4995811004053392</v>
      </c>
    </row>
    <row r="46" spans="2:9" ht="14" customHeight="1" x14ac:dyDescent="0.3">
      <c r="B46" s="4" t="s">
        <v>153</v>
      </c>
      <c r="C46" s="30">
        <v>10</v>
      </c>
      <c r="D46" s="13">
        <f t="shared" si="1"/>
        <v>7.7679841774661149</v>
      </c>
      <c r="E46" s="13">
        <f t="shared" si="1"/>
        <v>6.725091768608312</v>
      </c>
      <c r="F46" s="13">
        <f t="shared" si="1"/>
        <v>5.8927391088647898</v>
      </c>
      <c r="G46" s="13">
        <f t="shared" si="1"/>
        <v>5.2152464526158093</v>
      </c>
      <c r="H46" s="13">
        <f t="shared" si="1"/>
        <v>4.6547969150313797</v>
      </c>
    </row>
    <row r="47" spans="2:9" ht="14" customHeight="1" x14ac:dyDescent="0.3">
      <c r="B47" s="22" t="s">
        <v>155</v>
      </c>
      <c r="C47" s="23"/>
      <c r="D47" s="23"/>
      <c r="E47" s="23"/>
      <c r="F47" s="23"/>
      <c r="G47" s="23"/>
      <c r="H47" s="23"/>
      <c r="I47" s="23"/>
    </row>
    <row r="48" spans="2:9" ht="14" customHeight="1" x14ac:dyDescent="0.3">
      <c r="B48" s="4" t="s">
        <v>150</v>
      </c>
      <c r="C48" s="30">
        <v>3</v>
      </c>
      <c r="D48" s="5">
        <f t="shared" ref="D48:H51" si="2">IFERROR(($C$10/(1-$C$13)-$C$14*D38)/D43,"N/A")</f>
        <v>2923105.8384637311</v>
      </c>
      <c r="E48" s="5">
        <f t="shared" si="2"/>
        <v>3294857.7372444374</v>
      </c>
      <c r="F48" s="5">
        <f t="shared" si="2"/>
        <v>3672361.6927103833</v>
      </c>
      <c r="G48" s="5">
        <f t="shared" si="2"/>
        <v>4055555.2168367859</v>
      </c>
      <c r="H48" s="5">
        <f t="shared" si="2"/>
        <v>4444376.1817261996</v>
      </c>
    </row>
    <row r="49" spans="2:9" ht="14" customHeight="1" x14ac:dyDescent="0.3">
      <c r="B49" s="4" t="s">
        <v>151</v>
      </c>
      <c r="C49" s="30">
        <v>5</v>
      </c>
      <c r="D49" s="5">
        <f t="shared" si="2"/>
        <v>3161410.5273609716</v>
      </c>
      <c r="E49" s="5">
        <f t="shared" si="2"/>
        <v>3592784.015009495</v>
      </c>
      <c r="F49" s="5">
        <f t="shared" si="2"/>
        <v>4036596.6876787604</v>
      </c>
      <c r="G49" s="5">
        <f t="shared" si="2"/>
        <v>4492781.3946463801</v>
      </c>
      <c r="H49" s="5">
        <f t="shared" si="2"/>
        <v>4961266.6356483307</v>
      </c>
    </row>
    <row r="50" spans="2:9" ht="14" customHeight="1" x14ac:dyDescent="0.3">
      <c r="B50" s="4" t="s">
        <v>152</v>
      </c>
      <c r="C50" s="30">
        <v>7</v>
      </c>
      <c r="D50" s="5">
        <f t="shared" si="2"/>
        <v>3413272.2158373473</v>
      </c>
      <c r="E50" s="5">
        <f t="shared" si="2"/>
        <v>3908969.4100458869</v>
      </c>
      <c r="F50" s="5">
        <f t="shared" si="2"/>
        <v>4424673.9535007598</v>
      </c>
      <c r="G50" s="5">
        <f t="shared" si="2"/>
        <v>4960357.9974013632</v>
      </c>
      <c r="H50" s="5">
        <f t="shared" si="2"/>
        <v>5515977.9948575292</v>
      </c>
    </row>
    <row r="51" spans="2:9" ht="14" customHeight="1" x14ac:dyDescent="0.3">
      <c r="B51" s="4" t="s">
        <v>153</v>
      </c>
      <c r="C51" s="30">
        <v>10</v>
      </c>
      <c r="D51" s="5">
        <f t="shared" si="2"/>
        <v>3815807.0922035649</v>
      </c>
      <c r="E51" s="5">
        <f t="shared" si="2"/>
        <v>4416382.8526384225</v>
      </c>
      <c r="F51" s="5">
        <f t="shared" si="2"/>
        <v>5049796.2986810477</v>
      </c>
      <c r="G51" s="5">
        <f t="shared" si="2"/>
        <v>5716119.4090590877</v>
      </c>
      <c r="H51" s="5">
        <f t="shared" si="2"/>
        <v>6415375.3730392056</v>
      </c>
    </row>
    <row r="52" spans="2:9" ht="14" customHeight="1" x14ac:dyDescent="0.3">
      <c r="B52" s="22" t="s">
        <v>156</v>
      </c>
      <c r="C52" s="23"/>
      <c r="D52" s="23"/>
      <c r="E52" s="23"/>
      <c r="F52" s="23"/>
      <c r="G52" s="23"/>
      <c r="H52" s="23"/>
      <c r="I52" s="23"/>
    </row>
    <row r="53" spans="2:9" ht="14" customHeight="1" x14ac:dyDescent="0.3">
      <c r="B53" s="4" t="s">
        <v>150</v>
      </c>
      <c r="C53" s="30">
        <v>3</v>
      </c>
      <c r="D53" s="14">
        <f t="shared" ref="D53:H56" si="3">IFERROR(D48/$C$15,"N/A")</f>
        <v>4.1919145277114254</v>
      </c>
      <c r="E53" s="14">
        <f t="shared" si="3"/>
        <v>4.7250297384908473</v>
      </c>
      <c r="F53" s="14">
        <f t="shared" si="3"/>
        <v>5.2663937542453727</v>
      </c>
      <c r="G53" s="14">
        <f t="shared" si="3"/>
        <v>5.8159169632834073</v>
      </c>
      <c r="H53" s="14">
        <f t="shared" si="3"/>
        <v>6.3735102703582278</v>
      </c>
    </row>
    <row r="54" spans="2:9" ht="14" customHeight="1" x14ac:dyDescent="0.3">
      <c r="B54" s="4" t="s">
        <v>151</v>
      </c>
      <c r="C54" s="30">
        <v>5</v>
      </c>
      <c r="D54" s="14">
        <f t="shared" si="3"/>
        <v>4.5336581875766813</v>
      </c>
      <c r="E54" s="14">
        <f t="shared" si="3"/>
        <v>5.1522744435976238</v>
      </c>
      <c r="F54" s="14">
        <f t="shared" si="3"/>
        <v>5.7887292601370399</v>
      </c>
      <c r="G54" s="14">
        <f t="shared" si="3"/>
        <v>6.4429263389066431</v>
      </c>
      <c r="H54" s="14">
        <f t="shared" si="3"/>
        <v>7.1147631441064805</v>
      </c>
    </row>
    <row r="55" spans="2:9" ht="14" customHeight="1" x14ac:dyDescent="0.3">
      <c r="B55" s="4" t="s">
        <v>152</v>
      </c>
      <c r="C55" s="30">
        <v>7</v>
      </c>
      <c r="D55" s="14">
        <f t="shared" si="3"/>
        <v>4.8948434231591627</v>
      </c>
      <c r="E55" s="14">
        <f t="shared" si="3"/>
        <v>5.6057038519558979</v>
      </c>
      <c r="F55" s="14">
        <f t="shared" si="3"/>
        <v>6.345256056761257</v>
      </c>
      <c r="G55" s="14">
        <f t="shared" si="3"/>
        <v>7.1134601006730955</v>
      </c>
      <c r="H55" s="14">
        <f t="shared" si="3"/>
        <v>7.910253534758116</v>
      </c>
    </row>
    <row r="56" spans="2:9" ht="14" customHeight="1" x14ac:dyDescent="0.3">
      <c r="B56" s="4" t="s">
        <v>153</v>
      </c>
      <c r="C56" s="30">
        <v>10</v>
      </c>
      <c r="D56" s="14">
        <f t="shared" si="3"/>
        <v>5.4721033273153861</v>
      </c>
      <c r="E56" s="14">
        <f t="shared" si="3"/>
        <v>6.3333661054299641</v>
      </c>
      <c r="F56" s="14">
        <f t="shared" si="3"/>
        <v>7.2417201552817181</v>
      </c>
      <c r="G56" s="14">
        <f t="shared" si="3"/>
        <v>8.1972686988170249</v>
      </c>
      <c r="H56" s="14">
        <f t="shared" si="3"/>
        <v>9.2000449908782276</v>
      </c>
    </row>
    <row r="58" spans="2:9" ht="14" customHeight="1" x14ac:dyDescent="0.3">
      <c r="B58" s="8" t="s">
        <v>157</v>
      </c>
      <c r="C58" s="9"/>
      <c r="D58" s="9"/>
      <c r="E58" s="9"/>
      <c r="F58" s="9"/>
      <c r="G58" s="9"/>
      <c r="H58" s="9"/>
      <c r="I58" s="9"/>
    </row>
    <row r="59" spans="2:9" ht="14" customHeight="1" x14ac:dyDescent="0.3">
      <c r="B59" s="1" t="s">
        <v>158</v>
      </c>
    </row>
    <row r="60" spans="2:9" ht="14" customHeight="1" x14ac:dyDescent="0.3">
      <c r="B60" s="4" t="s">
        <v>159</v>
      </c>
      <c r="C60" s="5">
        <f>F49</f>
        <v>4036596.6876787604</v>
      </c>
    </row>
    <row r="62" spans="2:9" ht="14" customHeight="1" x14ac:dyDescent="0.3">
      <c r="B62" s="28" t="s">
        <v>160</v>
      </c>
      <c r="C62" s="28" t="s">
        <v>161</v>
      </c>
      <c r="D62" s="28" t="s">
        <v>162</v>
      </c>
    </row>
    <row r="63" spans="2:9" ht="14" customHeight="1" x14ac:dyDescent="0.3">
      <c r="B63" s="31">
        <v>0.1434</v>
      </c>
      <c r="C63" s="5">
        <f>IFERROR($C$60/B63,"N/A")</f>
        <v>28149209.816448819</v>
      </c>
      <c r="D63" s="14">
        <f>IFERROR(C63/'DCF Model'!C17,"N/A")</f>
        <v>11.519881178788589</v>
      </c>
    </row>
    <row r="64" spans="2:9" ht="14" customHeight="1" x14ac:dyDescent="0.3">
      <c r="B64" s="31">
        <v>0.21510000000000001</v>
      </c>
      <c r="C64" s="5">
        <f>IFERROR($C$60/B64,"N/A")</f>
        <v>18766139.877632543</v>
      </c>
      <c r="D64" s="14">
        <f>IFERROR(C64/'DCF Model'!C17,"N/A")</f>
        <v>7.6799207858590588</v>
      </c>
    </row>
    <row r="65" spans="2:9" ht="14" customHeight="1" x14ac:dyDescent="0.3">
      <c r="B65" s="4" t="s">
        <v>163</v>
      </c>
      <c r="C65" s="5">
        <f>IFERROR($C$60/$C$18,"N/A")</f>
        <v>14075688.829612901</v>
      </c>
      <c r="D65" s="14">
        <f>IFERROR(C65/'DCF Model'!C17,"N/A")</f>
        <v>5.76038417717825</v>
      </c>
    </row>
    <row r="66" spans="2:9" ht="14" customHeight="1" x14ac:dyDescent="0.3">
      <c r="B66" s="31">
        <v>0.35849999999999999</v>
      </c>
      <c r="C66" s="5">
        <f>IFERROR($C$60/B66,"N/A")</f>
        <v>11259683.926579528</v>
      </c>
      <c r="D66" s="14">
        <f>IFERROR(C66/'DCF Model'!C17,"N/A")</f>
        <v>4.6079524715154356</v>
      </c>
    </row>
    <row r="67" spans="2:9" ht="14" customHeight="1" x14ac:dyDescent="0.3">
      <c r="B67" s="31">
        <v>0.43020000000000003</v>
      </c>
      <c r="C67" s="5">
        <f>IFERROR($C$60/B67,"N/A")</f>
        <v>9383069.9388162717</v>
      </c>
      <c r="D67" s="14">
        <f>IFERROR(C67/'DCF Model'!C17,"N/A")</f>
        <v>3.8399603929295294</v>
      </c>
    </row>
    <row r="69" spans="2:9" ht="14" customHeight="1" x14ac:dyDescent="0.3">
      <c r="B69" s="8" t="s">
        <v>164</v>
      </c>
      <c r="C69" s="9"/>
      <c r="D69" s="9"/>
      <c r="E69" s="9"/>
      <c r="F69" s="9"/>
      <c r="G69" s="9"/>
      <c r="H69" s="9"/>
      <c r="I69" s="9"/>
    </row>
    <row r="70" spans="2:9" ht="13.5" customHeight="1" x14ac:dyDescent="0.25">
      <c r="B70" s="6" t="s">
        <v>165</v>
      </c>
      <c r="C70" s="14">
        <f>IFERROR(C10/'Comps Analysis'!G5,"N/A")</f>
        <v>33.657740621904566</v>
      </c>
    </row>
    <row r="71" spans="2:9" ht="13.5" customHeight="1" x14ac:dyDescent="0.25">
      <c r="B71" s="6" t="s">
        <v>166</v>
      </c>
      <c r="C71" s="14">
        <f>IFERROR(C10/'Comps Analysis'!F5,"N/A")</f>
        <v>9.7284777254573598</v>
      </c>
    </row>
    <row r="72" spans="2:9" ht="14" customHeight="1" x14ac:dyDescent="0.3">
      <c r="B72" s="4" t="s">
        <v>167</v>
      </c>
      <c r="C72" s="14">
        <f>IFERROR(C10/(C25+'DCF Model'!G42),"N/A")</f>
        <v>6.9322960192533216</v>
      </c>
    </row>
    <row r="73" spans="2:9" ht="14" customHeight="1" x14ac:dyDescent="0.3">
      <c r="B73" s="4" t="s">
        <v>168</v>
      </c>
      <c r="C73" s="14">
        <f>IFERROR(C10/(C60+'DCF Model'!G42),"N/A")</f>
        <v>5.7513336055428352</v>
      </c>
    </row>
    <row r="74" spans="2:9" ht="14" customHeight="1" x14ac:dyDescent="0.3">
      <c r="B74" s="4" t="s">
        <v>169</v>
      </c>
      <c r="C74" s="14">
        <f>IFERROR('Comps Analysis'!D16,"N/A")</f>
        <v>36.103547577617562</v>
      </c>
    </row>
    <row r="75" spans="2:9" ht="14" customHeight="1" x14ac:dyDescent="0.3">
      <c r="B75" s="1" t="s">
        <v>170</v>
      </c>
    </row>
    <row r="77" spans="2:9" ht="14" customHeight="1" x14ac:dyDescent="0.3">
      <c r="B77" s="22" t="s">
        <v>171</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FY2026."</f>
        <v>At 53,320 yen the market is paying for a steady-state operating profit of 4,036,597 mn JPY - 5.79x the FY2025 cycle peak of 697,320 mn - reached in 5 years and sustained for ever, against 624,937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3,332,466 mn, or 4.78x the peak. The base case supports an EV of only 4,544,536 mn, leaving 42,323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172</v>
      </c>
    </row>
    <row r="4" spans="2:8" ht="14" customHeight="1" x14ac:dyDescent="0.3">
      <c r="B4" s="8" t="s">
        <v>173</v>
      </c>
      <c r="C4" s="32" t="s">
        <v>174</v>
      </c>
      <c r="D4" s="32" t="s">
        <v>81</v>
      </c>
      <c r="E4" s="32" t="s">
        <v>82</v>
      </c>
      <c r="F4" s="32" t="s">
        <v>83</v>
      </c>
      <c r="G4" s="32" t="s">
        <v>84</v>
      </c>
      <c r="H4" s="32" t="s">
        <v>85</v>
      </c>
    </row>
    <row r="5" spans="2:8" ht="14" customHeight="1" x14ac:dyDescent="0.3">
      <c r="B5" s="33" t="s">
        <v>175</v>
      </c>
      <c r="C5" s="34">
        <f>C12/C9*365</f>
        <v>78.5554236427337</v>
      </c>
      <c r="D5" s="34">
        <f>CHOOSE('DCF Model'!$D$27,D25,D26,D27,D28,D29)</f>
        <v>77</v>
      </c>
      <c r="E5" s="34">
        <f>CHOOSE('DCF Model'!$D$27,E25,E26,E27,E28,E29)</f>
        <v>77</v>
      </c>
      <c r="F5" s="34">
        <f>CHOOSE('DCF Model'!$D$27,F25,F26,F27,F28,F29)</f>
        <v>77</v>
      </c>
      <c r="G5" s="34">
        <f>CHOOSE('DCF Model'!$D$27,G25,G26,G27,G28,G29)</f>
        <v>77</v>
      </c>
      <c r="H5" s="34">
        <f>CHOOSE('DCF Model'!$D$27,H25,H26,H27,H28,H29)</f>
        <v>77</v>
      </c>
    </row>
    <row r="6" spans="2:8" ht="14" customHeight="1" x14ac:dyDescent="0.3">
      <c r="B6" s="33" t="s">
        <v>176</v>
      </c>
      <c r="C6" s="34">
        <f>C13/C10*365</f>
        <v>194.87661456726752</v>
      </c>
      <c r="D6" s="34">
        <f>CHOOSE('DCF Model'!$D$27,D32,D33,D34,D35,D36)</f>
        <v>220</v>
      </c>
      <c r="E6" s="34">
        <f>CHOOSE('DCF Model'!$D$27,E32,E33,E34,E35,E36)</f>
        <v>220</v>
      </c>
      <c r="F6" s="34">
        <f>CHOOSE('DCF Model'!$D$27,F32,F33,F34,F35,F36)</f>
        <v>220</v>
      </c>
      <c r="G6" s="34">
        <f>CHOOSE('DCF Model'!$D$27,G32,G33,G34,G35,G36)</f>
        <v>220</v>
      </c>
      <c r="H6" s="34">
        <f>CHOOSE('DCF Model'!$D$27,H32,H33,H34,H35,H36)</f>
        <v>220</v>
      </c>
    </row>
    <row r="7" spans="2:8" ht="14" customHeight="1" x14ac:dyDescent="0.3">
      <c r="B7" s="33" t="s">
        <v>177</v>
      </c>
      <c r="C7" s="34">
        <f>C15/C10*365</f>
        <v>34.936540356320357</v>
      </c>
      <c r="D7" s="34">
        <f>CHOOSE('DCF Model'!$D$27,D39,D40,D41,D42,D43)</f>
        <v>33</v>
      </c>
      <c r="E7" s="34">
        <f>CHOOSE('DCF Model'!$D$27,E39,E40,E41,E42,E43)</f>
        <v>33</v>
      </c>
      <c r="F7" s="34">
        <f>CHOOSE('DCF Model'!$D$27,F39,F40,F41,F42,F43)</f>
        <v>33</v>
      </c>
      <c r="G7" s="34">
        <f>CHOOSE('DCF Model'!$D$27,G39,G40,G41,G42,G43)</f>
        <v>33</v>
      </c>
      <c r="H7" s="34">
        <f>CHOOSE('DCF Model'!$D$27,H39,H40,H41,H42,H43)</f>
        <v>33</v>
      </c>
    </row>
    <row r="8" spans="2:8" ht="14" customHeight="1" x14ac:dyDescent="0.3">
      <c r="B8" s="8" t="s">
        <v>178</v>
      </c>
      <c r="C8" s="9"/>
      <c r="D8" s="9"/>
      <c r="E8" s="9"/>
      <c r="F8" s="9"/>
      <c r="G8" s="9"/>
      <c r="H8" s="9"/>
    </row>
    <row r="9" spans="2:8" ht="14" customHeight="1" x14ac:dyDescent="0.3">
      <c r="B9" s="33" t="s">
        <v>32</v>
      </c>
      <c r="C9" s="35">
        <v>2443533</v>
      </c>
      <c r="D9" s="35">
        <f>'DCF Model'!C33</f>
        <v>2565709.65</v>
      </c>
      <c r="E9" s="35">
        <f>'DCF Model'!D33</f>
        <v>2681166.5842499998</v>
      </c>
      <c r="F9" s="35">
        <f>'DCF Model'!E33</f>
        <v>2775007.4146987498</v>
      </c>
      <c r="G9" s="35">
        <f>'DCF Model'!F33</f>
        <v>2858257.6371397125</v>
      </c>
      <c r="H9" s="35">
        <f>'DCF Model'!G33</f>
        <v>2929714.0780682052</v>
      </c>
    </row>
    <row r="10" spans="2:8" ht="14" customHeight="1" x14ac:dyDescent="0.3">
      <c r="B10" s="33" t="s">
        <v>33</v>
      </c>
      <c r="C10" s="35">
        <v>1335652</v>
      </c>
      <c r="D10" s="35">
        <f>'DCF Model'!C34</f>
        <v>1403443.1785500001</v>
      </c>
      <c r="E10" s="35">
        <f>'DCF Model'!D34</f>
        <v>1466598.12158475</v>
      </c>
      <c r="F10" s="35">
        <f>'DCF Model'!E34</f>
        <v>1517929.0558402163</v>
      </c>
      <c r="G10" s="35">
        <f>'DCF Model'!F34</f>
        <v>1563466.9275154229</v>
      </c>
      <c r="H10" s="35">
        <f>'DCF Model'!G34</f>
        <v>1602553.6007033084</v>
      </c>
    </row>
    <row r="11" spans="2:8" ht="14" customHeight="1" x14ac:dyDescent="0.3">
      <c r="B11" s="8" t="s">
        <v>179</v>
      </c>
      <c r="C11" s="9"/>
      <c r="D11" s="9"/>
      <c r="E11" s="9"/>
      <c r="F11" s="9"/>
      <c r="G11" s="9"/>
      <c r="H11" s="9"/>
    </row>
    <row r="12" spans="2:8" ht="14" customHeight="1" x14ac:dyDescent="0.3">
      <c r="B12" s="33" t="s">
        <v>180</v>
      </c>
      <c r="C12" s="35">
        <v>525898</v>
      </c>
      <c r="D12" s="35">
        <f t="shared" ref="D12:H13" si="0">D9*D5/365</f>
        <v>541259.29602739715</v>
      </c>
      <c r="E12" s="35">
        <f t="shared" si="0"/>
        <v>565615.96434863016</v>
      </c>
      <c r="F12" s="35">
        <f t="shared" si="0"/>
        <v>585412.52310083213</v>
      </c>
      <c r="G12" s="35">
        <f t="shared" si="0"/>
        <v>602974.8987938572</v>
      </c>
      <c r="H12" s="35">
        <f t="shared" si="0"/>
        <v>618049.27126370359</v>
      </c>
    </row>
    <row r="13" spans="2:8" ht="14" customHeight="1" x14ac:dyDescent="0.3">
      <c r="B13" s="33" t="s">
        <v>181</v>
      </c>
      <c r="C13" s="35">
        <v>713116</v>
      </c>
      <c r="D13" s="35">
        <f t="shared" si="0"/>
        <v>845910.95693424658</v>
      </c>
      <c r="E13" s="35">
        <f t="shared" si="0"/>
        <v>883976.9499962877</v>
      </c>
      <c r="F13" s="35">
        <f t="shared" si="0"/>
        <v>914916.14324615791</v>
      </c>
      <c r="G13" s="35">
        <f t="shared" si="0"/>
        <v>942363.62754354265</v>
      </c>
      <c r="H13" s="35">
        <f t="shared" si="0"/>
        <v>965922.71823213098</v>
      </c>
    </row>
    <row r="14" spans="2:8" ht="14" customHeight="1" x14ac:dyDescent="0.3">
      <c r="B14" s="33" t="s">
        <v>182</v>
      </c>
      <c r="C14" s="35">
        <f t="shared" ref="C14:H14" si="1">C12+C13</f>
        <v>1239014</v>
      </c>
      <c r="D14" s="35">
        <f t="shared" si="1"/>
        <v>1387170.2529616437</v>
      </c>
      <c r="E14" s="35">
        <f t="shared" si="1"/>
        <v>1449592.914344918</v>
      </c>
      <c r="F14" s="35">
        <f t="shared" si="1"/>
        <v>1500328.66634699</v>
      </c>
      <c r="G14" s="35">
        <f t="shared" si="1"/>
        <v>1545338.5263373998</v>
      </c>
      <c r="H14" s="35">
        <f t="shared" si="1"/>
        <v>1583971.9894958346</v>
      </c>
    </row>
    <row r="15" spans="2:8" ht="14" customHeight="1" x14ac:dyDescent="0.3">
      <c r="B15" s="33" t="s">
        <v>183</v>
      </c>
      <c r="C15" s="35">
        <v>127844</v>
      </c>
      <c r="D15" s="35">
        <f>D10*D7/365</f>
        <v>126886.64354013698</v>
      </c>
      <c r="E15" s="35">
        <f>E10*E7/365</f>
        <v>132596.54249944317</v>
      </c>
      <c r="F15" s="35">
        <f>F10*F7/365</f>
        <v>137237.42148692367</v>
      </c>
      <c r="G15" s="35">
        <f>G10*G7/365</f>
        <v>141354.54413153138</v>
      </c>
      <c r="H15" s="35">
        <f>H10*H7/365</f>
        <v>144888.40773481966</v>
      </c>
    </row>
    <row r="16" spans="2:8" ht="14" customHeight="1" x14ac:dyDescent="0.3">
      <c r="B16" s="33" t="s">
        <v>184</v>
      </c>
      <c r="C16" s="35">
        <f t="shared" ref="C16:H16" si="2">C15</f>
        <v>127844</v>
      </c>
      <c r="D16" s="35">
        <f t="shared" si="2"/>
        <v>126886.64354013698</v>
      </c>
      <c r="E16" s="35">
        <f t="shared" si="2"/>
        <v>132596.54249944317</v>
      </c>
      <c r="F16" s="35">
        <f t="shared" si="2"/>
        <v>137237.42148692367</v>
      </c>
      <c r="G16" s="35">
        <f t="shared" si="2"/>
        <v>141354.54413153138</v>
      </c>
      <c r="H16" s="35">
        <f t="shared" si="2"/>
        <v>144888.40773481966</v>
      </c>
    </row>
    <row r="17" spans="2:8" ht="14" customHeight="1" x14ac:dyDescent="0.3">
      <c r="B17" s="22" t="s">
        <v>185</v>
      </c>
      <c r="C17" s="23"/>
      <c r="D17" s="23"/>
      <c r="E17" s="23"/>
      <c r="F17" s="23"/>
      <c r="G17" s="23"/>
      <c r="H17" s="23"/>
    </row>
    <row r="18" spans="2:8" ht="14" customHeight="1" x14ac:dyDescent="0.3">
      <c r="B18" s="33" t="s">
        <v>186</v>
      </c>
      <c r="C18" s="20">
        <f t="shared" ref="C18:H18" si="3">C14-C16</f>
        <v>1111170</v>
      </c>
      <c r="D18" s="20">
        <f t="shared" si="3"/>
        <v>1260283.6094215068</v>
      </c>
      <c r="E18" s="20">
        <f t="shared" si="3"/>
        <v>1316996.3718454749</v>
      </c>
      <c r="F18" s="20">
        <f t="shared" si="3"/>
        <v>1363091.2448600663</v>
      </c>
      <c r="G18" s="20">
        <f t="shared" si="3"/>
        <v>1403983.9822058685</v>
      </c>
      <c r="H18" s="20">
        <f t="shared" si="3"/>
        <v>1439083.5817610149</v>
      </c>
    </row>
    <row r="19" spans="2:8" ht="14" customHeight="1" x14ac:dyDescent="0.3">
      <c r="B19" s="33" t="s">
        <v>95</v>
      </c>
      <c r="C19" s="36" t="s">
        <v>42</v>
      </c>
      <c r="D19" s="24">
        <f>D18-C18</f>
        <v>149113.60942150676</v>
      </c>
      <c r="E19" s="24">
        <f>E18-D18</f>
        <v>56712.762423968175</v>
      </c>
      <c r="F19" s="24">
        <f>F18-E18</f>
        <v>46094.873014591401</v>
      </c>
      <c r="G19" s="24">
        <f>G18-F18</f>
        <v>40892.737345802132</v>
      </c>
      <c r="H19" s="24">
        <f>H18-G18</f>
        <v>35099.599555146415</v>
      </c>
    </row>
    <row r="22" spans="2:8" ht="14" customHeight="1" x14ac:dyDescent="0.3">
      <c r="B22" s="22" t="s">
        <v>187</v>
      </c>
      <c r="C22" s="23"/>
      <c r="D22" s="23"/>
      <c r="E22" s="23"/>
      <c r="F22" s="23"/>
      <c r="G22" s="23"/>
      <c r="H22" s="23"/>
    </row>
    <row r="23" spans="2:8" ht="14" customHeight="1" x14ac:dyDescent="0.3">
      <c r="D23" s="25" t="s">
        <v>81</v>
      </c>
      <c r="E23" s="25" t="s">
        <v>82</v>
      </c>
      <c r="F23" s="25" t="s">
        <v>83</v>
      </c>
      <c r="G23" s="25" t="s">
        <v>84</v>
      </c>
      <c r="H23" s="25" t="s">
        <v>85</v>
      </c>
    </row>
    <row r="24" spans="2:8" ht="14" customHeight="1" x14ac:dyDescent="0.3">
      <c r="B24" s="3" t="s">
        <v>188</v>
      </c>
    </row>
    <row r="25" spans="2:8" ht="14" customHeight="1" x14ac:dyDescent="0.3">
      <c r="B25" s="4" t="s">
        <v>79</v>
      </c>
      <c r="D25" s="30">
        <v>77</v>
      </c>
      <c r="E25" s="30">
        <v>77</v>
      </c>
      <c r="F25" s="30">
        <v>77</v>
      </c>
      <c r="G25" s="30">
        <v>77</v>
      </c>
      <c r="H25" s="30">
        <v>77</v>
      </c>
    </row>
    <row r="26" spans="2:8" ht="14" customHeight="1" x14ac:dyDescent="0.3">
      <c r="B26" s="4" t="s">
        <v>116</v>
      </c>
      <c r="D26" s="30">
        <v>74</v>
      </c>
      <c r="E26" s="30">
        <v>74</v>
      </c>
      <c r="F26" s="30">
        <v>74</v>
      </c>
      <c r="G26" s="30">
        <v>74</v>
      </c>
      <c r="H26" s="30">
        <v>74</v>
      </c>
    </row>
    <row r="27" spans="2:8" ht="14" customHeight="1" x14ac:dyDescent="0.3">
      <c r="B27" s="4" t="s">
        <v>117</v>
      </c>
      <c r="D27" s="30">
        <v>77</v>
      </c>
      <c r="E27" s="30">
        <v>77</v>
      </c>
      <c r="F27" s="30">
        <v>77</v>
      </c>
      <c r="G27" s="30">
        <v>77</v>
      </c>
      <c r="H27" s="30">
        <v>77</v>
      </c>
    </row>
    <row r="28" spans="2:8" ht="14" customHeight="1" x14ac:dyDescent="0.3">
      <c r="B28" s="4" t="s">
        <v>118</v>
      </c>
      <c r="D28" s="30">
        <v>81</v>
      </c>
      <c r="E28" s="30">
        <v>81</v>
      </c>
      <c r="F28" s="30">
        <v>81</v>
      </c>
      <c r="G28" s="30">
        <v>81</v>
      </c>
      <c r="H28" s="30">
        <v>81</v>
      </c>
    </row>
    <row r="29" spans="2:8" ht="14" customHeight="1" x14ac:dyDescent="0.3">
      <c r="B29" s="4" t="s">
        <v>119</v>
      </c>
      <c r="D29" s="30">
        <v>85</v>
      </c>
      <c r="E29" s="30">
        <v>85</v>
      </c>
      <c r="F29" s="30">
        <v>85</v>
      </c>
      <c r="G29" s="30">
        <v>85</v>
      </c>
      <c r="H29" s="30">
        <v>85</v>
      </c>
    </row>
    <row r="31" spans="2:8" ht="14" customHeight="1" x14ac:dyDescent="0.3">
      <c r="B31" s="3" t="s">
        <v>189</v>
      </c>
    </row>
    <row r="32" spans="2:8" ht="14" customHeight="1" x14ac:dyDescent="0.3">
      <c r="B32" s="4" t="s">
        <v>79</v>
      </c>
      <c r="D32" s="30">
        <v>220</v>
      </c>
      <c r="E32" s="30">
        <v>220</v>
      </c>
      <c r="F32" s="30">
        <v>220</v>
      </c>
      <c r="G32" s="30">
        <v>220</v>
      </c>
      <c r="H32" s="30">
        <v>220</v>
      </c>
    </row>
    <row r="33" spans="2:8" ht="14" customHeight="1" x14ac:dyDescent="0.3">
      <c r="B33" s="4" t="s">
        <v>116</v>
      </c>
      <c r="D33" s="30">
        <v>210</v>
      </c>
      <c r="E33" s="30">
        <v>210</v>
      </c>
      <c r="F33" s="30">
        <v>210</v>
      </c>
      <c r="G33" s="30">
        <v>210</v>
      </c>
      <c r="H33" s="30">
        <v>210</v>
      </c>
    </row>
    <row r="34" spans="2:8" ht="14" customHeight="1" x14ac:dyDescent="0.3">
      <c r="B34" s="4" t="s">
        <v>117</v>
      </c>
      <c r="D34" s="30">
        <v>220</v>
      </c>
      <c r="E34" s="30">
        <v>220</v>
      </c>
      <c r="F34" s="30">
        <v>220</v>
      </c>
      <c r="G34" s="30">
        <v>220</v>
      </c>
      <c r="H34" s="30">
        <v>220</v>
      </c>
    </row>
    <row r="35" spans="2:8" ht="14" customHeight="1" x14ac:dyDescent="0.3">
      <c r="B35" s="4" t="s">
        <v>118</v>
      </c>
      <c r="D35" s="30">
        <v>231</v>
      </c>
      <c r="E35" s="30">
        <v>231</v>
      </c>
      <c r="F35" s="30">
        <v>231</v>
      </c>
      <c r="G35" s="30">
        <v>231</v>
      </c>
      <c r="H35" s="30">
        <v>231</v>
      </c>
    </row>
    <row r="36" spans="2:8" ht="14" customHeight="1" x14ac:dyDescent="0.3">
      <c r="B36" s="4" t="s">
        <v>119</v>
      </c>
      <c r="D36" s="30">
        <v>242</v>
      </c>
      <c r="E36" s="30">
        <v>242</v>
      </c>
      <c r="F36" s="30">
        <v>242</v>
      </c>
      <c r="G36" s="30">
        <v>242</v>
      </c>
      <c r="H36" s="30">
        <v>242</v>
      </c>
    </row>
    <row r="38" spans="2:8" ht="14" customHeight="1" x14ac:dyDescent="0.3">
      <c r="B38" s="3" t="s">
        <v>190</v>
      </c>
    </row>
    <row r="39" spans="2:8" ht="14" customHeight="1" x14ac:dyDescent="0.3">
      <c r="B39" s="4" t="s">
        <v>79</v>
      </c>
      <c r="D39" s="30">
        <v>33</v>
      </c>
      <c r="E39" s="30">
        <v>33</v>
      </c>
      <c r="F39" s="30">
        <v>33</v>
      </c>
      <c r="G39" s="30">
        <v>33</v>
      </c>
      <c r="H39" s="30">
        <v>33</v>
      </c>
    </row>
    <row r="40" spans="2:8" ht="14" customHeight="1" x14ac:dyDescent="0.3">
      <c r="B40" s="4" t="s">
        <v>116</v>
      </c>
      <c r="D40" s="30">
        <v>35</v>
      </c>
      <c r="E40" s="30">
        <v>35</v>
      </c>
      <c r="F40" s="30">
        <v>35</v>
      </c>
      <c r="G40" s="30">
        <v>35</v>
      </c>
      <c r="H40" s="30">
        <v>35</v>
      </c>
    </row>
    <row r="41" spans="2:8" ht="14" customHeight="1" x14ac:dyDescent="0.3">
      <c r="B41" s="4" t="s">
        <v>117</v>
      </c>
      <c r="D41" s="30">
        <v>33</v>
      </c>
      <c r="E41" s="30">
        <v>33</v>
      </c>
      <c r="F41" s="30">
        <v>33</v>
      </c>
      <c r="G41" s="30">
        <v>33</v>
      </c>
      <c r="H41" s="30">
        <v>33</v>
      </c>
    </row>
    <row r="42" spans="2:8" ht="14" customHeight="1" x14ac:dyDescent="0.3">
      <c r="B42" s="4" t="s">
        <v>118</v>
      </c>
      <c r="D42" s="30">
        <v>31</v>
      </c>
      <c r="E42" s="30">
        <v>31</v>
      </c>
      <c r="F42" s="30">
        <v>31</v>
      </c>
      <c r="G42" s="30">
        <v>31</v>
      </c>
      <c r="H42" s="30">
        <v>31</v>
      </c>
    </row>
    <row r="43" spans="2:8" ht="14" customHeight="1" x14ac:dyDescent="0.3">
      <c r="B43" s="4" t="s">
        <v>119</v>
      </c>
      <c r="D43" s="30">
        <v>30</v>
      </c>
      <c r="E43" s="30">
        <v>30</v>
      </c>
      <c r="F43" s="30">
        <v>30</v>
      </c>
      <c r="G43" s="30">
        <v>30</v>
      </c>
      <c r="H43" s="30">
        <v>30</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191</v>
      </c>
    </row>
    <row r="3" spans="2:17" ht="14" customHeight="1" x14ac:dyDescent="0.3">
      <c r="B3" s="1" t="s">
        <v>192</v>
      </c>
    </row>
    <row r="4" spans="2:17" ht="28" customHeight="1" x14ac:dyDescent="0.3">
      <c r="B4" s="10" t="s">
        <v>3</v>
      </c>
      <c r="C4" s="10" t="s">
        <v>5</v>
      </c>
      <c r="D4" s="10" t="s">
        <v>193</v>
      </c>
      <c r="E4" s="10" t="s">
        <v>194</v>
      </c>
      <c r="F4" s="10" t="s">
        <v>195</v>
      </c>
      <c r="G4" s="10" t="s">
        <v>196</v>
      </c>
      <c r="H4" s="10" t="s">
        <v>197</v>
      </c>
      <c r="I4" s="10" t="s">
        <v>198</v>
      </c>
      <c r="J4" s="10" t="s">
        <v>199</v>
      </c>
      <c r="K4" s="10" t="s">
        <v>200</v>
      </c>
      <c r="L4" s="10" t="s">
        <v>201</v>
      </c>
      <c r="M4" s="10" t="s">
        <v>202</v>
      </c>
      <c r="N4" s="10" t="s">
        <v>203</v>
      </c>
      <c r="O4" s="10" t="s">
        <v>204</v>
      </c>
      <c r="P4" s="10" t="s">
        <v>205</v>
      </c>
      <c r="Q4" s="10" t="s">
        <v>206</v>
      </c>
    </row>
    <row r="5" spans="2:17" ht="14" customHeight="1" x14ac:dyDescent="0.3">
      <c r="B5" s="4" t="s">
        <v>207</v>
      </c>
      <c r="C5" t="s">
        <v>208</v>
      </c>
      <c r="D5" s="37">
        <f>'Executive Summary'!C9*C23/1000000</f>
        <v>24223108.361919999</v>
      </c>
      <c r="E5" s="37">
        <f>D5+C24</f>
        <v>23771856.361919999</v>
      </c>
      <c r="F5" s="37">
        <v>2443533</v>
      </c>
      <c r="G5" s="37">
        <v>706282</v>
      </c>
      <c r="H5" s="37">
        <v>624937</v>
      </c>
      <c r="I5" s="37">
        <v>574454</v>
      </c>
      <c r="J5" s="38">
        <f>IFERROR(E5/G5,"")</f>
        <v>33.657740621904566</v>
      </c>
      <c r="K5" s="38">
        <f>IFERROR(E5/F5,"")</f>
        <v>9.7284777254573598</v>
      </c>
      <c r="L5" s="38">
        <f>IFERROR(D5/I5,"")</f>
        <v>42.167185469889667</v>
      </c>
      <c r="M5" s="38">
        <f>IFERROR(D5/P5,"")</f>
        <v>11.702018634797975</v>
      </c>
      <c r="N5" s="39">
        <f>IFERROR(H5/F5,"")</f>
        <v>0.25575140585373718</v>
      </c>
      <c r="O5" s="39">
        <f>IFERROR(I5/P5,"")</f>
        <v>0.27751481405260114</v>
      </c>
      <c r="P5" s="37">
        <v>2069994</v>
      </c>
    </row>
    <row r="6" spans="2:17" ht="14" customHeight="1" x14ac:dyDescent="0.3">
      <c r="B6" s="4" t="s">
        <v>209</v>
      </c>
      <c r="C6" t="s">
        <v>210</v>
      </c>
      <c r="D6" s="37">
        <v>23900296</v>
      </c>
      <c r="E6" s="37">
        <v>23580522</v>
      </c>
      <c r="F6" s="37">
        <v>1128610</v>
      </c>
      <c r="G6" s="37">
        <v>524732</v>
      </c>
      <c r="H6" s="37">
        <v>499120</v>
      </c>
      <c r="I6" s="37">
        <v>375353</v>
      </c>
      <c r="J6" s="38">
        <f>IFERROR(E6/G6,"")</f>
        <v>44.938219891296889</v>
      </c>
      <c r="K6" s="38">
        <f>IFERROR(E6/F6,"")</f>
        <v>20.893419338832725</v>
      </c>
      <c r="L6" s="38">
        <f>IFERROR(D6/I6,"")</f>
        <v>63.674184034761943</v>
      </c>
      <c r="M6" s="38">
        <f>IFERROR(D6/P6,"")</f>
        <v>30.03583645626761</v>
      </c>
      <c r="N6" s="39">
        <f>IFERROR(H6/F6,"")</f>
        <v>0.44224311321005483</v>
      </c>
      <c r="O6" s="39">
        <f>IFERROR(I6/P6,"")</f>
        <v>0.47171136798345159</v>
      </c>
      <c r="P6" s="37">
        <v>795726</v>
      </c>
    </row>
    <row r="7" spans="2:17" ht="14" customHeight="1" x14ac:dyDescent="0.3">
      <c r="B7" s="4" t="s">
        <v>211</v>
      </c>
      <c r="C7" t="s">
        <v>212</v>
      </c>
      <c r="D7" s="37">
        <v>5907152</v>
      </c>
      <c r="E7" s="37">
        <v>5622577</v>
      </c>
      <c r="F7" s="37">
        <v>436889</v>
      </c>
      <c r="G7" s="37">
        <v>199811</v>
      </c>
      <c r="H7" s="37">
        <v>184990</v>
      </c>
      <c r="I7" s="37">
        <v>135521</v>
      </c>
      <c r="J7" s="38">
        <f>IFERROR(E7/G7,"")</f>
        <v>28.139476805581275</v>
      </c>
      <c r="K7" s="38">
        <f>IFERROR(E7/F7,"")</f>
        <v>12.869577856160261</v>
      </c>
      <c r="L7" s="38">
        <f>IFERROR(D7/I7,"")</f>
        <v>43.58846230473506</v>
      </c>
      <c r="M7" s="38">
        <f>IFERROR(D7/P7,"")</f>
        <v>10.050313224150075</v>
      </c>
      <c r="N7" s="39">
        <f>IFERROR(H7/F7,"")</f>
        <v>0.42342562985106058</v>
      </c>
      <c r="O7" s="39">
        <f>IFERROR(I7/P7,"")</f>
        <v>0.23057278675917639</v>
      </c>
      <c r="P7" s="37">
        <v>587758</v>
      </c>
    </row>
    <row r="8" spans="2:17" ht="14" customHeight="1" x14ac:dyDescent="0.3">
      <c r="B8" s="4" t="s">
        <v>213</v>
      </c>
      <c r="C8" t="s">
        <v>214</v>
      </c>
      <c r="D8" s="37">
        <v>2463814</v>
      </c>
      <c r="E8" s="37">
        <v>2322535</v>
      </c>
      <c r="F8" s="37">
        <v>605748</v>
      </c>
      <c r="G8" s="37">
        <v>137097</v>
      </c>
      <c r="H8" s="37">
        <v>122522</v>
      </c>
      <c r="I8" s="37">
        <v>92003</v>
      </c>
      <c r="J8" s="38">
        <f>IFERROR(E8/G8,"")</f>
        <v>16.940815626891908</v>
      </c>
      <c r="K8" s="38">
        <f>IFERROR(E8/F8,"")</f>
        <v>3.8341604099394466</v>
      </c>
      <c r="L8" s="38">
        <f>IFERROR(D8/I8,"")</f>
        <v>26.779713704987881</v>
      </c>
      <c r="M8" s="38">
        <f>IFERROR(D8/P8,"")</f>
        <v>5.0636581115075385</v>
      </c>
      <c r="N8" s="39">
        <f>IFERROR(H8/F8,"")</f>
        <v>0.20226562861123767</v>
      </c>
      <c r="O8" s="39">
        <f>IFERROR(I8/P8,"")</f>
        <v>0.18908559543578699</v>
      </c>
      <c r="P8" s="37">
        <v>486568</v>
      </c>
    </row>
    <row r="9" spans="2:17" ht="14" customHeight="1" x14ac:dyDescent="0.3">
      <c r="B9" s="4" t="s">
        <v>215</v>
      </c>
      <c r="C9" t="s">
        <v>216</v>
      </c>
      <c r="D9" s="37">
        <v>5755433</v>
      </c>
      <c r="E9" s="37">
        <v>5652289</v>
      </c>
      <c r="F9" s="37">
        <v>416201</v>
      </c>
      <c r="G9" s="37">
        <v>128264</v>
      </c>
      <c r="H9" s="37">
        <v>62028</v>
      </c>
      <c r="I9" s="37">
        <v>63713</v>
      </c>
      <c r="J9" s="38">
        <f>IFERROR(E9/G9,"")</f>
        <v>44.067618349653841</v>
      </c>
      <c r="K9" s="38">
        <f>IFERROR(E9/F9,"")</f>
        <v>13.580671358310047</v>
      </c>
      <c r="L9" s="38">
        <f>IFERROR(D9/I9,"")</f>
        <v>90.333730949727681</v>
      </c>
      <c r="M9" s="38">
        <f>IFERROR(D9/P9,"")</f>
        <v>10.463072948764795</v>
      </c>
      <c r="N9" s="39">
        <f>IFERROR(H9/F9,"")</f>
        <v>0.14903376013032166</v>
      </c>
      <c r="O9" s="39">
        <f>IFERROR(I9/P9,"")</f>
        <v>0.11582686598639085</v>
      </c>
      <c r="P9" s="37">
        <v>550071</v>
      </c>
    </row>
    <row r="14" spans="2:17" ht="14" customHeight="1" x14ac:dyDescent="0.3">
      <c r="B14" s="3" t="s">
        <v>217</v>
      </c>
    </row>
    <row r="15" spans="2:17" ht="14" customHeight="1" x14ac:dyDescent="0.3">
      <c r="B15" s="4" t="s">
        <v>218</v>
      </c>
      <c r="D15" s="38">
        <f t="shared" ref="D15:I15" si="0">PERCENTILE(J6:J9,0.25)</f>
        <v>25.339811510908934</v>
      </c>
      <c r="E15" s="38">
        <f t="shared" si="0"/>
        <v>10.610723494605057</v>
      </c>
      <c r="F15" s="38">
        <f t="shared" si="0"/>
        <v>39.38627515479827</v>
      </c>
      <c r="G15" s="38">
        <f t="shared" si="0"/>
        <v>8.803649445989441</v>
      </c>
      <c r="H15" s="39">
        <f t="shared" si="0"/>
        <v>0.18895766149100868</v>
      </c>
      <c r="I15" s="39">
        <f t="shared" si="0"/>
        <v>0.17077091307343795</v>
      </c>
    </row>
    <row r="16" spans="2:17" ht="14" customHeight="1" x14ac:dyDescent="0.3">
      <c r="B16" s="4" t="s">
        <v>219</v>
      </c>
      <c r="D16" s="38">
        <f t="shared" ref="D16:I16" si="1">MEDIAN(J6:J9)</f>
        <v>36.103547577617562</v>
      </c>
      <c r="E16" s="38">
        <f t="shared" si="1"/>
        <v>13.225124607235154</v>
      </c>
      <c r="F16" s="38">
        <f t="shared" si="1"/>
        <v>53.631323169748498</v>
      </c>
      <c r="G16" s="38">
        <f t="shared" si="1"/>
        <v>10.256693086457435</v>
      </c>
      <c r="H16" s="39">
        <f t="shared" si="1"/>
        <v>0.31284562923114911</v>
      </c>
      <c r="I16" s="39">
        <f t="shared" si="1"/>
        <v>0.20982919109748169</v>
      </c>
    </row>
    <row r="17" spans="2:9" ht="14" customHeight="1" x14ac:dyDescent="0.3">
      <c r="B17" s="4" t="s">
        <v>220</v>
      </c>
      <c r="D17" s="38">
        <f t="shared" ref="D17:I17" si="2">PERCENTILE(J6:J9,0.75)</f>
        <v>44.285268735064605</v>
      </c>
      <c r="E17" s="38">
        <f t="shared" si="2"/>
        <v>15.408858353440717</v>
      </c>
      <c r="F17" s="38">
        <f t="shared" si="2"/>
        <v>70.339070763503372</v>
      </c>
      <c r="G17" s="38">
        <f t="shared" si="2"/>
        <v>15.356263825640498</v>
      </c>
      <c r="H17" s="39">
        <f t="shared" si="2"/>
        <v>0.42813000069080914</v>
      </c>
      <c r="I17" s="39">
        <f t="shared" si="2"/>
        <v>0.29085743206524517</v>
      </c>
    </row>
    <row r="19" spans="2:9" ht="14" customHeight="1" x14ac:dyDescent="0.3">
      <c r="B19" s="22" t="s">
        <v>221</v>
      </c>
      <c r="C19" s="23"/>
      <c r="D19" s="23"/>
      <c r="E19" s="23"/>
      <c r="F19" s="23"/>
      <c r="G19" s="23"/>
      <c r="H19" s="23"/>
      <c r="I19" s="23"/>
    </row>
    <row r="20" spans="2:9" ht="14" customHeight="1" x14ac:dyDescent="0.3">
      <c r="B20" s="3" t="s">
        <v>222</v>
      </c>
    </row>
    <row r="21" spans="2:9" ht="14" customHeight="1" x14ac:dyDescent="0.3">
      <c r="B21" s="4" t="s">
        <v>223</v>
      </c>
      <c r="C21" s="5">
        <v>706282</v>
      </c>
    </row>
    <row r="22" spans="2:9" ht="14" customHeight="1" x14ac:dyDescent="0.3">
      <c r="B22" s="4" t="s">
        <v>224</v>
      </c>
      <c r="C22" s="5">
        <v>574454</v>
      </c>
    </row>
    <row r="23" spans="2:9" ht="14" customHeight="1" x14ac:dyDescent="0.3">
      <c r="B23" s="4" t="s">
        <v>225</v>
      </c>
      <c r="C23" s="15">
        <v>454296856</v>
      </c>
    </row>
    <row r="24" spans="2:9" ht="14" customHeight="1" x14ac:dyDescent="0.3">
      <c r="B24" s="4" t="s">
        <v>68</v>
      </c>
      <c r="C24" s="5">
        <v>-451252</v>
      </c>
    </row>
    <row r="26" spans="2:9" ht="14" customHeight="1" x14ac:dyDescent="0.3">
      <c r="B26" s="3" t="s">
        <v>226</v>
      </c>
    </row>
    <row r="27" spans="2:9" ht="14" customHeight="1" x14ac:dyDescent="0.3">
      <c r="B27" s="4" t="s">
        <v>227</v>
      </c>
      <c r="C27" s="24">
        <f>ROUND((C21*D16-C24)*1000000/C23,0)</f>
        <v>57122</v>
      </c>
    </row>
    <row r="28" spans="2:9" ht="14" customHeight="1" x14ac:dyDescent="0.3">
      <c r="B28" s="4" t="s">
        <v>228</v>
      </c>
      <c r="C28" s="24">
        <f>ROUND(C22*F16*1000000/C23,0)</f>
        <v>67816</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229</v>
      </c>
    </row>
    <row r="3" spans="2:9" ht="14" customHeight="1" x14ac:dyDescent="0.3">
      <c r="B3" s="4" t="s">
        <v>230</v>
      </c>
      <c r="C3" s="16">
        <f>'DCF Model'!C26</f>
        <v>0.11513900000000001</v>
      </c>
      <c r="E3" s="4" t="s">
        <v>231</v>
      </c>
      <c r="F3" s="16">
        <f>'DCF Model'!C13</f>
        <v>0.01</v>
      </c>
      <c r="H3" s="4" t="s">
        <v>232</v>
      </c>
      <c r="I3" s="14">
        <f>'DCF Model'!C14</f>
        <v>36.1</v>
      </c>
    </row>
    <row r="5" spans="2:9" ht="14" customHeight="1" x14ac:dyDescent="0.3">
      <c r="B5" s="3" t="s">
        <v>233</v>
      </c>
    </row>
    <row r="6" spans="2:9" ht="14" customHeight="1" x14ac:dyDescent="0.3">
      <c r="B6" s="40" t="s">
        <v>234</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0.10013900000000001</v>
      </c>
      <c r="C7" s="37">
        <f>IFERROR(ROUND(('DCF Model'!C45/(1+$B7)^('DCF Model'!C19+0)+'DCF Model'!D45/(1+$B7)^('DCF Model'!C19+1)+'DCF Model'!E45/(1+$B7)^('DCF Model'!C19+2)+'DCF Model'!F45/(1+$B7)^('DCF Model'!C19+3)+'DCF Model'!G45/(1+$B7)^('DCF Model'!C19+4)+'DCF Model'!G45*(1+C$6)/($B7-C$6)/(1+$B7)^('DCF Model'!C19+4)-'DCF Model'!C16)*1000000/'DCF Model'!C15,0),"")</f>
        <v>12107</v>
      </c>
      <c r="D7" s="37">
        <f>IFERROR(ROUND(('DCF Model'!C45/(1+$B7)^('DCF Model'!C19+0)+'DCF Model'!D45/(1+$B7)^('DCF Model'!C19+1)+'DCF Model'!E45/(1+$B7)^('DCF Model'!C19+2)+'DCF Model'!F45/(1+$B7)^('DCF Model'!C19+3)+'DCF Model'!G45/(1+$B7)^('DCF Model'!C19+4)+'DCF Model'!G45*(1+D$6)/($B7-D$6)/(1+$B7)^('DCF Model'!C19+4)-'DCF Model'!C16)*1000000/'DCF Model'!C15,0),"")</f>
        <v>12329</v>
      </c>
      <c r="E7" s="37">
        <f>IFERROR(ROUND(('DCF Model'!C45/(1+$B7)^('DCF Model'!C19+0)+'DCF Model'!D45/(1+$B7)^('DCF Model'!C19+1)+'DCF Model'!E45/(1+$B7)^('DCF Model'!C19+2)+'DCF Model'!F45/(1+$B7)^('DCF Model'!C19+3)+'DCF Model'!G45/(1+$B7)^('DCF Model'!C19+4)+'DCF Model'!G45*(1+E$6)/($B7-E$6)/(1+$B7)^('DCF Model'!C19+4)-'DCF Model'!C16)*1000000/'DCF Model'!C15,0),"")</f>
        <v>12563</v>
      </c>
      <c r="F7" s="37">
        <f>IFERROR(ROUND(('DCF Model'!C45/(1+$B7)^('DCF Model'!C19+0)+'DCF Model'!D45/(1+$B7)^('DCF Model'!C19+1)+'DCF Model'!E45/(1+$B7)^('DCF Model'!C19+2)+'DCF Model'!F45/(1+$B7)^('DCF Model'!C19+3)+'DCF Model'!G45/(1+$B7)^('DCF Model'!C19+4)+'DCF Model'!G45*(1+F$6)/($B7-F$6)/(1+$B7)^('DCF Model'!C19+4)-'DCF Model'!C16)*1000000/'DCF Model'!C15,0),"")</f>
        <v>12810</v>
      </c>
      <c r="G7" s="37">
        <f>IFERROR(ROUND(('DCF Model'!C45/(1+$B7)^('DCF Model'!C19+0)+'DCF Model'!D45/(1+$B7)^('DCF Model'!C19+1)+'DCF Model'!E45/(1+$B7)^('DCF Model'!C19+2)+'DCF Model'!F45/(1+$B7)^('DCF Model'!C19+3)+'DCF Model'!G45/(1+$B7)^('DCF Model'!C19+4)+'DCF Model'!G45*(1+G$6)/($B7-G$6)/(1+$B7)^('DCF Model'!C19+4)-'DCF Model'!C16)*1000000/'DCF Model'!C15,0),"")</f>
        <v>13071</v>
      </c>
      <c r="H7" s="37">
        <f>IFERROR(ROUND(('DCF Model'!C45/(1+$B7)^('DCF Model'!C19+0)+'DCF Model'!D45/(1+$B7)^('DCF Model'!C19+1)+'DCF Model'!E45/(1+$B7)^('DCF Model'!C19+2)+'DCF Model'!F45/(1+$B7)^('DCF Model'!C19+3)+'DCF Model'!G45/(1+$B7)^('DCF Model'!C19+4)+'DCF Model'!G45*(1+H$6)/($B7-H$6)/(1+$B7)^('DCF Model'!C19+4)-'DCF Model'!C16)*1000000/'DCF Model'!C15,0),"")</f>
        <v>13347</v>
      </c>
      <c r="I7" s="37">
        <f>IFERROR(ROUND(('DCF Model'!C45/(1+$B7)^('DCF Model'!C19+0)+'DCF Model'!D45/(1+$B7)^('DCF Model'!C19+1)+'DCF Model'!E45/(1+$B7)^('DCF Model'!C19+2)+'DCF Model'!F45/(1+$B7)^('DCF Model'!C19+3)+'DCF Model'!G45/(1+$B7)^('DCF Model'!C19+4)+'DCF Model'!G45*(1+I$6)/($B7-I$6)/(1+$B7)^('DCF Model'!C19+4)-'DCF Model'!C16)*1000000/'DCF Model'!C15,0),"")</f>
        <v>13640</v>
      </c>
    </row>
    <row r="8" spans="2:9" ht="13.5" customHeight="1" x14ac:dyDescent="0.25">
      <c r="B8" s="39">
        <f>$C$3-0.01</f>
        <v>0.10513900000000001</v>
      </c>
      <c r="C8" s="37">
        <f>IFERROR(ROUND(('DCF Model'!C45/(1+$B8)^('DCF Model'!C19+0)+'DCF Model'!D45/(1+$B8)^('DCF Model'!C19+1)+'DCF Model'!E45/(1+$B8)^('DCF Model'!C19+2)+'DCF Model'!F45/(1+$B8)^('DCF Model'!C19+3)+'DCF Model'!G45/(1+$B8)^('DCF Model'!C19+4)+'DCF Model'!G45*(1+C$6)/($B8-C$6)/(1+$B8)^('DCF Model'!C19+4)-'DCF Model'!C16)*1000000/'DCF Model'!C15,0),"")</f>
        <v>11519</v>
      </c>
      <c r="D8" s="37">
        <f>IFERROR(ROUND(('DCF Model'!C45/(1+$B8)^('DCF Model'!C19+0)+'DCF Model'!D45/(1+$B8)^('DCF Model'!C19+1)+'DCF Model'!E45/(1+$B8)^('DCF Model'!C19+2)+'DCF Model'!F45/(1+$B8)^('DCF Model'!C19+3)+'DCF Model'!G45/(1+$B8)^('DCF Model'!C19+4)+'DCF Model'!G45*(1+D$6)/($B8-D$6)/(1+$B8)^('DCF Model'!C19+4)-'DCF Model'!C16)*1000000/'DCF Model'!C15,0),"")</f>
        <v>11716</v>
      </c>
      <c r="E8" s="37">
        <f>IFERROR(ROUND(('DCF Model'!C45/(1+$B8)^('DCF Model'!C19+0)+'DCF Model'!D45/(1+$B8)^('DCF Model'!C19+1)+'DCF Model'!E45/(1+$B8)^('DCF Model'!C19+2)+'DCF Model'!F45/(1+$B8)^('DCF Model'!C19+3)+'DCF Model'!G45/(1+$B8)^('DCF Model'!C19+4)+'DCF Model'!G45*(1+E$6)/($B8-E$6)/(1+$B8)^('DCF Model'!C19+4)-'DCF Model'!C16)*1000000/'DCF Model'!C15,0),"")</f>
        <v>11923</v>
      </c>
      <c r="F8" s="37">
        <f>IFERROR(ROUND(('DCF Model'!C45/(1+$B8)^('DCF Model'!C19+0)+'DCF Model'!D45/(1+$B8)^('DCF Model'!C19+1)+'DCF Model'!E45/(1+$B8)^('DCF Model'!C19+2)+'DCF Model'!F45/(1+$B8)^('DCF Model'!C19+3)+'DCF Model'!G45/(1+$B8)^('DCF Model'!C19+4)+'DCF Model'!G45*(1+F$6)/($B8-F$6)/(1+$B8)^('DCF Model'!C19+4)-'DCF Model'!C16)*1000000/'DCF Model'!C15,0),"")</f>
        <v>12141</v>
      </c>
      <c r="G8" s="37">
        <f>IFERROR(ROUND(('DCF Model'!C45/(1+$B8)^('DCF Model'!C19+0)+'DCF Model'!D45/(1+$B8)^('DCF Model'!C19+1)+'DCF Model'!E45/(1+$B8)^('DCF Model'!C19+2)+'DCF Model'!F45/(1+$B8)^('DCF Model'!C19+3)+'DCF Model'!G45/(1+$B8)^('DCF Model'!C19+4)+'DCF Model'!G45*(1+G$6)/($B8-G$6)/(1+$B8)^('DCF Model'!C19+4)-'DCF Model'!C16)*1000000/'DCF Model'!C15,0),"")</f>
        <v>12371</v>
      </c>
      <c r="H8" s="37">
        <f>IFERROR(ROUND(('DCF Model'!C45/(1+$B8)^('DCF Model'!C19+0)+'DCF Model'!D45/(1+$B8)^('DCF Model'!C19+1)+'DCF Model'!E45/(1+$B8)^('DCF Model'!C19+2)+'DCF Model'!F45/(1+$B8)^('DCF Model'!C19+3)+'DCF Model'!G45/(1+$B8)^('DCF Model'!C19+4)+'DCF Model'!G45*(1+H$6)/($B8-H$6)/(1+$B8)^('DCF Model'!C19+4)-'DCF Model'!C16)*1000000/'DCF Model'!C15,0),"")</f>
        <v>12614</v>
      </c>
      <c r="I8" s="37">
        <f>IFERROR(ROUND(('DCF Model'!C45/(1+$B8)^('DCF Model'!C19+0)+'DCF Model'!D45/(1+$B8)^('DCF Model'!C19+1)+'DCF Model'!E45/(1+$B8)^('DCF Model'!C19+2)+'DCF Model'!F45/(1+$B8)^('DCF Model'!C19+3)+'DCF Model'!G45/(1+$B8)^('DCF Model'!C19+4)+'DCF Model'!G45*(1+I$6)/($B8-I$6)/(1+$B8)^('DCF Model'!C19+4)-'DCF Model'!C16)*1000000/'DCF Model'!C15,0),"")</f>
        <v>12870</v>
      </c>
    </row>
    <row r="9" spans="2:9" ht="13.5" customHeight="1" x14ac:dyDescent="0.25">
      <c r="B9" s="39">
        <f>$C$3-0.005</f>
        <v>0.110139</v>
      </c>
      <c r="C9" s="37">
        <f>IFERROR(ROUND(('DCF Model'!C45/(1+$B9)^('DCF Model'!C19+0)+'DCF Model'!D45/(1+$B9)^('DCF Model'!C19+1)+'DCF Model'!E45/(1+$B9)^('DCF Model'!C19+2)+'DCF Model'!F45/(1+$B9)^('DCF Model'!C19+3)+'DCF Model'!G45/(1+$B9)^('DCF Model'!C19+4)+'DCF Model'!G45*(1+C$6)/($B9-C$6)/(1+$B9)^('DCF Model'!C19+4)-'DCF Model'!C16)*1000000/'DCF Model'!C15,0),"")</f>
        <v>10987</v>
      </c>
      <c r="D9" s="37">
        <f>IFERROR(ROUND(('DCF Model'!C45/(1+$B9)^('DCF Model'!C19+0)+'DCF Model'!D45/(1+$B9)^('DCF Model'!C19+1)+'DCF Model'!E45/(1+$B9)^('DCF Model'!C19+2)+'DCF Model'!F45/(1+$B9)^('DCF Model'!C19+3)+'DCF Model'!G45/(1+$B9)^('DCF Model'!C19+4)+'DCF Model'!G45*(1+D$6)/($B9-D$6)/(1+$B9)^('DCF Model'!C19+4)-'DCF Model'!C16)*1000000/'DCF Model'!C15,0),"")</f>
        <v>11162</v>
      </c>
      <c r="E9" s="37">
        <f>IFERROR(ROUND(('DCF Model'!C45/(1+$B9)^('DCF Model'!C19+0)+'DCF Model'!D45/(1+$B9)^('DCF Model'!C19+1)+'DCF Model'!E45/(1+$B9)^('DCF Model'!C19+2)+'DCF Model'!F45/(1+$B9)^('DCF Model'!C19+3)+'DCF Model'!G45/(1+$B9)^('DCF Model'!C19+4)+'DCF Model'!G45*(1+E$6)/($B9-E$6)/(1+$B9)^('DCF Model'!C19+4)-'DCF Model'!C16)*1000000/'DCF Model'!C15,0),"")</f>
        <v>11347</v>
      </c>
      <c r="F9" s="37">
        <f>IFERROR(ROUND(('DCF Model'!C45/(1+$B9)^('DCF Model'!C19+0)+'DCF Model'!D45/(1+$B9)^('DCF Model'!C19+1)+'DCF Model'!E45/(1+$B9)^('DCF Model'!C19+2)+'DCF Model'!F45/(1+$B9)^('DCF Model'!C19+3)+'DCF Model'!G45/(1+$B9)^('DCF Model'!C19+4)+'DCF Model'!G45*(1+F$6)/($B9-F$6)/(1+$B9)^('DCF Model'!C19+4)-'DCF Model'!C16)*1000000/'DCF Model'!C15,0),"")</f>
        <v>11540</v>
      </c>
      <c r="G9" s="37">
        <f>IFERROR(ROUND(('DCF Model'!C45/(1+$B9)^('DCF Model'!C19+0)+'DCF Model'!D45/(1+$B9)^('DCF Model'!C19+1)+'DCF Model'!E45/(1+$B9)^('DCF Model'!C19+2)+'DCF Model'!F45/(1+$B9)^('DCF Model'!C19+3)+'DCF Model'!G45/(1+$B9)^('DCF Model'!C19+4)+'DCF Model'!G45*(1+G$6)/($B9-G$6)/(1+$B9)^('DCF Model'!C19+4)-'DCF Model'!C16)*1000000/'DCF Model'!C15,0),"")</f>
        <v>11744</v>
      </c>
      <c r="H9" s="37">
        <f>IFERROR(ROUND(('DCF Model'!C45/(1+$B9)^('DCF Model'!C19+0)+'DCF Model'!D45/(1+$B9)^('DCF Model'!C19+1)+'DCF Model'!E45/(1+$B9)^('DCF Model'!C19+2)+'DCF Model'!F45/(1+$B9)^('DCF Model'!C19+3)+'DCF Model'!G45/(1+$B9)^('DCF Model'!C19+4)+'DCF Model'!G45*(1+H$6)/($B9-H$6)/(1+$B9)^('DCF Model'!C19+4)-'DCF Model'!C16)*1000000/'DCF Model'!C15,0),"")</f>
        <v>11958</v>
      </c>
      <c r="I9" s="37">
        <f>IFERROR(ROUND(('DCF Model'!C45/(1+$B9)^('DCF Model'!C19+0)+'DCF Model'!D45/(1+$B9)^('DCF Model'!C19+1)+'DCF Model'!E45/(1+$B9)^('DCF Model'!C19+2)+'DCF Model'!F45/(1+$B9)^('DCF Model'!C19+3)+'DCF Model'!G45/(1+$B9)^('DCF Model'!C19+4)+'DCF Model'!G45*(1+I$6)/($B9-I$6)/(1+$B9)^('DCF Model'!C19+4)-'DCF Model'!C16)*1000000/'DCF Model'!C15,0),"")</f>
        <v>12183</v>
      </c>
    </row>
    <row r="10" spans="2:9" ht="13.5" customHeight="1" x14ac:dyDescent="0.25">
      <c r="B10" s="39">
        <f>$C$3</f>
        <v>0.11513900000000001</v>
      </c>
      <c r="C10" s="37">
        <f>IFERROR(ROUND(('DCF Model'!C45/(1+$B10)^('DCF Model'!C19+0)+'DCF Model'!D45/(1+$B10)^('DCF Model'!C19+1)+'DCF Model'!E45/(1+$B10)^('DCF Model'!C19+2)+'DCF Model'!F45/(1+$B10)^('DCF Model'!C19+3)+'DCF Model'!G45/(1+$B10)^('DCF Model'!C19+4)+'DCF Model'!G45*(1+C$6)/($B10-C$6)/(1+$B10)^('DCF Model'!C19+4)-'DCF Model'!C16)*1000000/'DCF Model'!C15,0),"")</f>
        <v>10502</v>
      </c>
      <c r="D10" s="37">
        <f>IFERROR(ROUND(('DCF Model'!C45/(1+$B10)^('DCF Model'!C19+0)+'DCF Model'!D45/(1+$B10)^('DCF Model'!C19+1)+'DCF Model'!E45/(1+$B10)^('DCF Model'!C19+2)+'DCF Model'!F45/(1+$B10)^('DCF Model'!C19+3)+'DCF Model'!G45/(1+$B10)^('DCF Model'!C19+4)+'DCF Model'!G45*(1+D$6)/($B10-D$6)/(1+$B10)^('DCF Model'!C19+4)-'DCF Model'!C16)*1000000/'DCF Model'!C15,0),"")</f>
        <v>10659</v>
      </c>
      <c r="E10" s="37">
        <f>IFERROR(ROUND(('DCF Model'!C45/(1+$B10)^('DCF Model'!C19+0)+'DCF Model'!D45/(1+$B10)^('DCF Model'!C19+1)+'DCF Model'!E45/(1+$B10)^('DCF Model'!C19+2)+'DCF Model'!F45/(1+$B10)^('DCF Model'!C19+3)+'DCF Model'!G45/(1+$B10)^('DCF Model'!C19+4)+'DCF Model'!G45*(1+E$6)/($B10-E$6)/(1+$B10)^('DCF Model'!C19+4)-'DCF Model'!C16)*1000000/'DCF Model'!C15,0),"")</f>
        <v>10824</v>
      </c>
      <c r="F10" s="37">
        <f>IFERROR(ROUND(('DCF Model'!C45/(1+$B10)^('DCF Model'!C19+0)+'DCF Model'!D45/(1+$B10)^('DCF Model'!C19+1)+'DCF Model'!E45/(1+$B10)^('DCF Model'!C19+2)+'DCF Model'!F45/(1+$B10)^('DCF Model'!C19+3)+'DCF Model'!G45/(1+$B10)^('DCF Model'!C19+4)+'DCF Model'!G45*(1+F$6)/($B10-F$6)/(1+$B10)^('DCF Model'!C19+4)-'DCF Model'!C16)*1000000/'DCF Model'!C15,0),"")</f>
        <v>10997</v>
      </c>
      <c r="G10" s="37">
        <f>IFERROR(ROUND(('DCF Model'!C45/(1+$B10)^('DCF Model'!C19+0)+'DCF Model'!D45/(1+$B10)^('DCF Model'!C19+1)+'DCF Model'!E45/(1+$B10)^('DCF Model'!C19+2)+'DCF Model'!F45/(1+$B10)^('DCF Model'!C19+3)+'DCF Model'!G45/(1+$B10)^('DCF Model'!C19+4)+'DCF Model'!G45*(1+G$6)/($B10-G$6)/(1+$B10)^('DCF Model'!C19+4)-'DCF Model'!C16)*1000000/'DCF Model'!C15,0),"")</f>
        <v>11178</v>
      </c>
      <c r="H10" s="37">
        <f>IFERROR(ROUND(('DCF Model'!C45/(1+$B10)^('DCF Model'!C19+0)+'DCF Model'!D45/(1+$B10)^('DCF Model'!C19+1)+'DCF Model'!E45/(1+$B10)^('DCF Model'!C19+2)+'DCF Model'!F45/(1+$B10)^('DCF Model'!C19+3)+'DCF Model'!G45/(1+$B10)^('DCF Model'!C19+4)+'DCF Model'!G45*(1+H$6)/($B10-H$6)/(1+$B10)^('DCF Model'!C19+4)-'DCF Model'!C16)*1000000/'DCF Model'!C15,0),"")</f>
        <v>11368</v>
      </c>
      <c r="I10" s="37">
        <f>IFERROR(ROUND(('DCF Model'!C45/(1+$B10)^('DCF Model'!C19+0)+'DCF Model'!D45/(1+$B10)^('DCF Model'!C19+1)+'DCF Model'!E45/(1+$B10)^('DCF Model'!C19+2)+'DCF Model'!F45/(1+$B10)^('DCF Model'!C19+3)+'DCF Model'!G45/(1+$B10)^('DCF Model'!C19+4)+'DCF Model'!G45*(1+I$6)/($B10-I$6)/(1+$B10)^('DCF Model'!C19+4)-'DCF Model'!C16)*1000000/'DCF Model'!C15,0),"")</f>
        <v>11567</v>
      </c>
    </row>
    <row r="11" spans="2:9" ht="13.5" customHeight="1" x14ac:dyDescent="0.25">
      <c r="B11" s="39">
        <f>$C$3+0.005</f>
        <v>0.12013900000000001</v>
      </c>
      <c r="C11" s="37">
        <f>IFERROR(ROUND(('DCF Model'!C45/(1+$B11)^('DCF Model'!C19+0)+'DCF Model'!D45/(1+$B11)^('DCF Model'!C19+1)+'DCF Model'!E45/(1+$B11)^('DCF Model'!C19+2)+'DCF Model'!F45/(1+$B11)^('DCF Model'!C19+3)+'DCF Model'!G45/(1+$B11)^('DCF Model'!C19+4)+'DCF Model'!G45*(1+C$6)/($B11-C$6)/(1+$B11)^('DCF Model'!C19+4)-'DCF Model'!C16)*1000000/'DCF Model'!C15,0),"")</f>
        <v>10059</v>
      </c>
      <c r="D11" s="37">
        <f>IFERROR(ROUND(('DCF Model'!C45/(1+$B11)^('DCF Model'!C19+0)+'DCF Model'!D45/(1+$B11)^('DCF Model'!C19+1)+'DCF Model'!E45/(1+$B11)^('DCF Model'!C19+2)+'DCF Model'!F45/(1+$B11)^('DCF Model'!C19+3)+'DCF Model'!G45/(1+$B11)^('DCF Model'!C19+4)+'DCF Model'!G45*(1+D$6)/($B11-D$6)/(1+$B11)^('DCF Model'!C19+4)-'DCF Model'!C16)*1000000/'DCF Model'!C15,0),"")</f>
        <v>10201</v>
      </c>
      <c r="E11" s="37">
        <f>IFERROR(ROUND(('DCF Model'!C45/(1+$B11)^('DCF Model'!C19+0)+'DCF Model'!D45/(1+$B11)^('DCF Model'!C19+1)+'DCF Model'!E45/(1+$B11)^('DCF Model'!C19+2)+'DCF Model'!F45/(1+$B11)^('DCF Model'!C19+3)+'DCF Model'!G45/(1+$B11)^('DCF Model'!C19+4)+'DCF Model'!G45*(1+E$6)/($B11-E$6)/(1+$B11)^('DCF Model'!C19+4)-'DCF Model'!C16)*1000000/'DCF Model'!C15,0),"")</f>
        <v>10349</v>
      </c>
      <c r="F11" s="37">
        <f>IFERROR(ROUND(('DCF Model'!C45/(1+$B11)^('DCF Model'!C19+0)+'DCF Model'!D45/(1+$B11)^('DCF Model'!C19+1)+'DCF Model'!E45/(1+$B11)^('DCF Model'!C19+2)+'DCF Model'!F45/(1+$B11)^('DCF Model'!C19+3)+'DCF Model'!G45/(1+$B11)^('DCF Model'!C19+4)+'DCF Model'!G45*(1+F$6)/($B11-F$6)/(1+$B11)^('DCF Model'!C19+4)-'DCF Model'!C16)*1000000/'DCF Model'!C15,0),"")</f>
        <v>10503</v>
      </c>
      <c r="G11" s="37">
        <f>IFERROR(ROUND(('DCF Model'!C45/(1+$B11)^('DCF Model'!C19+0)+'DCF Model'!D45/(1+$B11)^('DCF Model'!C19+1)+'DCF Model'!E45/(1+$B11)^('DCF Model'!C19+2)+'DCF Model'!F45/(1+$B11)^('DCF Model'!C19+3)+'DCF Model'!G45/(1+$B11)^('DCF Model'!C19+4)+'DCF Model'!G45*(1+G$6)/($B11-G$6)/(1+$B11)^('DCF Model'!C19+4)-'DCF Model'!C16)*1000000/'DCF Model'!C15,0),"")</f>
        <v>10665</v>
      </c>
      <c r="H11" s="37">
        <f>IFERROR(ROUND(('DCF Model'!C45/(1+$B11)^('DCF Model'!C19+0)+'DCF Model'!D45/(1+$B11)^('DCF Model'!C19+1)+'DCF Model'!E45/(1+$B11)^('DCF Model'!C19+2)+'DCF Model'!F45/(1+$B11)^('DCF Model'!C19+3)+'DCF Model'!G45/(1+$B11)^('DCF Model'!C19+4)+'DCF Model'!G45*(1+H$6)/($B11-H$6)/(1+$B11)^('DCF Model'!C19+4)-'DCF Model'!C16)*1000000/'DCF Model'!C15,0),"")</f>
        <v>10835</v>
      </c>
      <c r="I11" s="37">
        <f>IFERROR(ROUND(('DCF Model'!C45/(1+$B11)^('DCF Model'!C19+0)+'DCF Model'!D45/(1+$B11)^('DCF Model'!C19+1)+'DCF Model'!E45/(1+$B11)^('DCF Model'!C19+2)+'DCF Model'!F45/(1+$B11)^('DCF Model'!C19+3)+'DCF Model'!G45/(1+$B11)^('DCF Model'!C19+4)+'DCF Model'!G45*(1+I$6)/($B11-I$6)/(1+$B11)^('DCF Model'!C19+4)-'DCF Model'!C16)*1000000/'DCF Model'!C15,0),"")</f>
        <v>11012</v>
      </c>
    </row>
    <row r="12" spans="2:9" ht="13.5" customHeight="1" x14ac:dyDescent="0.25">
      <c r="B12" s="39">
        <f>$C$3+0.01</f>
        <v>0.125139</v>
      </c>
      <c r="C12" s="37">
        <f>IFERROR(ROUND(('DCF Model'!C45/(1+$B12)^('DCF Model'!C19+0)+'DCF Model'!D45/(1+$B12)^('DCF Model'!C19+1)+'DCF Model'!E45/(1+$B12)^('DCF Model'!C19+2)+'DCF Model'!F45/(1+$B12)^('DCF Model'!C19+3)+'DCF Model'!G45/(1+$B12)^('DCF Model'!C19+4)+'DCF Model'!G45*(1+C$6)/($B12-C$6)/(1+$B12)^('DCF Model'!C19+4)-'DCF Model'!C16)*1000000/'DCF Model'!C15,0),"")</f>
        <v>9653</v>
      </c>
      <c r="D12" s="37">
        <f>IFERROR(ROUND(('DCF Model'!C45/(1+$B12)^('DCF Model'!C19+0)+'DCF Model'!D45/(1+$B12)^('DCF Model'!C19+1)+'DCF Model'!E45/(1+$B12)^('DCF Model'!C19+2)+'DCF Model'!F45/(1+$B12)^('DCF Model'!C19+3)+'DCF Model'!G45/(1+$B12)^('DCF Model'!C19+4)+'DCF Model'!G45*(1+D$6)/($B12-D$6)/(1+$B12)^('DCF Model'!C19+4)-'DCF Model'!C16)*1000000/'DCF Model'!C15,0),"")</f>
        <v>9781</v>
      </c>
      <c r="E12" s="37">
        <f>IFERROR(ROUND(('DCF Model'!C45/(1+$B12)^('DCF Model'!C19+0)+'DCF Model'!D45/(1+$B12)^('DCF Model'!C19+1)+'DCF Model'!E45/(1+$B12)^('DCF Model'!C19+2)+'DCF Model'!F45/(1+$B12)^('DCF Model'!C19+3)+'DCF Model'!G45/(1+$B12)^('DCF Model'!C19+4)+'DCF Model'!G45*(1+E$6)/($B12-E$6)/(1+$B12)^('DCF Model'!C19+4)-'DCF Model'!C16)*1000000/'DCF Model'!C15,0),"")</f>
        <v>9914</v>
      </c>
      <c r="F12" s="37">
        <f>IFERROR(ROUND(('DCF Model'!C45/(1+$B12)^('DCF Model'!C19+0)+'DCF Model'!D45/(1+$B12)^('DCF Model'!C19+1)+'DCF Model'!E45/(1+$B12)^('DCF Model'!C19+2)+'DCF Model'!F45/(1+$B12)^('DCF Model'!C19+3)+'DCF Model'!G45/(1+$B12)^('DCF Model'!C19+4)+'DCF Model'!G45*(1+F$6)/($B12-F$6)/(1+$B12)^('DCF Model'!C19+4)-'DCF Model'!C16)*1000000/'DCF Model'!C15,0),"")</f>
        <v>10053</v>
      </c>
      <c r="G12" s="37">
        <f>IFERROR(ROUND(('DCF Model'!C45/(1+$B12)^('DCF Model'!C19+0)+'DCF Model'!D45/(1+$B12)^('DCF Model'!C19+1)+'DCF Model'!E45/(1+$B12)^('DCF Model'!C19+2)+'DCF Model'!F45/(1+$B12)^('DCF Model'!C19+3)+'DCF Model'!G45/(1+$B12)^('DCF Model'!C19+4)+'DCF Model'!G45*(1+G$6)/($B12-G$6)/(1+$B12)^('DCF Model'!C19+4)-'DCF Model'!C16)*1000000/'DCF Model'!C15,0),"")</f>
        <v>10199</v>
      </c>
      <c r="H12" s="37">
        <f>IFERROR(ROUND(('DCF Model'!C45/(1+$B12)^('DCF Model'!C19+0)+'DCF Model'!D45/(1+$B12)^('DCF Model'!C19+1)+'DCF Model'!E45/(1+$B12)^('DCF Model'!C19+2)+'DCF Model'!F45/(1+$B12)^('DCF Model'!C19+3)+'DCF Model'!G45/(1+$B12)^('DCF Model'!C19+4)+'DCF Model'!G45*(1+H$6)/($B12-H$6)/(1+$B12)^('DCF Model'!C19+4)-'DCF Model'!C16)*1000000/'DCF Model'!C15,0),"")</f>
        <v>10350</v>
      </c>
      <c r="I12" s="37">
        <f>IFERROR(ROUND(('DCF Model'!C45/(1+$B12)^('DCF Model'!C19+0)+'DCF Model'!D45/(1+$B12)^('DCF Model'!C19+1)+'DCF Model'!E45/(1+$B12)^('DCF Model'!C19+2)+'DCF Model'!F45/(1+$B12)^('DCF Model'!C19+3)+'DCF Model'!G45/(1+$B12)^('DCF Model'!C19+4)+'DCF Model'!G45*(1+I$6)/($B12-I$6)/(1+$B12)^('DCF Model'!C19+4)-'DCF Model'!C16)*1000000/'DCF Model'!C15,0),"")</f>
        <v>10509</v>
      </c>
    </row>
    <row r="13" spans="2:9" ht="13.5" customHeight="1" x14ac:dyDescent="0.25">
      <c r="B13" s="39">
        <f>$C$3+0.015</f>
        <v>0.130139</v>
      </c>
      <c r="C13" s="37">
        <f>IFERROR(ROUND(('DCF Model'!C45/(1+$B13)^('DCF Model'!C19+0)+'DCF Model'!D45/(1+$B13)^('DCF Model'!C19+1)+'DCF Model'!E45/(1+$B13)^('DCF Model'!C19+2)+'DCF Model'!F45/(1+$B13)^('DCF Model'!C19+3)+'DCF Model'!G45/(1+$B13)^('DCF Model'!C19+4)+'DCF Model'!G45*(1+C$6)/($B13-C$6)/(1+$B13)^('DCF Model'!C19+4)-'DCF Model'!C16)*1000000/'DCF Model'!C15,0),"")</f>
        <v>9279</v>
      </c>
      <c r="D13" s="37">
        <f>IFERROR(ROUND(('DCF Model'!C45/(1+$B13)^('DCF Model'!C19+0)+'DCF Model'!D45/(1+$B13)^('DCF Model'!C19+1)+'DCF Model'!E45/(1+$B13)^('DCF Model'!C19+2)+'DCF Model'!F45/(1+$B13)^('DCF Model'!C19+3)+'DCF Model'!G45/(1+$B13)^('DCF Model'!C19+4)+'DCF Model'!G45*(1+D$6)/($B13-D$6)/(1+$B13)^('DCF Model'!C19+4)-'DCF Model'!C16)*1000000/'DCF Model'!C15,0),"")</f>
        <v>9395</v>
      </c>
      <c r="E13" s="37">
        <f>IFERROR(ROUND(('DCF Model'!C45/(1+$B13)^('DCF Model'!C19+0)+'DCF Model'!D45/(1+$B13)^('DCF Model'!C19+1)+'DCF Model'!E45/(1+$B13)^('DCF Model'!C19+2)+'DCF Model'!F45/(1+$B13)^('DCF Model'!C19+3)+'DCF Model'!G45/(1+$B13)^('DCF Model'!C19+4)+'DCF Model'!G45*(1+E$6)/($B13-E$6)/(1+$B13)^('DCF Model'!C19+4)-'DCF Model'!C16)*1000000/'DCF Model'!C15,0),"")</f>
        <v>9516</v>
      </c>
      <c r="F13" s="37">
        <f>IFERROR(ROUND(('DCF Model'!C45/(1+$B13)^('DCF Model'!C19+0)+'DCF Model'!D45/(1+$B13)^('DCF Model'!C19+1)+'DCF Model'!E45/(1+$B13)^('DCF Model'!C19+2)+'DCF Model'!F45/(1+$B13)^('DCF Model'!C19+3)+'DCF Model'!G45/(1+$B13)^('DCF Model'!C19+4)+'DCF Model'!G45*(1+F$6)/($B13-F$6)/(1+$B13)^('DCF Model'!C19+4)-'DCF Model'!C16)*1000000/'DCF Model'!C15,0),"")</f>
        <v>9641</v>
      </c>
      <c r="G13" s="37">
        <f>IFERROR(ROUND(('DCF Model'!C45/(1+$B13)^('DCF Model'!C19+0)+'DCF Model'!D45/(1+$B13)^('DCF Model'!C19+1)+'DCF Model'!E45/(1+$B13)^('DCF Model'!C19+2)+'DCF Model'!F45/(1+$B13)^('DCF Model'!C19+3)+'DCF Model'!G45/(1+$B13)^('DCF Model'!C19+4)+'DCF Model'!G45*(1+G$6)/($B13-G$6)/(1+$B13)^('DCF Model'!C19+4)-'DCF Model'!C16)*1000000/'DCF Model'!C15,0),"")</f>
        <v>9772</v>
      </c>
      <c r="H13" s="37">
        <f>IFERROR(ROUND(('DCF Model'!C45/(1+$B13)^('DCF Model'!C19+0)+'DCF Model'!D45/(1+$B13)^('DCF Model'!C19+1)+'DCF Model'!E45/(1+$B13)^('DCF Model'!C19+2)+'DCF Model'!F45/(1+$B13)^('DCF Model'!C19+3)+'DCF Model'!G45/(1+$B13)^('DCF Model'!C19+4)+'DCF Model'!G45*(1+H$6)/($B13-H$6)/(1+$B13)^('DCF Model'!C19+4)-'DCF Model'!C16)*1000000/'DCF Model'!C15,0),"")</f>
        <v>9909</v>
      </c>
      <c r="I13" s="37">
        <f>IFERROR(ROUND(('DCF Model'!C45/(1+$B13)^('DCF Model'!C19+0)+'DCF Model'!D45/(1+$B13)^('DCF Model'!C19+1)+'DCF Model'!E45/(1+$B13)^('DCF Model'!C19+2)+'DCF Model'!F45/(1+$B13)^('DCF Model'!C19+3)+'DCF Model'!G45/(1+$B13)^('DCF Model'!C19+4)+'DCF Model'!G45*(1+I$6)/($B13-I$6)/(1+$B13)^('DCF Model'!C19+4)-'DCF Model'!C16)*1000000/'DCF Model'!C15,0),"")</f>
        <v>10052</v>
      </c>
    </row>
    <row r="16" spans="2:9" ht="14" customHeight="1" x14ac:dyDescent="0.3">
      <c r="B16" s="3" t="s">
        <v>235</v>
      </c>
    </row>
    <row r="17" spans="2:9" ht="14" customHeight="1" x14ac:dyDescent="0.3">
      <c r="B17" s="40" t="s">
        <v>236</v>
      </c>
      <c r="C17" s="42">
        <f>$I$3-3</f>
        <v>33.1</v>
      </c>
      <c r="D17" s="42">
        <f>$I$3-2</f>
        <v>34.1</v>
      </c>
      <c r="E17" s="42">
        <f>$I$3-1</f>
        <v>35.1</v>
      </c>
      <c r="F17" s="42">
        <f>$I$3</f>
        <v>36.1</v>
      </c>
      <c r="G17" s="42">
        <f>$I$3+1</f>
        <v>37.1</v>
      </c>
      <c r="H17" s="42">
        <f>$I$3+2</f>
        <v>38.1</v>
      </c>
      <c r="I17" s="42">
        <f>$I$3+3</f>
        <v>39.1</v>
      </c>
    </row>
    <row r="18" spans="2:9" ht="13.5" customHeight="1" x14ac:dyDescent="0.25">
      <c r="B18" s="39">
        <f>$C$3-0.015</f>
        <v>0.10013900000000001</v>
      </c>
      <c r="C18" s="37">
        <f>IFERROR(ROUND(('DCF Model'!C45/(1+$B18)^('DCF Model'!C19+0)+'DCF Model'!D45/(1+$B18)^('DCF Model'!C19+1)+'DCF Model'!E45/(1+$B18)^('DCF Model'!C19+2)+'DCF Model'!F45/(1+$B18)^('DCF Model'!C19+3)+'DCF Model'!G45/(1+$B18)^('DCF Model'!C19+4)+('DCF Model'!G39+'DCF Model'!G42)*C$17/(1+$B18)^('DCF Model'!C19+4)-'DCF Model'!C16)*1000000/'DCF Model'!C15,0),"")</f>
        <v>44294</v>
      </c>
      <c r="D18" s="37">
        <f>IFERROR(ROUND(('DCF Model'!C45/(1+$B18)^('DCF Model'!C19+0)+'DCF Model'!D45/(1+$B18)^('DCF Model'!C19+1)+'DCF Model'!E45/(1+$B18)^('DCF Model'!C19+2)+'DCF Model'!F45/(1+$B18)^('DCF Model'!C19+3)+'DCF Model'!G45/(1+$B18)^('DCF Model'!C19+4)+('DCF Model'!G39+'DCF Model'!G42)*D$17/(1+$B18)^('DCF Model'!C19+4)-'DCF Model'!C16)*1000000/'DCF Model'!C15,0),"")</f>
        <v>45499</v>
      </c>
      <c r="E18" s="37">
        <f>IFERROR(ROUND(('DCF Model'!C45/(1+$B18)^('DCF Model'!C19+0)+'DCF Model'!D45/(1+$B18)^('DCF Model'!C19+1)+'DCF Model'!E45/(1+$B18)^('DCF Model'!C19+2)+'DCF Model'!F45/(1+$B18)^('DCF Model'!C19+3)+'DCF Model'!G45/(1+$B18)^('DCF Model'!C19+4)+('DCF Model'!G39+'DCF Model'!G42)*E$17/(1+$B18)^('DCF Model'!C19+4)-'DCF Model'!C16)*1000000/'DCF Model'!C15,0),"")</f>
        <v>46704</v>
      </c>
      <c r="F18" s="37">
        <f>IFERROR(ROUND(('DCF Model'!C45/(1+$B18)^('DCF Model'!C19+0)+'DCF Model'!D45/(1+$B18)^('DCF Model'!C19+1)+'DCF Model'!E45/(1+$B18)^('DCF Model'!C19+2)+'DCF Model'!F45/(1+$B18)^('DCF Model'!C19+3)+'DCF Model'!G45/(1+$B18)^('DCF Model'!C19+4)+('DCF Model'!G39+'DCF Model'!G42)*F$17/(1+$B18)^('DCF Model'!C19+4)-'DCF Model'!C16)*1000000/'DCF Model'!C15,0),"")</f>
        <v>47909</v>
      </c>
      <c r="G18" s="37">
        <f>IFERROR(ROUND(('DCF Model'!C45/(1+$B18)^('DCF Model'!C19+0)+'DCF Model'!D45/(1+$B18)^('DCF Model'!C19+1)+'DCF Model'!E45/(1+$B18)^('DCF Model'!C19+2)+'DCF Model'!F45/(1+$B18)^('DCF Model'!C19+3)+'DCF Model'!G45/(1+$B18)^('DCF Model'!C19+4)+('DCF Model'!G39+'DCF Model'!G42)*G$17/(1+$B18)^('DCF Model'!C19+4)-'DCF Model'!C16)*1000000/'DCF Model'!C15,0),"")</f>
        <v>49114</v>
      </c>
      <c r="H18" s="37">
        <f>IFERROR(ROUND(('DCF Model'!C45/(1+$B18)^('DCF Model'!C19+0)+'DCF Model'!D45/(1+$B18)^('DCF Model'!C19+1)+'DCF Model'!E45/(1+$B18)^('DCF Model'!C19+2)+'DCF Model'!F45/(1+$B18)^('DCF Model'!C19+3)+'DCF Model'!G45/(1+$B18)^('DCF Model'!C19+4)+('DCF Model'!G39+'DCF Model'!G42)*H$17/(1+$B18)^('DCF Model'!C19+4)-'DCF Model'!C16)*1000000/'DCF Model'!C15,0),"")</f>
        <v>50319</v>
      </c>
      <c r="I18" s="37">
        <f>IFERROR(ROUND(('DCF Model'!C45/(1+$B18)^('DCF Model'!C19+0)+'DCF Model'!D45/(1+$B18)^('DCF Model'!C19+1)+'DCF Model'!E45/(1+$B18)^('DCF Model'!C19+2)+'DCF Model'!F45/(1+$B18)^('DCF Model'!C19+3)+'DCF Model'!G45/(1+$B18)^('DCF Model'!C19+4)+('DCF Model'!G39+'DCF Model'!G42)*I$17/(1+$B18)^('DCF Model'!C19+4)-'DCF Model'!C16)*1000000/'DCF Model'!C15,0),"")</f>
        <v>51524</v>
      </c>
    </row>
    <row r="19" spans="2:9" ht="13.5" customHeight="1" x14ac:dyDescent="0.25">
      <c r="B19" s="39">
        <f>$C$3-0.01</f>
        <v>0.10513900000000001</v>
      </c>
      <c r="C19" s="37">
        <f>IFERROR(ROUND(('DCF Model'!C45/(1+$B19)^('DCF Model'!C19+0)+'DCF Model'!D45/(1+$B19)^('DCF Model'!C19+1)+'DCF Model'!E45/(1+$B19)^('DCF Model'!C19+2)+'DCF Model'!F45/(1+$B19)^('DCF Model'!C19+3)+'DCF Model'!G45/(1+$B19)^('DCF Model'!C19+4)+('DCF Model'!G39+'DCF Model'!G42)*C$17/(1+$B19)^('DCF Model'!C19+4)-'DCF Model'!C16)*1000000/'DCF Model'!C15,0),"")</f>
        <v>43351</v>
      </c>
      <c r="D19" s="37">
        <f>IFERROR(ROUND(('DCF Model'!C45/(1+$B19)^('DCF Model'!C19+0)+'DCF Model'!D45/(1+$B19)^('DCF Model'!C19+1)+'DCF Model'!E45/(1+$B19)^('DCF Model'!C19+2)+'DCF Model'!F45/(1+$B19)^('DCF Model'!C19+3)+'DCF Model'!G45/(1+$B19)^('DCF Model'!C19+4)+('DCF Model'!G39+'DCF Model'!G42)*D$17/(1+$B19)^('DCF Model'!C19+4)-'DCF Model'!C16)*1000000/'DCF Model'!C15,0),"")</f>
        <v>44529</v>
      </c>
      <c r="E19" s="37">
        <f>IFERROR(ROUND(('DCF Model'!C45/(1+$B19)^('DCF Model'!C19+0)+'DCF Model'!D45/(1+$B19)^('DCF Model'!C19+1)+'DCF Model'!E45/(1+$B19)^('DCF Model'!C19+2)+'DCF Model'!F45/(1+$B19)^('DCF Model'!C19+3)+'DCF Model'!G45/(1+$B19)^('DCF Model'!C19+4)+('DCF Model'!G39+'DCF Model'!G42)*E$17/(1+$B19)^('DCF Model'!C19+4)-'DCF Model'!C16)*1000000/'DCF Model'!C15,0),"")</f>
        <v>45707</v>
      </c>
      <c r="F19" s="37">
        <f>IFERROR(ROUND(('DCF Model'!C45/(1+$B19)^('DCF Model'!C19+0)+'DCF Model'!D45/(1+$B19)^('DCF Model'!C19+1)+'DCF Model'!E45/(1+$B19)^('DCF Model'!C19+2)+'DCF Model'!F45/(1+$B19)^('DCF Model'!C19+3)+'DCF Model'!G45/(1+$B19)^('DCF Model'!C19+4)+('DCF Model'!G39+'DCF Model'!G42)*F$17/(1+$B19)^('DCF Model'!C19+4)-'DCF Model'!C16)*1000000/'DCF Model'!C15,0),"")</f>
        <v>46885</v>
      </c>
      <c r="G19" s="37">
        <f>IFERROR(ROUND(('DCF Model'!C45/(1+$B19)^('DCF Model'!C19+0)+'DCF Model'!D45/(1+$B19)^('DCF Model'!C19+1)+'DCF Model'!E45/(1+$B19)^('DCF Model'!C19+2)+'DCF Model'!F45/(1+$B19)^('DCF Model'!C19+3)+'DCF Model'!G45/(1+$B19)^('DCF Model'!C19+4)+('DCF Model'!G39+'DCF Model'!G42)*G$17/(1+$B19)^('DCF Model'!C19+4)-'DCF Model'!C16)*1000000/'DCF Model'!C15,0),"")</f>
        <v>48063</v>
      </c>
      <c r="H19" s="37">
        <f>IFERROR(ROUND(('DCF Model'!C45/(1+$B19)^('DCF Model'!C19+0)+'DCF Model'!D45/(1+$B19)^('DCF Model'!C19+1)+'DCF Model'!E45/(1+$B19)^('DCF Model'!C19+2)+'DCF Model'!F45/(1+$B19)^('DCF Model'!C19+3)+'DCF Model'!G45/(1+$B19)^('DCF Model'!C19+4)+('DCF Model'!G39+'DCF Model'!G42)*H$17/(1+$B19)^('DCF Model'!C19+4)-'DCF Model'!C16)*1000000/'DCF Model'!C15,0),"")</f>
        <v>49241</v>
      </c>
      <c r="I19" s="37">
        <f>IFERROR(ROUND(('DCF Model'!C45/(1+$B19)^('DCF Model'!C19+0)+'DCF Model'!D45/(1+$B19)^('DCF Model'!C19+1)+'DCF Model'!E45/(1+$B19)^('DCF Model'!C19+2)+'DCF Model'!F45/(1+$B19)^('DCF Model'!C19+3)+'DCF Model'!G45/(1+$B19)^('DCF Model'!C19+4)+('DCF Model'!G39+'DCF Model'!G42)*I$17/(1+$B19)^('DCF Model'!C19+4)-'DCF Model'!C16)*1000000/'DCF Model'!C15,0),"")</f>
        <v>50418</v>
      </c>
    </row>
    <row r="20" spans="2:9" ht="13.5" customHeight="1" x14ac:dyDescent="0.25">
      <c r="B20" s="39">
        <f>$C$3-0.005</f>
        <v>0.110139</v>
      </c>
      <c r="C20" s="37">
        <f>IFERROR(ROUND(('DCF Model'!C45/(1+$B20)^('DCF Model'!C19+0)+'DCF Model'!D45/(1+$B20)^('DCF Model'!C19+1)+'DCF Model'!E45/(1+$B20)^('DCF Model'!C19+2)+'DCF Model'!F45/(1+$B20)^('DCF Model'!C19+3)+'DCF Model'!G45/(1+$B20)^('DCF Model'!C19+4)+('DCF Model'!G39+'DCF Model'!G42)*C$17/(1+$B20)^('DCF Model'!C19+4)-'DCF Model'!C16)*1000000/'DCF Model'!C15,0),"")</f>
        <v>42433</v>
      </c>
      <c r="D20" s="37">
        <f>IFERROR(ROUND(('DCF Model'!C45/(1+$B20)^('DCF Model'!C19+0)+'DCF Model'!D45/(1+$B20)^('DCF Model'!C19+1)+'DCF Model'!E45/(1+$B20)^('DCF Model'!C19+2)+'DCF Model'!F45/(1+$B20)^('DCF Model'!C19+3)+'DCF Model'!G45/(1+$B20)^('DCF Model'!C19+4)+('DCF Model'!G39+'DCF Model'!G42)*D$17/(1+$B20)^('DCF Model'!C19+4)-'DCF Model'!C16)*1000000/'DCF Model'!C15,0),"")</f>
        <v>43585</v>
      </c>
      <c r="E20" s="37">
        <f>IFERROR(ROUND(('DCF Model'!C45/(1+$B20)^('DCF Model'!C19+0)+'DCF Model'!D45/(1+$B20)^('DCF Model'!C19+1)+'DCF Model'!E45/(1+$B20)^('DCF Model'!C19+2)+'DCF Model'!F45/(1+$B20)^('DCF Model'!C19+3)+'DCF Model'!G45/(1+$B20)^('DCF Model'!C19+4)+('DCF Model'!G39+'DCF Model'!G42)*E$17/(1+$B20)^('DCF Model'!C19+4)-'DCF Model'!C16)*1000000/'DCF Model'!C15,0),"")</f>
        <v>44736</v>
      </c>
      <c r="F20" s="37">
        <f>IFERROR(ROUND(('DCF Model'!C45/(1+$B20)^('DCF Model'!C19+0)+'DCF Model'!D45/(1+$B20)^('DCF Model'!C19+1)+'DCF Model'!E45/(1+$B20)^('DCF Model'!C19+2)+'DCF Model'!F45/(1+$B20)^('DCF Model'!C19+3)+'DCF Model'!G45/(1+$B20)^('DCF Model'!C19+4)+('DCF Model'!G39+'DCF Model'!G42)*F$17/(1+$B20)^('DCF Model'!C19+4)-'DCF Model'!C16)*1000000/'DCF Model'!C15,0),"")</f>
        <v>45888</v>
      </c>
      <c r="G20" s="37">
        <f>IFERROR(ROUND(('DCF Model'!C45/(1+$B20)^('DCF Model'!C19+0)+'DCF Model'!D45/(1+$B20)^('DCF Model'!C19+1)+'DCF Model'!E45/(1+$B20)^('DCF Model'!C19+2)+'DCF Model'!F45/(1+$B20)^('DCF Model'!C19+3)+'DCF Model'!G45/(1+$B20)^('DCF Model'!C19+4)+('DCF Model'!G39+'DCF Model'!G42)*G$17/(1+$B20)^('DCF Model'!C19+4)-'DCF Model'!C16)*1000000/'DCF Model'!C15,0),"")</f>
        <v>47039</v>
      </c>
      <c r="H20" s="37">
        <f>IFERROR(ROUND(('DCF Model'!C45/(1+$B20)^('DCF Model'!C19+0)+'DCF Model'!D45/(1+$B20)^('DCF Model'!C19+1)+'DCF Model'!E45/(1+$B20)^('DCF Model'!C19+2)+'DCF Model'!F45/(1+$B20)^('DCF Model'!C19+3)+'DCF Model'!G45/(1+$B20)^('DCF Model'!C19+4)+('DCF Model'!G39+'DCF Model'!G42)*H$17/(1+$B20)^('DCF Model'!C19+4)-'DCF Model'!C16)*1000000/'DCF Model'!C15,0),"")</f>
        <v>48191</v>
      </c>
      <c r="I20" s="37">
        <f>IFERROR(ROUND(('DCF Model'!C45/(1+$B20)^('DCF Model'!C19+0)+'DCF Model'!D45/(1+$B20)^('DCF Model'!C19+1)+'DCF Model'!E45/(1+$B20)^('DCF Model'!C19+2)+'DCF Model'!F45/(1+$B20)^('DCF Model'!C19+3)+'DCF Model'!G45/(1+$B20)^('DCF Model'!C19+4)+('DCF Model'!G39+'DCF Model'!G42)*I$17/(1+$B20)^('DCF Model'!C19+4)-'DCF Model'!C16)*1000000/'DCF Model'!C15,0),"")</f>
        <v>49343</v>
      </c>
    </row>
    <row r="21" spans="2:9" ht="13.5" customHeight="1" x14ac:dyDescent="0.25">
      <c r="B21" s="39">
        <f>$C$3</f>
        <v>0.11513900000000001</v>
      </c>
      <c r="C21" s="37">
        <f>IFERROR(ROUND(('DCF Model'!C45/(1+$B21)^('DCF Model'!C19+0)+'DCF Model'!D45/(1+$B21)^('DCF Model'!C19+1)+'DCF Model'!E45/(1+$B21)^('DCF Model'!C19+2)+'DCF Model'!F45/(1+$B21)^('DCF Model'!C19+3)+'DCF Model'!G45/(1+$B21)^('DCF Model'!C19+4)+('DCF Model'!G39+'DCF Model'!G42)*C$17/(1+$B21)^('DCF Model'!C19+4)-'DCF Model'!C16)*1000000/'DCF Model'!C15,0),"")</f>
        <v>41539</v>
      </c>
      <c r="D21" s="37">
        <f>IFERROR(ROUND(('DCF Model'!C45/(1+$B21)^('DCF Model'!C19+0)+'DCF Model'!D45/(1+$B21)^('DCF Model'!C19+1)+'DCF Model'!E45/(1+$B21)^('DCF Model'!C19+2)+'DCF Model'!F45/(1+$B21)^('DCF Model'!C19+3)+'DCF Model'!G45/(1+$B21)^('DCF Model'!C19+4)+('DCF Model'!G39+'DCF Model'!G42)*D$17/(1+$B21)^('DCF Model'!C19+4)-'DCF Model'!C16)*1000000/'DCF Model'!C15,0),"")</f>
        <v>42665</v>
      </c>
      <c r="E21" s="37">
        <f>IFERROR(ROUND(('DCF Model'!C45/(1+$B21)^('DCF Model'!C19+0)+'DCF Model'!D45/(1+$B21)^('DCF Model'!C19+1)+'DCF Model'!E45/(1+$B21)^('DCF Model'!C19+2)+'DCF Model'!F45/(1+$B21)^('DCF Model'!C19+3)+'DCF Model'!G45/(1+$B21)^('DCF Model'!C19+4)+('DCF Model'!G39+'DCF Model'!G42)*E$17/(1+$B21)^('DCF Model'!C19+4)-'DCF Model'!C16)*1000000/'DCF Model'!C15,0),"")</f>
        <v>43791</v>
      </c>
      <c r="F21" s="37">
        <f>IFERROR(ROUND(('DCF Model'!C45/(1+$B21)^('DCF Model'!C19+0)+'DCF Model'!D45/(1+$B21)^('DCF Model'!C19+1)+'DCF Model'!E45/(1+$B21)^('DCF Model'!C19+2)+'DCF Model'!F45/(1+$B21)^('DCF Model'!C19+3)+'DCF Model'!G45/(1+$B21)^('DCF Model'!C19+4)+('DCF Model'!G39+'DCF Model'!G42)*F$17/(1+$B21)^('DCF Model'!C19+4)-'DCF Model'!C16)*1000000/'DCF Model'!C15,0),"")</f>
        <v>44917</v>
      </c>
      <c r="G21" s="37">
        <f>IFERROR(ROUND(('DCF Model'!C45/(1+$B21)^('DCF Model'!C19+0)+'DCF Model'!D45/(1+$B21)^('DCF Model'!C19+1)+'DCF Model'!E45/(1+$B21)^('DCF Model'!C19+2)+'DCF Model'!F45/(1+$B21)^('DCF Model'!C19+3)+'DCF Model'!G45/(1+$B21)^('DCF Model'!C19+4)+('DCF Model'!G39+'DCF Model'!G42)*G$17/(1+$B21)^('DCF Model'!C19+4)-'DCF Model'!C16)*1000000/'DCF Model'!C15,0),"")</f>
        <v>46043</v>
      </c>
      <c r="H21" s="37">
        <f>IFERROR(ROUND(('DCF Model'!C45/(1+$B21)^('DCF Model'!C19+0)+'DCF Model'!D45/(1+$B21)^('DCF Model'!C19+1)+'DCF Model'!E45/(1+$B21)^('DCF Model'!C19+2)+'DCF Model'!F45/(1+$B21)^('DCF Model'!C19+3)+'DCF Model'!G45/(1+$B21)^('DCF Model'!C19+4)+('DCF Model'!G39+'DCF Model'!G42)*H$17/(1+$B21)^('DCF Model'!C19+4)-'DCF Model'!C16)*1000000/'DCF Model'!C15,0),"")</f>
        <v>47169</v>
      </c>
      <c r="I21" s="37">
        <f>IFERROR(ROUND(('DCF Model'!C45/(1+$B21)^('DCF Model'!C19+0)+'DCF Model'!D45/(1+$B21)^('DCF Model'!C19+1)+'DCF Model'!E45/(1+$B21)^('DCF Model'!C19+2)+'DCF Model'!F45/(1+$B21)^('DCF Model'!C19+3)+'DCF Model'!G45/(1+$B21)^('DCF Model'!C19+4)+('DCF Model'!G39+'DCF Model'!G42)*I$17/(1+$B21)^('DCF Model'!C19+4)-'DCF Model'!C16)*1000000/'DCF Model'!C15,0),"")</f>
        <v>48295</v>
      </c>
    </row>
    <row r="22" spans="2:9" ht="13.5" customHeight="1" x14ac:dyDescent="0.25">
      <c r="B22" s="39">
        <f>$C$3+0.005</f>
        <v>0.12013900000000001</v>
      </c>
      <c r="C22" s="37">
        <f>IFERROR(ROUND(('DCF Model'!C45/(1+$B22)^('DCF Model'!C19+0)+'DCF Model'!D45/(1+$B22)^('DCF Model'!C19+1)+'DCF Model'!E45/(1+$B22)^('DCF Model'!C19+2)+'DCF Model'!F45/(1+$B22)^('DCF Model'!C19+3)+'DCF Model'!G45/(1+$B22)^('DCF Model'!C19+4)+('DCF Model'!G39+'DCF Model'!G42)*C$17/(1+$B22)^('DCF Model'!C19+4)-'DCF Model'!C16)*1000000/'DCF Model'!C15,0),"")</f>
        <v>40669</v>
      </c>
      <c r="D22" s="37">
        <f>IFERROR(ROUND(('DCF Model'!C45/(1+$B22)^('DCF Model'!C19+0)+'DCF Model'!D45/(1+$B22)^('DCF Model'!C19+1)+'DCF Model'!E45/(1+$B22)^('DCF Model'!C19+2)+'DCF Model'!F45/(1+$B22)^('DCF Model'!C19+3)+'DCF Model'!G45/(1+$B22)^('DCF Model'!C19+4)+('DCF Model'!G39+'DCF Model'!G42)*D$17/(1+$B22)^('DCF Model'!C19+4)-'DCF Model'!C16)*1000000/'DCF Model'!C15,0),"")</f>
        <v>41770</v>
      </c>
      <c r="E22" s="37">
        <f>IFERROR(ROUND(('DCF Model'!C45/(1+$B22)^('DCF Model'!C19+0)+'DCF Model'!D45/(1+$B22)^('DCF Model'!C19+1)+'DCF Model'!E45/(1+$B22)^('DCF Model'!C19+2)+'DCF Model'!F45/(1+$B22)^('DCF Model'!C19+3)+'DCF Model'!G45/(1+$B22)^('DCF Model'!C19+4)+('DCF Model'!G39+'DCF Model'!G42)*E$17/(1+$B22)^('DCF Model'!C19+4)-'DCF Model'!C16)*1000000/'DCF Model'!C15,0),"")</f>
        <v>42871</v>
      </c>
      <c r="F22" s="37">
        <f>IFERROR(ROUND(('DCF Model'!C45/(1+$B22)^('DCF Model'!C19+0)+'DCF Model'!D45/(1+$B22)^('DCF Model'!C19+1)+'DCF Model'!E45/(1+$B22)^('DCF Model'!C19+2)+'DCF Model'!F45/(1+$B22)^('DCF Model'!C19+3)+'DCF Model'!G45/(1+$B22)^('DCF Model'!C19+4)+('DCF Model'!G39+'DCF Model'!G42)*F$17/(1+$B22)^('DCF Model'!C19+4)-'DCF Model'!C16)*1000000/'DCF Model'!C15,0),"")</f>
        <v>43972</v>
      </c>
      <c r="G22" s="37">
        <f>IFERROR(ROUND(('DCF Model'!C45/(1+$B22)^('DCF Model'!C19+0)+'DCF Model'!D45/(1+$B22)^('DCF Model'!C19+1)+'DCF Model'!E45/(1+$B22)^('DCF Model'!C19+2)+'DCF Model'!F45/(1+$B22)^('DCF Model'!C19+3)+'DCF Model'!G45/(1+$B22)^('DCF Model'!C19+4)+('DCF Model'!G39+'DCF Model'!G42)*G$17/(1+$B22)^('DCF Model'!C19+4)-'DCF Model'!C16)*1000000/'DCF Model'!C15,0),"")</f>
        <v>45073</v>
      </c>
      <c r="H22" s="37">
        <f>IFERROR(ROUND(('DCF Model'!C45/(1+$B22)^('DCF Model'!C19+0)+'DCF Model'!D45/(1+$B22)^('DCF Model'!C19+1)+'DCF Model'!E45/(1+$B22)^('DCF Model'!C19+2)+'DCF Model'!F45/(1+$B22)^('DCF Model'!C19+3)+'DCF Model'!G45/(1+$B22)^('DCF Model'!C19+4)+('DCF Model'!G39+'DCF Model'!G42)*H$17/(1+$B22)^('DCF Model'!C19+4)-'DCF Model'!C16)*1000000/'DCF Model'!C15,0),"")</f>
        <v>46175</v>
      </c>
      <c r="I22" s="37">
        <f>IFERROR(ROUND(('DCF Model'!C45/(1+$B22)^('DCF Model'!C19+0)+'DCF Model'!D45/(1+$B22)^('DCF Model'!C19+1)+'DCF Model'!E45/(1+$B22)^('DCF Model'!C19+2)+'DCF Model'!F45/(1+$B22)^('DCF Model'!C19+3)+'DCF Model'!G45/(1+$B22)^('DCF Model'!C19+4)+('DCF Model'!G39+'DCF Model'!G42)*I$17/(1+$B22)^('DCF Model'!C19+4)-'DCF Model'!C16)*1000000/'DCF Model'!C15,0),"")</f>
        <v>47276</v>
      </c>
    </row>
    <row r="23" spans="2:9" ht="13.5" customHeight="1" x14ac:dyDescent="0.25">
      <c r="B23" s="39">
        <f>$C$3+0.01</f>
        <v>0.125139</v>
      </c>
      <c r="C23" s="37">
        <f>IFERROR(ROUND(('DCF Model'!C45/(1+$B23)^('DCF Model'!C19+0)+'DCF Model'!D45/(1+$B23)^('DCF Model'!C19+1)+'DCF Model'!E45/(1+$B23)^('DCF Model'!C19+2)+'DCF Model'!F45/(1+$B23)^('DCF Model'!C19+3)+'DCF Model'!G45/(1+$B23)^('DCF Model'!C19+4)+('DCF Model'!G39+'DCF Model'!G42)*C$17/(1+$B23)^('DCF Model'!C19+4)-'DCF Model'!C16)*1000000/'DCF Model'!C15,0),"")</f>
        <v>39821</v>
      </c>
      <c r="D23" s="37">
        <f>IFERROR(ROUND(('DCF Model'!C45/(1+$B23)^('DCF Model'!C19+0)+'DCF Model'!D45/(1+$B23)^('DCF Model'!C19+1)+'DCF Model'!E45/(1+$B23)^('DCF Model'!C19+2)+'DCF Model'!F45/(1+$B23)^('DCF Model'!C19+3)+'DCF Model'!G45/(1+$B23)^('DCF Model'!C19+4)+('DCF Model'!G39+'DCF Model'!G42)*D$17/(1+$B23)^('DCF Model'!C19+4)-'DCF Model'!C16)*1000000/'DCF Model'!C15,0),"")</f>
        <v>40898</v>
      </c>
      <c r="E23" s="37">
        <f>IFERROR(ROUND(('DCF Model'!C45/(1+$B23)^('DCF Model'!C19+0)+'DCF Model'!D45/(1+$B23)^('DCF Model'!C19+1)+'DCF Model'!E45/(1+$B23)^('DCF Model'!C19+2)+'DCF Model'!F45/(1+$B23)^('DCF Model'!C19+3)+'DCF Model'!G45/(1+$B23)^('DCF Model'!C19+4)+('DCF Model'!G39+'DCF Model'!G42)*E$17/(1+$B23)^('DCF Model'!C19+4)-'DCF Model'!C16)*1000000/'DCF Model'!C15,0),"")</f>
        <v>41975</v>
      </c>
      <c r="F23" s="37">
        <f>IFERROR(ROUND(('DCF Model'!C45/(1+$B23)^('DCF Model'!C19+0)+'DCF Model'!D45/(1+$B23)^('DCF Model'!C19+1)+'DCF Model'!E45/(1+$B23)^('DCF Model'!C19+2)+'DCF Model'!F45/(1+$B23)^('DCF Model'!C19+3)+'DCF Model'!G45/(1+$B23)^('DCF Model'!C19+4)+('DCF Model'!G39+'DCF Model'!G42)*F$17/(1+$B23)^('DCF Model'!C19+4)-'DCF Model'!C16)*1000000/'DCF Model'!C15,0),"")</f>
        <v>43052</v>
      </c>
      <c r="G23" s="37">
        <f>IFERROR(ROUND(('DCF Model'!C45/(1+$B23)^('DCF Model'!C19+0)+'DCF Model'!D45/(1+$B23)^('DCF Model'!C19+1)+'DCF Model'!E45/(1+$B23)^('DCF Model'!C19+2)+'DCF Model'!F45/(1+$B23)^('DCF Model'!C19+3)+'DCF Model'!G45/(1+$B23)^('DCF Model'!C19+4)+('DCF Model'!G39+'DCF Model'!G42)*G$17/(1+$B23)^('DCF Model'!C19+4)-'DCF Model'!C16)*1000000/'DCF Model'!C15,0),"")</f>
        <v>44129</v>
      </c>
      <c r="H23" s="37">
        <f>IFERROR(ROUND(('DCF Model'!C45/(1+$B23)^('DCF Model'!C19+0)+'DCF Model'!D45/(1+$B23)^('DCF Model'!C19+1)+'DCF Model'!E45/(1+$B23)^('DCF Model'!C19+2)+'DCF Model'!F45/(1+$B23)^('DCF Model'!C19+3)+'DCF Model'!G45/(1+$B23)^('DCF Model'!C19+4)+('DCF Model'!G39+'DCF Model'!G42)*H$17/(1+$B23)^('DCF Model'!C19+4)-'DCF Model'!C16)*1000000/'DCF Model'!C15,0),"")</f>
        <v>45206</v>
      </c>
      <c r="I23" s="37">
        <f>IFERROR(ROUND(('DCF Model'!C45/(1+$B23)^('DCF Model'!C19+0)+'DCF Model'!D45/(1+$B23)^('DCF Model'!C19+1)+'DCF Model'!E45/(1+$B23)^('DCF Model'!C19+2)+'DCF Model'!F45/(1+$B23)^('DCF Model'!C19+3)+'DCF Model'!G45/(1+$B23)^('DCF Model'!C19+4)+('DCF Model'!G39+'DCF Model'!G42)*I$17/(1+$B23)^('DCF Model'!C19+4)-'DCF Model'!C16)*1000000/'DCF Model'!C15,0),"")</f>
        <v>46283</v>
      </c>
    </row>
    <row r="24" spans="2:9" ht="13.5" customHeight="1" x14ac:dyDescent="0.25">
      <c r="B24" s="39">
        <f>$C$3+0.015</f>
        <v>0.130139</v>
      </c>
      <c r="C24" s="37">
        <f>IFERROR(ROUND(('DCF Model'!C45/(1+$B24)^('DCF Model'!C19+0)+'DCF Model'!D45/(1+$B24)^('DCF Model'!C19+1)+'DCF Model'!E45/(1+$B24)^('DCF Model'!C19+2)+'DCF Model'!F45/(1+$B24)^('DCF Model'!C19+3)+'DCF Model'!G45/(1+$B24)^('DCF Model'!C19+4)+('DCF Model'!G39+'DCF Model'!G42)*C$17/(1+$B24)^('DCF Model'!C19+4)-'DCF Model'!C16)*1000000/'DCF Model'!C15,0),"")</f>
        <v>38996</v>
      </c>
      <c r="D24" s="37">
        <f>IFERROR(ROUND(('DCF Model'!C45/(1+$B24)^('DCF Model'!C19+0)+'DCF Model'!D45/(1+$B24)^('DCF Model'!C19+1)+'DCF Model'!E45/(1+$B24)^('DCF Model'!C19+2)+'DCF Model'!F45/(1+$B24)^('DCF Model'!C19+3)+'DCF Model'!G45/(1+$B24)^('DCF Model'!C19+4)+('DCF Model'!G39+'DCF Model'!G42)*D$17/(1+$B24)^('DCF Model'!C19+4)-'DCF Model'!C16)*1000000/'DCF Model'!C15,0),"")</f>
        <v>40049</v>
      </c>
      <c r="E24" s="37">
        <f>IFERROR(ROUND(('DCF Model'!C45/(1+$B24)^('DCF Model'!C19+0)+'DCF Model'!D45/(1+$B24)^('DCF Model'!C19+1)+'DCF Model'!E45/(1+$B24)^('DCF Model'!C19+2)+'DCF Model'!F45/(1+$B24)^('DCF Model'!C19+3)+'DCF Model'!G45/(1+$B24)^('DCF Model'!C19+4)+('DCF Model'!G39+'DCF Model'!G42)*E$17/(1+$B24)^('DCF Model'!C19+4)-'DCF Model'!C16)*1000000/'DCF Model'!C15,0),"")</f>
        <v>41102</v>
      </c>
      <c r="F24" s="37">
        <f>IFERROR(ROUND(('DCF Model'!C45/(1+$B24)^('DCF Model'!C19+0)+'DCF Model'!D45/(1+$B24)^('DCF Model'!C19+1)+'DCF Model'!E45/(1+$B24)^('DCF Model'!C19+2)+'DCF Model'!F45/(1+$B24)^('DCF Model'!C19+3)+'DCF Model'!G45/(1+$B24)^('DCF Model'!C19+4)+('DCF Model'!G39+'DCF Model'!G42)*F$17/(1+$B24)^('DCF Model'!C19+4)-'DCF Model'!C16)*1000000/'DCF Model'!C15,0),"")</f>
        <v>42156</v>
      </c>
      <c r="G24" s="37">
        <f>IFERROR(ROUND(('DCF Model'!C45/(1+$B24)^('DCF Model'!C19+0)+'DCF Model'!D45/(1+$B24)^('DCF Model'!C19+1)+'DCF Model'!E45/(1+$B24)^('DCF Model'!C19+2)+'DCF Model'!F45/(1+$B24)^('DCF Model'!C19+3)+'DCF Model'!G45/(1+$B24)^('DCF Model'!C19+4)+('DCF Model'!G39+'DCF Model'!G42)*G$17/(1+$B24)^('DCF Model'!C19+4)-'DCF Model'!C16)*1000000/'DCF Model'!C15,0),"")</f>
        <v>43209</v>
      </c>
      <c r="H24" s="37">
        <f>IFERROR(ROUND(('DCF Model'!C45/(1+$B24)^('DCF Model'!C19+0)+'DCF Model'!D45/(1+$B24)^('DCF Model'!C19+1)+'DCF Model'!E45/(1+$B24)^('DCF Model'!C19+2)+'DCF Model'!F45/(1+$B24)^('DCF Model'!C19+3)+'DCF Model'!G45/(1+$B24)^('DCF Model'!C19+4)+('DCF Model'!G39+'DCF Model'!G42)*H$17/(1+$B24)^('DCF Model'!C19+4)-'DCF Model'!C16)*1000000/'DCF Model'!C15,0),"")</f>
        <v>44262</v>
      </c>
      <c r="I24" s="37">
        <f>IFERROR(ROUND(('DCF Model'!C45/(1+$B24)^('DCF Model'!C19+0)+'DCF Model'!D45/(1+$B24)^('DCF Model'!C19+1)+'DCF Model'!E45/(1+$B24)^('DCF Model'!C19+2)+'DCF Model'!F45/(1+$B24)^('DCF Model'!C19+3)+'DCF Model'!G45/(1+$B24)^('DCF Model'!C19+4)+('DCF Model'!G39+'DCF Model'!G42)*I$17/(1+$B24)^('DCF Model'!C19+4)-'DCF Model'!C16)*1000000/'DCF Model'!C15,0),"")</f>
        <v>45315</v>
      </c>
    </row>
    <row r="26" spans="2:9" ht="14" customHeight="1" x14ac:dyDescent="0.3">
      <c r="B26" s="45" t="s">
        <v>237</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0"/>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238</v>
      </c>
    </row>
    <row r="4" spans="2:7" ht="14" customHeight="1" x14ac:dyDescent="0.3">
      <c r="B4" s="10" t="s">
        <v>239</v>
      </c>
      <c r="C4" s="10" t="s">
        <v>240</v>
      </c>
      <c r="D4" s="10" t="s">
        <v>241</v>
      </c>
      <c r="E4" s="10" t="s">
        <v>242</v>
      </c>
      <c r="F4" s="10" t="s">
        <v>243</v>
      </c>
      <c r="G4" s="10" t="s">
        <v>244</v>
      </c>
    </row>
    <row r="5" spans="2:7" x14ac:dyDescent="0.2">
      <c r="B5" t="s">
        <v>245</v>
      </c>
      <c r="C5" t="s">
        <v>246</v>
      </c>
      <c r="D5" t="s">
        <v>247</v>
      </c>
      <c r="E5" t="s">
        <v>248</v>
      </c>
      <c r="F5" t="s">
        <v>246</v>
      </c>
      <c r="G5" t="s">
        <v>249</v>
      </c>
    </row>
    <row r="6" spans="2:7" ht="30" customHeight="1" x14ac:dyDescent="0.3">
      <c r="B6" t="s">
        <v>245</v>
      </c>
      <c r="C6" s="4" t="s">
        <v>250</v>
      </c>
      <c r="D6" t="s">
        <v>251</v>
      </c>
      <c r="E6" t="s">
        <v>252</v>
      </c>
      <c r="F6" t="s">
        <v>253</v>
      </c>
      <c r="G6" t="s">
        <v>254</v>
      </c>
    </row>
    <row r="12" spans="2:7" ht="14" customHeight="1" x14ac:dyDescent="0.3">
      <c r="B12" s="8" t="s">
        <v>255</v>
      </c>
    </row>
    <row r="13" spans="2:7" ht="14" customHeight="1" x14ac:dyDescent="0.3">
      <c r="B13" s="10" t="s">
        <v>256</v>
      </c>
      <c r="C13" s="10" t="s">
        <v>257</v>
      </c>
    </row>
    <row r="14" spans="2:7" ht="14" customHeight="1" x14ac:dyDescent="0.3">
      <c r="B14" s="4" t="s">
        <v>258</v>
      </c>
      <c r="C14" t="s">
        <v>259</v>
      </c>
    </row>
    <row r="15" spans="2:7" ht="14" customHeight="1" x14ac:dyDescent="0.3">
      <c r="B15" s="4" t="s">
        <v>260</v>
      </c>
      <c r="C15" t="s">
        <v>261</v>
      </c>
    </row>
    <row r="16" spans="2:7" ht="14" customHeight="1" x14ac:dyDescent="0.3">
      <c r="B16" s="4" t="s">
        <v>262</v>
      </c>
      <c r="C16" t="s">
        <v>263</v>
      </c>
    </row>
    <row r="17" spans="2:3" ht="14" customHeight="1" x14ac:dyDescent="0.3">
      <c r="B17" s="4" t="s">
        <v>264</v>
      </c>
      <c r="C17" t="s">
        <v>261</v>
      </c>
    </row>
    <row r="18" spans="2:3" ht="14" customHeight="1" x14ac:dyDescent="0.3">
      <c r="B18" s="4" t="s">
        <v>265</v>
      </c>
      <c r="C18" t="s">
        <v>266</v>
      </c>
    </row>
    <row r="19" spans="2:3" ht="14" customHeight="1" x14ac:dyDescent="0.3">
      <c r="B19" s="4" t="s">
        <v>267</v>
      </c>
      <c r="C19" t="s">
        <v>268</v>
      </c>
    </row>
    <row r="20" spans="2:3" ht="14" customHeight="1" x14ac:dyDescent="0.3">
      <c r="B20" s="4" t="s">
        <v>269</v>
      </c>
      <c r="C20" t="s">
        <v>270</v>
      </c>
    </row>
    <row r="21" spans="2:3" ht="14" customHeight="1" x14ac:dyDescent="0.3">
      <c r="B21" s="4" t="s">
        <v>271</v>
      </c>
      <c r="C21" t="s">
        <v>272</v>
      </c>
    </row>
    <row r="22" spans="2:3" ht="14" customHeight="1" x14ac:dyDescent="0.3">
      <c r="B22" s="4" t="s">
        <v>273</v>
      </c>
      <c r="C22" t="s">
        <v>274</v>
      </c>
    </row>
    <row r="23" spans="2:3" ht="14" customHeight="1" x14ac:dyDescent="0.3">
      <c r="B23" s="4" t="s">
        <v>275</v>
      </c>
      <c r="C23" t="s">
        <v>4</v>
      </c>
    </row>
    <row r="24" spans="2:3" ht="14" customHeight="1" x14ac:dyDescent="0.3">
      <c r="B24" s="4" t="s">
        <v>276</v>
      </c>
      <c r="C24" t="s">
        <v>245</v>
      </c>
    </row>
    <row r="25" spans="2:3" ht="14" customHeight="1" x14ac:dyDescent="0.3">
      <c r="B25" s="4" t="s">
        <v>277</v>
      </c>
      <c r="C25" t="s">
        <v>278</v>
      </c>
    </row>
    <row r="26" spans="2:3" ht="14" customHeight="1" x14ac:dyDescent="0.3">
      <c r="B26" s="4" t="s">
        <v>279</v>
      </c>
      <c r="C26" t="s">
        <v>266</v>
      </c>
    </row>
    <row r="27" spans="2:3" ht="14" customHeight="1" x14ac:dyDescent="0.3">
      <c r="B27" s="4" t="s">
        <v>280</v>
      </c>
      <c r="C27" t="s">
        <v>266</v>
      </c>
    </row>
    <row r="28" spans="2:3" ht="14" customHeight="1" x14ac:dyDescent="0.3">
      <c r="B28" s="4" t="s">
        <v>281</v>
      </c>
      <c r="C28" t="s">
        <v>282</v>
      </c>
    </row>
    <row r="29" spans="2:3" ht="14" customHeight="1" x14ac:dyDescent="0.3">
      <c r="B29" s="4" t="s">
        <v>283</v>
      </c>
      <c r="C29" t="s">
        <v>284</v>
      </c>
    </row>
    <row r="30" spans="2:3" ht="14" customHeight="1" x14ac:dyDescent="0.3">
      <c r="B30" s="4" t="s">
        <v>285</v>
      </c>
      <c r="C30" t="s">
        <v>286</v>
      </c>
    </row>
    <row r="31" spans="2:3" ht="14" customHeight="1" x14ac:dyDescent="0.3">
      <c r="B31" s="4" t="s">
        <v>287</v>
      </c>
      <c r="C31" t="s">
        <v>282</v>
      </c>
    </row>
    <row r="32" spans="2:3" ht="14" customHeight="1" x14ac:dyDescent="0.3">
      <c r="B32" s="4" t="s">
        <v>288</v>
      </c>
      <c r="C32" t="s">
        <v>266</v>
      </c>
    </row>
    <row r="33" spans="2:3" ht="14" customHeight="1" x14ac:dyDescent="0.3">
      <c r="B33" s="4" t="s">
        <v>289</v>
      </c>
      <c r="C33" t="s">
        <v>278</v>
      </c>
    </row>
    <row r="34" spans="2:3" ht="14" customHeight="1" x14ac:dyDescent="0.3">
      <c r="B34" s="4" t="s">
        <v>290</v>
      </c>
      <c r="C34" t="s">
        <v>291</v>
      </c>
    </row>
    <row r="35" spans="2:3" ht="14" customHeight="1" x14ac:dyDescent="0.3">
      <c r="B35" s="4" t="s">
        <v>292</v>
      </c>
      <c r="C35" t="s">
        <v>293</v>
      </c>
    </row>
    <row r="36" spans="2:3" ht="14" customHeight="1" x14ac:dyDescent="0.3">
      <c r="B36" s="4" t="s">
        <v>294</v>
      </c>
      <c r="C36" t="s">
        <v>295</v>
      </c>
    </row>
    <row r="37" spans="2:3" ht="14" customHeight="1" x14ac:dyDescent="0.3">
      <c r="B37" s="4" t="s">
        <v>296</v>
      </c>
      <c r="C37" t="s">
        <v>297</v>
      </c>
    </row>
    <row r="38" spans="2:3" ht="14" customHeight="1" x14ac:dyDescent="0.3">
      <c r="B38" s="4" t="s">
        <v>298</v>
      </c>
      <c r="C38" t="s">
        <v>299</v>
      </c>
    </row>
    <row r="39" spans="2:3" ht="14" customHeight="1" x14ac:dyDescent="0.3">
      <c r="B39" s="4" t="s">
        <v>300</v>
      </c>
      <c r="C39" t="s">
        <v>301</v>
      </c>
    </row>
    <row r="40" spans="2:3" ht="14" customHeight="1" x14ac:dyDescent="0.3">
      <c r="B40" s="4" t="s">
        <v>302</v>
      </c>
      <c r="C40" t="s">
        <v>270</v>
      </c>
    </row>
    <row r="41" spans="2:3" ht="14" customHeight="1" x14ac:dyDescent="0.3">
      <c r="B41" s="4" t="s">
        <v>303</v>
      </c>
      <c r="C41" t="s">
        <v>304</v>
      </c>
    </row>
    <row r="42" spans="2:3" ht="14" customHeight="1" x14ac:dyDescent="0.3">
      <c r="B42" s="4" t="s">
        <v>305</v>
      </c>
      <c r="C42" t="s">
        <v>306</v>
      </c>
    </row>
    <row r="43" spans="2:3" ht="14" customHeight="1" x14ac:dyDescent="0.3">
      <c r="B43" s="4" t="s">
        <v>307</v>
      </c>
      <c r="C43" t="s">
        <v>308</v>
      </c>
    </row>
    <row r="44" spans="2:3" ht="14" customHeight="1" x14ac:dyDescent="0.3">
      <c r="B44" s="4" t="s">
        <v>309</v>
      </c>
      <c r="C44" t="s">
        <v>310</v>
      </c>
    </row>
    <row r="45" spans="2:3" ht="14" customHeight="1" x14ac:dyDescent="0.3">
      <c r="B45" s="4" t="s">
        <v>311</v>
      </c>
      <c r="C45" t="s">
        <v>312</v>
      </c>
    </row>
    <row r="46" spans="2:3" ht="14" customHeight="1" x14ac:dyDescent="0.3">
      <c r="B46" s="4" t="s">
        <v>313</v>
      </c>
      <c r="C46" t="s">
        <v>314</v>
      </c>
    </row>
    <row r="47" spans="2:3" ht="14" customHeight="1" x14ac:dyDescent="0.3">
      <c r="B47" s="4" t="s">
        <v>315</v>
      </c>
      <c r="C47" t="s">
        <v>316</v>
      </c>
    </row>
    <row r="48" spans="2:3" ht="14" customHeight="1" x14ac:dyDescent="0.3">
      <c r="B48" s="4" t="s">
        <v>317</v>
      </c>
      <c r="C48" t="s">
        <v>318</v>
      </c>
    </row>
    <row r="49" spans="2:3" ht="14" customHeight="1" x14ac:dyDescent="0.3">
      <c r="B49" s="4" t="s">
        <v>319</v>
      </c>
      <c r="C49" t="s">
        <v>320</v>
      </c>
    </row>
    <row r="50" spans="2:3" ht="14" customHeight="1" x14ac:dyDescent="0.3">
      <c r="B50" s="4" t="s">
        <v>321</v>
      </c>
      <c r="C50" t="s">
        <v>322</v>
      </c>
    </row>
    <row r="51" spans="2:3" ht="14" customHeight="1" x14ac:dyDescent="0.3">
      <c r="B51" s="4" t="s">
        <v>323</v>
      </c>
      <c r="C51" t="s">
        <v>324</v>
      </c>
    </row>
    <row r="52" spans="2:3" ht="14" customHeight="1" x14ac:dyDescent="0.3">
      <c r="B52" s="4" t="s">
        <v>325</v>
      </c>
      <c r="C52" t="s">
        <v>326</v>
      </c>
    </row>
    <row r="53" spans="2:3" ht="14" customHeight="1" x14ac:dyDescent="0.3">
      <c r="B53" s="4" t="s">
        <v>327</v>
      </c>
      <c r="C53" t="s">
        <v>328</v>
      </c>
    </row>
    <row r="54" spans="2:3" ht="14" customHeight="1" x14ac:dyDescent="0.3">
      <c r="B54" s="4" t="s">
        <v>329</v>
      </c>
      <c r="C54" t="s">
        <v>330</v>
      </c>
    </row>
    <row r="55" spans="2:3" ht="14" customHeight="1" x14ac:dyDescent="0.3">
      <c r="B55" s="4" t="s">
        <v>331</v>
      </c>
      <c r="C55" t="s">
        <v>332</v>
      </c>
    </row>
    <row r="56" spans="2:3" ht="14" customHeight="1" x14ac:dyDescent="0.3">
      <c r="B56" s="4" t="s">
        <v>333</v>
      </c>
      <c r="C56" t="s">
        <v>334</v>
      </c>
    </row>
    <row r="57" spans="2:3" ht="14" customHeight="1" x14ac:dyDescent="0.3">
      <c r="B57" s="4" t="s">
        <v>335</v>
      </c>
      <c r="C57" t="s">
        <v>336</v>
      </c>
    </row>
    <row r="58" spans="2:3" ht="14" customHeight="1" x14ac:dyDescent="0.3">
      <c r="B58" s="4" t="s">
        <v>337</v>
      </c>
      <c r="C58" t="s">
        <v>338</v>
      </c>
    </row>
    <row r="59" spans="2:3" ht="14" customHeight="1" x14ac:dyDescent="0.3">
      <c r="B59" s="4" t="s">
        <v>339</v>
      </c>
      <c r="C59" t="s">
        <v>340</v>
      </c>
    </row>
    <row r="60" spans="2:3" ht="14" customHeight="1" x14ac:dyDescent="0.3">
      <c r="B60" s="4" t="s">
        <v>341</v>
      </c>
      <c r="C60" t="s">
        <v>208</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2026-09-06T10:27:13Z</dcterms:created>
  <dcterms:modified xsi:type="dcterms:W3CDTF">2026-09-06T10:47:10Z</dcterms:modified>
</cp:coreProperties>
</file>