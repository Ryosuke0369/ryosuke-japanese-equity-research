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A9418C01-B159-4555-AC61-C33C3618891C}" xr6:coauthVersionLast="47" xr6:coauthVersionMax="47" xr10:uidLastSave="{00000000-0000-0000-0000-000000000000}"/>
  <bookViews>
    <workbookView xWindow="-110" yWindow="-110" windowWidth="19420" windowHeight="103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s>
  <calcPr calcId="181029"/>
</workbook>
</file>

<file path=xl/calcChain.xml><?xml version="1.0" encoding="utf-8"?>
<calcChain xmlns="http://schemas.openxmlformats.org/spreadsheetml/2006/main">
  <c r="I3" i="7" l="1"/>
  <c r="I17" i="7" s="1"/>
  <c r="F3" i="7"/>
  <c r="H6" i="7" s="1"/>
  <c r="O10" i="6"/>
  <c r="N10" i="6"/>
  <c r="M10" i="6"/>
  <c r="L10" i="6"/>
  <c r="K10" i="6"/>
  <c r="J10" i="6"/>
  <c r="O9" i="6"/>
  <c r="N9" i="6"/>
  <c r="M9" i="6"/>
  <c r="L9" i="6"/>
  <c r="K9" i="6"/>
  <c r="J9" i="6"/>
  <c r="O8" i="6"/>
  <c r="N8" i="6"/>
  <c r="M8" i="6"/>
  <c r="L8" i="6"/>
  <c r="K8" i="6"/>
  <c r="J8" i="6"/>
  <c r="O7" i="6"/>
  <c r="N7" i="6"/>
  <c r="M7" i="6"/>
  <c r="L7" i="6"/>
  <c r="K7" i="6"/>
  <c r="J7" i="6"/>
  <c r="O6" i="6"/>
  <c r="N6" i="6"/>
  <c r="M6" i="6"/>
  <c r="G15" i="6" s="1"/>
  <c r="L6" i="6"/>
  <c r="F16" i="6" s="1"/>
  <c r="C28" i="6" s="1"/>
  <c r="C19" i="1" s="1"/>
  <c r="D19" i="1" s="1"/>
  <c r="K6" i="6"/>
  <c r="J6" i="6"/>
  <c r="O5" i="6"/>
  <c r="N5" i="6"/>
  <c r="D5" i="6"/>
  <c r="E5" i="6" s="1"/>
  <c r="C16" i="5"/>
  <c r="C14" i="5"/>
  <c r="C18" i="5" s="1"/>
  <c r="C7" i="5"/>
  <c r="C6" i="5"/>
  <c r="C5" i="5"/>
  <c r="C13" i="4"/>
  <c r="C12" i="4"/>
  <c r="C9" i="4"/>
  <c r="C7" i="4"/>
  <c r="C6" i="4"/>
  <c r="C8" i="4" s="1"/>
  <c r="C10" i="4" s="1"/>
  <c r="D27" i="3"/>
  <c r="G5" i="5" s="1"/>
  <c r="C25" i="3"/>
  <c r="C24" i="3"/>
  <c r="C23" i="3"/>
  <c r="C26" i="3" s="1"/>
  <c r="F28" i="2"/>
  <c r="E28" i="2"/>
  <c r="D28" i="2"/>
  <c r="C28" i="2"/>
  <c r="F23" i="2"/>
  <c r="E23" i="2"/>
  <c r="D23" i="2"/>
  <c r="C23" i="2"/>
  <c r="F21" i="2"/>
  <c r="F22" i="2" s="1"/>
  <c r="E21" i="2"/>
  <c r="E22" i="2" s="1"/>
  <c r="D21" i="2"/>
  <c r="D22" i="2" s="1"/>
  <c r="C21" i="2"/>
  <c r="C22" i="2" s="1"/>
  <c r="F16" i="2"/>
  <c r="E16" i="2"/>
  <c r="D16" i="2"/>
  <c r="F15" i="2"/>
  <c r="E15" i="2"/>
  <c r="D15" i="2"/>
  <c r="F14" i="2"/>
  <c r="E14" i="2"/>
  <c r="D14" i="2"/>
  <c r="C14" i="2"/>
  <c r="F13" i="2"/>
  <c r="E13" i="2"/>
  <c r="D13" i="2"/>
  <c r="C13" i="2"/>
  <c r="D9" i="2"/>
  <c r="F8" i="2"/>
  <c r="F9" i="2" s="1"/>
  <c r="E8" i="2"/>
  <c r="E9" i="2" s="1"/>
  <c r="D8" i="2"/>
  <c r="C8" i="2"/>
  <c r="C9" i="2" s="1"/>
  <c r="H15" i="6" l="1"/>
  <c r="I16" i="6"/>
  <c r="F15" i="6"/>
  <c r="H16" i="6"/>
  <c r="D17" i="6"/>
  <c r="E15" i="6"/>
  <c r="C3" i="7"/>
  <c r="G36" i="4"/>
  <c r="C11" i="4"/>
  <c r="G46" i="3"/>
  <c r="B31" i="1"/>
  <c r="F36" i="4"/>
  <c r="F46" i="3"/>
  <c r="D36" i="4"/>
  <c r="D46" i="3"/>
  <c r="C46" i="3"/>
  <c r="B25" i="1"/>
  <c r="E36" i="4"/>
  <c r="E46" i="3"/>
  <c r="H36" i="4"/>
  <c r="J5" i="6"/>
  <c r="K5" i="6"/>
  <c r="C24" i="4"/>
  <c r="C25" i="4" s="1"/>
  <c r="C70" i="4"/>
  <c r="C71" i="4"/>
  <c r="E30" i="3"/>
  <c r="G6" i="5"/>
  <c r="C31" i="3"/>
  <c r="F32" i="3"/>
  <c r="H5" i="5"/>
  <c r="D7" i="5"/>
  <c r="I15" i="6"/>
  <c r="E17" i="6"/>
  <c r="I6" i="7"/>
  <c r="D31" i="3"/>
  <c r="G32" i="3"/>
  <c r="E7" i="5"/>
  <c r="L5" i="6"/>
  <c r="D16" i="6"/>
  <c r="F17" i="6"/>
  <c r="C17" i="7"/>
  <c r="E31" i="3"/>
  <c r="D6" i="5"/>
  <c r="F7" i="5"/>
  <c r="M5" i="6"/>
  <c r="E16" i="6"/>
  <c r="G17" i="6"/>
  <c r="C6" i="7"/>
  <c r="D17" i="7"/>
  <c r="C32" i="3"/>
  <c r="E5" i="5"/>
  <c r="C30" i="3"/>
  <c r="C33" i="3" s="1"/>
  <c r="F31" i="3"/>
  <c r="E6" i="5"/>
  <c r="G7" i="5"/>
  <c r="D15" i="6"/>
  <c r="H17" i="6"/>
  <c r="D6" i="7"/>
  <c r="E17" i="7"/>
  <c r="D30" i="3"/>
  <c r="G31" i="3"/>
  <c r="D5" i="5"/>
  <c r="F6" i="5"/>
  <c r="H7" i="5"/>
  <c r="G16" i="6"/>
  <c r="I17" i="6"/>
  <c r="E6" i="7"/>
  <c r="F17" i="7"/>
  <c r="F6" i="7"/>
  <c r="G17" i="7"/>
  <c r="F30" i="3"/>
  <c r="D32" i="3"/>
  <c r="F5" i="5"/>
  <c r="H6" i="5"/>
  <c r="G6" i="7"/>
  <c r="H17" i="7"/>
  <c r="G30" i="3"/>
  <c r="E32" i="3"/>
  <c r="D45" i="4" l="1"/>
  <c r="D39" i="4"/>
  <c r="D46" i="4"/>
  <c r="D43" i="4"/>
  <c r="D40" i="4"/>
  <c r="D50" i="4" s="1"/>
  <c r="D55" i="4" s="1"/>
  <c r="D44" i="4"/>
  <c r="D38" i="4"/>
  <c r="D48" i="4" s="1"/>
  <c r="D53" i="4" s="1"/>
  <c r="D41" i="4"/>
  <c r="D51" i="4" s="1"/>
  <c r="D56" i="4" s="1"/>
  <c r="C29" i="4"/>
  <c r="C27" i="4"/>
  <c r="C26" i="4"/>
  <c r="B24" i="1"/>
  <c r="B29" i="1"/>
  <c r="C42" i="3"/>
  <c r="C34" i="3"/>
  <c r="D10" i="5" s="1"/>
  <c r="C37" i="3"/>
  <c r="C43" i="3"/>
  <c r="D9" i="5"/>
  <c r="D12" i="5" s="1"/>
  <c r="D33" i="3"/>
  <c r="H40" i="4"/>
  <c r="H44" i="4"/>
  <c r="H41" i="4"/>
  <c r="H45" i="4"/>
  <c r="H38" i="4"/>
  <c r="H39" i="4"/>
  <c r="H43" i="4"/>
  <c r="H46" i="4"/>
  <c r="F43" i="4"/>
  <c r="F46" i="4"/>
  <c r="F44" i="4"/>
  <c r="F38" i="4"/>
  <c r="F41" i="4"/>
  <c r="F45" i="4"/>
  <c r="F39" i="4"/>
  <c r="F40" i="4"/>
  <c r="F50" i="4" s="1"/>
  <c r="F55" i="4" s="1"/>
  <c r="E39" i="4"/>
  <c r="E43" i="4"/>
  <c r="E40" i="4"/>
  <c r="E44" i="4"/>
  <c r="E38" i="4"/>
  <c r="E41" i="4"/>
  <c r="E45" i="4"/>
  <c r="E46" i="4"/>
  <c r="G46" i="4"/>
  <c r="G40" i="4"/>
  <c r="G38" i="4"/>
  <c r="G41" i="4"/>
  <c r="G44" i="4"/>
  <c r="G45" i="4"/>
  <c r="G39" i="4"/>
  <c r="G49" i="4" s="1"/>
  <c r="G54" i="4" s="1"/>
  <c r="G43" i="4"/>
  <c r="C27" i="6"/>
  <c r="C18" i="1" s="1"/>
  <c r="D18" i="1" s="1"/>
  <c r="C74" i="4"/>
  <c r="B13" i="7"/>
  <c r="B12" i="7"/>
  <c r="B11" i="7"/>
  <c r="B10" i="7"/>
  <c r="B9" i="7"/>
  <c r="B8" i="7"/>
  <c r="B7" i="7"/>
  <c r="B24" i="7"/>
  <c r="B23" i="7"/>
  <c r="B22" i="7"/>
  <c r="B21" i="7"/>
  <c r="B20" i="7"/>
  <c r="B19" i="7"/>
  <c r="B18" i="7"/>
  <c r="E49" i="4" l="1"/>
  <c r="E54" i="4" s="1"/>
  <c r="H50" i="4"/>
  <c r="H55" i="4" s="1"/>
  <c r="F49" i="4"/>
  <c r="F54" i="4" s="1"/>
  <c r="B78" i="4" s="1"/>
  <c r="C35" i="3"/>
  <c r="E48" i="4"/>
  <c r="E53" i="4" s="1"/>
  <c r="D37" i="3"/>
  <c r="E9" i="5"/>
  <c r="E12" i="5" s="1"/>
  <c r="E33" i="3"/>
  <c r="D43" i="3"/>
  <c r="D42" i="3"/>
  <c r="D34" i="3"/>
  <c r="E10" i="5" s="1"/>
  <c r="D35" i="3"/>
  <c r="H49" i="4"/>
  <c r="H54" i="4" s="1"/>
  <c r="C38" i="3"/>
  <c r="C36" i="3"/>
  <c r="C39" i="3"/>
  <c r="G51" i="4"/>
  <c r="G56" i="4" s="1"/>
  <c r="F51" i="4"/>
  <c r="F56" i="4" s="1"/>
  <c r="H48" i="4"/>
  <c r="H53" i="4" s="1"/>
  <c r="E51" i="4"/>
  <c r="E56" i="4" s="1"/>
  <c r="G48" i="4"/>
  <c r="G53" i="4" s="1"/>
  <c r="E50" i="4"/>
  <c r="E55" i="4" s="1"/>
  <c r="F48" i="4"/>
  <c r="F53" i="4" s="1"/>
  <c r="D49" i="4"/>
  <c r="D54" i="4" s="1"/>
  <c r="G50" i="4"/>
  <c r="G55" i="4" s="1"/>
  <c r="H51" i="4"/>
  <c r="H56" i="4" s="1"/>
  <c r="D15" i="5"/>
  <c r="D16" i="5" s="1"/>
  <c r="D13" i="5"/>
  <c r="D14" i="5" s="1"/>
  <c r="D18" i="5" s="1"/>
  <c r="D19" i="5" s="1"/>
  <c r="C44" i="3" s="1"/>
  <c r="C60" i="4" l="1"/>
  <c r="D38" i="3"/>
  <c r="D36" i="3"/>
  <c r="D39" i="3"/>
  <c r="C40" i="3"/>
  <c r="C41" i="3" s="1"/>
  <c r="C45" i="3" s="1"/>
  <c r="F9" i="5"/>
  <c r="F12" i="5" s="1"/>
  <c r="E43" i="3"/>
  <c r="E35" i="3"/>
  <c r="F33" i="3"/>
  <c r="E42" i="3"/>
  <c r="E34" i="3"/>
  <c r="F10" i="5" s="1"/>
  <c r="E37" i="3"/>
  <c r="E13" i="5"/>
  <c r="E15" i="5"/>
  <c r="E16" i="5" s="1"/>
  <c r="E14" i="5"/>
  <c r="E18" i="5" s="1"/>
  <c r="E19" i="5" s="1"/>
  <c r="D44" i="3" s="1"/>
  <c r="C65" i="4"/>
  <c r="D65" i="4" s="1"/>
  <c r="C64" i="4"/>
  <c r="D64" i="4" s="1"/>
  <c r="C67" i="4"/>
  <c r="D67" i="4" s="1"/>
  <c r="C63" i="4"/>
  <c r="D63" i="4" s="1"/>
  <c r="C66" i="4"/>
  <c r="D66" i="4" s="1"/>
  <c r="C47" i="3" l="1"/>
  <c r="E36" i="3"/>
  <c r="E39" i="3"/>
  <c r="E38" i="3"/>
  <c r="F13" i="5"/>
  <c r="F14" i="5" s="1"/>
  <c r="F15" i="5"/>
  <c r="F16" i="5" s="1"/>
  <c r="D40" i="3"/>
  <c r="D41" i="3" s="1"/>
  <c r="D45" i="3" s="1"/>
  <c r="D47" i="3" s="1"/>
  <c r="F43" i="3"/>
  <c r="G33" i="3"/>
  <c r="F42" i="3"/>
  <c r="F34" i="3"/>
  <c r="G10" i="5" s="1"/>
  <c r="F37" i="3"/>
  <c r="G9" i="5"/>
  <c r="G12" i="5" s="1"/>
  <c r="F18" i="5" l="1"/>
  <c r="F19" i="5" s="1"/>
  <c r="E44" i="3" s="1"/>
  <c r="E40" i="3"/>
  <c r="E41" i="3" s="1"/>
  <c r="E45" i="3" s="1"/>
  <c r="G13" i="5"/>
  <c r="G15" i="5"/>
  <c r="G16" i="5" s="1"/>
  <c r="G42" i="3"/>
  <c r="G34" i="3"/>
  <c r="H10" i="5" s="1"/>
  <c r="C16" i="4"/>
  <c r="C28" i="4" s="1"/>
  <c r="G37" i="3"/>
  <c r="H9" i="5"/>
  <c r="H12" i="5" s="1"/>
  <c r="G43" i="3"/>
  <c r="G14" i="5"/>
  <c r="F35" i="3"/>
  <c r="G18" i="5" l="1"/>
  <c r="G19" i="5" s="1"/>
  <c r="F44" i="3" s="1"/>
  <c r="G35" i="3"/>
  <c r="E47" i="3"/>
  <c r="G38" i="3"/>
  <c r="G39" i="3"/>
  <c r="G36" i="3"/>
  <c r="C72" i="4"/>
  <c r="C73" i="4"/>
  <c r="F38" i="3"/>
  <c r="F36" i="3"/>
  <c r="F39" i="3"/>
  <c r="H15" i="5"/>
  <c r="H16" i="5" s="1"/>
  <c r="H13" i="5"/>
  <c r="H14" i="5" s="1"/>
  <c r="H18" i="5" s="1"/>
  <c r="H19" i="5" s="1"/>
  <c r="G44" i="3" s="1"/>
  <c r="C59" i="3" l="1"/>
  <c r="C60" i="3" s="1"/>
  <c r="C61" i="3" s="1"/>
  <c r="G40" i="3"/>
  <c r="G41" i="3" s="1"/>
  <c r="G45" i="3" s="1"/>
  <c r="F40" i="3"/>
  <c r="F41" i="3" s="1"/>
  <c r="F45" i="3" s="1"/>
  <c r="F47" i="3" l="1"/>
  <c r="E19" i="7"/>
  <c r="I11" i="7"/>
  <c r="F11" i="7"/>
  <c r="F20" i="7"/>
  <c r="E21" i="7"/>
  <c r="F18" i="7"/>
  <c r="F24" i="7"/>
  <c r="G18" i="7"/>
  <c r="F13" i="7"/>
  <c r="G13" i="7"/>
  <c r="H11" i="7"/>
  <c r="H8" i="7"/>
  <c r="H7" i="7"/>
  <c r="C8" i="7"/>
  <c r="G20" i="7"/>
  <c r="H10" i="7"/>
  <c r="C19" i="7"/>
  <c r="G11" i="7"/>
  <c r="F23" i="7"/>
  <c r="I13" i="7"/>
  <c r="G21" i="7"/>
  <c r="I10" i="7"/>
  <c r="F21" i="7"/>
  <c r="E8" i="7"/>
  <c r="E12" i="7"/>
  <c r="F7" i="7"/>
  <c r="D11" i="7"/>
  <c r="E23" i="7"/>
  <c r="C18" i="7"/>
  <c r="G24" i="7"/>
  <c r="H9" i="7"/>
  <c r="D10" i="7"/>
  <c r="G19" i="7"/>
  <c r="G9" i="7"/>
  <c r="D19" i="7"/>
  <c r="I19" i="7"/>
  <c r="C24" i="7"/>
  <c r="I9" i="7"/>
  <c r="F9" i="7"/>
  <c r="E9" i="7"/>
  <c r="E18" i="7"/>
  <c r="C9" i="7"/>
  <c r="I22" i="7"/>
  <c r="I24" i="7"/>
  <c r="I7" i="7"/>
  <c r="D21" i="7"/>
  <c r="G7" i="7"/>
  <c r="H18" i="7"/>
  <c r="E24" i="7"/>
  <c r="H20" i="7"/>
  <c r="C20" i="7"/>
  <c r="G12" i="7"/>
  <c r="I20" i="7"/>
  <c r="C23" i="7"/>
  <c r="C7" i="7"/>
  <c r="C11" i="7"/>
  <c r="C13" i="7"/>
  <c r="D24" i="7"/>
  <c r="I23" i="7"/>
  <c r="I21" i="7"/>
  <c r="E13" i="7"/>
  <c r="H19" i="7"/>
  <c r="I8" i="7"/>
  <c r="G10" i="7"/>
  <c r="H22" i="7"/>
  <c r="C12" i="7"/>
  <c r="I12" i="7"/>
  <c r="E20" i="7"/>
  <c r="H13" i="7"/>
  <c r="C22" i="7"/>
  <c r="D22" i="7"/>
  <c r="C10" i="7"/>
  <c r="D20" i="7"/>
  <c r="G8" i="7"/>
  <c r="E7" i="7"/>
  <c r="D7" i="7"/>
  <c r="D8" i="7"/>
  <c r="D13" i="7"/>
  <c r="F19" i="7"/>
  <c r="H12" i="7"/>
  <c r="H24" i="7"/>
  <c r="I18" i="7"/>
  <c r="F8" i="7"/>
  <c r="D9" i="7"/>
  <c r="E11" i="7"/>
  <c r="C21" i="7"/>
  <c r="H23" i="7"/>
  <c r="D18" i="7"/>
  <c r="G22" i="7"/>
  <c r="D23" i="7"/>
  <c r="D12" i="7"/>
  <c r="E10" i="7"/>
  <c r="F22" i="7"/>
  <c r="G23" i="7"/>
  <c r="E22" i="7"/>
  <c r="H21" i="7"/>
  <c r="F10" i="7"/>
  <c r="F12" i="7"/>
  <c r="C51" i="3"/>
  <c r="C52" i="3" s="1"/>
  <c r="G47" i="3"/>
  <c r="C50" i="3" l="1"/>
  <c r="C58" i="3" l="1"/>
  <c r="C62" i="3" s="1"/>
  <c r="C53" i="3"/>
  <c r="C17" i="4" l="1"/>
  <c r="C54" i="3"/>
  <c r="C55" i="3" s="1"/>
  <c r="C16" i="1" s="1"/>
  <c r="C63" i="3"/>
  <c r="C64" i="3" s="1"/>
  <c r="C17" i="1" s="1"/>
  <c r="D17" i="1" s="1"/>
  <c r="C10" i="1" l="1"/>
  <c r="D16" i="1"/>
  <c r="C21" i="1"/>
  <c r="C19" i="4"/>
  <c r="C20" i="4" s="1"/>
  <c r="B79" i="4" s="1"/>
  <c r="B30" i="1" l="1"/>
  <c r="C12" i="1"/>
  <c r="C11" i="1" s="1"/>
  <c r="B26" i="1" l="1"/>
</calcChain>
</file>

<file path=xl/sharedStrings.xml><?xml version="1.0" encoding="utf-8"?>
<sst xmlns="http://schemas.openxmlformats.org/spreadsheetml/2006/main" count="439" uniqueCount="355">
  <si>
    <t>DISCLAIMER: This is a sample analysis for demonstration purposes only. It does not constitute investment advice.</t>
  </si>
  <si>
    <t>旭化成 (3407.T)</t>
  </si>
  <si>
    <t>Equity Research Report</t>
  </si>
  <si>
    <t>Company</t>
  </si>
  <si>
    <t>旭化成</t>
  </si>
  <si>
    <t>Ticker</t>
  </si>
  <si>
    <t>3407.T (TSE Prime)</t>
  </si>
  <si>
    <t>Sector</t>
  </si>
  <si>
    <t>化学</t>
  </si>
  <si>
    <t>Current Price</t>
  </si>
  <si>
    <t>Target Price (DCF Mid)</t>
  </si>
  <si>
    <t>Recommendation</t>
  </si>
  <si>
    <t>Upside / Downside</t>
  </si>
  <si>
    <t>Valuation Summary</t>
  </si>
  <si>
    <t>Methodology</t>
  </si>
  <si>
    <t>Implied Value (JPY)</t>
  </si>
  <si>
    <t>vs Current Price</t>
  </si>
  <si>
    <t>DCF - Perpetuity Growth</t>
  </si>
  <si>
    <t>DCF - Exit Multiple</t>
  </si>
  <si>
    <t>Comps - EV/EBITDA Median [参考・Target不算入]</t>
  </si>
  <si>
    <t>Comps - PER Median [参考・Target不算入]</t>
  </si>
  <si>
    <t>Note: Target Mid は DCF 2法（PGM / Exit）の平均のみ。Comps 2法は [参考] で Target 不算入（EV&lt;ネットデットで株式価値が負になる手法は INVALID として平均から除外）</t>
  </si>
  <si>
    <t>DCF Valuation Range (PGM - Exit)</t>
  </si>
  <si>
    <t>Key Investment Thesis</t>
  </si>
  <si>
    <t>Key Risks</t>
  </si>
  <si>
    <t>旭化成 - Historical Financials (JPY mn)</t>
  </si>
  <si>
    <t>FY2023</t>
  </si>
  <si>
    <t>FY2024</t>
  </si>
  <si>
    <t>FY2025</t>
  </si>
  <si>
    <t>FY2026</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</si>
  <si>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</si>
  <si>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</si>
  <si>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</si>
  <si>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</si>
  <si>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</si>
  <si>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</si>
  <si>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</si>
  <si>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</si>
  <si>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</si>
  <si>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</si>
  <si>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</si>
  <si>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</si>
  <si>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</si>
  <si>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</si>
  <si>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</si>
  <si>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</si>
  <si>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</si>
  <si>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</si>
  <si>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</si>
  <si>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</si>
  <si>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</si>
  <si>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</si>
  <si>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</si>
  <si>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4/4, Cash 4/4, Debt 4/4 — blank cells are years with no year-key match in the source data (verify against 決算短信 or set hist_ocf / hist_cash / hist_debt in overrides).</t>
  </si>
  <si>
    <t>DCF Valuation Model - 旭化成</t>
  </si>
  <si>
    <t>Assumptions</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</si>
  <si>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</si>
  <si>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</si>
  <si>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</si>
  <si>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</si>
  <si>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</si>
  <si>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</si>
  <si>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</si>
  <si>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</si>
  <si>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</si>
  <si>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</si>
  <si>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</si>
  <si>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</si>
  <si>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t>
  </si>
  <si>
    <t>Stub Fraction (yr remaining)</t>
  </si>
  <si>
    <t>LTM Revenue (JPY mn)</t>
  </si>
  <si>
    <t>WACC Calculation</t>
  </si>
  <si>
    <t>Cost of Equity (Ke)</t>
  </si>
  <si>
    <t>Weight of Equity</t>
  </si>
  <si>
    <t>Weight of Debt</t>
  </si>
  <si>
    <t>WACC</t>
  </si>
  <si>
    <t>Active Scenario</t>
  </si>
  <si>
    <t>Base</t>
  </si>
  <si>
    <t>Projected Free Cash Flow</t>
  </si>
  <si>
    <t>FY2027(E)</t>
  </si>
  <si>
    <t>FY2028(E)</t>
  </si>
  <si>
    <t>FY2029(E)</t>
  </si>
  <si>
    <t>FY2030(E)</t>
  </si>
  <si>
    <t>FY2031(E)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</si>
  <si>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</si>
  <si>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</si>
  <si>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</si>
  <si>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</si>
  <si>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</si>
  <si>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</si>
  <si>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</si>
  <si>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</si>
  <si>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</si>
  <si>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</si>
  <si>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</si>
  <si>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</si>
  <si>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</si>
  <si>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</si>
  <si>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</si>
  <si>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</si>
  <si>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</si>
  <si>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</si>
  <si>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</si>
  <si>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</si>
  <si>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</si>
  <si>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</si>
  <si>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</si>
  <si>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</si>
  <si>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</si>
  <si>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</si>
  <si>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</si>
  <si>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</si>
  <si>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</si>
  <si>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</si>
  <si>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</si>
  <si>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</si>
  <si>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</si>
  <si>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</si>
  <si>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旭化成 (3407.T)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</si>
  <si>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</si>
  <si>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</si>
  <si>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</si>
  <si>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</si>
  <si>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</si>
  <si>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</si>
  <si>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</si>
  <si>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</si>
  <si>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(FY2026 actual)</t>
  </si>
  <si>
    <t>Cycle-peak Operating Profit (FY2026 actual)</t>
  </si>
  <si>
    <t>Terminal-year Revenue, active scenario (JPY mn)</t>
  </si>
  <si>
    <t>Base-case DCF Enterprise Value, PGM (JPY mn)</t>
  </si>
  <si>
    <t>Cycle-peak Operating Margin (FY2026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</si>
  <si>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</si>
  <si>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</si>
  <si>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</si>
  <si>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</si>
  <si>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</si>
  <si>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</si>
  <si>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FY2026 peak</t>
  </si>
  <si>
    <t>... as a multiple of FY2026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</si>
  <si>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</si>
  <si>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</si>
  <si>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</si>
  <si>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</si>
  <si>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</si>
  <si>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</si>
  <si>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</si>
  <si>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</si>
  <si>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</si>
  <si>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</si>
  <si>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</si>
  <si>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</si>
  <si>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</si>
  <si>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</si>
  <si>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FY2026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</si>
  <si>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</si>
  <si>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</si>
  <si>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</si>
  <si>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</si>
  <si>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</si>
  <si>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</si>
  <si>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(FY2026)</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</si>
  <si>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</si>
  <si>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</si>
  <si>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</si>
  <si>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</si>
  <si>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</si>
  <si>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</si>
  <si>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</si>
  <si>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</si>
  <si>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旭化成</t>
  </si>
  <si>
    <t>Working Capital Drivers (Days)</t>
  </si>
  <si>
    <t>Base Year</t>
  </si>
  <si>
    <t>DSO (Days Sales Outstanding)</t>
  </si>
  <si>
    <t>DIH (Days Inventory Held)</t>
  </si>
  <si>
    <t>DPO (Days Payable Outstanding)</t>
  </si>
  <si>
    <t>P&amp;L Reference (JPY mn)</t>
  </si>
  <si>
    <t>Working Capital Items (JPY mn)</t>
  </si>
  <si>
    <t>Accounts Receivable</t>
  </si>
  <si>
    <t>Inventory</t>
  </si>
  <si>
    <t>Current Assets (AR + Inv)</t>
  </si>
  <si>
    <t>Accounts Payable</t>
  </si>
  <si>
    <t>Current Liabilities (AP)</t>
  </si>
  <si>
    <t>Net Working Capital (JPY mn)</t>
  </si>
  <si>
    <t>Net Working Capital</t>
  </si>
  <si>
    <t>Scenario Input Matrix (Working Capital Days)</t>
  </si>
  <si>
    <t>DSO (Days)</t>
  </si>
  <si>
    <t>DIH (Days)</t>
  </si>
  <si>
    <t>DPO (Days)</t>
  </si>
  <si>
    <t>Comparable Company Analysis</t>
  </si>
  <si>
    <t>Peer prices as of 2026-09-06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</si>
  <si>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</si>
  <si>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</si>
  <si>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</si>
  <si>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</si>
  <si>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</si>
  <si>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</si>
  <si>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</si>
  <si>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</si>
  <si>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</si>
  <si>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</si>
  <si>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</si>
  <si>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</si>
  <si>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</si>
  <si>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</si>
  <si>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Asahi Kasei Corporation</t>
  </si>
  <si>
    <t>3407.T</t>
  </si>
  <si>
    <t>Sumitomo Chemical Company, Limited</t>
  </si>
  <si>
    <t>4005.T</t>
  </si>
  <si>
    <t>Mitsui Chemicals, Inc.</t>
  </si>
  <si>
    <t>4183.T</t>
  </si>
  <si>
    <t>Mitsubishi Chemical Group Corporation</t>
  </si>
  <si>
    <t>4188.T</t>
  </si>
  <si>
    <t>Nippon Sanso Holdings Corporation</t>
  </si>
  <si>
    <t>4091.T</t>
  </si>
  <si>
    <t>FUJIFILM Holdings Corporation</t>
  </si>
  <si>
    <t>4901.T</t>
  </si>
  <si>
    <t>Statistics</t>
  </si>
  <si>
    <t>25th Percentile</t>
  </si>
  <si>
    <t>Median (50th)</t>
  </si>
  <si>
    <t>75th Percentile</t>
  </si>
  <si>
    <t>Implied Valuation for 旭化成</t>
  </si>
  <si>
    <t>旭化成 Financials</t>
  </si>
  <si>
    <t>EBITDA (JPY mn)</t>
  </si>
  <si>
    <t>Net Income (JPY mn)</t>
  </si>
  <si>
    <t>Shares Outstanding</t>
  </si>
  <si>
    <t>Implied Share Price (Median Multiples)</t>
  </si>
  <si>
    <t>Via EV/EBITDA (Median)</t>
  </si>
  <si>
    <t>Via PER (Median)</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</si>
  <si>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</si>
  <si>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</si>
  <si>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</si>
  <si>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</si>
  <si>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</si>
  <si>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</si>
  <si>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</si>
  <si>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</si>
  <si>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</si>
  <si>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旭化成</t>
  </si>
  <si>
    <t>日付</t>
  </si>
  <si>
    <t>セル</t>
  </si>
  <si>
    <t>変更内容</t>
  </si>
  <si>
    <t>理由</t>
  </si>
  <si>
    <t>元の値</t>
  </si>
  <si>
    <t>状態</t>
  </si>
  <si>
    <t>2026-09-06</t>
  </si>
  <si>
    <t>-</t>
  </si>
  <si>
    <t>Generated by pipeline on 2026-09-06 18:46, template rev 63983ab</t>
  </si>
  <si>
    <t>初期生成（手修正なし）</t>
  </si>
  <si>
    <t>generated</t>
  </si>
  <si>
    <t>DCF Model!C11</t>
  </si>
  <si>
    <t>After-tax Cost of Debt = 0.85% (実績ベース)</t>
  </si>
  <si>
    <t>実績Kd = 支払利息12,449 ÷ 平均有利子負債1,103,133(期首1,195,045/期末1,011,221、debt_beginning/debt_ending) = 税引前1.13% × (1−25.0%) = 0.85%。【マージナルコスト注記】これは既存借入の実績平均コストであり、新規調達の限界コストではない。テンプレ既定(税引前2.8% = 税引後1.00%)は10年JGB+スプレッドの推定値で、金利上昇局面での借換え・増額調達には既定値に近い水準を当てるべき。WACCは実績Kd採用で低下する（＝保守的でない方向）</t>
  </si>
  <si>
    <t>テンプレ既定/overrides 1.00%(税引後)</t>
  </si>
  <si>
    <t>確定(実績)</t>
  </si>
  <si>
    <t>DCF Model!C8</t>
  </si>
  <si>
    <t>Beta = 1.006（採用値）</t>
  </si>
  <si>
    <t>実測β(raw) = 1.008 → Blume調整 0.67×raw + 0.33×1.00 = 1.006 → 採用 1.006。クランプ域 [0.3, 2.0] の内側。置換なし。回帰βは平均回帰するため Blume 調整を既定とする（2026-09-05 バッチで85件中57件が旧下限 0.60 に張り付き、両裾の歪みが実証された）。</t>
  </si>
  <si>
    <t>実測 1.008</t>
  </si>
  <si>
    <t>確定</t>
  </si>
  <si>
    <t>Pipeline Metadata (do not edit — read by scripts/validate_output.py)</t>
  </si>
  <si>
    <t>key</t>
  </si>
  <si>
    <t>value</t>
  </si>
  <si>
    <t>auto_log_entries</t>
  </si>
  <si>
    <t>2</t>
  </si>
  <si>
    <t>beta_adopted_c8</t>
  </si>
  <si>
    <t>1.0056</t>
  </si>
  <si>
    <t>beta_basis</t>
  </si>
  <si>
    <t>Blume: 0.67 x 1.008 + 0.33 x 1.00 = 1.006</t>
  </si>
  <si>
    <t>beta_blume_adjusted</t>
  </si>
  <si>
    <t>beta_clamped</t>
  </si>
  <si>
    <t>no</t>
  </si>
  <si>
    <t>beta_raw</t>
  </si>
  <si>
    <t>1.0084</t>
  </si>
  <si>
    <t>capex_pct_basis</t>
  </si>
  <si>
    <t>explicit_override</t>
  </si>
  <si>
    <t>capex_pct_c5</t>
  </si>
  <si>
    <t>0.0672</t>
  </si>
  <si>
    <t>capex_pct_hist3yr</t>
  </si>
  <si>
    <t>0.060811</t>
  </si>
  <si>
    <t>company_name</t>
  </si>
  <si>
    <t>comps_asof</t>
  </si>
  <si>
    <t>comps_da_missing</t>
  </si>
  <si>
    <t>none</t>
  </si>
  <si>
    <t>comps_ebitda_excluded</t>
  </si>
  <si>
    <t>comps_ev_ebitda_invalid</t>
  </si>
  <si>
    <t>comps_ev_ebitda_rows</t>
  </si>
  <si>
    <t>6,7,8,9,10</t>
  </si>
  <si>
    <t>comps_impl_mult_row</t>
  </si>
  <si>
    <t>27</t>
  </si>
  <si>
    <t>comps_impl_per_row</t>
  </si>
  <si>
    <t>28</t>
  </si>
  <si>
    <t>comps_peer_rows</t>
  </si>
  <si>
    <t>comps_per_excluded</t>
  </si>
  <si>
    <t>comps_stale_excluded</t>
  </si>
  <si>
    <t>comps_stat_median_row</t>
  </si>
  <si>
    <t>16</t>
  </si>
  <si>
    <t>comps_subject_row</t>
  </si>
  <si>
    <t>5</t>
  </si>
  <si>
    <t>core_ebitda</t>
  </si>
  <si>
    <t>427544</t>
  </si>
  <si>
    <t>core_net_income</t>
  </si>
  <si>
    <t>158793.0</t>
  </si>
  <si>
    <t>cost_of_debt_actual</t>
  </si>
  <si>
    <t>interest 12,449 (expense 12,449 + fees 0) / avg debt 1,103,133 (debt_beginning/debt_ending) = 0.011285 pre-tax -&gt; 0.008500 after-tax</t>
  </si>
  <si>
    <t>cost_of_debt_at_c11</t>
  </si>
  <si>
    <t>0.0085</t>
  </si>
  <si>
    <t>cost_of_debt_avg_debt</t>
  </si>
  <si>
    <t>1103133.0</t>
  </si>
  <si>
    <t>cost_of_debt_basis</t>
  </si>
  <si>
    <t>actual</t>
  </si>
  <si>
    <t>cost_of_debt_interest</t>
  </si>
  <si>
    <t>12449.0</t>
  </si>
  <si>
    <t>cost_of_debt_pretax</t>
  </si>
  <si>
    <t>0.011285130623415308</t>
  </si>
  <si>
    <t>da_pct_basis</t>
  </si>
  <si>
    <t>da_pct_c18</t>
  </si>
  <si>
    <t>0.064</t>
  </si>
  <si>
    <t>da_pct_hist3yr</t>
  </si>
  <si>
    <t>0.052737</t>
  </si>
  <si>
    <t>fs_year_coverage</t>
  </si>
  <si>
    <t>OCF 4/4, Cash 4/4, Debt 4/4</t>
  </si>
  <si>
    <t>fs_year_map</t>
  </si>
  <si>
    <t>FY2023&lt;-FY2023[ocf+cash+debt]; FY2024&lt;-FY2024[ocf+cash+debt]; FY2025&lt;-FY2025[ocf+cash+debt]; FY2026&lt;-FY2026[ocf+cash+debt]</t>
  </si>
  <si>
    <t>fs_year_sources</t>
  </si>
  <si>
    <t>overrides: none | EDINET year-key match: hist_ocf, hist_cash, hist_debt, hist_capex, hist_depreciation</t>
  </si>
  <si>
    <t>fx_sensitivity</t>
  </si>
  <si>
    <t>not enabled</t>
  </si>
  <si>
    <t>generated_at</t>
  </si>
  <si>
    <t>2026-09-06 18:46:50</t>
  </si>
  <si>
    <t>guidance_note</t>
  </si>
  <si>
    <t>TDnet 決算短信 via screener guidance table: FY2027 disclosed 2026-07-31 (net_income=160,000mn, operating_income=248,000mn, revenue=3,254,000mn)</t>
  </si>
  <si>
    <t>guidance_source</t>
  </si>
  <si>
    <t>tdnet_screener_db</t>
  </si>
  <si>
    <t>latest_operating_income</t>
  </si>
  <si>
    <t>231200</t>
  </si>
  <si>
    <t>ltm_revenue_c20</t>
  </si>
  <si>
    <t>3074505.0</t>
  </si>
  <si>
    <t>ltm_revenue_source</t>
  </si>
  <si>
    <t>latest FY (no LTM)</t>
  </si>
  <si>
    <t>market_data_source</t>
  </si>
  <si>
    <t>yfinance; from overrides: beta</t>
  </si>
  <si>
    <t>narrative_tokens_used</t>
  </si>
  <si>
    <t>pb,per,price,target_price,upside_pct,wacc</t>
  </si>
  <si>
    <t>net_debt_source</t>
  </si>
  <si>
    <t>EDINET net_debt</t>
  </si>
  <si>
    <t>reverse_dcf_sheet</t>
  </si>
  <si>
    <t>op0=231,200(FY2026) peak=231,200(FY2026) peak_opm=0.0752 N=3/5/7/10</t>
  </si>
  <si>
    <t>scenario_index_range</t>
  </si>
  <si>
    <t>B69:B73</t>
  </si>
  <si>
    <t>tax_rate_c6</t>
  </si>
  <si>
    <t>0.25</t>
  </si>
  <si>
    <t>template_rev</t>
  </si>
  <si>
    <t>63983ab</t>
  </si>
  <si>
    <t>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</si>
</sst>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9"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s>
  <fills count="6">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s>
  <borders count="7">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s>
  <cellStyleXfs count="1">
    <xf numFmtId="0" fontId="0" fillId="0" borderId="0"/>
  </cellStyleXfs>
  <cellXfs count="46">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3" fontId="5" fillId="0" borderId="5" xfId="0" applyNumberFormat="1"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tabSelected="1" workbookViewId="0"/>
  </sheetViews>
  <sheetFormatPr defaultRowHeight="13" x14ac:dyDescent="0.2"/>
  <cols>
    <col min="1" max="1" width="3" customWidth="1"/>
    <col min="2" max="2" width="30" customWidth="1"/>
    <col min="3" max="5" width="22" customWidth="1"/>
  </cols>
  <sheetData>
    <row r="1" spans="2:5" ht="14" x14ac:dyDescent="0.3">
      <c r="B1" s="45" t="s">
        <v>0</v>
      </c>
      <c r="C1" s="44"/>
      <c r="D1" s="44"/>
      <c r="E1" s="44"/>
    </row>
    <row r="3" spans="2:5" ht="18" x14ac:dyDescent="0.4">
      <c r="B3" s="43" t="s">
        <v>1</v>
      </c>
      <c r="C3" s="44"/>
      <c r="D3" s="44"/>
    </row>
    <row r="4" spans="2:5" ht="14" x14ac:dyDescent="0.3">
      <c r="B4" s="3" t="s">
        <v>2</v>
      </c>
    </row>
    <row r="6" spans="2:5" ht="14" x14ac:dyDescent="0.3">
      <c r="B6" s="4" t="s">
        <v>3</v>
      </c>
      <c r="C6" t="s">
        <v>4</v>
      </c>
    </row>
    <row r="7" spans="2:5" ht="14" x14ac:dyDescent="0.3">
      <c r="B7" s="4" t="s">
        <v>5</v>
      </c>
      <c r="C7" t="s">
        <v>6</v>
      </c>
    </row>
    <row r="8" spans="2:5" ht="14" x14ac:dyDescent="0.3">
      <c r="B8" s="4" t="s">
        <v>7</v>
      </c>
      <c r="C8" t="s">
        <v>8</v>
      </c>
    </row>
    <row r="9" spans="2:5" ht="14" x14ac:dyDescent="0.3">
      <c r="B9" s="4" t="s">
        <v>9</v>
      </c>
      <c r="C9" s="5">
        <v>1612</v>
      </c>
    </row>
    <row r="10" spans="2:5" ht="14" x14ac:dyDescent="0.3">
      <c r="B10" s="4" t="s">
        <v>10</v>
      </c>
      <c r="C10" s="5">
        <f>IF(COUNT(C16:C17)=0,"N/A",ROUND(AVERAGE(C16:C17),0))</f>
        <v>1686</v>
      </c>
    </row>
    <row r="11" spans="2:5" ht="14" x14ac:dyDescent="0.3">
      <c r="B11" s="4" t="s">
        <v>11</v>
      </c>
      <c r="C11" s="6" t="str">
        <f>IF(NOT(ISNUMBER(C12)),"N/A",IF(C12&gt;0.15,"BUY",IF(C12&gt;0.05,"HOLD","SELL")))</f>
        <v>SELL</v>
      </c>
    </row>
    <row r="12" spans="2:5" ht="14" x14ac:dyDescent="0.3">
      <c r="B12" s="4" t="s">
        <v>12</v>
      </c>
      <c r="C12" s="7">
        <f>IF(ISNUMBER(C10),(C10-C9)/C9,"N/A")</f>
        <v>4.590570719602978E-2</v>
      </c>
    </row>
    <row r="14" spans="2:5" ht="14" x14ac:dyDescent="0.3">
      <c r="B14" s="8" t="s">
        <v>13</v>
      </c>
      <c r="C14" s="9"/>
      <c r="D14" s="9"/>
    </row>
    <row r="15" spans="2:5" ht="14" x14ac:dyDescent="0.3">
      <c r="B15" s="10" t="s">
        <v>14</v>
      </c>
      <c r="C15" s="10" t="s">
        <v>15</v>
      </c>
      <c r="D15" s="10" t="s">
        <v>16</v>
      </c>
    </row>
    <row r="16" spans="2:5" ht="13.5" x14ac:dyDescent="0.25">
      <c r="B16" t="s">
        <v>17</v>
      </c>
      <c r="C16" s="11">
        <f>IF('DCF Model'!C53&lt;'DCF Model'!C16,"INVALID (EV &lt; net debt)",'DCF Model'!C55)</f>
        <v>1105</v>
      </c>
      <c r="D16" s="7">
        <f>IF(ISNUMBER(C16),(C16-C9)/C9,"N/A")</f>
        <v>-0.31451612903225806</v>
      </c>
    </row>
    <row r="17" spans="2:5" ht="13.5" x14ac:dyDescent="0.25">
      <c r="B17" t="s">
        <v>18</v>
      </c>
      <c r="C17" s="11">
        <f>IF('DCF Model'!C62&lt;'DCF Model'!C16,"INVALID (EV &lt; net debt)",'DCF Model'!C64)</f>
        <v>2267</v>
      </c>
      <c r="D17" s="7">
        <f>IF(ISNUMBER(C17),(C17-C9)/C9,"N/A")</f>
        <v>0.40632754342431759</v>
      </c>
    </row>
    <row r="18" spans="2:5" ht="13.5" x14ac:dyDescent="0.25">
      <c r="B18" t="s">
        <v>19</v>
      </c>
      <c r="C18" s="11">
        <f>'Comps Analysis'!C27</f>
        <v>2524</v>
      </c>
      <c r="D18" s="7">
        <f>IF(ISNUMBER(C18),(C18-C9)/C9,"N/A")</f>
        <v>0.56575682382133996</v>
      </c>
    </row>
    <row r="19" spans="2:5" ht="13.5" x14ac:dyDescent="0.25">
      <c r="B19" t="s">
        <v>20</v>
      </c>
      <c r="C19" s="11">
        <f>'Comps Analysis'!C28</f>
        <v>2265</v>
      </c>
      <c r="D19" s="7">
        <f>IF(ISNUMBER(C19),(C19-C9)/C9,"N/A")</f>
        <v>0.40508684863523575</v>
      </c>
    </row>
    <row r="20" spans="2:5" ht="14" x14ac:dyDescent="0.3">
      <c r="B20" s="45" t="s">
        <v>21</v>
      </c>
      <c r="C20" s="44"/>
      <c r="D20" s="44"/>
      <c r="E20" s="44"/>
    </row>
    <row r="21" spans="2:5" ht="14" x14ac:dyDescent="0.3">
      <c r="B21" s="4" t="s">
        <v>22</v>
      </c>
      <c r="C21" s="6" t="str">
        <f>IF(COUNT(C16:C17)=0,"N/A",MIN(C16:C17)&amp;" - "&amp;MAX(C16:C17))</f>
        <v>1105 - 2267</v>
      </c>
    </row>
    <row r="23" spans="2:5" ht="14" x14ac:dyDescent="0.3">
      <c r="B23" s="8" t="s">
        <v>23</v>
      </c>
      <c r="C23" s="9"/>
      <c r="D23" s="9"/>
    </row>
    <row r="24" spans="2:5" x14ac:dyDescent="0.2">
      <c r="B24" t="str">
        <f>"Asahi Kasei spans petrochemicals, homes and healthcare, and the operating margin has risen in each of the last four years as the healthcare mix has grown; the shares trade at "&amp;TEXT('Comps Analysis'!L5,"0.0""x""")&amp;" earnings and "&amp;TEXT('Comps Analysis'!M5,"0.00""x""")&amp;" book."</f>
        <v>Asahi Kasei spans petrochemicals, homes and healthcare, and the operating margin has risen in each of the last four years as the healthcare mix has grown; the shares trade at 13.6x earnings and 1.03x book.</v>
      </c>
    </row>
    <row r="25" spans="2:5" x14ac:dyDescent="0.2">
      <c r="B25" t="str">
        <f>"The stock is valued below the Japanese chemical peer median on EV/EBITDA despite that margin trajectory, which is where the exit leg of this model finds value against a "&amp;TEXT('DCF Model'!C26,"0.00%")&amp;" cost of capital."</f>
        <v>The stock is valued below the Japanese chemical peer median on EV/EBITDA despite that margin trajectory, which is where the exit leg of this model finds value against a 8.52% cost of capital.</v>
      </c>
    </row>
    <row r="26" spans="2:5" x14ac:dyDescent="0.2">
      <c r="B26" t="str">
        <f>"At "&amp;TEXT(C9,"#,##0")&amp;" the market pays for the current mix; a base case that normalises back to the midpoint of the observed cycle still supports "&amp;TEXT(C10,"#,##0")&amp;", or "&amp;TEXT(C12,"+0.0%;-0.0%")&amp;" from here."</f>
        <v>At 1,612 the market pays for the current mix; a base case that normalises back to the midpoint of the observed cycle still supports 1,686, or +4.6% from here.</v>
      </c>
    </row>
    <row r="28" spans="2:5" ht="14" x14ac:dyDescent="0.3">
      <c r="B28" s="8" t="s">
        <v>24</v>
      </c>
      <c r="C28" s="9"/>
      <c r="D28" s="9"/>
    </row>
    <row r="29" spans="2:5" x14ac:dyDescent="0.2">
      <c r="B29" t="str">
        <f>"The company reported a net loss three years ago on impairments even while operating income was positive, so the "&amp;TEXT('Comps Analysis'!L5,"0.0""x""")&amp;" the market pays at "&amp;TEXT(C9,"#,##0")&amp;" rests on an earnings base that has not been reliable."</f>
        <v>The company reported a net loss three years ago on impairments even while operating income was positive, so the 13.6x the market pays at 1,612 rests on an earnings base that has not been reliable.</v>
      </c>
    </row>
    <row r="30" spans="2:5" x14ac:dyDescent="0.2">
      <c r="B30" t="str">
        <f>"Petrochemical spreads and the domestic housing cycle both feed the segment mix, and a downturn in either would take margins back toward the trough case rather than the level behind "&amp;TEXT(C10,"#,##0")&amp;"."</f>
        <v>Petrochemical spreads and the domestic housing cycle both feed the segment mix, and a downturn in either would take margins back toward the trough case rather than the level behind 1,686.</v>
      </c>
    </row>
    <row r="31" spans="2:5" x14ac:dyDescent="0.2">
      <c r="B31" t="str">
        <f>"The margin has risen for four straight years; treating that as a trend rather than the upswing of a cycle would overstate the terminal value the "&amp;TEXT('DCF Model'!C26,"0.00%")&amp;" discounting produces."</f>
        <v>The margin has risen for four straight years; treating that as a trend rather than the upswing of a cycle would overstate the terminal value the 8.52% discounting produces.</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F30"/>
  <sheetViews>
    <sheetView workbookViewId="0"/>
  </sheetViews>
  <sheetFormatPr defaultRowHeight="13" x14ac:dyDescent="0.2"/>
  <cols>
    <col min="1" max="1" width="3" customWidth="1"/>
    <col min="2" max="2" width="32" customWidth="1"/>
    <col min="3" max="6" width="18" customWidth="1"/>
  </cols>
  <sheetData>
    <row r="2" spans="2:6" ht="18" x14ac:dyDescent="0.4">
      <c r="B2" s="2" t="s">
        <v>25</v>
      </c>
    </row>
    <row r="4" spans="2:6" ht="14" x14ac:dyDescent="0.3">
      <c r="C4" s="10" t="s">
        <v>26</v>
      </c>
      <c r="D4" s="10" t="s">
        <v>27</v>
      </c>
      <c r="E4" s="10" t="s">
        <v>28</v>
      </c>
      <c r="F4" s="10" t="s">
        <v>29</v>
      </c>
    </row>
    <row r="5" spans="2:6" ht="14" x14ac:dyDescent="0.3">
      <c r="B5" s="3" t="s">
        <v>30</v>
      </c>
    </row>
    <row r="6" spans="2:6" ht="14" x14ac:dyDescent="0.3">
      <c r="B6" s="4" t="s">
        <v>31</v>
      </c>
      <c r="C6" s="5">
        <v>2726485</v>
      </c>
      <c r="D6" s="5">
        <v>2784878</v>
      </c>
      <c r="E6" s="5">
        <v>3037312</v>
      </c>
      <c r="F6" s="5">
        <v>3074505</v>
      </c>
    </row>
    <row r="7" spans="2:6" ht="14" x14ac:dyDescent="0.3">
      <c r="B7" s="4" t="s">
        <v>32</v>
      </c>
      <c r="C7" s="5">
        <v>1952709</v>
      </c>
      <c r="D7" s="5">
        <v>1968909</v>
      </c>
      <c r="E7" s="5">
        <v>2079051</v>
      </c>
      <c r="F7" s="5">
        <v>2065913</v>
      </c>
    </row>
    <row r="8" spans="2:6" ht="14" x14ac:dyDescent="0.3">
      <c r="B8" s="4" t="s">
        <v>33</v>
      </c>
      <c r="C8" s="5">
        <f>C6-C7</f>
        <v>773776</v>
      </c>
      <c r="D8" s="5">
        <f>D6-D7</f>
        <v>815969</v>
      </c>
      <c r="E8" s="5">
        <f>E6-E7</f>
        <v>958261</v>
      </c>
      <c r="F8" s="5">
        <f>F6-F7</f>
        <v>1008592</v>
      </c>
    </row>
    <row r="9" spans="2:6" ht="13.5" x14ac:dyDescent="0.25">
      <c r="B9" t="s">
        <v>34</v>
      </c>
      <c r="C9" s="7">
        <f>C8/C6</f>
        <v>0.28379983751973697</v>
      </c>
      <c r="D9" s="7">
        <f>D8/D6</f>
        <v>0.29299990879313204</v>
      </c>
      <c r="E9" s="7">
        <f>E8/E6</f>
        <v>0.3154963994479329</v>
      </c>
      <c r="F9" s="7">
        <f>F8/F6</f>
        <v>0.32805020645599858</v>
      </c>
    </row>
    <row r="10" spans="2:6" ht="14" x14ac:dyDescent="0.3">
      <c r="B10" s="4" t="s">
        <v>35</v>
      </c>
      <c r="C10" s="5">
        <v>646060</v>
      </c>
      <c r="D10" s="5">
        <v>675223</v>
      </c>
      <c r="E10" s="5">
        <v>746341</v>
      </c>
      <c r="F10" s="5">
        <v>777392</v>
      </c>
    </row>
    <row r="11" spans="2:6" ht="14" x14ac:dyDescent="0.3">
      <c r="B11" s="4" t="s">
        <v>36</v>
      </c>
      <c r="C11" s="5">
        <v>127716</v>
      </c>
      <c r="D11" s="5">
        <v>140746</v>
      </c>
      <c r="E11" s="5">
        <v>211920</v>
      </c>
      <c r="F11" s="5">
        <v>231200</v>
      </c>
    </row>
    <row r="12" spans="2:6" ht="14" x14ac:dyDescent="0.3">
      <c r="B12" s="4" t="s">
        <v>37</v>
      </c>
      <c r="C12" s="5">
        <v>-91947</v>
      </c>
      <c r="D12" s="5">
        <v>43806</v>
      </c>
      <c r="E12" s="5">
        <v>134997</v>
      </c>
      <c r="F12" s="5">
        <v>158794</v>
      </c>
    </row>
    <row r="13" spans="2:6" ht="13.5" x14ac:dyDescent="0.25">
      <c r="B13" t="s">
        <v>38</v>
      </c>
      <c r="C13" s="7">
        <f>C11/C6</f>
        <v>4.6842729741773746E-2</v>
      </c>
      <c r="D13" s="7">
        <f>D11/D6</f>
        <v>5.0539377308449415E-2</v>
      </c>
      <c r="E13" s="7">
        <f>E11/E6</f>
        <v>6.9772219646845629E-2</v>
      </c>
      <c r="F13" s="7">
        <f>F11/F6</f>
        <v>7.5199097090425937E-2</v>
      </c>
    </row>
    <row r="14" spans="2:6" ht="13.5" x14ac:dyDescent="0.25">
      <c r="B14" t="s">
        <v>39</v>
      </c>
      <c r="C14" s="7">
        <f>C12/C6</f>
        <v>-3.372364051150107E-2</v>
      </c>
      <c r="D14" s="7">
        <f>D12/D6</f>
        <v>1.5729952981782327E-2</v>
      </c>
      <c r="E14" s="7">
        <f>E12/E6</f>
        <v>4.4446207699439508E-2</v>
      </c>
      <c r="F14" s="7">
        <f>F12/F6</f>
        <v>5.1648639374468411E-2</v>
      </c>
    </row>
    <row r="15" spans="2:6" ht="13.5" x14ac:dyDescent="0.25">
      <c r="B15" t="s">
        <v>40</v>
      </c>
      <c r="C15" t="s">
        <v>41</v>
      </c>
      <c r="D15" s="7">
        <f>(D6-C6)/C6</f>
        <v>2.1416952596474949E-2</v>
      </c>
      <c r="E15" s="7">
        <f>(E6-D6)/D6</f>
        <v>9.0644545290673409E-2</v>
      </c>
      <c r="F15" s="7">
        <f>(F6-E6)/E6</f>
        <v>1.2245366956045346E-2</v>
      </c>
    </row>
    <row r="16" spans="2:6" ht="13.5" x14ac:dyDescent="0.25">
      <c r="B16" t="s">
        <v>42</v>
      </c>
      <c r="C16" t="s">
        <v>41</v>
      </c>
      <c r="D16" s="7">
        <f>(D11-C11)/C11</f>
        <v>0.10202323906166808</v>
      </c>
      <c r="E16" s="7">
        <f>(E11-D11)/D11</f>
        <v>0.50569110312193599</v>
      </c>
      <c r="F16" s="7">
        <f>(F11-E11)/E11</f>
        <v>9.0977727444318604E-2</v>
      </c>
    </row>
    <row r="18" spans="2:6" ht="14" x14ac:dyDescent="0.3">
      <c r="B18" s="3" t="s">
        <v>43</v>
      </c>
    </row>
    <row r="19" spans="2:6" ht="14" x14ac:dyDescent="0.3">
      <c r="B19" s="4" t="s">
        <v>44</v>
      </c>
      <c r="C19" s="5">
        <v>90804</v>
      </c>
      <c r="D19" s="5">
        <v>295300</v>
      </c>
      <c r="E19" s="5">
        <v>301489</v>
      </c>
      <c r="F19" s="5">
        <v>303104</v>
      </c>
    </row>
    <row r="20" spans="2:6" ht="14" x14ac:dyDescent="0.3">
      <c r="B20" s="4" t="s">
        <v>45</v>
      </c>
      <c r="C20" s="5">
        <v>151973</v>
      </c>
      <c r="D20" s="5">
        <v>147705</v>
      </c>
      <c r="E20" s="5">
        <v>201684</v>
      </c>
      <c r="F20" s="5">
        <v>193671</v>
      </c>
    </row>
    <row r="21" spans="2:6" ht="14" x14ac:dyDescent="0.3">
      <c r="B21" s="4" t="s">
        <v>46</v>
      </c>
      <c r="C21" s="5">
        <f>C19-C20</f>
        <v>-61169</v>
      </c>
      <c r="D21" s="5">
        <f>D19-D20</f>
        <v>147595</v>
      </c>
      <c r="E21" s="5">
        <f>E19-E20</f>
        <v>99805</v>
      </c>
      <c r="F21" s="5">
        <f>F19-F20</f>
        <v>109433</v>
      </c>
    </row>
    <row r="22" spans="2:6" ht="13.5" x14ac:dyDescent="0.25">
      <c r="B22" t="s">
        <v>47</v>
      </c>
      <c r="C22" s="7">
        <f>C21/C6</f>
        <v>-2.2435113341903585E-2</v>
      </c>
      <c r="D22" s="7">
        <f>D21/D6</f>
        <v>5.2998731003656173E-2</v>
      </c>
      <c r="E22" s="7">
        <f>E21/E6</f>
        <v>3.2859646950988239E-2</v>
      </c>
      <c r="F22" s="7">
        <f>F21/F6</f>
        <v>3.559369719678452E-2</v>
      </c>
    </row>
    <row r="23" spans="2:6" ht="13.5" x14ac:dyDescent="0.25">
      <c r="B23" t="s">
        <v>48</v>
      </c>
      <c r="C23" s="7">
        <f>C20/C6</f>
        <v>5.573953276838127E-2</v>
      </c>
      <c r="D23" s="7">
        <f>D20/D6</f>
        <v>5.303823004095691E-2</v>
      </c>
      <c r="E23" s="7">
        <f>E20/E6</f>
        <v>6.6402134518943071E-2</v>
      </c>
      <c r="F23" s="7">
        <f>F20/F6</f>
        <v>6.2992579293252082E-2</v>
      </c>
    </row>
    <row r="25" spans="2:6" ht="14" x14ac:dyDescent="0.3">
      <c r="B25" s="3" t="s">
        <v>49</v>
      </c>
    </row>
    <row r="26" spans="2:6" ht="14" x14ac:dyDescent="0.3">
      <c r="B26" s="4" t="s">
        <v>50</v>
      </c>
      <c r="C26" s="5">
        <v>247903</v>
      </c>
      <c r="D26" s="5">
        <v>333498</v>
      </c>
      <c r="E26" s="5">
        <v>393467</v>
      </c>
      <c r="F26" s="5">
        <v>377023</v>
      </c>
    </row>
    <row r="27" spans="2:6" ht="14" x14ac:dyDescent="0.3">
      <c r="B27" s="4" t="s">
        <v>51</v>
      </c>
      <c r="C27" s="5">
        <v>775456</v>
      </c>
      <c r="D27" s="5">
        <v>804017</v>
      </c>
      <c r="E27" s="5">
        <v>1050458</v>
      </c>
      <c r="F27" s="5">
        <v>937544</v>
      </c>
    </row>
    <row r="28" spans="2:6" ht="14" x14ac:dyDescent="0.3">
      <c r="B28" s="4" t="s">
        <v>52</v>
      </c>
      <c r="C28" s="5">
        <f>C27-C26</f>
        <v>527553</v>
      </c>
      <c r="D28" s="5">
        <f>D27-D26</f>
        <v>470519</v>
      </c>
      <c r="E28" s="5">
        <f>E27-E26</f>
        <v>656991</v>
      </c>
      <c r="F28" s="5">
        <f>F27-F26</f>
        <v>560521</v>
      </c>
    </row>
    <row r="30" spans="2:6" ht="14" x14ac:dyDescent="0.3">
      <c r="B30" s="1" t="s">
        <v>53</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heetViews>
  <sheetFormatPr defaultRowHeight="13" x14ac:dyDescent="0.2"/>
  <cols>
    <col min="1" max="1" width="3" customWidth="1"/>
    <col min="2" max="2" width="32" customWidth="1"/>
    <col min="3" max="7" width="16" customWidth="1"/>
  </cols>
  <sheetData>
    <row r="2" spans="2:7" ht="18" x14ac:dyDescent="0.4">
      <c r="B2" s="2" t="s">
        <v>54</v>
      </c>
    </row>
    <row r="4" spans="2:7" ht="14" x14ac:dyDescent="0.3">
      <c r="B4" s="8" t="s">
        <v>55</v>
      </c>
      <c r="C4" s="9"/>
      <c r="D4" s="9"/>
      <c r="E4" s="9"/>
      <c r="F4" s="9"/>
      <c r="G4" s="9"/>
    </row>
    <row r="5" spans="2:7" ht="14" x14ac:dyDescent="0.3">
      <c r="B5" s="4" t="s">
        <v>48</v>
      </c>
      <c r="C5" s="7">
        <v>6.7199999999999996E-2</v>
      </c>
    </row>
    <row r="6" spans="2:7" ht="14" x14ac:dyDescent="0.3">
      <c r="B6" s="4" t="s">
        <v>56</v>
      </c>
      <c r="C6" s="7">
        <v>0.25</v>
      </c>
    </row>
    <row r="7" spans="2:7" ht="14" x14ac:dyDescent="0.3">
      <c r="B7" s="4" t="s">
        <v>57</v>
      </c>
      <c r="C7" s="7">
        <v>2.9700000000000001E-2</v>
      </c>
    </row>
    <row r="8" spans="2:7" ht="14" x14ac:dyDescent="0.3">
      <c r="B8" s="4" t="s">
        <v>58</v>
      </c>
      <c r="C8" s="12">
        <v>1.0056</v>
      </c>
    </row>
    <row r="9" spans="2:7" ht="14" x14ac:dyDescent="0.3">
      <c r="B9" s="4" t="s">
        <v>59</v>
      </c>
      <c r="C9" s="7">
        <v>6.5000000000000002E-2</v>
      </c>
    </row>
    <row r="10" spans="2:7" ht="14" x14ac:dyDescent="0.3">
      <c r="B10" s="4" t="s">
        <v>60</v>
      </c>
      <c r="C10" s="7">
        <v>0.01</v>
      </c>
    </row>
    <row r="11" spans="2:7" ht="14" x14ac:dyDescent="0.3">
      <c r="B11" s="4" t="s">
        <v>61</v>
      </c>
      <c r="C11" s="7">
        <v>8.5000000000000006E-3</v>
      </c>
    </row>
    <row r="12" spans="2:7" ht="14" x14ac:dyDescent="0.3">
      <c r="B12" s="4" t="s">
        <v>62</v>
      </c>
      <c r="C12" s="13">
        <v>0.25950000000000001</v>
      </c>
    </row>
    <row r="13" spans="2:7" ht="14" x14ac:dyDescent="0.3">
      <c r="B13" s="4" t="s">
        <v>63</v>
      </c>
      <c r="C13" s="7">
        <v>0.01</v>
      </c>
    </row>
    <row r="14" spans="2:7" ht="14" x14ac:dyDescent="0.3">
      <c r="B14" s="4" t="s">
        <v>64</v>
      </c>
      <c r="C14" s="14">
        <v>9.1999999999999993</v>
      </c>
    </row>
    <row r="15" spans="2:7" ht="14" x14ac:dyDescent="0.3">
      <c r="B15" s="4" t="s">
        <v>65</v>
      </c>
      <c r="C15" s="15">
        <v>1339960331</v>
      </c>
    </row>
    <row r="16" spans="2:7" ht="14" x14ac:dyDescent="0.3">
      <c r="B16" s="4" t="s">
        <v>66</v>
      </c>
      <c r="C16" s="5">
        <v>560521</v>
      </c>
    </row>
    <row r="17" spans="2:7" ht="14" x14ac:dyDescent="0.3">
      <c r="B17" s="4" t="s">
        <v>67</v>
      </c>
      <c r="C17" s="5">
        <v>3074505</v>
      </c>
    </row>
    <row r="18" spans="2:7" ht="14" x14ac:dyDescent="0.3">
      <c r="B18" s="4" t="s">
        <v>68</v>
      </c>
      <c r="C18" s="7">
        <v>6.4000000000000001E-2</v>
      </c>
    </row>
    <row r="19" spans="2:7" ht="14" x14ac:dyDescent="0.3">
      <c r="B19" s="4" t="s">
        <v>69</v>
      </c>
      <c r="C19" s="12">
        <v>1</v>
      </c>
    </row>
    <row r="20" spans="2:7" ht="14" x14ac:dyDescent="0.3">
      <c r="B20" s="4" t="s">
        <v>70</v>
      </c>
      <c r="C20" s="5">
        <v>3074505</v>
      </c>
    </row>
    <row r="22" spans="2:7" ht="14" x14ac:dyDescent="0.3">
      <c r="B22" s="8" t="s">
        <v>71</v>
      </c>
      <c r="C22" s="9"/>
      <c r="D22" s="9"/>
      <c r="E22" s="9"/>
      <c r="F22" s="9"/>
      <c r="G22" s="9"/>
    </row>
    <row r="23" spans="2:7" ht="14" x14ac:dyDescent="0.3">
      <c r="B23" s="4" t="s">
        <v>72</v>
      </c>
      <c r="C23" s="16">
        <f>C7+C8*C9+C10</f>
        <v>0.105064</v>
      </c>
    </row>
    <row r="24" spans="2:7" ht="14" x14ac:dyDescent="0.3">
      <c r="B24" s="4" t="s">
        <v>73</v>
      </c>
      <c r="C24" s="16">
        <f>1/(1+C12)</f>
        <v>0.79396585946804288</v>
      </c>
    </row>
    <row r="25" spans="2:7" ht="14" x14ac:dyDescent="0.3">
      <c r="B25" s="4" t="s">
        <v>74</v>
      </c>
      <c r="C25" s="16">
        <f>C12/(1+C12)</f>
        <v>0.20603414053195712</v>
      </c>
    </row>
    <row r="26" spans="2:7" ht="14" x14ac:dyDescent="0.3">
      <c r="B26" s="4" t="s">
        <v>75</v>
      </c>
      <c r="C26" s="16">
        <f>C23*C24+C11*C25</f>
        <v>8.5168519253672095E-2</v>
      </c>
    </row>
    <row r="27" spans="2:7" ht="14" x14ac:dyDescent="0.3">
      <c r="B27" s="4" t="s">
        <v>76</v>
      </c>
      <c r="C27" s="17" t="s">
        <v>77</v>
      </c>
      <c r="D27" s="6">
        <f>MATCH(C27,B69:B73,0)</f>
        <v>1</v>
      </c>
    </row>
    <row r="28" spans="2:7" ht="14" x14ac:dyDescent="0.3">
      <c r="B28" s="8" t="s">
        <v>78</v>
      </c>
      <c r="C28" s="9"/>
      <c r="D28" s="9"/>
      <c r="E28" s="9"/>
      <c r="F28" s="9"/>
      <c r="G28" s="9"/>
    </row>
    <row r="29" spans="2:7" ht="14" x14ac:dyDescent="0.3">
      <c r="C29" s="10" t="s">
        <v>79</v>
      </c>
      <c r="D29" s="10" t="s">
        <v>80</v>
      </c>
      <c r="E29" s="10" t="s">
        <v>81</v>
      </c>
      <c r="F29" s="10" t="s">
        <v>82</v>
      </c>
      <c r="G29" s="10" t="s">
        <v>83</v>
      </c>
    </row>
    <row r="30" spans="2:7" ht="14" x14ac:dyDescent="0.3">
      <c r="B30" s="4" t="s">
        <v>40</v>
      </c>
      <c r="C30" s="18">
        <f>CHOOSE($D$27,C69,C70,C71,C72,C73)</f>
        <v>0.02</v>
      </c>
      <c r="D30" s="18">
        <f>CHOOSE($D$27,D69,D70,D71,D72,D73)</f>
        <v>2.5000000000000001E-2</v>
      </c>
      <c r="E30" s="18">
        <f>CHOOSE($D$27,E69,E70,E71,E72,E73)</f>
        <v>2.5000000000000001E-2</v>
      </c>
      <c r="F30" s="18">
        <f>CHOOSE($D$27,F69,F70,F71,F72,F73)</f>
        <v>2.5000000000000001E-2</v>
      </c>
      <c r="G30" s="18">
        <f>CHOOSE($D$27,G69,G70,G71,G72,G73)</f>
        <v>2.5000000000000001E-2</v>
      </c>
    </row>
    <row r="31" spans="2:7" ht="14" x14ac:dyDescent="0.3">
      <c r="B31" s="4" t="s">
        <v>84</v>
      </c>
      <c r="C31" s="18">
        <f>CHOOSE($D$27,C76,C77,C78,C79,C80)</f>
        <v>0.67200000000000004</v>
      </c>
      <c r="D31" s="18">
        <f>CHOOSE($D$27,D76,D77,D78,D79,D80)</f>
        <v>0.67200000000000004</v>
      </c>
      <c r="E31" s="18">
        <f>CHOOSE($D$27,E76,E77,E78,E79,E80)</f>
        <v>0.67200000000000004</v>
      </c>
      <c r="F31" s="18">
        <f>CHOOSE($D$27,F76,F77,F78,F79,F80)</f>
        <v>0.67200000000000004</v>
      </c>
      <c r="G31" s="18">
        <f>CHOOSE($D$27,G76,G77,G78,G79,G80)</f>
        <v>0.67200000000000004</v>
      </c>
    </row>
    <row r="32" spans="2:7" ht="14" x14ac:dyDescent="0.3">
      <c r="B32" s="4" t="s">
        <v>85</v>
      </c>
      <c r="C32" s="18">
        <f>CHOOSE($D$27,C83,C84,C85,C86,C87)</f>
        <v>0.252801</v>
      </c>
      <c r="D32" s="18">
        <f>CHOOSE($D$27,D83,D84,D85,D86,D87)</f>
        <v>0.252801</v>
      </c>
      <c r="E32" s="18">
        <f>CHOOSE($D$27,E83,E84,E85,E86,E87)</f>
        <v>0.252801</v>
      </c>
      <c r="F32" s="18">
        <f>CHOOSE($D$27,F83,F84,F85,F86,F87)</f>
        <v>0.252801</v>
      </c>
      <c r="G32" s="18">
        <f>CHOOSE($D$27,G83,G84,G85,G86,G87)</f>
        <v>0.252801</v>
      </c>
    </row>
    <row r="33" spans="2:7" ht="14" x14ac:dyDescent="0.3">
      <c r="B33" s="4" t="s">
        <v>31</v>
      </c>
      <c r="C33" s="5">
        <f>C17*(1+C30)</f>
        <v>3135995.1</v>
      </c>
      <c r="D33" s="5">
        <f>C33*(1+D30)</f>
        <v>3214394.9775</v>
      </c>
      <c r="E33" s="5">
        <f>D33*(1+E30)</f>
        <v>3294754.8519374998</v>
      </c>
      <c r="F33" s="5">
        <f>E33*(1+F30)</f>
        <v>3377123.7232359368</v>
      </c>
      <c r="G33" s="5">
        <f>F33*(1+G30)</f>
        <v>3461551.8163168351</v>
      </c>
    </row>
    <row r="34" spans="2:7" ht="14" x14ac:dyDescent="0.3">
      <c r="B34" s="4" t="s">
        <v>32</v>
      </c>
      <c r="C34" s="5">
        <f>C33*C31</f>
        <v>2107388.7072000001</v>
      </c>
      <c r="D34" s="5">
        <f>D33*D31</f>
        <v>2160073.4248800003</v>
      </c>
      <c r="E34" s="5">
        <f>E33*E31</f>
        <v>2214075.2605019999</v>
      </c>
      <c r="F34" s="5">
        <f>F33*F31</f>
        <v>2269427.1420145496</v>
      </c>
      <c r="G34" s="5">
        <f>G33*G31</f>
        <v>2326162.8205649136</v>
      </c>
    </row>
    <row r="35" spans="2:7" ht="14" x14ac:dyDescent="0.3">
      <c r="B35" s="4" t="s">
        <v>33</v>
      </c>
      <c r="C35" s="19">
        <f>C33-C34</f>
        <v>1028606.3928</v>
      </c>
      <c r="D35" s="19">
        <f>D33-D34</f>
        <v>1054321.5526199997</v>
      </c>
      <c r="E35" s="19">
        <f>E33-E34</f>
        <v>1080679.5914355</v>
      </c>
      <c r="F35" s="19">
        <f>F33-F34</f>
        <v>1107696.5812213873</v>
      </c>
      <c r="G35" s="19">
        <f>G33-G34</f>
        <v>1135388.9957519216</v>
      </c>
    </row>
    <row r="36" spans="2:7" ht="14" x14ac:dyDescent="0.3">
      <c r="B36" s="4" t="s">
        <v>34</v>
      </c>
      <c r="C36" s="7">
        <f>C35/C33</f>
        <v>0.32800000000000001</v>
      </c>
      <c r="D36" s="7">
        <f>D35/D33</f>
        <v>0.3279999999999999</v>
      </c>
      <c r="E36" s="7">
        <f>E35/E33</f>
        <v>0.32800000000000001</v>
      </c>
      <c r="F36" s="7">
        <f>F35/F33</f>
        <v>0.32800000000000001</v>
      </c>
      <c r="G36" s="7">
        <f>G35/G33</f>
        <v>0.3279999999999999</v>
      </c>
    </row>
    <row r="37" spans="2:7" ht="14" x14ac:dyDescent="0.3">
      <c r="B37" s="4" t="s">
        <v>86</v>
      </c>
      <c r="C37" s="5">
        <f>C33*C32</f>
        <v>792782.69727510004</v>
      </c>
      <c r="D37" s="5">
        <f>D33*D32</f>
        <v>812602.26470697753</v>
      </c>
      <c r="E37" s="5">
        <f>E33*E32</f>
        <v>832917.32132465194</v>
      </c>
      <c r="F37" s="5">
        <f>F33*F32</f>
        <v>853740.25435776811</v>
      </c>
      <c r="G37" s="5">
        <f>G33*G32</f>
        <v>875083.76071671222</v>
      </c>
    </row>
    <row r="38" spans="2:7" ht="14" x14ac:dyDescent="0.3">
      <c r="B38" s="4" t="s">
        <v>87</v>
      </c>
      <c r="C38" s="7">
        <f>(C35-C37)/C33</f>
        <v>7.5198999999999988E-2</v>
      </c>
      <c r="D38" s="7">
        <f>(D35-D37)/D33</f>
        <v>7.5198999999999905E-2</v>
      </c>
      <c r="E38" s="7">
        <f>(E35-E37)/E33</f>
        <v>7.5198999999999988E-2</v>
      </c>
      <c r="F38" s="7">
        <f>(F35-F37)/F33</f>
        <v>7.5198999999999974E-2</v>
      </c>
      <c r="G38" s="7">
        <f>(G35-G37)/G33</f>
        <v>7.5198999999999905E-2</v>
      </c>
    </row>
    <row r="39" spans="2:7" ht="14" x14ac:dyDescent="0.3">
      <c r="B39" s="4" t="s">
        <v>88</v>
      </c>
      <c r="C39" s="19">
        <f>C35-C37</f>
        <v>235823.69552489999</v>
      </c>
      <c r="D39" s="19">
        <f>D35-D37</f>
        <v>241719.28791302221</v>
      </c>
      <c r="E39" s="19">
        <f>E35-E37</f>
        <v>247762.27011084801</v>
      </c>
      <c r="F39" s="19">
        <f>F35-F37</f>
        <v>253956.32686361915</v>
      </c>
      <c r="G39" s="19">
        <f>G35-G37</f>
        <v>260305.23503520933</v>
      </c>
    </row>
    <row r="40" spans="2:7" ht="14" x14ac:dyDescent="0.3">
      <c r="B40" s="4" t="s">
        <v>89</v>
      </c>
      <c r="C40" s="5">
        <f>MAX(0,C39*C6)</f>
        <v>58955.923881224997</v>
      </c>
      <c r="D40" s="5">
        <f>MAX(0,D39*C6)</f>
        <v>60429.821978255553</v>
      </c>
      <c r="E40" s="5">
        <f>MAX(0,E39*C6)</f>
        <v>61940.567527712003</v>
      </c>
      <c r="F40" s="5">
        <f>MAX(0,F39*C6)</f>
        <v>63489.081715904787</v>
      </c>
      <c r="G40" s="5">
        <f>MAX(0,G39*C6)</f>
        <v>65076.308758802334</v>
      </c>
    </row>
    <row r="41" spans="2:7" ht="14" x14ac:dyDescent="0.3">
      <c r="B41" s="4" t="s">
        <v>90</v>
      </c>
      <c r="C41" s="19">
        <f>C39-C40</f>
        <v>176867.77164367499</v>
      </c>
      <c r="D41" s="19">
        <f>D39-D40</f>
        <v>181289.46593476666</v>
      </c>
      <c r="E41" s="19">
        <f>E39-E40</f>
        <v>185821.70258313601</v>
      </c>
      <c r="F41" s="19">
        <f>F39-F40</f>
        <v>190467.24514771436</v>
      </c>
      <c r="G41" s="19">
        <f>G39-G40</f>
        <v>195228.926276407</v>
      </c>
    </row>
    <row r="42" spans="2:7" ht="14" x14ac:dyDescent="0.3">
      <c r="B42" s="4" t="s">
        <v>91</v>
      </c>
      <c r="C42" s="5">
        <f>C33*C18</f>
        <v>200703.68640000001</v>
      </c>
      <c r="D42" s="5">
        <f>D33*C18</f>
        <v>205721.27856000001</v>
      </c>
      <c r="E42" s="5">
        <f>E33*C18</f>
        <v>210864.310524</v>
      </c>
      <c r="F42" s="5">
        <f>F33*C18</f>
        <v>216135.91828709995</v>
      </c>
      <c r="G42" s="5">
        <f>G33*C18</f>
        <v>221539.31624427746</v>
      </c>
    </row>
    <row r="43" spans="2:7" ht="14" x14ac:dyDescent="0.3">
      <c r="B43" s="4" t="s">
        <v>92</v>
      </c>
      <c r="C43" s="5">
        <f>C33*C5</f>
        <v>210738.87072000001</v>
      </c>
      <c r="D43" s="5">
        <f>D33*C5</f>
        <v>216007.34248799999</v>
      </c>
      <c r="E43" s="5">
        <f>E33*C5</f>
        <v>221407.52605019999</v>
      </c>
      <c r="F43" s="5">
        <f>F33*C5</f>
        <v>226942.71420145495</v>
      </c>
      <c r="G43" s="5">
        <f>G33*C5</f>
        <v>232616.2820564913</v>
      </c>
    </row>
    <row r="44" spans="2:7" ht="14" x14ac:dyDescent="0.3">
      <c r="B44" s="4" t="s">
        <v>93</v>
      </c>
      <c r="C44" s="5">
        <f>'NWC Schedule'!D19</f>
        <v>-51481.093507945072</v>
      </c>
      <c r="D44" s="5">
        <f>'NWC Schedule'!E19</f>
        <v>26526.222662301268</v>
      </c>
      <c r="E44" s="5">
        <f>'NWC Schedule'!F19</f>
        <v>27189.378228858812</v>
      </c>
      <c r="F44" s="5">
        <f>'NWC Schedule'!G19</f>
        <v>27869.112684580032</v>
      </c>
      <c r="G44" s="5">
        <f>'NWC Schedule'!H19</f>
        <v>28565.84050169494</v>
      </c>
    </row>
    <row r="45" spans="2:7" ht="14" x14ac:dyDescent="0.3">
      <c r="B45" s="4" t="s">
        <v>94</v>
      </c>
      <c r="C45" s="20">
        <f>C41+C42-C43-C44</f>
        <v>218313.68083162006</v>
      </c>
      <c r="D45" s="20">
        <f>D41+D42-D43-D44</f>
        <v>144477.17934446543</v>
      </c>
      <c r="E45" s="20">
        <f>E41+E42-E43-E44</f>
        <v>148089.10882807721</v>
      </c>
      <c r="F45" s="20">
        <f>F41+F42-F43-F44</f>
        <v>151791.33654877933</v>
      </c>
      <c r="G45" s="20">
        <f>G41+G42-G43-G44</f>
        <v>155586.11996249825</v>
      </c>
    </row>
    <row r="46" spans="2:7" ht="14" x14ac:dyDescent="0.3">
      <c r="B46" s="4" t="s">
        <v>95</v>
      </c>
      <c r="C46" s="21">
        <f>1/(1+C26)^(C19+0)</f>
        <v>0.92151585883430609</v>
      </c>
      <c r="D46" s="21">
        <f>1/(1+C26)^(C19+1)</f>
        <v>0.84919147808312878</v>
      </c>
      <c r="E46" s="21">
        <f>1/(1+C26)^(C19+2)</f>
        <v>0.7825434142405483</v>
      </c>
      <c r="F46" s="21">
        <f>1/(1+C26)^(C19+3)</f>
        <v>0.72112616644900895</v>
      </c>
      <c r="G46" s="21">
        <f>1/(1+C26)^(C19+4)</f>
        <v>0.6645291986031493</v>
      </c>
    </row>
    <row r="47" spans="2:7" ht="14" x14ac:dyDescent="0.3">
      <c r="B47" s="4" t="s">
        <v>96</v>
      </c>
      <c r="C47" s="19">
        <f>C45*C46</f>
        <v>201179.51908682895</v>
      </c>
      <c r="D47" s="19">
        <f>D45*D46</f>
        <v>122688.78947680788</v>
      </c>
      <c r="E47" s="19">
        <f>E45*E46</f>
        <v>115886.15683416366</v>
      </c>
      <c r="F47" s="19">
        <f>F45*F46</f>
        <v>109460.70462559258</v>
      </c>
      <c r="G47" s="19">
        <f>G45*G46</f>
        <v>103391.51961245241</v>
      </c>
    </row>
    <row r="49" spans="2:7" ht="14" x14ac:dyDescent="0.3">
      <c r="B49" s="22" t="s">
        <v>97</v>
      </c>
      <c r="C49" s="23"/>
      <c r="D49" s="23"/>
      <c r="E49" s="23"/>
      <c r="F49" s="23"/>
      <c r="G49" s="23"/>
    </row>
    <row r="50" spans="2:7" ht="14" x14ac:dyDescent="0.3">
      <c r="B50" s="4" t="s">
        <v>98</v>
      </c>
      <c r="C50" s="5">
        <f>SUM(C47:G47)</f>
        <v>652606.68963584548</v>
      </c>
    </row>
    <row r="51" spans="2:7" ht="14" x14ac:dyDescent="0.3">
      <c r="B51" s="4" t="s">
        <v>99</v>
      </c>
      <c r="C51" s="5">
        <f>G45*(1+C13)/(C26-C13)</f>
        <v>2090529.1566515274</v>
      </c>
    </row>
    <row r="52" spans="2:7" ht="14" x14ac:dyDescent="0.3">
      <c r="B52" s="4" t="s">
        <v>100</v>
      </c>
      <c r="C52" s="5">
        <f>C51*G46</f>
        <v>1389217.665126157</v>
      </c>
    </row>
    <row r="53" spans="2:7" ht="14" x14ac:dyDescent="0.3">
      <c r="B53" s="4" t="s">
        <v>101</v>
      </c>
      <c r="C53" s="5">
        <f>C50+C52</f>
        <v>2041824.3547620024</v>
      </c>
    </row>
    <row r="54" spans="2:7" ht="14" x14ac:dyDescent="0.3">
      <c r="B54" s="4" t="s">
        <v>102</v>
      </c>
      <c r="C54" s="5">
        <f>C53-C16</f>
        <v>1481303.3547620024</v>
      </c>
    </row>
    <row r="55" spans="2:7" ht="14" x14ac:dyDescent="0.3">
      <c r="B55" s="4" t="s">
        <v>103</v>
      </c>
      <c r="C55" s="24">
        <f>ROUND(C54*1000000/C15,0)</f>
        <v>1105</v>
      </c>
    </row>
    <row r="57" spans="2:7" ht="14" x14ac:dyDescent="0.3">
      <c r="B57" s="22" t="s">
        <v>104</v>
      </c>
      <c r="C57" s="23"/>
      <c r="D57" s="23"/>
      <c r="E57" s="23"/>
      <c r="F57" s="23"/>
      <c r="G57" s="23"/>
    </row>
    <row r="58" spans="2:7" ht="14" x14ac:dyDescent="0.3">
      <c r="B58" s="4" t="s">
        <v>98</v>
      </c>
      <c r="C58" s="5">
        <f>C50</f>
        <v>652606.68963584548</v>
      </c>
    </row>
    <row r="59" spans="2:7" ht="14" x14ac:dyDescent="0.3">
      <c r="B59" s="4" t="s">
        <v>105</v>
      </c>
      <c r="C59" s="5">
        <f>G39+G42</f>
        <v>481844.5512794868</v>
      </c>
    </row>
    <row r="60" spans="2:7" ht="14" x14ac:dyDescent="0.3">
      <c r="B60" s="4" t="s">
        <v>106</v>
      </c>
      <c r="C60" s="5">
        <f>C59*C14</f>
        <v>4432969.8717712779</v>
      </c>
    </row>
    <row r="61" spans="2:7" ht="14" x14ac:dyDescent="0.3">
      <c r="B61" s="4" t="s">
        <v>100</v>
      </c>
      <c r="C61" s="5">
        <f>C60*G46</f>
        <v>2945837.916320073</v>
      </c>
    </row>
    <row r="62" spans="2:7" ht="14" x14ac:dyDescent="0.3">
      <c r="B62" s="4" t="s">
        <v>101</v>
      </c>
      <c r="C62" s="5">
        <f>C58+C61</f>
        <v>3598444.6059559183</v>
      </c>
    </row>
    <row r="63" spans="2:7" ht="14" x14ac:dyDescent="0.3">
      <c r="B63" s="4" t="s">
        <v>102</v>
      </c>
      <c r="C63" s="5">
        <f>C62-C16</f>
        <v>3037923.6059559183</v>
      </c>
    </row>
    <row r="64" spans="2:7" ht="14" x14ac:dyDescent="0.3">
      <c r="B64" s="4" t="s">
        <v>107</v>
      </c>
      <c r="C64" s="24">
        <f>ROUND(C63*1000000/C15,0)</f>
        <v>2267</v>
      </c>
    </row>
    <row r="66" spans="2:7" ht="14" x14ac:dyDescent="0.3">
      <c r="B66" s="22" t="s">
        <v>108</v>
      </c>
      <c r="C66" s="23"/>
      <c r="D66" s="23"/>
      <c r="E66" s="23"/>
      <c r="F66" s="23"/>
      <c r="G66" s="23"/>
    </row>
    <row r="67" spans="2:7" ht="14" x14ac:dyDescent="0.3">
      <c r="C67" s="25" t="s">
        <v>109</v>
      </c>
      <c r="D67" s="25" t="s">
        <v>110</v>
      </c>
      <c r="E67" s="25" t="s">
        <v>111</v>
      </c>
      <c r="F67" s="25" t="s">
        <v>112</v>
      </c>
      <c r="G67" s="25" t="s">
        <v>113</v>
      </c>
    </row>
    <row r="68" spans="2:7" ht="14" x14ac:dyDescent="0.3">
      <c r="B68" s="3" t="s">
        <v>40</v>
      </c>
    </row>
    <row r="69" spans="2:7" ht="14" x14ac:dyDescent="0.3">
      <c r="B69" s="4" t="s">
        <v>77</v>
      </c>
      <c r="C69" s="26">
        <v>0.02</v>
      </c>
      <c r="D69" s="26">
        <v>2.5000000000000001E-2</v>
      </c>
      <c r="E69" s="26">
        <v>2.5000000000000001E-2</v>
      </c>
      <c r="F69" s="26">
        <v>2.5000000000000001E-2</v>
      </c>
      <c r="G69" s="26">
        <v>2.5000000000000001E-2</v>
      </c>
    </row>
    <row r="70" spans="2:7" ht="14" x14ac:dyDescent="0.3">
      <c r="B70" s="4" t="s">
        <v>114</v>
      </c>
      <c r="C70" s="26">
        <v>3.5000000000000003E-2</v>
      </c>
      <c r="D70" s="26">
        <v>3.5000000000000003E-2</v>
      </c>
      <c r="E70" s="26">
        <v>0.03</v>
      </c>
      <c r="F70" s="26">
        <v>0.03</v>
      </c>
      <c r="G70" s="26">
        <v>0.03</v>
      </c>
    </row>
    <row r="71" spans="2:7" ht="14" x14ac:dyDescent="0.3">
      <c r="B71" s="4" t="s">
        <v>115</v>
      </c>
      <c r="C71" s="26">
        <v>0.02</v>
      </c>
      <c r="D71" s="26">
        <v>2.5000000000000001E-2</v>
      </c>
      <c r="E71" s="26">
        <v>2.5000000000000001E-2</v>
      </c>
      <c r="F71" s="26">
        <v>2.5000000000000001E-2</v>
      </c>
      <c r="G71" s="26">
        <v>2.5000000000000001E-2</v>
      </c>
    </row>
    <row r="72" spans="2:7" ht="14" x14ac:dyDescent="0.3">
      <c r="B72" s="4" t="s">
        <v>116</v>
      </c>
      <c r="C72" s="26">
        <v>0</v>
      </c>
      <c r="D72" s="26">
        <v>5.0000000000000001E-3</v>
      </c>
      <c r="E72" s="26">
        <v>5.0000000000000001E-3</v>
      </c>
      <c r="F72" s="26">
        <v>5.0000000000000001E-3</v>
      </c>
      <c r="G72" s="26">
        <v>5.0000000000000001E-3</v>
      </c>
    </row>
    <row r="73" spans="2:7" ht="14" x14ac:dyDescent="0.3">
      <c r="B73" s="4" t="s">
        <v>117</v>
      </c>
      <c r="C73" s="26">
        <v>-0.1</v>
      </c>
      <c r="D73" s="26">
        <v>-0.02</v>
      </c>
      <c r="E73" s="26">
        <v>5.0000000000000001E-3</v>
      </c>
      <c r="F73" s="26">
        <v>0.01</v>
      </c>
      <c r="G73" s="26">
        <v>1.4999999999999999E-2</v>
      </c>
    </row>
    <row r="75" spans="2:7" ht="14" x14ac:dyDescent="0.3">
      <c r="B75" s="3" t="s">
        <v>84</v>
      </c>
    </row>
    <row r="76" spans="2:7" ht="14" x14ac:dyDescent="0.3">
      <c r="B76" s="4" t="s">
        <v>77</v>
      </c>
      <c r="C76" s="26">
        <v>0.67200000000000004</v>
      </c>
      <c r="D76" s="26">
        <v>0.67200000000000004</v>
      </c>
      <c r="E76" s="26">
        <v>0.67200000000000004</v>
      </c>
      <c r="F76" s="26">
        <v>0.67200000000000004</v>
      </c>
      <c r="G76" s="26">
        <v>0.67200000000000004</v>
      </c>
    </row>
    <row r="77" spans="2:7" ht="14" x14ac:dyDescent="0.3">
      <c r="B77" s="4" t="s">
        <v>114</v>
      </c>
      <c r="C77" s="26">
        <v>0.66600000000000004</v>
      </c>
      <c r="D77" s="26">
        <v>0.66600000000000004</v>
      </c>
      <c r="E77" s="26">
        <v>0.66600000000000004</v>
      </c>
      <c r="F77" s="26">
        <v>0.66600000000000004</v>
      </c>
      <c r="G77" s="26">
        <v>0.66600000000000004</v>
      </c>
    </row>
    <row r="78" spans="2:7" ht="14" x14ac:dyDescent="0.3">
      <c r="B78" s="4" t="s">
        <v>115</v>
      </c>
      <c r="C78" s="26">
        <v>0.67200000000000004</v>
      </c>
      <c r="D78" s="26">
        <v>0.67200000000000004</v>
      </c>
      <c r="E78" s="26">
        <v>0.67200000000000004</v>
      </c>
      <c r="F78" s="26">
        <v>0.67200000000000004</v>
      </c>
      <c r="G78" s="26">
        <v>0.67200000000000004</v>
      </c>
    </row>
    <row r="79" spans="2:7" ht="14" x14ac:dyDescent="0.3">
      <c r="B79" s="4" t="s">
        <v>116</v>
      </c>
      <c r="C79" s="26">
        <v>0.67800000000000005</v>
      </c>
      <c r="D79" s="26">
        <v>0.67800000000000005</v>
      </c>
      <c r="E79" s="26">
        <v>0.67800000000000005</v>
      </c>
      <c r="F79" s="26">
        <v>0.67800000000000005</v>
      </c>
      <c r="G79" s="26">
        <v>0.67800000000000005</v>
      </c>
    </row>
    <row r="80" spans="2:7" ht="14" x14ac:dyDescent="0.3">
      <c r="B80" s="4" t="s">
        <v>117</v>
      </c>
      <c r="C80" s="26">
        <v>0.69</v>
      </c>
      <c r="D80" s="26">
        <v>0.69</v>
      </c>
      <c r="E80" s="26">
        <v>0.69</v>
      </c>
      <c r="F80" s="26">
        <v>0.69</v>
      </c>
      <c r="G80" s="26">
        <v>0.69</v>
      </c>
    </row>
    <row r="82" spans="2:7" ht="14" x14ac:dyDescent="0.3">
      <c r="B82" s="3" t="s">
        <v>85</v>
      </c>
    </row>
    <row r="83" spans="2:7" ht="14" x14ac:dyDescent="0.3">
      <c r="B83" s="4" t="s">
        <v>77</v>
      </c>
      <c r="C83" s="26">
        <v>0.252801</v>
      </c>
      <c r="D83" s="26">
        <v>0.252801</v>
      </c>
      <c r="E83" s="26">
        <v>0.252801</v>
      </c>
      <c r="F83" s="26">
        <v>0.252801</v>
      </c>
      <c r="G83" s="26">
        <v>0.252801</v>
      </c>
    </row>
    <row r="84" spans="2:7" ht="14" x14ac:dyDescent="0.3">
      <c r="B84" s="4" t="s">
        <v>114</v>
      </c>
      <c r="C84" s="26">
        <v>0.25600000000000001</v>
      </c>
      <c r="D84" s="26">
        <v>0.253</v>
      </c>
      <c r="E84" s="26">
        <v>0.251</v>
      </c>
      <c r="F84" s="26">
        <v>0.2495</v>
      </c>
      <c r="G84" s="26">
        <v>0.24879999999999999</v>
      </c>
    </row>
    <row r="85" spans="2:7" ht="14" x14ac:dyDescent="0.3">
      <c r="B85" s="4" t="s">
        <v>115</v>
      </c>
      <c r="C85" s="26">
        <v>0.252801</v>
      </c>
      <c r="D85" s="26">
        <v>0.252801</v>
      </c>
      <c r="E85" s="26">
        <v>0.252801</v>
      </c>
      <c r="F85" s="26">
        <v>0.252801</v>
      </c>
      <c r="G85" s="26">
        <v>0.252801</v>
      </c>
    </row>
    <row r="86" spans="2:7" ht="14" x14ac:dyDescent="0.3">
      <c r="B86" s="4" t="s">
        <v>116</v>
      </c>
      <c r="C86" s="26">
        <v>0.25700000000000001</v>
      </c>
      <c r="D86" s="26">
        <v>0.26400000000000001</v>
      </c>
      <c r="E86" s="26">
        <v>0.26900000000000002</v>
      </c>
      <c r="F86" s="26">
        <v>0.27200000000000002</v>
      </c>
      <c r="G86" s="26">
        <v>0.27239999999999998</v>
      </c>
    </row>
    <row r="87" spans="2:7" ht="14" x14ac:dyDescent="0.3">
      <c r="B87" s="4" t="s">
        <v>117</v>
      </c>
      <c r="C87" s="26">
        <v>0.27</v>
      </c>
      <c r="D87" s="26">
        <v>0.27500000000000002</v>
      </c>
      <c r="E87" s="26">
        <v>0.27400000000000002</v>
      </c>
      <c r="F87" s="26">
        <v>0.27200000000000002</v>
      </c>
      <c r="G87" s="26">
        <v>0.27</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x14ac:dyDescent="0.4">
      <c r="B2" s="2" t="s">
        <v>118</v>
      </c>
    </row>
    <row r="3" spans="2:9" ht="14" x14ac:dyDescent="0.3">
      <c r="B3" s="1" t="s">
        <v>119</v>
      </c>
    </row>
    <row r="5" spans="2:9" ht="14" x14ac:dyDescent="0.3">
      <c r="B5" s="8" t="s">
        <v>120</v>
      </c>
      <c r="C5" s="9"/>
      <c r="D5" s="9"/>
      <c r="E5" s="9"/>
      <c r="F5" s="9"/>
      <c r="G5" s="9"/>
      <c r="H5" s="9"/>
      <c r="I5" s="9"/>
    </row>
    <row r="6" spans="2:9" ht="14" x14ac:dyDescent="0.3">
      <c r="B6" s="4" t="s">
        <v>121</v>
      </c>
      <c r="C6" s="15">
        <f>'Executive Summary'!C9</f>
        <v>1612</v>
      </c>
    </row>
    <row r="7" spans="2:9" ht="14" x14ac:dyDescent="0.3">
      <c r="B7" s="4" t="s">
        <v>65</v>
      </c>
      <c r="C7" s="15">
        <f>'DCF Model'!C15</f>
        <v>1339960331</v>
      </c>
    </row>
    <row r="8" spans="2:9" ht="14" x14ac:dyDescent="0.3">
      <c r="B8" s="4" t="s">
        <v>122</v>
      </c>
      <c r="C8" s="5">
        <f>C6*C7/1000000</f>
        <v>2160016.053572</v>
      </c>
    </row>
    <row r="9" spans="2:9" ht="14" x14ac:dyDescent="0.3">
      <c r="B9" s="4" t="s">
        <v>66</v>
      </c>
      <c r="C9" s="5">
        <f>'DCF Model'!C16</f>
        <v>560521</v>
      </c>
    </row>
    <row r="10" spans="2:9" ht="14" x14ac:dyDescent="0.3">
      <c r="B10" s="4" t="s">
        <v>123</v>
      </c>
      <c r="C10" s="5">
        <f>C8+C9</f>
        <v>2720537.053572</v>
      </c>
    </row>
    <row r="11" spans="2:9" ht="14" x14ac:dyDescent="0.3">
      <c r="B11" s="4" t="s">
        <v>124</v>
      </c>
      <c r="C11" s="16">
        <f>'DCF Model'!C26</f>
        <v>8.5168519253672095E-2</v>
      </c>
    </row>
    <row r="12" spans="2:9" ht="14" x14ac:dyDescent="0.3">
      <c r="B12" s="4" t="s">
        <v>125</v>
      </c>
      <c r="C12" s="16">
        <f>'DCF Model'!C13</f>
        <v>0.01</v>
      </c>
    </row>
    <row r="13" spans="2:9" ht="14" x14ac:dyDescent="0.3">
      <c r="B13" s="4" t="s">
        <v>126</v>
      </c>
      <c r="C13" s="16">
        <f>'DCF Model'!C6</f>
        <v>0.25</v>
      </c>
    </row>
    <row r="14" spans="2:9" ht="14" x14ac:dyDescent="0.3">
      <c r="B14" s="4" t="s">
        <v>127</v>
      </c>
      <c r="C14" s="27">
        <v>231200</v>
      </c>
    </row>
    <row r="15" spans="2:9" ht="14" x14ac:dyDescent="0.3">
      <c r="B15" s="4" t="s">
        <v>128</v>
      </c>
      <c r="C15" s="27">
        <v>231200</v>
      </c>
    </row>
    <row r="16" spans="2:9" ht="14" x14ac:dyDescent="0.3">
      <c r="B16" s="4" t="s">
        <v>129</v>
      </c>
      <c r="C16" s="5">
        <f>'DCF Model'!G33</f>
        <v>3461551.8163168351</v>
      </c>
    </row>
    <row r="17" spans="2:9" ht="14" x14ac:dyDescent="0.3">
      <c r="B17" s="4" t="s">
        <v>130</v>
      </c>
      <c r="C17" s="5">
        <f>'DCF Model'!C53</f>
        <v>2041824.3547620024</v>
      </c>
    </row>
    <row r="18" spans="2:9" ht="14" x14ac:dyDescent="0.3">
      <c r="B18" s="4" t="s">
        <v>131</v>
      </c>
      <c r="C18" s="26">
        <v>7.5199097090425937E-2</v>
      </c>
    </row>
    <row r="19" spans="2:9" ht="14" x14ac:dyDescent="0.3">
      <c r="B19" s="4" t="s">
        <v>132</v>
      </c>
      <c r="C19" s="5">
        <f>C10-C17</f>
        <v>678712.69880999764</v>
      </c>
    </row>
    <row r="20" spans="2:9" ht="14" x14ac:dyDescent="0.3">
      <c r="B20" s="4" t="s">
        <v>133</v>
      </c>
      <c r="C20" s="15">
        <f>IFERROR(ROUND(C19*1000000/C7,0),"N/A")</f>
        <v>507</v>
      </c>
    </row>
    <row r="22" spans="2:9" ht="14" x14ac:dyDescent="0.3">
      <c r="B22" s="8" t="s">
        <v>134</v>
      </c>
      <c r="C22" s="9"/>
      <c r="D22" s="9"/>
      <c r="E22" s="9"/>
      <c r="F22" s="9"/>
      <c r="G22" s="9"/>
      <c r="H22" s="9"/>
      <c r="I22" s="9"/>
    </row>
    <row r="23" spans="2:9" ht="14" x14ac:dyDescent="0.3">
      <c r="B23" s="1" t="s">
        <v>135</v>
      </c>
    </row>
    <row r="24" spans="2:9" ht="14" x14ac:dyDescent="0.3">
      <c r="B24" s="4" t="s">
        <v>136</v>
      </c>
      <c r="C24" s="5">
        <f>C10*(C11-C12)</f>
        <v>204498.74189175526</v>
      </c>
    </row>
    <row r="25" spans="2:9" ht="14" x14ac:dyDescent="0.3">
      <c r="B25" s="4" t="s">
        <v>137</v>
      </c>
      <c r="C25" s="5">
        <f>IFERROR(C24/(1-C13),"N/A")</f>
        <v>272664.98918900703</v>
      </c>
    </row>
    <row r="26" spans="2:9" ht="13.5" x14ac:dyDescent="0.25">
      <c r="B26" s="6" t="s">
        <v>138</v>
      </c>
      <c r="C26" s="14">
        <f>IFERROR(C25/C15,"N/A")</f>
        <v>1.1793468390527986</v>
      </c>
    </row>
    <row r="27" spans="2:9" ht="13.5" x14ac:dyDescent="0.25">
      <c r="B27" s="6" t="s">
        <v>139</v>
      </c>
      <c r="C27" s="14">
        <f>IFERROR(C25/C14,"N/A")</f>
        <v>1.1793468390527986</v>
      </c>
    </row>
    <row r="28" spans="2:9" ht="13.5" x14ac:dyDescent="0.25">
      <c r="B28" s="6" t="s">
        <v>140</v>
      </c>
      <c r="C28" s="7">
        <f>IFERROR(C25/C16,"N/A")</f>
        <v>7.876958186895737E-2</v>
      </c>
    </row>
    <row r="29" spans="2:9" ht="13.5" x14ac:dyDescent="0.25">
      <c r="B29" s="6" t="s">
        <v>141</v>
      </c>
      <c r="C29" s="5">
        <f>IFERROR(C25/C18,"N/A")</f>
        <v>3625907.7534020245</v>
      </c>
    </row>
    <row r="32" spans="2:9" ht="14" x14ac:dyDescent="0.3">
      <c r="B32" s="8" t="s">
        <v>142</v>
      </c>
      <c r="C32" s="9"/>
      <c r="D32" s="9"/>
      <c r="E32" s="9"/>
      <c r="F32" s="9"/>
      <c r="G32" s="9"/>
      <c r="H32" s="9"/>
      <c r="I32" s="9"/>
    </row>
    <row r="33" spans="2:9" ht="14" x14ac:dyDescent="0.3">
      <c r="B33" s="1" t="s">
        <v>143</v>
      </c>
    </row>
    <row r="34" spans="2:9" ht="14" x14ac:dyDescent="0.3">
      <c r="B34" s="1" t="s">
        <v>144</v>
      </c>
    </row>
    <row r="36" spans="2:9" ht="14" x14ac:dyDescent="0.3">
      <c r="B36" s="28" t="s">
        <v>145</v>
      </c>
      <c r="C36" s="28" t="s">
        <v>146</v>
      </c>
      <c r="D36" s="29">
        <f>'DCF Model'!C26-0.02</f>
        <v>6.5168519253672091E-2</v>
      </c>
      <c r="E36" s="29">
        <f>'DCF Model'!C26-0.01</f>
        <v>7.51685192536721E-2</v>
      </c>
      <c r="F36" s="29">
        <f>'DCF Model'!C26</f>
        <v>8.5168519253672095E-2</v>
      </c>
      <c r="G36" s="29">
        <f>'DCF Model'!C26+0.01</f>
        <v>9.516851925367209E-2</v>
      </c>
      <c r="H36" s="29">
        <f>'DCF Model'!C26+0.02</f>
        <v>0.1051685192536721</v>
      </c>
    </row>
    <row r="37" spans="2:9" ht="14" x14ac:dyDescent="0.3">
      <c r="B37" s="3" t="s">
        <v>147</v>
      </c>
    </row>
    <row r="38" spans="2:9" ht="14" x14ac:dyDescent="0.3">
      <c r="B38" s="4" t="s">
        <v>148</v>
      </c>
      <c r="C38" s="30">
        <v>3</v>
      </c>
      <c r="D38" s="13">
        <f t="shared" ref="D38:H41" si="0">IFERROR((1-(1+D$36)^(-$C38))/D$36-(1+D$36)/(D$36^2*$C38)*(1-($C38+1)/(1+D$36)^$C38+$C38/(1+D$36)^($C38+1)),"N/A")</f>
        <v>0.9196724993810439</v>
      </c>
      <c r="E38" s="13">
        <f t="shared" si="0"/>
        <v>0.90841162829175337</v>
      </c>
      <c r="F38" s="13">
        <f t="shared" si="0"/>
        <v>0.89740773191724865</v>
      </c>
      <c r="G38" s="13">
        <f t="shared" si="0"/>
        <v>0.88665242917395526</v>
      </c>
      <c r="H38" s="13">
        <f t="shared" si="0"/>
        <v>0.87613769044357692</v>
      </c>
    </row>
    <row r="39" spans="2:9" ht="14" x14ac:dyDescent="0.3">
      <c r="B39" s="4" t="s">
        <v>149</v>
      </c>
      <c r="C39" s="30">
        <v>5</v>
      </c>
      <c r="D39" s="13">
        <f t="shared" si="0"/>
        <v>1.7662318173278293</v>
      </c>
      <c r="E39" s="13">
        <f t="shared" si="0"/>
        <v>1.7346053150219278</v>
      </c>
      <c r="F39" s="13">
        <f t="shared" si="0"/>
        <v>1.7039701729033432</v>
      </c>
      <c r="G39" s="13">
        <f t="shared" si="0"/>
        <v>1.6742839547708397</v>
      </c>
      <c r="H39" s="13">
        <f t="shared" si="0"/>
        <v>1.6455064810225202</v>
      </c>
    </row>
    <row r="40" spans="2:9" ht="14" x14ac:dyDescent="0.3">
      <c r="B40" s="4" t="s">
        <v>150</v>
      </c>
      <c r="C40" s="30">
        <v>7</v>
      </c>
      <c r="D40" s="13">
        <f t="shared" si="0"/>
        <v>2.5462032979588338</v>
      </c>
      <c r="E40" s="13">
        <f t="shared" si="0"/>
        <v>2.4869325258444563</v>
      </c>
      <c r="F40" s="13">
        <f t="shared" si="0"/>
        <v>2.4300053274440327</v>
      </c>
      <c r="G40" s="13">
        <f t="shared" si="0"/>
        <v>2.3752982716618689</v>
      </c>
      <c r="H40" s="13">
        <f t="shared" si="0"/>
        <v>2.322695838969985</v>
      </c>
    </row>
    <row r="41" spans="2:9" ht="14" x14ac:dyDescent="0.3">
      <c r="B41" s="4" t="s">
        <v>151</v>
      </c>
      <c r="C41" s="30">
        <v>10</v>
      </c>
      <c r="D41" s="13">
        <f t="shared" si="0"/>
        <v>3.6040706095292454</v>
      </c>
      <c r="E41" s="13">
        <f t="shared" si="0"/>
        <v>3.4929936888555342</v>
      </c>
      <c r="F41" s="13">
        <f t="shared" si="0"/>
        <v>3.3876071112782999</v>
      </c>
      <c r="G41" s="13">
        <f t="shared" si="0"/>
        <v>3.2875304430775873</v>
      </c>
      <c r="H41" s="13">
        <f t="shared" si="0"/>
        <v>3.1924136431261783</v>
      </c>
    </row>
    <row r="42" spans="2:9" ht="14" x14ac:dyDescent="0.3">
      <c r="B42" s="3" t="s">
        <v>152</v>
      </c>
    </row>
    <row r="43" spans="2:9" ht="14" x14ac:dyDescent="0.3">
      <c r="B43" s="4" t="s">
        <v>148</v>
      </c>
      <c r="C43" s="30">
        <v>3</v>
      </c>
      <c r="D43" s="13">
        <f t="shared" ref="D43:H46" si="1">IFERROR((1+D$36)/(D$36^2*$C43)*(1-($C43+1)/(1+D$36)^$C43+$C43/(1+D$36)^($C43+1))+(1+$C$12)/((D$36-$C$12)*(1+D$36)^$C43),"N/A")</f>
        <v>16.876672665060539</v>
      </c>
      <c r="E43" s="13">
        <f t="shared" si="1"/>
        <v>14.160958214016102</v>
      </c>
      <c r="F43" s="13">
        <f t="shared" si="1"/>
        <v>12.170468772552262</v>
      </c>
      <c r="G43" s="13">
        <f t="shared" si="1"/>
        <v>10.649669331180617</v>
      </c>
      <c r="H43" s="13">
        <f t="shared" si="1"/>
        <v>9.4504311246855739</v>
      </c>
    </row>
    <row r="44" spans="2:9" ht="14" x14ac:dyDescent="0.3">
      <c r="B44" s="4" t="s">
        <v>149</v>
      </c>
      <c r="C44" s="30">
        <v>5</v>
      </c>
      <c r="D44" s="13">
        <f t="shared" si="1"/>
        <v>15.739315706415377</v>
      </c>
      <c r="E44" s="13">
        <f t="shared" si="1"/>
        <v>13.096472584550359</v>
      </c>
      <c r="F44" s="13">
        <f t="shared" si="1"/>
        <v>11.163866528252347</v>
      </c>
      <c r="G44" s="13">
        <f t="shared" si="1"/>
        <v>9.6910299513712079</v>
      </c>
      <c r="H44" s="13">
        <f t="shared" si="1"/>
        <v>8.5327833736259997</v>
      </c>
    </row>
    <row r="45" spans="2:9" ht="14" x14ac:dyDescent="0.3">
      <c r="B45" s="4" t="s">
        <v>150</v>
      </c>
      <c r="C45" s="30">
        <v>7</v>
      </c>
      <c r="D45" s="13">
        <f t="shared" si="1"/>
        <v>14.703040904692749</v>
      </c>
      <c r="E45" s="13">
        <f t="shared" si="1"/>
        <v>12.13800821849971</v>
      </c>
      <c r="F45" s="13">
        <f t="shared" si="1"/>
        <v>10.26795927746014</v>
      </c>
      <c r="G45" s="13">
        <f t="shared" si="1"/>
        <v>8.8474370973081591</v>
      </c>
      <c r="H45" s="13">
        <f t="shared" si="1"/>
        <v>7.7341929436864696</v>
      </c>
    </row>
    <row r="46" spans="2:9" ht="14" x14ac:dyDescent="0.3">
      <c r="B46" s="4" t="s">
        <v>151</v>
      </c>
      <c r="C46" s="30">
        <v>10</v>
      </c>
      <c r="D46" s="13">
        <f t="shared" si="1"/>
        <v>13.316579194366586</v>
      </c>
      <c r="E46" s="13">
        <f t="shared" si="1"/>
        <v>10.873702486807737</v>
      </c>
      <c r="F46" s="13">
        <f t="shared" si="1"/>
        <v>9.1023522157070307</v>
      </c>
      <c r="G46" s="13">
        <f t="shared" si="1"/>
        <v>7.7645219898560986</v>
      </c>
      <c r="H46" s="13">
        <f t="shared" si="1"/>
        <v>6.7223580583666145</v>
      </c>
    </row>
    <row r="47" spans="2:9" ht="14" x14ac:dyDescent="0.3">
      <c r="B47" s="22" t="s">
        <v>153</v>
      </c>
      <c r="C47" s="23"/>
      <c r="D47" s="23"/>
      <c r="E47" s="23"/>
      <c r="F47" s="23"/>
      <c r="G47" s="23"/>
      <c r="H47" s="23"/>
      <c r="I47" s="23"/>
    </row>
    <row r="48" spans="2:9" ht="14" x14ac:dyDescent="0.3">
      <c r="B48" s="4" t="s">
        <v>148</v>
      </c>
      <c r="C48" s="30">
        <v>3</v>
      </c>
      <c r="D48" s="5">
        <f t="shared" ref="D48:H51" si="2">IFERROR(($C$10/(1-$C$13)-$C$14*D38)/D43,"N/A")</f>
        <v>202335.76392748349</v>
      </c>
      <c r="E48" s="5">
        <f t="shared" si="2"/>
        <v>241322.50925312005</v>
      </c>
      <c r="F48" s="5">
        <f t="shared" si="2"/>
        <v>281000.02837931336</v>
      </c>
      <c r="G48" s="5">
        <f t="shared" si="2"/>
        <v>321361.02915897552</v>
      </c>
      <c r="H48" s="5">
        <f t="shared" si="2"/>
        <v>362398.25028928433</v>
      </c>
    </row>
    <row r="49" spans="2:9" ht="14" x14ac:dyDescent="0.3">
      <c r="B49" s="4" t="s">
        <v>149</v>
      </c>
      <c r="C49" s="30">
        <v>5</v>
      </c>
      <c r="D49" s="5">
        <f t="shared" si="2"/>
        <v>204521.59432939786</v>
      </c>
      <c r="E49" s="5">
        <f t="shared" si="2"/>
        <v>246351.98282848927</v>
      </c>
      <c r="F49" s="5">
        <f t="shared" si="2"/>
        <v>289633.06090572954</v>
      </c>
      <c r="G49" s="5">
        <f t="shared" si="2"/>
        <v>334359.53701644536</v>
      </c>
      <c r="H49" s="5">
        <f t="shared" si="2"/>
        <v>380525.49766112346</v>
      </c>
    </row>
    <row r="50" spans="2:9" ht="14" x14ac:dyDescent="0.3">
      <c r="B50" s="4" t="s">
        <v>150</v>
      </c>
      <c r="C50" s="30">
        <v>7</v>
      </c>
      <c r="D50" s="5">
        <f t="shared" si="2"/>
        <v>206671.5691879807</v>
      </c>
      <c r="E50" s="5">
        <f t="shared" si="2"/>
        <v>251474.86170495008</v>
      </c>
      <c r="F50" s="5">
        <f t="shared" si="2"/>
        <v>298556.4534834454</v>
      </c>
      <c r="G50" s="5">
        <f t="shared" si="2"/>
        <v>347921.52166013425</v>
      </c>
      <c r="H50" s="5">
        <f t="shared" si="2"/>
        <v>399573.10124372534</v>
      </c>
    </row>
    <row r="51" spans="2:9" ht="14" x14ac:dyDescent="0.3">
      <c r="B51" s="4" t="s">
        <v>151</v>
      </c>
      <c r="C51" s="30">
        <v>10</v>
      </c>
      <c r="D51" s="5">
        <f t="shared" si="2"/>
        <v>209822.77598400475</v>
      </c>
      <c r="E51" s="5">
        <f t="shared" si="2"/>
        <v>259323.13309598636</v>
      </c>
      <c r="F51" s="5">
        <f t="shared" si="2"/>
        <v>312465.16357173672</v>
      </c>
      <c r="G51" s="5">
        <f t="shared" si="2"/>
        <v>369282.96466961288</v>
      </c>
      <c r="H51" s="5">
        <f t="shared" si="2"/>
        <v>429804.04773429513</v>
      </c>
    </row>
    <row r="52" spans="2:9" ht="14" x14ac:dyDescent="0.3">
      <c r="B52" s="22" t="s">
        <v>154</v>
      </c>
      <c r="C52" s="23"/>
      <c r="D52" s="23"/>
      <c r="E52" s="23"/>
      <c r="F52" s="23"/>
      <c r="G52" s="23"/>
      <c r="H52" s="23"/>
      <c r="I52" s="23"/>
    </row>
    <row r="53" spans="2:9" ht="14" x14ac:dyDescent="0.3">
      <c r="B53" s="4" t="s">
        <v>148</v>
      </c>
      <c r="C53" s="30">
        <v>3</v>
      </c>
      <c r="D53" s="14">
        <f t="shared" ref="D53:H56" si="3">IFERROR(D48/$C$15,"N/A")</f>
        <v>0.87515468826766218</v>
      </c>
      <c r="E53" s="14">
        <f t="shared" si="3"/>
        <v>1.0437824794685124</v>
      </c>
      <c r="F53" s="14">
        <f t="shared" si="3"/>
        <v>1.2153980466233276</v>
      </c>
      <c r="G53" s="14">
        <f t="shared" si="3"/>
        <v>1.3899698493035273</v>
      </c>
      <c r="H53" s="14">
        <f t="shared" si="3"/>
        <v>1.567466480489984</v>
      </c>
    </row>
    <row r="54" spans="2:9" ht="14" x14ac:dyDescent="0.3">
      <c r="B54" s="4" t="s">
        <v>149</v>
      </c>
      <c r="C54" s="30">
        <v>5</v>
      </c>
      <c r="D54" s="14">
        <f t="shared" si="3"/>
        <v>0.88460897201296651</v>
      </c>
      <c r="E54" s="14">
        <f t="shared" si="3"/>
        <v>1.0655362579086907</v>
      </c>
      <c r="F54" s="14">
        <f t="shared" si="3"/>
        <v>1.2527381527064427</v>
      </c>
      <c r="G54" s="14">
        <f t="shared" si="3"/>
        <v>1.4461917691022723</v>
      </c>
      <c r="H54" s="14">
        <f t="shared" si="3"/>
        <v>1.6458715296761395</v>
      </c>
    </row>
    <row r="55" spans="2:9" ht="14" x14ac:dyDescent="0.3">
      <c r="B55" s="4" t="s">
        <v>150</v>
      </c>
      <c r="C55" s="30">
        <v>7</v>
      </c>
      <c r="D55" s="14">
        <f t="shared" si="3"/>
        <v>0.89390817122829025</v>
      </c>
      <c r="E55" s="14">
        <f t="shared" si="3"/>
        <v>1.0876940385162202</v>
      </c>
      <c r="F55" s="14">
        <f t="shared" si="3"/>
        <v>1.2913341413643833</v>
      </c>
      <c r="G55" s="14">
        <f t="shared" si="3"/>
        <v>1.5048508722324145</v>
      </c>
      <c r="H55" s="14">
        <f t="shared" si="3"/>
        <v>1.7282573583206113</v>
      </c>
    </row>
    <row r="56" spans="2:9" ht="14" x14ac:dyDescent="0.3">
      <c r="B56" s="4" t="s">
        <v>151</v>
      </c>
      <c r="C56" s="30">
        <v>10</v>
      </c>
      <c r="D56" s="14">
        <f t="shared" si="3"/>
        <v>0.90753795840832507</v>
      </c>
      <c r="E56" s="14">
        <f t="shared" si="3"/>
        <v>1.1216398490310828</v>
      </c>
      <c r="F56" s="14">
        <f t="shared" si="3"/>
        <v>1.3514929220230827</v>
      </c>
      <c r="G56" s="14">
        <f t="shared" si="3"/>
        <v>1.5972446568754881</v>
      </c>
      <c r="H56" s="14">
        <f t="shared" si="3"/>
        <v>1.859014047293664</v>
      </c>
    </row>
    <row r="58" spans="2:9" ht="14" x14ac:dyDescent="0.3">
      <c r="B58" s="8" t="s">
        <v>155</v>
      </c>
      <c r="C58" s="9"/>
      <c r="D58" s="9"/>
      <c r="E58" s="9"/>
      <c r="F58" s="9"/>
      <c r="G58" s="9"/>
      <c r="H58" s="9"/>
      <c r="I58" s="9"/>
    </row>
    <row r="59" spans="2:9" ht="14" x14ac:dyDescent="0.3">
      <c r="B59" s="1" t="s">
        <v>156</v>
      </c>
    </row>
    <row r="60" spans="2:9" ht="14" x14ac:dyDescent="0.3">
      <c r="B60" s="4" t="s">
        <v>157</v>
      </c>
      <c r="C60" s="5">
        <f>F49</f>
        <v>289633.06090572954</v>
      </c>
    </row>
    <row r="62" spans="2:9" ht="14" x14ac:dyDescent="0.3">
      <c r="B62" s="28" t="s">
        <v>158</v>
      </c>
      <c r="C62" s="28" t="s">
        <v>159</v>
      </c>
      <c r="D62" s="28" t="s">
        <v>160</v>
      </c>
    </row>
    <row r="63" spans="2:9" ht="14" x14ac:dyDescent="0.3">
      <c r="B63" s="31">
        <v>3.7600000000000001E-2</v>
      </c>
      <c r="C63" s="5">
        <f>IFERROR($C$60/B63,"N/A")</f>
        <v>7703006.9389821682</v>
      </c>
      <c r="D63" s="14">
        <f>IFERROR(C63/'DCF Model'!C17,"N/A")</f>
        <v>2.5054462227194843</v>
      </c>
    </row>
    <row r="64" spans="2:9" ht="14" x14ac:dyDescent="0.3">
      <c r="B64" s="31">
        <v>5.6399999999999999E-2</v>
      </c>
      <c r="C64" s="5">
        <f>IFERROR($C$60/B64,"N/A")</f>
        <v>5135337.9593214458</v>
      </c>
      <c r="D64" s="14">
        <f>IFERROR(C64/'DCF Model'!C17,"N/A")</f>
        <v>1.6702974818129896</v>
      </c>
    </row>
    <row r="65" spans="2:9" ht="14" x14ac:dyDescent="0.3">
      <c r="B65" s="4" t="s">
        <v>161</v>
      </c>
      <c r="C65" s="5">
        <f>IFERROR($C$60/$C$18,"N/A")</f>
        <v>3851549.7141867215</v>
      </c>
      <c r="D65" s="14">
        <f>IFERROR(C65/'DCF Model'!C17,"N/A")</f>
        <v>1.2527381527064427</v>
      </c>
    </row>
    <row r="66" spans="2:9" ht="14" x14ac:dyDescent="0.3">
      <c r="B66" s="31">
        <v>9.4E-2</v>
      </c>
      <c r="C66" s="5">
        <f>IFERROR($C$60/B66,"N/A")</f>
        <v>3081202.7755928673</v>
      </c>
      <c r="D66" s="14">
        <f>IFERROR(C66/'DCF Model'!C17,"N/A")</f>
        <v>1.0021784890877938</v>
      </c>
    </row>
    <row r="67" spans="2:9" ht="14" x14ac:dyDescent="0.3">
      <c r="B67" s="31">
        <v>0.1128</v>
      </c>
      <c r="C67" s="5">
        <f>IFERROR($C$60/B67,"N/A")</f>
        <v>2567668.9796607229</v>
      </c>
      <c r="D67" s="14">
        <f>IFERROR(C67/'DCF Model'!C17,"N/A")</f>
        <v>0.83514874090649482</v>
      </c>
    </row>
    <row r="69" spans="2:9" ht="14" x14ac:dyDescent="0.3">
      <c r="B69" s="8" t="s">
        <v>162</v>
      </c>
      <c r="C69" s="9"/>
      <c r="D69" s="9"/>
      <c r="E69" s="9"/>
      <c r="F69" s="9"/>
      <c r="G69" s="9"/>
      <c r="H69" s="9"/>
      <c r="I69" s="9"/>
    </row>
    <row r="70" spans="2:9" ht="13.5" x14ac:dyDescent="0.25">
      <c r="B70" s="6" t="s">
        <v>163</v>
      </c>
      <c r="C70" s="14">
        <f>IFERROR(C10/'Comps Analysis'!G5,"N/A")</f>
        <v>6.3631744418632934</v>
      </c>
    </row>
    <row r="71" spans="2:9" ht="13.5" x14ac:dyDescent="0.25">
      <c r="B71" s="6" t="s">
        <v>164</v>
      </c>
      <c r="C71" s="14">
        <f>IFERROR(C10/'Comps Analysis'!F5,"N/A")</f>
        <v>0.8848699395746632</v>
      </c>
    </row>
    <row r="72" spans="2:9" ht="14" x14ac:dyDescent="0.3">
      <c r="B72" s="4" t="s">
        <v>165</v>
      </c>
      <c r="C72" s="14">
        <f>IFERROR(C10/(C25+'DCF Model'!G42),"N/A")</f>
        <v>5.5048833522136551</v>
      </c>
    </row>
    <row r="73" spans="2:9" ht="14" x14ac:dyDescent="0.3">
      <c r="B73" s="4" t="s">
        <v>166</v>
      </c>
      <c r="C73" s="14">
        <f>IFERROR(C10/(C60+'DCF Model'!G42),"N/A")</f>
        <v>5.3221519299225353</v>
      </c>
    </row>
    <row r="74" spans="2:9" ht="14" x14ac:dyDescent="0.3">
      <c r="B74" s="4" t="s">
        <v>167</v>
      </c>
      <c r="C74" s="14">
        <f>IFERROR('Comps Analysis'!D16,"N/A")</f>
        <v>9.2210891708653779</v>
      </c>
    </row>
    <row r="75" spans="2:9" ht="14" x14ac:dyDescent="0.3">
      <c r="B75" s="1" t="s">
        <v>168</v>
      </c>
    </row>
    <row r="77" spans="2:9" ht="14" x14ac:dyDescent="0.3">
      <c r="B77" s="22" t="s">
        <v>169</v>
      </c>
      <c r="C77" s="23"/>
      <c r="D77" s="23"/>
      <c r="E77" s="23"/>
      <c r="F77" s="23"/>
      <c r="G77" s="23"/>
      <c r="H77" s="23"/>
      <c r="I77" s="23"/>
    </row>
    <row r="78" spans="2:9" ht="14" x14ac:dyDescent="0.3">
      <c r="B78" s="4" t="str">
        <f>"At "&amp;TEXT(C6,"#,##0")&amp;" yen the market is paying for a steady-state operating profit of "&amp;TEXT(F49,"#,##0")&amp;" mn JPY - "&amp;TEXT(F54,"0.00")&amp;"x the FY2026 cycle peak of "&amp;TEXT(C15,"#,##0")&amp;" mn - reached in 5 years and sustained for ever, against "&amp;TEXT(C14,"#,##0")&amp;" mn actually earned in FY2026."</f>
        <v>At 1,612 yen the market is paying for a steady-state operating profit of 289,633 mn JPY - 1.25x the FY2026 cycle peak of 231,200 mn - reached in 5 years and sustained for ever, against 231,200 mn actually earned in FY2026.</v>
      </c>
    </row>
    <row r="79" spans="2:9" ht="14"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272,665 mn, or 1.18x the peak. The base case supports an EV of only 2,041,824 mn, leaving 507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43"/>
  <sheetViews>
    <sheetView workbookViewId="0"/>
  </sheetViews>
  <sheetFormatPr defaultRowHeight="13" x14ac:dyDescent="0.2"/>
  <cols>
    <col min="1" max="1" width="3" customWidth="1"/>
    <col min="2" max="2" width="28" customWidth="1"/>
    <col min="3" max="8" width="16" customWidth="1"/>
  </cols>
  <sheetData>
    <row r="2" spans="2:8" ht="18" x14ac:dyDescent="0.4">
      <c r="B2" s="2" t="s">
        <v>170</v>
      </c>
    </row>
    <row r="4" spans="2:8" ht="14" x14ac:dyDescent="0.3">
      <c r="B4" s="8" t="s">
        <v>171</v>
      </c>
      <c r="C4" s="32" t="s">
        <v>172</v>
      </c>
      <c r="D4" s="32" t="s">
        <v>79</v>
      </c>
      <c r="E4" s="32" t="s">
        <v>80</v>
      </c>
      <c r="F4" s="32" t="s">
        <v>81</v>
      </c>
      <c r="G4" s="32" t="s">
        <v>82</v>
      </c>
      <c r="H4" s="32" t="s">
        <v>83</v>
      </c>
    </row>
    <row r="5" spans="2:8" ht="14" x14ac:dyDescent="0.3">
      <c r="B5" s="33" t="s">
        <v>173</v>
      </c>
      <c r="C5" s="34">
        <f>C12/C9*365</f>
        <v>60.998292408046176</v>
      </c>
      <c r="D5" s="34">
        <f>CHOOSE('DCF Model'!$D$27,D25,D26,D27,D28,D29)</f>
        <v>61</v>
      </c>
      <c r="E5" s="34">
        <f>CHOOSE('DCF Model'!$D$27,E25,E26,E27,E28,E29)</f>
        <v>61</v>
      </c>
      <c r="F5" s="34">
        <f>CHOOSE('DCF Model'!$D$27,F25,F26,F27,F28,F29)</f>
        <v>61</v>
      </c>
      <c r="G5" s="34">
        <f>CHOOSE('DCF Model'!$D$27,G25,G26,G27,G28,G29)</f>
        <v>61</v>
      </c>
      <c r="H5" s="34">
        <f>CHOOSE('DCF Model'!$D$27,H25,H26,H27,H28,H29)</f>
        <v>61</v>
      </c>
    </row>
    <row r="6" spans="2:8" ht="14" x14ac:dyDescent="0.3">
      <c r="B6" s="33" t="s">
        <v>174</v>
      </c>
      <c r="C6" s="34">
        <f>C13/C10*365</f>
        <v>140.23321650040444</v>
      </c>
      <c r="D6" s="34">
        <f>CHOOSE('DCF Model'!$D$27,D32,D33,D34,D35,D36)</f>
        <v>128</v>
      </c>
      <c r="E6" s="34">
        <f>CHOOSE('DCF Model'!$D$27,E32,E33,E34,E35,E36)</f>
        <v>128</v>
      </c>
      <c r="F6" s="34">
        <f>CHOOSE('DCF Model'!$D$27,F32,F33,F34,F35,F36)</f>
        <v>128</v>
      </c>
      <c r="G6" s="34">
        <f>CHOOSE('DCF Model'!$D$27,G32,G33,G34,G35,G36)</f>
        <v>128</v>
      </c>
      <c r="H6" s="34">
        <f>CHOOSE('DCF Model'!$D$27,H32,H33,H34,H35,H36)</f>
        <v>128</v>
      </c>
    </row>
    <row r="7" spans="2:8" ht="14" x14ac:dyDescent="0.3">
      <c r="B7" s="33" t="s">
        <v>175</v>
      </c>
      <c r="C7" s="34">
        <f>C15/C10*365</f>
        <v>34.452433379333982</v>
      </c>
      <c r="D7" s="34">
        <f>CHOOSE('DCF Model'!$D$27,D39,D40,D41,D42,D43)</f>
        <v>35</v>
      </c>
      <c r="E7" s="34">
        <f>CHOOSE('DCF Model'!$D$27,E39,E40,E41,E42,E43)</f>
        <v>35</v>
      </c>
      <c r="F7" s="34">
        <f>CHOOSE('DCF Model'!$D$27,F39,F40,F41,F42,F43)</f>
        <v>35</v>
      </c>
      <c r="G7" s="34">
        <f>CHOOSE('DCF Model'!$D$27,G39,G40,G41,G42,G43)</f>
        <v>35</v>
      </c>
      <c r="H7" s="34">
        <f>CHOOSE('DCF Model'!$D$27,H39,H40,H41,H42,H43)</f>
        <v>35</v>
      </c>
    </row>
    <row r="8" spans="2:8" ht="14" x14ac:dyDescent="0.3">
      <c r="B8" s="8" t="s">
        <v>176</v>
      </c>
      <c r="C8" s="9"/>
      <c r="D8" s="9"/>
      <c r="E8" s="9"/>
      <c r="F8" s="9"/>
      <c r="G8" s="9"/>
      <c r="H8" s="9"/>
    </row>
    <row r="9" spans="2:8" ht="14" x14ac:dyDescent="0.3">
      <c r="B9" s="33" t="s">
        <v>31</v>
      </c>
      <c r="C9" s="35">
        <v>3074505</v>
      </c>
      <c r="D9" s="35">
        <f>'DCF Model'!C33</f>
        <v>3135995.1</v>
      </c>
      <c r="E9" s="35">
        <f>'DCF Model'!D33</f>
        <v>3214394.9775</v>
      </c>
      <c r="F9" s="35">
        <f>'DCF Model'!E33</f>
        <v>3294754.8519374998</v>
      </c>
      <c r="G9" s="35">
        <f>'DCF Model'!F33</f>
        <v>3377123.7232359368</v>
      </c>
      <c r="H9" s="35">
        <f>'DCF Model'!G33</f>
        <v>3461551.8163168351</v>
      </c>
    </row>
    <row r="10" spans="2:8" ht="14" x14ac:dyDescent="0.3">
      <c r="B10" s="33" t="s">
        <v>32</v>
      </c>
      <c r="C10" s="35">
        <v>2065913</v>
      </c>
      <c r="D10" s="35">
        <f>'DCF Model'!C34</f>
        <v>2107388.7072000001</v>
      </c>
      <c r="E10" s="35">
        <f>'DCF Model'!D34</f>
        <v>2160073.4248800003</v>
      </c>
      <c r="F10" s="35">
        <f>'DCF Model'!E34</f>
        <v>2214075.2605019999</v>
      </c>
      <c r="G10" s="35">
        <f>'DCF Model'!F34</f>
        <v>2269427.1420145496</v>
      </c>
      <c r="H10" s="35">
        <f>'DCF Model'!G34</f>
        <v>2326162.8205649136</v>
      </c>
    </row>
    <row r="11" spans="2:8" ht="14" x14ac:dyDescent="0.3">
      <c r="B11" s="8" t="s">
        <v>177</v>
      </c>
      <c r="C11" s="9"/>
      <c r="D11" s="9"/>
      <c r="E11" s="9"/>
      <c r="F11" s="9"/>
      <c r="G11" s="9"/>
      <c r="H11" s="9"/>
    </row>
    <row r="12" spans="2:8" ht="14" x14ac:dyDescent="0.3">
      <c r="B12" s="33" t="s">
        <v>178</v>
      </c>
      <c r="C12" s="35">
        <v>513807</v>
      </c>
      <c r="D12" s="35">
        <f t="shared" ref="D12:H13" si="0">D9*D5/365</f>
        <v>524097.81123287667</v>
      </c>
      <c r="E12" s="35">
        <f t="shared" si="0"/>
        <v>537200.25651369861</v>
      </c>
      <c r="F12" s="35">
        <f t="shared" si="0"/>
        <v>550630.26292654104</v>
      </c>
      <c r="G12" s="35">
        <f t="shared" si="0"/>
        <v>564396.01949970447</v>
      </c>
      <c r="H12" s="35">
        <f t="shared" si="0"/>
        <v>578505.91998719715</v>
      </c>
    </row>
    <row r="13" spans="2:8" ht="14" x14ac:dyDescent="0.3">
      <c r="B13" s="33" t="s">
        <v>179</v>
      </c>
      <c r="C13" s="35">
        <v>793725</v>
      </c>
      <c r="D13" s="35">
        <f t="shared" si="0"/>
        <v>739029.46444273973</v>
      </c>
      <c r="E13" s="35">
        <f t="shared" si="0"/>
        <v>757505.20105380833</v>
      </c>
      <c r="F13" s="35">
        <f t="shared" si="0"/>
        <v>776442.83108015335</v>
      </c>
      <c r="G13" s="35">
        <f t="shared" si="0"/>
        <v>795853.90185715712</v>
      </c>
      <c r="H13" s="35">
        <f t="shared" si="0"/>
        <v>815750.24940358615</v>
      </c>
    </row>
    <row r="14" spans="2:8" ht="14" x14ac:dyDescent="0.3">
      <c r="B14" s="33" t="s">
        <v>180</v>
      </c>
      <c r="C14" s="35">
        <f t="shared" ref="C14:H14" si="1">C12+C13</f>
        <v>1307532</v>
      </c>
      <c r="D14" s="35">
        <f t="shared" si="1"/>
        <v>1263127.2756756165</v>
      </c>
      <c r="E14" s="35">
        <f t="shared" si="1"/>
        <v>1294705.4575675069</v>
      </c>
      <c r="F14" s="35">
        <f t="shared" si="1"/>
        <v>1327073.0940066944</v>
      </c>
      <c r="G14" s="35">
        <f t="shared" si="1"/>
        <v>1360249.9213568615</v>
      </c>
      <c r="H14" s="35">
        <f t="shared" si="1"/>
        <v>1394256.1693907832</v>
      </c>
    </row>
    <row r="15" spans="2:8" ht="14" x14ac:dyDescent="0.3">
      <c r="B15" s="33" t="s">
        <v>181</v>
      </c>
      <c r="C15" s="35">
        <v>195002</v>
      </c>
      <c r="D15" s="35">
        <f>D10*D7/365</f>
        <v>202078.36918356165</v>
      </c>
      <c r="E15" s="35">
        <f>E10*E7/365</f>
        <v>207130.32841315068</v>
      </c>
      <c r="F15" s="35">
        <f>F10*F7/365</f>
        <v>212308.58662347944</v>
      </c>
      <c r="G15" s="35">
        <f>G10*G7/365</f>
        <v>217616.30128906638</v>
      </c>
      <c r="H15" s="35">
        <f>H10*H7/365</f>
        <v>223056.70882129311</v>
      </c>
    </row>
    <row r="16" spans="2:8" ht="14" x14ac:dyDescent="0.3">
      <c r="B16" s="33" t="s">
        <v>182</v>
      </c>
      <c r="C16" s="35">
        <f t="shared" ref="C16:H16" si="2">C15</f>
        <v>195002</v>
      </c>
      <c r="D16" s="35">
        <f t="shared" si="2"/>
        <v>202078.36918356165</v>
      </c>
      <c r="E16" s="35">
        <f t="shared" si="2"/>
        <v>207130.32841315068</v>
      </c>
      <c r="F16" s="35">
        <f t="shared" si="2"/>
        <v>212308.58662347944</v>
      </c>
      <c r="G16" s="35">
        <f t="shared" si="2"/>
        <v>217616.30128906638</v>
      </c>
      <c r="H16" s="35">
        <f t="shared" si="2"/>
        <v>223056.70882129311</v>
      </c>
    </row>
    <row r="17" spans="2:8" ht="14" x14ac:dyDescent="0.3">
      <c r="B17" s="22" t="s">
        <v>183</v>
      </c>
      <c r="C17" s="23"/>
      <c r="D17" s="23"/>
      <c r="E17" s="23"/>
      <c r="F17" s="23"/>
      <c r="G17" s="23"/>
      <c r="H17" s="23"/>
    </row>
    <row r="18" spans="2:8" ht="14" x14ac:dyDescent="0.3">
      <c r="B18" s="33" t="s">
        <v>184</v>
      </c>
      <c r="C18" s="20">
        <f t="shared" ref="C18:H18" si="3">C14-C16</f>
        <v>1112530</v>
      </c>
      <c r="D18" s="20">
        <f t="shared" si="3"/>
        <v>1061048.9064920549</v>
      </c>
      <c r="E18" s="20">
        <f t="shared" si="3"/>
        <v>1087575.1291543562</v>
      </c>
      <c r="F18" s="20">
        <f t="shared" si="3"/>
        <v>1114764.507383215</v>
      </c>
      <c r="G18" s="20">
        <f t="shared" si="3"/>
        <v>1142633.620067795</v>
      </c>
      <c r="H18" s="20">
        <f t="shared" si="3"/>
        <v>1171199.46056949</v>
      </c>
    </row>
    <row r="19" spans="2:8" ht="14" x14ac:dyDescent="0.3">
      <c r="B19" s="33" t="s">
        <v>93</v>
      </c>
      <c r="C19" s="36" t="s">
        <v>41</v>
      </c>
      <c r="D19" s="24">
        <f>D18-C18</f>
        <v>-51481.093507945072</v>
      </c>
      <c r="E19" s="24">
        <f>E18-D18</f>
        <v>26526.222662301268</v>
      </c>
      <c r="F19" s="24">
        <f>F18-E18</f>
        <v>27189.378228858812</v>
      </c>
      <c r="G19" s="24">
        <f>G18-F18</f>
        <v>27869.112684580032</v>
      </c>
      <c r="H19" s="24">
        <f>H18-G18</f>
        <v>28565.84050169494</v>
      </c>
    </row>
    <row r="22" spans="2:8" ht="14" x14ac:dyDescent="0.3">
      <c r="B22" s="22" t="s">
        <v>185</v>
      </c>
      <c r="C22" s="23"/>
      <c r="D22" s="23"/>
      <c r="E22" s="23"/>
      <c r="F22" s="23"/>
      <c r="G22" s="23"/>
      <c r="H22" s="23"/>
    </row>
    <row r="23" spans="2:8" ht="14" x14ac:dyDescent="0.3">
      <c r="D23" s="25" t="s">
        <v>79</v>
      </c>
      <c r="E23" s="25" t="s">
        <v>80</v>
      </c>
      <c r="F23" s="25" t="s">
        <v>81</v>
      </c>
      <c r="G23" s="25" t="s">
        <v>82</v>
      </c>
      <c r="H23" s="25" t="s">
        <v>83</v>
      </c>
    </row>
    <row r="24" spans="2:8" ht="14" x14ac:dyDescent="0.3">
      <c r="B24" s="3" t="s">
        <v>186</v>
      </c>
    </row>
    <row r="25" spans="2:8" ht="14" x14ac:dyDescent="0.3">
      <c r="B25" s="4" t="s">
        <v>77</v>
      </c>
      <c r="D25" s="30">
        <v>61</v>
      </c>
      <c r="E25" s="30">
        <v>61</v>
      </c>
      <c r="F25" s="30">
        <v>61</v>
      </c>
      <c r="G25" s="30">
        <v>61</v>
      </c>
      <c r="H25" s="30">
        <v>61</v>
      </c>
    </row>
    <row r="26" spans="2:8" ht="14" x14ac:dyDescent="0.3">
      <c r="B26" s="4" t="s">
        <v>114</v>
      </c>
      <c r="D26" s="30">
        <v>58</v>
      </c>
      <c r="E26" s="30">
        <v>58</v>
      </c>
      <c r="F26" s="30">
        <v>58</v>
      </c>
      <c r="G26" s="30">
        <v>58</v>
      </c>
      <c r="H26" s="30">
        <v>58</v>
      </c>
    </row>
    <row r="27" spans="2:8" ht="14" x14ac:dyDescent="0.3">
      <c r="B27" s="4" t="s">
        <v>115</v>
      </c>
      <c r="D27" s="30">
        <v>61</v>
      </c>
      <c r="E27" s="30">
        <v>61</v>
      </c>
      <c r="F27" s="30">
        <v>61</v>
      </c>
      <c r="G27" s="30">
        <v>61</v>
      </c>
      <c r="H27" s="30">
        <v>61</v>
      </c>
    </row>
    <row r="28" spans="2:8" ht="14" x14ac:dyDescent="0.3">
      <c r="B28" s="4" t="s">
        <v>116</v>
      </c>
      <c r="D28" s="30">
        <v>64</v>
      </c>
      <c r="E28" s="30">
        <v>64</v>
      </c>
      <c r="F28" s="30">
        <v>64</v>
      </c>
      <c r="G28" s="30">
        <v>64</v>
      </c>
      <c r="H28" s="30">
        <v>64</v>
      </c>
    </row>
    <row r="29" spans="2:8" ht="14" x14ac:dyDescent="0.3">
      <c r="B29" s="4" t="s">
        <v>117</v>
      </c>
      <c r="D29" s="30">
        <v>67</v>
      </c>
      <c r="E29" s="30">
        <v>67</v>
      </c>
      <c r="F29" s="30">
        <v>67</v>
      </c>
      <c r="G29" s="30">
        <v>67</v>
      </c>
      <c r="H29" s="30">
        <v>67</v>
      </c>
    </row>
    <row r="31" spans="2:8" ht="14" x14ac:dyDescent="0.3">
      <c r="B31" s="3" t="s">
        <v>187</v>
      </c>
    </row>
    <row r="32" spans="2:8" ht="14" x14ac:dyDescent="0.3">
      <c r="B32" s="4" t="s">
        <v>77</v>
      </c>
      <c r="D32" s="30">
        <v>128</v>
      </c>
      <c r="E32" s="30">
        <v>128</v>
      </c>
      <c r="F32" s="30">
        <v>128</v>
      </c>
      <c r="G32" s="30">
        <v>128</v>
      </c>
      <c r="H32" s="30">
        <v>128</v>
      </c>
    </row>
    <row r="33" spans="2:8" ht="14" x14ac:dyDescent="0.3">
      <c r="B33" s="4" t="s">
        <v>114</v>
      </c>
      <c r="D33" s="30">
        <v>122</v>
      </c>
      <c r="E33" s="30">
        <v>122</v>
      </c>
      <c r="F33" s="30">
        <v>122</v>
      </c>
      <c r="G33" s="30">
        <v>122</v>
      </c>
      <c r="H33" s="30">
        <v>122</v>
      </c>
    </row>
    <row r="34" spans="2:8" ht="14" x14ac:dyDescent="0.3">
      <c r="B34" s="4" t="s">
        <v>115</v>
      </c>
      <c r="D34" s="30">
        <v>128</v>
      </c>
      <c r="E34" s="30">
        <v>128</v>
      </c>
      <c r="F34" s="30">
        <v>128</v>
      </c>
      <c r="G34" s="30">
        <v>128</v>
      </c>
      <c r="H34" s="30">
        <v>128</v>
      </c>
    </row>
    <row r="35" spans="2:8" ht="14" x14ac:dyDescent="0.3">
      <c r="B35" s="4" t="s">
        <v>116</v>
      </c>
      <c r="D35" s="30">
        <v>135</v>
      </c>
      <c r="E35" s="30">
        <v>135</v>
      </c>
      <c r="F35" s="30">
        <v>135</v>
      </c>
      <c r="G35" s="30">
        <v>135</v>
      </c>
      <c r="H35" s="30">
        <v>135</v>
      </c>
    </row>
    <row r="36" spans="2:8" ht="14" x14ac:dyDescent="0.3">
      <c r="B36" s="4" t="s">
        <v>117</v>
      </c>
      <c r="D36" s="30">
        <v>143</v>
      </c>
      <c r="E36" s="30">
        <v>143</v>
      </c>
      <c r="F36" s="30">
        <v>143</v>
      </c>
      <c r="G36" s="30">
        <v>143</v>
      </c>
      <c r="H36" s="30">
        <v>143</v>
      </c>
    </row>
    <row r="38" spans="2:8" ht="14" x14ac:dyDescent="0.3">
      <c r="B38" s="3" t="s">
        <v>188</v>
      </c>
    </row>
    <row r="39" spans="2:8" ht="14" x14ac:dyDescent="0.3">
      <c r="B39" s="4" t="s">
        <v>77</v>
      </c>
      <c r="D39" s="30">
        <v>35</v>
      </c>
      <c r="E39" s="30">
        <v>35</v>
      </c>
      <c r="F39" s="30">
        <v>35</v>
      </c>
      <c r="G39" s="30">
        <v>35</v>
      </c>
      <c r="H39" s="30">
        <v>35</v>
      </c>
    </row>
    <row r="40" spans="2:8" ht="14" x14ac:dyDescent="0.3">
      <c r="B40" s="4" t="s">
        <v>114</v>
      </c>
      <c r="D40" s="30">
        <v>36</v>
      </c>
      <c r="E40" s="30">
        <v>36</v>
      </c>
      <c r="F40" s="30">
        <v>36</v>
      </c>
      <c r="G40" s="30">
        <v>36</v>
      </c>
      <c r="H40" s="30">
        <v>36</v>
      </c>
    </row>
    <row r="41" spans="2:8" ht="14" x14ac:dyDescent="0.3">
      <c r="B41" s="4" t="s">
        <v>115</v>
      </c>
      <c r="D41" s="30">
        <v>35</v>
      </c>
      <c r="E41" s="30">
        <v>35</v>
      </c>
      <c r="F41" s="30">
        <v>35</v>
      </c>
      <c r="G41" s="30">
        <v>35</v>
      </c>
      <c r="H41" s="30">
        <v>35</v>
      </c>
    </row>
    <row r="42" spans="2:8" ht="14" x14ac:dyDescent="0.3">
      <c r="B42" s="4" t="s">
        <v>116</v>
      </c>
      <c r="D42" s="30">
        <v>33</v>
      </c>
      <c r="E42" s="30">
        <v>33</v>
      </c>
      <c r="F42" s="30">
        <v>33</v>
      </c>
      <c r="G42" s="30">
        <v>33</v>
      </c>
      <c r="H42" s="30">
        <v>33</v>
      </c>
    </row>
    <row r="43" spans="2:8" ht="14" x14ac:dyDescent="0.3">
      <c r="B43" s="4" t="s">
        <v>117</v>
      </c>
      <c r="D43" s="30">
        <v>32</v>
      </c>
      <c r="E43" s="30">
        <v>32</v>
      </c>
      <c r="F43" s="30">
        <v>32</v>
      </c>
      <c r="G43" s="30">
        <v>32</v>
      </c>
      <c r="H43" s="30">
        <v>32</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x14ac:dyDescent="0.4">
      <c r="B2" s="2" t="s">
        <v>189</v>
      </c>
    </row>
    <row r="3" spans="2:17" ht="14" x14ac:dyDescent="0.3">
      <c r="B3" s="1" t="s">
        <v>190</v>
      </c>
    </row>
    <row r="4" spans="2:17" ht="28" x14ac:dyDescent="0.3">
      <c r="B4" s="10" t="s">
        <v>3</v>
      </c>
      <c r="C4" s="10" t="s">
        <v>5</v>
      </c>
      <c r="D4" s="10" t="s">
        <v>191</v>
      </c>
      <c r="E4" s="10" t="s">
        <v>192</v>
      </c>
      <c r="F4" s="10" t="s">
        <v>193</v>
      </c>
      <c r="G4" s="10" t="s">
        <v>194</v>
      </c>
      <c r="H4" s="10" t="s">
        <v>195</v>
      </c>
      <c r="I4" s="10" t="s">
        <v>196</v>
      </c>
      <c r="J4" s="10" t="s">
        <v>197</v>
      </c>
      <c r="K4" s="10" t="s">
        <v>198</v>
      </c>
      <c r="L4" s="10" t="s">
        <v>199</v>
      </c>
      <c r="M4" s="10" t="s">
        <v>200</v>
      </c>
      <c r="N4" s="10" t="s">
        <v>201</v>
      </c>
      <c r="O4" s="10" t="s">
        <v>202</v>
      </c>
      <c r="P4" s="10" t="s">
        <v>203</v>
      </c>
      <c r="Q4" s="10" t="s">
        <v>204</v>
      </c>
    </row>
    <row r="5" spans="2:17" ht="14" x14ac:dyDescent="0.3">
      <c r="B5" s="4" t="s">
        <v>205</v>
      </c>
      <c r="C5" t="s">
        <v>206</v>
      </c>
      <c r="D5" s="37">
        <f>'Executive Summary'!C9*C23/1000000</f>
        <v>2160016.053572</v>
      </c>
      <c r="E5" s="37">
        <f>D5+C24</f>
        <v>2720537.053572</v>
      </c>
      <c r="F5" s="37">
        <v>3074505</v>
      </c>
      <c r="G5" s="37">
        <v>427544</v>
      </c>
      <c r="H5" s="37">
        <v>231200</v>
      </c>
      <c r="I5" s="37">
        <v>158794</v>
      </c>
      <c r="J5" s="38">
        <f t="shared" ref="J5:J10" si="0">IFERROR(E5/G5,"")</f>
        <v>6.3631744418632934</v>
      </c>
      <c r="K5" s="38">
        <f t="shared" ref="K5:K10" si="1">IFERROR(E5/F5,"")</f>
        <v>0.8848699395746632</v>
      </c>
      <c r="L5" s="38">
        <f t="shared" ref="L5:L10" si="2">IFERROR(D5/I5,"")</f>
        <v>13.602630159653387</v>
      </c>
      <c r="M5" s="38">
        <f t="shared" ref="M5:M10" si="3">IFERROR(D5/P5,"")</f>
        <v>1.0342630875549867</v>
      </c>
      <c r="N5" s="39">
        <f t="shared" ref="N5:N10" si="4">IFERROR(H5/F5,"")</f>
        <v>7.5199097090425937E-2</v>
      </c>
      <c r="O5" s="39">
        <f t="shared" ref="O5:O10" si="5">IFERROR(I5/P5,"")</f>
        <v>7.6034051901425884E-2</v>
      </c>
      <c r="P5" s="37">
        <v>2088459</v>
      </c>
    </row>
    <row r="6" spans="2:17" ht="14" x14ac:dyDescent="0.3">
      <c r="B6" s="4" t="s">
        <v>207</v>
      </c>
      <c r="C6" t="s">
        <v>208</v>
      </c>
      <c r="D6" s="37">
        <v>982369</v>
      </c>
      <c r="E6" s="37">
        <v>1925235</v>
      </c>
      <c r="F6" s="37">
        <v>2328515</v>
      </c>
      <c r="G6" s="37">
        <v>316084</v>
      </c>
      <c r="H6" s="37">
        <v>195015</v>
      </c>
      <c r="I6" s="37">
        <v>60947</v>
      </c>
      <c r="J6" s="38">
        <f t="shared" si="0"/>
        <v>6.090896723655737</v>
      </c>
      <c r="K6" s="38">
        <f t="shared" si="1"/>
        <v>0.82680807295636916</v>
      </c>
      <c r="L6" s="38">
        <f t="shared" si="2"/>
        <v>16.11841436001772</v>
      </c>
      <c r="M6" s="38">
        <f t="shared" si="3"/>
        <v>0.9739501746899798</v>
      </c>
      <c r="N6" s="39">
        <f t="shared" si="4"/>
        <v>8.3750802550123141E-2</v>
      </c>
      <c r="O6" s="39">
        <f t="shared" si="5"/>
        <v>6.0424688988384406E-2</v>
      </c>
      <c r="P6" s="37">
        <v>1008644</v>
      </c>
    </row>
    <row r="7" spans="2:17" ht="14" x14ac:dyDescent="0.3">
      <c r="B7" s="4" t="s">
        <v>209</v>
      </c>
      <c r="C7" t="s">
        <v>210</v>
      </c>
      <c r="D7" s="37">
        <v>804059</v>
      </c>
      <c r="E7" s="37">
        <v>1361137</v>
      </c>
      <c r="F7" s="37">
        <v>1668754</v>
      </c>
      <c r="G7" s="37">
        <v>156370</v>
      </c>
      <c r="H7" s="37">
        <v>56602</v>
      </c>
      <c r="I7" s="37">
        <v>34378</v>
      </c>
      <c r="J7" s="38">
        <f t="shared" si="0"/>
        <v>8.7045916735946793</v>
      </c>
      <c r="K7" s="38">
        <f t="shared" si="1"/>
        <v>0.81566066658117375</v>
      </c>
      <c r="L7" s="38">
        <f t="shared" si="2"/>
        <v>23.388766071324685</v>
      </c>
      <c r="M7" s="38">
        <f t="shared" si="3"/>
        <v>0.92984144128725021</v>
      </c>
      <c r="N7" s="39">
        <f t="shared" si="4"/>
        <v>3.3918720194828E-2</v>
      </c>
      <c r="O7" s="39">
        <f t="shared" si="5"/>
        <v>3.9755899838908697E-2</v>
      </c>
      <c r="P7" s="37">
        <v>864727</v>
      </c>
    </row>
    <row r="8" spans="2:17" ht="14" x14ac:dyDescent="0.3">
      <c r="B8" s="4" t="s">
        <v>211</v>
      </c>
      <c r="C8" t="s">
        <v>212</v>
      </c>
      <c r="D8" s="37">
        <v>1681376</v>
      </c>
      <c r="E8" s="37">
        <v>3044793</v>
      </c>
      <c r="F8" s="37">
        <v>3703988</v>
      </c>
      <c r="G8" s="37">
        <v>303490</v>
      </c>
      <c r="H8" s="37">
        <v>32333</v>
      </c>
      <c r="I8" s="37">
        <v>11829</v>
      </c>
      <c r="J8" s="38">
        <f t="shared" si="0"/>
        <v>10.032597449668852</v>
      </c>
      <c r="K8" s="38">
        <f t="shared" si="1"/>
        <v>0.8220310108996034</v>
      </c>
      <c r="L8" s="38">
        <f t="shared" si="2"/>
        <v>142.14016400371966</v>
      </c>
      <c r="M8" s="38">
        <f t="shared" si="3"/>
        <v>0.95441894787631087</v>
      </c>
      <c r="N8" s="39">
        <f t="shared" si="4"/>
        <v>8.7292399435419336E-3</v>
      </c>
      <c r="O8" s="39">
        <f t="shared" si="5"/>
        <v>6.7146323811145643E-3</v>
      </c>
      <c r="P8" s="37">
        <v>1761675</v>
      </c>
    </row>
    <row r="9" spans="2:17" ht="14" x14ac:dyDescent="0.3">
      <c r="B9" s="4" t="s">
        <v>213</v>
      </c>
      <c r="C9" t="s">
        <v>214</v>
      </c>
      <c r="D9" s="37">
        <v>2368140</v>
      </c>
      <c r="E9" s="37">
        <v>3084852</v>
      </c>
      <c r="F9" s="37">
        <v>1359611</v>
      </c>
      <c r="G9" s="37">
        <v>320233</v>
      </c>
      <c r="H9" s="37">
        <v>193329</v>
      </c>
      <c r="I9" s="37">
        <v>123891</v>
      </c>
      <c r="J9" s="38">
        <f t="shared" si="0"/>
        <v>9.6331483638475728</v>
      </c>
      <c r="K9" s="38">
        <f t="shared" si="1"/>
        <v>2.2689225079820625</v>
      </c>
      <c r="L9" s="38">
        <f t="shared" si="2"/>
        <v>19.11470566869264</v>
      </c>
      <c r="M9" s="38">
        <f t="shared" si="3"/>
        <v>1.9453126732749719</v>
      </c>
      <c r="N9" s="39">
        <f t="shared" si="4"/>
        <v>0.14219434823637056</v>
      </c>
      <c r="O9" s="39">
        <f t="shared" si="5"/>
        <v>0.10177047488945314</v>
      </c>
      <c r="P9" s="37">
        <v>1217357</v>
      </c>
    </row>
    <row r="10" spans="2:17" ht="14" x14ac:dyDescent="0.3">
      <c r="B10" s="4" t="s">
        <v>215</v>
      </c>
      <c r="C10" t="s">
        <v>216</v>
      </c>
      <c r="D10" s="37">
        <v>3962306</v>
      </c>
      <c r="E10" s="37">
        <v>4818766</v>
      </c>
      <c r="F10" s="37">
        <v>3356969</v>
      </c>
      <c r="G10" s="37">
        <v>522581</v>
      </c>
      <c r="H10" s="37">
        <v>350210</v>
      </c>
      <c r="I10" s="37">
        <v>276415</v>
      </c>
      <c r="J10" s="38">
        <f t="shared" si="0"/>
        <v>9.2210891708653779</v>
      </c>
      <c r="K10" s="38">
        <f t="shared" si="1"/>
        <v>1.4354514444428887</v>
      </c>
      <c r="L10" s="38">
        <f t="shared" si="2"/>
        <v>14.334627281442758</v>
      </c>
      <c r="M10" s="38">
        <f t="shared" si="3"/>
        <v>1.0319714549882149</v>
      </c>
      <c r="N10" s="39">
        <f t="shared" si="4"/>
        <v>0.10432327495428168</v>
      </c>
      <c r="O10" s="39">
        <f t="shared" si="5"/>
        <v>7.1991509421677022E-2</v>
      </c>
      <c r="P10" s="37">
        <v>3839550</v>
      </c>
    </row>
    <row r="14" spans="2:17" ht="14" x14ac:dyDescent="0.3">
      <c r="B14" s="3" t="s">
        <v>217</v>
      </c>
    </row>
    <row r="15" spans="2:17" ht="14" x14ac:dyDescent="0.3">
      <c r="B15" s="4" t="s">
        <v>218</v>
      </c>
      <c r="D15" s="38">
        <f t="shared" ref="D15:I15" si="6">PERCENTILE(J6:J10,0.25)</f>
        <v>8.7045916735946793</v>
      </c>
      <c r="E15" s="38">
        <f t="shared" si="6"/>
        <v>0.8220310108996034</v>
      </c>
      <c r="F15" s="38">
        <f t="shared" si="6"/>
        <v>16.11841436001772</v>
      </c>
      <c r="G15" s="38">
        <f t="shared" si="6"/>
        <v>0.95441894787631087</v>
      </c>
      <c r="H15" s="39">
        <f t="shared" si="6"/>
        <v>3.3918720194828E-2</v>
      </c>
      <c r="I15" s="39">
        <f t="shared" si="6"/>
        <v>3.9755899838908697E-2</v>
      </c>
    </row>
    <row r="16" spans="2:17" ht="14" x14ac:dyDescent="0.3">
      <c r="B16" s="4" t="s">
        <v>219</v>
      </c>
      <c r="D16" s="38">
        <f t="shared" ref="D16:I16" si="7">MEDIAN(J6:J10)</f>
        <v>9.2210891708653779</v>
      </c>
      <c r="E16" s="38">
        <f t="shared" si="7"/>
        <v>0.82680807295636916</v>
      </c>
      <c r="F16" s="38">
        <f t="shared" si="7"/>
        <v>19.11470566869264</v>
      </c>
      <c r="G16" s="38">
        <f t="shared" si="7"/>
        <v>0.9739501746899798</v>
      </c>
      <c r="H16" s="39">
        <f t="shared" si="7"/>
        <v>8.3750802550123141E-2</v>
      </c>
      <c r="I16" s="39">
        <f t="shared" si="7"/>
        <v>6.0424688988384406E-2</v>
      </c>
    </row>
    <row r="17" spans="2:9" ht="14" x14ac:dyDescent="0.3">
      <c r="B17" s="4" t="s">
        <v>220</v>
      </c>
      <c r="D17" s="38">
        <f t="shared" ref="D17:I17" si="8">PERCENTILE(J6:J10,0.75)</f>
        <v>9.6331483638475728</v>
      </c>
      <c r="E17" s="38">
        <f t="shared" si="8"/>
        <v>1.4354514444428887</v>
      </c>
      <c r="F17" s="38">
        <f t="shared" si="8"/>
        <v>23.388766071324685</v>
      </c>
      <c r="G17" s="38">
        <f t="shared" si="8"/>
        <v>1.0319714549882149</v>
      </c>
      <c r="H17" s="39">
        <f t="shared" si="8"/>
        <v>0.10432327495428168</v>
      </c>
      <c r="I17" s="39">
        <f t="shared" si="8"/>
        <v>7.1991509421677022E-2</v>
      </c>
    </row>
    <row r="19" spans="2:9" ht="14" x14ac:dyDescent="0.3">
      <c r="B19" s="22" t="s">
        <v>221</v>
      </c>
      <c r="C19" s="23"/>
      <c r="D19" s="23"/>
      <c r="E19" s="23"/>
      <c r="F19" s="23"/>
      <c r="G19" s="23"/>
      <c r="H19" s="23"/>
      <c r="I19" s="23"/>
    </row>
    <row r="20" spans="2:9" ht="14" x14ac:dyDescent="0.3">
      <c r="B20" s="3" t="s">
        <v>222</v>
      </c>
    </row>
    <row r="21" spans="2:9" ht="14" x14ac:dyDescent="0.3">
      <c r="B21" s="4" t="s">
        <v>223</v>
      </c>
      <c r="C21" s="5">
        <v>427544</v>
      </c>
    </row>
    <row r="22" spans="2:9" ht="14" x14ac:dyDescent="0.3">
      <c r="B22" s="4" t="s">
        <v>224</v>
      </c>
      <c r="C22" s="5">
        <v>158793</v>
      </c>
    </row>
    <row r="23" spans="2:9" ht="14" x14ac:dyDescent="0.3">
      <c r="B23" s="4" t="s">
        <v>225</v>
      </c>
      <c r="C23" s="15">
        <v>1339960331</v>
      </c>
    </row>
    <row r="24" spans="2:9" ht="14" x14ac:dyDescent="0.3">
      <c r="B24" s="4" t="s">
        <v>66</v>
      </c>
      <c r="C24" s="5">
        <v>560521</v>
      </c>
    </row>
    <row r="26" spans="2:9" ht="14" x14ac:dyDescent="0.3">
      <c r="B26" s="3" t="s">
        <v>226</v>
      </c>
    </row>
    <row r="27" spans="2:9" ht="14" x14ac:dyDescent="0.3">
      <c r="B27" s="4" t="s">
        <v>227</v>
      </c>
      <c r="C27" s="24">
        <f>ROUND((C21*D16-C24)*1000000/C23,0)</f>
        <v>2524</v>
      </c>
    </row>
    <row r="28" spans="2:9" ht="14" x14ac:dyDescent="0.3">
      <c r="B28" s="4" t="s">
        <v>228</v>
      </c>
      <c r="C28" s="24">
        <f>ROUND(C22*F16*1000000/C23,0)</f>
        <v>2265</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x14ac:dyDescent="0.4">
      <c r="B2" s="2" t="s">
        <v>229</v>
      </c>
    </row>
    <row r="3" spans="2:9" ht="14" x14ac:dyDescent="0.3">
      <c r="B3" s="4" t="s">
        <v>230</v>
      </c>
      <c r="C3" s="16">
        <f>'DCF Model'!C26</f>
        <v>8.5168519253672095E-2</v>
      </c>
      <c r="E3" s="4" t="s">
        <v>231</v>
      </c>
      <c r="F3" s="16">
        <f>'DCF Model'!C13</f>
        <v>0.01</v>
      </c>
      <c r="H3" s="4" t="s">
        <v>232</v>
      </c>
      <c r="I3" s="14">
        <f>'DCF Model'!C14</f>
        <v>9.1999999999999993</v>
      </c>
    </row>
    <row r="5" spans="2:9" ht="14" x14ac:dyDescent="0.3">
      <c r="B5" s="3" t="s">
        <v>233</v>
      </c>
    </row>
    <row r="6" spans="2:9" ht="14" x14ac:dyDescent="0.3">
      <c r="B6" s="40" t="s">
        <v>234</v>
      </c>
      <c r="C6" s="41">
        <f>$F$3-0.0075</f>
        <v>2.5000000000000005E-3</v>
      </c>
      <c r="D6" s="41">
        <f>$F$3-0.005</f>
        <v>5.0000000000000001E-3</v>
      </c>
      <c r="E6" s="41">
        <f>$F$3-0.0025</f>
        <v>7.4999999999999997E-3</v>
      </c>
      <c r="F6" s="41">
        <f>$F$3</f>
        <v>0.01</v>
      </c>
      <c r="G6" s="41">
        <f>$F$3+0.0025</f>
        <v>1.2500000000000001E-2</v>
      </c>
      <c r="H6" s="41">
        <f>$F$3+0.005</f>
        <v>1.4999999999999999E-2</v>
      </c>
      <c r="I6" s="41">
        <f>$F$3+0.0075</f>
        <v>1.7500000000000002E-2</v>
      </c>
    </row>
    <row r="7" spans="2:9" ht="13.5" x14ac:dyDescent="0.25">
      <c r="B7" s="39">
        <f>$C$3-0.015</f>
        <v>7.0168519253672096E-2</v>
      </c>
      <c r="C7" s="37">
        <f>IFERROR(ROUND(('DCF Model'!C45/(1+$B7)^('DCF Model'!C19+0)+'DCF Model'!D45/(1+$B7)^('DCF Model'!C19+1)+'DCF Model'!E45/(1+$B7)^('DCF Model'!C19+2)+'DCF Model'!F45/(1+$B7)^('DCF Model'!C19+3)+'DCF Model'!G45/(1+$B7)^('DCF Model'!C19+4)+'DCF Model'!G45*(1+C$6)/($B7-C$6)/(1+$B7)^('DCF Model'!C19+4)-'DCF Model'!C16)*1000000/'DCF Model'!C15,0),"")</f>
        <v>1313</v>
      </c>
      <c r="D7" s="37">
        <f>IFERROR(ROUND(('DCF Model'!C45/(1+$B7)^('DCF Model'!C19+0)+'DCF Model'!D45/(1+$B7)^('DCF Model'!C19+1)+'DCF Model'!E45/(1+$B7)^('DCF Model'!C19+2)+'DCF Model'!F45/(1+$B7)^('DCF Model'!C19+3)+'DCF Model'!G45/(1+$B7)^('DCF Model'!C19+4)+'DCF Model'!G45*(1+D$6)/($B7-D$6)/(1+$B7)^('DCF Model'!C19+4)-'DCF Model'!C16)*1000000/'DCF Model'!C15,0),"")</f>
        <v>1363</v>
      </c>
      <c r="E7" s="37">
        <f>IFERROR(ROUND(('DCF Model'!C45/(1+$B7)^('DCF Model'!C19+0)+'DCF Model'!D45/(1+$B7)^('DCF Model'!C19+1)+'DCF Model'!E45/(1+$B7)^('DCF Model'!C19+2)+'DCF Model'!F45/(1+$B7)^('DCF Model'!C19+3)+'DCF Model'!G45/(1+$B7)^('DCF Model'!C19+4)+'DCF Model'!G45*(1+E$6)/($B7-E$6)/(1+$B7)^('DCF Model'!C19+4)-'DCF Model'!C16)*1000000/'DCF Model'!C15,0),"")</f>
        <v>1417</v>
      </c>
      <c r="F7" s="37">
        <f>IFERROR(ROUND(('DCF Model'!C45/(1+$B7)^('DCF Model'!C19+0)+'DCF Model'!D45/(1+$B7)^('DCF Model'!C19+1)+'DCF Model'!E45/(1+$B7)^('DCF Model'!C19+2)+'DCF Model'!F45/(1+$B7)^('DCF Model'!C19+3)+'DCF Model'!G45/(1+$B7)^('DCF Model'!C19+4)+'DCF Model'!G45*(1+F$6)/($B7-F$6)/(1+$B7)^('DCF Model'!C19+4)-'DCF Model'!C16)*1000000/'DCF Model'!C15,0),"")</f>
        <v>1476</v>
      </c>
      <c r="G7" s="37">
        <f>IFERROR(ROUND(('DCF Model'!C45/(1+$B7)^('DCF Model'!C19+0)+'DCF Model'!D45/(1+$B7)^('DCF Model'!C19+1)+'DCF Model'!E45/(1+$B7)^('DCF Model'!C19+2)+'DCF Model'!F45/(1+$B7)^('DCF Model'!C19+3)+'DCF Model'!G45/(1+$B7)^('DCF Model'!C19+4)+'DCF Model'!G45*(1+G$6)/($B7-G$6)/(1+$B7)^('DCF Model'!C19+4)-'DCF Model'!C16)*1000000/'DCF Model'!C15,0),"")</f>
        <v>1540</v>
      </c>
      <c r="H7" s="37">
        <f>IFERROR(ROUND(('DCF Model'!C45/(1+$B7)^('DCF Model'!C19+0)+'DCF Model'!D45/(1+$B7)^('DCF Model'!C19+1)+'DCF Model'!E45/(1+$B7)^('DCF Model'!C19+2)+'DCF Model'!F45/(1+$B7)^('DCF Model'!C19+3)+'DCF Model'!G45/(1+$B7)^('DCF Model'!C19+4)+'DCF Model'!G45*(1+H$6)/($B7-H$6)/(1+$B7)^('DCF Model'!C19+4)-'DCF Model'!C16)*1000000/'DCF Model'!C15,0),"")</f>
        <v>1609</v>
      </c>
      <c r="I7" s="37">
        <f>IFERROR(ROUND(('DCF Model'!C45/(1+$B7)^('DCF Model'!C19+0)+'DCF Model'!D45/(1+$B7)^('DCF Model'!C19+1)+'DCF Model'!E45/(1+$B7)^('DCF Model'!C19+2)+'DCF Model'!F45/(1+$B7)^('DCF Model'!C19+3)+'DCF Model'!G45/(1+$B7)^('DCF Model'!C19+4)+'DCF Model'!G45*(1+I$6)/($B7-I$6)/(1+$B7)^('DCF Model'!C19+4)-'DCF Model'!C16)*1000000/'DCF Model'!C15,0),"")</f>
        <v>1685</v>
      </c>
    </row>
    <row r="8" spans="2:9" ht="13.5" x14ac:dyDescent="0.25">
      <c r="B8" s="39">
        <f>$C$3-0.01</f>
        <v>7.51685192536721E-2</v>
      </c>
      <c r="C8" s="37">
        <f>IFERROR(ROUND(('DCF Model'!C45/(1+$B8)^('DCF Model'!C19+0)+'DCF Model'!D45/(1+$B8)^('DCF Model'!C19+1)+'DCF Model'!E45/(1+$B8)^('DCF Model'!C19+2)+'DCF Model'!F45/(1+$B8)^('DCF Model'!C19+3)+'DCF Model'!G45/(1+$B8)^('DCF Model'!C19+4)+'DCF Model'!G45*(1+C$6)/($B8-C$6)/(1+$B8)^('DCF Model'!C19+4)-'DCF Model'!C16)*1000000/'DCF Model'!C15,0),"")</f>
        <v>1196</v>
      </c>
      <c r="D8" s="37">
        <f>IFERROR(ROUND(('DCF Model'!C45/(1+$B8)^('DCF Model'!C19+0)+'DCF Model'!D45/(1+$B8)^('DCF Model'!C19+1)+'DCF Model'!E45/(1+$B8)^('DCF Model'!C19+2)+'DCF Model'!F45/(1+$B8)^('DCF Model'!C19+3)+'DCF Model'!G45/(1+$B8)^('DCF Model'!C19+4)+'DCF Model'!G45*(1+D$6)/($B8-D$6)/(1+$B8)^('DCF Model'!C19+4)-'DCF Model'!C16)*1000000/'DCF Model'!C15,0),"")</f>
        <v>1239</v>
      </c>
      <c r="E8" s="37">
        <f>IFERROR(ROUND(('DCF Model'!C45/(1+$B8)^('DCF Model'!C19+0)+'DCF Model'!D45/(1+$B8)^('DCF Model'!C19+1)+'DCF Model'!E45/(1+$B8)^('DCF Model'!C19+2)+'DCF Model'!F45/(1+$B8)^('DCF Model'!C19+3)+'DCF Model'!G45/(1+$B8)^('DCF Model'!C19+4)+'DCF Model'!G45*(1+E$6)/($B8-E$6)/(1+$B8)^('DCF Model'!C19+4)-'DCF Model'!C16)*1000000/'DCF Model'!C15,0),"")</f>
        <v>1284</v>
      </c>
      <c r="F8" s="37">
        <f>IFERROR(ROUND(('DCF Model'!C45/(1+$B8)^('DCF Model'!C19+0)+'DCF Model'!D45/(1+$B8)^('DCF Model'!C19+1)+'DCF Model'!E45/(1+$B8)^('DCF Model'!C19+2)+'DCF Model'!F45/(1+$B8)^('DCF Model'!C19+3)+'DCF Model'!G45/(1+$B8)^('DCF Model'!C19+4)+'DCF Model'!G45*(1+F$6)/($B8-F$6)/(1+$B8)^('DCF Model'!C19+4)-'DCF Model'!C16)*1000000/'DCF Model'!C15,0),"")</f>
        <v>1334</v>
      </c>
      <c r="G8" s="37">
        <f>IFERROR(ROUND(('DCF Model'!C45/(1+$B8)^('DCF Model'!C19+0)+'DCF Model'!D45/(1+$B8)^('DCF Model'!C19+1)+'DCF Model'!E45/(1+$B8)^('DCF Model'!C19+2)+'DCF Model'!F45/(1+$B8)^('DCF Model'!C19+3)+'DCF Model'!G45/(1+$B8)^('DCF Model'!C19+4)+'DCF Model'!G45*(1+G$6)/($B8-G$6)/(1+$B8)^('DCF Model'!C19+4)-'DCF Model'!C16)*1000000/'DCF Model'!C15,0),"")</f>
        <v>1387</v>
      </c>
      <c r="H8" s="37">
        <f>IFERROR(ROUND(('DCF Model'!C45/(1+$B8)^('DCF Model'!C19+0)+'DCF Model'!D45/(1+$B8)^('DCF Model'!C19+1)+'DCF Model'!E45/(1+$B8)^('DCF Model'!C19+2)+'DCF Model'!F45/(1+$B8)^('DCF Model'!C19+3)+'DCF Model'!G45/(1+$B8)^('DCF Model'!C19+4)+'DCF Model'!G45*(1+H$6)/($B8-H$6)/(1+$B8)^('DCF Model'!C19+4)-'DCF Model'!C16)*1000000/'DCF Model'!C15,0),"")</f>
        <v>1444</v>
      </c>
      <c r="I8" s="37">
        <f>IFERROR(ROUND(('DCF Model'!C45/(1+$B8)^('DCF Model'!C19+0)+'DCF Model'!D45/(1+$B8)^('DCF Model'!C19+1)+'DCF Model'!E45/(1+$B8)^('DCF Model'!C19+2)+'DCF Model'!F45/(1+$B8)^('DCF Model'!C19+3)+'DCF Model'!G45/(1+$B8)^('DCF Model'!C19+4)+'DCF Model'!G45*(1+I$6)/($B8-I$6)/(1+$B8)^('DCF Model'!C19+4)-'DCF Model'!C16)*1000000/'DCF Model'!C15,0),"")</f>
        <v>1507</v>
      </c>
    </row>
    <row r="9" spans="2:9" ht="13.5" x14ac:dyDescent="0.25">
      <c r="B9" s="39">
        <f>$C$3-0.005</f>
        <v>8.0168519253672091E-2</v>
      </c>
      <c r="C9" s="37">
        <f>IFERROR(ROUND(('DCF Model'!C45/(1+$B9)^('DCF Model'!C19+0)+'DCF Model'!D45/(1+$B9)^('DCF Model'!C19+1)+'DCF Model'!E45/(1+$B9)^('DCF Model'!C19+2)+'DCF Model'!F45/(1+$B9)^('DCF Model'!C19+3)+'DCF Model'!G45/(1+$B9)^('DCF Model'!C19+4)+'DCF Model'!G45*(1+C$6)/($B9-C$6)/(1+$B9)^('DCF Model'!C19+4)-'DCF Model'!C16)*1000000/'DCF Model'!C15,0),"")</f>
        <v>1094</v>
      </c>
      <c r="D9" s="37">
        <f>IFERROR(ROUND(('DCF Model'!C45/(1+$B9)^('DCF Model'!C19+0)+'DCF Model'!D45/(1+$B9)^('DCF Model'!C19+1)+'DCF Model'!E45/(1+$B9)^('DCF Model'!C19+2)+'DCF Model'!F45/(1+$B9)^('DCF Model'!C19+3)+'DCF Model'!G45/(1+$B9)^('DCF Model'!C19+4)+'DCF Model'!G45*(1+D$6)/($B9-D$6)/(1+$B9)^('DCF Model'!C19+4)-'DCF Model'!C16)*1000000/'DCF Model'!C15,0),"")</f>
        <v>1131</v>
      </c>
      <c r="E9" s="37">
        <f>IFERROR(ROUND(('DCF Model'!C45/(1+$B9)^('DCF Model'!C19+0)+'DCF Model'!D45/(1+$B9)^('DCF Model'!C19+1)+'DCF Model'!E45/(1+$B9)^('DCF Model'!C19+2)+'DCF Model'!F45/(1+$B9)^('DCF Model'!C19+3)+'DCF Model'!G45/(1+$B9)^('DCF Model'!C19+4)+'DCF Model'!G45*(1+E$6)/($B9-E$6)/(1+$B9)^('DCF Model'!C19+4)-'DCF Model'!C16)*1000000/'DCF Model'!C15,0),"")</f>
        <v>1170</v>
      </c>
      <c r="F9" s="37">
        <f>IFERROR(ROUND(('DCF Model'!C45/(1+$B9)^('DCF Model'!C19+0)+'DCF Model'!D45/(1+$B9)^('DCF Model'!C19+1)+'DCF Model'!E45/(1+$B9)^('DCF Model'!C19+2)+'DCF Model'!F45/(1+$B9)^('DCF Model'!C19+3)+'DCF Model'!G45/(1+$B9)^('DCF Model'!C19+4)+'DCF Model'!G45*(1+F$6)/($B9-F$6)/(1+$B9)^('DCF Model'!C19+4)-'DCF Model'!C16)*1000000/'DCF Model'!C15,0),"")</f>
        <v>1211</v>
      </c>
      <c r="G9" s="37">
        <f>IFERROR(ROUND(('DCF Model'!C45/(1+$B9)^('DCF Model'!C19+0)+'DCF Model'!D45/(1+$B9)^('DCF Model'!C19+1)+'DCF Model'!E45/(1+$B9)^('DCF Model'!C19+2)+'DCF Model'!F45/(1+$B9)^('DCF Model'!C19+3)+'DCF Model'!G45/(1+$B9)^('DCF Model'!C19+4)+'DCF Model'!G45*(1+G$6)/($B9-G$6)/(1+$B9)^('DCF Model'!C19+4)-'DCF Model'!C16)*1000000/'DCF Model'!C15,0),"")</f>
        <v>1256</v>
      </c>
      <c r="H9" s="37">
        <f>IFERROR(ROUND(('DCF Model'!C45/(1+$B9)^('DCF Model'!C19+0)+'DCF Model'!D45/(1+$B9)^('DCF Model'!C19+1)+'DCF Model'!E45/(1+$B9)^('DCF Model'!C19+2)+'DCF Model'!F45/(1+$B9)^('DCF Model'!C19+3)+'DCF Model'!G45/(1+$B9)^('DCF Model'!C19+4)+'DCF Model'!G45*(1+H$6)/($B9-H$6)/(1+$B9)^('DCF Model'!C19+4)-'DCF Model'!C16)*1000000/'DCF Model'!C15,0),"")</f>
        <v>1305</v>
      </c>
      <c r="I9" s="37">
        <f>IFERROR(ROUND(('DCF Model'!C45/(1+$B9)^('DCF Model'!C19+0)+'DCF Model'!D45/(1+$B9)^('DCF Model'!C19+1)+'DCF Model'!E45/(1+$B9)^('DCF Model'!C19+2)+'DCF Model'!F45/(1+$B9)^('DCF Model'!C19+3)+'DCF Model'!G45/(1+$B9)^('DCF Model'!C19+4)+'DCF Model'!G45*(1+I$6)/($B9-I$6)/(1+$B9)^('DCF Model'!C19+4)-'DCF Model'!C16)*1000000/'DCF Model'!C15,0),"")</f>
        <v>1357</v>
      </c>
    </row>
    <row r="10" spans="2:9" ht="13.5" x14ac:dyDescent="0.25">
      <c r="B10" s="39">
        <f>$C$3</f>
        <v>8.5168519253672095E-2</v>
      </c>
      <c r="C10" s="37">
        <f>IFERROR(ROUND(('DCF Model'!C45/(1+$B10)^('DCF Model'!C19+0)+'DCF Model'!D45/(1+$B10)^('DCF Model'!C19+1)+'DCF Model'!E45/(1+$B10)^('DCF Model'!C19+2)+'DCF Model'!F45/(1+$B10)^('DCF Model'!C19+3)+'DCF Model'!G45/(1+$B10)^('DCF Model'!C19+4)+'DCF Model'!G45*(1+C$6)/($B10-C$6)/(1+$B10)^('DCF Model'!C19+4)-'DCF Model'!C16)*1000000/'DCF Model'!C15,0),"")</f>
        <v>1004</v>
      </c>
      <c r="D10" s="37">
        <f>IFERROR(ROUND(('DCF Model'!C45/(1+$B10)^('DCF Model'!C19+0)+'DCF Model'!D45/(1+$B10)^('DCF Model'!C19+1)+'DCF Model'!E45/(1+$B10)^('DCF Model'!C19+2)+'DCF Model'!F45/(1+$B10)^('DCF Model'!C19+3)+'DCF Model'!G45/(1+$B10)^('DCF Model'!C19+4)+'DCF Model'!G45*(1+D$6)/($B10-D$6)/(1+$B10)^('DCF Model'!C19+4)-'DCF Model'!C16)*1000000/'DCF Model'!C15,0),"")</f>
        <v>1036</v>
      </c>
      <c r="E10" s="37">
        <f>IFERROR(ROUND(('DCF Model'!C45/(1+$B10)^('DCF Model'!C19+0)+'DCF Model'!D45/(1+$B10)^('DCF Model'!C19+1)+'DCF Model'!E45/(1+$B10)^('DCF Model'!C19+2)+'DCF Model'!F45/(1+$B10)^('DCF Model'!C19+3)+'DCF Model'!G45/(1+$B10)^('DCF Model'!C19+4)+'DCF Model'!G45*(1+E$6)/($B10-E$6)/(1+$B10)^('DCF Model'!C19+4)-'DCF Model'!C16)*1000000/'DCF Model'!C15,0),"")</f>
        <v>1070</v>
      </c>
      <c r="F10" s="37">
        <f>IFERROR(ROUND(('DCF Model'!C45/(1+$B10)^('DCF Model'!C19+0)+'DCF Model'!D45/(1+$B10)^('DCF Model'!C19+1)+'DCF Model'!E45/(1+$B10)^('DCF Model'!C19+2)+'DCF Model'!F45/(1+$B10)^('DCF Model'!C19+3)+'DCF Model'!G45/(1+$B10)^('DCF Model'!C19+4)+'DCF Model'!G45*(1+F$6)/($B10-F$6)/(1+$B10)^('DCF Model'!C19+4)-'DCF Model'!C16)*1000000/'DCF Model'!C15,0),"")</f>
        <v>1105</v>
      </c>
      <c r="G10" s="37">
        <f>IFERROR(ROUND(('DCF Model'!C45/(1+$B10)^('DCF Model'!C19+0)+'DCF Model'!D45/(1+$B10)^('DCF Model'!C19+1)+'DCF Model'!E45/(1+$B10)^('DCF Model'!C19+2)+'DCF Model'!F45/(1+$B10)^('DCF Model'!C19+3)+'DCF Model'!G45/(1+$B10)^('DCF Model'!C19+4)+'DCF Model'!G45*(1+G$6)/($B10-G$6)/(1+$B10)^('DCF Model'!C19+4)-'DCF Model'!C16)*1000000/'DCF Model'!C15,0),"")</f>
        <v>1144</v>
      </c>
      <c r="H10" s="37">
        <f>IFERROR(ROUND(('DCF Model'!C45/(1+$B10)^('DCF Model'!C19+0)+'DCF Model'!D45/(1+$B10)^('DCF Model'!C19+1)+'DCF Model'!E45/(1+$B10)^('DCF Model'!C19+2)+'DCF Model'!F45/(1+$B10)^('DCF Model'!C19+3)+'DCF Model'!G45/(1+$B10)^('DCF Model'!C19+4)+'DCF Model'!G45*(1+H$6)/($B10-H$6)/(1+$B10)^('DCF Model'!C19+4)-'DCF Model'!C16)*1000000/'DCF Model'!C15,0),"")</f>
        <v>1185</v>
      </c>
      <c r="I10" s="37">
        <f>IFERROR(ROUND(('DCF Model'!C45/(1+$B10)^('DCF Model'!C19+0)+'DCF Model'!D45/(1+$B10)^('DCF Model'!C19+1)+'DCF Model'!E45/(1+$B10)^('DCF Model'!C19+2)+'DCF Model'!F45/(1+$B10)^('DCF Model'!C19+3)+'DCF Model'!G45/(1+$B10)^('DCF Model'!C19+4)+'DCF Model'!G45*(1+I$6)/($B10-I$6)/(1+$B10)^('DCF Model'!C19+4)-'DCF Model'!C16)*1000000/'DCF Model'!C15,0),"")</f>
        <v>1229</v>
      </c>
    </row>
    <row r="11" spans="2:9" ht="13.5" x14ac:dyDescent="0.25">
      <c r="B11" s="39">
        <f>$C$3+0.005</f>
        <v>9.01685192536721E-2</v>
      </c>
      <c r="C11" s="37">
        <f>IFERROR(ROUND(('DCF Model'!C45/(1+$B11)^('DCF Model'!C19+0)+'DCF Model'!D45/(1+$B11)^('DCF Model'!C19+1)+'DCF Model'!E45/(1+$B11)^('DCF Model'!C19+2)+'DCF Model'!F45/(1+$B11)^('DCF Model'!C19+3)+'DCF Model'!G45/(1+$B11)^('DCF Model'!C19+4)+'DCF Model'!G45*(1+C$6)/($B11-C$6)/(1+$B11)^('DCF Model'!C19+4)-'DCF Model'!C16)*1000000/'DCF Model'!C15,0),"")</f>
        <v>925</v>
      </c>
      <c r="D11" s="37">
        <f>IFERROR(ROUND(('DCF Model'!C45/(1+$B11)^('DCF Model'!C19+0)+'DCF Model'!D45/(1+$B11)^('DCF Model'!C19+1)+'DCF Model'!E45/(1+$B11)^('DCF Model'!C19+2)+'DCF Model'!F45/(1+$B11)^('DCF Model'!C19+3)+'DCF Model'!G45/(1+$B11)^('DCF Model'!C19+4)+'DCF Model'!G45*(1+D$6)/($B11-D$6)/(1+$B11)^('DCF Model'!C19+4)-'DCF Model'!C16)*1000000/'DCF Model'!C15,0),"")</f>
        <v>953</v>
      </c>
      <c r="E11" s="37">
        <f>IFERROR(ROUND(('DCF Model'!C45/(1+$B11)^('DCF Model'!C19+0)+'DCF Model'!D45/(1+$B11)^('DCF Model'!C19+1)+'DCF Model'!E45/(1+$B11)^('DCF Model'!C19+2)+'DCF Model'!F45/(1+$B11)^('DCF Model'!C19+3)+'DCF Model'!G45/(1+$B11)^('DCF Model'!C19+4)+'DCF Model'!G45*(1+E$6)/($B11-E$6)/(1+$B11)^('DCF Model'!C19+4)-'DCF Model'!C16)*1000000/'DCF Model'!C15,0),"")</f>
        <v>982</v>
      </c>
      <c r="F11" s="37">
        <f>IFERROR(ROUND(('DCF Model'!C45/(1+$B11)^('DCF Model'!C19+0)+'DCF Model'!D45/(1+$B11)^('DCF Model'!C19+1)+'DCF Model'!E45/(1+$B11)^('DCF Model'!C19+2)+'DCF Model'!F45/(1+$B11)^('DCF Model'!C19+3)+'DCF Model'!G45/(1+$B11)^('DCF Model'!C19+4)+'DCF Model'!G45*(1+F$6)/($B11-F$6)/(1+$B11)^('DCF Model'!C19+4)-'DCF Model'!C16)*1000000/'DCF Model'!C15,0),"")</f>
        <v>1013</v>
      </c>
      <c r="G11" s="37">
        <f>IFERROR(ROUND(('DCF Model'!C45/(1+$B11)^('DCF Model'!C19+0)+'DCF Model'!D45/(1+$B11)^('DCF Model'!C19+1)+'DCF Model'!E45/(1+$B11)^('DCF Model'!C19+2)+'DCF Model'!F45/(1+$B11)^('DCF Model'!C19+3)+'DCF Model'!G45/(1+$B11)^('DCF Model'!C19+4)+'DCF Model'!G45*(1+G$6)/($B11-G$6)/(1+$B11)^('DCF Model'!C19+4)-'DCF Model'!C16)*1000000/'DCF Model'!C15,0),"")</f>
        <v>1046</v>
      </c>
      <c r="H11" s="37">
        <f>IFERROR(ROUND(('DCF Model'!C45/(1+$B11)^('DCF Model'!C19+0)+'DCF Model'!D45/(1+$B11)^('DCF Model'!C19+1)+'DCF Model'!E45/(1+$B11)^('DCF Model'!C19+2)+'DCF Model'!F45/(1+$B11)^('DCF Model'!C19+3)+'DCF Model'!G45/(1+$B11)^('DCF Model'!C19+4)+'DCF Model'!G45*(1+H$6)/($B11-H$6)/(1+$B11)^('DCF Model'!C19+4)-'DCF Model'!C16)*1000000/'DCF Model'!C15,0),"")</f>
        <v>1081</v>
      </c>
      <c r="I11" s="37">
        <f>IFERROR(ROUND(('DCF Model'!C45/(1+$B11)^('DCF Model'!C19+0)+'DCF Model'!D45/(1+$B11)^('DCF Model'!C19+1)+'DCF Model'!E45/(1+$B11)^('DCF Model'!C19+2)+'DCF Model'!F45/(1+$B11)^('DCF Model'!C19+3)+'DCF Model'!G45/(1+$B11)^('DCF Model'!C19+4)+'DCF Model'!G45*(1+I$6)/($B11-I$6)/(1+$B11)^('DCF Model'!C19+4)-'DCF Model'!C16)*1000000/'DCF Model'!C15,0),"")</f>
        <v>1119</v>
      </c>
    </row>
    <row r="12" spans="2:9" ht="13.5" x14ac:dyDescent="0.25">
      <c r="B12" s="39">
        <f>$C$3+0.01</f>
        <v>9.516851925367209E-2</v>
      </c>
      <c r="C12" s="37">
        <f>IFERROR(ROUND(('DCF Model'!C45/(1+$B12)^('DCF Model'!C19+0)+'DCF Model'!D45/(1+$B12)^('DCF Model'!C19+1)+'DCF Model'!E45/(1+$B12)^('DCF Model'!C19+2)+'DCF Model'!F45/(1+$B12)^('DCF Model'!C19+3)+'DCF Model'!G45/(1+$B12)^('DCF Model'!C19+4)+'DCF Model'!G45*(1+C$6)/($B12-C$6)/(1+$B12)^('DCF Model'!C19+4)-'DCF Model'!C16)*1000000/'DCF Model'!C15,0),"")</f>
        <v>854</v>
      </c>
      <c r="D12" s="37">
        <f>IFERROR(ROUND(('DCF Model'!C45/(1+$B12)^('DCF Model'!C19+0)+'DCF Model'!D45/(1+$B12)^('DCF Model'!C19+1)+'DCF Model'!E45/(1+$B12)^('DCF Model'!C19+2)+'DCF Model'!F45/(1+$B12)^('DCF Model'!C19+3)+'DCF Model'!G45/(1+$B12)^('DCF Model'!C19+4)+'DCF Model'!G45*(1+D$6)/($B12-D$6)/(1+$B12)^('DCF Model'!C19+4)-'DCF Model'!C16)*1000000/'DCF Model'!C15,0),"")</f>
        <v>878</v>
      </c>
      <c r="E12" s="37">
        <f>IFERROR(ROUND(('DCF Model'!C45/(1+$B12)^('DCF Model'!C19+0)+'DCF Model'!D45/(1+$B12)^('DCF Model'!C19+1)+'DCF Model'!E45/(1+$B12)^('DCF Model'!C19+2)+'DCF Model'!F45/(1+$B12)^('DCF Model'!C19+3)+'DCF Model'!G45/(1+$B12)^('DCF Model'!C19+4)+'DCF Model'!G45*(1+E$6)/($B12-E$6)/(1+$B12)^('DCF Model'!C19+4)-'DCF Model'!C16)*1000000/'DCF Model'!C15,0),"")</f>
        <v>904</v>
      </c>
      <c r="F12" s="37">
        <f>IFERROR(ROUND(('DCF Model'!C45/(1+$B12)^('DCF Model'!C19+0)+'DCF Model'!D45/(1+$B12)^('DCF Model'!C19+1)+'DCF Model'!E45/(1+$B12)^('DCF Model'!C19+2)+'DCF Model'!F45/(1+$B12)^('DCF Model'!C19+3)+'DCF Model'!G45/(1+$B12)^('DCF Model'!C19+4)+'DCF Model'!G45*(1+F$6)/($B12-F$6)/(1+$B12)^('DCF Model'!C19+4)-'DCF Model'!C16)*1000000/'DCF Model'!C15,0),"")</f>
        <v>931</v>
      </c>
      <c r="G12" s="37">
        <f>IFERROR(ROUND(('DCF Model'!C45/(1+$B12)^('DCF Model'!C19+0)+'DCF Model'!D45/(1+$B12)^('DCF Model'!C19+1)+'DCF Model'!E45/(1+$B12)^('DCF Model'!C19+2)+'DCF Model'!F45/(1+$B12)^('DCF Model'!C19+3)+'DCF Model'!G45/(1+$B12)^('DCF Model'!C19+4)+'DCF Model'!G45*(1+G$6)/($B12-G$6)/(1+$B12)^('DCF Model'!C19+4)-'DCF Model'!C16)*1000000/'DCF Model'!C15,0),"")</f>
        <v>960</v>
      </c>
      <c r="H12" s="37">
        <f>IFERROR(ROUND(('DCF Model'!C45/(1+$B12)^('DCF Model'!C19+0)+'DCF Model'!D45/(1+$B12)^('DCF Model'!C19+1)+'DCF Model'!E45/(1+$B12)^('DCF Model'!C19+2)+'DCF Model'!F45/(1+$B12)^('DCF Model'!C19+3)+'DCF Model'!G45/(1+$B12)^('DCF Model'!C19+4)+'DCF Model'!G45*(1+H$6)/($B12-H$6)/(1+$B12)^('DCF Model'!C19+4)-'DCF Model'!C16)*1000000/'DCF Model'!C15,0),"")</f>
        <v>990</v>
      </c>
      <c r="I12" s="37">
        <f>IFERROR(ROUND(('DCF Model'!C45/(1+$B12)^('DCF Model'!C19+0)+'DCF Model'!D45/(1+$B12)^('DCF Model'!C19+1)+'DCF Model'!E45/(1+$B12)^('DCF Model'!C19+2)+'DCF Model'!F45/(1+$B12)^('DCF Model'!C19+3)+'DCF Model'!G45/(1+$B12)^('DCF Model'!C19+4)+'DCF Model'!G45*(1+I$6)/($B12-I$6)/(1+$B12)^('DCF Model'!C19+4)-'DCF Model'!C16)*1000000/'DCF Model'!C15,0),"")</f>
        <v>1022</v>
      </c>
    </row>
    <row r="13" spans="2:9" ht="13.5" x14ac:dyDescent="0.25">
      <c r="B13" s="39">
        <f>$C$3+0.015</f>
        <v>0.10016851925367209</v>
      </c>
      <c r="C13" s="37">
        <f>IFERROR(ROUND(('DCF Model'!C45/(1+$B13)^('DCF Model'!C19+0)+'DCF Model'!D45/(1+$B13)^('DCF Model'!C19+1)+'DCF Model'!E45/(1+$B13)^('DCF Model'!C19+2)+'DCF Model'!F45/(1+$B13)^('DCF Model'!C19+3)+'DCF Model'!G45/(1+$B13)^('DCF Model'!C19+4)+'DCF Model'!G45*(1+C$6)/($B13-C$6)/(1+$B13)^('DCF Model'!C19+4)-'DCF Model'!C16)*1000000/'DCF Model'!C15,0),"")</f>
        <v>791</v>
      </c>
      <c r="D13" s="37">
        <f>IFERROR(ROUND(('DCF Model'!C45/(1+$B13)^('DCF Model'!C19+0)+'DCF Model'!D45/(1+$B13)^('DCF Model'!C19+1)+'DCF Model'!E45/(1+$B13)^('DCF Model'!C19+2)+'DCF Model'!F45/(1+$B13)^('DCF Model'!C19+3)+'DCF Model'!G45/(1+$B13)^('DCF Model'!C19+4)+'DCF Model'!G45*(1+D$6)/($B13-D$6)/(1+$B13)^('DCF Model'!C19+4)-'DCF Model'!C16)*1000000/'DCF Model'!C15,0),"")</f>
        <v>812</v>
      </c>
      <c r="E13" s="37">
        <f>IFERROR(ROUND(('DCF Model'!C45/(1+$B13)^('DCF Model'!C19+0)+'DCF Model'!D45/(1+$B13)^('DCF Model'!C19+1)+'DCF Model'!E45/(1+$B13)^('DCF Model'!C19+2)+'DCF Model'!F45/(1+$B13)^('DCF Model'!C19+3)+'DCF Model'!G45/(1+$B13)^('DCF Model'!C19+4)+'DCF Model'!G45*(1+E$6)/($B13-E$6)/(1+$B13)^('DCF Model'!C19+4)-'DCF Model'!C16)*1000000/'DCF Model'!C15,0),"")</f>
        <v>834</v>
      </c>
      <c r="F13" s="37">
        <f>IFERROR(ROUND(('DCF Model'!C45/(1+$B13)^('DCF Model'!C19+0)+'DCF Model'!D45/(1+$B13)^('DCF Model'!C19+1)+'DCF Model'!E45/(1+$B13)^('DCF Model'!C19+2)+'DCF Model'!F45/(1+$B13)^('DCF Model'!C19+3)+'DCF Model'!G45/(1+$B13)^('DCF Model'!C19+4)+'DCF Model'!G45*(1+F$6)/($B13-F$6)/(1+$B13)^('DCF Model'!C19+4)-'DCF Model'!C16)*1000000/'DCF Model'!C15,0),"")</f>
        <v>858</v>
      </c>
      <c r="G13" s="37">
        <f>IFERROR(ROUND(('DCF Model'!C45/(1+$B13)^('DCF Model'!C19+0)+'DCF Model'!D45/(1+$B13)^('DCF Model'!C19+1)+'DCF Model'!E45/(1+$B13)^('DCF Model'!C19+2)+'DCF Model'!F45/(1+$B13)^('DCF Model'!C19+3)+'DCF Model'!G45/(1+$B13)^('DCF Model'!C19+4)+'DCF Model'!G45*(1+G$6)/($B13-G$6)/(1+$B13)^('DCF Model'!C19+4)-'DCF Model'!C16)*1000000/'DCF Model'!C15,0),"")</f>
        <v>883</v>
      </c>
      <c r="H13" s="37">
        <f>IFERROR(ROUND(('DCF Model'!C45/(1+$B13)^('DCF Model'!C19+0)+'DCF Model'!D45/(1+$B13)^('DCF Model'!C19+1)+'DCF Model'!E45/(1+$B13)^('DCF Model'!C19+2)+'DCF Model'!F45/(1+$B13)^('DCF Model'!C19+3)+'DCF Model'!G45/(1+$B13)^('DCF Model'!C19+4)+'DCF Model'!G45*(1+H$6)/($B13-H$6)/(1+$B13)^('DCF Model'!C19+4)-'DCF Model'!C16)*1000000/'DCF Model'!C15,0),"")</f>
        <v>910</v>
      </c>
      <c r="I13" s="37">
        <f>IFERROR(ROUND(('DCF Model'!C45/(1+$B13)^('DCF Model'!C19+0)+'DCF Model'!D45/(1+$B13)^('DCF Model'!C19+1)+'DCF Model'!E45/(1+$B13)^('DCF Model'!C19+2)+'DCF Model'!F45/(1+$B13)^('DCF Model'!C19+3)+'DCF Model'!G45/(1+$B13)^('DCF Model'!C19+4)+'DCF Model'!G45*(1+I$6)/($B13-I$6)/(1+$B13)^('DCF Model'!C19+4)-'DCF Model'!C16)*1000000/'DCF Model'!C15,0),"")</f>
        <v>938</v>
      </c>
    </row>
    <row r="16" spans="2:9" ht="14" x14ac:dyDescent="0.3">
      <c r="B16" s="3" t="s">
        <v>235</v>
      </c>
    </row>
    <row r="17" spans="2:9" ht="14" x14ac:dyDescent="0.3">
      <c r="B17" s="40" t="s">
        <v>236</v>
      </c>
      <c r="C17" s="42">
        <f>$I$3-3</f>
        <v>6.1999999999999993</v>
      </c>
      <c r="D17" s="42">
        <f>$I$3-2</f>
        <v>7.1999999999999993</v>
      </c>
      <c r="E17" s="42">
        <f>$I$3-1</f>
        <v>8.1999999999999993</v>
      </c>
      <c r="F17" s="42">
        <f>$I$3</f>
        <v>9.1999999999999993</v>
      </c>
      <c r="G17" s="42">
        <f>$I$3+1</f>
        <v>10.199999999999999</v>
      </c>
      <c r="H17" s="42">
        <f>$I$3+2</f>
        <v>11.2</v>
      </c>
      <c r="I17" s="42">
        <f>$I$3+3</f>
        <v>12.2</v>
      </c>
    </row>
    <row r="18" spans="2:9" ht="13.5" x14ac:dyDescent="0.25">
      <c r="B18" s="39">
        <f>$C$3-0.015</f>
        <v>7.0168519253672096E-2</v>
      </c>
      <c r="C18" s="37">
        <f>IFERROR(ROUND(('DCF Model'!C45/(1+$B18)^('DCF Model'!C19+0)+'DCF Model'!D45/(1+$B18)^('DCF Model'!C19+1)+'DCF Model'!E45/(1+$B18)^('DCF Model'!C19+2)+'DCF Model'!F45/(1+$B18)^('DCF Model'!C19+3)+'DCF Model'!G45/(1+$B18)^('DCF Model'!C19+4)+('DCF Model'!G39+'DCF Model'!G42)*C$17/(1+$B18)^('DCF Model'!C19+4)-'DCF Model'!C16)*1000000/'DCF Model'!C15,0),"")</f>
        <v>1676</v>
      </c>
      <c r="D18" s="37">
        <f>IFERROR(ROUND(('DCF Model'!C45/(1+$B18)^('DCF Model'!C19+0)+'DCF Model'!D45/(1+$B18)^('DCF Model'!C19+1)+'DCF Model'!E45/(1+$B18)^('DCF Model'!C19+2)+'DCF Model'!F45/(1+$B18)^('DCF Model'!C19+3)+'DCF Model'!G45/(1+$B18)^('DCF Model'!C19+4)+('DCF Model'!G39+'DCF Model'!G42)*D$17/(1+$B18)^('DCF Model'!C19+4)-'DCF Model'!C16)*1000000/'DCF Model'!C15,0),"")</f>
        <v>1932</v>
      </c>
      <c r="E18" s="37">
        <f>IFERROR(ROUND(('DCF Model'!C45/(1+$B18)^('DCF Model'!C19+0)+'DCF Model'!D45/(1+$B18)^('DCF Model'!C19+1)+'DCF Model'!E45/(1+$B18)^('DCF Model'!C19+2)+'DCF Model'!F45/(1+$B18)^('DCF Model'!C19+3)+'DCF Model'!G45/(1+$B18)^('DCF Model'!C19+4)+('DCF Model'!G39+'DCF Model'!G42)*E$17/(1+$B18)^('DCF Model'!C19+4)-'DCF Model'!C16)*1000000/'DCF Model'!C15,0),"")</f>
        <v>2188</v>
      </c>
      <c r="F18" s="37">
        <f>IFERROR(ROUND(('DCF Model'!C45/(1+$B18)^('DCF Model'!C19+0)+'DCF Model'!D45/(1+$B18)^('DCF Model'!C19+1)+'DCF Model'!E45/(1+$B18)^('DCF Model'!C19+2)+'DCF Model'!F45/(1+$B18)^('DCF Model'!C19+3)+'DCF Model'!G45/(1+$B18)^('DCF Model'!C19+4)+('DCF Model'!G39+'DCF Model'!G42)*F$17/(1+$B18)^('DCF Model'!C19+4)-'DCF Model'!C16)*1000000/'DCF Model'!C15,0),"")</f>
        <v>2444</v>
      </c>
      <c r="G18" s="37">
        <f>IFERROR(ROUND(('DCF Model'!C45/(1+$B18)^('DCF Model'!C19+0)+'DCF Model'!D45/(1+$B18)^('DCF Model'!C19+1)+'DCF Model'!E45/(1+$B18)^('DCF Model'!C19+2)+'DCF Model'!F45/(1+$B18)^('DCF Model'!C19+3)+'DCF Model'!G45/(1+$B18)^('DCF Model'!C19+4)+('DCF Model'!G39+'DCF Model'!G42)*G$17/(1+$B18)^('DCF Model'!C19+4)-'DCF Model'!C16)*1000000/'DCF Model'!C15,0),"")</f>
        <v>2700</v>
      </c>
      <c r="H18" s="37">
        <f>IFERROR(ROUND(('DCF Model'!C45/(1+$B18)^('DCF Model'!C19+0)+'DCF Model'!D45/(1+$B18)^('DCF Model'!C19+1)+'DCF Model'!E45/(1+$B18)^('DCF Model'!C19+2)+'DCF Model'!F45/(1+$B18)^('DCF Model'!C19+3)+'DCF Model'!G45/(1+$B18)^('DCF Model'!C19+4)+('DCF Model'!G39+'DCF Model'!G42)*H$17/(1+$B18)^('DCF Model'!C19+4)-'DCF Model'!C16)*1000000/'DCF Model'!C15,0),"")</f>
        <v>2957</v>
      </c>
      <c r="I18" s="37">
        <f>IFERROR(ROUND(('DCF Model'!C45/(1+$B18)^('DCF Model'!C19+0)+'DCF Model'!D45/(1+$B18)^('DCF Model'!C19+1)+'DCF Model'!E45/(1+$B18)^('DCF Model'!C19+2)+'DCF Model'!F45/(1+$B18)^('DCF Model'!C19+3)+'DCF Model'!G45/(1+$B18)^('DCF Model'!C19+4)+('DCF Model'!G39+'DCF Model'!G42)*I$17/(1+$B18)^('DCF Model'!C19+4)-'DCF Model'!C16)*1000000/'DCF Model'!C15,0),"")</f>
        <v>3213</v>
      </c>
    </row>
    <row r="19" spans="2:9" ht="13.5" x14ac:dyDescent="0.25">
      <c r="B19" s="39">
        <f>$C$3-0.01</f>
        <v>7.51685192536721E-2</v>
      </c>
      <c r="C19" s="37">
        <f>IFERROR(ROUND(('DCF Model'!C45/(1+$B19)^('DCF Model'!C19+0)+'DCF Model'!D45/(1+$B19)^('DCF Model'!C19+1)+'DCF Model'!E45/(1+$B19)^('DCF Model'!C19+2)+'DCF Model'!F45/(1+$B19)^('DCF Model'!C19+3)+'DCF Model'!G45/(1+$B19)^('DCF Model'!C19+4)+('DCF Model'!G39+'DCF Model'!G42)*C$17/(1+$B19)^('DCF Model'!C19+4)-'DCF Model'!C16)*1000000/'DCF Model'!C15,0),"")</f>
        <v>1633</v>
      </c>
      <c r="D19" s="37">
        <f>IFERROR(ROUND(('DCF Model'!C45/(1+$B19)^('DCF Model'!C19+0)+'DCF Model'!D45/(1+$B19)^('DCF Model'!C19+1)+'DCF Model'!E45/(1+$B19)^('DCF Model'!C19+2)+'DCF Model'!F45/(1+$B19)^('DCF Model'!C19+3)+'DCF Model'!G45/(1+$B19)^('DCF Model'!C19+4)+('DCF Model'!G39+'DCF Model'!G42)*D$17/(1+$B19)^('DCF Model'!C19+4)-'DCF Model'!C16)*1000000/'DCF Model'!C15,0),"")</f>
        <v>1883</v>
      </c>
      <c r="E19" s="37">
        <f>IFERROR(ROUND(('DCF Model'!C45/(1+$B19)^('DCF Model'!C19+0)+'DCF Model'!D45/(1+$B19)^('DCF Model'!C19+1)+'DCF Model'!E45/(1+$B19)^('DCF Model'!C19+2)+'DCF Model'!F45/(1+$B19)^('DCF Model'!C19+3)+'DCF Model'!G45/(1+$B19)^('DCF Model'!C19+4)+('DCF Model'!G39+'DCF Model'!G42)*E$17/(1+$B19)^('DCF Model'!C19+4)-'DCF Model'!C16)*1000000/'DCF Model'!C15,0),"")</f>
        <v>2133</v>
      </c>
      <c r="F19" s="37">
        <f>IFERROR(ROUND(('DCF Model'!C45/(1+$B19)^('DCF Model'!C19+0)+'DCF Model'!D45/(1+$B19)^('DCF Model'!C19+1)+'DCF Model'!E45/(1+$B19)^('DCF Model'!C19+2)+'DCF Model'!F45/(1+$B19)^('DCF Model'!C19+3)+'DCF Model'!G45/(1+$B19)^('DCF Model'!C19+4)+('DCF Model'!G39+'DCF Model'!G42)*F$17/(1+$B19)^('DCF Model'!C19+4)-'DCF Model'!C16)*1000000/'DCF Model'!C15,0),"")</f>
        <v>2384</v>
      </c>
      <c r="G19" s="37">
        <f>IFERROR(ROUND(('DCF Model'!C45/(1+$B19)^('DCF Model'!C19+0)+'DCF Model'!D45/(1+$B19)^('DCF Model'!C19+1)+'DCF Model'!E45/(1+$B19)^('DCF Model'!C19+2)+'DCF Model'!F45/(1+$B19)^('DCF Model'!C19+3)+'DCF Model'!G45/(1+$B19)^('DCF Model'!C19+4)+('DCF Model'!G39+'DCF Model'!G42)*G$17/(1+$B19)^('DCF Model'!C19+4)-'DCF Model'!C16)*1000000/'DCF Model'!C15,0),"")</f>
        <v>2634</v>
      </c>
      <c r="H19" s="37">
        <f>IFERROR(ROUND(('DCF Model'!C45/(1+$B19)^('DCF Model'!C19+0)+'DCF Model'!D45/(1+$B19)^('DCF Model'!C19+1)+'DCF Model'!E45/(1+$B19)^('DCF Model'!C19+2)+'DCF Model'!F45/(1+$B19)^('DCF Model'!C19+3)+'DCF Model'!G45/(1+$B19)^('DCF Model'!C19+4)+('DCF Model'!G39+'DCF Model'!G42)*H$17/(1+$B19)^('DCF Model'!C19+4)-'DCF Model'!C16)*1000000/'DCF Model'!C15,0),"")</f>
        <v>2884</v>
      </c>
      <c r="I19" s="37">
        <f>IFERROR(ROUND(('DCF Model'!C45/(1+$B19)^('DCF Model'!C19+0)+'DCF Model'!D45/(1+$B19)^('DCF Model'!C19+1)+'DCF Model'!E45/(1+$B19)^('DCF Model'!C19+2)+'DCF Model'!F45/(1+$B19)^('DCF Model'!C19+3)+'DCF Model'!G45/(1+$B19)^('DCF Model'!C19+4)+('DCF Model'!G39+'DCF Model'!G42)*I$17/(1+$B19)^('DCF Model'!C19+4)-'DCF Model'!C16)*1000000/'DCF Model'!C15,0),"")</f>
        <v>3134</v>
      </c>
    </row>
    <row r="20" spans="2:9" ht="13.5" x14ac:dyDescent="0.25">
      <c r="B20" s="39">
        <f>$C$3-0.005</f>
        <v>8.0168519253672091E-2</v>
      </c>
      <c r="C20" s="37">
        <f>IFERROR(ROUND(('DCF Model'!C45/(1+$B20)^('DCF Model'!C19+0)+'DCF Model'!D45/(1+$B20)^('DCF Model'!C19+1)+'DCF Model'!E45/(1+$B20)^('DCF Model'!C19+2)+'DCF Model'!F45/(1+$B20)^('DCF Model'!C19+3)+'DCF Model'!G45/(1+$B20)^('DCF Model'!C19+4)+('DCF Model'!G39+'DCF Model'!G42)*C$17/(1+$B20)^('DCF Model'!C19+4)-'DCF Model'!C16)*1000000/'DCF Model'!C15,0),"")</f>
        <v>1591</v>
      </c>
      <c r="D20" s="37">
        <f>IFERROR(ROUND(('DCF Model'!C45/(1+$B20)^('DCF Model'!C19+0)+'DCF Model'!D45/(1+$B20)^('DCF Model'!C19+1)+'DCF Model'!E45/(1+$B20)^('DCF Model'!C19+2)+'DCF Model'!F45/(1+$B20)^('DCF Model'!C19+3)+'DCF Model'!G45/(1+$B20)^('DCF Model'!C19+4)+('DCF Model'!G39+'DCF Model'!G42)*D$17/(1+$B20)^('DCF Model'!C19+4)-'DCF Model'!C16)*1000000/'DCF Model'!C15,0),"")</f>
        <v>1836</v>
      </c>
      <c r="E20" s="37">
        <f>IFERROR(ROUND(('DCF Model'!C45/(1+$B20)^('DCF Model'!C19+0)+'DCF Model'!D45/(1+$B20)^('DCF Model'!C19+1)+'DCF Model'!E45/(1+$B20)^('DCF Model'!C19+2)+'DCF Model'!F45/(1+$B20)^('DCF Model'!C19+3)+'DCF Model'!G45/(1+$B20)^('DCF Model'!C19+4)+('DCF Model'!G39+'DCF Model'!G42)*E$17/(1+$B20)^('DCF Model'!C19+4)-'DCF Model'!C16)*1000000/'DCF Model'!C15,0),"")</f>
        <v>2080</v>
      </c>
      <c r="F20" s="37">
        <f>IFERROR(ROUND(('DCF Model'!C45/(1+$B20)^('DCF Model'!C19+0)+'DCF Model'!D45/(1+$B20)^('DCF Model'!C19+1)+'DCF Model'!E45/(1+$B20)^('DCF Model'!C19+2)+'DCF Model'!F45/(1+$B20)^('DCF Model'!C19+3)+'DCF Model'!G45/(1+$B20)^('DCF Model'!C19+4)+('DCF Model'!G39+'DCF Model'!G42)*F$17/(1+$B20)^('DCF Model'!C19+4)-'DCF Model'!C16)*1000000/'DCF Model'!C15,0),"")</f>
        <v>2325</v>
      </c>
      <c r="G20" s="37">
        <f>IFERROR(ROUND(('DCF Model'!C45/(1+$B20)^('DCF Model'!C19+0)+'DCF Model'!D45/(1+$B20)^('DCF Model'!C19+1)+'DCF Model'!E45/(1+$B20)^('DCF Model'!C19+2)+'DCF Model'!F45/(1+$B20)^('DCF Model'!C19+3)+'DCF Model'!G45/(1+$B20)^('DCF Model'!C19+4)+('DCF Model'!G39+'DCF Model'!G42)*G$17/(1+$B20)^('DCF Model'!C19+4)-'DCF Model'!C16)*1000000/'DCF Model'!C15,0),"")</f>
        <v>2569</v>
      </c>
      <c r="H20" s="37">
        <f>IFERROR(ROUND(('DCF Model'!C45/(1+$B20)^('DCF Model'!C19+0)+'DCF Model'!D45/(1+$B20)^('DCF Model'!C19+1)+'DCF Model'!E45/(1+$B20)^('DCF Model'!C19+2)+'DCF Model'!F45/(1+$B20)^('DCF Model'!C19+3)+'DCF Model'!G45/(1+$B20)^('DCF Model'!C19+4)+('DCF Model'!G39+'DCF Model'!G42)*H$17/(1+$B20)^('DCF Model'!C19+4)-'DCF Model'!C16)*1000000/'DCF Model'!C15,0),"")</f>
        <v>2814</v>
      </c>
      <c r="I20" s="37">
        <f>IFERROR(ROUND(('DCF Model'!C45/(1+$B20)^('DCF Model'!C19+0)+'DCF Model'!D45/(1+$B20)^('DCF Model'!C19+1)+'DCF Model'!E45/(1+$B20)^('DCF Model'!C19+2)+'DCF Model'!F45/(1+$B20)^('DCF Model'!C19+3)+'DCF Model'!G45/(1+$B20)^('DCF Model'!C19+4)+('DCF Model'!G39+'DCF Model'!G42)*I$17/(1+$B20)^('DCF Model'!C19+4)-'DCF Model'!C16)*1000000/'DCF Model'!C15,0),"")</f>
        <v>3058</v>
      </c>
    </row>
    <row r="21" spans="2:9" ht="13.5" x14ac:dyDescent="0.25">
      <c r="B21" s="39">
        <f>$C$3</f>
        <v>8.5168519253672095E-2</v>
      </c>
      <c r="C21" s="37">
        <f>IFERROR(ROUND(('DCF Model'!C45/(1+$B21)^('DCF Model'!C19+0)+'DCF Model'!D45/(1+$B21)^('DCF Model'!C19+1)+'DCF Model'!E45/(1+$B21)^('DCF Model'!C19+2)+'DCF Model'!F45/(1+$B21)^('DCF Model'!C19+3)+'DCF Model'!G45/(1+$B21)^('DCF Model'!C19+4)+('DCF Model'!G39+'DCF Model'!G42)*C$17/(1+$B21)^('DCF Model'!C19+4)-'DCF Model'!C16)*1000000/'DCF Model'!C15,0),"")</f>
        <v>1550</v>
      </c>
      <c r="D21" s="37">
        <f>IFERROR(ROUND(('DCF Model'!C45/(1+$B21)^('DCF Model'!C19+0)+'DCF Model'!D45/(1+$B21)^('DCF Model'!C19+1)+'DCF Model'!E45/(1+$B21)^('DCF Model'!C19+2)+'DCF Model'!F45/(1+$B21)^('DCF Model'!C19+3)+'DCF Model'!G45/(1+$B21)^('DCF Model'!C19+4)+('DCF Model'!G39+'DCF Model'!G42)*D$17/(1+$B21)^('DCF Model'!C19+4)-'DCF Model'!C16)*1000000/'DCF Model'!C15,0),"")</f>
        <v>1789</v>
      </c>
      <c r="E21" s="37">
        <f>IFERROR(ROUND(('DCF Model'!C45/(1+$B21)^('DCF Model'!C19+0)+'DCF Model'!D45/(1+$B21)^('DCF Model'!C19+1)+'DCF Model'!E45/(1+$B21)^('DCF Model'!C19+2)+'DCF Model'!F45/(1+$B21)^('DCF Model'!C19+3)+'DCF Model'!G45/(1+$B21)^('DCF Model'!C19+4)+('DCF Model'!G39+'DCF Model'!G42)*E$17/(1+$B21)^('DCF Model'!C19+4)-'DCF Model'!C16)*1000000/'DCF Model'!C15,0),"")</f>
        <v>2028</v>
      </c>
      <c r="F21" s="37">
        <f>IFERROR(ROUND(('DCF Model'!C45/(1+$B21)^('DCF Model'!C19+0)+'DCF Model'!D45/(1+$B21)^('DCF Model'!C19+1)+'DCF Model'!E45/(1+$B21)^('DCF Model'!C19+2)+'DCF Model'!F45/(1+$B21)^('DCF Model'!C19+3)+'DCF Model'!G45/(1+$B21)^('DCF Model'!C19+4)+('DCF Model'!G39+'DCF Model'!G42)*F$17/(1+$B21)^('DCF Model'!C19+4)-'DCF Model'!C16)*1000000/'DCF Model'!C15,0),"")</f>
        <v>2267</v>
      </c>
      <c r="G21" s="37">
        <f>IFERROR(ROUND(('DCF Model'!C45/(1+$B21)^('DCF Model'!C19+0)+'DCF Model'!D45/(1+$B21)^('DCF Model'!C19+1)+'DCF Model'!E45/(1+$B21)^('DCF Model'!C19+2)+'DCF Model'!F45/(1+$B21)^('DCF Model'!C19+3)+'DCF Model'!G45/(1+$B21)^('DCF Model'!C19+4)+('DCF Model'!G39+'DCF Model'!G42)*G$17/(1+$B21)^('DCF Model'!C19+4)-'DCF Model'!C16)*1000000/'DCF Model'!C15,0),"")</f>
        <v>2506</v>
      </c>
      <c r="H21" s="37">
        <f>IFERROR(ROUND(('DCF Model'!C45/(1+$B21)^('DCF Model'!C19+0)+'DCF Model'!D45/(1+$B21)^('DCF Model'!C19+1)+'DCF Model'!E45/(1+$B21)^('DCF Model'!C19+2)+'DCF Model'!F45/(1+$B21)^('DCF Model'!C19+3)+'DCF Model'!G45/(1+$B21)^('DCF Model'!C19+4)+('DCF Model'!G39+'DCF Model'!G42)*H$17/(1+$B21)^('DCF Model'!C19+4)-'DCF Model'!C16)*1000000/'DCF Model'!C15,0),"")</f>
        <v>2745</v>
      </c>
      <c r="I21" s="37">
        <f>IFERROR(ROUND(('DCF Model'!C45/(1+$B21)^('DCF Model'!C19+0)+'DCF Model'!D45/(1+$B21)^('DCF Model'!C19+1)+'DCF Model'!E45/(1+$B21)^('DCF Model'!C19+2)+'DCF Model'!F45/(1+$B21)^('DCF Model'!C19+3)+'DCF Model'!G45/(1+$B21)^('DCF Model'!C19+4)+('DCF Model'!G39+'DCF Model'!G42)*I$17/(1+$B21)^('DCF Model'!C19+4)-'DCF Model'!C16)*1000000/'DCF Model'!C15,0),"")</f>
        <v>2984</v>
      </c>
    </row>
    <row r="22" spans="2:9" ht="13.5" x14ac:dyDescent="0.25">
      <c r="B22" s="39">
        <f>$C$3+0.005</f>
        <v>9.01685192536721E-2</v>
      </c>
      <c r="C22" s="37">
        <f>IFERROR(ROUND(('DCF Model'!C45/(1+$B22)^('DCF Model'!C19+0)+'DCF Model'!D45/(1+$B22)^('DCF Model'!C19+1)+'DCF Model'!E45/(1+$B22)^('DCF Model'!C19+2)+'DCF Model'!F45/(1+$B22)^('DCF Model'!C19+3)+'DCF Model'!G45/(1+$B22)^('DCF Model'!C19+4)+('DCF Model'!G39+'DCF Model'!G42)*C$17/(1+$B22)^('DCF Model'!C19+4)-'DCF Model'!C16)*1000000/'DCF Model'!C15,0),"")</f>
        <v>1511</v>
      </c>
      <c r="D22" s="37">
        <f>IFERROR(ROUND(('DCF Model'!C45/(1+$B22)^('DCF Model'!C19+0)+'DCF Model'!D45/(1+$B22)^('DCF Model'!C19+1)+'DCF Model'!E45/(1+$B22)^('DCF Model'!C19+2)+'DCF Model'!F45/(1+$B22)^('DCF Model'!C19+3)+'DCF Model'!G45/(1+$B22)^('DCF Model'!C19+4)+('DCF Model'!G39+'DCF Model'!G42)*D$17/(1+$B22)^('DCF Model'!C19+4)-'DCF Model'!C16)*1000000/'DCF Model'!C15,0),"")</f>
        <v>1744</v>
      </c>
      <c r="E22" s="37">
        <f>IFERROR(ROUND(('DCF Model'!C45/(1+$B22)^('DCF Model'!C19+0)+'DCF Model'!D45/(1+$B22)^('DCF Model'!C19+1)+'DCF Model'!E45/(1+$B22)^('DCF Model'!C19+2)+'DCF Model'!F45/(1+$B22)^('DCF Model'!C19+3)+'DCF Model'!G45/(1+$B22)^('DCF Model'!C19+4)+('DCF Model'!G39+'DCF Model'!G42)*E$17/(1+$B22)^('DCF Model'!C19+4)-'DCF Model'!C16)*1000000/'DCF Model'!C15,0),"")</f>
        <v>1978</v>
      </c>
      <c r="F22" s="37">
        <f>IFERROR(ROUND(('DCF Model'!C45/(1+$B22)^('DCF Model'!C19+0)+'DCF Model'!D45/(1+$B22)^('DCF Model'!C19+1)+'DCF Model'!E45/(1+$B22)^('DCF Model'!C19+2)+'DCF Model'!F45/(1+$B22)^('DCF Model'!C19+3)+'DCF Model'!G45/(1+$B22)^('DCF Model'!C19+4)+('DCF Model'!G39+'DCF Model'!G42)*F$17/(1+$B22)^('DCF Model'!C19+4)-'DCF Model'!C16)*1000000/'DCF Model'!C15,0),"")</f>
        <v>2211</v>
      </c>
      <c r="G22" s="37">
        <f>IFERROR(ROUND(('DCF Model'!C45/(1+$B22)^('DCF Model'!C19+0)+'DCF Model'!D45/(1+$B22)^('DCF Model'!C19+1)+'DCF Model'!E45/(1+$B22)^('DCF Model'!C19+2)+'DCF Model'!F45/(1+$B22)^('DCF Model'!C19+3)+'DCF Model'!G45/(1+$B22)^('DCF Model'!C19+4)+('DCF Model'!G39+'DCF Model'!G42)*G$17/(1+$B22)^('DCF Model'!C19+4)-'DCF Model'!C16)*1000000/'DCF Model'!C15,0),"")</f>
        <v>2445</v>
      </c>
      <c r="H22" s="37">
        <f>IFERROR(ROUND(('DCF Model'!C45/(1+$B22)^('DCF Model'!C19+0)+'DCF Model'!D45/(1+$B22)^('DCF Model'!C19+1)+'DCF Model'!E45/(1+$B22)^('DCF Model'!C19+2)+'DCF Model'!F45/(1+$B22)^('DCF Model'!C19+3)+'DCF Model'!G45/(1+$B22)^('DCF Model'!C19+4)+('DCF Model'!G39+'DCF Model'!G42)*H$17/(1+$B22)^('DCF Model'!C19+4)-'DCF Model'!C16)*1000000/'DCF Model'!C15,0),"")</f>
        <v>2678</v>
      </c>
      <c r="I22" s="37">
        <f>IFERROR(ROUND(('DCF Model'!C45/(1+$B22)^('DCF Model'!C19+0)+'DCF Model'!D45/(1+$B22)^('DCF Model'!C19+1)+'DCF Model'!E45/(1+$B22)^('DCF Model'!C19+2)+'DCF Model'!F45/(1+$B22)^('DCF Model'!C19+3)+'DCF Model'!G45/(1+$B22)^('DCF Model'!C19+4)+('DCF Model'!G39+'DCF Model'!G42)*I$17/(1+$B22)^('DCF Model'!C19+4)-'DCF Model'!C16)*1000000/'DCF Model'!C15,0),"")</f>
        <v>2912</v>
      </c>
    </row>
    <row r="23" spans="2:9" ht="13.5" x14ac:dyDescent="0.25">
      <c r="B23" s="39">
        <f>$C$3+0.01</f>
        <v>9.516851925367209E-2</v>
      </c>
      <c r="C23" s="37">
        <f>IFERROR(ROUND(('DCF Model'!C45/(1+$B23)^('DCF Model'!C19+0)+'DCF Model'!D45/(1+$B23)^('DCF Model'!C19+1)+'DCF Model'!E45/(1+$B23)^('DCF Model'!C19+2)+'DCF Model'!F45/(1+$B23)^('DCF Model'!C19+3)+'DCF Model'!G45/(1+$B23)^('DCF Model'!C19+4)+('DCF Model'!G39+'DCF Model'!G42)*C$17/(1+$B23)^('DCF Model'!C19+4)-'DCF Model'!C16)*1000000/'DCF Model'!C15,0),"")</f>
        <v>1472</v>
      </c>
      <c r="D23" s="37">
        <f>IFERROR(ROUND(('DCF Model'!C45/(1+$B23)^('DCF Model'!C19+0)+'DCF Model'!D45/(1+$B23)^('DCF Model'!C19+1)+'DCF Model'!E45/(1+$B23)^('DCF Model'!C19+2)+'DCF Model'!F45/(1+$B23)^('DCF Model'!C19+3)+'DCF Model'!G45/(1+$B23)^('DCF Model'!C19+4)+('DCF Model'!G39+'DCF Model'!G42)*D$17/(1+$B23)^('DCF Model'!C19+4)-'DCF Model'!C16)*1000000/'DCF Model'!C15,0),"")</f>
        <v>1700</v>
      </c>
      <c r="E23" s="37">
        <f>IFERROR(ROUND(('DCF Model'!C45/(1+$B23)^('DCF Model'!C19+0)+'DCF Model'!D45/(1+$B23)^('DCF Model'!C19+1)+'DCF Model'!E45/(1+$B23)^('DCF Model'!C19+2)+'DCF Model'!F45/(1+$B23)^('DCF Model'!C19+3)+'DCF Model'!G45/(1+$B23)^('DCF Model'!C19+4)+('DCF Model'!G39+'DCF Model'!G42)*E$17/(1+$B23)^('DCF Model'!C19+4)-'DCF Model'!C16)*1000000/'DCF Model'!C15,0),"")</f>
        <v>1929</v>
      </c>
      <c r="F23" s="37">
        <f>IFERROR(ROUND(('DCF Model'!C45/(1+$B23)^('DCF Model'!C19+0)+'DCF Model'!D45/(1+$B23)^('DCF Model'!C19+1)+'DCF Model'!E45/(1+$B23)^('DCF Model'!C19+2)+'DCF Model'!F45/(1+$B23)^('DCF Model'!C19+3)+'DCF Model'!G45/(1+$B23)^('DCF Model'!C19+4)+('DCF Model'!G39+'DCF Model'!G42)*F$17/(1+$B23)^('DCF Model'!C19+4)-'DCF Model'!C16)*1000000/'DCF Model'!C15,0),"")</f>
        <v>2157</v>
      </c>
      <c r="G23" s="37">
        <f>IFERROR(ROUND(('DCF Model'!C45/(1+$B23)^('DCF Model'!C19+0)+'DCF Model'!D45/(1+$B23)^('DCF Model'!C19+1)+'DCF Model'!E45/(1+$B23)^('DCF Model'!C19+2)+'DCF Model'!F45/(1+$B23)^('DCF Model'!C19+3)+'DCF Model'!G45/(1+$B23)^('DCF Model'!C19+4)+('DCF Model'!G39+'DCF Model'!G42)*G$17/(1+$B23)^('DCF Model'!C19+4)-'DCF Model'!C16)*1000000/'DCF Model'!C15,0),"")</f>
        <v>2385</v>
      </c>
      <c r="H23" s="37">
        <f>IFERROR(ROUND(('DCF Model'!C45/(1+$B23)^('DCF Model'!C19+0)+'DCF Model'!D45/(1+$B23)^('DCF Model'!C19+1)+'DCF Model'!E45/(1+$B23)^('DCF Model'!C19+2)+'DCF Model'!F45/(1+$B23)^('DCF Model'!C19+3)+'DCF Model'!G45/(1+$B23)^('DCF Model'!C19+4)+('DCF Model'!G39+'DCF Model'!G42)*H$17/(1+$B23)^('DCF Model'!C19+4)-'DCF Model'!C16)*1000000/'DCF Model'!C15,0),"")</f>
        <v>2613</v>
      </c>
      <c r="I23" s="37">
        <f>IFERROR(ROUND(('DCF Model'!C45/(1+$B23)^('DCF Model'!C19+0)+'DCF Model'!D45/(1+$B23)^('DCF Model'!C19+1)+'DCF Model'!E45/(1+$B23)^('DCF Model'!C19+2)+'DCF Model'!F45/(1+$B23)^('DCF Model'!C19+3)+'DCF Model'!G45/(1+$B23)^('DCF Model'!C19+4)+('DCF Model'!G39+'DCF Model'!G42)*I$17/(1+$B23)^('DCF Model'!C19+4)-'DCF Model'!C16)*1000000/'DCF Model'!C15,0),"")</f>
        <v>2842</v>
      </c>
    </row>
    <row r="24" spans="2:9" ht="13.5" x14ac:dyDescent="0.25">
      <c r="B24" s="39">
        <f>$C$3+0.015</f>
        <v>0.10016851925367209</v>
      </c>
      <c r="C24" s="37">
        <f>IFERROR(ROUND(('DCF Model'!C45/(1+$B24)^('DCF Model'!C19+0)+'DCF Model'!D45/(1+$B24)^('DCF Model'!C19+1)+'DCF Model'!E45/(1+$B24)^('DCF Model'!C19+2)+'DCF Model'!F45/(1+$B24)^('DCF Model'!C19+3)+'DCF Model'!G45/(1+$B24)^('DCF Model'!C19+4)+('DCF Model'!G39+'DCF Model'!G42)*C$17/(1+$B24)^('DCF Model'!C19+4)-'DCF Model'!C16)*1000000/'DCF Model'!C15,0),"")</f>
        <v>1435</v>
      </c>
      <c r="D24" s="37">
        <f>IFERROR(ROUND(('DCF Model'!C45/(1+$B24)^('DCF Model'!C19+0)+'DCF Model'!D45/(1+$B24)^('DCF Model'!C19+1)+'DCF Model'!E45/(1+$B24)^('DCF Model'!C19+2)+'DCF Model'!F45/(1+$B24)^('DCF Model'!C19+3)+'DCF Model'!G45/(1+$B24)^('DCF Model'!C19+4)+('DCF Model'!G39+'DCF Model'!G42)*D$17/(1+$B24)^('DCF Model'!C19+4)-'DCF Model'!C16)*1000000/'DCF Model'!C15,0),"")</f>
        <v>1658</v>
      </c>
      <c r="E24" s="37">
        <f>IFERROR(ROUND(('DCF Model'!C45/(1+$B24)^('DCF Model'!C19+0)+'DCF Model'!D45/(1+$B24)^('DCF Model'!C19+1)+'DCF Model'!E45/(1+$B24)^('DCF Model'!C19+2)+'DCF Model'!F45/(1+$B24)^('DCF Model'!C19+3)+'DCF Model'!G45/(1+$B24)^('DCF Model'!C19+4)+('DCF Model'!G39+'DCF Model'!G42)*E$17/(1+$B24)^('DCF Model'!C19+4)-'DCF Model'!C16)*1000000/'DCF Model'!C15,0),"")</f>
        <v>1881</v>
      </c>
      <c r="F24" s="37">
        <f>IFERROR(ROUND(('DCF Model'!C45/(1+$B24)^('DCF Model'!C19+0)+'DCF Model'!D45/(1+$B24)^('DCF Model'!C19+1)+'DCF Model'!E45/(1+$B24)^('DCF Model'!C19+2)+'DCF Model'!F45/(1+$B24)^('DCF Model'!C19+3)+'DCF Model'!G45/(1+$B24)^('DCF Model'!C19+4)+('DCF Model'!G39+'DCF Model'!G42)*F$17/(1+$B24)^('DCF Model'!C19+4)-'DCF Model'!C16)*1000000/'DCF Model'!C15,0),"")</f>
        <v>2104</v>
      </c>
      <c r="G24" s="37">
        <f>IFERROR(ROUND(('DCF Model'!C45/(1+$B24)^('DCF Model'!C19+0)+'DCF Model'!D45/(1+$B24)^('DCF Model'!C19+1)+'DCF Model'!E45/(1+$B24)^('DCF Model'!C19+2)+'DCF Model'!F45/(1+$B24)^('DCF Model'!C19+3)+'DCF Model'!G45/(1+$B24)^('DCF Model'!C19+4)+('DCF Model'!G39+'DCF Model'!G42)*G$17/(1+$B24)^('DCF Model'!C19+4)-'DCF Model'!C16)*1000000/'DCF Model'!C15,0),"")</f>
        <v>2327</v>
      </c>
      <c r="H24" s="37">
        <f>IFERROR(ROUND(('DCF Model'!C45/(1+$B24)^('DCF Model'!C19+0)+'DCF Model'!D45/(1+$B24)^('DCF Model'!C19+1)+'DCF Model'!E45/(1+$B24)^('DCF Model'!C19+2)+'DCF Model'!F45/(1+$B24)^('DCF Model'!C19+3)+'DCF Model'!G45/(1+$B24)^('DCF Model'!C19+4)+('DCF Model'!G39+'DCF Model'!G42)*H$17/(1+$B24)^('DCF Model'!C19+4)-'DCF Model'!C16)*1000000/'DCF Model'!C15,0),"")</f>
        <v>2550</v>
      </c>
      <c r="I24" s="37">
        <f>IFERROR(ROUND(('DCF Model'!C45/(1+$B24)^('DCF Model'!C19+0)+'DCF Model'!D45/(1+$B24)^('DCF Model'!C19+1)+'DCF Model'!E45/(1+$B24)^('DCF Model'!C19+2)+'DCF Model'!F45/(1+$B24)^('DCF Model'!C19+3)+'DCF Model'!G45/(1+$B24)^('DCF Model'!C19+4)+('DCF Model'!G39+'DCF Model'!G42)*I$17/(1+$B24)^('DCF Model'!C19+4)-'DCF Model'!C16)*1000000/'DCF Model'!C15,0),"")</f>
        <v>2773</v>
      </c>
    </row>
    <row r="26" spans="2:9" ht="14" x14ac:dyDescent="0.3">
      <c r="B26" s="45" t="s">
        <v>237</v>
      </c>
      <c r="C26" s="44"/>
      <c r="D26" s="44"/>
      <c r="E26" s="44"/>
      <c r="F26" s="44"/>
      <c r="G26" s="44"/>
      <c r="H26" s="44"/>
      <c r="I26" s="44"/>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64"/>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x14ac:dyDescent="0.4">
      <c r="B2" s="2" t="s">
        <v>238</v>
      </c>
    </row>
    <row r="4" spans="2:7" ht="14" x14ac:dyDescent="0.3">
      <c r="B4" s="10" t="s">
        <v>239</v>
      </c>
      <c r="C4" s="10" t="s">
        <v>240</v>
      </c>
      <c r="D4" s="10" t="s">
        <v>241</v>
      </c>
      <c r="E4" s="10" t="s">
        <v>242</v>
      </c>
      <c r="F4" s="10" t="s">
        <v>243</v>
      </c>
      <c r="G4" s="10" t="s">
        <v>244</v>
      </c>
    </row>
    <row r="5" spans="2:7" x14ac:dyDescent="0.2">
      <c r="B5" t="s">
        <v>245</v>
      </c>
      <c r="C5" t="s">
        <v>246</v>
      </c>
      <c r="D5" t="s">
        <v>247</v>
      </c>
      <c r="E5" t="s">
        <v>248</v>
      </c>
      <c r="F5" t="s">
        <v>246</v>
      </c>
      <c r="G5" t="s">
        <v>249</v>
      </c>
    </row>
    <row r="6" spans="2:7" ht="30" customHeight="1" x14ac:dyDescent="0.3">
      <c r="B6" t="s">
        <v>245</v>
      </c>
      <c r="C6" s="4" t="s">
        <v>250</v>
      </c>
      <c r="D6" t="s">
        <v>251</v>
      </c>
      <c r="E6" t="s">
        <v>252</v>
      </c>
      <c r="F6" t="s">
        <v>253</v>
      </c>
      <c r="G6" t="s">
        <v>254</v>
      </c>
    </row>
    <row r="7" spans="2:7" ht="30" customHeight="1" x14ac:dyDescent="0.3">
      <c r="B7" t="s">
        <v>245</v>
      </c>
      <c r="C7" s="4" t="s">
        <v>255</v>
      </c>
      <c r="D7" t="s">
        <v>256</v>
      </c>
      <c r="E7" t="s">
        <v>257</v>
      </c>
      <c r="F7" t="s">
        <v>258</v>
      </c>
      <c r="G7" t="s">
        <v>259</v>
      </c>
    </row>
    <row r="12" spans="2:7" ht="14" x14ac:dyDescent="0.3">
      <c r="B12" s="8" t="s">
        <v>260</v>
      </c>
    </row>
    <row r="13" spans="2:7" ht="14" x14ac:dyDescent="0.3">
      <c r="B13" s="10" t="s">
        <v>261</v>
      </c>
      <c r="C13" s="10" t="s">
        <v>262</v>
      </c>
    </row>
    <row r="14" spans="2:7" ht="14" x14ac:dyDescent="0.3">
      <c r="B14" s="4" t="s">
        <v>263</v>
      </c>
      <c r="C14" t="s">
        <v>264</v>
      </c>
    </row>
    <row r="15" spans="2:7" ht="14" x14ac:dyDescent="0.3">
      <c r="B15" s="4" t="s">
        <v>265</v>
      </c>
      <c r="C15" t="s">
        <v>266</v>
      </c>
    </row>
    <row r="16" spans="2:7" ht="14" x14ac:dyDescent="0.3">
      <c r="B16" s="4" t="s">
        <v>267</v>
      </c>
      <c r="C16" t="s">
        <v>268</v>
      </c>
    </row>
    <row r="17" spans="2:3" ht="14" x14ac:dyDescent="0.3">
      <c r="B17" s="4" t="s">
        <v>269</v>
      </c>
      <c r="C17" t="s">
        <v>266</v>
      </c>
    </row>
    <row r="18" spans="2:3" ht="14" x14ac:dyDescent="0.3">
      <c r="B18" s="4" t="s">
        <v>270</v>
      </c>
      <c r="C18" t="s">
        <v>271</v>
      </c>
    </row>
    <row r="19" spans="2:3" ht="14" x14ac:dyDescent="0.3">
      <c r="B19" s="4" t="s">
        <v>272</v>
      </c>
      <c r="C19" t="s">
        <v>273</v>
      </c>
    </row>
    <row r="20" spans="2:3" ht="14" x14ac:dyDescent="0.3">
      <c r="B20" s="4" t="s">
        <v>274</v>
      </c>
      <c r="C20" t="s">
        <v>275</v>
      </c>
    </row>
    <row r="21" spans="2:3" ht="14" x14ac:dyDescent="0.3">
      <c r="B21" s="4" t="s">
        <v>276</v>
      </c>
      <c r="C21" t="s">
        <v>277</v>
      </c>
    </row>
    <row r="22" spans="2:3" ht="14" x14ac:dyDescent="0.3">
      <c r="B22" s="4" t="s">
        <v>278</v>
      </c>
      <c r="C22" t="s">
        <v>279</v>
      </c>
    </row>
    <row r="23" spans="2:3" ht="14" x14ac:dyDescent="0.3">
      <c r="B23" s="4" t="s">
        <v>280</v>
      </c>
      <c r="C23" t="s">
        <v>4</v>
      </c>
    </row>
    <row r="24" spans="2:3" ht="14" x14ac:dyDescent="0.3">
      <c r="B24" s="4" t="s">
        <v>281</v>
      </c>
      <c r="C24" t="s">
        <v>245</v>
      </c>
    </row>
    <row r="25" spans="2:3" ht="14" x14ac:dyDescent="0.3">
      <c r="B25" s="4" t="s">
        <v>282</v>
      </c>
      <c r="C25" t="s">
        <v>283</v>
      </c>
    </row>
    <row r="26" spans="2:3" ht="14" x14ac:dyDescent="0.3">
      <c r="B26" s="4" t="s">
        <v>284</v>
      </c>
      <c r="C26" t="s">
        <v>271</v>
      </c>
    </row>
    <row r="27" spans="2:3" ht="14" x14ac:dyDescent="0.3">
      <c r="B27" s="4" t="s">
        <v>285</v>
      </c>
      <c r="C27" t="s">
        <v>271</v>
      </c>
    </row>
    <row r="28" spans="2:3" ht="14" x14ac:dyDescent="0.3">
      <c r="B28" s="4" t="s">
        <v>286</v>
      </c>
      <c r="C28" t="s">
        <v>287</v>
      </c>
    </row>
    <row r="29" spans="2:3" ht="14" x14ac:dyDescent="0.3">
      <c r="B29" s="4" t="s">
        <v>288</v>
      </c>
      <c r="C29" t="s">
        <v>289</v>
      </c>
    </row>
    <row r="30" spans="2:3" ht="14" x14ac:dyDescent="0.3">
      <c r="B30" s="4" t="s">
        <v>290</v>
      </c>
      <c r="C30" t="s">
        <v>291</v>
      </c>
    </row>
    <row r="31" spans="2:3" ht="14" x14ac:dyDescent="0.3">
      <c r="B31" s="4" t="s">
        <v>292</v>
      </c>
      <c r="C31" t="s">
        <v>287</v>
      </c>
    </row>
    <row r="32" spans="2:3" ht="14" x14ac:dyDescent="0.3">
      <c r="B32" s="4" t="s">
        <v>293</v>
      </c>
      <c r="C32" t="s">
        <v>271</v>
      </c>
    </row>
    <row r="33" spans="2:3" ht="14" x14ac:dyDescent="0.3">
      <c r="B33" s="4" t="s">
        <v>294</v>
      </c>
      <c r="C33" t="s">
        <v>283</v>
      </c>
    </row>
    <row r="34" spans="2:3" ht="14" x14ac:dyDescent="0.3">
      <c r="B34" s="4" t="s">
        <v>295</v>
      </c>
      <c r="C34" t="s">
        <v>296</v>
      </c>
    </row>
    <row r="35" spans="2:3" ht="14" x14ac:dyDescent="0.3">
      <c r="B35" s="4" t="s">
        <v>297</v>
      </c>
      <c r="C35" t="s">
        <v>298</v>
      </c>
    </row>
    <row r="36" spans="2:3" ht="14" x14ac:dyDescent="0.3">
      <c r="B36" s="4" t="s">
        <v>299</v>
      </c>
      <c r="C36" t="s">
        <v>300</v>
      </c>
    </row>
    <row r="37" spans="2:3" ht="14" x14ac:dyDescent="0.3">
      <c r="B37" s="4" t="s">
        <v>301</v>
      </c>
      <c r="C37" t="s">
        <v>302</v>
      </c>
    </row>
    <row r="38" spans="2:3" ht="14" x14ac:dyDescent="0.3">
      <c r="B38" s="4" t="s">
        <v>303</v>
      </c>
      <c r="C38" t="s">
        <v>304</v>
      </c>
    </row>
    <row r="39" spans="2:3" ht="14" x14ac:dyDescent="0.3">
      <c r="B39" s="4" t="s">
        <v>305</v>
      </c>
      <c r="C39" t="s">
        <v>306</v>
      </c>
    </row>
    <row r="40" spans="2:3" ht="14" x14ac:dyDescent="0.3">
      <c r="B40" s="4" t="s">
        <v>307</v>
      </c>
      <c r="C40" t="s">
        <v>308</v>
      </c>
    </row>
    <row r="41" spans="2:3" ht="14" x14ac:dyDescent="0.3">
      <c r="B41" s="4" t="s">
        <v>309</v>
      </c>
      <c r="C41" t="s">
        <v>310</v>
      </c>
    </row>
    <row r="42" spans="2:3" ht="14" x14ac:dyDescent="0.3">
      <c r="B42" s="4" t="s">
        <v>311</v>
      </c>
      <c r="C42" t="s">
        <v>312</v>
      </c>
    </row>
    <row r="43" spans="2:3" ht="14" x14ac:dyDescent="0.3">
      <c r="B43" s="4" t="s">
        <v>313</v>
      </c>
      <c r="C43" t="s">
        <v>314</v>
      </c>
    </row>
    <row r="44" spans="2:3" ht="14" x14ac:dyDescent="0.3">
      <c r="B44" s="4" t="s">
        <v>315</v>
      </c>
      <c r="C44" t="s">
        <v>275</v>
      </c>
    </row>
    <row r="45" spans="2:3" ht="14" x14ac:dyDescent="0.3">
      <c r="B45" s="4" t="s">
        <v>316</v>
      </c>
      <c r="C45" t="s">
        <v>317</v>
      </c>
    </row>
    <row r="46" spans="2:3" ht="14" x14ac:dyDescent="0.3">
      <c r="B46" s="4" t="s">
        <v>318</v>
      </c>
      <c r="C46" t="s">
        <v>319</v>
      </c>
    </row>
    <row r="47" spans="2:3" ht="14" x14ac:dyDescent="0.3">
      <c r="B47" s="4" t="s">
        <v>320</v>
      </c>
      <c r="C47" t="s">
        <v>321</v>
      </c>
    </row>
    <row r="48" spans="2:3" ht="14" x14ac:dyDescent="0.3">
      <c r="B48" s="4" t="s">
        <v>322</v>
      </c>
      <c r="C48" t="s">
        <v>323</v>
      </c>
    </row>
    <row r="49" spans="2:3" ht="14" x14ac:dyDescent="0.3">
      <c r="B49" s="4" t="s">
        <v>324</v>
      </c>
      <c r="C49" t="s">
        <v>325</v>
      </c>
    </row>
    <row r="50" spans="2:3" ht="14" x14ac:dyDescent="0.3">
      <c r="B50" s="4" t="s">
        <v>326</v>
      </c>
      <c r="C50" t="s">
        <v>327</v>
      </c>
    </row>
    <row r="51" spans="2:3" ht="14" x14ac:dyDescent="0.3">
      <c r="B51" s="4" t="s">
        <v>328</v>
      </c>
      <c r="C51" t="s">
        <v>329</v>
      </c>
    </row>
    <row r="52" spans="2:3" ht="14" x14ac:dyDescent="0.3">
      <c r="B52" s="4" t="s">
        <v>330</v>
      </c>
      <c r="C52" t="s">
        <v>331</v>
      </c>
    </row>
    <row r="53" spans="2:3" ht="14" x14ac:dyDescent="0.3">
      <c r="B53" s="4" t="s">
        <v>332</v>
      </c>
      <c r="C53" t="s">
        <v>333</v>
      </c>
    </row>
    <row r="54" spans="2:3" ht="14" x14ac:dyDescent="0.3">
      <c r="B54" s="4" t="s">
        <v>334</v>
      </c>
      <c r="C54" t="s">
        <v>335</v>
      </c>
    </row>
    <row r="55" spans="2:3" ht="14" x14ac:dyDescent="0.3">
      <c r="B55" s="4" t="s">
        <v>336</v>
      </c>
      <c r="C55" t="s">
        <v>337</v>
      </c>
    </row>
    <row r="56" spans="2:3" ht="14" x14ac:dyDescent="0.3">
      <c r="B56" s="4" t="s">
        <v>338</v>
      </c>
      <c r="C56" t="s">
        <v>339</v>
      </c>
    </row>
    <row r="57" spans="2:3" ht="14" x14ac:dyDescent="0.3">
      <c r="B57" s="4" t="s">
        <v>340</v>
      </c>
      <c r="C57" t="s">
        <v>341</v>
      </c>
    </row>
    <row r="58" spans="2:3" ht="14" x14ac:dyDescent="0.3">
      <c r="B58" s="4" t="s">
        <v>342</v>
      </c>
      <c r="C58" t="s">
        <v>343</v>
      </c>
    </row>
    <row r="59" spans="2:3" ht="14" x14ac:dyDescent="0.3">
      <c r="B59" s="4" t="s">
        <v>344</v>
      </c>
      <c r="C59" t="s">
        <v>345</v>
      </c>
    </row>
    <row r="60" spans="2:3" ht="14" x14ac:dyDescent="0.3">
      <c r="B60" s="4" t="s">
        <v>346</v>
      </c>
      <c r="C60" t="s">
        <v>347</v>
      </c>
    </row>
    <row r="61" spans="2:3" ht="14" x14ac:dyDescent="0.3">
      <c r="B61" s="4" t="s">
        <v>348</v>
      </c>
      <c r="C61" t="s">
        <v>349</v>
      </c>
    </row>
    <row r="62" spans="2:3" ht="14" x14ac:dyDescent="0.3">
      <c r="B62" s="4" t="s">
        <v>350</v>
      </c>
      <c r="C62" t="s">
        <v>351</v>
      </c>
    </row>
    <row r="63" spans="2:3" ht="14" x14ac:dyDescent="0.3">
      <c r="B63" s="4" t="s">
        <v>352</v>
      </c>
      <c r="C63" t="s">
        <v>353</v>
      </c>
    </row>
    <row r="64" spans="2:3" ht="14" x14ac:dyDescent="0.3">
      <c r="B64" s="4" t="s">
        <v>354</v>
      </c>
      <c r="C64" t="s">
        <v>206</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Executive Summary</vt:lpstr>
      <vt:lpstr>Financial Statements</vt:lpstr>
      <vt:lpstr>DCF Model</vt:lpstr>
      <vt:lpstr>Reverse DCF</vt:lpstr>
      <vt:lpstr>NWC Schedule</vt:lpstr>
      <vt:lpstr>Comps Analysis</vt:lpstr>
      <vt:lpstr>Sensitivity Analysis</vt:lpstr>
      <vt:lpstr>Adjustments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2026-09-06T09:46:50Z</dcterms:created>
  <dcterms:modified xsi:type="dcterms:W3CDTF">2026-09-06T09:46:53Z</dcterms:modified>
</cp:coreProperties>
</file>