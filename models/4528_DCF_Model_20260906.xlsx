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4B537B85-9E65-4B20-8E15-67FC121AC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H16" i="6"/>
  <c r="O10" i="6"/>
  <c r="N10" i="6"/>
  <c r="M10" i="6"/>
  <c r="L10" i="6"/>
  <c r="K10" i="6"/>
  <c r="J10" i="6"/>
  <c r="O9" i="6"/>
  <c r="N9" i="6"/>
  <c r="M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E15" i="6" s="1"/>
  <c r="J6" i="6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H6" i="5" s="1"/>
  <c r="C25" i="3"/>
  <c r="C24" i="3"/>
  <c r="C23" i="3"/>
  <c r="C26" i="3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F16" i="6" l="1"/>
  <c r="C28" i="6" s="1"/>
  <c r="C19" i="1" s="1"/>
  <c r="D19" i="1" s="1"/>
  <c r="G15" i="6"/>
  <c r="H15" i="6"/>
  <c r="I16" i="6"/>
  <c r="F15" i="6"/>
  <c r="D17" i="6"/>
  <c r="C24" i="4"/>
  <c r="C25" i="4" s="1"/>
  <c r="C71" i="4"/>
  <c r="C70" i="4"/>
  <c r="C3" i="7"/>
  <c r="F36" i="4"/>
  <c r="F46" i="3"/>
  <c r="E46" i="3"/>
  <c r="E36" i="4"/>
  <c r="C46" i="3"/>
  <c r="D46" i="3"/>
  <c r="D36" i="4"/>
  <c r="H36" i="4"/>
  <c r="G36" i="4"/>
  <c r="C11" i="4"/>
  <c r="G46" i="3"/>
  <c r="K5" i="6"/>
  <c r="J5" i="6"/>
  <c r="E31" i="3"/>
  <c r="G5" i="5"/>
  <c r="I15" i="6"/>
  <c r="E17" i="6"/>
  <c r="I6" i="7"/>
  <c r="E32" i="3"/>
  <c r="F6" i="5"/>
  <c r="F32" i="3"/>
  <c r="C30" i="3"/>
  <c r="C33" i="3" s="1"/>
  <c r="F31" i="3"/>
  <c r="H5" i="5"/>
  <c r="D7" i="5"/>
  <c r="D16" i="6"/>
  <c r="F17" i="6"/>
  <c r="C17" i="7"/>
  <c r="D30" i="3"/>
  <c r="G31" i="3"/>
  <c r="E7" i="5"/>
  <c r="L5" i="6"/>
  <c r="E16" i="6"/>
  <c r="G17" i="6"/>
  <c r="C6" i="7"/>
  <c r="D17" i="7"/>
  <c r="E30" i="3"/>
  <c r="C32" i="3"/>
  <c r="D6" i="5"/>
  <c r="F7" i="5"/>
  <c r="M5" i="6"/>
  <c r="D15" i="6"/>
  <c r="H17" i="6"/>
  <c r="D6" i="7"/>
  <c r="E17" i="7"/>
  <c r="G30" i="3"/>
  <c r="D5" i="5"/>
  <c r="H7" i="5"/>
  <c r="F30" i="3"/>
  <c r="D32" i="3"/>
  <c r="E6" i="5"/>
  <c r="G7" i="5"/>
  <c r="G16" i="6"/>
  <c r="I17" i="6"/>
  <c r="E6" i="7"/>
  <c r="F17" i="7"/>
  <c r="F6" i="7"/>
  <c r="G17" i="7"/>
  <c r="E5" i="5"/>
  <c r="G6" i="5"/>
  <c r="G6" i="7"/>
  <c r="H17" i="7"/>
  <c r="C31" i="3"/>
  <c r="D31" i="3"/>
  <c r="G32" i="3"/>
  <c r="F5" i="5"/>
  <c r="C27" i="6" l="1"/>
  <c r="C18" i="1" s="1"/>
  <c r="D18" i="1" s="1"/>
  <c r="C74" i="4"/>
  <c r="G40" i="4"/>
  <c r="G44" i="4"/>
  <c r="G41" i="4"/>
  <c r="G38" i="4"/>
  <c r="G45" i="4"/>
  <c r="G39" i="4"/>
  <c r="G49" i="4" s="1"/>
  <c r="G54" i="4" s="1"/>
  <c r="G43" i="4"/>
  <c r="G46" i="4"/>
  <c r="F46" i="4"/>
  <c r="F40" i="4"/>
  <c r="F38" i="4"/>
  <c r="F44" i="4"/>
  <c r="F41" i="4"/>
  <c r="F45" i="4"/>
  <c r="F39" i="4"/>
  <c r="F43" i="4"/>
  <c r="H44" i="4"/>
  <c r="H38" i="4"/>
  <c r="H45" i="4"/>
  <c r="H39" i="4"/>
  <c r="H43" i="4"/>
  <c r="H46" i="4"/>
  <c r="H41" i="4"/>
  <c r="H40" i="4"/>
  <c r="H50" i="4" s="1"/>
  <c r="H55" i="4" s="1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29" i="4"/>
  <c r="C27" i="4"/>
  <c r="C26" i="4"/>
  <c r="D39" i="4"/>
  <c r="D43" i="4"/>
  <c r="D40" i="4"/>
  <c r="D44" i="4"/>
  <c r="D46" i="4"/>
  <c r="D38" i="4"/>
  <c r="D41" i="4"/>
  <c r="D45" i="4"/>
  <c r="E43" i="4"/>
  <c r="E46" i="4"/>
  <c r="E44" i="4"/>
  <c r="E38" i="4"/>
  <c r="E48" i="4" s="1"/>
  <c r="E53" i="4" s="1"/>
  <c r="E40" i="4"/>
  <c r="E50" i="4" s="1"/>
  <c r="E55" i="4" s="1"/>
  <c r="E41" i="4"/>
  <c r="E45" i="4"/>
  <c r="E39" i="4"/>
  <c r="E49" i="4" s="1"/>
  <c r="E54" i="4" s="1"/>
  <c r="D9" i="5"/>
  <c r="D12" i="5" s="1"/>
  <c r="C37" i="3"/>
  <c r="C42" i="3"/>
  <c r="C34" i="3"/>
  <c r="D10" i="5" s="1"/>
  <c r="D33" i="3"/>
  <c r="C35" i="3" l="1"/>
  <c r="H48" i="4"/>
  <c r="H53" i="4" s="1"/>
  <c r="G50" i="4"/>
  <c r="G55" i="4" s="1"/>
  <c r="E51" i="4"/>
  <c r="E56" i="4" s="1"/>
  <c r="D48" i="4"/>
  <c r="D53" i="4" s="1"/>
  <c r="H51" i="4"/>
  <c r="H56" i="4" s="1"/>
  <c r="F49" i="4"/>
  <c r="F54" i="4" s="1"/>
  <c r="B78" i="4" s="1"/>
  <c r="D13" i="5"/>
  <c r="D14" i="5" s="1"/>
  <c r="D18" i="5" s="1"/>
  <c r="D19" i="5" s="1"/>
  <c r="C44" i="3" s="1"/>
  <c r="D15" i="5"/>
  <c r="D16" i="5" s="1"/>
  <c r="D50" i="4"/>
  <c r="D55" i="4" s="1"/>
  <c r="F51" i="4"/>
  <c r="F56" i="4" s="1"/>
  <c r="D49" i="4"/>
  <c r="D54" i="4" s="1"/>
  <c r="H49" i="4"/>
  <c r="H54" i="4" s="1"/>
  <c r="G48" i="4"/>
  <c r="G53" i="4" s="1"/>
  <c r="E9" i="5"/>
  <c r="E12" i="5" s="1"/>
  <c r="D34" i="3"/>
  <c r="E10" i="5" s="1"/>
  <c r="D37" i="3"/>
  <c r="D42" i="3"/>
  <c r="E33" i="3"/>
  <c r="F48" i="4"/>
  <c r="F53" i="4" s="1"/>
  <c r="G51" i="4"/>
  <c r="G56" i="4" s="1"/>
  <c r="D51" i="4"/>
  <c r="D56" i="4" s="1"/>
  <c r="F50" i="4"/>
  <c r="F55" i="4" s="1"/>
  <c r="C36" i="3"/>
  <c r="C39" i="3"/>
  <c r="C38" i="3"/>
  <c r="C60" i="4" l="1"/>
  <c r="C67" i="4" s="1"/>
  <c r="D67" i="4" s="1"/>
  <c r="C65" i="4"/>
  <c r="D65" i="4" s="1"/>
  <c r="C64" i="4"/>
  <c r="D64" i="4" s="1"/>
  <c r="E42" i="3"/>
  <c r="E34" i="3"/>
  <c r="F10" i="5" s="1"/>
  <c r="E37" i="3"/>
  <c r="E35" i="3"/>
  <c r="F33" i="3"/>
  <c r="F9" i="5"/>
  <c r="F12" i="5" s="1"/>
  <c r="C40" i="3"/>
  <c r="C41" i="3" s="1"/>
  <c r="C45" i="3" s="1"/>
  <c r="D35" i="3"/>
  <c r="E13" i="5"/>
  <c r="E15" i="5"/>
  <c r="E16" i="5" s="1"/>
  <c r="E14" i="5"/>
  <c r="E18" i="5" s="1"/>
  <c r="E19" i="5" s="1"/>
  <c r="D44" i="3" s="1"/>
  <c r="C66" i="4" l="1"/>
  <c r="D66" i="4" s="1"/>
  <c r="C63" i="4"/>
  <c r="D63" i="4" s="1"/>
  <c r="C47" i="3"/>
  <c r="F37" i="3"/>
  <c r="G33" i="3"/>
  <c r="G9" i="5"/>
  <c r="G12" i="5" s="1"/>
  <c r="F42" i="3"/>
  <c r="F34" i="3"/>
  <c r="G10" i="5" s="1"/>
  <c r="F13" i="5"/>
  <c r="F14" i="5" s="1"/>
  <c r="F18" i="5" s="1"/>
  <c r="F19" i="5" s="1"/>
  <c r="E44" i="3" s="1"/>
  <c r="F15" i="5"/>
  <c r="F16" i="5" s="1"/>
  <c r="D39" i="3"/>
  <c r="D38" i="3"/>
  <c r="D36" i="3"/>
  <c r="E38" i="3"/>
  <c r="E36" i="3"/>
  <c r="E39" i="3"/>
  <c r="F35" i="3" l="1"/>
  <c r="C16" i="4"/>
  <c r="C28" i="4" s="1"/>
  <c r="H9" i="5"/>
  <c r="H12" i="5" s="1"/>
  <c r="G42" i="3"/>
  <c r="G34" i="3"/>
  <c r="H10" i="5" s="1"/>
  <c r="G37" i="3"/>
  <c r="D40" i="3"/>
  <c r="D41" i="3" s="1"/>
  <c r="D45" i="3" s="1"/>
  <c r="E40" i="3"/>
  <c r="E41" i="3" s="1"/>
  <c r="E45" i="3" s="1"/>
  <c r="E47" i="3" s="1"/>
  <c r="G15" i="5"/>
  <c r="G16" i="5" s="1"/>
  <c r="G13" i="5"/>
  <c r="G14" i="5" s="1"/>
  <c r="G18" i="5" s="1"/>
  <c r="G19" i="5" s="1"/>
  <c r="F44" i="3" s="1"/>
  <c r="C72" i="4" l="1"/>
  <c r="C73" i="4"/>
  <c r="H15" i="5"/>
  <c r="H16" i="5" s="1"/>
  <c r="H13" i="5"/>
  <c r="H14" i="5" s="1"/>
  <c r="H18" i="5" s="1"/>
  <c r="H19" i="5" s="1"/>
  <c r="G44" i="3" s="1"/>
  <c r="G35" i="3"/>
  <c r="D47" i="3"/>
  <c r="F38" i="3"/>
  <c r="F36" i="3"/>
  <c r="F39" i="3"/>
  <c r="G36" i="3" l="1"/>
  <c r="G39" i="3"/>
  <c r="G38" i="3"/>
  <c r="F40" i="3"/>
  <c r="F41" i="3" s="1"/>
  <c r="F45" i="3" s="1"/>
  <c r="F47" i="3" l="1"/>
  <c r="G40" i="3"/>
  <c r="G41" i="3" s="1"/>
  <c r="G45" i="3" s="1"/>
  <c r="C59" i="3"/>
  <c r="C60" i="3" s="1"/>
  <c r="C61" i="3" s="1"/>
  <c r="C51" i="3" l="1"/>
  <c r="C52" i="3" s="1"/>
  <c r="G47" i="3"/>
  <c r="E23" i="7"/>
  <c r="H12" i="7"/>
  <c r="I13" i="7"/>
  <c r="D13" i="7"/>
  <c r="F7" i="7"/>
  <c r="F23" i="7"/>
  <c r="H10" i="7"/>
  <c r="I19" i="7"/>
  <c r="H20" i="7"/>
  <c r="I23" i="7"/>
  <c r="H9" i="7"/>
  <c r="I20" i="7"/>
  <c r="H21" i="7"/>
  <c r="D19" i="7"/>
  <c r="D22" i="7"/>
  <c r="F21" i="7"/>
  <c r="F10" i="7"/>
  <c r="I22" i="7"/>
  <c r="D7" i="7"/>
  <c r="D20" i="7"/>
  <c r="C13" i="7"/>
  <c r="C8" i="7"/>
  <c r="D11" i="7"/>
  <c r="D24" i="7"/>
  <c r="D8" i="7"/>
  <c r="C9" i="7"/>
  <c r="I18" i="7"/>
  <c r="C10" i="7"/>
  <c r="E21" i="7"/>
  <c r="E7" i="7"/>
  <c r="G19" i="7"/>
  <c r="H24" i="7"/>
  <c r="H7" i="7"/>
  <c r="D10" i="7"/>
  <c r="G11" i="7"/>
  <c r="F13" i="7"/>
  <c r="I12" i="7"/>
  <c r="E10" i="7"/>
  <c r="G8" i="7"/>
  <c r="F18" i="7"/>
  <c r="G13" i="7"/>
  <c r="F24" i="7"/>
  <c r="E9" i="7"/>
  <c r="C21" i="7"/>
  <c r="H8" i="7"/>
  <c r="H22" i="7"/>
  <c r="E19" i="7"/>
  <c r="I7" i="7"/>
  <c r="G22" i="7"/>
  <c r="E24" i="7"/>
  <c r="I8" i="7"/>
  <c r="C12" i="7"/>
  <c r="F9" i="7"/>
  <c r="H13" i="7"/>
  <c r="I24" i="7"/>
  <c r="G21" i="7"/>
  <c r="E12" i="7"/>
  <c r="H23" i="7"/>
  <c r="C18" i="7"/>
  <c r="H11" i="7"/>
  <c r="C23" i="7"/>
  <c r="I21" i="7"/>
  <c r="C24" i="7"/>
  <c r="C11" i="7"/>
  <c r="G23" i="7"/>
  <c r="D12" i="7"/>
  <c r="C7" i="7"/>
  <c r="C22" i="7"/>
  <c r="I9" i="7"/>
  <c r="F20" i="7"/>
  <c r="D18" i="7"/>
  <c r="G12" i="7"/>
  <c r="E13" i="7"/>
  <c r="F8" i="7"/>
  <c r="E22" i="7"/>
  <c r="I10" i="7"/>
  <c r="G9" i="7"/>
  <c r="F12" i="7"/>
  <c r="H18" i="7"/>
  <c r="F22" i="7"/>
  <c r="F11" i="7"/>
  <c r="E20" i="7"/>
  <c r="E11" i="7"/>
  <c r="D21" i="7"/>
  <c r="E8" i="7"/>
  <c r="D9" i="7"/>
  <c r="H19" i="7"/>
  <c r="G7" i="7"/>
  <c r="G10" i="7"/>
  <c r="G20" i="7"/>
  <c r="G18" i="7"/>
  <c r="F19" i="7"/>
  <c r="C20" i="7"/>
  <c r="C19" i="7"/>
  <c r="D23" i="7"/>
  <c r="G24" i="7"/>
  <c r="I11" i="7"/>
  <c r="E18" i="7"/>
  <c r="C50" i="3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D16" i="1" l="1"/>
  <c r="C10" i="1"/>
  <c r="C12" i="1" s="1"/>
  <c r="C11" i="1" s="1"/>
  <c r="C21" i="1"/>
  <c r="C19" i="4"/>
  <c r="C20" i="4" s="1"/>
  <c r="B79" i="4"/>
</calcChain>
</file>

<file path=xl/sharedStrings.xml><?xml version="1.0" encoding="utf-8"?>
<sst xmlns="http://schemas.openxmlformats.org/spreadsheetml/2006/main" count="446" uniqueCount="360">
  <si>
    <t>DISCLAIMER: This is a sample analysis for demonstration purposes only. It does not constitute investment advice.</t>
  </si>
  <si>
    <t>小野薬品工業 (4528.T)</t>
  </si>
  <si>
    <t>Equity Research Report</t>
  </si>
  <si>
    <t>Company</t>
  </si>
  <si>
    <t>小野薬品工業</t>
  </si>
  <si>
    <t>Ticker</t>
  </si>
  <si>
    <t>4528.T (TSE Prime)</t>
  </si>
  <si>
    <t>Sector</t>
  </si>
  <si>
    <t>医薬品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</si>
  <si>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</si>
  <si>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</si>
  <si>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</si>
  <si>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</si>
  <si>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</si>
  <si>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</si>
  <si>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</si>
  <si>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</si>
  <si>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</si>
  <si>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</si>
  <si>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</si>
  <si>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</si>
  <si>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</si>
  <si>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</si>
  <si>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</si>
  <si>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</si>
  <si>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</si>
  <si>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</si>
  <si>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</si>
  <si>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</si>
  <si>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</si>
  <si>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</si>
  <si>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小野薬品工業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</si>
  <si>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</si>
  <si>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</si>
  <si>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</si>
  <si>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</si>
  <si>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</si>
  <si>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</si>
  <si>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</si>
  <si>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</si>
  <si>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</si>
  <si>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</si>
  <si>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</si>
  <si>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</si>
  <si>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</si>
  <si>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</si>
  <si>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</si>
  <si>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</si>
  <si>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</si>
  <si>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</si>
  <si>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</si>
  <si>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</si>
  <si>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</si>
  <si>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</si>
  <si>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</si>
  <si>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</si>
  <si>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</si>
  <si>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</si>
  <si>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</si>
  <si>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</si>
  <si>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小野薬品工業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</si>
  <si>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</si>
  <si>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</si>
  <si>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</si>
  <si>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</si>
  <si>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</si>
  <si>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</si>
  <si>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</si>
  <si>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</si>
  <si>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</si>
  <si>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</si>
  <si>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</si>
  <si>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</si>
  <si>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</si>
  <si>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</si>
  <si>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</si>
  <si>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</si>
  <si>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</si>
  <si>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</si>
  <si>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</si>
  <si>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</si>
  <si>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</si>
  <si>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</si>
  <si>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</si>
  <si>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</si>
  <si>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</si>
  <si>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</si>
  <si>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</si>
  <si>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</si>
  <si>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</si>
  <si>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</si>
  <si>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</si>
  <si>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</si>
  <si>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</si>
  <si>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</si>
  <si>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</si>
  <si>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</si>
  <si>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</si>
  <si>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</si>
  <si>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</si>
  <si>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</si>
  <si>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</si>
  <si>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</si>
  <si>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</si>
  <si>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</si>
  <si>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</si>
  <si>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</si>
  <si>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</si>
  <si>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</si>
  <si>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</si>
  <si>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</si>
  <si>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</si>
  <si>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</si>
  <si>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</si>
  <si>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</si>
  <si>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</si>
  <si>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</si>
  <si>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</si>
  <si>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</si>
  <si>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</si>
  <si>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</si>
  <si>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</si>
  <si>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</si>
  <si>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</si>
  <si>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</si>
  <si>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小野薬品工業 (4528.T)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</si>
  <si>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</si>
  <si>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</si>
  <si>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</si>
  <si>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</si>
  <si>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</si>
  <si>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</si>
  <si>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</si>
  <si>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</si>
  <si>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</si>
  <si>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</si>
  <si>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</si>
  <si>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</si>
  <si>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</si>
  <si>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</si>
  <si>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</si>
  <si>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</si>
  <si>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</si>
  <si>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</si>
  <si>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</si>
  <si>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</si>
  <si>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</si>
  <si>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</si>
  <si>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</si>
  <si>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</si>
  <si>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</si>
  <si>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</si>
  <si>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</si>
  <si>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</si>
  <si>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</si>
  <si>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</si>
  <si>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</si>
  <si>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</si>
  <si>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</si>
  <si>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</si>
  <si>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</si>
  <si>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</si>
  <si>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</si>
  <si>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</si>
  <si>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</si>
  <si>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</si>
  <si>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</si>
  <si>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</si>
  <si>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</si>
  <si>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</si>
  <si>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</si>
  <si>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</si>
  <si>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</si>
  <si>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</si>
  <si>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</si>
  <si>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</si>
  <si>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</si>
  <si>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小野薬品工業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</si>
  <si>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</si>
  <si>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</si>
  <si>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</si>
  <si>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</si>
  <si>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</si>
  <si>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</si>
  <si>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</si>
  <si>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</si>
  <si>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</si>
  <si>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</si>
  <si>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</si>
  <si>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</si>
  <si>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</si>
  <si>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</si>
  <si>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</si>
  <si>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</si>
  <si>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</si>
  <si>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</si>
  <si>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</si>
  <si>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</si>
  <si>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</si>
  <si>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</si>
  <si>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</si>
  <si>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</si>
  <si>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</si>
  <si>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</si>
  <si>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</si>
  <si>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</si>
  <si>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</si>
  <si>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</si>
  <si>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</si>
  <si>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</si>
  <si>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</si>
  <si>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</si>
  <si>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Ono Pharmaceutical Co., Ltd.</t>
  </si>
  <si>
    <t>4528.T</t>
  </si>
  <si>
    <t>Kyowa Kirin Co., Ltd.</t>
  </si>
  <si>
    <t>4151.T</t>
  </si>
  <si>
    <t>Shionogi &amp; Co., Ltd.</t>
  </si>
  <si>
    <t>4507.T</t>
  </si>
  <si>
    <t>Astellas Pharma Inc.</t>
  </si>
  <si>
    <t>4503.T</t>
  </si>
  <si>
    <t>Takeda Pharmaceutical Company Limited</t>
  </si>
  <si>
    <t>4502.T</t>
  </si>
  <si>
    <t>N/A</t>
  </si>
  <si>
    <t>Otsuka Holdings Co., Ltd.</t>
  </si>
  <si>
    <t>4578.T</t>
  </si>
  <si>
    <t>Statistics</t>
  </si>
  <si>
    <t>25th Percentile</t>
  </si>
  <si>
    <t>Median (50th)</t>
  </si>
  <si>
    <t>75th Percentile</t>
  </si>
  <si>
    <t>Implied Valuation for 小野薬品工業</t>
  </si>
  <si>
    <t>小野薬品工業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</si>
  <si>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</si>
  <si>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</si>
  <si>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</si>
  <si>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</si>
  <si>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</si>
  <si>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</si>
  <si>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</si>
  <si>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</si>
  <si>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</si>
  <si>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</si>
  <si>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</si>
  <si>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</si>
  <si>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</si>
  <si>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</si>
  <si>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</si>
  <si>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小野薬品工業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</si>
  <si>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</si>
  <si>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</si>
  <si>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</si>
  <si>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</si>
  <si>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</si>
  <si>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</si>
  <si>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</si>
  <si>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</si>
  <si>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19:01, template rev 63983ab</t>
  </si>
  <si>
    <t>初期生成（手修正なし）</t>
  </si>
  <si>
    <t>generated</t>
  </si>
  <si>
    <t>DCF Model!C11</t>
  </si>
  <si>
    <t>After-tax Cost of Debt = 1.98% (実績ベース)</t>
  </si>
  <si>
    <t>実績Kd = 支払利息3,539 ÷ 平均有利子負債133,806(期首146,678/期末120,935、debt_beginning/debt_ending) = 税引前2.64% × (1−25.0%) = 1.98%。【マージナルコスト注記】これは既存借入の実績平均コストであり、新規調達の限界コストではない。テンプレ既定(税引前2.8%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</si>
  <si>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</si>
  <si>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</si>
  <si>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</si>
  <si>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0.646（採用値）</t>
  </si>
  <si>
    <t>実測β(raw) = 0.472 → Blume調整 0.67×raw + 0.33×1.00 = 0.646 → 採用 0.646。クランプ域 [0.3, 2.0] の内側。置換なし。回帰βは平均回帰するため Blume 調整を既定とする（2026-09-05 バッチで85件中57件が旧下限 0.60 に張り付き、両裾の歪みが実証された）。</t>
  </si>
  <si>
    <t>実測 0.472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</si>
  <si>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</si>
  <si>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</si>
  <si>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</si>
  <si>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</si>
  <si>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</si>
  <si>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</si>
  <si>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</si>
  <si>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0.6464</t>
  </si>
  <si>
    <t>beta_basis</t>
  </si>
  <si>
    <t>Blume: 0.67 x 0.472 + 0.33 x 1.00 = 0.646</t>
  </si>
  <si>
    <t>beta_blume_adjusted</t>
  </si>
  <si>
    <t>beta_clamped</t>
  </si>
  <si>
    <t>no</t>
  </si>
  <si>
    <t>beta_raw</t>
  </si>
  <si>
    <t>0.4722</t>
  </si>
  <si>
    <t>capex_pct_basis</t>
  </si>
  <si>
    <t>explicit_override</t>
  </si>
  <si>
    <t>capex_pct_c5</t>
  </si>
  <si>
    <t>0.07686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</si>
  <si>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</si>
  <si>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</si>
  <si>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</si>
  <si>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</si>
  <si>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</si>
  <si>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</si>
  <si>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</si>
  <si>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</si>
  <si>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</si>
  <si>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</si>
  <si>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</si>
  <si>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</si>
  <si>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</si>
  <si>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</si>
  <si>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</si>
  <si>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</si>
  <si>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</si>
  <si>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</si>
  <si>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</si>
  <si>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</si>
  <si>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</si>
  <si>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129988.0</t>
  </si>
  <si>
    <t>core_net_income</t>
  </si>
  <si>
    <t>69767.0</t>
  </si>
  <si>
    <t>cost_of_debt_actual</t>
  </si>
  <si>
    <t>interest 3,539 (expense 3,539 + fees 0) / avg debt 133,806 (debt_beginning/debt_ending) = 0.026449 pre-tax -&gt; 0.019800 after-tax</t>
  </si>
  <si>
    <t>cost_of_debt_at_c11</t>
  </si>
  <si>
    <t>0.0198</t>
  </si>
  <si>
    <t>cost_of_debt_avg_debt</t>
  </si>
  <si>
    <t>133806.5</t>
  </si>
  <si>
    <t>cost_of_debt_basis</t>
  </si>
  <si>
    <t>actual</t>
  </si>
  <si>
    <t>cost_of_debt_interest</t>
  </si>
  <si>
    <t>3539.0</t>
  </si>
  <si>
    <t>cost_of_debt_pretax</t>
  </si>
  <si>
    <t>0.026448640387425126</t>
  </si>
  <si>
    <t>da_pct_basis</t>
  </si>
  <si>
    <t>da_pct_c18</t>
  </si>
  <si>
    <t>0.0732</t>
  </si>
  <si>
    <t>da_pct_hist3yr</t>
  </si>
  <si>
    <t>fs_year_coverage</t>
  </si>
  <si>
    <t>OCF 4/4, Cash 4/4, Debt 0/4</t>
  </si>
  <si>
    <t>fs_year_map</t>
  </si>
  <si>
    <t>FY2023&lt;-FY2023[ocf+cash]; FY2024&lt;-FY2024[ocf+cash]; 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</si>
  <si>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</si>
  <si>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</si>
  <si>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</si>
  <si>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</si>
  <si>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</si>
  <si>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19:01:35</t>
  </si>
  <si>
    <t>guidance_note</t>
  </si>
  <si>
    <t>TDnet 決算短信 via screener guidance table: FY2027 disclosed 2026-07-31 (net_income=71,000mn, operating_income=94,000mn, revenue=455,000mn)</t>
  </si>
  <si>
    <t>guidance_source</t>
  </si>
  <si>
    <t>tdnet_screener_db</t>
  </si>
  <si>
    <t>latest_operating_income</t>
  </si>
  <si>
    <t>92236.0</t>
  </si>
  <si>
    <t>ltm_revenue_c20</t>
  </si>
  <si>
    <t>515785.0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</si>
  <si>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</si>
  <si>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</si>
  <si>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</si>
  <si>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</si>
  <si>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</si>
  <si>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</si>
  <si>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UNAVAILABLE (no net_debt, and total_debt/cash incomplete)</t>
  </si>
  <si>
    <t>reverse_dcf_sheet</t>
  </si>
  <si>
    <t>op0=92,236(FY2026) peak=159,936(FY2024) peak_opm=0.3182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</si>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</sst>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6" t="s">
        <v>0</v>
      </c>
      <c r="C1" s="45"/>
      <c r="D1" s="45"/>
      <c r="E1" s="45"/>
    </row>
    <row r="3" spans="2:5" ht="18" x14ac:dyDescent="0.4">
      <c r="B3" s="44" t="s">
        <v>1</v>
      </c>
      <c r="C3" s="45"/>
      <c r="D3" s="45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2448.5</v>
      </c>
    </row>
    <row r="10" spans="2:5" ht="14" x14ac:dyDescent="0.3">
      <c r="B10" s="4" t="s">
        <v>10</v>
      </c>
      <c r="C10" s="5">
        <f>IF(COUNT(C16:C17)=0,"N/A",ROUND(AVERAGE(C16:C17),0))</f>
        <v>3401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0.38901368184602819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3074</v>
      </c>
      <c r="D16" s="7">
        <f>IF(ISNUMBER(C16),(C16-C9)/C9,"N/A")</f>
        <v>0.25546252807841535</v>
      </c>
    </row>
    <row r="17" spans="2:5" ht="13.5" x14ac:dyDescent="0.25">
      <c r="B17" t="s">
        <v>18</v>
      </c>
      <c r="C17" s="11">
        <f>IF('DCF Model'!C62&lt;'DCF Model'!C16,"INVALID (EV &lt; net debt)",'DCF Model'!C64)</f>
        <v>3727</v>
      </c>
      <c r="D17" s="7">
        <f>IF(ISNUMBER(C17),(C17-C9)/C9,"N/A")</f>
        <v>0.52215642229936698</v>
      </c>
    </row>
    <row r="18" spans="2:5" ht="13.5" x14ac:dyDescent="0.25">
      <c r="B18" t="s">
        <v>19</v>
      </c>
      <c r="C18" s="11">
        <f>'Comps Analysis'!C27</f>
        <v>3075</v>
      </c>
      <c r="D18" s="7">
        <f>IF(ISNUMBER(C18),(C18-C9)/C9,"N/A")</f>
        <v>0.2558709413926894</v>
      </c>
    </row>
    <row r="19" spans="2:5" ht="13.5" x14ac:dyDescent="0.25">
      <c r="B19" t="s">
        <v>20</v>
      </c>
      <c r="C19" s="11">
        <f>'Comps Analysis'!C28</f>
        <v>2367</v>
      </c>
      <c r="D19" s="7">
        <f>IF(ISNUMBER(C19),(C19-C9)/C9,"N/A")</f>
        <v>-3.3285685113334698E-2</v>
      </c>
    </row>
    <row r="20" spans="2:5" ht="14" x14ac:dyDescent="0.3">
      <c r="B20" s="46" t="s">
        <v>21</v>
      </c>
      <c r="C20" s="45"/>
      <c r="D20" s="45"/>
      <c r="E20" s="45"/>
    </row>
    <row r="21" spans="2:5" ht="14" x14ac:dyDescent="0.3">
      <c r="B21" s="4" t="s">
        <v>22</v>
      </c>
      <c r="C21" s="6" t="str">
        <f>IF(COUNT(C16:C17)=0,"N/A",MIN(C16:C17)&amp;" - "&amp;MAX(C16:C17))</f>
        <v>3074 - 3727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447187</v>
      </c>
      <c r="D6" s="5">
        <v>502672</v>
      </c>
      <c r="E6" s="5">
        <v>486871</v>
      </c>
      <c r="F6" s="5">
        <v>515785</v>
      </c>
    </row>
    <row r="7" spans="2:6" ht="14" x14ac:dyDescent="0.3">
      <c r="B7" s="4" t="s">
        <v>38</v>
      </c>
      <c r="C7" s="5">
        <v>110062</v>
      </c>
      <c r="D7" s="5">
        <v>127126</v>
      </c>
      <c r="E7" s="5">
        <v>147950</v>
      </c>
      <c r="F7" s="5">
        <v>141716</v>
      </c>
    </row>
    <row r="8" spans="2:6" ht="14" x14ac:dyDescent="0.3">
      <c r="B8" s="4" t="s">
        <v>39</v>
      </c>
      <c r="C8" s="5">
        <f>C6-C7</f>
        <v>337125</v>
      </c>
      <c r="D8" s="5">
        <f>D6-D7</f>
        <v>375546</v>
      </c>
      <c r="E8" s="5">
        <f>E6-E7</f>
        <v>338921</v>
      </c>
      <c r="F8" s="5">
        <f>F6-F7</f>
        <v>374069</v>
      </c>
    </row>
    <row r="9" spans="2:6" ht="13.5" x14ac:dyDescent="0.25">
      <c r="B9" t="s">
        <v>40</v>
      </c>
      <c r="C9" s="7">
        <f>C8/C6</f>
        <v>0.75387924962040487</v>
      </c>
      <c r="D9" s="7">
        <f>D8/D6</f>
        <v>0.74709950027055416</v>
      </c>
      <c r="E9" s="7">
        <f>E8/E6</f>
        <v>0.69612073834752941</v>
      </c>
      <c r="F9" s="7">
        <f>F8/F6</f>
        <v>0.72524210669174172</v>
      </c>
    </row>
    <row r="10" spans="2:6" ht="14" x14ac:dyDescent="0.3">
      <c r="B10" s="4" t="s">
        <v>41</v>
      </c>
      <c r="C10" s="5">
        <v>195162</v>
      </c>
      <c r="D10" s="5">
        <v>215610</v>
      </c>
      <c r="E10" s="5">
        <v>279173</v>
      </c>
      <c r="F10" s="5">
        <v>281833</v>
      </c>
    </row>
    <row r="11" spans="2:6" ht="14" x14ac:dyDescent="0.3">
      <c r="B11" s="4" t="s">
        <v>42</v>
      </c>
      <c r="C11" s="5">
        <v>141963</v>
      </c>
      <c r="D11" s="5">
        <v>159936</v>
      </c>
      <c r="E11" s="5">
        <v>59748</v>
      </c>
      <c r="F11" s="5">
        <v>92236</v>
      </c>
    </row>
    <row r="12" spans="2:6" ht="14" x14ac:dyDescent="0.3">
      <c r="B12" s="4" t="s">
        <v>43</v>
      </c>
      <c r="C12" s="5">
        <v>112723</v>
      </c>
      <c r="D12" s="5">
        <v>127977</v>
      </c>
      <c r="E12" s="5">
        <v>50047</v>
      </c>
      <c r="F12" s="5">
        <v>69767</v>
      </c>
    </row>
    <row r="13" spans="2:6" ht="13.5" x14ac:dyDescent="0.25">
      <c r="B13" t="s">
        <v>44</v>
      </c>
      <c r="C13" s="7">
        <f>C11/C6</f>
        <v>0.31745779729732754</v>
      </c>
      <c r="D13" s="7">
        <f>D11/D6</f>
        <v>0.3181716904860426</v>
      </c>
      <c r="E13" s="7">
        <f>E11/E6</f>
        <v>0.12271833812241846</v>
      </c>
      <c r="F13" s="7">
        <f>F11/F6</f>
        <v>0.17882644900491484</v>
      </c>
    </row>
    <row r="14" spans="2:6" ht="13.5" x14ac:dyDescent="0.25">
      <c r="B14" t="s">
        <v>45</v>
      </c>
      <c r="C14" s="7">
        <f>C12/C6</f>
        <v>0.25207128114189364</v>
      </c>
      <c r="D14" s="7">
        <f>D12/D6</f>
        <v>0.25459345258936245</v>
      </c>
      <c r="E14" s="7">
        <f>E12/E6</f>
        <v>0.10279314233133623</v>
      </c>
      <c r="F14" s="7">
        <f>F12/F6</f>
        <v>0.13526372422617952</v>
      </c>
    </row>
    <row r="15" spans="2:6" ht="13.5" x14ac:dyDescent="0.25">
      <c r="B15" t="s">
        <v>46</v>
      </c>
      <c r="C15" t="s">
        <v>47</v>
      </c>
      <c r="D15" s="7">
        <f>(D6-C6)/C6</f>
        <v>0.12407561042695785</v>
      </c>
      <c r="E15" s="7">
        <f>(E6-D6)/D6</f>
        <v>-3.1434016615208324E-2</v>
      </c>
      <c r="F15" s="7">
        <f>(F6-E6)/E6</f>
        <v>5.9387394196820105E-2</v>
      </c>
    </row>
    <row r="16" spans="2:6" ht="13.5" x14ac:dyDescent="0.25">
      <c r="B16" t="s">
        <v>48</v>
      </c>
      <c r="C16" t="s">
        <v>47</v>
      </c>
      <c r="D16" s="7">
        <f>(D11-C11)/C11</f>
        <v>0.12660341074787093</v>
      </c>
      <c r="E16" s="7">
        <f>(E11-D11)/D11</f>
        <v>-0.6264255702280912</v>
      </c>
      <c r="F16" s="7">
        <f>(F11-E11)/E11</f>
        <v>0.5437504184240477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159610</v>
      </c>
      <c r="D19" s="5">
        <v>110660</v>
      </c>
      <c r="E19" s="5">
        <v>82459</v>
      </c>
      <c r="F19" s="5">
        <v>136821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96135</v>
      </c>
      <c r="D26" s="5">
        <v>166141</v>
      </c>
      <c r="E26" s="5">
        <v>204567</v>
      </c>
      <c r="F26" s="5">
        <v>237046</v>
      </c>
    </row>
    <row r="27" spans="2:6" ht="14" x14ac:dyDescent="0.3">
      <c r="B27" s="4" t="s">
        <v>57</v>
      </c>
      <c r="C27" s="5"/>
      <c r="D27" s="5"/>
      <c r="E27" s="5"/>
      <c r="F27" s="5"/>
    </row>
    <row r="28" spans="2:6" ht="14" x14ac:dyDescent="0.3">
      <c r="B28" s="4" t="s">
        <v>58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7.6859999999999998E-2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0.64639999999999997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1.9800000000000002E-2</v>
      </c>
    </row>
    <row r="12" spans="2:7" ht="14" x14ac:dyDescent="0.3">
      <c r="B12" s="4" t="s">
        <v>69</v>
      </c>
      <c r="C12" s="13">
        <v>0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10.199999999999999</v>
      </c>
    </row>
    <row r="15" spans="2:7" ht="14" x14ac:dyDescent="0.3">
      <c r="B15" s="4" t="s">
        <v>72</v>
      </c>
      <c r="C15" s="15">
        <v>469907311</v>
      </c>
    </row>
    <row r="16" spans="2:7" ht="14" x14ac:dyDescent="0.3">
      <c r="B16" s="4" t="s">
        <v>73</v>
      </c>
      <c r="C16" s="5">
        <v>-116111</v>
      </c>
    </row>
    <row r="17" spans="2:7" ht="14" x14ac:dyDescent="0.3">
      <c r="B17" s="4" t="s">
        <v>74</v>
      </c>
      <c r="C17" s="5">
        <v>515785</v>
      </c>
    </row>
    <row r="18" spans="2:7" ht="14" x14ac:dyDescent="0.3">
      <c r="B18" s="4" t="s">
        <v>75</v>
      </c>
      <c r="C18" s="7">
        <v>7.3200000000000001E-2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515785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8.1715999999999997E-2</v>
      </c>
    </row>
    <row r="24" spans="2:7" ht="14" x14ac:dyDescent="0.3">
      <c r="B24" s="4" t="s">
        <v>80</v>
      </c>
      <c r="C24" s="16">
        <f>1/(1+C12)</f>
        <v>1</v>
      </c>
    </row>
    <row r="25" spans="2:7" ht="14" x14ac:dyDescent="0.3">
      <c r="B25" s="4" t="s">
        <v>81</v>
      </c>
      <c r="C25" s="16">
        <f>C12/(1+C12)</f>
        <v>0</v>
      </c>
    </row>
    <row r="26" spans="2:7" ht="14" x14ac:dyDescent="0.3">
      <c r="B26" s="4" t="s">
        <v>82</v>
      </c>
      <c r="C26" s="16">
        <f>C23*C24+C11*C25</f>
        <v>8.1715999999999997E-2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0.03</v>
      </c>
      <c r="D30" s="18">
        <f>CHOOSE($D$27,D69,D70,D71,D72,D73)</f>
        <v>0.03</v>
      </c>
      <c r="E30" s="18">
        <f>CHOOSE($D$27,E69,E70,E71,E72,E73)</f>
        <v>2.5000000000000001E-2</v>
      </c>
      <c r="F30" s="18">
        <f>CHOOSE($D$27,F69,F70,F71,F72,F73)</f>
        <v>2.5000000000000001E-2</v>
      </c>
      <c r="G30" s="18">
        <f>CHOOSE($D$27,G69,G70,G71,G72,G73)</f>
        <v>0.02</v>
      </c>
    </row>
    <row r="31" spans="2:7" ht="14" x14ac:dyDescent="0.3">
      <c r="B31" s="4" t="s">
        <v>91</v>
      </c>
      <c r="C31" s="18">
        <f>CHOOSE($D$27,C76,C77,C78,C79,C80)</f>
        <v>0.27500000000000002</v>
      </c>
      <c r="D31" s="18">
        <f>CHOOSE($D$27,D76,D77,D78,D79,D80)</f>
        <v>0.27500000000000002</v>
      </c>
      <c r="E31" s="18">
        <f>CHOOSE($D$27,E76,E77,E78,E79,E80)</f>
        <v>0.27500000000000002</v>
      </c>
      <c r="F31" s="18">
        <f>CHOOSE($D$27,F76,F77,F78,F79,F80)</f>
        <v>0.27500000000000002</v>
      </c>
      <c r="G31" s="18">
        <f>CHOOSE($D$27,G76,G77,G78,G79,G80)</f>
        <v>0.27500000000000002</v>
      </c>
    </row>
    <row r="32" spans="2:7" ht="14" x14ac:dyDescent="0.3">
      <c r="B32" s="4" t="s">
        <v>92</v>
      </c>
      <c r="C32" s="18">
        <f>CHOOSE($D$27,C83,C84,C85,C86,C87)</f>
        <v>0.53</v>
      </c>
      <c r="D32" s="18">
        <f>CHOOSE($D$27,D83,D84,D85,D86,D87)</f>
        <v>0.51</v>
      </c>
      <c r="E32" s="18">
        <f>CHOOSE($D$27,E83,E84,E85,E86,E87)</f>
        <v>0.49299999999999999</v>
      </c>
      <c r="F32" s="18">
        <f>CHOOSE($D$27,F83,F84,F85,F86,F87)</f>
        <v>0.48299999999999998</v>
      </c>
      <c r="G32" s="18">
        <f>CHOOSE($D$27,G83,G84,G85,G86,G87)</f>
        <v>0.47689999999999999</v>
      </c>
    </row>
    <row r="33" spans="2:7" ht="14" x14ac:dyDescent="0.3">
      <c r="B33" s="4" t="s">
        <v>37</v>
      </c>
      <c r="C33" s="5">
        <f>C17*(1+C30)</f>
        <v>531258.55000000005</v>
      </c>
      <c r="D33" s="5">
        <f>C33*(1+D30)</f>
        <v>547196.30650000006</v>
      </c>
      <c r="E33" s="5">
        <f>D33*(1+E30)</f>
        <v>560876.21416249999</v>
      </c>
      <c r="F33" s="5">
        <f>E33*(1+F30)</f>
        <v>574898.11951656244</v>
      </c>
      <c r="G33" s="5">
        <f>F33*(1+G30)</f>
        <v>586396.08190689364</v>
      </c>
    </row>
    <row r="34" spans="2:7" ht="14" x14ac:dyDescent="0.3">
      <c r="B34" s="4" t="s">
        <v>38</v>
      </c>
      <c r="C34" s="5">
        <f>C33*C31</f>
        <v>146096.10125000004</v>
      </c>
      <c r="D34" s="5">
        <f>D33*D31</f>
        <v>150478.98428750003</v>
      </c>
      <c r="E34" s="5">
        <f>E33*E31</f>
        <v>154240.9588946875</v>
      </c>
      <c r="F34" s="5">
        <f>F33*F31</f>
        <v>158096.98286705467</v>
      </c>
      <c r="G34" s="5">
        <f>G33*G31</f>
        <v>161258.92252439578</v>
      </c>
    </row>
    <row r="35" spans="2:7" ht="14" x14ac:dyDescent="0.3">
      <c r="B35" s="4" t="s">
        <v>39</v>
      </c>
      <c r="C35" s="19">
        <f>C33-C34</f>
        <v>385162.44874999998</v>
      </c>
      <c r="D35" s="19">
        <f>D33-D34</f>
        <v>396717.32221250003</v>
      </c>
      <c r="E35" s="19">
        <f>E33-E34</f>
        <v>406635.25526781252</v>
      </c>
      <c r="F35" s="19">
        <f>F33-F34</f>
        <v>416801.1366495078</v>
      </c>
      <c r="G35" s="19">
        <f>G33-G34</f>
        <v>425137.15938249789</v>
      </c>
    </row>
    <row r="36" spans="2:7" ht="14" x14ac:dyDescent="0.3">
      <c r="B36" s="4" t="s">
        <v>40</v>
      </c>
      <c r="C36" s="7">
        <f>C35/C33</f>
        <v>0.72499999999999987</v>
      </c>
      <c r="D36" s="7">
        <f>D35/D33</f>
        <v>0.72499999999999998</v>
      </c>
      <c r="E36" s="7">
        <f>E35/E33</f>
        <v>0.72500000000000009</v>
      </c>
      <c r="F36" s="7">
        <f>F35/F33</f>
        <v>0.72500000000000009</v>
      </c>
      <c r="G36" s="7">
        <f>G35/G33</f>
        <v>0.72499999999999998</v>
      </c>
    </row>
    <row r="37" spans="2:7" ht="14" x14ac:dyDescent="0.3">
      <c r="B37" s="4" t="s">
        <v>93</v>
      </c>
      <c r="C37" s="5">
        <f>C33*C32</f>
        <v>281567.03150000004</v>
      </c>
      <c r="D37" s="5">
        <f>D33*D32</f>
        <v>279070.11631500005</v>
      </c>
      <c r="E37" s="5">
        <f>E33*E32</f>
        <v>276511.97358211252</v>
      </c>
      <c r="F37" s="5">
        <f>F33*F32</f>
        <v>277675.79172649962</v>
      </c>
      <c r="G37" s="5">
        <f>G33*G32</f>
        <v>279652.29146139754</v>
      </c>
    </row>
    <row r="38" spans="2:7" ht="14" x14ac:dyDescent="0.3">
      <c r="B38" s="4" t="s">
        <v>94</v>
      </c>
      <c r="C38" s="7">
        <f>(C35-C37)/C33</f>
        <v>0.19499999999999987</v>
      </c>
      <c r="D38" s="7">
        <f>(D35-D37)/D33</f>
        <v>0.21499999999999994</v>
      </c>
      <c r="E38" s="7">
        <f>(E35-E37)/E33</f>
        <v>0.23200000000000001</v>
      </c>
      <c r="F38" s="7">
        <f>(F35-F37)/F33</f>
        <v>0.2420000000000001</v>
      </c>
      <c r="G38" s="7">
        <f>(G35-G37)/G33</f>
        <v>0.24810000000000007</v>
      </c>
    </row>
    <row r="39" spans="2:7" ht="14" x14ac:dyDescent="0.3">
      <c r="B39" s="4" t="s">
        <v>95</v>
      </c>
      <c r="C39" s="19">
        <f>C35-C37</f>
        <v>103595.41724999994</v>
      </c>
      <c r="D39" s="19">
        <f>D35-D37</f>
        <v>117647.20589749998</v>
      </c>
      <c r="E39" s="19">
        <f>E35-E37</f>
        <v>130123.2816857</v>
      </c>
      <c r="F39" s="19">
        <f>F35-F37</f>
        <v>139125.34492300818</v>
      </c>
      <c r="G39" s="19">
        <f>G35-G37</f>
        <v>145484.86792110035</v>
      </c>
    </row>
    <row r="40" spans="2:7" ht="14" x14ac:dyDescent="0.3">
      <c r="B40" s="4" t="s">
        <v>96</v>
      </c>
      <c r="C40" s="5">
        <f>MAX(0,C39*C6)</f>
        <v>25898.854312499985</v>
      </c>
      <c r="D40" s="5">
        <f>MAX(0,D39*C6)</f>
        <v>29411.801474374995</v>
      </c>
      <c r="E40" s="5">
        <f>MAX(0,E39*C6)</f>
        <v>32530.820421425</v>
      </c>
      <c r="F40" s="5">
        <f>MAX(0,F39*C6)</f>
        <v>34781.336230752044</v>
      </c>
      <c r="G40" s="5">
        <f>MAX(0,G39*C6)</f>
        <v>36371.216980275087</v>
      </c>
    </row>
    <row r="41" spans="2:7" ht="14" x14ac:dyDescent="0.3">
      <c r="B41" s="4" t="s">
        <v>97</v>
      </c>
      <c r="C41" s="19">
        <f>C39-C40</f>
        <v>77696.562937499955</v>
      </c>
      <c r="D41" s="19">
        <f>D39-D40</f>
        <v>88235.404423124986</v>
      </c>
      <c r="E41" s="19">
        <f>E39-E40</f>
        <v>97592.461264275</v>
      </c>
      <c r="F41" s="19">
        <f>F39-F40</f>
        <v>104344.00869225613</v>
      </c>
      <c r="G41" s="19">
        <f>G39-G40</f>
        <v>109113.65094082526</v>
      </c>
    </row>
    <row r="42" spans="2:7" ht="14" x14ac:dyDescent="0.3">
      <c r="B42" s="4" t="s">
        <v>98</v>
      </c>
      <c r="C42" s="5">
        <f>C33*C18</f>
        <v>38888.125860000007</v>
      </c>
      <c r="D42" s="5">
        <f>D33*C18</f>
        <v>40054.769635800003</v>
      </c>
      <c r="E42" s="5">
        <f>E33*C18</f>
        <v>41056.138876694997</v>
      </c>
      <c r="F42" s="5">
        <f>F33*C18</f>
        <v>42082.542348612369</v>
      </c>
      <c r="G42" s="5">
        <f>G33*C18</f>
        <v>42924.193195584616</v>
      </c>
    </row>
    <row r="43" spans="2:7" ht="14" x14ac:dyDescent="0.3">
      <c r="B43" s="4" t="s">
        <v>99</v>
      </c>
      <c r="C43" s="5">
        <v>54800</v>
      </c>
      <c r="D43" s="5">
        <v>52400</v>
      </c>
      <c r="E43" s="5">
        <v>49900</v>
      </c>
      <c r="F43" s="5">
        <v>47500</v>
      </c>
      <c r="G43" s="5">
        <v>45100</v>
      </c>
    </row>
    <row r="44" spans="2:7" ht="14" x14ac:dyDescent="0.3">
      <c r="B44" s="4" t="s">
        <v>100</v>
      </c>
      <c r="C44" s="5">
        <f>'NWC Schedule'!D19</f>
        <v>-12351.746849315066</v>
      </c>
      <c r="D44" s="5">
        <f>'NWC Schedule'!E19</f>
        <v>3842.5275945205358</v>
      </c>
      <c r="E44" s="5">
        <f>'NWC Schedule'!F19</f>
        <v>3298.1695186301367</v>
      </c>
      <c r="F44" s="5">
        <f>'NWC Schedule'!G19</f>
        <v>3380.6237565958872</v>
      </c>
      <c r="G44" s="5">
        <f>'NWC Schedule'!H19</f>
        <v>2772.1114804086392</v>
      </c>
    </row>
    <row r="45" spans="2:7" ht="14" x14ac:dyDescent="0.3">
      <c r="B45" s="4" t="s">
        <v>101</v>
      </c>
      <c r="C45" s="20">
        <f>C41+C42-C43-C44</f>
        <v>74136.435646815022</v>
      </c>
      <c r="D45" s="20">
        <f>D41+D42-D43-D44</f>
        <v>72047.646464404446</v>
      </c>
      <c r="E45" s="20">
        <f>E41+E42-E43-E44</f>
        <v>85450.43062233986</v>
      </c>
      <c r="F45" s="20">
        <f>F41+F42-F43-F44</f>
        <v>95545.92728427262</v>
      </c>
      <c r="G45" s="20">
        <f>G41+G42-G43-G44</f>
        <v>104165.73265600123</v>
      </c>
    </row>
    <row r="46" spans="2:7" ht="14" x14ac:dyDescent="0.3">
      <c r="B46" s="4" t="s">
        <v>102</v>
      </c>
      <c r="C46" s="21">
        <f>1/(1+C26)^(C19+0)</f>
        <v>0.92445706636492397</v>
      </c>
      <c r="D46" s="21">
        <f>1/(1+C26)^(C19+1)</f>
        <v>0.85462086755204147</v>
      </c>
      <c r="E46" s="21">
        <f>1/(1+C26)^(C19+2)</f>
        <v>0.79006030007140648</v>
      </c>
      <c r="F46" s="21">
        <f>1/(1+C26)^(C19+3)</f>
        <v>0.73037682725540398</v>
      </c>
      <c r="G46" s="21">
        <f>1/(1+C26)^(C19+4)</f>
        <v>0.67520201906545163</v>
      </c>
    </row>
    <row r="47" spans="2:7" ht="14" x14ac:dyDescent="0.3">
      <c r="B47" s="4" t="s">
        <v>103</v>
      </c>
      <c r="C47" s="19">
        <f>C45*C46</f>
        <v>68535.951808806596</v>
      </c>
      <c r="D47" s="19">
        <f>D45*D46</f>
        <v>61573.4221264921</v>
      </c>
      <c r="E47" s="19">
        <f>E45*E46</f>
        <v>67510.992858716738</v>
      </c>
      <c r="F47" s="19">
        <f>F45*F46</f>
        <v>69784.531227062573</v>
      </c>
      <c r="G47" s="19">
        <f>G45*G46</f>
        <v>70332.91300676408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337737.81102784211</v>
      </c>
    </row>
    <row r="51" spans="2:7" ht="14" x14ac:dyDescent="0.3">
      <c r="B51" s="4" t="s">
        <v>106</v>
      </c>
      <c r="C51" s="5">
        <f>G45*(1+C13)/(C26-C13)</f>
        <v>1467000.250746852</v>
      </c>
    </row>
    <row r="52" spans="2:7" ht="14" x14ac:dyDescent="0.3">
      <c r="B52" s="4" t="s">
        <v>107</v>
      </c>
      <c r="C52" s="5">
        <f>C51*G46</f>
        <v>990521.53127379832</v>
      </c>
    </row>
    <row r="53" spans="2:7" ht="14" x14ac:dyDescent="0.3">
      <c r="B53" s="4" t="s">
        <v>108</v>
      </c>
      <c r="C53" s="5">
        <f>C50+C52</f>
        <v>1328259.3423016404</v>
      </c>
    </row>
    <row r="54" spans="2:7" ht="14" x14ac:dyDescent="0.3">
      <c r="B54" s="4" t="s">
        <v>109</v>
      </c>
      <c r="C54" s="5">
        <f>C53-C16</f>
        <v>1444370.3423016404</v>
      </c>
    </row>
    <row r="55" spans="2:7" ht="14" x14ac:dyDescent="0.3">
      <c r="B55" s="4" t="s">
        <v>110</v>
      </c>
      <c r="C55" s="24">
        <f>ROUND(C54*1000000/C15,0)</f>
        <v>3074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337737.81102784211</v>
      </c>
    </row>
    <row r="59" spans="2:7" ht="14" x14ac:dyDescent="0.3">
      <c r="B59" s="4" t="s">
        <v>112</v>
      </c>
      <c r="C59" s="5">
        <f>G39+G42</f>
        <v>188409.06111668496</v>
      </c>
    </row>
    <row r="60" spans="2:7" ht="14" x14ac:dyDescent="0.3">
      <c r="B60" s="4" t="s">
        <v>113</v>
      </c>
      <c r="C60" s="5">
        <f>C59*C14</f>
        <v>1921772.4233901864</v>
      </c>
    </row>
    <row r="61" spans="2:7" ht="14" x14ac:dyDescent="0.3">
      <c r="B61" s="4" t="s">
        <v>107</v>
      </c>
      <c r="C61" s="5">
        <f>C60*G46</f>
        <v>1297584.6204573598</v>
      </c>
    </row>
    <row r="62" spans="2:7" ht="14" x14ac:dyDescent="0.3">
      <c r="B62" s="4" t="s">
        <v>108</v>
      </c>
      <c r="C62" s="5">
        <f>C58+C61</f>
        <v>1635322.4314852019</v>
      </c>
    </row>
    <row r="63" spans="2:7" ht="14" x14ac:dyDescent="0.3">
      <c r="B63" s="4" t="s">
        <v>109</v>
      </c>
      <c r="C63" s="5">
        <f>C62-C16</f>
        <v>1751433.4314852019</v>
      </c>
    </row>
    <row r="64" spans="2:7" ht="14" x14ac:dyDescent="0.3">
      <c r="B64" s="4" t="s">
        <v>114</v>
      </c>
      <c r="C64" s="24">
        <f>ROUND(C63*1000000/C15,0)</f>
        <v>3727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0.03</v>
      </c>
      <c r="D69" s="26">
        <v>0.03</v>
      </c>
      <c r="E69" s="26">
        <v>2.5000000000000001E-2</v>
      </c>
      <c r="F69" s="26">
        <v>2.5000000000000001E-2</v>
      </c>
      <c r="G69" s="26">
        <v>0.02</v>
      </c>
    </row>
    <row r="70" spans="2:7" ht="14" x14ac:dyDescent="0.3">
      <c r="B70" s="4" t="s">
        <v>121</v>
      </c>
      <c r="C70" s="26">
        <v>0.05</v>
      </c>
      <c r="D70" s="26">
        <v>4.4999999999999998E-2</v>
      </c>
      <c r="E70" s="26">
        <v>0.04</v>
      </c>
      <c r="F70" s="26">
        <v>3.5000000000000003E-2</v>
      </c>
      <c r="G70" s="26">
        <v>0.03</v>
      </c>
    </row>
    <row r="71" spans="2:7" ht="14" x14ac:dyDescent="0.3">
      <c r="B71" s="4" t="s">
        <v>122</v>
      </c>
      <c r="C71" s="26">
        <v>0.03</v>
      </c>
      <c r="D71" s="26">
        <v>0.03</v>
      </c>
      <c r="E71" s="26">
        <v>2.5000000000000001E-2</v>
      </c>
      <c r="F71" s="26">
        <v>2.5000000000000001E-2</v>
      </c>
      <c r="G71" s="26">
        <v>0.02</v>
      </c>
    </row>
    <row r="72" spans="2:7" ht="14" x14ac:dyDescent="0.3">
      <c r="B72" s="4" t="s">
        <v>123</v>
      </c>
      <c r="C72" s="26">
        <v>0.01</v>
      </c>
      <c r="D72" s="26">
        <v>1.4999999999999999E-2</v>
      </c>
      <c r="E72" s="26">
        <v>0.02</v>
      </c>
      <c r="F72" s="26">
        <v>0.02</v>
      </c>
      <c r="G72" s="26">
        <v>0.02</v>
      </c>
    </row>
    <row r="73" spans="2:7" ht="14" x14ac:dyDescent="0.3">
      <c r="B73" s="4" t="s">
        <v>124</v>
      </c>
      <c r="C73" s="26">
        <v>-0.06</v>
      </c>
      <c r="D73" s="26">
        <v>-0.01</v>
      </c>
      <c r="E73" s="26">
        <v>1.4999999999999999E-2</v>
      </c>
      <c r="F73" s="26">
        <v>0.02</v>
      </c>
      <c r="G73" s="26">
        <v>0.02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0.27500000000000002</v>
      </c>
      <c r="D76" s="26">
        <v>0.27500000000000002</v>
      </c>
      <c r="E76" s="26">
        <v>0.27500000000000002</v>
      </c>
      <c r="F76" s="26">
        <v>0.27500000000000002</v>
      </c>
      <c r="G76" s="26">
        <v>0.27500000000000002</v>
      </c>
    </row>
    <row r="77" spans="2:7" ht="14" x14ac:dyDescent="0.3">
      <c r="B77" s="4" t="s">
        <v>121</v>
      </c>
      <c r="C77" s="26">
        <v>0.26500000000000001</v>
      </c>
      <c r="D77" s="26">
        <v>0.26500000000000001</v>
      </c>
      <c r="E77" s="26">
        <v>0.26500000000000001</v>
      </c>
      <c r="F77" s="26">
        <v>0.26500000000000001</v>
      </c>
      <c r="G77" s="26">
        <v>0.26500000000000001</v>
      </c>
    </row>
    <row r="78" spans="2:7" ht="14" x14ac:dyDescent="0.3">
      <c r="B78" s="4" t="s">
        <v>122</v>
      </c>
      <c r="C78" s="26">
        <v>0.27500000000000002</v>
      </c>
      <c r="D78" s="26">
        <v>0.27500000000000002</v>
      </c>
      <c r="E78" s="26">
        <v>0.27500000000000002</v>
      </c>
      <c r="F78" s="26">
        <v>0.27500000000000002</v>
      </c>
      <c r="G78" s="26">
        <v>0.27500000000000002</v>
      </c>
    </row>
    <row r="79" spans="2:7" ht="14" x14ac:dyDescent="0.3">
      <c r="B79" s="4" t="s">
        <v>123</v>
      </c>
      <c r="C79" s="26">
        <v>0.28499999999999998</v>
      </c>
      <c r="D79" s="26">
        <v>0.28499999999999998</v>
      </c>
      <c r="E79" s="26">
        <v>0.28499999999999998</v>
      </c>
      <c r="F79" s="26">
        <v>0.28499999999999998</v>
      </c>
      <c r="G79" s="26">
        <v>0.28499999999999998</v>
      </c>
    </row>
    <row r="80" spans="2:7" ht="14" x14ac:dyDescent="0.3">
      <c r="B80" s="4" t="s">
        <v>124</v>
      </c>
      <c r="C80" s="26">
        <v>0.29499999999999998</v>
      </c>
      <c r="D80" s="26">
        <v>0.29499999999999998</v>
      </c>
      <c r="E80" s="26">
        <v>0.29499999999999998</v>
      </c>
      <c r="F80" s="26">
        <v>0.29499999999999998</v>
      </c>
      <c r="G80" s="26">
        <v>0.29499999999999998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0.53</v>
      </c>
      <c r="D83" s="26">
        <v>0.51</v>
      </c>
      <c r="E83" s="26">
        <v>0.49299999999999999</v>
      </c>
      <c r="F83" s="26">
        <v>0.48299999999999998</v>
      </c>
      <c r="G83" s="26">
        <v>0.47689999999999999</v>
      </c>
    </row>
    <row r="84" spans="2:7" ht="14" x14ac:dyDescent="0.3">
      <c r="B84" s="4" t="s">
        <v>121</v>
      </c>
      <c r="C84" s="26">
        <v>0.46500000000000002</v>
      </c>
      <c r="D84" s="26">
        <v>0.44500000000000001</v>
      </c>
      <c r="E84" s="26">
        <v>0.43</v>
      </c>
      <c r="F84" s="26">
        <v>0.42199999999999999</v>
      </c>
      <c r="G84" s="26">
        <v>0.41739999999999999</v>
      </c>
    </row>
    <row r="85" spans="2:7" ht="14" x14ac:dyDescent="0.3">
      <c r="B85" s="4" t="s">
        <v>122</v>
      </c>
      <c r="C85" s="26">
        <v>0.53</v>
      </c>
      <c r="D85" s="26">
        <v>0.51</v>
      </c>
      <c r="E85" s="26">
        <v>0.49299999999999999</v>
      </c>
      <c r="F85" s="26">
        <v>0.48299999999999998</v>
      </c>
      <c r="G85" s="26">
        <v>0.47689999999999999</v>
      </c>
    </row>
    <row r="86" spans="2:7" ht="14" x14ac:dyDescent="0.3">
      <c r="B86" s="4" t="s">
        <v>123</v>
      </c>
      <c r="C86" s="26">
        <v>0.54</v>
      </c>
      <c r="D86" s="26">
        <v>0.54400000000000004</v>
      </c>
      <c r="E86" s="26">
        <v>0.54700000000000004</v>
      </c>
      <c r="F86" s="26">
        <v>0.54900000000000004</v>
      </c>
      <c r="G86" s="26">
        <v>0.55020000000000002</v>
      </c>
    </row>
    <row r="87" spans="2:7" ht="14" x14ac:dyDescent="0.3">
      <c r="B87" s="4" t="s">
        <v>124</v>
      </c>
      <c r="C87" s="26">
        <v>0.57999999999999996</v>
      </c>
      <c r="D87" s="26">
        <v>0.59499999999999997</v>
      </c>
      <c r="E87" s="26">
        <v>0.6</v>
      </c>
      <c r="F87" s="26">
        <v>0.6</v>
      </c>
      <c r="G87" s="26">
        <v>0.59699999999999998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2448.5</v>
      </c>
    </row>
    <row r="7" spans="2:9" ht="14" x14ac:dyDescent="0.3">
      <c r="B7" s="4" t="s">
        <v>72</v>
      </c>
      <c r="C7" s="15">
        <f>'DCF Model'!C15</f>
        <v>469907311</v>
      </c>
    </row>
    <row r="8" spans="2:9" ht="14" x14ac:dyDescent="0.3">
      <c r="B8" s="4" t="s">
        <v>129</v>
      </c>
      <c r="C8" s="5">
        <f>C6*C7/1000000</f>
        <v>1150568.0509835</v>
      </c>
    </row>
    <row r="9" spans="2:9" ht="14" x14ac:dyDescent="0.3">
      <c r="B9" s="4" t="s">
        <v>73</v>
      </c>
      <c r="C9" s="5">
        <f>'DCF Model'!C16</f>
        <v>-116111</v>
      </c>
    </row>
    <row r="10" spans="2:9" ht="14" x14ac:dyDescent="0.3">
      <c r="B10" s="4" t="s">
        <v>130</v>
      </c>
      <c r="C10" s="5">
        <f>C8+C9</f>
        <v>1034457.0509835</v>
      </c>
    </row>
    <row r="11" spans="2:9" ht="14" x14ac:dyDescent="0.3">
      <c r="B11" s="4" t="s">
        <v>131</v>
      </c>
      <c r="C11" s="16">
        <f>'DCF Model'!C26</f>
        <v>8.1715999999999997E-2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92236</v>
      </c>
    </row>
    <row r="15" spans="2:9" ht="14" x14ac:dyDescent="0.3">
      <c r="B15" s="4" t="s">
        <v>135</v>
      </c>
      <c r="C15" s="27">
        <v>159936</v>
      </c>
    </row>
    <row r="16" spans="2:9" ht="14" x14ac:dyDescent="0.3">
      <c r="B16" s="4" t="s">
        <v>136</v>
      </c>
      <c r="C16" s="5">
        <f>'DCF Model'!G33</f>
        <v>586396.08190689364</v>
      </c>
    </row>
    <row r="17" spans="2:9" ht="14" x14ac:dyDescent="0.3">
      <c r="B17" s="4" t="s">
        <v>137</v>
      </c>
      <c r="C17" s="5">
        <f>'DCF Model'!C53</f>
        <v>1328259.3423016404</v>
      </c>
    </row>
    <row r="18" spans="2:9" ht="14" x14ac:dyDescent="0.3">
      <c r="B18" s="4" t="s">
        <v>138</v>
      </c>
      <c r="C18" s="26">
        <v>0.3181716904860426</v>
      </c>
    </row>
    <row r="19" spans="2:9" ht="14" x14ac:dyDescent="0.3">
      <c r="B19" s="4" t="s">
        <v>139</v>
      </c>
      <c r="C19" s="5">
        <f>C10-C17</f>
        <v>-293802.29131814046</v>
      </c>
    </row>
    <row r="20" spans="2:9" ht="14" x14ac:dyDescent="0.3">
      <c r="B20" s="4" t="s">
        <v>140</v>
      </c>
      <c r="C20" s="15">
        <f>IFERROR(ROUND(C19*1000000/C7,0),"N/A")</f>
        <v>-625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74187.121868332688</v>
      </c>
    </row>
    <row r="25" spans="2:9" ht="14" x14ac:dyDescent="0.3">
      <c r="B25" s="4" t="s">
        <v>144</v>
      </c>
      <c r="C25" s="5">
        <f>IFERROR(C24/(1-C13),"N/A")</f>
        <v>98916.162491110255</v>
      </c>
    </row>
    <row r="26" spans="2:9" ht="13.5" x14ac:dyDescent="0.25">
      <c r="B26" s="6" t="s">
        <v>145</v>
      </c>
      <c r="C26" s="14">
        <f>IFERROR(C25/C15,"N/A")</f>
        <v>0.61847340493141167</v>
      </c>
    </row>
    <row r="27" spans="2:9" ht="13.5" x14ac:dyDescent="0.25">
      <c r="B27" s="6" t="s">
        <v>146</v>
      </c>
      <c r="C27" s="14">
        <f>IFERROR(C25/C14,"N/A")</f>
        <v>1.0724246768193575</v>
      </c>
    </row>
    <row r="28" spans="2:9" ht="13.5" x14ac:dyDescent="0.25">
      <c r="B28" s="6" t="s">
        <v>147</v>
      </c>
      <c r="C28" s="7">
        <f>IFERROR(C25/C16,"N/A")</f>
        <v>0.16868489668185724</v>
      </c>
    </row>
    <row r="29" spans="2:9" ht="13.5" x14ac:dyDescent="0.25">
      <c r="B29" s="6" t="s">
        <v>148</v>
      </c>
      <c r="C29" s="5">
        <f>IFERROR(C25/C18,"N/A")</f>
        <v>310889.26340368256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6.1715999999999993E-2</v>
      </c>
      <c r="E36" s="29">
        <f>'DCF Model'!C26-0.01</f>
        <v>7.1716000000000002E-2</v>
      </c>
      <c r="F36" s="29">
        <f>'DCF Model'!C26</f>
        <v>8.1715999999999997E-2</v>
      </c>
      <c r="G36" s="29">
        <f>'DCF Model'!C26+0.01</f>
        <v>9.1715999999999992E-2</v>
      </c>
      <c r="H36" s="29">
        <f>'DCF Model'!C26+0.02</f>
        <v>0.101716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0.92362159024258506</v>
      </c>
      <c r="E38" s="13">
        <f t="shared" si="0"/>
        <v>0.91226998516466939</v>
      </c>
      <c r="F38" s="13">
        <f t="shared" si="0"/>
        <v>0.90117833342729026</v>
      </c>
      <c r="G38" s="13">
        <f t="shared" si="0"/>
        <v>0.89033812824115888</v>
      </c>
      <c r="H38" s="13">
        <f t="shared" si="0"/>
        <v>0.8797412207230777</v>
      </c>
    </row>
    <row r="39" spans="2:9" ht="14" x14ac:dyDescent="0.3">
      <c r="B39" s="4" t="s">
        <v>156</v>
      </c>
      <c r="C39" s="30">
        <v>5</v>
      </c>
      <c r="D39" s="13">
        <f t="shared" si="0"/>
        <v>1.7773892137568512</v>
      </c>
      <c r="E39" s="13">
        <f t="shared" si="0"/>
        <v>1.7454101550167143</v>
      </c>
      <c r="F39" s="13">
        <f t="shared" si="0"/>
        <v>1.7144376591028068</v>
      </c>
      <c r="G39" s="13">
        <f t="shared" si="0"/>
        <v>1.6844284757897099</v>
      </c>
      <c r="H39" s="13">
        <f t="shared" si="0"/>
        <v>1.6553416629554651</v>
      </c>
    </row>
    <row r="40" spans="2:9" ht="14" x14ac:dyDescent="0.3">
      <c r="B40" s="4" t="s">
        <v>157</v>
      </c>
      <c r="C40" s="30">
        <v>7</v>
      </c>
      <c r="D40" s="13">
        <f t="shared" si="0"/>
        <v>2.567234576786944</v>
      </c>
      <c r="E40" s="13">
        <f t="shared" si="0"/>
        <v>2.5071244846122371</v>
      </c>
      <c r="F40" s="13">
        <f t="shared" si="0"/>
        <v>2.4494025334116212</v>
      </c>
      <c r="G40" s="13">
        <f t="shared" si="0"/>
        <v>2.3939424139991283</v>
      </c>
      <c r="H40" s="13">
        <f t="shared" si="0"/>
        <v>2.3406259446218103</v>
      </c>
    </row>
    <row r="41" spans="2:9" ht="14" x14ac:dyDescent="0.3">
      <c r="B41" s="4" t="s">
        <v>158</v>
      </c>
      <c r="C41" s="30">
        <v>10</v>
      </c>
      <c r="D41" s="13">
        <f t="shared" si="0"/>
        <v>3.6438156550031366</v>
      </c>
      <c r="E41" s="13">
        <f t="shared" si="0"/>
        <v>3.5306798055898234</v>
      </c>
      <c r="F41" s="13">
        <f t="shared" si="0"/>
        <v>3.4233732542000541</v>
      </c>
      <c r="G41" s="13">
        <f t="shared" si="0"/>
        <v>3.3215043727112761</v>
      </c>
      <c r="H41" s="13">
        <f t="shared" si="0"/>
        <v>3.2247129560022216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18.059092983620481</v>
      </c>
      <c r="E43" s="13">
        <f t="shared" si="1"/>
        <v>14.998721178029353</v>
      </c>
      <c r="F43" s="13">
        <f t="shared" si="1"/>
        <v>12.794638787728804</v>
      </c>
      <c r="G43" s="13">
        <f t="shared" si="1"/>
        <v>11.132396067670205</v>
      </c>
      <c r="H43" s="13">
        <f t="shared" si="1"/>
        <v>9.8346871531725579</v>
      </c>
    </row>
    <row r="44" spans="2:9" ht="14" x14ac:dyDescent="0.3">
      <c r="B44" s="4" t="s">
        <v>156</v>
      </c>
      <c r="C44" s="30">
        <v>5</v>
      </c>
      <c r="D44" s="13">
        <f t="shared" si="1"/>
        <v>16.891584945803267</v>
      </c>
      <c r="E44" s="13">
        <f t="shared" si="1"/>
        <v>13.911124483227161</v>
      </c>
      <c r="F44" s="13">
        <f t="shared" si="1"/>
        <v>11.769371384730679</v>
      </c>
      <c r="G44" s="13">
        <f t="shared" si="1"/>
        <v>10.158104835976363</v>
      </c>
      <c r="H44" s="13">
        <f t="shared" si="1"/>
        <v>8.9035437728404574</v>
      </c>
    </row>
    <row r="45" spans="2:9" ht="14" x14ac:dyDescent="0.3">
      <c r="B45" s="4" t="s">
        <v>157</v>
      </c>
      <c r="C45" s="30">
        <v>7</v>
      </c>
      <c r="D45" s="13">
        <f t="shared" si="1"/>
        <v>15.823413606364667</v>
      </c>
      <c r="E45" s="13">
        <f t="shared" si="1"/>
        <v>12.927869127541692</v>
      </c>
      <c r="F45" s="13">
        <f t="shared" si="1"/>
        <v>10.853219983452378</v>
      </c>
      <c r="G45" s="13">
        <f t="shared" si="1"/>
        <v>9.2973958498777662</v>
      </c>
      <c r="H45" s="13">
        <f t="shared" si="1"/>
        <v>8.0901117412870889</v>
      </c>
    </row>
    <row r="46" spans="2:9" ht="14" x14ac:dyDescent="0.3">
      <c r="B46" s="4" t="s">
        <v>158</v>
      </c>
      <c r="C46" s="30">
        <v>10</v>
      </c>
      <c r="D46" s="13">
        <f t="shared" si="1"/>
        <v>14.387125885263268</v>
      </c>
      <c r="E46" s="13">
        <f t="shared" si="1"/>
        <v>11.624557463412833</v>
      </c>
      <c r="F46" s="13">
        <f t="shared" si="1"/>
        <v>9.6556389171985355</v>
      </c>
      <c r="G46" s="13">
        <f t="shared" si="1"/>
        <v>8.1874230038705278</v>
      </c>
      <c r="H46" s="13">
        <f t="shared" si="1"/>
        <v>7.0548510274169445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71658.355608120211</v>
      </c>
      <c r="E48" s="5">
        <f t="shared" si="2"/>
        <v>86349.490616807103</v>
      </c>
      <c r="F48" s="5">
        <f t="shared" si="2"/>
        <v>101304.53893384848</v>
      </c>
      <c r="G48" s="5">
        <f t="shared" si="2"/>
        <v>116520.72316656426</v>
      </c>
      <c r="H48" s="5">
        <f t="shared" si="2"/>
        <v>131995.2771781483</v>
      </c>
    </row>
    <row r="49" spans="2:9" ht="14" x14ac:dyDescent="0.3">
      <c r="B49" s="4" t="s">
        <v>156</v>
      </c>
      <c r="C49" s="30">
        <v>5</v>
      </c>
      <c r="D49" s="5">
        <f t="shared" si="2"/>
        <v>71949.245755051234</v>
      </c>
      <c r="E49" s="5">
        <f t="shared" si="2"/>
        <v>87576.41543563093</v>
      </c>
      <c r="F49" s="5">
        <f t="shared" si="2"/>
        <v>103756.02537594129</v>
      </c>
      <c r="G49" s="5">
        <f t="shared" si="2"/>
        <v>120486.16772987085</v>
      </c>
      <c r="H49" s="5">
        <f t="shared" si="2"/>
        <v>137764.69298609684</v>
      </c>
    </row>
    <row r="50" spans="2:9" ht="14" x14ac:dyDescent="0.3">
      <c r="B50" s="4" t="s">
        <v>157</v>
      </c>
      <c r="C50" s="30">
        <v>7</v>
      </c>
      <c r="D50" s="5">
        <f t="shared" si="2"/>
        <v>72202.158647609176</v>
      </c>
      <c r="E50" s="5">
        <f t="shared" si="2"/>
        <v>88802.642004592286</v>
      </c>
      <c r="F50" s="5">
        <f t="shared" si="2"/>
        <v>106268.27592776455</v>
      </c>
      <c r="G50" s="5">
        <f t="shared" si="2"/>
        <v>124601.3845366826</v>
      </c>
      <c r="H50" s="5">
        <f t="shared" si="2"/>
        <v>143803.46409959166</v>
      </c>
    </row>
    <row r="51" spans="2:9" ht="14" x14ac:dyDescent="0.3">
      <c r="B51" s="4" t="s">
        <v>158</v>
      </c>
      <c r="C51" s="30">
        <v>10</v>
      </c>
      <c r="D51" s="5">
        <f t="shared" si="2"/>
        <v>72508.233787796707</v>
      </c>
      <c r="E51" s="5">
        <f t="shared" si="2"/>
        <v>90637.453403777719</v>
      </c>
      <c r="F51" s="5">
        <f t="shared" si="2"/>
        <v>110144.73735231292</v>
      </c>
      <c r="G51" s="5">
        <f t="shared" si="2"/>
        <v>131044.13808220153</v>
      </c>
      <c r="H51" s="5">
        <f t="shared" si="2"/>
        <v>153347.17055879254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0.44804394012680204</v>
      </c>
      <c r="E53" s="14">
        <f t="shared" si="3"/>
        <v>0.53990027646563066</v>
      </c>
      <c r="F53" s="14">
        <f t="shared" si="3"/>
        <v>0.63340673102896461</v>
      </c>
      <c r="G53" s="14">
        <f t="shared" si="3"/>
        <v>0.72854593816629309</v>
      </c>
      <c r="H53" s="14">
        <f t="shared" si="3"/>
        <v>0.82530060260446869</v>
      </c>
    </row>
    <row r="54" spans="2:9" ht="14" x14ac:dyDescent="0.3">
      <c r="B54" s="4" t="s">
        <v>156</v>
      </c>
      <c r="C54" s="30">
        <v>5</v>
      </c>
      <c r="D54" s="14">
        <f t="shared" si="3"/>
        <v>0.44986273106149482</v>
      </c>
      <c r="E54" s="14">
        <f t="shared" si="3"/>
        <v>0.54757162512274238</v>
      </c>
      <c r="F54" s="14">
        <f t="shared" si="3"/>
        <v>0.64873465246061734</v>
      </c>
      <c r="G54" s="14">
        <f t="shared" si="3"/>
        <v>0.753339884265399</v>
      </c>
      <c r="H54" s="14">
        <f t="shared" si="3"/>
        <v>0.86137388071539134</v>
      </c>
    </row>
    <row r="55" spans="2:9" ht="14" x14ac:dyDescent="0.3">
      <c r="B55" s="4" t="s">
        <v>157</v>
      </c>
      <c r="C55" s="30">
        <v>7</v>
      </c>
      <c r="D55" s="14">
        <f t="shared" si="3"/>
        <v>0.45144406917522745</v>
      </c>
      <c r="E55" s="14">
        <f t="shared" si="3"/>
        <v>0.55523860797189051</v>
      </c>
      <c r="F55" s="14">
        <f t="shared" si="3"/>
        <v>0.66444250154914808</v>
      </c>
      <c r="G55" s="14">
        <f t="shared" si="3"/>
        <v>0.77907028146685298</v>
      </c>
      <c r="H55" s="14">
        <f t="shared" si="3"/>
        <v>0.89913130314370537</v>
      </c>
    </row>
    <row r="56" spans="2:9" ht="14" x14ac:dyDescent="0.3">
      <c r="B56" s="4" t="s">
        <v>158</v>
      </c>
      <c r="C56" s="30">
        <v>10</v>
      </c>
      <c r="D56" s="14">
        <f t="shared" si="3"/>
        <v>0.45335780429544759</v>
      </c>
      <c r="E56" s="14">
        <f t="shared" si="3"/>
        <v>0.56671076808084309</v>
      </c>
      <c r="F56" s="14">
        <f t="shared" si="3"/>
        <v>0.68868008048414942</v>
      </c>
      <c r="G56" s="14">
        <f t="shared" si="3"/>
        <v>0.81935360445554184</v>
      </c>
      <c r="H56" s="14">
        <f t="shared" si="3"/>
        <v>0.95880333732738432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103756.02537594129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0.15909999999999999</v>
      </c>
      <c r="C63" s="5">
        <f>IFERROR($C$60/B63,"N/A")</f>
        <v>652143.46559359704</v>
      </c>
      <c r="D63" s="14">
        <f>IFERROR(C63/'DCF Model'!C17,"N/A")</f>
        <v>1.2643707467134504</v>
      </c>
    </row>
    <row r="64" spans="2:9" ht="14" x14ac:dyDescent="0.3">
      <c r="B64" s="31">
        <v>0.23860000000000001</v>
      </c>
      <c r="C64" s="5">
        <f>IFERROR($C$60/B64,"N/A")</f>
        <v>434853.41733420489</v>
      </c>
      <c r="D64" s="14">
        <f>IFERROR(C64/'DCF Model'!C17,"N/A")</f>
        <v>0.84309046857548187</v>
      </c>
    </row>
    <row r="65" spans="2:9" ht="14" x14ac:dyDescent="0.3">
      <c r="B65" s="4" t="s">
        <v>168</v>
      </c>
      <c r="C65" s="5">
        <f>IFERROR($C$60/$C$18,"N/A")</f>
        <v>326100.74522168341</v>
      </c>
      <c r="D65" s="14">
        <f>IFERROR(C65/'DCF Model'!C17,"N/A")</f>
        <v>0.63224162242345827</v>
      </c>
    </row>
    <row r="66" spans="2:9" ht="14" x14ac:dyDescent="0.3">
      <c r="B66" s="31">
        <v>0.3977</v>
      </c>
      <c r="C66" s="5">
        <f>IFERROR($C$60/B66,"N/A")</f>
        <v>260890.18198627429</v>
      </c>
      <c r="D66" s="14">
        <f>IFERROR(C66/'DCF Model'!C17,"N/A")</f>
        <v>0.50581188283155631</v>
      </c>
    </row>
    <row r="67" spans="2:9" ht="14" x14ac:dyDescent="0.3">
      <c r="B67" s="31">
        <v>0.4773</v>
      </c>
      <c r="C67" s="5">
        <f>IFERROR($C$60/B67,"N/A")</f>
        <v>217381.15519786568</v>
      </c>
      <c r="D67" s="14">
        <f>IFERROR(C67/'DCF Model'!C17,"N/A")</f>
        <v>0.42145691557115017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7.9580965241676154</v>
      </c>
    </row>
    <row r="71" spans="2:9" ht="13.5" x14ac:dyDescent="0.25">
      <c r="B71" s="6" t="s">
        <v>171</v>
      </c>
      <c r="C71" s="14">
        <f>IFERROR(C10/'Comps Analysis'!F5,"N/A")</f>
        <v>2.0055973922923309</v>
      </c>
    </row>
    <row r="72" spans="2:9" ht="14" x14ac:dyDescent="0.3">
      <c r="B72" s="4" t="s">
        <v>172</v>
      </c>
      <c r="C72" s="14">
        <f>IFERROR(C10/(C25+'DCF Model'!G42),"N/A")</f>
        <v>7.2931081283275132</v>
      </c>
    </row>
    <row r="73" spans="2:9" ht="14" x14ac:dyDescent="0.3">
      <c r="B73" s="4" t="s">
        <v>173</v>
      </c>
      <c r="C73" s="14">
        <f>IFERROR(C10/(C60+'DCF Model'!G42),"N/A")</f>
        <v>7.0524646135502316</v>
      </c>
    </row>
    <row r="74" spans="2:9" ht="14" x14ac:dyDescent="0.3">
      <c r="B74" s="4" t="s">
        <v>174</v>
      </c>
      <c r="C74" s="14">
        <f>IFERROR('Comps Analysis'!D16,"N/A")</f>
        <v>10.222826816801042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FY2026."</f>
        <v>At 2,449 yen the market is paying for a steady-state operating profit of 103,756 mn JPY - 0.65x the FY2024 cycle peak of 159,936 mn - reached in 5 years and sustained for ever, against 92,236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98,916 mn, or 0.62x the peak. The base case supports an EV of only 1,328,259 mn, leaving -625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103.27295287765251</v>
      </c>
      <c r="D5" s="34">
        <f>CHOOSE('DCF Model'!$D$27,D25,D26,D27,D28,D29)</f>
        <v>99</v>
      </c>
      <c r="E5" s="34">
        <f>CHOOSE('DCF Model'!$D$27,E25,E26,E27,E28,E29)</f>
        <v>99</v>
      </c>
      <c r="F5" s="34">
        <f>CHOOSE('DCF Model'!$D$27,F25,F26,F27,F28,F29)</f>
        <v>99</v>
      </c>
      <c r="G5" s="34">
        <f>CHOOSE('DCF Model'!$D$27,G25,G26,G27,G28,G29)</f>
        <v>99</v>
      </c>
      <c r="H5" s="34">
        <f>CHOOSE('DCF Model'!$D$27,H25,H26,H27,H28,H29)</f>
        <v>99</v>
      </c>
    </row>
    <row r="6" spans="2:8" ht="14" x14ac:dyDescent="0.3">
      <c r="B6" s="33" t="s">
        <v>181</v>
      </c>
      <c r="C6" s="34">
        <f>C13/C10*365</f>
        <v>147.96928363769794</v>
      </c>
      <c r="D6" s="34">
        <f>CHOOSE('DCF Model'!$D$27,D32,D33,D34,D35,D36)</f>
        <v>155</v>
      </c>
      <c r="E6" s="34">
        <f>CHOOSE('DCF Model'!$D$27,E32,E33,E34,E35,E36)</f>
        <v>155</v>
      </c>
      <c r="F6" s="34">
        <f>CHOOSE('DCF Model'!$D$27,F32,F33,F34,F35,F36)</f>
        <v>155</v>
      </c>
      <c r="G6" s="34">
        <f>CHOOSE('DCF Model'!$D$27,G32,G33,G34,G35,G36)</f>
        <v>155</v>
      </c>
      <c r="H6" s="34">
        <f>CHOOSE('DCF Model'!$D$27,H32,H33,H34,H35,H36)</f>
        <v>155</v>
      </c>
    </row>
    <row r="7" spans="2:8" ht="14" x14ac:dyDescent="0.3">
      <c r="B7" s="33" t="s">
        <v>182</v>
      </c>
      <c r="C7" s="34">
        <f>C15/C10*365</f>
        <v>162.13493889186825</v>
      </c>
      <c r="D7" s="34">
        <f>CHOOSE('DCF Model'!$D$27,D39,D40,D41,D42,D43)</f>
        <v>195</v>
      </c>
      <c r="E7" s="34">
        <f>CHOOSE('DCF Model'!$D$27,E39,E40,E41,E42,E43)</f>
        <v>195</v>
      </c>
      <c r="F7" s="34">
        <f>CHOOSE('DCF Model'!$D$27,F39,F40,F41,F42,F43)</f>
        <v>195</v>
      </c>
      <c r="G7" s="34">
        <f>CHOOSE('DCF Model'!$D$27,G39,G40,G41,G42,G43)</f>
        <v>195</v>
      </c>
      <c r="H7" s="34">
        <f>CHOOSE('DCF Model'!$D$27,H39,H40,H41,H42,H43)</f>
        <v>195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515785</v>
      </c>
      <c r="D9" s="35">
        <f>'DCF Model'!C33</f>
        <v>531258.55000000005</v>
      </c>
      <c r="E9" s="35">
        <f>'DCF Model'!D33</f>
        <v>547196.30650000006</v>
      </c>
      <c r="F9" s="35">
        <f>'DCF Model'!E33</f>
        <v>560876.21416249999</v>
      </c>
      <c r="G9" s="35">
        <f>'DCF Model'!F33</f>
        <v>574898.11951656244</v>
      </c>
      <c r="H9" s="35">
        <f>'DCF Model'!G33</f>
        <v>586396.08190689364</v>
      </c>
    </row>
    <row r="10" spans="2:8" ht="14" x14ac:dyDescent="0.3">
      <c r="B10" s="33" t="s">
        <v>38</v>
      </c>
      <c r="C10" s="35">
        <v>141716</v>
      </c>
      <c r="D10" s="35">
        <f>'DCF Model'!C34</f>
        <v>146096.10125000004</v>
      </c>
      <c r="E10" s="35">
        <f>'DCF Model'!D34</f>
        <v>150478.98428750003</v>
      </c>
      <c r="F10" s="35">
        <f>'DCF Model'!E34</f>
        <v>154240.9588946875</v>
      </c>
      <c r="G10" s="35">
        <f>'DCF Model'!F34</f>
        <v>158096.98286705467</v>
      </c>
      <c r="H10" s="35">
        <f>'DCF Model'!G34</f>
        <v>161258.92252439578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145936</v>
      </c>
      <c r="D12" s="35">
        <f t="shared" ref="D12:H13" si="0">D9*D5/365</f>
        <v>144094.78479452056</v>
      </c>
      <c r="E12" s="35">
        <f t="shared" si="0"/>
        <v>148417.62833835618</v>
      </c>
      <c r="F12" s="35">
        <f t="shared" si="0"/>
        <v>152128.06904681507</v>
      </c>
      <c r="G12" s="35">
        <f t="shared" si="0"/>
        <v>155931.27077298542</v>
      </c>
      <c r="H12" s="35">
        <f t="shared" si="0"/>
        <v>159049.89618844513</v>
      </c>
    </row>
    <row r="13" spans="2:8" ht="14" x14ac:dyDescent="0.3">
      <c r="B13" s="33" t="s">
        <v>186</v>
      </c>
      <c r="C13" s="35">
        <v>57451</v>
      </c>
      <c r="D13" s="35">
        <f t="shared" si="0"/>
        <v>62040.810119863025</v>
      </c>
      <c r="E13" s="35">
        <f t="shared" si="0"/>
        <v>63902.034423458914</v>
      </c>
      <c r="F13" s="35">
        <f t="shared" si="0"/>
        <v>65499.585284045381</v>
      </c>
      <c r="G13" s="35">
        <f t="shared" si="0"/>
        <v>67137.074916146506</v>
      </c>
      <c r="H13" s="35">
        <f t="shared" si="0"/>
        <v>68479.816414469446</v>
      </c>
    </row>
    <row r="14" spans="2:8" ht="14" x14ac:dyDescent="0.3">
      <c r="B14" s="33" t="s">
        <v>187</v>
      </c>
      <c r="C14" s="35">
        <f t="shared" ref="C14:H14" si="1">C12+C13</f>
        <v>203387</v>
      </c>
      <c r="D14" s="35">
        <f t="shared" si="1"/>
        <v>206135.59491438358</v>
      </c>
      <c r="E14" s="35">
        <f t="shared" si="1"/>
        <v>212319.6627618151</v>
      </c>
      <c r="F14" s="35">
        <f t="shared" si="1"/>
        <v>217627.65433086045</v>
      </c>
      <c r="G14" s="35">
        <f t="shared" si="1"/>
        <v>223068.34568913194</v>
      </c>
      <c r="H14" s="35">
        <f t="shared" si="1"/>
        <v>227529.71260291457</v>
      </c>
    </row>
    <row r="15" spans="2:8" ht="14" x14ac:dyDescent="0.3">
      <c r="B15" s="33" t="s">
        <v>188</v>
      </c>
      <c r="C15" s="35">
        <v>62951</v>
      </c>
      <c r="D15" s="35">
        <f>D10*D7/365</f>
        <v>78051.341763698641</v>
      </c>
      <c r="E15" s="35">
        <f>E10*E7/365</f>
        <v>80392.882016609612</v>
      </c>
      <c r="F15" s="35">
        <f>F10*F7/365</f>
        <v>82402.704067024839</v>
      </c>
      <c r="G15" s="35">
        <f>G10*G7/365</f>
        <v>84462.771668700443</v>
      </c>
      <c r="H15" s="35">
        <f>H10*H7/365</f>
        <v>86152.027102074455</v>
      </c>
    </row>
    <row r="16" spans="2:8" ht="14" x14ac:dyDescent="0.3">
      <c r="B16" s="33" t="s">
        <v>189</v>
      </c>
      <c r="C16" s="35">
        <f t="shared" ref="C16:H16" si="2">C15</f>
        <v>62951</v>
      </c>
      <c r="D16" s="35">
        <f t="shared" si="2"/>
        <v>78051.341763698641</v>
      </c>
      <c r="E16" s="35">
        <f t="shared" si="2"/>
        <v>80392.882016609612</v>
      </c>
      <c r="F16" s="35">
        <f t="shared" si="2"/>
        <v>82402.704067024839</v>
      </c>
      <c r="G16" s="35">
        <f t="shared" si="2"/>
        <v>84462.771668700443</v>
      </c>
      <c r="H16" s="35">
        <f t="shared" si="2"/>
        <v>86152.027102074455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140436</v>
      </c>
      <c r="D18" s="20">
        <f t="shared" si="3"/>
        <v>128084.25315068493</v>
      </c>
      <c r="E18" s="20">
        <f t="shared" si="3"/>
        <v>131926.78074520547</v>
      </c>
      <c r="F18" s="20">
        <f t="shared" si="3"/>
        <v>135224.95026383561</v>
      </c>
      <c r="G18" s="20">
        <f t="shared" si="3"/>
        <v>138605.57402043149</v>
      </c>
      <c r="H18" s="20">
        <f t="shared" si="3"/>
        <v>141377.68550084013</v>
      </c>
    </row>
    <row r="19" spans="2:8" ht="14" x14ac:dyDescent="0.3">
      <c r="B19" s="33" t="s">
        <v>100</v>
      </c>
      <c r="C19" s="36" t="s">
        <v>47</v>
      </c>
      <c r="D19" s="24">
        <f>D18-C18</f>
        <v>-12351.746849315066</v>
      </c>
      <c r="E19" s="24">
        <f>E18-D18</f>
        <v>3842.5275945205358</v>
      </c>
      <c r="F19" s="24">
        <f>F18-E18</f>
        <v>3298.1695186301367</v>
      </c>
      <c r="G19" s="24">
        <f>G18-F18</f>
        <v>3380.6237565958872</v>
      </c>
      <c r="H19" s="24">
        <f>H18-G18</f>
        <v>2772.1114804086392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99</v>
      </c>
      <c r="E25" s="30">
        <v>99</v>
      </c>
      <c r="F25" s="30">
        <v>99</v>
      </c>
      <c r="G25" s="30">
        <v>99</v>
      </c>
      <c r="H25" s="30">
        <v>99</v>
      </c>
    </row>
    <row r="26" spans="2:8" ht="14" x14ac:dyDescent="0.3">
      <c r="B26" s="4" t="s">
        <v>121</v>
      </c>
      <c r="D26" s="30">
        <v>96</v>
      </c>
      <c r="E26" s="30">
        <v>96</v>
      </c>
      <c r="F26" s="30">
        <v>96</v>
      </c>
      <c r="G26" s="30">
        <v>96</v>
      </c>
      <c r="H26" s="30">
        <v>96</v>
      </c>
    </row>
    <row r="27" spans="2:8" ht="14" x14ac:dyDescent="0.3">
      <c r="B27" s="4" t="s">
        <v>122</v>
      </c>
      <c r="D27" s="30">
        <v>99</v>
      </c>
      <c r="E27" s="30">
        <v>99</v>
      </c>
      <c r="F27" s="30">
        <v>99</v>
      </c>
      <c r="G27" s="30">
        <v>99</v>
      </c>
      <c r="H27" s="30">
        <v>99</v>
      </c>
    </row>
    <row r="28" spans="2:8" ht="14" x14ac:dyDescent="0.3">
      <c r="B28" s="4" t="s">
        <v>123</v>
      </c>
      <c r="D28" s="30">
        <v>103</v>
      </c>
      <c r="E28" s="30">
        <v>103</v>
      </c>
      <c r="F28" s="30">
        <v>103</v>
      </c>
      <c r="G28" s="30">
        <v>103</v>
      </c>
      <c r="H28" s="30">
        <v>103</v>
      </c>
    </row>
    <row r="29" spans="2:8" ht="14" x14ac:dyDescent="0.3">
      <c r="B29" s="4" t="s">
        <v>124</v>
      </c>
      <c r="D29" s="30">
        <v>107</v>
      </c>
      <c r="E29" s="30">
        <v>107</v>
      </c>
      <c r="F29" s="30">
        <v>107</v>
      </c>
      <c r="G29" s="30">
        <v>107</v>
      </c>
      <c r="H29" s="30">
        <v>107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155</v>
      </c>
      <c r="E32" s="30">
        <v>155</v>
      </c>
      <c r="F32" s="30">
        <v>155</v>
      </c>
      <c r="G32" s="30">
        <v>155</v>
      </c>
      <c r="H32" s="30">
        <v>155</v>
      </c>
    </row>
    <row r="33" spans="2:8" ht="14" x14ac:dyDescent="0.3">
      <c r="B33" s="4" t="s">
        <v>121</v>
      </c>
      <c r="D33" s="30">
        <v>149</v>
      </c>
      <c r="E33" s="30">
        <v>149</v>
      </c>
      <c r="F33" s="30">
        <v>149</v>
      </c>
      <c r="G33" s="30">
        <v>149</v>
      </c>
      <c r="H33" s="30">
        <v>149</v>
      </c>
    </row>
    <row r="34" spans="2:8" ht="14" x14ac:dyDescent="0.3">
      <c r="B34" s="4" t="s">
        <v>122</v>
      </c>
      <c r="D34" s="30">
        <v>155</v>
      </c>
      <c r="E34" s="30">
        <v>155</v>
      </c>
      <c r="F34" s="30">
        <v>155</v>
      </c>
      <c r="G34" s="30">
        <v>155</v>
      </c>
      <c r="H34" s="30">
        <v>155</v>
      </c>
    </row>
    <row r="35" spans="2:8" ht="14" x14ac:dyDescent="0.3">
      <c r="B35" s="4" t="s">
        <v>123</v>
      </c>
      <c r="D35" s="30">
        <v>162</v>
      </c>
      <c r="E35" s="30">
        <v>162</v>
      </c>
      <c r="F35" s="30">
        <v>162</v>
      </c>
      <c r="G35" s="30">
        <v>162</v>
      </c>
      <c r="H35" s="30">
        <v>162</v>
      </c>
    </row>
    <row r="36" spans="2:8" ht="14" x14ac:dyDescent="0.3">
      <c r="B36" s="4" t="s">
        <v>124</v>
      </c>
      <c r="D36" s="30">
        <v>169</v>
      </c>
      <c r="E36" s="30">
        <v>169</v>
      </c>
      <c r="F36" s="30">
        <v>169</v>
      </c>
      <c r="G36" s="30">
        <v>169</v>
      </c>
      <c r="H36" s="30">
        <v>169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195</v>
      </c>
      <c r="E39" s="30">
        <v>195</v>
      </c>
      <c r="F39" s="30">
        <v>195</v>
      </c>
      <c r="G39" s="30">
        <v>195</v>
      </c>
      <c r="H39" s="30">
        <v>195</v>
      </c>
    </row>
    <row r="40" spans="2:8" ht="14" x14ac:dyDescent="0.3">
      <c r="B40" s="4" t="s">
        <v>121</v>
      </c>
      <c r="D40" s="30">
        <v>197</v>
      </c>
      <c r="E40" s="30">
        <v>197</v>
      </c>
      <c r="F40" s="30">
        <v>197</v>
      </c>
      <c r="G40" s="30">
        <v>197</v>
      </c>
      <c r="H40" s="30">
        <v>197</v>
      </c>
    </row>
    <row r="41" spans="2:8" ht="14" x14ac:dyDescent="0.3">
      <c r="B41" s="4" t="s">
        <v>122</v>
      </c>
      <c r="D41" s="30">
        <v>195</v>
      </c>
      <c r="E41" s="30">
        <v>195</v>
      </c>
      <c r="F41" s="30">
        <v>195</v>
      </c>
      <c r="G41" s="30">
        <v>195</v>
      </c>
      <c r="H41" s="30">
        <v>195</v>
      </c>
    </row>
    <row r="42" spans="2:8" ht="14" x14ac:dyDescent="0.3">
      <c r="B42" s="4" t="s">
        <v>123</v>
      </c>
      <c r="D42" s="30">
        <v>192</v>
      </c>
      <c r="E42" s="30">
        <v>192</v>
      </c>
      <c r="F42" s="30">
        <v>192</v>
      </c>
      <c r="G42" s="30">
        <v>192</v>
      </c>
      <c r="H42" s="30">
        <v>192</v>
      </c>
    </row>
    <row r="43" spans="2:8" ht="14" x14ac:dyDescent="0.3">
      <c r="B43" s="4" t="s">
        <v>124</v>
      </c>
      <c r="D43" s="30">
        <v>189</v>
      </c>
      <c r="E43" s="30">
        <v>189</v>
      </c>
      <c r="F43" s="30">
        <v>189</v>
      </c>
      <c r="G43" s="30">
        <v>189</v>
      </c>
      <c r="H43" s="30">
        <v>189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1150568.0509835</v>
      </c>
      <c r="E5" s="37">
        <f>D5+C24</f>
        <v>1034457.0509835</v>
      </c>
      <c r="F5" s="37">
        <v>515785</v>
      </c>
      <c r="G5" s="37">
        <v>129988</v>
      </c>
      <c r="H5" s="37">
        <v>92236</v>
      </c>
      <c r="I5" s="37">
        <v>69767</v>
      </c>
      <c r="J5" s="38">
        <f t="shared" ref="J5:J10" si="0">IFERROR(E5/G5,"")</f>
        <v>7.9580965241676154</v>
      </c>
      <c r="K5" s="38">
        <f t="shared" ref="K5:K10" si="1">IFERROR(E5/F5,"")</f>
        <v>2.0055973922923309</v>
      </c>
      <c r="L5" s="38">
        <f>IFERROR(D5/I5,"")</f>
        <v>16.491579844102514</v>
      </c>
      <c r="M5" s="38">
        <f t="shared" ref="M5:M10" si="2">IFERROR(D5/P5,"")</f>
        <v>1.3524527268835949</v>
      </c>
      <c r="N5" s="39">
        <f t="shared" ref="N5:N10" si="3">IFERROR(H5/F5,"")</f>
        <v>0.17882644900491484</v>
      </c>
      <c r="O5" s="39">
        <f t="shared" ref="O5:O10" si="4">IFERROR(I5/P5,"")</f>
        <v>8.2008681986113052E-2</v>
      </c>
      <c r="P5" s="37">
        <v>850727</v>
      </c>
    </row>
    <row r="6" spans="2:17" ht="14" x14ac:dyDescent="0.3">
      <c r="B6" s="4" t="s">
        <v>214</v>
      </c>
      <c r="C6" t="s">
        <v>215</v>
      </c>
      <c r="D6" s="37">
        <v>1258440</v>
      </c>
      <c r="E6" s="37">
        <v>1039671</v>
      </c>
      <c r="F6" s="37">
        <v>496826</v>
      </c>
      <c r="G6" s="37">
        <v>128419</v>
      </c>
      <c r="H6" s="37">
        <v>102275</v>
      </c>
      <c r="I6" s="37">
        <v>67040</v>
      </c>
      <c r="J6" s="38">
        <f t="shared" si="0"/>
        <v>8.0959281726224308</v>
      </c>
      <c r="K6" s="38">
        <f t="shared" si="1"/>
        <v>2.0926259897831434</v>
      </c>
      <c r="L6" s="38">
        <f>IFERROR(D6/I6,"")</f>
        <v>18.771479713603817</v>
      </c>
      <c r="M6" s="38">
        <f t="shared" si="2"/>
        <v>1.4087035950799927</v>
      </c>
      <c r="N6" s="39">
        <f t="shared" si="3"/>
        <v>0.20585677883202569</v>
      </c>
      <c r="O6" s="39">
        <f t="shared" si="4"/>
        <v>7.5044888126698697E-2</v>
      </c>
      <c r="P6" s="37">
        <v>893332</v>
      </c>
    </row>
    <row r="7" spans="2:17" ht="14" x14ac:dyDescent="0.3">
      <c r="B7" s="4" t="s">
        <v>216</v>
      </c>
      <c r="C7" t="s">
        <v>217</v>
      </c>
      <c r="D7" s="37">
        <v>2476073</v>
      </c>
      <c r="E7" s="37">
        <v>2449070</v>
      </c>
      <c r="F7" s="37">
        <v>499677</v>
      </c>
      <c r="G7" s="37">
        <v>193693</v>
      </c>
      <c r="H7" s="37">
        <v>166725</v>
      </c>
      <c r="I7" s="37">
        <v>205159</v>
      </c>
      <c r="J7" s="38">
        <f t="shared" si="0"/>
        <v>12.644081097406721</v>
      </c>
      <c r="K7" s="38">
        <f t="shared" si="1"/>
        <v>4.9013062438335169</v>
      </c>
      <c r="L7" s="38">
        <f>IFERROR(D7/I7,"")</f>
        <v>12.069044009768033</v>
      </c>
      <c r="M7" s="38">
        <f t="shared" si="2"/>
        <v>1.4692920487890269</v>
      </c>
      <c r="N7" s="39">
        <f t="shared" si="3"/>
        <v>0.3336655479439718</v>
      </c>
      <c r="O7" s="39">
        <f t="shared" si="4"/>
        <v>0.12174054942544422</v>
      </c>
      <c r="P7" s="37">
        <v>1685215</v>
      </c>
    </row>
    <row r="8" spans="2:17" ht="14" x14ac:dyDescent="0.3">
      <c r="B8" s="4" t="s">
        <v>218</v>
      </c>
      <c r="C8" t="s">
        <v>219</v>
      </c>
      <c r="D8" s="37">
        <v>4223444</v>
      </c>
      <c r="E8" s="37">
        <v>4507791</v>
      </c>
      <c r="F8" s="37">
        <v>2139245</v>
      </c>
      <c r="G8" s="37">
        <v>574653</v>
      </c>
      <c r="H8" s="37">
        <v>380059</v>
      </c>
      <c r="I8" s="37">
        <v>291535</v>
      </c>
      <c r="J8" s="38">
        <f t="shared" si="0"/>
        <v>7.8443704287630966</v>
      </c>
      <c r="K8" s="38">
        <f t="shared" si="1"/>
        <v>2.1071878162622792</v>
      </c>
      <c r="L8" s="38">
        <f>IFERROR(D8/I8,"")</f>
        <v>14.486919237827362</v>
      </c>
      <c r="M8" s="38">
        <f t="shared" si="2"/>
        <v>2.3090991796807514</v>
      </c>
      <c r="N8" s="39">
        <f t="shared" si="3"/>
        <v>0.17766034278448706</v>
      </c>
      <c r="O8" s="39">
        <f t="shared" si="4"/>
        <v>0.15939201025235042</v>
      </c>
      <c r="P8" s="37">
        <v>1829044</v>
      </c>
    </row>
    <row r="9" spans="2:17" ht="14" x14ac:dyDescent="0.3">
      <c r="B9" s="4" t="s">
        <v>220</v>
      </c>
      <c r="C9" t="s">
        <v>221</v>
      </c>
      <c r="D9" s="37">
        <v>9186111</v>
      </c>
      <c r="E9" s="37">
        <v>13472895</v>
      </c>
      <c r="F9" s="37">
        <v>4505720</v>
      </c>
      <c r="G9" s="37">
        <v>1185578</v>
      </c>
      <c r="H9" s="37">
        <v>464451</v>
      </c>
      <c r="I9" s="37">
        <v>-152390</v>
      </c>
      <c r="J9" s="38">
        <f t="shared" si="0"/>
        <v>11.363988704243837</v>
      </c>
      <c r="K9" s="38">
        <f t="shared" si="1"/>
        <v>2.9901758209564733</v>
      </c>
      <c r="L9" s="40" t="s">
        <v>222</v>
      </c>
      <c r="M9" s="38">
        <f t="shared" si="2"/>
        <v>1.2364471297369479</v>
      </c>
      <c r="N9" s="39">
        <f t="shared" si="3"/>
        <v>0.10308030681001039</v>
      </c>
      <c r="O9" s="39">
        <f t="shared" si="4"/>
        <v>-2.0511637416597023E-2</v>
      </c>
      <c r="P9" s="37">
        <v>7429441</v>
      </c>
    </row>
    <row r="10" spans="2:17" ht="14" x14ac:dyDescent="0.3">
      <c r="B10" s="4" t="s">
        <v>223</v>
      </c>
      <c r="C10" t="s">
        <v>224</v>
      </c>
      <c r="D10" s="37">
        <v>6320483</v>
      </c>
      <c r="E10" s="37">
        <v>6013813</v>
      </c>
      <c r="F10" s="37">
        <v>2468892</v>
      </c>
      <c r="G10" s="37">
        <v>588273</v>
      </c>
      <c r="H10" s="37">
        <v>472106</v>
      </c>
      <c r="I10" s="37">
        <v>363150</v>
      </c>
      <c r="J10" s="38">
        <f t="shared" si="0"/>
        <v>10.222826816801042</v>
      </c>
      <c r="K10" s="38">
        <f t="shared" si="1"/>
        <v>2.4358347793261106</v>
      </c>
      <c r="L10" s="38">
        <f>IFERROR(D10/I10,"")</f>
        <v>17.404606911744459</v>
      </c>
      <c r="M10" s="38">
        <f t="shared" si="2"/>
        <v>2.0835996972418149</v>
      </c>
      <c r="N10" s="39">
        <f t="shared" si="3"/>
        <v>0.191221811241642</v>
      </c>
      <c r="O10" s="39">
        <f t="shared" si="4"/>
        <v>0.119715412580552</v>
      </c>
      <c r="P10" s="37">
        <v>3033444</v>
      </c>
    </row>
    <row r="14" spans="2:17" ht="14" x14ac:dyDescent="0.3">
      <c r="B14" s="3" t="s">
        <v>225</v>
      </c>
    </row>
    <row r="15" spans="2:17" ht="14" x14ac:dyDescent="0.3">
      <c r="B15" s="4" t="s">
        <v>226</v>
      </c>
      <c r="D15" s="38">
        <f t="shared" ref="D15:I15" si="5">PERCENTILE(J6:J10,0.25)</f>
        <v>8.0959281726224308</v>
      </c>
      <c r="E15" s="38">
        <f t="shared" si="5"/>
        <v>2.1071878162622792</v>
      </c>
      <c r="F15" s="38">
        <f t="shared" si="5"/>
        <v>13.882450430812529</v>
      </c>
      <c r="G15" s="38">
        <f t="shared" si="5"/>
        <v>1.4087035950799927</v>
      </c>
      <c r="H15" s="39">
        <f t="shared" si="5"/>
        <v>0.17766034278448706</v>
      </c>
      <c r="I15" s="39">
        <f t="shared" si="5"/>
        <v>7.5044888126698697E-2</v>
      </c>
    </row>
    <row r="16" spans="2:17" ht="14" x14ac:dyDescent="0.3">
      <c r="B16" s="4" t="s">
        <v>227</v>
      </c>
      <c r="D16" s="38">
        <f t="shared" ref="D16:I16" si="6">MEDIAN(J6:J10)</f>
        <v>10.222826816801042</v>
      </c>
      <c r="E16" s="38">
        <f t="shared" si="6"/>
        <v>2.4358347793261106</v>
      </c>
      <c r="F16" s="38">
        <f t="shared" si="6"/>
        <v>15.94576307478591</v>
      </c>
      <c r="G16" s="38">
        <f t="shared" si="6"/>
        <v>1.4692920487890269</v>
      </c>
      <c r="H16" s="39">
        <f t="shared" si="6"/>
        <v>0.191221811241642</v>
      </c>
      <c r="I16" s="39">
        <f t="shared" si="6"/>
        <v>0.119715412580552</v>
      </c>
    </row>
    <row r="17" spans="2:9" ht="14" x14ac:dyDescent="0.3">
      <c r="B17" s="4" t="s">
        <v>228</v>
      </c>
      <c r="D17" s="38">
        <f t="shared" ref="D17:I17" si="7">PERCENTILE(J6:J10,0.75)</f>
        <v>11.363988704243837</v>
      </c>
      <c r="E17" s="38">
        <f t="shared" si="7"/>
        <v>2.9901758209564733</v>
      </c>
      <c r="F17" s="38">
        <f t="shared" si="7"/>
        <v>17.746325112209298</v>
      </c>
      <c r="G17" s="38">
        <f t="shared" si="7"/>
        <v>2.0835996972418149</v>
      </c>
      <c r="H17" s="39">
        <f t="shared" si="7"/>
        <v>0.20585677883202569</v>
      </c>
      <c r="I17" s="39">
        <f t="shared" si="7"/>
        <v>0.12174054942544422</v>
      </c>
    </row>
    <row r="19" spans="2:9" ht="14" x14ac:dyDescent="0.3">
      <c r="B19" s="22" t="s">
        <v>229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230</v>
      </c>
    </row>
    <row r="21" spans="2:9" ht="14" x14ac:dyDescent="0.3">
      <c r="B21" s="4" t="s">
        <v>231</v>
      </c>
      <c r="C21" s="5">
        <v>129988</v>
      </c>
    </row>
    <row r="22" spans="2:9" ht="14" x14ac:dyDescent="0.3">
      <c r="B22" s="4" t="s">
        <v>232</v>
      </c>
      <c r="C22" s="5">
        <v>69767</v>
      </c>
    </row>
    <row r="23" spans="2:9" ht="14" x14ac:dyDescent="0.3">
      <c r="B23" s="4" t="s">
        <v>233</v>
      </c>
      <c r="C23" s="15">
        <v>469907311</v>
      </c>
    </row>
    <row r="24" spans="2:9" ht="14" x14ac:dyDescent="0.3">
      <c r="B24" s="4" t="s">
        <v>73</v>
      </c>
      <c r="C24" s="5">
        <v>-116111</v>
      </c>
    </row>
    <row r="26" spans="2:9" ht="14" x14ac:dyDescent="0.3">
      <c r="B26" s="3" t="s">
        <v>234</v>
      </c>
    </row>
    <row r="27" spans="2:9" ht="14" x14ac:dyDescent="0.3">
      <c r="B27" s="4" t="s">
        <v>235</v>
      </c>
      <c r="C27" s="24">
        <f>ROUND((C21*D16-C24)*1000000/C23,0)</f>
        <v>3075</v>
      </c>
    </row>
    <row r="28" spans="2:9" ht="14" x14ac:dyDescent="0.3">
      <c r="B28" s="4" t="s">
        <v>236</v>
      </c>
      <c r="C28" s="24">
        <f>ROUND(C22*F16*1000000/C23,0)</f>
        <v>2367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237</v>
      </c>
    </row>
    <row r="3" spans="2:9" ht="14" x14ac:dyDescent="0.3">
      <c r="B3" s="4" t="s">
        <v>238</v>
      </c>
      <c r="C3" s="16">
        <f>'DCF Model'!C26</f>
        <v>8.1715999999999997E-2</v>
      </c>
      <c r="E3" s="4" t="s">
        <v>239</v>
      </c>
      <c r="F3" s="16">
        <f>'DCF Model'!C13</f>
        <v>0.01</v>
      </c>
      <c r="H3" s="4" t="s">
        <v>240</v>
      </c>
      <c r="I3" s="14">
        <f>'DCF Model'!C14</f>
        <v>10.199999999999999</v>
      </c>
    </row>
    <row r="5" spans="2:9" ht="14" x14ac:dyDescent="0.3">
      <c r="B5" s="3" t="s">
        <v>241</v>
      </c>
    </row>
    <row r="6" spans="2:9" ht="14" x14ac:dyDescent="0.3">
      <c r="B6" s="41" t="s">
        <v>242</v>
      </c>
      <c r="C6" s="42">
        <f>$F$3-0.0075</f>
        <v>2.5000000000000005E-3</v>
      </c>
      <c r="D6" s="42">
        <f>$F$3-0.005</f>
        <v>5.0000000000000001E-3</v>
      </c>
      <c r="E6" s="42">
        <f>$F$3-0.0025</f>
        <v>7.4999999999999997E-3</v>
      </c>
      <c r="F6" s="42">
        <f>$F$3</f>
        <v>0.01</v>
      </c>
      <c r="G6" s="42">
        <f>$F$3+0.0025</f>
        <v>1.2500000000000001E-2</v>
      </c>
      <c r="H6" s="42">
        <f>$F$3+0.005</f>
        <v>1.4999999999999999E-2</v>
      </c>
      <c r="I6" s="42">
        <f>$F$3+0.0075</f>
        <v>1.7500000000000002E-2</v>
      </c>
    </row>
    <row r="7" spans="2:9" ht="13.5" x14ac:dyDescent="0.25">
      <c r="B7" s="39">
        <f>$C$3-0.015</f>
        <v>6.6715999999999998E-2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3503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3611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3728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3855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3994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4147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4315</v>
      </c>
    </row>
    <row r="8" spans="2:9" ht="13.5" x14ac:dyDescent="0.25">
      <c r="B8" s="39">
        <f>$C$3-0.01</f>
        <v>7.1716000000000002E-2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3257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3348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3446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3552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3667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3792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3929</v>
      </c>
    </row>
    <row r="9" spans="2:9" ht="13.5" x14ac:dyDescent="0.25">
      <c r="B9" s="39">
        <f>$C$3-0.005</f>
        <v>7.6715999999999993E-2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3045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3123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3206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3295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3391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3495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3608</v>
      </c>
    </row>
    <row r="10" spans="2:9" ht="13.5" x14ac:dyDescent="0.25">
      <c r="B10" s="39">
        <f>$C$3</f>
        <v>8.1715999999999997E-2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2860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2927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2998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3074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3155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3243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3337</v>
      </c>
    </row>
    <row r="11" spans="2:9" ht="13.5" x14ac:dyDescent="0.25">
      <c r="B11" s="39">
        <f>$C$3+0.005</f>
        <v>8.6716000000000001E-2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2697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2755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2816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2881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2951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3026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3106</v>
      </c>
    </row>
    <row r="12" spans="2:9" ht="13.5" x14ac:dyDescent="0.25">
      <c r="B12" s="39">
        <f>$C$3+0.01</f>
        <v>9.1715999999999992E-2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2552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2603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2656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2713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2773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2837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2906</v>
      </c>
    </row>
    <row r="13" spans="2:9" ht="13.5" x14ac:dyDescent="0.25">
      <c r="B13" s="39">
        <f>$C$3+0.015</f>
        <v>9.6715999999999996E-2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2423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2467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2514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2564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2616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2672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2731</v>
      </c>
    </row>
    <row r="16" spans="2:9" ht="14" x14ac:dyDescent="0.3">
      <c r="B16" s="3" t="s">
        <v>243</v>
      </c>
    </row>
    <row r="17" spans="2:9" ht="14" x14ac:dyDescent="0.3">
      <c r="B17" s="41" t="s">
        <v>244</v>
      </c>
      <c r="C17" s="43">
        <f>$I$3-3</f>
        <v>7.1999999999999993</v>
      </c>
      <c r="D17" s="43">
        <f>$I$3-2</f>
        <v>8.1999999999999993</v>
      </c>
      <c r="E17" s="43">
        <f>$I$3-1</f>
        <v>9.1999999999999993</v>
      </c>
      <c r="F17" s="43">
        <f>$I$3</f>
        <v>10.199999999999999</v>
      </c>
      <c r="G17" s="43">
        <f>$I$3+1</f>
        <v>11.2</v>
      </c>
      <c r="H17" s="43">
        <f>$I$3+2</f>
        <v>12.2</v>
      </c>
      <c r="I17" s="43">
        <f>$I$3+3</f>
        <v>13.2</v>
      </c>
    </row>
    <row r="18" spans="2:9" ht="13.5" x14ac:dyDescent="0.25">
      <c r="B18" s="39">
        <f>$C$3-0.015</f>
        <v>6.6715999999999998E-2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3087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3378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3668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3958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4248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4539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4829</v>
      </c>
    </row>
    <row r="19" spans="2:9" ht="13.5" x14ac:dyDescent="0.25">
      <c r="B19" s="39">
        <f>$C$3-0.01</f>
        <v>7.1716000000000002E-2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3028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3312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3595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3879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4163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4446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4730</v>
      </c>
    </row>
    <row r="20" spans="2:9" ht="13.5" x14ac:dyDescent="0.25">
      <c r="B20" s="39">
        <f>$C$3-0.005</f>
        <v>7.6715999999999993E-2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2971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3248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3525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3802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4079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4356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4633</v>
      </c>
    </row>
    <row r="21" spans="2:9" ht="13.5" x14ac:dyDescent="0.25">
      <c r="B21" s="39">
        <f>$C$3</f>
        <v>8.1715999999999997E-2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2915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3186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3456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3727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3998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4269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4539</v>
      </c>
    </row>
    <row r="22" spans="2:9" ht="13.5" x14ac:dyDescent="0.25">
      <c r="B22" s="39">
        <f>$C$3+0.005</f>
        <v>8.6716000000000001E-2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2861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3125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3390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3654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3919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4183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4448</v>
      </c>
    </row>
    <row r="23" spans="2:9" ht="13.5" x14ac:dyDescent="0.25">
      <c r="B23" s="39">
        <f>$C$3+0.01</f>
        <v>9.1715999999999992E-2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2808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3066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3325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3583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3842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4100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4359</v>
      </c>
    </row>
    <row r="24" spans="2:9" ht="13.5" x14ac:dyDescent="0.25">
      <c r="B24" s="39">
        <f>$C$3+0.015</f>
        <v>9.6715999999999996E-2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2756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3009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3261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3514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3767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4020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4272</v>
      </c>
    </row>
    <row r="26" spans="2:9" ht="14" x14ac:dyDescent="0.3">
      <c r="B26" s="46" t="s">
        <v>245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246</v>
      </c>
    </row>
    <row r="4" spans="2:7" ht="14" x14ac:dyDescent="0.3">
      <c r="B4" s="10" t="s">
        <v>247</v>
      </c>
      <c r="C4" s="10" t="s">
        <v>248</v>
      </c>
      <c r="D4" s="10" t="s">
        <v>249</v>
      </c>
      <c r="E4" s="10" t="s">
        <v>250</v>
      </c>
      <c r="F4" s="10" t="s">
        <v>251</v>
      </c>
      <c r="G4" s="10" t="s">
        <v>252</v>
      </c>
    </row>
    <row r="5" spans="2:7" x14ac:dyDescent="0.2">
      <c r="B5" t="s">
        <v>253</v>
      </c>
      <c r="C5" t="s">
        <v>254</v>
      </c>
      <c r="D5" t="s">
        <v>255</v>
      </c>
      <c r="E5" t="s">
        <v>256</v>
      </c>
      <c r="F5" t="s">
        <v>254</v>
      </c>
      <c r="G5" t="s">
        <v>257</v>
      </c>
    </row>
    <row r="6" spans="2:7" ht="30" customHeight="1" x14ac:dyDescent="0.3">
      <c r="B6" t="s">
        <v>253</v>
      </c>
      <c r="C6" s="4" t="s">
        <v>258</v>
      </c>
      <c r="D6" t="s">
        <v>259</v>
      </c>
      <c r="E6" t="s">
        <v>260</v>
      </c>
      <c r="F6" t="s">
        <v>261</v>
      </c>
      <c r="G6" t="s">
        <v>262</v>
      </c>
    </row>
    <row r="7" spans="2:7" ht="30" customHeight="1" x14ac:dyDescent="0.3">
      <c r="B7" t="s">
        <v>253</v>
      </c>
      <c r="C7" s="4" t="s">
        <v>263</v>
      </c>
      <c r="D7" t="s">
        <v>264</v>
      </c>
      <c r="E7" t="s">
        <v>265</v>
      </c>
      <c r="F7" t="s">
        <v>266</v>
      </c>
      <c r="G7" t="s">
        <v>267</v>
      </c>
    </row>
    <row r="12" spans="2:7" ht="14" x14ac:dyDescent="0.3">
      <c r="B12" s="8" t="s">
        <v>268</v>
      </c>
    </row>
    <row r="13" spans="2:7" ht="14" x14ac:dyDescent="0.3">
      <c r="B13" s="10" t="s">
        <v>269</v>
      </c>
      <c r="C13" s="10" t="s">
        <v>270</v>
      </c>
    </row>
    <row r="14" spans="2:7" ht="14" x14ac:dyDescent="0.3">
      <c r="B14" s="4" t="s">
        <v>271</v>
      </c>
      <c r="C14" t="s">
        <v>272</v>
      </c>
    </row>
    <row r="15" spans="2:7" ht="14" x14ac:dyDescent="0.3">
      <c r="B15" s="4" t="s">
        <v>273</v>
      </c>
      <c r="C15" t="s">
        <v>274</v>
      </c>
    </row>
    <row r="16" spans="2:7" ht="14" x14ac:dyDescent="0.3">
      <c r="B16" s="4" t="s">
        <v>275</v>
      </c>
      <c r="C16" t="s">
        <v>276</v>
      </c>
    </row>
    <row r="17" spans="2:3" ht="14" x14ac:dyDescent="0.3">
      <c r="B17" s="4" t="s">
        <v>277</v>
      </c>
      <c r="C17" t="s">
        <v>274</v>
      </c>
    </row>
    <row r="18" spans="2:3" ht="14" x14ac:dyDescent="0.3">
      <c r="B18" s="4" t="s">
        <v>278</v>
      </c>
      <c r="C18" t="s">
        <v>279</v>
      </c>
    </row>
    <row r="19" spans="2:3" ht="14" x14ac:dyDescent="0.3">
      <c r="B19" s="4" t="s">
        <v>280</v>
      </c>
      <c r="C19" t="s">
        <v>281</v>
      </c>
    </row>
    <row r="20" spans="2:3" ht="14" x14ac:dyDescent="0.3">
      <c r="B20" s="4" t="s">
        <v>282</v>
      </c>
      <c r="C20" t="s">
        <v>283</v>
      </c>
    </row>
    <row r="21" spans="2:3" ht="14" x14ac:dyDescent="0.3">
      <c r="B21" s="4" t="s">
        <v>284</v>
      </c>
      <c r="C21" t="s">
        <v>285</v>
      </c>
    </row>
    <row r="22" spans="2:3" ht="14" x14ac:dyDescent="0.3">
      <c r="B22" s="4" t="s">
        <v>286</v>
      </c>
      <c r="C22" t="s">
        <v>47</v>
      </c>
    </row>
    <row r="23" spans="2:3" ht="14" x14ac:dyDescent="0.3">
      <c r="B23" s="4" t="s">
        <v>287</v>
      </c>
      <c r="C23" t="s">
        <v>4</v>
      </c>
    </row>
    <row r="24" spans="2:3" ht="14" x14ac:dyDescent="0.3">
      <c r="B24" s="4" t="s">
        <v>288</v>
      </c>
      <c r="C24" t="s">
        <v>253</v>
      </c>
    </row>
    <row r="25" spans="2:3" ht="14" x14ac:dyDescent="0.3">
      <c r="B25" s="4" t="s">
        <v>289</v>
      </c>
      <c r="C25" t="s">
        <v>290</v>
      </c>
    </row>
    <row r="26" spans="2:3" ht="14" x14ac:dyDescent="0.3">
      <c r="B26" s="4" t="s">
        <v>291</v>
      </c>
      <c r="C26" t="s">
        <v>279</v>
      </c>
    </row>
    <row r="27" spans="2:3" ht="14" x14ac:dyDescent="0.3">
      <c r="B27" s="4" t="s">
        <v>292</v>
      </c>
      <c r="C27" t="s">
        <v>279</v>
      </c>
    </row>
    <row r="28" spans="2:3" ht="14" x14ac:dyDescent="0.3">
      <c r="B28" s="4" t="s">
        <v>293</v>
      </c>
      <c r="C28" t="s">
        <v>294</v>
      </c>
    </row>
    <row r="29" spans="2:3" ht="14" x14ac:dyDescent="0.3">
      <c r="B29" s="4" t="s">
        <v>295</v>
      </c>
      <c r="C29" t="s">
        <v>296</v>
      </c>
    </row>
    <row r="30" spans="2:3" ht="14" x14ac:dyDescent="0.3">
      <c r="B30" s="4" t="s">
        <v>297</v>
      </c>
      <c r="C30" t="s">
        <v>298</v>
      </c>
    </row>
    <row r="31" spans="2:3" ht="14" x14ac:dyDescent="0.3">
      <c r="B31" s="4" t="s">
        <v>299</v>
      </c>
      <c r="C31" t="s">
        <v>294</v>
      </c>
    </row>
    <row r="32" spans="2:3" ht="14" x14ac:dyDescent="0.3">
      <c r="B32" s="4" t="s">
        <v>300</v>
      </c>
      <c r="C32" t="s">
        <v>279</v>
      </c>
    </row>
    <row r="33" spans="2:3" ht="14" x14ac:dyDescent="0.3">
      <c r="B33" s="4" t="s">
        <v>301</v>
      </c>
      <c r="C33" t="s">
        <v>290</v>
      </c>
    </row>
    <row r="34" spans="2:3" ht="14" x14ac:dyDescent="0.3">
      <c r="B34" s="4" t="s">
        <v>302</v>
      </c>
      <c r="C34" t="s">
        <v>303</v>
      </c>
    </row>
    <row r="35" spans="2:3" ht="14" x14ac:dyDescent="0.3">
      <c r="B35" s="4" t="s">
        <v>304</v>
      </c>
      <c r="C35" t="s">
        <v>305</v>
      </c>
    </row>
    <row r="36" spans="2:3" ht="14" x14ac:dyDescent="0.3">
      <c r="B36" s="4" t="s">
        <v>306</v>
      </c>
      <c r="C36" t="s">
        <v>307</v>
      </c>
    </row>
    <row r="37" spans="2:3" ht="14" x14ac:dyDescent="0.3">
      <c r="B37" s="4" t="s">
        <v>308</v>
      </c>
      <c r="C37" t="s">
        <v>309</v>
      </c>
    </row>
    <row r="38" spans="2:3" ht="14" x14ac:dyDescent="0.3">
      <c r="B38" s="4" t="s">
        <v>310</v>
      </c>
      <c r="C38" t="s">
        <v>311</v>
      </c>
    </row>
    <row r="39" spans="2:3" ht="14" x14ac:dyDescent="0.3">
      <c r="B39" s="4" t="s">
        <v>312</v>
      </c>
      <c r="C39" t="s">
        <v>313</v>
      </c>
    </row>
    <row r="40" spans="2:3" ht="14" x14ac:dyDescent="0.3">
      <c r="B40" s="4" t="s">
        <v>314</v>
      </c>
      <c r="C40" t="s">
        <v>315</v>
      </c>
    </row>
    <row r="41" spans="2:3" ht="14" x14ac:dyDescent="0.3">
      <c r="B41" s="4" t="s">
        <v>316</v>
      </c>
      <c r="C41" t="s">
        <v>317</v>
      </c>
    </row>
    <row r="42" spans="2:3" ht="14" x14ac:dyDescent="0.3">
      <c r="B42" s="4" t="s">
        <v>318</v>
      </c>
      <c r="C42" t="s">
        <v>319</v>
      </c>
    </row>
    <row r="43" spans="2:3" ht="14" x14ac:dyDescent="0.3">
      <c r="B43" s="4" t="s">
        <v>320</v>
      </c>
      <c r="C43" t="s">
        <v>321</v>
      </c>
    </row>
    <row r="44" spans="2:3" ht="14" x14ac:dyDescent="0.3">
      <c r="B44" s="4" t="s">
        <v>322</v>
      </c>
      <c r="C44" t="s">
        <v>283</v>
      </c>
    </row>
    <row r="45" spans="2:3" ht="14" x14ac:dyDescent="0.3">
      <c r="B45" s="4" t="s">
        <v>323</v>
      </c>
      <c r="C45" t="s">
        <v>324</v>
      </c>
    </row>
    <row r="46" spans="2:3" ht="14" x14ac:dyDescent="0.3">
      <c r="B46" s="4" t="s">
        <v>325</v>
      </c>
      <c r="C46" t="s">
        <v>47</v>
      </c>
    </row>
    <row r="47" spans="2:3" ht="14" x14ac:dyDescent="0.3">
      <c r="B47" s="4" t="s">
        <v>326</v>
      </c>
      <c r="C47" t="s">
        <v>327</v>
      </c>
    </row>
    <row r="48" spans="2:3" ht="14" x14ac:dyDescent="0.3">
      <c r="B48" s="4" t="s">
        <v>328</v>
      </c>
      <c r="C48" t="s">
        <v>329</v>
      </c>
    </row>
    <row r="49" spans="2:3" ht="14" x14ac:dyDescent="0.3">
      <c r="B49" s="4" t="s">
        <v>330</v>
      </c>
      <c r="C49" t="s">
        <v>331</v>
      </c>
    </row>
    <row r="50" spans="2:3" ht="14" x14ac:dyDescent="0.3">
      <c r="B50" s="4" t="s">
        <v>332</v>
      </c>
      <c r="C50" t="s">
        <v>333</v>
      </c>
    </row>
    <row r="51" spans="2:3" ht="14" x14ac:dyDescent="0.3">
      <c r="B51" s="4" t="s">
        <v>334</v>
      </c>
      <c r="C51" t="s">
        <v>335</v>
      </c>
    </row>
    <row r="52" spans="2:3" ht="14" x14ac:dyDescent="0.3">
      <c r="B52" s="4" t="s">
        <v>336</v>
      </c>
      <c r="C52" t="s">
        <v>337</v>
      </c>
    </row>
    <row r="53" spans="2:3" ht="14" x14ac:dyDescent="0.3">
      <c r="B53" s="4" t="s">
        <v>338</v>
      </c>
      <c r="C53" t="s">
        <v>339</v>
      </c>
    </row>
    <row r="54" spans="2:3" ht="14" x14ac:dyDescent="0.3">
      <c r="B54" s="4" t="s">
        <v>340</v>
      </c>
      <c r="C54" t="s">
        <v>341</v>
      </c>
    </row>
    <row r="55" spans="2:3" ht="14" x14ac:dyDescent="0.3">
      <c r="B55" s="4" t="s">
        <v>342</v>
      </c>
      <c r="C55" t="s">
        <v>343</v>
      </c>
    </row>
    <row r="56" spans="2:3" ht="14" x14ac:dyDescent="0.3">
      <c r="B56" s="4" t="s">
        <v>344</v>
      </c>
      <c r="C56" t="s">
        <v>345</v>
      </c>
    </row>
    <row r="57" spans="2:3" ht="14" x14ac:dyDescent="0.3">
      <c r="B57" s="4" t="s">
        <v>346</v>
      </c>
      <c r="C57" t="s">
        <v>347</v>
      </c>
    </row>
    <row r="58" spans="2:3" ht="14" x14ac:dyDescent="0.3">
      <c r="B58" s="4" t="s">
        <v>348</v>
      </c>
      <c r="C58" t="s">
        <v>290</v>
      </c>
    </row>
    <row r="59" spans="2:3" ht="14" x14ac:dyDescent="0.3">
      <c r="B59" s="4" t="s">
        <v>349</v>
      </c>
      <c r="C59" t="s">
        <v>350</v>
      </c>
    </row>
    <row r="60" spans="2:3" ht="14" x14ac:dyDescent="0.3">
      <c r="B60" s="4" t="s">
        <v>351</v>
      </c>
      <c r="C60" t="s">
        <v>352</v>
      </c>
    </row>
    <row r="61" spans="2:3" ht="14" x14ac:dyDescent="0.3">
      <c r="B61" s="4" t="s">
        <v>353</v>
      </c>
      <c r="C61" t="s">
        <v>354</v>
      </c>
    </row>
    <row r="62" spans="2:3" ht="14" x14ac:dyDescent="0.3">
      <c r="B62" s="4" t="s">
        <v>355</v>
      </c>
      <c r="C62" t="s">
        <v>356</v>
      </c>
    </row>
    <row r="63" spans="2:3" ht="14" x14ac:dyDescent="0.3">
      <c r="B63" s="4" t="s">
        <v>357</v>
      </c>
      <c r="C63" t="s">
        <v>358</v>
      </c>
    </row>
    <row r="64" spans="2:3" ht="14" x14ac:dyDescent="0.3">
      <c r="B64" s="4" t="s">
        <v>359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2026-09-06T10:01:35Z</dcterms:created>
  <dcterms:modified xsi:type="dcterms:W3CDTF">2026-09-06T10:01:38Z</dcterms:modified>
</cp:coreProperties>
</file>