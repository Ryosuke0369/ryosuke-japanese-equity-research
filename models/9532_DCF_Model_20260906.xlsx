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EEDF2C1-A97E-47A3-A83A-E83D26ECE0C7}"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7" i="6" s="1"/>
  <c r="N6" i="6"/>
  <c r="M6" i="6"/>
  <c r="L6" i="6"/>
  <c r="K6" i="6"/>
  <c r="J6" i="6"/>
  <c r="D17" i="6" s="1"/>
  <c r="O5" i="6"/>
  <c r="N5" i="6"/>
  <c r="E5" i="6"/>
  <c r="J5" i="6" s="1"/>
  <c r="D5" i="6"/>
  <c r="M5" i="6" s="1"/>
  <c r="C16" i="5"/>
  <c r="C14" i="5"/>
  <c r="C7" i="5"/>
  <c r="C6" i="5"/>
  <c r="C5" i="5"/>
  <c r="C13" i="4"/>
  <c r="C12" i="4"/>
  <c r="C9" i="4"/>
  <c r="C7" i="4"/>
  <c r="C6" i="4"/>
  <c r="C8" i="4" s="1"/>
  <c r="C10" i="4" s="1"/>
  <c r="D27" i="3"/>
  <c r="G5" i="5" s="1"/>
  <c r="C25" i="3"/>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E15" i="6" l="1"/>
  <c r="G15" i="6"/>
  <c r="I16" i="6"/>
  <c r="C18" i="5"/>
  <c r="F15" i="6"/>
  <c r="C26" i="3"/>
  <c r="C3" i="7" s="1"/>
  <c r="G16" i="6"/>
  <c r="H15" i="6"/>
  <c r="E36" i="4"/>
  <c r="D36" i="4"/>
  <c r="D46" i="3"/>
  <c r="C71" i="4"/>
  <c r="C70" i="4"/>
  <c r="C30" i="3"/>
  <c r="C33" i="3" s="1"/>
  <c r="F31" i="3"/>
  <c r="H5" i="5"/>
  <c r="D7" i="5"/>
  <c r="K5" i="6"/>
  <c r="I15" i="6"/>
  <c r="E17" i="6"/>
  <c r="I6" i="7"/>
  <c r="D30" i="3"/>
  <c r="G31" i="3"/>
  <c r="E7" i="5"/>
  <c r="L5" i="6"/>
  <c r="D16" i="6"/>
  <c r="F17" i="6"/>
  <c r="C17" i="7"/>
  <c r="F32" i="3"/>
  <c r="G32" i="3"/>
  <c r="E30" i="3"/>
  <c r="C32" i="3"/>
  <c r="D6" i="5"/>
  <c r="F7" i="5"/>
  <c r="E16" i="6"/>
  <c r="G17" i="6"/>
  <c r="C6" i="7"/>
  <c r="D17" i="7"/>
  <c r="D31" i="3"/>
  <c r="H6" i="5"/>
  <c r="F30" i="3"/>
  <c r="D32" i="3"/>
  <c r="E6" i="5"/>
  <c r="G7" i="5"/>
  <c r="D15" i="6"/>
  <c r="F16" i="6"/>
  <c r="C28" i="6" s="1"/>
  <c r="C19" i="1" s="1"/>
  <c r="D19" i="1" s="1"/>
  <c r="H17" i="6"/>
  <c r="D6" i="7"/>
  <c r="E17" i="7"/>
  <c r="G30" i="3"/>
  <c r="E32" i="3"/>
  <c r="D5" i="5"/>
  <c r="F6" i="5"/>
  <c r="H7" i="5"/>
  <c r="E6" i="7"/>
  <c r="F17" i="7"/>
  <c r="E5" i="5"/>
  <c r="G6" i="5"/>
  <c r="H16" i="6"/>
  <c r="F6" i="7"/>
  <c r="G17" i="7"/>
  <c r="C31" i="3"/>
  <c r="F5" i="5"/>
  <c r="G6" i="7"/>
  <c r="H17" i="7"/>
  <c r="E31" i="3"/>
  <c r="F36" i="4" l="1"/>
  <c r="F46" i="4" s="1"/>
  <c r="E46" i="3"/>
  <c r="G46" i="3"/>
  <c r="H36" i="4"/>
  <c r="C11" i="4"/>
  <c r="C24" i="4" s="1"/>
  <c r="C25" i="4" s="1"/>
  <c r="G36" i="4"/>
  <c r="F46" i="3"/>
  <c r="C46" i="3"/>
  <c r="D9" i="5"/>
  <c r="D12" i="5" s="1"/>
  <c r="C42" i="3"/>
  <c r="C34" i="3"/>
  <c r="D10" i="5" s="1"/>
  <c r="C37" i="3"/>
  <c r="D33" i="3"/>
  <c r="D45" i="4"/>
  <c r="D43" i="4"/>
  <c r="D46" i="4"/>
  <c r="D40" i="4"/>
  <c r="D44" i="4"/>
  <c r="D39" i="4"/>
  <c r="D38" i="4"/>
  <c r="D41" i="4"/>
  <c r="E39" i="4"/>
  <c r="E46" i="4"/>
  <c r="E40" i="4"/>
  <c r="E44" i="4"/>
  <c r="E38" i="4"/>
  <c r="E41" i="4"/>
  <c r="E45" i="4"/>
  <c r="E43" i="4"/>
  <c r="F44" i="4"/>
  <c r="F38" i="4"/>
  <c r="F41" i="4"/>
  <c r="C27" i="6"/>
  <c r="C18" i="1" s="1"/>
  <c r="D18" i="1" s="1"/>
  <c r="C74" i="4"/>
  <c r="C29" i="4"/>
  <c r="C27" i="4"/>
  <c r="C26" i="4"/>
  <c r="H40" i="4"/>
  <c r="H44" i="4"/>
  <c r="H38" i="4"/>
  <c r="H41" i="4"/>
  <c r="H45" i="4"/>
  <c r="H39" i="4"/>
  <c r="H43" i="4"/>
  <c r="H46" i="4"/>
  <c r="G46" i="4"/>
  <c r="G44" i="4"/>
  <c r="G38" i="4"/>
  <c r="G41" i="4"/>
  <c r="G40" i="4"/>
  <c r="G45" i="4"/>
  <c r="G39" i="4"/>
  <c r="G43" i="4"/>
  <c r="B13" i="7"/>
  <c r="B12" i="7"/>
  <c r="B11" i="7"/>
  <c r="B10" i="7"/>
  <c r="B9" i="7"/>
  <c r="B8" i="7"/>
  <c r="B7" i="7"/>
  <c r="B24" i="7"/>
  <c r="B23" i="7"/>
  <c r="B22" i="7"/>
  <c r="B21" i="7"/>
  <c r="B20" i="7"/>
  <c r="B19" i="7"/>
  <c r="B18" i="7"/>
  <c r="F43" i="4" l="1"/>
  <c r="F48" i="4" s="1"/>
  <c r="F53" i="4" s="1"/>
  <c r="E49" i="4"/>
  <c r="E54" i="4" s="1"/>
  <c r="G48" i="4"/>
  <c r="G53" i="4" s="1"/>
  <c r="H48" i="4"/>
  <c r="H53" i="4" s="1"/>
  <c r="F39" i="4"/>
  <c r="F49" i="4" s="1"/>
  <c r="F54" i="4" s="1"/>
  <c r="B78" i="4" s="1"/>
  <c r="D51" i="4"/>
  <c r="D56" i="4" s="1"/>
  <c r="F40" i="4"/>
  <c r="F45" i="4"/>
  <c r="C35" i="3"/>
  <c r="C36" i="3" s="1"/>
  <c r="H50" i="4"/>
  <c r="H55" i="4" s="1"/>
  <c r="D48" i="4"/>
  <c r="D53" i="4" s="1"/>
  <c r="D15" i="5"/>
  <c r="D16" i="5" s="1"/>
  <c r="D13" i="5"/>
  <c r="D42" i="3"/>
  <c r="D37" i="3"/>
  <c r="D34" i="3"/>
  <c r="E10" i="5" s="1"/>
  <c r="D35" i="3"/>
  <c r="E9" i="5"/>
  <c r="E12" i="5" s="1"/>
  <c r="E33" i="3"/>
  <c r="G49" i="4"/>
  <c r="G54" i="4" s="1"/>
  <c r="D49" i="4"/>
  <c r="D54" i="4" s="1"/>
  <c r="H49" i="4"/>
  <c r="H54" i="4" s="1"/>
  <c r="F51" i="4"/>
  <c r="F56" i="4" s="1"/>
  <c r="G50" i="4"/>
  <c r="G55" i="4" s="1"/>
  <c r="D50" i="4"/>
  <c r="D55" i="4" s="1"/>
  <c r="E51" i="4"/>
  <c r="E56" i="4" s="1"/>
  <c r="E48" i="4"/>
  <c r="E53" i="4" s="1"/>
  <c r="G51" i="4"/>
  <c r="G56" i="4" s="1"/>
  <c r="H51" i="4"/>
  <c r="H56" i="4" s="1"/>
  <c r="E50" i="4"/>
  <c r="E55" i="4" s="1"/>
  <c r="D14" i="5"/>
  <c r="C39" i="3" l="1"/>
  <c r="C40" i="3" s="1"/>
  <c r="C41" i="3" s="1"/>
  <c r="C45" i="3" s="1"/>
  <c r="C38" i="3"/>
  <c r="F50" i="4"/>
  <c r="F55" i="4" s="1"/>
  <c r="D18" i="5"/>
  <c r="D19" i="5" s="1"/>
  <c r="C44" i="3" s="1"/>
  <c r="C60" i="4"/>
  <c r="E13" i="5"/>
  <c r="E14" i="5" s="1"/>
  <c r="E18" i="5" s="1"/>
  <c r="E19" i="5" s="1"/>
  <c r="D44" i="3" s="1"/>
  <c r="E15" i="5"/>
  <c r="E16" i="5" s="1"/>
  <c r="F9" i="5"/>
  <c r="F12" i="5" s="1"/>
  <c r="E37" i="3"/>
  <c r="F33" i="3"/>
  <c r="E42" i="3"/>
  <c r="E34" i="3"/>
  <c r="F10" i="5" s="1"/>
  <c r="C64" i="4"/>
  <c r="D64" i="4" s="1"/>
  <c r="C67" i="4"/>
  <c r="D67" i="4" s="1"/>
  <c r="C63" i="4"/>
  <c r="D63" i="4" s="1"/>
  <c r="C65" i="4"/>
  <c r="D65" i="4" s="1"/>
  <c r="C66" i="4"/>
  <c r="D66" i="4" s="1"/>
  <c r="D36" i="3"/>
  <c r="D39" i="3"/>
  <c r="D38" i="3"/>
  <c r="C47" i="3" l="1"/>
  <c r="D40" i="3"/>
  <c r="D41" i="3"/>
  <c r="D45" i="3" s="1"/>
  <c r="D47" i="3" s="1"/>
  <c r="F13" i="5"/>
  <c r="F14" i="5" s="1"/>
  <c r="F15" i="5"/>
  <c r="F16" i="5" s="1"/>
  <c r="F42" i="3"/>
  <c r="F34" i="3"/>
  <c r="G10" i="5" s="1"/>
  <c r="G33" i="3"/>
  <c r="F37" i="3"/>
  <c r="G9" i="5"/>
  <c r="G12" i="5" s="1"/>
  <c r="E35" i="3"/>
  <c r="F35" i="3" l="1"/>
  <c r="F38" i="3" s="1"/>
  <c r="E39" i="3"/>
  <c r="E38" i="3"/>
  <c r="E36" i="3"/>
  <c r="F18" i="5"/>
  <c r="F19" i="5" s="1"/>
  <c r="E44" i="3" s="1"/>
  <c r="G37" i="3"/>
  <c r="C16" i="4"/>
  <c r="C28" i="4" s="1"/>
  <c r="H9" i="5"/>
  <c r="H12" i="5" s="1"/>
  <c r="G42" i="3"/>
  <c r="G34" i="3"/>
  <c r="H10" i="5" s="1"/>
  <c r="G13" i="5"/>
  <c r="G14" i="5" s="1"/>
  <c r="G15" i="5"/>
  <c r="G16" i="5" s="1"/>
  <c r="F36" i="3" l="1"/>
  <c r="G18" i="5"/>
  <c r="G19" i="5" s="1"/>
  <c r="F44" i="3" s="1"/>
  <c r="F39" i="3"/>
  <c r="F40" i="3"/>
  <c r="F41" i="3"/>
  <c r="F45" i="3" s="1"/>
  <c r="F47" i="3" s="1"/>
  <c r="E40" i="3"/>
  <c r="E41" i="3" s="1"/>
  <c r="E45" i="3" s="1"/>
  <c r="H15" i="5"/>
  <c r="H16" i="5" s="1"/>
  <c r="H13" i="5"/>
  <c r="H14" i="5" s="1"/>
  <c r="H18" i="5" s="1"/>
  <c r="H19" i="5" s="1"/>
  <c r="G44" i="3" s="1"/>
  <c r="C72" i="4"/>
  <c r="C73" i="4"/>
  <c r="G35" i="3"/>
  <c r="E47" i="3" l="1"/>
  <c r="G38" i="3"/>
  <c r="G36" i="3"/>
  <c r="G39" i="3"/>
  <c r="G40" i="3" l="1"/>
  <c r="G41" i="3" s="1"/>
  <c r="G45" i="3" s="1"/>
  <c r="C59" i="3"/>
  <c r="C60" i="3" s="1"/>
  <c r="C61" i="3" s="1"/>
  <c r="C51" i="3" l="1"/>
  <c r="C52" i="3" s="1"/>
  <c r="G47" i="3"/>
  <c r="C50" i="3" s="1"/>
  <c r="I9" i="7"/>
  <c r="I22" i="7"/>
  <c r="D12" i="7"/>
  <c r="C12" i="7"/>
  <c r="G19" i="7"/>
  <c r="H8" i="7"/>
  <c r="E12" i="7"/>
  <c r="F12" i="7"/>
  <c r="E8" i="7"/>
  <c r="H11" i="7"/>
  <c r="H7" i="7"/>
  <c r="H10" i="7"/>
  <c r="F18" i="7"/>
  <c r="G10" i="7"/>
  <c r="C8" i="7"/>
  <c r="C7" i="7"/>
  <c r="I23" i="7"/>
  <c r="G24" i="7"/>
  <c r="C20" i="7"/>
  <c r="F9" i="7"/>
  <c r="G21" i="7"/>
  <c r="F7" i="7"/>
  <c r="F11" i="7"/>
  <c r="H24" i="7"/>
  <c r="H12" i="7"/>
  <c r="F8" i="7"/>
  <c r="G9" i="7"/>
  <c r="F22" i="7"/>
  <c r="I11" i="7"/>
  <c r="D19" i="7"/>
  <c r="I19" i="7"/>
  <c r="H19" i="7"/>
  <c r="H20" i="7"/>
  <c r="I7" i="7"/>
  <c r="C13" i="7"/>
  <c r="C11" i="7"/>
  <c r="C22" i="7"/>
  <c r="C10" i="7"/>
  <c r="F24" i="7"/>
  <c r="E9" i="7"/>
  <c r="F23" i="7"/>
  <c r="I21" i="7"/>
  <c r="F13" i="7"/>
  <c r="E24" i="7"/>
  <c r="G23" i="7"/>
  <c r="G13" i="7"/>
  <c r="H9" i="7"/>
  <c r="C19" i="7"/>
  <c r="G7" i="7"/>
  <c r="D10" i="7"/>
  <c r="D8" i="7"/>
  <c r="D13" i="7"/>
  <c r="G12" i="7"/>
  <c r="H22" i="7"/>
  <c r="F20" i="7"/>
  <c r="I12" i="7"/>
  <c r="E20" i="7"/>
  <c r="E13" i="7"/>
  <c r="H21" i="7"/>
  <c r="C23" i="7"/>
  <c r="I13" i="7"/>
  <c r="G8" i="7"/>
  <c r="E23" i="7"/>
  <c r="C9" i="7"/>
  <c r="C21" i="7"/>
  <c r="E19" i="7"/>
  <c r="E22" i="7"/>
  <c r="C18" i="7"/>
  <c r="E11" i="7"/>
  <c r="H23" i="7"/>
  <c r="I10" i="7"/>
  <c r="E7" i="7"/>
  <c r="E21" i="7"/>
  <c r="D22" i="7"/>
  <c r="D11" i="7"/>
  <c r="E10" i="7"/>
  <c r="I24" i="7"/>
  <c r="D24" i="7"/>
  <c r="D20" i="7"/>
  <c r="G20" i="7"/>
  <c r="G18" i="7"/>
  <c r="D7" i="7"/>
  <c r="G11" i="7"/>
  <c r="D21" i="7"/>
  <c r="F19" i="7"/>
  <c r="D18" i="7"/>
  <c r="F21" i="7"/>
  <c r="G22" i="7"/>
  <c r="C24" i="7"/>
  <c r="I20" i="7"/>
  <c r="I18" i="7"/>
  <c r="H13" i="7"/>
  <c r="D9" i="7"/>
  <c r="H18" i="7"/>
  <c r="F10" i="7"/>
  <c r="I8" i="7"/>
  <c r="D23" i="7"/>
  <c r="E18" i="7"/>
  <c r="C58" i="3" l="1"/>
  <c r="C62" i="3" s="1"/>
  <c r="C53" i="3"/>
  <c r="C17" i="4" l="1"/>
  <c r="C54" i="3"/>
  <c r="C55" i="3" s="1"/>
  <c r="C16" i="1" s="1"/>
  <c r="C63" i="3"/>
  <c r="C64" i="3" s="1"/>
  <c r="C17" i="1" s="1"/>
  <c r="D17" i="1" s="1"/>
  <c r="D16" i="1" l="1"/>
  <c r="C21" i="1"/>
  <c r="C10" i="1"/>
  <c r="C12" i="1" s="1"/>
  <c r="C11" i="1" s="1"/>
  <c r="C19" i="4"/>
  <c r="C20" i="4" s="1"/>
  <c r="B79" i="4"/>
</calcChain>
</file>

<file path=xl/sharedStrings.xml><?xml version="1.0" encoding="utf-8"?>
<sst xmlns="http://schemas.openxmlformats.org/spreadsheetml/2006/main" count="445" uniqueCount="361">
  <si>
    <t>DISCLAIMER: This is a sample analysis for demonstration purposes only. It does not constitute investment advice.</t>
  </si>
  <si>
    <t>大阪ガス (9532.T)</t>
  </si>
  <si>
    <t>Equity Research Report</t>
  </si>
  <si>
    <t>Company</t>
  </si>
  <si>
    <t>大阪ガス</t>
  </si>
  <si>
    <t>Ticker</t>
  </si>
  <si>
    <t>9532.T (TSE Prime)</t>
  </si>
  <si>
    <t>Sector</t>
  </si>
  <si>
    <t>電気・ガス業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</si>
  <si>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</si>
  <si>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</si>
  <si>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</si>
  <si>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</si>
  <si>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</si>
  <si>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</si>
  <si>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</si>
  <si>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</si>
  <si>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</si>
  <si>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</si>
  <si>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</si>
  <si>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</si>
  <si>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</si>
  <si>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</si>
  <si>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</si>
  <si>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</si>
  <si>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</si>
  <si>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</si>
  <si>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</si>
  <si>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</si>
  <si>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</si>
  <si>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</si>
  <si>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大阪ガス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</si>
  <si>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</si>
  <si>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</si>
  <si>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</si>
  <si>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</si>
  <si>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</si>
  <si>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</si>
  <si>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</si>
  <si>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</si>
  <si>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</si>
  <si>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</si>
  <si>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</si>
  <si>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</si>
  <si>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</si>
  <si>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</si>
  <si>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</si>
  <si>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</si>
  <si>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</si>
  <si>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</si>
  <si>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</si>
  <si>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</si>
  <si>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</si>
  <si>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</si>
  <si>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</si>
  <si>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</si>
  <si>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</si>
  <si>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</si>
  <si>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</si>
  <si>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</si>
  <si>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大阪ガス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</si>
  <si>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</si>
  <si>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</si>
  <si>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</si>
  <si>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</si>
  <si>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</si>
  <si>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</si>
  <si>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</si>
  <si>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</si>
  <si>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</si>
  <si>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</si>
  <si>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</si>
  <si>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</si>
  <si>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</si>
  <si>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</si>
  <si>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</si>
  <si>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</si>
  <si>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</si>
  <si>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</si>
  <si>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</si>
  <si>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</si>
  <si>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</si>
  <si>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</si>
  <si>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</si>
  <si>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</si>
  <si>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</si>
  <si>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</si>
  <si>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</si>
  <si>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</si>
  <si>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</si>
  <si>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</si>
  <si>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</si>
  <si>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</si>
  <si>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</si>
  <si>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</si>
  <si>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</si>
  <si>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</si>
  <si>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</si>
  <si>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</si>
  <si>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</si>
  <si>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</si>
  <si>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</si>
  <si>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</si>
  <si>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</si>
  <si>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</si>
  <si>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</si>
  <si>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</si>
  <si>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</si>
  <si>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</si>
  <si>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</si>
  <si>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</si>
  <si>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</si>
  <si>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</si>
  <si>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</si>
  <si>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</si>
  <si>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</si>
  <si>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</si>
  <si>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</si>
  <si>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</si>
  <si>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</si>
  <si>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</si>
  <si>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</si>
  <si>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</si>
  <si>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</si>
  <si>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</si>
  <si>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大阪ガス (9532.T)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</si>
  <si>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</si>
  <si>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</si>
  <si>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</si>
  <si>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</si>
  <si>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</si>
  <si>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</si>
  <si>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</si>
  <si>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</si>
  <si>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</si>
  <si>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</si>
  <si>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</si>
  <si>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</si>
  <si>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</si>
  <si>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</si>
  <si>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</si>
  <si>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</si>
  <si>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</si>
  <si>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</si>
  <si>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</si>
  <si>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</si>
  <si>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</si>
  <si>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</si>
  <si>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</si>
  <si>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</si>
  <si>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</si>
  <si>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</si>
  <si>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</si>
  <si>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</si>
  <si>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</si>
  <si>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</si>
  <si>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</si>
  <si>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</si>
  <si>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</si>
  <si>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</si>
  <si>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</si>
  <si>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</si>
  <si>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</si>
  <si>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</si>
  <si>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</si>
  <si>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</si>
  <si>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</si>
  <si>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</si>
  <si>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</si>
  <si>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</si>
  <si>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</si>
  <si>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</si>
  <si>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</si>
  <si>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</si>
  <si>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</si>
  <si>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</si>
  <si>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</si>
  <si>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大阪ガス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</si>
  <si>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</si>
  <si>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</si>
  <si>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</si>
  <si>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</si>
  <si>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</si>
  <si>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</si>
  <si>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</si>
  <si>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</si>
  <si>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</si>
  <si>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</si>
  <si>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</si>
  <si>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</si>
  <si>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</si>
  <si>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</si>
  <si>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</si>
  <si>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</si>
  <si>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</si>
  <si>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</si>
  <si>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</si>
  <si>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</si>
  <si>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</si>
  <si>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</si>
  <si>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</si>
  <si>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</si>
  <si>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</si>
  <si>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</si>
  <si>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</si>
  <si>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</si>
  <si>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</si>
  <si>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</si>
  <si>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</si>
  <si>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</si>
  <si>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</si>
  <si>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</si>
  <si>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Osaka Gas Co., Ltd.</t>
  </si>
  <si>
    <t>9532.T</t>
  </si>
  <si>
    <t>Tokyo Gas Co.,Ltd.</t>
  </si>
  <si>
    <t>9531.T</t>
  </si>
  <si>
    <t>Toho Gas Co., Ltd.</t>
  </si>
  <si>
    <t>9533.T</t>
  </si>
  <si>
    <t>Saibu Gas Holdings Co.,Ltd.</t>
  </si>
  <si>
    <t>9536.T</t>
  </si>
  <si>
    <t>Chubu Electric Power Company, Incorporated</t>
  </si>
  <si>
    <t>9502.T</t>
  </si>
  <si>
    <t>The Kansai Electric Power Company, Incorporated</t>
  </si>
  <si>
    <t>9503.T</t>
  </si>
  <si>
    <t>Statistics</t>
  </si>
  <si>
    <t>25th Percentile</t>
  </si>
  <si>
    <t>Median (50th)</t>
  </si>
  <si>
    <t>75th Percentile</t>
  </si>
  <si>
    <t>Implied Valuation for 大阪ガス</t>
  </si>
  <si>
    <t>大阪ガス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</si>
  <si>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</si>
  <si>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</si>
  <si>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</si>
  <si>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</si>
  <si>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</si>
  <si>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</si>
  <si>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</si>
  <si>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</si>
  <si>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</si>
  <si>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</si>
  <si>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</si>
  <si>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</si>
  <si>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</si>
  <si>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</si>
  <si>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</si>
  <si>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大阪ガス</t>
  </si>
  <si>
    <t>日付</t>
  </si>
  <si>
    <t>セル</t>
  </si>
  <si>
    <t>変更内容</t>
  </si>
  <si>
    <t>理由</t>
  </si>
  <si>
    <t>元の値</t>
  </si>
  <si>
    <t>状態</t>
  </si>
  <si>
    <t>2026-09-06</t>
  </si>
  <si>
    <t>-</t>
  </si>
  <si>
    <t>Generated by pipeline on 2026-09-06 19:34, template rev 63983ab</t>
  </si>
  <si>
    <t>初期生成（手修正なし）</t>
  </si>
  <si>
    <t>generated</t>
  </si>
  <si>
    <t>DCF Model!C11</t>
  </si>
  <si>
    <t>After-tax Cost of Debt = 1.25% (実績ベース)</t>
  </si>
  <si>
    <t>実績Kd = 支払利息13,781 ÷ 平均有利子負債829,578(期首864,938/期末794,219、debt_beginning/debt_ending) = 税引前1.66% × (1−25.0%) = 1.25%。【マージナルコスト注記】これは既存借入の実績平均コストであり、新規調達の限界コストではない。テンプレ既定(税引前2.8%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</si>
  <si>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</si>
  <si>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</si>
  <si>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</si>
  <si>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0.664（採用値）</t>
  </si>
  <si>
    <t>実測β(raw) = 0.499 → Blume調整 0.67×raw + 0.33×1.00 = 0.664 → 採用 0.664。クランプ域 [0.3, 2.0] の内側。置換なし。回帰βは平均回帰するため Blume 調整を既定とする（2026-09-05 バッチで85件中57件が旧下限 0.60 に張り付き、両裾の歪みが実証された）。</t>
  </si>
  <si>
    <t>実測 0.499</t>
  </si>
  <si>
    <t>確定</t>
  </si>
  <si>
    <t>Pipeline Metadata (do not edit — read by scripts/validate_output.py)</t>
  </si>
  <si>
    <t>key</t>
  </si>
  <si>
    <t>value</t>
  </si>
  <si>
    <t>auto_log_entries</t>
  </si>
  <si>
    <t>2</t>
  </si>
  <si>
    <t>beta_adopted_c8</t>
  </si>
  <si>
    <t>0.6645</t>
  </si>
  <si>
    <t>beta_basis</t>
  </si>
  <si>
    <t>Blume: 0.67 x 0.499 + 0.33 x 1.00 = 0.664</t>
  </si>
  <si>
    <t>beta_blume_adjusted</t>
  </si>
  <si>
    <t>beta_clamped</t>
  </si>
  <si>
    <t>no</t>
  </si>
  <si>
    <t>beta_raw</t>
  </si>
  <si>
    <t>0.4993</t>
  </si>
  <si>
    <t>capex_pct_basis</t>
  </si>
  <si>
    <t>explicit_override</t>
  </si>
  <si>
    <t>capex_pct_c5</t>
  </si>
  <si>
    <t>0.06993</t>
  </si>
  <si>
    <t>capex_pct_hist3yr</t>
  </si>
  <si>
    <t>0.10108</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</si>
  <si>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</si>
  <si>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</si>
  <si>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</si>
  <si>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</si>
  <si>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</si>
  <si>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</si>
  <si>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</si>
  <si>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</si>
  <si>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</si>
  <si>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</si>
  <si>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</si>
  <si>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</si>
  <si>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</si>
  <si>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</si>
  <si>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</si>
  <si>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</si>
  <si>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</si>
  <si>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</si>
  <si>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</si>
  <si>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</si>
  <si>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309948.0</t>
  </si>
  <si>
    <t>core_net_income</t>
  </si>
  <si>
    <t>152751.0</t>
  </si>
  <si>
    <t>cost_of_debt_actual</t>
  </si>
  <si>
    <t>interest 13,781 (expense 13,781 + fees 0) / avg debt 829,578 (debt_beginning/debt_ending) = 0.016612 pre-tax -&gt; 0.012500 after-tax</t>
  </si>
  <si>
    <t>cost_of_debt_at_c11</t>
  </si>
  <si>
    <t>0.0125</t>
  </si>
  <si>
    <t>cost_of_debt_avg_debt</t>
  </si>
  <si>
    <t>829578.5</t>
  </si>
  <si>
    <t>cost_of_debt_basis</t>
  </si>
  <si>
    <t>actual</t>
  </si>
  <si>
    <t>cost_of_debt_interest</t>
  </si>
  <si>
    <t>13781.0</t>
  </si>
  <si>
    <t>cost_of_debt_pretax</t>
  </si>
  <si>
    <t>0.016612050577492064</t>
  </si>
  <si>
    <t>da_pct_basis</t>
  </si>
  <si>
    <t>da_pct_c18</t>
  </si>
  <si>
    <t>0.0666</t>
  </si>
  <si>
    <t>da_pct_hist3yr</t>
  </si>
  <si>
    <t>0.062509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</si>
  <si>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</si>
  <si>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</si>
  <si>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</si>
  <si>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</si>
  <si>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</si>
  <si>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</si>
  <si>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</si>
  <si>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</si>
  <si>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</si>
  <si>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19:34:20</t>
  </si>
  <si>
    <t>guidance_note</t>
  </si>
  <si>
    <t>TDnet 決算短信 via screener guidance table: FY2027 disclosed 2026-07-30 (net_income=145,000mn, operating_income=150,000mn, revenue=2,170,000mn)</t>
  </si>
  <si>
    <t>guidance_source</t>
  </si>
  <si>
    <t>tdnet_screener_db</t>
  </si>
  <si>
    <t>latest_operating_income</t>
  </si>
  <si>
    <t>174810.0</t>
  </si>
  <si>
    <t>ltm_revenue_c20</t>
  </si>
  <si>
    <t>2030302.0</t>
  </si>
  <si>
    <t>ltm_revenue_source</t>
  </si>
  <si>
    <t>latest FY (no LTM)</t>
  </si>
  <si>
    <t>market_data_source</t>
  </si>
  <si>
    <t>yfinance; from overrides: beta, current_price, shares_outstanding</t>
  </si>
  <si>
    <t>narrative_tokens_used</t>
  </si>
  <si>
    <t>net_debt_source</t>
  </si>
  <si>
    <t>EDINET net_debt</t>
  </si>
  <si>
    <t>reverse_dcf_sheet</t>
  </si>
  <si>
    <t>op0=174,810(FY2026) peak=174,810(FY2026) peak_opm=0.0861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</si>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</sst>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5719</v>
      </c>
    </row>
    <row r="10" spans="2:5" ht="14" x14ac:dyDescent="0.3">
      <c r="B10" s="4" t="s">
        <v>10</v>
      </c>
      <c r="C10" s="5">
        <f>IF(COUNT(C16:C17)=0,"N/A",ROUND(AVERAGE(C16:C17),0))</f>
        <v>3748</v>
      </c>
    </row>
    <row r="11" spans="2:5" ht="14" x14ac:dyDescent="0.3">
      <c r="B11" s="4" t="s">
        <v>11</v>
      </c>
      <c r="C11" s="6" t="str">
        <f>IF(NOT(ISNUMBER(C12)),"N/A",IF(C12&gt;0.15,"BUY",IF(C12&gt;0.05,"HOLD","SELL")))</f>
        <v>SELL</v>
      </c>
    </row>
    <row r="12" spans="2:5" ht="14" x14ac:dyDescent="0.3">
      <c r="B12" s="4" t="s">
        <v>12</v>
      </c>
      <c r="C12" s="7">
        <f>IF(ISNUMBER(C10),(C10-C9)/C9,"N/A")</f>
        <v>-0.34464067144605698</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3442</v>
      </c>
      <c r="D16" s="7">
        <f>IF(ISNUMBER(C16),(C16-C9)/C9,"N/A")</f>
        <v>-0.39814652911348136</v>
      </c>
    </row>
    <row r="17" spans="2:5" ht="13.5" x14ac:dyDescent="0.25">
      <c r="B17" t="s">
        <v>18</v>
      </c>
      <c r="C17" s="11">
        <f>IF('DCF Model'!C62&lt;'DCF Model'!C16,"INVALID (EV &lt; net debt)",'DCF Model'!C64)</f>
        <v>4053</v>
      </c>
      <c r="D17" s="7">
        <f>IF(ISNUMBER(C17),(C17-C9)/C9,"N/A")</f>
        <v>-0.29130966952264381</v>
      </c>
    </row>
    <row r="18" spans="2:5" ht="13.5" x14ac:dyDescent="0.25">
      <c r="B18" t="s">
        <v>19</v>
      </c>
      <c r="C18" s="11">
        <f>'Comps Analysis'!C27</f>
        <v>4513</v>
      </c>
      <c r="D18" s="7">
        <f>IF(ISNUMBER(C18),(C18-C9)/C9,"N/A")</f>
        <v>-0.21087602727749608</v>
      </c>
    </row>
    <row r="19" spans="2:5" ht="13.5" x14ac:dyDescent="0.25">
      <c r="B19" t="s">
        <v>20</v>
      </c>
      <c r="C19" s="11">
        <f>'Comps Analysis'!C28</f>
        <v>3905</v>
      </c>
      <c r="D19" s="7">
        <f>IF(ISNUMBER(C19),(C19-C9)/C9,"N/A")</f>
        <v>-0.31718831963630006</v>
      </c>
    </row>
    <row r="20" spans="2:5" ht="14" x14ac:dyDescent="0.3">
      <c r="B20" s="45" t="s">
        <v>21</v>
      </c>
      <c r="C20" s="44"/>
      <c r="D20" s="44"/>
      <c r="E20" s="44"/>
    </row>
    <row r="21" spans="2:5" ht="14" x14ac:dyDescent="0.3">
      <c r="B21" s="4" t="s">
        <v>22</v>
      </c>
      <c r="C21" s="6" t="str">
        <f>IF(COUNT(C16:C17)=0,"N/A",MIN(C16:C17)&amp;" - "&amp;MAX(C16:C17))</f>
        <v>3442 - 4053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2275113</v>
      </c>
      <c r="D6" s="5">
        <v>2083050</v>
      </c>
      <c r="E6" s="5">
        <v>2069019</v>
      </c>
      <c r="F6" s="5">
        <v>2030302</v>
      </c>
    </row>
    <row r="7" spans="2:6" ht="14" x14ac:dyDescent="0.3">
      <c r="B7" s="4" t="s">
        <v>38</v>
      </c>
      <c r="C7" s="5">
        <v>1992892</v>
      </c>
      <c r="D7" s="5">
        <v>1672681</v>
      </c>
      <c r="E7" s="5">
        <v>1663441</v>
      </c>
      <c r="F7" s="5">
        <v>1592785</v>
      </c>
    </row>
    <row r="8" spans="2:6" ht="14" x14ac:dyDescent="0.3">
      <c r="B8" s="4" t="s">
        <v>39</v>
      </c>
      <c r="C8" s="5">
        <f>C6-C7</f>
        <v>282221</v>
      </c>
      <c r="D8" s="5">
        <f>D6-D7</f>
        <v>410369</v>
      </c>
      <c r="E8" s="5">
        <f>E6-E7</f>
        <v>405578</v>
      </c>
      <c r="F8" s="5">
        <f>F6-F7</f>
        <v>437517</v>
      </c>
    </row>
    <row r="9" spans="2:6" ht="13.5" x14ac:dyDescent="0.25">
      <c r="B9" t="s">
        <v>40</v>
      </c>
      <c r="C9" s="7">
        <f>C8/C6</f>
        <v>0.12404702535654273</v>
      </c>
      <c r="D9" s="7">
        <f>D8/D6</f>
        <v>0.19700391253210436</v>
      </c>
      <c r="E9" s="7">
        <f>E8/E6</f>
        <v>0.19602429943852617</v>
      </c>
      <c r="F9" s="7">
        <f>F8/F6</f>
        <v>0.21549355711613347</v>
      </c>
    </row>
    <row r="10" spans="2:6" ht="14" x14ac:dyDescent="0.3">
      <c r="B10" s="4" t="s">
        <v>41</v>
      </c>
      <c r="C10" s="5">
        <v>222219</v>
      </c>
      <c r="D10" s="5">
        <v>237815</v>
      </c>
      <c r="E10" s="5">
        <v>244847</v>
      </c>
      <c r="F10" s="5">
        <v>262707</v>
      </c>
    </row>
    <row r="11" spans="2:6" ht="14" x14ac:dyDescent="0.3">
      <c r="B11" s="4" t="s">
        <v>42</v>
      </c>
      <c r="C11" s="5">
        <v>60002</v>
      </c>
      <c r="D11" s="5">
        <v>172554</v>
      </c>
      <c r="E11" s="5">
        <v>160731</v>
      </c>
      <c r="F11" s="5">
        <v>174810</v>
      </c>
    </row>
    <row r="12" spans="2:6" ht="14" x14ac:dyDescent="0.3">
      <c r="B12" s="4" t="s">
        <v>43</v>
      </c>
      <c r="C12" s="5">
        <v>57110</v>
      </c>
      <c r="D12" s="5">
        <v>132679</v>
      </c>
      <c r="E12" s="5">
        <v>134414</v>
      </c>
      <c r="F12" s="5">
        <v>152751</v>
      </c>
    </row>
    <row r="13" spans="2:6" ht="13.5" x14ac:dyDescent="0.25">
      <c r="B13" t="s">
        <v>44</v>
      </c>
      <c r="C13" s="7">
        <f>C11/C6</f>
        <v>2.6373195529189101E-2</v>
      </c>
      <c r="D13" s="7">
        <f>D11/D6</f>
        <v>8.2837185857276591E-2</v>
      </c>
      <c r="E13" s="7">
        <f>E11/E6</f>
        <v>7.7684641852008129E-2</v>
      </c>
      <c r="F13" s="7">
        <f>F11/F6</f>
        <v>8.6100491453980743E-2</v>
      </c>
    </row>
    <row r="14" spans="2:6" ht="13.5" x14ac:dyDescent="0.25">
      <c r="B14" t="s">
        <v>45</v>
      </c>
      <c r="C14" s="7">
        <f>C12/C6</f>
        <v>2.5102049876203951E-2</v>
      </c>
      <c r="D14" s="7">
        <f>D12/D6</f>
        <v>6.3694582463214994E-2</v>
      </c>
      <c r="E14" s="7">
        <f>E12/E6</f>
        <v>6.4965087319159467E-2</v>
      </c>
      <c r="F14" s="7">
        <f>F12/F6</f>
        <v>7.5235605343441522E-2</v>
      </c>
    </row>
    <row r="15" spans="2:6" ht="13.5" x14ac:dyDescent="0.25">
      <c r="B15" t="s">
        <v>46</v>
      </c>
      <c r="C15" t="s">
        <v>47</v>
      </c>
      <c r="D15" s="7">
        <f>(D6-C6)/C6</f>
        <v>-8.4419103578591476E-2</v>
      </c>
      <c r="E15" s="7">
        <f>(E6-D6)/D6</f>
        <v>-6.7357960682652837E-3</v>
      </c>
      <c r="F15" s="7">
        <f>(F6-E6)/E6</f>
        <v>-1.8712732942520103E-2</v>
      </c>
    </row>
    <row r="16" spans="2:6" ht="13.5" x14ac:dyDescent="0.25">
      <c r="B16" t="s">
        <v>48</v>
      </c>
      <c r="C16" t="s">
        <v>47</v>
      </c>
      <c r="D16" s="7">
        <f>(D11-C11)/C11</f>
        <v>1.8758041398620047</v>
      </c>
      <c r="E16" s="7">
        <f>(E11-D11)/D11</f>
        <v>-6.8517681421468066E-2</v>
      </c>
      <c r="F16" s="7">
        <f>(F11-E11)/E11</f>
        <v>8.759355693674524E-2</v>
      </c>
    </row>
    <row r="18" spans="2:6" ht="14" x14ac:dyDescent="0.3">
      <c r="B18" s="3" t="s">
        <v>49</v>
      </c>
    </row>
    <row r="19" spans="2:6" ht="14" x14ac:dyDescent="0.3">
      <c r="B19" s="4" t="s">
        <v>50</v>
      </c>
      <c r="C19" s="5">
        <v>33572</v>
      </c>
      <c r="D19" s="5">
        <v>312609</v>
      </c>
      <c r="E19" s="5">
        <v>283681</v>
      </c>
      <c r="F19" s="5">
        <v>340740</v>
      </c>
    </row>
    <row r="20" spans="2:6" ht="14" x14ac:dyDescent="0.3">
      <c r="B20" s="4" t="s">
        <v>51</v>
      </c>
      <c r="C20" s="5">
        <v>172079</v>
      </c>
      <c r="D20" s="5">
        <v>174646</v>
      </c>
      <c r="E20" s="5">
        <v>210850</v>
      </c>
      <c r="F20" s="5">
        <v>238540</v>
      </c>
    </row>
    <row r="21" spans="2:6" ht="14" x14ac:dyDescent="0.3">
      <c r="B21" s="4" t="s">
        <v>52</v>
      </c>
      <c r="C21" s="5">
        <f>C19-C20</f>
        <v>-138507</v>
      </c>
      <c r="D21" s="5">
        <f>D19-D20</f>
        <v>137963</v>
      </c>
      <c r="E21" s="5">
        <f>E19-E20</f>
        <v>72831</v>
      </c>
      <c r="F21" s="5">
        <f>F19-F20</f>
        <v>102200</v>
      </c>
    </row>
    <row r="22" spans="2:6" ht="13.5" x14ac:dyDescent="0.25">
      <c r="B22" t="s">
        <v>53</v>
      </c>
      <c r="C22" s="7">
        <f>C21/C6</f>
        <v>-6.0879173913559459E-2</v>
      </c>
      <c r="D22" s="7">
        <f>D21/D6</f>
        <v>6.6231247449653155E-2</v>
      </c>
      <c r="E22" s="7">
        <f>E21/E6</f>
        <v>3.5200740060869429E-2</v>
      </c>
      <c r="F22" s="7">
        <f>F21/F6</f>
        <v>5.0337338977157094E-2</v>
      </c>
    </row>
    <row r="23" spans="2:6" ht="13.5" x14ac:dyDescent="0.25">
      <c r="B23" t="s">
        <v>54</v>
      </c>
      <c r="C23" s="7">
        <f>C20/C6</f>
        <v>7.5635364045653991E-2</v>
      </c>
      <c r="D23" s="7">
        <f>D20/D6</f>
        <v>8.3841482441612061E-2</v>
      </c>
      <c r="E23" s="7">
        <f>E20/E6</f>
        <v>0.10190819900638902</v>
      </c>
      <c r="F23" s="7">
        <f>F20/F6</f>
        <v>0.11748991036801422</v>
      </c>
    </row>
    <row r="25" spans="2:6" ht="14" x14ac:dyDescent="0.3">
      <c r="B25" s="3" t="s">
        <v>55</v>
      </c>
    </row>
    <row r="26" spans="2:6" ht="14" x14ac:dyDescent="0.3">
      <c r="B26" s="4" t="s">
        <v>56</v>
      </c>
      <c r="C26" s="5">
        <v>84793</v>
      </c>
      <c r="D26" s="5">
        <v>77229</v>
      </c>
      <c r="E26" s="5">
        <v>82810</v>
      </c>
      <c r="F26" s="5">
        <v>58981</v>
      </c>
    </row>
    <row r="27" spans="2:6" ht="14" x14ac:dyDescent="0.3">
      <c r="B27" s="4" t="s">
        <v>57</v>
      </c>
      <c r="C27" s="5">
        <v>811534</v>
      </c>
      <c r="D27" s="5">
        <v>814587</v>
      </c>
      <c r="E27" s="5">
        <v>864938</v>
      </c>
      <c r="F27" s="5">
        <v>794219</v>
      </c>
    </row>
    <row r="28" spans="2:6" ht="14" x14ac:dyDescent="0.3">
      <c r="B28" s="4" t="s">
        <v>58</v>
      </c>
      <c r="C28" s="5">
        <f>C27-C26</f>
        <v>726741</v>
      </c>
      <c r="D28" s="5">
        <f>D27-D26</f>
        <v>737358</v>
      </c>
      <c r="E28" s="5">
        <f>E27-E26</f>
        <v>782128</v>
      </c>
      <c r="F28" s="5">
        <f>F27-F26</f>
        <v>735238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6.9930000000000006E-2</v>
      </c>
    </row>
    <row r="6" spans="2:7" ht="14" x14ac:dyDescent="0.3">
      <c r="B6" s="4" t="s">
        <v>63</v>
      </c>
      <c r="C6" s="7">
        <v>0.25</v>
      </c>
    </row>
    <row r="7" spans="2:7" ht="14" x14ac:dyDescent="0.3">
      <c r="B7" s="4" t="s">
        <v>64</v>
      </c>
      <c r="C7" s="7">
        <v>2.9700000000000001E-2</v>
      </c>
    </row>
    <row r="8" spans="2:7" ht="14" x14ac:dyDescent="0.3">
      <c r="B8" s="4" t="s">
        <v>65</v>
      </c>
      <c r="C8" s="12">
        <v>0.66449999999999998</v>
      </c>
    </row>
    <row r="9" spans="2:7" ht="14" x14ac:dyDescent="0.3">
      <c r="B9" s="4" t="s">
        <v>66</v>
      </c>
      <c r="C9" s="7">
        <v>6.5000000000000002E-2</v>
      </c>
    </row>
    <row r="10" spans="2:7" ht="14" x14ac:dyDescent="0.3">
      <c r="B10" s="4" t="s">
        <v>67</v>
      </c>
      <c r="C10" s="7">
        <v>0.01</v>
      </c>
    </row>
    <row r="11" spans="2:7" ht="14" x14ac:dyDescent="0.3">
      <c r="B11" s="4" t="s">
        <v>68</v>
      </c>
      <c r="C11" s="7">
        <v>1.2500000000000001E-2</v>
      </c>
    </row>
    <row r="12" spans="2:7" ht="14" x14ac:dyDescent="0.3">
      <c r="B12" s="4" t="s">
        <v>69</v>
      </c>
      <c r="C12" s="13">
        <v>0.33879999999999999</v>
      </c>
    </row>
    <row r="13" spans="2:7" ht="14" x14ac:dyDescent="0.3">
      <c r="B13" s="4" t="s">
        <v>70</v>
      </c>
      <c r="C13" s="7">
        <v>0.01</v>
      </c>
    </row>
    <row r="14" spans="2:7" ht="14" x14ac:dyDescent="0.3">
      <c r="B14" s="4" t="s">
        <v>71</v>
      </c>
      <c r="C14" s="14">
        <v>7.9</v>
      </c>
    </row>
    <row r="15" spans="2:7" ht="14" x14ac:dyDescent="0.3">
      <c r="B15" s="4" t="s">
        <v>72</v>
      </c>
      <c r="C15" s="15">
        <v>379504022</v>
      </c>
    </row>
    <row r="16" spans="2:7" ht="14" x14ac:dyDescent="0.3">
      <c r="B16" s="4" t="s">
        <v>73</v>
      </c>
      <c r="C16" s="5">
        <v>735238</v>
      </c>
    </row>
    <row r="17" spans="2:7" ht="14" x14ac:dyDescent="0.3">
      <c r="B17" s="4" t="s">
        <v>74</v>
      </c>
      <c r="C17" s="5">
        <v>2030302</v>
      </c>
    </row>
    <row r="18" spans="2:7" ht="14" x14ac:dyDescent="0.3">
      <c r="B18" s="4" t="s">
        <v>75</v>
      </c>
      <c r="C18" s="7">
        <v>6.6600000000000006E-2</v>
      </c>
    </row>
    <row r="19" spans="2:7" ht="14" x14ac:dyDescent="0.3">
      <c r="B19" s="4" t="s">
        <v>76</v>
      </c>
      <c r="C19" s="12">
        <v>1</v>
      </c>
    </row>
    <row r="20" spans="2:7" ht="14" x14ac:dyDescent="0.3">
      <c r="B20" s="4" t="s">
        <v>77</v>
      </c>
      <c r="C20" s="5">
        <v>2030302</v>
      </c>
    </row>
    <row r="22" spans="2:7" ht="14" x14ac:dyDescent="0.3">
      <c r="B22" s="8" t="s">
        <v>78</v>
      </c>
      <c r="C22" s="9"/>
      <c r="D22" s="9"/>
      <c r="E22" s="9"/>
      <c r="F22" s="9"/>
      <c r="G22" s="9"/>
    </row>
    <row r="23" spans="2:7" ht="14" x14ac:dyDescent="0.3">
      <c r="B23" s="4" t="s">
        <v>79</v>
      </c>
      <c r="C23" s="16">
        <f>C7+C8*C9+C10</f>
        <v>8.2892499999999994E-2</v>
      </c>
    </row>
    <row r="24" spans="2:7" ht="14" x14ac:dyDescent="0.3">
      <c r="B24" s="4" t="s">
        <v>80</v>
      </c>
      <c r="C24" s="16">
        <f>1/(1+C12)</f>
        <v>0.74693755602031675</v>
      </c>
    </row>
    <row r="25" spans="2:7" ht="14" x14ac:dyDescent="0.3">
      <c r="B25" s="4" t="s">
        <v>81</v>
      </c>
      <c r="C25" s="16">
        <f>C12/(1+C12)</f>
        <v>0.2530624439796833</v>
      </c>
    </row>
    <row r="26" spans="2:7" ht="14" x14ac:dyDescent="0.3">
      <c r="B26" s="4" t="s">
        <v>82</v>
      </c>
      <c r="C26" s="16">
        <f>C23*C24+C11*C25</f>
        <v>6.5078801912160145E-2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1.4999999999999999E-2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0.79</v>
      </c>
      <c r="D31" s="18">
        <f>CHOOSE($D$27,D76,D77,D78,D79,D80)</f>
        <v>0.79</v>
      </c>
      <c r="E31" s="18">
        <f>CHOOSE($D$27,E76,E77,E78,E79,E80)</f>
        <v>0.79</v>
      </c>
      <c r="F31" s="18">
        <f>CHOOSE($D$27,F76,F77,F78,F79,F80)</f>
        <v>0.79</v>
      </c>
      <c r="G31" s="18">
        <f>CHOOSE($D$27,G76,G77,G78,G79,G80)</f>
        <v>0.79</v>
      </c>
    </row>
    <row r="32" spans="2:7" ht="14" x14ac:dyDescent="0.3">
      <c r="B32" s="4" t="s">
        <v>92</v>
      </c>
      <c r="C32" s="18">
        <f>CHOOSE($D$27,C83,C84,C85,C86,C87)</f>
        <v>0.1242</v>
      </c>
      <c r="D32" s="18">
        <f>CHOOSE($D$27,D83,D84,D85,D86,D87)</f>
        <v>0.1245</v>
      </c>
      <c r="E32" s="18">
        <f>CHOOSE($D$27,E83,E84,E85,E86,E87)</f>
        <v>0.12479999999999999</v>
      </c>
      <c r="F32" s="18">
        <f>CHOOSE($D$27,F83,F84,F85,F86,F87)</f>
        <v>0.125</v>
      </c>
      <c r="G32" s="18">
        <f>CHOOSE($D$27,G83,G84,G85,G86,G87)</f>
        <v>0.12509999999999999</v>
      </c>
    </row>
    <row r="33" spans="2:7" ht="14" x14ac:dyDescent="0.3">
      <c r="B33" s="4" t="s">
        <v>37</v>
      </c>
      <c r="C33" s="5">
        <f>C17*(1+C30)</f>
        <v>2060756.5299999998</v>
      </c>
      <c r="D33" s="5">
        <f>C33*(1+D30)</f>
        <v>2101971.6605999996</v>
      </c>
      <c r="E33" s="5">
        <f>D33*(1+E30)</f>
        <v>2144011.0938119995</v>
      </c>
      <c r="F33" s="5">
        <f>E33*(1+F30)</f>
        <v>2186891.3156882394</v>
      </c>
      <c r="G33" s="5">
        <f>F33*(1+G30)</f>
        <v>2219694.6854235628</v>
      </c>
    </row>
    <row r="34" spans="2:7" ht="14" x14ac:dyDescent="0.3">
      <c r="B34" s="4" t="s">
        <v>38</v>
      </c>
      <c r="C34" s="5">
        <f>C33*C31</f>
        <v>1627997.6586999998</v>
      </c>
      <c r="D34" s="5">
        <f>D33*D31</f>
        <v>1660557.6118739997</v>
      </c>
      <c r="E34" s="5">
        <f>E33*E31</f>
        <v>1693768.7641114797</v>
      </c>
      <c r="F34" s="5">
        <f>F33*F31</f>
        <v>1727644.1393937091</v>
      </c>
      <c r="G34" s="5">
        <f>G33*G31</f>
        <v>1753558.8014846146</v>
      </c>
    </row>
    <row r="35" spans="2:7" ht="14" x14ac:dyDescent="0.3">
      <c r="B35" s="4" t="s">
        <v>39</v>
      </c>
      <c r="C35" s="19">
        <f>C33-C34</f>
        <v>432758.8713</v>
      </c>
      <c r="D35" s="19">
        <f>D33-D34</f>
        <v>441414.04872599989</v>
      </c>
      <c r="E35" s="19">
        <f>E33-E34</f>
        <v>450242.3297005198</v>
      </c>
      <c r="F35" s="19">
        <f>F33-F34</f>
        <v>459247.17629453028</v>
      </c>
      <c r="G35" s="19">
        <f>G33-G34</f>
        <v>466135.88393894816</v>
      </c>
    </row>
    <row r="36" spans="2:7" ht="14" x14ac:dyDescent="0.3">
      <c r="B36" s="4" t="s">
        <v>40</v>
      </c>
      <c r="C36" s="7">
        <f>C35/C33</f>
        <v>0.21000000000000002</v>
      </c>
      <c r="D36" s="7">
        <f>D35/D33</f>
        <v>0.21</v>
      </c>
      <c r="E36" s="7">
        <f>E35/E33</f>
        <v>0.20999999999999994</v>
      </c>
      <c r="F36" s="7">
        <f>F35/F33</f>
        <v>0.21</v>
      </c>
      <c r="G36" s="7">
        <f>G35/G33</f>
        <v>0.21</v>
      </c>
    </row>
    <row r="37" spans="2:7" ht="14" x14ac:dyDescent="0.3">
      <c r="B37" s="4" t="s">
        <v>93</v>
      </c>
      <c r="C37" s="5">
        <f>C33*C32</f>
        <v>255945.96102599998</v>
      </c>
      <c r="D37" s="5">
        <f>D33*D32</f>
        <v>261695.47174469996</v>
      </c>
      <c r="E37" s="5">
        <f>E33*E32</f>
        <v>267572.58450773754</v>
      </c>
      <c r="F37" s="5">
        <f>F33*F32</f>
        <v>273361.41446102993</v>
      </c>
      <c r="G37" s="5">
        <f>G33*G32</f>
        <v>277683.80514648766</v>
      </c>
    </row>
    <row r="38" spans="2:7" ht="14" x14ac:dyDescent="0.3">
      <c r="B38" s="4" t="s">
        <v>94</v>
      </c>
      <c r="C38" s="7">
        <f>(C35-C37)/C33</f>
        <v>8.5800000000000015E-2</v>
      </c>
      <c r="D38" s="7">
        <f>(D35-D37)/D33</f>
        <v>8.5499999999999979E-2</v>
      </c>
      <c r="E38" s="7">
        <f>(E35-E37)/E33</f>
        <v>8.5199999999999956E-2</v>
      </c>
      <c r="F38" s="7">
        <f>(F35-F37)/F33</f>
        <v>8.5000000000000006E-2</v>
      </c>
      <c r="G38" s="7">
        <f>(G35-G37)/G33</f>
        <v>8.4900000000000003E-2</v>
      </c>
    </row>
    <row r="39" spans="2:7" ht="14" x14ac:dyDescent="0.3">
      <c r="B39" s="4" t="s">
        <v>95</v>
      </c>
      <c r="C39" s="19">
        <f>C35-C37</f>
        <v>176812.91027400002</v>
      </c>
      <c r="D39" s="19">
        <f>D35-D37</f>
        <v>179718.57698129994</v>
      </c>
      <c r="E39" s="19">
        <f>E35-E37</f>
        <v>182669.74519278225</v>
      </c>
      <c r="F39" s="19">
        <f>F35-F37</f>
        <v>185885.76183350035</v>
      </c>
      <c r="G39" s="19">
        <f>G35-G37</f>
        <v>188452.0787924605</v>
      </c>
    </row>
    <row r="40" spans="2:7" ht="14" x14ac:dyDescent="0.3">
      <c r="B40" s="4" t="s">
        <v>96</v>
      </c>
      <c r="C40" s="5">
        <f>MAX(0,C39*C6)</f>
        <v>44203.227568500006</v>
      </c>
      <c r="D40" s="5">
        <f>MAX(0,D39*C6)</f>
        <v>44929.644245324984</v>
      </c>
      <c r="E40" s="5">
        <f>MAX(0,E39*C6)</f>
        <v>45667.436298195564</v>
      </c>
      <c r="F40" s="5">
        <f>MAX(0,F39*C6)</f>
        <v>46471.440458375087</v>
      </c>
      <c r="G40" s="5">
        <f>MAX(0,G39*C6)</f>
        <v>47113.019698115124</v>
      </c>
    </row>
    <row r="41" spans="2:7" ht="14" x14ac:dyDescent="0.3">
      <c r="B41" s="4" t="s">
        <v>97</v>
      </c>
      <c r="C41" s="19">
        <f>C39-C40</f>
        <v>132609.68270550002</v>
      </c>
      <c r="D41" s="19">
        <f>D39-D40</f>
        <v>134788.93273597496</v>
      </c>
      <c r="E41" s="19">
        <f>E39-E40</f>
        <v>137002.30889458669</v>
      </c>
      <c r="F41" s="19">
        <f>F39-F40</f>
        <v>139414.32137512526</v>
      </c>
      <c r="G41" s="19">
        <f>G39-G40</f>
        <v>141339.05909434537</v>
      </c>
    </row>
    <row r="42" spans="2:7" ht="14" x14ac:dyDescent="0.3">
      <c r="B42" s="4" t="s">
        <v>98</v>
      </c>
      <c r="C42" s="5">
        <f>C33*C18</f>
        <v>137246.38489799999</v>
      </c>
      <c r="D42" s="5">
        <f>D33*C18</f>
        <v>139991.31259595999</v>
      </c>
      <c r="E42" s="5">
        <f>E33*C18</f>
        <v>142791.13884787919</v>
      </c>
      <c r="F42" s="5">
        <f>F33*C18</f>
        <v>145646.96162483675</v>
      </c>
      <c r="G42" s="5">
        <f>G33*C18</f>
        <v>147831.66604920931</v>
      </c>
    </row>
    <row r="43" spans="2:7" ht="14" x14ac:dyDescent="0.3">
      <c r="B43" s="4" t="s">
        <v>99</v>
      </c>
      <c r="C43" s="5">
        <v>234700</v>
      </c>
      <c r="D43" s="5">
        <v>214800</v>
      </c>
      <c r="E43" s="5">
        <v>195000</v>
      </c>
      <c r="F43" s="5">
        <v>175100</v>
      </c>
      <c r="G43" s="5">
        <v>155200</v>
      </c>
    </row>
    <row r="44" spans="2:7" ht="14" x14ac:dyDescent="0.3">
      <c r="B44" s="4" t="s">
        <v>100</v>
      </c>
      <c r="C44" s="5">
        <f>'NWC Schedule'!D19</f>
        <v>-22155.3608632877</v>
      </c>
      <c r="D44" s="5">
        <f>'NWC Schedule'!E19</f>
        <v>8054.4527827341808</v>
      </c>
      <c r="E44" s="5">
        <f>'NWC Schedule'!F19</f>
        <v>8215.54183838889</v>
      </c>
      <c r="F44" s="5">
        <f>'NWC Schedule'!G19</f>
        <v>8379.8526751566678</v>
      </c>
      <c r="G44" s="5">
        <f>'NWC Schedule'!H19</f>
        <v>6410.5872964949231</v>
      </c>
    </row>
    <row r="45" spans="2:7" ht="14" x14ac:dyDescent="0.3">
      <c r="B45" s="4" t="s">
        <v>101</v>
      </c>
      <c r="C45" s="20">
        <f>C41+C42-C43-C44</f>
        <v>57311.428466787678</v>
      </c>
      <c r="D45" s="20">
        <f>D41+D42-D43-D44</f>
        <v>51925.792549200763</v>
      </c>
      <c r="E45" s="20">
        <f>E41+E42-E43-E44</f>
        <v>76577.905904076993</v>
      </c>
      <c r="F45" s="20">
        <f>F41+F42-F43-F44</f>
        <v>101581.43032480532</v>
      </c>
      <c r="G45" s="20">
        <f>G41+G42-G43-G44</f>
        <v>127560.13784705976</v>
      </c>
    </row>
    <row r="46" spans="2:7" ht="14" x14ac:dyDescent="0.3">
      <c r="B46" s="4" t="s">
        <v>102</v>
      </c>
      <c r="C46" s="21">
        <f>1/(1+C26)^(C19+0)</f>
        <v>0.93889766485322701</v>
      </c>
      <c r="D46" s="21">
        <f>1/(1+C26)^(C19+1)</f>
        <v>0.8815288250668426</v>
      </c>
      <c r="E46" s="21">
        <f>1/(1+C26)^(C19+2)</f>
        <v>0.82766535535606744</v>
      </c>
      <c r="F46" s="21">
        <f>1/(1+C26)^(C19+3)</f>
        <v>0.77709306942372802</v>
      </c>
      <c r="G46" s="21">
        <f>1/(1+C26)^(C19+4)</f>
        <v>0.72961086825556487</v>
      </c>
    </row>
    <row r="47" spans="2:7" ht="14" x14ac:dyDescent="0.3">
      <c r="B47" s="4" t="s">
        <v>103</v>
      </c>
      <c r="C47" s="19">
        <f>C45*C46</f>
        <v>53809.566356869713</v>
      </c>
      <c r="D47" s="19">
        <f>D45*D46</f>
        <v>45774.082896561558</v>
      </c>
      <c r="E47" s="19">
        <f>E45*E46</f>
        <v>63380.879702521379</v>
      </c>
      <c r="F47" s="19">
        <f>F45*F46</f>
        <v>78938.225487555537</v>
      </c>
      <c r="G47" s="19">
        <f>G45*G46</f>
        <v>93069.262929392804</v>
      </c>
    </row>
    <row r="49" spans="2:7" ht="14" x14ac:dyDescent="0.3">
      <c r="B49" s="22" t="s">
        <v>104</v>
      </c>
      <c r="C49" s="23"/>
      <c r="D49" s="23"/>
      <c r="E49" s="23"/>
      <c r="F49" s="23"/>
      <c r="G49" s="23"/>
    </row>
    <row r="50" spans="2:7" ht="14" x14ac:dyDescent="0.3">
      <c r="B50" s="4" t="s">
        <v>105</v>
      </c>
      <c r="C50" s="5">
        <f>SUM(C47:G47)</f>
        <v>334972.01737290097</v>
      </c>
    </row>
    <row r="51" spans="2:7" ht="14" x14ac:dyDescent="0.3">
      <c r="B51" s="4" t="s">
        <v>106</v>
      </c>
      <c r="C51" s="5">
        <f>G45*(1+C13)/(C26-C13)</f>
        <v>2339116.5884653414</v>
      </c>
    </row>
    <row r="52" spans="2:7" ht="14" x14ac:dyDescent="0.3">
      <c r="B52" s="4" t="s">
        <v>107</v>
      </c>
      <c r="C52" s="5">
        <f>C51*G46</f>
        <v>1706644.8850611926</v>
      </c>
    </row>
    <row r="53" spans="2:7" ht="14" x14ac:dyDescent="0.3">
      <c r="B53" s="4" t="s">
        <v>108</v>
      </c>
      <c r="C53" s="5">
        <f>C50+C52</f>
        <v>2041616.9024340934</v>
      </c>
    </row>
    <row r="54" spans="2:7" ht="14" x14ac:dyDescent="0.3">
      <c r="B54" s="4" t="s">
        <v>109</v>
      </c>
      <c r="C54" s="5">
        <f>C53-C16</f>
        <v>1306378.9024340934</v>
      </c>
    </row>
    <row r="55" spans="2:7" ht="14" x14ac:dyDescent="0.3">
      <c r="B55" s="4" t="s">
        <v>110</v>
      </c>
      <c r="C55" s="24">
        <f>ROUND(C54*1000000/C15,0)</f>
        <v>3442</v>
      </c>
    </row>
    <row r="57" spans="2:7" ht="14" x14ac:dyDescent="0.3">
      <c r="B57" s="22" t="s">
        <v>111</v>
      </c>
      <c r="C57" s="23"/>
      <c r="D57" s="23"/>
      <c r="E57" s="23"/>
      <c r="F57" s="23"/>
      <c r="G57" s="23"/>
    </row>
    <row r="58" spans="2:7" ht="14" x14ac:dyDescent="0.3">
      <c r="B58" s="4" t="s">
        <v>105</v>
      </c>
      <c r="C58" s="5">
        <f>C50</f>
        <v>334972.01737290097</v>
      </c>
    </row>
    <row r="59" spans="2:7" ht="14" x14ac:dyDescent="0.3">
      <c r="B59" s="4" t="s">
        <v>112</v>
      </c>
      <c r="C59" s="5">
        <f>G39+G42</f>
        <v>336283.7448416698</v>
      </c>
    </row>
    <row r="60" spans="2:7" ht="14" x14ac:dyDescent="0.3">
      <c r="B60" s="4" t="s">
        <v>113</v>
      </c>
      <c r="C60" s="5">
        <f>C59*C14</f>
        <v>2656641.5842491915</v>
      </c>
    </row>
    <row r="61" spans="2:7" ht="14" x14ac:dyDescent="0.3">
      <c r="B61" s="4" t="s">
        <v>107</v>
      </c>
      <c r="C61" s="5">
        <f>C60*G46</f>
        <v>1938314.572927892</v>
      </c>
    </row>
    <row r="62" spans="2:7" ht="14" x14ac:dyDescent="0.3">
      <c r="B62" s="4" t="s">
        <v>108</v>
      </c>
      <c r="C62" s="5">
        <f>C58+C61</f>
        <v>2273286.5903007928</v>
      </c>
    </row>
    <row r="63" spans="2:7" ht="14" x14ac:dyDescent="0.3">
      <c r="B63" s="4" t="s">
        <v>109</v>
      </c>
      <c r="C63" s="5">
        <f>C62-C16</f>
        <v>1538048.5903007928</v>
      </c>
    </row>
    <row r="64" spans="2:7" ht="14" x14ac:dyDescent="0.3">
      <c r="B64" s="4" t="s">
        <v>114</v>
      </c>
      <c r="C64" s="24">
        <f>ROUND(C63*1000000/C15,0)</f>
        <v>4053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1.4999999999999999E-2</v>
      </c>
      <c r="D69" s="26">
        <v>0.02</v>
      </c>
      <c r="E69" s="26">
        <v>0.02</v>
      </c>
      <c r="F69" s="26">
        <v>0.02</v>
      </c>
      <c r="G69" s="26">
        <v>1.4999999999999999E-2</v>
      </c>
    </row>
    <row r="70" spans="2:7" ht="14" x14ac:dyDescent="0.3">
      <c r="B70" s="4" t="s">
        <v>121</v>
      </c>
      <c r="C70" s="26">
        <v>0.03</v>
      </c>
      <c r="D70" s="26">
        <v>2.5000000000000001E-2</v>
      </c>
      <c r="E70" s="26">
        <v>2.5000000000000001E-2</v>
      </c>
      <c r="F70" s="26">
        <v>0.02</v>
      </c>
      <c r="G70" s="26">
        <v>0.02</v>
      </c>
    </row>
    <row r="71" spans="2:7" ht="14" x14ac:dyDescent="0.3">
      <c r="B71" s="4" t="s">
        <v>122</v>
      </c>
      <c r="C71" s="26">
        <v>1.4999999999999999E-2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0.79</v>
      </c>
      <c r="D76" s="26">
        <v>0.79</v>
      </c>
      <c r="E76" s="26">
        <v>0.79</v>
      </c>
      <c r="F76" s="26">
        <v>0.79</v>
      </c>
      <c r="G76" s="26">
        <v>0.79</v>
      </c>
    </row>
    <row r="77" spans="2:7" ht="14" x14ac:dyDescent="0.3">
      <c r="B77" s="4" t="s">
        <v>121</v>
      </c>
      <c r="C77" s="26">
        <v>0.78</v>
      </c>
      <c r="D77" s="26">
        <v>0.78</v>
      </c>
      <c r="E77" s="26">
        <v>0.78</v>
      </c>
      <c r="F77" s="26">
        <v>0.78</v>
      </c>
      <c r="G77" s="26">
        <v>0.78</v>
      </c>
    </row>
    <row r="78" spans="2:7" ht="14" x14ac:dyDescent="0.3">
      <c r="B78" s="4" t="s">
        <v>122</v>
      </c>
      <c r="C78" s="26">
        <v>0.79</v>
      </c>
      <c r="D78" s="26">
        <v>0.79</v>
      </c>
      <c r="E78" s="26">
        <v>0.79</v>
      </c>
      <c r="F78" s="26">
        <v>0.79</v>
      </c>
      <c r="G78" s="26">
        <v>0.79</v>
      </c>
    </row>
    <row r="79" spans="2:7" ht="14" x14ac:dyDescent="0.3">
      <c r="B79" s="4" t="s">
        <v>123</v>
      </c>
      <c r="C79" s="26">
        <v>0.79800000000000004</v>
      </c>
      <c r="D79" s="26">
        <v>0.79800000000000004</v>
      </c>
      <c r="E79" s="26">
        <v>0.79800000000000004</v>
      </c>
      <c r="F79" s="26">
        <v>0.79800000000000004</v>
      </c>
      <c r="G79" s="26">
        <v>0.79800000000000004</v>
      </c>
    </row>
    <row r="80" spans="2:7" ht="14" x14ac:dyDescent="0.3">
      <c r="B80" s="4" t="s">
        <v>124</v>
      </c>
      <c r="C80" s="26">
        <v>0.81299999999999994</v>
      </c>
      <c r="D80" s="26">
        <v>0.81299999999999994</v>
      </c>
      <c r="E80" s="26">
        <v>0.81299999999999994</v>
      </c>
      <c r="F80" s="26">
        <v>0.81299999999999994</v>
      </c>
      <c r="G80" s="26">
        <v>0.81299999999999994</v>
      </c>
    </row>
    <row r="82" spans="2:7" ht="14" x14ac:dyDescent="0.3">
      <c r="B82" s="3" t="s">
        <v>92</v>
      </c>
    </row>
    <row r="83" spans="2:7" ht="14" x14ac:dyDescent="0.3">
      <c r="B83" s="4" t="s">
        <v>84</v>
      </c>
      <c r="C83" s="26">
        <v>0.1242</v>
      </c>
      <c r="D83" s="26">
        <v>0.1245</v>
      </c>
      <c r="E83" s="26">
        <v>0.12479999999999999</v>
      </c>
      <c r="F83" s="26">
        <v>0.125</v>
      </c>
      <c r="G83" s="26">
        <v>0.12509999999999999</v>
      </c>
    </row>
    <row r="84" spans="2:7" ht="14" x14ac:dyDescent="0.3">
      <c r="B84" s="4" t="s">
        <v>121</v>
      </c>
      <c r="C84" s="26">
        <v>0.13100000000000001</v>
      </c>
      <c r="D84" s="26">
        <v>0.129</v>
      </c>
      <c r="E84" s="26">
        <v>0.12720000000000001</v>
      </c>
      <c r="F84" s="26">
        <v>0.126</v>
      </c>
      <c r="G84" s="26">
        <v>0.125</v>
      </c>
    </row>
    <row r="85" spans="2:7" ht="14" x14ac:dyDescent="0.3">
      <c r="B85" s="4" t="s">
        <v>122</v>
      </c>
      <c r="C85" s="26">
        <v>0.1242</v>
      </c>
      <c r="D85" s="26">
        <v>0.1245</v>
      </c>
      <c r="E85" s="26">
        <v>0.12479999999999999</v>
      </c>
      <c r="F85" s="26">
        <v>0.125</v>
      </c>
      <c r="G85" s="26">
        <v>0.12509999999999999</v>
      </c>
    </row>
    <row r="86" spans="2:7" ht="14" x14ac:dyDescent="0.3">
      <c r="B86" s="4" t="s">
        <v>123</v>
      </c>
      <c r="C86" s="26">
        <v>0.121</v>
      </c>
      <c r="D86" s="26">
        <v>0.126</v>
      </c>
      <c r="E86" s="26">
        <v>0.13</v>
      </c>
      <c r="F86" s="26">
        <v>0.13400000000000001</v>
      </c>
      <c r="G86" s="26">
        <v>0.1371</v>
      </c>
    </row>
    <row r="87" spans="2:7" ht="14" x14ac:dyDescent="0.3">
      <c r="B87" s="4" t="s">
        <v>124</v>
      </c>
      <c r="C87" s="26">
        <v>0.125</v>
      </c>
      <c r="D87" s="26">
        <v>0.13500000000000001</v>
      </c>
      <c r="E87" s="26">
        <v>0.13900000000000001</v>
      </c>
      <c r="F87" s="26">
        <v>0.13900000000000001</v>
      </c>
      <c r="G87" s="26">
        <v>0.13800000000000001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5719</v>
      </c>
    </row>
    <row r="7" spans="2:9" ht="14" x14ac:dyDescent="0.3">
      <c r="B7" s="4" t="s">
        <v>72</v>
      </c>
      <c r="C7" s="15">
        <f>'DCF Model'!C15</f>
        <v>379504022</v>
      </c>
    </row>
    <row r="8" spans="2:9" ht="14" x14ac:dyDescent="0.3">
      <c r="B8" s="4" t="s">
        <v>129</v>
      </c>
      <c r="C8" s="5">
        <f>C6*C7/1000000</f>
        <v>2170383.5018179999</v>
      </c>
    </row>
    <row r="9" spans="2:9" ht="14" x14ac:dyDescent="0.3">
      <c r="B9" s="4" t="s">
        <v>73</v>
      </c>
      <c r="C9" s="5">
        <f>'DCF Model'!C16</f>
        <v>735238</v>
      </c>
    </row>
    <row r="10" spans="2:9" ht="14" x14ac:dyDescent="0.3">
      <c r="B10" s="4" t="s">
        <v>130</v>
      </c>
      <c r="C10" s="5">
        <f>C8+C9</f>
        <v>2905621.5018179999</v>
      </c>
    </row>
    <row r="11" spans="2:9" ht="14" x14ac:dyDescent="0.3">
      <c r="B11" s="4" t="s">
        <v>131</v>
      </c>
      <c r="C11" s="16">
        <f>'DCF Model'!C26</f>
        <v>6.5078801912160145E-2</v>
      </c>
    </row>
    <row r="12" spans="2:9" ht="14" x14ac:dyDescent="0.3">
      <c r="B12" s="4" t="s">
        <v>132</v>
      </c>
      <c r="C12" s="16">
        <f>'DCF Model'!C13</f>
        <v>0.01</v>
      </c>
    </row>
    <row r="13" spans="2:9" ht="14" x14ac:dyDescent="0.3">
      <c r="B13" s="4" t="s">
        <v>133</v>
      </c>
      <c r="C13" s="16">
        <f>'DCF Model'!C6</f>
        <v>0.25</v>
      </c>
    </row>
    <row r="14" spans="2:9" ht="14" x14ac:dyDescent="0.3">
      <c r="B14" s="4" t="s">
        <v>134</v>
      </c>
      <c r="C14" s="27">
        <v>174810</v>
      </c>
    </row>
    <row r="15" spans="2:9" ht="14" x14ac:dyDescent="0.3">
      <c r="B15" s="4" t="s">
        <v>135</v>
      </c>
      <c r="C15" s="27">
        <v>174810</v>
      </c>
    </row>
    <row r="16" spans="2:9" ht="14" x14ac:dyDescent="0.3">
      <c r="B16" s="4" t="s">
        <v>136</v>
      </c>
      <c r="C16" s="5">
        <f>'DCF Model'!G33</f>
        <v>2219694.6854235628</v>
      </c>
    </row>
    <row r="17" spans="2:9" ht="14" x14ac:dyDescent="0.3">
      <c r="B17" s="4" t="s">
        <v>137</v>
      </c>
      <c r="C17" s="5">
        <f>'DCF Model'!C53</f>
        <v>2041616.9024340934</v>
      </c>
    </row>
    <row r="18" spans="2:9" ht="14" x14ac:dyDescent="0.3">
      <c r="B18" s="4" t="s">
        <v>138</v>
      </c>
      <c r="C18" s="26">
        <v>8.6100491453980743E-2</v>
      </c>
    </row>
    <row r="19" spans="2:9" ht="14" x14ac:dyDescent="0.3">
      <c r="B19" s="4" t="s">
        <v>139</v>
      </c>
      <c r="C19" s="5">
        <f>C10-C17</f>
        <v>864004.59938390646</v>
      </c>
    </row>
    <row r="20" spans="2:9" ht="14" x14ac:dyDescent="0.3">
      <c r="B20" s="4" t="s">
        <v>140</v>
      </c>
      <c r="C20" s="15">
        <f>IFERROR(ROUND(C19*1000000/C7,0),"N/A")</f>
        <v>2277</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160038.15113034687</v>
      </c>
    </row>
    <row r="25" spans="2:9" ht="14" x14ac:dyDescent="0.3">
      <c r="B25" s="4" t="s">
        <v>144</v>
      </c>
      <c r="C25" s="5">
        <f>IFERROR(C24/(1-C13),"N/A")</f>
        <v>213384.20150712915</v>
      </c>
    </row>
    <row r="26" spans="2:9" ht="13.5" x14ac:dyDescent="0.25">
      <c r="B26" s="6" t="s">
        <v>145</v>
      </c>
      <c r="C26" s="14">
        <f>IFERROR(C25/C15,"N/A")</f>
        <v>1.2206635862200628</v>
      </c>
    </row>
    <row r="27" spans="2:9" ht="13.5" x14ac:dyDescent="0.25">
      <c r="B27" s="6" t="s">
        <v>146</v>
      </c>
      <c r="C27" s="14">
        <f>IFERROR(C25/C14,"N/A")</f>
        <v>1.2206635862200628</v>
      </c>
    </row>
    <row r="28" spans="2:9" ht="13.5" x14ac:dyDescent="0.25">
      <c r="B28" s="6" t="s">
        <v>147</v>
      </c>
      <c r="C28" s="7">
        <f>IFERROR(C25/C16,"N/A")</f>
        <v>9.6132230665953555E-2</v>
      </c>
    </row>
    <row r="29" spans="2:9" ht="13.5" x14ac:dyDescent="0.25">
      <c r="B29" s="6" t="s">
        <v>148</v>
      </c>
      <c r="C29" s="5">
        <f>IFERROR(C25/C18,"N/A")</f>
        <v>2478315.7204297655</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4.5078801912160141E-2</v>
      </c>
      <c r="E36" s="29">
        <f>'DCF Model'!C26-0.01</f>
        <v>5.5078801912160143E-2</v>
      </c>
      <c r="F36" s="29">
        <f>'DCF Model'!C26</f>
        <v>6.5078801912160145E-2</v>
      </c>
      <c r="G36" s="29">
        <f>'DCF Model'!C26+0.01</f>
        <v>7.507880191216014E-2</v>
      </c>
      <c r="H36" s="29">
        <f>'DCF Model'!C26+0.02</f>
        <v>8.5078801912160149E-2</v>
      </c>
    </row>
    <row r="37" spans="2:9" ht="14" x14ac:dyDescent="0.3">
      <c r="B37" s="3" t="s">
        <v>154</v>
      </c>
    </row>
    <row r="38" spans="2:9" ht="14" x14ac:dyDescent="0.3">
      <c r="B38" s="4" t="s">
        <v>155</v>
      </c>
      <c r="C38" s="30">
        <v>3</v>
      </c>
      <c r="D38" s="13">
        <f t="shared" ref="D38:H41" si="0">IFERROR((1-(1+D$36)^(-$C38))/D$36-(1+D$36)/(D$36^2*$C38)*(1-($C38+1)/(1+D$36)^$C38+$C38/(1+D$36)^($C38+1)),"N/A")</f>
        <v>0.94310771519591041</v>
      </c>
      <c r="E38" s="13">
        <f t="shared" si="0"/>
        <v>0.93130374045851161</v>
      </c>
      <c r="F38" s="13">
        <f t="shared" si="0"/>
        <v>0.91977471825776935</v>
      </c>
      <c r="G38" s="13">
        <f t="shared" si="0"/>
        <v>0.90851150261778058</v>
      </c>
      <c r="H38" s="13">
        <f t="shared" si="0"/>
        <v>0.89750533853303338</v>
      </c>
    </row>
    <row r="39" spans="2:9" ht="14" x14ac:dyDescent="0.3">
      <c r="B39" s="4" t="s">
        <v>156</v>
      </c>
      <c r="C39" s="30">
        <v>5</v>
      </c>
      <c r="D39" s="13">
        <f t="shared" si="0"/>
        <v>1.8329486778748678</v>
      </c>
      <c r="E39" s="13">
        <f t="shared" si="0"/>
        <v>1.7991923984200207</v>
      </c>
      <c r="F39" s="13">
        <f t="shared" si="0"/>
        <v>1.7665201829498747</v>
      </c>
      <c r="G39" s="13">
        <f t="shared" si="0"/>
        <v>1.7348845871698026</v>
      </c>
      <c r="H39" s="13">
        <f t="shared" si="0"/>
        <v>1.7042407429718289</v>
      </c>
    </row>
    <row r="40" spans="2:9" ht="14" x14ac:dyDescent="0.3">
      <c r="B40" s="4" t="s">
        <v>157</v>
      </c>
      <c r="C40" s="30">
        <v>7</v>
      </c>
      <c r="D40" s="13">
        <f t="shared" si="0"/>
        <v>2.6729025133859499</v>
      </c>
      <c r="E40" s="13">
        <f t="shared" si="0"/>
        <v>2.608515227580618</v>
      </c>
      <c r="F40" s="13">
        <f t="shared" si="0"/>
        <v>2.5467460601595566</v>
      </c>
      <c r="G40" s="13">
        <f t="shared" si="0"/>
        <v>2.4874536780403762</v>
      </c>
      <c r="H40" s="13">
        <f t="shared" si="0"/>
        <v>2.4305060147430515</v>
      </c>
    </row>
    <row r="41" spans="2:9" ht="14" x14ac:dyDescent="0.3">
      <c r="B41" s="4" t="s">
        <v>158</v>
      </c>
      <c r="C41" s="30">
        <v>10</v>
      </c>
      <c r="D41" s="13">
        <f t="shared" si="0"/>
        <v>3.8461293595669233</v>
      </c>
      <c r="E41" s="13">
        <f t="shared" si="0"/>
        <v>3.7223320781267604</v>
      </c>
      <c r="F41" s="13">
        <f t="shared" si="0"/>
        <v>3.6050941451891658</v>
      </c>
      <c r="G41" s="13">
        <f t="shared" si="0"/>
        <v>3.4939643513661673</v>
      </c>
      <c r="H41" s="13">
        <f t="shared" si="0"/>
        <v>3.3885284604723727</v>
      </c>
    </row>
    <row r="42" spans="2:9" ht="14" x14ac:dyDescent="0.3">
      <c r="B42" s="3" t="s">
        <v>159</v>
      </c>
    </row>
    <row r="43" spans="2:9" ht="14" x14ac:dyDescent="0.3">
      <c r="B43" s="4" t="s">
        <v>155</v>
      </c>
      <c r="C43" s="30">
        <v>3</v>
      </c>
      <c r="D43" s="13">
        <f t="shared" ref="D43:H46" si="1">IFERROR((1+D$36)/(D$36^2*$C43)*(1-($C43+1)/(1+D$36)^$C43+$C43/(1+D$36)^($C43+1))+(1+$C$12)/((D$36-$C$12)*(1+D$36)^$C43),"N/A")</f>
        <v>27.030351225432653</v>
      </c>
      <c r="E43" s="13">
        <f t="shared" si="1"/>
        <v>20.842541419398096</v>
      </c>
      <c r="F43" s="13">
        <f t="shared" si="1"/>
        <v>16.905517427104623</v>
      </c>
      <c r="G43" s="13">
        <f t="shared" si="1"/>
        <v>14.181598791356469</v>
      </c>
      <c r="H43" s="13">
        <f t="shared" si="1"/>
        <v>12.185958107202477</v>
      </c>
    </row>
    <row r="44" spans="2:9" ht="14" x14ac:dyDescent="0.3">
      <c r="B44" s="4" t="s">
        <v>156</v>
      </c>
      <c r="C44" s="30">
        <v>5</v>
      </c>
      <c r="D44" s="13">
        <f t="shared" si="1"/>
        <v>25.65178010312821</v>
      </c>
      <c r="E44" s="13">
        <f t="shared" si="1"/>
        <v>19.606763996916712</v>
      </c>
      <c r="F44" s="13">
        <f t="shared" si="1"/>
        <v>15.767415148344725</v>
      </c>
      <c r="G44" s="13">
        <f t="shared" si="1"/>
        <v>13.116535912512653</v>
      </c>
      <c r="H44" s="13">
        <f t="shared" si="1"/>
        <v>11.178886230214937</v>
      </c>
    </row>
    <row r="45" spans="2:9" ht="14" x14ac:dyDescent="0.3">
      <c r="B45" s="4" t="s">
        <v>157</v>
      </c>
      <c r="C45" s="30">
        <v>7</v>
      </c>
      <c r="D45" s="13">
        <f t="shared" si="1"/>
        <v>24.364348912137327</v>
      </c>
      <c r="E45" s="13">
        <f t="shared" si="1"/>
        <v>18.466959990163641</v>
      </c>
      <c r="F45" s="13">
        <f t="shared" si="1"/>
        <v>14.730349841154643</v>
      </c>
      <c r="G45" s="13">
        <f t="shared" si="1"/>
        <v>12.157451036455676</v>
      </c>
      <c r="H45" s="13">
        <f t="shared" si="1"/>
        <v>10.282468799385313</v>
      </c>
    </row>
    <row r="46" spans="2:9" ht="14" x14ac:dyDescent="0.3">
      <c r="B46" s="4" t="s">
        <v>158</v>
      </c>
      <c r="C46" s="30">
        <v>10</v>
      </c>
      <c r="D46" s="13">
        <f t="shared" si="1"/>
        <v>22.589719067496446</v>
      </c>
      <c r="E46" s="13">
        <f t="shared" si="1"/>
        <v>16.919346929478731</v>
      </c>
      <c r="F46" s="13">
        <f t="shared" si="1"/>
        <v>13.34265141876905</v>
      </c>
      <c r="G46" s="13">
        <f t="shared" si="1"/>
        <v>10.892168125474949</v>
      </c>
      <c r="H46" s="13">
        <f t="shared" si="1"/>
        <v>9.1160556598846014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137227.12338419608</v>
      </c>
      <c r="E48" s="5">
        <f t="shared" si="2"/>
        <v>178066.61485630032</v>
      </c>
      <c r="F48" s="5">
        <f t="shared" si="2"/>
        <v>219654.6896560351</v>
      </c>
      <c r="G48" s="5">
        <f t="shared" si="2"/>
        <v>261983.51549162765</v>
      </c>
      <c r="H48" s="5">
        <f t="shared" si="2"/>
        <v>305045.28749347647</v>
      </c>
    </row>
    <row r="49" spans="2:9" ht="14" x14ac:dyDescent="0.3">
      <c r="B49" s="4" t="s">
        <v>156</v>
      </c>
      <c r="C49" s="30">
        <v>5</v>
      </c>
      <c r="D49" s="5">
        <f t="shared" si="2"/>
        <v>138537.9193863945</v>
      </c>
      <c r="E49" s="5">
        <f t="shared" si="2"/>
        <v>181551.89606076622</v>
      </c>
      <c r="F49" s="5">
        <f t="shared" si="2"/>
        <v>226121.81994946877</v>
      </c>
      <c r="G49" s="5">
        <f t="shared" si="2"/>
        <v>272243.13275690138</v>
      </c>
      <c r="H49" s="5">
        <f t="shared" si="2"/>
        <v>319910.55320690328</v>
      </c>
    </row>
    <row r="50" spans="2:9" ht="14" x14ac:dyDescent="0.3">
      <c r="B50" s="4" t="s">
        <v>157</v>
      </c>
      <c r="C50" s="30">
        <v>7</v>
      </c>
      <c r="D50" s="5">
        <f t="shared" si="2"/>
        <v>139831.84719382413</v>
      </c>
      <c r="E50" s="5">
        <f t="shared" si="2"/>
        <v>185096.38063391627</v>
      </c>
      <c r="F50" s="5">
        <f t="shared" si="2"/>
        <v>232782.34126303191</v>
      </c>
      <c r="G50" s="5">
        <f t="shared" si="2"/>
        <v>282898.95757363026</v>
      </c>
      <c r="H50" s="5">
        <f t="shared" si="2"/>
        <v>335453.02332383109</v>
      </c>
    </row>
    <row r="51" spans="2:9" ht="14" x14ac:dyDescent="0.3">
      <c r="B51" s="4" t="s">
        <v>158</v>
      </c>
      <c r="C51" s="30">
        <v>10</v>
      </c>
      <c r="D51" s="5">
        <f t="shared" si="2"/>
        <v>141737.93483271301</v>
      </c>
      <c r="E51" s="5">
        <f t="shared" si="2"/>
        <v>190519.24080062425</v>
      </c>
      <c r="F51" s="5">
        <f t="shared" si="2"/>
        <v>243126.75142964639</v>
      </c>
      <c r="G51" s="5">
        <f t="shared" si="2"/>
        <v>299608.12728635524</v>
      </c>
      <c r="H51" s="5">
        <f t="shared" si="2"/>
        <v>360003.6534101601</v>
      </c>
    </row>
    <row r="52" spans="2:9" ht="14" x14ac:dyDescent="0.3">
      <c r="B52" s="22" t="s">
        <v>161</v>
      </c>
      <c r="C52" s="23"/>
      <c r="D52" s="23"/>
      <c r="E52" s="23"/>
      <c r="F52" s="23"/>
      <c r="G52" s="23"/>
      <c r="H52" s="23"/>
      <c r="I52" s="23"/>
    </row>
    <row r="53" spans="2:9" ht="14" x14ac:dyDescent="0.3">
      <c r="B53" s="4" t="s">
        <v>155</v>
      </c>
      <c r="C53" s="30">
        <v>3</v>
      </c>
      <c r="D53" s="14">
        <f t="shared" ref="D53:H56" si="3">IFERROR(D48/$C$15,"N/A")</f>
        <v>0.78500728438988665</v>
      </c>
      <c r="E53" s="14">
        <f t="shared" si="3"/>
        <v>1.0186294540146463</v>
      </c>
      <c r="F53" s="14">
        <f t="shared" si="3"/>
        <v>1.2565338919743441</v>
      </c>
      <c r="G53" s="14">
        <f t="shared" si="3"/>
        <v>1.4986757936710009</v>
      </c>
      <c r="H53" s="14">
        <f t="shared" si="3"/>
        <v>1.7450105113750727</v>
      </c>
    </row>
    <row r="54" spans="2:9" ht="14" x14ac:dyDescent="0.3">
      <c r="B54" s="4" t="s">
        <v>156</v>
      </c>
      <c r="C54" s="30">
        <v>5</v>
      </c>
      <c r="D54" s="14">
        <f t="shared" si="3"/>
        <v>0.79250568838392821</v>
      </c>
      <c r="E54" s="14">
        <f t="shared" si="3"/>
        <v>1.0385669930825823</v>
      </c>
      <c r="F54" s="14">
        <f t="shared" si="3"/>
        <v>1.2935290884358377</v>
      </c>
      <c r="G54" s="14">
        <f t="shared" si="3"/>
        <v>1.5573658987294856</v>
      </c>
      <c r="H54" s="14">
        <f t="shared" si="3"/>
        <v>1.8300472124415266</v>
      </c>
    </row>
    <row r="55" spans="2:9" ht="14" x14ac:dyDescent="0.3">
      <c r="B55" s="4" t="s">
        <v>157</v>
      </c>
      <c r="C55" s="30">
        <v>7</v>
      </c>
      <c r="D55" s="14">
        <f t="shared" si="3"/>
        <v>0.79990759792817412</v>
      </c>
      <c r="E55" s="14">
        <f t="shared" si="3"/>
        <v>1.0588432048161791</v>
      </c>
      <c r="F55" s="14">
        <f t="shared" si="3"/>
        <v>1.3316305775586745</v>
      </c>
      <c r="G55" s="14">
        <f t="shared" si="3"/>
        <v>1.6183225077148347</v>
      </c>
      <c r="H55" s="14">
        <f t="shared" si="3"/>
        <v>1.9189578589544711</v>
      </c>
    </row>
    <row r="56" spans="2:9" ht="14" x14ac:dyDescent="0.3">
      <c r="B56" s="4" t="s">
        <v>158</v>
      </c>
      <c r="C56" s="30">
        <v>10</v>
      </c>
      <c r="D56" s="14">
        <f t="shared" si="3"/>
        <v>0.81081136566965861</v>
      </c>
      <c r="E56" s="14">
        <f t="shared" si="3"/>
        <v>1.0898646576318531</v>
      </c>
      <c r="F56" s="14">
        <f t="shared" si="3"/>
        <v>1.3908057401158194</v>
      </c>
      <c r="G56" s="14">
        <f t="shared" si="3"/>
        <v>1.7139072552277057</v>
      </c>
      <c r="H56" s="14">
        <f t="shared" si="3"/>
        <v>2.0593996533960306</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226121.81994946877</v>
      </c>
    </row>
    <row r="62" spans="2:9" ht="14" x14ac:dyDescent="0.3">
      <c r="B62" s="28" t="s">
        <v>165</v>
      </c>
      <c r="C62" s="28" t="s">
        <v>166</v>
      </c>
      <c r="D62" s="28" t="s">
        <v>167</v>
      </c>
    </row>
    <row r="63" spans="2:9" ht="14" x14ac:dyDescent="0.3">
      <c r="B63" s="31">
        <v>4.3099999999999999E-2</v>
      </c>
      <c r="C63" s="5">
        <f>IFERROR($C$60/B63,"N/A")</f>
        <v>5246445.9385027559</v>
      </c>
      <c r="D63" s="14">
        <f>IFERROR(C63/'DCF Model'!C17,"N/A")</f>
        <v>2.5840716989407269</v>
      </c>
    </row>
    <row r="64" spans="2:9" ht="14" x14ac:dyDescent="0.3">
      <c r="B64" s="31">
        <v>6.4600000000000005E-2</v>
      </c>
      <c r="C64" s="5">
        <f>IFERROR($C$60/B64,"N/A")</f>
        <v>3500337.7701156153</v>
      </c>
      <c r="D64" s="14">
        <f>IFERROR(C64/'DCF Model'!C17,"N/A")</f>
        <v>1.7240478362901752</v>
      </c>
    </row>
    <row r="65" spans="2:9" ht="14" x14ac:dyDescent="0.3">
      <c r="B65" s="4" t="s">
        <v>168</v>
      </c>
      <c r="C65" s="5">
        <f>IFERROR($C$60/$C$18,"N/A")</f>
        <v>2626254.6953094578</v>
      </c>
      <c r="D65" s="14">
        <f>IFERROR(C65/'DCF Model'!C17,"N/A")</f>
        <v>1.2935290884358375</v>
      </c>
    </row>
    <row r="66" spans="2:9" ht="14" x14ac:dyDescent="0.3">
      <c r="B66" s="31">
        <v>0.1076</v>
      </c>
      <c r="C66" s="5">
        <f>IFERROR($C$60/B66,"N/A")</f>
        <v>2101503.9028761038</v>
      </c>
      <c r="D66" s="14">
        <f>IFERROR(C66/'DCF Model'!C17,"N/A")</f>
        <v>1.0350696117504212</v>
      </c>
    </row>
    <row r="67" spans="2:9" ht="14" x14ac:dyDescent="0.3">
      <c r="B67" s="31">
        <v>0.12920000000000001</v>
      </c>
      <c r="C67" s="5">
        <f>IFERROR($C$60/B67,"N/A")</f>
        <v>1750168.8850578077</v>
      </c>
      <c r="D67" s="14">
        <f>IFERROR(C67/'DCF Model'!C17,"N/A")</f>
        <v>0.86202391814508761</v>
      </c>
    </row>
    <row r="69" spans="2:9" ht="14" x14ac:dyDescent="0.3">
      <c r="B69" s="8" t="s">
        <v>169</v>
      </c>
      <c r="C69" s="9"/>
      <c r="D69" s="9"/>
      <c r="E69" s="9"/>
      <c r="F69" s="9"/>
      <c r="G69" s="9"/>
      <c r="H69" s="9"/>
      <c r="I69" s="9"/>
    </row>
    <row r="70" spans="2:9" ht="13.5" x14ac:dyDescent="0.25">
      <c r="B70" s="6" t="s">
        <v>170</v>
      </c>
      <c r="C70" s="14">
        <f>IFERROR(C10/'Comps Analysis'!G5,"N/A")</f>
        <v>9.3745450908474961</v>
      </c>
    </row>
    <row r="71" spans="2:9" ht="13.5" x14ac:dyDescent="0.25">
      <c r="B71" s="6" t="s">
        <v>171</v>
      </c>
      <c r="C71" s="14">
        <f>IFERROR(C10/'Comps Analysis'!F5,"N/A")</f>
        <v>1.4311277346020443</v>
      </c>
    </row>
    <row r="72" spans="2:9" ht="14" x14ac:dyDescent="0.3">
      <c r="B72" s="4" t="s">
        <v>172</v>
      </c>
      <c r="C72" s="14">
        <f>IFERROR(C10/(C25+'DCF Model'!G42),"N/A")</f>
        <v>8.044002943377933</v>
      </c>
    </row>
    <row r="73" spans="2:9" ht="14" x14ac:dyDescent="0.3">
      <c r="B73" s="4" t="s">
        <v>173</v>
      </c>
      <c r="C73" s="14">
        <f>IFERROR(C10/(C60+'DCF Model'!G42),"N/A")</f>
        <v>7.7700077967137098</v>
      </c>
    </row>
    <row r="74" spans="2:9" ht="14" x14ac:dyDescent="0.3">
      <c r="B74" s="4" t="s">
        <v>174</v>
      </c>
      <c r="C74" s="14">
        <f>IFERROR('Comps Analysis'!D16,"N/A")</f>
        <v>7.8977834794383863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5,719 yen the market is paying for a steady-state operating profit of 226,122 mn JPY - 1.29x the FY2026 cycle peak of 174,810 mn - reached in 5 years and sustained for ever, against 174,810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213,384 mn, or 1.22x the peak. The base case supports an EV of only 2,041,617 mn, leaving 2,277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53.343736547567801</v>
      </c>
      <c r="D5" s="34">
        <f>CHOOSE('DCF Model'!$D$27,D25,D26,D27,D28,D29)</f>
        <v>50</v>
      </c>
      <c r="E5" s="34">
        <f>CHOOSE('DCF Model'!$D$27,E25,E26,E27,E28,E29)</f>
        <v>50</v>
      </c>
      <c r="F5" s="34">
        <f>CHOOSE('DCF Model'!$D$27,F25,F26,F27,F28,F29)</f>
        <v>50</v>
      </c>
      <c r="G5" s="34">
        <f>CHOOSE('DCF Model'!$D$27,G25,G26,G27,G28,G29)</f>
        <v>50</v>
      </c>
      <c r="H5" s="34">
        <f>CHOOSE('DCF Model'!$D$27,H25,H26,H27,H28,H29)</f>
        <v>50</v>
      </c>
    </row>
    <row r="6" spans="2:8" ht="14" x14ac:dyDescent="0.3">
      <c r="B6" s="33" t="s">
        <v>181</v>
      </c>
      <c r="C6" s="34">
        <f>C13/C10*365</f>
        <v>51.029671299013991</v>
      </c>
      <c r="D6" s="34">
        <f>CHOOSE('DCF Model'!$D$27,D32,D33,D34,D35,D36)</f>
        <v>46</v>
      </c>
      <c r="E6" s="34">
        <f>CHOOSE('DCF Model'!$D$27,E32,E33,E34,E35,E36)</f>
        <v>46</v>
      </c>
      <c r="F6" s="34">
        <f>CHOOSE('DCF Model'!$D$27,F32,F33,F34,F35,F36)</f>
        <v>46</v>
      </c>
      <c r="G6" s="34">
        <f>CHOOSE('DCF Model'!$D$27,G32,G33,G34,G35,G36)</f>
        <v>46</v>
      </c>
      <c r="H6" s="34">
        <f>CHOOSE('DCF Model'!$D$27,H32,H33,H34,H35,H36)</f>
        <v>46</v>
      </c>
    </row>
    <row r="7" spans="2:8" ht="14" x14ac:dyDescent="0.3">
      <c r="B7" s="33" t="s">
        <v>182</v>
      </c>
      <c r="C7" s="34">
        <f>C15/C10*365</f>
        <v>21.661881547101459</v>
      </c>
      <c r="D7" s="34">
        <f>CHOOSE('DCF Model'!$D$27,D39,D40,D41,D42,D43)</f>
        <v>19</v>
      </c>
      <c r="E7" s="34">
        <f>CHOOSE('DCF Model'!$D$27,E39,E40,E41,E42,E43)</f>
        <v>19</v>
      </c>
      <c r="F7" s="34">
        <f>CHOOSE('DCF Model'!$D$27,F39,F40,F41,F42,F43)</f>
        <v>19</v>
      </c>
      <c r="G7" s="34">
        <f>CHOOSE('DCF Model'!$D$27,G39,G40,G41,G42,G43)</f>
        <v>19</v>
      </c>
      <c r="H7" s="34">
        <f>CHOOSE('DCF Model'!$D$27,H39,H40,H41,H42,H43)</f>
        <v>19</v>
      </c>
    </row>
    <row r="8" spans="2:8" ht="14" x14ac:dyDescent="0.3">
      <c r="B8" s="8" t="s">
        <v>183</v>
      </c>
      <c r="C8" s="9"/>
      <c r="D8" s="9"/>
      <c r="E8" s="9"/>
      <c r="F8" s="9"/>
      <c r="G8" s="9"/>
      <c r="H8" s="9"/>
    </row>
    <row r="9" spans="2:8" ht="14" x14ac:dyDescent="0.3">
      <c r="B9" s="33" t="s">
        <v>37</v>
      </c>
      <c r="C9" s="35">
        <v>2030302</v>
      </c>
      <c r="D9" s="35">
        <f>'DCF Model'!C33</f>
        <v>2060756.5299999998</v>
      </c>
      <c r="E9" s="35">
        <f>'DCF Model'!D33</f>
        <v>2101971.6605999996</v>
      </c>
      <c r="F9" s="35">
        <f>'DCF Model'!E33</f>
        <v>2144011.0938119995</v>
      </c>
      <c r="G9" s="35">
        <f>'DCF Model'!F33</f>
        <v>2186891.3156882394</v>
      </c>
      <c r="H9" s="35">
        <f>'DCF Model'!G33</f>
        <v>2219694.6854235628</v>
      </c>
    </row>
    <row r="10" spans="2:8" ht="14" x14ac:dyDescent="0.3">
      <c r="B10" s="33" t="s">
        <v>38</v>
      </c>
      <c r="C10" s="35">
        <v>1592785</v>
      </c>
      <c r="D10" s="35">
        <f>'DCF Model'!C34</f>
        <v>1627997.6586999998</v>
      </c>
      <c r="E10" s="35">
        <f>'DCF Model'!D34</f>
        <v>1660557.6118739997</v>
      </c>
      <c r="F10" s="35">
        <f>'DCF Model'!E34</f>
        <v>1693768.7641114797</v>
      </c>
      <c r="G10" s="35">
        <f>'DCF Model'!F34</f>
        <v>1727644.1393937091</v>
      </c>
      <c r="H10" s="35">
        <f>'DCF Model'!G34</f>
        <v>1753558.8014846146</v>
      </c>
    </row>
    <row r="11" spans="2:8" ht="14" x14ac:dyDescent="0.3">
      <c r="B11" s="8" t="s">
        <v>184</v>
      </c>
      <c r="C11" s="9"/>
      <c r="D11" s="9"/>
      <c r="E11" s="9"/>
      <c r="F11" s="9"/>
      <c r="G11" s="9"/>
      <c r="H11" s="9"/>
    </row>
    <row r="12" spans="2:8" ht="14" x14ac:dyDescent="0.3">
      <c r="B12" s="33" t="s">
        <v>185</v>
      </c>
      <c r="C12" s="35">
        <v>296723</v>
      </c>
      <c r="D12" s="35">
        <f t="shared" ref="D12:H13" si="0">D9*D5/365</f>
        <v>282295.41506849311</v>
      </c>
      <c r="E12" s="35">
        <f t="shared" si="0"/>
        <v>287941.32336986298</v>
      </c>
      <c r="F12" s="35">
        <f t="shared" si="0"/>
        <v>293700.14983726019</v>
      </c>
      <c r="G12" s="35">
        <f t="shared" si="0"/>
        <v>299574.15283400536</v>
      </c>
      <c r="H12" s="35">
        <f t="shared" si="0"/>
        <v>304067.76512651547</v>
      </c>
    </row>
    <row r="13" spans="2:8" ht="14" x14ac:dyDescent="0.3">
      <c r="B13" s="33" t="s">
        <v>186</v>
      </c>
      <c r="C13" s="35">
        <v>222683</v>
      </c>
      <c r="D13" s="35">
        <f t="shared" si="0"/>
        <v>205172.30767178079</v>
      </c>
      <c r="E13" s="35">
        <f t="shared" si="0"/>
        <v>209275.75382521638</v>
      </c>
      <c r="F13" s="35">
        <f t="shared" si="0"/>
        <v>213461.26890172073</v>
      </c>
      <c r="G13" s="35">
        <f t="shared" si="0"/>
        <v>217730.49427975513</v>
      </c>
      <c r="H13" s="35">
        <f t="shared" si="0"/>
        <v>220996.45169395144</v>
      </c>
    </row>
    <row r="14" spans="2:8" ht="14" x14ac:dyDescent="0.3">
      <c r="B14" s="33" t="s">
        <v>187</v>
      </c>
      <c r="C14" s="35">
        <f t="shared" ref="C14:H14" si="1">C12+C13</f>
        <v>519406</v>
      </c>
      <c r="D14" s="35">
        <f t="shared" si="1"/>
        <v>487467.72274027392</v>
      </c>
      <c r="E14" s="35">
        <f t="shared" si="1"/>
        <v>497217.07719507936</v>
      </c>
      <c r="F14" s="35">
        <f t="shared" si="1"/>
        <v>507161.41873898089</v>
      </c>
      <c r="G14" s="35">
        <f t="shared" si="1"/>
        <v>517304.64711376047</v>
      </c>
      <c r="H14" s="35">
        <f t="shared" si="1"/>
        <v>525064.21682046691</v>
      </c>
    </row>
    <row r="15" spans="2:8" ht="14" x14ac:dyDescent="0.3">
      <c r="B15" s="33" t="s">
        <v>188</v>
      </c>
      <c r="C15" s="35">
        <v>94528</v>
      </c>
      <c r="D15" s="35">
        <f>D10*D7/365</f>
        <v>84745.083603561623</v>
      </c>
      <c r="E15" s="35">
        <f>E10*E7/365</f>
        <v>86439.985275632862</v>
      </c>
      <c r="F15" s="35">
        <f>F10*F7/365</f>
        <v>88168.784981145509</v>
      </c>
      <c r="G15" s="35">
        <f>G10*G7/365</f>
        <v>89932.160680768429</v>
      </c>
      <c r="H15" s="35">
        <f>H10*H7/365</f>
        <v>91281.143090979938</v>
      </c>
    </row>
    <row r="16" spans="2:8" ht="14" x14ac:dyDescent="0.3">
      <c r="B16" s="33" t="s">
        <v>189</v>
      </c>
      <c r="C16" s="35">
        <f t="shared" ref="C16:H16" si="2">C15</f>
        <v>94528</v>
      </c>
      <c r="D16" s="35">
        <f t="shared" si="2"/>
        <v>84745.083603561623</v>
      </c>
      <c r="E16" s="35">
        <f t="shared" si="2"/>
        <v>86439.985275632862</v>
      </c>
      <c r="F16" s="35">
        <f t="shared" si="2"/>
        <v>88168.784981145509</v>
      </c>
      <c r="G16" s="35">
        <f t="shared" si="2"/>
        <v>89932.160680768429</v>
      </c>
      <c r="H16" s="35">
        <f t="shared" si="2"/>
        <v>91281.143090979938</v>
      </c>
    </row>
    <row r="17" spans="2:8" ht="14" x14ac:dyDescent="0.3">
      <c r="B17" s="22" t="s">
        <v>190</v>
      </c>
      <c r="C17" s="23"/>
      <c r="D17" s="23"/>
      <c r="E17" s="23"/>
      <c r="F17" s="23"/>
      <c r="G17" s="23"/>
      <c r="H17" s="23"/>
    </row>
    <row r="18" spans="2:8" ht="14" x14ac:dyDescent="0.3">
      <c r="B18" s="33" t="s">
        <v>191</v>
      </c>
      <c r="C18" s="20">
        <f t="shared" ref="C18:H18" si="3">C14-C16</f>
        <v>424878</v>
      </c>
      <c r="D18" s="20">
        <f t="shared" si="3"/>
        <v>402722.6391367123</v>
      </c>
      <c r="E18" s="20">
        <f t="shared" si="3"/>
        <v>410777.09191944648</v>
      </c>
      <c r="F18" s="20">
        <f t="shared" si="3"/>
        <v>418992.63375783537</v>
      </c>
      <c r="G18" s="20">
        <f t="shared" si="3"/>
        <v>427372.48643299204</v>
      </c>
      <c r="H18" s="20">
        <f t="shared" si="3"/>
        <v>433783.07372948696</v>
      </c>
    </row>
    <row r="19" spans="2:8" ht="14" x14ac:dyDescent="0.3">
      <c r="B19" s="33" t="s">
        <v>100</v>
      </c>
      <c r="C19" s="36" t="s">
        <v>47</v>
      </c>
      <c r="D19" s="24">
        <f>D18-C18</f>
        <v>-22155.3608632877</v>
      </c>
      <c r="E19" s="24">
        <f>E18-D18</f>
        <v>8054.4527827341808</v>
      </c>
      <c r="F19" s="24">
        <f>F18-E18</f>
        <v>8215.54183838889</v>
      </c>
      <c r="G19" s="24">
        <f>G18-F18</f>
        <v>8379.8526751566678</v>
      </c>
      <c r="H19" s="24">
        <f>H18-G18</f>
        <v>6410.5872964949231</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50</v>
      </c>
      <c r="E25" s="30">
        <v>50</v>
      </c>
      <c r="F25" s="30">
        <v>50</v>
      </c>
      <c r="G25" s="30">
        <v>50</v>
      </c>
      <c r="H25" s="30">
        <v>50</v>
      </c>
    </row>
    <row r="26" spans="2:8" ht="14" x14ac:dyDescent="0.3">
      <c r="B26" s="4" t="s">
        <v>121</v>
      </c>
      <c r="D26" s="30">
        <v>47</v>
      </c>
      <c r="E26" s="30">
        <v>47</v>
      </c>
      <c r="F26" s="30">
        <v>47</v>
      </c>
      <c r="G26" s="30">
        <v>47</v>
      </c>
      <c r="H26" s="30">
        <v>47</v>
      </c>
    </row>
    <row r="27" spans="2:8" ht="14" x14ac:dyDescent="0.3">
      <c r="B27" s="4" t="s">
        <v>122</v>
      </c>
      <c r="D27" s="30">
        <v>50</v>
      </c>
      <c r="E27" s="30">
        <v>50</v>
      </c>
      <c r="F27" s="30">
        <v>50</v>
      </c>
      <c r="G27" s="30">
        <v>50</v>
      </c>
      <c r="H27" s="30">
        <v>50</v>
      </c>
    </row>
    <row r="28" spans="2:8" ht="14" x14ac:dyDescent="0.3">
      <c r="B28" s="4" t="s">
        <v>123</v>
      </c>
      <c r="D28" s="30">
        <v>54</v>
      </c>
      <c r="E28" s="30">
        <v>54</v>
      </c>
      <c r="F28" s="30">
        <v>54</v>
      </c>
      <c r="G28" s="30">
        <v>54</v>
      </c>
      <c r="H28" s="30">
        <v>54</v>
      </c>
    </row>
    <row r="29" spans="2:8" ht="14" x14ac:dyDescent="0.3">
      <c r="B29" s="4" t="s">
        <v>124</v>
      </c>
      <c r="D29" s="30">
        <v>58</v>
      </c>
      <c r="E29" s="30">
        <v>58</v>
      </c>
      <c r="F29" s="30">
        <v>58</v>
      </c>
      <c r="G29" s="30">
        <v>58</v>
      </c>
      <c r="H29" s="30">
        <v>58</v>
      </c>
    </row>
    <row r="31" spans="2:8" ht="14" x14ac:dyDescent="0.3">
      <c r="B31" s="3" t="s">
        <v>194</v>
      </c>
    </row>
    <row r="32" spans="2:8" ht="14" x14ac:dyDescent="0.3">
      <c r="B32" s="4" t="s">
        <v>84</v>
      </c>
      <c r="D32" s="30">
        <v>46</v>
      </c>
      <c r="E32" s="30">
        <v>46</v>
      </c>
      <c r="F32" s="30">
        <v>46</v>
      </c>
      <c r="G32" s="30">
        <v>46</v>
      </c>
      <c r="H32" s="30">
        <v>46</v>
      </c>
    </row>
    <row r="33" spans="2:8" ht="14" x14ac:dyDescent="0.3">
      <c r="B33" s="4" t="s">
        <v>121</v>
      </c>
      <c r="D33" s="30">
        <v>40</v>
      </c>
      <c r="E33" s="30">
        <v>40</v>
      </c>
      <c r="F33" s="30">
        <v>40</v>
      </c>
      <c r="G33" s="30">
        <v>40</v>
      </c>
      <c r="H33" s="30">
        <v>40</v>
      </c>
    </row>
    <row r="34" spans="2:8" ht="14" x14ac:dyDescent="0.3">
      <c r="B34" s="4" t="s">
        <v>122</v>
      </c>
      <c r="D34" s="30">
        <v>46</v>
      </c>
      <c r="E34" s="30">
        <v>46</v>
      </c>
      <c r="F34" s="30">
        <v>46</v>
      </c>
      <c r="G34" s="30">
        <v>46</v>
      </c>
      <c r="H34" s="30">
        <v>46</v>
      </c>
    </row>
    <row r="35" spans="2:8" ht="14" x14ac:dyDescent="0.3">
      <c r="B35" s="4" t="s">
        <v>123</v>
      </c>
      <c r="D35" s="30">
        <v>53</v>
      </c>
      <c r="E35" s="30">
        <v>53</v>
      </c>
      <c r="F35" s="30">
        <v>53</v>
      </c>
      <c r="G35" s="30">
        <v>53</v>
      </c>
      <c r="H35" s="30">
        <v>53</v>
      </c>
    </row>
    <row r="36" spans="2:8" ht="14" x14ac:dyDescent="0.3">
      <c r="B36" s="4" t="s">
        <v>124</v>
      </c>
      <c r="D36" s="30">
        <v>60</v>
      </c>
      <c r="E36" s="30">
        <v>60</v>
      </c>
      <c r="F36" s="30">
        <v>60</v>
      </c>
      <c r="G36" s="30">
        <v>60</v>
      </c>
      <c r="H36" s="30">
        <v>60</v>
      </c>
    </row>
    <row r="38" spans="2:8" ht="14" x14ac:dyDescent="0.3">
      <c r="B38" s="3" t="s">
        <v>195</v>
      </c>
    </row>
    <row r="39" spans="2:8" ht="14" x14ac:dyDescent="0.3">
      <c r="B39" s="4" t="s">
        <v>84</v>
      </c>
      <c r="D39" s="30">
        <v>19</v>
      </c>
      <c r="E39" s="30">
        <v>19</v>
      </c>
      <c r="F39" s="30">
        <v>19</v>
      </c>
      <c r="G39" s="30">
        <v>19</v>
      </c>
      <c r="H39" s="30">
        <v>19</v>
      </c>
    </row>
    <row r="40" spans="2:8" ht="14" x14ac:dyDescent="0.3">
      <c r="B40" s="4" t="s">
        <v>121</v>
      </c>
      <c r="D40" s="30">
        <v>21</v>
      </c>
      <c r="E40" s="30">
        <v>21</v>
      </c>
      <c r="F40" s="30">
        <v>21</v>
      </c>
      <c r="G40" s="30">
        <v>21</v>
      </c>
      <c r="H40" s="30">
        <v>21</v>
      </c>
    </row>
    <row r="41" spans="2:8" ht="14" x14ac:dyDescent="0.3">
      <c r="B41" s="4" t="s">
        <v>122</v>
      </c>
      <c r="D41" s="30">
        <v>19</v>
      </c>
      <c r="E41" s="30">
        <v>19</v>
      </c>
      <c r="F41" s="30">
        <v>19</v>
      </c>
      <c r="G41" s="30">
        <v>19</v>
      </c>
      <c r="H41" s="30">
        <v>19</v>
      </c>
    </row>
    <row r="42" spans="2:8" ht="14" x14ac:dyDescent="0.3">
      <c r="B42" s="4" t="s">
        <v>123</v>
      </c>
      <c r="D42" s="30">
        <v>16</v>
      </c>
      <c r="E42" s="30">
        <v>16</v>
      </c>
      <c r="F42" s="30">
        <v>16</v>
      </c>
      <c r="G42" s="30">
        <v>16</v>
      </c>
      <c r="H42" s="30">
        <v>16</v>
      </c>
    </row>
    <row r="43" spans="2:8" ht="14" x14ac:dyDescent="0.3">
      <c r="B43" s="4" t="s">
        <v>124</v>
      </c>
      <c r="D43" s="30">
        <v>13</v>
      </c>
      <c r="E43" s="30">
        <v>13</v>
      </c>
      <c r="F43" s="30">
        <v>13</v>
      </c>
      <c r="G43" s="30">
        <v>13</v>
      </c>
      <c r="H43" s="30">
        <v>13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2170383.5018179999</v>
      </c>
      <c r="E5" s="37">
        <f>D5+C24</f>
        <v>2905621.5018179999</v>
      </c>
      <c r="F5" s="37">
        <v>2030302</v>
      </c>
      <c r="G5" s="37">
        <v>309948</v>
      </c>
      <c r="H5" s="37">
        <v>174810</v>
      </c>
      <c r="I5" s="37">
        <v>152751</v>
      </c>
      <c r="J5" s="38">
        <f t="shared" ref="J5:J10" si="0">IFERROR(E5/G5,"")</f>
        <v>9.3745450908474961</v>
      </c>
      <c r="K5" s="38">
        <f t="shared" ref="K5:K10" si="1">IFERROR(E5/F5,"")</f>
        <v>1.4311277346020443</v>
      </c>
      <c r="L5" s="38">
        <f t="shared" ref="L5:L10" si="2">IFERROR(D5/I5,"")</f>
        <v>14.208636943902167</v>
      </c>
      <c r="M5" s="38">
        <f t="shared" ref="M5:M10" si="3">IFERROR(D5/P5,"")</f>
        <v>1.2017347890126586</v>
      </c>
      <c r="N5" s="39">
        <f t="shared" ref="N5:N10" si="4">IFERROR(H5/F5,"")</f>
        <v>8.6100491453980743E-2</v>
      </c>
      <c r="O5" s="39">
        <f t="shared" ref="O5:O10" si="5">IFERROR(I5/P5,"")</f>
        <v>8.4577767294448297E-2</v>
      </c>
      <c r="P5" s="37">
        <v>1806042</v>
      </c>
    </row>
    <row r="6" spans="2:17" ht="14" x14ac:dyDescent="0.3">
      <c r="B6" s="4" t="s">
        <v>214</v>
      </c>
      <c r="C6" t="s">
        <v>215</v>
      </c>
      <c r="D6" s="37">
        <v>2013078</v>
      </c>
      <c r="E6" s="37">
        <v>3035645</v>
      </c>
      <c r="F6" s="37">
        <v>2834749</v>
      </c>
      <c r="G6" s="37">
        <v>461976</v>
      </c>
      <c r="H6" s="37">
        <v>197677</v>
      </c>
      <c r="I6" s="37">
        <v>226857</v>
      </c>
      <c r="J6" s="38">
        <f t="shared" si="0"/>
        <v>6.571001523888687</v>
      </c>
      <c r="K6" s="38">
        <f t="shared" si="1"/>
        <v>1.07086906107031</v>
      </c>
      <c r="L6" s="38">
        <f t="shared" si="2"/>
        <v>8.87377510943017</v>
      </c>
      <c r="M6" s="38">
        <f t="shared" si="3"/>
        <v>1.1721169253414321</v>
      </c>
      <c r="N6" s="39">
        <f t="shared" si="4"/>
        <v>6.9733510797605008E-2</v>
      </c>
      <c r="O6" s="39">
        <f t="shared" si="5"/>
        <v>0.13208774291516834</v>
      </c>
      <c r="P6" s="37">
        <v>1717472</v>
      </c>
    </row>
    <row r="7" spans="2:17" ht="14" x14ac:dyDescent="0.3">
      <c r="B7" s="4" t="s">
        <v>216</v>
      </c>
      <c r="C7" t="s">
        <v>217</v>
      </c>
      <c r="D7" s="37">
        <v>443637</v>
      </c>
      <c r="E7" s="37">
        <v>554069</v>
      </c>
      <c r="F7" s="37">
        <v>651085</v>
      </c>
      <c r="G7" s="37">
        <v>70155</v>
      </c>
      <c r="H7" s="37">
        <v>31784</v>
      </c>
      <c r="I7" s="37">
        <v>31449</v>
      </c>
      <c r="J7" s="38">
        <f t="shared" si="0"/>
        <v>7.8977834794383863</v>
      </c>
      <c r="K7" s="38">
        <f t="shared" si="1"/>
        <v>0.85099334188316422</v>
      </c>
      <c r="L7" s="38">
        <f t="shared" si="2"/>
        <v>14.10655346751884</v>
      </c>
      <c r="M7" s="38">
        <f t="shared" si="3"/>
        <v>0.92904770081965493</v>
      </c>
      <c r="N7" s="39">
        <f t="shared" si="4"/>
        <v>4.8816974742161165E-2</v>
      </c>
      <c r="O7" s="39">
        <f t="shared" si="5"/>
        <v>6.5859297450567303E-2</v>
      </c>
      <c r="P7" s="37">
        <v>477518</v>
      </c>
    </row>
    <row r="8" spans="2:17" ht="14" x14ac:dyDescent="0.3">
      <c r="B8" s="4" t="s">
        <v>218</v>
      </c>
      <c r="C8" t="s">
        <v>219</v>
      </c>
      <c r="D8" s="37">
        <v>90087</v>
      </c>
      <c r="E8" s="37">
        <v>314295</v>
      </c>
      <c r="F8" s="37">
        <v>261823</v>
      </c>
      <c r="G8" s="37">
        <v>28151</v>
      </c>
      <c r="H8" s="37">
        <v>12464</v>
      </c>
      <c r="I8" s="37">
        <v>7147</v>
      </c>
      <c r="J8" s="38">
        <f t="shared" si="0"/>
        <v>11.164612269546375</v>
      </c>
      <c r="K8" s="38">
        <f t="shared" si="1"/>
        <v>1.2004102007844994</v>
      </c>
      <c r="L8" s="38">
        <f t="shared" si="2"/>
        <v>12.60486917587799</v>
      </c>
      <c r="M8" s="38">
        <f t="shared" si="3"/>
        <v>0.78172020617483207</v>
      </c>
      <c r="N8" s="39">
        <f t="shared" si="4"/>
        <v>4.7604679497217584E-2</v>
      </c>
      <c r="O8" s="39">
        <f t="shared" si="5"/>
        <v>6.2017320074278473E-2</v>
      </c>
      <c r="P8" s="37">
        <v>115242</v>
      </c>
    </row>
    <row r="9" spans="2:17" ht="14" x14ac:dyDescent="0.3">
      <c r="B9" s="4" t="s">
        <v>220</v>
      </c>
      <c r="C9" t="s">
        <v>221</v>
      </c>
      <c r="D9" s="37">
        <v>2210282</v>
      </c>
      <c r="E9" s="37">
        <v>4808549</v>
      </c>
      <c r="F9" s="37">
        <v>3546041</v>
      </c>
      <c r="G9" s="37">
        <v>402347</v>
      </c>
      <c r="H9" s="37">
        <v>230043</v>
      </c>
      <c r="I9" s="37">
        <v>227795</v>
      </c>
      <c r="J9" s="38">
        <f t="shared" si="0"/>
        <v>11.951248549137933</v>
      </c>
      <c r="K9" s="38">
        <f t="shared" si="1"/>
        <v>1.356033108472237</v>
      </c>
      <c r="L9" s="38">
        <f t="shared" si="2"/>
        <v>9.7029434359841087</v>
      </c>
      <c r="M9" s="38">
        <f t="shared" si="3"/>
        <v>0.70430264452613167</v>
      </c>
      <c r="N9" s="39">
        <f t="shared" si="4"/>
        <v>6.4873192385536432E-2</v>
      </c>
      <c r="O9" s="39">
        <f t="shared" si="5"/>
        <v>7.2586493899796573E-2</v>
      </c>
      <c r="P9" s="37">
        <v>3138256</v>
      </c>
    </row>
    <row r="10" spans="2:17" ht="14" x14ac:dyDescent="0.3">
      <c r="B10" s="4" t="s">
        <v>222</v>
      </c>
      <c r="C10" t="s">
        <v>223</v>
      </c>
      <c r="D10" s="37">
        <v>3283125</v>
      </c>
      <c r="E10" s="37">
        <v>6220549</v>
      </c>
      <c r="F10" s="37">
        <v>4056637</v>
      </c>
      <c r="G10" s="37">
        <v>812350</v>
      </c>
      <c r="H10" s="37">
        <v>437557</v>
      </c>
      <c r="I10" s="37">
        <v>380051</v>
      </c>
      <c r="J10" s="38">
        <f t="shared" si="0"/>
        <v>7.6574739951991138</v>
      </c>
      <c r="K10" s="38">
        <f t="shared" si="1"/>
        <v>1.5334251006437105</v>
      </c>
      <c r="L10" s="38">
        <f t="shared" si="2"/>
        <v>8.6386432347237605</v>
      </c>
      <c r="M10" s="38">
        <f t="shared" si="3"/>
        <v>0.95020650214027091</v>
      </c>
      <c r="N10" s="39">
        <f t="shared" si="4"/>
        <v>0.10786200490702028</v>
      </c>
      <c r="O10" s="39">
        <f t="shared" si="5"/>
        <v>0.1099948772419302</v>
      </c>
      <c r="P10" s="37">
        <v>3455170</v>
      </c>
    </row>
    <row r="14" spans="2:17" ht="14" x14ac:dyDescent="0.3">
      <c r="B14" s="3" t="s">
        <v>224</v>
      </c>
    </row>
    <row r="15" spans="2:17" ht="14" x14ac:dyDescent="0.3">
      <c r="B15" s="4" t="s">
        <v>225</v>
      </c>
      <c r="D15" s="38">
        <f t="shared" ref="D15:I15" si="6">PERCENTILE(J6:J10,0.25)</f>
        <v>7.6574739951991138</v>
      </c>
      <c r="E15" s="38">
        <f t="shared" si="6"/>
        <v>1.07086906107031</v>
      </c>
      <c r="F15" s="38">
        <f t="shared" si="6"/>
        <v>8.87377510943017</v>
      </c>
      <c r="G15" s="38">
        <f t="shared" si="6"/>
        <v>0.78172020617483207</v>
      </c>
      <c r="H15" s="39">
        <f t="shared" si="6"/>
        <v>4.8816974742161165E-2</v>
      </c>
      <c r="I15" s="39">
        <f t="shared" si="6"/>
        <v>6.5859297450567303E-2</v>
      </c>
    </row>
    <row r="16" spans="2:17" ht="14" x14ac:dyDescent="0.3">
      <c r="B16" s="4" t="s">
        <v>226</v>
      </c>
      <c r="D16" s="38">
        <f t="shared" ref="D16:I16" si="7">MEDIAN(J6:J10)</f>
        <v>7.8977834794383863</v>
      </c>
      <c r="E16" s="38">
        <f t="shared" si="7"/>
        <v>1.2004102007844994</v>
      </c>
      <c r="F16" s="38">
        <f t="shared" si="7"/>
        <v>9.7029434359841087</v>
      </c>
      <c r="G16" s="38">
        <f t="shared" si="7"/>
        <v>0.92904770081965493</v>
      </c>
      <c r="H16" s="39">
        <f t="shared" si="7"/>
        <v>6.4873192385536432E-2</v>
      </c>
      <c r="I16" s="39">
        <f t="shared" si="7"/>
        <v>7.2586493899796573E-2</v>
      </c>
    </row>
    <row r="17" spans="2:9" ht="14" x14ac:dyDescent="0.3">
      <c r="B17" s="4" t="s">
        <v>227</v>
      </c>
      <c r="D17" s="38">
        <f t="shared" ref="D17:I17" si="8">PERCENTILE(J6:J10,0.75)</f>
        <v>11.164612269546375</v>
      </c>
      <c r="E17" s="38">
        <f t="shared" si="8"/>
        <v>1.356033108472237</v>
      </c>
      <c r="F17" s="38">
        <f t="shared" si="8"/>
        <v>12.60486917587799</v>
      </c>
      <c r="G17" s="38">
        <f t="shared" si="8"/>
        <v>0.95020650214027091</v>
      </c>
      <c r="H17" s="39">
        <f t="shared" si="8"/>
        <v>6.9733510797605008E-2</v>
      </c>
      <c r="I17" s="39">
        <f t="shared" si="8"/>
        <v>0.1099948772419302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309948</v>
      </c>
    </row>
    <row r="22" spans="2:9" ht="14" x14ac:dyDescent="0.3">
      <c r="B22" s="4" t="s">
        <v>231</v>
      </c>
      <c r="C22" s="5">
        <v>152751</v>
      </c>
    </row>
    <row r="23" spans="2:9" ht="14" x14ac:dyDescent="0.3">
      <c r="B23" s="4" t="s">
        <v>232</v>
      </c>
      <c r="C23" s="15">
        <v>379504022</v>
      </c>
    </row>
    <row r="24" spans="2:9" ht="14" x14ac:dyDescent="0.3">
      <c r="B24" s="4" t="s">
        <v>73</v>
      </c>
      <c r="C24" s="5">
        <v>735238</v>
      </c>
    </row>
    <row r="26" spans="2:9" ht="14" x14ac:dyDescent="0.3">
      <c r="B26" s="3" t="s">
        <v>233</v>
      </c>
    </row>
    <row r="27" spans="2:9" ht="14" x14ac:dyDescent="0.3">
      <c r="B27" s="4" t="s">
        <v>234</v>
      </c>
      <c r="C27" s="24">
        <f>ROUND((C21*D16-C24)*1000000/C23,0)</f>
        <v>4513</v>
      </c>
    </row>
    <row r="28" spans="2:9" ht="14" x14ac:dyDescent="0.3">
      <c r="B28" s="4" t="s">
        <v>235</v>
      </c>
      <c r="C28" s="24">
        <f>ROUND(C22*F16*1000000/C23,0)</f>
        <v>3905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6.5078801912160145E-2</v>
      </c>
      <c r="E3" s="4" t="s">
        <v>238</v>
      </c>
      <c r="F3" s="16">
        <f>'DCF Model'!C13</f>
        <v>0.01</v>
      </c>
      <c r="H3" s="4" t="s">
        <v>239</v>
      </c>
      <c r="I3" s="14">
        <f>'DCF Model'!C14</f>
        <v>7.9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5.0078801912160145E-2</v>
      </c>
      <c r="C7" s="37">
        <f>IFERROR(ROUND(('DCF Model'!C45/(1+$B7)^('DCF Model'!C19+0)+'DCF Model'!D45/(1+$B7)^('DCF Model'!C19+1)+'DCF Model'!E45/(1+$B7)^('DCF Model'!C19+2)+'DCF Model'!F45/(1+$B7)^('DCF Model'!C19+3)+'DCF Model'!G45/(1+$B7)^('DCF Model'!C19+4)+'DCF Model'!G45*(1+C$6)/($B7-C$6)/(1+$B7)^('DCF Model'!C19+4)-'DCF Model'!C16)*1000000/'DCF Model'!C15,0),"")</f>
        <v>4535</v>
      </c>
      <c r="D7" s="37">
        <f>IFERROR(ROUND(('DCF Model'!C45/(1+$B7)^('DCF Model'!C19+0)+'DCF Model'!D45/(1+$B7)^('DCF Model'!C19+1)+'DCF Model'!E45/(1+$B7)^('DCF Model'!C19+2)+'DCF Model'!F45/(1+$B7)^('DCF Model'!C19+3)+'DCF Model'!G45/(1+$B7)^('DCF Model'!C19+4)+'DCF Model'!G45*(1+D$6)/($B7-D$6)/(1+$B7)^('DCF Model'!C19+4)-'DCF Model'!C16)*1000000/'DCF Model'!C15,0),"")</f>
        <v>4857</v>
      </c>
      <c r="E7" s="37">
        <f>IFERROR(ROUND(('DCF Model'!C45/(1+$B7)^('DCF Model'!C19+0)+'DCF Model'!D45/(1+$B7)^('DCF Model'!C19+1)+'DCF Model'!E45/(1+$B7)^('DCF Model'!C19+2)+'DCF Model'!F45/(1+$B7)^('DCF Model'!C19+3)+'DCF Model'!G45/(1+$B7)^('DCF Model'!C19+4)+'DCF Model'!G45*(1+E$6)/($B7-E$6)/(1+$B7)^('DCF Model'!C19+4)-'DCF Model'!C16)*1000000/'DCF Model'!C15,0),"")</f>
        <v>5218</v>
      </c>
      <c r="F7" s="37">
        <f>IFERROR(ROUND(('DCF Model'!C45/(1+$B7)^('DCF Model'!C19+0)+'DCF Model'!D45/(1+$B7)^('DCF Model'!C19+1)+'DCF Model'!E45/(1+$B7)^('DCF Model'!C19+2)+'DCF Model'!F45/(1+$B7)^('DCF Model'!C19+3)+'DCF Model'!G45/(1+$B7)^('DCF Model'!C19+4)+'DCF Model'!G45*(1+F$6)/($B7-F$6)/(1+$B7)^('DCF Model'!C19+4)-'DCF Model'!C16)*1000000/'DCF Model'!C15,0),"")</f>
        <v>5623</v>
      </c>
      <c r="G7" s="37">
        <f>IFERROR(ROUND(('DCF Model'!C45/(1+$B7)^('DCF Model'!C19+0)+'DCF Model'!D45/(1+$B7)^('DCF Model'!C19+1)+'DCF Model'!E45/(1+$B7)^('DCF Model'!C19+2)+'DCF Model'!F45/(1+$B7)^('DCF Model'!C19+3)+'DCF Model'!G45/(1+$B7)^('DCF Model'!C19+4)+'DCF Model'!G45*(1+G$6)/($B7-G$6)/(1+$B7)^('DCF Model'!C19+4)-'DCF Model'!C16)*1000000/'DCF Model'!C15,0),"")</f>
        <v>6081</v>
      </c>
      <c r="H7" s="37">
        <f>IFERROR(ROUND(('DCF Model'!C45/(1+$B7)^('DCF Model'!C19+0)+'DCF Model'!D45/(1+$B7)^('DCF Model'!C19+1)+'DCF Model'!E45/(1+$B7)^('DCF Model'!C19+2)+'DCF Model'!F45/(1+$B7)^('DCF Model'!C19+3)+'DCF Model'!G45/(1+$B7)^('DCF Model'!C19+4)+'DCF Model'!G45*(1+H$6)/($B7-H$6)/(1+$B7)^('DCF Model'!C19+4)-'DCF Model'!C16)*1000000/'DCF Model'!C15,0),"")</f>
        <v>6606</v>
      </c>
      <c r="I7" s="37">
        <f>IFERROR(ROUND(('DCF Model'!C45/(1+$B7)^('DCF Model'!C19+0)+'DCF Model'!D45/(1+$B7)^('DCF Model'!C19+1)+'DCF Model'!E45/(1+$B7)^('DCF Model'!C19+2)+'DCF Model'!F45/(1+$B7)^('DCF Model'!C19+3)+'DCF Model'!G45/(1+$B7)^('DCF Model'!C19+4)+'DCF Model'!G45*(1+I$6)/($B7-I$6)/(1+$B7)^('DCF Model'!C19+4)-'DCF Model'!C16)*1000000/'DCF Model'!C15,0),"")</f>
        <v>7210</v>
      </c>
    </row>
    <row r="8" spans="2:9" ht="13.5" x14ac:dyDescent="0.25">
      <c r="B8" s="39">
        <f>$C$3-0.01</f>
        <v>5.5078801912160143E-2</v>
      </c>
      <c r="C8" s="37">
        <f>IFERROR(ROUND(('DCF Model'!C45/(1+$B8)^('DCF Model'!C19+0)+'DCF Model'!D45/(1+$B8)^('DCF Model'!C19+1)+'DCF Model'!E45/(1+$B8)^('DCF Model'!C19+2)+'DCF Model'!F45/(1+$B8)^('DCF Model'!C19+3)+'DCF Model'!G45/(1+$B8)^('DCF Model'!C19+4)+'DCF Model'!G45*(1+C$6)/($B8-C$6)/(1+$B8)^('DCF Model'!C19+4)-'DCF Model'!C16)*1000000/'DCF Model'!C15,0),"")</f>
        <v>3875</v>
      </c>
      <c r="D8" s="37">
        <f>IFERROR(ROUND(('DCF Model'!C45/(1+$B8)^('DCF Model'!C19+0)+'DCF Model'!D45/(1+$B8)^('DCF Model'!C19+1)+'DCF Model'!E45/(1+$B8)^('DCF Model'!C19+2)+'DCF Model'!F45/(1+$B8)^('DCF Model'!C19+3)+'DCF Model'!G45/(1+$B8)^('DCF Model'!C19+4)+'DCF Model'!G45*(1+D$6)/($B8-D$6)/(1+$B8)^('DCF Model'!C19+4)-'DCF Model'!C16)*1000000/'DCF Model'!C15,0),"")</f>
        <v>4133</v>
      </c>
      <c r="E8" s="37">
        <f>IFERROR(ROUND(('DCF Model'!C45/(1+$B8)^('DCF Model'!C19+0)+'DCF Model'!D45/(1+$B8)^('DCF Model'!C19+1)+'DCF Model'!E45/(1+$B8)^('DCF Model'!C19+2)+'DCF Model'!F45/(1+$B8)^('DCF Model'!C19+3)+'DCF Model'!G45/(1+$B8)^('DCF Model'!C19+4)+'DCF Model'!G45*(1+E$6)/($B8-E$6)/(1+$B8)^('DCF Model'!C19+4)-'DCF Model'!C16)*1000000/'DCF Model'!C15,0),"")</f>
        <v>4417</v>
      </c>
      <c r="F8" s="37">
        <f>IFERROR(ROUND(('DCF Model'!C45/(1+$B8)^('DCF Model'!C19+0)+'DCF Model'!D45/(1+$B8)^('DCF Model'!C19+1)+'DCF Model'!E45/(1+$B8)^('DCF Model'!C19+2)+'DCF Model'!F45/(1+$B8)^('DCF Model'!C19+3)+'DCF Model'!G45/(1+$B8)^('DCF Model'!C19+4)+'DCF Model'!G45*(1+F$6)/($B8-F$6)/(1+$B8)^('DCF Model'!C19+4)-'DCF Model'!C16)*1000000/'DCF Model'!C15,0),"")</f>
        <v>4734</v>
      </c>
      <c r="G8" s="37">
        <f>IFERROR(ROUND(('DCF Model'!C45/(1+$B8)^('DCF Model'!C19+0)+'DCF Model'!D45/(1+$B8)^('DCF Model'!C19+1)+'DCF Model'!E45/(1+$B8)^('DCF Model'!C19+2)+'DCF Model'!F45/(1+$B8)^('DCF Model'!C19+3)+'DCF Model'!G45/(1+$B8)^('DCF Model'!C19+4)+'DCF Model'!G45*(1+G$6)/($B8-G$6)/(1+$B8)^('DCF Model'!C19+4)-'DCF Model'!C16)*1000000/'DCF Model'!C15,0),"")</f>
        <v>5087</v>
      </c>
      <c r="H8" s="37">
        <f>IFERROR(ROUND(('DCF Model'!C45/(1+$B8)^('DCF Model'!C19+0)+'DCF Model'!D45/(1+$B8)^('DCF Model'!C19+1)+'DCF Model'!E45/(1+$B8)^('DCF Model'!C19+2)+'DCF Model'!F45/(1+$B8)^('DCF Model'!C19+3)+'DCF Model'!G45/(1+$B8)^('DCF Model'!C19+4)+'DCF Model'!G45*(1+H$6)/($B8-H$6)/(1+$B8)^('DCF Model'!C19+4)-'DCF Model'!C16)*1000000/'DCF Model'!C15,0),"")</f>
        <v>5484</v>
      </c>
      <c r="I8" s="37">
        <f>IFERROR(ROUND(('DCF Model'!C45/(1+$B8)^('DCF Model'!C19+0)+'DCF Model'!D45/(1+$B8)^('DCF Model'!C19+1)+'DCF Model'!E45/(1+$B8)^('DCF Model'!C19+2)+'DCF Model'!F45/(1+$B8)^('DCF Model'!C19+3)+'DCF Model'!G45/(1+$B8)^('DCF Model'!C19+4)+'DCF Model'!G45*(1+I$6)/($B8-I$6)/(1+$B8)^('DCF Model'!C19+4)-'DCF Model'!C16)*1000000/'DCF Model'!C15,0),"")</f>
        <v>5934</v>
      </c>
    </row>
    <row r="9" spans="2:9" ht="13.5" x14ac:dyDescent="0.25">
      <c r="B9" s="39">
        <f>$C$3-0.005</f>
        <v>6.0078801912160147E-2</v>
      </c>
      <c r="C9" s="37">
        <f>IFERROR(ROUND(('DCF Model'!C45/(1+$B9)^('DCF Model'!C19+0)+'DCF Model'!D45/(1+$B9)^('DCF Model'!C19+1)+'DCF Model'!E45/(1+$B9)^('DCF Model'!C19+2)+'DCF Model'!F45/(1+$B9)^('DCF Model'!C19+3)+'DCF Model'!G45/(1+$B9)^('DCF Model'!C19+4)+'DCF Model'!G45*(1+C$6)/($B9-C$6)/(1+$B9)^('DCF Model'!C19+4)-'DCF Model'!C16)*1000000/'DCF Model'!C15,0),"")</f>
        <v>3331</v>
      </c>
      <c r="D9" s="37">
        <f>IFERROR(ROUND(('DCF Model'!C45/(1+$B9)^('DCF Model'!C19+0)+'DCF Model'!D45/(1+$B9)^('DCF Model'!C19+1)+'DCF Model'!E45/(1+$B9)^('DCF Model'!C19+2)+'DCF Model'!F45/(1+$B9)^('DCF Model'!C19+3)+'DCF Model'!G45/(1+$B9)^('DCF Model'!C19+4)+'DCF Model'!G45*(1+D$6)/($B9-D$6)/(1+$B9)^('DCF Model'!C19+4)-'DCF Model'!C16)*1000000/'DCF Model'!C15,0),"")</f>
        <v>3541</v>
      </c>
      <c r="E9" s="37">
        <f>IFERROR(ROUND(('DCF Model'!C45/(1+$B9)^('DCF Model'!C19+0)+'DCF Model'!D45/(1+$B9)^('DCF Model'!C19+1)+'DCF Model'!E45/(1+$B9)^('DCF Model'!C19+2)+'DCF Model'!F45/(1+$B9)^('DCF Model'!C19+3)+'DCF Model'!G45/(1+$B9)^('DCF Model'!C19+4)+'DCF Model'!G45*(1+E$6)/($B9-E$6)/(1+$B9)^('DCF Model'!C19+4)-'DCF Model'!C16)*1000000/'DCF Model'!C15,0),"")</f>
        <v>3770</v>
      </c>
      <c r="F9" s="37">
        <f>IFERROR(ROUND(('DCF Model'!C45/(1+$B9)^('DCF Model'!C19+0)+'DCF Model'!D45/(1+$B9)^('DCF Model'!C19+1)+'DCF Model'!E45/(1+$B9)^('DCF Model'!C19+2)+'DCF Model'!F45/(1+$B9)^('DCF Model'!C19+3)+'DCF Model'!G45/(1+$B9)^('DCF Model'!C19+4)+'DCF Model'!G45*(1+F$6)/($B9-F$6)/(1+$B9)^('DCF Model'!C19+4)-'DCF Model'!C16)*1000000/'DCF Model'!C15,0),"")</f>
        <v>4023</v>
      </c>
      <c r="G9" s="37">
        <f>IFERROR(ROUND(('DCF Model'!C45/(1+$B9)^('DCF Model'!C19+0)+'DCF Model'!D45/(1+$B9)^('DCF Model'!C19+1)+'DCF Model'!E45/(1+$B9)^('DCF Model'!C19+2)+'DCF Model'!F45/(1+$B9)^('DCF Model'!C19+3)+'DCF Model'!G45/(1+$B9)^('DCF Model'!C19+4)+'DCF Model'!G45*(1+G$6)/($B9-G$6)/(1+$B9)^('DCF Model'!C19+4)-'DCF Model'!C16)*1000000/'DCF Model'!C15,0),"")</f>
        <v>4302</v>
      </c>
      <c r="H9" s="37">
        <f>IFERROR(ROUND(('DCF Model'!C45/(1+$B9)^('DCF Model'!C19+0)+'DCF Model'!D45/(1+$B9)^('DCF Model'!C19+1)+'DCF Model'!E45/(1+$B9)^('DCF Model'!C19+2)+'DCF Model'!F45/(1+$B9)^('DCF Model'!C19+3)+'DCF Model'!G45/(1+$B9)^('DCF Model'!C19+4)+'DCF Model'!G45*(1+H$6)/($B9-H$6)/(1+$B9)^('DCF Model'!C19+4)-'DCF Model'!C16)*1000000/'DCF Model'!C15,0),"")</f>
        <v>4613</v>
      </c>
      <c r="I9" s="37">
        <f>IFERROR(ROUND(('DCF Model'!C45/(1+$B9)^('DCF Model'!C19+0)+'DCF Model'!D45/(1+$B9)^('DCF Model'!C19+1)+'DCF Model'!E45/(1+$B9)^('DCF Model'!C19+2)+'DCF Model'!F45/(1+$B9)^('DCF Model'!C19+3)+'DCF Model'!G45/(1+$B9)^('DCF Model'!C19+4)+'DCF Model'!G45*(1+I$6)/($B9-I$6)/(1+$B9)^('DCF Model'!C19+4)-'DCF Model'!C16)*1000000/'DCF Model'!C15,0),"")</f>
        <v>4959</v>
      </c>
    </row>
    <row r="10" spans="2:9" ht="13.5" x14ac:dyDescent="0.25">
      <c r="B10" s="39">
        <f>$C$3</f>
        <v>6.5078801912160145E-2</v>
      </c>
      <c r="C10" s="37">
        <f>IFERROR(ROUND(('DCF Model'!C45/(1+$B10)^('DCF Model'!C19+0)+'DCF Model'!D45/(1+$B10)^('DCF Model'!C19+1)+'DCF Model'!E45/(1+$B10)^('DCF Model'!C19+2)+'DCF Model'!F45/(1+$B10)^('DCF Model'!C19+3)+'DCF Model'!G45/(1+$B10)^('DCF Model'!C19+4)+'DCF Model'!G45*(1+C$6)/($B10-C$6)/(1+$B10)^('DCF Model'!C19+4)-'DCF Model'!C16)*1000000/'DCF Model'!C15,0),"")</f>
        <v>2874</v>
      </c>
      <c r="D10" s="37">
        <f>IFERROR(ROUND(('DCF Model'!C45/(1+$B10)^('DCF Model'!C19+0)+'DCF Model'!D45/(1+$B10)^('DCF Model'!C19+1)+'DCF Model'!E45/(1+$B10)^('DCF Model'!C19+2)+'DCF Model'!F45/(1+$B10)^('DCF Model'!C19+3)+'DCF Model'!G45/(1+$B10)^('DCF Model'!C19+4)+'DCF Model'!G45*(1+D$6)/($B10-D$6)/(1+$B10)^('DCF Model'!C19+4)-'DCF Model'!C16)*1000000/'DCF Model'!C15,0),"")</f>
        <v>3048</v>
      </c>
      <c r="E10" s="37">
        <f>IFERROR(ROUND(('DCF Model'!C45/(1+$B10)^('DCF Model'!C19+0)+'DCF Model'!D45/(1+$B10)^('DCF Model'!C19+1)+'DCF Model'!E45/(1+$B10)^('DCF Model'!C19+2)+'DCF Model'!F45/(1+$B10)^('DCF Model'!C19+3)+'DCF Model'!G45/(1+$B10)^('DCF Model'!C19+4)+'DCF Model'!G45*(1+E$6)/($B10-E$6)/(1+$B10)^('DCF Model'!C19+4)-'DCF Model'!C16)*1000000/'DCF Model'!C15,0),"")</f>
        <v>3236</v>
      </c>
      <c r="F10" s="37">
        <f>IFERROR(ROUND(('DCF Model'!C45/(1+$B10)^('DCF Model'!C19+0)+'DCF Model'!D45/(1+$B10)^('DCF Model'!C19+1)+'DCF Model'!E45/(1+$B10)^('DCF Model'!C19+2)+'DCF Model'!F45/(1+$B10)^('DCF Model'!C19+3)+'DCF Model'!G45/(1+$B10)^('DCF Model'!C19+4)+'DCF Model'!G45*(1+F$6)/($B10-F$6)/(1+$B10)^('DCF Model'!C19+4)-'DCF Model'!C16)*1000000/'DCF Model'!C15,0),"")</f>
        <v>3442</v>
      </c>
      <c r="G10" s="37">
        <f>IFERROR(ROUND(('DCF Model'!C45/(1+$B10)^('DCF Model'!C19+0)+'DCF Model'!D45/(1+$B10)^('DCF Model'!C19+1)+'DCF Model'!E45/(1+$B10)^('DCF Model'!C19+2)+'DCF Model'!F45/(1+$B10)^('DCF Model'!C19+3)+'DCF Model'!G45/(1+$B10)^('DCF Model'!C19+4)+'DCF Model'!G45*(1+G$6)/($B10-G$6)/(1+$B10)^('DCF Model'!C19+4)-'DCF Model'!C16)*1000000/'DCF Model'!C15,0),"")</f>
        <v>3668</v>
      </c>
      <c r="H10" s="37">
        <f>IFERROR(ROUND(('DCF Model'!C45/(1+$B10)^('DCF Model'!C19+0)+'DCF Model'!D45/(1+$B10)^('DCF Model'!C19+1)+'DCF Model'!E45/(1+$B10)^('DCF Model'!C19+2)+'DCF Model'!F45/(1+$B10)^('DCF Model'!C19+3)+'DCF Model'!G45/(1+$B10)^('DCF Model'!C19+4)+'DCF Model'!G45*(1+H$6)/($B10-H$6)/(1+$B10)^('DCF Model'!C19+4)-'DCF Model'!C16)*1000000/'DCF Model'!C15,0),"")</f>
        <v>3916</v>
      </c>
      <c r="I10" s="37">
        <f>IFERROR(ROUND(('DCF Model'!C45/(1+$B10)^('DCF Model'!C19+0)+'DCF Model'!D45/(1+$B10)^('DCF Model'!C19+1)+'DCF Model'!E45/(1+$B10)^('DCF Model'!C19+2)+'DCF Model'!F45/(1+$B10)^('DCF Model'!C19+3)+'DCF Model'!G45/(1+$B10)^('DCF Model'!C19+4)+'DCF Model'!G45*(1+I$6)/($B10-I$6)/(1+$B10)^('DCF Model'!C19+4)-'DCF Model'!C16)*1000000/'DCF Model'!C15,0),"")</f>
        <v>4190</v>
      </c>
    </row>
    <row r="11" spans="2:9" ht="13.5" x14ac:dyDescent="0.25">
      <c r="B11" s="39">
        <f>$C$3+0.005</f>
        <v>7.0078801912160149E-2</v>
      </c>
      <c r="C11" s="37">
        <f>IFERROR(ROUND(('DCF Model'!C45/(1+$B11)^('DCF Model'!C19+0)+'DCF Model'!D45/(1+$B11)^('DCF Model'!C19+1)+'DCF Model'!E45/(1+$B11)^('DCF Model'!C19+2)+'DCF Model'!F45/(1+$B11)^('DCF Model'!C19+3)+'DCF Model'!G45/(1+$B11)^('DCF Model'!C19+4)+'DCF Model'!G45*(1+C$6)/($B11-C$6)/(1+$B11)^('DCF Model'!C19+4)-'DCF Model'!C16)*1000000/'DCF Model'!C15,0),"")</f>
        <v>2485</v>
      </c>
      <c r="D11" s="37">
        <f>IFERROR(ROUND(('DCF Model'!C45/(1+$B11)^('DCF Model'!C19+0)+'DCF Model'!D45/(1+$B11)^('DCF Model'!C19+1)+'DCF Model'!E45/(1+$B11)^('DCF Model'!C19+2)+'DCF Model'!F45/(1+$B11)^('DCF Model'!C19+3)+'DCF Model'!G45/(1+$B11)^('DCF Model'!C19+4)+'DCF Model'!G45*(1+D$6)/($B11-D$6)/(1+$B11)^('DCF Model'!C19+4)-'DCF Model'!C16)*1000000/'DCF Model'!C15,0),"")</f>
        <v>2631</v>
      </c>
      <c r="E11" s="37">
        <f>IFERROR(ROUND(('DCF Model'!C45/(1+$B11)^('DCF Model'!C19+0)+'DCF Model'!D45/(1+$B11)^('DCF Model'!C19+1)+'DCF Model'!E45/(1+$B11)^('DCF Model'!C19+2)+'DCF Model'!F45/(1+$B11)^('DCF Model'!C19+3)+'DCF Model'!G45/(1+$B11)^('DCF Model'!C19+4)+'DCF Model'!G45*(1+E$6)/($B11-E$6)/(1+$B11)^('DCF Model'!C19+4)-'DCF Model'!C16)*1000000/'DCF Model'!C15,0),"")</f>
        <v>2789</v>
      </c>
      <c r="F11" s="37">
        <f>IFERROR(ROUND(('DCF Model'!C45/(1+$B11)^('DCF Model'!C19+0)+'DCF Model'!D45/(1+$B11)^('DCF Model'!C19+1)+'DCF Model'!E45/(1+$B11)^('DCF Model'!C19+2)+'DCF Model'!F45/(1+$B11)^('DCF Model'!C19+3)+'DCF Model'!G45/(1+$B11)^('DCF Model'!C19+4)+'DCF Model'!G45*(1+F$6)/($B11-F$6)/(1+$B11)^('DCF Model'!C19+4)-'DCF Model'!C16)*1000000/'DCF Model'!C15,0),"")</f>
        <v>2959</v>
      </c>
      <c r="G11" s="37">
        <f>IFERROR(ROUND(('DCF Model'!C45/(1+$B11)^('DCF Model'!C19+0)+'DCF Model'!D45/(1+$B11)^('DCF Model'!C19+1)+'DCF Model'!E45/(1+$B11)^('DCF Model'!C19+2)+'DCF Model'!F45/(1+$B11)^('DCF Model'!C19+3)+'DCF Model'!G45/(1+$B11)^('DCF Model'!C19+4)+'DCF Model'!G45*(1+G$6)/($B11-G$6)/(1+$B11)^('DCF Model'!C19+4)-'DCF Model'!C16)*1000000/'DCF Model'!C15,0),"")</f>
        <v>3144</v>
      </c>
      <c r="H11" s="37">
        <f>IFERROR(ROUND(('DCF Model'!C45/(1+$B11)^('DCF Model'!C19+0)+'DCF Model'!D45/(1+$B11)^('DCF Model'!C19+1)+'DCF Model'!E45/(1+$B11)^('DCF Model'!C19+2)+'DCF Model'!F45/(1+$B11)^('DCF Model'!C19+3)+'DCF Model'!G45/(1+$B11)^('DCF Model'!C19+4)+'DCF Model'!G45*(1+H$6)/($B11-H$6)/(1+$B11)^('DCF Model'!C19+4)-'DCF Model'!C16)*1000000/'DCF Model'!C15,0),"")</f>
        <v>3346</v>
      </c>
      <c r="I11" s="37">
        <f>IFERROR(ROUND(('DCF Model'!C45/(1+$B11)^('DCF Model'!C19+0)+'DCF Model'!D45/(1+$B11)^('DCF Model'!C19+1)+'DCF Model'!E45/(1+$B11)^('DCF Model'!C19+2)+'DCF Model'!F45/(1+$B11)^('DCF Model'!C19+3)+'DCF Model'!G45/(1+$B11)^('DCF Model'!C19+4)+'DCF Model'!G45*(1+I$6)/($B11-I$6)/(1+$B11)^('DCF Model'!C19+4)-'DCF Model'!C16)*1000000/'DCF Model'!C15,0),"")</f>
        <v>3568</v>
      </c>
    </row>
    <row r="12" spans="2:9" ht="13.5" x14ac:dyDescent="0.25">
      <c r="B12" s="39">
        <f>$C$3+0.01</f>
        <v>7.507880191216014E-2</v>
      </c>
      <c r="C12" s="37">
        <f>IFERROR(ROUND(('DCF Model'!C45/(1+$B12)^('DCF Model'!C19+0)+'DCF Model'!D45/(1+$B12)^('DCF Model'!C19+1)+'DCF Model'!E45/(1+$B12)^('DCF Model'!C19+2)+'DCF Model'!F45/(1+$B12)^('DCF Model'!C19+3)+'DCF Model'!G45/(1+$B12)^('DCF Model'!C19+4)+'DCF Model'!G45*(1+C$6)/($B12-C$6)/(1+$B12)^('DCF Model'!C19+4)-'DCF Model'!C16)*1000000/'DCF Model'!C15,0),"")</f>
        <v>2151</v>
      </c>
      <c r="D12" s="37">
        <f>IFERROR(ROUND(('DCF Model'!C45/(1+$B12)^('DCF Model'!C19+0)+'DCF Model'!D45/(1+$B12)^('DCF Model'!C19+1)+'DCF Model'!E45/(1+$B12)^('DCF Model'!C19+2)+'DCF Model'!F45/(1+$B12)^('DCF Model'!C19+3)+'DCF Model'!G45/(1+$B12)^('DCF Model'!C19+4)+'DCF Model'!G45*(1+D$6)/($B12-D$6)/(1+$B12)^('DCF Model'!C19+4)-'DCF Model'!C16)*1000000/'DCF Model'!C15,0),"")</f>
        <v>2275</v>
      </c>
      <c r="E12" s="37">
        <f>IFERROR(ROUND(('DCF Model'!C45/(1+$B12)^('DCF Model'!C19+0)+'DCF Model'!D45/(1+$B12)^('DCF Model'!C19+1)+'DCF Model'!E45/(1+$B12)^('DCF Model'!C19+2)+'DCF Model'!F45/(1+$B12)^('DCF Model'!C19+3)+'DCF Model'!G45/(1+$B12)^('DCF Model'!C19+4)+'DCF Model'!G45*(1+E$6)/($B12-E$6)/(1+$B12)^('DCF Model'!C19+4)-'DCF Model'!C16)*1000000/'DCF Model'!C15,0),"")</f>
        <v>2408</v>
      </c>
      <c r="F12" s="37">
        <f>IFERROR(ROUND(('DCF Model'!C45/(1+$B12)^('DCF Model'!C19+0)+'DCF Model'!D45/(1+$B12)^('DCF Model'!C19+1)+'DCF Model'!E45/(1+$B12)^('DCF Model'!C19+2)+'DCF Model'!F45/(1+$B12)^('DCF Model'!C19+3)+'DCF Model'!G45/(1+$B12)^('DCF Model'!C19+4)+'DCF Model'!G45*(1+F$6)/($B12-F$6)/(1+$B12)^('DCF Model'!C19+4)-'DCF Model'!C16)*1000000/'DCF Model'!C15,0),"")</f>
        <v>2551</v>
      </c>
      <c r="G12" s="37">
        <f>IFERROR(ROUND(('DCF Model'!C45/(1+$B12)^('DCF Model'!C19+0)+'DCF Model'!D45/(1+$B12)^('DCF Model'!C19+1)+'DCF Model'!E45/(1+$B12)^('DCF Model'!C19+2)+'DCF Model'!F45/(1+$B12)^('DCF Model'!C19+3)+'DCF Model'!G45/(1+$B12)^('DCF Model'!C19+4)+'DCF Model'!G45*(1+G$6)/($B12-G$6)/(1+$B12)^('DCF Model'!C19+4)-'DCF Model'!C16)*1000000/'DCF Model'!C15,0),"")</f>
        <v>2705</v>
      </c>
      <c r="H12" s="37">
        <f>IFERROR(ROUND(('DCF Model'!C45/(1+$B12)^('DCF Model'!C19+0)+'DCF Model'!D45/(1+$B12)^('DCF Model'!C19+1)+'DCF Model'!E45/(1+$B12)^('DCF Model'!C19+2)+'DCF Model'!F45/(1+$B12)^('DCF Model'!C19+3)+'DCF Model'!G45/(1+$B12)^('DCF Model'!C19+4)+'DCF Model'!G45*(1+H$6)/($B12-H$6)/(1+$B12)^('DCF Model'!C19+4)-'DCF Model'!C16)*1000000/'DCF Model'!C15,0),"")</f>
        <v>2872</v>
      </c>
      <c r="I12" s="37">
        <f>IFERROR(ROUND(('DCF Model'!C45/(1+$B12)^('DCF Model'!C19+0)+'DCF Model'!D45/(1+$B12)^('DCF Model'!C19+1)+'DCF Model'!E45/(1+$B12)^('DCF Model'!C19+2)+'DCF Model'!F45/(1+$B12)^('DCF Model'!C19+3)+'DCF Model'!G45/(1+$B12)^('DCF Model'!C19+4)+'DCF Model'!G45*(1+I$6)/($B12-I$6)/(1+$B12)^('DCF Model'!C19+4)-'DCF Model'!C16)*1000000/'DCF Model'!C15,0),"")</f>
        <v>3054</v>
      </c>
    </row>
    <row r="13" spans="2:9" ht="13.5" x14ac:dyDescent="0.25">
      <c r="B13" s="39">
        <f>$C$3+0.015</f>
        <v>8.0078801912160144E-2</v>
      </c>
      <c r="C13" s="37">
        <f>IFERROR(ROUND(('DCF Model'!C45/(1+$B13)^('DCF Model'!C19+0)+'DCF Model'!D45/(1+$B13)^('DCF Model'!C19+1)+'DCF Model'!E45/(1+$B13)^('DCF Model'!C19+2)+'DCF Model'!F45/(1+$B13)^('DCF Model'!C19+3)+'DCF Model'!G45/(1+$B13)^('DCF Model'!C19+4)+'DCF Model'!G45*(1+C$6)/($B13-C$6)/(1+$B13)^('DCF Model'!C19+4)-'DCF Model'!C16)*1000000/'DCF Model'!C15,0),"")</f>
        <v>1860</v>
      </c>
      <c r="D13" s="37">
        <f>IFERROR(ROUND(('DCF Model'!C45/(1+$B13)^('DCF Model'!C19+0)+'DCF Model'!D45/(1+$B13)^('DCF Model'!C19+1)+'DCF Model'!E45/(1+$B13)^('DCF Model'!C19+2)+'DCF Model'!F45/(1+$B13)^('DCF Model'!C19+3)+'DCF Model'!G45/(1+$B13)^('DCF Model'!C19+4)+'DCF Model'!G45*(1+D$6)/($B13-D$6)/(1+$B13)^('DCF Model'!C19+4)-'DCF Model'!C16)*1000000/'DCF Model'!C15,0),"")</f>
        <v>1966</v>
      </c>
      <c r="E13" s="37">
        <f>IFERROR(ROUND(('DCF Model'!C45/(1+$B13)^('DCF Model'!C19+0)+'DCF Model'!D45/(1+$B13)^('DCF Model'!C19+1)+'DCF Model'!E45/(1+$B13)^('DCF Model'!C19+2)+'DCF Model'!F45/(1+$B13)^('DCF Model'!C19+3)+'DCF Model'!G45/(1+$B13)^('DCF Model'!C19+4)+'DCF Model'!G45*(1+E$6)/($B13-E$6)/(1+$B13)^('DCF Model'!C19+4)-'DCF Model'!C16)*1000000/'DCF Model'!C15,0),"")</f>
        <v>2080</v>
      </c>
      <c r="F13" s="37">
        <f>IFERROR(ROUND(('DCF Model'!C45/(1+$B13)^('DCF Model'!C19+0)+'DCF Model'!D45/(1+$B13)^('DCF Model'!C19+1)+'DCF Model'!E45/(1+$B13)^('DCF Model'!C19+2)+'DCF Model'!F45/(1+$B13)^('DCF Model'!C19+3)+'DCF Model'!G45/(1+$B13)^('DCF Model'!C19+4)+'DCF Model'!G45*(1+F$6)/($B13-F$6)/(1+$B13)^('DCF Model'!C19+4)-'DCF Model'!C16)*1000000/'DCF Model'!C15,0),"")</f>
        <v>2201</v>
      </c>
      <c r="G13" s="37">
        <f>IFERROR(ROUND(('DCF Model'!C45/(1+$B13)^('DCF Model'!C19+0)+'DCF Model'!D45/(1+$B13)^('DCF Model'!C19+1)+'DCF Model'!E45/(1+$B13)^('DCF Model'!C19+2)+'DCF Model'!F45/(1+$B13)^('DCF Model'!C19+3)+'DCF Model'!G45/(1+$B13)^('DCF Model'!C19+4)+'DCF Model'!G45*(1+G$6)/($B13-G$6)/(1+$B13)^('DCF Model'!C19+4)-'DCF Model'!C16)*1000000/'DCF Model'!C15,0),"")</f>
        <v>2331</v>
      </c>
      <c r="H13" s="37">
        <f>IFERROR(ROUND(('DCF Model'!C45/(1+$B13)^('DCF Model'!C19+0)+'DCF Model'!D45/(1+$B13)^('DCF Model'!C19+1)+'DCF Model'!E45/(1+$B13)^('DCF Model'!C19+2)+'DCF Model'!F45/(1+$B13)^('DCF Model'!C19+3)+'DCF Model'!G45/(1+$B13)^('DCF Model'!C19+4)+'DCF Model'!G45*(1+H$6)/($B13-H$6)/(1+$B13)^('DCF Model'!C19+4)-'DCF Model'!C16)*1000000/'DCF Model'!C15,0),"")</f>
        <v>2472</v>
      </c>
      <c r="I13" s="37">
        <f>IFERROR(ROUND(('DCF Model'!C45/(1+$B13)^('DCF Model'!C19+0)+'DCF Model'!D45/(1+$B13)^('DCF Model'!C19+1)+'DCF Model'!E45/(1+$B13)^('DCF Model'!C19+2)+'DCF Model'!F45/(1+$B13)^('DCF Model'!C19+3)+'DCF Model'!G45/(1+$B13)^('DCF Model'!C19+4)+'DCF Model'!G45*(1+I$6)/($B13-I$6)/(1+$B13)^('DCF Model'!C19+4)-'DCF Model'!C16)*1000000/'DCF Model'!C15,0),"")</f>
        <v>2623</v>
      </c>
    </row>
    <row r="16" spans="2:9" ht="14" x14ac:dyDescent="0.3">
      <c r="B16" s="3" t="s">
        <v>242</v>
      </c>
    </row>
    <row r="17" spans="2:9" ht="14" x14ac:dyDescent="0.3">
      <c r="B17" s="40" t="s">
        <v>243</v>
      </c>
      <c r="C17" s="42">
        <f>$I$3-3</f>
        <v>4.9000000000000004</v>
      </c>
      <c r="D17" s="42">
        <f>$I$3-2</f>
        <v>5.9</v>
      </c>
      <c r="E17" s="42">
        <f>$I$3-1</f>
        <v>6.9</v>
      </c>
      <c r="F17" s="42">
        <f>$I$3</f>
        <v>7.9</v>
      </c>
      <c r="G17" s="42">
        <f>$I$3+1</f>
        <v>8.9</v>
      </c>
      <c r="H17" s="42">
        <f>$I$3+2</f>
        <v>9.9</v>
      </c>
      <c r="I17" s="42">
        <f>$I$3+3</f>
        <v>10.9</v>
      </c>
    </row>
    <row r="18" spans="2:9" ht="13.5" x14ac:dyDescent="0.25">
      <c r="B18" s="39">
        <f>$C$3-0.015</f>
        <v>5.0078801912160145E-2</v>
      </c>
      <c r="C18" s="37">
        <f>IFERROR(ROUND(('DCF Model'!C45/(1+$B18)^('DCF Model'!C19+0)+'DCF Model'!D45/(1+$B18)^('DCF Model'!C19+1)+'DCF Model'!E45/(1+$B18)^('DCF Model'!C19+2)+'DCF Model'!F45/(1+$B18)^('DCF Model'!C19+3)+'DCF Model'!G45/(1+$B18)^('DCF Model'!C19+4)+('DCF Model'!G39+'DCF Model'!G42)*C$17/(1+$B18)^('DCF Model'!C19+4)-'DCF Model'!C16)*1000000/'DCF Model'!C15,0),"")</f>
        <v>2389</v>
      </c>
      <c r="D18" s="37">
        <f>IFERROR(ROUND(('DCF Model'!C45/(1+$B18)^('DCF Model'!C19+0)+'DCF Model'!D45/(1+$B18)^('DCF Model'!C19+1)+'DCF Model'!E45/(1+$B18)^('DCF Model'!C19+2)+'DCF Model'!F45/(1+$B18)^('DCF Model'!C19+3)+'DCF Model'!G45/(1+$B18)^('DCF Model'!C19+4)+('DCF Model'!G39+'DCF Model'!G42)*D$17/(1+$B18)^('DCF Model'!C19+4)-'DCF Model'!C16)*1000000/'DCF Model'!C15,0),"")</f>
        <v>3083</v>
      </c>
      <c r="E18" s="37">
        <f>IFERROR(ROUND(('DCF Model'!C45/(1+$B18)^('DCF Model'!C19+0)+'DCF Model'!D45/(1+$B18)^('DCF Model'!C19+1)+'DCF Model'!E45/(1+$B18)^('DCF Model'!C19+2)+'DCF Model'!F45/(1+$B18)^('DCF Model'!C19+3)+'DCF Model'!G45/(1+$B18)^('DCF Model'!C19+4)+('DCF Model'!G39+'DCF Model'!G42)*E$17/(1+$B18)^('DCF Model'!C19+4)-'DCF Model'!C16)*1000000/'DCF Model'!C15,0),"")</f>
        <v>3777</v>
      </c>
      <c r="F18" s="37">
        <f>IFERROR(ROUND(('DCF Model'!C45/(1+$B18)^('DCF Model'!C19+0)+'DCF Model'!D45/(1+$B18)^('DCF Model'!C19+1)+'DCF Model'!E45/(1+$B18)^('DCF Model'!C19+2)+'DCF Model'!F45/(1+$B18)^('DCF Model'!C19+3)+'DCF Model'!G45/(1+$B18)^('DCF Model'!C19+4)+('DCF Model'!G39+'DCF Model'!G42)*F$17/(1+$B18)^('DCF Model'!C19+4)-'DCF Model'!C16)*1000000/'DCF Model'!C15,0),"")</f>
        <v>4471</v>
      </c>
      <c r="G18" s="37">
        <f>IFERROR(ROUND(('DCF Model'!C45/(1+$B18)^('DCF Model'!C19+0)+'DCF Model'!D45/(1+$B18)^('DCF Model'!C19+1)+'DCF Model'!E45/(1+$B18)^('DCF Model'!C19+2)+'DCF Model'!F45/(1+$B18)^('DCF Model'!C19+3)+'DCF Model'!G45/(1+$B18)^('DCF Model'!C19+4)+('DCF Model'!G39+'DCF Model'!G42)*G$17/(1+$B18)^('DCF Model'!C19+4)-'DCF Model'!C16)*1000000/'DCF Model'!C15,0),"")</f>
        <v>5165</v>
      </c>
      <c r="H18" s="37">
        <f>IFERROR(ROUND(('DCF Model'!C45/(1+$B18)^('DCF Model'!C19+0)+'DCF Model'!D45/(1+$B18)^('DCF Model'!C19+1)+'DCF Model'!E45/(1+$B18)^('DCF Model'!C19+2)+'DCF Model'!F45/(1+$B18)^('DCF Model'!C19+3)+'DCF Model'!G45/(1+$B18)^('DCF Model'!C19+4)+('DCF Model'!G39+'DCF Model'!G42)*H$17/(1+$B18)^('DCF Model'!C19+4)-'DCF Model'!C16)*1000000/'DCF Model'!C15,0),"")</f>
        <v>5859</v>
      </c>
      <c r="I18" s="37">
        <f>IFERROR(ROUND(('DCF Model'!C45/(1+$B18)^('DCF Model'!C19+0)+'DCF Model'!D45/(1+$B18)^('DCF Model'!C19+1)+'DCF Model'!E45/(1+$B18)^('DCF Model'!C19+2)+'DCF Model'!F45/(1+$B18)^('DCF Model'!C19+3)+'DCF Model'!G45/(1+$B18)^('DCF Model'!C19+4)+('DCF Model'!G39+'DCF Model'!G42)*I$17/(1+$B18)^('DCF Model'!C19+4)-'DCF Model'!C16)*1000000/'DCF Model'!C15,0),"")</f>
        <v>6553</v>
      </c>
    </row>
    <row r="19" spans="2:9" ht="13.5" x14ac:dyDescent="0.25">
      <c r="B19" s="39">
        <f>$C$3-0.01</f>
        <v>5.5078801912160143E-2</v>
      </c>
      <c r="C19" s="37">
        <f>IFERROR(ROUND(('DCF Model'!C45/(1+$B19)^('DCF Model'!C19+0)+'DCF Model'!D45/(1+$B19)^('DCF Model'!C19+1)+'DCF Model'!E45/(1+$B19)^('DCF Model'!C19+2)+'DCF Model'!F45/(1+$B19)^('DCF Model'!C19+3)+'DCF Model'!G45/(1+$B19)^('DCF Model'!C19+4)+('DCF Model'!G39+'DCF Model'!G42)*C$17/(1+$B19)^('DCF Model'!C19+4)-'DCF Model'!C16)*1000000/'DCF Model'!C15,0),"")</f>
        <v>2295</v>
      </c>
      <c r="D19" s="37">
        <f>IFERROR(ROUND(('DCF Model'!C45/(1+$B19)^('DCF Model'!C19+0)+'DCF Model'!D45/(1+$B19)^('DCF Model'!C19+1)+'DCF Model'!E45/(1+$B19)^('DCF Model'!C19+2)+'DCF Model'!F45/(1+$B19)^('DCF Model'!C19+3)+'DCF Model'!G45/(1+$B19)^('DCF Model'!C19+4)+('DCF Model'!G39+'DCF Model'!G42)*D$17/(1+$B19)^('DCF Model'!C19+4)-'DCF Model'!C16)*1000000/'DCF Model'!C15,0),"")</f>
        <v>2972</v>
      </c>
      <c r="E19" s="37">
        <f>IFERROR(ROUND(('DCF Model'!C45/(1+$B19)^('DCF Model'!C19+0)+'DCF Model'!D45/(1+$B19)^('DCF Model'!C19+1)+'DCF Model'!E45/(1+$B19)^('DCF Model'!C19+2)+'DCF Model'!F45/(1+$B19)^('DCF Model'!C19+3)+'DCF Model'!G45/(1+$B19)^('DCF Model'!C19+4)+('DCF Model'!G39+'DCF Model'!G42)*E$17/(1+$B19)^('DCF Model'!C19+4)-'DCF Model'!C16)*1000000/'DCF Model'!C15,0),"")</f>
        <v>3650</v>
      </c>
      <c r="F19" s="37">
        <f>IFERROR(ROUND(('DCF Model'!C45/(1+$B19)^('DCF Model'!C19+0)+'DCF Model'!D45/(1+$B19)^('DCF Model'!C19+1)+'DCF Model'!E45/(1+$B19)^('DCF Model'!C19+2)+'DCF Model'!F45/(1+$B19)^('DCF Model'!C19+3)+'DCF Model'!G45/(1+$B19)^('DCF Model'!C19+4)+('DCF Model'!G39+'DCF Model'!G42)*F$17/(1+$B19)^('DCF Model'!C19+4)-'DCF Model'!C16)*1000000/'DCF Model'!C15,0),"")</f>
        <v>4328</v>
      </c>
      <c r="G19" s="37">
        <f>IFERROR(ROUND(('DCF Model'!C45/(1+$B19)^('DCF Model'!C19+0)+'DCF Model'!D45/(1+$B19)^('DCF Model'!C19+1)+'DCF Model'!E45/(1+$B19)^('DCF Model'!C19+2)+'DCF Model'!F45/(1+$B19)^('DCF Model'!C19+3)+'DCF Model'!G45/(1+$B19)^('DCF Model'!C19+4)+('DCF Model'!G39+'DCF Model'!G42)*G$17/(1+$B19)^('DCF Model'!C19+4)-'DCF Model'!C16)*1000000/'DCF Model'!C15,0),"")</f>
        <v>5005</v>
      </c>
      <c r="H19" s="37">
        <f>IFERROR(ROUND(('DCF Model'!C45/(1+$B19)^('DCF Model'!C19+0)+'DCF Model'!D45/(1+$B19)^('DCF Model'!C19+1)+'DCF Model'!E45/(1+$B19)^('DCF Model'!C19+2)+'DCF Model'!F45/(1+$B19)^('DCF Model'!C19+3)+'DCF Model'!G45/(1+$B19)^('DCF Model'!C19+4)+('DCF Model'!G39+'DCF Model'!G42)*H$17/(1+$B19)^('DCF Model'!C19+4)-'DCF Model'!C16)*1000000/'DCF Model'!C15,0),"")</f>
        <v>5683</v>
      </c>
      <c r="I19" s="37">
        <f>IFERROR(ROUND(('DCF Model'!C45/(1+$B19)^('DCF Model'!C19+0)+'DCF Model'!D45/(1+$B19)^('DCF Model'!C19+1)+'DCF Model'!E45/(1+$B19)^('DCF Model'!C19+2)+'DCF Model'!F45/(1+$B19)^('DCF Model'!C19+3)+'DCF Model'!G45/(1+$B19)^('DCF Model'!C19+4)+('DCF Model'!G39+'DCF Model'!G42)*I$17/(1+$B19)^('DCF Model'!C19+4)-'DCF Model'!C16)*1000000/'DCF Model'!C15,0),"")</f>
        <v>6361</v>
      </c>
    </row>
    <row r="20" spans="2:9" ht="13.5" x14ac:dyDescent="0.25">
      <c r="B20" s="39">
        <f>$C$3-0.005</f>
        <v>6.0078801912160147E-2</v>
      </c>
      <c r="C20" s="37">
        <f>IFERROR(ROUND(('DCF Model'!C45/(1+$B20)^('DCF Model'!C19+0)+'DCF Model'!D45/(1+$B20)^('DCF Model'!C19+1)+'DCF Model'!E45/(1+$B20)^('DCF Model'!C19+2)+'DCF Model'!F45/(1+$B20)^('DCF Model'!C19+3)+'DCF Model'!G45/(1+$B20)^('DCF Model'!C19+4)+('DCF Model'!G39+'DCF Model'!G42)*C$17/(1+$B20)^('DCF Model'!C19+4)-'DCF Model'!C16)*1000000/'DCF Model'!C15,0),"")</f>
        <v>2203</v>
      </c>
      <c r="D20" s="37">
        <f>IFERROR(ROUND(('DCF Model'!C45/(1+$B20)^('DCF Model'!C19+0)+'DCF Model'!D45/(1+$B20)^('DCF Model'!C19+1)+'DCF Model'!E45/(1+$B20)^('DCF Model'!C19+2)+'DCF Model'!F45/(1+$B20)^('DCF Model'!C19+3)+'DCF Model'!G45/(1+$B20)^('DCF Model'!C19+4)+('DCF Model'!G39+'DCF Model'!G42)*D$17/(1+$B20)^('DCF Model'!C19+4)-'DCF Model'!C16)*1000000/'DCF Model'!C15,0),"")</f>
        <v>2865</v>
      </c>
      <c r="E20" s="37">
        <f>IFERROR(ROUND(('DCF Model'!C45/(1+$B20)^('DCF Model'!C19+0)+'DCF Model'!D45/(1+$B20)^('DCF Model'!C19+1)+'DCF Model'!E45/(1+$B20)^('DCF Model'!C19+2)+'DCF Model'!F45/(1+$B20)^('DCF Model'!C19+3)+'DCF Model'!G45/(1+$B20)^('DCF Model'!C19+4)+('DCF Model'!G39+'DCF Model'!G42)*E$17/(1+$B20)^('DCF Model'!C19+4)-'DCF Model'!C16)*1000000/'DCF Model'!C15,0),"")</f>
        <v>3526</v>
      </c>
      <c r="F20" s="37">
        <f>IFERROR(ROUND(('DCF Model'!C45/(1+$B20)^('DCF Model'!C19+0)+'DCF Model'!D45/(1+$B20)^('DCF Model'!C19+1)+'DCF Model'!E45/(1+$B20)^('DCF Model'!C19+2)+'DCF Model'!F45/(1+$B20)^('DCF Model'!C19+3)+'DCF Model'!G45/(1+$B20)^('DCF Model'!C19+4)+('DCF Model'!G39+'DCF Model'!G42)*F$17/(1+$B20)^('DCF Model'!C19+4)-'DCF Model'!C16)*1000000/'DCF Model'!C15,0),"")</f>
        <v>4188</v>
      </c>
      <c r="G20" s="37">
        <f>IFERROR(ROUND(('DCF Model'!C45/(1+$B20)^('DCF Model'!C19+0)+'DCF Model'!D45/(1+$B20)^('DCF Model'!C19+1)+'DCF Model'!E45/(1+$B20)^('DCF Model'!C19+2)+'DCF Model'!F45/(1+$B20)^('DCF Model'!C19+3)+'DCF Model'!G45/(1+$B20)^('DCF Model'!C19+4)+('DCF Model'!G39+'DCF Model'!G42)*G$17/(1+$B20)^('DCF Model'!C19+4)-'DCF Model'!C16)*1000000/'DCF Model'!C15,0),"")</f>
        <v>4850</v>
      </c>
      <c r="H20" s="37">
        <f>IFERROR(ROUND(('DCF Model'!C45/(1+$B20)^('DCF Model'!C19+0)+'DCF Model'!D45/(1+$B20)^('DCF Model'!C19+1)+'DCF Model'!E45/(1+$B20)^('DCF Model'!C19+2)+'DCF Model'!F45/(1+$B20)^('DCF Model'!C19+3)+'DCF Model'!G45/(1+$B20)^('DCF Model'!C19+4)+('DCF Model'!G39+'DCF Model'!G42)*H$17/(1+$B20)^('DCF Model'!C19+4)-'DCF Model'!C16)*1000000/'DCF Model'!C15,0),"")</f>
        <v>5512</v>
      </c>
      <c r="I20" s="37">
        <f>IFERROR(ROUND(('DCF Model'!C45/(1+$B20)^('DCF Model'!C19+0)+'DCF Model'!D45/(1+$B20)^('DCF Model'!C19+1)+'DCF Model'!E45/(1+$B20)^('DCF Model'!C19+2)+'DCF Model'!F45/(1+$B20)^('DCF Model'!C19+3)+'DCF Model'!G45/(1+$B20)^('DCF Model'!C19+4)+('DCF Model'!G39+'DCF Model'!G42)*I$17/(1+$B20)^('DCF Model'!C19+4)-'DCF Model'!C16)*1000000/'DCF Model'!C15,0),"")</f>
        <v>6174</v>
      </c>
    </row>
    <row r="21" spans="2:9" ht="13.5" x14ac:dyDescent="0.25">
      <c r="B21" s="39">
        <f>$C$3</f>
        <v>6.5078801912160145E-2</v>
      </c>
      <c r="C21" s="37">
        <f>IFERROR(ROUND(('DCF Model'!C45/(1+$B21)^('DCF Model'!C19+0)+'DCF Model'!D45/(1+$B21)^('DCF Model'!C19+1)+'DCF Model'!E45/(1+$B21)^('DCF Model'!C19+2)+'DCF Model'!F45/(1+$B21)^('DCF Model'!C19+3)+'DCF Model'!G45/(1+$B21)^('DCF Model'!C19+4)+('DCF Model'!G39+'DCF Model'!G42)*C$17/(1+$B21)^('DCF Model'!C19+4)-'DCF Model'!C16)*1000000/'DCF Model'!C15,0),"")</f>
        <v>2113</v>
      </c>
      <c r="D21" s="37">
        <f>IFERROR(ROUND(('DCF Model'!C45/(1+$B21)^('DCF Model'!C19+0)+'DCF Model'!D45/(1+$B21)^('DCF Model'!C19+1)+'DCF Model'!E45/(1+$B21)^('DCF Model'!C19+2)+'DCF Model'!F45/(1+$B21)^('DCF Model'!C19+3)+'DCF Model'!G45/(1+$B21)^('DCF Model'!C19+4)+('DCF Model'!G39+'DCF Model'!G42)*D$17/(1+$B21)^('DCF Model'!C19+4)-'DCF Model'!C16)*1000000/'DCF Model'!C15,0),"")</f>
        <v>2760</v>
      </c>
      <c r="E21" s="37">
        <f>IFERROR(ROUND(('DCF Model'!C45/(1+$B21)^('DCF Model'!C19+0)+'DCF Model'!D45/(1+$B21)^('DCF Model'!C19+1)+'DCF Model'!E45/(1+$B21)^('DCF Model'!C19+2)+'DCF Model'!F45/(1+$B21)^('DCF Model'!C19+3)+'DCF Model'!G45/(1+$B21)^('DCF Model'!C19+4)+('DCF Model'!G39+'DCF Model'!G42)*E$17/(1+$B21)^('DCF Model'!C19+4)-'DCF Model'!C16)*1000000/'DCF Model'!C15,0),"")</f>
        <v>3406</v>
      </c>
      <c r="F21" s="37">
        <f>IFERROR(ROUND(('DCF Model'!C45/(1+$B21)^('DCF Model'!C19+0)+'DCF Model'!D45/(1+$B21)^('DCF Model'!C19+1)+'DCF Model'!E45/(1+$B21)^('DCF Model'!C19+2)+'DCF Model'!F45/(1+$B21)^('DCF Model'!C19+3)+'DCF Model'!G45/(1+$B21)^('DCF Model'!C19+4)+('DCF Model'!G39+'DCF Model'!G42)*F$17/(1+$B21)^('DCF Model'!C19+4)-'DCF Model'!C16)*1000000/'DCF Model'!C15,0),"")</f>
        <v>4053</v>
      </c>
      <c r="G21" s="37">
        <f>IFERROR(ROUND(('DCF Model'!C45/(1+$B21)^('DCF Model'!C19+0)+'DCF Model'!D45/(1+$B21)^('DCF Model'!C19+1)+'DCF Model'!E45/(1+$B21)^('DCF Model'!C19+2)+'DCF Model'!F45/(1+$B21)^('DCF Model'!C19+3)+'DCF Model'!G45/(1+$B21)^('DCF Model'!C19+4)+('DCF Model'!G39+'DCF Model'!G42)*G$17/(1+$B21)^('DCF Model'!C19+4)-'DCF Model'!C16)*1000000/'DCF Model'!C15,0),"")</f>
        <v>4699</v>
      </c>
      <c r="H21" s="37">
        <f>IFERROR(ROUND(('DCF Model'!C45/(1+$B21)^('DCF Model'!C19+0)+'DCF Model'!D45/(1+$B21)^('DCF Model'!C19+1)+'DCF Model'!E45/(1+$B21)^('DCF Model'!C19+2)+'DCF Model'!F45/(1+$B21)^('DCF Model'!C19+3)+'DCF Model'!G45/(1+$B21)^('DCF Model'!C19+4)+('DCF Model'!G39+'DCF Model'!G42)*H$17/(1+$B21)^('DCF Model'!C19+4)-'DCF Model'!C16)*1000000/'DCF Model'!C15,0),"")</f>
        <v>5346</v>
      </c>
      <c r="I21" s="37">
        <f>IFERROR(ROUND(('DCF Model'!C45/(1+$B21)^('DCF Model'!C19+0)+'DCF Model'!D45/(1+$B21)^('DCF Model'!C19+1)+'DCF Model'!E45/(1+$B21)^('DCF Model'!C19+2)+'DCF Model'!F45/(1+$B21)^('DCF Model'!C19+3)+'DCF Model'!G45/(1+$B21)^('DCF Model'!C19+4)+('DCF Model'!G39+'DCF Model'!G42)*I$17/(1+$B21)^('DCF Model'!C19+4)-'DCF Model'!C16)*1000000/'DCF Model'!C15,0),"")</f>
        <v>5992</v>
      </c>
    </row>
    <row r="22" spans="2:9" ht="13.5" x14ac:dyDescent="0.25">
      <c r="B22" s="39">
        <f>$C$3+0.005</f>
        <v>7.0078801912160149E-2</v>
      </c>
      <c r="C22" s="37">
        <f>IFERROR(ROUND(('DCF Model'!C45/(1+$B22)^('DCF Model'!C19+0)+'DCF Model'!D45/(1+$B22)^('DCF Model'!C19+1)+'DCF Model'!E45/(1+$B22)^('DCF Model'!C19+2)+'DCF Model'!F45/(1+$B22)^('DCF Model'!C19+3)+'DCF Model'!G45/(1+$B22)^('DCF Model'!C19+4)+('DCF Model'!G39+'DCF Model'!G42)*C$17/(1+$B22)^('DCF Model'!C19+4)-'DCF Model'!C16)*1000000/'DCF Model'!C15,0),"")</f>
        <v>2026</v>
      </c>
      <c r="D22" s="37">
        <f>IFERROR(ROUND(('DCF Model'!C45/(1+$B22)^('DCF Model'!C19+0)+'DCF Model'!D45/(1+$B22)^('DCF Model'!C19+1)+'DCF Model'!E45/(1+$B22)^('DCF Model'!C19+2)+'DCF Model'!F45/(1+$B22)^('DCF Model'!C19+3)+'DCF Model'!G45/(1+$B22)^('DCF Model'!C19+4)+('DCF Model'!G39+'DCF Model'!G42)*D$17/(1+$B22)^('DCF Model'!C19+4)-'DCF Model'!C16)*1000000/'DCF Model'!C15,0),"")</f>
        <v>2658</v>
      </c>
      <c r="E22" s="37">
        <f>IFERROR(ROUND(('DCF Model'!C45/(1+$B22)^('DCF Model'!C19+0)+'DCF Model'!D45/(1+$B22)^('DCF Model'!C19+1)+'DCF Model'!E45/(1+$B22)^('DCF Model'!C19+2)+'DCF Model'!F45/(1+$B22)^('DCF Model'!C19+3)+'DCF Model'!G45/(1+$B22)^('DCF Model'!C19+4)+('DCF Model'!G39+'DCF Model'!G42)*E$17/(1+$B22)^('DCF Model'!C19+4)-'DCF Model'!C16)*1000000/'DCF Model'!C15,0),"")</f>
        <v>3289</v>
      </c>
      <c r="F22" s="37">
        <f>IFERROR(ROUND(('DCF Model'!C45/(1+$B22)^('DCF Model'!C19+0)+'DCF Model'!D45/(1+$B22)^('DCF Model'!C19+1)+'DCF Model'!E45/(1+$B22)^('DCF Model'!C19+2)+'DCF Model'!F45/(1+$B22)^('DCF Model'!C19+3)+'DCF Model'!G45/(1+$B22)^('DCF Model'!C19+4)+('DCF Model'!G39+'DCF Model'!G42)*F$17/(1+$B22)^('DCF Model'!C19+4)-'DCF Model'!C16)*1000000/'DCF Model'!C15,0),"")</f>
        <v>3921</v>
      </c>
      <c r="G22" s="37">
        <f>IFERROR(ROUND(('DCF Model'!C45/(1+$B22)^('DCF Model'!C19+0)+'DCF Model'!D45/(1+$B22)^('DCF Model'!C19+1)+'DCF Model'!E45/(1+$B22)^('DCF Model'!C19+2)+'DCF Model'!F45/(1+$B22)^('DCF Model'!C19+3)+'DCF Model'!G45/(1+$B22)^('DCF Model'!C19+4)+('DCF Model'!G39+'DCF Model'!G42)*G$17/(1+$B22)^('DCF Model'!C19+4)-'DCF Model'!C16)*1000000/'DCF Model'!C15,0),"")</f>
        <v>4552</v>
      </c>
      <c r="H22" s="37">
        <f>IFERROR(ROUND(('DCF Model'!C45/(1+$B22)^('DCF Model'!C19+0)+'DCF Model'!D45/(1+$B22)^('DCF Model'!C19+1)+'DCF Model'!E45/(1+$B22)^('DCF Model'!C19+2)+'DCF Model'!F45/(1+$B22)^('DCF Model'!C19+3)+'DCF Model'!G45/(1+$B22)^('DCF Model'!C19+4)+('DCF Model'!G39+'DCF Model'!G42)*H$17/(1+$B22)^('DCF Model'!C19+4)-'DCF Model'!C16)*1000000/'DCF Model'!C15,0),"")</f>
        <v>5184</v>
      </c>
      <c r="I22" s="37">
        <f>IFERROR(ROUND(('DCF Model'!C45/(1+$B22)^('DCF Model'!C19+0)+'DCF Model'!D45/(1+$B22)^('DCF Model'!C19+1)+'DCF Model'!E45/(1+$B22)^('DCF Model'!C19+2)+'DCF Model'!F45/(1+$B22)^('DCF Model'!C19+3)+'DCF Model'!G45/(1+$B22)^('DCF Model'!C19+4)+('DCF Model'!G39+'DCF Model'!G42)*I$17/(1+$B22)^('DCF Model'!C19+4)-'DCF Model'!C16)*1000000/'DCF Model'!C15,0),"")</f>
        <v>5816</v>
      </c>
    </row>
    <row r="23" spans="2:9" ht="13.5" x14ac:dyDescent="0.25">
      <c r="B23" s="39">
        <f>$C$3+0.01</f>
        <v>7.507880191216014E-2</v>
      </c>
      <c r="C23" s="37">
        <f>IFERROR(ROUND(('DCF Model'!C45/(1+$B23)^('DCF Model'!C19+0)+'DCF Model'!D45/(1+$B23)^('DCF Model'!C19+1)+'DCF Model'!E45/(1+$B23)^('DCF Model'!C19+2)+'DCF Model'!F45/(1+$B23)^('DCF Model'!C19+3)+'DCF Model'!G45/(1+$B23)^('DCF Model'!C19+4)+('DCF Model'!G39+'DCF Model'!G42)*C$17/(1+$B23)^('DCF Model'!C19+4)-'DCF Model'!C16)*1000000/'DCF Model'!C15,0),"")</f>
        <v>1942</v>
      </c>
      <c r="D23" s="37">
        <f>IFERROR(ROUND(('DCF Model'!C45/(1+$B23)^('DCF Model'!C19+0)+'DCF Model'!D45/(1+$B23)^('DCF Model'!C19+1)+'DCF Model'!E45/(1+$B23)^('DCF Model'!C19+2)+'DCF Model'!F45/(1+$B23)^('DCF Model'!C19+3)+'DCF Model'!G45/(1+$B23)^('DCF Model'!C19+4)+('DCF Model'!G39+'DCF Model'!G42)*D$17/(1+$B23)^('DCF Model'!C19+4)-'DCF Model'!C16)*1000000/'DCF Model'!C15,0),"")</f>
        <v>2559</v>
      </c>
      <c r="E23" s="37">
        <f>IFERROR(ROUND(('DCF Model'!C45/(1+$B23)^('DCF Model'!C19+0)+'DCF Model'!D45/(1+$B23)^('DCF Model'!C19+1)+'DCF Model'!E45/(1+$B23)^('DCF Model'!C19+2)+'DCF Model'!F45/(1+$B23)^('DCF Model'!C19+3)+'DCF Model'!G45/(1+$B23)^('DCF Model'!C19+4)+('DCF Model'!G39+'DCF Model'!G42)*E$17/(1+$B23)^('DCF Model'!C19+4)-'DCF Model'!C16)*1000000/'DCF Model'!C15,0),"")</f>
        <v>3176</v>
      </c>
      <c r="F23" s="37">
        <f>IFERROR(ROUND(('DCF Model'!C45/(1+$B23)^('DCF Model'!C19+0)+'DCF Model'!D45/(1+$B23)^('DCF Model'!C19+1)+'DCF Model'!E45/(1+$B23)^('DCF Model'!C19+2)+'DCF Model'!F45/(1+$B23)^('DCF Model'!C19+3)+'DCF Model'!G45/(1+$B23)^('DCF Model'!C19+4)+('DCF Model'!G39+'DCF Model'!G42)*F$17/(1+$B23)^('DCF Model'!C19+4)-'DCF Model'!C16)*1000000/'DCF Model'!C15,0),"")</f>
        <v>3793</v>
      </c>
      <c r="G23" s="37">
        <f>IFERROR(ROUND(('DCF Model'!C45/(1+$B23)^('DCF Model'!C19+0)+'DCF Model'!D45/(1+$B23)^('DCF Model'!C19+1)+'DCF Model'!E45/(1+$B23)^('DCF Model'!C19+2)+'DCF Model'!F45/(1+$B23)^('DCF Model'!C19+3)+'DCF Model'!G45/(1+$B23)^('DCF Model'!C19+4)+('DCF Model'!G39+'DCF Model'!G42)*G$17/(1+$B23)^('DCF Model'!C19+4)-'DCF Model'!C16)*1000000/'DCF Model'!C15,0),"")</f>
        <v>4410</v>
      </c>
      <c r="H23" s="37">
        <f>IFERROR(ROUND(('DCF Model'!C45/(1+$B23)^('DCF Model'!C19+0)+'DCF Model'!D45/(1+$B23)^('DCF Model'!C19+1)+'DCF Model'!E45/(1+$B23)^('DCF Model'!C19+2)+'DCF Model'!F45/(1+$B23)^('DCF Model'!C19+3)+'DCF Model'!G45/(1+$B23)^('DCF Model'!C19+4)+('DCF Model'!G39+'DCF Model'!G42)*H$17/(1+$B23)^('DCF Model'!C19+4)-'DCF Model'!C16)*1000000/'DCF Model'!C15,0),"")</f>
        <v>5027</v>
      </c>
      <c r="I23" s="37">
        <f>IFERROR(ROUND(('DCF Model'!C45/(1+$B23)^('DCF Model'!C19+0)+'DCF Model'!D45/(1+$B23)^('DCF Model'!C19+1)+'DCF Model'!E45/(1+$B23)^('DCF Model'!C19+2)+'DCF Model'!F45/(1+$B23)^('DCF Model'!C19+3)+'DCF Model'!G45/(1+$B23)^('DCF Model'!C19+4)+('DCF Model'!G39+'DCF Model'!G42)*I$17/(1+$B23)^('DCF Model'!C19+4)-'DCF Model'!C16)*1000000/'DCF Model'!C15,0),"")</f>
        <v>5644</v>
      </c>
    </row>
    <row r="24" spans="2:9" ht="13.5" x14ac:dyDescent="0.25">
      <c r="B24" s="39">
        <f>$C$3+0.015</f>
        <v>8.0078801912160144E-2</v>
      </c>
      <c r="C24" s="37">
        <f>IFERROR(ROUND(('DCF Model'!C45/(1+$B24)^('DCF Model'!C19+0)+'DCF Model'!D45/(1+$B24)^('DCF Model'!C19+1)+'DCF Model'!E45/(1+$B24)^('DCF Model'!C19+2)+'DCF Model'!F45/(1+$B24)^('DCF Model'!C19+3)+'DCF Model'!G45/(1+$B24)^('DCF Model'!C19+4)+('DCF Model'!G39+'DCF Model'!G42)*C$17/(1+$B24)^('DCF Model'!C19+4)-'DCF Model'!C16)*1000000/'DCF Model'!C15,0),"")</f>
        <v>1859</v>
      </c>
      <c r="D24" s="37">
        <f>IFERROR(ROUND(('DCF Model'!C45/(1+$B24)^('DCF Model'!C19+0)+'DCF Model'!D45/(1+$B24)^('DCF Model'!C19+1)+'DCF Model'!E45/(1+$B24)^('DCF Model'!C19+2)+'DCF Model'!F45/(1+$B24)^('DCF Model'!C19+3)+'DCF Model'!G45/(1+$B24)^('DCF Model'!C19+4)+('DCF Model'!G39+'DCF Model'!G42)*D$17/(1+$B24)^('DCF Model'!C19+4)-'DCF Model'!C16)*1000000/'DCF Model'!C15,0),"")</f>
        <v>2462</v>
      </c>
      <c r="E24" s="37">
        <f>IFERROR(ROUND(('DCF Model'!C45/(1+$B24)^('DCF Model'!C19+0)+'DCF Model'!D45/(1+$B24)^('DCF Model'!C19+1)+'DCF Model'!E45/(1+$B24)^('DCF Model'!C19+2)+'DCF Model'!F45/(1+$B24)^('DCF Model'!C19+3)+'DCF Model'!G45/(1+$B24)^('DCF Model'!C19+4)+('DCF Model'!G39+'DCF Model'!G42)*E$17/(1+$B24)^('DCF Model'!C19+4)-'DCF Model'!C16)*1000000/'DCF Model'!C15,0),"")</f>
        <v>3065</v>
      </c>
      <c r="F24" s="37">
        <f>IFERROR(ROUND(('DCF Model'!C45/(1+$B24)^('DCF Model'!C19+0)+'DCF Model'!D45/(1+$B24)^('DCF Model'!C19+1)+'DCF Model'!E45/(1+$B24)^('DCF Model'!C19+2)+'DCF Model'!F45/(1+$B24)^('DCF Model'!C19+3)+'DCF Model'!G45/(1+$B24)^('DCF Model'!C19+4)+('DCF Model'!G39+'DCF Model'!G42)*F$17/(1+$B24)^('DCF Model'!C19+4)-'DCF Model'!C16)*1000000/'DCF Model'!C15,0),"")</f>
        <v>3668</v>
      </c>
      <c r="G24" s="37">
        <f>IFERROR(ROUND(('DCF Model'!C45/(1+$B24)^('DCF Model'!C19+0)+'DCF Model'!D45/(1+$B24)^('DCF Model'!C19+1)+'DCF Model'!E45/(1+$B24)^('DCF Model'!C19+2)+'DCF Model'!F45/(1+$B24)^('DCF Model'!C19+3)+'DCF Model'!G45/(1+$B24)^('DCF Model'!C19+4)+('DCF Model'!G39+'DCF Model'!G42)*G$17/(1+$B24)^('DCF Model'!C19+4)-'DCF Model'!C16)*1000000/'DCF Model'!C15,0),"")</f>
        <v>4271</v>
      </c>
      <c r="H24" s="37">
        <f>IFERROR(ROUND(('DCF Model'!C45/(1+$B24)^('DCF Model'!C19+0)+'DCF Model'!D45/(1+$B24)^('DCF Model'!C19+1)+'DCF Model'!E45/(1+$B24)^('DCF Model'!C19+2)+'DCF Model'!F45/(1+$B24)^('DCF Model'!C19+3)+'DCF Model'!G45/(1+$B24)^('DCF Model'!C19+4)+('DCF Model'!G39+'DCF Model'!G42)*H$17/(1+$B24)^('DCF Model'!C19+4)-'DCF Model'!C16)*1000000/'DCF Model'!C15,0),"")</f>
        <v>4874</v>
      </c>
      <c r="I24" s="37">
        <f>IFERROR(ROUND(('DCF Model'!C45/(1+$B24)^('DCF Model'!C19+0)+'DCF Model'!D45/(1+$B24)^('DCF Model'!C19+1)+'DCF Model'!E45/(1+$B24)^('DCF Model'!C19+2)+'DCF Model'!F45/(1+$B24)^('DCF Model'!C19+3)+'DCF Model'!G45/(1+$B24)^('DCF Model'!C19+4)+('DCF Model'!G39+'DCF Model'!G42)*I$17/(1+$B24)^('DCF Model'!C19+4)-'DCF Model'!C16)*1000000/'DCF Model'!C15,0),"")</f>
        <v>5476</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2026-09-06T10:34:20Z</dcterms:created>
  <dcterms:modified xsi:type="dcterms:W3CDTF">2026-09-06T10:34:23Z</dcterms:modified>
</cp:coreProperties>
</file>