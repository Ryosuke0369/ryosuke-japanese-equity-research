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 &amp; Thesis" sheetId="1" state="visible" r:id="rId1"/>
    <sheet xmlns:r="http://schemas.openxmlformats.org/officeDocument/2006/relationships" name="Segment Data" sheetId="2" state="visible" r:id="rId2"/>
    <sheet xmlns:r="http://schemas.openxmlformats.org/officeDocument/2006/relationships" name="Peer Comps" sheetId="3" state="visible" r:id="rId3"/>
    <sheet xmlns:r="http://schemas.openxmlformats.org/officeDocument/2006/relationships" name="SOTP Valuation" sheetId="4" state="visible" r:id="rId4"/>
    <sheet xmlns:r="http://schemas.openxmlformats.org/officeDocument/2006/relationships" name="Sensitivity" sheetId="5" state="visible" r:id="rId5"/>
    <sheet xmlns:r="http://schemas.openxmlformats.org/officeDocument/2006/relationships" name="D&amp;A Allocati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¥#,##0;(¥#,##0)"/>
    <numFmt numFmtId="165" formatCode="0.0%;(0.0%)"/>
    <numFmt numFmtId="166" formatCode="#,##0;(#,##0)"/>
    <numFmt numFmtId="167" formatCode="0.00&quot;x&quot;"/>
  </numFmts>
  <fonts count="13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color rgb="00000000"/>
      <sz val="10"/>
    </font>
    <font>
      <name val="Arial"/>
      <b val="1"/>
      <sz val="11"/>
    </font>
    <font>
      <name val="Arial"/>
      <b val="1"/>
      <color rgb="00FFFFFF"/>
      <sz val="11"/>
    </font>
    <font>
      <name val="Arial"/>
      <color rgb="00006600"/>
      <sz val="10"/>
    </font>
    <font>
      <name val="Arial"/>
      <i val="1"/>
      <color rgb="00808080"/>
      <sz val="9"/>
    </font>
    <font>
      <name val="Arial"/>
      <color rgb="000000FF"/>
      <sz val="10"/>
    </font>
    <font>
      <name val="Arial"/>
      <b val="1"/>
      <sz val="10"/>
    </font>
    <font>
      <name val="Arial"/>
      <color rgb="00808080"/>
      <sz val="10"/>
    </font>
    <font>
      <name val="Arial"/>
      <color rgb="00808080"/>
      <sz val="9"/>
    </font>
    <font>
      <name val="Arial"/>
      <i val="1"/>
      <color rgb="00808080"/>
      <sz val="10"/>
    </font>
    <font>
      <name val="Arial"/>
      <b val="1"/>
      <color rgb="00000080"/>
      <sz val="12"/>
    </font>
  </fonts>
  <fills count="7">
    <fill>
      <patternFill/>
    </fill>
    <fill>
      <patternFill patternType="gray125"/>
    </fill>
    <fill>
      <patternFill patternType="solid">
        <fgColor rgb="00000080"/>
        <bgColor rgb="00000080"/>
      </patternFill>
    </fill>
    <fill>
      <patternFill patternType="solid">
        <fgColor rgb="00F2F2F2"/>
        <bgColor rgb="00F2F2F2"/>
      </patternFill>
    </fill>
    <fill>
      <patternFill patternType="solid">
        <fgColor rgb="00DCE6F1"/>
        <bgColor rgb="00DCE6F1"/>
      </patternFill>
    </fill>
    <fill>
      <patternFill patternType="solid">
        <fgColor rgb="00FFF2CC"/>
        <bgColor rgb="00FFF2CC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bottom style="thin"/>
    </border>
    <border>
      <left style="thin"/>
      <right style="thin"/>
      <top style="thin"/>
      <bottom style="thin"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top style="thin"/>
      <bottom style="thin"/>
    </border>
    <border>
      <top style="thin"/>
      <bottom style="double"/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vertical="top" wrapText="1"/>
    </xf>
    <xf numFmtId="0" fontId="4" fillId="2" borderId="1" applyAlignment="1" pivotButton="0" quotePrefix="0" xfId="0">
      <alignment horizontal="center" wrapText="1"/>
    </xf>
    <xf numFmtId="0" fontId="2" fillId="0" borderId="2" pivotButton="0" quotePrefix="0" xfId="0"/>
    <xf numFmtId="164" fontId="5" fillId="0" borderId="2" pivotButton="0" quotePrefix="0" xfId="0"/>
    <xf numFmtId="0" fontId="6" fillId="0" borderId="2" applyAlignment="1" pivotButton="0" quotePrefix="0" xfId="0">
      <alignment horizontal="center"/>
    </xf>
    <xf numFmtId="164" fontId="7" fillId="0" borderId="2" pivotButton="0" quotePrefix="0" xfId="0"/>
    <xf numFmtId="165" fontId="2" fillId="0" borderId="2" applyAlignment="1" pivotButton="0" quotePrefix="0" xfId="0">
      <alignment horizontal="center"/>
    </xf>
    <xf numFmtId="0" fontId="6" fillId="0" borderId="0" pivotButton="0" quotePrefix="0" xfId="0"/>
    <xf numFmtId="0" fontId="8" fillId="0" borderId="0" pivotButton="0" quotePrefix="0" xfId="0"/>
    <xf numFmtId="166" fontId="7" fillId="0" borderId="3" pivotButton="0" quotePrefix="0" xfId="0"/>
    <xf numFmtId="165" fontId="2" fillId="0" borderId="3" pivotButton="0" quotePrefix="0" xfId="0"/>
    <xf numFmtId="0" fontId="8" fillId="3" borderId="0" pivotButton="0" quotePrefix="0" xfId="0"/>
    <xf numFmtId="166" fontId="5" fillId="3" borderId="4" pivotButton="0" quotePrefix="0" xfId="0"/>
    <xf numFmtId="165" fontId="5" fillId="3" borderId="4" pivotButton="0" quotePrefix="0" xfId="0"/>
    <xf numFmtId="0" fontId="3" fillId="4" borderId="0" pivotButton="0" quotePrefix="0" xfId="0"/>
    <xf numFmtId="0" fontId="0" fillId="4" borderId="0" pivotButton="0" quotePrefix="0" xfId="0"/>
    <xf numFmtId="0" fontId="9" fillId="0" borderId="2" pivotButton="0" quotePrefix="0" xfId="0"/>
    <xf numFmtId="167" fontId="7" fillId="0" borderId="2" pivotButton="0" quotePrefix="0" xfId="0"/>
    <xf numFmtId="165" fontId="7" fillId="0" borderId="2" pivotButton="0" quotePrefix="0" xfId="0"/>
    <xf numFmtId="3" fontId="7" fillId="0" borderId="2" pivotButton="0" quotePrefix="0" xfId="0"/>
    <xf numFmtId="0" fontId="10" fillId="0" borderId="2" pivotButton="0" quotePrefix="0" xfId="0"/>
    <xf numFmtId="0" fontId="8" fillId="3" borderId="4" pivotButton="0" quotePrefix="0" xfId="0"/>
    <xf numFmtId="0" fontId="0" fillId="3" borderId="4" pivotButton="0" quotePrefix="0" xfId="0"/>
    <xf numFmtId="167" fontId="8" fillId="3" borderId="4" pivotButton="0" quotePrefix="0" xfId="0"/>
    <xf numFmtId="0" fontId="8" fillId="5" borderId="4" pivotButton="0" quotePrefix="0" xfId="0"/>
    <xf numFmtId="0" fontId="10" fillId="5" borderId="4" pivotButton="0" quotePrefix="0" xfId="0"/>
    <xf numFmtId="167" fontId="7" fillId="5" borderId="4" pivotButton="0" quotePrefix="0" xfId="0"/>
    <xf numFmtId="0" fontId="0" fillId="5" borderId="4" pivotButton="0" quotePrefix="0" xfId="0"/>
    <xf numFmtId="0" fontId="11" fillId="0" borderId="2" pivotButton="0" quotePrefix="0" xfId="0"/>
    <xf numFmtId="167" fontId="11" fillId="0" borderId="2" pivotButton="0" quotePrefix="0" xfId="0"/>
    <xf numFmtId="165" fontId="11" fillId="0" borderId="2" pivotButton="0" quotePrefix="0" xfId="0"/>
    <xf numFmtId="3" fontId="11" fillId="0" borderId="2" pivotButton="0" quotePrefix="0" xfId="0"/>
    <xf numFmtId="0" fontId="6" fillId="0" borderId="2" pivotButton="0" quotePrefix="0" xfId="0"/>
    <xf numFmtId="166" fontId="5" fillId="0" borderId="2" pivotButton="0" quotePrefix="0" xfId="0"/>
    <xf numFmtId="165" fontId="7" fillId="0" borderId="3" pivotButton="0" quotePrefix="0" xfId="0"/>
    <xf numFmtId="166" fontId="2" fillId="0" borderId="2" pivotButton="0" quotePrefix="0" xfId="0"/>
    <xf numFmtId="167" fontId="5" fillId="0" borderId="2" pivotButton="0" quotePrefix="0" xfId="0"/>
    <xf numFmtId="166" fontId="7" fillId="0" borderId="2" pivotButton="0" quotePrefix="0" xfId="0"/>
    <xf numFmtId="0" fontId="0" fillId="0" borderId="2" pivotButton="0" quotePrefix="0" xfId="0"/>
    <xf numFmtId="0" fontId="8" fillId="3" borderId="5" pivotButton="0" quotePrefix="0" xfId="0"/>
    <xf numFmtId="0" fontId="0" fillId="3" borderId="5" pivotButton="0" quotePrefix="0" xfId="0"/>
    <xf numFmtId="166" fontId="8" fillId="3" borderId="5" pivotButton="0" quotePrefix="0" xfId="0"/>
    <xf numFmtId="166" fontId="7" fillId="0" borderId="0" pivotButton="0" quotePrefix="0" xfId="0"/>
    <xf numFmtId="165" fontId="2" fillId="0" borderId="0" pivotButton="0" quotePrefix="0" xfId="0"/>
    <xf numFmtId="165" fontId="7" fillId="0" borderId="3" applyAlignment="1" pivotButton="0" quotePrefix="0" xfId="0">
      <alignment horizontal="center"/>
    </xf>
    <xf numFmtId="166" fontId="8" fillId="3" borderId="4" pivotButton="0" quotePrefix="0" xfId="0"/>
    <xf numFmtId="3" fontId="7" fillId="0" borderId="3" pivotButton="0" quotePrefix="0" xfId="0"/>
    <xf numFmtId="0" fontId="8" fillId="6" borderId="5" pivotButton="0" quotePrefix="0" xfId="0"/>
    <xf numFmtId="164" fontId="12" fillId="6" borderId="5" pivotButton="0" quotePrefix="0" xfId="0"/>
    <xf numFmtId="166" fontId="5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3" fontId="5" fillId="0" borderId="0" pivotButton="0" quotePrefix="0" xfId="0"/>
    <xf numFmtId="167" fontId="4" fillId="2" borderId="0" applyAlignment="1" pivotButton="0" quotePrefix="0" xfId="0">
      <alignment horizontal="center"/>
    </xf>
    <xf numFmtId="165" fontId="8" fillId="4" borderId="0" applyAlignment="1" pivotButton="0" quotePrefix="0" xfId="0">
      <alignment horizontal="center"/>
    </xf>
    <xf numFmtId="164" fontId="2" fillId="0" borderId="2" applyAlignment="1" pivotButton="0" quotePrefix="0" xfId="0">
      <alignment horizontal="center"/>
    </xf>
    <xf numFmtId="164" fontId="2" fillId="6" borderId="2" applyAlignment="1" pivotButton="0" quotePrefix="0" xfId="0">
      <alignment horizontal="center"/>
    </xf>
    <xf numFmtId="167" fontId="8" fillId="4" borderId="0" applyAlignment="1" pivotButton="0" quotePrefix="0" xfId="0">
      <alignment horizontal="center"/>
    </xf>
    <xf numFmtId="165" fontId="8" fillId="3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0080"/>
    <outlinePr summaryBelow="1" summaryRight="1"/>
    <pageSetUpPr/>
  </sheetPr>
  <dimension ref="B2:F16"/>
  <sheetViews>
    <sheetView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2">
      <c r="B2" s="1" t="inlineStr">
        <is>
          <t>SOTP Valuation Model</t>
        </is>
      </c>
    </row>
    <row r="3">
      <c r="B3" s="2" t="inlineStr">
        <is>
          <t>Valuation Date: April 2026</t>
        </is>
      </c>
    </row>
    <row r="5">
      <c r="B5" s="3" t="inlineStr">
        <is>
          <t>Investment Thesis</t>
        </is>
      </c>
    </row>
    <row r="6">
      <c r="B6" s="4" t="inlineStr">
        <is>
          <t>Torishima's consolidated valuation at ~15x PER masks the divergent growth profiles of its three business areas. SOTP separates the mature domestic public infrastructure segment from the high-growth overseas desalination/power business to reveal the embedded option value of the backlog-rich international pipeline.</t>
        </is>
      </c>
    </row>
    <row r="7"/>
    <row r="8"/>
    <row r="10">
      <c r="B10" s="3" t="inlineStr">
        <is>
          <t>Valuation Cross-Check</t>
        </is>
      </c>
    </row>
    <row r="11">
      <c r="B11" s="5" t="inlineStr">
        <is>
          <t>Method</t>
        </is>
      </c>
      <c r="C11" s="5" t="inlineStr">
        <is>
          <t>Fair Value (¥)</t>
        </is>
      </c>
      <c r="D11" s="5" t="inlineStr">
        <is>
          <t>vs SOTP Base</t>
        </is>
      </c>
    </row>
    <row r="12">
      <c r="B12" s="6" t="inlineStr">
        <is>
          <t>SOTP (Base Case)</t>
        </is>
      </c>
      <c r="C12" s="7">
        <f>'SOTP Valuation'!C27</f>
        <v/>
      </c>
      <c r="D12" s="8" t="inlineStr">
        <is>
          <t>—</t>
        </is>
      </c>
    </row>
    <row r="13">
      <c r="B13" s="6" t="inlineStr">
        <is>
          <t>DCF — Perpetuity Growth</t>
        </is>
      </c>
      <c r="C13" s="9" t="n">
        <v>3207</v>
      </c>
      <c r="D13" s="10">
        <f>(C13-$C$12)/$C$12</f>
        <v/>
      </c>
    </row>
    <row r="14">
      <c r="B14" s="6" t="inlineStr">
        <is>
          <t>DCF — Exit Multiple</t>
        </is>
      </c>
      <c r="C14" s="9" t="n">
        <v>5507</v>
      </c>
      <c r="D14" s="10">
        <f>(C14-$C$12)/$C$12</f>
        <v/>
      </c>
    </row>
    <row r="15">
      <c r="B15" s="6" t="inlineStr">
        <is>
          <t>Comps — EV/EBITDA</t>
        </is>
      </c>
      <c r="C15" s="9" t="n">
        <v>2718</v>
      </c>
      <c r="D15" s="10">
        <f>(C15-$C$12)/$C$12</f>
        <v/>
      </c>
    </row>
    <row r="16">
      <c r="B16" s="6" t="inlineStr">
        <is>
          <t>Comps — PER</t>
        </is>
      </c>
      <c r="C16" s="9" t="n">
        <v>2322</v>
      </c>
      <c r="D16" s="10">
        <f>(C16-$C$12)/$C$12</f>
        <v/>
      </c>
    </row>
  </sheetData>
  <mergeCells count="1">
    <mergeCell ref="B6:F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6600"/>
    <outlinePr summaryBelow="1" summaryRight="1"/>
    <pageSetUpPr/>
  </sheetPr>
  <dimension ref="B1:E23"/>
  <sheetViews>
    <sheetView workbookViewId="0">
      <selection activeCell="A1" sqref="A1"/>
    </sheetView>
  </sheetViews>
  <sheetFormatPr baseColWidth="8" defaultRowHeight="15"/>
  <cols>
    <col width="3" customWidth="1" min="1" max="1"/>
    <col width="35" customWidth="1" min="2" max="2"/>
    <col width="16" customWidth="1" min="3" max="3"/>
    <col width="16" customWidth="1" min="4" max="4"/>
    <col width="16" customWidth="1" min="5" max="5"/>
  </cols>
  <sheetData>
    <row r="1">
      <c r="B1" s="1" t="inlineStr">
        <is>
          <t>Segment Financial Data</t>
        </is>
      </c>
    </row>
    <row r="2">
      <c r="B2" s="11" t="inlineStr">
        <is>
          <t>(¥ millions)</t>
        </is>
      </c>
    </row>
    <row r="4">
      <c r="B4" s="5" t="inlineStr">
        <is>
          <t>Segment</t>
        </is>
      </c>
      <c r="C4" s="5" t="inlineStr">
        <is>
          <t>FY23</t>
        </is>
      </c>
      <c r="D4" s="5" t="inlineStr">
        <is>
          <t>FY24</t>
        </is>
      </c>
      <c r="E4" s="5" t="inlineStr">
        <is>
          <t>FY25E</t>
        </is>
      </c>
    </row>
    <row r="5">
      <c r="B5" s="12" t="inlineStr">
        <is>
          <t>Domestic Public Sector (Water Infrastructure &amp; Drainage)  (国内公共（上下水道・排水ポンプ場）)</t>
        </is>
      </c>
    </row>
    <row r="6">
      <c r="B6" s="2" t="inlineStr">
        <is>
          <t xml:space="preserve">  Revenue</t>
        </is>
      </c>
      <c r="C6" s="13" t="n">
        <v>23000</v>
      </c>
      <c r="D6" s="13" t="n">
        <v>24000</v>
      </c>
      <c r="E6" s="13" t="n">
        <v>25000</v>
      </c>
    </row>
    <row r="7">
      <c r="B7" s="2" t="inlineStr">
        <is>
          <t xml:space="preserve">  Operating Profit</t>
        </is>
      </c>
      <c r="C7" s="13" t="n">
        <v>1900</v>
      </c>
      <c r="D7" s="13" t="n">
        <v>2000</v>
      </c>
      <c r="E7" s="13" t="n">
        <v>2000</v>
      </c>
    </row>
    <row r="8">
      <c r="B8" s="2" t="inlineStr">
        <is>
          <t xml:space="preserve">  OPM %</t>
        </is>
      </c>
      <c r="C8" s="14">
        <f>IF(C6=0,0,C7/C6)</f>
        <v/>
      </c>
      <c r="D8" s="14">
        <f>IF(D6=0,0,D7/D6)</f>
        <v/>
      </c>
      <c r="E8" s="14">
        <f>IF(E6=0,0,E7/E6)</f>
        <v/>
      </c>
    </row>
    <row r="10">
      <c r="B10" s="12" t="inlineStr">
        <is>
          <t>Domestic Private Sector (Power &amp; Industrial Pumps)  (国内民需（発電・産業用ポンプ）)</t>
        </is>
      </c>
    </row>
    <row r="11">
      <c r="B11" s="2" t="inlineStr">
        <is>
          <t xml:space="preserve">  Revenue</t>
        </is>
      </c>
      <c r="C11" s="13" t="n">
        <v>19500</v>
      </c>
      <c r="D11" s="13" t="n">
        <v>20500</v>
      </c>
      <c r="E11" s="13" t="n">
        <v>21500</v>
      </c>
    </row>
    <row r="12">
      <c r="B12" s="2" t="inlineStr">
        <is>
          <t xml:space="preserve">  Operating Profit</t>
        </is>
      </c>
      <c r="C12" s="13" t="n">
        <v>1800</v>
      </c>
      <c r="D12" s="13" t="n">
        <v>1800</v>
      </c>
      <c r="E12" s="13" t="n">
        <v>1700</v>
      </c>
    </row>
    <row r="13">
      <c r="B13" s="2" t="inlineStr">
        <is>
          <t xml:space="preserve">  OPM %</t>
        </is>
      </c>
      <c r="C13" s="14">
        <f>IF(C11=0,0,C12/C11)</f>
        <v/>
      </c>
      <c r="D13" s="14">
        <f>IF(D11=0,0,D12/D11)</f>
        <v/>
      </c>
      <c r="E13" s="14">
        <f>IF(E11=0,0,E12/E11)</f>
        <v/>
      </c>
    </row>
    <row r="15">
      <c r="B15" s="12" t="inlineStr">
        <is>
          <t>Overseas (Desalination, Power &amp; O&amp;G)  (海外（淡水化・発電・O&amp;G）)</t>
        </is>
      </c>
    </row>
    <row r="16">
      <c r="B16" s="2" t="inlineStr">
        <is>
          <t xml:space="preserve">  Revenue</t>
        </is>
      </c>
      <c r="C16" s="13" t="n">
        <v>34000</v>
      </c>
      <c r="D16" s="13" t="n">
        <v>36000</v>
      </c>
      <c r="E16" s="13" t="n">
        <v>40000</v>
      </c>
    </row>
    <row r="17">
      <c r="B17" s="2" t="inlineStr">
        <is>
          <t xml:space="preserve">  Operating Profit</t>
        </is>
      </c>
      <c r="C17" s="13" t="n">
        <v>2100</v>
      </c>
      <c r="D17" s="13" t="n">
        <v>1600</v>
      </c>
      <c r="E17" s="13" t="n">
        <v>1900</v>
      </c>
    </row>
    <row r="18">
      <c r="B18" s="2" t="inlineStr">
        <is>
          <t xml:space="preserve">  OPM %</t>
        </is>
      </c>
      <c r="C18" s="14">
        <f>IF(C16=0,0,C17/C16)</f>
        <v/>
      </c>
      <c r="D18" s="14">
        <f>IF(D16=0,0,D17/D16)</f>
        <v/>
      </c>
      <c r="E18" s="14">
        <f>IF(E16=0,0,E17/E16)</f>
        <v/>
      </c>
    </row>
    <row r="20">
      <c r="B20" s="15" t="inlineStr">
        <is>
          <t>Consolidated Total</t>
        </is>
      </c>
    </row>
    <row r="21">
      <c r="B21" s="15" t="inlineStr">
        <is>
          <t xml:space="preserve">  Total Revenue</t>
        </is>
      </c>
      <c r="C21" s="16">
        <f>C6+C11+C16</f>
        <v/>
      </c>
      <c r="D21" s="16">
        <f>D6+D11+D16</f>
        <v/>
      </c>
      <c r="E21" s="16">
        <f>E6+E11+E16</f>
        <v/>
      </c>
    </row>
    <row r="22">
      <c r="B22" s="15" t="inlineStr">
        <is>
          <t xml:space="preserve">  Total Operating Profit</t>
        </is>
      </c>
      <c r="C22" s="16">
        <f>C7+C12+C17</f>
        <v/>
      </c>
      <c r="D22" s="16">
        <f>D7+D12+D17</f>
        <v/>
      </c>
      <c r="E22" s="16">
        <f>E7+E12+E17</f>
        <v/>
      </c>
    </row>
    <row r="23">
      <c r="B23" s="15" t="inlineStr">
        <is>
          <t xml:space="preserve">  Total OPM %</t>
        </is>
      </c>
      <c r="C23" s="17">
        <f>IF(C21=0,0,C22/C21)</f>
        <v/>
      </c>
      <c r="D23" s="17">
        <f>IF(D21=0,0,D22/D21)</f>
        <v/>
      </c>
      <c r="E23" s="17">
        <f>IF(E21=0,0,E22/E21)</f>
        <v/>
      </c>
    </row>
  </sheetData>
  <mergeCells count="3">
    <mergeCell ref="B15:E15"/>
    <mergeCell ref="B10:E10"/>
    <mergeCell ref="B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00000"/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min="1" max="1"/>
    <col width="25" customWidth="1" min="2" max="2"/>
    <col width="12" customWidth="1" min="3" max="3"/>
    <col width="14" customWidth="1" min="4" max="4"/>
    <col width="12" customWidth="1" min="5" max="5"/>
    <col width="16" customWidth="1" min="6" max="6"/>
    <col width="30" customWidth="1" min="7" max="7"/>
  </cols>
  <sheetData>
    <row r="1">
      <c r="B1" s="1" t="inlineStr">
        <is>
          <t>Peer Comparable Analysis</t>
        </is>
      </c>
    </row>
    <row r="3">
      <c r="B3" s="18" t="inlineStr">
        <is>
          <t>Domestic Public Sector (Water Infrastructure &amp; Drainage)</t>
        </is>
      </c>
      <c r="C3" s="19" t="n"/>
      <c r="D3" s="19" t="n"/>
      <c r="E3" s="19" t="n"/>
      <c r="F3" s="19" t="n"/>
      <c r="G3" s="19" t="n"/>
    </row>
    <row r="4">
      <c r="B4" s="5" t="inlineStr">
        <is>
          <t>Company</t>
        </is>
      </c>
      <c r="C4" s="5" t="inlineStr">
        <is>
          <t>Ticker</t>
        </is>
      </c>
      <c r="D4" s="5" t="inlineStr">
        <is>
          <t>EV/EBITDA</t>
        </is>
      </c>
      <c r="E4" s="5" t="inlineStr">
        <is>
          <t>OPM %</t>
        </is>
      </c>
      <c r="F4" s="5" t="inlineStr">
        <is>
          <t>Mkt Cap ($B)</t>
        </is>
      </c>
      <c r="G4" s="5" t="inlineStr">
        <is>
          <t>Note</t>
        </is>
      </c>
    </row>
    <row r="5">
      <c r="B5" s="6" t="inlineStr">
        <is>
          <t>DMW Corporation</t>
        </is>
      </c>
      <c r="C5" s="20" t="inlineStr">
        <is>
          <t>6365.T</t>
        </is>
      </c>
      <c r="D5" s="21" t="n">
        <v>7</v>
      </c>
      <c r="E5" s="22" t="n">
        <v>0.1</v>
      </c>
      <c r="F5" s="23" t="n">
        <v>0.26</v>
      </c>
      <c r="G5" s="24" t="inlineStr">
        <is>
          <t>Pump maker. Public sector comp from DMW SOTP.</t>
        </is>
      </c>
    </row>
    <row r="6">
      <c r="B6" s="6" t="inlineStr">
        <is>
          <t>Maezawa Industries</t>
        </is>
      </c>
      <c r="C6" s="20" t="inlineStr">
        <is>
          <t>6489.T</t>
        </is>
      </c>
      <c r="D6" s="21" t="n">
        <v>7.5</v>
      </c>
      <c r="E6" s="22" t="n">
        <v>0.08</v>
      </c>
      <c r="F6" s="23" t="n">
        <v>0.25</v>
      </c>
      <c r="G6" s="24" t="inlineStr">
        <is>
          <t>Water/sewage equipment.</t>
        </is>
      </c>
    </row>
    <row r="7">
      <c r="B7" s="6" t="inlineStr">
        <is>
          <t>Tsurumi Manufacturing</t>
        </is>
      </c>
      <c r="C7" s="20" t="inlineStr">
        <is>
          <t>6351.T</t>
        </is>
      </c>
      <c r="D7" s="21" t="n">
        <v>9</v>
      </c>
      <c r="E7" s="22" t="n">
        <v>0.14</v>
      </c>
      <c r="F7" s="23" t="n">
        <v>0.78</v>
      </c>
      <c r="G7" s="24" t="inlineStr">
        <is>
          <t>Submersible pump major.</t>
        </is>
      </c>
    </row>
    <row r="8">
      <c r="B8" s="25" t="inlineStr">
        <is>
          <t>Median</t>
        </is>
      </c>
      <c r="C8" s="26" t="inlineStr"/>
      <c r="D8" s="27">
        <f>MEDIAN(D5,D6,D7)</f>
        <v/>
      </c>
      <c r="E8" s="26" t="inlineStr"/>
      <c r="F8" s="26" t="inlineStr"/>
      <c r="G8" s="26" t="inlineStr"/>
    </row>
    <row r="9">
      <c r="B9" s="28" t="inlineStr">
        <is>
          <t>Selected Multiple</t>
        </is>
      </c>
      <c r="C9" s="29" t="inlineStr">
        <is>
          <t>Median of domestic water infrastructure peers. Stable but low-growth. Slight premium to DMW public sector (7.0x) due to larger scale and EPC capabilities.</t>
        </is>
      </c>
      <c r="D9" s="30" t="n">
        <v>7.5</v>
      </c>
      <c r="E9" s="31" t="inlineStr"/>
      <c r="F9" s="31" t="inlineStr"/>
      <c r="G9" s="31" t="inlineStr"/>
    </row>
    <row r="11">
      <c r="B11" s="18" t="inlineStr">
        <is>
          <t>Domestic Private Sector (Power &amp; Industrial Pumps)</t>
        </is>
      </c>
      <c r="C11" s="19" t="n"/>
      <c r="D11" s="19" t="n"/>
      <c r="E11" s="19" t="n"/>
      <c r="F11" s="19" t="n"/>
      <c r="G11" s="19" t="n"/>
    </row>
    <row r="12">
      <c r="B12" s="5" t="inlineStr">
        <is>
          <t>Company</t>
        </is>
      </c>
      <c r="C12" s="5" t="inlineStr">
        <is>
          <t>Ticker</t>
        </is>
      </c>
      <c r="D12" s="5" t="inlineStr">
        <is>
          <t>EV/EBITDA</t>
        </is>
      </c>
      <c r="E12" s="5" t="inlineStr">
        <is>
          <t>OPM %</t>
        </is>
      </c>
      <c r="F12" s="5" t="inlineStr">
        <is>
          <t>Mkt Cap ($B)</t>
        </is>
      </c>
      <c r="G12" s="5" t="inlineStr">
        <is>
          <t>Note</t>
        </is>
      </c>
    </row>
    <row r="13">
      <c r="B13" s="6" t="inlineStr">
        <is>
          <t>DMW Corporation</t>
        </is>
      </c>
      <c r="C13" s="20" t="inlineStr">
        <is>
          <t>6365.T</t>
        </is>
      </c>
      <c r="D13" s="21" t="n">
        <v>8.5</v>
      </c>
      <c r="E13" s="22" t="n">
        <v>0.12</v>
      </c>
      <c r="F13" s="23" t="n">
        <v>0.26</v>
      </c>
      <c r="G13" s="24" t="inlineStr">
        <is>
          <t>Private sector comp from DMW SOTP.</t>
        </is>
      </c>
    </row>
    <row r="14">
      <c r="B14" s="6" t="inlineStr">
        <is>
          <t>Iwaki Co.</t>
        </is>
      </c>
      <c r="C14" s="20" t="inlineStr">
        <is>
          <t>6237.T</t>
        </is>
      </c>
      <c r="D14" s="21" t="n">
        <v>9.5</v>
      </c>
      <c r="E14" s="22" t="n">
        <v>0.13</v>
      </c>
      <c r="F14" s="23" t="n">
        <v>0.42</v>
      </c>
      <c r="G14" s="24" t="inlineStr">
        <is>
          <t>Chemical pump specialist.</t>
        </is>
      </c>
    </row>
    <row r="15">
      <c r="B15" s="6" t="inlineStr">
        <is>
          <t>Nikkiso Co.</t>
        </is>
      </c>
      <c r="C15" s="20" t="inlineStr">
        <is>
          <t>6376.T</t>
        </is>
      </c>
      <c r="D15" s="21" t="n">
        <v>10</v>
      </c>
      <c r="E15" s="22" t="n">
        <v>0.07000000000000001</v>
      </c>
      <c r="F15" s="23" t="n">
        <v>1.5</v>
      </c>
      <c r="G15" s="24" t="inlineStr">
        <is>
          <t>Specialty industrial pumps. Higher multiple for tech premium.</t>
        </is>
      </c>
    </row>
    <row r="16">
      <c r="B16" s="25" t="inlineStr">
        <is>
          <t>Median</t>
        </is>
      </c>
      <c r="C16" s="26" t="inlineStr"/>
      <c r="D16" s="27">
        <f>MEDIAN(D13,D14,D15)</f>
        <v/>
      </c>
      <c r="E16" s="26" t="inlineStr"/>
      <c r="F16" s="26" t="inlineStr"/>
      <c r="G16" s="26" t="inlineStr"/>
    </row>
    <row r="17">
      <c r="B17" s="28" t="inlineStr">
        <is>
          <t>Selected Multiple</t>
        </is>
      </c>
      <c r="C17" s="29" t="inlineStr">
        <is>
          <t>Industrial pump peers. Premium for power plant specialization (boiler feed pumps, ammonia co-firing) and Super Eco Pump replacement cycle.</t>
        </is>
      </c>
      <c r="D17" s="30" t="n">
        <v>9</v>
      </c>
      <c r="E17" s="31" t="inlineStr"/>
      <c r="F17" s="31" t="inlineStr"/>
      <c r="G17" s="31" t="inlineStr"/>
    </row>
    <row r="19">
      <c r="B19" s="18" t="inlineStr">
        <is>
          <t>Overseas (Desalination, Power &amp; O&amp;G)</t>
        </is>
      </c>
      <c r="C19" s="19" t="n"/>
      <c r="D19" s="19" t="n"/>
      <c r="E19" s="19" t="n"/>
      <c r="F19" s="19" t="n"/>
      <c r="G19" s="19" t="n"/>
    </row>
    <row r="20">
      <c r="B20" s="5" t="inlineStr">
        <is>
          <t>Company</t>
        </is>
      </c>
      <c r="C20" s="5" t="inlineStr">
        <is>
          <t>Ticker</t>
        </is>
      </c>
      <c r="D20" s="5" t="inlineStr">
        <is>
          <t>EV/EBITDA</t>
        </is>
      </c>
      <c r="E20" s="5" t="inlineStr">
        <is>
          <t>OPM %</t>
        </is>
      </c>
      <c r="F20" s="5" t="inlineStr">
        <is>
          <t>Mkt Cap ($B)</t>
        </is>
      </c>
      <c r="G20" s="5" t="inlineStr">
        <is>
          <t>Note</t>
        </is>
      </c>
    </row>
    <row r="21">
      <c r="B21" s="6" t="inlineStr">
        <is>
          <t>DMW Corporation (Overseas)</t>
        </is>
      </c>
      <c r="C21" s="20" t="inlineStr">
        <is>
          <t>6365.T</t>
        </is>
      </c>
      <c r="D21" s="21" t="n">
        <v>12</v>
      </c>
      <c r="E21" s="22" t="n">
        <v>0.12</v>
      </c>
      <c r="F21" s="23" t="n">
        <v>0.26</v>
      </c>
      <c r="G21" s="24" t="inlineStr">
        <is>
          <t>DeROs desalination. Higher margin, smaller scale.</t>
        </is>
      </c>
    </row>
    <row r="22">
      <c r="B22" s="32" t="inlineStr">
        <is>
          <t>Flowserve (reference)</t>
        </is>
      </c>
      <c r="C22" s="32" t="inlineStr">
        <is>
          <t>FLS</t>
        </is>
      </c>
      <c r="D22" s="33" t="n">
        <v>14</v>
      </c>
      <c r="E22" s="34" t="n">
        <v>0.12</v>
      </c>
      <c r="F22" s="35" t="n">
        <v>7</v>
      </c>
      <c r="G22" s="36" t="inlineStr">
        <is>
          <t>Global engineered pumps. Not a direct comp due to 10x+ size gap, reference only.</t>
        </is>
      </c>
    </row>
    <row r="23">
      <c r="B23" s="32" t="inlineStr">
        <is>
          <t>Sulzer (reference)</t>
        </is>
      </c>
      <c r="C23" s="32" t="inlineStr">
        <is>
          <t>SUN.SW</t>
        </is>
      </c>
      <c r="D23" s="33" t="n">
        <v>12</v>
      </c>
      <c r="E23" s="34" t="n">
        <v>0.11</v>
      </c>
      <c r="F23" s="35" t="n">
        <v>5</v>
      </c>
      <c r="G23" s="36" t="inlineStr">
        <is>
          <t>Desalination pump global leader. Reference only.</t>
        </is>
      </c>
    </row>
    <row r="24">
      <c r="B24" s="25" t="inlineStr">
        <is>
          <t>Median</t>
        </is>
      </c>
      <c r="C24" s="26" t="inlineStr"/>
      <c r="D24" s="27">
        <f>MEDIAN(D21)</f>
        <v/>
      </c>
      <c r="E24" s="26" t="inlineStr"/>
      <c r="F24" s="26" t="inlineStr"/>
      <c r="G24" s="26" t="inlineStr"/>
    </row>
    <row r="25">
      <c r="B25" s="28" t="inlineStr">
        <is>
          <t>Selected Multiple</t>
        </is>
      </c>
      <c r="C25" s="29" t="inlineStr">
        <is>
          <t>Growth premium for desalination/power plant pump backlog. Discount to DMW overseas (12.0x) because Torishima's overseas OPM is currently depressed (~4.8%) due to large project cost overruns. Once margins normalize to 8-10%, this multiple is conservative.</t>
        </is>
      </c>
      <c r="D25" s="30" t="n">
        <v>11</v>
      </c>
      <c r="E25" s="31" t="inlineStr"/>
      <c r="F25" s="31" t="inlineStr"/>
      <c r="G25" s="31" t="inlineStr"/>
    </row>
  </sheetData>
  <mergeCells count="3">
    <mergeCell ref="B3:G3"/>
    <mergeCell ref="B19:G19"/>
    <mergeCell ref="B11:G1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00FF"/>
    <outlinePr summaryBelow="1" summaryRight="1"/>
    <pageSetUpPr/>
  </sheetPr>
  <dimension ref="B1:H27"/>
  <sheetViews>
    <sheetView workbookViewId="0">
      <selection activeCell="A1" sqref="A1"/>
    </sheetView>
  </sheetViews>
  <sheetFormatPr baseColWidth="8" defaultRowHeight="15"/>
  <cols>
    <col width="3" customWidth="1" min="1" max="1"/>
    <col width="35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B1" s="1" t="inlineStr">
        <is>
          <t>SOTP Valuation</t>
        </is>
      </c>
    </row>
    <row r="2">
      <c r="B2" s="11" t="inlineStr">
        <is>
          <t>(¥ millions unless noted)</t>
        </is>
      </c>
    </row>
    <row r="4">
      <c r="B4" s="5" t="inlineStr">
        <is>
          <t>Segment</t>
        </is>
      </c>
      <c r="C4" s="5" t="inlineStr">
        <is>
          <t>OP (FY25E)</t>
        </is>
      </c>
      <c r="D4" s="5" t="inlineStr">
        <is>
          <t>D&amp;A Alloc %</t>
        </is>
      </c>
      <c r="E4" s="5" t="inlineStr">
        <is>
          <t>D&amp;A</t>
        </is>
      </c>
      <c r="F4" s="5" t="inlineStr">
        <is>
          <t>EBITDA</t>
        </is>
      </c>
      <c r="G4" s="5" t="inlineStr">
        <is>
          <t>Multiple (x)</t>
        </is>
      </c>
      <c r="H4" s="5" t="inlineStr">
        <is>
          <t>Segment EV</t>
        </is>
      </c>
    </row>
    <row r="5">
      <c r="B5" s="6" t="inlineStr">
        <is>
          <t>Domestic Public Sector (Water Infrastructure &amp; Drainage)</t>
        </is>
      </c>
      <c r="C5" s="37">
        <f>'Segment Data'!E7</f>
        <v/>
      </c>
      <c r="D5" s="38" t="n">
        <v>0.35</v>
      </c>
      <c r="E5" s="39">
        <f>B11*D5</f>
        <v/>
      </c>
      <c r="F5" s="39">
        <f>C5+E5</f>
        <v/>
      </c>
      <c r="G5" s="40">
        <f>'Peer Comps'!D9</f>
        <v/>
      </c>
      <c r="H5" s="39">
        <f>F5*G5</f>
        <v/>
      </c>
    </row>
    <row r="6">
      <c r="B6" s="6" t="inlineStr">
        <is>
          <t>Domestic Private Sector (Power &amp; Industrial Pumps)</t>
        </is>
      </c>
      <c r="C6" s="37">
        <f>'Segment Data'!E12</f>
        <v/>
      </c>
      <c r="D6" s="38" t="n">
        <v>0.3</v>
      </c>
      <c r="E6" s="39">
        <f>B11*D6</f>
        <v/>
      </c>
      <c r="F6" s="39">
        <f>C6+E6</f>
        <v/>
      </c>
      <c r="G6" s="40">
        <f>'Peer Comps'!D17</f>
        <v/>
      </c>
      <c r="H6" s="39">
        <f>F6*G6</f>
        <v/>
      </c>
    </row>
    <row r="7">
      <c r="B7" s="6" t="inlineStr">
        <is>
          <t>Overseas (Desalination, Power &amp; O&amp;G)</t>
        </is>
      </c>
      <c r="C7" s="37">
        <f>'Segment Data'!E17</f>
        <v/>
      </c>
      <c r="D7" s="38" t="n">
        <v>0.35</v>
      </c>
      <c r="E7" s="39">
        <f>B11*D7</f>
        <v/>
      </c>
      <c r="F7" s="39">
        <f>C7+E7</f>
        <v/>
      </c>
      <c r="G7" s="40">
        <f>'Peer Comps'!D25</f>
        <v/>
      </c>
      <c r="H7" s="39">
        <f>F7*G7</f>
        <v/>
      </c>
    </row>
    <row r="8">
      <c r="B8" s="6" t="inlineStr">
        <is>
          <t>Equity Method Investments</t>
        </is>
      </c>
      <c r="C8" s="41" t="n">
        <v>0</v>
      </c>
      <c r="D8" s="42" t="inlineStr"/>
      <c r="E8" s="42" t="inlineStr"/>
      <c r="F8" s="39">
        <f>C8</f>
        <v/>
      </c>
      <c r="G8" s="21" t="n">
        <v>10</v>
      </c>
      <c r="H8" s="39">
        <f>F8*G8</f>
        <v/>
      </c>
    </row>
    <row r="9">
      <c r="B9" s="43" t="inlineStr">
        <is>
          <t>Total Segment EV</t>
        </is>
      </c>
      <c r="C9" s="44" t="inlineStr"/>
      <c r="D9" s="44" t="inlineStr"/>
      <c r="E9" s="44" t="inlineStr"/>
      <c r="F9" s="44" t="inlineStr"/>
      <c r="G9" s="44" t="inlineStr"/>
      <c r="H9" s="45">
        <f>H5+H6+H7+H8</f>
        <v/>
      </c>
    </row>
    <row r="11">
      <c r="B11" s="46" t="n">
        <v>3000</v>
      </c>
      <c r="C11" s="11" t="inlineStr">
        <is>
          <t>← Consolidated D&amp;A (input)</t>
        </is>
      </c>
    </row>
    <row r="13">
      <c r="B13" s="3" t="inlineStr">
        <is>
          <t>EV Composition %</t>
        </is>
      </c>
    </row>
    <row r="14">
      <c r="B14" s="2" t="inlineStr">
        <is>
          <t xml:space="preserve">  Domestic Public Sector (Water Infrastructure &amp; Drainage)</t>
        </is>
      </c>
      <c r="C14" s="47">
        <f>H5/H9</f>
        <v/>
      </c>
    </row>
    <row r="15">
      <c r="B15" s="2" t="inlineStr">
        <is>
          <t xml:space="preserve">  Domestic Private Sector (Power &amp; Industrial Pumps)</t>
        </is>
      </c>
      <c r="C15" s="47">
        <f>H6/H9</f>
        <v/>
      </c>
    </row>
    <row r="16">
      <c r="B16" s="2" t="inlineStr">
        <is>
          <t xml:space="preserve">  Overseas (Desalination, Power &amp; O&amp;G)</t>
        </is>
      </c>
      <c r="C16" s="47">
        <f>H7/H9</f>
        <v/>
      </c>
    </row>
    <row r="18">
      <c r="B18" s="18" t="inlineStr">
        <is>
          <t>Equity Bridge</t>
        </is>
      </c>
      <c r="C18" s="19" t="n"/>
    </row>
    <row r="19">
      <c r="B19" s="6" t="inlineStr">
        <is>
          <t>Total Enterprise Value</t>
        </is>
      </c>
      <c r="C19" s="37">
        <f>H9</f>
        <v/>
      </c>
    </row>
    <row r="20">
      <c r="B20" s="6" t="inlineStr">
        <is>
          <t>Conglomerate Discount</t>
        </is>
      </c>
      <c r="C20" s="48" t="n">
        <v>0.1</v>
      </c>
    </row>
    <row r="21">
      <c r="B21" s="6" t="inlineStr">
        <is>
          <t>Adjusted EV</t>
        </is>
      </c>
      <c r="C21" s="39">
        <f>C19*(1-C20)</f>
        <v/>
      </c>
    </row>
    <row r="22">
      <c r="B22" s="6" t="inlineStr">
        <is>
          <t>Less: Net Debt</t>
        </is>
      </c>
      <c r="C22" s="13" t="n">
        <v>-5000</v>
      </c>
    </row>
    <row r="23">
      <c r="B23" s="6" t="inlineStr">
        <is>
          <t>Less: Minority Interest</t>
        </is>
      </c>
      <c r="C23" s="13" t="n">
        <v>0</v>
      </c>
    </row>
    <row r="24">
      <c r="B24" s="25" t="inlineStr">
        <is>
          <t>Equity Value</t>
        </is>
      </c>
      <c r="C24" s="49">
        <f>C21-C22-C23</f>
        <v/>
      </c>
    </row>
    <row r="25">
      <c r="B25" s="6" t="inlineStr">
        <is>
          <t>Shares Outstanding (thousands)</t>
        </is>
      </c>
      <c r="C25" s="50" t="n">
        <v>23668</v>
      </c>
    </row>
    <row r="26">
      <c r="B26" s="6" t="inlineStr">
        <is>
          <t>Stock Split Ratio</t>
        </is>
      </c>
      <c r="C26" s="50" t="n">
        <v>1</v>
      </c>
    </row>
    <row r="27">
      <c r="B27" s="51" t="inlineStr">
        <is>
          <t>Fair Value Per Share (post-split)</t>
        </is>
      </c>
      <c r="C27" s="52">
        <f>C24*1000/C25/C26</f>
        <v/>
      </c>
    </row>
  </sheetData>
  <mergeCells count="1">
    <mergeCell ref="B18:C1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F6600"/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B1" s="1" t="inlineStr">
        <is>
          <t>Sensitivity Analysis</t>
        </is>
      </c>
    </row>
    <row r="3">
      <c r="B3" s="3" t="inlineStr">
        <is>
          <t>Table 1: Overseas (Desalination, Power &amp; O&amp;G) Multiple × Conglomerate Discount</t>
        </is>
      </c>
    </row>
    <row r="4">
      <c r="B4" s="11" t="inlineStr">
        <is>
          <t>Fair Value (¥/share, post-split)</t>
        </is>
      </c>
    </row>
    <row r="5">
      <c r="B5" s="11" t="inlineStr">
        <is>
          <t>Base Assumptions (do not edit)</t>
        </is>
      </c>
    </row>
    <row r="6">
      <c r="B6" s="11" t="inlineStr">
        <is>
          <t>Domestic Public Sector (Water Infrastructure &amp; Drainage) OP</t>
        </is>
      </c>
      <c r="C6" s="53">
        <f>'SOTP Valuation'!C5</f>
        <v/>
      </c>
      <c r="D6" s="53">
        <f>'SOTP Valuation'!E5</f>
        <v/>
      </c>
      <c r="E6" s="54">
        <f>C6+D6</f>
        <v/>
      </c>
      <c r="F6" s="55">
        <f>'SOTP Valuation'!G5</f>
        <v/>
      </c>
    </row>
    <row r="7">
      <c r="B7" s="11" t="inlineStr">
        <is>
          <t>Domestic Private Sector (Power &amp; Industrial Pumps) OP</t>
        </is>
      </c>
      <c r="C7" s="53">
        <f>'SOTP Valuation'!C6</f>
        <v/>
      </c>
      <c r="D7" s="53">
        <f>'SOTP Valuation'!E6</f>
        <v/>
      </c>
      <c r="E7" s="54">
        <f>C7+D7</f>
        <v/>
      </c>
      <c r="F7" s="55">
        <f>'SOTP Valuation'!G6</f>
        <v/>
      </c>
    </row>
    <row r="8">
      <c r="B8" s="11" t="inlineStr">
        <is>
          <t>Overseas (Desalination, Power &amp; O&amp;G) OP</t>
        </is>
      </c>
      <c r="C8" s="53">
        <f>'SOTP Valuation'!C7</f>
        <v/>
      </c>
      <c r="D8" s="53">
        <f>'SOTP Valuation'!E7</f>
        <v/>
      </c>
      <c r="E8" s="54">
        <f>C8+D8</f>
        <v/>
      </c>
      <c r="F8" s="55">
        <f>'SOTP Valuation'!G7</f>
        <v/>
      </c>
    </row>
    <row r="9">
      <c r="B9" s="11" t="inlineStr">
        <is>
          <t>Equity Method EV</t>
        </is>
      </c>
      <c r="C9" s="53">
        <f>'SOTP Valuation'!H8</f>
        <v/>
      </c>
    </row>
    <row r="10">
      <c r="B10" s="11" t="inlineStr">
        <is>
          <t>Net Debt</t>
        </is>
      </c>
      <c r="C10" s="53">
        <f>'SOTP Valuation'!C22</f>
        <v/>
      </c>
    </row>
    <row r="11">
      <c r="B11" s="11" t="inlineStr">
        <is>
          <t>Minority Interest</t>
        </is>
      </c>
      <c r="C11" s="53">
        <f>'SOTP Valuation'!C23</f>
        <v/>
      </c>
    </row>
    <row r="12">
      <c r="B12" s="11" t="inlineStr">
        <is>
          <t>Shares (thousands)</t>
        </is>
      </c>
      <c r="C12" s="56">
        <f>'SOTP Valuation'!C25</f>
        <v/>
      </c>
    </row>
    <row r="13">
      <c r="B13" s="11" t="inlineStr">
        <is>
          <t>Split Ratio</t>
        </is>
      </c>
      <c r="C13" s="56">
        <f>'SOTP Valuation'!C26</f>
        <v/>
      </c>
    </row>
    <row r="15">
      <c r="B15" s="12" t="inlineStr">
        <is>
          <t>Overseas (Desalination, Power &amp; O&amp;G) EV/EBITDA →</t>
        </is>
      </c>
      <c r="C15" s="57" t="n">
        <v>7</v>
      </c>
      <c r="D15" s="57" t="n">
        <v>9</v>
      </c>
      <c r="E15" s="57" t="n">
        <v>11</v>
      </c>
      <c r="F15" s="57" t="n">
        <v>13</v>
      </c>
      <c r="G15" s="57" t="n">
        <v>15</v>
      </c>
    </row>
    <row r="16">
      <c r="B16" s="58" t="n">
        <v>0</v>
      </c>
      <c r="C16" s="59">
        <f>(($E$8*7+E6*F6+E7*F7+C9)*(1-$B16)-$C$10-$C$11)*1000/$C$12/$C$13</f>
        <v/>
      </c>
      <c r="D16" s="59">
        <f>(($E$8*9+E6*F6+E7*F7+C9)*(1-$B16)-$C$10-$C$11)*1000/$C$12/$C$13</f>
        <v/>
      </c>
      <c r="E16" s="59">
        <f>(($E$8*11+E6*F6+E7*F7+C9)*(1-$B16)-$C$10-$C$11)*1000/$C$12/$C$13</f>
        <v/>
      </c>
      <c r="F16" s="59">
        <f>(($E$8*13+E6*F6+E7*F7+C9)*(1-$B16)-$C$10-$C$11)*1000/$C$12/$C$13</f>
        <v/>
      </c>
      <c r="G16" s="59">
        <f>(($E$8*15+E6*F6+E7*F7+C9)*(1-$B16)-$C$10-$C$11)*1000/$C$12/$C$13</f>
        <v/>
      </c>
    </row>
    <row r="17">
      <c r="B17" s="58" t="n">
        <v>0.05</v>
      </c>
      <c r="C17" s="59">
        <f>(($E$8*7+E6*F6+E7*F7+C9)*(1-$B17)-$C$10-$C$11)*1000/$C$12/$C$13</f>
        <v/>
      </c>
      <c r="D17" s="59">
        <f>(($E$8*9+E6*F6+E7*F7+C9)*(1-$B17)-$C$10-$C$11)*1000/$C$12/$C$13</f>
        <v/>
      </c>
      <c r="E17" s="59">
        <f>(($E$8*11+E6*F6+E7*F7+C9)*(1-$B17)-$C$10-$C$11)*1000/$C$12/$C$13</f>
        <v/>
      </c>
      <c r="F17" s="59">
        <f>(($E$8*13+E6*F6+E7*F7+C9)*(1-$B17)-$C$10-$C$11)*1000/$C$12/$C$13</f>
        <v/>
      </c>
      <c r="G17" s="59">
        <f>(($E$8*15+E6*F6+E7*F7+C9)*(1-$B17)-$C$10-$C$11)*1000/$C$12/$C$13</f>
        <v/>
      </c>
    </row>
    <row r="18">
      <c r="B18" s="58" t="n">
        <v>0.1</v>
      </c>
      <c r="C18" s="59">
        <f>(($E$8*7+E6*F6+E7*F7+C9)*(1-$B18)-$C$10-$C$11)*1000/$C$12/$C$13</f>
        <v/>
      </c>
      <c r="D18" s="59">
        <f>(($E$8*9+E6*F6+E7*F7+C9)*(1-$B18)-$C$10-$C$11)*1000/$C$12/$C$13</f>
        <v/>
      </c>
      <c r="E18" s="60">
        <f>(($E$8*11+E6*F6+E7*F7+C9)*(1-$B18)-$C$10-$C$11)*1000/$C$12/$C$13</f>
        <v/>
      </c>
      <c r="F18" s="59">
        <f>(($E$8*13+E6*F6+E7*F7+C9)*(1-$B18)-$C$10-$C$11)*1000/$C$12/$C$13</f>
        <v/>
      </c>
      <c r="G18" s="59">
        <f>(($E$8*15+E6*F6+E7*F7+C9)*(1-$B18)-$C$10-$C$11)*1000/$C$12/$C$13</f>
        <v/>
      </c>
    </row>
    <row r="19">
      <c r="B19" s="58" t="n">
        <v>0.15</v>
      </c>
      <c r="C19" s="59">
        <f>(($E$8*7+E6*F6+E7*F7+C9)*(1-$B19)-$C$10-$C$11)*1000/$C$12/$C$13</f>
        <v/>
      </c>
      <c r="D19" s="59">
        <f>(($E$8*9+E6*F6+E7*F7+C9)*(1-$B19)-$C$10-$C$11)*1000/$C$12/$C$13</f>
        <v/>
      </c>
      <c r="E19" s="59">
        <f>(($E$8*11+E6*F6+E7*F7+C9)*(1-$B19)-$C$10-$C$11)*1000/$C$12/$C$13</f>
        <v/>
      </c>
      <c r="F19" s="59">
        <f>(($E$8*13+E6*F6+E7*F7+C9)*(1-$B19)-$C$10-$C$11)*1000/$C$12/$C$13</f>
        <v/>
      </c>
      <c r="G19" s="59">
        <f>(($E$8*15+E6*F6+E7*F7+C9)*(1-$B19)-$C$10-$C$11)*1000/$C$12/$C$13</f>
        <v/>
      </c>
    </row>
    <row r="20">
      <c r="B20" s="58" t="n">
        <v>0.2</v>
      </c>
      <c r="C20" s="59">
        <f>(($E$8*7+E6*F6+E7*F7+C9)*(1-$B20)-$C$10-$C$11)*1000/$C$12/$C$13</f>
        <v/>
      </c>
      <c r="D20" s="59">
        <f>(($E$8*9+E6*F6+E7*F7+C9)*(1-$B20)-$C$10-$C$11)*1000/$C$12/$C$13</f>
        <v/>
      </c>
      <c r="E20" s="59">
        <f>(($E$8*11+E6*F6+E7*F7+C9)*(1-$B20)-$C$10-$C$11)*1000/$C$12/$C$13</f>
        <v/>
      </c>
      <c r="F20" s="59">
        <f>(($E$8*13+E6*F6+E7*F7+C9)*(1-$B20)-$C$10-$C$11)*1000/$C$12/$C$13</f>
        <v/>
      </c>
      <c r="G20" s="59">
        <f>(($E$8*15+E6*F6+E7*F7+C9)*(1-$B20)-$C$10-$C$11)*1000/$C$12/$C$13</f>
        <v/>
      </c>
    </row>
    <row r="23">
      <c r="B23" s="3" t="inlineStr">
        <is>
          <t>Table 2: Domestic Public Sector (Water Infrastructure &amp; Drainage) × Domestic Private Sector (Power &amp; Industrial Pumps) Multiple Sensitivity</t>
        </is>
      </c>
    </row>
    <row r="24">
      <c r="B24" s="11" t="inlineStr">
        <is>
          <t>Fair Value (¥/share, post-split) — Base discount, base Aero multiple</t>
        </is>
      </c>
    </row>
    <row r="25">
      <c r="B25" s="12" t="inlineStr">
        <is>
          <t>Domestic Public Sector (Water Infrastructure &amp; Drainage) ↓ / Domestic Private Sector (Power &amp; Industrial Pumps) →</t>
        </is>
      </c>
      <c r="C25" s="57" t="n">
        <v>7</v>
      </c>
      <c r="D25" s="57" t="n">
        <v>8</v>
      </c>
      <c r="E25" s="57" t="n">
        <v>9</v>
      </c>
      <c r="F25" s="57" t="n">
        <v>10</v>
      </c>
      <c r="G25" s="57" t="n">
        <v>11</v>
      </c>
    </row>
    <row r="26">
      <c r="B26" s="61" t="n">
        <v>5.5</v>
      </c>
      <c r="C26" s="59">
        <f>(($E$6*$B26+$E$7*C$25+$E$8*$F$8+$C$9)*(1-0.1)-$C$10-$C$11)*1000/$C$12/$C$13</f>
        <v/>
      </c>
      <c r="D26" s="59">
        <f>(($E$6*$B26+$E$7*D$25+$E$8*$F$8+$C$9)*(1-0.1)-$C$10-$C$11)*1000/$C$12/$C$13</f>
        <v/>
      </c>
      <c r="E26" s="59">
        <f>(($E$6*$B26+$E$7*E$25+$E$8*$F$8+$C$9)*(1-0.1)-$C$10-$C$11)*1000/$C$12/$C$13</f>
        <v/>
      </c>
      <c r="F26" s="59">
        <f>(($E$6*$B26+$E$7*F$25+$E$8*$F$8+$C$9)*(1-0.1)-$C$10-$C$11)*1000/$C$12/$C$13</f>
        <v/>
      </c>
      <c r="G26" s="59">
        <f>(($E$6*$B26+$E$7*G$25+$E$8*$F$8+$C$9)*(1-0.1)-$C$10-$C$11)*1000/$C$12/$C$13</f>
        <v/>
      </c>
    </row>
    <row r="27">
      <c r="B27" s="61" t="n">
        <v>6.5</v>
      </c>
      <c r="C27" s="59">
        <f>(($E$6*$B27+$E$7*C$25+$E$8*$F$8+$C$9)*(1-0.1)-$C$10-$C$11)*1000/$C$12/$C$13</f>
        <v/>
      </c>
      <c r="D27" s="59">
        <f>(($E$6*$B27+$E$7*D$25+$E$8*$F$8+$C$9)*(1-0.1)-$C$10-$C$11)*1000/$C$12/$C$13</f>
        <v/>
      </c>
      <c r="E27" s="59">
        <f>(($E$6*$B27+$E$7*E$25+$E$8*$F$8+$C$9)*(1-0.1)-$C$10-$C$11)*1000/$C$12/$C$13</f>
        <v/>
      </c>
      <c r="F27" s="59">
        <f>(($E$6*$B27+$E$7*F$25+$E$8*$F$8+$C$9)*(1-0.1)-$C$10-$C$11)*1000/$C$12/$C$13</f>
        <v/>
      </c>
      <c r="G27" s="59">
        <f>(($E$6*$B27+$E$7*G$25+$E$8*$F$8+$C$9)*(1-0.1)-$C$10-$C$11)*1000/$C$12/$C$13</f>
        <v/>
      </c>
    </row>
    <row r="28">
      <c r="B28" s="61" t="n">
        <v>7.5</v>
      </c>
      <c r="C28" s="59">
        <f>(($E$6*$B28+$E$7*C$25+$E$8*$F$8+$C$9)*(1-0.1)-$C$10-$C$11)*1000/$C$12/$C$13</f>
        <v/>
      </c>
      <c r="D28" s="59">
        <f>(($E$6*$B28+$E$7*D$25+$E$8*$F$8+$C$9)*(1-0.1)-$C$10-$C$11)*1000/$C$12/$C$13</f>
        <v/>
      </c>
      <c r="E28" s="60">
        <f>(($E$6*$B28+$E$7*E$25+$E$8*$F$8+$C$9)*(1-0.1)-$C$10-$C$11)*1000/$C$12/$C$13</f>
        <v/>
      </c>
      <c r="F28" s="59">
        <f>(($E$6*$B28+$E$7*F$25+$E$8*$F$8+$C$9)*(1-0.1)-$C$10-$C$11)*1000/$C$12/$C$13</f>
        <v/>
      </c>
      <c r="G28" s="59">
        <f>(($E$6*$B28+$E$7*G$25+$E$8*$F$8+$C$9)*(1-0.1)-$C$10-$C$11)*1000/$C$12/$C$13</f>
        <v/>
      </c>
    </row>
    <row r="29">
      <c r="B29" s="61" t="n">
        <v>8.5</v>
      </c>
      <c r="C29" s="59">
        <f>(($E$6*$B29+$E$7*C$25+$E$8*$F$8+$C$9)*(1-0.1)-$C$10-$C$11)*1000/$C$12/$C$13</f>
        <v/>
      </c>
      <c r="D29" s="59">
        <f>(($E$6*$B29+$E$7*D$25+$E$8*$F$8+$C$9)*(1-0.1)-$C$10-$C$11)*1000/$C$12/$C$13</f>
        <v/>
      </c>
      <c r="E29" s="59">
        <f>(($E$6*$B29+$E$7*E$25+$E$8*$F$8+$C$9)*(1-0.1)-$C$10-$C$11)*1000/$C$12/$C$13</f>
        <v/>
      </c>
      <c r="F29" s="59">
        <f>(($E$6*$B29+$E$7*F$25+$E$8*$F$8+$C$9)*(1-0.1)-$C$10-$C$11)*1000/$C$12/$C$13</f>
        <v/>
      </c>
      <c r="G29" s="59">
        <f>(($E$6*$B29+$E$7*G$25+$E$8*$F$8+$C$9)*(1-0.1)-$C$10-$C$11)*1000/$C$12/$C$13</f>
        <v/>
      </c>
    </row>
    <row r="30">
      <c r="B30" s="61" t="n">
        <v>9.5</v>
      </c>
      <c r="C30" s="59">
        <f>(($E$6*$B30+$E$7*C$25+$E$8*$F$8+$C$9)*(1-0.1)-$C$10-$C$11)*1000/$C$12/$C$13</f>
        <v/>
      </c>
      <c r="D30" s="59">
        <f>(($E$6*$B30+$E$7*D$25+$E$8*$F$8+$C$9)*(1-0.1)-$C$10-$C$11)*1000/$C$12/$C$13</f>
        <v/>
      </c>
      <c r="E30" s="59">
        <f>(($E$6*$B30+$E$7*E$25+$E$8*$F$8+$C$9)*(1-0.1)-$C$10-$C$11)*1000/$C$12/$C$13</f>
        <v/>
      </c>
      <c r="F30" s="59">
        <f>(($E$6*$B30+$E$7*F$25+$E$8*$F$8+$C$9)*(1-0.1)-$C$10-$C$11)*1000/$C$12/$C$13</f>
        <v/>
      </c>
      <c r="G30" s="59">
        <f>(($E$6*$B30+$E$7*G$25+$E$8*$F$8+$C$9)*(1-0.1)-$C$10-$C$11)*1000/$C$12/$C$13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808080"/>
    <outlinePr summaryBelow="1" summaryRight="1"/>
    <pageSetUpPr/>
  </sheetPr>
  <dimension ref="B1:E19"/>
  <sheetViews>
    <sheetView workbookViewId="0">
      <selection activeCell="A1" sqref="A1"/>
    </sheetView>
  </sheetViews>
  <sheetFormatPr baseColWidth="8" defaultRowHeight="15"/>
  <cols>
    <col width="3" customWidth="1" min="1" max="1"/>
    <col width="35" customWidth="1" min="2" max="2"/>
    <col width="18" customWidth="1" min="3" max="3"/>
    <col width="18" customWidth="1" min="4" max="4"/>
    <col width="18" customWidth="1" min="5" max="5"/>
  </cols>
  <sheetData>
    <row r="1">
      <c r="B1" s="1" t="inlineStr">
        <is>
          <t>D&amp;A Allocation Methodology</t>
        </is>
      </c>
    </row>
    <row r="3">
      <c r="B3" s="2" t="inlineStr">
        <is>
          <t>IHI does not disclose segment-level D&amp;A.</t>
        </is>
      </c>
    </row>
    <row r="4">
      <c r="B4" s="2" t="inlineStr">
        <is>
          <t>Allocation is estimated based on fixed asset intensity by segment.</t>
        </is>
      </c>
    </row>
    <row r="6">
      <c r="B6" s="12" t="inlineStr">
        <is>
          <t>Consolidated D&amp;A (FY25E)</t>
        </is>
      </c>
      <c r="C6" s="46" t="n">
        <v>3000</v>
      </c>
      <c r="D6" s="11" t="inlineStr">
        <is>
          <t>¥M (input)</t>
        </is>
      </c>
    </row>
    <row r="8">
      <c r="B8" s="5" t="inlineStr">
        <is>
          <t>Segment</t>
        </is>
      </c>
      <c r="C8" s="5" t="inlineStr">
        <is>
          <t>Allocation %</t>
        </is>
      </c>
      <c r="D8" s="5" t="inlineStr">
        <is>
          <t>D&amp;A (¥M)</t>
        </is>
      </c>
      <c r="E8" s="5" t="inlineStr">
        <is>
          <t>Check</t>
        </is>
      </c>
    </row>
    <row r="9">
      <c r="B9" s="6" t="inlineStr">
        <is>
          <t>Domestic Public Sector (Water Infrastructure &amp; Drainage)</t>
        </is>
      </c>
      <c r="C9" s="38" t="n">
        <v>0.35</v>
      </c>
      <c r="D9" s="39">
        <f>$C$6*C9</f>
        <v/>
      </c>
    </row>
    <row r="10">
      <c r="B10" s="6" t="inlineStr">
        <is>
          <t>Domestic Private Sector (Power &amp; Industrial Pumps)</t>
        </is>
      </c>
      <c r="C10" s="38" t="n">
        <v>0.3</v>
      </c>
      <c r="D10" s="39">
        <f>$C$6*C10</f>
        <v/>
      </c>
    </row>
    <row r="11">
      <c r="B11" s="6" t="inlineStr">
        <is>
          <t>Overseas (Desalination, Power &amp; O&amp;G)</t>
        </is>
      </c>
      <c r="C11" s="38" t="n">
        <v>0.35</v>
      </c>
      <c r="D11" s="39">
        <f>$C$6*C11</f>
        <v/>
      </c>
    </row>
    <row r="12">
      <c r="B12" s="43" t="inlineStr">
        <is>
          <t>Total</t>
        </is>
      </c>
      <c r="C12" s="62">
        <f>C9+C10+C11</f>
        <v/>
      </c>
      <c r="D12" s="45">
        <f>D9+D10+D11</f>
        <v/>
      </c>
      <c r="E12" s="43">
        <f>IF(ABS(C12-1)&lt;0.001,"OK","CHECK")</f>
        <v/>
      </c>
    </row>
    <row r="14">
      <c r="B14" s="3" t="inlineStr">
        <is>
          <t>Notes:</t>
        </is>
      </c>
    </row>
    <row r="15">
      <c r="B15" s="11" t="inlineStr">
        <is>
          <t>• Aero segment has highest capital intensity (engine test facilities, MRO hangars)</t>
        </is>
      </c>
    </row>
    <row r="16">
      <c r="B16" s="11" t="inlineStr">
        <is>
          <t>• Energy segment includes boiler/turbine manufacturing → moderate fixed assets</t>
        </is>
      </c>
    </row>
    <row r="17">
      <c r="B17" s="11" t="inlineStr">
        <is>
          <t>• Industrial includes turbocharger plants (Niigata, overseas) → moderate</t>
        </is>
      </c>
    </row>
    <row r="18">
      <c r="B18" s="11" t="inlineStr">
        <is>
          <t>• Social Infrastructure: project-based, lower owned fixed assets</t>
        </is>
      </c>
    </row>
    <row r="19">
      <c r="B19" s="11" t="inlineStr">
        <is>
          <t>• Allocation sums to 100% — residual is implicitly in corporate/eliminations</t>
        </is>
      </c>
    </row>
  </sheetData>
  <mergeCells count="5">
    <mergeCell ref="B17:E17"/>
    <mergeCell ref="B18:E18"/>
    <mergeCell ref="B16:E16"/>
    <mergeCell ref="B15:E15"/>
    <mergeCell ref="B19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2026-04-13T09:09:28Z</dcterms:created>
  <dcterms:modified xmlns:dcterms="http://purl.org/dc/terms/" xmlns:xsi="http://www.w3.org/2001/XMLSchema-instance" xsi:type="dcterms:W3CDTF">2026-04-13T09:09:28Z</dcterms:modified>
</cp:coreProperties>
</file>