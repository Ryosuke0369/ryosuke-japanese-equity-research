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6CCE6"/>
        <bgColor rgb="00E6CCE6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165" fontId="5" fillId="0" borderId="5" pivotButton="0" quotePrefix="0" xfId="0"/>
    <xf numFmtId="0" fontId="1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0" fontId="8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0" fontId="3" fillId="7" borderId="0" pivotButton="0" quotePrefix="0" xfId="0"/>
    <xf numFmtId="0" fontId="0" fillId="7" borderId="0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3" fillId="8" borderId="0" pivotButton="0" quotePrefix="0" xfId="0"/>
    <xf numFmtId="0" fontId="0" fillId="8" borderId="0" pivotButton="0" quotePrefix="0" xfId="0"/>
    <xf numFmtId="164" fontId="5" fillId="0" borderId="2" pivotButton="0" quotePrefix="0" xfId="0"/>
    <xf numFmtId="167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DMW Corporation (6365.T)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DMW Corporation</t>
        </is>
      </c>
    </row>
    <row r="7">
      <c r="B7" s="4" t="inlineStr">
        <is>
          <t>Ticker</t>
        </is>
      </c>
      <c r="C7" t="inlineStr">
        <is>
          <t>6365.T (TSE Prime)</t>
        </is>
      </c>
    </row>
    <row r="8">
      <c r="B8" s="4" t="inlineStr">
        <is>
          <t>Sector</t>
        </is>
      </c>
      <c r="C8" t="inlineStr">
        <is>
          <t>Machinery - Pumps &amp; Blowers</t>
        </is>
      </c>
    </row>
    <row r="9">
      <c r="B9" s="4" t="inlineStr">
        <is>
          <t>Current Price</t>
        </is>
      </c>
      <c r="C9" s="5" t="n">
        <v>5900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DeROs energy recovery device achieves world-leading 99.7% efficiency, positioning DMW for Middle East/India desalination demand growth</t>
        </is>
      </c>
    </row>
    <row r="25">
      <c r="B25" t="inlineStr">
        <is>
          <t>2. India plant expansion enables overseas shipment of large high-pressure pumps, lifting export revenue mix</t>
        </is>
      </c>
    </row>
    <row r="26">
      <c r="B26" t="inlineStr">
        <is>
          <t>3. METI Energy Conservation Grand Prize win reinforces technology brand and strengthens public-sector competitive moat</t>
        </is>
      </c>
    </row>
    <row r="27">
      <c r="B27" t="inlineStr">
        <is>
          <t>4. Stable domestic public-sector backlog (water/sewage/power) provides defensive base while overseas grows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Middle East geopolitical risk could freeze plant projects, delaying DeROs revenue recognition</t>
        </is>
      </c>
    </row>
    <row r="30">
      <c r="B30" t="inlineStr">
        <is>
          <t>2. Q4-skewed revenue recognition creates large quarterly earnings volatility</t>
        </is>
      </c>
    </row>
    <row r="31">
      <c r="B31" t="inlineStr">
        <is>
          <t>3. FX (yen appreciation) compresses overseas margins given JPY-denominated cost base</t>
        </is>
      </c>
    </row>
    <row r="32">
      <c r="B32" t="inlineStr">
        <is>
          <t>4. Domestic public-investment cuts would directly hit ~46% of revenue from government tenders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2" t="inlineStr">
        <is>
          <t>DMW Corporation - Historical Financials (JPY mn)</t>
        </is>
      </c>
    </row>
    <row r="4"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21750</v>
      </c>
      <c r="D6" s="5" t="n">
        <v>22820</v>
      </c>
      <c r="E6" s="5" t="n">
        <v>23874</v>
      </c>
      <c r="F6" s="5" t="n">
        <v>24096</v>
      </c>
      <c r="G6" s="5" t="n">
        <v>28077</v>
      </c>
    </row>
    <row r="7">
      <c r="B7" s="4" t="inlineStr">
        <is>
          <t>COGS</t>
        </is>
      </c>
      <c r="C7" s="5" t="n">
        <v>16112</v>
      </c>
      <c r="D7" s="5" t="n">
        <v>17099</v>
      </c>
      <c r="E7" s="5" t="n">
        <v>17950</v>
      </c>
      <c r="F7" s="5" t="n">
        <v>18111</v>
      </c>
      <c r="G7" s="5" t="n">
        <v>20750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</row>
    <row r="10">
      <c r="B10" s="4" t="inlineStr">
        <is>
          <t>SGA</t>
        </is>
      </c>
      <c r="C10" s="5" t="n">
        <v>3090</v>
      </c>
      <c r="D10" s="5" t="n">
        <v>3294</v>
      </c>
      <c r="E10" s="5" t="n">
        <v>3378</v>
      </c>
      <c r="F10" s="5" t="n">
        <v>3700</v>
      </c>
      <c r="G10" s="5" t="n">
        <v>4091</v>
      </c>
    </row>
    <row r="11">
      <c r="B11" s="4" t="inlineStr">
        <is>
          <t>Operating Income</t>
        </is>
      </c>
      <c r="C11" s="5" t="n">
        <v>2547</v>
      </c>
      <c r="D11" s="5" t="n">
        <v>2425</v>
      </c>
      <c r="E11" s="5" t="n">
        <v>2545</v>
      </c>
      <c r="F11" s="5" t="n">
        <v>2283</v>
      </c>
      <c r="G11" s="5" t="n">
        <v>3235</v>
      </c>
    </row>
    <row r="12">
      <c r="B12" s="4" t="inlineStr">
        <is>
          <t>Net Income</t>
        </is>
      </c>
      <c r="C12" s="5" t="n">
        <v>2003</v>
      </c>
      <c r="D12" s="5" t="n">
        <v>1877</v>
      </c>
      <c r="E12" s="5" t="n">
        <v>1871</v>
      </c>
      <c r="F12" s="5" t="n">
        <v>1750</v>
      </c>
      <c r="G12" s="5" t="n">
        <v>2426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1298</v>
      </c>
      <c r="D19" s="5" t="n">
        <v>162</v>
      </c>
      <c r="E19" s="5" t="n">
        <v>1573</v>
      </c>
      <c r="F19" s="5" t="n">
        <v>730</v>
      </c>
      <c r="G19" s="5" t="n">
        <v>2109</v>
      </c>
    </row>
    <row r="20">
      <c r="B20" s="4" t="inlineStr">
        <is>
          <t>Capex</t>
        </is>
      </c>
      <c r="C20" s="5" t="n">
        <v>648</v>
      </c>
      <c r="D20" s="5" t="n">
        <v>556</v>
      </c>
      <c r="E20" s="5" t="n">
        <v>848</v>
      </c>
      <c r="F20" s="5" t="n">
        <v>682</v>
      </c>
      <c r="G20" s="5" t="n">
        <v>560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7005</v>
      </c>
      <c r="D26" s="5" t="n">
        <v>5885</v>
      </c>
      <c r="E26" s="5" t="n">
        <v>6036</v>
      </c>
      <c r="F26" s="5" t="n">
        <v>6099</v>
      </c>
      <c r="G26" s="5" t="n">
        <v>6515</v>
      </c>
    </row>
    <row r="27">
      <c r="B27" s="4" t="inlineStr">
        <is>
          <t>Short-term Debt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DMW Corporation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0.03</v>
      </c>
    </row>
    <row r="6">
      <c r="B6" s="4" t="inlineStr">
        <is>
          <t>Effective Tax Rate</t>
        </is>
      </c>
      <c r="C6" s="7" t="n">
        <v>0.3</v>
      </c>
    </row>
    <row r="7">
      <c r="B7" s="4" t="inlineStr">
        <is>
          <t>Risk-Free Rate</t>
        </is>
      </c>
      <c r="C7" s="7" t="n">
        <v>0.01</v>
      </c>
    </row>
    <row r="8">
      <c r="B8" s="4" t="inlineStr">
        <is>
          <t>Beta</t>
        </is>
      </c>
      <c r="C8" s="12" t="n">
        <v>0.85</v>
      </c>
    </row>
    <row r="9">
      <c r="B9" s="4" t="inlineStr">
        <is>
          <t>Equity Risk Premium</t>
        </is>
      </c>
      <c r="C9" s="7" t="n">
        <v>0.06</v>
      </c>
    </row>
    <row r="10">
      <c r="B10" s="4" t="inlineStr">
        <is>
          <t>Size Premium</t>
        </is>
      </c>
      <c r="C10" s="7" t="n">
        <v>0.02</v>
      </c>
    </row>
    <row r="11">
      <c r="B11" s="4" t="inlineStr">
        <is>
          <t>After-tax Cost of Debt</t>
        </is>
      </c>
      <c r="C11" s="7" t="n">
        <v>0.008</v>
      </c>
    </row>
    <row r="12">
      <c r="B12" s="4" t="inlineStr">
        <is>
          <t>D/E Ratio</t>
        </is>
      </c>
      <c r="C12" s="13" t="n">
        <v>0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8</v>
      </c>
    </row>
    <row r="15">
      <c r="B15" s="4" t="inlineStr">
        <is>
          <t>Fully Diluted Shares</t>
        </is>
      </c>
      <c r="C15" s="15" t="n">
        <v>4144556</v>
      </c>
    </row>
    <row r="16">
      <c r="B16" s="4" t="inlineStr">
        <is>
          <t>Net Debt (JPY mn)</t>
        </is>
      </c>
      <c r="C16" s="5" t="n">
        <v>0</v>
      </c>
    </row>
    <row r="17">
      <c r="B17" s="4" t="inlineStr">
        <is>
          <t>Base Year Revenue (JPY mn)</t>
        </is>
      </c>
      <c r="C17" s="5" t="n">
        <v>28077</v>
      </c>
    </row>
    <row r="18">
      <c r="B18" s="4" t="inlineStr">
        <is>
          <t>D&amp;A / Revenue</t>
        </is>
      </c>
      <c r="C18" s="7" t="n">
        <v>0.025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30148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MATCH(C27,{"Base","Upside","Management","Downside 1","Downside 2"},0)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(C33/C17)-1</f>
        <v/>
      </c>
      <c r="D30" s="18">
        <f>(D33/C33)-1</f>
        <v/>
      </c>
      <c r="E30" s="18">
        <f>(E33/D33)-1</f>
        <v/>
      </c>
      <c r="F30" s="18">
        <f>(F33/E33)-1</f>
        <v/>
      </c>
      <c r="G30" s="18">
        <f>(G33/F33)-1</f>
        <v/>
      </c>
    </row>
    <row r="31">
      <c r="B31" s="4" t="inlineStr">
        <is>
          <t>COGS % of Revenue</t>
        </is>
      </c>
      <c r="C31" s="18">
        <f>CHOOSE($D$27,'Segment Analysis'!G79,'Segment Analysis'!G80,'Segment Analysis'!G81,'Segment Analysis'!G82,'Segment Analysis'!G83)</f>
        <v/>
      </c>
      <c r="D31" s="18">
        <f>CHOOSE($D$27,'Segment Analysis'!H79,'Segment Analysis'!H80,'Segment Analysis'!H81,'Segment Analysis'!H82,'Segment Analysis'!H83)</f>
        <v/>
      </c>
      <c r="E31" s="18">
        <f>CHOOSE($D$27,'Segment Analysis'!I79,'Segment Analysis'!I80,'Segment Analysis'!I81,'Segment Analysis'!I82,'Segment Analysis'!I83)</f>
        <v/>
      </c>
      <c r="F31" s="18">
        <f>CHOOSE($D$27,'Segment Analysis'!J79,'Segment Analysis'!J80,'Segment Analysis'!J81,'Segment Analysis'!J82,'Segment Analysis'!J83)</f>
        <v/>
      </c>
      <c r="G31" s="18">
        <f>CHOOSE($D$27,'Segment Analysis'!K79,'Segment Analysis'!K80,'Segment Analysis'!K81,'Segment Analysis'!K82,'Segment Analysis'!K83)</f>
        <v/>
      </c>
    </row>
    <row r="32">
      <c r="B32" s="4" t="inlineStr">
        <is>
          <t>SGA % of Revenue</t>
        </is>
      </c>
      <c r="C32" s="18">
        <f>CHOOSE($D$27,'Segment Analysis'!G86,'Segment Analysis'!G87,'Segment Analysis'!G88,'Segment Analysis'!G89,'Segment Analysis'!G90)</f>
        <v/>
      </c>
      <c r="D32" s="18">
        <f>CHOOSE($D$27,'Segment Analysis'!H86,'Segment Analysis'!H87,'Segment Analysis'!H88,'Segment Analysis'!H89,'Segment Analysis'!H90)</f>
        <v/>
      </c>
      <c r="E32" s="18">
        <f>CHOOSE($D$27,'Segment Analysis'!I86,'Segment Analysis'!I87,'Segment Analysis'!I88,'Segment Analysis'!I89,'Segment Analysis'!I90)</f>
        <v/>
      </c>
      <c r="F32" s="18">
        <f>CHOOSE($D$27,'Segment Analysis'!J86,'Segment Analysis'!J87,'Segment Analysis'!J88,'Segment Analysis'!J89,'Segment Analysis'!J90)</f>
        <v/>
      </c>
      <c r="G32" s="18">
        <f>CHOOSE($D$27,'Segment Analysis'!K86,'Segment Analysis'!K87,'Segment Analysis'!K88,'Segment Analysis'!K89,'Segment Analysis'!K90)</f>
        <v/>
      </c>
    </row>
    <row r="33">
      <c r="B33" s="4" t="inlineStr">
        <is>
          <t>Revenue</t>
        </is>
      </c>
      <c r="C33" s="5">
        <f>'Segment Analysis'!G21</f>
        <v/>
      </c>
      <c r="D33" s="5">
        <f>'Segment Analysis'!H21</f>
        <v/>
      </c>
      <c r="E33" s="5">
        <f>'Segment Analysis'!I21</f>
        <v/>
      </c>
      <c r="F33" s="5">
        <f>'Segment Analysis'!J21</f>
        <v/>
      </c>
      <c r="G33" s="5">
        <f>'Segment Analysis'!K21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C39/C33</f>
        <v/>
      </c>
      <c r="D38" s="7">
        <f>D39/D33</f>
        <v/>
      </c>
      <c r="E38" s="7">
        <f>E39/E33</f>
        <v/>
      </c>
      <c r="F38" s="7">
        <f>F39/F33</f>
        <v/>
      </c>
      <c r="G38" s="7">
        <f>G39/G33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1" t="inlineStr">
        <is>
          <t>All scenario inputs are in Segment Analysis sheet.</t>
        </is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DMW Corporation</t>
        </is>
      </c>
    </row>
    <row r="4">
      <c r="B4" s="8" t="inlineStr">
        <is>
          <t>Working Capital Drivers (% of Revenue)</t>
        </is>
      </c>
      <c r="C4" s="25" t="inlineStr">
        <is>
          <t>Base Year</t>
        </is>
      </c>
      <c r="D4" s="25" t="inlineStr">
        <is>
          <t>FY2026(E)</t>
        </is>
      </c>
      <c r="E4" s="25" t="inlineStr">
        <is>
          <t>FY2027(E)</t>
        </is>
      </c>
      <c r="F4" s="25" t="inlineStr">
        <is>
          <t>FY2028(E)</t>
        </is>
      </c>
      <c r="G4" s="25" t="inlineStr">
        <is>
          <t>FY2029(E)</t>
        </is>
      </c>
      <c r="H4" s="25" t="inlineStr">
        <is>
          <t>FY2030(E)</t>
        </is>
      </c>
    </row>
    <row r="5">
      <c r="B5" s="26" t="inlineStr">
        <is>
          <t>NWC % of Revenue</t>
        </is>
      </c>
      <c r="C5" s="27">
        <f>C18/C9</f>
        <v/>
      </c>
      <c r="D5" s="27">
        <f>CHOOSE('DCF Model'!$D$27,'Segment Analysis'!G93,'Segment Analysis'!G94,'Segment Analysis'!G95,'Segment Analysis'!G96,'Segment Analysis'!G97)</f>
        <v/>
      </c>
      <c r="E5" s="27">
        <f>CHOOSE('DCF Model'!$D$27,'Segment Analysis'!H93,'Segment Analysis'!H94,'Segment Analysis'!H95,'Segment Analysis'!H96,'Segment Analysis'!H97)</f>
        <v/>
      </c>
      <c r="F5" s="27">
        <f>CHOOSE('DCF Model'!$D$27,'Segment Analysis'!I93,'Segment Analysis'!I94,'Segment Analysis'!I95,'Segment Analysis'!I96,'Segment Analysis'!I97)</f>
        <v/>
      </c>
      <c r="G5" s="27">
        <f>CHOOSE('DCF Model'!$D$27,'Segment Analysis'!J93,'Segment Analysis'!J94,'Segment Analysis'!J95,'Segment Analysis'!J96,'Segment Analysis'!J97)</f>
        <v/>
      </c>
      <c r="H5" s="27">
        <f>CHOOSE('DCF Model'!$D$27,'Segment Analysis'!K93,'Segment Analysis'!K94,'Segment Analysis'!K95,'Segment Analysis'!K96,'Segment Analysis'!K97)</f>
        <v/>
      </c>
    </row>
    <row r="6">
      <c r="B6" s="28" t="inlineStr">
        <is>
          <t>—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</row>
    <row r="7">
      <c r="B7" s="28" t="inlineStr">
        <is>
          <t>—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6" t="inlineStr">
        <is>
          <t>Revenue</t>
        </is>
      </c>
      <c r="C9" s="29" t="n">
        <v>28077</v>
      </c>
      <c r="D9" s="29">
        <f>'DCF Model'!C33</f>
        <v/>
      </c>
      <c r="E9" s="29">
        <f>'DCF Model'!D33</f>
        <v/>
      </c>
      <c r="F9" s="29">
        <f>'DCF Model'!E33</f>
        <v/>
      </c>
      <c r="G9" s="29">
        <f>'DCF Model'!F33</f>
        <v/>
      </c>
      <c r="H9" s="29">
        <f>'DCF Model'!G33</f>
        <v/>
      </c>
    </row>
    <row r="10">
      <c r="B10" s="28" t="inlineStr">
        <is>
          <t>—</t>
        </is>
      </c>
      <c r="C10" s="28" t="inlineStr">
        <is>
          <t>—</t>
        </is>
      </c>
      <c r="D10" s="28" t="inlineStr">
        <is>
          <t>—</t>
        </is>
      </c>
      <c r="E10" s="28" t="inlineStr">
        <is>
          <t>—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—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8" t="inlineStr">
        <is>
          <t>—</t>
        </is>
      </c>
      <c r="H12" s="28" t="inlineStr">
        <is>
          <t>—</t>
        </is>
      </c>
    </row>
    <row r="13">
      <c r="B13" s="28" t="inlineStr">
        <is>
          <t>—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8" t="inlineStr">
        <is>
          <t>—</t>
        </is>
      </c>
      <c r="H13" s="28" t="inlineStr">
        <is>
          <t>—</t>
        </is>
      </c>
    </row>
    <row r="14">
      <c r="B14" s="28" t="inlineStr">
        <is>
          <t>—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</row>
    <row r="15">
      <c r="B15" s="28" t="inlineStr">
        <is>
          <t>—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8" t="inlineStr">
        <is>
          <t>—</t>
        </is>
      </c>
      <c r="G15" s="28" t="inlineStr">
        <is>
          <t>—</t>
        </is>
      </c>
      <c r="H15" s="28" t="inlineStr">
        <is>
          <t>—</t>
        </is>
      </c>
    </row>
    <row r="16">
      <c r="B16" s="28" t="inlineStr">
        <is>
          <t>—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8" t="inlineStr">
        <is>
          <t>—</t>
        </is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6" t="inlineStr">
        <is>
          <t>Net Working Capital</t>
        </is>
      </c>
      <c r="C18" s="20" t="n">
        <v>9949</v>
      </c>
      <c r="D18" s="20">
        <f>D9*D5</f>
        <v/>
      </c>
      <c r="E18" s="20">
        <f>E9*E5</f>
        <v/>
      </c>
      <c r="F18" s="20">
        <f>F9*F5</f>
        <v/>
      </c>
      <c r="G18" s="20">
        <f>G9*G5</f>
        <v/>
      </c>
      <c r="H18" s="20">
        <f>H9*H5</f>
        <v/>
      </c>
    </row>
    <row r="19">
      <c r="B19" s="26" t="inlineStr">
        <is>
          <t>Change in NWC</t>
        </is>
      </c>
      <c r="C19" s="30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1" t="inlineStr">
        <is>
          <t>NWC inputs are in Segment Analysis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Torishima Pump Mfg. Co., Ltd.</t>
        </is>
      </c>
      <c r="C5" t="inlineStr">
        <is>
          <t>6363.T</t>
        </is>
      </c>
      <c r="D5" s="31" t="n">
        <v>87765.983232</v>
      </c>
      <c r="E5" s="31" t="n">
        <v>110493.983232</v>
      </c>
      <c r="F5" s="31" t="n">
        <v>89000</v>
      </c>
      <c r="G5" s="31" t="n">
        <v>8483</v>
      </c>
      <c r="H5" s="31" t="n">
        <v>5800</v>
      </c>
      <c r="I5" s="31" t="n">
        <v>5600</v>
      </c>
      <c r="J5" s="32">
        <f>E5/G5</f>
        <v/>
      </c>
      <c r="K5" s="32">
        <f>E5/F5</f>
        <v/>
      </c>
      <c r="L5" s="32">
        <f>D5/I5</f>
        <v/>
      </c>
      <c r="M5" s="32" t="n">
        <v>1.555665548185831</v>
      </c>
      <c r="N5" s="33">
        <f>H5/F5</f>
        <v/>
      </c>
      <c r="O5" s="33" t="n">
        <v>0.09926086108796994</v>
      </c>
    </row>
    <row r="6">
      <c r="B6" s="4" t="inlineStr">
        <is>
          <t>Tsurumi Manufacturing Co., Ltd.</t>
        </is>
      </c>
      <c r="C6" t="inlineStr">
        <is>
          <t>6351.T</t>
        </is>
      </c>
      <c r="D6" s="31" t="n">
        <v>115360.284672</v>
      </c>
      <c r="E6" s="31" t="n">
        <v>131039.284672</v>
      </c>
      <c r="F6" s="31" t="n">
        <v>74000</v>
      </c>
      <c r="G6" s="31" t="n">
        <v>12694</v>
      </c>
      <c r="H6" s="31" t="n">
        <v>11000</v>
      </c>
      <c r="I6" s="31" t="n">
        <v>7800</v>
      </c>
      <c r="J6" s="32">
        <f>E6/G6</f>
        <v/>
      </c>
      <c r="K6" s="32">
        <f>E6/F6</f>
        <v/>
      </c>
      <c r="L6" s="32">
        <f>D6/I6</f>
        <v/>
      </c>
      <c r="M6" s="32" t="n">
        <v>1.203525066477486</v>
      </c>
      <c r="N6" s="33">
        <f>H6/F6</f>
        <v/>
      </c>
      <c r="O6" s="33" t="n">
        <v>0.08137545382464632</v>
      </c>
    </row>
    <row r="7">
      <c r="B7" s="4" t="inlineStr">
        <is>
          <t>Iwaki Co., Ltd.</t>
        </is>
      </c>
      <c r="C7" t="inlineStr">
        <is>
          <t>6237.T</t>
        </is>
      </c>
      <c r="D7" s="31" t="n">
        <v>61559.52128</v>
      </c>
      <c r="E7" s="31" t="n">
        <v>64316.52128</v>
      </c>
      <c r="F7" s="31" t="n">
        <v>48439</v>
      </c>
      <c r="G7" s="31" t="n">
        <v>7407</v>
      </c>
      <c r="H7" s="31" t="n">
        <v>6159</v>
      </c>
      <c r="I7" s="31" t="n">
        <v>4788</v>
      </c>
      <c r="J7" s="32">
        <f>E7/G7</f>
        <v/>
      </c>
      <c r="K7" s="32">
        <f>E7/F7</f>
        <v/>
      </c>
      <c r="L7" s="32">
        <f>D7/I7</f>
        <v/>
      </c>
      <c r="M7" s="32" t="n">
        <v>1.615311500393598</v>
      </c>
      <c r="N7" s="33">
        <f>H7/F7</f>
        <v/>
      </c>
      <c r="O7" s="33" t="n">
        <v>0.1256363159275781</v>
      </c>
    </row>
    <row r="8">
      <c r="B8" s="4" t="inlineStr">
        <is>
          <t>Maezawa Industries, Inc.</t>
        </is>
      </c>
      <c r="C8" t="inlineStr">
        <is>
          <t>6489.T</t>
        </is>
      </c>
      <c r="D8" s="31" t="n">
        <v>36339.412992</v>
      </c>
      <c r="E8" s="31" t="n">
        <v>38761.412992</v>
      </c>
      <c r="F8" s="31" t="n">
        <v>39000</v>
      </c>
      <c r="G8" s="31" t="n">
        <v>5579</v>
      </c>
      <c r="H8" s="31" t="n">
        <v>4900</v>
      </c>
      <c r="I8" s="31" t="n">
        <v>3200</v>
      </c>
      <c r="J8" s="32">
        <f>E8/G8</f>
        <v/>
      </c>
      <c r="K8" s="32">
        <f>E8/F8</f>
        <v/>
      </c>
      <c r="L8" s="32">
        <f>D8/I8</f>
        <v/>
      </c>
      <c r="M8" s="32" t="n">
        <v>1.214593167953474</v>
      </c>
      <c r="N8" s="33">
        <f>H8/F8</f>
        <v/>
      </c>
      <c r="O8" s="33" t="n">
        <v>0.1069554463718707</v>
      </c>
    </row>
    <row r="9">
      <c r="B9" s="4" t="inlineStr">
        <is>
          <t>Kaji Technology Corporation</t>
        </is>
      </c>
      <c r="C9" t="inlineStr">
        <is>
          <t>6391.T</t>
        </is>
      </c>
      <c r="D9" s="31" t="n">
        <v>7882.306048</v>
      </c>
      <c r="E9" s="31" t="n">
        <v>9254.306048</v>
      </c>
      <c r="F9" s="31" t="n">
        <v>7700</v>
      </c>
      <c r="G9" s="31" t="n">
        <v>1260</v>
      </c>
      <c r="H9" s="31" t="n">
        <v>970</v>
      </c>
      <c r="I9" s="31" t="n">
        <v>730</v>
      </c>
      <c r="J9" s="32">
        <f>E9/G9</f>
        <v/>
      </c>
      <c r="K9" s="32">
        <f>E9/F9</f>
        <v/>
      </c>
      <c r="L9" s="32">
        <f>D9/I9</f>
        <v/>
      </c>
      <c r="M9" s="32" t="n">
        <v>1.008225383474034</v>
      </c>
      <c r="N9" s="33">
        <f>H9/F9</f>
        <v/>
      </c>
      <c r="O9" s="33" t="n">
        <v>0.09337426451777948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2">
        <f>PERCENTILE(J5:J9,0.25)</f>
        <v/>
      </c>
      <c r="E15" s="32">
        <f>PERCENTILE(K5:K9,0.25)</f>
        <v/>
      </c>
      <c r="F15" s="32">
        <f>PERCENTILE(L5:L9,0.25)</f>
        <v/>
      </c>
      <c r="G15" s="32">
        <f>PERCENTILE(M5:M9,0.25)</f>
        <v/>
      </c>
      <c r="H15" s="33">
        <f>PERCENTILE(N5:N9,0.25)</f>
        <v/>
      </c>
      <c r="I15" s="33">
        <f>PERCENTILE(O5:O9,0.25)</f>
        <v/>
      </c>
    </row>
    <row r="16">
      <c r="B16" s="4" t="inlineStr">
        <is>
          <t>Median (50th)</t>
        </is>
      </c>
      <c r="D16" s="32">
        <f>MEDIAN(J5:J9)</f>
        <v/>
      </c>
      <c r="E16" s="32">
        <f>MEDIAN(K5:K9)</f>
        <v/>
      </c>
      <c r="F16" s="32">
        <f>MEDIAN(L5:L9)</f>
        <v/>
      </c>
      <c r="G16" s="32">
        <f>MEDIAN(M5:M9)</f>
        <v/>
      </c>
      <c r="H16" s="33">
        <f>MEDIAN(N5:N9)</f>
        <v/>
      </c>
      <c r="I16" s="33">
        <f>MEDIAN(O5:O9)</f>
        <v/>
      </c>
    </row>
    <row r="17">
      <c r="B17" s="4" t="inlineStr">
        <is>
          <t>75th Percentile</t>
        </is>
      </c>
      <c r="D17" s="32">
        <f>PERCENTILE(J5:J9,0.75)</f>
        <v/>
      </c>
      <c r="E17" s="32">
        <f>PERCENTILE(K5:K9,0.75)</f>
        <v/>
      </c>
      <c r="F17" s="32">
        <f>PERCENTILE(L5:L9,0.75)</f>
        <v/>
      </c>
      <c r="G17" s="32">
        <f>PERCENTILE(M5:M9,0.75)</f>
        <v/>
      </c>
      <c r="H17" s="33">
        <f>PERCENTILE(N5:N9,0.75)</f>
        <v/>
      </c>
      <c r="I17" s="33">
        <f>PERCENTILE(O5:O9,0.75)</f>
        <v/>
      </c>
    </row>
    <row r="19">
      <c r="B19" s="22" t="inlineStr">
        <is>
          <t>Implied Valuation for DMW Corporation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DMW Corporation Financials</t>
        </is>
      </c>
    </row>
    <row r="21">
      <c r="B21" s="4" t="inlineStr">
        <is>
          <t>EBITDA (JPY mn)</t>
        </is>
      </c>
      <c r="C21" s="5" t="n">
        <v>3929</v>
      </c>
    </row>
    <row r="22">
      <c r="B22" s="4" t="inlineStr">
        <is>
          <t>Net Income (JPY mn)</t>
        </is>
      </c>
      <c r="C22" s="5" t="n">
        <v>2426</v>
      </c>
    </row>
    <row r="23">
      <c r="B23" s="4" t="inlineStr">
        <is>
          <t>Shares Outstanding</t>
        </is>
      </c>
      <c r="C23" s="15" t="n">
        <v>4144556</v>
      </c>
    </row>
    <row r="24">
      <c r="B24" s="4" t="inlineStr">
        <is>
          <t>Net Debt (JPY mn)</t>
        </is>
      </c>
      <c r="C24" s="5" t="n">
        <v>0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4" t="inlineStr">
        <is>
          <t>WACC \ Terminal g</t>
        </is>
      </c>
      <c r="C6" s="35">
        <f>$F$3-0.0075</f>
        <v/>
      </c>
      <c r="D6" s="35">
        <f>$F$3-0.005</f>
        <v/>
      </c>
      <c r="E6" s="35">
        <f>$F$3-0.0025</f>
        <v/>
      </c>
      <c r="F6" s="35">
        <f>$F$3</f>
        <v/>
      </c>
      <c r="G6" s="35">
        <f>$F$3+0.0025</f>
        <v/>
      </c>
      <c r="H6" s="35">
        <f>$F$3+0.005</f>
        <v/>
      </c>
      <c r="I6" s="35">
        <f>$F$3+0.0075</f>
        <v/>
      </c>
    </row>
    <row r="7">
      <c r="B7" s="33">
        <f>$C$3-0.015</f>
        <v/>
      </c>
      <c r="C7" s="31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1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1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1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1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1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1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3">
        <f>$C$3-0.01</f>
        <v/>
      </c>
      <c r="C8" s="31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1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1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1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1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1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1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3">
        <f>$C$3-0.005</f>
        <v/>
      </c>
      <c r="C9" s="31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1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1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1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1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1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1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3">
        <f>$C$3</f>
        <v/>
      </c>
      <c r="C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3">
        <f>$C$3+0.005</f>
        <v/>
      </c>
      <c r="C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3">
        <f>$C$3+0.01</f>
        <v/>
      </c>
      <c r="C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3">
        <f>$C$3+0.015</f>
        <v/>
      </c>
      <c r="C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4" t="inlineStr">
        <is>
          <t>WACC \ Exit Multiple</t>
        </is>
      </c>
      <c r="C17" s="36">
        <f>$I$3-3.0</f>
        <v/>
      </c>
      <c r="D17" s="36">
        <f>$I$3-2.0</f>
        <v/>
      </c>
      <c r="E17" s="36">
        <f>$I$3-1.0</f>
        <v/>
      </c>
      <c r="F17" s="36">
        <f>$I$3</f>
        <v/>
      </c>
      <c r="G17" s="36">
        <f>$I$3+1.0</f>
        <v/>
      </c>
      <c r="H17" s="36">
        <f>$I$3+2.0</f>
        <v/>
      </c>
      <c r="I17" s="36">
        <f>$I$3+3.0</f>
        <v/>
      </c>
    </row>
    <row r="18">
      <c r="B18" s="33">
        <f>$C$3-0.015</f>
        <v/>
      </c>
      <c r="C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3">
        <f>$C$3-0.01</f>
        <v/>
      </c>
      <c r="C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3">
        <f>$C$3-0.005</f>
        <v/>
      </c>
      <c r="C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3">
        <f>$C$3</f>
        <v/>
      </c>
      <c r="C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3">
        <f>$C$3+0.005</f>
        <v/>
      </c>
      <c r="C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3">
        <f>$C$3+0.01</f>
        <v/>
      </c>
      <c r="C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3">
        <f>$C$3+0.015</f>
        <v/>
      </c>
      <c r="C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K9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2" t="inlineStr">
        <is>
          <t>Segment Analysis - DMW Corporation</t>
        </is>
      </c>
    </row>
    <row r="4"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  <c r="G4" s="10" t="inlineStr">
        <is>
          <t>FY2026(E)</t>
        </is>
      </c>
      <c r="H4" s="10" t="inlineStr">
        <is>
          <t>FY2027(E)</t>
        </is>
      </c>
      <c r="I4" s="10" t="inlineStr">
        <is>
          <t>FY2028(E)</t>
        </is>
      </c>
      <c r="J4" s="10" t="inlineStr">
        <is>
          <t>FY2029(E)</t>
        </is>
      </c>
      <c r="K4" s="10" t="inlineStr">
        <is>
          <t>FY2030(E)</t>
        </is>
      </c>
    </row>
    <row r="5">
      <c r="B5" s="8" t="inlineStr">
        <is>
          <t>Public Sector (Pumps &amp; Blowers) (官需部門（ポンプ・送風機）)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B6" s="4" t="inlineStr">
        <is>
          <t>Revenue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9" t="n">
        <v>12915</v>
      </c>
      <c r="G6" s="29">
        <f>F6*(1+CHOOSE('DCF Model'!$D$27,G34,G35,G36,G37,G38))</f>
        <v/>
      </c>
      <c r="H6" s="29">
        <f>G6*(1+CHOOSE('DCF Model'!$D$27,H34,H35,H36,H37,H38))</f>
        <v/>
      </c>
      <c r="I6" s="29">
        <f>H6*(1+CHOOSE('DCF Model'!$D$27,I34,I35,I36,I37,I38))</f>
        <v/>
      </c>
      <c r="J6" s="29">
        <f>I6*(1+CHOOSE('DCF Model'!$D$27,J34,J35,J36,J37,J38))</f>
        <v/>
      </c>
      <c r="K6" s="29">
        <f>J6*(1+CHOOSE('DCF Model'!$D$27,K34,K35,K36,K37,K38))</f>
        <v/>
      </c>
    </row>
    <row r="7">
      <c r="B7" s="4" t="inlineStr">
        <is>
          <t>Operating Profit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9">
        <f>G6*CHOOSE('DCF Model'!$D$27,G41,G42,G43,G44,G45)</f>
        <v/>
      </c>
      <c r="H7" s="29">
        <f>H6*CHOOSE('DCF Model'!$D$27,H41,H42,H43,H44,H45)</f>
        <v/>
      </c>
      <c r="I7" s="29">
        <f>I6*CHOOSE('DCF Model'!$D$27,I41,I42,I43,I44,I45)</f>
        <v/>
      </c>
      <c r="J7" s="29">
        <f>J6*CHOOSE('DCF Model'!$D$27,J41,J42,J43,J44,J45)</f>
        <v/>
      </c>
      <c r="K7" s="29">
        <f>K6*CHOOSE('DCF Model'!$D$27,K41,K42,K43,K44,K45)</f>
        <v/>
      </c>
    </row>
    <row r="8">
      <c r="B8" s="37" t="inlineStr">
        <is>
          <t>OP Margin</t>
        </is>
      </c>
      <c r="C8" s="28" t="inlineStr">
        <is>
          <t>—</t>
        </is>
      </c>
      <c r="D8" s="28" t="inlineStr">
        <is>
          <t>—</t>
        </is>
      </c>
      <c r="E8" s="28" t="inlineStr">
        <is>
          <t>—</t>
        </is>
      </c>
      <c r="F8" s="28" t="inlineStr">
        <is>
          <t>—</t>
        </is>
      </c>
      <c r="G8" s="27">
        <f>CHOOSE('DCF Model'!$D$27,G41,G42,G43,G44,G45)</f>
        <v/>
      </c>
      <c r="H8" s="27">
        <f>CHOOSE('DCF Model'!$D$27,H41,H42,H43,H44,H45)</f>
        <v/>
      </c>
      <c r="I8" s="27">
        <f>CHOOSE('DCF Model'!$D$27,I41,I42,I43,I44,I45)</f>
        <v/>
      </c>
      <c r="J8" s="27">
        <f>CHOOSE('DCF Model'!$D$27,J41,J42,J43,J44,J45)</f>
        <v/>
      </c>
      <c r="K8" s="27">
        <f>CHOOSE('DCF Model'!$D$27,K41,K42,K43,K44,K45)</f>
        <v/>
      </c>
    </row>
    <row r="10">
      <c r="B10" s="8" t="inlineStr">
        <is>
          <t>Private Sector (Industrial Pumps &amp; Blowers) (民需部門（産業用ポンプ・送風機）)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B11" s="4" t="inlineStr">
        <is>
          <t>Revenue</t>
        </is>
      </c>
      <c r="C11" s="28" t="inlineStr">
        <is>
          <t>—</t>
        </is>
      </c>
      <c r="D11" s="28" t="inlineStr">
        <is>
          <t>—</t>
        </is>
      </c>
      <c r="E11" s="28" t="inlineStr">
        <is>
          <t>—</t>
        </is>
      </c>
      <c r="F11" s="29" t="n">
        <v>8985</v>
      </c>
      <c r="G11" s="29">
        <f>F11*(1+CHOOSE('DCF Model'!$D$27,G48,G49,G50,G51,G52))</f>
        <v/>
      </c>
      <c r="H11" s="29">
        <f>G11*(1+CHOOSE('DCF Model'!$D$27,H48,H49,H50,H51,H52))</f>
        <v/>
      </c>
      <c r="I11" s="29">
        <f>H11*(1+CHOOSE('DCF Model'!$D$27,I48,I49,I50,I51,I52))</f>
        <v/>
      </c>
      <c r="J11" s="29">
        <f>I11*(1+CHOOSE('DCF Model'!$D$27,J48,J49,J50,J51,J52))</f>
        <v/>
      </c>
      <c r="K11" s="29">
        <f>J11*(1+CHOOSE('DCF Model'!$D$27,K48,K49,K50,K51,K52))</f>
        <v/>
      </c>
    </row>
    <row r="12">
      <c r="B12" s="4" t="inlineStr">
        <is>
          <t>Operating Profit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9">
        <f>G11*CHOOSE('DCF Model'!$D$27,G55,G56,G57,G58,G59)</f>
        <v/>
      </c>
      <c r="H12" s="29">
        <f>H11*CHOOSE('DCF Model'!$D$27,H55,H56,H57,H58,H59)</f>
        <v/>
      </c>
      <c r="I12" s="29">
        <f>I11*CHOOSE('DCF Model'!$D$27,I55,I56,I57,I58,I59)</f>
        <v/>
      </c>
      <c r="J12" s="29">
        <f>J11*CHOOSE('DCF Model'!$D$27,J55,J56,J57,J58,J59)</f>
        <v/>
      </c>
      <c r="K12" s="29">
        <f>K11*CHOOSE('DCF Model'!$D$27,K55,K56,K57,K58,K59)</f>
        <v/>
      </c>
    </row>
    <row r="13">
      <c r="B13" s="37" t="inlineStr">
        <is>
          <t>OP Margin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7">
        <f>CHOOSE('DCF Model'!$D$27,G55,G56,G57,G58,G59)</f>
        <v/>
      </c>
      <c r="H13" s="27">
        <f>CHOOSE('DCF Model'!$D$27,H55,H56,H57,H58,H59)</f>
        <v/>
      </c>
      <c r="I13" s="27">
        <f>CHOOSE('DCF Model'!$D$27,I55,I56,I57,I58,I59)</f>
        <v/>
      </c>
      <c r="J13" s="27">
        <f>CHOOSE('DCF Model'!$D$27,J55,J56,J57,J58,J59)</f>
        <v/>
      </c>
      <c r="K13" s="27">
        <f>CHOOSE('DCF Model'!$D$27,K55,K56,K57,K58,K59)</f>
        <v/>
      </c>
    </row>
    <row r="15">
      <c r="B15" s="8" t="inlineStr">
        <is>
          <t>Overseas &amp; Desalination (DeROs + Export) (海外・淡水化部門（DeROs・輸出）)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B16" s="4" t="inlineStr">
        <is>
          <t>Revenue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9" t="n">
        <v>6177</v>
      </c>
      <c r="G16" s="29">
        <f>F16*(1+CHOOSE('DCF Model'!$D$27,G62,G63,G64,G65,G66))</f>
        <v/>
      </c>
      <c r="H16" s="29">
        <f>G16*(1+CHOOSE('DCF Model'!$D$27,H62,H63,H64,H65,H66))</f>
        <v/>
      </c>
      <c r="I16" s="29">
        <f>H16*(1+CHOOSE('DCF Model'!$D$27,I62,I63,I64,I65,I66))</f>
        <v/>
      </c>
      <c r="J16" s="29">
        <f>I16*(1+CHOOSE('DCF Model'!$D$27,J62,J63,J64,J65,J66))</f>
        <v/>
      </c>
      <c r="K16" s="29">
        <f>J16*(1+CHOOSE('DCF Model'!$D$27,K62,K63,K64,K65,K66))</f>
        <v/>
      </c>
    </row>
    <row r="17">
      <c r="B17" s="4" t="inlineStr">
        <is>
          <t>Operating Profit</t>
        </is>
      </c>
      <c r="C17" s="28" t="inlineStr">
        <is>
          <t>—</t>
        </is>
      </c>
      <c r="D17" s="28" t="inlineStr">
        <is>
          <t>—</t>
        </is>
      </c>
      <c r="E17" s="28" t="inlineStr">
        <is>
          <t>—</t>
        </is>
      </c>
      <c r="F17" s="28" t="inlineStr">
        <is>
          <t>—</t>
        </is>
      </c>
      <c r="G17" s="29">
        <f>G16*CHOOSE('DCF Model'!$D$27,G69,G70,G71,G72,G73)</f>
        <v/>
      </c>
      <c r="H17" s="29">
        <f>H16*CHOOSE('DCF Model'!$D$27,H69,H70,H71,H72,H73)</f>
        <v/>
      </c>
      <c r="I17" s="29">
        <f>I16*CHOOSE('DCF Model'!$D$27,I69,I70,I71,I72,I73)</f>
        <v/>
      </c>
      <c r="J17" s="29">
        <f>J16*CHOOSE('DCF Model'!$D$27,J69,J70,J71,J72,J73)</f>
        <v/>
      </c>
      <c r="K17" s="29">
        <f>K16*CHOOSE('DCF Model'!$D$27,K69,K70,K71,K72,K73)</f>
        <v/>
      </c>
    </row>
    <row r="18">
      <c r="B18" s="37" t="inlineStr">
        <is>
          <t>OP Margin</t>
        </is>
      </c>
      <c r="C18" s="28" t="inlineStr">
        <is>
          <t>—</t>
        </is>
      </c>
      <c r="D18" s="28" t="inlineStr">
        <is>
          <t>—</t>
        </is>
      </c>
      <c r="E18" s="28" t="inlineStr">
        <is>
          <t>—</t>
        </is>
      </c>
      <c r="F18" s="28" t="inlineStr">
        <is>
          <t>—</t>
        </is>
      </c>
      <c r="G18" s="27">
        <f>CHOOSE('DCF Model'!$D$27,G69,G70,G71,G72,G73)</f>
        <v/>
      </c>
      <c r="H18" s="27">
        <f>CHOOSE('DCF Model'!$D$27,H69,H70,H71,H72,H73)</f>
        <v/>
      </c>
      <c r="I18" s="27">
        <f>CHOOSE('DCF Model'!$D$27,I69,I70,I71,I72,I73)</f>
        <v/>
      </c>
      <c r="J18" s="27">
        <f>CHOOSE('DCF Model'!$D$27,J69,J70,J71,J72,J73)</f>
        <v/>
      </c>
      <c r="K18" s="27">
        <f>CHOOSE('DCF Model'!$D$27,K69,K70,K71,K72,K73)</f>
        <v/>
      </c>
    </row>
    <row r="20">
      <c r="B20" s="22" t="inlineStr">
        <is>
          <t>Consolidated Total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</row>
    <row r="21">
      <c r="B21" s="4" t="inlineStr">
        <is>
          <t>Total Revenue</t>
        </is>
      </c>
      <c r="C21" s="20">
        <f>C6+C11+C16</f>
        <v/>
      </c>
      <c r="D21" s="20">
        <f>D6+D11+D16</f>
        <v/>
      </c>
      <c r="E21" s="20">
        <f>E6+E11+E16</f>
        <v/>
      </c>
      <c r="F21" s="20">
        <f>F6+F11+F16</f>
        <v/>
      </c>
      <c r="G21" s="20">
        <f>G6+G11+G16</f>
        <v/>
      </c>
      <c r="H21" s="20">
        <f>H6+H11+H16</f>
        <v/>
      </c>
      <c r="I21" s="20">
        <f>I6+I11+I16</f>
        <v/>
      </c>
      <c r="J21" s="20">
        <f>J6+J11+J16</f>
        <v/>
      </c>
      <c r="K21" s="20">
        <f>K6+K11+K16</f>
        <v/>
      </c>
    </row>
    <row r="22">
      <c r="B22" s="4" t="inlineStr">
        <is>
          <t>Total Operating Profit</t>
        </is>
      </c>
      <c r="C22" s="20">
        <f>C7+C12+C17</f>
        <v/>
      </c>
      <c r="D22" s="20">
        <f>D7+D12+D17</f>
        <v/>
      </c>
      <c r="E22" s="20">
        <f>E7+E12+E17</f>
        <v/>
      </c>
      <c r="F22" s="20">
        <f>F7+F12+F17</f>
        <v/>
      </c>
      <c r="G22" s="20">
        <f>G7+G12+G17</f>
        <v/>
      </c>
      <c r="H22" s="20">
        <f>H7+H12+H17</f>
        <v/>
      </c>
      <c r="I22" s="20">
        <f>I7+I12+I17</f>
        <v/>
      </c>
      <c r="J22" s="20">
        <f>J7+J12+J17</f>
        <v/>
      </c>
      <c r="K22" s="20">
        <f>K7+K12+K17</f>
        <v/>
      </c>
    </row>
    <row r="23">
      <c r="B23" s="37" t="inlineStr">
        <is>
          <t>Total OP Margin</t>
        </is>
      </c>
      <c r="C23" s="27">
        <f>IFERROR(C22/C21,"—")</f>
        <v/>
      </c>
      <c r="D23" s="27">
        <f>IFERROR(D22/D21,"—")</f>
        <v/>
      </c>
      <c r="E23" s="27">
        <f>IFERROR(E22/E21,"—")</f>
        <v/>
      </c>
      <c r="F23" s="27">
        <f>IFERROR(F22/F21,"—")</f>
        <v/>
      </c>
      <c r="G23" s="27">
        <f>IFERROR(G22/G21,"—")</f>
        <v/>
      </c>
      <c r="H23" s="27">
        <f>IFERROR(H22/H21,"—")</f>
        <v/>
      </c>
      <c r="I23" s="27">
        <f>IFERROR(I22/I21,"—")</f>
        <v/>
      </c>
      <c r="J23" s="27">
        <f>IFERROR(J22/J21,"—")</f>
        <v/>
      </c>
      <c r="K23" s="27">
        <f>IFERROR(K22/K21,"—")</f>
        <v/>
      </c>
    </row>
    <row r="25">
      <c r="B25" s="38" t="inlineStr">
        <is>
          <t>Reconciliation vs DCF Model</t>
        </is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</row>
    <row r="26">
      <c r="B26" s="4" t="inlineStr">
        <is>
          <t>DCF Model Revenue</t>
        </is>
      </c>
      <c r="G26" s="40">
        <f>'DCF Model'!C33</f>
        <v/>
      </c>
      <c r="H26" s="40">
        <f>'DCF Model'!D33</f>
        <v/>
      </c>
      <c r="I26" s="40">
        <f>'DCF Model'!E33</f>
        <v/>
      </c>
      <c r="J26" s="40">
        <f>'DCF Model'!F33</f>
        <v/>
      </c>
      <c r="K26" s="40">
        <f>'DCF Model'!G33</f>
        <v/>
      </c>
    </row>
    <row r="27">
      <c r="B27" s="4" t="inlineStr">
        <is>
          <t>Segment Total Revenue</t>
        </is>
      </c>
      <c r="G27" s="29">
        <f>G21</f>
        <v/>
      </c>
      <c r="H27" s="29">
        <f>H21</f>
        <v/>
      </c>
      <c r="I27" s="29">
        <f>I21</f>
        <v/>
      </c>
      <c r="J27" s="29">
        <f>J21</f>
        <v/>
      </c>
      <c r="K27" s="29">
        <f>K21</f>
        <v/>
      </c>
    </row>
    <row r="28">
      <c r="B28" s="4" t="inlineStr">
        <is>
          <t>Difference</t>
        </is>
      </c>
      <c r="G28" s="24">
        <f>G27-G26</f>
        <v/>
      </c>
      <c r="H28" s="24">
        <f>H27-H26</f>
        <v/>
      </c>
      <c r="I28" s="24">
        <f>I27-I26</f>
        <v/>
      </c>
      <c r="J28" s="24">
        <f>J27-J26</f>
        <v/>
      </c>
      <c r="K28" s="24">
        <f>K27-K26</f>
        <v/>
      </c>
    </row>
    <row r="31">
      <c r="B31" s="41" t="inlineStr">
        <is>
          <t>Segment Scenario Input Matrix</t>
        </is>
      </c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</row>
    <row r="32">
      <c r="G32" s="43" t="inlineStr">
        <is>
          <t>FY2026(E)</t>
        </is>
      </c>
      <c r="H32" s="43" t="inlineStr">
        <is>
          <t>FY2027(E)</t>
        </is>
      </c>
      <c r="I32" s="43" t="inlineStr">
        <is>
          <t>FY2028(E)</t>
        </is>
      </c>
      <c r="J32" s="43" t="inlineStr">
        <is>
          <t>FY2029(E)</t>
        </is>
      </c>
      <c r="K32" s="43" t="inlineStr">
        <is>
          <t>FY2030(E)</t>
        </is>
      </c>
    </row>
    <row r="33">
      <c r="B33" s="3" t="inlineStr">
        <is>
          <t>Public Sector (Pumps &amp; Blowers) - Revenue Growth (YoY)</t>
        </is>
      </c>
    </row>
    <row r="34">
      <c r="B34" s="4" t="inlineStr">
        <is>
          <t>Base</t>
        </is>
      </c>
      <c r="G34" s="44" t="n">
        <v>0.02</v>
      </c>
      <c r="H34" s="44" t="n">
        <v>0.02</v>
      </c>
      <c r="I34" s="44" t="n">
        <v>0.03</v>
      </c>
      <c r="J34" s="44" t="n">
        <v>0.03</v>
      </c>
      <c r="K34" s="44" t="n">
        <v>0.03</v>
      </c>
    </row>
    <row r="35">
      <c r="B35" s="4" t="inlineStr">
        <is>
          <t>Upside</t>
        </is>
      </c>
      <c r="G35" s="44" t="n">
        <v>0.035</v>
      </c>
      <c r="H35" s="44" t="n">
        <v>0.035</v>
      </c>
      <c r="I35" s="44" t="n">
        <v>0.045</v>
      </c>
      <c r="J35" s="44" t="n">
        <v>0.045</v>
      </c>
      <c r="K35" s="44" t="n">
        <v>0.045</v>
      </c>
    </row>
    <row r="36">
      <c r="B36" s="4" t="inlineStr">
        <is>
          <t>Management</t>
        </is>
      </c>
      <c r="G36" s="44" t="n">
        <v>0.02</v>
      </c>
      <c r="H36" s="44" t="n">
        <v>0.02</v>
      </c>
      <c r="I36" s="44" t="n">
        <v>0.03</v>
      </c>
      <c r="J36" s="44" t="n">
        <v>0.03</v>
      </c>
      <c r="K36" s="44" t="n">
        <v>0.03</v>
      </c>
    </row>
    <row r="37">
      <c r="B37" s="4" t="inlineStr">
        <is>
          <t>Downside 1</t>
        </is>
      </c>
      <c r="G37" s="44" t="n">
        <v>0</v>
      </c>
      <c r="H37" s="44" t="n">
        <v>0</v>
      </c>
      <c r="I37" s="44" t="n">
        <v>0.01</v>
      </c>
      <c r="J37" s="44" t="n">
        <v>0.01</v>
      </c>
      <c r="K37" s="44" t="n">
        <v>0.01</v>
      </c>
    </row>
    <row r="38">
      <c r="B38" s="4" t="inlineStr">
        <is>
          <t>Downside 2</t>
        </is>
      </c>
      <c r="G38" s="44" t="n">
        <v>-0.02</v>
      </c>
      <c r="H38" s="44" t="n">
        <v>-0.02</v>
      </c>
      <c r="I38" s="44" t="n">
        <v>-0.01</v>
      </c>
      <c r="J38" s="44" t="n">
        <v>-0.01</v>
      </c>
      <c r="K38" s="44" t="n">
        <v>-0.01</v>
      </c>
    </row>
    <row r="40">
      <c r="B40" s="3" t="inlineStr">
        <is>
          <t>Public Sector (Pumps &amp; Blowers) - OP Margin</t>
        </is>
      </c>
    </row>
    <row r="41">
      <c r="B41" s="4" t="inlineStr">
        <is>
          <t>Base</t>
        </is>
      </c>
      <c r="G41" s="44" t="n">
        <v>0.1</v>
      </c>
      <c r="H41" s="44" t="n">
        <v>0.1</v>
      </c>
      <c r="I41" s="44" t="n">
        <v>0.11</v>
      </c>
      <c r="J41" s="44" t="n">
        <v>0.11</v>
      </c>
      <c r="K41" s="44" t="n">
        <v>0.11</v>
      </c>
    </row>
    <row r="42">
      <c r="B42" s="4" t="inlineStr">
        <is>
          <t>Upside</t>
        </is>
      </c>
      <c r="G42" s="44" t="n">
        <v>0.11</v>
      </c>
      <c r="H42" s="44" t="n">
        <v>0.11</v>
      </c>
      <c r="I42" s="44" t="n">
        <v>0.12</v>
      </c>
      <c r="J42" s="44" t="n">
        <v>0.12</v>
      </c>
      <c r="K42" s="44" t="n">
        <v>0.12</v>
      </c>
    </row>
    <row r="43">
      <c r="B43" s="4" t="inlineStr">
        <is>
          <t>Management</t>
        </is>
      </c>
      <c r="G43" s="44" t="n">
        <v>0.1</v>
      </c>
      <c r="H43" s="44" t="n">
        <v>0.1</v>
      </c>
      <c r="I43" s="44" t="n">
        <v>0.11</v>
      </c>
      <c r="J43" s="44" t="n">
        <v>0.11</v>
      </c>
      <c r="K43" s="44" t="n">
        <v>0.11</v>
      </c>
    </row>
    <row r="44">
      <c r="B44" s="4" t="inlineStr">
        <is>
          <t>Downside 1</t>
        </is>
      </c>
      <c r="G44" s="44" t="n">
        <v>0.09</v>
      </c>
      <c r="H44" s="44" t="n">
        <v>0.09</v>
      </c>
      <c r="I44" s="44" t="n">
        <v>0.1</v>
      </c>
      <c r="J44" s="44" t="n">
        <v>0.1</v>
      </c>
      <c r="K44" s="44" t="n">
        <v>0.1</v>
      </c>
    </row>
    <row r="45">
      <c r="B45" s="4" t="inlineStr">
        <is>
          <t>Downside 2</t>
        </is>
      </c>
      <c r="G45" s="44" t="n">
        <v>0.08</v>
      </c>
      <c r="H45" s="44" t="n">
        <v>0.08</v>
      </c>
      <c r="I45" s="44" t="n">
        <v>0.09</v>
      </c>
      <c r="J45" s="44" t="n">
        <v>0.09</v>
      </c>
      <c r="K45" s="44" t="n">
        <v>0.09</v>
      </c>
    </row>
    <row r="47">
      <c r="B47" s="3" t="inlineStr">
        <is>
          <t>Private Sector (Industrial Pumps &amp; Blowers) - Revenue Growth (YoY)</t>
        </is>
      </c>
    </row>
    <row r="48">
      <c r="B48" s="4" t="inlineStr">
        <is>
          <t>Base</t>
        </is>
      </c>
      <c r="G48" s="44" t="n">
        <v>0.03</v>
      </c>
      <c r="H48" s="44" t="n">
        <v>0.04</v>
      </c>
      <c r="I48" s="44" t="n">
        <v>0.05</v>
      </c>
      <c r="J48" s="44" t="n">
        <v>0.05</v>
      </c>
      <c r="K48" s="44" t="n">
        <v>0.05</v>
      </c>
    </row>
    <row r="49">
      <c r="B49" s="4" t="inlineStr">
        <is>
          <t>Upside</t>
        </is>
      </c>
      <c r="G49" s="44" t="n">
        <v>0.045</v>
      </c>
      <c r="H49" s="44" t="n">
        <v>0.055</v>
      </c>
      <c r="I49" s="44" t="n">
        <v>0.065</v>
      </c>
      <c r="J49" s="44" t="n">
        <v>0.065</v>
      </c>
      <c r="K49" s="44" t="n">
        <v>0.065</v>
      </c>
    </row>
    <row r="50">
      <c r="B50" s="4" t="inlineStr">
        <is>
          <t>Management</t>
        </is>
      </c>
      <c r="G50" s="44" t="n">
        <v>0.03</v>
      </c>
      <c r="H50" s="44" t="n">
        <v>0.04</v>
      </c>
      <c r="I50" s="44" t="n">
        <v>0.05</v>
      </c>
      <c r="J50" s="44" t="n">
        <v>0.05</v>
      </c>
      <c r="K50" s="44" t="n">
        <v>0.05</v>
      </c>
    </row>
    <row r="51">
      <c r="B51" s="4" t="inlineStr">
        <is>
          <t>Downside 1</t>
        </is>
      </c>
      <c r="G51" s="44" t="n">
        <v>0.01</v>
      </c>
      <c r="H51" s="44" t="n">
        <v>0.02</v>
      </c>
      <c r="I51" s="44" t="n">
        <v>0.03</v>
      </c>
      <c r="J51" s="44" t="n">
        <v>0.03</v>
      </c>
      <c r="K51" s="44" t="n">
        <v>0.03</v>
      </c>
    </row>
    <row r="52">
      <c r="B52" s="4" t="inlineStr">
        <is>
          <t>Downside 2</t>
        </is>
      </c>
      <c r="G52" s="44" t="n">
        <v>-0.01</v>
      </c>
      <c r="H52" s="44" t="n">
        <v>0</v>
      </c>
      <c r="I52" s="44" t="n">
        <v>0.01</v>
      </c>
      <c r="J52" s="44" t="n">
        <v>0.01</v>
      </c>
      <c r="K52" s="44" t="n">
        <v>0.01</v>
      </c>
    </row>
    <row r="54">
      <c r="B54" s="3" t="inlineStr">
        <is>
          <t>Private Sector (Industrial Pumps &amp; Blowers) - OP Margin</t>
        </is>
      </c>
    </row>
    <row r="55">
      <c r="B55" s="4" t="inlineStr">
        <is>
          <t>Base</t>
        </is>
      </c>
      <c r="G55" s="44" t="n">
        <v>0.11</v>
      </c>
      <c r="H55" s="44" t="n">
        <v>0.12</v>
      </c>
      <c r="I55" s="44" t="n">
        <v>0.12</v>
      </c>
      <c r="J55" s="44" t="n">
        <v>0.13</v>
      </c>
      <c r="K55" s="44" t="n">
        <v>0.13</v>
      </c>
    </row>
    <row r="56">
      <c r="B56" s="4" t="inlineStr">
        <is>
          <t>Upside</t>
        </is>
      </c>
      <c r="G56" s="44" t="n">
        <v>0.12</v>
      </c>
      <c r="H56" s="44" t="n">
        <v>0.13</v>
      </c>
      <c r="I56" s="44" t="n">
        <v>0.13</v>
      </c>
      <c r="J56" s="44" t="n">
        <v>0.14</v>
      </c>
      <c r="K56" s="44" t="n">
        <v>0.14</v>
      </c>
    </row>
    <row r="57">
      <c r="B57" s="4" t="inlineStr">
        <is>
          <t>Management</t>
        </is>
      </c>
      <c r="G57" s="44" t="n">
        <v>0.11</v>
      </c>
      <c r="H57" s="44" t="n">
        <v>0.12</v>
      </c>
      <c r="I57" s="44" t="n">
        <v>0.12</v>
      </c>
      <c r="J57" s="44" t="n">
        <v>0.13</v>
      </c>
      <c r="K57" s="44" t="n">
        <v>0.13</v>
      </c>
    </row>
    <row r="58">
      <c r="B58" s="4" t="inlineStr">
        <is>
          <t>Downside 1</t>
        </is>
      </c>
      <c r="G58" s="44" t="n">
        <v>0.1</v>
      </c>
      <c r="H58" s="44" t="n">
        <v>0.11</v>
      </c>
      <c r="I58" s="44" t="n">
        <v>0.11</v>
      </c>
      <c r="J58" s="44" t="n">
        <v>0.12</v>
      </c>
      <c r="K58" s="44" t="n">
        <v>0.12</v>
      </c>
    </row>
    <row r="59">
      <c r="B59" s="4" t="inlineStr">
        <is>
          <t>Downside 2</t>
        </is>
      </c>
      <c r="G59" s="44" t="n">
        <v>0.09</v>
      </c>
      <c r="H59" s="44" t="n">
        <v>0.1</v>
      </c>
      <c r="I59" s="44" t="n">
        <v>0.1</v>
      </c>
      <c r="J59" s="44" t="n">
        <v>0.11</v>
      </c>
      <c r="K59" s="44" t="n">
        <v>0.11</v>
      </c>
    </row>
    <row r="61">
      <c r="B61" s="3" t="inlineStr">
        <is>
          <t>Overseas &amp; Desalination (DeROs + Export) - Revenue Growth (YoY)</t>
        </is>
      </c>
    </row>
    <row r="62">
      <c r="B62" s="4" t="inlineStr">
        <is>
          <t>Base</t>
        </is>
      </c>
      <c r="G62" s="44" t="n">
        <v>0.08</v>
      </c>
      <c r="H62" s="44" t="n">
        <v>0.1</v>
      </c>
      <c r="I62" s="44" t="n">
        <v>0.12</v>
      </c>
      <c r="J62" s="44" t="n">
        <v>0.15</v>
      </c>
      <c r="K62" s="44" t="n">
        <v>0.12</v>
      </c>
    </row>
    <row r="63">
      <c r="B63" s="4" t="inlineStr">
        <is>
          <t>Upside</t>
        </is>
      </c>
      <c r="G63" s="44" t="n">
        <v>0.095</v>
      </c>
      <c r="H63" s="44" t="n">
        <v>0.115</v>
      </c>
      <c r="I63" s="44" t="n">
        <v>0.135</v>
      </c>
      <c r="J63" s="44" t="n">
        <v>0.165</v>
      </c>
      <c r="K63" s="44" t="n">
        <v>0.135</v>
      </c>
    </row>
    <row r="64">
      <c r="B64" s="4" t="inlineStr">
        <is>
          <t>Management</t>
        </is>
      </c>
      <c r="G64" s="44" t="n">
        <v>0.08</v>
      </c>
      <c r="H64" s="44" t="n">
        <v>0.1</v>
      </c>
      <c r="I64" s="44" t="n">
        <v>0.12</v>
      </c>
      <c r="J64" s="44" t="n">
        <v>0.15</v>
      </c>
      <c r="K64" s="44" t="n">
        <v>0.12</v>
      </c>
    </row>
    <row r="65">
      <c r="B65" s="4" t="inlineStr">
        <is>
          <t>Downside 1</t>
        </is>
      </c>
      <c r="G65" s="44" t="n">
        <v>0.06</v>
      </c>
      <c r="H65" s="44" t="n">
        <v>0.08</v>
      </c>
      <c r="I65" s="44" t="n">
        <v>0.1</v>
      </c>
      <c r="J65" s="44" t="n">
        <v>0.13</v>
      </c>
      <c r="K65" s="44" t="n">
        <v>0.1</v>
      </c>
    </row>
    <row r="66">
      <c r="B66" s="4" t="inlineStr">
        <is>
          <t>Downside 2</t>
        </is>
      </c>
      <c r="G66" s="44" t="n">
        <v>0.04</v>
      </c>
      <c r="H66" s="44" t="n">
        <v>0.06</v>
      </c>
      <c r="I66" s="44" t="n">
        <v>0.08</v>
      </c>
      <c r="J66" s="44" t="n">
        <v>0.11</v>
      </c>
      <c r="K66" s="44" t="n">
        <v>0.08</v>
      </c>
    </row>
    <row r="68">
      <c r="B68" s="3" t="inlineStr">
        <is>
          <t>Overseas &amp; Desalination (DeROs + Export) - OP Margin</t>
        </is>
      </c>
    </row>
    <row r="69">
      <c r="B69" s="4" t="inlineStr">
        <is>
          <t>Base</t>
        </is>
      </c>
      <c r="G69" s="44" t="n">
        <v>0.12</v>
      </c>
      <c r="H69" s="44" t="n">
        <v>0.13</v>
      </c>
      <c r="I69" s="44" t="n">
        <v>0.14</v>
      </c>
      <c r="J69" s="44" t="n">
        <v>0.15</v>
      </c>
      <c r="K69" s="44" t="n">
        <v>0.15</v>
      </c>
    </row>
    <row r="70">
      <c r="B70" s="4" t="inlineStr">
        <is>
          <t>Upside</t>
        </is>
      </c>
      <c r="G70" s="44" t="n">
        <v>0.13</v>
      </c>
      <c r="H70" s="44" t="n">
        <v>0.14</v>
      </c>
      <c r="I70" s="44" t="n">
        <v>0.15</v>
      </c>
      <c r="J70" s="44" t="n">
        <v>0.16</v>
      </c>
      <c r="K70" s="44" t="n">
        <v>0.16</v>
      </c>
    </row>
    <row r="71">
      <c r="B71" s="4" t="inlineStr">
        <is>
          <t>Management</t>
        </is>
      </c>
      <c r="G71" s="44" t="n">
        <v>0.12</v>
      </c>
      <c r="H71" s="44" t="n">
        <v>0.13</v>
      </c>
      <c r="I71" s="44" t="n">
        <v>0.14</v>
      </c>
      <c r="J71" s="44" t="n">
        <v>0.15</v>
      </c>
      <c r="K71" s="44" t="n">
        <v>0.15</v>
      </c>
    </row>
    <row r="72">
      <c r="B72" s="4" t="inlineStr">
        <is>
          <t>Downside 1</t>
        </is>
      </c>
      <c r="G72" s="44" t="n">
        <v>0.11</v>
      </c>
      <c r="H72" s="44" t="n">
        <v>0.12</v>
      </c>
      <c r="I72" s="44" t="n">
        <v>0.13</v>
      </c>
      <c r="J72" s="44" t="n">
        <v>0.14</v>
      </c>
      <c r="K72" s="44" t="n">
        <v>0.14</v>
      </c>
    </row>
    <row r="73">
      <c r="B73" s="4" t="inlineStr">
        <is>
          <t>Downside 2</t>
        </is>
      </c>
      <c r="G73" s="44" t="n">
        <v>0.1</v>
      </c>
      <c r="H73" s="44" t="n">
        <v>0.11</v>
      </c>
      <c r="I73" s="44" t="n">
        <v>0.12</v>
      </c>
      <c r="J73" s="44" t="n">
        <v>0.13</v>
      </c>
      <c r="K73" s="44" t="n">
        <v>0.13</v>
      </c>
    </row>
    <row r="76">
      <c r="B76" s="45" t="inlineStr">
        <is>
          <t>Consolidated Inputs (連結レベル)</t>
        </is>
      </c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</row>
    <row r="77">
      <c r="G77" s="43" t="inlineStr">
        <is>
          <t>FY2026(E)</t>
        </is>
      </c>
      <c r="H77" s="43" t="inlineStr">
        <is>
          <t>FY2027(E)</t>
        </is>
      </c>
      <c r="I77" s="43" t="inlineStr">
        <is>
          <t>FY2028(E)</t>
        </is>
      </c>
      <c r="J77" s="43" t="inlineStr">
        <is>
          <t>FY2029(E)</t>
        </is>
      </c>
      <c r="K77" s="43" t="inlineStr">
        <is>
          <t>FY2030(E)</t>
        </is>
      </c>
    </row>
    <row r="78">
      <c r="B78" s="3" t="inlineStr">
        <is>
          <t>COGS % of Revenue</t>
        </is>
      </c>
    </row>
    <row r="79">
      <c r="B79" s="4" t="inlineStr">
        <is>
          <t>Base</t>
        </is>
      </c>
      <c r="G79" s="44" t="n">
        <v>0.739</v>
      </c>
      <c r="H79" s="44" t="n">
        <v>0.739</v>
      </c>
      <c r="I79" s="44" t="n">
        <v>0.739</v>
      </c>
      <c r="J79" s="44" t="n">
        <v>0.739</v>
      </c>
      <c r="K79" s="44" t="n">
        <v>0.739</v>
      </c>
    </row>
    <row r="80">
      <c r="B80" s="4" t="inlineStr">
        <is>
          <t>Upside</t>
        </is>
      </c>
      <c r="G80" s="44" t="n">
        <v>0.702</v>
      </c>
      <c r="H80" s="44" t="n">
        <v>0.702</v>
      </c>
      <c r="I80" s="44" t="n">
        <v>0.702</v>
      </c>
      <c r="J80" s="44" t="n">
        <v>0.702</v>
      </c>
      <c r="K80" s="44" t="n">
        <v>0.702</v>
      </c>
    </row>
    <row r="81">
      <c r="B81" s="4" t="inlineStr">
        <is>
          <t>Management</t>
        </is>
      </c>
      <c r="G81" s="44" t="n">
        <v>0.739</v>
      </c>
      <c r="H81" s="44" t="n">
        <v>0.739</v>
      </c>
      <c r="I81" s="44" t="n">
        <v>0.739</v>
      </c>
      <c r="J81" s="44" t="n">
        <v>0.739</v>
      </c>
      <c r="K81" s="44" t="n">
        <v>0.739</v>
      </c>
    </row>
    <row r="82">
      <c r="B82" s="4" t="inlineStr">
        <is>
          <t>Downside 1</t>
        </is>
      </c>
      <c r="G82" s="44" t="n">
        <v>0.776</v>
      </c>
      <c r="H82" s="44" t="n">
        <v>0.776</v>
      </c>
      <c r="I82" s="44" t="n">
        <v>0.776</v>
      </c>
      <c r="J82" s="44" t="n">
        <v>0.776</v>
      </c>
      <c r="K82" s="44" t="n">
        <v>0.776</v>
      </c>
    </row>
    <row r="83">
      <c r="B83" s="4" t="inlineStr">
        <is>
          <t>Downside 2</t>
        </is>
      </c>
      <c r="G83" s="44" t="n">
        <v>0.8129</v>
      </c>
      <c r="H83" s="44" t="n">
        <v>0.8129</v>
      </c>
      <c r="I83" s="44" t="n">
        <v>0.8129</v>
      </c>
      <c r="J83" s="44" t="n">
        <v>0.8129</v>
      </c>
      <c r="K83" s="44" t="n">
        <v>0.8129</v>
      </c>
    </row>
    <row r="85">
      <c r="B85" s="3" t="inlineStr">
        <is>
          <t>SGA % of Revenue</t>
        </is>
      </c>
    </row>
    <row r="86">
      <c r="B86" s="4" t="inlineStr">
        <is>
          <t>Base</t>
        </is>
      </c>
      <c r="G86" s="44" t="n">
        <v>0.16</v>
      </c>
      <c r="H86" s="44" t="n">
        <v>0.16</v>
      </c>
      <c r="I86" s="44" t="n">
        <v>0.15</v>
      </c>
      <c r="J86" s="44" t="n">
        <v>0.15</v>
      </c>
      <c r="K86" s="44" t="n">
        <v>0.15</v>
      </c>
    </row>
    <row r="87">
      <c r="B87" s="4" t="inlineStr">
        <is>
          <t>Upside</t>
        </is>
      </c>
      <c r="G87" s="44" t="n">
        <v>0.15</v>
      </c>
      <c r="H87" s="44" t="n">
        <v>0.15</v>
      </c>
      <c r="I87" s="44" t="n">
        <v>0.14</v>
      </c>
      <c r="J87" s="44" t="n">
        <v>0.14</v>
      </c>
      <c r="K87" s="44" t="n">
        <v>0.14</v>
      </c>
    </row>
    <row r="88">
      <c r="B88" s="4" t="inlineStr">
        <is>
          <t>Management</t>
        </is>
      </c>
      <c r="G88" s="44" t="n">
        <v>0.16</v>
      </c>
      <c r="H88" s="44" t="n">
        <v>0.16</v>
      </c>
      <c r="I88" s="44" t="n">
        <v>0.15</v>
      </c>
      <c r="J88" s="44" t="n">
        <v>0.15</v>
      </c>
      <c r="K88" s="44" t="n">
        <v>0.15</v>
      </c>
    </row>
    <row r="89">
      <c r="B89" s="4" t="inlineStr">
        <is>
          <t>Downside 1</t>
        </is>
      </c>
      <c r="G89" s="44" t="n">
        <v>0.17</v>
      </c>
      <c r="H89" s="44" t="n">
        <v>0.17</v>
      </c>
      <c r="I89" s="44" t="n">
        <v>0.16</v>
      </c>
      <c r="J89" s="44" t="n">
        <v>0.16</v>
      </c>
      <c r="K89" s="44" t="n">
        <v>0.16</v>
      </c>
    </row>
    <row r="90">
      <c r="B90" s="4" t="inlineStr">
        <is>
          <t>Downside 2</t>
        </is>
      </c>
      <c r="G90" s="44" t="n">
        <v>0.18</v>
      </c>
      <c r="H90" s="44" t="n">
        <v>0.18</v>
      </c>
      <c r="I90" s="44" t="n">
        <v>0.17</v>
      </c>
      <c r="J90" s="44" t="n">
        <v>0.17</v>
      </c>
      <c r="K90" s="44" t="n">
        <v>0.17</v>
      </c>
    </row>
    <row r="92">
      <c r="B92" s="3" t="inlineStr">
        <is>
          <t>NWC % of Revenue</t>
        </is>
      </c>
    </row>
    <row r="93">
      <c r="B93" s="4" t="inlineStr">
        <is>
          <t>Base</t>
        </is>
      </c>
      <c r="G93" s="44" t="n">
        <v>0.3</v>
      </c>
      <c r="H93" s="44" t="n">
        <v>0.3</v>
      </c>
      <c r="I93" s="44" t="n">
        <v>0.3</v>
      </c>
      <c r="J93" s="44" t="n">
        <v>0.3</v>
      </c>
      <c r="K93" s="44" t="n">
        <v>0.3</v>
      </c>
    </row>
    <row r="94">
      <c r="B94" s="4" t="inlineStr">
        <is>
          <t>Upside</t>
        </is>
      </c>
      <c r="G94" s="44" t="n">
        <v>0.28</v>
      </c>
      <c r="H94" s="44" t="n">
        <v>0.28</v>
      </c>
      <c r="I94" s="44" t="n">
        <v>0.28</v>
      </c>
      <c r="J94" s="44" t="n">
        <v>0.28</v>
      </c>
      <c r="K94" s="44" t="n">
        <v>0.28</v>
      </c>
    </row>
    <row r="95">
      <c r="B95" s="4" t="inlineStr">
        <is>
          <t>Management</t>
        </is>
      </c>
      <c r="G95" s="44" t="n">
        <v>0.3</v>
      </c>
      <c r="H95" s="44" t="n">
        <v>0.3</v>
      </c>
      <c r="I95" s="44" t="n">
        <v>0.3</v>
      </c>
      <c r="J95" s="44" t="n">
        <v>0.3</v>
      </c>
      <c r="K95" s="44" t="n">
        <v>0.3</v>
      </c>
    </row>
    <row r="96">
      <c r="B96" s="4" t="inlineStr">
        <is>
          <t>Downside 1</t>
        </is>
      </c>
      <c r="G96" s="44" t="n">
        <v>0.32</v>
      </c>
      <c r="H96" s="44" t="n">
        <v>0.32</v>
      </c>
      <c r="I96" s="44" t="n">
        <v>0.32</v>
      </c>
      <c r="J96" s="44" t="n">
        <v>0.32</v>
      </c>
      <c r="K96" s="44" t="n">
        <v>0.32</v>
      </c>
    </row>
    <row r="97">
      <c r="B97" s="4" t="inlineStr">
        <is>
          <t>Downside 2</t>
        </is>
      </c>
      <c r="G97" s="44" t="n">
        <v>0.34</v>
      </c>
      <c r="H97" s="44" t="n">
        <v>0.34</v>
      </c>
      <c r="I97" s="44" t="n">
        <v>0.34</v>
      </c>
      <c r="J97" s="44" t="n">
        <v>0.34</v>
      </c>
      <c r="K97" s="44" t="n">
        <v>0.34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K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2" t="inlineStr">
        <is>
          <t>Driver Analysis - DMW Corporation</t>
        </is>
      </c>
    </row>
    <row r="4"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  <c r="G4" s="10" t="inlineStr">
        <is>
          <t>FY2026(E)</t>
        </is>
      </c>
      <c r="H4" s="10" t="inlineStr">
        <is>
          <t>FY2027(E)</t>
        </is>
      </c>
      <c r="I4" s="10" t="inlineStr">
        <is>
          <t>FY2028(E)</t>
        </is>
      </c>
      <c r="J4" s="10" t="inlineStr">
        <is>
          <t>FY2029(E)</t>
        </is>
      </c>
      <c r="K4" s="10" t="inlineStr">
        <is>
          <t>FY2030(E)</t>
        </is>
      </c>
    </row>
    <row r="5">
      <c r="B5" s="8" t="inlineStr">
        <is>
          <t>Public Sector (Pumps &amp; Blowers) (官需部門（ポンプ・送風機）) [backlog]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B6" s="4" t="inlineStr">
        <is>
          <t>Beginning Backlog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9">
        <f>F9</f>
        <v/>
      </c>
      <c r="H6" s="29">
        <f>G9</f>
        <v/>
      </c>
      <c r="I6" s="29">
        <f>H9</f>
        <v/>
      </c>
      <c r="J6" s="29">
        <f>I9</f>
        <v/>
      </c>
      <c r="K6" s="29">
        <f>J9</f>
        <v/>
      </c>
    </row>
    <row r="7">
      <c r="B7" s="4" t="inlineStr">
        <is>
          <t>+ New Orders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  <c r="I7" s="28" t="inlineStr">
        <is>
          <t>—</t>
        </is>
      </c>
      <c r="J7" s="28" t="inlineStr">
        <is>
          <t>—</t>
        </is>
      </c>
      <c r="K7" s="28" t="inlineStr">
        <is>
          <t>—</t>
        </is>
      </c>
    </row>
    <row r="8">
      <c r="B8" s="4" t="inlineStr">
        <is>
          <t>- Revenue (Recognized)</t>
        </is>
      </c>
      <c r="C8" s="28" t="inlineStr">
        <is>
          <t>—</t>
        </is>
      </c>
      <c r="D8" s="28" t="inlineStr">
        <is>
          <t>—</t>
        </is>
      </c>
      <c r="E8" s="28" t="inlineStr">
        <is>
          <t>—</t>
        </is>
      </c>
      <c r="F8" s="29" t="n">
        <v>12915</v>
      </c>
      <c r="G8" s="47" t="n">
        <v>13173</v>
      </c>
      <c r="H8" s="47" t="n">
        <v>13437</v>
      </c>
      <c r="I8" s="47" t="n">
        <v>13840</v>
      </c>
      <c r="J8" s="47" t="n">
        <v>14255</v>
      </c>
      <c r="K8" s="47" t="n">
        <v>14683</v>
      </c>
    </row>
    <row r="9">
      <c r="B9" s="4" t="inlineStr">
        <is>
          <t>Ending Backlog</t>
        </is>
      </c>
      <c r="C9" s="28" t="inlineStr">
        <is>
          <t>—</t>
        </is>
      </c>
      <c r="D9" s="28" t="inlineStr">
        <is>
          <t>—</t>
        </is>
      </c>
      <c r="E9" s="28" t="inlineStr">
        <is>
          <t>—</t>
        </is>
      </c>
      <c r="F9" s="28" t="inlineStr">
        <is>
          <t>—</t>
        </is>
      </c>
      <c r="G9" s="20">
        <f>G6+G7-G8</f>
        <v/>
      </c>
      <c r="H9" s="20">
        <f>H6+H7-H8</f>
        <v/>
      </c>
      <c r="I9" s="20">
        <f>I6+I7-I8</f>
        <v/>
      </c>
      <c r="J9" s="20">
        <f>J6+J7-J8</f>
        <v/>
      </c>
      <c r="K9" s="20">
        <f>K6+K7-K8</f>
        <v/>
      </c>
    </row>
    <row r="10">
      <c r="B10" s="37" t="inlineStr">
        <is>
          <t>Book-to-Bill</t>
        </is>
      </c>
      <c r="C10" s="48">
        <f>IFERROR(C7/C8,"—")</f>
        <v/>
      </c>
      <c r="D10" s="48">
        <f>IFERROR(D7/D8,"—")</f>
        <v/>
      </c>
      <c r="E10" s="48">
        <f>IFERROR(E7/E8,"—")</f>
        <v/>
      </c>
      <c r="F10" s="48">
        <f>IFERROR(F7/F8,"—")</f>
        <v/>
      </c>
      <c r="G10" s="48">
        <f>IFERROR(G7/G8,"—")</f>
        <v/>
      </c>
      <c r="H10" s="48">
        <f>IFERROR(H7/H8,"—")</f>
        <v/>
      </c>
      <c r="I10" s="48">
        <f>IFERROR(I7/I8,"—")</f>
        <v/>
      </c>
      <c r="J10" s="48">
        <f>IFERROR(J7/J8,"—")</f>
        <v/>
      </c>
      <c r="K10" s="48">
        <f>IFERROR(K7/K8,"—")</f>
        <v/>
      </c>
    </row>
    <row r="12">
      <c r="B12" s="8" t="inlineStr">
        <is>
          <t>Private Sector (Industrial Pumps &amp; Blowers) (民需部門（産業用ポンプ・送風機）) [backlog]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B13" s="4" t="inlineStr">
        <is>
          <t>Beginning Backlog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9">
        <f>F16</f>
        <v/>
      </c>
      <c r="H13" s="29">
        <f>G16</f>
        <v/>
      </c>
      <c r="I13" s="29">
        <f>H16</f>
        <v/>
      </c>
      <c r="J13" s="29">
        <f>I16</f>
        <v/>
      </c>
      <c r="K13" s="29">
        <f>J16</f>
        <v/>
      </c>
    </row>
    <row r="14">
      <c r="B14" s="4" t="inlineStr">
        <is>
          <t>+ New Orders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—</t>
        </is>
      </c>
      <c r="K14" s="28" t="inlineStr">
        <is>
          <t>—</t>
        </is>
      </c>
    </row>
    <row r="15">
      <c r="B15" s="4" t="inlineStr">
        <is>
          <t>- Revenue (Recognized)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9" t="n">
        <v>8985</v>
      </c>
      <c r="G15" s="47" t="n">
        <v>9255</v>
      </c>
      <c r="H15" s="47" t="n">
        <v>9625</v>
      </c>
      <c r="I15" s="47" t="n">
        <v>10106</v>
      </c>
      <c r="J15" s="47" t="n">
        <v>10611</v>
      </c>
      <c r="K15" s="47" t="n">
        <v>11142</v>
      </c>
    </row>
    <row r="16">
      <c r="B16" s="4" t="inlineStr">
        <is>
          <t>Ending Backlog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0">
        <f>G13+G14-G15</f>
        <v/>
      </c>
      <c r="H16" s="20">
        <f>H13+H14-H15</f>
        <v/>
      </c>
      <c r="I16" s="20">
        <f>I13+I14-I15</f>
        <v/>
      </c>
      <c r="J16" s="20">
        <f>J13+J14-J15</f>
        <v/>
      </c>
      <c r="K16" s="20">
        <f>K13+K14-K15</f>
        <v/>
      </c>
    </row>
    <row r="17">
      <c r="B17" s="37" t="inlineStr">
        <is>
          <t>Book-to-Bill</t>
        </is>
      </c>
      <c r="C17" s="48">
        <f>IFERROR(C14/C15,"—")</f>
        <v/>
      </c>
      <c r="D17" s="48">
        <f>IFERROR(D14/D15,"—")</f>
        <v/>
      </c>
      <c r="E17" s="48">
        <f>IFERROR(E14/E15,"—")</f>
        <v/>
      </c>
      <c r="F17" s="48">
        <f>IFERROR(F14/F15,"—")</f>
        <v/>
      </c>
      <c r="G17" s="48">
        <f>IFERROR(G14/G15,"—")</f>
        <v/>
      </c>
      <c r="H17" s="48">
        <f>IFERROR(H14/H15,"—")</f>
        <v/>
      </c>
      <c r="I17" s="48">
        <f>IFERROR(I14/I15,"—")</f>
        <v/>
      </c>
      <c r="J17" s="48">
        <f>IFERROR(J14/J15,"—")</f>
        <v/>
      </c>
      <c r="K17" s="48">
        <f>IFERROR(K14/K15,"—")</f>
        <v/>
      </c>
    </row>
    <row r="19">
      <c r="B19" s="8" t="inlineStr">
        <is>
          <t>Overseas &amp; Desalination (DeROs + Export) (海外・淡水化部門（DeROs・輸出）) [backlog]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B20" s="4" t="inlineStr">
        <is>
          <t>Beginning Backlog</t>
        </is>
      </c>
      <c r="C20" s="28" t="inlineStr">
        <is>
          <t>—</t>
        </is>
      </c>
      <c r="D20" s="28" t="inlineStr">
        <is>
          <t>—</t>
        </is>
      </c>
      <c r="E20" s="28" t="inlineStr">
        <is>
          <t>—</t>
        </is>
      </c>
      <c r="F20" s="28" t="inlineStr">
        <is>
          <t>—</t>
        </is>
      </c>
      <c r="G20" s="29">
        <f>F23</f>
        <v/>
      </c>
      <c r="H20" s="29">
        <f>G23</f>
        <v/>
      </c>
      <c r="I20" s="29">
        <f>H23</f>
        <v/>
      </c>
      <c r="J20" s="29">
        <f>I23</f>
        <v/>
      </c>
      <c r="K20" s="29">
        <f>J23</f>
        <v/>
      </c>
    </row>
    <row r="21">
      <c r="B21" s="4" t="inlineStr">
        <is>
          <t>+ New Orders</t>
        </is>
      </c>
      <c r="C21" s="28" t="inlineStr">
        <is>
          <t>—</t>
        </is>
      </c>
      <c r="D21" s="28" t="inlineStr">
        <is>
          <t>—</t>
        </is>
      </c>
      <c r="E21" s="28" t="inlineStr">
        <is>
          <t>—</t>
        </is>
      </c>
      <c r="F21" s="28" t="inlineStr">
        <is>
          <t>—</t>
        </is>
      </c>
      <c r="G21" s="28" t="inlineStr">
        <is>
          <t>—</t>
        </is>
      </c>
      <c r="H21" s="28" t="inlineStr">
        <is>
          <t>—</t>
        </is>
      </c>
      <c r="I21" s="28" t="inlineStr">
        <is>
          <t>—</t>
        </is>
      </c>
      <c r="J21" s="28" t="inlineStr">
        <is>
          <t>—</t>
        </is>
      </c>
      <c r="K21" s="28" t="inlineStr">
        <is>
          <t>—</t>
        </is>
      </c>
    </row>
    <row r="22">
      <c r="B22" s="4" t="inlineStr">
        <is>
          <t>- Revenue (Recognized)</t>
        </is>
      </c>
      <c r="C22" s="28" t="inlineStr">
        <is>
          <t>—</t>
        </is>
      </c>
      <c r="D22" s="28" t="inlineStr">
        <is>
          <t>—</t>
        </is>
      </c>
      <c r="E22" s="28" t="inlineStr">
        <is>
          <t>—</t>
        </is>
      </c>
      <c r="F22" s="29" t="n">
        <v>6177</v>
      </c>
      <c r="G22" s="47" t="n">
        <v>6671</v>
      </c>
      <c r="H22" s="47" t="n">
        <v>7338</v>
      </c>
      <c r="I22" s="47" t="n">
        <v>8219</v>
      </c>
      <c r="J22" s="47" t="n">
        <v>9452</v>
      </c>
      <c r="K22" s="47" t="n">
        <v>10586</v>
      </c>
    </row>
    <row r="23">
      <c r="B23" s="4" t="inlineStr">
        <is>
          <t>Ending Backlog</t>
        </is>
      </c>
      <c r="C23" s="28" t="inlineStr">
        <is>
          <t>—</t>
        </is>
      </c>
      <c r="D23" s="28" t="inlineStr">
        <is>
          <t>—</t>
        </is>
      </c>
      <c r="E23" s="28" t="inlineStr">
        <is>
          <t>—</t>
        </is>
      </c>
      <c r="F23" s="28" t="inlineStr">
        <is>
          <t>—</t>
        </is>
      </c>
      <c r="G23" s="20">
        <f>G20+G21-G22</f>
        <v/>
      </c>
      <c r="H23" s="20">
        <f>H20+H21-H22</f>
        <v/>
      </c>
      <c r="I23" s="20">
        <f>I20+I21-I22</f>
        <v/>
      </c>
      <c r="J23" s="20">
        <f>J20+J21-J22</f>
        <v/>
      </c>
      <c r="K23" s="20">
        <f>K20+K21-K22</f>
        <v/>
      </c>
    </row>
    <row r="24">
      <c r="B24" s="37" t="inlineStr">
        <is>
          <t>Book-to-Bill</t>
        </is>
      </c>
      <c r="C24" s="48">
        <f>IFERROR(C21/C22,"—")</f>
        <v/>
      </c>
      <c r="D24" s="48">
        <f>IFERROR(D21/D22,"—")</f>
        <v/>
      </c>
      <c r="E24" s="48">
        <f>IFERROR(E21/E22,"—")</f>
        <v/>
      </c>
      <c r="F24" s="48">
        <f>IFERROR(F21/F22,"—")</f>
        <v/>
      </c>
      <c r="G24" s="48">
        <f>IFERROR(G21/G22,"—")</f>
        <v/>
      </c>
      <c r="H24" s="48">
        <f>IFERROR(H21/H22,"—")</f>
        <v/>
      </c>
      <c r="I24" s="48">
        <f>IFERROR(I21/I22,"—")</f>
        <v/>
      </c>
      <c r="J24" s="48">
        <f>IFERROR(J21/J22,"—")</f>
        <v/>
      </c>
      <c r="K24" s="48">
        <f>IFERROR(K21/K22,"—")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2026-04-10T05:51:18Z</dcterms:created>
  <dcterms:modified xmlns:dcterms="http://purl.org/dc/terms/" xmlns:xsi="http://www.w3.org/2001/XMLSchema-instance" xsi:type="dcterms:W3CDTF">2026-04-10T05:51:18Z</dcterms:modified>
</cp:coreProperties>
</file>