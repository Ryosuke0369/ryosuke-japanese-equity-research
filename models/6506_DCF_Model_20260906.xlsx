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7441C0B-80F3-447A-B0C7-3D54635451A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I16" i="6" s="1"/>
  <c r="N8" i="6"/>
  <c r="M8" i="6"/>
  <c r="L8" i="6"/>
  <c r="K8" i="6"/>
  <c r="J8" i="6"/>
  <c r="O7" i="6"/>
  <c r="N7" i="6"/>
  <c r="M7" i="6"/>
  <c r="G15" i="6" s="1"/>
  <c r="L7" i="6"/>
  <c r="K7" i="6"/>
  <c r="J7" i="6"/>
  <c r="O6" i="6"/>
  <c r="N6" i="6"/>
  <c r="M6" i="6"/>
  <c r="L6" i="6"/>
  <c r="K6" i="6"/>
  <c r="E15" i="6" s="1"/>
  <c r="J6" i="6"/>
  <c r="D17" i="6" s="1"/>
  <c r="O5" i="6"/>
  <c r="N5" i="6"/>
  <c r="D5" i="6"/>
  <c r="M5" i="6" s="1"/>
  <c r="C16" i="5"/>
  <c r="C14" i="5"/>
  <c r="C18" i="5" s="1"/>
  <c r="C7" i="5"/>
  <c r="C6" i="5"/>
  <c r="C5" i="5"/>
  <c r="C13" i="4"/>
  <c r="C12" i="4"/>
  <c r="C9" i="4"/>
  <c r="C7" i="4"/>
  <c r="C6" i="4"/>
  <c r="C8" i="4" s="1"/>
  <c r="C10" i="4" s="1"/>
  <c r="D27" i="3"/>
  <c r="G5" i="5" s="1"/>
  <c r="C25" i="3"/>
  <c r="C26" i="3" s="1"/>
  <c r="C24" i="3"/>
  <c r="C23" i="3"/>
  <c r="F28" i="2"/>
  <c r="E28" i="2"/>
  <c r="D28" i="2"/>
  <c r="C28" i="2"/>
  <c r="F16" i="2"/>
  <c r="E16" i="2"/>
  <c r="D16" i="2"/>
  <c r="F15" i="2"/>
  <c r="E15" i="2"/>
  <c r="D15" i="2"/>
  <c r="F14" i="2"/>
  <c r="E14" i="2"/>
  <c r="D14" i="2"/>
  <c r="C14" i="2"/>
  <c r="F13" i="2"/>
  <c r="E13" i="2"/>
  <c r="D13" i="2"/>
  <c r="C13" i="2"/>
  <c r="E9" i="2"/>
  <c r="D9" i="2"/>
  <c r="C9" i="2"/>
  <c r="F8" i="2"/>
  <c r="F9" i="2" s="1"/>
  <c r="E8" i="2"/>
  <c r="D8" i="2"/>
  <c r="C8" i="2"/>
  <c r="G16" i="6" l="1"/>
  <c r="H15" i="6"/>
  <c r="I17" i="6"/>
  <c r="F15" i="6"/>
  <c r="E5" i="6"/>
  <c r="J5" i="6" s="1"/>
  <c r="C3" i="7"/>
  <c r="G36" i="4"/>
  <c r="C11" i="4"/>
  <c r="C24" i="4" s="1"/>
  <c r="C25" i="4" s="1"/>
  <c r="G46" i="3"/>
  <c r="E36" i="4"/>
  <c r="D36" i="4"/>
  <c r="D46" i="3"/>
  <c r="E46" i="3"/>
  <c r="C46" i="3"/>
  <c r="F36" i="4"/>
  <c r="F46" i="3"/>
  <c r="H36" i="4"/>
  <c r="C71" i="4"/>
  <c r="C70" i="4"/>
  <c r="C30" i="3"/>
  <c r="C33" i="3" s="1"/>
  <c r="F31" i="3"/>
  <c r="H5" i="5"/>
  <c r="D7" i="5"/>
  <c r="K5" i="6"/>
  <c r="I15" i="6"/>
  <c r="E17" i="6"/>
  <c r="I6" i="7"/>
  <c r="C31" i="3"/>
  <c r="G32" i="3"/>
  <c r="D30" i="3"/>
  <c r="G31" i="3"/>
  <c r="E7" i="5"/>
  <c r="L5" i="6"/>
  <c r="D16" i="6"/>
  <c r="F17" i="6"/>
  <c r="C17" i="7"/>
  <c r="F5" i="5"/>
  <c r="E30" i="3"/>
  <c r="C32" i="3"/>
  <c r="D6" i="5"/>
  <c r="F7" i="5"/>
  <c r="E16" i="6"/>
  <c r="G17" i="6"/>
  <c r="C6" i="7"/>
  <c r="D17" i="7"/>
  <c r="H6" i="5"/>
  <c r="F30" i="3"/>
  <c r="D32" i="3"/>
  <c r="E6" i="5"/>
  <c r="G7" i="5"/>
  <c r="D15" i="6"/>
  <c r="F16" i="6"/>
  <c r="C28" i="6" s="1"/>
  <c r="C19" i="1" s="1"/>
  <c r="D19" i="1" s="1"/>
  <c r="H17" i="6"/>
  <c r="D6" i="7"/>
  <c r="E17" i="7"/>
  <c r="F32" i="3"/>
  <c r="G30" i="3"/>
  <c r="E32" i="3"/>
  <c r="D5" i="5"/>
  <c r="F6" i="5"/>
  <c r="H7" i="5"/>
  <c r="E6" i="7"/>
  <c r="F17" i="7"/>
  <c r="E5" i="5"/>
  <c r="G6" i="5"/>
  <c r="H16" i="6"/>
  <c r="F6" i="7"/>
  <c r="G17" i="7"/>
  <c r="D31" i="3"/>
  <c r="G6" i="7"/>
  <c r="H17" i="7"/>
  <c r="E31" i="3"/>
  <c r="D9" i="5" l="1"/>
  <c r="D12" i="5" s="1"/>
  <c r="C42" i="3"/>
  <c r="C34" i="3"/>
  <c r="D10" i="5" s="1"/>
  <c r="C37" i="3"/>
  <c r="C35" i="3"/>
  <c r="D33" i="3"/>
  <c r="C27" i="6"/>
  <c r="C18" i="1" s="1"/>
  <c r="D18" i="1" s="1"/>
  <c r="C74" i="4"/>
  <c r="D45" i="4"/>
  <c r="D39" i="4"/>
  <c r="D43" i="4"/>
  <c r="D46" i="4"/>
  <c r="D40" i="4"/>
  <c r="D50" i="4" s="1"/>
  <c r="D55" i="4" s="1"/>
  <c r="D44" i="4"/>
  <c r="D38" i="4"/>
  <c r="D48" i="4" s="1"/>
  <c r="D53" i="4" s="1"/>
  <c r="D41" i="4"/>
  <c r="D51" i="4" s="1"/>
  <c r="D56" i="4" s="1"/>
  <c r="E39" i="4"/>
  <c r="E46" i="4"/>
  <c r="E40" i="4"/>
  <c r="E44" i="4"/>
  <c r="E38" i="4"/>
  <c r="E43" i="4"/>
  <c r="E41" i="4"/>
  <c r="E51" i="4" s="1"/>
  <c r="E56" i="4" s="1"/>
  <c r="E45" i="4"/>
  <c r="H40" i="4"/>
  <c r="H44" i="4"/>
  <c r="H38" i="4"/>
  <c r="H41" i="4"/>
  <c r="H45" i="4"/>
  <c r="H39" i="4"/>
  <c r="H49" i="4" s="1"/>
  <c r="H54" i="4" s="1"/>
  <c r="H43" i="4"/>
  <c r="H46" i="4"/>
  <c r="C29" i="4"/>
  <c r="C27" i="4"/>
  <c r="C26" i="4"/>
  <c r="F43" i="4"/>
  <c r="F40" i="4"/>
  <c r="F50" i="4" s="1"/>
  <c r="F55" i="4" s="1"/>
  <c r="F44" i="4"/>
  <c r="F38" i="4"/>
  <c r="F48" i="4" s="1"/>
  <c r="F53" i="4" s="1"/>
  <c r="F41" i="4"/>
  <c r="F51" i="4" s="1"/>
  <c r="F56" i="4" s="1"/>
  <c r="F45" i="4"/>
  <c r="F46" i="4"/>
  <c r="F39" i="4"/>
  <c r="G46" i="4"/>
  <c r="G44" i="4"/>
  <c r="G38" i="4"/>
  <c r="G48" i="4" s="1"/>
  <c r="G53" i="4" s="1"/>
  <c r="G41" i="4"/>
  <c r="G51" i="4" s="1"/>
  <c r="G56" i="4" s="1"/>
  <c r="G45" i="4"/>
  <c r="G39" i="4"/>
  <c r="G40" i="4"/>
  <c r="G43" i="4"/>
  <c r="B13" i="7"/>
  <c r="B12" i="7"/>
  <c r="B11" i="7"/>
  <c r="B10" i="7"/>
  <c r="B9" i="7"/>
  <c r="B8" i="7"/>
  <c r="B7" i="7"/>
  <c r="B24" i="7"/>
  <c r="B23" i="7"/>
  <c r="B22" i="7"/>
  <c r="B21" i="7"/>
  <c r="B20" i="7"/>
  <c r="B19" i="7"/>
  <c r="B18" i="7"/>
  <c r="E48" i="4" l="1"/>
  <c r="E53" i="4" s="1"/>
  <c r="D37" i="3"/>
  <c r="D42" i="3"/>
  <c r="D34" i="3"/>
  <c r="E10" i="5" s="1"/>
  <c r="D35" i="3"/>
  <c r="E33" i="3"/>
  <c r="E9" i="5"/>
  <c r="E12" i="5" s="1"/>
  <c r="F49" i="4"/>
  <c r="C36" i="3"/>
  <c r="C39" i="3"/>
  <c r="C38" i="3"/>
  <c r="G50" i="4"/>
  <c r="G55" i="4" s="1"/>
  <c r="H51" i="4"/>
  <c r="H56" i="4" s="1"/>
  <c r="G49" i="4"/>
  <c r="G54" i="4" s="1"/>
  <c r="H48" i="4"/>
  <c r="H53" i="4" s="1"/>
  <c r="E50" i="4"/>
  <c r="E55" i="4" s="1"/>
  <c r="D15" i="5"/>
  <c r="D16" i="5" s="1"/>
  <c r="D13" i="5"/>
  <c r="D49" i="4"/>
  <c r="D54" i="4" s="1"/>
  <c r="H50" i="4"/>
  <c r="H55" i="4" s="1"/>
  <c r="E49" i="4"/>
  <c r="E54" i="4" s="1"/>
  <c r="D14" i="5"/>
  <c r="D18" i="5" l="1"/>
  <c r="D19" i="5" s="1"/>
  <c r="C44" i="3" s="1"/>
  <c r="F9" i="5"/>
  <c r="F12" i="5" s="1"/>
  <c r="E42" i="3"/>
  <c r="E34" i="3"/>
  <c r="F10" i="5" s="1"/>
  <c r="E37" i="3"/>
  <c r="E35" i="3"/>
  <c r="F33" i="3"/>
  <c r="D36" i="3"/>
  <c r="D38" i="3"/>
  <c r="D39" i="3"/>
  <c r="F54" i="4"/>
  <c r="C60" i="4"/>
  <c r="B78" i="4"/>
  <c r="E13" i="5"/>
  <c r="E14" i="5" s="1"/>
  <c r="E15" i="5"/>
  <c r="E16" i="5" s="1"/>
  <c r="C40" i="3"/>
  <c r="C41" i="3" s="1"/>
  <c r="C45" i="3" s="1"/>
  <c r="E18" i="5" l="1"/>
  <c r="E19" i="5" s="1"/>
  <c r="D44" i="3" s="1"/>
  <c r="C47" i="3"/>
  <c r="F13" i="5"/>
  <c r="F15" i="5"/>
  <c r="F16" i="5" s="1"/>
  <c r="E39" i="3"/>
  <c r="E38" i="3"/>
  <c r="E36" i="3"/>
  <c r="C64" i="4"/>
  <c r="D64" i="4" s="1"/>
  <c r="C67" i="4"/>
  <c r="D67" i="4" s="1"/>
  <c r="C63" i="4"/>
  <c r="D63" i="4" s="1"/>
  <c r="C65" i="4"/>
  <c r="D65" i="4" s="1"/>
  <c r="C66" i="4"/>
  <c r="D66" i="4" s="1"/>
  <c r="F42" i="3"/>
  <c r="F34" i="3"/>
  <c r="G10" i="5" s="1"/>
  <c r="G33" i="3"/>
  <c r="F37" i="3"/>
  <c r="G9" i="5"/>
  <c r="G12" i="5" s="1"/>
  <c r="D40" i="3"/>
  <c r="D41" i="3" s="1"/>
  <c r="D45" i="3" s="1"/>
  <c r="D47" i="3" s="1"/>
  <c r="F14" i="5"/>
  <c r="F18" i="5" s="1"/>
  <c r="F19" i="5" s="1"/>
  <c r="E44" i="3" s="1"/>
  <c r="E40" i="3" l="1"/>
  <c r="E41" i="3" s="1"/>
  <c r="E45" i="3" s="1"/>
  <c r="G13" i="5"/>
  <c r="G14" i="5" s="1"/>
  <c r="G18" i="5" s="1"/>
  <c r="G19" i="5" s="1"/>
  <c r="F44" i="3" s="1"/>
  <c r="G15" i="5"/>
  <c r="G16" i="5" s="1"/>
  <c r="G37" i="3"/>
  <c r="C16" i="4"/>
  <c r="C28" i="4" s="1"/>
  <c r="H9" i="5"/>
  <c r="H12" i="5" s="1"/>
  <c r="G42" i="3"/>
  <c r="G34" i="3"/>
  <c r="H10" i="5" s="1"/>
  <c r="F35" i="3"/>
  <c r="H15" i="5" l="1"/>
  <c r="H16" i="5" s="1"/>
  <c r="H13" i="5"/>
  <c r="H14" i="5" s="1"/>
  <c r="H18" i="5" s="1"/>
  <c r="H19" i="5" s="1"/>
  <c r="G44" i="3" s="1"/>
  <c r="C72" i="4"/>
  <c r="C73" i="4"/>
  <c r="E47" i="3"/>
  <c r="F38" i="3"/>
  <c r="F36" i="3"/>
  <c r="F39" i="3"/>
  <c r="G35" i="3"/>
  <c r="G38" i="3" l="1"/>
  <c r="G36" i="3"/>
  <c r="G39" i="3"/>
  <c r="F40" i="3"/>
  <c r="F41" i="3" s="1"/>
  <c r="F45" i="3" s="1"/>
  <c r="F47" i="3" l="1"/>
  <c r="G7" i="7"/>
  <c r="E22" i="7"/>
  <c r="F8" i="7"/>
  <c r="H9" i="7"/>
  <c r="D9" i="7"/>
  <c r="G13" i="7"/>
  <c r="D18" i="7"/>
  <c r="E8" i="7"/>
  <c r="F19" i="7"/>
  <c r="G40" i="3"/>
  <c r="C59" i="3"/>
  <c r="C60" i="3" s="1"/>
  <c r="C61" i="3" s="1"/>
  <c r="G41" i="3"/>
  <c r="G45" i="3" s="1"/>
  <c r="D22" i="7" s="1"/>
  <c r="H18" i="7" l="1"/>
  <c r="E18" i="7"/>
  <c r="C24" i="7"/>
  <c r="E9" i="7"/>
  <c r="G24" i="7"/>
  <c r="C12" i="7"/>
  <c r="G21" i="7"/>
  <c r="H13" i="7"/>
  <c r="D10" i="7"/>
  <c r="C23" i="7"/>
  <c r="G47" i="3"/>
  <c r="C51" i="3"/>
  <c r="C52" i="3" s="1"/>
  <c r="G23" i="7"/>
  <c r="I12" i="7"/>
  <c r="D19" i="7"/>
  <c r="E23" i="7"/>
  <c r="F10" i="7"/>
  <c r="E10" i="7"/>
  <c r="D11" i="7"/>
  <c r="I19" i="7"/>
  <c r="C10" i="7"/>
  <c r="E20" i="7"/>
  <c r="D13" i="7"/>
  <c r="H23" i="7"/>
  <c r="H24" i="7"/>
  <c r="F11" i="7"/>
  <c r="F12" i="7"/>
  <c r="H10" i="7"/>
  <c r="E13" i="7"/>
  <c r="I10" i="7"/>
  <c r="H11" i="7"/>
  <c r="C20" i="7"/>
  <c r="H21" i="7"/>
  <c r="C11" i="7"/>
  <c r="C19" i="7"/>
  <c r="I11" i="7"/>
  <c r="D20" i="7"/>
  <c r="I24" i="7"/>
  <c r="D7" i="7"/>
  <c r="D21" i="7"/>
  <c r="G19" i="7"/>
  <c r="C9" i="7"/>
  <c r="D12" i="7"/>
  <c r="I18" i="7"/>
  <c r="D8" i="7"/>
  <c r="I9" i="7"/>
  <c r="D23" i="7"/>
  <c r="E12" i="7"/>
  <c r="I8" i="7"/>
  <c r="G10" i="7"/>
  <c r="F21" i="7"/>
  <c r="H19" i="7"/>
  <c r="I23" i="7"/>
  <c r="F20" i="7"/>
  <c r="G8" i="7"/>
  <c r="F18" i="7"/>
  <c r="G18" i="7"/>
  <c r="I13" i="7"/>
  <c r="F9" i="7"/>
  <c r="F24" i="7"/>
  <c r="I7" i="7"/>
  <c r="H7" i="7"/>
  <c r="E7" i="7"/>
  <c r="E11" i="7"/>
  <c r="F7" i="7"/>
  <c r="G20" i="7"/>
  <c r="G22" i="7"/>
  <c r="C7" i="7"/>
  <c r="H20" i="7"/>
  <c r="G9" i="7"/>
  <c r="C18" i="7"/>
  <c r="E24" i="7"/>
  <c r="F23" i="7"/>
  <c r="H22" i="7"/>
  <c r="G12" i="7"/>
  <c r="C21" i="7"/>
  <c r="I20" i="7"/>
  <c r="D24" i="7"/>
  <c r="C22" i="7"/>
  <c r="G11" i="7"/>
  <c r="H8" i="7"/>
  <c r="E21" i="7"/>
  <c r="I21" i="7"/>
  <c r="I22" i="7"/>
  <c r="C13" i="7"/>
  <c r="F22" i="7"/>
  <c r="C8" i="7"/>
  <c r="E19" i="7"/>
  <c r="F13" i="7"/>
  <c r="H12" i="7"/>
  <c r="C50" i="3"/>
  <c r="C58" i="3" l="1"/>
  <c r="C62" i="3" s="1"/>
  <c r="C53" i="3"/>
  <c r="C17" i="4" l="1"/>
  <c r="C54" i="3"/>
  <c r="C55" i="3" s="1"/>
  <c r="C16" i="1" s="1"/>
  <c r="C63" i="3"/>
  <c r="C64" i="3" s="1"/>
  <c r="C17" i="1" s="1"/>
  <c r="D17" i="1" s="1"/>
  <c r="D16" i="1" l="1"/>
  <c r="C21" i="1"/>
  <c r="C10" i="1"/>
  <c r="C12" i="1" s="1"/>
  <c r="C11" i="1" s="1"/>
  <c r="C19" i="4"/>
  <c r="C20" i="4" s="1"/>
  <c r="B79" i="4" s="1"/>
</calcChain>
</file>

<file path=xl/sharedStrings.xml><?xml version="1.0" encoding="utf-8"?>
<sst xmlns="http://schemas.openxmlformats.org/spreadsheetml/2006/main" count="445" uniqueCount="359">
  <si>
    <t>DISCLAIMER: This is a sample analysis for demonstration purposes only. It does not constitute investment advice.</t>
  </si>
  <si>
    <t>安川電機 (6506.T)</t>
  </si>
  <si>
    <t>Equity Research Report</t>
  </si>
  <si>
    <t>Company</t>
  </si>
  <si>
    <t>安川電機</t>
  </si>
  <si>
    <t>Ticker</t>
  </si>
  <si>
    <t>6506.T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</si>
  <si>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</si>
  <si>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</si>
  <si>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</si>
  <si>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</si>
  <si>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</si>
  <si>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</si>
  <si>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</si>
  <si>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</si>
  <si>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</si>
  <si>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</si>
  <si>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</si>
  <si>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</si>
  <si>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</si>
  <si>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</si>
  <si>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</si>
  <si>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</si>
  <si>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</si>
  <si>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</si>
  <si>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</si>
  <si>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</si>
  <si>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</si>
  <si>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</si>
  <si>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</si>
  <si>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</si>
  <si>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安川電機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</si>
  <si>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</si>
  <si>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</si>
  <si>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</si>
  <si>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</si>
  <si>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</si>
  <si>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</si>
  <si>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</si>
  <si>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</si>
  <si>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</si>
  <si>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</si>
  <si>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</si>
  <si>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</si>
  <si>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</si>
  <si>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</si>
  <si>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</si>
  <si>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</si>
  <si>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</si>
  <si>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</si>
  <si>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</si>
  <si>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</si>
  <si>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</si>
  <si>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</si>
  <si>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</si>
  <si>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</si>
  <si>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</si>
  <si>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</si>
  <si>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</si>
  <si>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</si>
  <si>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安川電機</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</si>
  <si>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</si>
  <si>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</si>
  <si>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</si>
  <si>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</si>
  <si>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</si>
  <si>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</si>
  <si>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</si>
  <si>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</si>
  <si>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</si>
  <si>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</si>
  <si>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</si>
  <si>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</si>
  <si>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</si>
  <si>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</si>
  <si>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</si>
  <si>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</si>
  <si>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</si>
  <si>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</si>
  <si>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</si>
  <si>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</si>
  <si>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</si>
  <si>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</si>
  <si>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</si>
  <si>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</si>
  <si>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</si>
  <si>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</si>
  <si>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</si>
  <si>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</si>
  <si>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</si>
  <si>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</si>
  <si>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</si>
  <si>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</si>
  <si>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</si>
  <si>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</si>
  <si>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</si>
  <si>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</si>
  <si>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</si>
  <si>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</si>
  <si>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</si>
  <si>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</si>
  <si>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</si>
  <si>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</si>
  <si>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</si>
  <si>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</si>
  <si>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</si>
  <si>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</si>
  <si>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</si>
  <si>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</si>
  <si>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</si>
  <si>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</si>
  <si>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</si>
  <si>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</si>
  <si>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</si>
  <si>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</si>
  <si>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</si>
  <si>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</si>
  <si>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</si>
  <si>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</si>
  <si>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</si>
  <si>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</si>
  <si>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</si>
  <si>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</si>
  <si>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</si>
  <si>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</si>
  <si>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安川電機 (6506.T)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</si>
  <si>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</si>
  <si>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</si>
  <si>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</si>
  <si>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</si>
  <si>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</si>
  <si>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</si>
  <si>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</si>
  <si>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</si>
  <si>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</si>
  <si>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</si>
  <si>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</si>
  <si>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</si>
  <si>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</si>
  <si>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</si>
  <si>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</si>
  <si>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</si>
  <si>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</si>
  <si>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</si>
  <si>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</si>
  <si>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</si>
  <si>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</si>
  <si>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</si>
  <si>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</si>
  <si>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</si>
  <si>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</si>
  <si>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</si>
  <si>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</si>
  <si>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</si>
  <si>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</si>
  <si>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</si>
  <si>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</si>
  <si>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</si>
  <si>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</si>
  <si>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</si>
  <si>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</si>
  <si>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</si>
  <si>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</si>
  <si>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</si>
  <si>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</si>
  <si>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</si>
  <si>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</si>
  <si>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</si>
  <si>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</si>
  <si>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</si>
  <si>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</si>
  <si>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</si>
  <si>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</si>
  <si>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</si>
  <si>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</si>
  <si>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</si>
  <si>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</si>
  <si>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安川電機</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</si>
  <si>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</si>
  <si>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</si>
  <si>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</si>
  <si>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</si>
  <si>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</si>
  <si>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</si>
  <si>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</si>
  <si>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</si>
  <si>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</si>
  <si>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</si>
  <si>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</si>
  <si>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</si>
  <si>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</si>
  <si>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</si>
  <si>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</si>
  <si>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</si>
  <si>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</si>
  <si>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</si>
  <si>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</si>
  <si>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</si>
  <si>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</si>
  <si>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</si>
  <si>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</si>
  <si>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</si>
  <si>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</si>
  <si>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</si>
  <si>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</si>
  <si>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</si>
  <si>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</si>
  <si>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</si>
  <si>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</si>
  <si>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</si>
  <si>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</si>
  <si>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</si>
  <si>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YASKAWA Electric Corporation</t>
  </si>
  <si>
    <t>6506.T</t>
  </si>
  <si>
    <t>Fanuc Corporation</t>
  </si>
  <si>
    <t>6954.T</t>
  </si>
  <si>
    <t>SMC Corporation</t>
  </si>
  <si>
    <t>6273.T</t>
  </si>
  <si>
    <t>OMRON Corporation</t>
  </si>
  <si>
    <t>6645.T</t>
  </si>
  <si>
    <t>Mitsubishi Electric Corporation</t>
  </si>
  <si>
    <t>6503.T</t>
  </si>
  <si>
    <t>Hitachi, Ltd.</t>
  </si>
  <si>
    <t>6501.T</t>
  </si>
  <si>
    <t>Statistics</t>
  </si>
  <si>
    <t>25th Percentile</t>
  </si>
  <si>
    <t>Median (50th)</t>
  </si>
  <si>
    <t>75th Percentile</t>
  </si>
  <si>
    <t>Implied Valuation for 安川電機</t>
  </si>
  <si>
    <t>安川電機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</si>
  <si>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</si>
  <si>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</si>
  <si>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</si>
  <si>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</si>
  <si>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</si>
  <si>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</si>
  <si>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</si>
  <si>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</si>
  <si>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</si>
  <si>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</si>
  <si>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</si>
  <si>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</si>
  <si>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</si>
  <si>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</si>
  <si>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</si>
  <si>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安川電機</t>
  </si>
  <si>
    <t>日付</t>
  </si>
  <si>
    <t>セル</t>
  </si>
  <si>
    <t>変更内容</t>
  </si>
  <si>
    <t>理由</t>
  </si>
  <si>
    <t>元の値</t>
  </si>
  <si>
    <t>状態</t>
  </si>
  <si>
    <t>2026-09-06</t>
  </si>
  <si>
    <t>-</t>
  </si>
  <si>
    <t>Generated by pipeline on 2026-09-06 19:17, template rev 63983ab</t>
  </si>
  <si>
    <t>初期生成（手修正なし）</t>
  </si>
  <si>
    <t>generated</t>
  </si>
  <si>
    <t>DCF Model!C11</t>
  </si>
  <si>
    <t>After-tax Cost of Debt = 1.96% (実績ベース)</t>
  </si>
  <si>
    <t>実績Kd = 支払利息3,067 ÷ 平均有利子負債117,188(期首109,526/期末124,851、debt_beginning/debt_ending) = 税引前2.62% × (1−25.0%) = 1.96%。【マージナルコスト注記】これは既存借入の実績平均コストであり、新規調達の限界コストではない。テンプレ既定(税引前2.8%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</si>
  <si>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</si>
  <si>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</si>
  <si>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</si>
  <si>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1.707（採用値）</t>
  </si>
  <si>
    <t>実測β(raw) = 2.056 → Blume調整 0.67×raw + 0.33×1.00 = 1.707 → 採用 1.707。クランプ域 [0.3, 2.0] の内側。置換なし。回帰βは平均回帰するため Blume 調整を既定とする（2026-09-05 バッチで85件中57件が旧下限 0.60 に張り付き、両裾の歪みが実証された）。</t>
  </si>
  <si>
    <t>実測 2.056</t>
  </si>
  <si>
    <t>確定</t>
  </si>
  <si>
    <t>Pipeline Metadata (do not edit — read by scripts/validate_output.py)</t>
  </si>
  <si>
    <t>key</t>
  </si>
  <si>
    <t>value</t>
  </si>
  <si>
    <t>auto_log_entries</t>
  </si>
  <si>
    <t>2</t>
  </si>
  <si>
    <t>beta_adopted_c8</t>
  </si>
  <si>
    <t>1.7073</t>
  </si>
  <si>
    <t>beta_basis</t>
  </si>
  <si>
    <t>Blume: 0.67 x 2.056 + 0.33 x 1.00 = 1.707</t>
  </si>
  <si>
    <t>beta_blume_adjusted</t>
  </si>
  <si>
    <t>beta_clamped</t>
  </si>
  <si>
    <t>no</t>
  </si>
  <si>
    <t>beta_raw</t>
  </si>
  <si>
    <t>2.0556</t>
  </si>
  <si>
    <t>capex_pct_basis</t>
  </si>
  <si>
    <t>explicit_override</t>
  </si>
  <si>
    <t>capex_pct_c5</t>
  </si>
  <si>
    <t>0.04095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</si>
  <si>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</si>
  <si>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</si>
  <si>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</si>
  <si>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</si>
  <si>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</si>
  <si>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</si>
  <si>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</si>
  <si>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</si>
  <si>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</si>
  <si>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</si>
  <si>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</si>
  <si>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</si>
  <si>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</si>
  <si>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</si>
  <si>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</si>
  <si>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</si>
  <si>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</si>
  <si>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</si>
  <si>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</si>
  <si>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</si>
  <si>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</si>
  <si>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68402.0</t>
  </si>
  <si>
    <t>core_net_income</t>
  </si>
  <si>
    <t>35240.0</t>
  </si>
  <si>
    <t>cost_of_debt_actual</t>
  </si>
  <si>
    <t>interest 3,067 (expense 3,067 + fees 0) / avg debt 117,188 (debt_beginning/debt_ending) = 0.026172 pre-tax -&gt; 0.019600 after-tax</t>
  </si>
  <si>
    <t>cost_of_debt_at_c11</t>
  </si>
  <si>
    <t>0.0196</t>
  </si>
  <si>
    <t>cost_of_debt_avg_debt</t>
  </si>
  <si>
    <t>117188.5</t>
  </si>
  <si>
    <t>cost_of_debt_basis</t>
  </si>
  <si>
    <t>actual</t>
  </si>
  <si>
    <t>cost_of_debt_interest</t>
  </si>
  <si>
    <t>3067.0</t>
  </si>
  <si>
    <t>cost_of_debt_pretax</t>
  </si>
  <si>
    <t>0.02617151000311464</t>
  </si>
  <si>
    <t>da_pct_basis</t>
  </si>
  <si>
    <t>da_pct_c18</t>
  </si>
  <si>
    <t>0.039</t>
  </si>
  <si>
    <t>da_pct_hist3yr</t>
  </si>
  <si>
    <t>0.037903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</si>
  <si>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</si>
  <si>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</si>
  <si>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</si>
  <si>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</si>
  <si>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</si>
  <si>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</si>
  <si>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</si>
  <si>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</si>
  <si>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</si>
  <si>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19:17:22</t>
  </si>
  <si>
    <t>guidance_note</t>
  </si>
  <si>
    <t>screener DB: no guidance row for code=6506 in the TDnet archive | EDINET XBRL: 5 cached EDINET XBRL file(s) for this ticker carry no ForecastMember context | EDINET tanshin: skipped (--tanshin-fallback not given; EDINET does not host 決算短信)</t>
  </si>
  <si>
    <t>guidance_source</t>
  </si>
  <si>
    <t>latest_operating_income</t>
  </si>
  <si>
    <t>47308.0</t>
  </si>
  <si>
    <t>ltm_revenue_c20</t>
  </si>
  <si>
    <t>542122.0</t>
  </si>
  <si>
    <t>ltm_revenue_source</t>
  </si>
  <si>
    <t>latest FY (no LTM)</t>
  </si>
  <si>
    <t>market_data_source</t>
  </si>
  <si>
    <t>yfinance; from overrides: beta, current_price, shares_outstanding</t>
  </si>
  <si>
    <t>narrative_tokens_used</t>
  </si>
  <si>
    <t>net_debt_source</t>
  </si>
  <si>
    <t>EDINET net_debt</t>
  </si>
  <si>
    <t>reverse_dcf_sheet</t>
  </si>
  <si>
    <t>op0=47,308(FY2026) peak=68,301(FY2023) peak_opm=0.1229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</si>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</sst>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4570</v>
      </c>
    </row>
    <row r="10" spans="2:5" ht="14" x14ac:dyDescent="0.3">
      <c r="B10" s="4" t="s">
        <v>10</v>
      </c>
      <c r="C10" s="5">
        <f>IF(COUNT(C16:C17)=0,"N/A",ROUND(AVERAGE(C16:C17),0))</f>
        <v>1557</v>
      </c>
    </row>
    <row r="11" spans="2:5" ht="14" x14ac:dyDescent="0.3">
      <c r="B11" s="4" t="s">
        <v>11</v>
      </c>
      <c r="C11" s="6" t="str">
        <f>IF(NOT(ISNUMBER(C12)),"N/A",IF(C12&gt;0.15,"BUY",IF(C12&gt;0.05,"HOLD","SELL")))</f>
        <v>SELL</v>
      </c>
    </row>
    <row r="12" spans="2:5" ht="14" x14ac:dyDescent="0.3">
      <c r="B12" s="4" t="s">
        <v>12</v>
      </c>
      <c r="C12" s="7">
        <f>IF(ISNUMBER(C10),(C10-C9)/C9,"N/A")</f>
        <v>-0.65929978118161925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606</v>
      </c>
      <c r="D16" s="7">
        <f>IF(ISNUMBER(C16),(C16-C9)/C9,"N/A")</f>
        <v>-0.86739606126914659</v>
      </c>
    </row>
    <row r="17" spans="2:5" ht="13.5" x14ac:dyDescent="0.25">
      <c r="B17" t="s">
        <v>18</v>
      </c>
      <c r="C17" s="11">
        <f>IF('DCF Model'!C62&lt;'DCF Model'!C16,"INVALID (EV &lt; net debt)",'DCF Model'!C64)</f>
        <v>2508</v>
      </c>
      <c r="D17" s="7">
        <f>IF(ISNUMBER(C17),(C17-C9)/C9,"N/A")</f>
        <v>-0.45120350109409191</v>
      </c>
    </row>
    <row r="18" spans="2:5" ht="13.5" x14ac:dyDescent="0.25">
      <c r="B18" t="s">
        <v>19</v>
      </c>
      <c r="C18" s="11">
        <f>'Comps Analysis'!C27</f>
        <v>3716</v>
      </c>
      <c r="D18" s="7">
        <f>IF(ISNUMBER(C18),(C18-C9)/C9,"N/A")</f>
        <v>-0.18687089715536104</v>
      </c>
    </row>
    <row r="19" spans="2:5" ht="13.5" x14ac:dyDescent="0.25">
      <c r="B19" t="s">
        <v>20</v>
      </c>
      <c r="C19" s="11">
        <f>'Comps Analysis'!C28</f>
        <v>4076</v>
      </c>
      <c r="D19" s="7">
        <f>IF(ISNUMBER(C19),(C19-C9)/C9,"N/A")</f>
        <v>-0.10809628008752735</v>
      </c>
    </row>
    <row r="20" spans="2:5" ht="14" x14ac:dyDescent="0.3">
      <c r="B20" s="45" t="s">
        <v>21</v>
      </c>
      <c r="C20" s="44"/>
      <c r="D20" s="44"/>
      <c r="E20" s="44"/>
    </row>
    <row r="21" spans="2:5" ht="14" x14ac:dyDescent="0.3">
      <c r="B21" s="4" t="s">
        <v>22</v>
      </c>
      <c r="C21" s="6" t="str">
        <f>IF(COUNT(C16:C17)=0,"N/A",MIN(C16:C17)&amp;" - "&amp;MAX(C16:C17))</f>
        <v>606 - 2508</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555955</v>
      </c>
      <c r="D6" s="5">
        <v>575658</v>
      </c>
      <c r="E6" s="5">
        <v>537682</v>
      </c>
      <c r="F6" s="5">
        <v>542122</v>
      </c>
    </row>
    <row r="7" spans="2:6" ht="14" x14ac:dyDescent="0.3">
      <c r="B7" s="4" t="s">
        <v>38</v>
      </c>
      <c r="C7" s="5">
        <v>363948</v>
      </c>
      <c r="D7" s="5">
        <v>366557</v>
      </c>
      <c r="E7" s="5">
        <v>346201</v>
      </c>
      <c r="F7" s="5">
        <v>350885</v>
      </c>
    </row>
    <row r="8" spans="2:6" ht="14" x14ac:dyDescent="0.3">
      <c r="B8" s="4" t="s">
        <v>39</v>
      </c>
      <c r="C8" s="5">
        <f>C6-C7</f>
        <v>192007</v>
      </c>
      <c r="D8" s="5">
        <f>D6-D7</f>
        <v>209101</v>
      </c>
      <c r="E8" s="5">
        <f>E6-E7</f>
        <v>191481</v>
      </c>
      <c r="F8" s="5">
        <f>F6-F7</f>
        <v>191237</v>
      </c>
    </row>
    <row r="9" spans="2:6" ht="13.5" x14ac:dyDescent="0.25">
      <c r="B9" t="s">
        <v>40</v>
      </c>
      <c r="C9" s="7">
        <f>C8/C6</f>
        <v>0.34536428308046513</v>
      </c>
      <c r="D9" s="7">
        <f>D8/D6</f>
        <v>0.36323824215072142</v>
      </c>
      <c r="E9" s="7">
        <f>E8/E6</f>
        <v>0.35612313598000306</v>
      </c>
      <c r="F9" s="7">
        <f>F8/F6</f>
        <v>0.35275639062793984</v>
      </c>
    </row>
    <row r="10" spans="2:6" ht="14" x14ac:dyDescent="0.3">
      <c r="B10" s="4" t="s">
        <v>41</v>
      </c>
      <c r="C10" s="5">
        <v>123706</v>
      </c>
      <c r="D10" s="5">
        <v>142876</v>
      </c>
      <c r="E10" s="5">
        <v>141324</v>
      </c>
      <c r="F10" s="5">
        <v>143929</v>
      </c>
    </row>
    <row r="11" spans="2:6" ht="14" x14ac:dyDescent="0.3">
      <c r="B11" s="4" t="s">
        <v>42</v>
      </c>
      <c r="C11" s="5">
        <v>68301</v>
      </c>
      <c r="D11" s="5">
        <v>66225</v>
      </c>
      <c r="E11" s="5">
        <v>50157</v>
      </c>
      <c r="F11" s="5">
        <v>47308</v>
      </c>
    </row>
    <row r="12" spans="2:6" ht="14" x14ac:dyDescent="0.3">
      <c r="B12" s="4" t="s">
        <v>43</v>
      </c>
      <c r="C12" s="5">
        <v>51783</v>
      </c>
      <c r="D12" s="5">
        <v>50687</v>
      </c>
      <c r="E12" s="5">
        <v>56987</v>
      </c>
      <c r="F12" s="5">
        <v>35240</v>
      </c>
    </row>
    <row r="13" spans="2:6" ht="13.5" x14ac:dyDescent="0.25">
      <c r="B13" t="s">
        <v>44</v>
      </c>
      <c r="C13" s="7">
        <f>C11/C6</f>
        <v>0.12285346835625185</v>
      </c>
      <c r="D13" s="7">
        <f>D11/D6</f>
        <v>0.11504226467798588</v>
      </c>
      <c r="E13" s="7">
        <f>E11/E6</f>
        <v>9.3283762521341615E-2</v>
      </c>
      <c r="F13" s="7">
        <f>F11/F6</f>
        <v>8.7264490280785506E-2</v>
      </c>
    </row>
    <row r="14" spans="2:6" ht="13.5" x14ac:dyDescent="0.25">
      <c r="B14" t="s">
        <v>45</v>
      </c>
      <c r="C14" s="7">
        <f>C12/C6</f>
        <v>9.3142430592404055E-2</v>
      </c>
      <c r="D14" s="7">
        <f>D12/D6</f>
        <v>8.805054389932912E-2</v>
      </c>
      <c r="E14" s="7">
        <f>E12/E6</f>
        <v>0.10598643808050111</v>
      </c>
      <c r="F14" s="7">
        <f>F12/F6</f>
        <v>6.5003818328715671E-2</v>
      </c>
    </row>
    <row r="15" spans="2:6" ht="13.5" x14ac:dyDescent="0.25">
      <c r="B15" t="s">
        <v>46</v>
      </c>
      <c r="C15" t="s">
        <v>47</v>
      </c>
      <c r="D15" s="7">
        <f>(D6-C6)/C6</f>
        <v>3.5439918698455808E-2</v>
      </c>
      <c r="E15" s="7">
        <f>(E6-D6)/D6</f>
        <v>-6.5969725079821698E-2</v>
      </c>
      <c r="F15" s="7">
        <f>(F6-E6)/E6</f>
        <v>8.257669031137364E-3</v>
      </c>
    </row>
    <row r="16" spans="2:6" ht="13.5" x14ac:dyDescent="0.25">
      <c r="B16" t="s">
        <v>48</v>
      </c>
      <c r="C16" t="s">
        <v>47</v>
      </c>
      <c r="D16" s="7">
        <f>(D11-C11)/C11</f>
        <v>-3.0394869767646153E-2</v>
      </c>
      <c r="E16" s="7">
        <f>(E11-D11)/D11</f>
        <v>-0.24262740656851642</v>
      </c>
      <c r="F16" s="7">
        <f>(F11-E11)/E11</f>
        <v>-5.6801642841477762E-2</v>
      </c>
    </row>
    <row r="18" spans="2:6" ht="14" x14ac:dyDescent="0.3">
      <c r="B18" s="3" t="s">
        <v>49</v>
      </c>
    </row>
    <row r="19" spans="2:6" ht="14" x14ac:dyDescent="0.3">
      <c r="B19" s="4" t="s">
        <v>50</v>
      </c>
      <c r="C19" s="5">
        <v>-2209</v>
      </c>
      <c r="D19" s="5">
        <v>54619</v>
      </c>
      <c r="E19" s="5">
        <v>56505</v>
      </c>
      <c r="F19" s="5">
        <v>52170</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42274</v>
      </c>
      <c r="D26" s="5">
        <v>40279</v>
      </c>
      <c r="E26" s="5">
        <v>59028</v>
      </c>
      <c r="F26" s="5">
        <v>61223</v>
      </c>
    </row>
    <row r="27" spans="2:6" ht="14" x14ac:dyDescent="0.3">
      <c r="B27" s="4" t="s">
        <v>57</v>
      </c>
      <c r="C27" s="5">
        <v>30379</v>
      </c>
      <c r="D27" s="5">
        <v>54156</v>
      </c>
      <c r="E27" s="5">
        <v>95694</v>
      </c>
      <c r="F27" s="5">
        <v>110029</v>
      </c>
    </row>
    <row r="28" spans="2:6" ht="14" x14ac:dyDescent="0.3">
      <c r="B28" s="4" t="s">
        <v>58</v>
      </c>
      <c r="C28" s="5">
        <f>C27-C26</f>
        <v>-11895</v>
      </c>
      <c r="D28" s="5">
        <f>D27-D26</f>
        <v>13877</v>
      </c>
      <c r="E28" s="5">
        <f>E27-E26</f>
        <v>36666</v>
      </c>
      <c r="F28" s="5">
        <f>F27-F26</f>
        <v>48806</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4.095E-2</v>
      </c>
    </row>
    <row r="6" spans="2:7" ht="14" x14ac:dyDescent="0.3">
      <c r="B6" s="4" t="s">
        <v>63</v>
      </c>
      <c r="C6" s="7">
        <v>0.25</v>
      </c>
    </row>
    <row r="7" spans="2:7" ht="14" x14ac:dyDescent="0.3">
      <c r="B7" s="4" t="s">
        <v>64</v>
      </c>
      <c r="C7" s="7">
        <v>2.9700000000000001E-2</v>
      </c>
    </row>
    <row r="8" spans="2:7" ht="14" x14ac:dyDescent="0.3">
      <c r="B8" s="4" t="s">
        <v>65</v>
      </c>
      <c r="C8" s="12">
        <v>1.7073</v>
      </c>
    </row>
    <row r="9" spans="2:7" ht="14" x14ac:dyDescent="0.3">
      <c r="B9" s="4" t="s">
        <v>66</v>
      </c>
      <c r="C9" s="7">
        <v>6.5000000000000002E-2</v>
      </c>
    </row>
    <row r="10" spans="2:7" ht="14" x14ac:dyDescent="0.3">
      <c r="B10" s="4" t="s">
        <v>67</v>
      </c>
      <c r="C10" s="7">
        <v>0.01</v>
      </c>
    </row>
    <row r="11" spans="2:7" ht="14" x14ac:dyDescent="0.3">
      <c r="B11" s="4" t="s">
        <v>68</v>
      </c>
      <c r="C11" s="7">
        <v>1.9599999999999999E-2</v>
      </c>
    </row>
    <row r="12" spans="2:7" ht="14" x14ac:dyDescent="0.3">
      <c r="B12" s="4" t="s">
        <v>69</v>
      </c>
      <c r="C12" s="13">
        <v>5.3699999999999998E-2</v>
      </c>
    </row>
    <row r="13" spans="2:7" ht="14" x14ac:dyDescent="0.3">
      <c r="B13" s="4" t="s">
        <v>70</v>
      </c>
      <c r="C13" s="7">
        <v>0.01</v>
      </c>
    </row>
    <row r="14" spans="2:7" ht="14" x14ac:dyDescent="0.3">
      <c r="B14" s="4" t="s">
        <v>71</v>
      </c>
      <c r="C14" s="14">
        <v>15</v>
      </c>
    </row>
    <row r="15" spans="2:7" ht="14" x14ac:dyDescent="0.3">
      <c r="B15" s="4" t="s">
        <v>72</v>
      </c>
      <c r="C15" s="15">
        <v>259367959</v>
      </c>
    </row>
    <row r="16" spans="2:7" ht="14" x14ac:dyDescent="0.3">
      <c r="B16" s="4" t="s">
        <v>73</v>
      </c>
      <c r="C16" s="5">
        <v>63628</v>
      </c>
    </row>
    <row r="17" spans="2:7" ht="14" x14ac:dyDescent="0.3">
      <c r="B17" s="4" t="s">
        <v>74</v>
      </c>
      <c r="C17" s="5">
        <v>542122</v>
      </c>
    </row>
    <row r="18" spans="2:7" ht="14" x14ac:dyDescent="0.3">
      <c r="B18" s="4" t="s">
        <v>75</v>
      </c>
      <c r="C18" s="7">
        <v>3.9E-2</v>
      </c>
    </row>
    <row r="19" spans="2:7" ht="14" x14ac:dyDescent="0.3">
      <c r="B19" s="4" t="s">
        <v>76</v>
      </c>
      <c r="C19" s="12">
        <v>1</v>
      </c>
    </row>
    <row r="20" spans="2:7" ht="14" x14ac:dyDescent="0.3">
      <c r="B20" s="4" t="s">
        <v>77</v>
      </c>
      <c r="C20" s="5">
        <v>542122</v>
      </c>
    </row>
    <row r="22" spans="2:7" ht="14" x14ac:dyDescent="0.3">
      <c r="B22" s="8" t="s">
        <v>78</v>
      </c>
      <c r="C22" s="9"/>
      <c r="D22" s="9"/>
      <c r="E22" s="9"/>
      <c r="F22" s="9"/>
      <c r="G22" s="9"/>
    </row>
    <row r="23" spans="2:7" ht="14" x14ac:dyDescent="0.3">
      <c r="B23" s="4" t="s">
        <v>79</v>
      </c>
      <c r="C23" s="16">
        <f>C7+C8*C9+C10</f>
        <v>0.15067450000000002</v>
      </c>
    </row>
    <row r="24" spans="2:7" ht="14" x14ac:dyDescent="0.3">
      <c r="B24" s="4" t="s">
        <v>80</v>
      </c>
      <c r="C24" s="16">
        <f>1/(1+C12)</f>
        <v>0.94903672772136272</v>
      </c>
    </row>
    <row r="25" spans="2:7" ht="14" x14ac:dyDescent="0.3">
      <c r="B25" s="4" t="s">
        <v>81</v>
      </c>
      <c r="C25" s="16">
        <f>C12/(1+C12)</f>
        <v>5.096327227863718E-2</v>
      </c>
    </row>
    <row r="26" spans="2:7" ht="14" x14ac:dyDescent="0.3">
      <c r="B26" s="4" t="s">
        <v>82</v>
      </c>
      <c r="C26" s="16">
        <f>C23*C24+C11*C25</f>
        <v>0.14399451456771378</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0.03</v>
      </c>
      <c r="E30" s="18">
        <f>CHOOSE($D$27,E69,E70,E71,E72,E73)</f>
        <v>0.03</v>
      </c>
      <c r="F30" s="18">
        <f>CHOOSE($D$27,F69,F70,F71,F72,F73)</f>
        <v>2.5000000000000001E-2</v>
      </c>
      <c r="G30" s="18">
        <f>CHOOSE($D$27,G69,G70,G71,G72,G73)</f>
        <v>0.02</v>
      </c>
    </row>
    <row r="31" spans="2:7" ht="14" x14ac:dyDescent="0.3">
      <c r="B31" s="4" t="s">
        <v>91</v>
      </c>
      <c r="C31" s="18">
        <f>CHOOSE($D$27,C76,C77,C78,C79,C80)</f>
        <v>0.64700000000000002</v>
      </c>
      <c r="D31" s="18">
        <f>CHOOSE($D$27,D76,D77,D78,D79,D80)</f>
        <v>0.64700000000000002</v>
      </c>
      <c r="E31" s="18">
        <f>CHOOSE($D$27,E76,E77,E78,E79,E80)</f>
        <v>0.64700000000000002</v>
      </c>
      <c r="F31" s="18">
        <f>CHOOSE($D$27,F76,F77,F78,F79,F80)</f>
        <v>0.64700000000000002</v>
      </c>
      <c r="G31" s="18">
        <f>CHOOSE($D$27,G76,G77,G78,G79,G80)</f>
        <v>0.64700000000000002</v>
      </c>
    </row>
    <row r="32" spans="2:7" ht="14" x14ac:dyDescent="0.3">
      <c r="B32" s="4" t="s">
        <v>92</v>
      </c>
      <c r="C32" s="18">
        <f>CHOOSE($D$27,C83,C84,C85,C86,C87)</f>
        <v>0.26400000000000001</v>
      </c>
      <c r="D32" s="18">
        <f>CHOOSE($D$27,D83,D84,D85,D86,D87)</f>
        <v>0.26200000000000001</v>
      </c>
      <c r="E32" s="18">
        <f>CHOOSE($D$27,E83,E84,E85,E86,E87)</f>
        <v>0.26</v>
      </c>
      <c r="F32" s="18">
        <f>CHOOSE($D$27,F83,F84,F85,F86,F87)</f>
        <v>0.25850000000000001</v>
      </c>
      <c r="G32" s="18">
        <f>CHOOSE($D$27,G83,G84,G85,G86,G87)</f>
        <v>0.25719999999999998</v>
      </c>
    </row>
    <row r="33" spans="2:7" ht="14" x14ac:dyDescent="0.3">
      <c r="B33" s="4" t="s">
        <v>37</v>
      </c>
      <c r="C33" s="5">
        <f>C17*(1+C30)</f>
        <v>552964.44000000006</v>
      </c>
      <c r="D33" s="5">
        <f>C33*(1+D30)</f>
        <v>569553.37320000003</v>
      </c>
      <c r="E33" s="5">
        <f>D33*(1+E30)</f>
        <v>586639.97439600003</v>
      </c>
      <c r="F33" s="5">
        <f>E33*(1+F30)</f>
        <v>601305.97375589993</v>
      </c>
      <c r="G33" s="5">
        <f>F33*(1+G30)</f>
        <v>613332.09323101793</v>
      </c>
    </row>
    <row r="34" spans="2:7" ht="14" x14ac:dyDescent="0.3">
      <c r="B34" s="4" t="s">
        <v>38</v>
      </c>
      <c r="C34" s="5">
        <f>C33*C31</f>
        <v>357767.99268000002</v>
      </c>
      <c r="D34" s="5">
        <f>D33*D31</f>
        <v>368501.03246040002</v>
      </c>
      <c r="E34" s="5">
        <f>E33*E31</f>
        <v>379556.06343421206</v>
      </c>
      <c r="F34" s="5">
        <f>F33*F31</f>
        <v>389044.96502006729</v>
      </c>
      <c r="G34" s="5">
        <f>G33*G31</f>
        <v>396825.86432046862</v>
      </c>
    </row>
    <row r="35" spans="2:7" ht="14" x14ac:dyDescent="0.3">
      <c r="B35" s="4" t="s">
        <v>39</v>
      </c>
      <c r="C35" s="19">
        <f>C33-C34</f>
        <v>195196.44732000004</v>
      </c>
      <c r="D35" s="19">
        <f>D33-D34</f>
        <v>201052.34073960001</v>
      </c>
      <c r="E35" s="19">
        <f>E33-E34</f>
        <v>207083.91096178797</v>
      </c>
      <c r="F35" s="19">
        <f>F33-F34</f>
        <v>212261.00873583264</v>
      </c>
      <c r="G35" s="19">
        <f>G33-G34</f>
        <v>216506.22891054931</v>
      </c>
    </row>
    <row r="36" spans="2:7" ht="14" x14ac:dyDescent="0.3">
      <c r="B36" s="4" t="s">
        <v>40</v>
      </c>
      <c r="C36" s="7">
        <f>C35/C33</f>
        <v>0.35300000000000004</v>
      </c>
      <c r="D36" s="7">
        <f>D35/D33</f>
        <v>0.35299999999999998</v>
      </c>
      <c r="E36" s="7">
        <f>E35/E33</f>
        <v>0.35299999999999992</v>
      </c>
      <c r="F36" s="7">
        <f>F35/F33</f>
        <v>0.35299999999999992</v>
      </c>
      <c r="G36" s="7">
        <f>G35/G33</f>
        <v>0.35299999999999998</v>
      </c>
    </row>
    <row r="37" spans="2:7" ht="14" x14ac:dyDescent="0.3">
      <c r="B37" s="4" t="s">
        <v>93</v>
      </c>
      <c r="C37" s="5">
        <f>C33*C32</f>
        <v>145982.61216000002</v>
      </c>
      <c r="D37" s="5">
        <f>D33*D32</f>
        <v>149222.98377840003</v>
      </c>
      <c r="E37" s="5">
        <f>E33*E32</f>
        <v>152526.39334296001</v>
      </c>
      <c r="F37" s="5">
        <f>F33*F32</f>
        <v>155437.59421590014</v>
      </c>
      <c r="G37" s="5">
        <f>G33*G32</f>
        <v>157749.01437901781</v>
      </c>
    </row>
    <row r="38" spans="2:7" ht="14" x14ac:dyDescent="0.3">
      <c r="B38" s="4" t="s">
        <v>94</v>
      </c>
      <c r="C38" s="7">
        <f>(C35-C37)/C33</f>
        <v>8.9000000000000024E-2</v>
      </c>
      <c r="D38" s="7">
        <f>(D35-D37)/D33</f>
        <v>9.099999999999997E-2</v>
      </c>
      <c r="E38" s="7">
        <f>(E35-E37)/E33</f>
        <v>9.299999999999993E-2</v>
      </c>
      <c r="F38" s="7">
        <f>(F35-F37)/F33</f>
        <v>9.4499999999999931E-2</v>
      </c>
      <c r="G38" s="7">
        <f>(G35-G37)/G33</f>
        <v>9.5799999999999969E-2</v>
      </c>
    </row>
    <row r="39" spans="2:7" ht="14" x14ac:dyDescent="0.3">
      <c r="B39" s="4" t="s">
        <v>95</v>
      </c>
      <c r="C39" s="19">
        <f>C35-C37</f>
        <v>49213.835160000017</v>
      </c>
      <c r="D39" s="19">
        <f>D35-D37</f>
        <v>51829.356961199985</v>
      </c>
      <c r="E39" s="19">
        <f>E35-E37</f>
        <v>54557.517618827958</v>
      </c>
      <c r="F39" s="19">
        <f>F35-F37</f>
        <v>56823.414519932499</v>
      </c>
      <c r="G39" s="19">
        <f>G35-G37</f>
        <v>58757.214531531499</v>
      </c>
    </row>
    <row r="40" spans="2:7" ht="14" x14ac:dyDescent="0.3">
      <c r="B40" s="4" t="s">
        <v>96</v>
      </c>
      <c r="C40" s="5">
        <f>MAX(0,C39*C6)</f>
        <v>12303.458790000004</v>
      </c>
      <c r="D40" s="5">
        <f>MAX(0,D39*C6)</f>
        <v>12957.339240299996</v>
      </c>
      <c r="E40" s="5">
        <f>MAX(0,E39*C6)</f>
        <v>13639.37940470699</v>
      </c>
      <c r="F40" s="5">
        <f>MAX(0,F39*C6)</f>
        <v>14205.853629983125</v>
      </c>
      <c r="G40" s="5">
        <f>MAX(0,G39*C6)</f>
        <v>14689.303632882875</v>
      </c>
    </row>
    <row r="41" spans="2:7" ht="14" x14ac:dyDescent="0.3">
      <c r="B41" s="4" t="s">
        <v>97</v>
      </c>
      <c r="C41" s="19">
        <f>C39-C40</f>
        <v>36910.376370000013</v>
      </c>
      <c r="D41" s="19">
        <f>D39-D40</f>
        <v>38872.017720899988</v>
      </c>
      <c r="E41" s="19">
        <f>E39-E40</f>
        <v>40918.138214120969</v>
      </c>
      <c r="F41" s="19">
        <f>F39-F40</f>
        <v>42617.560889949375</v>
      </c>
      <c r="G41" s="19">
        <f>G39-G40</f>
        <v>44067.910898648624</v>
      </c>
    </row>
    <row r="42" spans="2:7" ht="14" x14ac:dyDescent="0.3">
      <c r="B42" s="4" t="s">
        <v>98</v>
      </c>
      <c r="C42" s="5">
        <f>C33*C18</f>
        <v>21565.613160000001</v>
      </c>
      <c r="D42" s="5">
        <f>D33*C18</f>
        <v>22212.581554800003</v>
      </c>
      <c r="E42" s="5">
        <f>E33*C18</f>
        <v>22878.959001444</v>
      </c>
      <c r="F42" s="5">
        <f>F33*C18</f>
        <v>23450.932976480097</v>
      </c>
      <c r="G42" s="5">
        <f>G33*C18</f>
        <v>23919.9516360097</v>
      </c>
    </row>
    <row r="43" spans="2:7" ht="14" x14ac:dyDescent="0.3">
      <c r="B43" s="4" t="s">
        <v>99</v>
      </c>
      <c r="C43" s="5">
        <v>44000</v>
      </c>
      <c r="D43" s="5">
        <v>40000</v>
      </c>
      <c r="E43" s="5">
        <v>35000</v>
      </c>
      <c r="F43" s="5">
        <v>30000</v>
      </c>
      <c r="G43" s="5">
        <v>25100</v>
      </c>
    </row>
    <row r="44" spans="2:7" ht="14" x14ac:dyDescent="0.3">
      <c r="B44" s="4" t="s">
        <v>100</v>
      </c>
      <c r="C44" s="5">
        <f>'NWC Schedule'!D19</f>
        <v>-13241.486374684901</v>
      </c>
      <c r="D44" s="5">
        <f>'NWC Schedule'!E19</f>
        <v>9113.5054087594617</v>
      </c>
      <c r="E44" s="5">
        <f>'NWC Schedule'!F19</f>
        <v>9386.910571022192</v>
      </c>
      <c r="F44" s="5">
        <f>'NWC Schedule'!G19</f>
        <v>8057.0982401273795</v>
      </c>
      <c r="G44" s="5">
        <f>'NWC Schedule'!H19</f>
        <v>6606.8205569044803</v>
      </c>
    </row>
    <row r="45" spans="2:7" ht="14" x14ac:dyDescent="0.3">
      <c r="B45" s="4" t="s">
        <v>101</v>
      </c>
      <c r="C45" s="20">
        <f>C41+C42-C43-C44</f>
        <v>27717.475904684914</v>
      </c>
      <c r="D45" s="20">
        <f>D41+D42-D43-D44</f>
        <v>11971.09386694053</v>
      </c>
      <c r="E45" s="20">
        <f>E41+E42-E43-E44</f>
        <v>19410.186644542773</v>
      </c>
      <c r="F45" s="20">
        <f>F41+F42-F43-F44</f>
        <v>28011.395626302095</v>
      </c>
      <c r="G45" s="20">
        <f>G41+G42-G43-G44</f>
        <v>36281.041977753848</v>
      </c>
    </row>
    <row r="46" spans="2:7" ht="14" x14ac:dyDescent="0.3">
      <c r="B46" s="4" t="s">
        <v>102</v>
      </c>
      <c r="C46" s="21">
        <f>1/(1+C26)^(C19+0)</f>
        <v>0.87413006554308037</v>
      </c>
      <c r="D46" s="21">
        <f>1/(1+C26)^(C19+1)</f>
        <v>0.76410337148634999</v>
      </c>
      <c r="E46" s="21">
        <f>1/(1+C26)^(C19+2)</f>
        <v>0.66792573019905188</v>
      </c>
      <c r="F46" s="21">
        <f>1/(1+C26)^(C19+3)</f>
        <v>0.58385396231680697</v>
      </c>
      <c r="G46" s="21">
        <f>1/(1+C26)^(C19+4)</f>
        <v>0.51036430234757768</v>
      </c>
    </row>
    <row r="47" spans="2:7" ht="14" x14ac:dyDescent="0.3">
      <c r="B47" s="4" t="s">
        <v>103</v>
      </c>
      <c r="C47" s="19">
        <f>C45*C46</f>
        <v>24228.679029250976</v>
      </c>
      <c r="D47" s="19">
        <f>D45*D46</f>
        <v>9147.1531841088254</v>
      </c>
      <c r="E47" s="19">
        <f>E45*E46</f>
        <v>12964.563087856117</v>
      </c>
      <c r="F47" s="19">
        <f>F45*F46</f>
        <v>16354.564326440155</v>
      </c>
      <c r="G47" s="19">
        <f>G45*G46</f>
        <v>18516.548677419523</v>
      </c>
    </row>
    <row r="49" spans="2:7" ht="14" x14ac:dyDescent="0.3">
      <c r="B49" s="22" t="s">
        <v>104</v>
      </c>
      <c r="C49" s="23"/>
      <c r="D49" s="23"/>
      <c r="E49" s="23"/>
      <c r="F49" s="23"/>
      <c r="G49" s="23"/>
    </row>
    <row r="50" spans="2:7" ht="14" x14ac:dyDescent="0.3">
      <c r="B50" s="4" t="s">
        <v>105</v>
      </c>
      <c r="C50" s="5">
        <f>SUM(C47:G47)</f>
        <v>81211.508305075607</v>
      </c>
    </row>
    <row r="51" spans="2:7" ht="14" x14ac:dyDescent="0.3">
      <c r="B51" s="4" t="s">
        <v>106</v>
      </c>
      <c r="C51" s="5">
        <f>G45*(1+C13)/(C26-C13)</f>
        <v>273472.77995483548</v>
      </c>
    </row>
    <row r="52" spans="2:7" ht="14" x14ac:dyDescent="0.3">
      <c r="B52" s="4" t="s">
        <v>107</v>
      </c>
      <c r="C52" s="5">
        <f>C51*G46</f>
        <v>139570.74455270224</v>
      </c>
    </row>
    <row r="53" spans="2:7" ht="14" x14ac:dyDescent="0.3">
      <c r="B53" s="4" t="s">
        <v>108</v>
      </c>
      <c r="C53" s="5">
        <f>C50+C52</f>
        <v>220782.25285777784</v>
      </c>
    </row>
    <row r="54" spans="2:7" ht="14" x14ac:dyDescent="0.3">
      <c r="B54" s="4" t="s">
        <v>109</v>
      </c>
      <c r="C54" s="5">
        <f>C53-C16</f>
        <v>157154.25285777784</v>
      </c>
    </row>
    <row r="55" spans="2:7" ht="14" x14ac:dyDescent="0.3">
      <c r="B55" s="4" t="s">
        <v>110</v>
      </c>
      <c r="C55" s="24">
        <f>ROUND(C54*1000000/C15,0)</f>
        <v>606</v>
      </c>
    </row>
    <row r="57" spans="2:7" ht="14" x14ac:dyDescent="0.3">
      <c r="B57" s="22" t="s">
        <v>111</v>
      </c>
      <c r="C57" s="23"/>
      <c r="D57" s="23"/>
      <c r="E57" s="23"/>
      <c r="F57" s="23"/>
      <c r="G57" s="23"/>
    </row>
    <row r="58" spans="2:7" ht="14" x14ac:dyDescent="0.3">
      <c r="B58" s="4" t="s">
        <v>105</v>
      </c>
      <c r="C58" s="5">
        <f>C50</f>
        <v>81211.508305075607</v>
      </c>
    </row>
    <row r="59" spans="2:7" ht="14" x14ac:dyDescent="0.3">
      <c r="B59" s="4" t="s">
        <v>112</v>
      </c>
      <c r="C59" s="5">
        <f>G39+G42</f>
        <v>82677.166167541203</v>
      </c>
    </row>
    <row r="60" spans="2:7" ht="14" x14ac:dyDescent="0.3">
      <c r="B60" s="4" t="s">
        <v>113</v>
      </c>
      <c r="C60" s="5">
        <f>C59*C14</f>
        <v>1240157.4925131181</v>
      </c>
    </row>
    <row r="61" spans="2:7" ht="14" x14ac:dyDescent="0.3">
      <c r="B61" s="4" t="s">
        <v>107</v>
      </c>
      <c r="C61" s="5">
        <f>C60*G46</f>
        <v>632932.11346757878</v>
      </c>
    </row>
    <row r="62" spans="2:7" ht="14" x14ac:dyDescent="0.3">
      <c r="B62" s="4" t="s">
        <v>108</v>
      </c>
      <c r="C62" s="5">
        <f>C58+C61</f>
        <v>714143.62177265435</v>
      </c>
    </row>
    <row r="63" spans="2:7" ht="14" x14ac:dyDescent="0.3">
      <c r="B63" s="4" t="s">
        <v>109</v>
      </c>
      <c r="C63" s="5">
        <f>C62-C16</f>
        <v>650515.62177265435</v>
      </c>
    </row>
    <row r="64" spans="2:7" ht="14" x14ac:dyDescent="0.3">
      <c r="B64" s="4" t="s">
        <v>114</v>
      </c>
      <c r="C64" s="24">
        <f>ROUND(C63*1000000/C15,0)</f>
        <v>2508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0.03</v>
      </c>
      <c r="E69" s="26">
        <v>0.03</v>
      </c>
      <c r="F69" s="26">
        <v>2.5000000000000001E-2</v>
      </c>
      <c r="G69" s="26">
        <v>0.02</v>
      </c>
    </row>
    <row r="70" spans="2:7" ht="14" x14ac:dyDescent="0.3">
      <c r="B70" s="4" t="s">
        <v>121</v>
      </c>
      <c r="C70" s="26">
        <v>0.05</v>
      </c>
      <c r="D70" s="26">
        <v>0.05</v>
      </c>
      <c r="E70" s="26">
        <v>0.04</v>
      </c>
      <c r="F70" s="26">
        <v>3.5000000000000003E-2</v>
      </c>
      <c r="G70" s="26">
        <v>0.03</v>
      </c>
    </row>
    <row r="71" spans="2:7" ht="14" x14ac:dyDescent="0.3">
      <c r="B71" s="4" t="s">
        <v>122</v>
      </c>
      <c r="C71" s="26">
        <v>0.02</v>
      </c>
      <c r="D71" s="26">
        <v>0.03</v>
      </c>
      <c r="E71" s="26">
        <v>0.03</v>
      </c>
      <c r="F71" s="26">
        <v>2.5000000000000001E-2</v>
      </c>
      <c r="G71" s="26">
        <v>0.02</v>
      </c>
    </row>
    <row r="72" spans="2:7" ht="14" x14ac:dyDescent="0.3">
      <c r="B72" s="4" t="s">
        <v>123</v>
      </c>
      <c r="C72" s="26">
        <v>-0.02</v>
      </c>
      <c r="D72" s="26">
        <v>0</v>
      </c>
      <c r="E72" s="26">
        <v>0.01</v>
      </c>
      <c r="F72" s="26">
        <v>1.4999999999999999E-2</v>
      </c>
      <c r="G72" s="26">
        <v>1.4999999999999999E-2</v>
      </c>
    </row>
    <row r="73" spans="2:7" ht="14" x14ac:dyDescent="0.3">
      <c r="B73" s="4" t="s">
        <v>124</v>
      </c>
      <c r="C73" s="26">
        <v>-0.1</v>
      </c>
      <c r="D73" s="26">
        <v>-0.02</v>
      </c>
      <c r="E73" s="26">
        <v>5.0000000000000001E-3</v>
      </c>
      <c r="F73" s="26">
        <v>0.01</v>
      </c>
      <c r="G73" s="26">
        <v>1.4999999999999999E-2</v>
      </c>
    </row>
    <row r="75" spans="2:7" ht="14" x14ac:dyDescent="0.3">
      <c r="B75" s="3" t="s">
        <v>91</v>
      </c>
    </row>
    <row r="76" spans="2:7" ht="14" x14ac:dyDescent="0.3">
      <c r="B76" s="4" t="s">
        <v>84</v>
      </c>
      <c r="C76" s="26">
        <v>0.64700000000000002</v>
      </c>
      <c r="D76" s="26">
        <v>0.64700000000000002</v>
      </c>
      <c r="E76" s="26">
        <v>0.64700000000000002</v>
      </c>
      <c r="F76" s="26">
        <v>0.64700000000000002</v>
      </c>
      <c r="G76" s="26">
        <v>0.64700000000000002</v>
      </c>
    </row>
    <row r="77" spans="2:7" ht="14" x14ac:dyDescent="0.3">
      <c r="B77" s="4" t="s">
        <v>121</v>
      </c>
      <c r="C77" s="26">
        <v>0.63700000000000001</v>
      </c>
      <c r="D77" s="26">
        <v>0.63700000000000001</v>
      </c>
      <c r="E77" s="26">
        <v>0.63700000000000001</v>
      </c>
      <c r="F77" s="26">
        <v>0.63700000000000001</v>
      </c>
      <c r="G77" s="26">
        <v>0.63700000000000001</v>
      </c>
    </row>
    <row r="78" spans="2:7" ht="14" x14ac:dyDescent="0.3">
      <c r="B78" s="4" t="s">
        <v>122</v>
      </c>
      <c r="C78" s="26">
        <v>0.64700000000000002</v>
      </c>
      <c r="D78" s="26">
        <v>0.64700000000000002</v>
      </c>
      <c r="E78" s="26">
        <v>0.64700000000000002</v>
      </c>
      <c r="F78" s="26">
        <v>0.64700000000000002</v>
      </c>
      <c r="G78" s="26">
        <v>0.64700000000000002</v>
      </c>
    </row>
    <row r="79" spans="2:7" ht="14" x14ac:dyDescent="0.3">
      <c r="B79" s="4" t="s">
        <v>123</v>
      </c>
      <c r="C79" s="26">
        <v>0.65500000000000003</v>
      </c>
      <c r="D79" s="26">
        <v>0.65500000000000003</v>
      </c>
      <c r="E79" s="26">
        <v>0.65500000000000003</v>
      </c>
      <c r="F79" s="26">
        <v>0.65500000000000003</v>
      </c>
      <c r="G79" s="26">
        <v>0.65500000000000003</v>
      </c>
    </row>
    <row r="80" spans="2:7" ht="14" x14ac:dyDescent="0.3">
      <c r="B80" s="4" t="s">
        <v>124</v>
      </c>
      <c r="C80" s="26">
        <v>0.67</v>
      </c>
      <c r="D80" s="26">
        <v>0.67</v>
      </c>
      <c r="E80" s="26">
        <v>0.67</v>
      </c>
      <c r="F80" s="26">
        <v>0.67</v>
      </c>
      <c r="G80" s="26">
        <v>0.67</v>
      </c>
    </row>
    <row r="82" spans="2:7" ht="14" x14ac:dyDescent="0.3">
      <c r="B82" s="3" t="s">
        <v>92</v>
      </c>
    </row>
    <row r="83" spans="2:7" ht="14" x14ac:dyDescent="0.3">
      <c r="B83" s="4" t="s">
        <v>84</v>
      </c>
      <c r="C83" s="26">
        <v>0.26400000000000001</v>
      </c>
      <c r="D83" s="26">
        <v>0.26200000000000001</v>
      </c>
      <c r="E83" s="26">
        <v>0.26</v>
      </c>
      <c r="F83" s="26">
        <v>0.25850000000000001</v>
      </c>
      <c r="G83" s="26">
        <v>0.25719999999999998</v>
      </c>
    </row>
    <row r="84" spans="2:7" ht="14" x14ac:dyDescent="0.3">
      <c r="B84" s="4" t="s">
        <v>121</v>
      </c>
      <c r="C84" s="26">
        <v>0.26500000000000001</v>
      </c>
      <c r="D84" s="26">
        <v>0.25900000000000001</v>
      </c>
      <c r="E84" s="26">
        <v>0.253</v>
      </c>
      <c r="F84" s="26">
        <v>0.249</v>
      </c>
      <c r="G84" s="26">
        <v>0.246</v>
      </c>
    </row>
    <row r="85" spans="2:7" ht="14" x14ac:dyDescent="0.3">
      <c r="B85" s="4" t="s">
        <v>122</v>
      </c>
      <c r="C85" s="26">
        <v>0.26400000000000001</v>
      </c>
      <c r="D85" s="26">
        <v>0.26200000000000001</v>
      </c>
      <c r="E85" s="26">
        <v>0.26</v>
      </c>
      <c r="F85" s="26">
        <v>0.25850000000000001</v>
      </c>
      <c r="G85" s="26">
        <v>0.25719999999999998</v>
      </c>
    </row>
    <row r="86" spans="2:7" ht="14" x14ac:dyDescent="0.3">
      <c r="B86" s="4" t="s">
        <v>123</v>
      </c>
      <c r="C86" s="26">
        <v>0.26300000000000001</v>
      </c>
      <c r="D86" s="26">
        <v>0.26600000000000001</v>
      </c>
      <c r="E86" s="26">
        <v>0.26800000000000002</v>
      </c>
      <c r="F86" s="26">
        <v>0.26950000000000002</v>
      </c>
      <c r="G86" s="26">
        <v>0.27</v>
      </c>
    </row>
    <row r="87" spans="2:7" ht="14" x14ac:dyDescent="0.3">
      <c r="B87" s="4" t="s">
        <v>124</v>
      </c>
      <c r="C87" s="26">
        <v>0.27800000000000002</v>
      </c>
      <c r="D87" s="26">
        <v>0.28399999999999997</v>
      </c>
      <c r="E87" s="26">
        <v>0.28499999999999998</v>
      </c>
      <c r="F87" s="26">
        <v>0.28399999999999997</v>
      </c>
      <c r="G87" s="26">
        <v>0.28199999999999997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4570</v>
      </c>
    </row>
    <row r="7" spans="2:9" ht="14" x14ac:dyDescent="0.3">
      <c r="B7" s="4" t="s">
        <v>72</v>
      </c>
      <c r="C7" s="15">
        <f>'DCF Model'!C15</f>
        <v>259367959</v>
      </c>
    </row>
    <row r="8" spans="2:9" ht="14" x14ac:dyDescent="0.3">
      <c r="B8" s="4" t="s">
        <v>129</v>
      </c>
      <c r="C8" s="5">
        <f>C6*C7/1000000</f>
        <v>1185311.5726300001</v>
      </c>
    </row>
    <row r="9" spans="2:9" ht="14" x14ac:dyDescent="0.3">
      <c r="B9" s="4" t="s">
        <v>73</v>
      </c>
      <c r="C9" s="5">
        <f>'DCF Model'!C16</f>
        <v>63628</v>
      </c>
    </row>
    <row r="10" spans="2:9" ht="14" x14ac:dyDescent="0.3">
      <c r="B10" s="4" t="s">
        <v>130</v>
      </c>
      <c r="C10" s="5">
        <f>C8+C9</f>
        <v>1248939.5726300001</v>
      </c>
    </row>
    <row r="11" spans="2:9" ht="14" x14ac:dyDescent="0.3">
      <c r="B11" s="4" t="s">
        <v>131</v>
      </c>
      <c r="C11" s="16">
        <f>'DCF Model'!C26</f>
        <v>0.14399451456771378</v>
      </c>
    </row>
    <row r="12" spans="2:9" ht="14" x14ac:dyDescent="0.3">
      <c r="B12" s="4" t="s">
        <v>132</v>
      </c>
      <c r="C12" s="16">
        <f>'DCF Model'!C13</f>
        <v>0.01</v>
      </c>
    </row>
    <row r="13" spans="2:9" ht="14" x14ac:dyDescent="0.3">
      <c r="B13" s="4" t="s">
        <v>133</v>
      </c>
      <c r="C13" s="16">
        <f>'DCF Model'!C6</f>
        <v>0.25</v>
      </c>
    </row>
    <row r="14" spans="2:9" ht="14" x14ac:dyDescent="0.3">
      <c r="B14" s="4" t="s">
        <v>134</v>
      </c>
      <c r="C14" s="27">
        <v>47308</v>
      </c>
    </row>
    <row r="15" spans="2:9" ht="14" x14ac:dyDescent="0.3">
      <c r="B15" s="4" t="s">
        <v>135</v>
      </c>
      <c r="C15" s="27">
        <v>68301</v>
      </c>
    </row>
    <row r="16" spans="2:9" ht="14" x14ac:dyDescent="0.3">
      <c r="B16" s="4" t="s">
        <v>136</v>
      </c>
      <c r="C16" s="5">
        <f>'DCF Model'!G33</f>
        <v>613332.09323101793</v>
      </c>
    </row>
    <row r="17" spans="2:9" ht="14" x14ac:dyDescent="0.3">
      <c r="B17" s="4" t="s">
        <v>137</v>
      </c>
      <c r="C17" s="5">
        <f>'DCF Model'!C53</f>
        <v>220782.25285777784</v>
      </c>
    </row>
    <row r="18" spans="2:9" ht="14" x14ac:dyDescent="0.3">
      <c r="B18" s="4" t="s">
        <v>138</v>
      </c>
      <c r="C18" s="26">
        <v>0.1228534683562519</v>
      </c>
    </row>
    <row r="19" spans="2:9" ht="14" x14ac:dyDescent="0.3">
      <c r="B19" s="4" t="s">
        <v>139</v>
      </c>
      <c r="C19" s="5">
        <f>C10-C17</f>
        <v>1028157.3197722222</v>
      </c>
    </row>
    <row r="20" spans="2:9" ht="14" x14ac:dyDescent="0.3">
      <c r="B20" s="4" t="s">
        <v>140</v>
      </c>
      <c r="C20" s="15">
        <f>IFERROR(ROUND(C19*1000000/C7,0),"N/A")</f>
        <v>3964</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167351.05175896475</v>
      </c>
    </row>
    <row r="25" spans="2:9" ht="14" x14ac:dyDescent="0.3">
      <c r="B25" s="4" t="s">
        <v>144</v>
      </c>
      <c r="C25" s="5">
        <f>IFERROR(C24/(1-C13),"N/A")</f>
        <v>223134.73567861968</v>
      </c>
    </row>
    <row r="26" spans="2:9" ht="13.5" x14ac:dyDescent="0.25">
      <c r="B26" s="6" t="s">
        <v>145</v>
      </c>
      <c r="C26" s="14">
        <f>IFERROR(C25/C15,"N/A")</f>
        <v>3.2669321924806325</v>
      </c>
    </row>
    <row r="27" spans="2:9" ht="13.5" x14ac:dyDescent="0.25">
      <c r="B27" s="6" t="s">
        <v>146</v>
      </c>
      <c r="C27" s="14">
        <f>IFERROR(C25/C14,"N/A")</f>
        <v>4.7166385321429711</v>
      </c>
    </row>
    <row r="28" spans="2:9" ht="13.5" x14ac:dyDescent="0.25">
      <c r="B28" s="6" t="s">
        <v>147</v>
      </c>
      <c r="C28" s="7">
        <f>IFERROR(C25/C16,"N/A")</f>
        <v>0.3638073698429044</v>
      </c>
    </row>
    <row r="29" spans="2:9" ht="13.5" x14ac:dyDescent="0.25">
      <c r="B29" s="6" t="s">
        <v>148</v>
      </c>
      <c r="C29" s="5">
        <f>IFERROR(C25/C18,"N/A")</f>
        <v>1816267.2870705693</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0.12399451456771378</v>
      </c>
      <c r="E36" s="29">
        <f>'DCF Model'!C26-0.01</f>
        <v>0.13399451456771377</v>
      </c>
      <c r="F36" s="29">
        <f>'DCF Model'!C26</f>
        <v>0.14399451456771378</v>
      </c>
      <c r="G36" s="29">
        <f>'DCF Model'!C26+0.01</f>
        <v>0.15399451456771379</v>
      </c>
      <c r="H36" s="29">
        <f>'DCF Model'!C26+0.02</f>
        <v>0.16399451456771377</v>
      </c>
    </row>
    <row r="37" spans="2:9" ht="14" x14ac:dyDescent="0.3">
      <c r="B37" s="3" t="s">
        <v>154</v>
      </c>
    </row>
    <row r="38" spans="2:9" ht="14" x14ac:dyDescent="0.3">
      <c r="B38" s="4" t="s">
        <v>155</v>
      </c>
      <c r="C38" s="30">
        <v>3</v>
      </c>
      <c r="D38" s="13">
        <f t="shared" ref="D38:H41" si="0">IFERROR((1-(1+D$36)^(-$C38))/D$36-(1+D$36)/(D$36^2*$C38)*(1-($C38+1)/(1+D$36)^$C38+$C38/(1+D$36)^($C38+1)),"N/A")</f>
        <v>0.85696861202187691</v>
      </c>
      <c r="E38" s="13">
        <f t="shared" si="0"/>
        <v>0.8471053559820052</v>
      </c>
      <c r="F38" s="13">
        <f t="shared" si="0"/>
        <v>0.83745450085750694</v>
      </c>
      <c r="G38" s="13">
        <f t="shared" si="0"/>
        <v>0.82800949496728005</v>
      </c>
      <c r="H38" s="13">
        <f t="shared" si="0"/>
        <v>0.81876404686516469</v>
      </c>
    </row>
    <row r="39" spans="2:9" ht="14" x14ac:dyDescent="0.3">
      <c r="B39" s="4" t="s">
        <v>156</v>
      </c>
      <c r="C39" s="30">
        <v>5</v>
      </c>
      <c r="D39" s="13">
        <f t="shared" si="0"/>
        <v>1.593663668367356</v>
      </c>
      <c r="E39" s="13">
        <f t="shared" si="0"/>
        <v>1.5672995996041152</v>
      </c>
      <c r="F39" s="13">
        <f t="shared" si="0"/>
        <v>1.541707159869262</v>
      </c>
      <c r="G39" s="13">
        <f t="shared" si="0"/>
        <v>1.5168553299279472</v>
      </c>
      <c r="H39" s="13">
        <f t="shared" si="0"/>
        <v>1.4927146451264797</v>
      </c>
    </row>
    <row r="40" spans="2:9" ht="14" x14ac:dyDescent="0.3">
      <c r="B40" s="4" t="s">
        <v>157</v>
      </c>
      <c r="C40" s="30">
        <v>7</v>
      </c>
      <c r="D40" s="13">
        <f t="shared" si="0"/>
        <v>2.2290024995964233</v>
      </c>
      <c r="E40" s="13">
        <f t="shared" si="0"/>
        <v>2.1818848165618054</v>
      </c>
      <c r="F40" s="13">
        <f t="shared" si="0"/>
        <v>2.1364879205991403</v>
      </c>
      <c r="G40" s="13">
        <f t="shared" si="0"/>
        <v>2.0927273210583284</v>
      </c>
      <c r="H40" s="13">
        <f t="shared" si="0"/>
        <v>2.0505236047797242</v>
      </c>
    </row>
    <row r="41" spans="2:9" ht="14" x14ac:dyDescent="0.3">
      <c r="B41" s="4" t="s">
        <v>158</v>
      </c>
      <c r="C41" s="30">
        <v>10</v>
      </c>
      <c r="D41" s="13">
        <f t="shared" si="0"/>
        <v>3.0256921176228864</v>
      </c>
      <c r="E41" s="13">
        <f t="shared" si="0"/>
        <v>2.9431548277484731</v>
      </c>
      <c r="F41" s="13">
        <f t="shared" si="0"/>
        <v>2.8644584454165281</v>
      </c>
      <c r="G41" s="13">
        <f t="shared" si="0"/>
        <v>2.7893663031486899</v>
      </c>
      <c r="H41" s="13">
        <f t="shared" si="0"/>
        <v>2.7176593151958137</v>
      </c>
    </row>
    <row r="42" spans="2:9" ht="14" x14ac:dyDescent="0.3">
      <c r="B42" s="3" t="s">
        <v>159</v>
      </c>
    </row>
    <row r="43" spans="2:9" ht="14" x14ac:dyDescent="0.3">
      <c r="B43" s="4" t="s">
        <v>155</v>
      </c>
      <c r="C43" s="30">
        <v>3</v>
      </c>
      <c r="D43" s="13">
        <f t="shared" ref="D43:H46" si="1">IFERROR((1+D$36)/(D$36^2*$C43)*(1-($C43+1)/(1+D$36)^$C43+$C43/(1+D$36)^($C43+1))+(1+$C$12)/((D$36-$C$12)*(1+D$36)^$C43),"N/A")</f>
        <v>7.7679006278694871</v>
      </c>
      <c r="E43" s="13">
        <f t="shared" si="1"/>
        <v>7.0839327835466186</v>
      </c>
      <c r="F43" s="13">
        <f t="shared" si="1"/>
        <v>6.5032763402743292</v>
      </c>
      <c r="G43" s="13">
        <f t="shared" si="1"/>
        <v>6.0043706867402813</v>
      </c>
      <c r="H43" s="13">
        <f t="shared" si="1"/>
        <v>5.5712569687187514</v>
      </c>
    </row>
    <row r="44" spans="2:9" ht="14" x14ac:dyDescent="0.3">
      <c r="B44" s="4" t="s">
        <v>156</v>
      </c>
      <c r="C44" s="30">
        <v>5</v>
      </c>
      <c r="D44" s="13">
        <f t="shared" si="1"/>
        <v>6.914467458162008</v>
      </c>
      <c r="E44" s="13">
        <f t="shared" si="1"/>
        <v>6.2596633981949781</v>
      </c>
      <c r="F44" s="13">
        <f t="shared" si="1"/>
        <v>5.7056034620428342</v>
      </c>
      <c r="G44" s="13">
        <f t="shared" si="1"/>
        <v>5.231175127531948</v>
      </c>
      <c r="H44" s="13">
        <f t="shared" si="1"/>
        <v>4.8207560223840362</v>
      </c>
    </row>
    <row r="45" spans="2:9" ht="14" x14ac:dyDescent="0.3">
      <c r="B45" s="4" t="s">
        <v>157</v>
      </c>
      <c r="C45" s="30">
        <v>7</v>
      </c>
      <c r="D45" s="13">
        <f t="shared" si="1"/>
        <v>6.1867260066526804</v>
      </c>
      <c r="E45" s="13">
        <f t="shared" si="1"/>
        <v>5.5641452810368879</v>
      </c>
      <c r="F45" s="13">
        <f t="shared" si="1"/>
        <v>5.0394399968421579</v>
      </c>
      <c r="G45" s="13">
        <f t="shared" si="1"/>
        <v>4.5919634107013323</v>
      </c>
      <c r="H45" s="13">
        <f t="shared" si="1"/>
        <v>4.2064474719309413</v>
      </c>
    </row>
    <row r="46" spans="2:9" ht="14" x14ac:dyDescent="0.3">
      <c r="B46" s="4" t="s">
        <v>158</v>
      </c>
      <c r="C46" s="30">
        <v>10</v>
      </c>
      <c r="D46" s="13">
        <f t="shared" si="1"/>
        <v>5.2862597875081896</v>
      </c>
      <c r="E46" s="13">
        <f t="shared" si="1"/>
        <v>4.7139311615328339</v>
      </c>
      <c r="F46" s="13">
        <f t="shared" si="1"/>
        <v>4.2346876159246918</v>
      </c>
      <c r="G46" s="13">
        <f t="shared" si="1"/>
        <v>3.8286268463914803</v>
      </c>
      <c r="H46" s="13">
        <f t="shared" si="1"/>
        <v>3.4810557799179014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209157.06446862046</v>
      </c>
      <c r="E48" s="5">
        <f t="shared" si="2"/>
        <v>229417.46526739543</v>
      </c>
      <c r="F48" s="5">
        <f t="shared" si="2"/>
        <v>249971.61137266469</v>
      </c>
      <c r="G48" s="5">
        <f t="shared" si="2"/>
        <v>270816.27287097753</v>
      </c>
      <c r="H48" s="5">
        <f t="shared" si="2"/>
        <v>291948.24132329115</v>
      </c>
    </row>
    <row r="49" spans="2:9" ht="14" x14ac:dyDescent="0.3">
      <c r="B49" s="4" t="s">
        <v>156</v>
      </c>
      <c r="C49" s="30">
        <v>5</v>
      </c>
      <c r="D49" s="5">
        <f t="shared" si="2"/>
        <v>229932.34581020902</v>
      </c>
      <c r="E49" s="5">
        <f t="shared" si="2"/>
        <v>254184.10748849582</v>
      </c>
      <c r="F49" s="5">
        <f t="shared" si="2"/>
        <v>279079.62615710037</v>
      </c>
      <c r="G49" s="5">
        <f t="shared" si="2"/>
        <v>304614.80120820209</v>
      </c>
      <c r="H49" s="5">
        <f t="shared" si="2"/>
        <v>330785.33982444083</v>
      </c>
    </row>
    <row r="50" spans="2:9" ht="14" x14ac:dyDescent="0.3">
      <c r="B50" s="4" t="s">
        <v>157</v>
      </c>
      <c r="C50" s="30">
        <v>7</v>
      </c>
      <c r="D50" s="5">
        <f t="shared" si="2"/>
        <v>252120.92980656962</v>
      </c>
      <c r="E50" s="5">
        <f t="shared" si="2"/>
        <v>280731.73465263535</v>
      </c>
      <c r="F50" s="5">
        <f t="shared" si="2"/>
        <v>310387.62123154913</v>
      </c>
      <c r="G50" s="5">
        <f t="shared" si="2"/>
        <v>341085.03908196982</v>
      </c>
      <c r="H50" s="5">
        <f t="shared" si="2"/>
        <v>372819.72573684715</v>
      </c>
    </row>
    <row r="51" spans="2:9" ht="14" x14ac:dyDescent="0.3">
      <c r="B51" s="4" t="s">
        <v>158</v>
      </c>
      <c r="C51" s="30">
        <v>10</v>
      </c>
      <c r="D51" s="5">
        <f t="shared" si="2"/>
        <v>287937.66897401185</v>
      </c>
      <c r="E51" s="5">
        <f t="shared" si="2"/>
        <v>323725.13357181166</v>
      </c>
      <c r="F51" s="5">
        <f t="shared" si="2"/>
        <v>361240.56887177622</v>
      </c>
      <c r="G51" s="5">
        <f t="shared" si="2"/>
        <v>400481.29106195166</v>
      </c>
      <c r="H51" s="5">
        <f t="shared" si="2"/>
        <v>441442.43407085678</v>
      </c>
    </row>
    <row r="52" spans="2:9" ht="14" x14ac:dyDescent="0.3">
      <c r="B52" s="22" t="s">
        <v>161</v>
      </c>
      <c r="C52" s="23"/>
      <c r="D52" s="23"/>
      <c r="E52" s="23"/>
      <c r="F52" s="23"/>
      <c r="G52" s="23"/>
      <c r="H52" s="23"/>
      <c r="I52" s="23"/>
    </row>
    <row r="53" spans="2:9" ht="14" x14ac:dyDescent="0.3">
      <c r="B53" s="4" t="s">
        <v>155</v>
      </c>
      <c r="C53" s="30">
        <v>3</v>
      </c>
      <c r="D53" s="14">
        <f t="shared" ref="D53:H56" si="3">IFERROR(D48/$C$15,"N/A")</f>
        <v>3.0622840729801974</v>
      </c>
      <c r="E53" s="14">
        <f t="shared" si="3"/>
        <v>3.358918101746613</v>
      </c>
      <c r="F53" s="14">
        <f t="shared" si="3"/>
        <v>3.6598528773028898</v>
      </c>
      <c r="G53" s="14">
        <f t="shared" si="3"/>
        <v>3.9650411102469585</v>
      </c>
      <c r="H53" s="14">
        <f t="shared" si="3"/>
        <v>4.2744358255851473</v>
      </c>
    </row>
    <row r="54" spans="2:9" ht="14" x14ac:dyDescent="0.3">
      <c r="B54" s="4" t="s">
        <v>156</v>
      </c>
      <c r="C54" s="30">
        <v>5</v>
      </c>
      <c r="D54" s="14">
        <f t="shared" si="3"/>
        <v>3.3664565059107336</v>
      </c>
      <c r="E54" s="14">
        <f t="shared" si="3"/>
        <v>3.7215283449509644</v>
      </c>
      <c r="F54" s="14">
        <f t="shared" si="3"/>
        <v>4.0860254777689988</v>
      </c>
      <c r="G54" s="14">
        <f t="shared" si="3"/>
        <v>4.4598878670620064</v>
      </c>
      <c r="H54" s="14">
        <f t="shared" si="3"/>
        <v>4.8430526613730525</v>
      </c>
    </row>
    <row r="55" spans="2:9" ht="14" x14ac:dyDescent="0.3">
      <c r="B55" s="4" t="s">
        <v>157</v>
      </c>
      <c r="C55" s="30">
        <v>7</v>
      </c>
      <c r="D55" s="14">
        <f t="shared" si="3"/>
        <v>3.6913212076919755</v>
      </c>
      <c r="E55" s="14">
        <f t="shared" si="3"/>
        <v>4.1102141206224703</v>
      </c>
      <c r="F55" s="14">
        <f t="shared" si="3"/>
        <v>4.5444081526119549</v>
      </c>
      <c r="G55" s="14">
        <f t="shared" si="3"/>
        <v>4.9938513210929534</v>
      </c>
      <c r="H55" s="14">
        <f t="shared" si="3"/>
        <v>5.4584812189696654</v>
      </c>
    </row>
    <row r="56" spans="2:9" ht="14" x14ac:dyDescent="0.3">
      <c r="B56" s="4" t="s">
        <v>158</v>
      </c>
      <c r="C56" s="30">
        <v>10</v>
      </c>
      <c r="D56" s="14">
        <f t="shared" si="3"/>
        <v>4.2157167387594887</v>
      </c>
      <c r="E56" s="14">
        <f t="shared" si="3"/>
        <v>4.7396836586845241</v>
      </c>
      <c r="F56" s="14">
        <f t="shared" si="3"/>
        <v>5.2889499256493497</v>
      </c>
      <c r="G56" s="14">
        <f t="shared" si="3"/>
        <v>5.8634762457643612</v>
      </c>
      <c r="H56" s="14">
        <f t="shared" si="3"/>
        <v>6.4631913745165779</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279079.62615710037</v>
      </c>
    </row>
    <row r="62" spans="2:9" ht="14" x14ac:dyDescent="0.3">
      <c r="B62" s="28" t="s">
        <v>165</v>
      </c>
      <c r="C62" s="28" t="s">
        <v>166</v>
      </c>
      <c r="D62" s="28" t="s">
        <v>167</v>
      </c>
    </row>
    <row r="63" spans="2:9" ht="14" x14ac:dyDescent="0.3">
      <c r="B63" s="31">
        <v>6.1400000000000003E-2</v>
      </c>
      <c r="C63" s="5">
        <f>IFERROR($C$60/B63,"N/A")</f>
        <v>4545270.784317595</v>
      </c>
      <c r="D63" s="14">
        <f>IFERROR(C63/'DCF Model'!C17,"N/A")</f>
        <v>8.3842212349205436</v>
      </c>
    </row>
    <row r="64" spans="2:9" ht="14" x14ac:dyDescent="0.3">
      <c r="B64" s="31">
        <v>9.2100000000000001E-2</v>
      </c>
      <c r="C64" s="5">
        <f>IFERROR($C$60/B64,"N/A")</f>
        <v>3030180.5228783973</v>
      </c>
      <c r="D64" s="14">
        <f>IFERROR(C64/'DCF Model'!C17,"N/A")</f>
        <v>5.5894808232803639</v>
      </c>
    </row>
    <row r="65" spans="2:9" ht="14" x14ac:dyDescent="0.3">
      <c r="B65" s="4" t="s">
        <v>168</v>
      </c>
      <c r="C65" s="5">
        <f>IFERROR($C$60/$C$18,"N/A")</f>
        <v>2271646.2944930629</v>
      </c>
      <c r="D65" s="14">
        <f>IFERROR(C65/'DCF Model'!C17,"N/A")</f>
        <v>4.1902861246971401</v>
      </c>
    </row>
    <row r="66" spans="2:9" ht="14" x14ac:dyDescent="0.3">
      <c r="B66" s="31">
        <v>0.15359999999999999</v>
      </c>
      <c r="C66" s="5">
        <f>IFERROR($C$60/B66,"N/A")</f>
        <v>1816924.6494602889</v>
      </c>
      <c r="D66" s="14">
        <f>IFERROR(C66/'DCF Model'!C17,"N/A")</f>
        <v>3.3515051030216241</v>
      </c>
    </row>
    <row r="67" spans="2:9" ht="14" x14ac:dyDescent="0.3">
      <c r="B67" s="31">
        <v>0.18429999999999999</v>
      </c>
      <c r="C67" s="5">
        <f>IFERROR($C$60/B67,"N/A")</f>
        <v>1514268.1831638652</v>
      </c>
      <c r="D67" s="14">
        <f>IFERROR(C67/'DCF Model'!C17,"N/A")</f>
        <v>2.7932240033864431</v>
      </c>
    </row>
    <row r="69" spans="2:9" ht="14" x14ac:dyDescent="0.3">
      <c r="B69" s="8" t="s">
        <v>169</v>
      </c>
      <c r="C69" s="9"/>
      <c r="D69" s="9"/>
      <c r="E69" s="9"/>
      <c r="F69" s="9"/>
      <c r="G69" s="9"/>
      <c r="H69" s="9"/>
      <c r="I69" s="9"/>
    </row>
    <row r="70" spans="2:9" ht="13.5" x14ac:dyDescent="0.25">
      <c r="B70" s="6" t="s">
        <v>170</v>
      </c>
      <c r="C70" s="14">
        <f>IFERROR(C10/'Comps Analysis'!G5,"N/A")</f>
        <v>18.25881659352066</v>
      </c>
    </row>
    <row r="71" spans="2:9" ht="13.5" x14ac:dyDescent="0.25">
      <c r="B71" s="6" t="s">
        <v>171</v>
      </c>
      <c r="C71" s="14">
        <f>IFERROR(C10/'Comps Analysis'!F5,"N/A")</f>
        <v>2.3037979875931986</v>
      </c>
    </row>
    <row r="72" spans="2:9" ht="14" x14ac:dyDescent="0.3">
      <c r="B72" s="4" t="s">
        <v>172</v>
      </c>
      <c r="C72" s="14">
        <f>IFERROR(C10/(C25+'DCF Model'!G42),"N/A")</f>
        <v>5.0553162387056796</v>
      </c>
    </row>
    <row r="73" spans="2:9" ht="14" x14ac:dyDescent="0.3">
      <c r="B73" s="4" t="s">
        <v>173</v>
      </c>
      <c r="C73" s="14">
        <f>IFERROR(C10/(C60+'DCF Model'!G42),"N/A")</f>
        <v>4.1219185245293763</v>
      </c>
    </row>
    <row r="74" spans="2:9" ht="14" x14ac:dyDescent="0.3">
      <c r="B74" s="4" t="s">
        <v>174</v>
      </c>
      <c r="C74" s="14">
        <f>IFERROR('Comps Analysis'!D16,"N/A")</f>
        <v>15.020840678830101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4,570 yen the market is paying for a steady-state operating profit of 279,080 mn JPY - 4.09x the FY2023 cycle peak of 68,301 mn - reached in 5 years and sustained for ever, against 47,308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223,135 mn, or 3.27x the peak. The base case supports an EV of only 220,782 mn, leaving 3,964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110.37889995240923</v>
      </c>
      <c r="D5" s="34">
        <f>CHOOSE('DCF Model'!$D$27,D25,D26,D27,D28,D29)</f>
        <v>108</v>
      </c>
      <c r="E5" s="34">
        <f>CHOOSE('DCF Model'!$D$27,E25,E26,E27,E28,E29)</f>
        <v>108</v>
      </c>
      <c r="F5" s="34">
        <f>CHOOSE('DCF Model'!$D$27,F25,F26,F27,F28,F29)</f>
        <v>108</v>
      </c>
      <c r="G5" s="34">
        <f>CHOOSE('DCF Model'!$D$27,G25,G26,G27,G28,G29)</f>
        <v>108</v>
      </c>
      <c r="H5" s="34">
        <f>CHOOSE('DCF Model'!$D$27,H25,H26,H27,H28,H29)</f>
        <v>108</v>
      </c>
    </row>
    <row r="6" spans="2:8" ht="14" x14ac:dyDescent="0.3">
      <c r="B6" s="33" t="s">
        <v>181</v>
      </c>
      <c r="C6" s="34">
        <f>C13/C10*365</f>
        <v>219.24237285720395</v>
      </c>
      <c r="D6" s="34">
        <f>CHOOSE('DCF Model'!$D$27,D32,D33,D34,D35,D36)</f>
        <v>207</v>
      </c>
      <c r="E6" s="34">
        <f>CHOOSE('DCF Model'!$D$27,E32,E33,E34,E35,E36)</f>
        <v>207</v>
      </c>
      <c r="F6" s="34">
        <f>CHOOSE('DCF Model'!$D$27,F32,F33,F34,F35,F36)</f>
        <v>207</v>
      </c>
      <c r="G6" s="34">
        <f>CHOOSE('DCF Model'!$D$27,G32,G33,G34,G35,G36)</f>
        <v>207</v>
      </c>
      <c r="H6" s="34">
        <f>CHOOSE('DCF Model'!$D$27,H32,H33,H34,H35,H36)</f>
        <v>207</v>
      </c>
    </row>
    <row r="7" spans="2:8" ht="14" x14ac:dyDescent="0.3">
      <c r="B7" s="33" t="s">
        <v>182</v>
      </c>
      <c r="C7" s="34">
        <f>C15/C10*365</f>
        <v>60.001325220513841</v>
      </c>
      <c r="D7" s="34">
        <f>CHOOSE('DCF Model'!$D$27,D39,D40,D41,D42,D43)</f>
        <v>64</v>
      </c>
      <c r="E7" s="34">
        <f>CHOOSE('DCF Model'!$D$27,E39,E40,E41,E42,E43)</f>
        <v>64</v>
      </c>
      <c r="F7" s="34">
        <f>CHOOSE('DCF Model'!$D$27,F39,F40,F41,F42,F43)</f>
        <v>64</v>
      </c>
      <c r="G7" s="34">
        <f>CHOOSE('DCF Model'!$D$27,G39,G40,G41,G42,G43)</f>
        <v>64</v>
      </c>
      <c r="H7" s="34">
        <f>CHOOSE('DCF Model'!$D$27,H39,H40,H41,H42,H43)</f>
        <v>64</v>
      </c>
    </row>
    <row r="8" spans="2:8" ht="14" x14ac:dyDescent="0.3">
      <c r="B8" s="8" t="s">
        <v>183</v>
      </c>
      <c r="C8" s="9"/>
      <c r="D8" s="9"/>
      <c r="E8" s="9"/>
      <c r="F8" s="9"/>
      <c r="G8" s="9"/>
      <c r="H8" s="9"/>
    </row>
    <row r="9" spans="2:8" ht="14" x14ac:dyDescent="0.3">
      <c r="B9" s="33" t="s">
        <v>37</v>
      </c>
      <c r="C9" s="35">
        <v>542122</v>
      </c>
      <c r="D9" s="35">
        <f>'DCF Model'!C33</f>
        <v>552964.44000000006</v>
      </c>
      <c r="E9" s="35">
        <f>'DCF Model'!D33</f>
        <v>569553.37320000003</v>
      </c>
      <c r="F9" s="35">
        <f>'DCF Model'!E33</f>
        <v>586639.97439600003</v>
      </c>
      <c r="G9" s="35">
        <f>'DCF Model'!F33</f>
        <v>601305.97375589993</v>
      </c>
      <c r="H9" s="35">
        <f>'DCF Model'!G33</f>
        <v>613332.09323101793</v>
      </c>
    </row>
    <row r="10" spans="2:8" ht="14" x14ac:dyDescent="0.3">
      <c r="B10" s="33" t="s">
        <v>38</v>
      </c>
      <c r="C10" s="35">
        <v>350885</v>
      </c>
      <c r="D10" s="35">
        <f>'DCF Model'!C34</f>
        <v>357767.99268000002</v>
      </c>
      <c r="E10" s="35">
        <f>'DCF Model'!D34</f>
        <v>368501.03246040002</v>
      </c>
      <c r="F10" s="35">
        <f>'DCF Model'!E34</f>
        <v>379556.06343421206</v>
      </c>
      <c r="G10" s="35">
        <f>'DCF Model'!F34</f>
        <v>389044.96502006729</v>
      </c>
      <c r="H10" s="35">
        <f>'DCF Model'!G34</f>
        <v>396825.86432046862</v>
      </c>
    </row>
    <row r="11" spans="2:8" ht="14" x14ac:dyDescent="0.3">
      <c r="B11" s="8" t="s">
        <v>184</v>
      </c>
      <c r="C11" s="9"/>
      <c r="D11" s="9"/>
      <c r="E11" s="9"/>
      <c r="F11" s="9"/>
      <c r="G11" s="9"/>
      <c r="H11" s="9"/>
    </row>
    <row r="12" spans="2:8" ht="14" x14ac:dyDescent="0.3">
      <c r="B12" s="33" t="s">
        <v>185</v>
      </c>
      <c r="C12" s="35">
        <v>163942</v>
      </c>
      <c r="D12" s="35">
        <f t="shared" ref="D12:H13" si="0">D9*D5/365</f>
        <v>163616.87539726027</v>
      </c>
      <c r="E12" s="35">
        <f t="shared" si="0"/>
        <v>168525.38165917809</v>
      </c>
      <c r="F12" s="35">
        <f t="shared" si="0"/>
        <v>173581.14310895343</v>
      </c>
      <c r="G12" s="35">
        <f t="shared" si="0"/>
        <v>177920.67168667723</v>
      </c>
      <c r="H12" s="35">
        <f t="shared" si="0"/>
        <v>181479.08512041077</v>
      </c>
    </row>
    <row r="13" spans="2:8" ht="14" x14ac:dyDescent="0.3">
      <c r="B13" s="33" t="s">
        <v>186</v>
      </c>
      <c r="C13" s="35">
        <v>210764</v>
      </c>
      <c r="D13" s="35">
        <f t="shared" si="0"/>
        <v>202898.56023221917</v>
      </c>
      <c r="E13" s="35">
        <f t="shared" si="0"/>
        <v>208985.51703918577</v>
      </c>
      <c r="F13" s="35">
        <f t="shared" si="0"/>
        <v>215255.08255036135</v>
      </c>
      <c r="G13" s="35">
        <f t="shared" si="0"/>
        <v>220636.45961412037</v>
      </c>
      <c r="H13" s="35">
        <f t="shared" si="0"/>
        <v>225049.18880640276</v>
      </c>
    </row>
    <row r="14" spans="2:8" ht="14" x14ac:dyDescent="0.3">
      <c r="B14" s="33" t="s">
        <v>187</v>
      </c>
      <c r="C14" s="35">
        <f t="shared" ref="C14:H14" si="1">C12+C13</f>
        <v>374706</v>
      </c>
      <c r="D14" s="35">
        <f t="shared" si="1"/>
        <v>366515.43562947947</v>
      </c>
      <c r="E14" s="35">
        <f t="shared" si="1"/>
        <v>377510.89869836386</v>
      </c>
      <c r="F14" s="35">
        <f t="shared" si="1"/>
        <v>388836.22565931478</v>
      </c>
      <c r="G14" s="35">
        <f t="shared" si="1"/>
        <v>398557.13130079757</v>
      </c>
      <c r="H14" s="35">
        <f t="shared" si="1"/>
        <v>406528.2739268135</v>
      </c>
    </row>
    <row r="15" spans="2:8" ht="14" x14ac:dyDescent="0.3">
      <c r="B15" s="33" t="s">
        <v>188</v>
      </c>
      <c r="C15" s="35">
        <v>57681</v>
      </c>
      <c r="D15" s="35">
        <f>D10*D7/365</f>
        <v>62731.922004164386</v>
      </c>
      <c r="E15" s="35">
        <f>E10*E7/365</f>
        <v>64613.879664289321</v>
      </c>
      <c r="F15" s="35">
        <f>F10*F7/365</f>
        <v>66552.296054218008</v>
      </c>
      <c r="G15" s="35">
        <f>G10*G7/365</f>
        <v>68216.103455573437</v>
      </c>
      <c r="H15" s="35">
        <f>H10*H7/365</f>
        <v>69580.425524684906</v>
      </c>
    </row>
    <row r="16" spans="2:8" ht="14" x14ac:dyDescent="0.3">
      <c r="B16" s="33" t="s">
        <v>189</v>
      </c>
      <c r="C16" s="35">
        <f t="shared" ref="C16:H16" si="2">C15</f>
        <v>57681</v>
      </c>
      <c r="D16" s="35">
        <f t="shared" si="2"/>
        <v>62731.922004164386</v>
      </c>
      <c r="E16" s="35">
        <f t="shared" si="2"/>
        <v>64613.879664289321</v>
      </c>
      <c r="F16" s="35">
        <f t="shared" si="2"/>
        <v>66552.296054218008</v>
      </c>
      <c r="G16" s="35">
        <f t="shared" si="2"/>
        <v>68216.103455573437</v>
      </c>
      <c r="H16" s="35">
        <f t="shared" si="2"/>
        <v>69580.425524684906</v>
      </c>
    </row>
    <row r="17" spans="2:8" ht="14" x14ac:dyDescent="0.3">
      <c r="B17" s="22" t="s">
        <v>190</v>
      </c>
      <c r="C17" s="23"/>
      <c r="D17" s="23"/>
      <c r="E17" s="23"/>
      <c r="F17" s="23"/>
      <c r="G17" s="23"/>
      <c r="H17" s="23"/>
    </row>
    <row r="18" spans="2:8" ht="14" x14ac:dyDescent="0.3">
      <c r="B18" s="33" t="s">
        <v>191</v>
      </c>
      <c r="C18" s="20">
        <f t="shared" ref="C18:H18" si="3">C14-C16</f>
        <v>317025</v>
      </c>
      <c r="D18" s="20">
        <f t="shared" si="3"/>
        <v>303783.5136253151</v>
      </c>
      <c r="E18" s="20">
        <f t="shared" si="3"/>
        <v>312897.01903407456</v>
      </c>
      <c r="F18" s="20">
        <f t="shared" si="3"/>
        <v>322283.92960509675</v>
      </c>
      <c r="G18" s="20">
        <f t="shared" si="3"/>
        <v>330341.02784522413</v>
      </c>
      <c r="H18" s="20">
        <f t="shared" si="3"/>
        <v>336947.84840212861</v>
      </c>
    </row>
    <row r="19" spans="2:8" ht="14" x14ac:dyDescent="0.3">
      <c r="B19" s="33" t="s">
        <v>100</v>
      </c>
      <c r="C19" s="36" t="s">
        <v>47</v>
      </c>
      <c r="D19" s="24">
        <f>D18-C18</f>
        <v>-13241.486374684901</v>
      </c>
      <c r="E19" s="24">
        <f>E18-D18</f>
        <v>9113.5054087594617</v>
      </c>
      <c r="F19" s="24">
        <f>F18-E18</f>
        <v>9386.910571022192</v>
      </c>
      <c r="G19" s="24">
        <f>G18-F18</f>
        <v>8057.0982401273795</v>
      </c>
      <c r="H19" s="24">
        <f>H18-G18</f>
        <v>6606.8205569044803</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108</v>
      </c>
      <c r="E25" s="30">
        <v>108</v>
      </c>
      <c r="F25" s="30">
        <v>108</v>
      </c>
      <c r="G25" s="30">
        <v>108</v>
      </c>
      <c r="H25" s="30">
        <v>108</v>
      </c>
    </row>
    <row r="26" spans="2:8" ht="14" x14ac:dyDescent="0.3">
      <c r="B26" s="4" t="s">
        <v>121</v>
      </c>
      <c r="D26" s="30">
        <v>104</v>
      </c>
      <c r="E26" s="30">
        <v>104</v>
      </c>
      <c r="F26" s="30">
        <v>104</v>
      </c>
      <c r="G26" s="30">
        <v>104</v>
      </c>
      <c r="H26" s="30">
        <v>104</v>
      </c>
    </row>
    <row r="27" spans="2:8" ht="14" x14ac:dyDescent="0.3">
      <c r="B27" s="4" t="s">
        <v>122</v>
      </c>
      <c r="D27" s="30">
        <v>108</v>
      </c>
      <c r="E27" s="30">
        <v>108</v>
      </c>
      <c r="F27" s="30">
        <v>108</v>
      </c>
      <c r="G27" s="30">
        <v>108</v>
      </c>
      <c r="H27" s="30">
        <v>108</v>
      </c>
    </row>
    <row r="28" spans="2:8" ht="14" x14ac:dyDescent="0.3">
      <c r="B28" s="4" t="s">
        <v>123</v>
      </c>
      <c r="D28" s="30">
        <v>114</v>
      </c>
      <c r="E28" s="30">
        <v>114</v>
      </c>
      <c r="F28" s="30">
        <v>114</v>
      </c>
      <c r="G28" s="30">
        <v>114</v>
      </c>
      <c r="H28" s="30">
        <v>114</v>
      </c>
    </row>
    <row r="29" spans="2:8" ht="14" x14ac:dyDescent="0.3">
      <c r="B29" s="4" t="s">
        <v>124</v>
      </c>
      <c r="D29" s="30">
        <v>120</v>
      </c>
      <c r="E29" s="30">
        <v>120</v>
      </c>
      <c r="F29" s="30">
        <v>120</v>
      </c>
      <c r="G29" s="30">
        <v>120</v>
      </c>
      <c r="H29" s="30">
        <v>120</v>
      </c>
    </row>
    <row r="31" spans="2:8" ht="14" x14ac:dyDescent="0.3">
      <c r="B31" s="3" t="s">
        <v>194</v>
      </c>
    </row>
    <row r="32" spans="2:8" ht="14" x14ac:dyDescent="0.3">
      <c r="B32" s="4" t="s">
        <v>84</v>
      </c>
      <c r="D32" s="30">
        <v>207</v>
      </c>
      <c r="E32" s="30">
        <v>207</v>
      </c>
      <c r="F32" s="30">
        <v>207</v>
      </c>
      <c r="G32" s="30">
        <v>207</v>
      </c>
      <c r="H32" s="30">
        <v>207</v>
      </c>
    </row>
    <row r="33" spans="2:8" ht="14" x14ac:dyDescent="0.3">
      <c r="B33" s="4" t="s">
        <v>121</v>
      </c>
      <c r="D33" s="30">
        <v>200</v>
      </c>
      <c r="E33" s="30">
        <v>200</v>
      </c>
      <c r="F33" s="30">
        <v>200</v>
      </c>
      <c r="G33" s="30">
        <v>200</v>
      </c>
      <c r="H33" s="30">
        <v>200</v>
      </c>
    </row>
    <row r="34" spans="2:8" ht="14" x14ac:dyDescent="0.3">
      <c r="B34" s="4" t="s">
        <v>122</v>
      </c>
      <c r="D34" s="30">
        <v>207</v>
      </c>
      <c r="E34" s="30">
        <v>207</v>
      </c>
      <c r="F34" s="30">
        <v>207</v>
      </c>
      <c r="G34" s="30">
        <v>207</v>
      </c>
      <c r="H34" s="30">
        <v>207</v>
      </c>
    </row>
    <row r="35" spans="2:8" ht="14" x14ac:dyDescent="0.3">
      <c r="B35" s="4" t="s">
        <v>123</v>
      </c>
      <c r="D35" s="30">
        <v>220</v>
      </c>
      <c r="E35" s="30">
        <v>220</v>
      </c>
      <c r="F35" s="30">
        <v>220</v>
      </c>
      <c r="G35" s="30">
        <v>220</v>
      </c>
      <c r="H35" s="30">
        <v>220</v>
      </c>
    </row>
    <row r="36" spans="2:8" ht="14" x14ac:dyDescent="0.3">
      <c r="B36" s="4" t="s">
        <v>124</v>
      </c>
      <c r="D36" s="30">
        <v>235</v>
      </c>
      <c r="E36" s="30">
        <v>235</v>
      </c>
      <c r="F36" s="30">
        <v>235</v>
      </c>
      <c r="G36" s="30">
        <v>235</v>
      </c>
      <c r="H36" s="30">
        <v>235</v>
      </c>
    </row>
    <row r="38" spans="2:8" ht="14" x14ac:dyDescent="0.3">
      <c r="B38" s="3" t="s">
        <v>195</v>
      </c>
    </row>
    <row r="39" spans="2:8" ht="14" x14ac:dyDescent="0.3">
      <c r="B39" s="4" t="s">
        <v>84</v>
      </c>
      <c r="D39" s="30">
        <v>64</v>
      </c>
      <c r="E39" s="30">
        <v>64</v>
      </c>
      <c r="F39" s="30">
        <v>64</v>
      </c>
      <c r="G39" s="30">
        <v>64</v>
      </c>
      <c r="H39" s="30">
        <v>64</v>
      </c>
    </row>
    <row r="40" spans="2:8" ht="14" x14ac:dyDescent="0.3">
      <c r="B40" s="4" t="s">
        <v>121</v>
      </c>
      <c r="D40" s="30">
        <v>66</v>
      </c>
      <c r="E40" s="30">
        <v>66</v>
      </c>
      <c r="F40" s="30">
        <v>66</v>
      </c>
      <c r="G40" s="30">
        <v>66</v>
      </c>
      <c r="H40" s="30">
        <v>66</v>
      </c>
    </row>
    <row r="41" spans="2:8" ht="14" x14ac:dyDescent="0.3">
      <c r="B41" s="4" t="s">
        <v>122</v>
      </c>
      <c r="D41" s="30">
        <v>64</v>
      </c>
      <c r="E41" s="30">
        <v>64</v>
      </c>
      <c r="F41" s="30">
        <v>64</v>
      </c>
      <c r="G41" s="30">
        <v>64</v>
      </c>
      <c r="H41" s="30">
        <v>64</v>
      </c>
    </row>
    <row r="42" spans="2:8" ht="14" x14ac:dyDescent="0.3">
      <c r="B42" s="4" t="s">
        <v>123</v>
      </c>
      <c r="D42" s="30">
        <v>60</v>
      </c>
      <c r="E42" s="30">
        <v>60</v>
      </c>
      <c r="F42" s="30">
        <v>60</v>
      </c>
      <c r="G42" s="30">
        <v>60</v>
      </c>
      <c r="H42" s="30">
        <v>60</v>
      </c>
    </row>
    <row r="43" spans="2:8" ht="14" x14ac:dyDescent="0.3">
      <c r="B43" s="4" t="s">
        <v>124</v>
      </c>
      <c r="D43" s="30">
        <v>56</v>
      </c>
      <c r="E43" s="30">
        <v>56</v>
      </c>
      <c r="F43" s="30">
        <v>56</v>
      </c>
      <c r="G43" s="30">
        <v>56</v>
      </c>
      <c r="H43" s="30">
        <v>56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1185311.5726300001</v>
      </c>
      <c r="E5" s="37">
        <f>D5+C24</f>
        <v>1248939.5726300001</v>
      </c>
      <c r="F5" s="37">
        <v>542122</v>
      </c>
      <c r="G5" s="37">
        <v>68402</v>
      </c>
      <c r="H5" s="37">
        <v>47308</v>
      </c>
      <c r="I5" s="37">
        <v>35240</v>
      </c>
      <c r="J5" s="38">
        <f t="shared" ref="J5:J10" si="0">IFERROR(E5/G5,"")</f>
        <v>18.25881659352066</v>
      </c>
      <c r="K5" s="38">
        <f t="shared" ref="K5:K10" si="1">IFERROR(E5/F5,"")</f>
        <v>2.3037979875931986</v>
      </c>
      <c r="L5" s="38">
        <f t="shared" ref="L5:L10" si="2">IFERROR(D5/I5,"")</f>
        <v>33.635402174517594</v>
      </c>
      <c r="M5" s="38">
        <f t="shared" ref="M5:M10" si="3">IFERROR(D5/P5,"")</f>
        <v>2.4513104810543864</v>
      </c>
      <c r="N5" s="39">
        <f t="shared" ref="N5:N10" si="4">IFERROR(H5/F5,"")</f>
        <v>8.7264490280785506E-2</v>
      </c>
      <c r="O5" s="39">
        <f t="shared" ref="O5:O10" si="5">IFERROR(I5/P5,"")</f>
        <v>7.2878881255402844E-2</v>
      </c>
      <c r="P5" s="37">
        <v>483542</v>
      </c>
    </row>
    <row r="6" spans="2:17" ht="14" x14ac:dyDescent="0.3">
      <c r="B6" s="4" t="s">
        <v>214</v>
      </c>
      <c r="C6" t="s">
        <v>215</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x14ac:dyDescent="0.3">
      <c r="B7" s="4" t="s">
        <v>216</v>
      </c>
      <c r="C7" t="s">
        <v>217</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x14ac:dyDescent="0.3">
      <c r="B8" s="4" t="s">
        <v>218</v>
      </c>
      <c r="C8" t="s">
        <v>219</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x14ac:dyDescent="0.3">
      <c r="B9" s="4" t="s">
        <v>220</v>
      </c>
      <c r="C9" t="s">
        <v>221</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x14ac:dyDescent="0.3">
      <c r="B10" s="4" t="s">
        <v>222</v>
      </c>
      <c r="C10" t="s">
        <v>223</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x14ac:dyDescent="0.3">
      <c r="B14" s="3" t="s">
        <v>224</v>
      </c>
    </row>
    <row r="15" spans="2:17" ht="14" x14ac:dyDescent="0.3">
      <c r="B15" s="4" t="s">
        <v>225</v>
      </c>
      <c r="D15" s="38">
        <f t="shared" ref="D15:I15" si="6">PERCENTILE(J6:J10,0.25)</f>
        <v>14.579873209990334</v>
      </c>
      <c r="E15" s="38">
        <f t="shared" si="6"/>
        <v>1.7594249592052043</v>
      </c>
      <c r="F15" s="38">
        <f t="shared" si="6"/>
        <v>26.338406603917029</v>
      </c>
      <c r="G15" s="38">
        <f t="shared" si="6"/>
        <v>1.9832531948995078</v>
      </c>
      <c r="H15" s="39">
        <f t="shared" si="6"/>
        <v>7.3471346607411656E-2</v>
      </c>
      <c r="I15" s="39">
        <f t="shared" si="6"/>
        <v>7.9100180134178688E-2</v>
      </c>
    </row>
    <row r="16" spans="2:17" ht="14" x14ac:dyDescent="0.3">
      <c r="B16" s="4" t="s">
        <v>226</v>
      </c>
      <c r="D16" s="38">
        <f t="shared" ref="D16:I16" si="7">MEDIAN(J6:J10)</f>
        <v>15.020840678830101</v>
      </c>
      <c r="E16" s="38">
        <f t="shared" si="7"/>
        <v>2.2437193137366305</v>
      </c>
      <c r="F16" s="38">
        <f t="shared" si="7"/>
        <v>29.996470447475474</v>
      </c>
      <c r="G16" s="38">
        <f t="shared" si="7"/>
        <v>2.3949730011555959</v>
      </c>
      <c r="H16" s="39">
        <f t="shared" si="7"/>
        <v>0.1132804201768224</v>
      </c>
      <c r="I16" s="39">
        <f t="shared" si="7"/>
        <v>8.9305372864932744E-2</v>
      </c>
    </row>
    <row r="17" spans="2:9" ht="14" x14ac:dyDescent="0.3">
      <c r="B17" s="4" t="s">
        <v>227</v>
      </c>
      <c r="D17" s="38">
        <f t="shared" ref="D17:I17" si="8">PERCENTILE(J6:J10,0.75)</f>
        <v>15.552094158010673</v>
      </c>
      <c r="E17" s="38">
        <f t="shared" si="8"/>
        <v>4.1968058527715568</v>
      </c>
      <c r="F17" s="38">
        <f t="shared" si="8"/>
        <v>33.091093591444853</v>
      </c>
      <c r="G17" s="38">
        <f t="shared" si="8"/>
        <v>2.9552124516923692</v>
      </c>
      <c r="H17" s="39">
        <f t="shared" si="8"/>
        <v>0.21421818516700841</v>
      </c>
      <c r="I17" s="39">
        <f t="shared" si="8"/>
        <v>9.0930823461409294E-2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68402</v>
      </c>
    </row>
    <row r="22" spans="2:9" ht="14" x14ac:dyDescent="0.3">
      <c r="B22" s="4" t="s">
        <v>231</v>
      </c>
      <c r="C22" s="5">
        <v>35240</v>
      </c>
    </row>
    <row r="23" spans="2:9" ht="14" x14ac:dyDescent="0.3">
      <c r="B23" s="4" t="s">
        <v>232</v>
      </c>
      <c r="C23" s="15">
        <v>259367959</v>
      </c>
    </row>
    <row r="24" spans="2:9" ht="14" x14ac:dyDescent="0.3">
      <c r="B24" s="4" t="s">
        <v>73</v>
      </c>
      <c r="C24" s="5">
        <v>63628</v>
      </c>
    </row>
    <row r="26" spans="2:9" ht="14" x14ac:dyDescent="0.3">
      <c r="B26" s="3" t="s">
        <v>233</v>
      </c>
    </row>
    <row r="27" spans="2:9" ht="14" x14ac:dyDescent="0.3">
      <c r="B27" s="4" t="s">
        <v>234</v>
      </c>
      <c r="C27" s="24">
        <f>ROUND((C21*D16-C24)*1000000/C23,0)</f>
        <v>3716</v>
      </c>
    </row>
    <row r="28" spans="2:9" ht="14" x14ac:dyDescent="0.3">
      <c r="B28" s="4" t="s">
        <v>235</v>
      </c>
      <c r="C28" s="24">
        <f>ROUND(C22*F16*1000000/C23,0)</f>
        <v>4076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0.14399451456771378</v>
      </c>
      <c r="E3" s="4" t="s">
        <v>238</v>
      </c>
      <c r="F3" s="16">
        <f>'DCF Model'!C13</f>
        <v>0.01</v>
      </c>
      <c r="H3" s="4" t="s">
        <v>239</v>
      </c>
      <c r="I3" s="14">
        <f>'DCF Model'!C14</f>
        <v>15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0.12899451456771377</v>
      </c>
      <c r="C7" s="37">
        <f>IFERROR(ROUND(('DCF Model'!C45/(1+$B7)^('DCF Model'!C19+0)+'DCF Model'!D45/(1+$B7)^('DCF Model'!C19+1)+'DCF Model'!E45/(1+$B7)^('DCF Model'!C19+2)+'DCF Model'!F45/(1+$B7)^('DCF Model'!C19+3)+'DCF Model'!G45/(1+$B7)^('DCF Model'!C19+4)+'DCF Model'!G45*(1+C$6)/($B7-C$6)/(1+$B7)^('DCF Model'!C19+4)-'DCF Model'!C16)*1000000/'DCF Model'!C15,0),"")</f>
        <v>685</v>
      </c>
      <c r="D7" s="37">
        <f>IFERROR(ROUND(('DCF Model'!C45/(1+$B7)^('DCF Model'!C19+0)+'DCF Model'!D45/(1+$B7)^('DCF Model'!C19+1)+'DCF Model'!E45/(1+$B7)^('DCF Model'!C19+2)+'DCF Model'!F45/(1+$B7)^('DCF Model'!C19+3)+'DCF Model'!G45/(1+$B7)^('DCF Model'!C19+4)+'DCF Model'!G45*(1+D$6)/($B7-D$6)/(1+$B7)^('DCF Model'!C19+4)-'DCF Model'!C16)*1000000/'DCF Model'!C15,0),"")</f>
        <v>698</v>
      </c>
      <c r="E7" s="37">
        <f>IFERROR(ROUND(('DCF Model'!C45/(1+$B7)^('DCF Model'!C19+0)+'DCF Model'!D45/(1+$B7)^('DCF Model'!C19+1)+'DCF Model'!E45/(1+$B7)^('DCF Model'!C19+2)+'DCF Model'!F45/(1+$B7)^('DCF Model'!C19+3)+'DCF Model'!G45/(1+$B7)^('DCF Model'!C19+4)+'DCF Model'!G45*(1+E$6)/($B7-E$6)/(1+$B7)^('DCF Model'!C19+4)-'DCF Model'!C16)*1000000/'DCF Model'!C15,0),"")</f>
        <v>713</v>
      </c>
      <c r="F7" s="37">
        <f>IFERROR(ROUND(('DCF Model'!C45/(1+$B7)^('DCF Model'!C19+0)+'DCF Model'!D45/(1+$B7)^('DCF Model'!C19+1)+'DCF Model'!E45/(1+$B7)^('DCF Model'!C19+2)+'DCF Model'!F45/(1+$B7)^('DCF Model'!C19+3)+'DCF Model'!G45/(1+$B7)^('DCF Model'!C19+4)+'DCF Model'!G45*(1+F$6)/($B7-F$6)/(1+$B7)^('DCF Model'!C19+4)-'DCF Model'!C16)*1000000/'DCF Model'!C15,0),"")</f>
        <v>728</v>
      </c>
      <c r="G7" s="37">
        <f>IFERROR(ROUND(('DCF Model'!C45/(1+$B7)^('DCF Model'!C19+0)+'DCF Model'!D45/(1+$B7)^('DCF Model'!C19+1)+'DCF Model'!E45/(1+$B7)^('DCF Model'!C19+2)+'DCF Model'!F45/(1+$B7)^('DCF Model'!C19+3)+'DCF Model'!G45/(1+$B7)^('DCF Model'!C19+4)+'DCF Model'!G45*(1+G$6)/($B7-G$6)/(1+$B7)^('DCF Model'!C19+4)-'DCF Model'!C16)*1000000/'DCF Model'!C15,0),"")</f>
        <v>743</v>
      </c>
      <c r="H7" s="37">
        <f>IFERROR(ROUND(('DCF Model'!C45/(1+$B7)^('DCF Model'!C19+0)+'DCF Model'!D45/(1+$B7)^('DCF Model'!C19+1)+'DCF Model'!E45/(1+$B7)^('DCF Model'!C19+2)+'DCF Model'!F45/(1+$B7)^('DCF Model'!C19+3)+'DCF Model'!G45/(1+$B7)^('DCF Model'!C19+4)+'DCF Model'!G45*(1+H$6)/($B7-H$6)/(1+$B7)^('DCF Model'!C19+4)-'DCF Model'!C16)*1000000/'DCF Model'!C15,0),"")</f>
        <v>759</v>
      </c>
      <c r="I7" s="37">
        <f>IFERROR(ROUND(('DCF Model'!C45/(1+$B7)^('DCF Model'!C19+0)+'DCF Model'!D45/(1+$B7)^('DCF Model'!C19+1)+'DCF Model'!E45/(1+$B7)^('DCF Model'!C19+2)+'DCF Model'!F45/(1+$B7)^('DCF Model'!C19+3)+'DCF Model'!G45/(1+$B7)^('DCF Model'!C19+4)+'DCF Model'!G45*(1+I$6)/($B7-I$6)/(1+$B7)^('DCF Model'!C19+4)-'DCF Model'!C16)*1000000/'DCF Model'!C15,0),"")</f>
        <v>776</v>
      </c>
    </row>
    <row r="8" spans="2:9" ht="13.5" x14ac:dyDescent="0.25">
      <c r="B8" s="39">
        <f>$C$3-0.01</f>
        <v>0.13399451456771377</v>
      </c>
      <c r="C8" s="37">
        <f>IFERROR(ROUND(('DCF Model'!C45/(1+$B8)^('DCF Model'!C19+0)+'DCF Model'!D45/(1+$B8)^('DCF Model'!C19+1)+'DCF Model'!E45/(1+$B8)^('DCF Model'!C19+2)+'DCF Model'!F45/(1+$B8)^('DCF Model'!C19+3)+'DCF Model'!G45/(1+$B8)^('DCF Model'!C19+4)+'DCF Model'!G45*(1+C$6)/($B8-C$6)/(1+$B8)^('DCF Model'!C19+4)-'DCF Model'!C16)*1000000/'DCF Model'!C15,0),"")</f>
        <v>645</v>
      </c>
      <c r="D8" s="37">
        <f>IFERROR(ROUND(('DCF Model'!C45/(1+$B8)^('DCF Model'!C19+0)+'DCF Model'!D45/(1+$B8)^('DCF Model'!C19+1)+'DCF Model'!E45/(1+$B8)^('DCF Model'!C19+2)+'DCF Model'!F45/(1+$B8)^('DCF Model'!C19+3)+'DCF Model'!G45/(1+$B8)^('DCF Model'!C19+4)+'DCF Model'!G45*(1+D$6)/($B8-D$6)/(1+$B8)^('DCF Model'!C19+4)-'DCF Model'!C16)*1000000/'DCF Model'!C15,0),"")</f>
        <v>657</v>
      </c>
      <c r="E8" s="37">
        <f>IFERROR(ROUND(('DCF Model'!C45/(1+$B8)^('DCF Model'!C19+0)+'DCF Model'!D45/(1+$B8)^('DCF Model'!C19+1)+'DCF Model'!E45/(1+$B8)^('DCF Model'!C19+2)+'DCF Model'!F45/(1+$B8)^('DCF Model'!C19+3)+'DCF Model'!G45/(1+$B8)^('DCF Model'!C19+4)+'DCF Model'!G45*(1+E$6)/($B8-E$6)/(1+$B8)^('DCF Model'!C19+4)-'DCF Model'!C16)*1000000/'DCF Model'!C15,0),"")</f>
        <v>670</v>
      </c>
      <c r="F8" s="37">
        <f>IFERROR(ROUND(('DCF Model'!C45/(1+$B8)^('DCF Model'!C19+0)+'DCF Model'!D45/(1+$B8)^('DCF Model'!C19+1)+'DCF Model'!E45/(1+$B8)^('DCF Model'!C19+2)+'DCF Model'!F45/(1+$B8)^('DCF Model'!C19+3)+'DCF Model'!G45/(1+$B8)^('DCF Model'!C19+4)+'DCF Model'!G45*(1+F$6)/($B8-F$6)/(1+$B8)^('DCF Model'!C19+4)-'DCF Model'!C16)*1000000/'DCF Model'!C15,0),"")</f>
        <v>684</v>
      </c>
      <c r="G8" s="37">
        <f>IFERROR(ROUND(('DCF Model'!C45/(1+$B8)^('DCF Model'!C19+0)+'DCF Model'!D45/(1+$B8)^('DCF Model'!C19+1)+'DCF Model'!E45/(1+$B8)^('DCF Model'!C19+2)+'DCF Model'!F45/(1+$B8)^('DCF Model'!C19+3)+'DCF Model'!G45/(1+$B8)^('DCF Model'!C19+4)+'DCF Model'!G45*(1+G$6)/($B8-G$6)/(1+$B8)^('DCF Model'!C19+4)-'DCF Model'!C16)*1000000/'DCF Model'!C15,0),"")</f>
        <v>698</v>
      </c>
      <c r="H8" s="37">
        <f>IFERROR(ROUND(('DCF Model'!C45/(1+$B8)^('DCF Model'!C19+0)+'DCF Model'!D45/(1+$B8)^('DCF Model'!C19+1)+'DCF Model'!E45/(1+$B8)^('DCF Model'!C19+2)+'DCF Model'!F45/(1+$B8)^('DCF Model'!C19+3)+'DCF Model'!G45/(1+$B8)^('DCF Model'!C19+4)+'DCF Model'!G45*(1+H$6)/($B8-H$6)/(1+$B8)^('DCF Model'!C19+4)-'DCF Model'!C16)*1000000/'DCF Model'!C15,0),"")</f>
        <v>712</v>
      </c>
      <c r="I8" s="37">
        <f>IFERROR(ROUND(('DCF Model'!C45/(1+$B8)^('DCF Model'!C19+0)+'DCF Model'!D45/(1+$B8)^('DCF Model'!C19+1)+'DCF Model'!E45/(1+$B8)^('DCF Model'!C19+2)+'DCF Model'!F45/(1+$B8)^('DCF Model'!C19+3)+'DCF Model'!G45/(1+$B8)^('DCF Model'!C19+4)+'DCF Model'!G45*(1+I$6)/($B8-I$6)/(1+$B8)^('DCF Model'!C19+4)-'DCF Model'!C16)*1000000/'DCF Model'!C15,0),"")</f>
        <v>728</v>
      </c>
    </row>
    <row r="9" spans="2:9" ht="13.5" x14ac:dyDescent="0.25">
      <c r="B9" s="39">
        <f>$C$3-0.005</f>
        <v>0.13899451456771378</v>
      </c>
      <c r="C9" s="37">
        <f>IFERROR(ROUND(('DCF Model'!C45/(1+$B9)^('DCF Model'!C19+0)+'DCF Model'!D45/(1+$B9)^('DCF Model'!C19+1)+'DCF Model'!E45/(1+$B9)^('DCF Model'!C19+2)+'DCF Model'!F45/(1+$B9)^('DCF Model'!C19+3)+'DCF Model'!G45/(1+$B9)^('DCF Model'!C19+4)+'DCF Model'!G45*(1+C$6)/($B9-C$6)/(1+$B9)^('DCF Model'!C19+4)-'DCF Model'!C16)*1000000/'DCF Model'!C15,0),"")</f>
        <v>608</v>
      </c>
      <c r="D9" s="37">
        <f>IFERROR(ROUND(('DCF Model'!C45/(1+$B9)^('DCF Model'!C19+0)+'DCF Model'!D45/(1+$B9)^('DCF Model'!C19+1)+'DCF Model'!E45/(1+$B9)^('DCF Model'!C19+2)+'DCF Model'!F45/(1+$B9)^('DCF Model'!C19+3)+'DCF Model'!G45/(1+$B9)^('DCF Model'!C19+4)+'DCF Model'!G45*(1+D$6)/($B9-D$6)/(1+$B9)^('DCF Model'!C19+4)-'DCF Model'!C16)*1000000/'DCF Model'!C15,0),"")</f>
        <v>619</v>
      </c>
      <c r="E9" s="37">
        <f>IFERROR(ROUND(('DCF Model'!C45/(1+$B9)^('DCF Model'!C19+0)+'DCF Model'!D45/(1+$B9)^('DCF Model'!C19+1)+'DCF Model'!E45/(1+$B9)^('DCF Model'!C19+2)+'DCF Model'!F45/(1+$B9)^('DCF Model'!C19+3)+'DCF Model'!G45/(1+$B9)^('DCF Model'!C19+4)+'DCF Model'!G45*(1+E$6)/($B9-E$6)/(1+$B9)^('DCF Model'!C19+4)-'DCF Model'!C16)*1000000/'DCF Model'!C15,0),"")</f>
        <v>631</v>
      </c>
      <c r="F9" s="37">
        <f>IFERROR(ROUND(('DCF Model'!C45/(1+$B9)^('DCF Model'!C19+0)+'DCF Model'!D45/(1+$B9)^('DCF Model'!C19+1)+'DCF Model'!E45/(1+$B9)^('DCF Model'!C19+2)+'DCF Model'!F45/(1+$B9)^('DCF Model'!C19+3)+'DCF Model'!G45/(1+$B9)^('DCF Model'!C19+4)+'DCF Model'!G45*(1+F$6)/($B9-F$6)/(1+$B9)^('DCF Model'!C19+4)-'DCF Model'!C16)*1000000/'DCF Model'!C15,0),"")</f>
        <v>643</v>
      </c>
      <c r="G9" s="37">
        <f>IFERROR(ROUND(('DCF Model'!C45/(1+$B9)^('DCF Model'!C19+0)+'DCF Model'!D45/(1+$B9)^('DCF Model'!C19+1)+'DCF Model'!E45/(1+$B9)^('DCF Model'!C19+2)+'DCF Model'!F45/(1+$B9)^('DCF Model'!C19+3)+'DCF Model'!G45/(1+$B9)^('DCF Model'!C19+4)+'DCF Model'!G45*(1+G$6)/($B9-G$6)/(1+$B9)^('DCF Model'!C19+4)-'DCF Model'!C16)*1000000/'DCF Model'!C15,0),"")</f>
        <v>656</v>
      </c>
      <c r="H9" s="37">
        <f>IFERROR(ROUND(('DCF Model'!C45/(1+$B9)^('DCF Model'!C19+0)+'DCF Model'!D45/(1+$B9)^('DCF Model'!C19+1)+'DCF Model'!E45/(1+$B9)^('DCF Model'!C19+2)+'DCF Model'!F45/(1+$B9)^('DCF Model'!C19+3)+'DCF Model'!G45/(1+$B9)^('DCF Model'!C19+4)+'DCF Model'!G45*(1+H$6)/($B9-H$6)/(1+$B9)^('DCF Model'!C19+4)-'DCF Model'!C16)*1000000/'DCF Model'!C15,0),"")</f>
        <v>669</v>
      </c>
      <c r="I9" s="37">
        <f>IFERROR(ROUND(('DCF Model'!C45/(1+$B9)^('DCF Model'!C19+0)+'DCF Model'!D45/(1+$B9)^('DCF Model'!C19+1)+'DCF Model'!E45/(1+$B9)^('DCF Model'!C19+2)+'DCF Model'!F45/(1+$B9)^('DCF Model'!C19+3)+'DCF Model'!G45/(1+$B9)^('DCF Model'!C19+4)+'DCF Model'!G45*(1+I$6)/($B9-I$6)/(1+$B9)^('DCF Model'!C19+4)-'DCF Model'!C16)*1000000/'DCF Model'!C15,0),"")</f>
        <v>683</v>
      </c>
    </row>
    <row r="10" spans="2:9" ht="13.5" x14ac:dyDescent="0.25">
      <c r="B10" s="39">
        <f>$C$3</f>
        <v>0.14399451456771378</v>
      </c>
      <c r="C10" s="37">
        <f>IFERROR(ROUND(('DCF Model'!C45/(1+$B10)^('DCF Model'!C19+0)+'DCF Model'!D45/(1+$B10)^('DCF Model'!C19+1)+'DCF Model'!E45/(1+$B10)^('DCF Model'!C19+2)+'DCF Model'!F45/(1+$B10)^('DCF Model'!C19+3)+'DCF Model'!G45/(1+$B10)^('DCF Model'!C19+4)+'DCF Model'!G45*(1+C$6)/($B10-C$6)/(1+$B10)^('DCF Model'!C19+4)-'DCF Model'!C16)*1000000/'DCF Model'!C15,0),"")</f>
        <v>574</v>
      </c>
      <c r="D10" s="37">
        <f>IFERROR(ROUND(('DCF Model'!C45/(1+$B10)^('DCF Model'!C19+0)+'DCF Model'!D45/(1+$B10)^('DCF Model'!C19+1)+'DCF Model'!E45/(1+$B10)^('DCF Model'!C19+2)+'DCF Model'!F45/(1+$B10)^('DCF Model'!C19+3)+'DCF Model'!G45/(1+$B10)^('DCF Model'!C19+4)+'DCF Model'!G45*(1+D$6)/($B10-D$6)/(1+$B10)^('DCF Model'!C19+4)-'DCF Model'!C16)*1000000/'DCF Model'!C15,0),"")</f>
        <v>584</v>
      </c>
      <c r="E10" s="37">
        <f>IFERROR(ROUND(('DCF Model'!C45/(1+$B10)^('DCF Model'!C19+0)+'DCF Model'!D45/(1+$B10)^('DCF Model'!C19+1)+'DCF Model'!E45/(1+$B10)^('DCF Model'!C19+2)+'DCF Model'!F45/(1+$B10)^('DCF Model'!C19+3)+'DCF Model'!G45/(1+$B10)^('DCF Model'!C19+4)+'DCF Model'!G45*(1+E$6)/($B10-E$6)/(1+$B10)^('DCF Model'!C19+4)-'DCF Model'!C16)*1000000/'DCF Model'!C15,0),"")</f>
        <v>595</v>
      </c>
      <c r="F10" s="37">
        <f>IFERROR(ROUND(('DCF Model'!C45/(1+$B10)^('DCF Model'!C19+0)+'DCF Model'!D45/(1+$B10)^('DCF Model'!C19+1)+'DCF Model'!E45/(1+$B10)^('DCF Model'!C19+2)+'DCF Model'!F45/(1+$B10)^('DCF Model'!C19+3)+'DCF Model'!G45/(1+$B10)^('DCF Model'!C19+4)+'DCF Model'!G45*(1+F$6)/($B10-F$6)/(1+$B10)^('DCF Model'!C19+4)-'DCF Model'!C16)*1000000/'DCF Model'!C15,0),"")</f>
        <v>606</v>
      </c>
      <c r="G10" s="37">
        <f>IFERROR(ROUND(('DCF Model'!C45/(1+$B10)^('DCF Model'!C19+0)+'DCF Model'!D45/(1+$B10)^('DCF Model'!C19+1)+'DCF Model'!E45/(1+$B10)^('DCF Model'!C19+2)+'DCF Model'!F45/(1+$B10)^('DCF Model'!C19+3)+'DCF Model'!G45/(1+$B10)^('DCF Model'!C19+4)+'DCF Model'!G45*(1+G$6)/($B10-G$6)/(1+$B10)^('DCF Model'!C19+4)-'DCF Model'!C16)*1000000/'DCF Model'!C15,0),"")</f>
        <v>618</v>
      </c>
      <c r="H10" s="37">
        <f>IFERROR(ROUND(('DCF Model'!C45/(1+$B10)^('DCF Model'!C19+0)+'DCF Model'!D45/(1+$B10)^('DCF Model'!C19+1)+'DCF Model'!E45/(1+$B10)^('DCF Model'!C19+2)+'DCF Model'!F45/(1+$B10)^('DCF Model'!C19+3)+'DCF Model'!G45/(1+$B10)^('DCF Model'!C19+4)+'DCF Model'!G45*(1+H$6)/($B10-H$6)/(1+$B10)^('DCF Model'!C19+4)-'DCF Model'!C16)*1000000/'DCF Model'!C15,0),"")</f>
        <v>630</v>
      </c>
      <c r="I10" s="37">
        <f>IFERROR(ROUND(('DCF Model'!C45/(1+$B10)^('DCF Model'!C19+0)+'DCF Model'!D45/(1+$B10)^('DCF Model'!C19+1)+'DCF Model'!E45/(1+$B10)^('DCF Model'!C19+2)+'DCF Model'!F45/(1+$B10)^('DCF Model'!C19+3)+'DCF Model'!G45/(1+$B10)^('DCF Model'!C19+4)+'DCF Model'!G45*(1+I$6)/($B10-I$6)/(1+$B10)^('DCF Model'!C19+4)-'DCF Model'!C16)*1000000/'DCF Model'!C15,0),"")</f>
        <v>642</v>
      </c>
    </row>
    <row r="11" spans="2:9" ht="13.5" x14ac:dyDescent="0.25">
      <c r="B11" s="39">
        <f>$C$3+0.005</f>
        <v>0.14899451456771379</v>
      </c>
      <c r="C11" s="37">
        <f>IFERROR(ROUND(('DCF Model'!C45/(1+$B11)^('DCF Model'!C19+0)+'DCF Model'!D45/(1+$B11)^('DCF Model'!C19+1)+'DCF Model'!E45/(1+$B11)^('DCF Model'!C19+2)+'DCF Model'!F45/(1+$B11)^('DCF Model'!C19+3)+'DCF Model'!G45/(1+$B11)^('DCF Model'!C19+4)+'DCF Model'!G45*(1+C$6)/($B11-C$6)/(1+$B11)^('DCF Model'!C19+4)-'DCF Model'!C16)*1000000/'DCF Model'!C15,0),"")</f>
        <v>542</v>
      </c>
      <c r="D11" s="37">
        <f>IFERROR(ROUND(('DCF Model'!C45/(1+$B11)^('DCF Model'!C19+0)+'DCF Model'!D45/(1+$B11)^('DCF Model'!C19+1)+'DCF Model'!E45/(1+$B11)^('DCF Model'!C19+2)+'DCF Model'!F45/(1+$B11)^('DCF Model'!C19+3)+'DCF Model'!G45/(1+$B11)^('DCF Model'!C19+4)+'DCF Model'!G45*(1+D$6)/($B11-D$6)/(1+$B11)^('DCF Model'!C19+4)-'DCF Model'!C16)*1000000/'DCF Model'!C15,0),"")</f>
        <v>551</v>
      </c>
      <c r="E11" s="37">
        <f>IFERROR(ROUND(('DCF Model'!C45/(1+$B11)^('DCF Model'!C19+0)+'DCF Model'!D45/(1+$B11)^('DCF Model'!C19+1)+'DCF Model'!E45/(1+$B11)^('DCF Model'!C19+2)+'DCF Model'!F45/(1+$B11)^('DCF Model'!C19+3)+'DCF Model'!G45/(1+$B11)^('DCF Model'!C19+4)+'DCF Model'!G45*(1+E$6)/($B11-E$6)/(1+$B11)^('DCF Model'!C19+4)-'DCF Model'!C16)*1000000/'DCF Model'!C15,0),"")</f>
        <v>561</v>
      </c>
      <c r="F11" s="37">
        <f>IFERROR(ROUND(('DCF Model'!C45/(1+$B11)^('DCF Model'!C19+0)+'DCF Model'!D45/(1+$B11)^('DCF Model'!C19+1)+'DCF Model'!E45/(1+$B11)^('DCF Model'!C19+2)+'DCF Model'!F45/(1+$B11)^('DCF Model'!C19+3)+'DCF Model'!G45/(1+$B11)^('DCF Model'!C19+4)+'DCF Model'!G45*(1+F$6)/($B11-F$6)/(1+$B11)^('DCF Model'!C19+4)-'DCF Model'!C16)*1000000/'DCF Model'!C15,0),"")</f>
        <v>571</v>
      </c>
      <c r="G11" s="37">
        <f>IFERROR(ROUND(('DCF Model'!C45/(1+$B11)^('DCF Model'!C19+0)+'DCF Model'!D45/(1+$B11)^('DCF Model'!C19+1)+'DCF Model'!E45/(1+$B11)^('DCF Model'!C19+2)+'DCF Model'!F45/(1+$B11)^('DCF Model'!C19+3)+'DCF Model'!G45/(1+$B11)^('DCF Model'!C19+4)+'DCF Model'!G45*(1+G$6)/($B11-G$6)/(1+$B11)^('DCF Model'!C19+4)-'DCF Model'!C16)*1000000/'DCF Model'!C15,0),"")</f>
        <v>582</v>
      </c>
      <c r="H11" s="37">
        <f>IFERROR(ROUND(('DCF Model'!C45/(1+$B11)^('DCF Model'!C19+0)+'DCF Model'!D45/(1+$B11)^('DCF Model'!C19+1)+'DCF Model'!E45/(1+$B11)^('DCF Model'!C19+2)+'DCF Model'!F45/(1+$B11)^('DCF Model'!C19+3)+'DCF Model'!G45/(1+$B11)^('DCF Model'!C19+4)+'DCF Model'!G45*(1+H$6)/($B11-H$6)/(1+$B11)^('DCF Model'!C19+4)-'DCF Model'!C16)*1000000/'DCF Model'!C15,0),"")</f>
        <v>593</v>
      </c>
      <c r="I11" s="37">
        <f>IFERROR(ROUND(('DCF Model'!C45/(1+$B11)^('DCF Model'!C19+0)+'DCF Model'!D45/(1+$B11)^('DCF Model'!C19+1)+'DCF Model'!E45/(1+$B11)^('DCF Model'!C19+2)+'DCF Model'!F45/(1+$B11)^('DCF Model'!C19+3)+'DCF Model'!G45/(1+$B11)^('DCF Model'!C19+4)+'DCF Model'!G45*(1+I$6)/($B11-I$6)/(1+$B11)^('DCF Model'!C19+4)-'DCF Model'!C16)*1000000/'DCF Model'!C15,0),"")</f>
        <v>604</v>
      </c>
    </row>
    <row r="12" spans="2:9" ht="13.5" x14ac:dyDescent="0.25">
      <c r="B12" s="39">
        <f>$C$3+0.01</f>
        <v>0.15399451456771379</v>
      </c>
      <c r="C12" s="37">
        <f>IFERROR(ROUND(('DCF Model'!C45/(1+$B12)^('DCF Model'!C19+0)+'DCF Model'!D45/(1+$B12)^('DCF Model'!C19+1)+'DCF Model'!E45/(1+$B12)^('DCF Model'!C19+2)+'DCF Model'!F45/(1+$B12)^('DCF Model'!C19+3)+'DCF Model'!G45/(1+$B12)^('DCF Model'!C19+4)+'DCF Model'!G45*(1+C$6)/($B12-C$6)/(1+$B12)^('DCF Model'!C19+4)-'DCF Model'!C16)*1000000/'DCF Model'!C15,0),"")</f>
        <v>512</v>
      </c>
      <c r="D12" s="37">
        <f>IFERROR(ROUND(('DCF Model'!C45/(1+$B12)^('DCF Model'!C19+0)+'DCF Model'!D45/(1+$B12)^('DCF Model'!C19+1)+'DCF Model'!E45/(1+$B12)^('DCF Model'!C19+2)+'DCF Model'!F45/(1+$B12)^('DCF Model'!C19+3)+'DCF Model'!G45/(1+$B12)^('DCF Model'!C19+4)+'DCF Model'!G45*(1+D$6)/($B12-D$6)/(1+$B12)^('DCF Model'!C19+4)-'DCF Model'!C16)*1000000/'DCF Model'!C15,0),"")</f>
        <v>521</v>
      </c>
      <c r="E12" s="37">
        <f>IFERROR(ROUND(('DCF Model'!C45/(1+$B12)^('DCF Model'!C19+0)+'DCF Model'!D45/(1+$B12)^('DCF Model'!C19+1)+'DCF Model'!E45/(1+$B12)^('DCF Model'!C19+2)+'DCF Model'!F45/(1+$B12)^('DCF Model'!C19+3)+'DCF Model'!G45/(1+$B12)^('DCF Model'!C19+4)+'DCF Model'!G45*(1+E$6)/($B12-E$6)/(1+$B12)^('DCF Model'!C19+4)-'DCF Model'!C16)*1000000/'DCF Model'!C15,0),"")</f>
        <v>530</v>
      </c>
      <c r="F12" s="37">
        <f>IFERROR(ROUND(('DCF Model'!C45/(1+$B12)^('DCF Model'!C19+0)+'DCF Model'!D45/(1+$B12)^('DCF Model'!C19+1)+'DCF Model'!E45/(1+$B12)^('DCF Model'!C19+2)+'DCF Model'!F45/(1+$B12)^('DCF Model'!C19+3)+'DCF Model'!G45/(1+$B12)^('DCF Model'!C19+4)+'DCF Model'!G45*(1+F$6)/($B12-F$6)/(1+$B12)^('DCF Model'!C19+4)-'DCF Model'!C16)*1000000/'DCF Model'!C15,0),"")</f>
        <v>539</v>
      </c>
      <c r="G12" s="37">
        <f>IFERROR(ROUND(('DCF Model'!C45/(1+$B12)^('DCF Model'!C19+0)+'DCF Model'!D45/(1+$B12)^('DCF Model'!C19+1)+'DCF Model'!E45/(1+$B12)^('DCF Model'!C19+2)+'DCF Model'!F45/(1+$B12)^('DCF Model'!C19+3)+'DCF Model'!G45/(1+$B12)^('DCF Model'!C19+4)+'DCF Model'!G45*(1+G$6)/($B12-G$6)/(1+$B12)^('DCF Model'!C19+4)-'DCF Model'!C16)*1000000/'DCF Model'!C15,0),"")</f>
        <v>549</v>
      </c>
      <c r="H12" s="37">
        <f>IFERROR(ROUND(('DCF Model'!C45/(1+$B12)^('DCF Model'!C19+0)+'DCF Model'!D45/(1+$B12)^('DCF Model'!C19+1)+'DCF Model'!E45/(1+$B12)^('DCF Model'!C19+2)+'DCF Model'!F45/(1+$B12)^('DCF Model'!C19+3)+'DCF Model'!G45/(1+$B12)^('DCF Model'!C19+4)+'DCF Model'!G45*(1+H$6)/($B12-H$6)/(1+$B12)^('DCF Model'!C19+4)-'DCF Model'!C16)*1000000/'DCF Model'!C15,0),"")</f>
        <v>559</v>
      </c>
      <c r="I12" s="37">
        <f>IFERROR(ROUND(('DCF Model'!C45/(1+$B12)^('DCF Model'!C19+0)+'DCF Model'!D45/(1+$B12)^('DCF Model'!C19+1)+'DCF Model'!E45/(1+$B12)^('DCF Model'!C19+2)+'DCF Model'!F45/(1+$B12)^('DCF Model'!C19+3)+'DCF Model'!G45/(1+$B12)^('DCF Model'!C19+4)+'DCF Model'!G45*(1+I$6)/($B12-I$6)/(1+$B12)^('DCF Model'!C19+4)-'DCF Model'!C16)*1000000/'DCF Model'!C15,0),"")</f>
        <v>569</v>
      </c>
    </row>
    <row r="13" spans="2:9" ht="13.5" x14ac:dyDescent="0.25">
      <c r="B13" s="39">
        <f>$C$3+0.015</f>
        <v>0.1589945145677138</v>
      </c>
      <c r="C13" s="37">
        <f>IFERROR(ROUND(('DCF Model'!C45/(1+$B13)^('DCF Model'!C19+0)+'DCF Model'!D45/(1+$B13)^('DCF Model'!C19+1)+'DCF Model'!E45/(1+$B13)^('DCF Model'!C19+2)+'DCF Model'!F45/(1+$B13)^('DCF Model'!C19+3)+'DCF Model'!G45/(1+$B13)^('DCF Model'!C19+4)+'DCF Model'!G45*(1+C$6)/($B13-C$6)/(1+$B13)^('DCF Model'!C19+4)-'DCF Model'!C16)*1000000/'DCF Model'!C15,0),"")</f>
        <v>485</v>
      </c>
      <c r="D13" s="37">
        <f>IFERROR(ROUND(('DCF Model'!C45/(1+$B13)^('DCF Model'!C19+0)+'DCF Model'!D45/(1+$B13)^('DCF Model'!C19+1)+'DCF Model'!E45/(1+$B13)^('DCF Model'!C19+2)+'DCF Model'!F45/(1+$B13)^('DCF Model'!C19+3)+'DCF Model'!G45/(1+$B13)^('DCF Model'!C19+4)+'DCF Model'!G45*(1+D$6)/($B13-D$6)/(1+$B13)^('DCF Model'!C19+4)-'DCF Model'!C16)*1000000/'DCF Model'!C15,0),"")</f>
        <v>493</v>
      </c>
      <c r="E13" s="37">
        <f>IFERROR(ROUND(('DCF Model'!C45/(1+$B13)^('DCF Model'!C19+0)+'DCF Model'!D45/(1+$B13)^('DCF Model'!C19+1)+'DCF Model'!E45/(1+$B13)^('DCF Model'!C19+2)+'DCF Model'!F45/(1+$B13)^('DCF Model'!C19+3)+'DCF Model'!G45/(1+$B13)^('DCF Model'!C19+4)+'DCF Model'!G45*(1+E$6)/($B13-E$6)/(1+$B13)^('DCF Model'!C19+4)-'DCF Model'!C16)*1000000/'DCF Model'!C15,0),"")</f>
        <v>501</v>
      </c>
      <c r="F13" s="37">
        <f>IFERROR(ROUND(('DCF Model'!C45/(1+$B13)^('DCF Model'!C19+0)+'DCF Model'!D45/(1+$B13)^('DCF Model'!C19+1)+'DCF Model'!E45/(1+$B13)^('DCF Model'!C19+2)+'DCF Model'!F45/(1+$B13)^('DCF Model'!C19+3)+'DCF Model'!G45/(1+$B13)^('DCF Model'!C19+4)+'DCF Model'!G45*(1+F$6)/($B13-F$6)/(1+$B13)^('DCF Model'!C19+4)-'DCF Model'!C16)*1000000/'DCF Model'!C15,0),"")</f>
        <v>509</v>
      </c>
      <c r="G13" s="37">
        <f>IFERROR(ROUND(('DCF Model'!C45/(1+$B13)^('DCF Model'!C19+0)+'DCF Model'!D45/(1+$B13)^('DCF Model'!C19+1)+'DCF Model'!E45/(1+$B13)^('DCF Model'!C19+2)+'DCF Model'!F45/(1+$B13)^('DCF Model'!C19+3)+'DCF Model'!G45/(1+$B13)^('DCF Model'!C19+4)+'DCF Model'!G45*(1+G$6)/($B13-G$6)/(1+$B13)^('DCF Model'!C19+4)-'DCF Model'!C16)*1000000/'DCF Model'!C15,0),"")</f>
        <v>518</v>
      </c>
      <c r="H13" s="37">
        <f>IFERROR(ROUND(('DCF Model'!C45/(1+$B13)^('DCF Model'!C19+0)+'DCF Model'!D45/(1+$B13)^('DCF Model'!C19+1)+'DCF Model'!E45/(1+$B13)^('DCF Model'!C19+2)+'DCF Model'!F45/(1+$B13)^('DCF Model'!C19+3)+'DCF Model'!G45/(1+$B13)^('DCF Model'!C19+4)+'DCF Model'!G45*(1+H$6)/($B13-H$6)/(1+$B13)^('DCF Model'!C19+4)-'DCF Model'!C16)*1000000/'DCF Model'!C15,0),"")</f>
        <v>528</v>
      </c>
      <c r="I13" s="37">
        <f>IFERROR(ROUND(('DCF Model'!C45/(1+$B13)^('DCF Model'!C19+0)+'DCF Model'!D45/(1+$B13)^('DCF Model'!C19+1)+'DCF Model'!E45/(1+$B13)^('DCF Model'!C19+2)+'DCF Model'!F45/(1+$B13)^('DCF Model'!C19+3)+'DCF Model'!G45/(1+$B13)^('DCF Model'!C19+4)+'DCF Model'!G45*(1+I$6)/($B13-I$6)/(1+$B13)^('DCF Model'!C19+4)-'DCF Model'!C16)*1000000/'DCF Model'!C15,0),"")</f>
        <v>537</v>
      </c>
    </row>
    <row r="16" spans="2:9" ht="14" x14ac:dyDescent="0.3">
      <c r="B16" s="3" t="s">
        <v>242</v>
      </c>
    </row>
    <row r="17" spans="2:9" ht="14" x14ac:dyDescent="0.3">
      <c r="B17" s="40" t="s">
        <v>243</v>
      </c>
      <c r="C17" s="42">
        <f>$I$3-3</f>
        <v>12</v>
      </c>
      <c r="D17" s="42">
        <f>$I$3-2</f>
        <v>13</v>
      </c>
      <c r="E17" s="42">
        <f>$I$3-1</f>
        <v>14</v>
      </c>
      <c r="F17" s="42">
        <f>$I$3</f>
        <v>15</v>
      </c>
      <c r="G17" s="42">
        <f>$I$3+1</f>
        <v>16</v>
      </c>
      <c r="H17" s="42">
        <f>$I$3+2</f>
        <v>17</v>
      </c>
      <c r="I17" s="42">
        <f>$I$3+3</f>
        <v>18</v>
      </c>
    </row>
    <row r="18" spans="2:9" ht="13.5" x14ac:dyDescent="0.25">
      <c r="B18" s="39">
        <f>$C$3-0.015</f>
        <v>0.12899451456771377</v>
      </c>
      <c r="C18" s="37">
        <f>IFERROR(ROUND(('DCF Model'!C45/(1+$B18)^('DCF Model'!C19+0)+'DCF Model'!D45/(1+$B18)^('DCF Model'!C19+1)+'DCF Model'!E45/(1+$B18)^('DCF Model'!C19+2)+'DCF Model'!F45/(1+$B18)^('DCF Model'!C19+3)+'DCF Model'!G45/(1+$B18)^('DCF Model'!C19+4)+('DCF Model'!G39+'DCF Model'!G42)*C$17/(1+$B18)^('DCF Model'!C19+4)-'DCF Model'!C16)*1000000/'DCF Model'!C15,0),"")</f>
        <v>2166</v>
      </c>
      <c r="D18" s="37">
        <f>IFERROR(ROUND(('DCF Model'!C45/(1+$B18)^('DCF Model'!C19+0)+'DCF Model'!D45/(1+$B18)^('DCF Model'!C19+1)+'DCF Model'!E45/(1+$B18)^('DCF Model'!C19+2)+'DCF Model'!F45/(1+$B18)^('DCF Model'!C19+3)+'DCF Model'!G45/(1+$B18)^('DCF Model'!C19+4)+('DCF Model'!G39+'DCF Model'!G42)*D$17/(1+$B18)^('DCF Model'!C19+4)-'DCF Model'!C16)*1000000/'DCF Model'!C15,0),"")</f>
        <v>2339</v>
      </c>
      <c r="E18" s="37">
        <f>IFERROR(ROUND(('DCF Model'!C45/(1+$B18)^('DCF Model'!C19+0)+'DCF Model'!D45/(1+$B18)^('DCF Model'!C19+1)+'DCF Model'!E45/(1+$B18)^('DCF Model'!C19+2)+'DCF Model'!F45/(1+$B18)^('DCF Model'!C19+3)+'DCF Model'!G45/(1+$B18)^('DCF Model'!C19+4)+('DCF Model'!G39+'DCF Model'!G42)*E$17/(1+$B18)^('DCF Model'!C19+4)-'DCF Model'!C16)*1000000/'DCF Model'!C15,0),"")</f>
        <v>2513</v>
      </c>
      <c r="F18" s="37">
        <f>IFERROR(ROUND(('DCF Model'!C45/(1+$B18)^('DCF Model'!C19+0)+'DCF Model'!D45/(1+$B18)^('DCF Model'!C19+1)+'DCF Model'!E45/(1+$B18)^('DCF Model'!C19+2)+'DCF Model'!F45/(1+$B18)^('DCF Model'!C19+3)+'DCF Model'!G45/(1+$B18)^('DCF Model'!C19+4)+('DCF Model'!G39+'DCF Model'!G42)*F$17/(1+$B18)^('DCF Model'!C19+4)-'DCF Model'!C16)*1000000/'DCF Model'!C15,0),"")</f>
        <v>2687</v>
      </c>
      <c r="G18" s="37">
        <f>IFERROR(ROUND(('DCF Model'!C45/(1+$B18)^('DCF Model'!C19+0)+'DCF Model'!D45/(1+$B18)^('DCF Model'!C19+1)+'DCF Model'!E45/(1+$B18)^('DCF Model'!C19+2)+'DCF Model'!F45/(1+$B18)^('DCF Model'!C19+3)+'DCF Model'!G45/(1+$B18)^('DCF Model'!C19+4)+('DCF Model'!G39+'DCF Model'!G42)*G$17/(1+$B18)^('DCF Model'!C19+4)-'DCF Model'!C16)*1000000/'DCF Model'!C15,0),"")</f>
        <v>2861</v>
      </c>
      <c r="H18" s="37">
        <f>IFERROR(ROUND(('DCF Model'!C45/(1+$B18)^('DCF Model'!C19+0)+'DCF Model'!D45/(1+$B18)^('DCF Model'!C19+1)+'DCF Model'!E45/(1+$B18)^('DCF Model'!C19+2)+'DCF Model'!F45/(1+$B18)^('DCF Model'!C19+3)+'DCF Model'!G45/(1+$B18)^('DCF Model'!C19+4)+('DCF Model'!G39+'DCF Model'!G42)*H$17/(1+$B18)^('DCF Model'!C19+4)-'DCF Model'!C16)*1000000/'DCF Model'!C15,0),"")</f>
        <v>3035</v>
      </c>
      <c r="I18" s="37">
        <f>IFERROR(ROUND(('DCF Model'!C45/(1+$B18)^('DCF Model'!C19+0)+'DCF Model'!D45/(1+$B18)^('DCF Model'!C19+1)+'DCF Model'!E45/(1+$B18)^('DCF Model'!C19+2)+'DCF Model'!F45/(1+$B18)^('DCF Model'!C19+3)+'DCF Model'!G45/(1+$B18)^('DCF Model'!C19+4)+('DCF Model'!G39+'DCF Model'!G42)*I$17/(1+$B18)^('DCF Model'!C19+4)-'DCF Model'!C16)*1000000/'DCF Model'!C15,0),"")</f>
        <v>3208</v>
      </c>
    </row>
    <row r="19" spans="2:9" ht="13.5" x14ac:dyDescent="0.25">
      <c r="B19" s="39">
        <f>$C$3-0.01</f>
        <v>0.13399451456771377</v>
      </c>
      <c r="C19" s="37">
        <f>IFERROR(ROUND(('DCF Model'!C45/(1+$B19)^('DCF Model'!C19+0)+'DCF Model'!D45/(1+$B19)^('DCF Model'!C19+1)+'DCF Model'!E45/(1+$B19)^('DCF Model'!C19+2)+'DCF Model'!F45/(1+$B19)^('DCF Model'!C19+3)+'DCF Model'!G45/(1+$B19)^('DCF Model'!C19+4)+('DCF Model'!G39+'DCF Model'!G42)*C$17/(1+$B19)^('DCF Model'!C19+4)-'DCF Model'!C16)*1000000/'DCF Model'!C15,0),"")</f>
        <v>2116</v>
      </c>
      <c r="D19" s="37">
        <f>IFERROR(ROUND(('DCF Model'!C45/(1+$B19)^('DCF Model'!C19+0)+'DCF Model'!D45/(1+$B19)^('DCF Model'!C19+1)+'DCF Model'!E45/(1+$B19)^('DCF Model'!C19+2)+'DCF Model'!F45/(1+$B19)^('DCF Model'!C19+3)+'DCF Model'!G45/(1+$B19)^('DCF Model'!C19+4)+('DCF Model'!G39+'DCF Model'!G42)*D$17/(1+$B19)^('DCF Model'!C19+4)-'DCF Model'!C16)*1000000/'DCF Model'!C15,0),"")</f>
        <v>2286</v>
      </c>
      <c r="E19" s="37">
        <f>IFERROR(ROUND(('DCF Model'!C45/(1+$B19)^('DCF Model'!C19+0)+'DCF Model'!D45/(1+$B19)^('DCF Model'!C19+1)+'DCF Model'!E45/(1+$B19)^('DCF Model'!C19+2)+'DCF Model'!F45/(1+$B19)^('DCF Model'!C19+3)+'DCF Model'!G45/(1+$B19)^('DCF Model'!C19+4)+('DCF Model'!G39+'DCF Model'!G42)*E$17/(1+$B19)^('DCF Model'!C19+4)-'DCF Model'!C16)*1000000/'DCF Model'!C15,0),"")</f>
        <v>2456</v>
      </c>
      <c r="F19" s="37">
        <f>IFERROR(ROUND(('DCF Model'!C45/(1+$B19)^('DCF Model'!C19+0)+'DCF Model'!D45/(1+$B19)^('DCF Model'!C19+1)+'DCF Model'!E45/(1+$B19)^('DCF Model'!C19+2)+'DCF Model'!F45/(1+$B19)^('DCF Model'!C19+3)+'DCF Model'!G45/(1+$B19)^('DCF Model'!C19+4)+('DCF Model'!G39+'DCF Model'!G42)*F$17/(1+$B19)^('DCF Model'!C19+4)-'DCF Model'!C16)*1000000/'DCF Model'!C15,0),"")</f>
        <v>2626</v>
      </c>
      <c r="G19" s="37">
        <f>IFERROR(ROUND(('DCF Model'!C45/(1+$B19)^('DCF Model'!C19+0)+'DCF Model'!D45/(1+$B19)^('DCF Model'!C19+1)+'DCF Model'!E45/(1+$B19)^('DCF Model'!C19+2)+'DCF Model'!F45/(1+$B19)^('DCF Model'!C19+3)+'DCF Model'!G45/(1+$B19)^('DCF Model'!C19+4)+('DCF Model'!G39+'DCF Model'!G42)*G$17/(1+$B19)^('DCF Model'!C19+4)-'DCF Model'!C16)*1000000/'DCF Model'!C15,0),"")</f>
        <v>2796</v>
      </c>
      <c r="H19" s="37">
        <f>IFERROR(ROUND(('DCF Model'!C45/(1+$B19)^('DCF Model'!C19+0)+'DCF Model'!D45/(1+$B19)^('DCF Model'!C19+1)+'DCF Model'!E45/(1+$B19)^('DCF Model'!C19+2)+'DCF Model'!F45/(1+$B19)^('DCF Model'!C19+3)+'DCF Model'!G45/(1+$B19)^('DCF Model'!C19+4)+('DCF Model'!G39+'DCF Model'!G42)*H$17/(1+$B19)^('DCF Model'!C19+4)-'DCF Model'!C16)*1000000/'DCF Model'!C15,0),"")</f>
        <v>2966</v>
      </c>
      <c r="I19" s="37">
        <f>IFERROR(ROUND(('DCF Model'!C45/(1+$B19)^('DCF Model'!C19+0)+'DCF Model'!D45/(1+$B19)^('DCF Model'!C19+1)+'DCF Model'!E45/(1+$B19)^('DCF Model'!C19+2)+'DCF Model'!F45/(1+$B19)^('DCF Model'!C19+3)+'DCF Model'!G45/(1+$B19)^('DCF Model'!C19+4)+('DCF Model'!G39+'DCF Model'!G42)*I$17/(1+$B19)^('DCF Model'!C19+4)-'DCF Model'!C16)*1000000/'DCF Model'!C15,0),"")</f>
        <v>3136</v>
      </c>
    </row>
    <row r="20" spans="2:9" ht="13.5" x14ac:dyDescent="0.25">
      <c r="B20" s="39">
        <f>$C$3-0.005</f>
        <v>0.13899451456771378</v>
      </c>
      <c r="C20" s="37">
        <f>IFERROR(ROUND(('DCF Model'!C45/(1+$B20)^('DCF Model'!C19+0)+'DCF Model'!D45/(1+$B20)^('DCF Model'!C19+1)+'DCF Model'!E45/(1+$B20)^('DCF Model'!C19+2)+'DCF Model'!F45/(1+$B20)^('DCF Model'!C19+3)+'DCF Model'!G45/(1+$B20)^('DCF Model'!C19+4)+('DCF Model'!G39+'DCF Model'!G42)*C$17/(1+$B20)^('DCF Model'!C19+4)-'DCF Model'!C16)*1000000/'DCF Model'!C15,0),"")</f>
        <v>2067</v>
      </c>
      <c r="D20" s="37">
        <f>IFERROR(ROUND(('DCF Model'!C45/(1+$B20)^('DCF Model'!C19+0)+'DCF Model'!D45/(1+$B20)^('DCF Model'!C19+1)+'DCF Model'!E45/(1+$B20)^('DCF Model'!C19+2)+'DCF Model'!F45/(1+$B20)^('DCF Model'!C19+3)+'DCF Model'!G45/(1+$B20)^('DCF Model'!C19+4)+('DCF Model'!G39+'DCF Model'!G42)*D$17/(1+$B20)^('DCF Model'!C19+4)-'DCF Model'!C16)*1000000/'DCF Model'!C15,0),"")</f>
        <v>2234</v>
      </c>
      <c r="E20" s="37">
        <f>IFERROR(ROUND(('DCF Model'!C45/(1+$B20)^('DCF Model'!C19+0)+'DCF Model'!D45/(1+$B20)^('DCF Model'!C19+1)+'DCF Model'!E45/(1+$B20)^('DCF Model'!C19+2)+'DCF Model'!F45/(1+$B20)^('DCF Model'!C19+3)+'DCF Model'!G45/(1+$B20)^('DCF Model'!C19+4)+('DCF Model'!G39+'DCF Model'!G42)*E$17/(1+$B20)^('DCF Model'!C19+4)-'DCF Model'!C16)*1000000/'DCF Model'!C15,0),"")</f>
        <v>2400</v>
      </c>
      <c r="F20" s="37">
        <f>IFERROR(ROUND(('DCF Model'!C45/(1+$B20)^('DCF Model'!C19+0)+'DCF Model'!D45/(1+$B20)^('DCF Model'!C19+1)+'DCF Model'!E45/(1+$B20)^('DCF Model'!C19+2)+'DCF Model'!F45/(1+$B20)^('DCF Model'!C19+3)+'DCF Model'!G45/(1+$B20)^('DCF Model'!C19+4)+('DCF Model'!G39+'DCF Model'!G42)*F$17/(1+$B20)^('DCF Model'!C19+4)-'DCF Model'!C16)*1000000/'DCF Model'!C15,0),"")</f>
        <v>2566</v>
      </c>
      <c r="G20" s="37">
        <f>IFERROR(ROUND(('DCF Model'!C45/(1+$B20)^('DCF Model'!C19+0)+'DCF Model'!D45/(1+$B20)^('DCF Model'!C19+1)+'DCF Model'!E45/(1+$B20)^('DCF Model'!C19+2)+'DCF Model'!F45/(1+$B20)^('DCF Model'!C19+3)+'DCF Model'!G45/(1+$B20)^('DCF Model'!C19+4)+('DCF Model'!G39+'DCF Model'!G42)*G$17/(1+$B20)^('DCF Model'!C19+4)-'DCF Model'!C16)*1000000/'DCF Model'!C15,0),"")</f>
        <v>2732</v>
      </c>
      <c r="H20" s="37">
        <f>IFERROR(ROUND(('DCF Model'!C45/(1+$B20)^('DCF Model'!C19+0)+'DCF Model'!D45/(1+$B20)^('DCF Model'!C19+1)+'DCF Model'!E45/(1+$B20)^('DCF Model'!C19+2)+'DCF Model'!F45/(1+$B20)^('DCF Model'!C19+3)+'DCF Model'!G45/(1+$B20)^('DCF Model'!C19+4)+('DCF Model'!G39+'DCF Model'!G42)*H$17/(1+$B20)^('DCF Model'!C19+4)-'DCF Model'!C16)*1000000/'DCF Model'!C15,0),"")</f>
        <v>2899</v>
      </c>
      <c r="I20" s="37">
        <f>IFERROR(ROUND(('DCF Model'!C45/(1+$B20)^('DCF Model'!C19+0)+'DCF Model'!D45/(1+$B20)^('DCF Model'!C19+1)+'DCF Model'!E45/(1+$B20)^('DCF Model'!C19+2)+'DCF Model'!F45/(1+$B20)^('DCF Model'!C19+3)+'DCF Model'!G45/(1+$B20)^('DCF Model'!C19+4)+('DCF Model'!G39+'DCF Model'!G42)*I$17/(1+$B20)^('DCF Model'!C19+4)-'DCF Model'!C16)*1000000/'DCF Model'!C15,0),"")</f>
        <v>3065</v>
      </c>
    </row>
    <row r="21" spans="2:9" ht="13.5" x14ac:dyDescent="0.25">
      <c r="B21" s="39">
        <f>$C$3</f>
        <v>0.14399451456771378</v>
      </c>
      <c r="C21" s="37">
        <f>IFERROR(ROUND(('DCF Model'!C45/(1+$B21)^('DCF Model'!C19+0)+'DCF Model'!D45/(1+$B21)^('DCF Model'!C19+1)+'DCF Model'!E45/(1+$B21)^('DCF Model'!C19+2)+'DCF Model'!F45/(1+$B21)^('DCF Model'!C19+3)+'DCF Model'!G45/(1+$B21)^('DCF Model'!C19+4)+('DCF Model'!G39+'DCF Model'!G42)*C$17/(1+$B21)^('DCF Model'!C19+4)-'DCF Model'!C16)*1000000/'DCF Model'!C15,0),"")</f>
        <v>2020</v>
      </c>
      <c r="D21" s="37">
        <f>IFERROR(ROUND(('DCF Model'!C45/(1+$B21)^('DCF Model'!C19+0)+'DCF Model'!D45/(1+$B21)^('DCF Model'!C19+1)+'DCF Model'!E45/(1+$B21)^('DCF Model'!C19+2)+'DCF Model'!F45/(1+$B21)^('DCF Model'!C19+3)+'DCF Model'!G45/(1+$B21)^('DCF Model'!C19+4)+('DCF Model'!G39+'DCF Model'!G42)*D$17/(1+$B21)^('DCF Model'!C19+4)-'DCF Model'!C16)*1000000/'DCF Model'!C15,0),"")</f>
        <v>2183</v>
      </c>
      <c r="E21" s="37">
        <f>IFERROR(ROUND(('DCF Model'!C45/(1+$B21)^('DCF Model'!C19+0)+'DCF Model'!D45/(1+$B21)^('DCF Model'!C19+1)+'DCF Model'!E45/(1+$B21)^('DCF Model'!C19+2)+'DCF Model'!F45/(1+$B21)^('DCF Model'!C19+3)+'DCF Model'!G45/(1+$B21)^('DCF Model'!C19+4)+('DCF Model'!G39+'DCF Model'!G42)*E$17/(1+$B21)^('DCF Model'!C19+4)-'DCF Model'!C16)*1000000/'DCF Model'!C15,0),"")</f>
        <v>2345</v>
      </c>
      <c r="F21" s="37">
        <f>IFERROR(ROUND(('DCF Model'!C45/(1+$B21)^('DCF Model'!C19+0)+'DCF Model'!D45/(1+$B21)^('DCF Model'!C19+1)+'DCF Model'!E45/(1+$B21)^('DCF Model'!C19+2)+'DCF Model'!F45/(1+$B21)^('DCF Model'!C19+3)+'DCF Model'!G45/(1+$B21)^('DCF Model'!C19+4)+('DCF Model'!G39+'DCF Model'!G42)*F$17/(1+$B21)^('DCF Model'!C19+4)-'DCF Model'!C16)*1000000/'DCF Model'!C15,0),"")</f>
        <v>2508</v>
      </c>
      <c r="G21" s="37">
        <f>IFERROR(ROUND(('DCF Model'!C45/(1+$B21)^('DCF Model'!C19+0)+'DCF Model'!D45/(1+$B21)^('DCF Model'!C19+1)+'DCF Model'!E45/(1+$B21)^('DCF Model'!C19+2)+'DCF Model'!F45/(1+$B21)^('DCF Model'!C19+3)+'DCF Model'!G45/(1+$B21)^('DCF Model'!C19+4)+('DCF Model'!G39+'DCF Model'!G42)*G$17/(1+$B21)^('DCF Model'!C19+4)-'DCF Model'!C16)*1000000/'DCF Model'!C15,0),"")</f>
        <v>2671</v>
      </c>
      <c r="H21" s="37">
        <f>IFERROR(ROUND(('DCF Model'!C45/(1+$B21)^('DCF Model'!C19+0)+'DCF Model'!D45/(1+$B21)^('DCF Model'!C19+1)+'DCF Model'!E45/(1+$B21)^('DCF Model'!C19+2)+'DCF Model'!F45/(1+$B21)^('DCF Model'!C19+3)+'DCF Model'!G45/(1+$B21)^('DCF Model'!C19+4)+('DCF Model'!G39+'DCF Model'!G42)*H$17/(1+$B21)^('DCF Model'!C19+4)-'DCF Model'!C16)*1000000/'DCF Model'!C15,0),"")</f>
        <v>2833</v>
      </c>
      <c r="I21" s="37">
        <f>IFERROR(ROUND(('DCF Model'!C45/(1+$B21)^('DCF Model'!C19+0)+'DCF Model'!D45/(1+$B21)^('DCF Model'!C19+1)+'DCF Model'!E45/(1+$B21)^('DCF Model'!C19+2)+'DCF Model'!F45/(1+$B21)^('DCF Model'!C19+3)+'DCF Model'!G45/(1+$B21)^('DCF Model'!C19+4)+('DCF Model'!G39+'DCF Model'!G42)*I$17/(1+$B21)^('DCF Model'!C19+4)-'DCF Model'!C16)*1000000/'DCF Model'!C15,0),"")</f>
        <v>2996</v>
      </c>
    </row>
    <row r="22" spans="2:9" ht="13.5" x14ac:dyDescent="0.25">
      <c r="B22" s="39">
        <f>$C$3+0.005</f>
        <v>0.14899451456771379</v>
      </c>
      <c r="C22" s="37">
        <f>IFERROR(ROUND(('DCF Model'!C45/(1+$B22)^('DCF Model'!C19+0)+'DCF Model'!D45/(1+$B22)^('DCF Model'!C19+1)+'DCF Model'!E45/(1+$B22)^('DCF Model'!C19+2)+'DCF Model'!F45/(1+$B22)^('DCF Model'!C19+3)+'DCF Model'!G45/(1+$B22)^('DCF Model'!C19+4)+('DCF Model'!G39+'DCF Model'!G42)*C$17/(1+$B22)^('DCF Model'!C19+4)-'DCF Model'!C16)*1000000/'DCF Model'!C15,0),"")</f>
        <v>1974</v>
      </c>
      <c r="D22" s="37">
        <f>IFERROR(ROUND(('DCF Model'!C45/(1+$B22)^('DCF Model'!C19+0)+'DCF Model'!D45/(1+$B22)^('DCF Model'!C19+1)+'DCF Model'!E45/(1+$B22)^('DCF Model'!C19+2)+'DCF Model'!F45/(1+$B22)^('DCF Model'!C19+3)+'DCF Model'!G45/(1+$B22)^('DCF Model'!C19+4)+('DCF Model'!G39+'DCF Model'!G42)*D$17/(1+$B22)^('DCF Model'!C19+4)-'DCF Model'!C16)*1000000/'DCF Model'!C15,0),"")</f>
        <v>2133</v>
      </c>
      <c r="E22" s="37">
        <f>IFERROR(ROUND(('DCF Model'!C45/(1+$B22)^('DCF Model'!C19+0)+'DCF Model'!D45/(1+$B22)^('DCF Model'!C19+1)+'DCF Model'!E45/(1+$B22)^('DCF Model'!C19+2)+'DCF Model'!F45/(1+$B22)^('DCF Model'!C19+3)+'DCF Model'!G45/(1+$B22)^('DCF Model'!C19+4)+('DCF Model'!G39+'DCF Model'!G42)*E$17/(1+$B22)^('DCF Model'!C19+4)-'DCF Model'!C16)*1000000/'DCF Model'!C15,0),"")</f>
        <v>2292</v>
      </c>
      <c r="F22" s="37">
        <f>IFERROR(ROUND(('DCF Model'!C45/(1+$B22)^('DCF Model'!C19+0)+'DCF Model'!D45/(1+$B22)^('DCF Model'!C19+1)+'DCF Model'!E45/(1+$B22)^('DCF Model'!C19+2)+'DCF Model'!F45/(1+$B22)^('DCF Model'!C19+3)+'DCF Model'!G45/(1+$B22)^('DCF Model'!C19+4)+('DCF Model'!G39+'DCF Model'!G42)*F$17/(1+$B22)^('DCF Model'!C19+4)-'DCF Model'!C16)*1000000/'DCF Model'!C15,0),"")</f>
        <v>2451</v>
      </c>
      <c r="G22" s="37">
        <f>IFERROR(ROUND(('DCF Model'!C45/(1+$B22)^('DCF Model'!C19+0)+'DCF Model'!D45/(1+$B22)^('DCF Model'!C19+1)+'DCF Model'!E45/(1+$B22)^('DCF Model'!C19+2)+'DCF Model'!F45/(1+$B22)^('DCF Model'!C19+3)+'DCF Model'!G45/(1+$B22)^('DCF Model'!C19+4)+('DCF Model'!G39+'DCF Model'!G42)*G$17/(1+$B22)^('DCF Model'!C19+4)-'DCF Model'!C16)*1000000/'DCF Model'!C15,0),"")</f>
        <v>2611</v>
      </c>
      <c r="H22" s="37">
        <f>IFERROR(ROUND(('DCF Model'!C45/(1+$B22)^('DCF Model'!C19+0)+'DCF Model'!D45/(1+$B22)^('DCF Model'!C19+1)+'DCF Model'!E45/(1+$B22)^('DCF Model'!C19+2)+'DCF Model'!F45/(1+$B22)^('DCF Model'!C19+3)+'DCF Model'!G45/(1+$B22)^('DCF Model'!C19+4)+('DCF Model'!G39+'DCF Model'!G42)*H$17/(1+$B22)^('DCF Model'!C19+4)-'DCF Model'!C16)*1000000/'DCF Model'!C15,0),"")</f>
        <v>2770</v>
      </c>
      <c r="I22" s="37">
        <f>IFERROR(ROUND(('DCF Model'!C45/(1+$B22)^('DCF Model'!C19+0)+'DCF Model'!D45/(1+$B22)^('DCF Model'!C19+1)+'DCF Model'!E45/(1+$B22)^('DCF Model'!C19+2)+'DCF Model'!F45/(1+$B22)^('DCF Model'!C19+3)+'DCF Model'!G45/(1+$B22)^('DCF Model'!C19+4)+('DCF Model'!G39+'DCF Model'!G42)*I$17/(1+$B22)^('DCF Model'!C19+4)-'DCF Model'!C16)*1000000/'DCF Model'!C15,0),"")</f>
        <v>2929</v>
      </c>
    </row>
    <row r="23" spans="2:9" ht="13.5" x14ac:dyDescent="0.25">
      <c r="B23" s="39">
        <f>$C$3+0.01</f>
        <v>0.15399451456771379</v>
      </c>
      <c r="C23" s="37">
        <f>IFERROR(ROUND(('DCF Model'!C45/(1+$B23)^('DCF Model'!C19+0)+'DCF Model'!D45/(1+$B23)^('DCF Model'!C19+1)+'DCF Model'!E45/(1+$B23)^('DCF Model'!C19+2)+'DCF Model'!F45/(1+$B23)^('DCF Model'!C19+3)+'DCF Model'!G45/(1+$B23)^('DCF Model'!C19+4)+('DCF Model'!G39+'DCF Model'!G42)*C$17/(1+$B23)^('DCF Model'!C19+4)-'DCF Model'!C16)*1000000/'DCF Model'!C15,0),"")</f>
        <v>1929</v>
      </c>
      <c r="D23" s="37">
        <f>IFERROR(ROUND(('DCF Model'!C45/(1+$B23)^('DCF Model'!C19+0)+'DCF Model'!D45/(1+$B23)^('DCF Model'!C19+1)+'DCF Model'!E45/(1+$B23)^('DCF Model'!C19+2)+'DCF Model'!F45/(1+$B23)^('DCF Model'!C19+3)+'DCF Model'!G45/(1+$B23)^('DCF Model'!C19+4)+('DCF Model'!G39+'DCF Model'!G42)*D$17/(1+$B23)^('DCF Model'!C19+4)-'DCF Model'!C16)*1000000/'DCF Model'!C15,0),"")</f>
        <v>2085</v>
      </c>
      <c r="E23" s="37">
        <f>IFERROR(ROUND(('DCF Model'!C45/(1+$B23)^('DCF Model'!C19+0)+'DCF Model'!D45/(1+$B23)^('DCF Model'!C19+1)+'DCF Model'!E45/(1+$B23)^('DCF Model'!C19+2)+'DCF Model'!F45/(1+$B23)^('DCF Model'!C19+3)+'DCF Model'!G45/(1+$B23)^('DCF Model'!C19+4)+('DCF Model'!G39+'DCF Model'!G42)*E$17/(1+$B23)^('DCF Model'!C19+4)-'DCF Model'!C16)*1000000/'DCF Model'!C15,0),"")</f>
        <v>2241</v>
      </c>
      <c r="F23" s="37">
        <f>IFERROR(ROUND(('DCF Model'!C45/(1+$B23)^('DCF Model'!C19+0)+'DCF Model'!D45/(1+$B23)^('DCF Model'!C19+1)+'DCF Model'!E45/(1+$B23)^('DCF Model'!C19+2)+'DCF Model'!F45/(1+$B23)^('DCF Model'!C19+3)+'DCF Model'!G45/(1+$B23)^('DCF Model'!C19+4)+('DCF Model'!G39+'DCF Model'!G42)*F$17/(1+$B23)^('DCF Model'!C19+4)-'DCF Model'!C16)*1000000/'DCF Model'!C15,0),"")</f>
        <v>2396</v>
      </c>
      <c r="G23" s="37">
        <f>IFERROR(ROUND(('DCF Model'!C45/(1+$B23)^('DCF Model'!C19+0)+'DCF Model'!D45/(1+$B23)^('DCF Model'!C19+1)+'DCF Model'!E45/(1+$B23)^('DCF Model'!C19+2)+'DCF Model'!F45/(1+$B23)^('DCF Model'!C19+3)+'DCF Model'!G45/(1+$B23)^('DCF Model'!C19+4)+('DCF Model'!G39+'DCF Model'!G42)*G$17/(1+$B23)^('DCF Model'!C19+4)-'DCF Model'!C16)*1000000/'DCF Model'!C15,0),"")</f>
        <v>2552</v>
      </c>
      <c r="H23" s="37">
        <f>IFERROR(ROUND(('DCF Model'!C45/(1+$B23)^('DCF Model'!C19+0)+'DCF Model'!D45/(1+$B23)^('DCF Model'!C19+1)+'DCF Model'!E45/(1+$B23)^('DCF Model'!C19+2)+'DCF Model'!F45/(1+$B23)^('DCF Model'!C19+3)+'DCF Model'!G45/(1+$B23)^('DCF Model'!C19+4)+('DCF Model'!G39+'DCF Model'!G42)*H$17/(1+$B23)^('DCF Model'!C19+4)-'DCF Model'!C16)*1000000/'DCF Model'!C15,0),"")</f>
        <v>2708</v>
      </c>
      <c r="I23" s="37">
        <f>IFERROR(ROUND(('DCF Model'!C45/(1+$B23)^('DCF Model'!C19+0)+'DCF Model'!D45/(1+$B23)^('DCF Model'!C19+1)+'DCF Model'!E45/(1+$B23)^('DCF Model'!C19+2)+'DCF Model'!F45/(1+$B23)^('DCF Model'!C19+3)+'DCF Model'!G45/(1+$B23)^('DCF Model'!C19+4)+('DCF Model'!G39+'DCF Model'!G42)*I$17/(1+$B23)^('DCF Model'!C19+4)-'DCF Model'!C16)*1000000/'DCF Model'!C15,0),"")</f>
        <v>2864</v>
      </c>
    </row>
    <row r="24" spans="2:9" ht="13.5" x14ac:dyDescent="0.25">
      <c r="B24" s="39">
        <f>$C$3+0.015</f>
        <v>0.1589945145677138</v>
      </c>
      <c r="C24" s="37">
        <f>IFERROR(ROUND(('DCF Model'!C45/(1+$B24)^('DCF Model'!C19+0)+'DCF Model'!D45/(1+$B24)^('DCF Model'!C19+1)+'DCF Model'!E45/(1+$B24)^('DCF Model'!C19+2)+'DCF Model'!F45/(1+$B24)^('DCF Model'!C19+3)+'DCF Model'!G45/(1+$B24)^('DCF Model'!C19+4)+('DCF Model'!G39+'DCF Model'!G42)*C$17/(1+$B24)^('DCF Model'!C19+4)-'DCF Model'!C16)*1000000/'DCF Model'!C15,0),"")</f>
        <v>1885</v>
      </c>
      <c r="D24" s="37">
        <f>IFERROR(ROUND(('DCF Model'!C45/(1+$B24)^('DCF Model'!C19+0)+'DCF Model'!D45/(1+$B24)^('DCF Model'!C19+1)+'DCF Model'!E45/(1+$B24)^('DCF Model'!C19+2)+'DCF Model'!F45/(1+$B24)^('DCF Model'!C19+3)+'DCF Model'!G45/(1+$B24)^('DCF Model'!C19+4)+('DCF Model'!G39+'DCF Model'!G42)*D$17/(1+$B24)^('DCF Model'!C19+4)-'DCF Model'!C16)*1000000/'DCF Model'!C15,0),"")</f>
        <v>2038</v>
      </c>
      <c r="E24" s="37">
        <f>IFERROR(ROUND(('DCF Model'!C45/(1+$B24)^('DCF Model'!C19+0)+'DCF Model'!D45/(1+$B24)^('DCF Model'!C19+1)+'DCF Model'!E45/(1+$B24)^('DCF Model'!C19+2)+'DCF Model'!F45/(1+$B24)^('DCF Model'!C19+3)+'DCF Model'!G45/(1+$B24)^('DCF Model'!C19+4)+('DCF Model'!G39+'DCF Model'!G42)*E$17/(1+$B24)^('DCF Model'!C19+4)-'DCF Model'!C16)*1000000/'DCF Model'!C15,0),"")</f>
        <v>2190</v>
      </c>
      <c r="F24" s="37">
        <f>IFERROR(ROUND(('DCF Model'!C45/(1+$B24)^('DCF Model'!C19+0)+'DCF Model'!D45/(1+$B24)^('DCF Model'!C19+1)+'DCF Model'!E45/(1+$B24)^('DCF Model'!C19+2)+'DCF Model'!F45/(1+$B24)^('DCF Model'!C19+3)+'DCF Model'!G45/(1+$B24)^('DCF Model'!C19+4)+('DCF Model'!G39+'DCF Model'!G42)*F$17/(1+$B24)^('DCF Model'!C19+4)-'DCF Model'!C16)*1000000/'DCF Model'!C15,0),"")</f>
        <v>2342</v>
      </c>
      <c r="G24" s="37">
        <f>IFERROR(ROUND(('DCF Model'!C45/(1+$B24)^('DCF Model'!C19+0)+'DCF Model'!D45/(1+$B24)^('DCF Model'!C19+1)+'DCF Model'!E45/(1+$B24)^('DCF Model'!C19+2)+'DCF Model'!F45/(1+$B24)^('DCF Model'!C19+3)+'DCF Model'!G45/(1+$B24)^('DCF Model'!C19+4)+('DCF Model'!G39+'DCF Model'!G42)*G$17/(1+$B24)^('DCF Model'!C19+4)-'DCF Model'!C16)*1000000/'DCF Model'!C15,0),"")</f>
        <v>2495</v>
      </c>
      <c r="H24" s="37">
        <f>IFERROR(ROUND(('DCF Model'!C45/(1+$B24)^('DCF Model'!C19+0)+'DCF Model'!D45/(1+$B24)^('DCF Model'!C19+1)+'DCF Model'!E45/(1+$B24)^('DCF Model'!C19+2)+'DCF Model'!F45/(1+$B24)^('DCF Model'!C19+3)+'DCF Model'!G45/(1+$B24)^('DCF Model'!C19+4)+('DCF Model'!G39+'DCF Model'!G42)*H$17/(1+$B24)^('DCF Model'!C19+4)-'DCF Model'!C16)*1000000/'DCF Model'!C15,0),"")</f>
        <v>2647</v>
      </c>
      <c r="I24" s="37">
        <f>IFERROR(ROUND(('DCF Model'!C45/(1+$B24)^('DCF Model'!C19+0)+'DCF Model'!D45/(1+$B24)^('DCF Model'!C19+1)+'DCF Model'!E45/(1+$B24)^('DCF Model'!C19+2)+'DCF Model'!F45/(1+$B24)^('DCF Model'!C19+3)+'DCF Model'!G45/(1+$B24)^('DCF Model'!C19+4)+('DCF Model'!G39+'DCF Model'!G42)*I$17/(1+$B24)^('DCF Model'!C19+4)-'DCF Model'!C16)*1000000/'DCF Model'!C15,0),"")</f>
        <v>2800</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289</v>
      </c>
    </row>
    <row r="54" spans="2:3" ht="14" x14ac:dyDescent="0.3">
      <c r="B54" s="4" t="s">
        <v>339</v>
      </c>
      <c r="C54" t="s">
        <v>340</v>
      </c>
    </row>
    <row r="55" spans="2:3" ht="14" x14ac:dyDescent="0.3">
      <c r="B55" s="4" t="s">
        <v>341</v>
      </c>
      <c r="C55" t="s">
        <v>342</v>
      </c>
    </row>
    <row r="56" spans="2:3" ht="14" x14ac:dyDescent="0.3">
      <c r="B56" s="4" t="s">
        <v>343</v>
      </c>
      <c r="C56" t="s">
        <v>344</v>
      </c>
    </row>
    <row r="57" spans="2:3" ht="14" x14ac:dyDescent="0.3">
      <c r="B57" s="4" t="s">
        <v>345</v>
      </c>
      <c r="C57" t="s">
        <v>346</v>
      </c>
    </row>
    <row r="58" spans="2:3" ht="14" x14ac:dyDescent="0.3">
      <c r="B58" s="4" t="s">
        <v>347</v>
      </c>
      <c r="C58" t="s">
        <v>289</v>
      </c>
    </row>
    <row r="59" spans="2:3" ht="14" x14ac:dyDescent="0.3">
      <c r="B59" s="4" t="s">
        <v>348</v>
      </c>
      <c r="C59" t="s">
        <v>349</v>
      </c>
    </row>
    <row r="60" spans="2:3" ht="14" x14ac:dyDescent="0.3">
      <c r="B60" s="4" t="s">
        <v>350</v>
      </c>
      <c r="C60" t="s">
        <v>351</v>
      </c>
    </row>
    <row r="61" spans="2:3" ht="14" x14ac:dyDescent="0.3">
      <c r="B61" s="4" t="s">
        <v>352</v>
      </c>
      <c r="C61" t="s">
        <v>353</v>
      </c>
    </row>
    <row r="62" spans="2:3" ht="14" x14ac:dyDescent="0.3">
      <c r="B62" s="4" t="s">
        <v>354</v>
      </c>
      <c r="C62" t="s">
        <v>355</v>
      </c>
    </row>
    <row r="63" spans="2:3" ht="14" x14ac:dyDescent="0.3">
      <c r="B63" s="4" t="s">
        <v>356</v>
      </c>
      <c r="C63" t="s">
        <v>357</v>
      </c>
    </row>
    <row r="64" spans="2:3" ht="14" x14ac:dyDescent="0.3">
      <c r="B64" s="4" t="s">
        <v>358</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2026-09-06T10:17:21Z</dcterms:created>
  <dcterms:modified xsi:type="dcterms:W3CDTF">2026-09-06T10:17:25Z</dcterms:modified>
</cp:coreProperties>
</file>