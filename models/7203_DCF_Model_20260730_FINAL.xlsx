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xecutive Summary" sheetId="1" state="visible" r:id="rId3"/>
    <sheet name="Financial Statements" sheetId="2" state="visible" r:id="rId4"/>
    <sheet name="DCF Model" sheetId="3" state="visible" r:id="rId5"/>
    <sheet name="NWC Schedule" sheetId="4" state="visible" r:id="rId6"/>
    <sheet name="Comps Analysis" sheetId="5" state="visible" r:id="rId7"/>
    <sheet name="Sensitivity Analysis" sheetId="6" state="visible" r:id="rId8"/>
    <sheet name="Adjustments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<sst xmlns="http://schemas.openxmlformats.org/spreadsheetml/2006/main" count="296" uniqueCount="238">
  <si>
    <t xml:space="preserve">DISCLAIMER: This is a sample analysis for demonstration purposes only. It does not constitute investment advice.</t>
  </si>
  <si>
    <r>
      <rPr>
        <b val="true"/>
        <sz val="14"/>
        <rFont val="Noto Sans CJK SC"/>
        <family val="2"/>
      </rPr>
      <t xml:space="preserve">トヨタ自動車株式会社 </t>
    </r>
    <r>
      <rPr>
        <b val="true"/>
        <sz val="14"/>
        <rFont val="Arial"/>
        <family val="0"/>
        <charset val="1"/>
      </rPr>
      <t xml:space="preserve">(7203.T)</t>
    </r>
  </si>
  <si>
    <t xml:space="preserve">Equity Research Report</t>
  </si>
  <si>
    <t xml:space="preserve">Company</t>
  </si>
  <si>
    <t xml:space="preserve">トヨタ自動車株式会社</t>
  </si>
  <si>
    <t xml:space="preserve">Ticker</t>
  </si>
  <si>
    <t xml:space="preserve">7203.T (TSE)</t>
  </si>
  <si>
    <t xml:space="preserve">Sector</t>
  </si>
  <si>
    <t xml:space="preserve">Automotive (ex-captive finance)</t>
  </si>
  <si>
    <t xml:space="preserve">Current Price</t>
  </si>
  <si>
    <t xml:space="preserve">Target Price (Mid)</t>
  </si>
  <si>
    <t xml:space="preserve">Recommendation</t>
  </si>
  <si>
    <t xml:space="preserve">Upside / Downside</t>
  </si>
  <si>
    <t xml:space="preserve">Valuation Summary</t>
  </si>
  <si>
    <t xml:space="preserve">Methodology</t>
  </si>
  <si>
    <t xml:space="preserve">Implied Value (JPY)</t>
  </si>
  <si>
    <t xml:space="preserve">vs Current Price</t>
  </si>
  <si>
    <t xml:space="preserve">DCF - Perpetuity Growth</t>
  </si>
  <si>
    <t xml:space="preserve">DCF - Exit Multiple</t>
  </si>
  <si>
    <t xml:space="preserve">Comps - EV/EBITDA Median</t>
  </si>
  <si>
    <t xml:space="preserve">Comps - PER Median</t>
  </si>
  <si>
    <t xml:space="preserve">Integrated Valuation Range</t>
  </si>
  <si>
    <t xml:space="preserve">Key Investment Thesis</t>
  </si>
  <si>
    <t xml:space="preserve">1. The reported earnings decline is entirely automotive, and the market may be mispricing the recovery path. Automotive operating margin fell from 9.68% (FY2024/3) to 4.42% (FY2026/3) while the captive finance arm grew from 24.7% to 46.2% of consolidated operating profit. Stripping finance out reveals an industrial business near a cyclical trough, not a structurally broken one.</t>
  </si>
  <si>
    <t xml:space="preserve">2. Fortress balance sheet with unrecognised asset value. Automotive net cash of roughly 9,800,000 plus equity-method investments at 5,342,548 book value and other financial assets of 15,118,244 sit outside the DCF. Combined, the non-operating assets not captured in automotive FCF exceed 20,000,000, or more than 1,500 per share against a 3,152 price.</t>
  </si>
  <si>
    <t xml:space="preserve">3. Hybrid franchise is the cash engine funding the transition. Toyota is monetising HEV demand at a time when pure-BEV competitors are diluting margins, giving it a self-funded path through the electrification capex cycle without external financing.</t>
  </si>
  <si>
    <t xml:space="preserve">Key Risks</t>
  </si>
  <si>
    <t xml:space="preserve">1. Tariff and cost persistence. The 526,000 swing in automotive operating profit between FY2025/3 and FY2026/3 shows how little margin cushion exists. If US tariff costs prove permanent rather than transitional, the Downside 1 path of 3-4% automotive margin becomes the base case.</t>
  </si>
  <si>
    <t xml:space="preserve">2. Chinese competition and BEV transition risk. Chinese OEMs are expanding into ASEAN and Europe where Toyota holds dominant share. Automotive capex of 2,526,996 against D&amp;A of roughly 1,472,087 means the investment burden continues regardless of demand, compressing free cash flow.</t>
  </si>
  <si>
    <t xml:space="preserve">3. Valuation depends heavily on segment allocation assumptions. Automotive D&amp;A is estimated at 61.5% of consolidated D&amp;A, and automotive net cash is derived rather than disclosed at this granularity. A 10-point shift in the D&amp;A split moves automotive EBITDA by roughly 240,000, or 0.4x on the exit multiple.</t>
  </si>
  <si>
    <r>
      <rPr>
        <b val="true"/>
        <sz val="14"/>
        <rFont val="Noto Sans CJK SC"/>
        <family val="2"/>
      </rPr>
      <t xml:space="preserve">トヨタ自動車株式会社 </t>
    </r>
    <r>
      <rPr>
        <b val="true"/>
        <sz val="14"/>
        <rFont val="Arial"/>
        <family val="0"/>
        <charset val="1"/>
      </rPr>
      <t xml:space="preserve">- Historical Financials (JPY mn)</t>
    </r>
  </si>
  <si>
    <t xml:space="preserve">FY2023/3</t>
  </si>
  <si>
    <t xml:space="preserve">FY2024/3</t>
  </si>
  <si>
    <t xml:space="preserve">FY2025/3</t>
  </si>
  <si>
    <t xml:space="preserve">FY2026/3</t>
  </si>
  <si>
    <t xml:space="preserve">Income Statement</t>
  </si>
  <si>
    <t xml:space="preserve">Revenue</t>
  </si>
  <si>
    <t xml:space="preserve">COGS</t>
  </si>
  <si>
    <t xml:space="preserve">Gross Profit</t>
  </si>
  <si>
    <t xml:space="preserve">Gross Margin</t>
  </si>
  <si>
    <t xml:space="preserve">SGA</t>
  </si>
  <si>
    <t xml:space="preserve">Operating Income</t>
  </si>
  <si>
    <t xml:space="preserve">Net Income</t>
  </si>
  <si>
    <t xml:space="preserve">Operating Margin</t>
  </si>
  <si>
    <t xml:space="preserve">Net Margin</t>
  </si>
  <si>
    <t xml:space="preserve">Revenue Growth (YoY)</t>
  </si>
  <si>
    <t xml:space="preserve">n/a</t>
  </si>
  <si>
    <t xml:space="preserve">Operating Income Growth (YoY)</t>
  </si>
  <si>
    <t xml:space="preserve">Cash Flow Statement</t>
  </si>
  <si>
    <t xml:space="preserve">Operating Cash Flow (consol.)</t>
  </si>
  <si>
    <t xml:space="preserve">Capex (automotive only)</t>
  </si>
  <si>
    <t xml:space="preserve">Free Cash Flow (mixed basis)</t>
  </si>
  <si>
    <t xml:space="preserve">FCF Margin (mixed basis)</t>
  </si>
  <si>
    <t xml:space="preserve">Capex / Revenue (auto)</t>
  </si>
  <si>
    <t xml:space="preserve">Balance Sheet Highlights</t>
  </si>
  <si>
    <t xml:space="preserve">Cash &amp; Equivalents (consol.)</t>
  </si>
  <si>
    <t xml:space="preserve">Total Interest-Bearing Debt (consol.)</t>
  </si>
  <si>
    <t xml:space="preserve">Net Debt (consol., incl. finance)</t>
  </si>
  <si>
    <r>
      <rPr>
        <i val="true"/>
        <sz val="8"/>
        <rFont val="Arial"/>
        <family val="0"/>
        <charset val="1"/>
      </rPr>
      <t xml:space="preserve">Source: </t>
    </r>
    <r>
      <rPr>
        <i val="true"/>
        <sz val="8"/>
        <rFont val="Noto Sans CJK SC"/>
        <family val="2"/>
      </rPr>
      <t xml:space="preserve">決算短信 </t>
    </r>
    <r>
      <rPr>
        <i val="true"/>
        <sz val="8"/>
        <rFont val="Arial"/>
        <family val="0"/>
        <charset val="1"/>
      </rPr>
      <t xml:space="preserve">FY2024/3 and FY2026/3 (</t>
    </r>
    <r>
      <rPr>
        <i val="true"/>
        <sz val="8"/>
        <rFont val="Noto Sans CJK SC"/>
        <family val="2"/>
      </rPr>
      <t xml:space="preserve">連結キャッシュ・フロー計算書 </t>
    </r>
    <r>
      <rPr>
        <i val="true"/>
        <sz val="8"/>
        <rFont val="Arial"/>
        <family val="0"/>
        <charset val="1"/>
      </rPr>
      <t xml:space="preserve">/ </t>
    </r>
    <r>
      <rPr>
        <i val="true"/>
        <sz val="8"/>
        <rFont val="Noto Sans CJK SC"/>
        <family val="2"/>
      </rPr>
      <t xml:space="preserve">連結財政状態計算書</t>
    </r>
    <r>
      <rPr>
        <i val="true"/>
        <sz val="8"/>
        <rFont val="Arial"/>
        <family val="0"/>
        <charset val="1"/>
      </rPr>
      <t xml:space="preserve">). Operating Cash Flow, Cash &amp; Equivalents and Total Interest-Bearing Debt (</t>
    </r>
    <r>
      <rPr>
        <i val="true"/>
        <sz val="8"/>
        <rFont val="Noto Sans CJK SC"/>
        <family val="2"/>
      </rPr>
      <t xml:space="preserve">有利子負債</t>
    </r>
    <r>
      <rPr>
        <i val="true"/>
        <sz val="8"/>
        <rFont val="Arial"/>
        <family val="0"/>
        <charset val="1"/>
      </rPr>
      <t xml:space="preserve">, current + non-current) are CONSOLIDATED and therefore INCLUDE Toyota Financial Services.</t>
    </r>
  </si>
  <si>
    <r>
      <rPr>
        <i val="true"/>
        <sz val="8"/>
        <rFont val="Arial"/>
        <family val="0"/>
        <charset val="1"/>
      </rPr>
      <t xml:space="preserve">Income Statement rows above are AUTOMOTIVE ONLY: Revenue = </t>
    </r>
    <r>
      <rPr>
        <i val="true"/>
        <sz val="8"/>
        <rFont val="Noto Sans CJK SC"/>
        <family val="2"/>
      </rPr>
      <t xml:space="preserve">商品・製品売上収益</t>
    </r>
    <r>
      <rPr>
        <i val="true"/>
        <sz val="8"/>
        <rFont val="Arial"/>
        <family val="0"/>
        <charset val="1"/>
      </rPr>
      <t xml:space="preserve">, COGS = </t>
    </r>
    <r>
      <rPr>
        <i val="true"/>
        <sz val="8"/>
        <rFont val="Noto Sans CJK SC"/>
        <family val="2"/>
      </rPr>
      <t xml:space="preserve">売上原価</t>
    </r>
    <r>
      <rPr>
        <i val="true"/>
        <sz val="8"/>
        <rFont val="Arial"/>
        <family val="0"/>
        <charset val="1"/>
      </rPr>
      <t xml:space="preserve">, SGA = </t>
    </r>
    <r>
      <rPr>
        <i val="true"/>
        <sz val="8"/>
        <rFont val="Noto Sans CJK SC"/>
        <family val="2"/>
      </rPr>
      <t xml:space="preserve">販売費及び一般管理費</t>
    </r>
    <r>
      <rPr>
        <i val="true"/>
        <sz val="8"/>
        <rFont val="Arial"/>
        <family val="0"/>
        <charset val="1"/>
      </rPr>
      <t xml:space="preserve">, Operating Income = Revenue - COGS - SGA. Finance-segment revenue (4,819,003 in FY2026/3) and finance costs (3,079,794) are excluded.</t>
    </r>
  </si>
  <si>
    <r>
      <rPr>
        <i val="true"/>
        <sz val="8"/>
        <rFont val="Arial"/>
        <family val="0"/>
        <charset val="1"/>
      </rPr>
      <t xml:space="preserve">WARNING - rows 21/22 mix bases: consolidated Operating Cash Flow less automotive-only capex. They overstate automotive free cash flow because consolidated OCF contains finance-segment earnings. Reference only; do not quote. Consolidated capex including </t>
    </r>
    <r>
      <rPr>
        <i val="true"/>
        <sz val="8"/>
        <rFont val="Noto Sans CJK SC"/>
        <family val="2"/>
      </rPr>
      <t xml:space="preserve">賃貸資産の購入 </t>
    </r>
    <r>
      <rPr>
        <i val="true"/>
        <sz val="8"/>
        <rFont val="Arial"/>
        <family val="0"/>
        <charset val="1"/>
      </rPr>
      <t xml:space="preserve">was 5,293,348 in FY2026/3, which would put consolidated FCF at +179,572.</t>
    </r>
  </si>
  <si>
    <t xml:space="preserve">Row 28 Net Debt is CONSOLIDATED (30,545,847 at 2026/3/31) and is INTENTIONALLY DIFFERENT from 'DCF Model'!C16 = -9,800,000, which is AUTOMOTIVE net cash. The consolidated figure carries ~39,000,000 of debt funding the finance receivables book. This is not an inconsistency - the DCF deliberately values the industrial business only.</t>
  </si>
  <si>
    <r>
      <rPr>
        <b val="true"/>
        <sz val="14"/>
        <rFont val="Arial"/>
        <family val="0"/>
        <charset val="1"/>
      </rPr>
      <t xml:space="preserve">DCF Valuation Model - </t>
    </r>
    <r>
      <rPr>
        <b val="true"/>
        <sz val="14"/>
        <rFont val="Noto Sans CJK SC"/>
        <family val="2"/>
      </rPr>
      <t xml:space="preserve">トヨタ自動車株式会社</t>
    </r>
  </si>
  <si>
    <t xml:space="preserve">Assumptions</t>
  </si>
  <si>
    <t xml:space="preserve">Capex / Revenue</t>
  </si>
  <si>
    <t xml:space="preserve">Effective Tax Rate</t>
  </si>
  <si>
    <t xml:space="preserve">Risk-Free Rate</t>
  </si>
  <si>
    <t xml:space="preserve">Beta</t>
  </si>
  <si>
    <t xml:space="preserve">Equity Risk Premium</t>
  </si>
  <si>
    <t xml:space="preserve">Size Premium</t>
  </si>
  <si>
    <t xml:space="preserve">After-tax Cost of Debt</t>
  </si>
  <si>
    <t xml:space="preserve">D/E Ratio</t>
  </si>
  <si>
    <t xml:space="preserve">Terminal Growth Rate</t>
  </si>
  <si>
    <t xml:space="preserve">Exit Multiple (EV/EBITDA)</t>
  </si>
  <si>
    <t xml:space="preserve">Fully Diluted Shares</t>
  </si>
  <si>
    <t xml:space="preserve">Net Debt (JPY mn)</t>
  </si>
  <si>
    <t xml:space="preserve">Base Year Revenue (JPY mn)</t>
  </si>
  <si>
    <t xml:space="preserve">D&amp;A / Revenue</t>
  </si>
  <si>
    <t xml:space="preserve">Stub Fraction (yr remaining)</t>
  </si>
  <si>
    <t xml:space="preserve">LTM Revenue (JPY mn)</t>
  </si>
  <si>
    <t xml:space="preserve">WACC Calculation</t>
  </si>
  <si>
    <t xml:space="preserve">Cost of Equity (Ke)</t>
  </si>
  <si>
    <t xml:space="preserve">Weight of Equity</t>
  </si>
  <si>
    <t xml:space="preserve">Weight of Debt</t>
  </si>
  <si>
    <t xml:space="preserve">WACC</t>
  </si>
  <si>
    <t xml:space="preserve">Active Scenario</t>
  </si>
  <si>
    <t xml:space="preserve">Base</t>
  </si>
  <si>
    <t xml:space="preserve">Projected Free Cash Flow</t>
  </si>
  <si>
    <t xml:space="preserve">FY2027(E)</t>
  </si>
  <si>
    <t xml:space="preserve">FY2028(E)</t>
  </si>
  <si>
    <t xml:space="preserve">FY2029(E)</t>
  </si>
  <si>
    <t xml:space="preserve">FY2030(E)</t>
  </si>
  <si>
    <t xml:space="preserve">FY2031(E)</t>
  </si>
  <si>
    <t xml:space="preserve">COGS % of Revenue</t>
  </si>
  <si>
    <t xml:space="preserve">SGA % of Revenue</t>
  </si>
  <si>
    <t xml:space="preserve">SGA Expense</t>
  </si>
  <si>
    <t xml:space="preserve">Implied Operating Margin</t>
  </si>
  <si>
    <t xml:space="preserve">Operating Income (EBIT)</t>
  </si>
  <si>
    <t xml:space="preserve">Less: Tax</t>
  </si>
  <si>
    <t xml:space="preserve">NOPAT</t>
  </si>
  <si>
    <t xml:space="preserve">Plus: D&amp;A</t>
  </si>
  <si>
    <t xml:space="preserve">Less: Capex</t>
  </si>
  <si>
    <t xml:space="preserve">Change in NWC</t>
  </si>
  <si>
    <t xml:space="preserve">Unlevered Free Cash Flow</t>
  </si>
  <si>
    <t xml:space="preserve">Discount Factor</t>
  </si>
  <si>
    <t xml:space="preserve">PV of FCF</t>
  </si>
  <si>
    <t xml:space="preserve">Valuation - Perpetuity Growth Method</t>
  </si>
  <si>
    <t xml:space="preserve">Sum of PV of FCFs</t>
  </si>
  <si>
    <t xml:space="preserve">Terminal Value (PGM)</t>
  </si>
  <si>
    <t xml:space="preserve">PV of Terminal Value</t>
  </si>
  <si>
    <t xml:space="preserve">Enterprise Value</t>
  </si>
  <si>
    <t xml:space="preserve">Equity Value</t>
  </si>
  <si>
    <t xml:space="preserve">Implied Share Price (PGM)</t>
  </si>
  <si>
    <t xml:space="preserve">Valuation - Exit Multiple Method</t>
  </si>
  <si>
    <t xml:space="preserve">Year 5 EBITDA</t>
  </si>
  <si>
    <t xml:space="preserve">Terminal Value (Exit Multiple)</t>
  </si>
  <si>
    <t xml:space="preserve">Implied Share Price (Exit Multiple)</t>
  </si>
  <si>
    <t xml:space="preserve">Scenario Input Matrix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</si>
  <si>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</si>
  <si>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</si>
  <si>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</si>
  <si>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</si>
  <si>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</si>
  <si>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Upside</t>
  </si>
  <si>
    <t xml:space="preserve">Management</t>
  </si>
  <si>
    <t xml:space="preserve">Downside 1</t>
  </si>
  <si>
    <t xml:space="preserve">Downside 2</t>
  </si>
  <si>
    <r>
      <rPr>
        <b val="true"/>
        <sz val="14"/>
        <rFont val="Arial"/>
        <family val="0"/>
        <charset val="1"/>
      </rPr>
      <t xml:space="preserve">NWC Schedule - </t>
    </r>
    <r>
      <rPr>
        <b val="true"/>
        <sz val="14"/>
        <rFont val="Noto Sans CJK SC"/>
        <family val="2"/>
      </rPr>
      <t xml:space="preserve">トヨタ自動車株式会社</t>
    </r>
  </si>
  <si>
    <t xml:space="preserve">Working Capital Drivers (Days)</t>
  </si>
  <si>
    <t xml:space="preserve">Base Year</t>
  </si>
  <si>
    <t xml:space="preserve">DSO (Days Sales Outstanding)</t>
  </si>
  <si>
    <t xml:space="preserve">DIH (Days Inventory Held)</t>
  </si>
  <si>
    <t xml:space="preserve">DPO (Days Payable Outstanding)</t>
  </si>
  <si>
    <t xml:space="preserve">P&amp;L Reference (JPY mn)</t>
  </si>
  <si>
    <t xml:space="preserve">Working Capital Items (JPY mn)</t>
  </si>
  <si>
    <t xml:space="preserve">Accounts Receivable</t>
  </si>
  <si>
    <t xml:space="preserve">Inventory</t>
  </si>
  <si>
    <t xml:space="preserve">Current Assets (AR + Inv)</t>
  </si>
  <si>
    <t xml:space="preserve">Accounts Payable</t>
  </si>
  <si>
    <t xml:space="preserve">Current Liabilities (AP)</t>
  </si>
  <si>
    <t xml:space="preserve">Net Working Capital (JPY mn)</t>
  </si>
  <si>
    <t xml:space="preserve">Net Working Capital</t>
  </si>
  <si>
    <t xml:space="preserve">Scenario Input Matrix (Working Capital Days)</t>
  </si>
  <si>
    <t xml:space="preserve">DSO (Days)</t>
  </si>
  <si>
    <t xml:space="preserve">DIH (Days)</t>
  </si>
  <si>
    <t xml:space="preserve">DPO (Days)</t>
  </si>
  <si>
    <t xml:space="preserve">Comparable Company Analysis</t>
  </si>
  <si>
    <t xml:space="preserve">Mkt Cap
(JPY mn)</t>
  </si>
  <si>
    <t xml:space="preserve">EV
(JPY mn)</t>
  </si>
  <si>
    <t xml:space="preserve">Revenue
(JPY mn)</t>
  </si>
  <si>
    <t xml:space="preserve">EBITDA
(JPY mn)</t>
  </si>
  <si>
    <t xml:space="preserve">Op Income
(JPY mn)</t>
  </si>
  <si>
    <t xml:space="preserve">Net Income
(JPY mn)</t>
  </si>
  <si>
    <t xml:space="preserve">EV/EBITDA</t>
  </si>
  <si>
    <t xml:space="preserve">EV/Revenue</t>
  </si>
  <si>
    <t xml:space="preserve">PER</t>
  </si>
  <si>
    <t xml:space="preserve">PBR</t>
  </si>
  <si>
    <t xml:space="preserve">Op Margin</t>
  </si>
  <si>
    <t xml:space="preserve">ROE</t>
  </si>
  <si>
    <t xml:space="preserve">Toyota Motor</t>
  </si>
  <si>
    <t xml:space="preserve">7203.T</t>
  </si>
  <si>
    <t xml:space="preserve">Honda Motor</t>
  </si>
  <si>
    <t xml:space="preserve">7267.T</t>
  </si>
  <si>
    <t xml:space="preserve">N/A</t>
  </si>
  <si>
    <t xml:space="preserve">Suzuki Motor</t>
  </si>
  <si>
    <t xml:space="preserve">7269.T</t>
  </si>
  <si>
    <t xml:space="preserve">SUBARU</t>
  </si>
  <si>
    <t xml:space="preserve">7270.T</t>
  </si>
  <si>
    <t xml:space="preserve">General Motors</t>
  </si>
  <si>
    <t xml:space="preserve">GM</t>
  </si>
  <si>
    <t xml:space="preserve">Ford Motor</t>
  </si>
  <si>
    <t xml:space="preserve">F</t>
  </si>
  <si>
    <t xml:space="preserve">Volkswagen AG</t>
  </si>
  <si>
    <t xml:space="preserve">VOW3.DE</t>
  </si>
  <si>
    <t xml:space="preserve">Statistics</t>
  </si>
  <si>
    <t xml:space="preserve">25th Percentile</t>
  </si>
  <si>
    <t xml:space="preserve">Median (50th)</t>
  </si>
  <si>
    <t xml:space="preserve">75th Percentile</t>
  </si>
  <si>
    <t xml:space="preserve">Note: Statistics are PEERS ONLY (rows 6-11). Toyota (row 5) is shown for reference but excluded - including the subject company made the PER median equal Toyota's own multiple, so the implied price reproduced the market price. Peer rows are CONSOLIDATED (incl. captive finance) while C21/C24 below are AUTOMOTIVE-only: the EV/EBITDA implied value therefore mixes bases and is a rough reference, not a valuation. Honda and Ford operating losses are actual (Honda FY2026/3 OP -414,346 after 1,453,600 of EV-related losses).</t>
  </si>
  <si>
    <r>
      <rPr>
        <b val="true"/>
        <sz val="11"/>
        <rFont val="Arial"/>
        <family val="0"/>
        <charset val="1"/>
      </rPr>
      <t xml:space="preserve">Implied Valuation for </t>
    </r>
    <r>
      <rPr>
        <b val="true"/>
        <sz val="11"/>
        <rFont val="Noto Sans CJK SC"/>
        <family val="2"/>
      </rPr>
      <t xml:space="preserve">トヨタ自動車株式会社</t>
    </r>
  </si>
  <si>
    <r>
      <rPr>
        <b val="true"/>
        <sz val="11"/>
        <rFont val="Noto Sans CJK SC"/>
        <family val="2"/>
      </rPr>
      <t xml:space="preserve">トヨタ自動車株式会社 </t>
    </r>
    <r>
      <rPr>
        <b val="true"/>
        <sz val="11"/>
        <rFont val="Arial"/>
        <family val="0"/>
        <charset val="1"/>
      </rPr>
      <t xml:space="preserve">Financials</t>
    </r>
  </si>
  <si>
    <t xml:space="preserve">EBITDA (JPY mn)</t>
  </si>
  <si>
    <t xml:space="preserve">Net Income (JPY mn)</t>
  </si>
  <si>
    <t xml:space="preserve">Shares Outstanding</t>
  </si>
  <si>
    <t xml:space="preserve">Implied Share Price (Median Multiples)</t>
  </si>
  <si>
    <t xml:space="preserve">Via EV/EBITDA (Median)</t>
  </si>
  <si>
    <t xml:space="preserve">Via PER (Median)</t>
  </si>
  <si>
    <t xml:space="preserve">Sensitivity Analysis</t>
  </si>
  <si>
    <t xml:space="preserve">Current WACC:</t>
  </si>
  <si>
    <t xml:space="preserve">Terminal g:</t>
  </si>
  <si>
    <t xml:space="preserve">Exit Multiple:</t>
  </si>
  <si>
    <t xml:space="preserve">Table 1: WACC vs Terminal Growth Rate (PGM - Implied Share Price, JPY)</t>
  </si>
  <si>
    <t xml:space="preserve">WACC \ Terminal g</t>
  </si>
  <si>
    <t xml:space="preserve">Table 2: WACC vs Exit Multiple (Exit Multiple - Implied Share Price, JPY)</t>
  </si>
  <si>
    <t xml:space="preserve">WACC \ Exit Multiple</t>
  </si>
  <si>
    <t xml:space="preserve">All values dynamically linked to DCF Model. Headers auto-center on current WACC / Terminal g / Exit Multiple.</t>
  </si>
  <si>
    <t xml:space="preserve">Manual Adjustments Log — 7203 Toyota automotive DCF (finalised 2026-07-30)</t>
  </si>
  <si>
    <t xml:space="preserve">#</t>
  </si>
  <si>
    <t xml:space="preserve">Sheet / Cell</t>
  </si>
  <si>
    <t xml:space="preserve">Was</t>
  </si>
  <si>
    <t xml:space="preserve">Now</t>
  </si>
  <si>
    <t xml:space="preserve">Why / Source</t>
  </si>
  <si>
    <t xml:space="preserve">2</t>
  </si>
  <si>
    <t xml:space="preserve">Comps!D15:I17</t>
  </si>
  <si>
    <t xml:space="preserve">PERCENTILE/MEDIAN(x5:x11)</t>
  </si>
  <si>
    <t xml:space="preserve">(x6:x11)</t>
  </si>
  <si>
    <t xml:space="preserve">Statistics included Toyota itself. The PER median resolved to Toyota's own 10.6558x (MEDIAN skips the "N/A" text in Honda and Ford rows, leaving 5 numeric values with Toyota in the middle), so Comps-PER implied price came out at 3,152 - identical to the market price by construction, and that tautology fed the Target Price average. Now peers only.</t>
  </si>
  <si>
    <t xml:space="preserve">4</t>
  </si>
  <si>
    <t xml:space="preserve">FS!C19:F19, C26:F27, labels B19-B28</t>
  </si>
  <si>
    <t xml:space="preserve">see col C</t>
  </si>
  <si>
    <r>
      <rPr>
        <sz val="9"/>
        <rFont val="Noto Sans CJK SC"/>
        <family val="2"/>
      </rPr>
      <t xml:space="preserve">短信 </t>
    </r>
    <r>
      <rPr>
        <sz val="9"/>
        <rFont val="Arial"/>
        <family val="0"/>
        <charset val="1"/>
      </rPr>
      <t xml:space="preserve">actuals</t>
    </r>
  </si>
  <si>
    <t xml:space="preserve">EDINET residuals: OCF read 0 / 0 / BLANK / BLANK; Cash read 3,996,258 / 5,828,255 / BLANK / BLANK; Short-term Debt read 1,133,917 / 1,326,877 / 0 / 0. FCF therefore showed -1,798,476 to -2,526,996 across all four years for a company with 5,472,920 of operating cash flow, and Net Debt showed 0 for the two latest years. Replaced with consolidated actuals: OCF 2,955,076 / 4,206,373 / 3,696,934 / 5,472,920; Cash 7,516,966 / 9,412,060 / 8,982,404 / 12,659,622; Total interest-bearing debt 29,380,273 / 36,561,780 / 38,792,879 / 43,205,469. Rows relabelled (consol.) vs (automotive) and four source/warning notes added at B30:B33.</t>
  </si>
  <si>
    <t xml:space="preserve">5</t>
  </si>
  <si>
    <t xml:space="preserve">Exec Summary!B30, B31</t>
  </si>
  <si>
    <t xml:space="preserve">1,435,511 / 60%</t>
  </si>
  <si>
    <t xml:space="preserve">1,472,087 / 61.5%</t>
  </si>
  <si>
    <t xml:space="preserve">Thesis text quoted the original 60% D&amp;A split, but Comps!C21 (core_ebitda) = 3,499,094 = automotive OI 2,027,007 + D&amp;A 1,472,087, i.e. 61.53% of consolidated D&amp;A 2,392,519. Text now matches the model. The "10-point shift moves EBITDA by ~240,000" statement remains valid (10% of 2,392,519 = 239,252).</t>
  </si>
  <si>
    <t xml:space="preserve">6</t>
  </si>
  <si>
    <t xml:space="preserve">DCF!C20 (LTM Revenue)</t>
  </si>
  <si>
    <t xml:space="preserve">18,259,979</t>
  </si>
  <si>
    <t xml:space="preserve">45,865,949</t>
  </si>
  <si>
    <t xml:space="preserve">Matched neither automotive revenue (45,865,949) nor consolidated (50,684,952) - an EDINET/yfinance residual. LTM = FY2026/3 automotive actual as of 2026-07-30. Reference cell only; stub fraction is 1.0 so no valuation effect.</t>
  </si>
  <si>
    <t xml:space="preserve">7</t>
  </si>
  <si>
    <t xml:space="preserve">DCF!C5, C18</t>
  </si>
  <si>
    <t xml:space="preserve">5.887% / 3.667%</t>
  </si>
  <si>
    <t xml:space="preserve">5.510% / 3.210%</t>
  </si>
  <si>
    <t xml:space="preserve">Both had been back-solved from the YEAR 3 projections (2,700,000 and 1,681,787 over base revenue) rather than from actuals. These are revenue_pct FALLBACKS and are unused because capex/D&amp;A run on the direct method (rows 42-43 hold absolute values). Corrected to automotive FY2026/3 actuals: capex 2,526,996 and D&amp;A 1,472,087 over 45,865,949.</t>
  </si>
  <si>
    <t xml:space="preserve">NOT CHANGED — per instruction (option B)</t>
  </si>
  <si>
    <t xml:space="preserve">(1) The 745/share non-operating add-back (finance-business equity ~4,350,000 = 334/sh, equity-method investments 5,342,548 = 411/sh) is still absent from C16:C19. The DCF values the automotive business only but is compared with a whole-company share price, so PGM 2,716 understates by construction; with the add-back it would be 3,461 (+9.8% vs 3,152 rather than -13.8%). (3) The Comps EV/EBITDA line still applies a CONSOLIDATED peer multiple to AUTOMOTIVE EBITDA with AUTOMOTIVE net debt - bases are mixed and EV/EBITDA is structurally broken for OEMs with captive finance (peer range 4.44x Suzuki to 16.52x Honda is driven by how much finance debt sits in EV, not by valuation).</t>
  </si>
  <si>
    <t xml:space="preserve">OPEN ITEM — judgement, left alone</t>
  </si>
  <si>
    <t xml:space="preserve">DCF!C14 = 12.0x</t>
  </si>
  <si>
    <t xml:space="preserve">The PGM terminal value implies 28,306,844 / Year-5 EBITDA 5,653,320 = 5.01x, so 5.01x and 12.0x coexist in one model (PGM 2,716 vs Exit 4,842, a 78% gap). Mass-market OEM industrial segments trade 2-4x (GM/Ford); market-implied Toyota automotive is ~6.2x. At 6x Exit gives 3,018; at 7x, 3,322.</t>
  </si>
  <si>
    <t xml:space="preserve">OPEN ITEM — peer set at trough</t>
  </si>
  <si>
    <t xml:space="preserve">Comps rows 6-11</t>
  </si>
  <si>
    <t xml:space="preserve">Operating margins: Honda -1.90%, Ford -4.90%, SUBARU 0.98%, GM 1.57%, VW 2.75%; only Suzuki (9.61%) and Toyota (7.43%) are near normal. Tariffs and EV write-downs hit the whole sector in FY2026, so both the PER and EV/EBITDA medians need normalising. Honda guides FY2027/3 OP of 500,000 (1,000,000 excluding further EV losses).</t>
  </si>
  <si>
    <t xml:space="preserve">OPEN ITEM — scenario switch</t>
  </si>
  <si>
    <t xml:space="preserve">DCF!D27 = 1 (constant)</t>
  </si>
  <si>
    <t xml:space="preserve">The dropdown is on C27 but the CHOOSE index in D27 is a hardcoded 1, so selecting Upside / Downside does not switch the model. Same as the 285A workbook. To drive it: D27 = MATCH(C27,{"Base";"Upside";"Management";"Downside 1";"Downside 2"},0).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</si>
</sst>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"/>
    <numFmt numFmtId="166" formatCode="0.0%;\(0.0%\)"/>
    <numFmt numFmtId="167" formatCode="0.00"/>
    <numFmt numFmtId="168" formatCode="0.000"/>
    <numFmt numFmtId="169" formatCode="0.00\x"/>
    <numFmt numFmtId="170" formatCode="#,##0"/>
    <numFmt numFmtId="171" formatCode="0.00%;\(0.00%\)"/>
    <numFmt numFmtId="172" formatCode="0.0000"/>
  </numFmts>
  <fonts count="20">
    <font>
      <sz val="11"/>
      <color theme="1"/>
      <name val="ＭＳ Ｐゴシック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Noto Sans CJK SC"/>
      <family val="2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6600"/>
      <name val="Arial"/>
      <family val="0"/>
      <charset val="1"/>
    </font>
    <font>
      <sz val="10"/>
      <name val="Arial"/>
      <family val="0"/>
      <charset val="1"/>
    </font>
    <font>
      <i val="true"/>
      <sz val="8"/>
      <name val="Arial"/>
      <family val="0"/>
      <charset val="1"/>
    </font>
    <font>
      <i val="true"/>
      <sz val="8"/>
      <name val="Noto Sans CJK SC"/>
      <family val="2"/>
    </font>
    <font>
      <b val="true"/>
      <sz val="11"/>
      <name val="Noto Sans CJK SC"/>
      <family val="2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CE6F1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0B0B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B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22"/>
  </cols>
  <sheetData>
    <row r="1" customFormat="false" ht="13.5" hidden="false" customHeight="true" outlineLevel="0" collapsed="false">
      <c r="B1" s="1" t="s">
        <v>0</v>
      </c>
      <c r="C1" s="1"/>
      <c r="D1" s="1"/>
      <c r="E1" s="1"/>
    </row>
    <row r="2" customFormat="false" ht="13.8" hidden="false" customHeight="false" outlineLevel="0" collapsed="false"/>
    <row r="3" customFormat="false" ht="18" hidden="false" customHeight="true" outlineLevel="0" collapsed="false">
      <c r="B3" s="2" t="s">
        <v>1</v>
      </c>
      <c r="C3" s="2"/>
      <c r="D3" s="2"/>
    </row>
    <row r="4" customFormat="false" ht="13.5" hidden="false" customHeight="true" outlineLevel="0" collapsed="false">
      <c r="B4" s="3" t="s">
        <v>2</v>
      </c>
    </row>
    <row r="5" customFormat="false" ht="13.8" hidden="false" customHeight="false" outlineLevel="0" collapsed="false"/>
    <row r="6" customFormat="false" ht="13.5" hidden="false" customHeight="true" outlineLevel="0" collapsed="false">
      <c r="B6" s="4" t="s">
        <v>3</v>
      </c>
      <c r="C6" s="5" t="s">
        <v>4</v>
      </c>
    </row>
    <row r="7" customFormat="false" ht="13.5" hidden="false" customHeight="true" outlineLevel="0" collapsed="false">
      <c r="B7" s="4" t="s">
        <v>5</v>
      </c>
      <c r="C7" s="0" t="s">
        <v>6</v>
      </c>
    </row>
    <row r="8" customFormat="false" ht="13.5" hidden="false" customHeight="true" outlineLevel="0" collapsed="false">
      <c r="B8" s="4" t="s">
        <v>7</v>
      </c>
      <c r="C8" s="0" t="s">
        <v>8</v>
      </c>
    </row>
    <row r="9" customFormat="false" ht="13.5" hidden="false" customHeight="true" outlineLevel="0" collapsed="false">
      <c r="B9" s="4" t="s">
        <v>9</v>
      </c>
      <c r="C9" s="6" t="n">
        <v>3152</v>
      </c>
    </row>
    <row r="10" customFormat="false" ht="13.5" hidden="false" customHeight="true" outlineLevel="0" collapsed="false">
      <c r="B10" s="4" t="s">
        <v>10</v>
      </c>
      <c r="C10" s="6" t="n">
        <f aca="false">ROUND(AVERAGE(C16:C19),0)</f>
        <v>3585</v>
      </c>
    </row>
    <row r="11" customFormat="false" ht="13.5" hidden="false" customHeight="true" outlineLevel="0" collapsed="false">
      <c r="B11" s="4" t="s">
        <v>11</v>
      </c>
      <c r="C11" s="7" t="str">
        <f aca="false">IF(C12&gt;0.15,"BUY",IF(C12&gt;0.05,"HOLD","SELL"))</f>
        <v>HOLD</v>
      </c>
    </row>
    <row r="12" customFormat="false" ht="13.5" hidden="false" customHeight="true" outlineLevel="0" collapsed="false">
      <c r="B12" s="4" t="s">
        <v>12</v>
      </c>
      <c r="C12" s="8" t="n">
        <f aca="false">(C10-C9)/C9</f>
        <v>0.137373096446701</v>
      </c>
    </row>
    <row r="13" customFormat="false" ht="13.8" hidden="false" customHeight="false" outlineLevel="0" collapsed="false"/>
    <row r="14" customFormat="false" ht="13.5" hidden="false" customHeight="true" outlineLevel="0" collapsed="false">
      <c r="B14" s="9" t="s">
        <v>13</v>
      </c>
      <c r="C14" s="10"/>
      <c r="D14" s="10"/>
    </row>
    <row r="15" customFormat="false" ht="13.5" hidden="false" customHeight="true" outlineLevel="0" collapsed="false">
      <c r="B15" s="11" t="s">
        <v>14</v>
      </c>
      <c r="C15" s="11" t="s">
        <v>15</v>
      </c>
      <c r="D15" s="11" t="s">
        <v>16</v>
      </c>
    </row>
    <row r="16" customFormat="false" ht="13.5" hidden="false" customHeight="true" outlineLevel="0" collapsed="false">
      <c r="B16" s="0" t="s">
        <v>17</v>
      </c>
      <c r="C16" s="12" t="n">
        <f aca="false">'DCF Model'!C55</f>
        <v>2716</v>
      </c>
      <c r="D16" s="8" t="n">
        <f aca="false">(C16-C9)/C9</f>
        <v>-0.138324873096447</v>
      </c>
    </row>
    <row r="17" customFormat="false" ht="13.5" hidden="false" customHeight="true" outlineLevel="0" collapsed="false">
      <c r="B17" s="0" t="s">
        <v>18</v>
      </c>
      <c r="C17" s="12" t="n">
        <f aca="false">'DCF Model'!C64</f>
        <v>4842</v>
      </c>
      <c r="D17" s="8" t="n">
        <f aca="false">(C17-C9)/C9</f>
        <v>0.536167512690355</v>
      </c>
    </row>
    <row r="18" customFormat="false" ht="13.5" hidden="false" customHeight="true" outlineLevel="0" collapsed="false">
      <c r="B18" s="0" t="s">
        <v>19</v>
      </c>
      <c r="C18" s="12" t="n">
        <f aca="false">'Comps Analysis'!C27</f>
        <v>2114</v>
      </c>
      <c r="D18" s="8" t="n">
        <f aca="false">IF(ISNUMBER(C18),(C18-C9)/C9,"N/A")</f>
        <v>-0.329314720812183</v>
      </c>
    </row>
    <row r="19" customFormat="false" ht="13.5" hidden="false" customHeight="true" outlineLevel="0" collapsed="false">
      <c r="B19" s="0" t="s">
        <v>20</v>
      </c>
      <c r="C19" s="12" t="n">
        <f aca="false">'Comps Analysis'!C28</f>
        <v>4666</v>
      </c>
      <c r="D19" s="8" t="n">
        <f aca="false">IF(ISNUMBER(C19),(C19-C9)/C9,"N/A")</f>
        <v>0.480329949238579</v>
      </c>
    </row>
    <row r="20" customFormat="false" ht="13.8" hidden="false" customHeight="false" outlineLevel="0" collapsed="false"/>
    <row r="21" customFormat="false" ht="13.5" hidden="false" customHeight="true" outlineLevel="0" collapsed="false">
      <c r="B21" s="4" t="s">
        <v>21</v>
      </c>
      <c r="C21" s="7" t="str">
        <f aca="false">MIN(C16:C19)&amp;" - "&amp;MAX(C16:C19)</f>
        <v>2114 - 4842</v>
      </c>
    </row>
    <row r="22" customFormat="false" ht="13.8" hidden="false" customHeight="false" outlineLevel="0" collapsed="false"/>
    <row r="23" customFormat="false" ht="13.5" hidden="false" customHeight="true" outlineLevel="0" collapsed="false">
      <c r="B23" s="9" t="s">
        <v>22</v>
      </c>
      <c r="C23" s="10"/>
      <c r="D23" s="10"/>
    </row>
    <row r="24" customFormat="false" ht="13.8" hidden="false" customHeight="false" outlineLevel="0" collapsed="false">
      <c r="B24" s="0" t="s">
        <v>23</v>
      </c>
    </row>
    <row r="25" customFormat="false" ht="13.8" hidden="false" customHeight="false" outlineLevel="0" collapsed="false">
      <c r="B25" s="0" t="s">
        <v>24</v>
      </c>
    </row>
    <row r="26" customFormat="false" ht="13.8" hidden="false" customHeight="false" outlineLevel="0" collapsed="false">
      <c r="B26" s="0" t="s">
        <v>25</v>
      </c>
    </row>
    <row r="27" customFormat="false" ht="13.8" hidden="false" customHeight="false" outlineLevel="0" collapsed="false"/>
    <row r="28" customFormat="false" ht="13.5" hidden="false" customHeight="true" outlineLevel="0" collapsed="false">
      <c r="B28" s="9" t="s">
        <v>26</v>
      </c>
      <c r="C28" s="10"/>
      <c r="D28" s="10"/>
    </row>
    <row r="29" customFormat="false" ht="13.8" hidden="false" customHeight="false" outlineLevel="0" collapsed="false">
      <c r="B29" s="0" t="s">
        <v>27</v>
      </c>
    </row>
    <row r="30" customFormat="false" ht="13.8" hidden="false" customHeight="false" outlineLevel="0" collapsed="false">
      <c r="B30" s="0" t="s">
        <v>28</v>
      </c>
    </row>
    <row r="31" customFormat="false" ht="13.8" hidden="false" customHeight="false" outlineLevel="0" collapsed="false">
      <c r="B31" s="0" t="s">
        <v>29</v>
      </c>
    </row>
  </sheetData>
  <mergeCells count="2">
    <mergeCell ref="B1:E1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B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6" min="3" style="0" width="18"/>
  </cols>
  <sheetData>
    <row r="1" customFormat="false" ht="13.8" hidden="false" customHeight="false" outlineLevel="0" collapsed="false"/>
    <row r="2" customFormat="false" ht="18" hidden="false" customHeight="true" outlineLevel="0" collapsed="false">
      <c r="B2" s="13" t="s">
        <v>30</v>
      </c>
    </row>
    <row r="3" customFormat="false" ht="13.8" hidden="false" customHeight="false" outlineLevel="0" collapsed="false"/>
    <row r="4" customFormat="false" ht="13.5" hidden="false" customHeight="true" outlineLevel="0" collapsed="false">
      <c r="C4" s="11" t="s">
        <v>31</v>
      </c>
      <c r="D4" s="11" t="s">
        <v>32</v>
      </c>
      <c r="E4" s="11" t="s">
        <v>33</v>
      </c>
      <c r="F4" s="11" t="s">
        <v>34</v>
      </c>
    </row>
    <row r="5" customFormat="false" ht="13.5" hidden="false" customHeight="true" outlineLevel="0" collapsed="false">
      <c r="B5" s="3" t="s">
        <v>35</v>
      </c>
    </row>
    <row r="6" customFormat="false" ht="13.5" hidden="false" customHeight="true" outlineLevel="0" collapsed="false">
      <c r="B6" s="4" t="s">
        <v>36</v>
      </c>
      <c r="C6" s="6" t="n">
        <v>34367619</v>
      </c>
      <c r="D6" s="6" t="n">
        <v>41648130</v>
      </c>
      <c r="E6" s="6" t="n">
        <v>43598877</v>
      </c>
      <c r="F6" s="6" t="n">
        <v>45865949</v>
      </c>
    </row>
    <row r="7" customFormat="false" ht="13.5" hidden="false" customHeight="true" outlineLevel="0" collapsed="false">
      <c r="B7" s="4" t="s">
        <v>37</v>
      </c>
      <c r="C7" s="6" t="n">
        <v>29128561</v>
      </c>
      <c r="D7" s="6" t="n">
        <v>33600612</v>
      </c>
      <c r="E7" s="6" t="n">
        <v>35510157</v>
      </c>
      <c r="F7" s="6" t="n">
        <v>39141418</v>
      </c>
    </row>
    <row r="8" customFormat="false" ht="13.5" hidden="false" customHeight="true" outlineLevel="0" collapsed="false">
      <c r="B8" s="4" t="s">
        <v>38</v>
      </c>
      <c r="C8" s="6" t="n">
        <f aca="false">C6-C7</f>
        <v>5239058</v>
      </c>
      <c r="D8" s="6" t="n">
        <f aca="false">D6-D7</f>
        <v>8047518</v>
      </c>
      <c r="E8" s="6" t="n">
        <f aca="false">E6-E7</f>
        <v>8088720</v>
      </c>
      <c r="F8" s="6" t="n">
        <f aca="false">F6-F7</f>
        <v>6724531</v>
      </c>
    </row>
    <row r="9" customFormat="false" ht="13.5" hidden="false" customHeight="true" outlineLevel="0" collapsed="false">
      <c r="B9" s="0" t="s">
        <v>39</v>
      </c>
      <c r="C9" s="8" t="n">
        <f aca="false">C8/C6</f>
        <v>0.152441692280166</v>
      </c>
      <c r="D9" s="8" t="n">
        <f aca="false">D8/D6</f>
        <v>0.193226394558411</v>
      </c>
      <c r="E9" s="8" t="n">
        <f aca="false">E8/E6</f>
        <v>0.185525879485382</v>
      </c>
      <c r="F9" s="8" t="n">
        <f aca="false">F8/F6</f>
        <v>0.146612708264251</v>
      </c>
    </row>
    <row r="10" customFormat="false" ht="13.5" hidden="false" customHeight="true" outlineLevel="0" collapsed="false">
      <c r="B10" s="4" t="s">
        <v>40</v>
      </c>
      <c r="C10" s="6" t="n">
        <v>3587990</v>
      </c>
      <c r="D10" s="6" t="n">
        <v>4015383</v>
      </c>
      <c r="E10" s="6" t="n">
        <v>4782452</v>
      </c>
      <c r="F10" s="6" t="n">
        <v>4697524</v>
      </c>
    </row>
    <row r="11" customFormat="false" ht="13.5" hidden="false" customHeight="true" outlineLevel="0" collapsed="false">
      <c r="B11" s="4" t="s">
        <v>41</v>
      </c>
      <c r="C11" s="6" t="n">
        <v>1651068</v>
      </c>
      <c r="D11" s="6" t="n">
        <v>4032135</v>
      </c>
      <c r="E11" s="6" t="n">
        <v>3306268</v>
      </c>
      <c r="F11" s="6" t="n">
        <v>2027007</v>
      </c>
    </row>
    <row r="12" customFormat="false" ht="13.5" hidden="false" customHeight="true" outlineLevel="0" collapsed="false">
      <c r="B12" s="4" t="s">
        <v>42</v>
      </c>
      <c r="C12" s="6" t="n">
        <v>2451318</v>
      </c>
      <c r="D12" s="6" t="n">
        <v>4944933</v>
      </c>
      <c r="E12" s="6" t="n">
        <v>4765086</v>
      </c>
      <c r="F12" s="6" t="n">
        <v>3848098</v>
      </c>
    </row>
    <row r="13" customFormat="false" ht="13.5" hidden="false" customHeight="true" outlineLevel="0" collapsed="false">
      <c r="B13" s="0" t="s">
        <v>43</v>
      </c>
      <c r="C13" s="8" t="n">
        <f aca="false">C11/C6</f>
        <v>0.0480413845369969</v>
      </c>
      <c r="D13" s="8" t="n">
        <f aca="false">D11/D6</f>
        <v>0.0968143107505667</v>
      </c>
      <c r="E13" s="8" t="n">
        <f aca="false">E11/E6</f>
        <v>0.0758337881042211</v>
      </c>
      <c r="F13" s="8" t="n">
        <f aca="false">F11/F6</f>
        <v>0.0441941580670227</v>
      </c>
    </row>
    <row r="14" customFormat="false" ht="13.5" hidden="false" customHeight="true" outlineLevel="0" collapsed="false">
      <c r="B14" s="0" t="s">
        <v>44</v>
      </c>
      <c r="C14" s="8" t="n">
        <f aca="false">C12/C6</f>
        <v>0.0713263842921443</v>
      </c>
      <c r="D14" s="8" t="n">
        <f aca="false">D12/D6</f>
        <v>0.118731213142103</v>
      </c>
      <c r="E14" s="8" t="n">
        <f aca="false">E12/E6</f>
        <v>0.109293778369567</v>
      </c>
      <c r="F14" s="8" t="n">
        <f aca="false">F12/F6</f>
        <v>0.0838987982130273</v>
      </c>
    </row>
    <row r="15" customFormat="false" ht="13.5" hidden="false" customHeight="true" outlineLevel="0" collapsed="false">
      <c r="B15" s="0" t="s">
        <v>45</v>
      </c>
      <c r="C15" s="0" t="s">
        <v>46</v>
      </c>
      <c r="D15" s="8" t="n">
        <f aca="false">(D6-C6)/C6</f>
        <v>0.211842170387189</v>
      </c>
      <c r="E15" s="8" t="n">
        <f aca="false">(E6-D6)/D6</f>
        <v>0.0468387656300535</v>
      </c>
      <c r="F15" s="8" t="n">
        <f aca="false">(F6-E6)/E6</f>
        <v>0.0519984035368617</v>
      </c>
    </row>
    <row r="16" customFormat="false" ht="13.5" hidden="false" customHeight="true" outlineLevel="0" collapsed="false">
      <c r="B16" s="0" t="s">
        <v>47</v>
      </c>
      <c r="C16" s="0" t="s">
        <v>46</v>
      </c>
      <c r="D16" s="8" t="n">
        <f aca="false">(D11-C11)/C11</f>
        <v>1.4421374528487</v>
      </c>
      <c r="E16" s="8" t="n">
        <f aca="false">(E11-D11)/D11</f>
        <v>-0.180020510225972</v>
      </c>
      <c r="F16" s="8" t="n">
        <f aca="false">(F11-E11)/E11</f>
        <v>-0.386919935105079</v>
      </c>
    </row>
    <row r="17" customFormat="false" ht="13.8" hidden="false" customHeight="false" outlineLevel="0" collapsed="false"/>
    <row r="18" customFormat="false" ht="13.5" hidden="false" customHeight="true" outlineLevel="0" collapsed="false">
      <c r="B18" s="3" t="s">
        <v>48</v>
      </c>
    </row>
    <row r="19" customFormat="false" ht="13.5" hidden="false" customHeight="true" outlineLevel="0" collapsed="false">
      <c r="B19" s="4" t="s">
        <v>49</v>
      </c>
      <c r="C19" s="14" t="n">
        <v>2955076</v>
      </c>
      <c r="D19" s="14" t="n">
        <v>4206373</v>
      </c>
      <c r="E19" s="14" t="n">
        <v>3696934</v>
      </c>
      <c r="F19" s="14" t="n">
        <v>5472920</v>
      </c>
    </row>
    <row r="20" customFormat="false" ht="13.5" hidden="false" customHeight="true" outlineLevel="0" collapsed="false">
      <c r="B20" s="4" t="s">
        <v>50</v>
      </c>
      <c r="C20" s="6" t="n">
        <v>1798476</v>
      </c>
      <c r="D20" s="6" t="n">
        <v>2180734</v>
      </c>
      <c r="E20" s="6" t="n">
        <v>2260608</v>
      </c>
      <c r="F20" s="6" t="n">
        <v>2526996</v>
      </c>
    </row>
    <row r="21" customFormat="false" ht="13.5" hidden="false" customHeight="true" outlineLevel="0" collapsed="false">
      <c r="B21" s="4" t="s">
        <v>51</v>
      </c>
      <c r="C21" s="6" t="n">
        <f aca="false">C19-C20</f>
        <v>1156600</v>
      </c>
      <c r="D21" s="6" t="n">
        <f aca="false">D19-D20</f>
        <v>2025639</v>
      </c>
      <c r="E21" s="6" t="n">
        <f aca="false">E19-E20</f>
        <v>1436326</v>
      </c>
      <c r="F21" s="6" t="n">
        <f aca="false">F19-F20</f>
        <v>2945924</v>
      </c>
    </row>
    <row r="22" customFormat="false" ht="13.5" hidden="false" customHeight="true" outlineLevel="0" collapsed="false">
      <c r="B22" s="4" t="s">
        <v>52</v>
      </c>
      <c r="C22" s="8" t="n">
        <f aca="false">C21/C6</f>
        <v>0.0336537715923818</v>
      </c>
      <c r="D22" s="8" t="n">
        <f aca="false">D21/D6</f>
        <v>0.0486369736168227</v>
      </c>
      <c r="E22" s="8" t="n">
        <f aca="false">E21/E6</f>
        <v>0.0329441054181281</v>
      </c>
      <c r="F22" s="8" t="n">
        <f aca="false">F21/F6</f>
        <v>0.0642289991645</v>
      </c>
    </row>
    <row r="23" customFormat="false" ht="13.5" hidden="false" customHeight="true" outlineLevel="0" collapsed="false">
      <c r="B23" s="4" t="s">
        <v>53</v>
      </c>
      <c r="C23" s="8" t="n">
        <f aca="false">C20/C6</f>
        <v>0.0523305382313509</v>
      </c>
      <c r="D23" s="8" t="n">
        <f aca="false">D20/D6</f>
        <v>0.052360910321784</v>
      </c>
      <c r="E23" s="8" t="n">
        <f aca="false">E20/E6</f>
        <v>0.0518501428373946</v>
      </c>
      <c r="F23" s="8" t="n">
        <f aca="false">F20/F6</f>
        <v>0.0550952515993946</v>
      </c>
    </row>
    <row r="24" customFormat="false" ht="13.8" hidden="false" customHeight="false" outlineLevel="0" collapsed="false"/>
    <row r="25" customFormat="false" ht="13.5" hidden="false" customHeight="true" outlineLevel="0" collapsed="false">
      <c r="B25" s="3" t="s">
        <v>54</v>
      </c>
    </row>
    <row r="26" customFormat="false" ht="13.5" hidden="false" customHeight="true" outlineLevel="0" collapsed="false">
      <c r="B26" s="4" t="s">
        <v>55</v>
      </c>
      <c r="C26" s="14" t="n">
        <v>7516966</v>
      </c>
      <c r="D26" s="14" t="n">
        <v>9412060</v>
      </c>
      <c r="E26" s="14" t="n">
        <v>8982404</v>
      </c>
      <c r="F26" s="14" t="n">
        <v>12659622</v>
      </c>
    </row>
    <row r="27" customFormat="false" ht="13.5" hidden="false" customHeight="true" outlineLevel="0" collapsed="false">
      <c r="B27" s="4" t="s">
        <v>56</v>
      </c>
      <c r="C27" s="14" t="n">
        <v>29380273</v>
      </c>
      <c r="D27" s="14" t="n">
        <v>36561780</v>
      </c>
      <c r="E27" s="14" t="n">
        <v>38792879</v>
      </c>
      <c r="F27" s="14" t="n">
        <v>43205469</v>
      </c>
    </row>
    <row r="28" customFormat="false" ht="13.5" hidden="false" customHeight="true" outlineLevel="0" collapsed="false">
      <c r="B28" s="4" t="s">
        <v>57</v>
      </c>
      <c r="C28" s="6" t="n">
        <f aca="false">C27-C26</f>
        <v>21863307</v>
      </c>
      <c r="D28" s="6" t="n">
        <f aca="false">D27-D26</f>
        <v>27149720</v>
      </c>
      <c r="E28" s="6" t="n">
        <f aca="false">E27-E26</f>
        <v>29810475</v>
      </c>
      <c r="F28" s="6" t="n">
        <f aca="false">F27-F26</f>
        <v>30545847</v>
      </c>
    </row>
    <row r="29" customFormat="false" ht="13.8" hidden="false" customHeight="false" outlineLevel="0" collapsed="false"/>
    <row r="30" customFormat="false" ht="13.8" hidden="false" customHeight="false" outlineLevel="0" collapsed="false">
      <c r="B30" s="15" t="s">
        <v>58</v>
      </c>
    </row>
    <row r="31" customFormat="false" ht="13.8" hidden="false" customHeight="false" outlineLevel="0" collapsed="false">
      <c r="B31" s="15" t="s">
        <v>59</v>
      </c>
    </row>
    <row r="32" customFormat="false" ht="13.8" hidden="false" customHeight="false" outlineLevel="0" collapsed="false">
      <c r="B32" s="15" t="s">
        <v>60</v>
      </c>
    </row>
    <row r="33" customFormat="false" ht="13.8" hidden="false" customHeight="false" outlineLevel="0" collapsed="false">
      <c r="B33" s="15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00"/>
    <pageSetUpPr fitToPage="false"/>
  </sheetPr>
  <dimension ref="B1:G87"/>
  <sheetViews>
    <sheetView showFormulas="false" showGridLines="true" showRowColHeaders="true" showZeros="true" rightToLeft="false" tabSelected="true" showOutlineSymbols="true" defaultGridColor="true" view="normal" topLeftCell="A69" colorId="64" zoomScale="100" zoomScaleNormal="100" zoomScalePageLayoutView="100" workbookViewId="0">
      <selection pane="topLeft" activeCell="D16" activeCellId="0" sqref="D16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6"/>
  </cols>
  <sheetData>
    <row r="1" customFormat="false" ht="13.8" hidden="false" customHeight="false" outlineLevel="0" collapsed="false"/>
    <row r="2" customFormat="false" ht="18" hidden="false" customHeight="true" outlineLevel="0" collapsed="false">
      <c r="B2" s="16" t="s">
        <v>62</v>
      </c>
    </row>
    <row r="3" customFormat="false" ht="13.8" hidden="false" customHeight="false" outlineLevel="0" collapsed="false"/>
    <row r="4" customFormat="false" ht="13.5" hidden="false" customHeight="true" outlineLevel="0" collapsed="false">
      <c r="B4" s="9" t="s">
        <v>63</v>
      </c>
      <c r="C4" s="10"/>
      <c r="D4" s="10"/>
      <c r="E4" s="10"/>
      <c r="F4" s="10"/>
      <c r="G4" s="10"/>
    </row>
    <row r="5" customFormat="false" ht="13.5" hidden="false" customHeight="true" outlineLevel="0" collapsed="false">
      <c r="B5" s="4" t="s">
        <v>64</v>
      </c>
      <c r="C5" s="8" t="n">
        <v>0.0550952515993946</v>
      </c>
    </row>
    <row r="6" customFormat="false" ht="13.5" hidden="false" customHeight="true" outlineLevel="0" collapsed="false">
      <c r="B6" s="4" t="s">
        <v>65</v>
      </c>
      <c r="C6" s="8" t="n">
        <v>0.26</v>
      </c>
    </row>
    <row r="7" customFormat="false" ht="13.5" hidden="false" customHeight="true" outlineLevel="0" collapsed="false">
      <c r="B7" s="4" t="s">
        <v>66</v>
      </c>
      <c r="C7" s="8" t="n">
        <v>0.023</v>
      </c>
    </row>
    <row r="8" customFormat="false" ht="13.5" hidden="false" customHeight="true" outlineLevel="0" collapsed="false">
      <c r="B8" s="4" t="s">
        <v>67</v>
      </c>
      <c r="C8" s="17" t="n">
        <v>0.85</v>
      </c>
    </row>
    <row r="9" customFormat="false" ht="13.5" hidden="false" customHeight="true" outlineLevel="0" collapsed="false">
      <c r="B9" s="4" t="s">
        <v>68</v>
      </c>
      <c r="C9" s="8" t="n">
        <v>0.06</v>
      </c>
    </row>
    <row r="10" customFormat="false" ht="13.5" hidden="false" customHeight="true" outlineLevel="0" collapsed="false">
      <c r="B10" s="4" t="s">
        <v>69</v>
      </c>
      <c r="C10" s="8" t="n">
        <v>0</v>
      </c>
    </row>
    <row r="11" customFormat="false" ht="13.5" hidden="false" customHeight="true" outlineLevel="0" collapsed="false">
      <c r="B11" s="4" t="s">
        <v>70</v>
      </c>
      <c r="C11" s="8" t="n">
        <v>0.01</v>
      </c>
    </row>
    <row r="12" customFormat="false" ht="13.5" hidden="false" customHeight="true" outlineLevel="0" collapsed="false">
      <c r="B12" s="4" t="s">
        <v>71</v>
      </c>
      <c r="C12" s="18" t="n">
        <v>0</v>
      </c>
    </row>
    <row r="13" customFormat="false" ht="13.5" hidden="false" customHeight="true" outlineLevel="0" collapsed="false">
      <c r="B13" s="4" t="s">
        <v>72</v>
      </c>
      <c r="C13" s="8" t="n">
        <v>0.01</v>
      </c>
    </row>
    <row r="14" customFormat="false" ht="13.5" hidden="false" customHeight="true" outlineLevel="0" collapsed="false">
      <c r="B14" s="4" t="s">
        <v>73</v>
      </c>
      <c r="C14" s="19" t="n">
        <v>12</v>
      </c>
    </row>
    <row r="15" customFormat="false" ht="13.5" hidden="false" customHeight="true" outlineLevel="0" collapsed="false">
      <c r="B15" s="4" t="s">
        <v>74</v>
      </c>
      <c r="C15" s="20" t="n">
        <v>13009058960</v>
      </c>
    </row>
    <row r="16" customFormat="false" ht="13.5" hidden="false" customHeight="true" outlineLevel="0" collapsed="false">
      <c r="B16" s="4" t="s">
        <v>75</v>
      </c>
      <c r="C16" s="6" t="n">
        <v>-9800000</v>
      </c>
    </row>
    <row r="17" customFormat="false" ht="13.5" hidden="false" customHeight="true" outlineLevel="0" collapsed="false">
      <c r="B17" s="4" t="s">
        <v>76</v>
      </c>
      <c r="C17" s="6" t="n">
        <v>45865949</v>
      </c>
    </row>
    <row r="18" customFormat="false" ht="13.5" hidden="false" customHeight="true" outlineLevel="0" collapsed="false">
      <c r="B18" s="4" t="s">
        <v>77</v>
      </c>
      <c r="C18" s="8" t="n">
        <v>0.032095422248867</v>
      </c>
    </row>
    <row r="19" customFormat="false" ht="13.5" hidden="false" customHeight="true" outlineLevel="0" collapsed="false">
      <c r="B19" s="4" t="s">
        <v>78</v>
      </c>
      <c r="C19" s="17" t="n">
        <v>1</v>
      </c>
    </row>
    <row r="20" customFormat="false" ht="13.5" hidden="false" customHeight="true" outlineLevel="0" collapsed="false">
      <c r="B20" s="4" t="s">
        <v>79</v>
      </c>
      <c r="C20" s="6" t="n">
        <v>45865949</v>
      </c>
    </row>
    <row r="21" customFormat="false" ht="13.8" hidden="false" customHeight="false" outlineLevel="0" collapsed="false"/>
    <row r="22" customFormat="false" ht="13.5" hidden="false" customHeight="true" outlineLevel="0" collapsed="false">
      <c r="B22" s="9" t="s">
        <v>80</v>
      </c>
      <c r="C22" s="10"/>
      <c r="D22" s="10"/>
      <c r="E22" s="10"/>
      <c r="F22" s="10"/>
      <c r="G22" s="10"/>
    </row>
    <row r="23" customFormat="false" ht="13.5" hidden="false" customHeight="true" outlineLevel="0" collapsed="false">
      <c r="B23" s="4" t="s">
        <v>81</v>
      </c>
      <c r="C23" s="21" t="n">
        <f aca="false">C7+C8*C9+C10</f>
        <v>0.074</v>
      </c>
    </row>
    <row r="24" customFormat="false" ht="13.5" hidden="false" customHeight="true" outlineLevel="0" collapsed="false">
      <c r="B24" s="4" t="s">
        <v>82</v>
      </c>
      <c r="C24" s="21" t="n">
        <f aca="false">1/(1+C12)</f>
        <v>1</v>
      </c>
    </row>
    <row r="25" customFormat="false" ht="13.5" hidden="false" customHeight="true" outlineLevel="0" collapsed="false">
      <c r="B25" s="4" t="s">
        <v>83</v>
      </c>
      <c r="C25" s="21" t="n">
        <f aca="false">C12/(1+C12)</f>
        <v>0</v>
      </c>
    </row>
    <row r="26" customFormat="false" ht="13.5" hidden="false" customHeight="true" outlineLevel="0" collapsed="false">
      <c r="B26" s="4" t="s">
        <v>84</v>
      </c>
      <c r="C26" s="21" t="n">
        <f aca="false">C23*C24+C11*C25</f>
        <v>0.074</v>
      </c>
    </row>
    <row r="27" customFormat="false" ht="13.5" hidden="false" customHeight="true" outlineLevel="0" collapsed="false">
      <c r="B27" s="4" t="s">
        <v>85</v>
      </c>
      <c r="C27" s="22" t="s">
        <v>86</v>
      </c>
      <c r="D27" s="7" t="n">
        <v>1</v>
      </c>
    </row>
    <row r="28" customFormat="false" ht="13.5" hidden="false" customHeight="true" outlineLevel="0" collapsed="false">
      <c r="B28" s="9" t="s">
        <v>87</v>
      </c>
      <c r="C28" s="10"/>
      <c r="D28" s="10"/>
      <c r="E28" s="10"/>
      <c r="F28" s="10"/>
      <c r="G28" s="10"/>
    </row>
    <row r="29" customFormat="false" ht="13.5" hidden="false" customHeight="true" outlineLevel="0" collapsed="false">
      <c r="C29" s="11" t="s">
        <v>88</v>
      </c>
      <c r="D29" s="11" t="s">
        <v>89</v>
      </c>
      <c r="E29" s="11" t="s">
        <v>90</v>
      </c>
      <c r="F29" s="11" t="s">
        <v>91</v>
      </c>
      <c r="G29" s="11" t="s">
        <v>92</v>
      </c>
    </row>
    <row r="30" customFormat="false" ht="13.5" hidden="false" customHeight="true" outlineLevel="0" collapsed="false">
      <c r="B30" s="4" t="s">
        <v>45</v>
      </c>
      <c r="C30" s="23" t="n">
        <f aca="false">CHOOSE($D$27,C69,C70,C71,C72,C73)</f>
        <v>0.03</v>
      </c>
      <c r="D30" s="23" t="n">
        <f aca="false">CHOOSE($D$27,D69,D70,D71,D72,D73)</f>
        <v>0.04</v>
      </c>
      <c r="E30" s="23" t="n">
        <f aca="false">CHOOSE($D$27,E69,E70,E71,E72,E73)</f>
        <v>0.03</v>
      </c>
      <c r="F30" s="23" t="n">
        <f aca="false">CHOOSE($D$27,F69,F70,F71,F72,F73)</f>
        <v>0.03</v>
      </c>
      <c r="G30" s="23" t="n">
        <f aca="false">CHOOSE($D$27,G69,G70,G71,G72,G73)</f>
        <v>0.02</v>
      </c>
    </row>
    <row r="31" customFormat="false" ht="13.5" hidden="false" customHeight="true" outlineLevel="0" collapsed="false">
      <c r="B31" s="4" t="s">
        <v>93</v>
      </c>
      <c r="C31" s="23" t="n">
        <f aca="false">CHOOSE($D$27,C76,C77,C78,C79,C80)</f>
        <v>0.845</v>
      </c>
      <c r="D31" s="23" t="n">
        <f aca="false">CHOOSE($D$27,D76,D77,D78,D79,D80)</f>
        <v>0.836</v>
      </c>
      <c r="E31" s="23" t="n">
        <f aca="false">CHOOSE($D$27,E76,E77,E78,E79,E80)</f>
        <v>0.832</v>
      </c>
      <c r="F31" s="23" t="n">
        <f aca="false">CHOOSE($D$27,F76,F77,F78,F79,F80)</f>
        <v>0.83</v>
      </c>
      <c r="G31" s="23" t="n">
        <f aca="false">CHOOSE($D$27,G76,G77,G78,G79,G80)</f>
        <v>0.83</v>
      </c>
    </row>
    <row r="32" customFormat="false" ht="13.5" hidden="false" customHeight="true" outlineLevel="0" collapsed="false">
      <c r="B32" s="4" t="s">
        <v>94</v>
      </c>
      <c r="C32" s="23" t="n">
        <f aca="false">CHOOSE($D$27,C83,C84,C85,C86,C87)</f>
        <v>0.1</v>
      </c>
      <c r="D32" s="23" t="n">
        <f aca="false">CHOOSE($D$27,D83,D84,D85,D86,D87)</f>
        <v>0.099</v>
      </c>
      <c r="E32" s="23" t="n">
        <f aca="false">CHOOSE($D$27,E83,E84,E85,E86,E87)</f>
        <v>0.098</v>
      </c>
      <c r="F32" s="23" t="n">
        <f aca="false">CHOOSE($D$27,F83,F84,F85,F86,F87)</f>
        <v>0.098</v>
      </c>
      <c r="G32" s="23" t="n">
        <f aca="false">CHOOSE($D$27,G83,G84,G85,G86,G87)</f>
        <v>0.098</v>
      </c>
    </row>
    <row r="33" customFormat="false" ht="13.5" hidden="false" customHeight="true" outlineLevel="0" collapsed="false">
      <c r="B33" s="4" t="s">
        <v>36</v>
      </c>
      <c r="C33" s="6" t="n">
        <f aca="false">C17*(1+C30)</f>
        <v>47241927.47</v>
      </c>
      <c r="D33" s="6" t="n">
        <f aca="false">C33*(1+D30)</f>
        <v>49131604.5688</v>
      </c>
      <c r="E33" s="6" t="n">
        <f aca="false">D33*(1+E30)</f>
        <v>50605552.705864</v>
      </c>
      <c r="F33" s="6" t="n">
        <f aca="false">E33*(1+F30)</f>
        <v>52123719.2870399</v>
      </c>
      <c r="G33" s="6" t="n">
        <f aca="false">F33*(1+G30)</f>
        <v>53166193.6727807</v>
      </c>
    </row>
    <row r="34" customFormat="false" ht="13.5" hidden="false" customHeight="true" outlineLevel="0" collapsed="false">
      <c r="B34" s="4" t="s">
        <v>37</v>
      </c>
      <c r="C34" s="6" t="n">
        <f aca="false">C33*C31</f>
        <v>39919428.71215</v>
      </c>
      <c r="D34" s="6" t="n">
        <f aca="false">D33*D31</f>
        <v>41074021.4195168</v>
      </c>
      <c r="E34" s="6" t="n">
        <f aca="false">E33*E31</f>
        <v>42103819.8512789</v>
      </c>
      <c r="F34" s="6" t="n">
        <f aca="false">F33*F31</f>
        <v>43262687.0082431</v>
      </c>
      <c r="G34" s="6" t="n">
        <f aca="false">G33*G31</f>
        <v>44127940.748408</v>
      </c>
    </row>
    <row r="35" customFormat="false" ht="13.5" hidden="false" customHeight="true" outlineLevel="0" collapsed="false">
      <c r="B35" s="4" t="s">
        <v>38</v>
      </c>
      <c r="C35" s="24" t="n">
        <f aca="false">C33-C34</f>
        <v>7322498.75785</v>
      </c>
      <c r="D35" s="24" t="n">
        <f aca="false">D33-D34</f>
        <v>8057583.1492832</v>
      </c>
      <c r="E35" s="24" t="n">
        <f aca="false">E33-E34</f>
        <v>8501732.85458516</v>
      </c>
      <c r="F35" s="24" t="n">
        <f aca="false">F33-F34</f>
        <v>8861032.27879679</v>
      </c>
      <c r="G35" s="24" t="n">
        <f aca="false">G33-G34</f>
        <v>9038252.92437273</v>
      </c>
    </row>
    <row r="36" customFormat="false" ht="13.5" hidden="false" customHeight="true" outlineLevel="0" collapsed="false">
      <c r="B36" s="4" t="s">
        <v>39</v>
      </c>
      <c r="C36" s="8" t="n">
        <f aca="false">C35/C33</f>
        <v>0.155</v>
      </c>
      <c r="D36" s="8" t="n">
        <f aca="false">D35/D33</f>
        <v>0.164</v>
      </c>
      <c r="E36" s="8" t="n">
        <f aca="false">E35/E33</f>
        <v>0.168</v>
      </c>
      <c r="F36" s="8" t="n">
        <f aca="false">F35/F33</f>
        <v>0.17</v>
      </c>
      <c r="G36" s="8" t="n">
        <f aca="false">G35/G33</f>
        <v>0.17</v>
      </c>
    </row>
    <row r="37" customFormat="false" ht="13.5" hidden="false" customHeight="true" outlineLevel="0" collapsed="false">
      <c r="B37" s="4" t="s">
        <v>95</v>
      </c>
      <c r="C37" s="6" t="n">
        <f aca="false">C33*C32</f>
        <v>4724192.747</v>
      </c>
      <c r="D37" s="6" t="n">
        <f aca="false">D33*D32</f>
        <v>4864028.8523112</v>
      </c>
      <c r="E37" s="6" t="n">
        <f aca="false">E33*E32</f>
        <v>4959344.16517467</v>
      </c>
      <c r="F37" s="6" t="n">
        <f aca="false">F33*F32</f>
        <v>5108124.49012991</v>
      </c>
      <c r="G37" s="6" t="n">
        <f aca="false">G33*G32</f>
        <v>5210286.97993251</v>
      </c>
    </row>
    <row r="38" customFormat="false" ht="13.5" hidden="false" customHeight="true" outlineLevel="0" collapsed="false">
      <c r="B38" s="4" t="s">
        <v>96</v>
      </c>
      <c r="C38" s="8" t="n">
        <f aca="false">(C35-C37)/C33</f>
        <v>0.055</v>
      </c>
      <c r="D38" s="8" t="n">
        <f aca="false">(D35-D37)/D33</f>
        <v>0.065</v>
      </c>
      <c r="E38" s="8" t="n">
        <f aca="false">(E35-E37)/E33</f>
        <v>0.0700000000000001</v>
      </c>
      <c r="F38" s="8" t="n">
        <f aca="false">(F35-F37)/F33</f>
        <v>0.0720000000000001</v>
      </c>
      <c r="G38" s="8" t="n">
        <f aca="false">(G35-G37)/G33</f>
        <v>0.072</v>
      </c>
    </row>
    <row r="39" customFormat="false" ht="13.5" hidden="false" customHeight="true" outlineLevel="0" collapsed="false">
      <c r="B39" s="4" t="s">
        <v>97</v>
      </c>
      <c r="C39" s="24" t="n">
        <f aca="false">C35-C37</f>
        <v>2598306.01085</v>
      </c>
      <c r="D39" s="24" t="n">
        <f aca="false">D35-D37</f>
        <v>3193554.296972</v>
      </c>
      <c r="E39" s="24" t="n">
        <f aca="false">E35-E37</f>
        <v>3542388.68941048</v>
      </c>
      <c r="F39" s="24" t="n">
        <f aca="false">F35-F37</f>
        <v>3752907.78866688</v>
      </c>
      <c r="G39" s="24" t="n">
        <f aca="false">G35-G37</f>
        <v>3827965.94444021</v>
      </c>
    </row>
    <row r="40" customFormat="false" ht="13.5" hidden="false" customHeight="true" outlineLevel="0" collapsed="false">
      <c r="B40" s="4" t="s">
        <v>98</v>
      </c>
      <c r="C40" s="6" t="n">
        <f aca="false">MAX(0,C39*C6)</f>
        <v>675559.562821</v>
      </c>
      <c r="D40" s="6" t="n">
        <f aca="false">MAX(0,D39*C6)</f>
        <v>830324.11721272</v>
      </c>
      <c r="E40" s="6" t="n">
        <f aca="false">MAX(0,E39*C6)</f>
        <v>921021.059246726</v>
      </c>
      <c r="F40" s="6" t="n">
        <f aca="false">MAX(0,F39*C6)</f>
        <v>975756.025053389</v>
      </c>
      <c r="G40" s="6" t="n">
        <f aca="false">MAX(0,G39*C6)</f>
        <v>995271.145554456</v>
      </c>
    </row>
    <row r="41" customFormat="false" ht="13.5" hidden="false" customHeight="true" outlineLevel="0" collapsed="false">
      <c r="B41" s="4" t="s">
        <v>99</v>
      </c>
      <c r="C41" s="24" t="n">
        <f aca="false">C39-C40</f>
        <v>1922746.448029</v>
      </c>
      <c r="D41" s="24" t="n">
        <f aca="false">D39-D40</f>
        <v>2363230.17975928</v>
      </c>
      <c r="E41" s="24" t="n">
        <f aca="false">E39-E40</f>
        <v>2621367.63016376</v>
      </c>
      <c r="F41" s="24" t="n">
        <f aca="false">F39-F40</f>
        <v>2777151.76361349</v>
      </c>
      <c r="G41" s="24" t="n">
        <f aca="false">G39-G40</f>
        <v>2832694.79888576</v>
      </c>
    </row>
    <row r="42" customFormat="false" ht="13.5" hidden="false" customHeight="true" outlineLevel="0" collapsed="false">
      <c r="B42" s="4" t="s">
        <v>100</v>
      </c>
      <c r="C42" s="6" t="n">
        <v>1538220</v>
      </c>
      <c r="D42" s="6" t="n">
        <v>1610004</v>
      </c>
      <c r="E42" s="6" t="n">
        <v>1681787</v>
      </c>
      <c r="F42" s="6" t="n">
        <v>1753571</v>
      </c>
      <c r="G42" s="6" t="n">
        <v>1825354</v>
      </c>
    </row>
    <row r="43" customFormat="false" ht="13.5" hidden="false" customHeight="true" outlineLevel="0" collapsed="false">
      <c r="B43" s="4" t="s">
        <v>101</v>
      </c>
      <c r="C43" s="6" t="n">
        <v>2600000</v>
      </c>
      <c r="D43" s="6" t="n">
        <v>2650000</v>
      </c>
      <c r="E43" s="6" t="n">
        <v>2700000</v>
      </c>
      <c r="F43" s="6" t="n">
        <v>2750000</v>
      </c>
      <c r="G43" s="6" t="n">
        <v>2800000</v>
      </c>
    </row>
    <row r="44" customFormat="false" ht="13.5" hidden="false" customHeight="true" outlineLevel="0" collapsed="false">
      <c r="B44" s="4" t="s">
        <v>102</v>
      </c>
      <c r="C44" s="6" t="n">
        <f aca="false">'NWC Schedule'!D19</f>
        <v>43283.0633286294</v>
      </c>
      <c r="D44" s="6" t="n">
        <f aca="false">'NWC Schedule'!E19</f>
        <v>20641.486555933</v>
      </c>
      <c r="E44" s="6" t="n">
        <f aca="false">'NWC Schedule'!F19</f>
        <v>-16777.4334067255</v>
      </c>
      <c r="F44" s="6" t="n">
        <f aca="false">'NWC Schedule'!G19</f>
        <v>96206.0082810931</v>
      </c>
      <c r="G44" s="6" t="n">
        <f aca="false">'NWC Schedule'!H19</f>
        <v>64347.8024951806</v>
      </c>
    </row>
    <row r="45" customFormat="false" ht="13.5" hidden="false" customHeight="true" outlineLevel="0" collapsed="false">
      <c r="B45" s="4" t="s">
        <v>103</v>
      </c>
      <c r="C45" s="25" t="n">
        <f aca="false">C41+C42-C43-C44</f>
        <v>817683.38470037</v>
      </c>
      <c r="D45" s="25" t="n">
        <f aca="false">D41+D42-D43-D44</f>
        <v>1302592.69320335</v>
      </c>
      <c r="E45" s="25" t="n">
        <f aca="false">E41+E42-E43-E44</f>
        <v>1619932.06357048</v>
      </c>
      <c r="F45" s="25" t="n">
        <f aca="false">F41+F42-F43-F44</f>
        <v>1684516.7553324</v>
      </c>
      <c r="G45" s="25" t="n">
        <f aca="false">G41+G42-G43-G44</f>
        <v>1793700.99639058</v>
      </c>
    </row>
    <row r="46" customFormat="false" ht="13.5" hidden="false" customHeight="true" outlineLevel="0" collapsed="false">
      <c r="B46" s="4" t="s">
        <v>104</v>
      </c>
      <c r="C46" s="26" t="n">
        <f aca="false">1/(1+C26)^(C19+0)</f>
        <v>0.931098696461825</v>
      </c>
      <c r="D46" s="26" t="n">
        <f aca="false">1/(1+C26)^(C19+1)</f>
        <v>0.86694478255291</v>
      </c>
      <c r="E46" s="26" t="n">
        <f aca="false">1/(1+C26)^(C19+2)</f>
        <v>0.807211156939394</v>
      </c>
      <c r="F46" s="26" t="n">
        <f aca="false">1/(1+C26)^(C19+3)</f>
        <v>0.751593255995712</v>
      </c>
      <c r="G46" s="26" t="n">
        <f aca="false">1/(1+C26)^(C19+4)</f>
        <v>0.699807500927106</v>
      </c>
    </row>
    <row r="47" customFormat="false" ht="13.5" hidden="false" customHeight="true" outlineLevel="0" collapsed="false">
      <c r="B47" s="4" t="s">
        <v>105</v>
      </c>
      <c r="C47" s="24" t="n">
        <f aca="false">C45*C46</f>
        <v>761343.933613007</v>
      </c>
      <c r="D47" s="24" t="n">
        <f aca="false">D45*D46</f>
        <v>1129275.93916418</v>
      </c>
      <c r="E47" s="24" t="n">
        <f aca="false">E45*E46</f>
        <v>1307627.23519795</v>
      </c>
      <c r="F47" s="24" t="n">
        <f aca="false">F45*F46</f>
        <v>1266071.43291961</v>
      </c>
      <c r="G47" s="24" t="n">
        <f aca="false">G45*G46</f>
        <v>1255245.41169455</v>
      </c>
    </row>
    <row r="48" customFormat="false" ht="13.8" hidden="false" customHeight="false" outlineLevel="0" collapsed="false"/>
    <row r="49" customFormat="false" ht="13.5" hidden="false" customHeight="true" outlineLevel="0" collapsed="false">
      <c r="B49" s="27" t="s">
        <v>106</v>
      </c>
      <c r="C49" s="28"/>
      <c r="D49" s="28"/>
      <c r="E49" s="28"/>
      <c r="F49" s="28"/>
      <c r="G49" s="28"/>
    </row>
    <row r="50" customFormat="false" ht="13.5" hidden="false" customHeight="true" outlineLevel="0" collapsed="false">
      <c r="B50" s="4" t="s">
        <v>107</v>
      </c>
      <c r="C50" s="6" t="n">
        <f aca="false">SUM(C47:G47)</f>
        <v>5719563.9525893</v>
      </c>
    </row>
    <row r="51" customFormat="false" ht="13.5" hidden="false" customHeight="true" outlineLevel="0" collapsed="false">
      <c r="B51" s="4" t="s">
        <v>108</v>
      </c>
      <c r="C51" s="6" t="n">
        <f aca="false">G45*(1+C13)/(C26-C13)</f>
        <v>28306843.8492888</v>
      </c>
    </row>
    <row r="52" customFormat="false" ht="13.5" hidden="false" customHeight="true" outlineLevel="0" collapsed="false">
      <c r="B52" s="4" t="s">
        <v>109</v>
      </c>
      <c r="C52" s="6" t="n">
        <f aca="false">C51*G46</f>
        <v>19809341.6533046</v>
      </c>
    </row>
    <row r="53" customFormat="false" ht="13.5" hidden="false" customHeight="true" outlineLevel="0" collapsed="false">
      <c r="B53" s="4" t="s">
        <v>110</v>
      </c>
      <c r="C53" s="6" t="n">
        <f aca="false">C50+C52</f>
        <v>25528905.6058939</v>
      </c>
    </row>
    <row r="54" customFormat="false" ht="13.5" hidden="false" customHeight="true" outlineLevel="0" collapsed="false">
      <c r="B54" s="4" t="s">
        <v>111</v>
      </c>
      <c r="C54" s="6" t="n">
        <f aca="false">C53-C16</f>
        <v>35328905.6058939</v>
      </c>
    </row>
    <row r="55" customFormat="false" ht="13.5" hidden="false" customHeight="true" outlineLevel="0" collapsed="false">
      <c r="B55" s="4" t="s">
        <v>112</v>
      </c>
      <c r="C55" s="29" t="n">
        <f aca="false">ROUND(C54*1000000/C15,0)</f>
        <v>2716</v>
      </c>
    </row>
    <row r="56" customFormat="false" ht="13.8" hidden="false" customHeight="false" outlineLevel="0" collapsed="false"/>
    <row r="57" customFormat="false" ht="13.5" hidden="false" customHeight="true" outlineLevel="0" collapsed="false">
      <c r="B57" s="27" t="s">
        <v>113</v>
      </c>
      <c r="C57" s="28"/>
      <c r="D57" s="28"/>
      <c r="E57" s="28"/>
      <c r="F57" s="28"/>
      <c r="G57" s="28"/>
    </row>
    <row r="58" customFormat="false" ht="13.5" hidden="false" customHeight="true" outlineLevel="0" collapsed="false">
      <c r="B58" s="4" t="s">
        <v>107</v>
      </c>
      <c r="C58" s="6" t="n">
        <f aca="false">C50</f>
        <v>5719563.9525893</v>
      </c>
    </row>
    <row r="59" customFormat="false" ht="13.5" hidden="false" customHeight="true" outlineLevel="0" collapsed="false">
      <c r="B59" s="4" t="s">
        <v>114</v>
      </c>
      <c r="C59" s="6" t="n">
        <f aca="false">G39+G42</f>
        <v>5653319.94444021</v>
      </c>
    </row>
    <row r="60" customFormat="false" ht="13.5" hidden="false" customHeight="true" outlineLevel="0" collapsed="false">
      <c r="B60" s="4" t="s">
        <v>115</v>
      </c>
      <c r="C60" s="6" t="n">
        <f aca="false">C59*C14</f>
        <v>67839839.3332826</v>
      </c>
    </row>
    <row r="61" customFormat="false" ht="13.5" hidden="false" customHeight="true" outlineLevel="0" collapsed="false">
      <c r="B61" s="4" t="s">
        <v>109</v>
      </c>
      <c r="C61" s="6" t="n">
        <f aca="false">C60*G46</f>
        <v>47474828.4271208</v>
      </c>
    </row>
    <row r="62" customFormat="false" ht="13.5" hidden="false" customHeight="true" outlineLevel="0" collapsed="false">
      <c r="B62" s="4" t="s">
        <v>110</v>
      </c>
      <c r="C62" s="6" t="n">
        <f aca="false">C58+C61</f>
        <v>53194392.3797101</v>
      </c>
    </row>
    <row r="63" customFormat="false" ht="13.5" hidden="false" customHeight="true" outlineLevel="0" collapsed="false">
      <c r="B63" s="4" t="s">
        <v>111</v>
      </c>
      <c r="C63" s="6" t="n">
        <f aca="false">C62-C16</f>
        <v>62994392.3797101</v>
      </c>
    </row>
    <row r="64" customFormat="false" ht="13.5" hidden="false" customHeight="true" outlineLevel="0" collapsed="false">
      <c r="B64" s="4" t="s">
        <v>116</v>
      </c>
      <c r="C64" s="29" t="n">
        <f aca="false">ROUND(C63*1000000/C15,0)</f>
        <v>4842</v>
      </c>
    </row>
    <row r="65" customFormat="false" ht="13.8" hidden="false" customHeight="false" outlineLevel="0" collapsed="false"/>
    <row r="66" customFormat="false" ht="13.5" hidden="false" customHeight="true" outlineLevel="0" collapsed="false">
      <c r="B66" s="27" t="s">
        <v>117</v>
      </c>
      <c r="C66" s="28"/>
      <c r="D66" s="28"/>
      <c r="E66" s="28"/>
      <c r="F66" s="28"/>
      <c r="G66" s="28"/>
    </row>
    <row r="67" customFormat="false" ht="13.5" hidden="false" customHeight="true" outlineLevel="0" collapsed="false">
      <c r="C67" s="30" t="s">
        <v>118</v>
      </c>
      <c r="D67" s="30" t="s">
        <v>119</v>
      </c>
      <c r="E67" s="30" t="s">
        <v>120</v>
      </c>
      <c r="F67" s="30" t="s">
        <v>121</v>
      </c>
      <c r="G67" s="30" t="s">
        <v>122</v>
      </c>
    </row>
    <row r="68" customFormat="false" ht="13.5" hidden="false" customHeight="true" outlineLevel="0" collapsed="false">
      <c r="B68" s="3" t="s">
        <v>45</v>
      </c>
    </row>
    <row r="69" customFormat="false" ht="13.5" hidden="false" customHeight="true" outlineLevel="0" collapsed="false">
      <c r="B69" s="4" t="s">
        <v>86</v>
      </c>
      <c r="C69" s="31" t="n">
        <v>0.03</v>
      </c>
      <c r="D69" s="31" t="n">
        <v>0.04</v>
      </c>
      <c r="E69" s="31" t="n">
        <v>0.03</v>
      </c>
      <c r="F69" s="31" t="n">
        <v>0.03</v>
      </c>
      <c r="G69" s="31" t="n">
        <v>0.02</v>
      </c>
    </row>
    <row r="70" customFormat="false" ht="13.5" hidden="false" customHeight="true" outlineLevel="0" collapsed="false">
      <c r="B70" s="4" t="s">
        <v>123</v>
      </c>
      <c r="C70" s="31" t="n">
        <v>0.06</v>
      </c>
      <c r="D70" s="31" t="n">
        <v>0.06</v>
      </c>
      <c r="E70" s="31" t="n">
        <v>0.05</v>
      </c>
      <c r="F70" s="31" t="n">
        <v>0.04</v>
      </c>
      <c r="G70" s="31" t="n">
        <v>0.04</v>
      </c>
    </row>
    <row r="71" customFormat="false" ht="13.5" hidden="false" customHeight="true" outlineLevel="0" collapsed="false">
      <c r="B71" s="4" t="s">
        <v>124</v>
      </c>
      <c r="C71" s="31" t="n">
        <v>0.0062</v>
      </c>
      <c r="D71" s="31" t="n">
        <v>0.03</v>
      </c>
      <c r="E71" s="31" t="n">
        <v>0.03</v>
      </c>
      <c r="F71" s="31" t="n">
        <v>0.02</v>
      </c>
      <c r="G71" s="31" t="n">
        <v>0.02</v>
      </c>
    </row>
    <row r="72" customFormat="false" ht="13.5" hidden="false" customHeight="true" outlineLevel="0" collapsed="false">
      <c r="B72" s="4" t="s">
        <v>125</v>
      </c>
      <c r="C72" s="31" t="n">
        <v>0</v>
      </c>
      <c r="D72" s="31" t="n">
        <v>0.01</v>
      </c>
      <c r="E72" s="31" t="n">
        <v>0.01</v>
      </c>
      <c r="F72" s="31" t="n">
        <v>0.01</v>
      </c>
      <c r="G72" s="31" t="n">
        <v>0.01</v>
      </c>
    </row>
    <row r="73" customFormat="false" ht="13.5" hidden="false" customHeight="true" outlineLevel="0" collapsed="false">
      <c r="B73" s="4" t="s">
        <v>126</v>
      </c>
      <c r="C73" s="31" t="n">
        <v>-0.03</v>
      </c>
      <c r="D73" s="31" t="n">
        <v>-0.04</v>
      </c>
      <c r="E73" s="31" t="n">
        <v>-0.02</v>
      </c>
      <c r="F73" s="31" t="n">
        <v>0</v>
      </c>
      <c r="G73" s="31" t="n">
        <v>0</v>
      </c>
    </row>
    <row r="74" customFormat="false" ht="13.8" hidden="false" customHeight="false" outlineLevel="0" collapsed="false"/>
    <row r="75" customFormat="false" ht="13.5" hidden="false" customHeight="true" outlineLevel="0" collapsed="false">
      <c r="B75" s="3" t="s">
        <v>93</v>
      </c>
    </row>
    <row r="76" customFormat="false" ht="13.5" hidden="false" customHeight="true" outlineLevel="0" collapsed="false">
      <c r="B76" s="4" t="s">
        <v>86</v>
      </c>
      <c r="C76" s="31" t="n">
        <v>0.845</v>
      </c>
      <c r="D76" s="31" t="n">
        <v>0.836</v>
      </c>
      <c r="E76" s="31" t="n">
        <v>0.832</v>
      </c>
      <c r="F76" s="31" t="n">
        <v>0.83</v>
      </c>
      <c r="G76" s="31" t="n">
        <v>0.83</v>
      </c>
    </row>
    <row r="77" customFormat="false" ht="13.5" hidden="false" customHeight="true" outlineLevel="0" collapsed="false">
      <c r="B77" s="4" t="s">
        <v>123</v>
      </c>
      <c r="C77" s="31" t="n">
        <v>0.836</v>
      </c>
      <c r="D77" s="31" t="n">
        <v>0.822</v>
      </c>
      <c r="E77" s="31" t="n">
        <v>0.815</v>
      </c>
      <c r="F77" s="31" t="n">
        <v>0.812</v>
      </c>
      <c r="G77" s="31" t="n">
        <v>0.809</v>
      </c>
    </row>
    <row r="78" customFormat="false" ht="13.5" hidden="false" customHeight="true" outlineLevel="0" collapsed="false">
      <c r="B78" s="4" t="s">
        <v>124</v>
      </c>
      <c r="C78" s="31" t="n">
        <v>0.8722</v>
      </c>
      <c r="D78" s="31" t="n">
        <v>0.836</v>
      </c>
      <c r="E78" s="31" t="n">
        <v>0.834</v>
      </c>
      <c r="F78" s="31" t="n">
        <v>0.832</v>
      </c>
      <c r="G78" s="31" t="n">
        <v>0.832</v>
      </c>
    </row>
    <row r="79" customFormat="false" ht="13.5" hidden="false" customHeight="true" outlineLevel="0" collapsed="false">
      <c r="B79" s="4" t="s">
        <v>125</v>
      </c>
      <c r="C79" s="31" t="n">
        <v>0.863</v>
      </c>
      <c r="D79" s="31" t="n">
        <v>0.868</v>
      </c>
      <c r="E79" s="31" t="n">
        <v>0.864</v>
      </c>
      <c r="F79" s="31" t="n">
        <v>0.859</v>
      </c>
      <c r="G79" s="31" t="n">
        <v>0.859</v>
      </c>
    </row>
    <row r="80" customFormat="false" ht="13.5" hidden="false" customHeight="true" outlineLevel="0" collapsed="false">
      <c r="B80" s="4" t="s">
        <v>126</v>
      </c>
      <c r="C80" s="31" t="n">
        <v>0.875</v>
      </c>
      <c r="D80" s="31" t="n">
        <v>0.89</v>
      </c>
      <c r="E80" s="31" t="n">
        <v>0.885</v>
      </c>
      <c r="F80" s="31" t="n">
        <v>0.88</v>
      </c>
      <c r="G80" s="31" t="n">
        <v>0.88</v>
      </c>
    </row>
    <row r="81" customFormat="false" ht="13.8" hidden="false" customHeight="false" outlineLevel="0" collapsed="false"/>
    <row r="82" customFormat="false" ht="13.5" hidden="false" customHeight="true" outlineLevel="0" collapsed="false">
      <c r="B82" s="3" t="s">
        <v>94</v>
      </c>
    </row>
    <row r="83" customFormat="false" ht="13.5" hidden="false" customHeight="true" outlineLevel="0" collapsed="false">
      <c r="B83" s="4" t="s">
        <v>86</v>
      </c>
      <c r="C83" s="31" t="n">
        <v>0.1</v>
      </c>
      <c r="D83" s="31" t="n">
        <v>0.099</v>
      </c>
      <c r="E83" s="31" t="n">
        <v>0.098</v>
      </c>
      <c r="F83" s="31" t="n">
        <v>0.098</v>
      </c>
      <c r="G83" s="31" t="n">
        <v>0.098</v>
      </c>
    </row>
    <row r="84" customFormat="false" ht="13.5" hidden="false" customHeight="true" outlineLevel="0" collapsed="false">
      <c r="B84" s="4" t="s">
        <v>123</v>
      </c>
      <c r="C84" s="31" t="n">
        <v>0.099</v>
      </c>
      <c r="D84" s="31" t="n">
        <v>0.098</v>
      </c>
      <c r="E84" s="31" t="n">
        <v>0.097</v>
      </c>
      <c r="F84" s="31" t="n">
        <v>0.096</v>
      </c>
      <c r="G84" s="31" t="n">
        <v>0.096</v>
      </c>
    </row>
    <row r="85" customFormat="false" ht="13.5" hidden="false" customHeight="true" outlineLevel="0" collapsed="false">
      <c r="B85" s="4" t="s">
        <v>124</v>
      </c>
      <c r="C85" s="31" t="n">
        <v>0.1024</v>
      </c>
      <c r="D85" s="31" t="n">
        <v>0.099</v>
      </c>
      <c r="E85" s="31" t="n">
        <v>0.098</v>
      </c>
      <c r="F85" s="31" t="n">
        <v>0.098</v>
      </c>
      <c r="G85" s="31" t="n">
        <v>0.098</v>
      </c>
    </row>
    <row r="86" customFormat="false" ht="13.5" hidden="false" customHeight="true" outlineLevel="0" collapsed="false">
      <c r="B86" s="4" t="s">
        <v>125</v>
      </c>
      <c r="C86" s="31" t="n">
        <v>0.102</v>
      </c>
      <c r="D86" s="31" t="n">
        <v>0.102</v>
      </c>
      <c r="E86" s="31" t="n">
        <v>0.101</v>
      </c>
      <c r="F86" s="31" t="n">
        <v>0.101</v>
      </c>
      <c r="G86" s="31" t="n">
        <v>0.101</v>
      </c>
    </row>
    <row r="87" customFormat="false" ht="13.5" hidden="false" customHeight="true" outlineLevel="0" collapsed="false">
      <c r="B87" s="4" t="s">
        <v>126</v>
      </c>
      <c r="C87" s="31" t="n">
        <v>0.105</v>
      </c>
      <c r="D87" s="31" t="n">
        <v>0.105</v>
      </c>
      <c r="E87" s="31" t="n">
        <v>0.105</v>
      </c>
      <c r="F87" s="31" t="n">
        <v>0.105</v>
      </c>
      <c r="G87" s="31" t="n">
        <v>0.105</v>
      </c>
    </row>
  </sheetData>
  <dataValidations count="1">
    <dataValidation allowBlank="false" errorStyle="stop" operator="between" showDropDown="false" showErrorMessage="false" showInputMessage="false" sqref="C27" type="list">
      <formula1>"Base,Upside,Management,Downside 1,Downside 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6600"/>
    <pageSetUpPr fitToPage="false"/>
  </sheetPr>
  <dimension ref="B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8" min="3" style="0" width="16"/>
  </cols>
  <sheetData>
    <row r="1" customFormat="false" ht="13.8" hidden="false" customHeight="false" outlineLevel="0" collapsed="false"/>
    <row r="2" customFormat="false" ht="18" hidden="false" customHeight="true" outlineLevel="0" collapsed="false">
      <c r="B2" s="16" t="s">
        <v>127</v>
      </c>
    </row>
    <row r="3" customFormat="false" ht="13.8" hidden="false" customHeight="false" outlineLevel="0" collapsed="false"/>
    <row r="4" customFormat="false" ht="13.5" hidden="false" customHeight="true" outlineLevel="0" collapsed="false">
      <c r="B4" s="9" t="s">
        <v>128</v>
      </c>
      <c r="C4" s="32" t="s">
        <v>129</v>
      </c>
      <c r="D4" s="32" t="s">
        <v>88</v>
      </c>
      <c r="E4" s="32" t="s">
        <v>89</v>
      </c>
      <c r="F4" s="32" t="s">
        <v>90</v>
      </c>
      <c r="G4" s="32" t="s">
        <v>91</v>
      </c>
      <c r="H4" s="32" t="s">
        <v>92</v>
      </c>
    </row>
    <row r="5" customFormat="false" ht="13.5" hidden="false" customHeight="true" outlineLevel="0" collapsed="false">
      <c r="B5" s="33" t="s">
        <v>130</v>
      </c>
      <c r="C5" s="34" t="n">
        <f aca="false">C12/C9*365</f>
        <v>30.2083554403289</v>
      </c>
      <c r="D5" s="34" t="n">
        <f aca="false">CHOOSE('DCF Model'!$D$27,D25,D26,D27,D28,D29)</f>
        <v>30</v>
      </c>
      <c r="E5" s="34" t="n">
        <f aca="false">CHOOSE('DCF Model'!$D$27,E25,E26,E27,E28,E29)</f>
        <v>30</v>
      </c>
      <c r="F5" s="34" t="n">
        <f aca="false">CHOOSE('DCF Model'!$D$27,F25,F26,F27,F28,F29)</f>
        <v>30</v>
      </c>
      <c r="G5" s="34" t="n">
        <f aca="false">CHOOSE('DCF Model'!$D$27,G25,G26,G27,G28,G29)</f>
        <v>30</v>
      </c>
      <c r="H5" s="34" t="n">
        <f aca="false">CHOOSE('DCF Model'!$D$27,H25,H26,H27,H28,H29)</f>
        <v>30</v>
      </c>
    </row>
    <row r="6" customFormat="false" ht="13.5" hidden="false" customHeight="true" outlineLevel="0" collapsed="false">
      <c r="B6" s="33" t="s">
        <v>131</v>
      </c>
      <c r="C6" s="34" t="n">
        <f aca="false">C13/C10*365</f>
        <v>47.8846612046605</v>
      </c>
      <c r="D6" s="34" t="n">
        <f aca="false">CHOOSE('DCF Model'!$D$27,D32,D33,D34,D35,D36)</f>
        <v>48</v>
      </c>
      <c r="E6" s="34" t="n">
        <f aca="false">CHOOSE('DCF Model'!$D$27,E32,E33,E34,E35,E36)</f>
        <v>47</v>
      </c>
      <c r="F6" s="34" t="n">
        <f aca="false">CHOOSE('DCF Model'!$D$27,F32,F33,F34,F35,F36)</f>
        <v>46</v>
      </c>
      <c r="G6" s="34" t="n">
        <f aca="false">CHOOSE('DCF Model'!$D$27,G32,G33,G34,G35,G36)</f>
        <v>46</v>
      </c>
      <c r="H6" s="34" t="n">
        <f aca="false">CHOOSE('DCF Model'!$D$27,H32,H33,H34,H35,H36)</f>
        <v>46</v>
      </c>
    </row>
    <row r="7" customFormat="false" ht="13.5" hidden="false" customHeight="true" outlineLevel="0" collapsed="false">
      <c r="B7" s="33" t="s">
        <v>132</v>
      </c>
      <c r="C7" s="34" t="n">
        <f aca="false">C15/C10*365</f>
        <v>54.6169514093741</v>
      </c>
      <c r="D7" s="34" t="n">
        <f aca="false">CHOOSE('DCF Model'!$D$27,D39,D40,D41,D42,D43)</f>
        <v>55</v>
      </c>
      <c r="E7" s="34" t="n">
        <f aca="false">CHOOSE('DCF Model'!$D$27,E39,E40,E41,E42,E43)</f>
        <v>55</v>
      </c>
      <c r="F7" s="34" t="n">
        <f aca="false">CHOOSE('DCF Model'!$D$27,F39,F40,F41,F42,F43)</f>
        <v>55</v>
      </c>
      <c r="G7" s="34" t="n">
        <f aca="false">CHOOSE('DCF Model'!$D$27,G39,G40,G41,G42,G43)</f>
        <v>55</v>
      </c>
      <c r="H7" s="34" t="n">
        <f aca="false">CHOOSE('DCF Model'!$D$27,H39,H40,H41,H42,H43)</f>
        <v>55</v>
      </c>
    </row>
    <row r="8" customFormat="false" ht="13.5" hidden="false" customHeight="true" outlineLevel="0" collapsed="false">
      <c r="B8" s="9" t="s">
        <v>133</v>
      </c>
      <c r="C8" s="10"/>
      <c r="D8" s="10"/>
      <c r="E8" s="10"/>
      <c r="F8" s="10"/>
      <c r="G8" s="10"/>
      <c r="H8" s="10"/>
    </row>
    <row r="9" customFormat="false" ht="13.5" hidden="false" customHeight="true" outlineLevel="0" collapsed="false">
      <c r="B9" s="33" t="s">
        <v>36</v>
      </c>
      <c r="C9" s="35" t="n">
        <v>45865949</v>
      </c>
      <c r="D9" s="35" t="n">
        <f aca="false">'DCF Model'!C33</f>
        <v>47241927.47</v>
      </c>
      <c r="E9" s="35" t="n">
        <f aca="false">'DCF Model'!D33</f>
        <v>49131604.5688</v>
      </c>
      <c r="F9" s="35" t="n">
        <f aca="false">'DCF Model'!E33</f>
        <v>50605552.705864</v>
      </c>
      <c r="G9" s="35" t="n">
        <f aca="false">'DCF Model'!F33</f>
        <v>52123719.2870399</v>
      </c>
      <c r="H9" s="35" t="n">
        <f aca="false">'DCF Model'!G33</f>
        <v>53166193.6727807</v>
      </c>
    </row>
    <row r="10" customFormat="false" ht="13.5" hidden="false" customHeight="true" outlineLevel="0" collapsed="false">
      <c r="B10" s="33" t="s">
        <v>37</v>
      </c>
      <c r="C10" s="35" t="n">
        <v>39141418</v>
      </c>
      <c r="D10" s="35" t="n">
        <f aca="false">'DCF Model'!C34</f>
        <v>39919428.71215</v>
      </c>
      <c r="E10" s="35" t="n">
        <f aca="false">'DCF Model'!D34</f>
        <v>41074021.4195168</v>
      </c>
      <c r="F10" s="35" t="n">
        <f aca="false">'DCF Model'!E34</f>
        <v>42103819.8512789</v>
      </c>
      <c r="G10" s="35" t="n">
        <f aca="false">'DCF Model'!F34</f>
        <v>43262687.0082431</v>
      </c>
      <c r="H10" s="35" t="n">
        <f aca="false">'DCF Model'!G34</f>
        <v>44127940.748408</v>
      </c>
    </row>
    <row r="11" customFormat="false" ht="13.5" hidden="false" customHeight="true" outlineLevel="0" collapsed="false">
      <c r="B11" s="9" t="s">
        <v>134</v>
      </c>
      <c r="C11" s="10"/>
      <c r="D11" s="10"/>
      <c r="E11" s="10"/>
      <c r="F11" s="10"/>
      <c r="G11" s="10"/>
      <c r="H11" s="10"/>
    </row>
    <row r="12" customFormat="false" ht="13.5" hidden="false" customHeight="true" outlineLevel="0" collapsed="false">
      <c r="B12" s="33" t="s">
        <v>135</v>
      </c>
      <c r="C12" s="35" t="n">
        <v>3795986</v>
      </c>
      <c r="D12" s="35" t="n">
        <f aca="false">D9*D5/365</f>
        <v>3882898.14821918</v>
      </c>
      <c r="E12" s="35" t="n">
        <f aca="false">E9*E5/365</f>
        <v>4038214.07414795</v>
      </c>
      <c r="F12" s="35" t="n">
        <f aca="false">F9*F5/365</f>
        <v>4159360.49637238</v>
      </c>
      <c r="G12" s="35" t="n">
        <f aca="false">G9*G5/365</f>
        <v>4284141.31126356</v>
      </c>
      <c r="H12" s="35" t="n">
        <f aca="false">H9*H5/365</f>
        <v>4369824.13748883</v>
      </c>
    </row>
    <row r="13" customFormat="false" ht="13.5" hidden="false" customHeight="true" outlineLevel="0" collapsed="false">
      <c r="B13" s="33" t="s">
        <v>136</v>
      </c>
      <c r="C13" s="35" t="n">
        <v>5134996</v>
      </c>
      <c r="D13" s="35" t="n">
        <f aca="false">D10*D6/365</f>
        <v>5249678.29639233</v>
      </c>
      <c r="E13" s="35" t="n">
        <f aca="false">E10*E6/365</f>
        <v>5288983.58004737</v>
      </c>
      <c r="F13" s="35" t="n">
        <f aca="false">F10*F6/365</f>
        <v>5306234.83057213</v>
      </c>
      <c r="G13" s="35" t="n">
        <f aca="false">G10*G6/365</f>
        <v>5452283.84213475</v>
      </c>
      <c r="H13" s="35" t="n">
        <f aca="false">H10*H6/365</f>
        <v>5561329.51897745</v>
      </c>
    </row>
    <row r="14" customFormat="false" ht="13.5" hidden="false" customHeight="true" outlineLevel="0" collapsed="false">
      <c r="B14" s="33" t="s">
        <v>137</v>
      </c>
      <c r="C14" s="35" t="n">
        <f aca="false">C12+C13</f>
        <v>8930982</v>
      </c>
      <c r="D14" s="35" t="n">
        <f aca="false">D12+D13</f>
        <v>9132576.44461151</v>
      </c>
      <c r="E14" s="35" t="n">
        <f aca="false">E12+E13</f>
        <v>9327197.65419531</v>
      </c>
      <c r="F14" s="35" t="n">
        <f aca="false">F12+F13</f>
        <v>9465595.32694451</v>
      </c>
      <c r="G14" s="35" t="n">
        <f aca="false">G12+G13</f>
        <v>9736425.15339831</v>
      </c>
      <c r="H14" s="35" t="n">
        <f aca="false">H12+H13</f>
        <v>9931153.65646628</v>
      </c>
    </row>
    <row r="15" customFormat="false" ht="13.5" hidden="false" customHeight="true" outlineLevel="0" collapsed="false">
      <c r="B15" s="33" t="s">
        <v>138</v>
      </c>
      <c r="C15" s="35" t="n">
        <v>5856945</v>
      </c>
      <c r="D15" s="35" t="n">
        <f aca="false">D10*D7/365</f>
        <v>6015256.38128288</v>
      </c>
      <c r="E15" s="35" t="n">
        <f aca="false">E10*E7/365</f>
        <v>6189236.10431075</v>
      </c>
      <c r="F15" s="35" t="n">
        <f aca="false">F10*F7/365</f>
        <v>6344411.21046668</v>
      </c>
      <c r="G15" s="35" t="n">
        <f aca="false">G10*G7/365</f>
        <v>6519035.02863938</v>
      </c>
      <c r="H15" s="35" t="n">
        <f aca="false">H10*H7/365</f>
        <v>6649415.72921217</v>
      </c>
    </row>
    <row r="16" customFormat="false" ht="13.5" hidden="false" customHeight="true" outlineLevel="0" collapsed="false">
      <c r="B16" s="33" t="s">
        <v>139</v>
      </c>
      <c r="C16" s="35" t="n">
        <f aca="false">C15</f>
        <v>5856945</v>
      </c>
      <c r="D16" s="35" t="n">
        <f aca="false">D15</f>
        <v>6015256.38128288</v>
      </c>
      <c r="E16" s="35" t="n">
        <f aca="false">E15</f>
        <v>6189236.10431075</v>
      </c>
      <c r="F16" s="35" t="n">
        <f aca="false">F15</f>
        <v>6344411.21046668</v>
      </c>
      <c r="G16" s="35" t="n">
        <f aca="false">G15</f>
        <v>6519035.02863938</v>
      </c>
      <c r="H16" s="35" t="n">
        <f aca="false">H15</f>
        <v>6649415.72921217</v>
      </c>
    </row>
    <row r="17" customFormat="false" ht="13.5" hidden="false" customHeight="true" outlineLevel="0" collapsed="false">
      <c r="B17" s="27" t="s">
        <v>140</v>
      </c>
      <c r="C17" s="28"/>
      <c r="D17" s="28"/>
      <c r="E17" s="28"/>
      <c r="F17" s="28"/>
      <c r="G17" s="28"/>
      <c r="H17" s="28"/>
    </row>
    <row r="18" customFormat="false" ht="13.5" hidden="false" customHeight="true" outlineLevel="0" collapsed="false">
      <c r="B18" s="33" t="s">
        <v>141</v>
      </c>
      <c r="C18" s="25" t="n">
        <f aca="false">C14-C16</f>
        <v>3074037</v>
      </c>
      <c r="D18" s="25" t="n">
        <f aca="false">D14-D16</f>
        <v>3117320.06332863</v>
      </c>
      <c r="E18" s="25" t="n">
        <f aca="false">E14-E16</f>
        <v>3137961.54988456</v>
      </c>
      <c r="F18" s="25" t="n">
        <f aca="false">F14-F16</f>
        <v>3121184.11647784</v>
      </c>
      <c r="G18" s="25" t="n">
        <f aca="false">G14-G16</f>
        <v>3217390.12475893</v>
      </c>
      <c r="H18" s="25" t="n">
        <f aca="false">H14-H16</f>
        <v>3281737.92725411</v>
      </c>
    </row>
    <row r="19" customFormat="false" ht="13.5" hidden="false" customHeight="true" outlineLevel="0" collapsed="false">
      <c r="B19" s="33" t="s">
        <v>102</v>
      </c>
      <c r="C19" s="36" t="s">
        <v>46</v>
      </c>
      <c r="D19" s="29" t="n">
        <f aca="false">D18-C18</f>
        <v>43283.0633286294</v>
      </c>
      <c r="E19" s="29" t="n">
        <f aca="false">E18-D18</f>
        <v>20641.486555933</v>
      </c>
      <c r="F19" s="29" t="n">
        <f aca="false">F18-E18</f>
        <v>-16777.4334067255</v>
      </c>
      <c r="G19" s="29" t="n">
        <f aca="false">G18-F18</f>
        <v>96206.0082810931</v>
      </c>
      <c r="H19" s="29" t="n">
        <f aca="false">H18-G18</f>
        <v>64347.8024951806</v>
      </c>
    </row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5" hidden="false" customHeight="true" outlineLevel="0" collapsed="false">
      <c r="B22" s="27" t="s">
        <v>142</v>
      </c>
      <c r="C22" s="28"/>
      <c r="D22" s="28"/>
      <c r="E22" s="28"/>
      <c r="F22" s="28"/>
      <c r="G22" s="28"/>
      <c r="H22" s="28"/>
    </row>
    <row r="23" customFormat="false" ht="13.5" hidden="false" customHeight="true" outlineLevel="0" collapsed="false">
      <c r="D23" s="30" t="s">
        <v>88</v>
      </c>
      <c r="E23" s="30" t="s">
        <v>89</v>
      </c>
      <c r="F23" s="30" t="s">
        <v>90</v>
      </c>
      <c r="G23" s="30" t="s">
        <v>91</v>
      </c>
      <c r="H23" s="30" t="s">
        <v>92</v>
      </c>
    </row>
    <row r="24" customFormat="false" ht="13.5" hidden="false" customHeight="true" outlineLevel="0" collapsed="false">
      <c r="B24" s="3" t="s">
        <v>143</v>
      </c>
    </row>
    <row r="25" customFormat="false" ht="13.5" hidden="false" customHeight="true" outlineLevel="0" collapsed="false">
      <c r="B25" s="4" t="s">
        <v>86</v>
      </c>
      <c r="D25" s="37" t="n">
        <v>30</v>
      </c>
      <c r="E25" s="37" t="n">
        <v>30</v>
      </c>
      <c r="F25" s="37" t="n">
        <v>30</v>
      </c>
      <c r="G25" s="37" t="n">
        <v>30</v>
      </c>
      <c r="H25" s="37" t="n">
        <v>30</v>
      </c>
    </row>
    <row r="26" customFormat="false" ht="13.5" hidden="false" customHeight="true" outlineLevel="0" collapsed="false">
      <c r="B26" s="4" t="s">
        <v>123</v>
      </c>
      <c r="D26" s="37" t="n">
        <v>29</v>
      </c>
      <c r="E26" s="37" t="n">
        <v>29</v>
      </c>
      <c r="F26" s="37" t="n">
        <v>28</v>
      </c>
      <c r="G26" s="37" t="n">
        <v>28</v>
      </c>
      <c r="H26" s="37" t="n">
        <v>28</v>
      </c>
    </row>
    <row r="27" customFormat="false" ht="13.5" hidden="false" customHeight="true" outlineLevel="0" collapsed="false">
      <c r="B27" s="4" t="s">
        <v>124</v>
      </c>
      <c r="D27" s="37" t="n">
        <v>30</v>
      </c>
      <c r="E27" s="37" t="n">
        <v>30</v>
      </c>
      <c r="F27" s="37" t="n">
        <v>30</v>
      </c>
      <c r="G27" s="37" t="n">
        <v>30</v>
      </c>
      <c r="H27" s="37" t="n">
        <v>30</v>
      </c>
    </row>
    <row r="28" customFormat="false" ht="13.5" hidden="false" customHeight="true" outlineLevel="0" collapsed="false">
      <c r="B28" s="4" t="s">
        <v>125</v>
      </c>
      <c r="D28" s="37" t="n">
        <v>31</v>
      </c>
      <c r="E28" s="37" t="n">
        <v>32</v>
      </c>
      <c r="F28" s="37" t="n">
        <v>32</v>
      </c>
      <c r="G28" s="37" t="n">
        <v>32</v>
      </c>
      <c r="H28" s="37" t="n">
        <v>32</v>
      </c>
    </row>
    <row r="29" customFormat="false" ht="13.5" hidden="false" customHeight="true" outlineLevel="0" collapsed="false">
      <c r="B29" s="4" t="s">
        <v>126</v>
      </c>
      <c r="D29" s="37" t="n">
        <v>33</v>
      </c>
      <c r="E29" s="37" t="n">
        <v>34</v>
      </c>
      <c r="F29" s="37" t="n">
        <v>34</v>
      </c>
      <c r="G29" s="37" t="n">
        <v>34</v>
      </c>
      <c r="H29" s="37" t="n">
        <v>34</v>
      </c>
    </row>
    <row r="30" customFormat="false" ht="13.8" hidden="false" customHeight="false" outlineLevel="0" collapsed="false"/>
    <row r="31" customFormat="false" ht="13.5" hidden="false" customHeight="true" outlineLevel="0" collapsed="false">
      <c r="B31" s="3" t="s">
        <v>144</v>
      </c>
    </row>
    <row r="32" customFormat="false" ht="13.5" hidden="false" customHeight="true" outlineLevel="0" collapsed="false">
      <c r="B32" s="4" t="s">
        <v>86</v>
      </c>
      <c r="D32" s="37" t="n">
        <v>48</v>
      </c>
      <c r="E32" s="37" t="n">
        <v>47</v>
      </c>
      <c r="F32" s="37" t="n">
        <v>46</v>
      </c>
      <c r="G32" s="37" t="n">
        <v>46</v>
      </c>
      <c r="H32" s="37" t="n">
        <v>46</v>
      </c>
    </row>
    <row r="33" customFormat="false" ht="13.5" hidden="false" customHeight="true" outlineLevel="0" collapsed="false">
      <c r="B33" s="4" t="s">
        <v>123</v>
      </c>
      <c r="D33" s="37" t="n">
        <v>46</v>
      </c>
      <c r="E33" s="37" t="n">
        <v>45</v>
      </c>
      <c r="F33" s="37" t="n">
        <v>44</v>
      </c>
      <c r="G33" s="37" t="n">
        <v>43</v>
      </c>
      <c r="H33" s="37" t="n">
        <v>43</v>
      </c>
    </row>
    <row r="34" customFormat="false" ht="13.5" hidden="false" customHeight="true" outlineLevel="0" collapsed="false">
      <c r="B34" s="4" t="s">
        <v>124</v>
      </c>
      <c r="D34" s="37" t="n">
        <v>48</v>
      </c>
      <c r="E34" s="37" t="n">
        <v>47</v>
      </c>
      <c r="F34" s="37" t="n">
        <v>47</v>
      </c>
      <c r="G34" s="37" t="n">
        <v>46</v>
      </c>
      <c r="H34" s="37" t="n">
        <v>46</v>
      </c>
    </row>
    <row r="35" customFormat="false" ht="13.5" hidden="false" customHeight="true" outlineLevel="0" collapsed="false">
      <c r="B35" s="4" t="s">
        <v>125</v>
      </c>
      <c r="D35" s="37" t="n">
        <v>52</v>
      </c>
      <c r="E35" s="37" t="n">
        <v>55</v>
      </c>
      <c r="F35" s="37" t="n">
        <v>54</v>
      </c>
      <c r="G35" s="37" t="n">
        <v>52</v>
      </c>
      <c r="H35" s="37" t="n">
        <v>52</v>
      </c>
    </row>
    <row r="36" customFormat="false" ht="13.5" hidden="false" customHeight="true" outlineLevel="0" collapsed="false">
      <c r="B36" s="4" t="s">
        <v>126</v>
      </c>
      <c r="D36" s="37" t="n">
        <v>56</v>
      </c>
      <c r="E36" s="37" t="n">
        <v>62</v>
      </c>
      <c r="F36" s="37" t="n">
        <v>60</v>
      </c>
      <c r="G36" s="37" t="n">
        <v>58</v>
      </c>
      <c r="H36" s="37" t="n">
        <v>58</v>
      </c>
    </row>
    <row r="37" customFormat="false" ht="13.8" hidden="false" customHeight="false" outlineLevel="0" collapsed="false"/>
    <row r="38" customFormat="false" ht="13.5" hidden="false" customHeight="true" outlineLevel="0" collapsed="false">
      <c r="B38" s="3" t="s">
        <v>145</v>
      </c>
    </row>
    <row r="39" customFormat="false" ht="13.5" hidden="false" customHeight="true" outlineLevel="0" collapsed="false">
      <c r="B39" s="4" t="s">
        <v>86</v>
      </c>
      <c r="D39" s="37" t="n">
        <v>55</v>
      </c>
      <c r="E39" s="37" t="n">
        <v>55</v>
      </c>
      <c r="F39" s="37" t="n">
        <v>55</v>
      </c>
      <c r="G39" s="37" t="n">
        <v>55</v>
      </c>
      <c r="H39" s="37" t="n">
        <v>55</v>
      </c>
    </row>
    <row r="40" customFormat="false" ht="13.5" hidden="false" customHeight="true" outlineLevel="0" collapsed="false">
      <c r="B40" s="4" t="s">
        <v>123</v>
      </c>
      <c r="D40" s="37" t="n">
        <v>56</v>
      </c>
      <c r="E40" s="37" t="n">
        <v>56</v>
      </c>
      <c r="F40" s="37" t="n">
        <v>57</v>
      </c>
      <c r="G40" s="37" t="n">
        <v>57</v>
      </c>
      <c r="H40" s="37" t="n">
        <v>57</v>
      </c>
    </row>
    <row r="41" customFormat="false" ht="13.5" hidden="false" customHeight="true" outlineLevel="0" collapsed="false">
      <c r="B41" s="4" t="s">
        <v>124</v>
      </c>
      <c r="D41" s="37" t="n">
        <v>55</v>
      </c>
      <c r="E41" s="37" t="n">
        <v>55</v>
      </c>
      <c r="F41" s="37" t="n">
        <v>55</v>
      </c>
      <c r="G41" s="37" t="n">
        <v>55</v>
      </c>
      <c r="H41" s="37" t="n">
        <v>55</v>
      </c>
    </row>
    <row r="42" customFormat="false" ht="13.5" hidden="false" customHeight="true" outlineLevel="0" collapsed="false">
      <c r="B42" s="4" t="s">
        <v>125</v>
      </c>
      <c r="D42" s="37" t="n">
        <v>54</v>
      </c>
      <c r="E42" s="37" t="n">
        <v>53</v>
      </c>
      <c r="F42" s="37" t="n">
        <v>53</v>
      </c>
      <c r="G42" s="37" t="n">
        <v>54</v>
      </c>
      <c r="H42" s="37" t="n">
        <v>54</v>
      </c>
    </row>
    <row r="43" customFormat="false" ht="13.5" hidden="false" customHeight="true" outlineLevel="0" collapsed="false">
      <c r="B43" s="4" t="s">
        <v>126</v>
      </c>
      <c r="D43" s="37" t="n">
        <v>52</v>
      </c>
      <c r="E43" s="37" t="n">
        <v>50</v>
      </c>
      <c r="F43" s="37" t="n">
        <v>50</v>
      </c>
      <c r="G43" s="37" t="n">
        <v>51</v>
      </c>
      <c r="H43" s="37" t="n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00"/>
    <pageSetUpPr fitToPage="false"/>
  </sheetPr>
  <dimension ref="B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15" min="4" style="0" width="12"/>
  </cols>
  <sheetData>
    <row r="1" customFormat="false" ht="13.8" hidden="false" customHeight="false" outlineLevel="0" collapsed="false"/>
    <row r="2" customFormat="false" ht="18" hidden="false" customHeight="true" outlineLevel="0" collapsed="false">
      <c r="B2" s="16" t="s">
        <v>146</v>
      </c>
    </row>
    <row r="3" customFormat="false" ht="13.8" hidden="false" customHeight="false" outlineLevel="0" collapsed="false"/>
    <row r="4" customFormat="false" ht="27.75" hidden="false" customHeight="true" outlineLevel="0" collapsed="false">
      <c r="B4" s="11" t="s">
        <v>3</v>
      </c>
      <c r="C4" s="11" t="s">
        <v>5</v>
      </c>
      <c r="D4" s="11" t="s">
        <v>147</v>
      </c>
      <c r="E4" s="11" t="s">
        <v>148</v>
      </c>
      <c r="F4" s="11" t="s">
        <v>149</v>
      </c>
      <c r="G4" s="11" t="s">
        <v>150</v>
      </c>
      <c r="H4" s="11" t="s">
        <v>151</v>
      </c>
      <c r="I4" s="11" t="s">
        <v>152</v>
      </c>
      <c r="J4" s="11" t="s">
        <v>153</v>
      </c>
      <c r="K4" s="11" t="s">
        <v>154</v>
      </c>
      <c r="L4" s="11" t="s">
        <v>155</v>
      </c>
      <c r="M4" s="11" t="s">
        <v>156</v>
      </c>
      <c r="N4" s="11" t="s">
        <v>157</v>
      </c>
      <c r="O4" s="11" t="s">
        <v>158</v>
      </c>
    </row>
    <row r="5" customFormat="false" ht="13.5" hidden="false" customHeight="true" outlineLevel="0" collapsed="false">
      <c r="B5" s="4" t="s">
        <v>159</v>
      </c>
      <c r="C5" s="0" t="s">
        <v>160</v>
      </c>
      <c r="D5" s="38" t="n">
        <v>41004554</v>
      </c>
      <c r="E5" s="38" t="n">
        <v>71550401</v>
      </c>
      <c r="F5" s="38" t="n">
        <v>50684952</v>
      </c>
      <c r="G5" s="38" t="n">
        <v>6158735</v>
      </c>
      <c r="H5" s="38" t="n">
        <v>3766216</v>
      </c>
      <c r="I5" s="38" t="n">
        <v>3848098</v>
      </c>
      <c r="J5" s="39" t="n">
        <f aca="false">E5/G5</f>
        <v>11.6177106175213</v>
      </c>
      <c r="K5" s="39" t="n">
        <f aca="false">E5/F5</f>
        <v>1.41166950301147</v>
      </c>
      <c r="L5" s="39" t="n">
        <f aca="false">D5/I5</f>
        <v>10.6557977473547</v>
      </c>
      <c r="M5" s="39" t="n">
        <v>1.0271976745625</v>
      </c>
      <c r="N5" s="40" t="n">
        <f aca="false">H5/F5</f>
        <v>0.0743063937399014</v>
      </c>
      <c r="O5" s="40" t="n">
        <v>0.0963980078185611</v>
      </c>
    </row>
    <row r="6" customFormat="false" ht="13.5" hidden="false" customHeight="true" outlineLevel="0" collapsed="false">
      <c r="B6" s="4" t="s">
        <v>161</v>
      </c>
      <c r="C6" s="0" t="s">
        <v>162</v>
      </c>
      <c r="D6" s="38" t="n">
        <v>6570000</v>
      </c>
      <c r="E6" s="38" t="n">
        <v>14686061</v>
      </c>
      <c r="F6" s="38" t="n">
        <v>21796610</v>
      </c>
      <c r="G6" s="38" t="n">
        <v>888917</v>
      </c>
      <c r="H6" s="38" t="n">
        <v>-414346</v>
      </c>
      <c r="I6" s="38" t="n">
        <v>-423941</v>
      </c>
      <c r="J6" s="39" t="n">
        <f aca="false">E6/G6</f>
        <v>16.5212961390096</v>
      </c>
      <c r="K6" s="39" t="n">
        <f aca="false">E6/F6</f>
        <v>0.673777298396402</v>
      </c>
      <c r="L6" s="41" t="s">
        <v>163</v>
      </c>
      <c r="M6" s="39" t="n">
        <v>0.555954586718423</v>
      </c>
      <c r="N6" s="40" t="n">
        <f aca="false">H6/F6</f>
        <v>-0.0190096533360004</v>
      </c>
      <c r="O6" s="40" t="n">
        <v>-0.0358739639951286</v>
      </c>
    </row>
    <row r="7" customFormat="false" ht="13.5" hidden="false" customHeight="true" outlineLevel="0" collapsed="false">
      <c r="B7" s="4" t="s">
        <v>164</v>
      </c>
      <c r="C7" s="0" t="s">
        <v>165</v>
      </c>
      <c r="D7" s="38" t="n">
        <v>4140000</v>
      </c>
      <c r="E7" s="38" t="n">
        <v>3915332</v>
      </c>
      <c r="F7" s="38" t="n">
        <v>6292967</v>
      </c>
      <c r="G7" s="38" t="n">
        <v>882386</v>
      </c>
      <c r="H7" s="38" t="n">
        <v>604605</v>
      </c>
      <c r="I7" s="38" t="n">
        <v>439267</v>
      </c>
      <c r="J7" s="39" t="n">
        <f aca="false">E7/G7</f>
        <v>4.43721001919795</v>
      </c>
      <c r="K7" s="39" t="n">
        <f aca="false">E7/F7</f>
        <v>0.622175835341263</v>
      </c>
      <c r="L7" s="39" t="n">
        <f aca="false">D7/I7</f>
        <v>9.42479175535608</v>
      </c>
      <c r="M7" s="39" t="n">
        <v>1.22409769364028</v>
      </c>
      <c r="N7" s="40" t="n">
        <f aca="false">H7/F7</f>
        <v>0.0960763023228948</v>
      </c>
      <c r="O7" s="40" t="n">
        <v>0.129880609080262</v>
      </c>
    </row>
    <row r="8" customFormat="false" ht="13.5" hidden="false" customHeight="true" outlineLevel="0" collapsed="false">
      <c r="B8" s="4" t="s">
        <v>166</v>
      </c>
      <c r="C8" s="0" t="s">
        <v>167</v>
      </c>
      <c r="D8" s="38" t="n">
        <v>2010000</v>
      </c>
      <c r="E8" s="38" t="n">
        <v>1555148</v>
      </c>
      <c r="F8" s="38" t="n">
        <v>4784965</v>
      </c>
      <c r="G8" s="38" t="n">
        <v>318095</v>
      </c>
      <c r="H8" s="38" t="n">
        <v>46989</v>
      </c>
      <c r="I8" s="38" t="n">
        <v>90842</v>
      </c>
      <c r="J8" s="39" t="n">
        <f aca="false">E8/G8</f>
        <v>4.88894198274101</v>
      </c>
      <c r="K8" s="39" t="n">
        <f aca="false">E8/F8</f>
        <v>0.325007183960593</v>
      </c>
      <c r="L8" s="39" t="n">
        <f aca="false">D8/I8</f>
        <v>22.1263292309725</v>
      </c>
      <c r="M8" s="39" t="n">
        <v>0.722915745788296</v>
      </c>
      <c r="N8" s="40" t="n">
        <f aca="false">H8/F8</f>
        <v>0.00982013452553989</v>
      </c>
      <c r="O8" s="40" t="n">
        <v>0.0326721951138808</v>
      </c>
    </row>
    <row r="9" customFormat="false" ht="13.5" hidden="false" customHeight="true" outlineLevel="0" collapsed="false">
      <c r="B9" s="4" t="s">
        <v>168</v>
      </c>
      <c r="C9" s="0" t="s">
        <v>169</v>
      </c>
      <c r="D9" s="38" t="n">
        <v>12452350</v>
      </c>
      <c r="E9" s="38" t="n">
        <v>28741370</v>
      </c>
      <c r="F9" s="38" t="n">
        <v>29371766</v>
      </c>
      <c r="G9" s="38" t="n">
        <v>2777649</v>
      </c>
      <c r="H9" s="38" t="n">
        <v>461804</v>
      </c>
      <c r="I9" s="38" t="n">
        <v>428625</v>
      </c>
      <c r="J9" s="39" t="n">
        <f aca="false">E9/G9</f>
        <v>10.3473729042078</v>
      </c>
      <c r="K9" s="39" t="n">
        <f aca="false">E9/F9</f>
        <v>0.978537347737279</v>
      </c>
      <c r="L9" s="39" t="n">
        <f aca="false">D9/I9</f>
        <v>29.0518518518519</v>
      </c>
      <c r="M9" s="39" t="n">
        <v>1.28339799442234</v>
      </c>
      <c r="N9" s="40" t="n">
        <f aca="false">H9/F9</f>
        <v>0.0157227182049591</v>
      </c>
      <c r="O9" s="40" t="n">
        <v>0.0441761165851648</v>
      </c>
    </row>
    <row r="10" customFormat="false" ht="13.5" hidden="false" customHeight="true" outlineLevel="0" collapsed="false">
      <c r="B10" s="4" t="s">
        <v>170</v>
      </c>
      <c r="C10" s="0" t="s">
        <v>171</v>
      </c>
      <c r="D10" s="38" t="n">
        <v>9666288</v>
      </c>
      <c r="E10" s="38" t="n">
        <v>29486067</v>
      </c>
      <c r="F10" s="38" t="n">
        <v>29728636</v>
      </c>
      <c r="G10" s="38" t="n">
        <v>-211931</v>
      </c>
      <c r="H10" s="38" t="n">
        <v>-1455579</v>
      </c>
      <c r="I10" s="38" t="n">
        <v>-1298892</v>
      </c>
      <c r="J10" s="41" t="s">
        <v>163</v>
      </c>
      <c r="K10" s="39" t="n">
        <f aca="false">E10/F10</f>
        <v>0.991840560730738</v>
      </c>
      <c r="L10" s="41" t="s">
        <v>163</v>
      </c>
      <c r="M10" s="39" t="n">
        <v>1.6923291592442</v>
      </c>
      <c r="N10" s="40" t="n">
        <f aca="false">H10/F10</f>
        <v>-0.0489621858197598</v>
      </c>
      <c r="O10" s="40" t="n">
        <v>-0.227404025858635</v>
      </c>
    </row>
    <row r="11" customFormat="false" ht="13.5" hidden="false" customHeight="true" outlineLevel="0" collapsed="false">
      <c r="B11" s="4" t="s">
        <v>172</v>
      </c>
      <c r="C11" s="0" t="s">
        <v>173</v>
      </c>
      <c r="D11" s="38" t="n">
        <v>6930363</v>
      </c>
      <c r="E11" s="38" t="n">
        <v>42954310</v>
      </c>
      <c r="F11" s="38" t="n">
        <v>59051721</v>
      </c>
      <c r="G11" s="38" t="n">
        <v>8493639</v>
      </c>
      <c r="H11" s="38" t="n">
        <v>1626746</v>
      </c>
      <c r="I11" s="38" t="n">
        <v>1224095</v>
      </c>
      <c r="J11" s="39" t="n">
        <f aca="false">E11/G11</f>
        <v>5.05723283035693</v>
      </c>
      <c r="K11" s="39" t="n">
        <f aca="false">E11/F11</f>
        <v>0.727401492667758</v>
      </c>
      <c r="L11" s="39" t="n">
        <f aca="false">D11/I11</f>
        <v>5.66162185124521</v>
      </c>
      <c r="M11" s="39" t="n">
        <v>0.200661784383963</v>
      </c>
      <c r="N11" s="40" t="n">
        <f aca="false">H11/F11</f>
        <v>0.0275478169383074</v>
      </c>
      <c r="O11" s="40" t="n">
        <v>0.0354424561823799</v>
      </c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5" hidden="false" customHeight="true" outlineLevel="0" collapsed="false">
      <c r="B14" s="3" t="s">
        <v>174</v>
      </c>
    </row>
    <row r="15" customFormat="false" ht="13.5" hidden="false" customHeight="true" outlineLevel="0" collapsed="false">
      <c r="B15" s="4" t="s">
        <v>175</v>
      </c>
      <c r="D15" s="39" t="n">
        <f aca="false">PERCENTILE(J6:J11,0.25)</f>
        <v>4.88894198274101</v>
      </c>
      <c r="E15" s="39" t="n">
        <f aca="false">PERCENTILE(K6:K11,0.25)</f>
        <v>0.635076201105048</v>
      </c>
      <c r="F15" s="39" t="n">
        <f aca="false">PERCENTILE(L6:L11,0.25)</f>
        <v>8.48399927932836</v>
      </c>
      <c r="G15" s="39" t="n">
        <f aca="false">PERCENTILE(M6:M11,0.25)</f>
        <v>0.597694876485891</v>
      </c>
      <c r="H15" s="40" t="n">
        <f aca="false">PERCENTILE(N6:N11,0.25)</f>
        <v>-0.0118022063706153</v>
      </c>
      <c r="I15" s="40" t="n">
        <f aca="false">PERCENTILE(O6:O11,0.25)</f>
        <v>-0.0187374242178762</v>
      </c>
    </row>
    <row r="16" customFormat="false" ht="13.5" hidden="false" customHeight="true" outlineLevel="0" collapsed="false">
      <c r="B16" s="4" t="s">
        <v>176</v>
      </c>
      <c r="D16" s="39" t="n">
        <f aca="false">MEDIAN(J6:J11)</f>
        <v>5.05723283035693</v>
      </c>
      <c r="E16" s="39" t="n">
        <f aca="false">MEDIAN(K6:K11)</f>
        <v>0.70058939553208</v>
      </c>
      <c r="F16" s="39" t="n">
        <f aca="false">MEDIAN(L6:L11)</f>
        <v>15.7755604931643</v>
      </c>
      <c r="G16" s="39" t="n">
        <f aca="false">MEDIAN(M6:M11)</f>
        <v>0.973506719714288</v>
      </c>
      <c r="H16" s="40" t="n">
        <f aca="false">MEDIAN(N6:N11)</f>
        <v>0.0127714263652495</v>
      </c>
      <c r="I16" s="40" t="n">
        <f aca="false">MEDIAN(O6:O11)</f>
        <v>0.0340573256481304</v>
      </c>
    </row>
    <row r="17" customFormat="false" ht="13.5" hidden="false" customHeight="true" outlineLevel="0" collapsed="false">
      <c r="B17" s="4" t="s">
        <v>177</v>
      </c>
      <c r="D17" s="39" t="n">
        <f aca="false">PERCENTILE(J6:J11,0.75)</f>
        <v>10.3473729042078</v>
      </c>
      <c r="E17" s="39" t="n">
        <f aca="false">PERCENTILE(K6:K11,0.75)</f>
        <v>0.915753383969899</v>
      </c>
      <c r="F17" s="39" t="n">
        <f aca="false">PERCENTILE(L6:L11,0.75)</f>
        <v>23.8577098861923</v>
      </c>
      <c r="G17" s="39" t="n">
        <f aca="false">PERCENTILE(M6:M11,0.75)</f>
        <v>1.26857291922683</v>
      </c>
      <c r="H17" s="40" t="n">
        <f aca="false">PERCENTILE(N6:N11,0.75)</f>
        <v>0.0245915422549703</v>
      </c>
      <c r="I17" s="40" t="n">
        <f aca="false">PERCENTILE(O6:O11,0.75)</f>
        <v>0.0419927014844686</v>
      </c>
    </row>
    <row r="18" customFormat="false" ht="13.8" hidden="false" customHeight="false" outlineLevel="0" collapsed="false">
      <c r="B18" s="42" t="s">
        <v>178</v>
      </c>
    </row>
    <row r="19" customFormat="false" ht="13.5" hidden="false" customHeight="true" outlineLevel="0" collapsed="false">
      <c r="B19" s="27" t="s">
        <v>179</v>
      </c>
      <c r="C19" s="28"/>
      <c r="D19" s="28"/>
      <c r="E19" s="28"/>
      <c r="F19" s="28"/>
      <c r="G19" s="28"/>
      <c r="H19" s="28"/>
      <c r="I19" s="28"/>
    </row>
    <row r="20" customFormat="false" ht="13.5" hidden="false" customHeight="true" outlineLevel="0" collapsed="false">
      <c r="B20" s="43" t="s">
        <v>180</v>
      </c>
    </row>
    <row r="21" customFormat="false" ht="13.5" hidden="false" customHeight="true" outlineLevel="0" collapsed="false">
      <c r="B21" s="4" t="s">
        <v>181</v>
      </c>
      <c r="C21" s="6" t="n">
        <v>3499094</v>
      </c>
    </row>
    <row r="22" customFormat="false" ht="13.5" hidden="false" customHeight="true" outlineLevel="0" collapsed="false">
      <c r="B22" s="4" t="s">
        <v>182</v>
      </c>
      <c r="C22" s="6" t="n">
        <v>3848098</v>
      </c>
    </row>
    <row r="23" customFormat="false" ht="13.5" hidden="false" customHeight="true" outlineLevel="0" collapsed="false">
      <c r="B23" s="4" t="s">
        <v>183</v>
      </c>
      <c r="C23" s="20" t="n">
        <v>13009058960</v>
      </c>
    </row>
    <row r="24" customFormat="false" ht="13.5" hidden="false" customHeight="true" outlineLevel="0" collapsed="false">
      <c r="B24" s="4" t="s">
        <v>75</v>
      </c>
      <c r="C24" s="6" t="n">
        <v>-9800000</v>
      </c>
    </row>
    <row r="25" customFormat="false" ht="13.8" hidden="false" customHeight="false" outlineLevel="0" collapsed="false"/>
    <row r="26" customFormat="false" ht="13.5" hidden="false" customHeight="true" outlineLevel="0" collapsed="false">
      <c r="B26" s="3" t="s">
        <v>184</v>
      </c>
    </row>
    <row r="27" customFormat="false" ht="13.5" hidden="false" customHeight="true" outlineLevel="0" collapsed="false">
      <c r="B27" s="4" t="s">
        <v>185</v>
      </c>
      <c r="C27" s="29" t="n">
        <f aca="false">ROUND((C21*D16-C24)*1000000/C23,0)</f>
        <v>2114</v>
      </c>
    </row>
    <row r="28" customFormat="false" ht="13.5" hidden="false" customHeight="true" outlineLevel="0" collapsed="false">
      <c r="B28" s="4" t="s">
        <v>186</v>
      </c>
      <c r="C28" s="29" t="n">
        <f aca="false">ROUND(C22*F16*1000000/C23,0)</f>
        <v>4666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6600"/>
    <pageSetUpPr fitToPage="false"/>
  </sheetPr>
  <dimension ref="B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9" min="3" style="0" width="14"/>
  </cols>
  <sheetData>
    <row r="1" customFormat="false" ht="13.8" hidden="false" customHeight="false" outlineLevel="0" collapsed="false"/>
    <row r="2" customFormat="false" ht="18" hidden="false" customHeight="true" outlineLevel="0" collapsed="false">
      <c r="B2" s="16" t="s">
        <v>187</v>
      </c>
    </row>
    <row r="3" customFormat="false" ht="13.5" hidden="false" customHeight="true" outlineLevel="0" collapsed="false">
      <c r="B3" s="4" t="s">
        <v>188</v>
      </c>
      <c r="C3" s="21" t="n">
        <f aca="false">'DCF Model'!C26</f>
        <v>0.074</v>
      </c>
      <c r="E3" s="4" t="s">
        <v>189</v>
      </c>
      <c r="F3" s="21" t="n">
        <f aca="false">'DCF Model'!C13</f>
        <v>0.01</v>
      </c>
      <c r="H3" s="4" t="s">
        <v>190</v>
      </c>
      <c r="I3" s="19" t="n">
        <f aca="false">'DCF Model'!C14</f>
        <v>12</v>
      </c>
    </row>
    <row r="4" customFormat="false" ht="13.8" hidden="false" customHeight="false" outlineLevel="0" collapsed="false"/>
    <row r="5" customFormat="false" ht="13.5" hidden="false" customHeight="true" outlineLevel="0" collapsed="false">
      <c r="B5" s="3" t="s">
        <v>191</v>
      </c>
    </row>
    <row r="6" customFormat="false" ht="13.5" hidden="false" customHeight="true" outlineLevel="0" collapsed="false">
      <c r="B6" s="44" t="s">
        <v>192</v>
      </c>
      <c r="C6" s="45" t="n">
        <f aca="false">$F$3-0.0075</f>
        <v>0.0025</v>
      </c>
      <c r="D6" s="45" t="n">
        <f aca="false">$F$3-0.005</f>
        <v>0.005</v>
      </c>
      <c r="E6" s="45" t="n">
        <f aca="false">$F$3-0.0025</f>
        <v>0.0075</v>
      </c>
      <c r="F6" s="45" t="n">
        <f aca="false">$F$3</f>
        <v>0.01</v>
      </c>
      <c r="G6" s="45" t="n">
        <f aca="false">$F$3+0.0025</f>
        <v>0.0125</v>
      </c>
      <c r="H6" s="45" t="n">
        <f aca="false">$F$3+0.005</f>
        <v>0.015</v>
      </c>
      <c r="I6" s="45" t="n">
        <f aca="false">$F$3+0.0075</f>
        <v>0.0175</v>
      </c>
    </row>
    <row r="7" customFormat="false" ht="13.5" hidden="false" customHeight="true" outlineLevel="0" collapsed="false">
      <c r="B7" s="40" t="n">
        <f aca="false">$C$3-0.015</f>
        <v>0.059</v>
      </c>
      <c r="C7" s="38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3050</v>
      </c>
      <c r="D7" s="38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3140</v>
      </c>
      <c r="E7" s="38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3238</v>
      </c>
      <c r="F7" s="38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3347</v>
      </c>
      <c r="G7" s="38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3467</v>
      </c>
      <c r="H7" s="38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3601</v>
      </c>
      <c r="I7" s="38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3751</v>
      </c>
    </row>
    <row r="8" customFormat="false" ht="13.5" hidden="false" customHeight="true" outlineLevel="0" collapsed="false">
      <c r="B8" s="40" t="n">
        <f aca="false">$C$3-0.01</f>
        <v>0.064</v>
      </c>
      <c r="C8" s="38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2855</v>
      </c>
      <c r="D8" s="38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2929</v>
      </c>
      <c r="E8" s="38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3009</v>
      </c>
      <c r="F8" s="38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3098</v>
      </c>
      <c r="G8" s="38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3194</v>
      </c>
      <c r="H8" s="38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3301</v>
      </c>
      <c r="I8" s="38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3419</v>
      </c>
    </row>
    <row r="9" customFormat="false" ht="13.5" hidden="false" customHeight="true" outlineLevel="0" collapsed="false">
      <c r="B9" s="40" t="n">
        <f aca="false">$C$3-0.005</f>
        <v>0.069</v>
      </c>
      <c r="C9" s="38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2689</v>
      </c>
      <c r="D9" s="38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2751</v>
      </c>
      <c r="E9" s="38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2818</v>
      </c>
      <c r="F9" s="38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2890</v>
      </c>
      <c r="G9" s="38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2970</v>
      </c>
      <c r="H9" s="38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3056</v>
      </c>
      <c r="I9" s="38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3151</v>
      </c>
    </row>
    <row r="10" customFormat="false" ht="13.5" hidden="false" customHeight="true" outlineLevel="0" collapsed="false">
      <c r="B10" s="40" t="n">
        <f aca="false">$C$3</f>
        <v>0.074</v>
      </c>
      <c r="C10" s="38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2546</v>
      </c>
      <c r="D10" s="38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2598</v>
      </c>
      <c r="E10" s="38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2655</v>
      </c>
      <c r="F10" s="38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2716</v>
      </c>
      <c r="G10" s="38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2782</v>
      </c>
      <c r="H10" s="38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2853</v>
      </c>
      <c r="I10" s="38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2931</v>
      </c>
    </row>
    <row r="11" customFormat="false" ht="13.5" hidden="false" customHeight="true" outlineLevel="0" collapsed="false">
      <c r="B11" s="40" t="n">
        <f aca="false">$C$3+0.005</f>
        <v>0.079</v>
      </c>
      <c r="C11" s="38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2422</v>
      </c>
      <c r="D11" s="38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2467</v>
      </c>
      <c r="E11" s="38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2515</v>
      </c>
      <c r="F11" s="38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2566</v>
      </c>
      <c r="G11" s="38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2622</v>
      </c>
      <c r="H11" s="38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2682</v>
      </c>
      <c r="I11" s="38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2746</v>
      </c>
    </row>
    <row r="12" customFormat="false" ht="13.5" hidden="false" customHeight="true" outlineLevel="0" collapsed="false">
      <c r="B12" s="40" t="n">
        <f aca="false">$C$3+0.01</f>
        <v>0.084</v>
      </c>
      <c r="C12" s="38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2313</v>
      </c>
      <c r="D12" s="38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2352</v>
      </c>
      <c r="E12" s="38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2393</v>
      </c>
      <c r="F12" s="38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2438</v>
      </c>
      <c r="G12" s="38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2485</v>
      </c>
      <c r="H12" s="38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2535</v>
      </c>
      <c r="I12" s="38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2590</v>
      </c>
    </row>
    <row r="13" customFormat="false" ht="13.5" hidden="false" customHeight="true" outlineLevel="0" collapsed="false">
      <c r="B13" s="40" t="n">
        <f aca="false">$C$3+0.015</f>
        <v>0.089</v>
      </c>
      <c r="C13" s="38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2217</v>
      </c>
      <c r="D13" s="38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2251</v>
      </c>
      <c r="E13" s="38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2287</v>
      </c>
      <c r="F13" s="38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2325</v>
      </c>
      <c r="G13" s="38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2365</v>
      </c>
      <c r="H13" s="38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2409</v>
      </c>
      <c r="I13" s="38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2455</v>
      </c>
    </row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5" hidden="false" customHeight="true" outlineLevel="0" collapsed="false">
      <c r="B16" s="3" t="s">
        <v>193</v>
      </c>
    </row>
    <row r="17" customFormat="false" ht="13.5" hidden="false" customHeight="true" outlineLevel="0" collapsed="false">
      <c r="B17" s="44" t="s">
        <v>194</v>
      </c>
      <c r="C17" s="46" t="n">
        <f aca="false">$I$3-3</f>
        <v>9</v>
      </c>
      <c r="D17" s="46" t="n">
        <f aca="false">$I$3-2</f>
        <v>10</v>
      </c>
      <c r="E17" s="46" t="n">
        <f aca="false">$I$3-1</f>
        <v>11</v>
      </c>
      <c r="F17" s="46" t="n">
        <f aca="false">$I$3</f>
        <v>12</v>
      </c>
      <c r="G17" s="46" t="n">
        <f aca="false">$I$3+1</f>
        <v>13</v>
      </c>
      <c r="H17" s="46" t="n">
        <f aca="false">$I$3+2</f>
        <v>14</v>
      </c>
      <c r="I17" s="46" t="n">
        <f aca="false">$I$3+3</f>
        <v>15</v>
      </c>
    </row>
    <row r="18" customFormat="false" ht="13.5" hidden="false" customHeight="true" outlineLevel="0" collapsed="false">
      <c r="B18" s="40" t="n">
        <f aca="false">$C$3-0.015</f>
        <v>0.059</v>
      </c>
      <c r="C18" s="38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4150</v>
      </c>
      <c r="D18" s="38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4476</v>
      </c>
      <c r="E18" s="38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4802</v>
      </c>
      <c r="F18" s="38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5129</v>
      </c>
      <c r="G18" s="38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5455</v>
      </c>
      <c r="H18" s="38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5781</v>
      </c>
      <c r="I18" s="38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6107</v>
      </c>
    </row>
    <row r="19" customFormat="false" ht="13.5" hidden="false" customHeight="true" outlineLevel="0" collapsed="false">
      <c r="B19" s="40" t="n">
        <f aca="false">$C$3-0.01</f>
        <v>0.064</v>
      </c>
      <c r="C19" s="38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4074</v>
      </c>
      <c r="D19" s="38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4393</v>
      </c>
      <c r="E19" s="38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4712</v>
      </c>
      <c r="F19" s="38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5030</v>
      </c>
      <c r="G19" s="38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5349</v>
      </c>
      <c r="H19" s="38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5668</v>
      </c>
      <c r="I19" s="38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5987</v>
      </c>
    </row>
    <row r="20" customFormat="false" ht="13.5" hidden="false" customHeight="true" outlineLevel="0" collapsed="false">
      <c r="B20" s="40" t="n">
        <f aca="false">$C$3-0.005</f>
        <v>0.069</v>
      </c>
      <c r="C20" s="38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4001</v>
      </c>
      <c r="D20" s="38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4313</v>
      </c>
      <c r="E20" s="38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4624</v>
      </c>
      <c r="F20" s="38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4935</v>
      </c>
      <c r="G20" s="38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5246</v>
      </c>
      <c r="H20" s="38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5558</v>
      </c>
      <c r="I20" s="38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5869</v>
      </c>
    </row>
    <row r="21" customFormat="false" ht="13.5" hidden="false" customHeight="true" outlineLevel="0" collapsed="false">
      <c r="B21" s="40" t="n">
        <f aca="false">$C$3</f>
        <v>0.074</v>
      </c>
      <c r="C21" s="38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3930</v>
      </c>
      <c r="D21" s="38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4234</v>
      </c>
      <c r="E21" s="38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4538</v>
      </c>
      <c r="F21" s="38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4842</v>
      </c>
      <c r="G21" s="38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5146</v>
      </c>
      <c r="H21" s="38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5451</v>
      </c>
      <c r="I21" s="38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5755</v>
      </c>
    </row>
    <row r="22" customFormat="false" ht="13.5" hidden="false" customHeight="true" outlineLevel="0" collapsed="false">
      <c r="B22" s="40" t="n">
        <f aca="false">$C$3+0.005</f>
        <v>0.079</v>
      </c>
      <c r="C22" s="38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3861</v>
      </c>
      <c r="D22" s="38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4158</v>
      </c>
      <c r="E22" s="38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4455</v>
      </c>
      <c r="F22" s="38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4752</v>
      </c>
      <c r="G22" s="38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5049</v>
      </c>
      <c r="H22" s="38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5346</v>
      </c>
      <c r="I22" s="38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5644</v>
      </c>
    </row>
    <row r="23" customFormat="false" ht="13.5" hidden="false" customHeight="true" outlineLevel="0" collapsed="false">
      <c r="B23" s="40" t="n">
        <f aca="false">$C$3+0.01</f>
        <v>0.084</v>
      </c>
      <c r="C23" s="38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3793</v>
      </c>
      <c r="D23" s="38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4084</v>
      </c>
      <c r="E23" s="38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4374</v>
      </c>
      <c r="F23" s="38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4664</v>
      </c>
      <c r="G23" s="38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4955</v>
      </c>
      <c r="H23" s="38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5245</v>
      </c>
      <c r="I23" s="38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5535</v>
      </c>
    </row>
    <row r="24" customFormat="false" ht="13.5" hidden="false" customHeight="true" outlineLevel="0" collapsed="false">
      <c r="B24" s="40" t="n">
        <f aca="false">$C$3+0.015</f>
        <v>0.089</v>
      </c>
      <c r="C24" s="38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3728</v>
      </c>
      <c r="D24" s="38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4011</v>
      </c>
      <c r="E24" s="38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4295</v>
      </c>
      <c r="F24" s="38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4579</v>
      </c>
      <c r="G24" s="38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4863</v>
      </c>
      <c r="H24" s="38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5146</v>
      </c>
      <c r="I24" s="38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5430</v>
      </c>
    </row>
    <row r="25" customFormat="false" ht="13.8" hidden="false" customHeight="false" outlineLevel="0" collapsed="false"/>
    <row r="26" customFormat="false" ht="13.5" hidden="false" customHeight="true" outlineLevel="0" collapsed="false">
      <c r="B26" s="1" t="s">
        <v>195</v>
      </c>
      <c r="C26" s="1"/>
      <c r="D26" s="1"/>
      <c r="E26" s="1"/>
      <c r="F26" s="1"/>
      <c r="G26" s="1"/>
      <c r="H26" s="1"/>
      <c r="I26" s="1"/>
    </row>
  </sheetData>
  <mergeCells count="1">
    <mergeCell ref="B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98"/>
  </cols>
  <sheetData>
    <row r="2" customFormat="false" ht="15" hidden="false" customHeight="false" outlineLevel="0" collapsed="false">
      <c r="B2" s="3" t="s">
        <v>196</v>
      </c>
    </row>
    <row r="4" customFormat="false" ht="15" hidden="false" customHeight="true" outlineLevel="0" collapsed="false">
      <c r="B4" s="47" t="s">
        <v>197</v>
      </c>
      <c r="C4" s="47" t="s">
        <v>198</v>
      </c>
      <c r="D4" s="47" t="s">
        <v>199</v>
      </c>
      <c r="E4" s="47" t="s">
        <v>200</v>
      </c>
      <c r="F4" s="47" t="s">
        <v>201</v>
      </c>
    </row>
    <row r="5" customFormat="false" ht="91.5" hidden="false" customHeight="true" outlineLevel="0" collapsed="false">
      <c r="B5" s="48" t="s">
        <v>202</v>
      </c>
      <c r="C5" s="48" t="s">
        <v>203</v>
      </c>
      <c r="D5" s="48" t="s">
        <v>204</v>
      </c>
      <c r="E5" s="48" t="s">
        <v>205</v>
      </c>
      <c r="F5" s="48" t="s">
        <v>206</v>
      </c>
    </row>
    <row r="6" customFormat="false" ht="91.5" hidden="false" customHeight="true" outlineLevel="0" collapsed="false">
      <c r="B6" s="48" t="s">
        <v>207</v>
      </c>
      <c r="C6" s="48" t="s">
        <v>208</v>
      </c>
      <c r="D6" s="48" t="s">
        <v>209</v>
      </c>
      <c r="E6" s="49" t="s">
        <v>210</v>
      </c>
      <c r="F6" s="48" t="s">
        <v>211</v>
      </c>
    </row>
    <row r="7" customFormat="false" ht="91.5" hidden="false" customHeight="true" outlineLevel="0" collapsed="false">
      <c r="B7" s="48" t="s">
        <v>212</v>
      </c>
      <c r="C7" s="48" t="s">
        <v>213</v>
      </c>
      <c r="D7" s="48" t="s">
        <v>214</v>
      </c>
      <c r="E7" s="48" t="s">
        <v>215</v>
      </c>
      <c r="F7" s="48" t="s">
        <v>216</v>
      </c>
    </row>
    <row r="8" customFormat="false" ht="91.5" hidden="false" customHeight="true" outlineLevel="0" collapsed="false">
      <c r="B8" s="48" t="s">
        <v>217</v>
      </c>
      <c r="C8" s="48" t="s">
        <v>218</v>
      </c>
      <c r="D8" s="48" t="s">
        <v>219</v>
      </c>
      <c r="E8" s="48" t="s">
        <v>220</v>
      </c>
      <c r="F8" s="48" t="s">
        <v>221</v>
      </c>
    </row>
    <row r="9" customFormat="false" ht="91.5" hidden="false" customHeight="true" outlineLevel="0" collapsed="false">
      <c r="B9" s="48" t="s">
        <v>222</v>
      </c>
      <c r="C9" s="48" t="s">
        <v>223</v>
      </c>
      <c r="D9" s="48" t="s">
        <v>224</v>
      </c>
      <c r="E9" s="48" t="s">
        <v>225</v>
      </c>
      <c r="F9" s="48" t="s">
        <v>226</v>
      </c>
    </row>
    <row r="10" customFormat="false" ht="91.5" hidden="false" customHeight="true" outlineLevel="0" collapsed="false">
      <c r="B10" s="48"/>
      <c r="C10" s="48" t="s">
        <v>227</v>
      </c>
      <c r="D10" s="48"/>
      <c r="E10" s="48"/>
      <c r="F10" s="48" t="s">
        <v>228</v>
      </c>
    </row>
    <row r="11" customFormat="false" ht="91.5" hidden="false" customHeight="true" outlineLevel="0" collapsed="false">
      <c r="B11" s="48"/>
      <c r="C11" s="48" t="s">
        <v>229</v>
      </c>
      <c r="D11" s="48" t="s">
        <v>230</v>
      </c>
      <c r="E11" s="48"/>
      <c r="F11" s="48" t="s">
        <v>231</v>
      </c>
    </row>
    <row r="12" customFormat="false" ht="91.5" hidden="false" customHeight="true" outlineLevel="0" collapsed="false">
      <c r="B12" s="48"/>
      <c r="C12" s="48" t="s">
        <v>232</v>
      </c>
      <c r="D12" s="48" t="s">
        <v>233</v>
      </c>
      <c r="E12" s="48"/>
      <c r="F12" s="48" t="s">
        <v>234</v>
      </c>
    </row>
    <row r="13" customFormat="false" ht="91.5" hidden="false" customHeight="true" outlineLevel="0" collapsed="false">
      <c r="B13" s="48"/>
      <c r="C13" s="48" t="s">
        <v>235</v>
      </c>
      <c r="D13" s="48" t="s">
        <v>236</v>
      </c>
      <c r="E13" s="48"/>
      <c r="F13" s="48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2026-07-30T02:12:25Z</dcterms:created>
  <dc:creator>openpyxl</dc:creator>
  <dc:description/>
  <dc:language>en-US</dc:language>
  <cp:lastModifiedBy>良亮 佐藤</cp:lastModifiedBy>
  <dcterms:modified xsi:type="dcterms:W3CDTF">2026-07-30T03:00:43Z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