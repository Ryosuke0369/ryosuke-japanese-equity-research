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09545D66-2FFE-43DF-ACD3-4316F2948F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DDM" sheetId="7" r:id="rId7"/>
    <sheet name="Residual Income" sheetId="8" r:id="rId8"/>
  </sheets>
  <calcPr calcId="181029"/>
</workbook>
</file>

<file path=xl/calcChain.xml><?xml version="1.0" encoding="utf-8"?>
<calcChain xmlns="http://schemas.openxmlformats.org/spreadsheetml/2006/main">
  <c r="D16" i="1" l="1"/>
  <c r="C16" i="1"/>
  <c r="C43" i="8"/>
  <c r="F40" i="8"/>
  <c r="F38" i="8"/>
  <c r="F36" i="8"/>
  <c r="C18" i="8"/>
  <c r="C10" i="8"/>
  <c r="D44" i="8" s="1"/>
  <c r="K39" i="7"/>
  <c r="J39" i="7"/>
  <c r="I39" i="7"/>
  <c r="H39" i="7"/>
  <c r="G39" i="7"/>
  <c r="F39" i="7"/>
  <c r="E39" i="7"/>
  <c r="D39" i="7"/>
  <c r="C39" i="7"/>
  <c r="K38" i="7"/>
  <c r="J38" i="7"/>
  <c r="I38" i="7"/>
  <c r="H38" i="7"/>
  <c r="G38" i="7"/>
  <c r="F38" i="7"/>
  <c r="E38" i="7"/>
  <c r="D38" i="7"/>
  <c r="C38" i="7"/>
  <c r="K37" i="7"/>
  <c r="J37" i="7"/>
  <c r="I37" i="7"/>
  <c r="H37" i="7"/>
  <c r="G37" i="7"/>
  <c r="F37" i="7"/>
  <c r="E37" i="7"/>
  <c r="D37" i="7"/>
  <c r="C37" i="7"/>
  <c r="K36" i="7"/>
  <c r="J36" i="7"/>
  <c r="I36" i="7"/>
  <c r="H36" i="7"/>
  <c r="G36" i="7"/>
  <c r="F36" i="7"/>
  <c r="E36" i="7"/>
  <c r="D36" i="7"/>
  <c r="C36" i="7"/>
  <c r="K35" i="7"/>
  <c r="J35" i="7"/>
  <c r="I35" i="7"/>
  <c r="H35" i="7"/>
  <c r="G35" i="7"/>
  <c r="F35" i="7"/>
  <c r="E35" i="7"/>
  <c r="D35" i="7"/>
  <c r="C35" i="7"/>
  <c r="K34" i="7"/>
  <c r="J34" i="7"/>
  <c r="I34" i="7"/>
  <c r="H34" i="7"/>
  <c r="G34" i="7"/>
  <c r="F34" i="7"/>
  <c r="E34" i="7"/>
  <c r="D34" i="7"/>
  <c r="C34" i="7"/>
  <c r="K33" i="7"/>
  <c r="J33" i="7"/>
  <c r="I33" i="7"/>
  <c r="H33" i="7"/>
  <c r="G33" i="7"/>
  <c r="F33" i="7"/>
  <c r="E33" i="7"/>
  <c r="D33" i="7"/>
  <c r="C33" i="7"/>
  <c r="K32" i="7"/>
  <c r="J32" i="7"/>
  <c r="I32" i="7"/>
  <c r="H32" i="7"/>
  <c r="G32" i="7"/>
  <c r="F32" i="7"/>
  <c r="E32" i="7"/>
  <c r="D32" i="7"/>
  <c r="C32" i="7"/>
  <c r="K31" i="7"/>
  <c r="J31" i="7"/>
  <c r="I31" i="7"/>
  <c r="H31" i="7"/>
  <c r="G31" i="7"/>
  <c r="F31" i="7"/>
  <c r="E31" i="7"/>
  <c r="D31" i="7"/>
  <c r="C31" i="7"/>
  <c r="C11" i="7"/>
  <c r="C10" i="7"/>
  <c r="C7" i="8" s="1"/>
  <c r="C8" i="7"/>
  <c r="C7" i="7"/>
  <c r="C6" i="7"/>
  <c r="I3" i="6"/>
  <c r="E17" i="6" s="1"/>
  <c r="F3" i="6"/>
  <c r="D6" i="6" s="1"/>
  <c r="I17" i="5"/>
  <c r="G17" i="5"/>
  <c r="I16" i="5"/>
  <c r="G16" i="5"/>
  <c r="I15" i="5"/>
  <c r="G15" i="5"/>
  <c r="N8" i="5"/>
  <c r="L8" i="5"/>
  <c r="K8" i="5"/>
  <c r="J8" i="5"/>
  <c r="N7" i="5"/>
  <c r="L7" i="5"/>
  <c r="K7" i="5"/>
  <c r="J7" i="5"/>
  <c r="N6" i="5"/>
  <c r="L6" i="5"/>
  <c r="F17" i="5" s="1"/>
  <c r="K6" i="5"/>
  <c r="E16" i="5" s="1"/>
  <c r="J6" i="5"/>
  <c r="D17" i="5" s="1"/>
  <c r="N5" i="5"/>
  <c r="L5" i="5"/>
  <c r="K5" i="5"/>
  <c r="J5" i="5"/>
  <c r="C5" i="4"/>
  <c r="D27" i="3"/>
  <c r="G5" i="4" s="1"/>
  <c r="C25" i="3"/>
  <c r="C24" i="3"/>
  <c r="C23" i="3"/>
  <c r="C9" i="7" s="1"/>
  <c r="E28" i="2"/>
  <c r="D28" i="2"/>
  <c r="C28" i="2"/>
  <c r="E23" i="2"/>
  <c r="D23" i="2"/>
  <c r="C23" i="2"/>
  <c r="E21" i="2"/>
  <c r="E22" i="2" s="1"/>
  <c r="D21" i="2"/>
  <c r="D22" i="2" s="1"/>
  <c r="C21" i="2"/>
  <c r="C22" i="2" s="1"/>
  <c r="E16" i="2"/>
  <c r="D16" i="2"/>
  <c r="E15" i="2"/>
  <c r="D15" i="2"/>
  <c r="E14" i="2"/>
  <c r="D14" i="2"/>
  <c r="C14" i="2"/>
  <c r="E13" i="2"/>
  <c r="D13" i="2"/>
  <c r="C13" i="2"/>
  <c r="E8" i="2"/>
  <c r="E9" i="2" s="1"/>
  <c r="D8" i="2"/>
  <c r="D9" i="2" s="1"/>
  <c r="C8" i="2"/>
  <c r="C9" i="2" s="1"/>
  <c r="G36" i="8" l="1"/>
  <c r="G38" i="8"/>
  <c r="D41" i="8"/>
  <c r="D43" i="8"/>
  <c r="C37" i="8"/>
  <c r="C39" i="8"/>
  <c r="E41" i="8"/>
  <c r="E43" i="8"/>
  <c r="E55" i="8" s="1"/>
  <c r="D37" i="8"/>
  <c r="F39" i="8"/>
  <c r="F41" i="8"/>
  <c r="F43" i="8"/>
  <c r="H17" i="5"/>
  <c r="E37" i="8"/>
  <c r="G39" i="8"/>
  <c r="G41" i="8"/>
  <c r="G43" i="8"/>
  <c r="C38" i="8"/>
  <c r="C40" i="8"/>
  <c r="C42" i="8"/>
  <c r="E44" i="8"/>
  <c r="E6" i="6"/>
  <c r="D38" i="8"/>
  <c r="D40" i="8"/>
  <c r="D52" i="8" s="1"/>
  <c r="D42" i="8"/>
  <c r="F44" i="8"/>
  <c r="D16" i="5"/>
  <c r="C27" i="5" s="1"/>
  <c r="C18" i="1" s="1"/>
  <c r="D18" i="1" s="1"/>
  <c r="F16" i="5"/>
  <c r="C28" i="5" s="1"/>
  <c r="C19" i="1" s="1"/>
  <c r="D19" i="1" s="1"/>
  <c r="E36" i="8"/>
  <c r="E38" i="8"/>
  <c r="E40" i="8"/>
  <c r="E52" i="8" s="1"/>
  <c r="G42" i="8"/>
  <c r="G54" i="8" s="1"/>
  <c r="G44" i="8"/>
  <c r="F52" i="8"/>
  <c r="G50" i="8"/>
  <c r="D55" i="8"/>
  <c r="F19" i="8"/>
  <c r="E19" i="8"/>
  <c r="D19" i="8"/>
  <c r="C19" i="8"/>
  <c r="C20" i="8" s="1"/>
  <c r="C8" i="8"/>
  <c r="G19" i="8"/>
  <c r="E53" i="8"/>
  <c r="D49" i="8"/>
  <c r="F51" i="8"/>
  <c r="F53" i="8"/>
  <c r="F50" i="8"/>
  <c r="C55" i="8"/>
  <c r="G48" i="8"/>
  <c r="D53" i="8"/>
  <c r="C49" i="8"/>
  <c r="C51" i="8"/>
  <c r="E49" i="8"/>
  <c r="G51" i="8"/>
  <c r="G53" i="8"/>
  <c r="G55" i="8"/>
  <c r="D56" i="8"/>
  <c r="C52" i="8"/>
  <c r="E56" i="8"/>
  <c r="C50" i="8"/>
  <c r="C54" i="8"/>
  <c r="D50" i="8"/>
  <c r="D54" i="8"/>
  <c r="F56" i="8"/>
  <c r="G19" i="7"/>
  <c r="G20" i="7" s="1"/>
  <c r="C24" i="7"/>
  <c r="C25" i="7" s="1"/>
  <c r="F19" i="7"/>
  <c r="F20" i="7" s="1"/>
  <c r="C9" i="8"/>
  <c r="E19" i="7"/>
  <c r="E20" i="7" s="1"/>
  <c r="D19" i="7"/>
  <c r="D20" i="7" s="1"/>
  <c r="C19" i="7"/>
  <c r="C20" i="7" s="1"/>
  <c r="C14" i="7"/>
  <c r="E48" i="8"/>
  <c r="E50" i="8"/>
  <c r="G56" i="8"/>
  <c r="D32" i="3"/>
  <c r="E15" i="5"/>
  <c r="F17" i="6"/>
  <c r="C32" i="3"/>
  <c r="H5" i="4"/>
  <c r="H16" i="5"/>
  <c r="F6" i="6"/>
  <c r="G17" i="6"/>
  <c r="D15" i="5"/>
  <c r="F30" i="3"/>
  <c r="G30" i="3"/>
  <c r="E32" i="3"/>
  <c r="F15" i="5"/>
  <c r="C31" i="3"/>
  <c r="F32" i="3"/>
  <c r="G6" i="6"/>
  <c r="H17" i="6"/>
  <c r="E31" i="3"/>
  <c r="E30" i="3"/>
  <c r="C26" i="3"/>
  <c r="D31" i="3"/>
  <c r="G32" i="3"/>
  <c r="D5" i="4"/>
  <c r="H15" i="5"/>
  <c r="H6" i="6"/>
  <c r="I17" i="6"/>
  <c r="E17" i="5"/>
  <c r="I6" i="6"/>
  <c r="C17" i="6"/>
  <c r="E5" i="4"/>
  <c r="C30" i="3"/>
  <c r="C33" i="3" s="1"/>
  <c r="F31" i="3"/>
  <c r="F5" i="4"/>
  <c r="D30" i="3"/>
  <c r="G31" i="3"/>
  <c r="C6" i="6"/>
  <c r="D17" i="6"/>
  <c r="C36" i="8"/>
  <c r="C48" i="8" s="1"/>
  <c r="F37" i="8"/>
  <c r="F49" i="8" s="1"/>
  <c r="D39" i="8"/>
  <c r="D51" i="8" s="1"/>
  <c r="G40" i="8"/>
  <c r="G52" i="8" s="1"/>
  <c r="E42" i="8"/>
  <c r="E54" i="8" s="1"/>
  <c r="C44" i="8"/>
  <c r="C56" i="8" s="1"/>
  <c r="D36" i="8"/>
  <c r="D48" i="8" s="1"/>
  <c r="G37" i="8"/>
  <c r="G49" i="8" s="1"/>
  <c r="E39" i="8"/>
  <c r="E51" i="8" s="1"/>
  <c r="C41" i="8"/>
  <c r="C53" i="8" s="1"/>
  <c r="F42" i="8"/>
  <c r="F54" i="8" s="1"/>
  <c r="F55" i="8" l="1"/>
  <c r="D33" i="3"/>
  <c r="C34" i="3"/>
  <c r="C35" i="3" s="1"/>
  <c r="D9" i="4"/>
  <c r="D18" i="4" s="1"/>
  <c r="D19" i="4" s="1"/>
  <c r="C44" i="3" s="1"/>
  <c r="C37" i="3"/>
  <c r="D21" i="8"/>
  <c r="D22" i="8" s="1"/>
  <c r="C21" i="8"/>
  <c r="C22" i="8" s="1"/>
  <c r="D18" i="8"/>
  <c r="D20" i="8" s="1"/>
  <c r="F46" i="3"/>
  <c r="E46" i="3"/>
  <c r="C3" i="6"/>
  <c r="C46" i="3"/>
  <c r="G46" i="3"/>
  <c r="D46" i="3"/>
  <c r="C23" i="7"/>
  <c r="C26" i="7" s="1"/>
  <c r="C27" i="7" s="1"/>
  <c r="F48" i="8"/>
  <c r="E18" i="8" l="1"/>
  <c r="E20" i="8" s="1"/>
  <c r="E21" i="8"/>
  <c r="E22" i="8" s="1"/>
  <c r="C38" i="3"/>
  <c r="C36" i="3"/>
  <c r="C39" i="3"/>
  <c r="E33" i="3"/>
  <c r="D34" i="3"/>
  <c r="D35" i="3" s="1"/>
  <c r="E9" i="4"/>
  <c r="E18" i="4" s="1"/>
  <c r="E19" i="4" s="1"/>
  <c r="D44" i="3" s="1"/>
  <c r="D37" i="3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F18" i="8" l="1"/>
  <c r="F20" i="8" s="1"/>
  <c r="F21" i="8"/>
  <c r="F22" i="8" s="1"/>
  <c r="E34" i="3"/>
  <c r="F33" i="3"/>
  <c r="F9" i="4"/>
  <c r="F18" i="4" s="1"/>
  <c r="F19" i="4" s="1"/>
  <c r="E44" i="3" s="1"/>
  <c r="E37" i="3"/>
  <c r="E35" i="3"/>
  <c r="C40" i="3"/>
  <c r="C41" i="3" s="1"/>
  <c r="C45" i="3" s="1"/>
  <c r="D38" i="3"/>
  <c r="D39" i="3"/>
  <c r="D36" i="3"/>
  <c r="G18" i="8" l="1"/>
  <c r="G20" i="8" s="1"/>
  <c r="G21" i="8"/>
  <c r="E36" i="3"/>
  <c r="E38" i="3"/>
  <c r="E39" i="3"/>
  <c r="G9" i="4"/>
  <c r="G18" i="4" s="1"/>
  <c r="G19" i="4" s="1"/>
  <c r="F44" i="3" s="1"/>
  <c r="F37" i="3"/>
  <c r="F34" i="3"/>
  <c r="F35" i="3" s="1"/>
  <c r="G33" i="3"/>
  <c r="D40" i="3"/>
  <c r="D41" i="3" s="1"/>
  <c r="D45" i="3" s="1"/>
  <c r="C47" i="3"/>
  <c r="F36" i="3" l="1"/>
  <c r="F39" i="3"/>
  <c r="F38" i="3"/>
  <c r="D47" i="3"/>
  <c r="E40" i="3"/>
  <c r="E41" i="3" s="1"/>
  <c r="E45" i="3" s="1"/>
  <c r="G34" i="3"/>
  <c r="G35" i="3" s="1"/>
  <c r="H9" i="4"/>
  <c r="H18" i="4" s="1"/>
  <c r="H19" i="4" s="1"/>
  <c r="G44" i="3" s="1"/>
  <c r="G37" i="3"/>
  <c r="G22" i="8"/>
  <c r="C25" i="8" s="1"/>
  <c r="C26" i="8"/>
  <c r="C27" i="8" s="1"/>
  <c r="E47" i="3" l="1"/>
  <c r="G39" i="3"/>
  <c r="G36" i="3"/>
  <c r="G38" i="3"/>
  <c r="F40" i="3"/>
  <c r="F41" i="3" s="1"/>
  <c r="F45" i="3" s="1"/>
  <c r="C28" i="8"/>
  <c r="C29" i="8" s="1"/>
  <c r="C30" i="8" s="1"/>
  <c r="F47" i="3" l="1"/>
  <c r="G40" i="3"/>
  <c r="G41" i="3" s="1"/>
  <c r="G45" i="3" s="1"/>
  <c r="C59" i="3"/>
  <c r="C60" i="3" s="1"/>
  <c r="C61" i="3" s="1"/>
  <c r="C51" i="3" l="1"/>
  <c r="C52" i="3" s="1"/>
  <c r="G47" i="3"/>
  <c r="C50" i="3" s="1"/>
  <c r="I12" i="6"/>
  <c r="C18" i="6"/>
  <c r="F24" i="6"/>
  <c r="G8" i="6"/>
  <c r="D9" i="6"/>
  <c r="H9" i="6"/>
  <c r="I7" i="6"/>
  <c r="G24" i="6"/>
  <c r="F7" i="6"/>
  <c r="E21" i="6"/>
  <c r="E22" i="6"/>
  <c r="F18" i="6"/>
  <c r="D18" i="6"/>
  <c r="F22" i="6"/>
  <c r="F12" i="6"/>
  <c r="C12" i="6"/>
  <c r="G11" i="6"/>
  <c r="C24" i="6"/>
  <c r="C7" i="6"/>
  <c r="I24" i="6"/>
  <c r="H19" i="6"/>
  <c r="C8" i="6"/>
  <c r="H12" i="6"/>
  <c r="C20" i="6"/>
  <c r="G7" i="6"/>
  <c r="E19" i="6"/>
  <c r="G12" i="6"/>
  <c r="H20" i="6"/>
  <c r="I18" i="6"/>
  <c r="C9" i="6"/>
  <c r="E7" i="6"/>
  <c r="G23" i="6"/>
  <c r="E11" i="6"/>
  <c r="H23" i="6"/>
  <c r="F19" i="6"/>
  <c r="C22" i="6"/>
  <c r="G9" i="6"/>
  <c r="E18" i="6"/>
  <c r="D24" i="6"/>
  <c r="G10" i="6"/>
  <c r="F9" i="6"/>
  <c r="E24" i="6"/>
  <c r="G19" i="6"/>
  <c r="D10" i="6"/>
  <c r="G13" i="6"/>
  <c r="D7" i="6"/>
  <c r="I22" i="6"/>
  <c r="F20" i="6"/>
  <c r="C19" i="6"/>
  <c r="F23" i="6"/>
  <c r="D13" i="6"/>
  <c r="H8" i="6"/>
  <c r="D11" i="6"/>
  <c r="H13" i="6"/>
  <c r="H7" i="6"/>
  <c r="F13" i="6"/>
  <c r="I9" i="6"/>
  <c r="H11" i="6"/>
  <c r="I21" i="6"/>
  <c r="D23" i="6"/>
  <c r="E10" i="6"/>
  <c r="D19" i="6"/>
  <c r="G21" i="6"/>
  <c r="I11" i="6"/>
  <c r="E13" i="6"/>
  <c r="G22" i="6"/>
  <c r="E12" i="6"/>
  <c r="I19" i="6"/>
  <c r="H24" i="6"/>
  <c r="C10" i="6"/>
  <c r="D12" i="6"/>
  <c r="G20" i="6"/>
  <c r="G18" i="6"/>
  <c r="F10" i="6"/>
  <c r="I8" i="6"/>
  <c r="C13" i="6"/>
  <c r="E8" i="6"/>
  <c r="C21" i="6"/>
  <c r="I23" i="6"/>
  <c r="F8" i="6"/>
  <c r="C23" i="6"/>
  <c r="D21" i="6"/>
  <c r="I13" i="6"/>
  <c r="D22" i="6"/>
  <c r="H18" i="6"/>
  <c r="I10" i="6"/>
  <c r="D20" i="6"/>
  <c r="F21" i="6"/>
  <c r="C11" i="6"/>
  <c r="D8" i="6"/>
  <c r="H21" i="6"/>
  <c r="F11" i="6"/>
  <c r="E23" i="6"/>
  <c r="E20" i="6"/>
  <c r="E9" i="6"/>
  <c r="H22" i="6"/>
  <c r="H10" i="6"/>
  <c r="I20" i="6"/>
  <c r="C58" i="3" l="1"/>
  <c r="C62" i="3" s="1"/>
  <c r="C63" i="3" s="1"/>
  <c r="C64" i="3" s="1"/>
  <c r="C17" i="1" s="1"/>
  <c r="D17" i="1" s="1"/>
  <c r="C53" i="3"/>
  <c r="C54" i="3" s="1"/>
  <c r="C55" i="3" s="1"/>
  <c r="C21" i="1" l="1"/>
  <c r="C10" i="1"/>
  <c r="C12" i="1" l="1"/>
  <c r="C11" i="1" s="1"/>
</calcChain>
</file>

<file path=xl/sharedStrings.xml><?xml version="1.0" encoding="utf-8"?>
<sst xmlns="http://schemas.openxmlformats.org/spreadsheetml/2006/main" count="343" uniqueCount="210">
  <si>
    <t>DISCLAIMER: This is a sample analysis for demonstration purposes only. It does not constitute investment advice.</t>
  </si>
  <si>
    <t>株式会社セブン銀行 (8410.T)</t>
  </si>
  <si>
    <t>Equity Research Report</t>
  </si>
  <si>
    <t>Company</t>
  </si>
  <si>
    <t>株式会社セブン銀行</t>
  </si>
  <si>
    <t>Ticker</t>
  </si>
  <si>
    <t>8410.T (TSE)</t>
  </si>
  <si>
    <t>Sector</t>
  </si>
  <si>
    <t>Banking (ATM network / fee-based financial infrastructure)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</si>
  <si>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</si>
  <si>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</si>
  <si>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</si>
  <si>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</si>
  <si>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</si>
  <si>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</si>
  <si>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</si>
  <si>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</si>
  <si>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</si>
  <si>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</si>
  <si>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</si>
  <si>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</si>
  <si>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</si>
  <si>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</si>
  <si>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The reported 26% net income decline is misleading -- ordinary profit was essentially flat at 30,165 (-0.4%). The drop came from an 8,456 impairment on the credit card business and new-ATM replacement costs, both below the ordinary line. The franchise did not deteriorate; the accounting did.</t>
  </si>
  <si>
    <t>2. Cashless payment adoption is currently a TAILWIND, not a headwind. ATM transaction volume rose because consumers load cash onto cashless wallets at Seven Bank ATMs. ATM units reached 28,536 (+1.9%) with 109.2 daily transactions per unit. The bear case requires this to reverse, which it has not yet.</t>
  </si>
  <si>
    <t>3. Fee-based infrastructure economics inside a banking licence. 91.3% of ordinary income is fee income (ATM fees alone 169,240, or 76.9%); interest income is only 7.2%. This is an ATM network operator, and should be valued on franchise durability and ROE, not on net interest margin.</t>
  </si>
  <si>
    <t>Key Risks</t>
  </si>
  <si>
    <t>1. ROE sits almost exactly at the cost of equity. FY2026/3 ROE was 4.8% (6.1% on FY2027/3 guidance) against an estimated 6.2% cost of equity. When ROE equals Ke, intrinsic value collapses to book value, and the shares already trade at 1.065x book. There is little valuation cushion.</t>
  </si>
  <si>
    <t>2. Capex exceeds depreciation during the ATM replacement cycle. Depreciation is roughly 30,586 while the fourth-generation ATM rollout keeps capex elevated. 28,536 units must be refreshed on a recurring cycle regardless of demand.</t>
  </si>
  <si>
    <t>3. Payout ratio near 90% leaves almost no retained growth. Sustainable growth = ROE x (1 - payout) is well under 1%, so the dividend is the return. Any ROE shortfall hits both the dividend and the terminal value simultaneously.</t>
  </si>
  <si>
    <t>株式会社セブン銀行 - Historical Financials (JPY mn)</t>
  </si>
  <si>
    <t>FY2024/3</t>
  </si>
  <si>
    <t>FY2025/3</t>
  </si>
  <si>
    <t>FY2026/3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</si>
  <si>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</si>
  <si>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</si>
  <si>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</si>
  <si>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</si>
  <si>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</si>
  <si>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</si>
  <si>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</si>
  <si>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</si>
  <si>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</si>
  <si>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</si>
  <si>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</si>
  <si>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</si>
  <si>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</si>
  <si>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</si>
  <si>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</si>
  <si>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</si>
  <si>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</si>
  <si>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</si>
  <si>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</si>
  <si>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</si>
  <si>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</si>
  <si>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</si>
  <si>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</si>
  <si>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株式会社セブン銀行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</si>
  <si>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</si>
  <si>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</si>
  <si>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</si>
  <si>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</si>
  <si>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</si>
  <si>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</si>
  <si>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</si>
  <si>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</si>
  <si>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</si>
  <si>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</si>
  <si>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</si>
  <si>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</si>
  <si>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</si>
  <si>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</si>
  <si>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</si>
  <si>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</si>
  <si>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</si>
  <si>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</si>
  <si>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</si>
  <si>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</si>
  <si>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</si>
  <si>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</si>
  <si>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</si>
  <si>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</si>
  <si>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</si>
  <si>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</si>
  <si>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</si>
  <si>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</si>
  <si>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</si>
  <si>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</si>
  <si>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</si>
  <si>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</si>
  <si>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</si>
  <si>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</si>
  <si>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</si>
  <si>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</si>
  <si>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</si>
  <si>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</si>
  <si>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</si>
  <si>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</si>
  <si>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</si>
  <si>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</si>
  <si>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</si>
  <si>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</si>
  <si>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</si>
  <si>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</si>
  <si>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</si>
  <si>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</si>
  <si>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</si>
  <si>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</si>
  <si>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</si>
  <si>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</si>
  <si>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</si>
  <si>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</si>
  <si>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</si>
  <si>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</si>
  <si>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</si>
  <si>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</si>
  <si>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</si>
  <si>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</si>
  <si>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</si>
  <si>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</si>
  <si>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</si>
  <si>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株式会社セブン銀行</t>
  </si>
  <si>
    <t>Working Capital Drivers (% of Revenue)</t>
  </si>
  <si>
    <t>Base Year</t>
  </si>
  <si>
    <t>NWC % of Revenue</t>
  </si>
  <si>
    <t>—</t>
  </si>
  <si>
    <t>P&amp;L Reference (JPY mn)</t>
  </si>
  <si>
    <t>Working Capital Items (JPY mn)</t>
  </si>
  <si>
    <t>Net Working Capital (JPY mn)</t>
  </si>
  <si>
    <t>Net Working Capital</t>
  </si>
  <si>
    <t>Scenario Input Matrix (NWC % of Revenue)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</si>
  <si>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</si>
  <si>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</si>
  <si>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</si>
  <si>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</si>
  <si>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</si>
  <si>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</si>
  <si>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</si>
  <si>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</si>
  <si>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</si>
  <si>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</si>
  <si>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</si>
  <si>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</si>
  <si>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</si>
  <si>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Seven Bank</t>
  </si>
  <si>
    <t>8410.T</t>
  </si>
  <si>
    <t>Rakuten Bank</t>
  </si>
  <si>
    <t>5838.T</t>
  </si>
  <si>
    <t>Japan Post Bank</t>
  </si>
  <si>
    <t>7182.T</t>
  </si>
  <si>
    <t>AEON Financial Service</t>
  </si>
  <si>
    <t>8570.T</t>
  </si>
  <si>
    <t>Statistics</t>
  </si>
  <si>
    <t>25th Percentile</t>
  </si>
  <si>
    <t>Median (50th)</t>
  </si>
  <si>
    <t>75th Percentile</t>
  </si>
  <si>
    <t>Implied Valuation for 株式会社セブン銀行</t>
  </si>
  <si>
    <t>株式会社セブン銀行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</si>
  <si>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</si>
  <si>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</si>
  <si>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</si>
  <si>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</si>
  <si>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</si>
  <si>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</si>
  <si>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</si>
  <si>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</si>
  <si>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</si>
  <si>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</si>
  <si>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</si>
  <si>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</si>
  <si>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</si>
  <si>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</si>
  <si>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</si>
  <si>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DDM - 2-Stage Dividend Discount Model (PRIMARY METHOD - bank)</t>
  </si>
  <si>
    <t>Standard UFCF DCF does not apply to a bank (see 'DCF Model' sheet, used only as an auxiliary ATM-fee-franchise cross-check).</t>
  </si>
  <si>
    <t>Inputs</t>
  </si>
  <si>
    <t>Current Price (JPY)</t>
  </si>
  <si>
    <t>Terminal Growth (g)</t>
  </si>
  <si>
    <t>Guard (Ke must exceed g)</t>
  </si>
  <si>
    <t>Dividend per Share Forecast (Base scenario)</t>
  </si>
  <si>
    <t>DPS (JPY)</t>
  </si>
  <si>
    <t>FY2027(E)=11.00 matches company guidance (dividend forecast, flat vs FY2026/3 actual)</t>
  </si>
  <si>
    <t>PV of DPS</t>
  </si>
  <si>
    <t>Valuation</t>
  </si>
  <si>
    <t>Sum of PV of DPS (Yr 1-5)</t>
  </si>
  <si>
    <t>Terminal Value (Yr 5)</t>
  </si>
  <si>
    <t>Implied Value per Share (JPY)</t>
  </si>
  <si>
    <t>Upside / (Downside) vs Current Price</t>
  </si>
  <si>
    <t>Sensitivity: Ke (rows) x Terminal g (cols)</t>
  </si>
  <si>
    <t>Ke \ g</t>
  </si>
  <si>
    <t>Residual Income Model (PRIMARY METHOD - bank)</t>
  </si>
  <si>
    <t>Value = Book Value + PV(Residual Income). When ROE approaches Ke, value converges to book value.</t>
  </si>
  <si>
    <t>Beginning Book Value (JPY mn)</t>
  </si>
  <si>
    <t>BPS_0 (JPY)</t>
  </si>
  <si>
    <t>ROE Forecast (Base scenario)</t>
  </si>
  <si>
    <t>FY2027(E)=6.1% = company net income guidance 17,000 / beginning equity 280,491</t>
  </si>
  <si>
    <t>Book Value Rollforward (JPY mn)</t>
  </si>
  <si>
    <t>Net Income_t = ROE_t x BV_(t-1)</t>
  </si>
  <si>
    <t>Dividends_t (from DDM)</t>
  </si>
  <si>
    <t>Ending Book Value</t>
  </si>
  <si>
    <t>Residual Income_t = (ROE_t - Ke) x BV_(t-1)</t>
  </si>
  <si>
    <t>PV of Residual Income</t>
  </si>
  <si>
    <t>Sum of PV of Residual Income</t>
  </si>
  <si>
    <t>Terminal Residual Income</t>
  </si>
  <si>
    <t>PV of Terminal Residual Income</t>
  </si>
  <si>
    <t>Equity Value (JPY mn)</t>
  </si>
  <si>
    <t>Note: ROE sits close to Ke, so Residual Income per year is small and the implied value sits close to BPS_0 -- the theoretical price is structurally anchored to book value, not to growth assumptions. Whether ROE durably exceeds Ke is the entire valuation question for this stock.</t>
  </si>
  <si>
    <t>Justified P/B = (ROE - g) / (Ke - g)</t>
  </si>
  <si>
    <t>ROE \ Ke</t>
  </si>
  <si>
    <t>Implied Share Price at each (ROE, Ke) node = BPS_0 x Justified P/B (JPY)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</si>
</sst>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  <numFmt numFmtId="182" formatCode="0.0&quot;円&quot;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10"/>
      <color rgb="FF0000FF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177" fontId="5" fillId="0" borderId="5" xfId="0" applyNumberFormat="1" applyFont="1" applyBorder="1"/>
    <xf numFmtId="0" fontId="1" fillId="0" borderId="5" xfId="0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180" fontId="8" fillId="0" borderId="2" xfId="0" applyNumberFormat="1" applyFont="1" applyBorder="1"/>
    <xf numFmtId="2" fontId="8" fillId="0" borderId="2" xfId="0" applyNumberFormat="1" applyFont="1" applyBorder="1"/>
    <xf numFmtId="0" fontId="4" fillId="5" borderId="4" xfId="0" applyFont="1" applyFill="1" applyBorder="1"/>
    <xf numFmtId="176" fontId="4" fillId="5" borderId="4" xfId="0" applyNumberFormat="1" applyFont="1" applyFill="1" applyBorder="1"/>
    <xf numFmtId="180" fontId="4" fillId="0" borderId="0" xfId="0" applyNumberFormat="1" applyFont="1" applyAlignment="1">
      <alignment horizontal="center"/>
    </xf>
    <xf numFmtId="180" fontId="4" fillId="0" borderId="0" xfId="0" applyNumberFormat="1" applyFont="1"/>
    <xf numFmtId="176" fontId="8" fillId="0" borderId="2" xfId="0" applyNumberFormat="1" applyFont="1" applyBorder="1"/>
    <xf numFmtId="182" fontId="5" fillId="0" borderId="0" xfId="0" applyNumberFormat="1" applyFont="1"/>
    <xf numFmtId="177" fontId="8" fillId="0" borderId="2" xfId="0" applyNumberFormat="1" applyFont="1" applyBorder="1"/>
    <xf numFmtId="0" fontId="4" fillId="0" borderId="0" xfId="0" applyFont="1" applyAlignment="1">
      <alignment horizontal="center"/>
    </xf>
    <xf numFmtId="177" fontId="4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topLeftCell="A6" workbookViewId="0">
      <selection activeCell="C10" sqref="C10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52" t="s">
        <v>0</v>
      </c>
      <c r="C1" s="51"/>
      <c r="D1" s="51"/>
      <c r="E1" s="51"/>
    </row>
    <row r="3" spans="2:5" ht="18" x14ac:dyDescent="0.4">
      <c r="B3" s="50" t="s">
        <v>1</v>
      </c>
      <c r="C3" s="51"/>
      <c r="D3" s="51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327</v>
      </c>
    </row>
    <row r="10" spans="2:5" ht="14" x14ac:dyDescent="0.3">
      <c r="B10" s="4" t="s">
        <v>10</v>
      </c>
      <c r="C10" s="5">
        <f>ROUND(AVERAGE(C16:C19),0)</f>
        <v>380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0.1620795107033639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389</v>
      </c>
      <c r="D16" s="7">
        <f>(C16-C9)/C9</f>
        <v>0.18960244648318042</v>
      </c>
    </row>
    <row r="17" spans="2:4" ht="13.5" x14ac:dyDescent="0.25">
      <c r="B17" t="s">
        <v>18</v>
      </c>
      <c r="C17" s="11">
        <f>'DCF Model'!C64</f>
        <v>431</v>
      </c>
      <c r="D17" s="7">
        <f>(C17-C9)/C9</f>
        <v>0.31804281345565749</v>
      </c>
    </row>
    <row r="18" spans="2:4" ht="13.5" x14ac:dyDescent="0.25">
      <c r="B18" t="s">
        <v>19</v>
      </c>
      <c r="C18" s="11">
        <f>'Comps Analysis'!C27</f>
        <v>505</v>
      </c>
      <c r="D18" s="7">
        <f>IF(ISNUMBER(C18),(C18-C9)/C9,"N/A")</f>
        <v>0.54434250764525993</v>
      </c>
    </row>
    <row r="19" spans="2:4" ht="13.5" x14ac:dyDescent="0.25">
      <c r="B19" t="s">
        <v>20</v>
      </c>
      <c r="C19" s="11">
        <f>'Comps Analysis'!C28</f>
        <v>196</v>
      </c>
      <c r="D19" s="7">
        <f>IF(ISNUMBER(C19),(C19-C9)/C9,"N/A")</f>
        <v>-0.40061162079510704</v>
      </c>
    </row>
    <row r="21" spans="2:4" ht="14" x14ac:dyDescent="0.3">
      <c r="B21" s="4" t="s">
        <v>21</v>
      </c>
      <c r="C21" s="6" t="str">
        <f>MIN(C16:C19)&amp;" - "&amp;MAX(C16:C19)</f>
        <v>196 - 505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E28"/>
  <sheetViews>
    <sheetView workbookViewId="0"/>
  </sheetViews>
  <sheetFormatPr defaultRowHeight="13" x14ac:dyDescent="0.2"/>
  <cols>
    <col min="1" max="1" width="3" customWidth="1"/>
    <col min="2" max="2" width="32" customWidth="1"/>
    <col min="3" max="5" width="18" customWidth="1"/>
  </cols>
  <sheetData>
    <row r="2" spans="2:5" ht="18" x14ac:dyDescent="0.4">
      <c r="B2" s="2" t="s">
        <v>30</v>
      </c>
    </row>
    <row r="4" spans="2:5" ht="14" x14ac:dyDescent="0.3">
      <c r="C4" s="10" t="s">
        <v>31</v>
      </c>
      <c r="D4" s="10" t="s">
        <v>32</v>
      </c>
      <c r="E4" s="10" t="s">
        <v>33</v>
      </c>
    </row>
    <row r="5" spans="2:5" ht="14" x14ac:dyDescent="0.3">
      <c r="B5" s="3" t="s">
        <v>34</v>
      </c>
    </row>
    <row r="6" spans="2:5" ht="14" x14ac:dyDescent="0.3">
      <c r="B6" s="4" t="s">
        <v>35</v>
      </c>
      <c r="C6" s="5">
        <v>197877</v>
      </c>
      <c r="D6" s="5">
        <v>214408</v>
      </c>
      <c r="E6" s="5">
        <v>220025</v>
      </c>
    </row>
    <row r="7" spans="2:5" ht="14" x14ac:dyDescent="0.3">
      <c r="B7" s="4" t="s">
        <v>36</v>
      </c>
      <c r="C7" s="5">
        <v>54594</v>
      </c>
      <c r="D7" s="5">
        <v>57759</v>
      </c>
      <c r="E7" s="5">
        <v>58729</v>
      </c>
    </row>
    <row r="8" spans="2:5" ht="14" x14ac:dyDescent="0.3">
      <c r="B8" s="4" t="s">
        <v>37</v>
      </c>
      <c r="C8" s="5">
        <f>C6-C7</f>
        <v>143283</v>
      </c>
      <c r="D8" s="5">
        <f>D6-D7</f>
        <v>156649</v>
      </c>
      <c r="E8" s="5">
        <f>E6-E7</f>
        <v>161296</v>
      </c>
    </row>
    <row r="9" spans="2:5" ht="13.5" x14ac:dyDescent="0.25">
      <c r="B9" t="s">
        <v>38</v>
      </c>
      <c r="C9" s="7">
        <f>C8/C6</f>
        <v>0.72410133567822432</v>
      </c>
      <c r="D9" s="7">
        <f>D8/D6</f>
        <v>0.73061173090556319</v>
      </c>
      <c r="E9" s="7">
        <f>E8/E6</f>
        <v>0.73308033178047949</v>
      </c>
    </row>
    <row r="10" spans="2:5" ht="14" x14ac:dyDescent="0.3">
      <c r="B10" s="4" t="s">
        <v>39</v>
      </c>
      <c r="C10" s="5">
        <v>112757</v>
      </c>
      <c r="D10" s="5">
        <v>126357</v>
      </c>
      <c r="E10" s="5">
        <v>131129</v>
      </c>
    </row>
    <row r="11" spans="2:5" ht="14" x14ac:dyDescent="0.3">
      <c r="B11" s="4" t="s">
        <v>40</v>
      </c>
      <c r="C11" s="5">
        <v>30526</v>
      </c>
      <c r="D11" s="5">
        <v>30289</v>
      </c>
      <c r="E11" s="5">
        <v>30165</v>
      </c>
    </row>
    <row r="12" spans="2:5" ht="14" x14ac:dyDescent="0.3">
      <c r="B12" s="4" t="s">
        <v>41</v>
      </c>
      <c r="C12" s="5">
        <v>31970</v>
      </c>
      <c r="D12" s="5">
        <v>18221</v>
      </c>
      <c r="E12" s="5">
        <v>13476</v>
      </c>
    </row>
    <row r="13" spans="2:5" ht="13.5" x14ac:dyDescent="0.25">
      <c r="B13" t="s">
        <v>42</v>
      </c>
      <c r="C13" s="7">
        <f>C11/C6</f>
        <v>0.15426755004371404</v>
      </c>
      <c r="D13" s="7">
        <f>D11/D6</f>
        <v>0.14126804969963808</v>
      </c>
      <c r="E13" s="7">
        <f>E11/E6</f>
        <v>0.13709805703897285</v>
      </c>
    </row>
    <row r="14" spans="2:5" ht="13.5" x14ac:dyDescent="0.25">
      <c r="B14" t="s">
        <v>43</v>
      </c>
      <c r="C14" s="7">
        <f>C12/C6</f>
        <v>0.16156501260884287</v>
      </c>
      <c r="D14" s="7">
        <f>D12/D6</f>
        <v>8.4982836461326067E-2</v>
      </c>
      <c r="E14" s="7">
        <f>E12/E6</f>
        <v>6.1247585501647543E-2</v>
      </c>
    </row>
    <row r="15" spans="2:5" ht="13.5" x14ac:dyDescent="0.25">
      <c r="B15" t="s">
        <v>44</v>
      </c>
      <c r="C15" t="s">
        <v>45</v>
      </c>
      <c r="D15" s="7">
        <f>(D6-C6)/C6</f>
        <v>8.3541796166305332E-2</v>
      </c>
      <c r="E15" s="7">
        <f>(E6-D6)/D6</f>
        <v>2.6197716503115556E-2</v>
      </c>
    </row>
    <row r="16" spans="2:5" ht="13.5" x14ac:dyDescent="0.25">
      <c r="B16" t="s">
        <v>46</v>
      </c>
      <c r="C16" t="s">
        <v>45</v>
      </c>
      <c r="D16" s="7">
        <f>(D11-C11)/C11</f>
        <v>-7.7638734193802008E-3</v>
      </c>
      <c r="E16" s="7">
        <f>(E11-D11)/D11</f>
        <v>-4.0938954736042784E-3</v>
      </c>
    </row>
    <row r="18" spans="2:5" ht="14" x14ac:dyDescent="0.3">
      <c r="B18" s="3" t="s">
        <v>47</v>
      </c>
    </row>
    <row r="19" spans="2:5" ht="14" x14ac:dyDescent="0.3">
      <c r="B19" s="4" t="s">
        <v>48</v>
      </c>
      <c r="C19" s="5">
        <v>136039</v>
      </c>
      <c r="D19" s="5">
        <v>41311</v>
      </c>
      <c r="E19" s="5">
        <v>66577</v>
      </c>
    </row>
    <row r="20" spans="2:5" ht="14" x14ac:dyDescent="0.3">
      <c r="B20" s="4" t="s">
        <v>49</v>
      </c>
      <c r="C20" s="5">
        <v>17739</v>
      </c>
      <c r="D20" s="5">
        <v>23206</v>
      </c>
      <c r="E20" s="5">
        <v>9947</v>
      </c>
    </row>
    <row r="21" spans="2:5" ht="14" x14ac:dyDescent="0.3">
      <c r="B21" s="4" t="s">
        <v>50</v>
      </c>
      <c r="C21" s="5">
        <f>C19-C20</f>
        <v>118300</v>
      </c>
      <c r="D21" s="5">
        <f>D19-D20</f>
        <v>18105</v>
      </c>
      <c r="E21" s="5">
        <f>E19-E20</f>
        <v>56630</v>
      </c>
    </row>
    <row r="22" spans="2:5" ht="13.5" x14ac:dyDescent="0.25">
      <c r="B22" t="s">
        <v>51</v>
      </c>
      <c r="C22" s="7">
        <f>C21/C6</f>
        <v>0.5978461367415111</v>
      </c>
      <c r="D22" s="7">
        <f>D21/D6</f>
        <v>8.4441811872691314E-2</v>
      </c>
      <c r="E22" s="7">
        <f>E21/E6</f>
        <v>0.25737984319963642</v>
      </c>
    </row>
    <row r="23" spans="2:5" ht="13.5" x14ac:dyDescent="0.25">
      <c r="B23" t="s">
        <v>52</v>
      </c>
      <c r="C23" s="7">
        <f>C20/C6</f>
        <v>8.9646598644612566E-2</v>
      </c>
      <c r="D23" s="7">
        <f>D20/D6</f>
        <v>0.10823290175739711</v>
      </c>
      <c r="E23" s="7">
        <f>E20/E6</f>
        <v>4.5208499034200662E-2</v>
      </c>
    </row>
    <row r="25" spans="2:5" ht="14" x14ac:dyDescent="0.3">
      <c r="B25" s="3" t="s">
        <v>53</v>
      </c>
    </row>
    <row r="26" spans="2:5" ht="14" x14ac:dyDescent="0.3">
      <c r="B26" s="4" t="s">
        <v>54</v>
      </c>
      <c r="C26" s="5">
        <v>937945</v>
      </c>
      <c r="D26" s="5">
        <v>931404</v>
      </c>
      <c r="E26" s="5">
        <v>950256</v>
      </c>
    </row>
    <row r="27" spans="2:5" ht="14" x14ac:dyDescent="0.3">
      <c r="B27" s="4" t="s">
        <v>55</v>
      </c>
      <c r="C27" s="5">
        <v>105000</v>
      </c>
      <c r="D27" s="5">
        <v>105000</v>
      </c>
      <c r="E27" s="5">
        <v>85000</v>
      </c>
    </row>
    <row r="28" spans="2:5" ht="14" x14ac:dyDescent="0.3">
      <c r="B28" s="4" t="s">
        <v>56</v>
      </c>
      <c r="C28" s="5">
        <f>C27-C26</f>
        <v>-832945</v>
      </c>
      <c r="D28" s="5">
        <f>D27-D26</f>
        <v>-826404</v>
      </c>
      <c r="E28" s="5">
        <f>E27-E26</f>
        <v>-865256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opLeftCell="B19"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57</v>
      </c>
    </row>
    <row r="4" spans="2:7" ht="14" x14ac:dyDescent="0.3">
      <c r="B4" s="8" t="s">
        <v>58</v>
      </c>
      <c r="C4" s="9"/>
      <c r="D4" s="9"/>
      <c r="E4" s="9"/>
      <c r="F4" s="9"/>
      <c r="G4" s="9"/>
    </row>
    <row r="5" spans="2:7" ht="14" x14ac:dyDescent="0.3">
      <c r="B5" s="4" t="s">
        <v>52</v>
      </c>
      <c r="C5" s="7">
        <v>0.15998182024769911</v>
      </c>
    </row>
    <row r="6" spans="2:7" ht="14" x14ac:dyDescent="0.3">
      <c r="B6" s="4" t="s">
        <v>59</v>
      </c>
      <c r="C6" s="7">
        <v>0.35</v>
      </c>
    </row>
    <row r="7" spans="2:7" ht="14" x14ac:dyDescent="0.3">
      <c r="B7" s="4" t="s">
        <v>60</v>
      </c>
      <c r="C7" s="7">
        <v>2.3E-2</v>
      </c>
    </row>
    <row r="8" spans="2:7" ht="14" x14ac:dyDescent="0.3">
      <c r="B8" s="4" t="s">
        <v>61</v>
      </c>
      <c r="C8" s="12">
        <v>0.65</v>
      </c>
    </row>
    <row r="9" spans="2:7" ht="14" x14ac:dyDescent="0.3">
      <c r="B9" s="4" t="s">
        <v>62</v>
      </c>
      <c r="C9" s="7">
        <v>0.06</v>
      </c>
    </row>
    <row r="10" spans="2:7" ht="14" x14ac:dyDescent="0.3">
      <c r="B10" s="4" t="s">
        <v>63</v>
      </c>
      <c r="C10" s="7">
        <v>0</v>
      </c>
    </row>
    <row r="11" spans="2:7" ht="14" x14ac:dyDescent="0.3">
      <c r="B11" s="4" t="s">
        <v>64</v>
      </c>
      <c r="C11" s="7">
        <v>0.01</v>
      </c>
    </row>
    <row r="12" spans="2:7" ht="14" x14ac:dyDescent="0.3">
      <c r="B12" s="4" t="s">
        <v>65</v>
      </c>
      <c r="C12" s="13">
        <v>0</v>
      </c>
    </row>
    <row r="13" spans="2:7" ht="14" x14ac:dyDescent="0.3">
      <c r="B13" s="4" t="s">
        <v>66</v>
      </c>
      <c r="C13" s="7">
        <v>5.0000000000000001E-3</v>
      </c>
    </row>
    <row r="14" spans="2:7" ht="14" x14ac:dyDescent="0.3">
      <c r="B14" s="4" t="s">
        <v>67</v>
      </c>
      <c r="C14" s="14">
        <v>7</v>
      </c>
    </row>
    <row r="15" spans="2:7" ht="14" x14ac:dyDescent="0.3">
      <c r="B15" s="4" t="s">
        <v>68</v>
      </c>
      <c r="C15" s="15">
        <v>1110000000</v>
      </c>
    </row>
    <row r="16" spans="2:7" ht="14" x14ac:dyDescent="0.3">
      <c r="B16" s="4" t="s">
        <v>69</v>
      </c>
      <c r="C16" s="5">
        <v>0</v>
      </c>
    </row>
    <row r="17" spans="2:7" ht="14" x14ac:dyDescent="0.3">
      <c r="B17" s="4" t="s">
        <v>70</v>
      </c>
      <c r="C17" s="5">
        <v>220025</v>
      </c>
    </row>
    <row r="18" spans="2:7" ht="14" x14ac:dyDescent="0.3">
      <c r="B18" s="4" t="s">
        <v>71</v>
      </c>
      <c r="C18" s="7">
        <v>0.15180093171230541</v>
      </c>
    </row>
    <row r="19" spans="2:7" ht="14" x14ac:dyDescent="0.3">
      <c r="B19" s="4" t="s">
        <v>72</v>
      </c>
      <c r="C19" s="12">
        <v>0.5</v>
      </c>
    </row>
    <row r="20" spans="2:7" ht="14" x14ac:dyDescent="0.3">
      <c r="B20" s="4" t="s">
        <v>73</v>
      </c>
      <c r="C20" s="5">
        <v>221294</v>
      </c>
    </row>
    <row r="22" spans="2:7" ht="14" x14ac:dyDescent="0.3">
      <c r="B22" s="8" t="s">
        <v>74</v>
      </c>
      <c r="C22" s="9"/>
      <c r="D22" s="9"/>
      <c r="E22" s="9"/>
      <c r="F22" s="9"/>
      <c r="G22" s="9"/>
    </row>
    <row r="23" spans="2:7" ht="14" x14ac:dyDescent="0.3">
      <c r="B23" s="4" t="s">
        <v>75</v>
      </c>
      <c r="C23" s="16">
        <f>C7+C8*C9+C10</f>
        <v>6.2E-2</v>
      </c>
    </row>
    <row r="24" spans="2:7" ht="14" x14ac:dyDescent="0.3">
      <c r="B24" s="4" t="s">
        <v>76</v>
      </c>
      <c r="C24" s="16">
        <f>1/(1+C12)</f>
        <v>1</v>
      </c>
    </row>
    <row r="25" spans="2:7" ht="14" x14ac:dyDescent="0.3">
      <c r="B25" s="4" t="s">
        <v>77</v>
      </c>
      <c r="C25" s="16">
        <f>C12/(1+C12)</f>
        <v>0</v>
      </c>
    </row>
    <row r="26" spans="2:7" ht="14" x14ac:dyDescent="0.3">
      <c r="B26" s="4" t="s">
        <v>78</v>
      </c>
      <c r="C26" s="16">
        <f>C23*C24+C11*C25</f>
        <v>6.2E-2</v>
      </c>
    </row>
    <row r="27" spans="2:7" ht="14" x14ac:dyDescent="0.3">
      <c r="B27" s="4" t="s">
        <v>79</v>
      </c>
      <c r="C27" s="17" t="s">
        <v>80</v>
      </c>
      <c r="D27" s="6">
        <f>MATCH(C27,B69:B73,0)</f>
        <v>1</v>
      </c>
    </row>
    <row r="28" spans="2:7" ht="14" x14ac:dyDescent="0.3">
      <c r="B28" s="8" t="s">
        <v>81</v>
      </c>
      <c r="C28" s="9"/>
      <c r="D28" s="9"/>
      <c r="E28" s="9"/>
      <c r="F28" s="9"/>
      <c r="G28" s="9"/>
    </row>
    <row r="29" spans="2:7" ht="14" x14ac:dyDescent="0.3">
      <c r="C29" s="10" t="s">
        <v>82</v>
      </c>
      <c r="D29" s="10" t="s">
        <v>83</v>
      </c>
      <c r="E29" s="10" t="s">
        <v>84</v>
      </c>
      <c r="F29" s="10" t="s">
        <v>85</v>
      </c>
      <c r="G29" s="10" t="s">
        <v>86</v>
      </c>
    </row>
    <row r="30" spans="2:7" ht="14" x14ac:dyDescent="0.3">
      <c r="B30" s="4" t="s">
        <v>44</v>
      </c>
      <c r="C30" s="18">
        <f>CHOOSE($D$27,C69,C70,C71,C72,C73)</f>
        <v>0.05</v>
      </c>
      <c r="D30" s="18">
        <f>CHOOSE($D$27,D69,D70,D71,D72,D73)</f>
        <v>3.5000000000000003E-2</v>
      </c>
      <c r="E30" s="18">
        <f>CHOOSE($D$27,E69,E70,E71,E72,E73)</f>
        <v>0.03</v>
      </c>
      <c r="F30" s="18">
        <f>CHOOSE($D$27,F69,F70,F71,F72,F73)</f>
        <v>2.5000000000000001E-2</v>
      </c>
      <c r="G30" s="18">
        <f>CHOOSE($D$27,G69,G70,G71,G72,G73)</f>
        <v>0.02</v>
      </c>
    </row>
    <row r="31" spans="2:7" ht="14" x14ac:dyDescent="0.3">
      <c r="B31" s="4" t="s">
        <v>87</v>
      </c>
      <c r="C31" s="18">
        <f>CHOOSE($D$27,C76,C77,C78,C79,C80)</f>
        <v>0.26500000000000001</v>
      </c>
      <c r="D31" s="18">
        <f>CHOOSE($D$27,D76,D77,D78,D79,D80)</f>
        <v>0.26500000000000001</v>
      </c>
      <c r="E31" s="18">
        <f>CHOOSE($D$27,E76,E77,E78,E79,E80)</f>
        <v>0.26500000000000001</v>
      </c>
      <c r="F31" s="18">
        <f>CHOOSE($D$27,F76,F77,F78,F79,F80)</f>
        <v>0.26500000000000001</v>
      </c>
      <c r="G31" s="18">
        <f>CHOOSE($D$27,G76,G77,G78,G79,G80)</f>
        <v>0.26500000000000001</v>
      </c>
    </row>
    <row r="32" spans="2:7" ht="14" x14ac:dyDescent="0.3">
      <c r="B32" s="4" t="s">
        <v>88</v>
      </c>
      <c r="C32" s="18">
        <f>CHOOSE($D$27,C83,C84,C85,C86,C87)</f>
        <v>0.61</v>
      </c>
      <c r="D32" s="18">
        <f>CHOOSE($D$27,D83,D84,D85,D86,D87)</f>
        <v>0.6</v>
      </c>
      <c r="E32" s="18">
        <f>CHOOSE($D$27,E83,E84,E85,E86,E87)</f>
        <v>0.59</v>
      </c>
      <c r="F32" s="18">
        <f>CHOOSE($D$27,F83,F84,F85,F86,F87)</f>
        <v>0.58499999999999996</v>
      </c>
      <c r="G32" s="18">
        <f>CHOOSE($D$27,G83,G84,G85,G86,G87)</f>
        <v>0.58499999999999996</v>
      </c>
    </row>
    <row r="33" spans="2:7" ht="14" x14ac:dyDescent="0.3">
      <c r="B33" s="4" t="s">
        <v>35</v>
      </c>
      <c r="C33" s="5">
        <f>C17*(1+C30)</f>
        <v>231026.25</v>
      </c>
      <c r="D33" s="5">
        <f>C33*(1+D30)</f>
        <v>239112.16874999998</v>
      </c>
      <c r="E33" s="5">
        <f>D33*(1+E30)</f>
        <v>246285.53381249998</v>
      </c>
      <c r="F33" s="5">
        <f>E33*(1+F30)</f>
        <v>252442.67215781246</v>
      </c>
      <c r="G33" s="5">
        <f>F33*(1+G30)</f>
        <v>257491.52560096871</v>
      </c>
    </row>
    <row r="34" spans="2:7" ht="14" x14ac:dyDescent="0.3">
      <c r="B34" s="4" t="s">
        <v>36</v>
      </c>
      <c r="C34" s="5">
        <f>C33*C31</f>
        <v>61221.956250000003</v>
      </c>
      <c r="D34" s="5">
        <f>D33*D31</f>
        <v>63364.724718749996</v>
      </c>
      <c r="E34" s="5">
        <f>E33*E31</f>
        <v>65265.666460312495</v>
      </c>
      <c r="F34" s="5">
        <f>F33*F31</f>
        <v>66897.308121820301</v>
      </c>
      <c r="G34" s="5">
        <f>G33*G31</f>
        <v>68235.25428425672</v>
      </c>
    </row>
    <row r="35" spans="2:7" ht="14" x14ac:dyDescent="0.3">
      <c r="B35" s="4" t="s">
        <v>37</v>
      </c>
      <c r="C35" s="19">
        <f>C33-C34</f>
        <v>169804.29375000001</v>
      </c>
      <c r="D35" s="19">
        <f>D33-D34</f>
        <v>175747.44403124999</v>
      </c>
      <c r="E35" s="19">
        <f>E33-E34</f>
        <v>181019.86735218749</v>
      </c>
      <c r="F35" s="19">
        <f>F33-F34</f>
        <v>185545.36403599216</v>
      </c>
      <c r="G35" s="19">
        <f>G33-G34</f>
        <v>189256.27131671199</v>
      </c>
    </row>
    <row r="36" spans="2:7" ht="14" x14ac:dyDescent="0.3">
      <c r="B36" s="4" t="s">
        <v>38</v>
      </c>
      <c r="C36" s="7">
        <f>C35/C33</f>
        <v>0.7350000000000001</v>
      </c>
      <c r="D36" s="7">
        <f>D35/D33</f>
        <v>0.73499999999999999</v>
      </c>
      <c r="E36" s="7">
        <f>E35/E33</f>
        <v>0.73499999999999999</v>
      </c>
      <c r="F36" s="7">
        <f>F35/F33</f>
        <v>0.73499999999999999</v>
      </c>
      <c r="G36" s="7">
        <f>G35/G33</f>
        <v>0.73499999999999999</v>
      </c>
    </row>
    <row r="37" spans="2:7" ht="14" x14ac:dyDescent="0.3">
      <c r="B37" s="4" t="s">
        <v>89</v>
      </c>
      <c r="C37" s="5">
        <f>C33*C32</f>
        <v>140926.01249999998</v>
      </c>
      <c r="D37" s="5">
        <f>D33*D32</f>
        <v>143467.30124999999</v>
      </c>
      <c r="E37" s="5">
        <f>E33*E32</f>
        <v>145308.46494937499</v>
      </c>
      <c r="F37" s="5">
        <f>F33*F32</f>
        <v>147678.96321232029</v>
      </c>
      <c r="G37" s="5">
        <f>G33*G32</f>
        <v>150632.54247656668</v>
      </c>
    </row>
    <row r="38" spans="2:7" ht="14" x14ac:dyDescent="0.3">
      <c r="B38" s="4" t="s">
        <v>90</v>
      </c>
      <c r="C38" s="7">
        <f>(C35-C37)/C33</f>
        <v>0.12500000000000014</v>
      </c>
      <c r="D38" s="7">
        <f>(D35-D37)/D33</f>
        <v>0.13500000000000004</v>
      </c>
      <c r="E38" s="7">
        <f>(E35-E37)/E33</f>
        <v>0.14500000000000002</v>
      </c>
      <c r="F38" s="7">
        <f>(F35-F37)/F33</f>
        <v>0.15</v>
      </c>
      <c r="G38" s="7">
        <f>(G35-G37)/G33</f>
        <v>0.15000000000000002</v>
      </c>
    </row>
    <row r="39" spans="2:7" ht="14" x14ac:dyDescent="0.3">
      <c r="B39" s="4" t="s">
        <v>91</v>
      </c>
      <c r="C39" s="19">
        <f>C35-C37</f>
        <v>28878.281250000029</v>
      </c>
      <c r="D39" s="19">
        <f>D35-D37</f>
        <v>32280.142781250004</v>
      </c>
      <c r="E39" s="19">
        <f>E35-E37</f>
        <v>35711.402402812499</v>
      </c>
      <c r="F39" s="19">
        <f>F35-F37</f>
        <v>37866.400823671866</v>
      </c>
      <c r="G39" s="19">
        <f>G35-G37</f>
        <v>38623.728840145312</v>
      </c>
    </row>
    <row r="40" spans="2:7" ht="14" x14ac:dyDescent="0.3">
      <c r="B40" s="4" t="s">
        <v>92</v>
      </c>
      <c r="C40" s="5">
        <f>MAX(0,C39*C6)</f>
        <v>10107.398437500009</v>
      </c>
      <c r="D40" s="5">
        <f>MAX(0,D39*C6)</f>
        <v>11298.049973437501</v>
      </c>
      <c r="E40" s="5">
        <f>MAX(0,E39*C6)</f>
        <v>12498.990840984374</v>
      </c>
      <c r="F40" s="5">
        <f>MAX(0,F39*C6)</f>
        <v>13253.240288285153</v>
      </c>
      <c r="G40" s="5">
        <f>MAX(0,G39*C6)</f>
        <v>13518.305094050858</v>
      </c>
    </row>
    <row r="41" spans="2:7" ht="14" x14ac:dyDescent="0.3">
      <c r="B41" s="4" t="s">
        <v>93</v>
      </c>
      <c r="C41" s="19">
        <f>C39-C40</f>
        <v>18770.882812500022</v>
      </c>
      <c r="D41" s="19">
        <f>D39-D40</f>
        <v>20982.092807812503</v>
      </c>
      <c r="E41" s="19">
        <f>E39-E40</f>
        <v>23212.411561828125</v>
      </c>
      <c r="F41" s="19">
        <f>F39-F40</f>
        <v>24613.160535386713</v>
      </c>
      <c r="G41" s="19">
        <f>G39-G40</f>
        <v>25105.423746094453</v>
      </c>
    </row>
    <row r="42" spans="2:7" ht="14" x14ac:dyDescent="0.3">
      <c r="B42" s="4" t="s">
        <v>94</v>
      </c>
      <c r="C42" s="5">
        <v>32000</v>
      </c>
      <c r="D42" s="5">
        <v>33000</v>
      </c>
      <c r="E42" s="5">
        <v>33500</v>
      </c>
      <c r="F42" s="5">
        <v>34000</v>
      </c>
      <c r="G42" s="5">
        <v>34500</v>
      </c>
    </row>
    <row r="43" spans="2:7" ht="14" x14ac:dyDescent="0.3">
      <c r="B43" s="4" t="s">
        <v>95</v>
      </c>
      <c r="C43" s="5">
        <v>38000</v>
      </c>
      <c r="D43" s="5">
        <v>36000</v>
      </c>
      <c r="E43" s="5">
        <v>34000</v>
      </c>
      <c r="F43" s="5">
        <v>34000</v>
      </c>
      <c r="G43" s="5">
        <v>34000</v>
      </c>
    </row>
    <row r="44" spans="2:7" ht="14" x14ac:dyDescent="0.3">
      <c r="B44" s="4" t="s">
        <v>96</v>
      </c>
      <c r="C44" s="5">
        <f>'NWC Schedule'!D19</f>
        <v>0</v>
      </c>
      <c r="D44" s="5">
        <f>'NWC Schedule'!E19</f>
        <v>0</v>
      </c>
      <c r="E44" s="5">
        <f>'NWC Schedule'!F19</f>
        <v>0</v>
      </c>
      <c r="F44" s="5">
        <f>'NWC Schedule'!G19</f>
        <v>0</v>
      </c>
      <c r="G44" s="5">
        <f>'NWC Schedule'!H19</f>
        <v>0</v>
      </c>
    </row>
    <row r="45" spans="2:7" ht="14" x14ac:dyDescent="0.3">
      <c r="B45" s="4" t="s">
        <v>97</v>
      </c>
      <c r="C45" s="20">
        <f>C41+C42-C43-C44</f>
        <v>12770.882812500022</v>
      </c>
      <c r="D45" s="20">
        <f>D41+D42-D43-D44</f>
        <v>17982.0928078125</v>
      </c>
      <c r="E45" s="20">
        <f>E41+E42-E43-E44</f>
        <v>22712.411561828121</v>
      </c>
      <c r="F45" s="20">
        <f>F41+F42-F43-F44</f>
        <v>24613.160535386713</v>
      </c>
      <c r="G45" s="20">
        <f>G41+G42-G43-G44</f>
        <v>25605.423746094457</v>
      </c>
    </row>
    <row r="46" spans="2:7" ht="14" x14ac:dyDescent="0.3">
      <c r="B46" s="4" t="s">
        <v>98</v>
      </c>
      <c r="C46" s="21">
        <f>1/(1+C26)^(C19+0)</f>
        <v>0.97037084956596986</v>
      </c>
      <c r="D46" s="21">
        <f>1/(1+C26)^(C19+1)</f>
        <v>0.91372019733142174</v>
      </c>
      <c r="E46" s="21">
        <f>1/(1+C26)^(C19+2)</f>
        <v>0.86037683364540651</v>
      </c>
      <c r="F46" s="21">
        <f>1/(1+C26)^(C19+3)</f>
        <v>0.81014767763220952</v>
      </c>
      <c r="G46" s="21">
        <f>1/(1+C26)^(C19+4)</f>
        <v>0.76285092055763593</v>
      </c>
    </row>
    <row r="47" spans="2:7" ht="14" x14ac:dyDescent="0.3">
      <c r="B47" s="4" t="s">
        <v>99</v>
      </c>
      <c r="C47" s="19">
        <f>C45*C46</f>
        <v>12392.492404473089</v>
      </c>
      <c r="D47" s="19">
        <f>D45*D46</f>
        <v>16430.601388786377</v>
      </c>
      <c r="E47" s="19">
        <f>E45*E46</f>
        <v>19541.232744017001</v>
      </c>
      <c r="F47" s="19">
        <f>F45*F46</f>
        <v>19940.294846932295</v>
      </c>
      <c r="G47" s="19">
        <f>G45*G46</f>
        <v>19533.121075976505</v>
      </c>
    </row>
    <row r="49" spans="2:7" ht="14" x14ac:dyDescent="0.3">
      <c r="B49" s="22" t="s">
        <v>100</v>
      </c>
      <c r="C49" s="23"/>
      <c r="D49" s="23"/>
      <c r="E49" s="23"/>
      <c r="F49" s="23"/>
      <c r="G49" s="23"/>
    </row>
    <row r="50" spans="2:7" ht="14" x14ac:dyDescent="0.3">
      <c r="B50" s="4" t="s">
        <v>101</v>
      </c>
      <c r="C50" s="5">
        <f>SUM(C47:G47)</f>
        <v>87837.742460185269</v>
      </c>
    </row>
    <row r="51" spans="2:7" ht="14" x14ac:dyDescent="0.3">
      <c r="B51" s="4" t="s">
        <v>102</v>
      </c>
      <c r="C51" s="5">
        <f>G45*(1+C13)/(C26-C13)</f>
        <v>451464.05026008637</v>
      </c>
    </row>
    <row r="52" spans="2:7" ht="14" x14ac:dyDescent="0.3">
      <c r="B52" s="4" t="s">
        <v>103</v>
      </c>
      <c r="C52" s="5">
        <f>C51*G46</f>
        <v>344399.76633958571</v>
      </c>
    </row>
    <row r="53" spans="2:7" ht="14" x14ac:dyDescent="0.3">
      <c r="B53" s="4" t="s">
        <v>104</v>
      </c>
      <c r="C53" s="5">
        <f>C50+C52</f>
        <v>432237.50879977096</v>
      </c>
    </row>
    <row r="54" spans="2:7" ht="14" x14ac:dyDescent="0.3">
      <c r="B54" s="4" t="s">
        <v>105</v>
      </c>
      <c r="C54" s="5">
        <f>C53-C16</f>
        <v>432237.50879977096</v>
      </c>
    </row>
    <row r="55" spans="2:7" ht="14" x14ac:dyDescent="0.3">
      <c r="B55" s="4" t="s">
        <v>106</v>
      </c>
      <c r="C55" s="24">
        <f>ROUND(C54*1000000/C15,0)</f>
        <v>389</v>
      </c>
    </row>
    <row r="57" spans="2:7" ht="14" x14ac:dyDescent="0.3">
      <c r="B57" s="22" t="s">
        <v>107</v>
      </c>
      <c r="C57" s="23"/>
      <c r="D57" s="23"/>
      <c r="E57" s="23"/>
      <c r="F57" s="23"/>
      <c r="G57" s="23"/>
    </row>
    <row r="58" spans="2:7" ht="14" x14ac:dyDescent="0.3">
      <c r="B58" s="4" t="s">
        <v>101</v>
      </c>
      <c r="C58" s="5">
        <f>C50</f>
        <v>87837.742460185269</v>
      </c>
    </row>
    <row r="59" spans="2:7" ht="14" x14ac:dyDescent="0.3">
      <c r="B59" s="4" t="s">
        <v>108</v>
      </c>
      <c r="C59" s="5">
        <f>G39+G42</f>
        <v>73123.728840145312</v>
      </c>
    </row>
    <row r="60" spans="2:7" ht="14" x14ac:dyDescent="0.3">
      <c r="B60" s="4" t="s">
        <v>109</v>
      </c>
      <c r="C60" s="5">
        <f>C59*C14</f>
        <v>511866.10188101721</v>
      </c>
    </row>
    <row r="61" spans="2:7" ht="14" x14ac:dyDescent="0.3">
      <c r="B61" s="4" t="s">
        <v>103</v>
      </c>
      <c r="C61" s="5">
        <f>C60*G46</f>
        <v>390477.52702218265</v>
      </c>
    </row>
    <row r="62" spans="2:7" ht="14" x14ac:dyDescent="0.3">
      <c r="B62" s="4" t="s">
        <v>104</v>
      </c>
      <c r="C62" s="5">
        <f>C58+C61</f>
        <v>478315.2694823679</v>
      </c>
    </row>
    <row r="63" spans="2:7" ht="14" x14ac:dyDescent="0.3">
      <c r="B63" s="4" t="s">
        <v>105</v>
      </c>
      <c r="C63" s="5">
        <f>C62-C16</f>
        <v>478315.2694823679</v>
      </c>
    </row>
    <row r="64" spans="2:7" ht="14" x14ac:dyDescent="0.3">
      <c r="B64" s="4" t="s">
        <v>110</v>
      </c>
      <c r="C64" s="24">
        <f>ROUND(C63*1000000/C15,0)</f>
        <v>431</v>
      </c>
    </row>
    <row r="66" spans="2:7" ht="14" x14ac:dyDescent="0.3">
      <c r="B66" s="22" t="s">
        <v>111</v>
      </c>
      <c r="C66" s="23"/>
      <c r="D66" s="23"/>
      <c r="E66" s="23"/>
      <c r="F66" s="23"/>
      <c r="G66" s="23"/>
    </row>
    <row r="67" spans="2:7" ht="14" x14ac:dyDescent="0.3">
      <c r="C67" s="25" t="s">
        <v>112</v>
      </c>
      <c r="D67" s="25" t="s">
        <v>113</v>
      </c>
      <c r="E67" s="25" t="s">
        <v>114</v>
      </c>
      <c r="F67" s="25" t="s">
        <v>115</v>
      </c>
      <c r="G67" s="25" t="s">
        <v>116</v>
      </c>
    </row>
    <row r="68" spans="2:7" ht="14" x14ac:dyDescent="0.3">
      <c r="B68" s="3" t="s">
        <v>44</v>
      </c>
    </row>
    <row r="69" spans="2:7" ht="14" x14ac:dyDescent="0.3">
      <c r="B69" s="4" t="s">
        <v>80</v>
      </c>
      <c r="C69" s="26">
        <v>0.05</v>
      </c>
      <c r="D69" s="26">
        <v>3.5000000000000003E-2</v>
      </c>
      <c r="E69" s="26">
        <v>0.03</v>
      </c>
      <c r="F69" s="26">
        <v>2.5000000000000001E-2</v>
      </c>
      <c r="G69" s="26">
        <v>0.02</v>
      </c>
    </row>
    <row r="70" spans="2:7" ht="14" x14ac:dyDescent="0.3">
      <c r="B70" s="4" t="s">
        <v>117</v>
      </c>
      <c r="C70" s="26">
        <v>0.09</v>
      </c>
      <c r="D70" s="26">
        <v>7.0000000000000007E-2</v>
      </c>
      <c r="E70" s="26">
        <v>0.06</v>
      </c>
      <c r="F70" s="26">
        <v>0.05</v>
      </c>
      <c r="G70" s="26">
        <v>4.4999999999999998E-2</v>
      </c>
    </row>
    <row r="71" spans="2:7" ht="14" x14ac:dyDescent="0.3">
      <c r="B71" s="4" t="s">
        <v>118</v>
      </c>
      <c r="C71" s="26">
        <v>7.0000000000000007E-2</v>
      </c>
      <c r="D71" s="26">
        <v>0.04</v>
      </c>
      <c r="E71" s="26">
        <v>0.03</v>
      </c>
      <c r="F71" s="26">
        <v>2.5000000000000001E-2</v>
      </c>
      <c r="G71" s="26">
        <v>0.02</v>
      </c>
    </row>
    <row r="72" spans="2:7" ht="14" x14ac:dyDescent="0.3">
      <c r="B72" s="4" t="s">
        <v>119</v>
      </c>
      <c r="C72" s="26">
        <v>0.02</v>
      </c>
      <c r="D72" s="26">
        <v>0</v>
      </c>
      <c r="E72" s="26">
        <v>-0.01</v>
      </c>
      <c r="F72" s="26">
        <v>-0.01</v>
      </c>
      <c r="G72" s="26">
        <v>-0.01</v>
      </c>
    </row>
    <row r="73" spans="2:7" ht="14" x14ac:dyDescent="0.3">
      <c r="B73" s="4" t="s">
        <v>120</v>
      </c>
      <c r="C73" s="26">
        <v>-0.02</v>
      </c>
      <c r="D73" s="26">
        <v>-0.04</v>
      </c>
      <c r="E73" s="26">
        <v>-0.04</v>
      </c>
      <c r="F73" s="26">
        <v>-0.03</v>
      </c>
      <c r="G73" s="26">
        <v>-0.03</v>
      </c>
    </row>
    <row r="75" spans="2:7" ht="14" x14ac:dyDescent="0.3">
      <c r="B75" s="3" t="s">
        <v>87</v>
      </c>
    </row>
    <row r="76" spans="2:7" ht="14" x14ac:dyDescent="0.3">
      <c r="B76" s="4" t="s">
        <v>80</v>
      </c>
      <c r="C76" s="26">
        <v>0.26500000000000001</v>
      </c>
      <c r="D76" s="26">
        <v>0.26500000000000001</v>
      </c>
      <c r="E76" s="26">
        <v>0.26500000000000001</v>
      </c>
      <c r="F76" s="26">
        <v>0.26500000000000001</v>
      </c>
      <c r="G76" s="26">
        <v>0.26500000000000001</v>
      </c>
    </row>
    <row r="77" spans="2:7" ht="14" x14ac:dyDescent="0.3">
      <c r="B77" s="4" t="s">
        <v>117</v>
      </c>
      <c r="C77" s="26">
        <v>0.26</v>
      </c>
      <c r="D77" s="26">
        <v>0.26</v>
      </c>
      <c r="E77" s="26">
        <v>0.26</v>
      </c>
      <c r="F77" s="26">
        <v>0.26</v>
      </c>
      <c r="G77" s="26">
        <v>0.26</v>
      </c>
    </row>
    <row r="78" spans="2:7" ht="14" x14ac:dyDescent="0.3">
      <c r="B78" s="4" t="s">
        <v>118</v>
      </c>
      <c r="C78" s="26">
        <v>0.26500000000000001</v>
      </c>
      <c r="D78" s="26">
        <v>0.26500000000000001</v>
      </c>
      <c r="E78" s="26">
        <v>0.26500000000000001</v>
      </c>
      <c r="F78" s="26">
        <v>0.26500000000000001</v>
      </c>
      <c r="G78" s="26">
        <v>0.26500000000000001</v>
      </c>
    </row>
    <row r="79" spans="2:7" ht="14" x14ac:dyDescent="0.3">
      <c r="B79" s="4" t="s">
        <v>119</v>
      </c>
      <c r="C79" s="26">
        <v>0.27500000000000002</v>
      </c>
      <c r="D79" s="26">
        <v>0.27500000000000002</v>
      </c>
      <c r="E79" s="26">
        <v>0.27500000000000002</v>
      </c>
      <c r="F79" s="26">
        <v>0.27500000000000002</v>
      </c>
      <c r="G79" s="26">
        <v>0.27500000000000002</v>
      </c>
    </row>
    <row r="80" spans="2:7" ht="14" x14ac:dyDescent="0.3">
      <c r="B80" s="4" t="s">
        <v>120</v>
      </c>
      <c r="C80" s="26">
        <v>0.28499999999999998</v>
      </c>
      <c r="D80" s="26">
        <v>0.28499999999999998</v>
      </c>
      <c r="E80" s="26">
        <v>0.28499999999999998</v>
      </c>
      <c r="F80" s="26">
        <v>0.28499999999999998</v>
      </c>
      <c r="G80" s="26">
        <v>0.28499999999999998</v>
      </c>
    </row>
    <row r="82" spans="2:7" ht="14" x14ac:dyDescent="0.3">
      <c r="B82" s="3" t="s">
        <v>88</v>
      </c>
    </row>
    <row r="83" spans="2:7" ht="14" x14ac:dyDescent="0.3">
      <c r="B83" s="4" t="s">
        <v>80</v>
      </c>
      <c r="C83" s="26">
        <v>0.61</v>
      </c>
      <c r="D83" s="26">
        <v>0.6</v>
      </c>
      <c r="E83" s="26">
        <v>0.59</v>
      </c>
      <c r="F83" s="26">
        <v>0.58499999999999996</v>
      </c>
      <c r="G83" s="26">
        <v>0.58499999999999996</v>
      </c>
    </row>
    <row r="84" spans="2:7" ht="14" x14ac:dyDescent="0.3">
      <c r="B84" s="4" t="s">
        <v>117</v>
      </c>
      <c r="C84" s="26">
        <v>0.60499999999999998</v>
      </c>
      <c r="D84" s="26">
        <v>0.59</v>
      </c>
      <c r="E84" s="26">
        <v>0.57499999999999996</v>
      </c>
      <c r="F84" s="26">
        <v>0.56999999999999995</v>
      </c>
      <c r="G84" s="26">
        <v>0.56499999999999995</v>
      </c>
    </row>
    <row r="85" spans="2:7" ht="14" x14ac:dyDescent="0.3">
      <c r="B85" s="4" t="s">
        <v>118</v>
      </c>
      <c r="C85" s="26">
        <v>0.61</v>
      </c>
      <c r="D85" s="26">
        <v>0.60499999999999998</v>
      </c>
      <c r="E85" s="26">
        <v>0.6</v>
      </c>
      <c r="F85" s="26">
        <v>0.59499999999999997</v>
      </c>
      <c r="G85" s="26">
        <v>0.59499999999999997</v>
      </c>
    </row>
    <row r="86" spans="2:7" ht="14" x14ac:dyDescent="0.3">
      <c r="B86" s="4" t="s">
        <v>119</v>
      </c>
      <c r="C86" s="26">
        <v>0.61499999999999999</v>
      </c>
      <c r="D86" s="26">
        <v>0.625</v>
      </c>
      <c r="E86" s="26">
        <v>0.625</v>
      </c>
      <c r="F86" s="26">
        <v>0.62</v>
      </c>
      <c r="G86" s="26">
        <v>0.62</v>
      </c>
    </row>
    <row r="87" spans="2:7" ht="14" x14ac:dyDescent="0.3">
      <c r="B87" s="4" t="s">
        <v>120</v>
      </c>
      <c r="C87" s="26">
        <v>0.625</v>
      </c>
      <c r="D87" s="26">
        <v>0.65</v>
      </c>
      <c r="E87" s="26">
        <v>0.65500000000000003</v>
      </c>
      <c r="F87" s="26">
        <v>0.65</v>
      </c>
      <c r="G87" s="26">
        <v>0.65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29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121</v>
      </c>
    </row>
    <row r="4" spans="2:8" ht="14" x14ac:dyDescent="0.3">
      <c r="B4" s="8" t="s">
        <v>122</v>
      </c>
      <c r="C4" s="27" t="s">
        <v>123</v>
      </c>
      <c r="D4" s="27" t="s">
        <v>82</v>
      </c>
      <c r="E4" s="27" t="s">
        <v>83</v>
      </c>
      <c r="F4" s="27" t="s">
        <v>84</v>
      </c>
      <c r="G4" s="27" t="s">
        <v>85</v>
      </c>
      <c r="H4" s="27" t="s">
        <v>86</v>
      </c>
    </row>
    <row r="5" spans="2:8" ht="14" x14ac:dyDescent="0.3">
      <c r="B5" s="28" t="s">
        <v>124</v>
      </c>
      <c r="C5" s="29">
        <f>C18/C9</f>
        <v>0</v>
      </c>
      <c r="D5" s="29">
        <f>CHOOSE('DCF Model'!$D$27,D25,D26,D27,D28,D29)</f>
        <v>0</v>
      </c>
      <c r="E5" s="29">
        <f>CHOOSE('DCF Model'!$D$27,E25,E26,E27,E28,E29)</f>
        <v>0</v>
      </c>
      <c r="F5" s="29">
        <f>CHOOSE('DCF Model'!$D$27,F25,F26,F27,F28,F29)</f>
        <v>0</v>
      </c>
      <c r="G5" s="29">
        <f>CHOOSE('DCF Model'!$D$27,G25,G26,G27,G28,G29)</f>
        <v>0</v>
      </c>
      <c r="H5" s="29">
        <f>CHOOSE('DCF Model'!$D$27,H25,H26,H27,H28,H29)</f>
        <v>0</v>
      </c>
    </row>
    <row r="6" spans="2:8" ht="14" x14ac:dyDescent="0.3">
      <c r="B6" s="30" t="s">
        <v>125</v>
      </c>
      <c r="C6" s="30" t="s">
        <v>125</v>
      </c>
      <c r="D6" s="30" t="s">
        <v>125</v>
      </c>
      <c r="E6" s="30" t="s">
        <v>125</v>
      </c>
      <c r="F6" s="30" t="s">
        <v>125</v>
      </c>
      <c r="G6" s="30" t="s">
        <v>125</v>
      </c>
      <c r="H6" s="30" t="s">
        <v>125</v>
      </c>
    </row>
    <row r="7" spans="2:8" ht="14" x14ac:dyDescent="0.3">
      <c r="B7" s="30" t="s">
        <v>125</v>
      </c>
      <c r="C7" s="30" t="s">
        <v>125</v>
      </c>
      <c r="D7" s="30" t="s">
        <v>125</v>
      </c>
      <c r="E7" s="30" t="s">
        <v>125</v>
      </c>
      <c r="F7" s="30" t="s">
        <v>125</v>
      </c>
      <c r="G7" s="30" t="s">
        <v>125</v>
      </c>
      <c r="H7" s="30" t="s">
        <v>125</v>
      </c>
    </row>
    <row r="8" spans="2:8" ht="14" x14ac:dyDescent="0.3">
      <c r="B8" s="8" t="s">
        <v>126</v>
      </c>
      <c r="C8" s="9"/>
      <c r="D8" s="9"/>
      <c r="E8" s="9"/>
      <c r="F8" s="9"/>
      <c r="G8" s="9"/>
      <c r="H8" s="9"/>
    </row>
    <row r="9" spans="2:8" ht="14" x14ac:dyDescent="0.3">
      <c r="B9" s="28" t="s">
        <v>35</v>
      </c>
      <c r="C9" s="31">
        <v>220025</v>
      </c>
      <c r="D9" s="31">
        <f>'DCF Model'!C33</f>
        <v>231026.25</v>
      </c>
      <c r="E9" s="31">
        <f>'DCF Model'!D33</f>
        <v>239112.16874999998</v>
      </c>
      <c r="F9" s="31">
        <f>'DCF Model'!E33</f>
        <v>246285.53381249998</v>
      </c>
      <c r="G9" s="31">
        <f>'DCF Model'!F33</f>
        <v>252442.67215781246</v>
      </c>
      <c r="H9" s="31">
        <f>'DCF Model'!G33</f>
        <v>257491.52560096871</v>
      </c>
    </row>
    <row r="10" spans="2:8" ht="14" x14ac:dyDescent="0.3">
      <c r="B10" s="30" t="s">
        <v>125</v>
      </c>
      <c r="C10" s="30" t="s">
        <v>125</v>
      </c>
      <c r="D10" s="30" t="s">
        <v>125</v>
      </c>
      <c r="E10" s="30" t="s">
        <v>125</v>
      </c>
      <c r="F10" s="30" t="s">
        <v>125</v>
      </c>
      <c r="G10" s="30" t="s">
        <v>125</v>
      </c>
      <c r="H10" s="30" t="s">
        <v>125</v>
      </c>
    </row>
    <row r="11" spans="2:8" ht="14" x14ac:dyDescent="0.3">
      <c r="B11" s="8" t="s">
        <v>127</v>
      </c>
      <c r="C11" s="9"/>
      <c r="D11" s="9"/>
      <c r="E11" s="9"/>
      <c r="F11" s="9"/>
      <c r="G11" s="9"/>
      <c r="H11" s="9"/>
    </row>
    <row r="12" spans="2:8" ht="14" x14ac:dyDescent="0.3">
      <c r="B12" s="30" t="s">
        <v>125</v>
      </c>
      <c r="C12" s="30" t="s">
        <v>125</v>
      </c>
      <c r="D12" s="30" t="s">
        <v>125</v>
      </c>
      <c r="E12" s="30" t="s">
        <v>125</v>
      </c>
      <c r="F12" s="30" t="s">
        <v>125</v>
      </c>
      <c r="G12" s="30" t="s">
        <v>125</v>
      </c>
      <c r="H12" s="30" t="s">
        <v>125</v>
      </c>
    </row>
    <row r="13" spans="2:8" ht="14" x14ac:dyDescent="0.3">
      <c r="B13" s="30" t="s">
        <v>125</v>
      </c>
      <c r="C13" s="30" t="s">
        <v>125</v>
      </c>
      <c r="D13" s="30" t="s">
        <v>125</v>
      </c>
      <c r="E13" s="30" t="s">
        <v>125</v>
      </c>
      <c r="F13" s="30" t="s">
        <v>125</v>
      </c>
      <c r="G13" s="30" t="s">
        <v>125</v>
      </c>
      <c r="H13" s="30" t="s">
        <v>125</v>
      </c>
    </row>
    <row r="14" spans="2:8" ht="14" x14ac:dyDescent="0.3">
      <c r="B14" s="30" t="s">
        <v>125</v>
      </c>
      <c r="C14" s="30" t="s">
        <v>125</v>
      </c>
      <c r="D14" s="30" t="s">
        <v>125</v>
      </c>
      <c r="E14" s="30" t="s">
        <v>125</v>
      </c>
      <c r="F14" s="30" t="s">
        <v>125</v>
      </c>
      <c r="G14" s="30" t="s">
        <v>125</v>
      </c>
      <c r="H14" s="30" t="s">
        <v>125</v>
      </c>
    </row>
    <row r="15" spans="2:8" ht="14" x14ac:dyDescent="0.3">
      <c r="B15" s="30" t="s">
        <v>125</v>
      </c>
      <c r="C15" s="30" t="s">
        <v>125</v>
      </c>
      <c r="D15" s="30" t="s">
        <v>125</v>
      </c>
      <c r="E15" s="30" t="s">
        <v>125</v>
      </c>
      <c r="F15" s="30" t="s">
        <v>125</v>
      </c>
      <c r="G15" s="30" t="s">
        <v>125</v>
      </c>
      <c r="H15" s="30" t="s">
        <v>125</v>
      </c>
    </row>
    <row r="16" spans="2:8" ht="14" x14ac:dyDescent="0.3">
      <c r="B16" s="30" t="s">
        <v>125</v>
      </c>
      <c r="C16" s="30" t="s">
        <v>125</v>
      </c>
      <c r="D16" s="30" t="s">
        <v>125</v>
      </c>
      <c r="E16" s="30" t="s">
        <v>125</v>
      </c>
      <c r="F16" s="30" t="s">
        <v>125</v>
      </c>
      <c r="G16" s="30" t="s">
        <v>125</v>
      </c>
      <c r="H16" s="30" t="s">
        <v>125</v>
      </c>
    </row>
    <row r="17" spans="2:8" ht="14" x14ac:dyDescent="0.3">
      <c r="B17" s="22" t="s">
        <v>128</v>
      </c>
      <c r="C17" s="23"/>
      <c r="D17" s="23"/>
      <c r="E17" s="23"/>
      <c r="F17" s="23"/>
      <c r="G17" s="23"/>
      <c r="H17" s="23"/>
    </row>
    <row r="18" spans="2:8" ht="14" x14ac:dyDescent="0.3">
      <c r="B18" s="28" t="s">
        <v>129</v>
      </c>
      <c r="C18" s="20">
        <v>0</v>
      </c>
      <c r="D18" s="20">
        <f>D9*D5</f>
        <v>0</v>
      </c>
      <c r="E18" s="20">
        <f>E9*E5</f>
        <v>0</v>
      </c>
      <c r="F18" s="20">
        <f>F9*F5</f>
        <v>0</v>
      </c>
      <c r="G18" s="20">
        <f>G9*G5</f>
        <v>0</v>
      </c>
      <c r="H18" s="20">
        <f>H9*H5</f>
        <v>0</v>
      </c>
    </row>
    <row r="19" spans="2:8" ht="14" x14ac:dyDescent="0.3">
      <c r="B19" s="28" t="s">
        <v>96</v>
      </c>
      <c r="C19" s="32" t="s">
        <v>45</v>
      </c>
      <c r="D19" s="24">
        <f>D18-C18</f>
        <v>0</v>
      </c>
      <c r="E19" s="24">
        <f>E18-D18</f>
        <v>0</v>
      </c>
      <c r="F19" s="24">
        <f>F18-E18</f>
        <v>0</v>
      </c>
      <c r="G19" s="24">
        <f>G18-F18</f>
        <v>0</v>
      </c>
      <c r="H19" s="24">
        <f>H18-G18</f>
        <v>0</v>
      </c>
    </row>
    <row r="22" spans="2:8" ht="14" x14ac:dyDescent="0.3">
      <c r="B22" s="22" t="s">
        <v>130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82</v>
      </c>
      <c r="E23" s="25" t="s">
        <v>83</v>
      </c>
      <c r="F23" s="25" t="s">
        <v>84</v>
      </c>
      <c r="G23" s="25" t="s">
        <v>85</v>
      </c>
      <c r="H23" s="25" t="s">
        <v>86</v>
      </c>
    </row>
    <row r="24" spans="2:8" ht="14" x14ac:dyDescent="0.3">
      <c r="B24" s="3" t="s">
        <v>124</v>
      </c>
    </row>
    <row r="25" spans="2:8" ht="14" x14ac:dyDescent="0.3">
      <c r="B25" s="4" t="s">
        <v>80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</row>
    <row r="26" spans="2:8" ht="14" x14ac:dyDescent="0.3">
      <c r="B26" s="4" t="s">
        <v>117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</row>
    <row r="27" spans="2:8" ht="14" x14ac:dyDescent="0.3">
      <c r="B27" s="4" t="s">
        <v>118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</row>
    <row r="28" spans="2:8" ht="14" x14ac:dyDescent="0.3">
      <c r="B28" s="4" t="s">
        <v>119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</row>
    <row r="29" spans="2:8" ht="14" x14ac:dyDescent="0.3">
      <c r="B29" s="4" t="s">
        <v>120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131</v>
      </c>
    </row>
    <row r="4" spans="2:15" ht="28" x14ac:dyDescent="0.3">
      <c r="B4" s="10" t="s">
        <v>3</v>
      </c>
      <c r="C4" s="10" t="s">
        <v>5</v>
      </c>
      <c r="D4" s="10" t="s">
        <v>132</v>
      </c>
      <c r="E4" s="10" t="s">
        <v>133</v>
      </c>
      <c r="F4" s="10" t="s">
        <v>134</v>
      </c>
      <c r="G4" s="10" t="s">
        <v>135</v>
      </c>
      <c r="H4" s="10" t="s">
        <v>136</v>
      </c>
      <c r="I4" s="10" t="s">
        <v>137</v>
      </c>
      <c r="J4" s="10" t="s">
        <v>138</v>
      </c>
      <c r="K4" s="10" t="s">
        <v>139</v>
      </c>
      <c r="L4" s="10" t="s">
        <v>140</v>
      </c>
      <c r="M4" s="10" t="s">
        <v>141</v>
      </c>
      <c r="N4" s="10" t="s">
        <v>142</v>
      </c>
      <c r="O4" s="10" t="s">
        <v>143</v>
      </c>
    </row>
    <row r="5" spans="2:15" ht="14" x14ac:dyDescent="0.3">
      <c r="B5" s="4" t="s">
        <v>144</v>
      </c>
      <c r="C5" t="s">
        <v>145</v>
      </c>
      <c r="D5" s="33">
        <v>298590</v>
      </c>
      <c r="E5" s="33">
        <v>298590</v>
      </c>
      <c r="F5" s="33">
        <v>220025</v>
      </c>
      <c r="G5" s="33">
        <v>60751</v>
      </c>
      <c r="H5" s="33">
        <v>30165</v>
      </c>
      <c r="I5" s="33">
        <v>13476</v>
      </c>
      <c r="J5" s="34">
        <f>E5/G5</f>
        <v>4.9149808233609322</v>
      </c>
      <c r="K5" s="34">
        <f>E5/F5</f>
        <v>1.3570730598795591</v>
      </c>
      <c r="L5" s="34">
        <f>D5/I5</f>
        <v>22.157168299198574</v>
      </c>
      <c r="M5" s="34">
        <v>1.064526134528381</v>
      </c>
      <c r="N5" s="35">
        <f>H5/F5</f>
        <v>0.13709805703897285</v>
      </c>
      <c r="O5" s="35">
        <v>4.8044322277720139E-2</v>
      </c>
    </row>
    <row r="6" spans="2:15" ht="14" x14ac:dyDescent="0.3">
      <c r="B6" s="4" t="s">
        <v>146</v>
      </c>
      <c r="C6" t="s">
        <v>147</v>
      </c>
      <c r="D6" s="33">
        <v>950497</v>
      </c>
      <c r="E6" s="33">
        <v>950497</v>
      </c>
      <c r="F6" s="33">
        <v>255579</v>
      </c>
      <c r="G6" s="33">
        <v>103091</v>
      </c>
      <c r="H6" s="33">
        <v>103091</v>
      </c>
      <c r="I6" s="33">
        <v>73072</v>
      </c>
      <c r="J6" s="34">
        <f>E6/G6</f>
        <v>9.2199804056610173</v>
      </c>
      <c r="K6" s="34">
        <f>E6/F6</f>
        <v>3.718994909597424</v>
      </c>
      <c r="L6" s="34">
        <f>D6/I6</f>
        <v>13.007677359316839</v>
      </c>
      <c r="M6" s="34">
        <v>2.4483652184216562</v>
      </c>
      <c r="N6" s="35">
        <f>H6/F6</f>
        <v>0.40336256108678725</v>
      </c>
      <c r="O6" s="35">
        <v>0.18822462694833039</v>
      </c>
    </row>
    <row r="7" spans="2:15" ht="14" x14ac:dyDescent="0.3">
      <c r="B7" s="4" t="s">
        <v>148</v>
      </c>
      <c r="C7" t="s">
        <v>149</v>
      </c>
      <c r="D7" s="33">
        <v>11500000</v>
      </c>
      <c r="E7" s="33">
        <v>11500000</v>
      </c>
      <c r="F7" s="33">
        <v>2852200</v>
      </c>
      <c r="G7" s="33">
        <v>759100</v>
      </c>
      <c r="H7" s="33">
        <v>759100</v>
      </c>
      <c r="I7" s="33">
        <v>525500</v>
      </c>
      <c r="J7" s="34">
        <f>E7/G7</f>
        <v>15.14951916743512</v>
      </c>
      <c r="K7" s="34">
        <f>E7/F7</f>
        <v>4.0319753172989268</v>
      </c>
      <c r="L7" s="34">
        <f>D7/I7</f>
        <v>21.883920076117985</v>
      </c>
      <c r="M7" s="34">
        <v>1.241900647948164</v>
      </c>
      <c r="N7" s="35">
        <f>H7/F7</f>
        <v>0.26614543159666221</v>
      </c>
      <c r="O7" s="35">
        <v>5.6749460043196552E-2</v>
      </c>
    </row>
    <row r="8" spans="2:15" ht="14" x14ac:dyDescent="0.3">
      <c r="B8" s="4" t="s">
        <v>150</v>
      </c>
      <c r="C8" t="s">
        <v>151</v>
      </c>
      <c r="D8" s="33">
        <v>340000</v>
      </c>
      <c r="E8" s="33">
        <v>340000</v>
      </c>
      <c r="F8" s="33">
        <v>569370</v>
      </c>
      <c r="G8" s="33">
        <v>60693</v>
      </c>
      <c r="H8" s="33">
        <v>60693</v>
      </c>
      <c r="I8" s="33">
        <v>21092</v>
      </c>
      <c r="J8" s="34">
        <f>E8/G8</f>
        <v>5.6019639826668648</v>
      </c>
      <c r="K8" s="34">
        <f>E8/F8</f>
        <v>0.59715123733249031</v>
      </c>
      <c r="L8" s="34">
        <f>D8/I8</f>
        <v>16.119855869523992</v>
      </c>
      <c r="M8" s="34">
        <v>0.73289129928693986</v>
      </c>
      <c r="N8" s="35">
        <f>H8/F8</f>
        <v>0.10659676484535539</v>
      </c>
      <c r="O8" s="35">
        <v>4.5465127307529808E-2</v>
      </c>
    </row>
    <row r="14" spans="2:15" ht="14" x14ac:dyDescent="0.3">
      <c r="B14" s="3" t="s">
        <v>152</v>
      </c>
    </row>
    <row r="15" spans="2:15" ht="14" x14ac:dyDescent="0.3">
      <c r="B15" s="4" t="s">
        <v>153</v>
      </c>
      <c r="D15" s="34">
        <f t="shared" ref="D15:I15" si="0">PERCENTILE(J6:J8,0.25)</f>
        <v>7.410972194163941</v>
      </c>
      <c r="E15" s="34">
        <f t="shared" si="0"/>
        <v>2.1580730734649571</v>
      </c>
      <c r="F15" s="34">
        <f t="shared" si="0"/>
        <v>14.563766614420416</v>
      </c>
      <c r="G15" s="34">
        <f t="shared" si="0"/>
        <v>0.98739597361755194</v>
      </c>
      <c r="H15" s="35">
        <f t="shared" si="0"/>
        <v>0.18637109822100878</v>
      </c>
      <c r="I15" s="35">
        <f t="shared" si="0"/>
        <v>5.110729367536318E-2</v>
      </c>
    </row>
    <row r="16" spans="2:15" ht="14" x14ac:dyDescent="0.3">
      <c r="B16" s="4" t="s">
        <v>154</v>
      </c>
      <c r="D16" s="34">
        <f t="shared" ref="D16:I16" si="1">MEDIAN(J6:J8)</f>
        <v>9.2199804056610173</v>
      </c>
      <c r="E16" s="34">
        <f t="shared" si="1"/>
        <v>3.718994909597424</v>
      </c>
      <c r="F16" s="34">
        <f t="shared" si="1"/>
        <v>16.119855869523992</v>
      </c>
      <c r="G16" s="34">
        <f t="shared" si="1"/>
        <v>1.241900647948164</v>
      </c>
      <c r="H16" s="35">
        <f t="shared" si="1"/>
        <v>0.26614543159666221</v>
      </c>
      <c r="I16" s="35">
        <f t="shared" si="1"/>
        <v>5.6749460043196552E-2</v>
      </c>
    </row>
    <row r="17" spans="2:9" ht="14" x14ac:dyDescent="0.3">
      <c r="B17" s="4" t="s">
        <v>155</v>
      </c>
      <c r="D17" s="34">
        <f t="shared" ref="D17:I17" si="2">PERCENTILE(J6:J8,0.75)</f>
        <v>12.184749786548068</v>
      </c>
      <c r="E17" s="34">
        <f t="shared" si="2"/>
        <v>3.8754851134481756</v>
      </c>
      <c r="F17" s="34">
        <f t="shared" si="2"/>
        <v>19.001887972820988</v>
      </c>
      <c r="G17" s="34">
        <f t="shared" si="2"/>
        <v>1.8451329331849102</v>
      </c>
      <c r="H17" s="35">
        <f t="shared" si="2"/>
        <v>0.33475399634172476</v>
      </c>
      <c r="I17" s="35">
        <f t="shared" si="2"/>
        <v>0.12248704349576348</v>
      </c>
    </row>
    <row r="19" spans="2:9" ht="14" x14ac:dyDescent="0.3">
      <c r="B19" s="22" t="s">
        <v>156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157</v>
      </c>
    </row>
    <row r="21" spans="2:9" ht="14" x14ac:dyDescent="0.3">
      <c r="B21" s="4" t="s">
        <v>158</v>
      </c>
      <c r="C21" s="5">
        <v>60751</v>
      </c>
    </row>
    <row r="22" spans="2:9" ht="14" x14ac:dyDescent="0.3">
      <c r="B22" s="4" t="s">
        <v>159</v>
      </c>
      <c r="C22" s="5">
        <v>13476</v>
      </c>
    </row>
    <row r="23" spans="2:9" ht="14" x14ac:dyDescent="0.3">
      <c r="B23" s="4" t="s">
        <v>160</v>
      </c>
      <c r="C23" s="15">
        <v>1110000000</v>
      </c>
    </row>
    <row r="24" spans="2:9" ht="14" x14ac:dyDescent="0.3">
      <c r="B24" s="4" t="s">
        <v>69</v>
      </c>
      <c r="C24" s="5">
        <v>0</v>
      </c>
    </row>
    <row r="26" spans="2:9" ht="14" x14ac:dyDescent="0.3">
      <c r="B26" s="3" t="s">
        <v>161</v>
      </c>
    </row>
    <row r="27" spans="2:9" ht="14" x14ac:dyDescent="0.3">
      <c r="B27" s="4" t="s">
        <v>162</v>
      </c>
      <c r="C27" s="24">
        <f>ROUND((C21*D16-C24)*1000000/C23,0)</f>
        <v>505</v>
      </c>
    </row>
    <row r="28" spans="2:9" ht="14" x14ac:dyDescent="0.3">
      <c r="B28" s="4" t="s">
        <v>163</v>
      </c>
      <c r="C28" s="24">
        <f>ROUND(C22*F16*1000000/C23,0)</f>
        <v>196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164</v>
      </c>
    </row>
    <row r="3" spans="2:9" ht="14" x14ac:dyDescent="0.3">
      <c r="B3" s="4" t="s">
        <v>165</v>
      </c>
      <c r="C3" s="16">
        <f>'DCF Model'!C26</f>
        <v>6.2E-2</v>
      </c>
      <c r="E3" s="4" t="s">
        <v>166</v>
      </c>
      <c r="F3" s="16">
        <f>'DCF Model'!C13</f>
        <v>5.0000000000000001E-3</v>
      </c>
      <c r="H3" s="4" t="s">
        <v>167</v>
      </c>
      <c r="I3" s="14">
        <f>'DCF Model'!C14</f>
        <v>7</v>
      </c>
    </row>
    <row r="5" spans="2:9" ht="14" x14ac:dyDescent="0.3">
      <c r="B5" s="3" t="s">
        <v>168</v>
      </c>
    </row>
    <row r="6" spans="2:9" ht="14" x14ac:dyDescent="0.3">
      <c r="B6" s="36" t="s">
        <v>169</v>
      </c>
      <c r="C6" s="37">
        <f>$F$3-0.0075</f>
        <v>-2.4999999999999996E-3</v>
      </c>
      <c r="D6" s="37">
        <f>$F$3-0.005</f>
        <v>0</v>
      </c>
      <c r="E6" s="37">
        <f>$F$3-0.0025</f>
        <v>2.5000000000000001E-3</v>
      </c>
      <c r="F6" s="37">
        <f>$F$3</f>
        <v>5.0000000000000001E-3</v>
      </c>
      <c r="G6" s="37">
        <f>$F$3+0.0025</f>
        <v>7.4999999999999997E-3</v>
      </c>
      <c r="H6" s="37">
        <f>$F$3+0.005</f>
        <v>0.01</v>
      </c>
      <c r="I6" s="37">
        <f>$F$3+0.0075</f>
        <v>1.2500000000000001E-2</v>
      </c>
    </row>
    <row r="7" spans="2:9" ht="13.5" x14ac:dyDescent="0.25">
      <c r="B7" s="35">
        <f>$C$3-0.015</f>
        <v>4.7E-2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460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481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505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531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561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594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633</v>
      </c>
    </row>
    <row r="8" spans="2:9" ht="13.5" x14ac:dyDescent="0.25">
      <c r="B8" s="35">
        <f>$C$3-0.01</f>
        <v>5.1999999999999998E-2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417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434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453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474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497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523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552</v>
      </c>
    </row>
    <row r="9" spans="2:9" ht="13.5" x14ac:dyDescent="0.25">
      <c r="B9" s="35">
        <f>$C$3-0.005</f>
        <v>5.7000000000000002E-2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381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396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411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428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446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466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489</v>
      </c>
    </row>
    <row r="10" spans="2:9" ht="13.5" x14ac:dyDescent="0.25">
      <c r="B10" s="35">
        <f>$C$3</f>
        <v>6.2E-2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351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363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376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389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404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421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439</v>
      </c>
    </row>
    <row r="11" spans="2:9" ht="13.5" x14ac:dyDescent="0.25">
      <c r="B11" s="35">
        <f>$C$3+0.005</f>
        <v>6.7000000000000004E-2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325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335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346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357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370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383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398</v>
      </c>
    </row>
    <row r="12" spans="2:9" ht="13.5" x14ac:dyDescent="0.25">
      <c r="B12" s="35">
        <f>$C$3+0.01</f>
        <v>7.1999999999999995E-2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303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311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321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330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341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352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364</v>
      </c>
    </row>
    <row r="13" spans="2:9" ht="13.5" x14ac:dyDescent="0.25">
      <c r="B13" s="35">
        <f>$C$3+0.015</f>
        <v>7.6999999999999999E-2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283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291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299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307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316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325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336</v>
      </c>
    </row>
    <row r="16" spans="2:9" ht="14" x14ac:dyDescent="0.3">
      <c r="B16" s="3" t="s">
        <v>170</v>
      </c>
    </row>
    <row r="17" spans="2:9" ht="14" x14ac:dyDescent="0.3">
      <c r="B17" s="36" t="s">
        <v>171</v>
      </c>
      <c r="C17" s="38">
        <f>$I$3-3</f>
        <v>4</v>
      </c>
      <c r="D17" s="38">
        <f>$I$3-2</f>
        <v>5</v>
      </c>
      <c r="E17" s="38">
        <f>$I$3-1</f>
        <v>6</v>
      </c>
      <c r="F17" s="38">
        <f>$I$3</f>
        <v>7</v>
      </c>
      <c r="G17" s="38">
        <f>$I$3+1</f>
        <v>8</v>
      </c>
      <c r="H17" s="38">
        <f>$I$3+2</f>
        <v>9</v>
      </c>
      <c r="I17" s="38">
        <f>$I$3+3</f>
        <v>10</v>
      </c>
    </row>
    <row r="18" spans="2:9" ht="13.5" x14ac:dyDescent="0.25">
      <c r="B18" s="35">
        <f>$C$3-0.015</f>
        <v>4.7E-2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297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350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404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457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511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564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618</v>
      </c>
    </row>
    <row r="19" spans="2:9" ht="13.5" x14ac:dyDescent="0.25">
      <c r="B19" s="35">
        <f>$C$3-0.01</f>
        <v>5.1999999999999998E-2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291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343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396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448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501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553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606</v>
      </c>
    </row>
    <row r="20" spans="2:9" ht="13.5" x14ac:dyDescent="0.25">
      <c r="B20" s="35">
        <f>$C$3-0.005</f>
        <v>5.7000000000000002E-2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285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337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388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439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491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542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593</v>
      </c>
    </row>
    <row r="21" spans="2:9" ht="13.5" x14ac:dyDescent="0.25">
      <c r="B21" s="35">
        <f>$C$3</f>
        <v>6.2E-2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280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330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381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431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481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531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582</v>
      </c>
    </row>
    <row r="22" spans="2:9" ht="13.5" x14ac:dyDescent="0.25">
      <c r="B22" s="35">
        <f>$C$3+0.005</f>
        <v>6.7000000000000004E-2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275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324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373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423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472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521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570</v>
      </c>
    </row>
    <row r="23" spans="2:9" ht="13.5" x14ac:dyDescent="0.25">
      <c r="B23" s="35">
        <f>$C$3+0.01</f>
        <v>7.1999999999999995E-2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270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318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366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414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463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511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559</v>
      </c>
    </row>
    <row r="24" spans="2:9" ht="13.5" x14ac:dyDescent="0.25">
      <c r="B24" s="35">
        <f>$C$3+0.015</f>
        <v>7.6999999999999999E-2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265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312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359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406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454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501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548</v>
      </c>
    </row>
    <row r="26" spans="2:9" ht="14" x14ac:dyDescent="0.3">
      <c r="B26" s="52" t="s">
        <v>172</v>
      </c>
      <c r="C26" s="51"/>
      <c r="D26" s="51"/>
      <c r="E26" s="51"/>
      <c r="F26" s="51"/>
      <c r="G26" s="51"/>
      <c r="H26" s="51"/>
      <c r="I26" s="51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B2:K3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28" customWidth="1"/>
    <col min="3" max="11" width="13" customWidth="1"/>
  </cols>
  <sheetData>
    <row r="2" spans="2:3" ht="18" x14ac:dyDescent="0.4">
      <c r="B2" s="2" t="s">
        <v>173</v>
      </c>
    </row>
    <row r="3" spans="2:3" ht="14" x14ac:dyDescent="0.3">
      <c r="B3" s="1" t="s">
        <v>174</v>
      </c>
    </row>
    <row r="5" spans="2:3" ht="14" x14ac:dyDescent="0.3">
      <c r="B5" s="3" t="s">
        <v>175</v>
      </c>
    </row>
    <row r="6" spans="2:3" ht="14" x14ac:dyDescent="0.3">
      <c r="B6" s="4" t="s">
        <v>60</v>
      </c>
      <c r="C6" s="16">
        <f>'DCF Model'!C7</f>
        <v>2.3E-2</v>
      </c>
    </row>
    <row r="7" spans="2:3" ht="14" x14ac:dyDescent="0.3">
      <c r="B7" s="4" t="s">
        <v>61</v>
      </c>
      <c r="C7" s="12">
        <f>'DCF Model'!C8</f>
        <v>0.65</v>
      </c>
    </row>
    <row r="8" spans="2:3" ht="14" x14ac:dyDescent="0.3">
      <c r="B8" s="4" t="s">
        <v>62</v>
      </c>
      <c r="C8" s="16">
        <f>'DCF Model'!C9</f>
        <v>0.06</v>
      </c>
    </row>
    <row r="9" spans="2:3" ht="14" x14ac:dyDescent="0.3">
      <c r="B9" s="4" t="s">
        <v>75</v>
      </c>
      <c r="C9" s="16">
        <f>'DCF Model'!C23</f>
        <v>6.2E-2</v>
      </c>
    </row>
    <row r="10" spans="2:3" ht="14" x14ac:dyDescent="0.3">
      <c r="B10" s="4" t="s">
        <v>160</v>
      </c>
      <c r="C10" s="15">
        <f>'DCF Model'!C15</f>
        <v>1110000000</v>
      </c>
    </row>
    <row r="11" spans="2:3" ht="14" x14ac:dyDescent="0.3">
      <c r="B11" s="4" t="s">
        <v>176</v>
      </c>
      <c r="C11" s="5">
        <f>'Executive Summary'!C9</f>
        <v>327</v>
      </c>
    </row>
    <row r="12" spans="2:3" ht="14" x14ac:dyDescent="0.3">
      <c r="B12" s="4" t="s">
        <v>177</v>
      </c>
      <c r="C12" s="39">
        <v>1.4999999999999999E-2</v>
      </c>
    </row>
    <row r="14" spans="2:3" ht="14" x14ac:dyDescent="0.3">
      <c r="B14" s="4" t="s">
        <v>178</v>
      </c>
      <c r="C14" s="6" t="str">
        <f>IF($C$9&lt;=$C$12,"ERROR: Ke &lt;= g, model invalid","OK")</f>
        <v>OK</v>
      </c>
    </row>
    <row r="16" spans="2:3" ht="14" x14ac:dyDescent="0.3">
      <c r="B16" s="3" t="s">
        <v>179</v>
      </c>
    </row>
    <row r="17" spans="2:11" ht="14" x14ac:dyDescent="0.3">
      <c r="C17" s="10" t="s">
        <v>82</v>
      </c>
      <c r="D17" s="10" t="s">
        <v>83</v>
      </c>
      <c r="E17" s="10" t="s">
        <v>84</v>
      </c>
      <c r="F17" s="10" t="s">
        <v>85</v>
      </c>
      <c r="G17" s="10" t="s">
        <v>86</v>
      </c>
    </row>
    <row r="18" spans="2:11" ht="14" x14ac:dyDescent="0.3">
      <c r="B18" s="4" t="s">
        <v>180</v>
      </c>
      <c r="C18" s="40">
        <v>11</v>
      </c>
      <c r="D18" s="40">
        <v>11.5</v>
      </c>
      <c r="E18" s="40">
        <v>12</v>
      </c>
      <c r="F18" s="40">
        <v>12.5</v>
      </c>
      <c r="G18" s="40">
        <v>13</v>
      </c>
      <c r="H18" s="1" t="s">
        <v>181</v>
      </c>
    </row>
    <row r="19" spans="2:11" ht="14" x14ac:dyDescent="0.3">
      <c r="B19" s="4" t="s">
        <v>98</v>
      </c>
      <c r="C19" s="21">
        <f>1/(1+$C$9)^1</f>
        <v>0.94161958568738224</v>
      </c>
      <c r="D19" s="21">
        <f>1/(1+$C$9)^2</f>
        <v>0.88664744415007746</v>
      </c>
      <c r="E19" s="21">
        <f>1/(1+$C$9)^3</f>
        <v>0.83488459901137235</v>
      </c>
      <c r="F19" s="21">
        <f>1/(1+$C$9)^4</f>
        <v>0.78614369021786468</v>
      </c>
      <c r="G19" s="21">
        <f>1/(1+$C$9)^5</f>
        <v>0.74024829587369556</v>
      </c>
    </row>
    <row r="20" spans="2:11" ht="14" x14ac:dyDescent="0.3">
      <c r="B20" s="4" t="s">
        <v>182</v>
      </c>
      <c r="C20" s="12">
        <f>C18*C19</f>
        <v>10.357815442561204</v>
      </c>
      <c r="D20" s="12">
        <f>D18*D19</f>
        <v>10.196445607725892</v>
      </c>
      <c r="E20" s="12">
        <f>E18*E19</f>
        <v>10.018615188136469</v>
      </c>
      <c r="F20" s="12">
        <f>F18*F19</f>
        <v>9.8267961277233091</v>
      </c>
      <c r="G20" s="12">
        <f>G18*G19</f>
        <v>9.6232278463580414</v>
      </c>
    </row>
    <row r="22" spans="2:11" ht="14" x14ac:dyDescent="0.3">
      <c r="B22" s="3" t="s">
        <v>183</v>
      </c>
    </row>
    <row r="23" spans="2:11" ht="14" x14ac:dyDescent="0.3">
      <c r="B23" s="4" t="s">
        <v>184</v>
      </c>
      <c r="C23" s="12">
        <f>SUM(C20:G20)</f>
        <v>50.022900212504915</v>
      </c>
    </row>
    <row r="24" spans="2:11" ht="14" x14ac:dyDescent="0.3">
      <c r="B24" s="4" t="s">
        <v>185</v>
      </c>
      <c r="C24" s="12">
        <f>G18*(1+$C$12)/($C$9-$C$12)</f>
        <v>280.74468085106378</v>
      </c>
    </row>
    <row r="25" spans="2:11" ht="14" x14ac:dyDescent="0.3">
      <c r="B25" s="4" t="s">
        <v>103</v>
      </c>
      <c r="C25" s="12">
        <f>C24*G19</f>
        <v>207.82077157560448</v>
      </c>
    </row>
    <row r="26" spans="2:11" ht="14" x14ac:dyDescent="0.3">
      <c r="B26" s="41" t="s">
        <v>186</v>
      </c>
      <c r="C26" s="42">
        <f>ROUND(C23+C25,0)</f>
        <v>258</v>
      </c>
    </row>
    <row r="27" spans="2:11" ht="14" x14ac:dyDescent="0.3">
      <c r="B27" s="4" t="s">
        <v>187</v>
      </c>
      <c r="C27" s="7">
        <f>C26/$C$11-1</f>
        <v>-0.21100917431192656</v>
      </c>
    </row>
    <row r="29" spans="2:11" ht="14" x14ac:dyDescent="0.3">
      <c r="B29" s="3" t="s">
        <v>188</v>
      </c>
    </row>
    <row r="30" spans="2:11" ht="14" x14ac:dyDescent="0.3">
      <c r="B30" s="4" t="s">
        <v>189</v>
      </c>
      <c r="C30" s="43">
        <v>5.0000000000000001E-3</v>
      </c>
      <c r="D30" s="43">
        <v>7.4999999999999997E-3</v>
      </c>
      <c r="E30" s="43">
        <v>0.01</v>
      </c>
      <c r="F30" s="43">
        <v>1.2500000000000001E-2</v>
      </c>
      <c r="G30" s="43">
        <v>1.4999999999999999E-2</v>
      </c>
      <c r="H30" s="43">
        <v>1.7500000000000002E-2</v>
      </c>
      <c r="I30" s="43">
        <v>0.02</v>
      </c>
      <c r="J30" s="43">
        <v>2.2499999999999999E-2</v>
      </c>
      <c r="K30" s="43">
        <v>2.5000000000000001E-2</v>
      </c>
    </row>
    <row r="31" spans="2:11" ht="14" x14ac:dyDescent="0.3">
      <c r="B31" s="44">
        <v>5.1999999999999998E-2</v>
      </c>
      <c r="C31" s="33">
        <f>IF($B31&lt;=C$30,"",ROUND(SUMPRODUCT($C$18:$G$18,1/(1+$B31)^{1,2,3,4,5})+G18*(1+C$30)/($B31-C$30)/(1+$B31)^5,0))</f>
        <v>267</v>
      </c>
      <c r="D31" s="33">
        <f>IF($B31&lt;=D$30,"",ROUND(SUMPRODUCT($C$18:$G$18,1/(1+$B31)^{1,2,3,4,5})+G18*(1+D$30)/($B31-D$30)/(1+$B31)^5,0))</f>
        <v>280</v>
      </c>
      <c r="E31" s="33">
        <f>IF($B31&lt;=E$30,"",ROUND(SUMPRODUCT($C$18:$G$18,1/(1+$B31)^{1,2,3,4,5})+G18*(1+E$30)/($B31-E$30)/(1+$B31)^5,0))</f>
        <v>294</v>
      </c>
      <c r="F31" s="33">
        <f>IF($B31&lt;=F$30,"",ROUND(SUMPRODUCT($C$18:$G$18,1/(1+$B31)^{1,2,3,4,5})+G18*(1+F$30)/($B31-F$30)/(1+$B31)^5,0))</f>
        <v>310</v>
      </c>
      <c r="G31" s="33">
        <f>IF($B31&lt;=G$30,"",ROUND(SUMPRODUCT($C$18:$G$18,1/(1+$B31)^{1,2,3,4,5})+G18*(1+G$30)/($B31-G$30)/(1+$B31)^5,0))</f>
        <v>328</v>
      </c>
      <c r="H31" s="33">
        <f>IF($B31&lt;=H$30,"",ROUND(SUMPRODUCT($C$18:$G$18,1/(1+$B31)^{1,2,3,4,5})+G18*(1+H$30)/($B31-H$30)/(1+$B31)^5,0))</f>
        <v>349</v>
      </c>
      <c r="I31" s="33">
        <f>IF($B31&lt;=I$30,"",ROUND(SUMPRODUCT($C$18:$G$18,1/(1+$B31)^{1,2,3,4,5})+G18*(1+I$30)/($B31-I$30)/(1+$B31)^5,0))</f>
        <v>373</v>
      </c>
      <c r="J31" s="33">
        <f>IF($B31&lt;=J$30,"",ROUND(SUMPRODUCT($C$18:$G$18,1/(1+$B31)^{1,2,3,4,5})+G18*(1+J$30)/($B31-J$30)/(1+$B31)^5,0))</f>
        <v>401</v>
      </c>
      <c r="K31" s="33">
        <f>IF($B31&lt;=K$30,"",ROUND(SUMPRODUCT($C$18:$G$18,1/(1+$B31)^{1,2,3,4,5})+G18*(1+K$30)/($B31-K$30)/(1+$B31)^5,0))</f>
        <v>434</v>
      </c>
    </row>
    <row r="32" spans="2:11" ht="14" x14ac:dyDescent="0.3">
      <c r="B32" s="44">
        <v>5.45E-2</v>
      </c>
      <c r="C32" s="33">
        <f>IF($B32&lt;=C$30,"",ROUND(SUMPRODUCT($C$18:$G$18,1/(1+$B32)^{1,2,3,4,5})+G18*(1+C$30)/($B32-C$30)/(1+$B32)^5,0))</f>
        <v>254</v>
      </c>
      <c r="D32" s="33">
        <f>IF($B32&lt;=D$30,"",ROUND(SUMPRODUCT($C$18:$G$18,1/(1+$B32)^{1,2,3,4,5})+G18*(1+D$30)/($B32-D$30)/(1+$B32)^5,0))</f>
        <v>265</v>
      </c>
      <c r="E32" s="33">
        <f>IF($B32&lt;=E$30,"",ROUND(SUMPRODUCT($C$18:$G$18,1/(1+$B32)^{1,2,3,4,5})+G18*(1+E$30)/($B32-E$30)/(1+$B32)^5,0))</f>
        <v>277</v>
      </c>
      <c r="F32" s="33">
        <f>IF($B32&lt;=F$30,"",ROUND(SUMPRODUCT($C$18:$G$18,1/(1+$B32)^{1,2,3,4,5})+G18*(1+F$30)/($B32-F$30)/(1+$B32)^5,0))</f>
        <v>291</v>
      </c>
      <c r="G32" s="33">
        <f>IF($B32&lt;=G$30,"",ROUND(SUMPRODUCT($C$18:$G$18,1/(1+$B32)^{1,2,3,4,5})+G18*(1+G$30)/($B32-G$30)/(1+$B32)^5,0))</f>
        <v>307</v>
      </c>
      <c r="H32" s="33">
        <f>IF($B32&lt;=H$30,"",ROUND(SUMPRODUCT($C$18:$G$18,1/(1+$B32)^{1,2,3,4,5})+G18*(1+H$30)/($B32-H$30)/(1+$B32)^5,0))</f>
        <v>325</v>
      </c>
      <c r="I32" s="33">
        <f>IF($B32&lt;=I$30,"",ROUND(SUMPRODUCT($C$18:$G$18,1/(1+$B32)^{1,2,3,4,5})+G18*(1+I$30)/($B32-I$30)/(1+$B32)^5,0))</f>
        <v>346</v>
      </c>
      <c r="J32" s="33">
        <f>IF($B32&lt;=J$30,"",ROUND(SUMPRODUCT($C$18:$G$18,1/(1+$B32)^{1,2,3,4,5})+G18*(1+J$30)/($B32-J$30)/(1+$B32)^5,0))</f>
        <v>370</v>
      </c>
      <c r="K32" s="33">
        <f>IF($B32&lt;=K$30,"",ROUND(SUMPRODUCT($C$18:$G$18,1/(1+$B32)^{1,2,3,4,5})+G18*(1+K$30)/($B32-K$30)/(1+$B32)^5,0))</f>
        <v>398</v>
      </c>
    </row>
    <row r="33" spans="2:11" ht="14" x14ac:dyDescent="0.3">
      <c r="B33" s="44">
        <v>5.7000000000000002E-2</v>
      </c>
      <c r="C33" s="33">
        <f>IF($B33&lt;=C$30,"",ROUND(SUMPRODUCT($C$18:$G$18,1/(1+$B33)^{1,2,3,4,5})+G18*(1+C$30)/($B33-C$30)/(1+$B33)^5,0))</f>
        <v>241</v>
      </c>
      <c r="D33" s="33">
        <f>IF($B33&lt;=D$30,"",ROUND(SUMPRODUCT($C$18:$G$18,1/(1+$B33)^{1,2,3,4,5})+G18*(1+D$30)/($B33-D$30)/(1+$B33)^5,0))</f>
        <v>251</v>
      </c>
      <c r="E33" s="33">
        <f>IF($B33&lt;=E$30,"",ROUND(SUMPRODUCT($C$18:$G$18,1/(1+$B33)^{1,2,3,4,5})+G18*(1+E$30)/($B33-E$30)/(1+$B33)^5,0))</f>
        <v>262</v>
      </c>
      <c r="F33" s="33">
        <f>IF($B33&lt;=F$30,"",ROUND(SUMPRODUCT($C$18:$G$18,1/(1+$B33)^{1,2,3,4,5})+G18*(1+F$30)/($B33-F$30)/(1+$B33)^5,0))</f>
        <v>275</v>
      </c>
      <c r="G33" s="33">
        <f>IF($B33&lt;=G$30,"",ROUND(SUMPRODUCT($C$18:$G$18,1/(1+$B33)^{1,2,3,4,5})+G18*(1+G$30)/($B33-G$30)/(1+$B33)^5,0))</f>
        <v>289</v>
      </c>
      <c r="H33" s="33">
        <f>IF($B33&lt;=H$30,"",ROUND(SUMPRODUCT($C$18:$G$18,1/(1+$B33)^{1,2,3,4,5})+G18*(1+H$30)/($B33-H$30)/(1+$B33)^5,0))</f>
        <v>305</v>
      </c>
      <c r="I33" s="33">
        <f>IF($B33&lt;=I$30,"",ROUND(SUMPRODUCT($C$18:$G$18,1/(1+$B33)^{1,2,3,4,5})+G18*(1+I$30)/($B33-I$30)/(1+$B33)^5,0))</f>
        <v>322</v>
      </c>
      <c r="J33" s="33">
        <f>IF($B33&lt;=J$30,"",ROUND(SUMPRODUCT($C$18:$G$18,1/(1+$B33)^{1,2,3,4,5})+G18*(1+J$30)/($B33-J$30)/(1+$B33)^5,0))</f>
        <v>343</v>
      </c>
      <c r="K33" s="33">
        <f>IF($B33&lt;=K$30,"",ROUND(SUMPRODUCT($C$18:$G$18,1/(1+$B33)^{1,2,3,4,5})+G18*(1+K$30)/($B33-K$30)/(1+$B33)^5,0))</f>
        <v>366</v>
      </c>
    </row>
    <row r="34" spans="2:11" ht="14" x14ac:dyDescent="0.3">
      <c r="B34" s="44">
        <v>5.9499999999999997E-2</v>
      </c>
      <c r="C34" s="33">
        <f>IF($B34&lt;=C$30,"",ROUND(SUMPRODUCT($C$18:$G$18,1/(1+$B34)^{1,2,3,4,5})+G18*(1+C$30)/($B34-C$30)/(1+$B34)^5,0))</f>
        <v>230</v>
      </c>
      <c r="D34" s="33">
        <f>IF($B34&lt;=D$30,"",ROUND(SUMPRODUCT($C$18:$G$18,1/(1+$B34)^{1,2,3,4,5})+G18*(1+D$30)/($B34-D$30)/(1+$B34)^5,0))</f>
        <v>239</v>
      </c>
      <c r="E34" s="33">
        <f>IF($B34&lt;=E$30,"",ROUND(SUMPRODUCT($C$18:$G$18,1/(1+$B34)^{1,2,3,4,5})+G18*(1+E$30)/($B34-E$30)/(1+$B34)^5,0))</f>
        <v>249</v>
      </c>
      <c r="F34" s="33">
        <f>IF($B34&lt;=F$30,"",ROUND(SUMPRODUCT($C$18:$G$18,1/(1+$B34)^{1,2,3,4,5})+G18*(1+F$30)/($B34-F$30)/(1+$B34)^5,0))</f>
        <v>260</v>
      </c>
      <c r="G34" s="33">
        <f>IF($B34&lt;=G$30,"",ROUND(SUMPRODUCT($C$18:$G$18,1/(1+$B34)^{1,2,3,4,5})+G18*(1+G$30)/($B34-G$30)/(1+$B34)^5,0))</f>
        <v>272</v>
      </c>
      <c r="H34" s="33">
        <f>IF($B34&lt;=H$30,"",ROUND(SUMPRODUCT($C$18:$G$18,1/(1+$B34)^{1,2,3,4,5})+G18*(1+H$30)/($B34-H$30)/(1+$B34)^5,0))</f>
        <v>286</v>
      </c>
      <c r="I34" s="33">
        <f>IF($B34&lt;=I$30,"",ROUND(SUMPRODUCT($C$18:$G$18,1/(1+$B34)^{1,2,3,4,5})+G18*(1+I$30)/($B34-I$30)/(1+$B34)^5,0))</f>
        <v>302</v>
      </c>
      <c r="J34" s="33">
        <f>IF($B34&lt;=J$30,"",ROUND(SUMPRODUCT($C$18:$G$18,1/(1+$B34)^{1,2,3,4,5})+G18*(1+J$30)/($B34-J$30)/(1+$B34)^5,0))</f>
        <v>319</v>
      </c>
      <c r="K34" s="33">
        <f>IF($B34&lt;=K$30,"",ROUND(SUMPRODUCT($C$18:$G$18,1/(1+$B34)^{1,2,3,4,5})+G18*(1+K$30)/($B34-K$30)/(1+$B34)^5,0))</f>
        <v>340</v>
      </c>
    </row>
    <row r="35" spans="2:11" ht="14" x14ac:dyDescent="0.3">
      <c r="B35" s="44">
        <v>6.2E-2</v>
      </c>
      <c r="C35" s="33">
        <f>IF($B35&lt;=C$30,"",ROUND(SUMPRODUCT($C$18:$G$18,1/(1+$B35)^{1,2,3,4,5})+G18*(1+C$30)/($B35-C$30)/(1+$B35)^5,0))</f>
        <v>220</v>
      </c>
      <c r="D35" s="33">
        <f>IF($B35&lt;=D$30,"",ROUND(SUMPRODUCT($C$18:$G$18,1/(1+$B35)^{1,2,3,4,5})+G18*(1+D$30)/($B35-D$30)/(1+$B35)^5,0))</f>
        <v>228</v>
      </c>
      <c r="E35" s="33">
        <f>IF($B35&lt;=E$30,"",ROUND(SUMPRODUCT($C$18:$G$18,1/(1+$B35)^{1,2,3,4,5})+G18*(1+E$30)/($B35-E$30)/(1+$B35)^5,0))</f>
        <v>237</v>
      </c>
      <c r="F35" s="33">
        <f>IF($B35&lt;=F$30,"",ROUND(SUMPRODUCT($C$18:$G$18,1/(1+$B35)^{1,2,3,4,5})+G18*(1+F$30)/($B35-F$30)/(1+$B35)^5,0))</f>
        <v>247</v>
      </c>
      <c r="G35" s="33">
        <f>IF($B35&lt;=G$30,"",ROUND(SUMPRODUCT($C$18:$G$18,1/(1+$B35)^{1,2,3,4,5})+G18*(1+G$30)/($B35-G$30)/(1+$B35)^5,0))</f>
        <v>258</v>
      </c>
      <c r="H35" s="33">
        <f>IF($B35&lt;=H$30,"",ROUND(SUMPRODUCT($C$18:$G$18,1/(1+$B35)^{1,2,3,4,5})+G18*(1+H$30)/($B35-H$30)/(1+$B35)^5,0))</f>
        <v>270</v>
      </c>
      <c r="I35" s="33">
        <f>IF($B35&lt;=I$30,"",ROUND(SUMPRODUCT($C$18:$G$18,1/(1+$B35)^{1,2,3,4,5})+G18*(1+I$30)/($B35-I$30)/(1+$B35)^5,0))</f>
        <v>284</v>
      </c>
      <c r="J35" s="33">
        <f>IF($B35&lt;=J$30,"",ROUND(SUMPRODUCT($C$18:$G$18,1/(1+$B35)^{1,2,3,4,5})+G18*(1+J$30)/($B35-J$30)/(1+$B35)^5,0))</f>
        <v>299</v>
      </c>
      <c r="K35" s="33">
        <f>IF($B35&lt;=K$30,"",ROUND(SUMPRODUCT($C$18:$G$18,1/(1+$B35)^{1,2,3,4,5})+G18*(1+K$30)/($B35-K$30)/(1+$B35)^5,0))</f>
        <v>317</v>
      </c>
    </row>
    <row r="36" spans="2:11" ht="14" x14ac:dyDescent="0.3">
      <c r="B36" s="44">
        <v>6.4500000000000002E-2</v>
      </c>
      <c r="C36" s="33">
        <f>IF($B36&lt;=C$30,"",ROUND(SUMPRODUCT($C$18:$G$18,1/(1+$B36)^{1,2,3,4,5})+G18*(1+C$30)/($B36-C$30)/(1+$B36)^5,0))</f>
        <v>210</v>
      </c>
      <c r="D36" s="33">
        <f>IF($B36&lt;=D$30,"",ROUND(SUMPRODUCT($C$18:$G$18,1/(1+$B36)^{1,2,3,4,5})+G18*(1+D$30)/($B36-D$30)/(1+$B36)^5,0))</f>
        <v>218</v>
      </c>
      <c r="E36" s="33">
        <f>IF($B36&lt;=E$30,"",ROUND(SUMPRODUCT($C$18:$G$18,1/(1+$B36)^{1,2,3,4,5})+G18*(1+E$30)/($B36-E$30)/(1+$B36)^5,0))</f>
        <v>226</v>
      </c>
      <c r="F36" s="33">
        <f>IF($B36&lt;=F$30,"",ROUND(SUMPRODUCT($C$18:$G$18,1/(1+$B36)^{1,2,3,4,5})+G18*(1+F$30)/($B36-F$30)/(1+$B36)^5,0))</f>
        <v>235</v>
      </c>
      <c r="G36" s="33">
        <f>IF($B36&lt;=G$30,"",ROUND(SUMPRODUCT($C$18:$G$18,1/(1+$B36)^{1,2,3,4,5})+G18*(1+G$30)/($B36-G$30)/(1+$B36)^5,0))</f>
        <v>245</v>
      </c>
      <c r="H36" s="33">
        <f>IF($B36&lt;=H$30,"",ROUND(SUMPRODUCT($C$18:$G$18,1/(1+$B36)^{1,2,3,4,5})+G18*(1+H$30)/($B36-H$30)/(1+$B36)^5,0))</f>
        <v>256</v>
      </c>
      <c r="I36" s="33">
        <f>IF($B36&lt;=I$30,"",ROUND(SUMPRODUCT($C$18:$G$18,1/(1+$B36)^{1,2,3,4,5})+G18*(1+I$30)/($B36-I$30)/(1+$B36)^5,0))</f>
        <v>268</v>
      </c>
      <c r="J36" s="33">
        <f>IF($B36&lt;=J$30,"",ROUND(SUMPRODUCT($C$18:$G$18,1/(1+$B36)^{1,2,3,4,5})+G18*(1+J$30)/($B36-J$30)/(1+$B36)^5,0))</f>
        <v>281</v>
      </c>
      <c r="K36" s="33">
        <f>IF($B36&lt;=K$30,"",ROUND(SUMPRODUCT($C$18:$G$18,1/(1+$B36)^{1,2,3,4,5})+G18*(1+K$30)/($B36-K$30)/(1+$B36)^5,0))</f>
        <v>296</v>
      </c>
    </row>
    <row r="37" spans="2:11" ht="14" x14ac:dyDescent="0.3">
      <c r="B37" s="44">
        <v>6.7000000000000004E-2</v>
      </c>
      <c r="C37" s="33">
        <f>IF($B37&lt;=C$30,"",ROUND(SUMPRODUCT($C$18:$G$18,1/(1+$B37)^{1,2,3,4,5})+G18*(1+C$30)/($B37-C$30)/(1+$B37)^5,0))</f>
        <v>202</v>
      </c>
      <c r="D37" s="33">
        <f>IF($B37&lt;=D$30,"",ROUND(SUMPRODUCT($C$18:$G$18,1/(1+$B37)^{1,2,3,4,5})+G18*(1+D$30)/($B37-D$30)/(1+$B37)^5,0))</f>
        <v>208</v>
      </c>
      <c r="E37" s="33">
        <f>IF($B37&lt;=E$30,"",ROUND(SUMPRODUCT($C$18:$G$18,1/(1+$B37)^{1,2,3,4,5})+G18*(1+E$30)/($B37-E$30)/(1+$B37)^5,0))</f>
        <v>216</v>
      </c>
      <c r="F37" s="33">
        <f>IF($B37&lt;=F$30,"",ROUND(SUMPRODUCT($C$18:$G$18,1/(1+$B37)^{1,2,3,4,5})+G18*(1+F$30)/($B37-F$30)/(1+$B37)^5,0))</f>
        <v>224</v>
      </c>
      <c r="G37" s="33">
        <f>IF($B37&lt;=G$30,"",ROUND(SUMPRODUCT($C$18:$G$18,1/(1+$B37)^{1,2,3,4,5})+G18*(1+G$30)/($B37-G$30)/(1+$B37)^5,0))</f>
        <v>233</v>
      </c>
      <c r="H37" s="33">
        <f>IF($B37&lt;=H$30,"",ROUND(SUMPRODUCT($C$18:$G$18,1/(1+$B37)^{1,2,3,4,5})+G18*(1+H$30)/($B37-H$30)/(1+$B37)^5,0))</f>
        <v>243</v>
      </c>
      <c r="I37" s="33">
        <f>IF($B37&lt;=I$30,"",ROUND(SUMPRODUCT($C$18:$G$18,1/(1+$B37)^{1,2,3,4,5})+G18*(1+I$30)/($B37-I$30)/(1+$B37)^5,0))</f>
        <v>253</v>
      </c>
      <c r="J37" s="33">
        <f>IF($B37&lt;=J$30,"",ROUND(SUMPRODUCT($C$18:$G$18,1/(1+$B37)^{1,2,3,4,5})+G18*(1+J$30)/($B37-J$30)/(1+$B37)^5,0))</f>
        <v>265</v>
      </c>
      <c r="K37" s="33">
        <f>IF($B37&lt;=K$30,"",ROUND(SUMPRODUCT($C$18:$G$18,1/(1+$B37)^{1,2,3,4,5})+G18*(1+K$30)/($B37-K$30)/(1+$B37)^5,0))</f>
        <v>279</v>
      </c>
    </row>
    <row r="38" spans="2:11" ht="14" x14ac:dyDescent="0.3">
      <c r="B38" s="44">
        <v>6.9500000000000006E-2</v>
      </c>
      <c r="C38" s="33">
        <f>IF($B38&lt;=C$30,"",ROUND(SUMPRODUCT($C$18:$G$18,1/(1+$B38)^{1,2,3,4,5})+G18*(1+C$30)/($B38-C$30)/(1+$B38)^5,0))</f>
        <v>194</v>
      </c>
      <c r="D38" s="33">
        <f>IF($B38&lt;=D$30,"",ROUND(SUMPRODUCT($C$18:$G$18,1/(1+$B38)^{1,2,3,4,5})+G18*(1+D$30)/($B38-D$30)/(1+$B38)^5,0))</f>
        <v>200</v>
      </c>
      <c r="E38" s="33">
        <f>IF($B38&lt;=E$30,"",ROUND(SUMPRODUCT($C$18:$G$18,1/(1+$B38)^{1,2,3,4,5})+G18*(1+E$30)/($B38-E$30)/(1+$B38)^5,0))</f>
        <v>207</v>
      </c>
      <c r="F38" s="33">
        <f>IF($B38&lt;=F$30,"",ROUND(SUMPRODUCT($C$18:$G$18,1/(1+$B38)^{1,2,3,4,5})+G18*(1+F$30)/($B38-F$30)/(1+$B38)^5,0))</f>
        <v>214</v>
      </c>
      <c r="G38" s="33">
        <f>IF($B38&lt;=G$30,"",ROUND(SUMPRODUCT($C$18:$G$18,1/(1+$B38)^{1,2,3,4,5})+G18*(1+G$30)/($B38-G$30)/(1+$B38)^5,0))</f>
        <v>222</v>
      </c>
      <c r="H38" s="33">
        <f>IF($B38&lt;=H$30,"",ROUND(SUMPRODUCT($C$18:$G$18,1/(1+$B38)^{1,2,3,4,5})+G18*(1+H$30)/($B38-H$30)/(1+$B38)^5,0))</f>
        <v>231</v>
      </c>
      <c r="I38" s="33">
        <f>IF($B38&lt;=I$30,"",ROUND(SUMPRODUCT($C$18:$G$18,1/(1+$B38)^{1,2,3,4,5})+G18*(1+I$30)/($B38-I$30)/(1+$B38)^5,0))</f>
        <v>240</v>
      </c>
      <c r="J38" s="33">
        <f>IF($B38&lt;=J$30,"",ROUND(SUMPRODUCT($C$18:$G$18,1/(1+$B38)^{1,2,3,4,5})+G18*(1+J$30)/($B38-J$30)/(1+$B38)^5,0))</f>
        <v>251</v>
      </c>
      <c r="K38" s="33">
        <f>IF($B38&lt;=K$30,"",ROUND(SUMPRODUCT($C$18:$G$18,1/(1+$B38)^{1,2,3,4,5})+G18*(1+K$30)/($B38-K$30)/(1+$B38)^5,0))</f>
        <v>263</v>
      </c>
    </row>
    <row r="39" spans="2:11" ht="14" x14ac:dyDescent="0.3">
      <c r="B39" s="44">
        <v>7.1999999999999995E-2</v>
      </c>
      <c r="C39" s="33">
        <f>IF($B39&lt;=C$30,"",ROUND(SUMPRODUCT($C$18:$G$18,1/(1+$B39)^{1,2,3,4,5})+G18*(1+C$30)/($B39-C$30)/(1+$B39)^5,0))</f>
        <v>186</v>
      </c>
      <c r="D39" s="33">
        <f>IF($B39&lt;=D$30,"",ROUND(SUMPRODUCT($C$18:$G$18,1/(1+$B39)^{1,2,3,4,5})+G18*(1+D$30)/($B39-D$30)/(1+$B39)^5,0))</f>
        <v>192</v>
      </c>
      <c r="E39" s="33">
        <f>IF($B39&lt;=E$30,"",ROUND(SUMPRODUCT($C$18:$G$18,1/(1+$B39)^{1,2,3,4,5})+G18*(1+E$30)/($B39-E$30)/(1+$B39)^5,0))</f>
        <v>198</v>
      </c>
      <c r="F39" s="33">
        <f>IF($B39&lt;=F$30,"",ROUND(SUMPRODUCT($C$18:$G$18,1/(1+$B39)^{1,2,3,4,5})+G18*(1+F$30)/($B39-F$30)/(1+$B39)^5,0))</f>
        <v>205</v>
      </c>
      <c r="G39" s="33">
        <f>IF($B39&lt;=G$30,"",ROUND(SUMPRODUCT($C$18:$G$18,1/(1+$B39)^{1,2,3,4,5})+G18*(1+G$30)/($B39-G$30)/(1+$B39)^5,0))</f>
        <v>212</v>
      </c>
      <c r="H39" s="33">
        <f>IF($B39&lt;=H$30,"",ROUND(SUMPRODUCT($C$18:$G$18,1/(1+$B39)^{1,2,3,4,5})+G18*(1+H$30)/($B39-H$30)/(1+$B39)^5,0))</f>
        <v>220</v>
      </c>
      <c r="I39" s="33">
        <f>IF($B39&lt;=I$30,"",ROUND(SUMPRODUCT($C$18:$G$18,1/(1+$B39)^{1,2,3,4,5})+G18*(1+I$30)/($B39-I$30)/(1+$B39)^5,0))</f>
        <v>229</v>
      </c>
      <c r="J39" s="33">
        <f>IF($B39&lt;=J$30,"",ROUND(SUMPRODUCT($C$18:$G$18,1/(1+$B39)^{1,2,3,4,5})+G18*(1+J$30)/($B39-J$30)/(1+$B39)^5,0))</f>
        <v>238</v>
      </c>
      <c r="K39" s="33">
        <f>IF($B39&lt;=K$30,"",ROUND(SUMPRODUCT($C$18:$G$18,1/(1+$B39)^{1,2,3,4,5})+G18*(1+K$30)/($B39-K$30)/(1+$B39)^5,0))</f>
        <v>249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</sheetPr>
  <dimension ref="B2:H56"/>
  <sheetViews>
    <sheetView workbookViewId="0">
      <pane xSplit="2" ySplit="5" topLeftCell="C31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0" customWidth="1"/>
    <col min="3" max="11" width="13" customWidth="1"/>
  </cols>
  <sheetData>
    <row r="2" spans="2:8" ht="18" x14ac:dyDescent="0.4">
      <c r="B2" s="2" t="s">
        <v>190</v>
      </c>
    </row>
    <row r="3" spans="2:8" ht="14" x14ac:dyDescent="0.3">
      <c r="B3" s="1" t="s">
        <v>191</v>
      </c>
    </row>
    <row r="5" spans="2:8" ht="14" x14ac:dyDescent="0.3">
      <c r="B5" s="3" t="s">
        <v>175</v>
      </c>
    </row>
    <row r="6" spans="2:8" ht="14" x14ac:dyDescent="0.3">
      <c r="B6" s="4" t="s">
        <v>192</v>
      </c>
      <c r="C6" s="45">
        <v>280491</v>
      </c>
    </row>
    <row r="7" spans="2:8" ht="14" x14ac:dyDescent="0.3">
      <c r="B7" s="4" t="s">
        <v>160</v>
      </c>
      <c r="C7" s="15">
        <f>DDM!C$10</f>
        <v>1110000000</v>
      </c>
    </row>
    <row r="8" spans="2:8" ht="14" x14ac:dyDescent="0.3">
      <c r="B8" s="4" t="s">
        <v>193</v>
      </c>
      <c r="C8" s="46">
        <f>C6/C7*1000000</f>
        <v>252.69459459459463</v>
      </c>
    </row>
    <row r="9" spans="2:8" ht="14" x14ac:dyDescent="0.3">
      <c r="B9" s="4" t="s">
        <v>75</v>
      </c>
      <c r="C9" s="16">
        <f>DDM!C$9</f>
        <v>6.2E-2</v>
      </c>
    </row>
    <row r="10" spans="2:8" ht="14" x14ac:dyDescent="0.3">
      <c r="B10" s="4" t="s">
        <v>177</v>
      </c>
      <c r="C10" s="16">
        <f>DDM!C$12</f>
        <v>1.4999999999999999E-2</v>
      </c>
    </row>
    <row r="12" spans="2:8" ht="14" x14ac:dyDescent="0.3">
      <c r="B12" s="3" t="s">
        <v>194</v>
      </c>
    </row>
    <row r="13" spans="2:8" ht="14" x14ac:dyDescent="0.3">
      <c r="C13" s="10" t="s">
        <v>82</v>
      </c>
      <c r="D13" s="10" t="s">
        <v>83</v>
      </c>
      <c r="E13" s="10" t="s">
        <v>84</v>
      </c>
      <c r="F13" s="10" t="s">
        <v>85</v>
      </c>
      <c r="G13" s="10" t="s">
        <v>86</v>
      </c>
    </row>
    <row r="14" spans="2:8" ht="14" x14ac:dyDescent="0.3">
      <c r="B14" s="4" t="s">
        <v>143</v>
      </c>
      <c r="C14" s="47">
        <v>6.0999999999999999E-2</v>
      </c>
      <c r="D14" s="47">
        <v>6.5000000000000002E-2</v>
      </c>
      <c r="E14" s="47">
        <v>6.8000000000000005E-2</v>
      </c>
      <c r="F14" s="47">
        <v>7.0000000000000007E-2</v>
      </c>
      <c r="G14" s="47">
        <v>7.0000000000000007E-2</v>
      </c>
      <c r="H14" s="1" t="s">
        <v>195</v>
      </c>
    </row>
    <row r="16" spans="2:8" ht="14" x14ac:dyDescent="0.3">
      <c r="B16" s="3" t="s">
        <v>196</v>
      </c>
    </row>
    <row r="17" spans="2:7" ht="14" x14ac:dyDescent="0.3">
      <c r="B17" s="4"/>
      <c r="C17" s="48" t="s">
        <v>82</v>
      </c>
      <c r="D17" s="48" t="s">
        <v>83</v>
      </c>
      <c r="E17" s="48" t="s">
        <v>84</v>
      </c>
      <c r="F17" s="48" t="s">
        <v>85</v>
      </c>
      <c r="G17" s="48" t="s">
        <v>86</v>
      </c>
    </row>
    <row r="18" spans="2:7" ht="14" x14ac:dyDescent="0.3">
      <c r="B18" s="4" t="s">
        <v>197</v>
      </c>
      <c r="C18" s="5">
        <f>C14*$C$6</f>
        <v>17109.951000000001</v>
      </c>
      <c r="D18" s="5">
        <f>D14*C20</f>
        <v>18550.411814999999</v>
      </c>
      <c r="E18" s="5">
        <f>E14*D20</f>
        <v>19799.992671420001</v>
      </c>
      <c r="F18" s="5">
        <f>F14*E20</f>
        <v>20835.944884049401</v>
      </c>
      <c r="G18" s="5">
        <f>G14*F20</f>
        <v>21323.211025932858</v>
      </c>
    </row>
    <row r="19" spans="2:7" ht="14" x14ac:dyDescent="0.3">
      <c r="B19" s="4" t="s">
        <v>198</v>
      </c>
      <c r="C19" s="5">
        <f>DDM!C18*C7/1000000</f>
        <v>12210</v>
      </c>
      <c r="D19" s="5">
        <f>DDM!D18*C7/1000000</f>
        <v>12765</v>
      </c>
      <c r="E19" s="5">
        <f>DDM!E18*C7/1000000</f>
        <v>13320</v>
      </c>
      <c r="F19" s="5">
        <f>DDM!F18*C7/1000000</f>
        <v>13875</v>
      </c>
      <c r="G19" s="5">
        <f>DDM!G18*C7/1000000</f>
        <v>14430</v>
      </c>
    </row>
    <row r="20" spans="2:7" ht="14" x14ac:dyDescent="0.3">
      <c r="B20" s="4" t="s">
        <v>199</v>
      </c>
      <c r="C20" s="33">
        <f>$C$6+C18-C19</f>
        <v>285390.951</v>
      </c>
      <c r="D20" s="33">
        <f>C20+D18-D19</f>
        <v>291176.362815</v>
      </c>
      <c r="E20" s="33">
        <f>D20+E18-E19</f>
        <v>297656.35548641998</v>
      </c>
      <c r="F20" s="33">
        <f>E20+F18-F19</f>
        <v>304617.3003704694</v>
      </c>
      <c r="G20" s="33">
        <f>F20+G18-G19</f>
        <v>311510.51139640226</v>
      </c>
    </row>
    <row r="21" spans="2:7" ht="14" x14ac:dyDescent="0.3">
      <c r="B21" s="4" t="s">
        <v>200</v>
      </c>
      <c r="C21" s="5">
        <f>(C14-$C$9)*$C$6</f>
        <v>-280.49100000000027</v>
      </c>
      <c r="D21" s="5">
        <f>(D14-$C$9)*C20</f>
        <v>856.17285300000071</v>
      </c>
      <c r="E21" s="5">
        <f>(E14-$C$9)*D20</f>
        <v>1747.0581768900015</v>
      </c>
      <c r="F21" s="5">
        <f>(F14-$C$9)*E20</f>
        <v>2381.2508438913619</v>
      </c>
      <c r="G21" s="5">
        <f>(G14-$C$9)*F20</f>
        <v>2436.9384029637572</v>
      </c>
    </row>
    <row r="22" spans="2:7" ht="14" x14ac:dyDescent="0.3">
      <c r="B22" s="4" t="s">
        <v>201</v>
      </c>
      <c r="C22" s="5">
        <f>C21/(1+$C$9)^1</f>
        <v>-264.11581920903978</v>
      </c>
      <c r="D22" s="5">
        <f>D21/(1+$C$9)^2</f>
        <v>759.12347186313059</v>
      </c>
      <c r="E22" s="5">
        <f>E21/(1+$C$9)^3</f>
        <v>1458.5919654623481</v>
      </c>
      <c r="F22" s="5">
        <f>F21/(1+$C$9)^4</f>
        <v>1872.0053257511597</v>
      </c>
      <c r="G22" s="5">
        <f>G21/(1+$C$9)^5</f>
        <v>1803.9394999430865</v>
      </c>
    </row>
    <row r="24" spans="2:7" ht="14" x14ac:dyDescent="0.3">
      <c r="B24" s="3" t="s">
        <v>183</v>
      </c>
    </row>
    <row r="25" spans="2:7" ht="14" x14ac:dyDescent="0.3">
      <c r="B25" s="4" t="s">
        <v>202</v>
      </c>
      <c r="C25" s="5">
        <f>SUM(C22:G22)</f>
        <v>5629.5444438106852</v>
      </c>
    </row>
    <row r="26" spans="2:7" ht="14" x14ac:dyDescent="0.3">
      <c r="B26" s="4" t="s">
        <v>203</v>
      </c>
      <c r="C26" s="5">
        <f>G21*(1+$C$10)/($C$9-$C$10)</f>
        <v>52627.499553366237</v>
      </c>
    </row>
    <row r="27" spans="2:7" ht="14" x14ac:dyDescent="0.3">
      <c r="B27" s="4" t="s">
        <v>204</v>
      </c>
      <c r="C27" s="5">
        <f>C26/(1+$C$9)^5</f>
        <v>38957.416860473029</v>
      </c>
    </row>
    <row r="28" spans="2:7" ht="14" x14ac:dyDescent="0.3">
      <c r="B28" s="41" t="s">
        <v>205</v>
      </c>
      <c r="C28" s="42">
        <f>C6+C25+C27</f>
        <v>325077.96130428376</v>
      </c>
    </row>
    <row r="29" spans="2:7" ht="14" x14ac:dyDescent="0.3">
      <c r="B29" s="41" t="s">
        <v>186</v>
      </c>
      <c r="C29" s="42">
        <f>ROUND(C28/C7*1000000,0)</f>
        <v>293</v>
      </c>
    </row>
    <row r="30" spans="2:7" ht="14" x14ac:dyDescent="0.3">
      <c r="B30" s="4" t="s">
        <v>187</v>
      </c>
      <c r="C30" s="7">
        <f>C29/DDM!C$11-1</f>
        <v>-0.10397553516819569</v>
      </c>
    </row>
    <row r="32" spans="2:7" ht="14" x14ac:dyDescent="0.3">
      <c r="B32" s="1" t="s">
        <v>206</v>
      </c>
    </row>
    <row r="34" spans="2:7" ht="14" x14ac:dyDescent="0.3">
      <c r="B34" s="3" t="s">
        <v>207</v>
      </c>
    </row>
    <row r="35" spans="2:7" ht="14" x14ac:dyDescent="0.3">
      <c r="B35" s="4" t="s">
        <v>208</v>
      </c>
      <c r="C35" s="43">
        <v>5.1999999999999998E-2</v>
      </c>
      <c r="D35" s="43">
        <v>5.7000000000000002E-2</v>
      </c>
      <c r="E35" s="43">
        <v>6.2E-2</v>
      </c>
      <c r="F35" s="43">
        <v>6.7000000000000004E-2</v>
      </c>
      <c r="G35" s="43">
        <v>7.1999999999999995E-2</v>
      </c>
    </row>
    <row r="36" spans="2:7" ht="14" x14ac:dyDescent="0.3">
      <c r="B36" s="49">
        <v>4.4999999999999998E-2</v>
      </c>
      <c r="C36" s="34">
        <f t="shared" ref="C36:G44" si="0">IF(C$35&lt;=$C$10,"",ROUND(($B36-$C$10)/(C$35-$C$10),2))</f>
        <v>0.81</v>
      </c>
      <c r="D36" s="34">
        <f t="shared" si="0"/>
        <v>0.71</v>
      </c>
      <c r="E36" s="34">
        <f t="shared" si="0"/>
        <v>0.64</v>
      </c>
      <c r="F36" s="34">
        <f t="shared" si="0"/>
        <v>0.57999999999999996</v>
      </c>
      <c r="G36" s="34">
        <f t="shared" si="0"/>
        <v>0.53</v>
      </c>
    </row>
    <row r="37" spans="2:7" ht="14" x14ac:dyDescent="0.3">
      <c r="B37" s="49">
        <v>0.05</v>
      </c>
      <c r="C37" s="34">
        <f t="shared" si="0"/>
        <v>0.95</v>
      </c>
      <c r="D37" s="34">
        <f t="shared" si="0"/>
        <v>0.83</v>
      </c>
      <c r="E37" s="34">
        <f t="shared" si="0"/>
        <v>0.74</v>
      </c>
      <c r="F37" s="34">
        <f t="shared" si="0"/>
        <v>0.67</v>
      </c>
      <c r="G37" s="34">
        <f t="shared" si="0"/>
        <v>0.61</v>
      </c>
    </row>
    <row r="38" spans="2:7" ht="14" x14ac:dyDescent="0.3">
      <c r="B38" s="49">
        <v>5.5E-2</v>
      </c>
      <c r="C38" s="34">
        <f t="shared" si="0"/>
        <v>1.08</v>
      </c>
      <c r="D38" s="34">
        <f t="shared" si="0"/>
        <v>0.95</v>
      </c>
      <c r="E38" s="34">
        <f t="shared" si="0"/>
        <v>0.85</v>
      </c>
      <c r="F38" s="34">
        <f t="shared" si="0"/>
        <v>0.77</v>
      </c>
      <c r="G38" s="34">
        <f t="shared" si="0"/>
        <v>0.7</v>
      </c>
    </row>
    <row r="39" spans="2:7" ht="14" x14ac:dyDescent="0.3">
      <c r="B39" s="49">
        <v>0.06</v>
      </c>
      <c r="C39" s="34">
        <f t="shared" si="0"/>
        <v>1.22</v>
      </c>
      <c r="D39" s="34">
        <f t="shared" si="0"/>
        <v>1.07</v>
      </c>
      <c r="E39" s="34">
        <f t="shared" si="0"/>
        <v>0.96</v>
      </c>
      <c r="F39" s="34">
        <f t="shared" si="0"/>
        <v>0.87</v>
      </c>
      <c r="G39" s="34">
        <f t="shared" si="0"/>
        <v>0.79</v>
      </c>
    </row>
    <row r="40" spans="2:7" ht="14" x14ac:dyDescent="0.3">
      <c r="B40" s="49">
        <v>6.5000000000000002E-2</v>
      </c>
      <c r="C40" s="34">
        <f t="shared" si="0"/>
        <v>1.35</v>
      </c>
      <c r="D40" s="34">
        <f t="shared" si="0"/>
        <v>1.19</v>
      </c>
      <c r="E40" s="34">
        <f t="shared" si="0"/>
        <v>1.06</v>
      </c>
      <c r="F40" s="34">
        <f t="shared" si="0"/>
        <v>0.96</v>
      </c>
      <c r="G40" s="34">
        <f t="shared" si="0"/>
        <v>0.88</v>
      </c>
    </row>
    <row r="41" spans="2:7" ht="14" x14ac:dyDescent="0.3">
      <c r="B41" s="49">
        <v>7.0000000000000007E-2</v>
      </c>
      <c r="C41" s="34">
        <f t="shared" si="0"/>
        <v>1.49</v>
      </c>
      <c r="D41" s="34">
        <f t="shared" si="0"/>
        <v>1.31</v>
      </c>
      <c r="E41" s="34">
        <f t="shared" si="0"/>
        <v>1.17</v>
      </c>
      <c r="F41" s="34">
        <f t="shared" si="0"/>
        <v>1.06</v>
      </c>
      <c r="G41" s="34">
        <f t="shared" si="0"/>
        <v>0.96</v>
      </c>
    </row>
    <row r="42" spans="2:7" ht="14" x14ac:dyDescent="0.3">
      <c r="B42" s="49">
        <v>7.4999999999999997E-2</v>
      </c>
      <c r="C42" s="34">
        <f t="shared" si="0"/>
        <v>1.62</v>
      </c>
      <c r="D42" s="34">
        <f t="shared" si="0"/>
        <v>1.43</v>
      </c>
      <c r="E42" s="34">
        <f t="shared" si="0"/>
        <v>1.28</v>
      </c>
      <c r="F42" s="34">
        <f t="shared" si="0"/>
        <v>1.1499999999999999</v>
      </c>
      <c r="G42" s="34">
        <f t="shared" si="0"/>
        <v>1.05</v>
      </c>
    </row>
    <row r="43" spans="2:7" ht="14" x14ac:dyDescent="0.3">
      <c r="B43" s="49">
        <v>0.08</v>
      </c>
      <c r="C43" s="34">
        <f t="shared" si="0"/>
        <v>1.76</v>
      </c>
      <c r="D43" s="34">
        <f t="shared" si="0"/>
        <v>1.55</v>
      </c>
      <c r="E43" s="34">
        <f t="shared" si="0"/>
        <v>1.38</v>
      </c>
      <c r="F43" s="34">
        <f t="shared" si="0"/>
        <v>1.25</v>
      </c>
      <c r="G43" s="34">
        <f t="shared" si="0"/>
        <v>1.1399999999999999</v>
      </c>
    </row>
    <row r="44" spans="2:7" ht="14" x14ac:dyDescent="0.3">
      <c r="B44" s="49">
        <v>8.4999999999999992E-2</v>
      </c>
      <c r="C44" s="34">
        <f t="shared" si="0"/>
        <v>1.89</v>
      </c>
      <c r="D44" s="34">
        <f t="shared" si="0"/>
        <v>1.67</v>
      </c>
      <c r="E44" s="34">
        <f t="shared" si="0"/>
        <v>1.49</v>
      </c>
      <c r="F44" s="34">
        <f t="shared" si="0"/>
        <v>1.35</v>
      </c>
      <c r="G44" s="34">
        <f t="shared" si="0"/>
        <v>1.23</v>
      </c>
    </row>
    <row r="46" spans="2:7" ht="14" x14ac:dyDescent="0.3">
      <c r="B46" s="4" t="s">
        <v>209</v>
      </c>
    </row>
    <row r="47" spans="2:7" ht="14" x14ac:dyDescent="0.3">
      <c r="B47" s="4" t="s">
        <v>208</v>
      </c>
      <c r="C47" s="43">
        <v>5.1999999999999998E-2</v>
      </c>
      <c r="D47" s="43">
        <v>5.7000000000000002E-2</v>
      </c>
      <c r="E47" s="43">
        <v>6.2E-2</v>
      </c>
      <c r="F47" s="43">
        <v>6.7000000000000004E-2</v>
      </c>
      <c r="G47" s="43">
        <v>7.1999999999999995E-2</v>
      </c>
    </row>
    <row r="48" spans="2:7" ht="14" x14ac:dyDescent="0.3">
      <c r="B48" s="49">
        <v>4.4999999999999998E-2</v>
      </c>
      <c r="C48" s="33">
        <f t="shared" ref="C48:G56" si="1">IF(C36="","",ROUND(C36*$C$8,0))</f>
        <v>205</v>
      </c>
      <c r="D48" s="33">
        <f t="shared" si="1"/>
        <v>179</v>
      </c>
      <c r="E48" s="33">
        <f t="shared" si="1"/>
        <v>162</v>
      </c>
      <c r="F48" s="33">
        <f t="shared" si="1"/>
        <v>147</v>
      </c>
      <c r="G48" s="33">
        <f t="shared" si="1"/>
        <v>134</v>
      </c>
    </row>
    <row r="49" spans="2:7" ht="14" x14ac:dyDescent="0.3">
      <c r="B49" s="49">
        <v>0.05</v>
      </c>
      <c r="C49" s="33">
        <f t="shared" si="1"/>
        <v>240</v>
      </c>
      <c r="D49" s="33">
        <f t="shared" si="1"/>
        <v>210</v>
      </c>
      <c r="E49" s="33">
        <f t="shared" si="1"/>
        <v>187</v>
      </c>
      <c r="F49" s="33">
        <f t="shared" si="1"/>
        <v>169</v>
      </c>
      <c r="G49" s="33">
        <f t="shared" si="1"/>
        <v>154</v>
      </c>
    </row>
    <row r="50" spans="2:7" ht="14" x14ac:dyDescent="0.3">
      <c r="B50" s="49">
        <v>5.5E-2</v>
      </c>
      <c r="C50" s="33">
        <f t="shared" si="1"/>
        <v>273</v>
      </c>
      <c r="D50" s="33">
        <f t="shared" si="1"/>
        <v>240</v>
      </c>
      <c r="E50" s="33">
        <f t="shared" si="1"/>
        <v>215</v>
      </c>
      <c r="F50" s="33">
        <f t="shared" si="1"/>
        <v>195</v>
      </c>
      <c r="G50" s="33">
        <f t="shared" si="1"/>
        <v>177</v>
      </c>
    </row>
    <row r="51" spans="2:7" ht="14" x14ac:dyDescent="0.3">
      <c r="B51" s="49">
        <v>0.06</v>
      </c>
      <c r="C51" s="33">
        <f t="shared" si="1"/>
        <v>308</v>
      </c>
      <c r="D51" s="33">
        <f t="shared" si="1"/>
        <v>270</v>
      </c>
      <c r="E51" s="33">
        <f t="shared" si="1"/>
        <v>243</v>
      </c>
      <c r="F51" s="33">
        <f t="shared" si="1"/>
        <v>220</v>
      </c>
      <c r="G51" s="33">
        <f t="shared" si="1"/>
        <v>200</v>
      </c>
    </row>
    <row r="52" spans="2:7" ht="14" x14ac:dyDescent="0.3">
      <c r="B52" s="49">
        <v>6.5000000000000002E-2</v>
      </c>
      <c r="C52" s="33">
        <f t="shared" si="1"/>
        <v>341</v>
      </c>
      <c r="D52" s="33">
        <f t="shared" si="1"/>
        <v>301</v>
      </c>
      <c r="E52" s="33">
        <f t="shared" si="1"/>
        <v>268</v>
      </c>
      <c r="F52" s="33">
        <f t="shared" si="1"/>
        <v>243</v>
      </c>
      <c r="G52" s="33">
        <f t="shared" si="1"/>
        <v>222</v>
      </c>
    </row>
    <row r="53" spans="2:7" ht="14" x14ac:dyDescent="0.3">
      <c r="B53" s="49">
        <v>7.0000000000000007E-2</v>
      </c>
      <c r="C53" s="33">
        <f t="shared" si="1"/>
        <v>377</v>
      </c>
      <c r="D53" s="33">
        <f t="shared" si="1"/>
        <v>331</v>
      </c>
      <c r="E53" s="33">
        <f t="shared" si="1"/>
        <v>296</v>
      </c>
      <c r="F53" s="33">
        <f t="shared" si="1"/>
        <v>268</v>
      </c>
      <c r="G53" s="33">
        <f t="shared" si="1"/>
        <v>243</v>
      </c>
    </row>
    <row r="54" spans="2:7" ht="14" x14ac:dyDescent="0.3">
      <c r="B54" s="49">
        <v>7.4999999999999997E-2</v>
      </c>
      <c r="C54" s="33">
        <f t="shared" si="1"/>
        <v>409</v>
      </c>
      <c r="D54" s="33">
        <f t="shared" si="1"/>
        <v>361</v>
      </c>
      <c r="E54" s="33">
        <f t="shared" si="1"/>
        <v>323</v>
      </c>
      <c r="F54" s="33">
        <f t="shared" si="1"/>
        <v>291</v>
      </c>
      <c r="G54" s="33">
        <f t="shared" si="1"/>
        <v>265</v>
      </c>
    </row>
    <row r="55" spans="2:7" ht="14" x14ac:dyDescent="0.3">
      <c r="B55" s="49">
        <v>0.08</v>
      </c>
      <c r="C55" s="33">
        <f t="shared" si="1"/>
        <v>445</v>
      </c>
      <c r="D55" s="33">
        <f t="shared" si="1"/>
        <v>392</v>
      </c>
      <c r="E55" s="33">
        <f t="shared" si="1"/>
        <v>349</v>
      </c>
      <c r="F55" s="33">
        <f t="shared" si="1"/>
        <v>316</v>
      </c>
      <c r="G55" s="33">
        <f t="shared" si="1"/>
        <v>288</v>
      </c>
    </row>
    <row r="56" spans="2:7" ht="14" x14ac:dyDescent="0.3">
      <c r="B56" s="49">
        <v>8.4999999999999992E-2</v>
      </c>
      <c r="C56" s="33">
        <f t="shared" si="1"/>
        <v>478</v>
      </c>
      <c r="D56" s="33">
        <f t="shared" si="1"/>
        <v>422</v>
      </c>
      <c r="E56" s="33">
        <f t="shared" si="1"/>
        <v>377</v>
      </c>
      <c r="F56" s="33">
        <f t="shared" si="1"/>
        <v>341</v>
      </c>
      <c r="G56" s="33">
        <f t="shared" si="1"/>
        <v>311</v>
      </c>
    </row>
  </sheetData>
  <phoneticPr fontId="9"/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700-000001000000}">
            <xm:f>ABS(C36-(DDM!C$11*C7/1000000/C6))&lt;0.05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C36:G44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DDM</vt:lpstr>
      <vt:lpstr>Residual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2026-07-30T02:57:35Z</dcterms:created>
  <dcterms:modified xsi:type="dcterms:W3CDTF">2026-07-30T03:14:59Z</dcterms:modified>
</cp:coreProperties>
</file>