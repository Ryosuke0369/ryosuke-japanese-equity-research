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F7CEB91A-FB20-4D0A-9011-E8EA8F9B971C}"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I16" i="6"/>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D5" i="6"/>
  <c r="M5" i="6" s="1"/>
  <c r="C16" i="5"/>
  <c r="C14" i="5"/>
  <c r="C18" i="5" s="1"/>
  <c r="C7" i="5"/>
  <c r="C6" i="5"/>
  <c r="C5" i="5"/>
  <c r="C13" i="4"/>
  <c r="C12" i="4"/>
  <c r="C9" i="4"/>
  <c r="C7" i="4"/>
  <c r="C6" i="4"/>
  <c r="C8" i="4" s="1"/>
  <c r="C10" i="4" s="1"/>
  <c r="D27" i="3"/>
  <c r="G5" i="5" s="1"/>
  <c r="C25" i="3"/>
  <c r="C24" i="3"/>
  <c r="C23" i="3"/>
  <c r="F16" i="2"/>
  <c r="E16" i="2"/>
  <c r="D16" i="2"/>
  <c r="F15" i="2"/>
  <c r="E15" i="2"/>
  <c r="D15" i="2"/>
  <c r="F14" i="2"/>
  <c r="E14" i="2"/>
  <c r="D14" i="2"/>
  <c r="C14" i="2"/>
  <c r="F13" i="2"/>
  <c r="E13" i="2"/>
  <c r="D13" i="2"/>
  <c r="C13" i="2"/>
  <c r="E9" i="2"/>
  <c r="F8" i="2"/>
  <c r="F9" i="2" s="1"/>
  <c r="E8" i="2"/>
  <c r="D8" i="2"/>
  <c r="D9" i="2" s="1"/>
  <c r="C8" i="2"/>
  <c r="C9" i="2" s="1"/>
  <c r="F15" i="6" l="1"/>
  <c r="G16" i="6"/>
  <c r="H15" i="6"/>
  <c r="E5" i="6"/>
  <c r="J5" i="6" s="1"/>
  <c r="I17" i="6"/>
  <c r="C26" i="3"/>
  <c r="C11" i="4" s="1"/>
  <c r="C24" i="4" s="1"/>
  <c r="C25" i="4" s="1"/>
  <c r="G15" i="6"/>
  <c r="E15" i="6"/>
  <c r="C71" i="4"/>
  <c r="C70" i="4"/>
  <c r="C3" i="7"/>
  <c r="G36" i="4"/>
  <c r="G46" i="3"/>
  <c r="D36" i="4"/>
  <c r="D46" i="3"/>
  <c r="B25" i="1"/>
  <c r="F46" i="3"/>
  <c r="E46" i="3"/>
  <c r="F36" i="4"/>
  <c r="C31" i="3"/>
  <c r="F32" i="3"/>
  <c r="H5" i="5"/>
  <c r="D7" i="5"/>
  <c r="K5" i="6"/>
  <c r="I15" i="6"/>
  <c r="E17" i="6"/>
  <c r="I6" i="7"/>
  <c r="C32" i="3"/>
  <c r="D32" i="3"/>
  <c r="H6" i="5"/>
  <c r="D31" i="3"/>
  <c r="G32" i="3"/>
  <c r="E7" i="5"/>
  <c r="L5" i="6"/>
  <c r="D16" i="6"/>
  <c r="F17" i="6"/>
  <c r="C17" i="7"/>
  <c r="E31" i="3"/>
  <c r="D6" i="5"/>
  <c r="F7" i="5"/>
  <c r="E16" i="6"/>
  <c r="G17" i="6"/>
  <c r="C6" i="7"/>
  <c r="D17" i="7"/>
  <c r="C30" i="3"/>
  <c r="C33" i="3" s="1"/>
  <c r="F31" i="3"/>
  <c r="E6" i="5"/>
  <c r="G7" i="5"/>
  <c r="D15" i="6"/>
  <c r="F16" i="6"/>
  <c r="C28" i="6" s="1"/>
  <c r="C19" i="1" s="1"/>
  <c r="D19" i="1" s="1"/>
  <c r="H17" i="6"/>
  <c r="D6" i="7"/>
  <c r="E17" i="7"/>
  <c r="E30" i="3"/>
  <c r="F30" i="3"/>
  <c r="F5" i="5"/>
  <c r="D30" i="3"/>
  <c r="G31" i="3"/>
  <c r="D5" i="5"/>
  <c r="F6" i="5"/>
  <c r="H7" i="5"/>
  <c r="E6" i="7"/>
  <c r="F17" i="7"/>
  <c r="E5" i="5"/>
  <c r="G6" i="5"/>
  <c r="H16" i="6"/>
  <c r="F6" i="7"/>
  <c r="G17" i="7"/>
  <c r="G6" i="7"/>
  <c r="H17" i="7"/>
  <c r="G30" i="3"/>
  <c r="E32" i="3"/>
  <c r="H36" i="4" l="1"/>
  <c r="H38" i="4" s="1"/>
  <c r="E36" i="4"/>
  <c r="C46" i="3"/>
  <c r="C29" i="4"/>
  <c r="C27" i="4"/>
  <c r="C26" i="4"/>
  <c r="C42" i="3"/>
  <c r="C34" i="3"/>
  <c r="D10" i="5" s="1"/>
  <c r="D9" i="5"/>
  <c r="D12" i="5" s="1"/>
  <c r="C43" i="3"/>
  <c r="C37" i="3"/>
  <c r="D33" i="3"/>
  <c r="C27" i="6"/>
  <c r="C18" i="1" s="1"/>
  <c r="D18" i="1" s="1"/>
  <c r="C74" i="4"/>
  <c r="D45" i="4"/>
  <c r="D43" i="4"/>
  <c r="D46" i="4"/>
  <c r="D39" i="4"/>
  <c r="D40" i="4"/>
  <c r="D44" i="4"/>
  <c r="D38" i="4"/>
  <c r="D41" i="4"/>
  <c r="B31" i="1"/>
  <c r="B24" i="1"/>
  <c r="H40" i="4"/>
  <c r="E39" i="4"/>
  <c r="E49" i="4" s="1"/>
  <c r="E54" i="4" s="1"/>
  <c r="E46" i="4"/>
  <c r="E40" i="4"/>
  <c r="E43" i="4"/>
  <c r="E44" i="4"/>
  <c r="E38" i="4"/>
  <c r="E48" i="4" s="1"/>
  <c r="E53" i="4" s="1"/>
  <c r="E41" i="4"/>
  <c r="E51" i="4" s="1"/>
  <c r="E56" i="4" s="1"/>
  <c r="E45" i="4"/>
  <c r="F43" i="4"/>
  <c r="F40" i="4"/>
  <c r="F44" i="4"/>
  <c r="F46" i="4"/>
  <c r="F38" i="4"/>
  <c r="F41" i="4"/>
  <c r="F51" i="4" s="1"/>
  <c r="F56" i="4" s="1"/>
  <c r="F45" i="4"/>
  <c r="F39" i="4"/>
  <c r="F49" i="4" s="1"/>
  <c r="G46" i="4"/>
  <c r="G44" i="4"/>
  <c r="G38" i="4"/>
  <c r="G41" i="4"/>
  <c r="G45" i="4"/>
  <c r="G39" i="4"/>
  <c r="G49" i="4" s="1"/>
  <c r="G54" i="4" s="1"/>
  <c r="G40" i="4"/>
  <c r="G50" i="4" s="1"/>
  <c r="G55" i="4" s="1"/>
  <c r="G43" i="4"/>
  <c r="B13" i="7"/>
  <c r="B12" i="7"/>
  <c r="B11" i="7"/>
  <c r="B10" i="7"/>
  <c r="B9" i="7"/>
  <c r="B8" i="7"/>
  <c r="B7" i="7"/>
  <c r="B24" i="7"/>
  <c r="B23" i="7"/>
  <c r="B22" i="7"/>
  <c r="B21" i="7"/>
  <c r="B20" i="7"/>
  <c r="B19" i="7"/>
  <c r="B18" i="7"/>
  <c r="H43" i="4" l="1"/>
  <c r="H44" i="4"/>
  <c r="H45" i="4"/>
  <c r="D48" i="4"/>
  <c r="D53" i="4" s="1"/>
  <c r="H41" i="4"/>
  <c r="H50" i="4"/>
  <c r="H55" i="4" s="1"/>
  <c r="H46" i="4"/>
  <c r="H51" i="4" s="1"/>
  <c r="H56" i="4" s="1"/>
  <c r="H39" i="4"/>
  <c r="H49" i="4" s="1"/>
  <c r="H54" i="4" s="1"/>
  <c r="D51" i="4"/>
  <c r="D56" i="4" s="1"/>
  <c r="F48" i="4"/>
  <c r="F53" i="4" s="1"/>
  <c r="D15" i="5"/>
  <c r="D16" i="5" s="1"/>
  <c r="D13" i="5"/>
  <c r="G51" i="4"/>
  <c r="G56" i="4" s="1"/>
  <c r="D37" i="3"/>
  <c r="E33" i="3"/>
  <c r="E9" i="5"/>
  <c r="E12" i="5" s="1"/>
  <c r="D43" i="3"/>
  <c r="D42" i="3"/>
  <c r="D34" i="3"/>
  <c r="E10" i="5" s="1"/>
  <c r="G48" i="4"/>
  <c r="G53" i="4" s="1"/>
  <c r="E50" i="4"/>
  <c r="E55" i="4" s="1"/>
  <c r="D50" i="4"/>
  <c r="D55" i="4" s="1"/>
  <c r="F50" i="4"/>
  <c r="F55" i="4" s="1"/>
  <c r="H48" i="4"/>
  <c r="H53" i="4" s="1"/>
  <c r="D49" i="4"/>
  <c r="D54" i="4" s="1"/>
  <c r="C35" i="3"/>
  <c r="F54" i="4"/>
  <c r="C60" i="4"/>
  <c r="B78" i="4"/>
  <c r="D14" i="5"/>
  <c r="D18" i="5" s="1"/>
  <c r="D19" i="5" s="1"/>
  <c r="C44" i="3" s="1"/>
  <c r="E13" i="5" l="1"/>
  <c r="E14" i="5" s="1"/>
  <c r="E18" i="5" s="1"/>
  <c r="E19" i="5" s="1"/>
  <c r="D44" i="3" s="1"/>
  <c r="E15" i="5"/>
  <c r="E16" i="5" s="1"/>
  <c r="F9" i="5"/>
  <c r="F12" i="5" s="1"/>
  <c r="E43" i="3"/>
  <c r="F33" i="3"/>
  <c r="E42" i="3"/>
  <c r="E34" i="3"/>
  <c r="F10" i="5" s="1"/>
  <c r="E35" i="3"/>
  <c r="E37" i="3"/>
  <c r="D35" i="3"/>
  <c r="C64" i="4"/>
  <c r="D64" i="4" s="1"/>
  <c r="C65" i="4"/>
  <c r="D65" i="4" s="1"/>
  <c r="C67" i="4"/>
  <c r="D67" i="4" s="1"/>
  <c r="C63" i="4"/>
  <c r="D63" i="4" s="1"/>
  <c r="C66" i="4"/>
  <c r="D66" i="4" s="1"/>
  <c r="C38" i="3"/>
  <c r="C36" i="3"/>
  <c r="C39" i="3"/>
  <c r="F14" i="5" l="1"/>
  <c r="F18" i="5" s="1"/>
  <c r="F19" i="5" s="1"/>
  <c r="E44" i="3" s="1"/>
  <c r="E36" i="3"/>
  <c r="E39" i="3"/>
  <c r="E38" i="3"/>
  <c r="F13" i="5"/>
  <c r="F15" i="5"/>
  <c r="F16" i="5" s="1"/>
  <c r="C40" i="3"/>
  <c r="C41" i="3" s="1"/>
  <c r="C45" i="3" s="1"/>
  <c r="F43" i="3"/>
  <c r="F35" i="3"/>
  <c r="G33" i="3"/>
  <c r="F42" i="3"/>
  <c r="F34" i="3"/>
  <c r="G10" i="5" s="1"/>
  <c r="F37" i="3"/>
  <c r="G9" i="5"/>
  <c r="G12" i="5" s="1"/>
  <c r="D38" i="3"/>
  <c r="D36" i="3"/>
  <c r="D39" i="3"/>
  <c r="C47" i="3" l="1"/>
  <c r="G42" i="3"/>
  <c r="G34" i="3"/>
  <c r="H10" i="5" s="1"/>
  <c r="C16" i="4"/>
  <c r="C28" i="4" s="1"/>
  <c r="G37" i="3"/>
  <c r="H9" i="5"/>
  <c r="H12" i="5" s="1"/>
  <c r="G43" i="3"/>
  <c r="G35" i="3"/>
  <c r="D40" i="3"/>
  <c r="D41" i="3" s="1"/>
  <c r="D45" i="3" s="1"/>
  <c r="E40" i="3"/>
  <c r="E41" i="3"/>
  <c r="E45" i="3" s="1"/>
  <c r="E47" i="3" s="1"/>
  <c r="F36" i="3"/>
  <c r="F39" i="3"/>
  <c r="F38" i="3"/>
  <c r="G13" i="5"/>
  <c r="G14" i="5" s="1"/>
  <c r="G15" i="5"/>
  <c r="G16" i="5" s="1"/>
  <c r="G18" i="5" l="1"/>
  <c r="G19" i="5" s="1"/>
  <c r="F44" i="3" s="1"/>
  <c r="D47" i="3"/>
  <c r="F40" i="3"/>
  <c r="F41" i="3" s="1"/>
  <c r="F45" i="3" s="1"/>
  <c r="F47" i="3" s="1"/>
  <c r="H15" i="5"/>
  <c r="H16" i="5" s="1"/>
  <c r="H13" i="5"/>
  <c r="H14" i="5" s="1"/>
  <c r="H18" i="5" s="1"/>
  <c r="H19" i="5" s="1"/>
  <c r="G44" i="3" s="1"/>
  <c r="G38" i="3"/>
  <c r="G39" i="3"/>
  <c r="G36" i="3"/>
  <c r="C72" i="4"/>
  <c r="C73" i="4"/>
  <c r="C59" i="3" l="1"/>
  <c r="C60" i="3" s="1"/>
  <c r="C61" i="3" s="1"/>
  <c r="G40" i="3"/>
  <c r="G41" i="3" s="1"/>
  <c r="G45" i="3" s="1"/>
  <c r="G47" i="3" l="1"/>
  <c r="C50" i="3" s="1"/>
  <c r="C51" i="3"/>
  <c r="C52" i="3" s="1"/>
  <c r="H18" i="7"/>
  <c r="F20" i="7"/>
  <c r="I10" i="7"/>
  <c r="D11" i="7"/>
  <c r="G10" i="7"/>
  <c r="H24" i="7"/>
  <c r="D13" i="7"/>
  <c r="I18" i="7"/>
  <c r="I9" i="7"/>
  <c r="D10" i="7"/>
  <c r="D9" i="7"/>
  <c r="C8" i="7"/>
  <c r="E9" i="7"/>
  <c r="F12" i="7"/>
  <c r="G24" i="7"/>
  <c r="G11" i="7"/>
  <c r="E23" i="7"/>
  <c r="E24" i="7"/>
  <c r="E20" i="7"/>
  <c r="C13" i="7"/>
  <c r="F11" i="7"/>
  <c r="D21" i="7"/>
  <c r="F22" i="7"/>
  <c r="G22" i="7"/>
  <c r="H9" i="7"/>
  <c r="C9" i="7"/>
  <c r="H12" i="7"/>
  <c r="E11" i="7"/>
  <c r="C10" i="7"/>
  <c r="F7" i="7"/>
  <c r="F8" i="7"/>
  <c r="G21" i="7"/>
  <c r="G19" i="7"/>
  <c r="C11" i="7"/>
  <c r="I21" i="7"/>
  <c r="C21" i="7"/>
  <c r="F24" i="7"/>
  <c r="I22" i="7"/>
  <c r="D8" i="7"/>
  <c r="H23" i="7"/>
  <c r="C20" i="7"/>
  <c r="G23" i="7"/>
  <c r="E12" i="7"/>
  <c r="D23" i="7"/>
  <c r="G18" i="7"/>
  <c r="G9" i="7"/>
  <c r="I24" i="7"/>
  <c r="E21" i="7"/>
  <c r="F19" i="7"/>
  <c r="D22" i="7"/>
  <c r="I12" i="7"/>
  <c r="E7" i="7"/>
  <c r="H7" i="7"/>
  <c r="H20" i="7"/>
  <c r="D18" i="7"/>
  <c r="C18" i="7"/>
  <c r="E8" i="7"/>
  <c r="I20" i="7"/>
  <c r="E18" i="7"/>
  <c r="I7" i="7"/>
  <c r="E10" i="7"/>
  <c r="H13" i="7"/>
  <c r="F9" i="7"/>
  <c r="D7" i="7"/>
  <c r="F13" i="7"/>
  <c r="H19" i="7"/>
  <c r="C22" i="7"/>
  <c r="F23" i="7"/>
  <c r="F18" i="7"/>
  <c r="H8" i="7"/>
  <c r="H10" i="7"/>
  <c r="E13" i="7"/>
  <c r="E22" i="7"/>
  <c r="I13" i="7"/>
  <c r="C12" i="7"/>
  <c r="G13" i="7"/>
  <c r="G12" i="7"/>
  <c r="H21" i="7"/>
  <c r="I19" i="7"/>
  <c r="C19" i="7"/>
  <c r="G7" i="7"/>
  <c r="I23" i="7"/>
  <c r="D12" i="7"/>
  <c r="G20" i="7"/>
  <c r="I11" i="7"/>
  <c r="H22" i="7"/>
  <c r="C23" i="7"/>
  <c r="C7" i="7"/>
  <c r="I8" i="7"/>
  <c r="G8" i="7"/>
  <c r="D20" i="7"/>
  <c r="D19" i="7"/>
  <c r="F10" i="7"/>
  <c r="C24" i="7"/>
  <c r="E19" i="7"/>
  <c r="H11" i="7"/>
  <c r="D24" i="7"/>
  <c r="F21" i="7"/>
  <c r="C58" i="3" l="1"/>
  <c r="C62" i="3" s="1"/>
  <c r="C53" i="3"/>
  <c r="C17" i="4" l="1"/>
  <c r="C54" i="3"/>
  <c r="C55" i="3" s="1"/>
  <c r="C16" i="1" s="1"/>
  <c r="C63" i="3"/>
  <c r="C64" i="3" s="1"/>
  <c r="C17" i="1" s="1"/>
  <c r="D17" i="1" s="1"/>
  <c r="C10" i="1" l="1"/>
  <c r="D16" i="1"/>
  <c r="C21" i="1"/>
  <c r="C19" i="4"/>
  <c r="C20" i="4" s="1"/>
  <c r="B79" i="4" s="1"/>
  <c r="C12" i="1" l="1"/>
  <c r="C11" i="1" s="1"/>
  <c r="B29" i="1"/>
  <c r="B26" i="1" l="1"/>
</calcChain>
</file>

<file path=xl/sharedStrings.xml><?xml version="1.0" encoding="utf-8"?>
<sst xmlns="http://schemas.openxmlformats.org/spreadsheetml/2006/main" count="524" uniqueCount="393">
  <si>
    <t>DISCLAIMER: This is a sample analysis for demonstration purposes only. It does not constitute investment advice.</t>
  </si>
  <si>
    <t>三菱重工業 (7011.T)</t>
  </si>
  <si>
    <t>Equity Research Report</t>
  </si>
  <si>
    <t>Company</t>
  </si>
  <si>
    <t>三菱重工業</t>
  </si>
  <si>
    <t>Ticker</t>
  </si>
  <si>
    <t>7011.T (TSE Prime)</t>
  </si>
  <si>
    <t>Sector</t>
  </si>
  <si>
    <t>機械</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</si>
  <si>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</si>
  <si>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</si>
  <si>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</si>
  <si>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</si>
  <si>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</si>
  <si>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</si>
  <si>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</si>
  <si>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</si>
  <si>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</si>
  <si>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</si>
  <si>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</si>
  <si>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</si>
  <si>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</si>
  <si>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</si>
  <si>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</si>
  <si>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</si>
  <si>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fell twelve percent in the latest year even as the margin held, so the base-case growth path rests on order conversion the reported top line has not yet shown.</t>
  </si>
  <si>
    <t>三菱重工業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</si>
  <si>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</si>
  <si>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</si>
  <si>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</si>
  <si>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</si>
  <si>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</si>
  <si>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</si>
  <si>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</si>
  <si>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</si>
  <si>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</si>
  <si>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</si>
  <si>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</si>
  <si>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</si>
  <si>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</si>
  <si>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</si>
  <si>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</si>
  <si>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</si>
  <si>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</si>
  <si>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</si>
  <si>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</si>
  <si>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</si>
  <si>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</si>
  <si>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</si>
  <si>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</si>
  <si>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</si>
  <si>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</si>
  <si>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</si>
  <si>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</si>
  <si>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</si>
  <si>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三菱重工業</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</si>
  <si>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</si>
  <si>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</si>
  <si>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</si>
  <si>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</si>
  <si>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</si>
  <si>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</si>
  <si>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</si>
  <si>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</si>
  <si>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</si>
  <si>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</si>
  <si>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</si>
  <si>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</si>
  <si>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</si>
  <si>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</si>
  <si>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</si>
  <si>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</si>
  <si>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</si>
  <si>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</si>
  <si>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</si>
  <si>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</si>
  <si>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</si>
  <si>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</si>
  <si>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</si>
  <si>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</si>
  <si>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</si>
  <si>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</si>
  <si>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</si>
  <si>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</si>
  <si>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</si>
  <si>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</si>
  <si>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</si>
  <si>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</si>
  <si>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</si>
  <si>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</si>
  <si>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</si>
  <si>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</si>
  <si>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</si>
  <si>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</si>
  <si>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</si>
  <si>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</si>
  <si>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</si>
  <si>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</si>
  <si>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</si>
  <si>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</si>
  <si>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</si>
  <si>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</si>
  <si>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</si>
  <si>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</si>
  <si>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</si>
  <si>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</si>
  <si>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</si>
  <si>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</si>
  <si>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</si>
  <si>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</si>
  <si>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</si>
  <si>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</si>
  <si>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</si>
  <si>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</si>
  <si>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</si>
  <si>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</si>
  <si>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</si>
  <si>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</si>
  <si>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</si>
  <si>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三菱重工業 (7011.T)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</si>
  <si>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</si>
  <si>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</si>
  <si>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</si>
  <si>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</si>
  <si>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</si>
  <si>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</si>
  <si>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</si>
  <si>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</si>
  <si>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</si>
  <si>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</si>
  <si>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</si>
  <si>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</si>
  <si>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</si>
  <si>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</si>
  <si>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</si>
  <si>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</si>
  <si>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</si>
  <si>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</si>
  <si>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</si>
  <si>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</si>
  <si>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</si>
  <si>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</si>
  <si>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</si>
  <si>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</si>
  <si>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</si>
  <si>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</si>
  <si>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</si>
  <si>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</si>
  <si>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</si>
  <si>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</si>
  <si>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</si>
  <si>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</si>
  <si>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</si>
  <si>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</si>
  <si>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</si>
  <si>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</si>
  <si>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</si>
  <si>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</si>
  <si>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</si>
  <si>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</si>
  <si>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</si>
  <si>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</si>
  <si>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</si>
  <si>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</si>
  <si>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</si>
  <si>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</si>
  <si>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</si>
  <si>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</si>
  <si>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</si>
  <si>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</si>
  <si>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</si>
  <si>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三菱重工業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</si>
  <si>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</si>
  <si>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</si>
  <si>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</si>
  <si>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</si>
  <si>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</si>
  <si>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</si>
  <si>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</si>
  <si>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</si>
  <si>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</si>
  <si>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</si>
  <si>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</si>
  <si>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</si>
  <si>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</si>
  <si>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</si>
  <si>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</si>
  <si>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</si>
  <si>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</si>
  <si>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</si>
  <si>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</si>
  <si>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</si>
  <si>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</si>
  <si>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</si>
  <si>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</si>
  <si>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</si>
  <si>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</si>
  <si>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</si>
  <si>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</si>
  <si>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</si>
  <si>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</si>
  <si>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</si>
  <si>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</si>
  <si>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</si>
  <si>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</si>
  <si>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</si>
  <si>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Mitsubishi Heavy Industries, Ltd.</t>
  </si>
  <si>
    <t>7011.T</t>
  </si>
  <si>
    <t>IHI Corporation</t>
  </si>
  <si>
    <t>7013.T</t>
  </si>
  <si>
    <t>Kawasaki Heavy Industries, Ltd.</t>
  </si>
  <si>
    <t>7012.T</t>
  </si>
  <si>
    <t>Hitachi, Ltd.</t>
  </si>
  <si>
    <t>6501.T</t>
  </si>
  <si>
    <t>Mitsubishi Electric Corporation</t>
  </si>
  <si>
    <t>6503.T</t>
  </si>
  <si>
    <t>Daikin Industries,Ltd.</t>
  </si>
  <si>
    <t>6367.T</t>
  </si>
  <si>
    <t>Statistics</t>
  </si>
  <si>
    <t>25th Percentile</t>
  </si>
  <si>
    <t>Median (50th)</t>
  </si>
  <si>
    <t>75th Percentile</t>
  </si>
  <si>
    <t>Implied Valuation for 三菱重工業</t>
  </si>
  <si>
    <t>三菱重工業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</si>
  <si>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</si>
  <si>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</si>
  <si>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</si>
  <si>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</si>
  <si>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</si>
  <si>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</si>
  <si>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</si>
  <si>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</si>
  <si>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</si>
  <si>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</si>
  <si>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</si>
  <si>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</si>
  <si>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</si>
  <si>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</si>
  <si>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</si>
  <si>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三菱重工業</t>
  </si>
  <si>
    <t>日付</t>
  </si>
  <si>
    <t>セル</t>
  </si>
  <si>
    <t>変更内容</t>
  </si>
  <si>
    <t>理由</t>
  </si>
  <si>
    <t>元の値</t>
  </si>
  <si>
    <t>状態</t>
  </si>
  <si>
    <t>2026-09-05</t>
  </si>
  <si>
    <t>-</t>
  </si>
  <si>
    <t>Generated by pipeline on 2026-09-05 18:35,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</si>
  <si>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</si>
  <si>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</si>
  <si>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</si>
  <si>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</si>
  <si>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</si>
  <si>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</si>
  <si>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</si>
  <si>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</si>
  <si>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</si>
  <si>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</si>
  <si>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</si>
  <si>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</si>
  <si>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</si>
  <si>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</si>
  <si>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12,614,226百万円。■テンプレートの自動規則(&gt;=1兆円 -&gt; 0.0%、&gt;=1,000億円 -&gt; 1.5%)とは異なる値であり、明示指定で上書きしている。</t>
  </si>
  <si>
    <t>テンプレ自動値</t>
  </si>
  <si>
    <t>DCF Model!C8</t>
  </si>
  <si>
    <t>Beta = 0.60</t>
  </si>
  <si>
    <t>yfinance実測 0.367 はテンプレのクランプ域 [0.6, 1.75] の下限を下回り、そのまま渡すと【無言で 1.0 に置換】される。追補1 §A に従い max(0.6, min(1.75, 実測)) = 0.60 を明示指定した。**0.60 は実測値ではなくテンプレが受け付ける最小値**。</t>
  </si>
  <si>
    <t>yfinance実測 0.367</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</si>
  <si>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</si>
  <si>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</si>
  <si>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</si>
  <si>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</si>
  <si>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</si>
  <si>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</si>
  <si>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</si>
  <si>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ネットキャッシュ（net_debt −458,634百万円）で D/E = 0 のため、負債コストは WACC に一切寄与しない（WACC = Ke = 7.87%）。実績Kd（支払利息 15,672）の算出は結果に影響しないため interest_expense を指定していない。</t>
  </si>
  <si>
    <t>テンプレ既定</t>
  </si>
  <si>
    <t>DCF Model!C13</t>
  </si>
  <si>
    <t>Terminal Growth = 1.0%</t>
  </si>
  <si>
    <t>バッチ共通の固定前提(v2 §1-3)。</t>
  </si>
  <si>
    <t>テンプレ既定 2.0%</t>
  </si>
  <si>
    <t>DCF Model!C14</t>
  </si>
  <si>
    <t>Exit Multiple (EV/EBITDA) = 12.4x</t>
  </si>
  <si>
    <t>Peer 5社の実測EV/EBITDA中央値 12.35x（7013 12.35 / 7012 / 6501 14.33 / 6503 15.55 / 6367 8.49）。 自社の現在倍率 21.37x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</si>
  <si>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</si>
  <si>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</si>
  <si>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</si>
  <si>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**CLEAN**（docID S100YHZG。金融事業専用科目は1件も検出されず）。銀行・captive finance なし（Debt/Revenue 0.20）。NonOp/OP −1.5%。OPMレンジ4.1pt・赤字年なしで型Bにも該当しない。</t>
  </si>
  <si>
    <t>Financial Statements / hist_* / 市場データ / net_debt</t>
  </si>
  <si>
    <t>追補2 §F-2 + 追補3 §L の予防的補完を生成前適用</t>
  </si>
  <si>
    <t>【追補2 §F-2 / 追補3 §L】hist_years を FY2023-FY2026 の4期に置換し P/L 5系列を yfinance連結財務諸表から供給。CF/BS 5系列は供給せず Step 4.6 の年度キー再マッピングに委ねる。hist_sga = 売上 − COGS − 営業利益 で逆算。current_price / shares_outstanding / net_debt も予防的に明示指定。</t>
  </si>
  <si>
    <t>EDINET自動抽出値</t>
  </si>
  <si>
    <t>Comps Analysis / core_ebitda / hist_depreciation</t>
  </si>
  <si>
    <t>core_ebitda = 568,788百万円 を明示指定（EDINET 有報から一次ソース取得）</t>
  </si>
  <si>
    <t>【リトライ1回目・追補2 §G ゲート不通過の是正 — 一次ソースから取得】初回生成では Comps Analysis の自社EBITDAが **121,488百万円**（営業利益 357,574 を下回る値）となり、Via EV/EBITDA 参考株価が 583円 という無意味な値になっていた。**validate は FAIL 0 / WARN 0 で通過**しており、batch/check_core_ebitda.py が唯一の検出手段だった。■原因: yfinance が当社の FY2026/3 キャッシュフロー計算書を未収録で D&amp;A が取得できず、EDINET 側の自動計算も破綻していた。EDINET の XBRL には D&amp;A 系の要素が複数あり、`DepreciationAndAmortizationOperatingExpensesIFRS`（売上原価内の減価償却費 = 121,488）が拾われたとみられる。■**一次ソースから取得（追補3 §O の方針）**: EDINET 有価証券報告書 **docID S100YHZG**（FY2026/3）の XBRL 要素 `DepreciationAmortizationAndImpairmentLossOpeCFIFRS` / CurrentYearDuration = **211,214百万円**（連結キャッシュフロー計算書の減価償却費及び償却費・減損損失）。**取得日 2026-09-05**。■**検証**: 同要素の Prior1YearDuration = 160,643 が yfinance の FY2025/3 D&amp;A と完全一致し、同一系列であることを確認した。■core_ebitda = 営業利益 357,574 + D&amp;A 211,214 = **568,788** を明示指定し、hist_depreciation も [148,549 / 155,899 / 160,643 / 211,214] で供給。comps CSV（自社行および 7013 / 6367 の Peer 行）も同じ値で再構築した。■Peer中央値（12.35x）は変わらないため 7013 / 6367 の Exit 倍率に影響はない。■**Target 1,636円 は是正の前後で変わっていない**（Comps は Target 不算入のため）。参考値のみ 583円 → 2,227円 に是正。</t>
  </si>
  <si>
    <t>EDINET自動計算値 121,488（破綻）</t>
  </si>
  <si>
    <t>確定(一次ソース取得)</t>
  </si>
  <si>
    <t>DCF Model!C5 / C18</t>
  </si>
  <si>
    <t>capex_method / da_method とも revenue_pct(capex 3.57% / D&amp;A 3.40%)</t>
  </si>
  <si>
    <t>実績は capex 3.1-4.8% / D&amp;A 3.2-3.5% で近接。ターミナル比率 1.050x でレンジ内（validate チェック9 PASS）。</t>
  </si>
  <si>
    <t>DCF Model シナリオ5本</t>
  </si>
  <si>
    <t>実績OPM分布からの導出(min 4.28 / p25 5.59 / med 7.11 / p75 8.24 / max 8.35%、直近 8.20%)</t>
  </si>
  <si>
    <t>直近が中央値を上回るため Base 到達OPM = (直近実績 + p75)/2 = 8.22%(実質横ばい)。Upside は max(p75 8.24, 直近+1.0pt = 9.20) = 9.20%。Downside 1 は min(p25 5.59, 直近 8.20) = 5.59%。Downside 2 は実績トラフ 4.28%(FY2023/3実績、直近と乖離した実在の谷)を起点に売上-8%を重ねた。■COGS% を直近実績 80.0% に固定し SGA% を逆算。既存銘柄からの流用なし。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</si>
  <si>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</si>
  <si>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</si>
  <si>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</si>
  <si>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</si>
  <si>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</si>
  <si>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</si>
  <si>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77 / DIH 99 / DPO 95 日</t>
  </si>
  <si>
    <t>実績4期平均。DPO 95日が DSO 77日を上回り、長納期プロジェクトの前受金構造もあって運転資本負担は比較的軽い。</t>
  </si>
  <si>
    <t>Comps Analysis</t>
  </si>
  <si>
    <t>Peer 5社 = 7013 IHI / 7012 川崎重工業 / 6501 日立製作所 / 6503 三菱電機 / 6367 ダイキン工業</t>
  </si>
  <si>
    <t>■選定理由: 重工業・大型産業機械。■**時価総額バンドの逸脱**: v2 §5 の 0.3〜3倍は 3.78〜37.8兆円だが、重工業としての事業比較可能性を優先して 7013 IHI(2.78兆) / 7012 川崎重工(2.12兆) をバンド外から採用した。■年度混在の開示: **7012 川崎重工の D&amp;A は FY2025/3 の値**（yfinance が FY2026/3 の CF計算書を未収録）。自社行については EDINET 有報から FY2026/3 の実額 211,214 を取得して補正済み（下記 core_ebitda の項）。■海外Peer（GE Aerospace / Siemens Energy / Mitsubishi Power の競合）は v2 §5 により不使用。■D&amp;A取得状況: 全6社で減価償却費を取得でき統一。**D&amp;A欠損による除外はゼロ**（validate チェック12 PASS）。</t>
  </si>
  <si>
    <t>Executive Summary!C10 / Target</t>
  </si>
  <si>
    <t>Target Price = 1,636円 = PGM 1,321円 と Exit 1,950円 の2本平均。Comps 2本(EV/EBITDA 2,227円 / PER 2,049円)は [参考・Target不算入]</t>
  </si>
  <si>
    <t>メモ§2 の規約どおり。validate チェック14 PASS(C10 が C16:C17 のみを平均)。EV&lt;net_debt による INVALID 化は発生していない（ネットキャッシュのため）。**WARN 11 は出ていない**（PGM 1,321円 と Exit 1,950円 の乖離が1.48倍で閾値内）。本バッチの多くの銘柄と異なり**手法間の整合が取れており、Target 1,636円 は点推定として読める**。■**自社の実測 EV/EBITDA 21.37x は Peer中央値 12.35x の 1.73倍**。本モデルの Exit 法は Peer中央値をそのまま用い防衛・エネルギー需要へのプレミアムを織り込んでいないため、これが −56.4% の乖離の最大の要因である。</t>
  </si>
  <si>
    <t>全体(納品状態)</t>
  </si>
  <si>
    <t>本ファイルは DRAFT。_FINAL は付けない</t>
  </si>
  <si>
    <t>バッチモードでの機械生成物であり人間の検証を経ていない。FINAL化は手順書v2 §6 に従い検証後に行う。</t>
  </si>
  <si>
    <t>DRAFT</t>
  </si>
  <si>
    <t>全体(未解決)</t>
  </si>
  <si>
    <t>**自社倍率 21.37x と Peer中央値 12.35x の差（防衛・エネルギープレミアム）をどう扱うか**</t>
  </si>
  <si>
    <t>本モデルの Exit 法は Peer中央値をそのまま用い、当社のプレミアムが永続するとは仮定していない。これが −56.4% の乖離の最大の要因。防衛予算の増額が構造的と判断するなら Exit 倍率を引き上げるべきで、その場合 Target は大きく上振れる。</t>
  </si>
  <si>
    <t>未解決</t>
  </si>
  <si>
    <t>売上が FY2026/3 に −12.32% と落ちている</t>
  </si>
  <si>
    <t>マージンは維持されているが売上は減少した。Base の成長パス（Y1 +3.0%）は受注の売上化を前提としており、報告売上はまだそれを示していない。</t>
  </si>
  <si>
    <t>長納期プロジェクトの損失計上リスク</t>
  </si>
  <si>
    <t>3年前の OPM は 4.28% と現在の半分。大型案件の採算悪化は過去にも起きており、Downside 2（4.3-5.0%）はその再現を想定している。</t>
  </si>
  <si>
    <t>**core_ebitda の破綻が validate をすり抜けた**</t>
  </si>
  <si>
    <t>追補2 §G のゲート（check_core_ebitda.py）がなければ、Comps 参考株価 583円 という誤値のまま納品されていた。同種のリスクは D&amp;A のタグ付けが特殊な IFRS 適用会社で再発しうる。</t>
  </si>
  <si>
    <t>Pipeline Metadata (do not edit — read by scripts/validate_output.py)</t>
  </si>
  <si>
    <t>key</t>
  </si>
  <si>
    <t>value</t>
  </si>
  <si>
    <t>auto_log_entries</t>
  </si>
  <si>
    <t>0</t>
  </si>
  <si>
    <t>capex_pct_basis</t>
  </si>
  <si>
    <t>assumption</t>
  </si>
  <si>
    <t>capex_pct_c5</t>
  </si>
  <si>
    <t>0.0357</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</si>
  <si>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</si>
  <si>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</si>
  <si>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</si>
  <si>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</si>
  <si>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</si>
  <si>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</si>
  <si>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</si>
  <si>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</si>
  <si>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</si>
  <si>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</si>
  <si>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</si>
  <si>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</si>
  <si>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</si>
  <si>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</si>
  <si>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</si>
  <si>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</si>
  <si>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</si>
  <si>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</si>
  <si>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</si>
  <si>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</si>
  <si>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</si>
  <si>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</si>
  <si>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</si>
  <si>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</si>
  <si>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0.034</t>
  </si>
  <si>
    <t>da_pct_hist3yr</t>
  </si>
  <si>
    <t>0.038067</t>
  </si>
  <si>
    <t>fs_year_coverage</t>
  </si>
  <si>
    <t>OCF 4/4, Cash 4/4, Debt 0/4</t>
  </si>
  <si>
    <t>fs_year_map</t>
  </si>
  <si>
    <t>FY2023&lt;-FY2023[ocf+cash]; FY2024&lt;-FY2024[ocf+cash]; FY2025&lt;-FY2025[ocf+cash]; FY2026&lt;-FY2026[ocf+cash]</t>
  </si>
  <si>
    <t>fs_year_sources</t>
  </si>
  <si>
    <t>overrides: hist_depreciation | EDINET year-key match: hist_ocf, hist_cash, hist_debt, hist_capex</t>
  </si>
  <si>
    <t>fx_sensitivity</t>
  </si>
  <si>
    <t>not enabled</t>
  </si>
  <si>
    <t>generated_at</t>
  </si>
  <si>
    <t>2026-09-05 18:35:02</t>
  </si>
  <si>
    <t>ltm_revenue_c20</t>
  </si>
  <si>
    <t>4974168.0</t>
  </si>
  <si>
    <t>ltm_revenue_source</t>
  </si>
  <si>
    <t>latest FY (no LTM)</t>
  </si>
  <si>
    <t>narrative_tokens_used</t>
  </si>
  <si>
    <t>pb,per,price,target_price,upside_pct,wacc</t>
  </si>
  <si>
    <t>reverse_dcf_sheet</t>
  </si>
  <si>
    <t>op0=357,574(FY2026) peak=415,529(FY2025) peak_opm=0.0835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</si>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</sst>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3754</v>
      </c>
    </row>
    <row r="10" spans="2:5" ht="14" customHeight="1" x14ac:dyDescent="0.3">
      <c r="B10" s="4" t="s">
        <v>10</v>
      </c>
      <c r="C10" s="5">
        <f>IF(COUNT(C16:C17)=0,"N/A",ROUND(AVERAGE(C16:C17),0))</f>
        <v>1636</v>
      </c>
    </row>
    <row r="11" spans="2:5" ht="14" customHeight="1" x14ac:dyDescent="0.3">
      <c r="B11" s="4" t="s">
        <v>11</v>
      </c>
      <c r="C11" s="6" t="str">
        <f>IF(NOT(ISNUMBER(C12)),"N/A",IF(C12&gt;0.15,"BUY",IF(C12&gt;0.05,"HOLD","SELL")))</f>
        <v>SELL</v>
      </c>
    </row>
    <row r="12" spans="2:5" ht="14" customHeight="1" x14ac:dyDescent="0.3">
      <c r="B12" s="4" t="s">
        <v>12</v>
      </c>
      <c r="C12" s="7">
        <f>IF(ISNUMBER(C10),(C10-C9)/C9,"N/A")</f>
        <v>-0.56419818859882787</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1321</v>
      </c>
      <c r="D16" s="7">
        <f>IF(ISNUMBER(C16),(C16-C9)/C9,"N/A")</f>
        <v>-0.64810868407032496</v>
      </c>
    </row>
    <row r="17" spans="2:5" ht="13.5" customHeight="1" x14ac:dyDescent="0.25">
      <c r="B17" t="s">
        <v>18</v>
      </c>
      <c r="C17" s="11">
        <f>IF('DCF Model'!C62&lt;'DCF Model'!C16,"INVALID (EV &lt; net debt)",'DCF Model'!C64)</f>
        <v>1950</v>
      </c>
      <c r="D17" s="7">
        <f>IF(ISNUMBER(C17),(C17-C9)/C9,"N/A")</f>
        <v>-0.48055407565263719</v>
      </c>
    </row>
    <row r="18" spans="2:5" ht="13.5" customHeight="1" x14ac:dyDescent="0.25">
      <c r="B18" t="s">
        <v>19</v>
      </c>
      <c r="C18" s="11">
        <f>'Comps Analysis'!C27</f>
        <v>2227</v>
      </c>
      <c r="D18" s="7">
        <f>IF(ISNUMBER(C18),(C18-C9)/C9,"N/A")</f>
        <v>-0.40676611614278102</v>
      </c>
    </row>
    <row r="19" spans="2:5" ht="13.5" customHeight="1" x14ac:dyDescent="0.25">
      <c r="B19" t="s">
        <v>20</v>
      </c>
      <c r="C19" s="11">
        <f>'Comps Analysis'!C28</f>
        <v>2049</v>
      </c>
      <c r="D19" s="7">
        <f>IF(ISNUMBER(C19),(C19-C9)/C9,"N/A")</f>
        <v>-0.45418220564730954</v>
      </c>
    </row>
    <row r="20" spans="2:5" ht="14" customHeight="1" x14ac:dyDescent="0.3">
      <c r="B20" s="46" t="s">
        <v>21</v>
      </c>
      <c r="C20" s="45"/>
      <c r="D20" s="45"/>
      <c r="E20" s="45"/>
    </row>
    <row r="21" spans="2:5" ht="14" customHeight="1" x14ac:dyDescent="0.3">
      <c r="B21" s="4" t="s">
        <v>22</v>
      </c>
      <c r="C21" s="6" t="str">
        <f>IF(COUNT(C16:C17)=0,"N/A",MIN(C16:C17)&amp;" - "&amp;MAX(C16:C17))</f>
        <v>1321 - 1950</v>
      </c>
    </row>
    <row r="23" spans="2:5" ht="14" customHeight="1" x14ac:dyDescent="0.3">
      <c r="B23" s="8" t="s">
        <v>23</v>
      </c>
      <c r="C23" s="9"/>
      <c r="D23" s="9"/>
    </row>
    <row r="24" spans="2:5" x14ac:dyDescent="0.2">
      <c r="B24" t="str">
        <f>"Mitsubishi Heavy is the prime contractor for Japanese defence programmes and gas turbines, and the operating margin has roughly doubled over four years to the top of its range; the shares trade at "&amp;TEXT('Comps Analysis'!L5,"0.0""x""")&amp;" earnings and "&amp;TEXT('Comps Analysis'!M5,"0.00""x""")&amp;" book."</f>
        <v>Mitsubishi Heavy is the prime contractor for Japanese defence programmes and gas turbines, and the operating margin has roughly doubled over four years to the top of its range; the shares trade at 51.4x earnings and 4.08x book.</v>
      </c>
    </row>
    <row r="25" spans="2:5" x14ac:dyDescent="0.2">
      <c r="B25" t="str">
        <f>"The balance sheet holds net cash, so the "&amp;TEXT('DCF Model'!C26,"0.00%")&amp;" discount rate is the cost of equity with no leverage assumed even though the order book carries multi-year execution risk."</f>
        <v>The balance sheet holds net cash, so the 7.87% discount rate is the cost of equity with no leverage assumed even though the order book carries multi-year execution risk.</v>
      </c>
    </row>
    <row r="26" spans="2:5" x14ac:dyDescent="0.2">
      <c r="B26" t="str">
        <f>"At "&amp;TEXT(C9,"#,##0")&amp;" the shares change hands at roughly twice the heavy-machinery peer median EV/EBITDA; this model values the exit on that peer median rather than on the defence premium, which is why "&amp;TEXT(C10,"#,##0")&amp;" sits "&amp;TEXT(C12,"+0.0%;-0.0%")&amp;" from here."</f>
        <v>At 3,754 the shares change hands at roughly twice the heavy-machinery peer median EV/EBITDA; this model values the exit on that peer median rather than on the defence premium, which is why 1,636 sits -56.4% from here.</v>
      </c>
    </row>
    <row r="28" spans="2:5" ht="14" customHeight="1" x14ac:dyDescent="0.3">
      <c r="B28" s="8" t="s">
        <v>24</v>
      </c>
      <c r="C28" s="9"/>
      <c r="D28" s="9"/>
    </row>
    <row r="29" spans="2:5" x14ac:dyDescent="0.2">
      <c r="B29" t="str">
        <f>"The exit leg deliberately does not extend the defence and energy premium into the terminal year, and that single choice accounts for most of the gap between "&amp;TEXT(C9,"#,##0")&amp;" and "&amp;TEXT(C10,"#,##0")&amp;"."</f>
        <v>The exit leg deliberately does not extend the defence and energy premium into the terminal year, and that single choice accounts for most of the gap between 3,754 and 1,636.</v>
      </c>
    </row>
    <row r="30" spans="2:5" x14ac:dyDescent="0.2">
      <c r="B30" t="s">
        <v>25</v>
      </c>
    </row>
    <row r="31" spans="2:5" x14ac:dyDescent="0.2">
      <c r="B31" t="str">
        <f>"Long-cycle projects have produced losses before: the margin was half the current level three years ago, far below what the "&amp;TEXT('Comps Analysis'!L5,"0.0""x""")&amp;" the market pays contemplates."</f>
        <v>Long-cycle projects have produced losses before: the margin was half the current level three years ago, far below what the 51.4x the market pays contemplates.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4202797</v>
      </c>
      <c r="D6" s="5">
        <v>4657147</v>
      </c>
      <c r="E6" s="5">
        <v>4974168</v>
      </c>
      <c r="F6" s="5">
        <v>4361127</v>
      </c>
    </row>
    <row r="7" spans="2:6" ht="14" customHeight="1" x14ac:dyDescent="0.3">
      <c r="B7" s="4" t="s">
        <v>33</v>
      </c>
      <c r="C7" s="5">
        <v>3437779</v>
      </c>
      <c r="D7" s="5">
        <v>3727034</v>
      </c>
      <c r="E7" s="5">
        <v>3891494</v>
      </c>
      <c r="F7" s="5">
        <v>3490008</v>
      </c>
    </row>
    <row r="8" spans="2:6" ht="14" customHeight="1" x14ac:dyDescent="0.3">
      <c r="B8" s="4" t="s">
        <v>34</v>
      </c>
      <c r="C8" s="5">
        <f>C6-C7</f>
        <v>765018</v>
      </c>
      <c r="D8" s="5">
        <f>D6-D7</f>
        <v>930113</v>
      </c>
      <c r="E8" s="5">
        <f>E6-E7</f>
        <v>1082674</v>
      </c>
      <c r="F8" s="5">
        <f>F6-F7</f>
        <v>871119</v>
      </c>
    </row>
    <row r="9" spans="2:6" ht="13.5" customHeight="1" x14ac:dyDescent="0.25">
      <c r="B9" t="s">
        <v>35</v>
      </c>
      <c r="C9" s="7">
        <f>C8/C6</f>
        <v>0.18202592226081821</v>
      </c>
      <c r="D9" s="7">
        <f>D8/D6</f>
        <v>0.19971733767476096</v>
      </c>
      <c r="E9" s="7">
        <f>E8/E6</f>
        <v>0.21765931508545749</v>
      </c>
      <c r="F9" s="7">
        <f>F8/F6</f>
        <v>0.19974630410900668</v>
      </c>
    </row>
    <row r="10" spans="2:6" ht="14" customHeight="1" x14ac:dyDescent="0.3">
      <c r="B10" s="4" t="s">
        <v>36</v>
      </c>
      <c r="C10" s="5">
        <v>585196</v>
      </c>
      <c r="D10" s="5">
        <v>649721</v>
      </c>
      <c r="E10" s="5">
        <v>667145</v>
      </c>
      <c r="F10" s="5">
        <v>513545</v>
      </c>
    </row>
    <row r="11" spans="2:6" ht="14" customHeight="1" x14ac:dyDescent="0.3">
      <c r="B11" s="4" t="s">
        <v>37</v>
      </c>
      <c r="C11" s="5">
        <v>179822</v>
      </c>
      <c r="D11" s="5">
        <v>280392</v>
      </c>
      <c r="E11" s="5">
        <v>415529</v>
      </c>
      <c r="F11" s="5">
        <v>357574</v>
      </c>
    </row>
    <row r="12" spans="2:6" ht="14" customHeight="1" x14ac:dyDescent="0.3">
      <c r="B12" s="4" t="s">
        <v>38</v>
      </c>
      <c r="C12" s="5">
        <v>130451</v>
      </c>
      <c r="D12" s="5">
        <v>222023</v>
      </c>
      <c r="E12" s="5">
        <v>332129</v>
      </c>
      <c r="F12" s="5">
        <v>245447</v>
      </c>
    </row>
    <row r="13" spans="2:6" ht="13.5" customHeight="1" x14ac:dyDescent="0.25">
      <c r="B13" t="s">
        <v>39</v>
      </c>
      <c r="C13" s="7">
        <f>C11/C6</f>
        <v>4.2786268287523764E-2</v>
      </c>
      <c r="D13" s="7">
        <f>D11/D6</f>
        <v>6.0206817607432191E-2</v>
      </c>
      <c r="E13" s="7">
        <f>E11/E6</f>
        <v>8.3537387559085255E-2</v>
      </c>
      <c r="F13" s="7">
        <f>F11/F6</f>
        <v>8.1991191726358811E-2</v>
      </c>
    </row>
    <row r="14" spans="2:6" ht="13.5" customHeight="1" x14ac:dyDescent="0.25">
      <c r="B14" t="s">
        <v>40</v>
      </c>
      <c r="C14" s="7">
        <f>C12/C6</f>
        <v>3.1039091347976121E-2</v>
      </c>
      <c r="D14" s="7">
        <f>D12/D6</f>
        <v>4.7673607897710767E-2</v>
      </c>
      <c r="E14" s="7">
        <f>E12/E6</f>
        <v>6.6770764477597055E-2</v>
      </c>
      <c r="F14" s="7">
        <f>F12/F6</f>
        <v>5.6280635716410003E-2</v>
      </c>
    </row>
    <row r="15" spans="2:6" ht="13.5" customHeight="1" x14ac:dyDescent="0.25">
      <c r="B15" t="s">
        <v>41</v>
      </c>
      <c r="C15" t="s">
        <v>42</v>
      </c>
      <c r="D15" s="7">
        <f>(D6-C6)/C6</f>
        <v>0.10810657759582487</v>
      </c>
      <c r="E15" s="7">
        <f>(E6-D6)/D6</f>
        <v>6.8071933310243374E-2</v>
      </c>
      <c r="F15" s="7">
        <f>(F6-E6)/E6</f>
        <v>-0.12324493261988739</v>
      </c>
    </row>
    <row r="16" spans="2:6" ht="13.5" customHeight="1" x14ac:dyDescent="0.25">
      <c r="B16" t="s">
        <v>43</v>
      </c>
      <c r="C16" t="s">
        <v>42</v>
      </c>
      <c r="D16" s="7">
        <f>(D11-C11)/C11</f>
        <v>0.55927528333574317</v>
      </c>
      <c r="E16" s="7">
        <f>(E11-D11)/D11</f>
        <v>0.48195740249365177</v>
      </c>
      <c r="F16" s="7">
        <f>(F11-E11)/E11</f>
        <v>-0.13947281657838562</v>
      </c>
    </row>
    <row r="18" spans="2:6" ht="14" customHeight="1" x14ac:dyDescent="0.3">
      <c r="B18" s="3" t="s">
        <v>44</v>
      </c>
    </row>
    <row r="19" spans="2:6" ht="14" customHeight="1" x14ac:dyDescent="0.3">
      <c r="B19" s="4" t="s">
        <v>45</v>
      </c>
      <c r="C19" s="5">
        <v>80888</v>
      </c>
      <c r="D19" s="5">
        <v>331186</v>
      </c>
      <c r="E19" s="5">
        <v>530459</v>
      </c>
      <c r="F19" s="5">
        <v>942619</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347663</v>
      </c>
      <c r="D26" s="5">
        <v>431287</v>
      </c>
      <c r="E26" s="5">
        <v>657816</v>
      </c>
      <c r="F26" s="5">
        <v>1334874</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3.5700000000000003E-2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12.4</v>
      </c>
    </row>
    <row r="15" spans="2:7" ht="14" customHeight="1" x14ac:dyDescent="0.3">
      <c r="B15" s="4" t="s">
        <v>66</v>
      </c>
      <c r="C15" s="15">
        <v>3360209340</v>
      </c>
    </row>
    <row r="16" spans="2:7" ht="14" customHeight="1" x14ac:dyDescent="0.3">
      <c r="B16" s="4" t="s">
        <v>67</v>
      </c>
      <c r="C16" s="5">
        <v>-458634</v>
      </c>
    </row>
    <row r="17" spans="2:7" ht="14" customHeight="1" x14ac:dyDescent="0.3">
      <c r="B17" s="4" t="s">
        <v>68</v>
      </c>
      <c r="C17" s="5">
        <v>4361127</v>
      </c>
    </row>
    <row r="18" spans="2:7" ht="14" customHeight="1" x14ac:dyDescent="0.3">
      <c r="B18" s="4" t="s">
        <v>69</v>
      </c>
      <c r="C18" s="7">
        <v>3.4000000000000002E-2</v>
      </c>
    </row>
    <row r="19" spans="2:7" ht="14" customHeight="1" x14ac:dyDescent="0.3">
      <c r="B19" s="4" t="s">
        <v>70</v>
      </c>
      <c r="C19" s="12">
        <v>1</v>
      </c>
    </row>
    <row r="20" spans="2:7" ht="14" customHeight="1" x14ac:dyDescent="0.3">
      <c r="B20" s="4" t="s">
        <v>71</v>
      </c>
      <c r="C20" s="5">
        <v>4974168</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7.8699999999999992E-2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customHeight="1" x14ac:dyDescent="0.3">
      <c r="B31" s="4" t="s">
        <v>85</v>
      </c>
      <c r="C31" s="18">
        <f>CHOOSE($D$27,C76,C77,C78,C79,C80)</f>
        <v>0.8</v>
      </c>
      <c r="D31" s="18">
        <f>CHOOSE($D$27,D76,D77,D78,D79,D80)</f>
        <v>0.8</v>
      </c>
      <c r="E31" s="18">
        <f>CHOOSE($D$27,E76,E77,E78,E79,E80)</f>
        <v>0.8</v>
      </c>
      <c r="F31" s="18">
        <f>CHOOSE($D$27,F76,F77,F78,F79,F80)</f>
        <v>0.8</v>
      </c>
      <c r="G31" s="18">
        <f>CHOOSE($D$27,G76,G77,G78,G79,G80)</f>
        <v>0.8</v>
      </c>
    </row>
    <row r="32" spans="2:7" ht="14" customHeight="1" x14ac:dyDescent="0.3">
      <c r="B32" s="4" t="s">
        <v>86</v>
      </c>
      <c r="C32" s="18">
        <f>CHOOSE($D$27,C83,C84,C85,C86,C87)</f>
        <v>0.1179</v>
      </c>
      <c r="D32" s="18">
        <f>CHOOSE($D$27,D83,D84,D85,D86,D87)</f>
        <v>0.1179</v>
      </c>
      <c r="E32" s="18">
        <f>CHOOSE($D$27,E83,E84,E85,E86,E87)</f>
        <v>0.1178</v>
      </c>
      <c r="F32" s="18">
        <f>CHOOSE($D$27,F83,F84,F85,F86,F87)</f>
        <v>0.1178</v>
      </c>
      <c r="G32" s="18">
        <f>CHOOSE($D$27,G83,G84,G85,G86,G87)</f>
        <v>0.1178</v>
      </c>
    </row>
    <row r="33" spans="2:7" ht="14" customHeight="1" x14ac:dyDescent="0.3">
      <c r="B33" s="4" t="s">
        <v>32</v>
      </c>
      <c r="C33" s="5">
        <f>C17*(1+C30)</f>
        <v>4491960.8100000005</v>
      </c>
      <c r="D33" s="5">
        <f>C33*(1+D30)</f>
        <v>4626719.634300001</v>
      </c>
      <c r="E33" s="5">
        <f>D33*(1+E30)</f>
        <v>4742387.6251575006</v>
      </c>
      <c r="F33" s="5">
        <f>E33*(1+F30)</f>
        <v>4860947.3157864381</v>
      </c>
      <c r="G33" s="5">
        <f>F33*(1+G30)</f>
        <v>4958166.2621021671</v>
      </c>
    </row>
    <row r="34" spans="2:7" ht="14" customHeight="1" x14ac:dyDescent="0.3">
      <c r="B34" s="4" t="s">
        <v>33</v>
      </c>
      <c r="C34" s="5">
        <f>C33*C31</f>
        <v>3593568.6480000005</v>
      </c>
      <c r="D34" s="5">
        <f>D33*D31</f>
        <v>3701375.707440001</v>
      </c>
      <c r="E34" s="5">
        <f>E33*E31</f>
        <v>3793910.1001260006</v>
      </c>
      <c r="F34" s="5">
        <f>F33*F31</f>
        <v>3888757.8526291507</v>
      </c>
      <c r="G34" s="5">
        <f>G33*G31</f>
        <v>3966533.0096817338</v>
      </c>
    </row>
    <row r="35" spans="2:7" ht="14" customHeight="1" x14ac:dyDescent="0.3">
      <c r="B35" s="4" t="s">
        <v>34</v>
      </c>
      <c r="C35" s="19">
        <f>C33-C34</f>
        <v>898392.16200000001</v>
      </c>
      <c r="D35" s="19">
        <f>D33-D34</f>
        <v>925343.92686000001</v>
      </c>
      <c r="E35" s="19">
        <f>E33-E34</f>
        <v>948477.52503150003</v>
      </c>
      <c r="F35" s="19">
        <f>F33-F34</f>
        <v>972189.46315728733</v>
      </c>
      <c r="G35" s="19">
        <f>G33-G34</f>
        <v>991633.25242043333</v>
      </c>
    </row>
    <row r="36" spans="2:7" ht="14" customHeight="1" x14ac:dyDescent="0.3">
      <c r="B36" s="4" t="s">
        <v>35</v>
      </c>
      <c r="C36" s="7">
        <f>C35/C33</f>
        <v>0.19999999999999998</v>
      </c>
      <c r="D36" s="7">
        <f>D35/D33</f>
        <v>0.19999999999999996</v>
      </c>
      <c r="E36" s="7">
        <f>E35/E33</f>
        <v>0.19999999999999998</v>
      </c>
      <c r="F36" s="7">
        <f>F35/F33</f>
        <v>0.19999999999999996</v>
      </c>
      <c r="G36" s="7">
        <f>G35/G33</f>
        <v>0.19999999999999998</v>
      </c>
    </row>
    <row r="37" spans="2:7" ht="14" customHeight="1" x14ac:dyDescent="0.3">
      <c r="B37" s="4" t="s">
        <v>87</v>
      </c>
      <c r="C37" s="5">
        <f>C33*C32</f>
        <v>529602.17949900008</v>
      </c>
      <c r="D37" s="5">
        <f>D33*D32</f>
        <v>545490.24488397012</v>
      </c>
      <c r="E37" s="5">
        <f>E33*E32</f>
        <v>558653.26224355353</v>
      </c>
      <c r="F37" s="5">
        <f>F33*F32</f>
        <v>572619.5937996424</v>
      </c>
      <c r="G37" s="5">
        <f>G33*G32</f>
        <v>584071.98567563528</v>
      </c>
    </row>
    <row r="38" spans="2:7" ht="14" customHeight="1" x14ac:dyDescent="0.3">
      <c r="B38" s="4" t="s">
        <v>88</v>
      </c>
      <c r="C38" s="7">
        <f>(C35-C37)/C33</f>
        <v>8.2099999999999979E-2</v>
      </c>
      <c r="D38" s="7">
        <f>(D35-D37)/D33</f>
        <v>8.2099999999999951E-2</v>
      </c>
      <c r="E38" s="7">
        <f>(E35-E37)/E33</f>
        <v>8.2199999999999995E-2</v>
      </c>
      <c r="F38" s="7">
        <f>(F35-F37)/F33</f>
        <v>8.219999999999994E-2</v>
      </c>
      <c r="G38" s="7">
        <f>(G35-G37)/G33</f>
        <v>8.2199999999999981E-2</v>
      </c>
    </row>
    <row r="39" spans="2:7" ht="14" customHeight="1" x14ac:dyDescent="0.3">
      <c r="B39" s="4" t="s">
        <v>89</v>
      </c>
      <c r="C39" s="19">
        <f>C35-C37</f>
        <v>368789.98250099993</v>
      </c>
      <c r="D39" s="19">
        <f>D35-D37</f>
        <v>379853.68197602988</v>
      </c>
      <c r="E39" s="19">
        <f>E35-E37</f>
        <v>389824.2627879465</v>
      </c>
      <c r="F39" s="19">
        <f>F35-F37</f>
        <v>399569.86935764493</v>
      </c>
      <c r="G39" s="19">
        <f>G35-G37</f>
        <v>407561.26674479805</v>
      </c>
    </row>
    <row r="40" spans="2:7" ht="14" customHeight="1" x14ac:dyDescent="0.3">
      <c r="B40" s="4" t="s">
        <v>90</v>
      </c>
      <c r="C40" s="5">
        <f>MAX(0,C39*C6)</f>
        <v>92197.495625249983</v>
      </c>
      <c r="D40" s="5">
        <f>MAX(0,D39*C6)</f>
        <v>94963.420494007471</v>
      </c>
      <c r="E40" s="5">
        <f>MAX(0,E39*C6)</f>
        <v>97456.065696986625</v>
      </c>
      <c r="F40" s="5">
        <f>MAX(0,F39*C6)</f>
        <v>99892.467339411232</v>
      </c>
      <c r="G40" s="5">
        <f>MAX(0,G39*C6)</f>
        <v>101890.31668619951</v>
      </c>
    </row>
    <row r="41" spans="2:7" ht="14" customHeight="1" x14ac:dyDescent="0.3">
      <c r="B41" s="4" t="s">
        <v>91</v>
      </c>
      <c r="C41" s="19">
        <f>C39-C40</f>
        <v>276592.48687574995</v>
      </c>
      <c r="D41" s="19">
        <f>D39-D40</f>
        <v>284890.26148202241</v>
      </c>
      <c r="E41" s="19">
        <f>E39-E40</f>
        <v>292368.19709095987</v>
      </c>
      <c r="F41" s="19">
        <f>F39-F40</f>
        <v>299677.40201823367</v>
      </c>
      <c r="G41" s="19">
        <f>G39-G40</f>
        <v>305670.95005859854</v>
      </c>
    </row>
    <row r="42" spans="2:7" ht="14" customHeight="1" x14ac:dyDescent="0.3">
      <c r="B42" s="4" t="s">
        <v>92</v>
      </c>
      <c r="C42" s="5">
        <f>C33*C18</f>
        <v>152726.66754000002</v>
      </c>
      <c r="D42" s="5">
        <f>D33*C18</f>
        <v>157308.46756620004</v>
      </c>
      <c r="E42" s="5">
        <f>E33*C18</f>
        <v>161241.17925535503</v>
      </c>
      <c r="F42" s="5">
        <f>F33*C18</f>
        <v>165272.20873673892</v>
      </c>
      <c r="G42" s="5">
        <f>G33*C18</f>
        <v>168577.65291147371</v>
      </c>
    </row>
    <row r="43" spans="2:7" ht="14" customHeight="1" x14ac:dyDescent="0.3">
      <c r="B43" s="4" t="s">
        <v>93</v>
      </c>
      <c r="C43" s="5">
        <f>C33*C5</f>
        <v>160363.00091700003</v>
      </c>
      <c r="D43" s="5">
        <f>D33*C5</f>
        <v>165173.89094451006</v>
      </c>
      <c r="E43" s="5">
        <f>E33*C5</f>
        <v>169303.23821812277</v>
      </c>
      <c r="F43" s="5">
        <f>F33*C5</f>
        <v>173535.81917357584</v>
      </c>
      <c r="G43" s="5">
        <f>G33*C5</f>
        <v>177006.53555704738</v>
      </c>
    </row>
    <row r="44" spans="2:7" ht="14" customHeight="1" x14ac:dyDescent="0.3">
      <c r="B44" s="4" t="s">
        <v>94</v>
      </c>
      <c r="C44" s="5">
        <f>'NWC Schedule'!D19</f>
        <v>-162592.2959945203</v>
      </c>
      <c r="D44" s="5">
        <f>'NWC Schedule'!E19</f>
        <v>29610.021120164311</v>
      </c>
      <c r="E44" s="5">
        <f>'NWC Schedule'!F19</f>
        <v>25415.268128140946</v>
      </c>
      <c r="F44" s="5">
        <f>'NWC Schedule'!G19</f>
        <v>26050.649831344606</v>
      </c>
      <c r="G44" s="5">
        <f>'NWC Schedule'!H19</f>
        <v>21361.53286170261</v>
      </c>
    </row>
    <row r="45" spans="2:7" ht="14" customHeight="1" x14ac:dyDescent="0.3">
      <c r="B45" s="4" t="s">
        <v>95</v>
      </c>
      <c r="C45" s="20">
        <f>C41+C42-C43-C44</f>
        <v>431548.44949327025</v>
      </c>
      <c r="D45" s="20">
        <f>D41+D42-D43-D44</f>
        <v>247414.81698354805</v>
      </c>
      <c r="E45" s="20">
        <f>E41+E42-E43-E44</f>
        <v>258890.87000005122</v>
      </c>
      <c r="F45" s="20">
        <f>F41+F42-F43-F44</f>
        <v>265363.14175005211</v>
      </c>
      <c r="G45" s="20">
        <f>G41+G42-G43-G44</f>
        <v>275880.53455132223</v>
      </c>
    </row>
    <row r="46" spans="2:7" ht="14" customHeight="1" x14ac:dyDescent="0.3">
      <c r="B46" s="4" t="s">
        <v>96</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97</v>
      </c>
      <c r="C47" s="19">
        <f>C45*C46</f>
        <v>400063.45554210647</v>
      </c>
      <c r="D47" s="19">
        <f>D45*D46</f>
        <v>212629.90604868962</v>
      </c>
      <c r="E47" s="19">
        <f>E45*E46</f>
        <v>206259.8505583517</v>
      </c>
      <c r="F47" s="19">
        <f>F45*F46</f>
        <v>195991.79273413384</v>
      </c>
      <c r="G47" s="19">
        <f>G45*G46</f>
        <v>188893.78334287048</v>
      </c>
    </row>
    <row r="49" spans="2:7" ht="14" customHeight="1" x14ac:dyDescent="0.3">
      <c r="B49" s="22" t="s">
        <v>98</v>
      </c>
      <c r="C49" s="23"/>
      <c r="D49" s="23"/>
      <c r="E49" s="23"/>
      <c r="F49" s="23"/>
      <c r="G49" s="23"/>
    </row>
    <row r="50" spans="2:7" ht="14" customHeight="1" x14ac:dyDescent="0.3">
      <c r="B50" s="4" t="s">
        <v>99</v>
      </c>
      <c r="C50" s="5">
        <f>SUM(C47:G47)</f>
        <v>1203838.7882261521</v>
      </c>
    </row>
    <row r="51" spans="2:7" ht="14" customHeight="1" x14ac:dyDescent="0.3">
      <c r="B51" s="4" t="s">
        <v>100</v>
      </c>
      <c r="C51" s="5">
        <f>G45*(1+C13)/(C26-C13)</f>
        <v>4055885.5880179834</v>
      </c>
    </row>
    <row r="52" spans="2:7" ht="14" customHeight="1" x14ac:dyDescent="0.3">
      <c r="B52" s="4" t="s">
        <v>101</v>
      </c>
      <c r="C52" s="5">
        <f>C51*G46</f>
        <v>2777041.0651571937</v>
      </c>
    </row>
    <row r="53" spans="2:7" ht="14" customHeight="1" x14ac:dyDescent="0.3">
      <c r="B53" s="4" t="s">
        <v>102</v>
      </c>
      <c r="C53" s="5">
        <f>C50+C52</f>
        <v>3980879.8533833455</v>
      </c>
    </row>
    <row r="54" spans="2:7" ht="14" customHeight="1" x14ac:dyDescent="0.3">
      <c r="B54" s="4" t="s">
        <v>103</v>
      </c>
      <c r="C54" s="5">
        <f>C53-C16</f>
        <v>4439513.8533833455</v>
      </c>
    </row>
    <row r="55" spans="2:7" ht="14" customHeight="1" x14ac:dyDescent="0.3">
      <c r="B55" s="4" t="s">
        <v>104</v>
      </c>
      <c r="C55" s="24">
        <f>ROUND(C54*1000000/C15,0)</f>
        <v>1321</v>
      </c>
    </row>
    <row r="57" spans="2:7" ht="14" customHeight="1" x14ac:dyDescent="0.3">
      <c r="B57" s="22" t="s">
        <v>105</v>
      </c>
      <c r="C57" s="23"/>
      <c r="D57" s="23"/>
      <c r="E57" s="23"/>
      <c r="F57" s="23"/>
      <c r="G57" s="23"/>
    </row>
    <row r="58" spans="2:7" ht="14" customHeight="1" x14ac:dyDescent="0.3">
      <c r="B58" s="4" t="s">
        <v>99</v>
      </c>
      <c r="C58" s="5">
        <f>C50</f>
        <v>1203838.7882261521</v>
      </c>
    </row>
    <row r="59" spans="2:7" ht="14" customHeight="1" x14ac:dyDescent="0.3">
      <c r="B59" s="4" t="s">
        <v>106</v>
      </c>
      <c r="C59" s="5">
        <f>G39+G42</f>
        <v>576138.91965627181</v>
      </c>
    </row>
    <row r="60" spans="2:7" ht="14" customHeight="1" x14ac:dyDescent="0.3">
      <c r="B60" s="4" t="s">
        <v>107</v>
      </c>
      <c r="C60" s="5">
        <f>C59*C14</f>
        <v>7144122.6037377706</v>
      </c>
    </row>
    <row r="61" spans="2:7" ht="14" customHeight="1" x14ac:dyDescent="0.3">
      <c r="B61" s="4" t="s">
        <v>101</v>
      </c>
      <c r="C61" s="5">
        <f>C60*G46</f>
        <v>4891538.8303131675</v>
      </c>
    </row>
    <row r="62" spans="2:7" ht="14" customHeight="1" x14ac:dyDescent="0.3">
      <c r="B62" s="4" t="s">
        <v>102</v>
      </c>
      <c r="C62" s="5">
        <f>C58+C61</f>
        <v>6095377.6185393194</v>
      </c>
    </row>
    <row r="63" spans="2:7" ht="14" customHeight="1" x14ac:dyDescent="0.3">
      <c r="B63" s="4" t="s">
        <v>103</v>
      </c>
      <c r="C63" s="5">
        <f>C62-C16</f>
        <v>6554011.6185393194</v>
      </c>
    </row>
    <row r="64" spans="2:7" ht="14" customHeight="1" x14ac:dyDescent="0.3">
      <c r="B64" s="4" t="s">
        <v>108</v>
      </c>
      <c r="C64" s="24">
        <f>ROUND(C63*1000000/C15,0)</f>
        <v>1950</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0.03</v>
      </c>
      <c r="D69" s="26">
        <v>0.03</v>
      </c>
      <c r="E69" s="26">
        <v>2.5000000000000001E-2</v>
      </c>
      <c r="F69" s="26">
        <v>2.5000000000000001E-2</v>
      </c>
      <c r="G69" s="26">
        <v>0.02</v>
      </c>
    </row>
    <row r="70" spans="2:7" ht="14" customHeight="1" x14ac:dyDescent="0.3">
      <c r="B70" s="4" t="s">
        <v>115</v>
      </c>
      <c r="C70" s="26">
        <v>4.4999999999999998E-2</v>
      </c>
      <c r="D70" s="26">
        <v>0.04</v>
      </c>
      <c r="E70" s="26">
        <v>3.5000000000000003E-2</v>
      </c>
      <c r="F70" s="26">
        <v>0.03</v>
      </c>
      <c r="G70" s="26">
        <v>0.03</v>
      </c>
    </row>
    <row r="71" spans="2:7" ht="14" customHeight="1" x14ac:dyDescent="0.3">
      <c r="B71" s="4" t="s">
        <v>116</v>
      </c>
      <c r="C71" s="26">
        <v>0.03</v>
      </c>
      <c r="D71" s="26">
        <v>0.03</v>
      </c>
      <c r="E71" s="26">
        <v>2.5000000000000001E-2</v>
      </c>
      <c r="F71" s="26">
        <v>2.5000000000000001E-2</v>
      </c>
      <c r="G71" s="26">
        <v>0.02</v>
      </c>
    </row>
    <row r="72" spans="2:7" ht="14" customHeight="1" x14ac:dyDescent="0.3">
      <c r="B72" s="4" t="s">
        <v>117</v>
      </c>
      <c r="C72" s="26">
        <v>5.0000000000000001E-3</v>
      </c>
      <c r="D72" s="26">
        <v>5.0000000000000001E-3</v>
      </c>
      <c r="E72" s="26">
        <v>5.0000000000000001E-3</v>
      </c>
      <c r="F72" s="26">
        <v>5.0000000000000001E-3</v>
      </c>
      <c r="G72" s="26">
        <v>5.0000000000000001E-3</v>
      </c>
    </row>
    <row r="73" spans="2:7" ht="14" customHeight="1" x14ac:dyDescent="0.3">
      <c r="B73" s="4" t="s">
        <v>118</v>
      </c>
      <c r="C73" s="26">
        <v>-0.08</v>
      </c>
      <c r="D73" s="26">
        <v>-0.01</v>
      </c>
      <c r="E73" s="26">
        <v>5.0000000000000001E-3</v>
      </c>
      <c r="F73" s="26">
        <v>0.01</v>
      </c>
      <c r="G73" s="26">
        <v>1.4999999999999999E-2</v>
      </c>
    </row>
    <row r="75" spans="2:7" ht="14" customHeight="1" x14ac:dyDescent="0.3">
      <c r="B75" s="3" t="s">
        <v>85</v>
      </c>
    </row>
    <row r="76" spans="2:7" ht="14" customHeight="1" x14ac:dyDescent="0.3">
      <c r="B76" s="4" t="s">
        <v>78</v>
      </c>
      <c r="C76" s="26">
        <v>0.8</v>
      </c>
      <c r="D76" s="26">
        <v>0.8</v>
      </c>
      <c r="E76" s="26">
        <v>0.8</v>
      </c>
      <c r="F76" s="26">
        <v>0.8</v>
      </c>
      <c r="G76" s="26">
        <v>0.8</v>
      </c>
    </row>
    <row r="77" spans="2:7" ht="14" customHeight="1" x14ac:dyDescent="0.3">
      <c r="B77" s="4" t="s">
        <v>115</v>
      </c>
      <c r="C77" s="26">
        <v>0.79400000000000004</v>
      </c>
      <c r="D77" s="26">
        <v>0.79400000000000004</v>
      </c>
      <c r="E77" s="26">
        <v>0.79400000000000004</v>
      </c>
      <c r="F77" s="26">
        <v>0.79400000000000004</v>
      </c>
      <c r="G77" s="26">
        <v>0.79400000000000004</v>
      </c>
    </row>
    <row r="78" spans="2:7" ht="14" customHeight="1" x14ac:dyDescent="0.3">
      <c r="B78" s="4" t="s">
        <v>116</v>
      </c>
      <c r="C78" s="26">
        <v>0.8</v>
      </c>
      <c r="D78" s="26">
        <v>0.8</v>
      </c>
      <c r="E78" s="26">
        <v>0.8</v>
      </c>
      <c r="F78" s="26">
        <v>0.8</v>
      </c>
      <c r="G78" s="26">
        <v>0.8</v>
      </c>
    </row>
    <row r="79" spans="2:7" ht="14" customHeight="1" x14ac:dyDescent="0.3">
      <c r="B79" s="4" t="s">
        <v>117</v>
      </c>
      <c r="C79" s="26">
        <v>0.80800000000000005</v>
      </c>
      <c r="D79" s="26">
        <v>0.80800000000000005</v>
      </c>
      <c r="E79" s="26">
        <v>0.80800000000000005</v>
      </c>
      <c r="F79" s="26">
        <v>0.80800000000000005</v>
      </c>
      <c r="G79" s="26">
        <v>0.80800000000000005</v>
      </c>
    </row>
    <row r="80" spans="2:7" ht="14" customHeight="1" x14ac:dyDescent="0.3">
      <c r="B80" s="4" t="s">
        <v>118</v>
      </c>
      <c r="C80" s="26">
        <v>0.82</v>
      </c>
      <c r="D80" s="26">
        <v>0.82</v>
      </c>
      <c r="E80" s="26">
        <v>0.82</v>
      </c>
      <c r="F80" s="26">
        <v>0.82</v>
      </c>
      <c r="G80" s="26">
        <v>0.82</v>
      </c>
    </row>
    <row r="82" spans="2:7" ht="14" customHeight="1" x14ac:dyDescent="0.3">
      <c r="B82" s="3" t="s">
        <v>86</v>
      </c>
    </row>
    <row r="83" spans="2:7" ht="14" customHeight="1" x14ac:dyDescent="0.3">
      <c r="B83" s="4" t="s">
        <v>78</v>
      </c>
      <c r="C83" s="26">
        <v>0.1179</v>
      </c>
      <c r="D83" s="26">
        <v>0.1179</v>
      </c>
      <c r="E83" s="26">
        <v>0.1178</v>
      </c>
      <c r="F83" s="26">
        <v>0.1178</v>
      </c>
      <c r="G83" s="26">
        <v>0.1178</v>
      </c>
    </row>
    <row r="84" spans="2:7" ht="14" customHeight="1" x14ac:dyDescent="0.3">
      <c r="B84" s="4" t="s">
        <v>115</v>
      </c>
      <c r="C84" s="26">
        <v>0.121</v>
      </c>
      <c r="D84" s="26">
        <v>0.11899999999999999</v>
      </c>
      <c r="E84" s="26">
        <v>0.11700000000000001</v>
      </c>
      <c r="F84" s="26">
        <v>0.115</v>
      </c>
      <c r="G84" s="26">
        <v>0.114</v>
      </c>
    </row>
    <row r="85" spans="2:7" ht="14" customHeight="1" x14ac:dyDescent="0.3">
      <c r="B85" s="4" t="s">
        <v>116</v>
      </c>
      <c r="C85" s="26">
        <v>0.1179</v>
      </c>
      <c r="D85" s="26">
        <v>0.1179</v>
      </c>
      <c r="E85" s="26">
        <v>0.1178</v>
      </c>
      <c r="F85" s="26">
        <v>0.1178</v>
      </c>
      <c r="G85" s="26">
        <v>0.1178</v>
      </c>
    </row>
    <row r="86" spans="2:7" ht="14" customHeight="1" x14ac:dyDescent="0.3">
      <c r="B86" s="4" t="s">
        <v>117</v>
      </c>
      <c r="C86" s="26">
        <v>0.11700000000000001</v>
      </c>
      <c r="D86" s="26">
        <v>0.124</v>
      </c>
      <c r="E86" s="26">
        <v>0.13</v>
      </c>
      <c r="F86" s="26">
        <v>0.13400000000000001</v>
      </c>
      <c r="G86" s="26">
        <v>0.1361</v>
      </c>
    </row>
    <row r="87" spans="2:7" ht="14" customHeight="1" x14ac:dyDescent="0.3">
      <c r="B87" s="4" t="s">
        <v>118</v>
      </c>
      <c r="C87" s="26">
        <v>0.13</v>
      </c>
      <c r="D87" s="26">
        <v>0.13700000000000001</v>
      </c>
      <c r="E87" s="26">
        <v>0.13700000000000001</v>
      </c>
      <c r="F87" s="26">
        <v>0.13400000000000001</v>
      </c>
      <c r="G87" s="26">
        <v>0.13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3754</v>
      </c>
    </row>
    <row r="7" spans="2:9" ht="14" customHeight="1" x14ac:dyDescent="0.3">
      <c r="B7" s="4" t="s">
        <v>66</v>
      </c>
      <c r="C7" s="15">
        <f>'DCF Model'!C15</f>
        <v>3360209340</v>
      </c>
    </row>
    <row r="8" spans="2:9" ht="14" customHeight="1" x14ac:dyDescent="0.3">
      <c r="B8" s="4" t="s">
        <v>123</v>
      </c>
      <c r="C8" s="5">
        <f>C6*C7/1000000</f>
        <v>12614225.862360001</v>
      </c>
    </row>
    <row r="9" spans="2:9" ht="14" customHeight="1" x14ac:dyDescent="0.3">
      <c r="B9" s="4" t="s">
        <v>67</v>
      </c>
      <c r="C9" s="5">
        <f>'DCF Model'!C16</f>
        <v>-458634</v>
      </c>
    </row>
    <row r="10" spans="2:9" ht="14" customHeight="1" x14ac:dyDescent="0.3">
      <c r="B10" s="4" t="s">
        <v>124</v>
      </c>
      <c r="C10" s="5">
        <f>C8+C9</f>
        <v>12155591.862360001</v>
      </c>
    </row>
    <row r="11" spans="2:9" ht="14" customHeight="1" x14ac:dyDescent="0.3">
      <c r="B11" s="4" t="s">
        <v>125</v>
      </c>
      <c r="C11" s="16">
        <f>'DCF Model'!C26</f>
        <v>7.8699999999999992E-2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357574</v>
      </c>
    </row>
    <row r="15" spans="2:9" ht="14" customHeight="1" x14ac:dyDescent="0.3">
      <c r="B15" s="4" t="s">
        <v>129</v>
      </c>
      <c r="C15" s="27">
        <v>415529</v>
      </c>
    </row>
    <row r="16" spans="2:9" ht="14" customHeight="1" x14ac:dyDescent="0.3">
      <c r="B16" s="4" t="s">
        <v>130</v>
      </c>
      <c r="C16" s="5">
        <f>'DCF Model'!G33</f>
        <v>4958166.2621021671</v>
      </c>
    </row>
    <row r="17" spans="2:9" ht="14" customHeight="1" x14ac:dyDescent="0.3">
      <c r="B17" s="4" t="s">
        <v>131</v>
      </c>
      <c r="C17" s="5">
        <f>'DCF Model'!C53</f>
        <v>3980879.8533833455</v>
      </c>
    </row>
    <row r="18" spans="2:9" ht="14" customHeight="1" x14ac:dyDescent="0.3">
      <c r="B18" s="4" t="s">
        <v>132</v>
      </c>
      <c r="C18" s="26">
        <v>8.3537387559085255E-2</v>
      </c>
    </row>
    <row r="19" spans="2:9" ht="14" customHeight="1" x14ac:dyDescent="0.3">
      <c r="B19" s="4" t="s">
        <v>133</v>
      </c>
      <c r="C19" s="5">
        <f>C10-C17</f>
        <v>8174712.0089766551</v>
      </c>
    </row>
    <row r="20" spans="2:9" ht="14" customHeight="1" x14ac:dyDescent="0.3">
      <c r="B20" s="4" t="s">
        <v>134</v>
      </c>
      <c r="C20" s="15">
        <f>IFERROR(ROUND(C19*1000000/C7,0),"N/A")</f>
        <v>2433</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835089.16094413202</v>
      </c>
    </row>
    <row r="25" spans="2:9" ht="14" customHeight="1" x14ac:dyDescent="0.3">
      <c r="B25" s="4" t="s">
        <v>138</v>
      </c>
      <c r="C25" s="5">
        <f>IFERROR(C24/(1-C13),"N/A")</f>
        <v>1113452.214592176</v>
      </c>
    </row>
    <row r="26" spans="2:9" ht="13.5" customHeight="1" x14ac:dyDescent="0.25">
      <c r="B26" s="6" t="s">
        <v>139</v>
      </c>
      <c r="C26" s="14">
        <f>IFERROR(C25/C15,"N/A")</f>
        <v>2.6796016995015415</v>
      </c>
    </row>
    <row r="27" spans="2:9" ht="13.5" customHeight="1" x14ac:dyDescent="0.25">
      <c r="B27" s="6" t="s">
        <v>140</v>
      </c>
      <c r="C27" s="14">
        <f>IFERROR(C25/C14,"N/A")</f>
        <v>3.1139070922163694</v>
      </c>
    </row>
    <row r="28" spans="2:9" ht="13.5" customHeight="1" x14ac:dyDescent="0.25">
      <c r="B28" s="6" t="s">
        <v>141</v>
      </c>
      <c r="C28" s="7">
        <f>IFERROR(C25/C16,"N/A")</f>
        <v>0.22456935805135622</v>
      </c>
    </row>
    <row r="29" spans="2:9" ht="13.5" customHeight="1" x14ac:dyDescent="0.25">
      <c r="B29" s="6" t="s">
        <v>142</v>
      </c>
      <c r="C29" s="5">
        <f>IFERROR(C25/C18,"N/A")</f>
        <v>13328789.026406184</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148</v>
      </c>
    </row>
    <row r="38" spans="2:9" ht="14" customHeight="1" x14ac:dyDescent="0.3">
      <c r="B38" s="4" t="s">
        <v>149</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150</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151</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152</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153</v>
      </c>
    </row>
    <row r="43" spans="2:9" ht="14" customHeight="1" x14ac:dyDescent="0.3">
      <c r="B43" s="4" t="s">
        <v>149</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150</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151</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152</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825598.31216383737</v>
      </c>
      <c r="E48" s="5">
        <f t="shared" si="2"/>
        <v>1004331.9011657854</v>
      </c>
      <c r="F48" s="5">
        <f t="shared" si="2"/>
        <v>1186127.1657845511</v>
      </c>
      <c r="G48" s="5">
        <f t="shared" si="2"/>
        <v>1370951.5709102929</v>
      </c>
      <c r="H48" s="5">
        <f t="shared" si="2"/>
        <v>1558772.7222246197</v>
      </c>
    </row>
    <row r="49" spans="2:9" ht="14" customHeight="1" x14ac:dyDescent="0.3">
      <c r="B49" s="4" t="s">
        <v>150</v>
      </c>
      <c r="C49" s="30">
        <v>5</v>
      </c>
      <c r="D49" s="5">
        <f t="shared" si="2"/>
        <v>863327.62323476118</v>
      </c>
      <c r="E49" s="5">
        <f t="shared" si="2"/>
        <v>1059708.470249231</v>
      </c>
      <c r="F49" s="5">
        <f t="shared" si="2"/>
        <v>1262555.7339857055</v>
      </c>
      <c r="G49" s="5">
        <f t="shared" si="2"/>
        <v>1471844.5459484539</v>
      </c>
      <c r="H49" s="5">
        <f t="shared" si="2"/>
        <v>1687547.288769603</v>
      </c>
    </row>
    <row r="50" spans="2:9" ht="14" customHeight="1" x14ac:dyDescent="0.3">
      <c r="B50" s="4" t="s">
        <v>151</v>
      </c>
      <c r="C50" s="30">
        <v>7</v>
      </c>
      <c r="D50" s="5">
        <f t="shared" si="2"/>
        <v>902484.09366793267</v>
      </c>
      <c r="E50" s="5">
        <f t="shared" si="2"/>
        <v>1117490.4756250803</v>
      </c>
      <c r="F50" s="5">
        <f t="shared" si="2"/>
        <v>1342702.4569491514</v>
      </c>
      <c r="G50" s="5">
        <f t="shared" si="2"/>
        <v>1578139.0370220663</v>
      </c>
      <c r="H50" s="5">
        <f t="shared" si="2"/>
        <v>1823809.7153361279</v>
      </c>
    </row>
    <row r="51" spans="2:9" ht="14" customHeight="1" x14ac:dyDescent="0.3">
      <c r="B51" s="4" t="s">
        <v>152</v>
      </c>
      <c r="C51" s="30">
        <v>10</v>
      </c>
      <c r="D51" s="5">
        <f t="shared" si="2"/>
        <v>963867.07101738197</v>
      </c>
      <c r="E51" s="5">
        <f t="shared" si="2"/>
        <v>1208609.5579385462</v>
      </c>
      <c r="F51" s="5">
        <f t="shared" si="2"/>
        <v>1469764.1734985926</v>
      </c>
      <c r="G51" s="5">
        <f t="shared" si="2"/>
        <v>1747470.7221040018</v>
      </c>
      <c r="H51" s="5">
        <f t="shared" si="2"/>
        <v>2041839.7258121499</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1.9868608741239175</v>
      </c>
      <c r="E53" s="14">
        <f t="shared" si="3"/>
        <v>2.4169959284810094</v>
      </c>
      <c r="F53" s="14">
        <f t="shared" si="3"/>
        <v>2.8544991222864136</v>
      </c>
      <c r="G53" s="14">
        <f t="shared" si="3"/>
        <v>3.2992921574915179</v>
      </c>
      <c r="H53" s="14">
        <f t="shared" si="3"/>
        <v>3.7512970748723187</v>
      </c>
    </row>
    <row r="54" spans="2:9" ht="14" customHeight="1" x14ac:dyDescent="0.3">
      <c r="B54" s="4" t="s">
        <v>150</v>
      </c>
      <c r="C54" s="30">
        <v>5</v>
      </c>
      <c r="D54" s="14">
        <f t="shared" si="3"/>
        <v>2.0776591362690962</v>
      </c>
      <c r="E54" s="14">
        <f t="shared" si="3"/>
        <v>2.55026356824489</v>
      </c>
      <c r="F54" s="14">
        <f t="shared" si="3"/>
        <v>3.0384298905388203</v>
      </c>
      <c r="G54" s="14">
        <f t="shared" si="3"/>
        <v>3.5420982553527045</v>
      </c>
      <c r="H54" s="14">
        <f t="shared" si="3"/>
        <v>4.0612021995326515</v>
      </c>
    </row>
    <row r="55" spans="2:9" ht="14" customHeight="1" x14ac:dyDescent="0.3">
      <c r="B55" s="4" t="s">
        <v>151</v>
      </c>
      <c r="C55" s="30">
        <v>7</v>
      </c>
      <c r="D55" s="14">
        <f t="shared" si="3"/>
        <v>2.1718919586068184</v>
      </c>
      <c r="E55" s="14">
        <f t="shared" si="3"/>
        <v>2.6893200609947328</v>
      </c>
      <c r="F55" s="14">
        <f t="shared" si="3"/>
        <v>3.2313086618482738</v>
      </c>
      <c r="G55" s="14">
        <f t="shared" si="3"/>
        <v>3.797903484527112</v>
      </c>
      <c r="H55" s="14">
        <f t="shared" si="3"/>
        <v>4.389127390232999</v>
      </c>
    </row>
    <row r="56" spans="2:9" ht="14" customHeight="1" x14ac:dyDescent="0.3">
      <c r="B56" s="4" t="s">
        <v>152</v>
      </c>
      <c r="C56" s="30">
        <v>10</v>
      </c>
      <c r="D56" s="14">
        <f t="shared" si="3"/>
        <v>2.3196144457243224</v>
      </c>
      <c r="E56" s="14">
        <f t="shared" si="3"/>
        <v>2.9086045930333291</v>
      </c>
      <c r="F56" s="14">
        <f t="shared" si="3"/>
        <v>3.5370916915512338</v>
      </c>
      <c r="G56" s="14">
        <f t="shared" si="3"/>
        <v>4.2054121904945303</v>
      </c>
      <c r="H56" s="14">
        <f t="shared" si="3"/>
        <v>4.9138320690304402</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1262555.7339857055</v>
      </c>
    </row>
    <row r="62" spans="2:9" ht="14" customHeight="1" x14ac:dyDescent="0.3">
      <c r="B62" s="28" t="s">
        <v>159</v>
      </c>
      <c r="C62" s="28" t="s">
        <v>160</v>
      </c>
      <c r="D62" s="28" t="s">
        <v>161</v>
      </c>
    </row>
    <row r="63" spans="2:9" ht="14" customHeight="1" x14ac:dyDescent="0.3">
      <c r="B63" s="31">
        <v>4.1799999999999997E-2</v>
      </c>
      <c r="C63" s="5">
        <f>IFERROR($C$60/B63,"N/A")</f>
        <v>30204682.631236978</v>
      </c>
      <c r="D63" s="14">
        <f>IFERROR(C63/'DCF Model'!C17,"N/A")</f>
        <v>6.9258892555151403</v>
      </c>
    </row>
    <row r="64" spans="2:9" ht="14" customHeight="1" x14ac:dyDescent="0.3">
      <c r="B64" s="31">
        <v>6.2700000000000006E-2</v>
      </c>
      <c r="C64" s="5">
        <f>IFERROR($C$60/B64,"N/A")</f>
        <v>20136455.087491315</v>
      </c>
      <c r="D64" s="14">
        <f>IFERROR(C64/'DCF Model'!C17,"N/A")</f>
        <v>4.6172595036767596</v>
      </c>
    </row>
    <row r="65" spans="2:9" ht="14" customHeight="1" x14ac:dyDescent="0.3">
      <c r="B65" s="4" t="s">
        <v>162</v>
      </c>
      <c r="C65" s="5">
        <f>IFERROR($C$60/$C$18,"N/A")</f>
        <v>15113660.731761703</v>
      </c>
      <c r="D65" s="14">
        <f>IFERROR(C65/'DCF Model'!C17,"N/A")</f>
        <v>3.4655401532130807</v>
      </c>
    </row>
    <row r="66" spans="2:9" ht="14" customHeight="1" x14ac:dyDescent="0.3">
      <c r="B66" s="31">
        <v>0.10440000000000001</v>
      </c>
      <c r="C66" s="5">
        <f>IFERROR($C$60/B66,"N/A")</f>
        <v>12093445.727832427</v>
      </c>
      <c r="D66" s="14">
        <f>IFERROR(C66/'DCF Model'!C17,"N/A")</f>
        <v>2.773009299621962</v>
      </c>
    </row>
    <row r="67" spans="2:9" ht="14" customHeight="1" x14ac:dyDescent="0.3">
      <c r="B67" s="31">
        <v>0.12529999999999999</v>
      </c>
      <c r="C67" s="5">
        <f>IFERROR($C$60/B67,"N/A")</f>
        <v>10076262.841067083</v>
      </c>
      <c r="D67" s="14">
        <f>IFERROR(C67/'DCF Model'!C17,"N/A")</f>
        <v>2.3104722336834222</v>
      </c>
    </row>
    <row r="69" spans="2:9" ht="14" customHeight="1" x14ac:dyDescent="0.3">
      <c r="B69" s="8" t="s">
        <v>163</v>
      </c>
      <c r="C69" s="9"/>
      <c r="D69" s="9"/>
      <c r="E69" s="9"/>
      <c r="F69" s="9"/>
      <c r="G69" s="9"/>
      <c r="H69" s="9"/>
      <c r="I69" s="9"/>
    </row>
    <row r="70" spans="2:9" ht="13.5" customHeight="1" x14ac:dyDescent="0.25">
      <c r="B70" s="6" t="s">
        <v>164</v>
      </c>
      <c r="C70" s="14">
        <f>IFERROR(C10/'Comps Analysis'!G5,"N/A")</f>
        <v>21.371041341167537</v>
      </c>
    </row>
    <row r="71" spans="2:9" ht="13.5" customHeight="1" x14ac:dyDescent="0.25">
      <c r="B71" s="6" t="s">
        <v>165</v>
      </c>
      <c r="C71" s="14">
        <f>IFERROR(C10/'Comps Analysis'!F5,"N/A")</f>
        <v>2.787259316768349</v>
      </c>
    </row>
    <row r="72" spans="2:9" ht="14" customHeight="1" x14ac:dyDescent="0.3">
      <c r="B72" s="4" t="s">
        <v>166</v>
      </c>
      <c r="C72" s="14">
        <f>IFERROR(C10/(C25+'DCF Model'!G42),"N/A")</f>
        <v>9.4815200257613306</v>
      </c>
    </row>
    <row r="73" spans="2:9" ht="14" customHeight="1" x14ac:dyDescent="0.3">
      <c r="B73" s="4" t="s">
        <v>167</v>
      </c>
      <c r="C73" s="14">
        <f>IFERROR(C10/(C60+'DCF Model'!G42),"N/A")</f>
        <v>8.4936819821626646</v>
      </c>
    </row>
    <row r="74" spans="2:9" ht="14" customHeight="1" x14ac:dyDescent="0.3">
      <c r="B74" s="4" t="s">
        <v>168</v>
      </c>
      <c r="C74" s="14">
        <f>IFERROR('Comps Analysis'!D16,"N/A")</f>
        <v>12.352406917212193</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3,754 yen the market is paying for a steady-state operating profit of 1,262,556 mn JPY - 3.04x the FY2025 cycle peak of 415,529 mn - reached in 5 years and sustained for ever, against 357,574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1,113,452 mn, or 2.68x the peak. The base case supports an EV of only 3,980,880 mn, leaving 2,433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92.779528089872173</v>
      </c>
      <c r="D5" s="34">
        <f>CHOOSE('DCF Model'!$D$27,D25,D26,D27,D28,D29)</f>
        <v>77</v>
      </c>
      <c r="E5" s="34">
        <f>CHOOSE('DCF Model'!$D$27,E25,E26,E27,E28,E29)</f>
        <v>77</v>
      </c>
      <c r="F5" s="34">
        <f>CHOOSE('DCF Model'!$D$27,F25,F26,F27,F28,F29)</f>
        <v>77</v>
      </c>
      <c r="G5" s="34">
        <f>CHOOSE('DCF Model'!$D$27,G25,G26,G27,G28,G29)</f>
        <v>77</v>
      </c>
      <c r="H5" s="34">
        <f>CHOOSE('DCF Model'!$D$27,H25,H26,H27,H28,H29)</f>
        <v>77</v>
      </c>
    </row>
    <row r="6" spans="2:8" ht="14" customHeight="1" x14ac:dyDescent="0.3">
      <c r="B6" s="33" t="s">
        <v>175</v>
      </c>
      <c r="C6" s="34">
        <f>C13/C10*365</f>
        <v>108.96626454724458</v>
      </c>
      <c r="D6" s="34">
        <f>CHOOSE('DCF Model'!$D$27,D32,D33,D34,D35,D36)</f>
        <v>99</v>
      </c>
      <c r="E6" s="34">
        <f>CHOOSE('DCF Model'!$D$27,E32,E33,E34,E35,E36)</f>
        <v>99</v>
      </c>
      <c r="F6" s="34">
        <f>CHOOSE('DCF Model'!$D$27,F32,F33,F34,F35,F36)</f>
        <v>99</v>
      </c>
      <c r="G6" s="34">
        <f>CHOOSE('DCF Model'!$D$27,G32,G33,G34,G35,G36)</f>
        <v>99</v>
      </c>
      <c r="H6" s="34">
        <f>CHOOSE('DCF Model'!$D$27,H32,H33,H34,H35,H36)</f>
        <v>99</v>
      </c>
    </row>
    <row r="7" spans="2:8" ht="14" customHeight="1" x14ac:dyDescent="0.3">
      <c r="B7" s="33" t="s">
        <v>176</v>
      </c>
      <c r="C7" s="34">
        <f>C15/C10*365</f>
        <v>104.67454372597426</v>
      </c>
      <c r="D7" s="34">
        <f>CHOOSE('DCF Model'!$D$27,D39,D40,D41,D42,D43)</f>
        <v>95</v>
      </c>
      <c r="E7" s="34">
        <f>CHOOSE('DCF Model'!$D$27,E39,E40,E41,E42,E43)</f>
        <v>95</v>
      </c>
      <c r="F7" s="34">
        <f>CHOOSE('DCF Model'!$D$27,F39,F40,F41,F42,F43)</f>
        <v>95</v>
      </c>
      <c r="G7" s="34">
        <f>CHOOSE('DCF Model'!$D$27,G39,G40,G41,G42,G43)</f>
        <v>95</v>
      </c>
      <c r="H7" s="34">
        <f>CHOOSE('DCF Model'!$D$27,H39,H40,H41,H42,H43)</f>
        <v>95</v>
      </c>
    </row>
    <row r="8" spans="2:8" ht="14" customHeight="1" x14ac:dyDescent="0.3">
      <c r="B8" s="8" t="s">
        <v>177</v>
      </c>
      <c r="C8" s="9"/>
      <c r="D8" s="9"/>
      <c r="E8" s="9"/>
      <c r="F8" s="9"/>
      <c r="G8" s="9"/>
      <c r="H8" s="9"/>
    </row>
    <row r="9" spans="2:8" ht="14" customHeight="1" x14ac:dyDescent="0.3">
      <c r="B9" s="33" t="s">
        <v>32</v>
      </c>
      <c r="C9" s="35">
        <v>4361127</v>
      </c>
      <c r="D9" s="35">
        <f>'DCF Model'!C33</f>
        <v>4491960.8100000005</v>
      </c>
      <c r="E9" s="35">
        <f>'DCF Model'!D33</f>
        <v>4626719.634300001</v>
      </c>
      <c r="F9" s="35">
        <f>'DCF Model'!E33</f>
        <v>4742387.6251575006</v>
      </c>
      <c r="G9" s="35">
        <f>'DCF Model'!F33</f>
        <v>4860947.3157864381</v>
      </c>
      <c r="H9" s="35">
        <f>'DCF Model'!G33</f>
        <v>4958166.2621021671</v>
      </c>
    </row>
    <row r="10" spans="2:8" ht="14" customHeight="1" x14ac:dyDescent="0.3">
      <c r="B10" s="33" t="s">
        <v>33</v>
      </c>
      <c r="C10" s="35">
        <v>3490008</v>
      </c>
      <c r="D10" s="35">
        <f>'DCF Model'!C34</f>
        <v>3593568.6480000005</v>
      </c>
      <c r="E10" s="35">
        <f>'DCF Model'!D34</f>
        <v>3701375.707440001</v>
      </c>
      <c r="F10" s="35">
        <f>'DCF Model'!E34</f>
        <v>3793910.1001260006</v>
      </c>
      <c r="G10" s="35">
        <f>'DCF Model'!F34</f>
        <v>3888757.8526291507</v>
      </c>
      <c r="H10" s="35">
        <f>'DCF Model'!G34</f>
        <v>3966533.0096817338</v>
      </c>
    </row>
    <row r="11" spans="2:8" ht="14" customHeight="1" x14ac:dyDescent="0.3">
      <c r="B11" s="8" t="s">
        <v>178</v>
      </c>
      <c r="C11" s="9"/>
      <c r="D11" s="9"/>
      <c r="E11" s="9"/>
      <c r="F11" s="9"/>
      <c r="G11" s="9"/>
      <c r="H11" s="9"/>
    </row>
    <row r="12" spans="2:8" ht="14" customHeight="1" x14ac:dyDescent="0.3">
      <c r="B12" s="33" t="s">
        <v>179</v>
      </c>
      <c r="C12" s="35">
        <v>1108557</v>
      </c>
      <c r="D12" s="35">
        <f t="shared" ref="D12:H13" si="0">D9*D5/365</f>
        <v>947619.12978082208</v>
      </c>
      <c r="E12" s="35">
        <f t="shared" si="0"/>
        <v>976047.70367424679</v>
      </c>
      <c r="F12" s="35">
        <f t="shared" si="0"/>
        <v>1000448.8962661028</v>
      </c>
      <c r="G12" s="35">
        <f t="shared" si="0"/>
        <v>1025460.1186727554</v>
      </c>
      <c r="H12" s="35">
        <f t="shared" si="0"/>
        <v>1045969.3210462106</v>
      </c>
    </row>
    <row r="13" spans="2:8" ht="14" customHeight="1" x14ac:dyDescent="0.3">
      <c r="B13" s="33" t="s">
        <v>180</v>
      </c>
      <c r="C13" s="35">
        <v>1041899</v>
      </c>
      <c r="D13" s="35">
        <f t="shared" si="0"/>
        <v>974693.96206027421</v>
      </c>
      <c r="E13" s="35">
        <f t="shared" si="0"/>
        <v>1003934.7809220825</v>
      </c>
      <c r="F13" s="35">
        <f t="shared" si="0"/>
        <v>1029033.1504451344</v>
      </c>
      <c r="G13" s="35">
        <f t="shared" si="0"/>
        <v>1054758.9792062629</v>
      </c>
      <c r="H13" s="35">
        <f t="shared" si="0"/>
        <v>1075854.1587903879</v>
      </c>
    </row>
    <row r="14" spans="2:8" ht="14" customHeight="1" x14ac:dyDescent="0.3">
      <c r="B14" s="33" t="s">
        <v>181</v>
      </c>
      <c r="C14" s="35">
        <f t="shared" ref="C14:H14" si="1">C12+C13</f>
        <v>2150456</v>
      </c>
      <c r="D14" s="35">
        <f t="shared" si="1"/>
        <v>1922313.0918410963</v>
      </c>
      <c r="E14" s="35">
        <f t="shared" si="1"/>
        <v>1979982.4845963293</v>
      </c>
      <c r="F14" s="35">
        <f t="shared" si="1"/>
        <v>2029482.0467112372</v>
      </c>
      <c r="G14" s="35">
        <f t="shared" si="1"/>
        <v>2080219.0978790182</v>
      </c>
      <c r="H14" s="35">
        <f t="shared" si="1"/>
        <v>2121823.4798365985</v>
      </c>
    </row>
    <row r="15" spans="2:8" ht="14" customHeight="1" x14ac:dyDescent="0.3">
      <c r="B15" s="33" t="s">
        <v>182</v>
      </c>
      <c r="C15" s="35">
        <v>1000863</v>
      </c>
      <c r="D15" s="35">
        <f>D10*D7/365</f>
        <v>935312.3878356166</v>
      </c>
      <c r="E15" s="35">
        <f>E10*E7/365</f>
        <v>963371.75947068527</v>
      </c>
      <c r="F15" s="35">
        <f>F10*F7/365</f>
        <v>987456.05345745222</v>
      </c>
      <c r="G15" s="35">
        <f>G10*G7/365</f>
        <v>1012142.4547938886</v>
      </c>
      <c r="H15" s="35">
        <f>H10*H7/365</f>
        <v>1032385.3038897663</v>
      </c>
    </row>
    <row r="16" spans="2:8" ht="14" customHeight="1" x14ac:dyDescent="0.3">
      <c r="B16" s="33" t="s">
        <v>183</v>
      </c>
      <c r="C16" s="35">
        <f t="shared" ref="C16:H16" si="2">C15</f>
        <v>1000863</v>
      </c>
      <c r="D16" s="35">
        <f t="shared" si="2"/>
        <v>935312.3878356166</v>
      </c>
      <c r="E16" s="35">
        <f t="shared" si="2"/>
        <v>963371.75947068527</v>
      </c>
      <c r="F16" s="35">
        <f t="shared" si="2"/>
        <v>987456.05345745222</v>
      </c>
      <c r="G16" s="35">
        <f t="shared" si="2"/>
        <v>1012142.4547938886</v>
      </c>
      <c r="H16" s="35">
        <f t="shared" si="2"/>
        <v>1032385.3038897663</v>
      </c>
    </row>
    <row r="17" spans="2:8" ht="14" customHeight="1" x14ac:dyDescent="0.3">
      <c r="B17" s="22" t="s">
        <v>184</v>
      </c>
      <c r="C17" s="23"/>
      <c r="D17" s="23"/>
      <c r="E17" s="23"/>
      <c r="F17" s="23"/>
      <c r="G17" s="23"/>
      <c r="H17" s="23"/>
    </row>
    <row r="18" spans="2:8" ht="14" customHeight="1" x14ac:dyDescent="0.3">
      <c r="B18" s="33" t="s">
        <v>185</v>
      </c>
      <c r="C18" s="20">
        <f t="shared" ref="C18:H18" si="3">C14-C16</f>
        <v>1149593</v>
      </c>
      <c r="D18" s="20">
        <f t="shared" si="3"/>
        <v>987000.7040054797</v>
      </c>
      <c r="E18" s="20">
        <f t="shared" si="3"/>
        <v>1016610.725125644</v>
      </c>
      <c r="F18" s="20">
        <f t="shared" si="3"/>
        <v>1042025.993253785</v>
      </c>
      <c r="G18" s="20">
        <f t="shared" si="3"/>
        <v>1068076.6430851296</v>
      </c>
      <c r="H18" s="20">
        <f t="shared" si="3"/>
        <v>1089438.1759468322</v>
      </c>
    </row>
    <row r="19" spans="2:8" ht="14" customHeight="1" x14ac:dyDescent="0.3">
      <c r="B19" s="33" t="s">
        <v>94</v>
      </c>
      <c r="C19" s="36" t="s">
        <v>42</v>
      </c>
      <c r="D19" s="24">
        <f>D18-C18</f>
        <v>-162592.2959945203</v>
      </c>
      <c r="E19" s="24">
        <f>E18-D18</f>
        <v>29610.021120164311</v>
      </c>
      <c r="F19" s="24">
        <f>F18-E18</f>
        <v>25415.268128140946</v>
      </c>
      <c r="G19" s="24">
        <f>G18-F18</f>
        <v>26050.649831344606</v>
      </c>
      <c r="H19" s="24">
        <f>H18-G18</f>
        <v>21361.53286170261</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77</v>
      </c>
      <c r="E25" s="30">
        <v>77</v>
      </c>
      <c r="F25" s="30">
        <v>77</v>
      </c>
      <c r="G25" s="30">
        <v>77</v>
      </c>
      <c r="H25" s="30">
        <v>77</v>
      </c>
    </row>
    <row r="26" spans="2:8" ht="14" customHeight="1" x14ac:dyDescent="0.3">
      <c r="B26" s="4" t="s">
        <v>115</v>
      </c>
      <c r="D26" s="30">
        <v>74</v>
      </c>
      <c r="E26" s="30">
        <v>74</v>
      </c>
      <c r="F26" s="30">
        <v>74</v>
      </c>
      <c r="G26" s="30">
        <v>74</v>
      </c>
      <c r="H26" s="30">
        <v>74</v>
      </c>
    </row>
    <row r="27" spans="2:8" ht="14" customHeight="1" x14ac:dyDescent="0.3">
      <c r="B27" s="4" t="s">
        <v>116</v>
      </c>
      <c r="D27" s="30">
        <v>77</v>
      </c>
      <c r="E27" s="30">
        <v>77</v>
      </c>
      <c r="F27" s="30">
        <v>77</v>
      </c>
      <c r="G27" s="30">
        <v>77</v>
      </c>
      <c r="H27" s="30">
        <v>77</v>
      </c>
    </row>
    <row r="28" spans="2:8" ht="14" customHeight="1" x14ac:dyDescent="0.3">
      <c r="B28" s="4" t="s">
        <v>117</v>
      </c>
      <c r="D28" s="30">
        <v>81</v>
      </c>
      <c r="E28" s="30">
        <v>81</v>
      </c>
      <c r="F28" s="30">
        <v>81</v>
      </c>
      <c r="G28" s="30">
        <v>81</v>
      </c>
      <c r="H28" s="30">
        <v>81</v>
      </c>
    </row>
    <row r="29" spans="2:8" ht="14" customHeight="1" x14ac:dyDescent="0.3">
      <c r="B29" s="4" t="s">
        <v>118</v>
      </c>
      <c r="D29" s="30">
        <v>85</v>
      </c>
      <c r="E29" s="30">
        <v>85</v>
      </c>
      <c r="F29" s="30">
        <v>85</v>
      </c>
      <c r="G29" s="30">
        <v>85</v>
      </c>
      <c r="H29" s="30">
        <v>85</v>
      </c>
    </row>
    <row r="31" spans="2:8" ht="14" customHeight="1" x14ac:dyDescent="0.3">
      <c r="B31" s="3" t="s">
        <v>188</v>
      </c>
    </row>
    <row r="32" spans="2:8" ht="14" customHeight="1" x14ac:dyDescent="0.3">
      <c r="B32" s="4" t="s">
        <v>78</v>
      </c>
      <c r="D32" s="30">
        <v>99</v>
      </c>
      <c r="E32" s="30">
        <v>99</v>
      </c>
      <c r="F32" s="30">
        <v>99</v>
      </c>
      <c r="G32" s="30">
        <v>99</v>
      </c>
      <c r="H32" s="30">
        <v>99</v>
      </c>
    </row>
    <row r="33" spans="2:8" ht="14" customHeight="1" x14ac:dyDescent="0.3">
      <c r="B33" s="4" t="s">
        <v>115</v>
      </c>
      <c r="D33" s="30">
        <v>94</v>
      </c>
      <c r="E33" s="30">
        <v>94</v>
      </c>
      <c r="F33" s="30">
        <v>94</v>
      </c>
      <c r="G33" s="30">
        <v>94</v>
      </c>
      <c r="H33" s="30">
        <v>94</v>
      </c>
    </row>
    <row r="34" spans="2:8" ht="14" customHeight="1" x14ac:dyDescent="0.3">
      <c r="B34" s="4" t="s">
        <v>116</v>
      </c>
      <c r="D34" s="30">
        <v>99</v>
      </c>
      <c r="E34" s="30">
        <v>99</v>
      </c>
      <c r="F34" s="30">
        <v>99</v>
      </c>
      <c r="G34" s="30">
        <v>99</v>
      </c>
      <c r="H34" s="30">
        <v>99</v>
      </c>
    </row>
    <row r="35" spans="2:8" ht="14" customHeight="1" x14ac:dyDescent="0.3">
      <c r="B35" s="4" t="s">
        <v>117</v>
      </c>
      <c r="D35" s="30">
        <v>104</v>
      </c>
      <c r="E35" s="30">
        <v>104</v>
      </c>
      <c r="F35" s="30">
        <v>104</v>
      </c>
      <c r="G35" s="30">
        <v>104</v>
      </c>
      <c r="H35" s="30">
        <v>104</v>
      </c>
    </row>
    <row r="36" spans="2:8" ht="14" customHeight="1" x14ac:dyDescent="0.3">
      <c r="B36" s="4" t="s">
        <v>118</v>
      </c>
      <c r="D36" s="30">
        <v>109</v>
      </c>
      <c r="E36" s="30">
        <v>109</v>
      </c>
      <c r="F36" s="30">
        <v>109</v>
      </c>
      <c r="G36" s="30">
        <v>109</v>
      </c>
      <c r="H36" s="30">
        <v>109</v>
      </c>
    </row>
    <row r="38" spans="2:8" ht="14" customHeight="1" x14ac:dyDescent="0.3">
      <c r="B38" s="3" t="s">
        <v>189</v>
      </c>
    </row>
    <row r="39" spans="2:8" ht="14" customHeight="1" x14ac:dyDescent="0.3">
      <c r="B39" s="4" t="s">
        <v>78</v>
      </c>
      <c r="D39" s="30">
        <v>95</v>
      </c>
      <c r="E39" s="30">
        <v>95</v>
      </c>
      <c r="F39" s="30">
        <v>95</v>
      </c>
      <c r="G39" s="30">
        <v>95</v>
      </c>
      <c r="H39" s="30">
        <v>95</v>
      </c>
    </row>
    <row r="40" spans="2:8" ht="14" customHeight="1" x14ac:dyDescent="0.3">
      <c r="B40" s="4" t="s">
        <v>115</v>
      </c>
      <c r="D40" s="30">
        <v>99</v>
      </c>
      <c r="E40" s="30">
        <v>99</v>
      </c>
      <c r="F40" s="30">
        <v>99</v>
      </c>
      <c r="G40" s="30">
        <v>99</v>
      </c>
      <c r="H40" s="30">
        <v>99</v>
      </c>
    </row>
    <row r="41" spans="2:8" ht="14" customHeight="1" x14ac:dyDescent="0.3">
      <c r="B41" s="4" t="s">
        <v>116</v>
      </c>
      <c r="D41" s="30">
        <v>95</v>
      </c>
      <c r="E41" s="30">
        <v>95</v>
      </c>
      <c r="F41" s="30">
        <v>95</v>
      </c>
      <c r="G41" s="30">
        <v>95</v>
      </c>
      <c r="H41" s="30">
        <v>95</v>
      </c>
    </row>
    <row r="42" spans="2:8" ht="14" customHeight="1" x14ac:dyDescent="0.3">
      <c r="B42" s="4" t="s">
        <v>117</v>
      </c>
      <c r="D42" s="30">
        <v>90</v>
      </c>
      <c r="E42" s="30">
        <v>90</v>
      </c>
      <c r="F42" s="30">
        <v>90</v>
      </c>
      <c r="G42" s="30">
        <v>90</v>
      </c>
      <c r="H42" s="30">
        <v>90</v>
      </c>
    </row>
    <row r="43" spans="2:8" ht="14" customHeight="1" x14ac:dyDescent="0.3">
      <c r="B43" s="4" t="s">
        <v>118</v>
      </c>
      <c r="D43" s="30">
        <v>86</v>
      </c>
      <c r="E43" s="30">
        <v>86</v>
      </c>
      <c r="F43" s="30">
        <v>86</v>
      </c>
      <c r="G43" s="30">
        <v>86</v>
      </c>
      <c r="H43" s="30">
        <v>86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12614225.862360001</v>
      </c>
      <c r="E5" s="37">
        <f>D5+C24</f>
        <v>12155591.862360001</v>
      </c>
      <c r="F5" s="37">
        <v>4361127</v>
      </c>
      <c r="G5" s="37">
        <v>568788</v>
      </c>
      <c r="H5" s="37">
        <v>357574</v>
      </c>
      <c r="I5" s="37">
        <v>245447</v>
      </c>
      <c r="J5" s="38">
        <f t="shared" ref="J5:J10" si="0">IFERROR(E5/G5,"")</f>
        <v>21.371041341167537</v>
      </c>
      <c r="K5" s="38">
        <f t="shared" ref="K5:K10" si="1">IFERROR(E5/F5,"")</f>
        <v>2.787259316768349</v>
      </c>
      <c r="L5" s="38">
        <f t="shared" ref="L5:L10" si="2">IFERROR(D5/I5,"")</f>
        <v>51.392870405260609</v>
      </c>
      <c r="M5" s="38">
        <f t="shared" ref="M5:M10" si="3">IFERROR(D5/P5,"")</f>
        <v>4.0841691135497831</v>
      </c>
      <c r="N5" s="39">
        <f t="shared" ref="N5:N10" si="4">IFERROR(H5/F5,"")</f>
        <v>8.1991191726358811E-2</v>
      </c>
      <c r="O5" s="39">
        <f t="shared" ref="O5:O10" si="5">IFERROR(I5/P5,"")</f>
        <v>7.946956613522263E-2</v>
      </c>
      <c r="P5" s="37">
        <v>3088566</v>
      </c>
    </row>
    <row r="6" spans="2:17" ht="14" customHeight="1" x14ac:dyDescent="0.3">
      <c r="B6" s="4" t="s">
        <v>208</v>
      </c>
      <c r="C6" t="s">
        <v>209</v>
      </c>
      <c r="D6" s="37">
        <v>2782395</v>
      </c>
      <c r="E6" s="37">
        <v>3117204</v>
      </c>
      <c r="F6" s="37">
        <v>1643402</v>
      </c>
      <c r="G6" s="37">
        <v>252356</v>
      </c>
      <c r="H6" s="37">
        <v>165534</v>
      </c>
      <c r="I6" s="37">
        <v>160992</v>
      </c>
      <c r="J6" s="38">
        <f t="shared" si="0"/>
        <v>12.352406917212193</v>
      </c>
      <c r="K6" s="38">
        <f t="shared" si="1"/>
        <v>1.8967994440800242</v>
      </c>
      <c r="L6" s="38">
        <f t="shared" si="2"/>
        <v>17.282815295169947</v>
      </c>
      <c r="M6" s="38">
        <f t="shared" si="3"/>
        <v>4.2658871003598353</v>
      </c>
      <c r="N6" s="39">
        <f t="shared" si="4"/>
        <v>0.10072641995080936</v>
      </c>
      <c r="O6" s="39">
        <f t="shared" si="5"/>
        <v>0.24682825266043484</v>
      </c>
      <c r="P6" s="37">
        <v>652243</v>
      </c>
    </row>
    <row r="7" spans="2:17" ht="14" customHeight="1" x14ac:dyDescent="0.3">
      <c r="B7" s="4" t="s">
        <v>210</v>
      </c>
      <c r="C7" t="s">
        <v>211</v>
      </c>
      <c r="D7" s="37">
        <v>2124926</v>
      </c>
      <c r="E7" s="37">
        <v>2009512</v>
      </c>
      <c r="F7" s="37">
        <v>2311267</v>
      </c>
      <c r="G7" s="37">
        <v>214393</v>
      </c>
      <c r="H7" s="37">
        <v>120962</v>
      </c>
      <c r="I7" s="37">
        <v>108157</v>
      </c>
      <c r="J7" s="38">
        <f t="shared" si="0"/>
        <v>9.3730299030285504</v>
      </c>
      <c r="K7" s="38">
        <f t="shared" si="1"/>
        <v>0.86944173909807909</v>
      </c>
      <c r="L7" s="38">
        <f t="shared" si="2"/>
        <v>19.646680288839374</v>
      </c>
      <c r="M7" s="38">
        <f t="shared" si="3"/>
        <v>2.4198555779898214</v>
      </c>
      <c r="N7" s="39">
        <f t="shared" si="4"/>
        <v>5.2335796772938828E-2</v>
      </c>
      <c r="O7" s="39">
        <f t="shared" si="5"/>
        <v>0.12316867493204239</v>
      </c>
      <c r="P7" s="37">
        <v>878121</v>
      </c>
    </row>
    <row r="8" spans="2:17" ht="14" customHeight="1" x14ac:dyDescent="0.3">
      <c r="B8" s="4" t="s">
        <v>212</v>
      </c>
      <c r="C8" t="s">
        <v>213</v>
      </c>
      <c r="D8" s="37">
        <v>24068208</v>
      </c>
      <c r="E8" s="37">
        <v>23753765</v>
      </c>
      <c r="F8" s="37">
        <v>10586781</v>
      </c>
      <c r="G8" s="37">
        <v>1657248</v>
      </c>
      <c r="H8" s="37">
        <v>1199275</v>
      </c>
      <c r="I8" s="37">
        <v>802368</v>
      </c>
      <c r="J8" s="38">
        <f t="shared" si="0"/>
        <v>14.333259113904496</v>
      </c>
      <c r="K8" s="38">
        <f t="shared" si="1"/>
        <v>2.2437193137366305</v>
      </c>
      <c r="L8" s="38">
        <f t="shared" si="2"/>
        <v>29.996470447475474</v>
      </c>
      <c r="M8" s="38">
        <f t="shared" si="3"/>
        <v>3.6642594226968672</v>
      </c>
      <c r="N8" s="39">
        <f t="shared" si="4"/>
        <v>0.1132804201768224</v>
      </c>
      <c r="O8" s="39">
        <f t="shared" si="5"/>
        <v>0.12215635266532682</v>
      </c>
      <c r="P8" s="37">
        <v>6568369</v>
      </c>
    </row>
    <row r="9" spans="2:17" ht="14" customHeight="1" x14ac:dyDescent="0.3">
      <c r="B9" s="4" t="s">
        <v>214</v>
      </c>
      <c r="C9" t="s">
        <v>215</v>
      </c>
      <c r="D9" s="37">
        <v>10739696</v>
      </c>
      <c r="E9" s="37">
        <v>10371365</v>
      </c>
      <c r="F9" s="37">
        <v>5894747</v>
      </c>
      <c r="G9" s="37">
        <v>666879</v>
      </c>
      <c r="H9" s="37">
        <v>433095</v>
      </c>
      <c r="I9" s="37">
        <v>407758</v>
      </c>
      <c r="J9" s="38">
        <f t="shared" si="0"/>
        <v>15.552094158010673</v>
      </c>
      <c r="K9" s="38">
        <f t="shared" si="1"/>
        <v>1.7594249592052043</v>
      </c>
      <c r="L9" s="38">
        <f t="shared" si="2"/>
        <v>26.338406603917029</v>
      </c>
      <c r="M9" s="38">
        <f t="shared" si="3"/>
        <v>2.3949730011555959</v>
      </c>
      <c r="N9" s="39">
        <f t="shared" si="4"/>
        <v>7.3471346607411656E-2</v>
      </c>
      <c r="O9" s="39">
        <f t="shared" si="5"/>
        <v>9.0930823461409294E-2</v>
      </c>
      <c r="P9" s="37">
        <v>4484266</v>
      </c>
    </row>
    <row r="10" spans="2:17" ht="14" customHeight="1" x14ac:dyDescent="0.3">
      <c r="B10" s="4" t="s">
        <v>216</v>
      </c>
      <c r="C10" t="s">
        <v>217</v>
      </c>
      <c r="D10" s="37">
        <v>5705891</v>
      </c>
      <c r="E10" s="37">
        <v>5866992</v>
      </c>
      <c r="F10" s="37">
        <v>5015036</v>
      </c>
      <c r="G10" s="37">
        <v>691198</v>
      </c>
      <c r="H10" s="37">
        <v>414992</v>
      </c>
      <c r="I10" s="37">
        <v>275229</v>
      </c>
      <c r="J10" s="38">
        <f t="shared" si="0"/>
        <v>8.4881495606179413</v>
      </c>
      <c r="K10" s="38">
        <f t="shared" si="1"/>
        <v>1.1698803358540197</v>
      </c>
      <c r="L10" s="38">
        <f t="shared" si="2"/>
        <v>20.731430917526861</v>
      </c>
      <c r="M10" s="38">
        <f t="shared" si="3"/>
        <v>1.7531493382395413</v>
      </c>
      <c r="N10" s="39">
        <f t="shared" si="4"/>
        <v>8.2749555536590372E-2</v>
      </c>
      <c r="O10" s="39">
        <f t="shared" si="5"/>
        <v>8.4564801398121822E-2</v>
      </c>
      <c r="P10" s="37">
        <v>3254652</v>
      </c>
    </row>
    <row r="14" spans="2:17" ht="14" customHeight="1" x14ac:dyDescent="0.3">
      <c r="B14" s="3" t="s">
        <v>218</v>
      </c>
    </row>
    <row r="15" spans="2:17" ht="14" customHeight="1" x14ac:dyDescent="0.3">
      <c r="B15" s="4" t="s">
        <v>219</v>
      </c>
      <c r="D15" s="38">
        <f t="shared" ref="D15:I15" si="6">PERCENTILE(J6:J10,0.25)</f>
        <v>9.3730299030285504</v>
      </c>
      <c r="E15" s="38">
        <f t="shared" si="6"/>
        <v>1.1698803358540197</v>
      </c>
      <c r="F15" s="38">
        <f t="shared" si="6"/>
        <v>19.646680288839374</v>
      </c>
      <c r="G15" s="38">
        <f t="shared" si="6"/>
        <v>2.3949730011555959</v>
      </c>
      <c r="H15" s="39">
        <f t="shared" si="6"/>
        <v>7.3471346607411656E-2</v>
      </c>
      <c r="I15" s="39">
        <f t="shared" si="6"/>
        <v>9.0930823461409294E-2</v>
      </c>
    </row>
    <row r="16" spans="2:17" ht="14" customHeight="1" x14ac:dyDescent="0.3">
      <c r="B16" s="4" t="s">
        <v>220</v>
      </c>
      <c r="D16" s="38">
        <f t="shared" ref="D16:I16" si="7">MEDIAN(J6:J10)</f>
        <v>12.352406917212193</v>
      </c>
      <c r="E16" s="38">
        <f t="shared" si="7"/>
        <v>1.7594249592052043</v>
      </c>
      <c r="F16" s="38">
        <f t="shared" si="7"/>
        <v>20.731430917526861</v>
      </c>
      <c r="G16" s="38">
        <f t="shared" si="7"/>
        <v>2.4198555779898214</v>
      </c>
      <c r="H16" s="39">
        <f t="shared" si="7"/>
        <v>8.2749555536590372E-2</v>
      </c>
      <c r="I16" s="39">
        <f t="shared" si="7"/>
        <v>0.12215635266532682</v>
      </c>
    </row>
    <row r="17" spans="2:9" ht="14" customHeight="1" x14ac:dyDescent="0.3">
      <c r="B17" s="4" t="s">
        <v>221</v>
      </c>
      <c r="D17" s="38">
        <f t="shared" ref="D17:I17" si="8">PERCENTILE(J6:J10,0.75)</f>
        <v>14.333259113904496</v>
      </c>
      <c r="E17" s="38">
        <f t="shared" si="8"/>
        <v>1.8967994440800242</v>
      </c>
      <c r="F17" s="38">
        <f t="shared" si="8"/>
        <v>26.338406603917029</v>
      </c>
      <c r="G17" s="38">
        <f t="shared" si="8"/>
        <v>3.6642594226968672</v>
      </c>
      <c r="H17" s="39">
        <f t="shared" si="8"/>
        <v>0.10072641995080936</v>
      </c>
      <c r="I17" s="39">
        <f t="shared" si="8"/>
        <v>0.12316867493204239</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568788</v>
      </c>
    </row>
    <row r="22" spans="2:9" ht="14" customHeight="1" x14ac:dyDescent="0.3">
      <c r="B22" s="4" t="s">
        <v>225</v>
      </c>
      <c r="C22" s="5">
        <v>332129</v>
      </c>
    </row>
    <row r="23" spans="2:9" ht="14" customHeight="1" x14ac:dyDescent="0.3">
      <c r="B23" s="4" t="s">
        <v>226</v>
      </c>
      <c r="C23" s="15">
        <v>3360209340</v>
      </c>
    </row>
    <row r="24" spans="2:9" ht="14" customHeight="1" x14ac:dyDescent="0.3">
      <c r="B24" s="4" t="s">
        <v>67</v>
      </c>
      <c r="C24" s="5">
        <v>-458634</v>
      </c>
    </row>
    <row r="26" spans="2:9" ht="14" customHeight="1" x14ac:dyDescent="0.3">
      <c r="B26" s="3" t="s">
        <v>227</v>
      </c>
    </row>
    <row r="27" spans="2:9" ht="14" customHeight="1" x14ac:dyDescent="0.3">
      <c r="B27" s="4" t="s">
        <v>228</v>
      </c>
      <c r="C27" s="24">
        <f>ROUND((C21*D16-C24)*1000000/C23,0)</f>
        <v>2227</v>
      </c>
    </row>
    <row r="28" spans="2:9" ht="14" customHeight="1" x14ac:dyDescent="0.3">
      <c r="B28" s="4" t="s">
        <v>229</v>
      </c>
      <c r="C28" s="24">
        <f>ROUND(C22*F16*1000000/C23,0)</f>
        <v>2049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7.8699999999999992E-2</v>
      </c>
      <c r="E3" s="4" t="s">
        <v>232</v>
      </c>
      <c r="F3" s="16">
        <f>'DCF Model'!C13</f>
        <v>0.01</v>
      </c>
      <c r="H3" s="4" t="s">
        <v>233</v>
      </c>
      <c r="I3" s="14">
        <f>'DCF Model'!C14</f>
        <v>12.4</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1496</v>
      </c>
      <c r="D7" s="37">
        <f>IFERROR(ROUND(('DCF Model'!C45/(1+$B7)^('DCF Model'!C19+0)+'DCF Model'!D45/(1+$B7)^('DCF Model'!C19+1)+'DCF Model'!E45/(1+$B7)^('DCF Model'!C19+2)+'DCF Model'!F45/(1+$B7)^('DCF Model'!C19+3)+'DCF Model'!G45/(1+$B7)^('DCF Model'!C19+4)+'DCF Model'!G45*(1+D$6)/($B7-D$6)/(1+$B7)^('DCF Model'!C19+4)-'DCF Model'!C16)*1000000/'DCF Model'!C15,0),"")</f>
        <v>1541</v>
      </c>
      <c r="E7" s="37">
        <f>IFERROR(ROUND(('DCF Model'!C45/(1+$B7)^('DCF Model'!C19+0)+'DCF Model'!D45/(1+$B7)^('DCF Model'!C19+1)+'DCF Model'!E45/(1+$B7)^('DCF Model'!C19+2)+'DCF Model'!F45/(1+$B7)^('DCF Model'!C19+3)+'DCF Model'!G45/(1+$B7)^('DCF Model'!C19+4)+'DCF Model'!G45*(1+E$6)/($B7-E$6)/(1+$B7)^('DCF Model'!C19+4)-'DCF Model'!C16)*1000000/'DCF Model'!C15,0),"")</f>
        <v>1589</v>
      </c>
      <c r="F7" s="37">
        <f>IFERROR(ROUND(('DCF Model'!C45/(1+$B7)^('DCF Model'!C19+0)+'DCF Model'!D45/(1+$B7)^('DCF Model'!C19+1)+'DCF Model'!E45/(1+$B7)^('DCF Model'!C19+2)+'DCF Model'!F45/(1+$B7)^('DCF Model'!C19+3)+'DCF Model'!G45/(1+$B7)^('DCF Model'!C19+4)+'DCF Model'!G45*(1+F$6)/($B7-F$6)/(1+$B7)^('DCF Model'!C19+4)-'DCF Model'!C16)*1000000/'DCF Model'!C15,0),"")</f>
        <v>1642</v>
      </c>
      <c r="G7" s="37">
        <f>IFERROR(ROUND(('DCF Model'!C45/(1+$B7)^('DCF Model'!C19+0)+'DCF Model'!D45/(1+$B7)^('DCF Model'!C19+1)+'DCF Model'!E45/(1+$B7)^('DCF Model'!C19+2)+'DCF Model'!F45/(1+$B7)^('DCF Model'!C19+3)+'DCF Model'!G45/(1+$B7)^('DCF Model'!C19+4)+'DCF Model'!G45*(1+G$6)/($B7-G$6)/(1+$B7)^('DCF Model'!C19+4)-'DCF Model'!C16)*1000000/'DCF Model'!C15,0),"")</f>
        <v>1701</v>
      </c>
      <c r="H7" s="37">
        <f>IFERROR(ROUND(('DCF Model'!C45/(1+$B7)^('DCF Model'!C19+0)+'DCF Model'!D45/(1+$B7)^('DCF Model'!C19+1)+'DCF Model'!E45/(1+$B7)^('DCF Model'!C19+2)+'DCF Model'!F45/(1+$B7)^('DCF Model'!C19+3)+'DCF Model'!G45/(1+$B7)^('DCF Model'!C19+4)+'DCF Model'!G45*(1+H$6)/($B7-H$6)/(1+$B7)^('DCF Model'!C19+4)-'DCF Model'!C16)*1000000/'DCF Model'!C15,0),"")</f>
        <v>1765</v>
      </c>
      <c r="I7" s="37">
        <f>IFERROR(ROUND(('DCF Model'!C45/(1+$B7)^('DCF Model'!C19+0)+'DCF Model'!D45/(1+$B7)^('DCF Model'!C19+1)+'DCF Model'!E45/(1+$B7)^('DCF Model'!C19+2)+'DCF Model'!F45/(1+$B7)^('DCF Model'!C19+3)+'DCF Model'!G45/(1+$B7)^('DCF Model'!C19+4)+'DCF Model'!G45*(1+I$6)/($B7-I$6)/(1+$B7)^('DCF Model'!C19+4)-'DCF Model'!C16)*1000000/'DCF Model'!C15,0),"")</f>
        <v>1836</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1396</v>
      </c>
      <c r="D8" s="37">
        <f>IFERROR(ROUND(('DCF Model'!C45/(1+$B8)^('DCF Model'!C19+0)+'DCF Model'!D45/(1+$B8)^('DCF Model'!C19+1)+'DCF Model'!E45/(1+$B8)^('DCF Model'!C19+2)+'DCF Model'!F45/(1+$B8)^('DCF Model'!C19+3)+'DCF Model'!G45/(1+$B8)^('DCF Model'!C19+4)+'DCF Model'!G45*(1+D$6)/($B8-D$6)/(1+$B8)^('DCF Model'!C19+4)-'DCF Model'!C16)*1000000/'DCF Model'!C15,0),"")</f>
        <v>1433</v>
      </c>
      <c r="E8" s="37">
        <f>IFERROR(ROUND(('DCF Model'!C45/(1+$B8)^('DCF Model'!C19+0)+'DCF Model'!D45/(1+$B8)^('DCF Model'!C19+1)+'DCF Model'!E45/(1+$B8)^('DCF Model'!C19+2)+'DCF Model'!F45/(1+$B8)^('DCF Model'!C19+3)+'DCF Model'!G45/(1+$B8)^('DCF Model'!C19+4)+'DCF Model'!G45*(1+E$6)/($B8-E$6)/(1+$B8)^('DCF Model'!C19+4)-'DCF Model'!C16)*1000000/'DCF Model'!C15,0),"")</f>
        <v>1473</v>
      </c>
      <c r="F8" s="37">
        <f>IFERROR(ROUND(('DCF Model'!C45/(1+$B8)^('DCF Model'!C19+0)+'DCF Model'!D45/(1+$B8)^('DCF Model'!C19+1)+'DCF Model'!E45/(1+$B8)^('DCF Model'!C19+2)+'DCF Model'!F45/(1+$B8)^('DCF Model'!C19+3)+'DCF Model'!G45/(1+$B8)^('DCF Model'!C19+4)+'DCF Model'!G45*(1+F$6)/($B8-F$6)/(1+$B8)^('DCF Model'!C19+4)-'DCF Model'!C16)*1000000/'DCF Model'!C15,0),"")</f>
        <v>1517</v>
      </c>
      <c r="G8" s="37">
        <f>IFERROR(ROUND(('DCF Model'!C45/(1+$B8)^('DCF Model'!C19+0)+'DCF Model'!D45/(1+$B8)^('DCF Model'!C19+1)+'DCF Model'!E45/(1+$B8)^('DCF Model'!C19+2)+'DCF Model'!F45/(1+$B8)^('DCF Model'!C19+3)+'DCF Model'!G45/(1+$B8)^('DCF Model'!C19+4)+'DCF Model'!G45*(1+G$6)/($B8-G$6)/(1+$B8)^('DCF Model'!C19+4)-'DCF Model'!C16)*1000000/'DCF Model'!C15,0),"")</f>
        <v>1565</v>
      </c>
      <c r="H8" s="37">
        <f>IFERROR(ROUND(('DCF Model'!C45/(1+$B8)^('DCF Model'!C19+0)+'DCF Model'!D45/(1+$B8)^('DCF Model'!C19+1)+'DCF Model'!E45/(1+$B8)^('DCF Model'!C19+2)+'DCF Model'!F45/(1+$B8)^('DCF Model'!C19+3)+'DCF Model'!G45/(1+$B8)^('DCF Model'!C19+4)+'DCF Model'!G45*(1+H$6)/($B8-H$6)/(1+$B8)^('DCF Model'!C19+4)-'DCF Model'!C16)*1000000/'DCF Model'!C15,0),"")</f>
        <v>1617</v>
      </c>
      <c r="I8" s="37">
        <f>IFERROR(ROUND(('DCF Model'!C45/(1+$B8)^('DCF Model'!C19+0)+'DCF Model'!D45/(1+$B8)^('DCF Model'!C19+1)+'DCF Model'!E45/(1+$B8)^('DCF Model'!C19+2)+'DCF Model'!F45/(1+$B8)^('DCF Model'!C19+3)+'DCF Model'!G45/(1+$B8)^('DCF Model'!C19+4)+'DCF Model'!G45*(1+I$6)/($B8-I$6)/(1+$B8)^('DCF Model'!C19+4)-'DCF Model'!C16)*1000000/'DCF Model'!C15,0),"")</f>
        <v>1674</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1309</v>
      </c>
      <c r="D9" s="37">
        <f>IFERROR(ROUND(('DCF Model'!C45/(1+$B9)^('DCF Model'!C19+0)+'DCF Model'!D45/(1+$B9)^('DCF Model'!C19+1)+'DCF Model'!E45/(1+$B9)^('DCF Model'!C19+2)+'DCF Model'!F45/(1+$B9)^('DCF Model'!C19+3)+'DCF Model'!G45/(1+$B9)^('DCF Model'!C19+4)+'DCF Model'!G45*(1+D$6)/($B9-D$6)/(1+$B9)^('DCF Model'!C19+4)-'DCF Model'!C16)*1000000/'DCF Model'!C15,0),"")</f>
        <v>1341</v>
      </c>
      <c r="E9" s="37">
        <f>IFERROR(ROUND(('DCF Model'!C45/(1+$B9)^('DCF Model'!C19+0)+'DCF Model'!D45/(1+$B9)^('DCF Model'!C19+1)+'DCF Model'!E45/(1+$B9)^('DCF Model'!C19+2)+'DCF Model'!F45/(1+$B9)^('DCF Model'!C19+3)+'DCF Model'!G45/(1+$B9)^('DCF Model'!C19+4)+'DCF Model'!G45*(1+E$6)/($B9-E$6)/(1+$B9)^('DCF Model'!C19+4)-'DCF Model'!C16)*1000000/'DCF Model'!C15,0),"")</f>
        <v>1375</v>
      </c>
      <c r="F9" s="37">
        <f>IFERROR(ROUND(('DCF Model'!C45/(1+$B9)^('DCF Model'!C19+0)+'DCF Model'!D45/(1+$B9)^('DCF Model'!C19+1)+'DCF Model'!E45/(1+$B9)^('DCF Model'!C19+2)+'DCF Model'!F45/(1+$B9)^('DCF Model'!C19+3)+'DCF Model'!G45/(1+$B9)^('DCF Model'!C19+4)+'DCF Model'!G45*(1+F$6)/($B9-F$6)/(1+$B9)^('DCF Model'!C19+4)-'DCF Model'!C16)*1000000/'DCF Model'!C15,0),"")</f>
        <v>1411</v>
      </c>
      <c r="G9" s="37">
        <f>IFERROR(ROUND(('DCF Model'!C45/(1+$B9)^('DCF Model'!C19+0)+'DCF Model'!D45/(1+$B9)^('DCF Model'!C19+1)+'DCF Model'!E45/(1+$B9)^('DCF Model'!C19+2)+'DCF Model'!F45/(1+$B9)^('DCF Model'!C19+3)+'DCF Model'!G45/(1+$B9)^('DCF Model'!C19+4)+'DCF Model'!G45*(1+G$6)/($B9-G$6)/(1+$B9)^('DCF Model'!C19+4)-'DCF Model'!C16)*1000000/'DCF Model'!C15,0),"")</f>
        <v>1451</v>
      </c>
      <c r="H9" s="37">
        <f>IFERROR(ROUND(('DCF Model'!C45/(1+$B9)^('DCF Model'!C19+0)+'DCF Model'!D45/(1+$B9)^('DCF Model'!C19+1)+'DCF Model'!E45/(1+$B9)^('DCF Model'!C19+2)+'DCF Model'!F45/(1+$B9)^('DCF Model'!C19+3)+'DCF Model'!G45/(1+$B9)^('DCF Model'!C19+4)+'DCF Model'!G45*(1+H$6)/($B9-H$6)/(1+$B9)^('DCF Model'!C19+4)-'DCF Model'!C16)*1000000/'DCF Model'!C15,0),"")</f>
        <v>1494</v>
      </c>
      <c r="I9" s="37">
        <f>IFERROR(ROUND(('DCF Model'!C45/(1+$B9)^('DCF Model'!C19+0)+'DCF Model'!D45/(1+$B9)^('DCF Model'!C19+1)+'DCF Model'!E45/(1+$B9)^('DCF Model'!C19+2)+'DCF Model'!F45/(1+$B9)^('DCF Model'!C19+3)+'DCF Model'!G45/(1+$B9)^('DCF Model'!C19+4)+'DCF Model'!G45*(1+I$6)/($B9-I$6)/(1+$B9)^('DCF Model'!C19+4)-'DCF Model'!C16)*1000000/'DCF Model'!C15,0),"")</f>
        <v>1541</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1234</v>
      </c>
      <c r="D10" s="37">
        <f>IFERROR(ROUND(('DCF Model'!C45/(1+$B10)^('DCF Model'!C19+0)+'DCF Model'!D45/(1+$B10)^('DCF Model'!C19+1)+'DCF Model'!E45/(1+$B10)^('DCF Model'!C19+2)+'DCF Model'!F45/(1+$B10)^('DCF Model'!C19+3)+'DCF Model'!G45/(1+$B10)^('DCF Model'!C19+4)+'DCF Model'!G45*(1+D$6)/($B10-D$6)/(1+$B10)^('DCF Model'!C19+4)-'DCF Model'!C16)*1000000/'DCF Model'!C15,0),"")</f>
        <v>1261</v>
      </c>
      <c r="E10" s="37">
        <f>IFERROR(ROUND(('DCF Model'!C45/(1+$B10)^('DCF Model'!C19+0)+'DCF Model'!D45/(1+$B10)^('DCF Model'!C19+1)+'DCF Model'!E45/(1+$B10)^('DCF Model'!C19+2)+'DCF Model'!F45/(1+$B10)^('DCF Model'!C19+3)+'DCF Model'!G45/(1+$B10)^('DCF Model'!C19+4)+'DCF Model'!G45*(1+E$6)/($B10-E$6)/(1+$B10)^('DCF Model'!C19+4)-'DCF Model'!C16)*1000000/'DCF Model'!C15,0),"")</f>
        <v>1290</v>
      </c>
      <c r="F10" s="37">
        <f>IFERROR(ROUND(('DCF Model'!C45/(1+$B10)^('DCF Model'!C19+0)+'DCF Model'!D45/(1+$B10)^('DCF Model'!C19+1)+'DCF Model'!E45/(1+$B10)^('DCF Model'!C19+2)+'DCF Model'!F45/(1+$B10)^('DCF Model'!C19+3)+'DCF Model'!G45/(1+$B10)^('DCF Model'!C19+4)+'DCF Model'!G45*(1+F$6)/($B10-F$6)/(1+$B10)^('DCF Model'!C19+4)-'DCF Model'!C16)*1000000/'DCF Model'!C15,0),"")</f>
        <v>1321</v>
      </c>
      <c r="G10" s="37">
        <f>IFERROR(ROUND(('DCF Model'!C45/(1+$B10)^('DCF Model'!C19+0)+'DCF Model'!D45/(1+$B10)^('DCF Model'!C19+1)+'DCF Model'!E45/(1+$B10)^('DCF Model'!C19+2)+'DCF Model'!F45/(1+$B10)^('DCF Model'!C19+3)+'DCF Model'!G45/(1+$B10)^('DCF Model'!C19+4)+'DCF Model'!G45*(1+G$6)/($B10-G$6)/(1+$B10)^('DCF Model'!C19+4)-'DCF Model'!C16)*1000000/'DCF Model'!C15,0),"")</f>
        <v>1355</v>
      </c>
      <c r="H10" s="37">
        <f>IFERROR(ROUND(('DCF Model'!C45/(1+$B10)^('DCF Model'!C19+0)+'DCF Model'!D45/(1+$B10)^('DCF Model'!C19+1)+'DCF Model'!E45/(1+$B10)^('DCF Model'!C19+2)+'DCF Model'!F45/(1+$B10)^('DCF Model'!C19+3)+'DCF Model'!G45/(1+$B10)^('DCF Model'!C19+4)+'DCF Model'!G45*(1+H$6)/($B10-H$6)/(1+$B10)^('DCF Model'!C19+4)-'DCF Model'!C16)*1000000/'DCF Model'!C15,0),"")</f>
        <v>1390</v>
      </c>
      <c r="I10" s="37">
        <f>IFERROR(ROUND(('DCF Model'!C45/(1+$B10)^('DCF Model'!C19+0)+'DCF Model'!D45/(1+$B10)^('DCF Model'!C19+1)+'DCF Model'!E45/(1+$B10)^('DCF Model'!C19+2)+'DCF Model'!F45/(1+$B10)^('DCF Model'!C19+3)+'DCF Model'!G45/(1+$B10)^('DCF Model'!C19+4)+'DCF Model'!G45*(1+I$6)/($B10-I$6)/(1+$B10)^('DCF Model'!C19+4)-'DCF Model'!C16)*1000000/'DCF Model'!C15,0),"")</f>
        <v>1429</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1169</v>
      </c>
      <c r="D11" s="37">
        <f>IFERROR(ROUND(('DCF Model'!C45/(1+$B11)^('DCF Model'!C19+0)+'DCF Model'!D45/(1+$B11)^('DCF Model'!C19+1)+'DCF Model'!E45/(1+$B11)^('DCF Model'!C19+2)+'DCF Model'!F45/(1+$B11)^('DCF Model'!C19+3)+'DCF Model'!G45/(1+$B11)^('DCF Model'!C19+4)+'DCF Model'!G45*(1+D$6)/($B11-D$6)/(1+$B11)^('DCF Model'!C19+4)-'DCF Model'!C16)*1000000/'DCF Model'!C15,0),"")</f>
        <v>1192</v>
      </c>
      <c r="E11" s="37">
        <f>IFERROR(ROUND(('DCF Model'!C45/(1+$B11)^('DCF Model'!C19+0)+'DCF Model'!D45/(1+$B11)^('DCF Model'!C19+1)+'DCF Model'!E45/(1+$B11)^('DCF Model'!C19+2)+'DCF Model'!F45/(1+$B11)^('DCF Model'!C19+3)+'DCF Model'!G45/(1+$B11)^('DCF Model'!C19+4)+'DCF Model'!G45*(1+E$6)/($B11-E$6)/(1+$B11)^('DCF Model'!C19+4)-'DCF Model'!C16)*1000000/'DCF Model'!C15,0),"")</f>
        <v>1217</v>
      </c>
      <c r="F11" s="37">
        <f>IFERROR(ROUND(('DCF Model'!C45/(1+$B11)^('DCF Model'!C19+0)+'DCF Model'!D45/(1+$B11)^('DCF Model'!C19+1)+'DCF Model'!E45/(1+$B11)^('DCF Model'!C19+2)+'DCF Model'!F45/(1+$B11)^('DCF Model'!C19+3)+'DCF Model'!G45/(1+$B11)^('DCF Model'!C19+4)+'DCF Model'!G45*(1+F$6)/($B11-F$6)/(1+$B11)^('DCF Model'!C19+4)-'DCF Model'!C16)*1000000/'DCF Model'!C15,0),"")</f>
        <v>1243</v>
      </c>
      <c r="G11" s="37">
        <f>IFERROR(ROUND(('DCF Model'!C45/(1+$B11)^('DCF Model'!C19+0)+'DCF Model'!D45/(1+$B11)^('DCF Model'!C19+1)+'DCF Model'!E45/(1+$B11)^('DCF Model'!C19+2)+'DCF Model'!F45/(1+$B11)^('DCF Model'!C19+3)+'DCF Model'!G45/(1+$B11)^('DCF Model'!C19+4)+'DCF Model'!G45*(1+G$6)/($B11-G$6)/(1+$B11)^('DCF Model'!C19+4)-'DCF Model'!C16)*1000000/'DCF Model'!C15,0),"")</f>
        <v>1272</v>
      </c>
      <c r="H11" s="37">
        <f>IFERROR(ROUND(('DCF Model'!C45/(1+$B11)^('DCF Model'!C19+0)+'DCF Model'!D45/(1+$B11)^('DCF Model'!C19+1)+'DCF Model'!E45/(1+$B11)^('DCF Model'!C19+2)+'DCF Model'!F45/(1+$B11)^('DCF Model'!C19+3)+'DCF Model'!G45/(1+$B11)^('DCF Model'!C19+4)+'DCF Model'!G45*(1+H$6)/($B11-H$6)/(1+$B11)^('DCF Model'!C19+4)-'DCF Model'!C16)*1000000/'DCF Model'!C15,0),"")</f>
        <v>1302</v>
      </c>
      <c r="I11" s="37">
        <f>IFERROR(ROUND(('DCF Model'!C45/(1+$B11)^('DCF Model'!C19+0)+'DCF Model'!D45/(1+$B11)^('DCF Model'!C19+1)+'DCF Model'!E45/(1+$B11)^('DCF Model'!C19+2)+'DCF Model'!F45/(1+$B11)^('DCF Model'!C19+3)+'DCF Model'!G45/(1+$B11)^('DCF Model'!C19+4)+'DCF Model'!G45*(1+I$6)/($B11-I$6)/(1+$B11)^('DCF Model'!C19+4)-'DCF Model'!C16)*1000000/'DCF Model'!C15,0),"")</f>
        <v>1335</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1110</v>
      </c>
      <c r="D12" s="37">
        <f>IFERROR(ROUND(('DCF Model'!C45/(1+$B12)^('DCF Model'!C19+0)+'DCF Model'!D45/(1+$B12)^('DCF Model'!C19+1)+'DCF Model'!E45/(1+$B12)^('DCF Model'!C19+2)+'DCF Model'!F45/(1+$B12)^('DCF Model'!C19+3)+'DCF Model'!G45/(1+$B12)^('DCF Model'!C19+4)+'DCF Model'!G45*(1+D$6)/($B12-D$6)/(1+$B12)^('DCF Model'!C19+4)-'DCF Model'!C16)*1000000/'DCF Model'!C15,0),"")</f>
        <v>1131</v>
      </c>
      <c r="E12" s="37">
        <f>IFERROR(ROUND(('DCF Model'!C45/(1+$B12)^('DCF Model'!C19+0)+'DCF Model'!D45/(1+$B12)^('DCF Model'!C19+1)+'DCF Model'!E45/(1+$B12)^('DCF Model'!C19+2)+'DCF Model'!F45/(1+$B12)^('DCF Model'!C19+3)+'DCF Model'!G45/(1+$B12)^('DCF Model'!C19+4)+'DCF Model'!G45*(1+E$6)/($B12-E$6)/(1+$B12)^('DCF Model'!C19+4)-'DCF Model'!C16)*1000000/'DCF Model'!C15,0),"")</f>
        <v>1152</v>
      </c>
      <c r="F12" s="37">
        <f>IFERROR(ROUND(('DCF Model'!C45/(1+$B12)^('DCF Model'!C19+0)+'DCF Model'!D45/(1+$B12)^('DCF Model'!C19+1)+'DCF Model'!E45/(1+$B12)^('DCF Model'!C19+2)+'DCF Model'!F45/(1+$B12)^('DCF Model'!C19+3)+'DCF Model'!G45/(1+$B12)^('DCF Model'!C19+4)+'DCF Model'!G45*(1+F$6)/($B12-F$6)/(1+$B12)^('DCF Model'!C19+4)-'DCF Model'!C16)*1000000/'DCF Model'!C15,0),"")</f>
        <v>1175</v>
      </c>
      <c r="G12" s="37">
        <f>IFERROR(ROUND(('DCF Model'!C45/(1+$B12)^('DCF Model'!C19+0)+'DCF Model'!D45/(1+$B12)^('DCF Model'!C19+1)+'DCF Model'!E45/(1+$B12)^('DCF Model'!C19+2)+'DCF Model'!F45/(1+$B12)^('DCF Model'!C19+3)+'DCF Model'!G45/(1+$B12)^('DCF Model'!C19+4)+'DCF Model'!G45*(1+G$6)/($B12-G$6)/(1+$B12)^('DCF Model'!C19+4)-'DCF Model'!C16)*1000000/'DCF Model'!C15,0),"")</f>
        <v>1199</v>
      </c>
      <c r="H12" s="37">
        <f>IFERROR(ROUND(('DCF Model'!C45/(1+$B12)^('DCF Model'!C19+0)+'DCF Model'!D45/(1+$B12)^('DCF Model'!C19+1)+'DCF Model'!E45/(1+$B12)^('DCF Model'!C19+2)+'DCF Model'!F45/(1+$B12)^('DCF Model'!C19+3)+'DCF Model'!G45/(1+$B12)^('DCF Model'!C19+4)+'DCF Model'!G45*(1+H$6)/($B12-H$6)/(1+$B12)^('DCF Model'!C19+4)-'DCF Model'!C16)*1000000/'DCF Model'!C15,0),"")</f>
        <v>1225</v>
      </c>
      <c r="I12" s="37">
        <f>IFERROR(ROUND(('DCF Model'!C45/(1+$B12)^('DCF Model'!C19+0)+'DCF Model'!D45/(1+$B12)^('DCF Model'!C19+1)+'DCF Model'!E45/(1+$B12)^('DCF Model'!C19+2)+'DCF Model'!F45/(1+$B12)^('DCF Model'!C19+3)+'DCF Model'!G45/(1+$B12)^('DCF Model'!C19+4)+'DCF Model'!G45*(1+I$6)/($B12-I$6)/(1+$B12)^('DCF Model'!C19+4)-'DCF Model'!C16)*1000000/'DCF Model'!C15,0),"")</f>
        <v>1253</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1059</v>
      </c>
      <c r="D13" s="37">
        <f>IFERROR(ROUND(('DCF Model'!C45/(1+$B13)^('DCF Model'!C19+0)+'DCF Model'!D45/(1+$B13)^('DCF Model'!C19+1)+'DCF Model'!E45/(1+$B13)^('DCF Model'!C19+2)+'DCF Model'!F45/(1+$B13)^('DCF Model'!C19+3)+'DCF Model'!G45/(1+$B13)^('DCF Model'!C19+4)+'DCF Model'!G45*(1+D$6)/($B13-D$6)/(1+$B13)^('DCF Model'!C19+4)-'DCF Model'!C16)*1000000/'DCF Model'!C15,0),"")</f>
        <v>1076</v>
      </c>
      <c r="E13" s="37">
        <f>IFERROR(ROUND(('DCF Model'!C45/(1+$B13)^('DCF Model'!C19+0)+'DCF Model'!D45/(1+$B13)^('DCF Model'!C19+1)+'DCF Model'!E45/(1+$B13)^('DCF Model'!C19+2)+'DCF Model'!F45/(1+$B13)^('DCF Model'!C19+3)+'DCF Model'!G45/(1+$B13)^('DCF Model'!C19+4)+'DCF Model'!G45*(1+E$6)/($B13-E$6)/(1+$B13)^('DCF Model'!C19+4)-'DCF Model'!C16)*1000000/'DCF Model'!C15,0),"")</f>
        <v>1095</v>
      </c>
      <c r="F13" s="37">
        <f>IFERROR(ROUND(('DCF Model'!C45/(1+$B13)^('DCF Model'!C19+0)+'DCF Model'!D45/(1+$B13)^('DCF Model'!C19+1)+'DCF Model'!E45/(1+$B13)^('DCF Model'!C19+2)+'DCF Model'!F45/(1+$B13)^('DCF Model'!C19+3)+'DCF Model'!G45/(1+$B13)^('DCF Model'!C19+4)+'DCF Model'!G45*(1+F$6)/($B13-F$6)/(1+$B13)^('DCF Model'!C19+4)-'DCF Model'!C16)*1000000/'DCF Model'!C15,0),"")</f>
        <v>1115</v>
      </c>
      <c r="G13" s="37">
        <f>IFERROR(ROUND(('DCF Model'!C45/(1+$B13)^('DCF Model'!C19+0)+'DCF Model'!D45/(1+$B13)^('DCF Model'!C19+1)+'DCF Model'!E45/(1+$B13)^('DCF Model'!C19+2)+'DCF Model'!F45/(1+$B13)^('DCF Model'!C19+3)+'DCF Model'!G45/(1+$B13)^('DCF Model'!C19+4)+'DCF Model'!G45*(1+G$6)/($B13-G$6)/(1+$B13)^('DCF Model'!C19+4)-'DCF Model'!C16)*1000000/'DCF Model'!C15,0),"")</f>
        <v>1136</v>
      </c>
      <c r="H13" s="37">
        <f>IFERROR(ROUND(('DCF Model'!C45/(1+$B13)^('DCF Model'!C19+0)+'DCF Model'!D45/(1+$B13)^('DCF Model'!C19+1)+'DCF Model'!E45/(1+$B13)^('DCF Model'!C19+2)+'DCF Model'!F45/(1+$B13)^('DCF Model'!C19+3)+'DCF Model'!G45/(1+$B13)^('DCF Model'!C19+4)+'DCF Model'!G45*(1+H$6)/($B13-H$6)/(1+$B13)^('DCF Model'!C19+4)-'DCF Model'!C16)*1000000/'DCF Model'!C15,0),"")</f>
        <v>1159</v>
      </c>
      <c r="I13" s="37">
        <f>IFERROR(ROUND(('DCF Model'!C45/(1+$B13)^('DCF Model'!C19+0)+'DCF Model'!D45/(1+$B13)^('DCF Model'!C19+1)+'DCF Model'!E45/(1+$B13)^('DCF Model'!C19+2)+'DCF Model'!F45/(1+$B13)^('DCF Model'!C19+3)+'DCF Model'!G45/(1+$B13)^('DCF Model'!C19+4)+'DCF Model'!G45*(1+I$6)/($B13-I$6)/(1+$B13)^('DCF Model'!C19+4)-'DCF Model'!C16)*1000000/'DCF Model'!C15,0),"")</f>
        <v>1183</v>
      </c>
    </row>
    <row r="16" spans="2:9" ht="14" customHeight="1" x14ac:dyDescent="0.3">
      <c r="B16" s="3" t="s">
        <v>236</v>
      </c>
    </row>
    <row r="17" spans="2:9" ht="14" customHeight="1" x14ac:dyDescent="0.3">
      <c r="B17" s="40" t="s">
        <v>237</v>
      </c>
      <c r="C17" s="42">
        <f>$I$3-3</f>
        <v>9.4</v>
      </c>
      <c r="D17" s="42">
        <f>$I$3-2</f>
        <v>10.4</v>
      </c>
      <c r="E17" s="42">
        <f>$I$3-1</f>
        <v>11.4</v>
      </c>
      <c r="F17" s="42">
        <f>$I$3</f>
        <v>12.4</v>
      </c>
      <c r="G17" s="42">
        <f>$I$3+1</f>
        <v>13.4</v>
      </c>
      <c r="H17" s="42">
        <f>$I$3+2</f>
        <v>14.4</v>
      </c>
      <c r="I17" s="42">
        <f>$I$3+3</f>
        <v>15.4</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1692</v>
      </c>
      <c r="D18" s="37">
        <f>IFERROR(ROUND(('DCF Model'!C45/(1+$B18)^('DCF Model'!C19+0)+'DCF Model'!D45/(1+$B18)^('DCF Model'!C19+1)+'DCF Model'!E45/(1+$B18)^('DCF Model'!C19+2)+'DCF Model'!F45/(1+$B18)^('DCF Model'!C19+3)+'DCF Model'!G45/(1+$B18)^('DCF Model'!C19+4)+('DCF Model'!G39+'DCF Model'!G42)*D$17/(1+$B18)^('DCF Model'!C19+4)-'DCF Model'!C16)*1000000/'DCF Model'!C15,0),"")</f>
        <v>1818</v>
      </c>
      <c r="E18" s="37">
        <f>IFERROR(ROUND(('DCF Model'!C45/(1+$B18)^('DCF Model'!C19+0)+'DCF Model'!D45/(1+$B18)^('DCF Model'!C19+1)+'DCF Model'!E45/(1+$B18)^('DCF Model'!C19+2)+'DCF Model'!F45/(1+$B18)^('DCF Model'!C19+3)+'DCF Model'!G45/(1+$B18)^('DCF Model'!C19+4)+('DCF Model'!G39+'DCF Model'!G42)*E$17/(1+$B18)^('DCF Model'!C19+4)-'DCF Model'!C16)*1000000/'DCF Model'!C15,0),"")</f>
        <v>1944</v>
      </c>
      <c r="F18" s="37">
        <f>IFERROR(ROUND(('DCF Model'!C45/(1+$B18)^('DCF Model'!C19+0)+'DCF Model'!D45/(1+$B18)^('DCF Model'!C19+1)+'DCF Model'!E45/(1+$B18)^('DCF Model'!C19+2)+'DCF Model'!F45/(1+$B18)^('DCF Model'!C19+3)+'DCF Model'!G45/(1+$B18)^('DCF Model'!C19+4)+('DCF Model'!G39+'DCF Model'!G42)*F$17/(1+$B18)^('DCF Model'!C19+4)-'DCF Model'!C16)*1000000/'DCF Model'!C15,0),"")</f>
        <v>2070</v>
      </c>
      <c r="G18" s="37">
        <f>IFERROR(ROUND(('DCF Model'!C45/(1+$B18)^('DCF Model'!C19+0)+'DCF Model'!D45/(1+$B18)^('DCF Model'!C19+1)+'DCF Model'!E45/(1+$B18)^('DCF Model'!C19+2)+'DCF Model'!F45/(1+$B18)^('DCF Model'!C19+3)+'DCF Model'!G45/(1+$B18)^('DCF Model'!C19+4)+('DCF Model'!G39+'DCF Model'!G42)*G$17/(1+$B18)^('DCF Model'!C19+4)-'DCF Model'!C16)*1000000/'DCF Model'!C15,0),"")</f>
        <v>2196</v>
      </c>
      <c r="H18" s="37">
        <f>IFERROR(ROUND(('DCF Model'!C45/(1+$B18)^('DCF Model'!C19+0)+'DCF Model'!D45/(1+$B18)^('DCF Model'!C19+1)+'DCF Model'!E45/(1+$B18)^('DCF Model'!C19+2)+'DCF Model'!F45/(1+$B18)^('DCF Model'!C19+3)+'DCF Model'!G45/(1+$B18)^('DCF Model'!C19+4)+('DCF Model'!G39+'DCF Model'!G42)*H$17/(1+$B18)^('DCF Model'!C19+4)-'DCF Model'!C16)*1000000/'DCF Model'!C15,0),"")</f>
        <v>2321</v>
      </c>
      <c r="I18" s="37">
        <f>IFERROR(ROUND(('DCF Model'!C45/(1+$B18)^('DCF Model'!C19+0)+'DCF Model'!D45/(1+$B18)^('DCF Model'!C19+1)+'DCF Model'!E45/(1+$B18)^('DCF Model'!C19+2)+'DCF Model'!F45/(1+$B18)^('DCF Model'!C19+3)+'DCF Model'!G45/(1+$B18)^('DCF Model'!C19+4)+('DCF Model'!G39+'DCF Model'!G42)*I$17/(1+$B18)^('DCF Model'!C19+4)-'DCF Model'!C16)*1000000/'DCF Model'!C15,0),"")</f>
        <v>2447</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1660</v>
      </c>
      <c r="D19" s="37">
        <f>IFERROR(ROUND(('DCF Model'!C45/(1+$B19)^('DCF Model'!C19+0)+'DCF Model'!D45/(1+$B19)^('DCF Model'!C19+1)+'DCF Model'!E45/(1+$B19)^('DCF Model'!C19+2)+'DCF Model'!F45/(1+$B19)^('DCF Model'!C19+3)+'DCF Model'!G45/(1+$B19)^('DCF Model'!C19+4)+('DCF Model'!G39+'DCF Model'!G42)*D$17/(1+$B19)^('DCF Model'!C19+4)-'DCF Model'!C16)*1000000/'DCF Model'!C15,0),"")</f>
        <v>1783</v>
      </c>
      <c r="E19" s="37">
        <f>IFERROR(ROUND(('DCF Model'!C45/(1+$B19)^('DCF Model'!C19+0)+'DCF Model'!D45/(1+$B19)^('DCF Model'!C19+1)+'DCF Model'!E45/(1+$B19)^('DCF Model'!C19+2)+'DCF Model'!F45/(1+$B19)^('DCF Model'!C19+3)+'DCF Model'!G45/(1+$B19)^('DCF Model'!C19+4)+('DCF Model'!G39+'DCF Model'!G42)*E$17/(1+$B19)^('DCF Model'!C19+4)-'DCF Model'!C16)*1000000/'DCF Model'!C15,0),"")</f>
        <v>1906</v>
      </c>
      <c r="F19" s="37">
        <f>IFERROR(ROUND(('DCF Model'!C45/(1+$B19)^('DCF Model'!C19+0)+'DCF Model'!D45/(1+$B19)^('DCF Model'!C19+1)+'DCF Model'!E45/(1+$B19)^('DCF Model'!C19+2)+'DCF Model'!F45/(1+$B19)^('DCF Model'!C19+3)+'DCF Model'!G45/(1+$B19)^('DCF Model'!C19+4)+('DCF Model'!G39+'DCF Model'!G42)*F$17/(1+$B19)^('DCF Model'!C19+4)-'DCF Model'!C16)*1000000/'DCF Model'!C15,0),"")</f>
        <v>2029</v>
      </c>
      <c r="G19" s="37">
        <f>IFERROR(ROUND(('DCF Model'!C45/(1+$B19)^('DCF Model'!C19+0)+'DCF Model'!D45/(1+$B19)^('DCF Model'!C19+1)+'DCF Model'!E45/(1+$B19)^('DCF Model'!C19+2)+'DCF Model'!F45/(1+$B19)^('DCF Model'!C19+3)+'DCF Model'!G45/(1+$B19)^('DCF Model'!C19+4)+('DCF Model'!G39+'DCF Model'!G42)*G$17/(1+$B19)^('DCF Model'!C19+4)-'DCF Model'!C16)*1000000/'DCF Model'!C15,0),"")</f>
        <v>2152</v>
      </c>
      <c r="H19" s="37">
        <f>IFERROR(ROUND(('DCF Model'!C45/(1+$B19)^('DCF Model'!C19+0)+'DCF Model'!D45/(1+$B19)^('DCF Model'!C19+1)+'DCF Model'!E45/(1+$B19)^('DCF Model'!C19+2)+'DCF Model'!F45/(1+$B19)^('DCF Model'!C19+3)+'DCF Model'!G45/(1+$B19)^('DCF Model'!C19+4)+('DCF Model'!G39+'DCF Model'!G42)*H$17/(1+$B19)^('DCF Model'!C19+4)-'DCF Model'!C16)*1000000/'DCF Model'!C15,0),"")</f>
        <v>2275</v>
      </c>
      <c r="I19" s="37">
        <f>IFERROR(ROUND(('DCF Model'!C45/(1+$B19)^('DCF Model'!C19+0)+'DCF Model'!D45/(1+$B19)^('DCF Model'!C19+1)+'DCF Model'!E45/(1+$B19)^('DCF Model'!C19+2)+'DCF Model'!F45/(1+$B19)^('DCF Model'!C19+3)+'DCF Model'!G45/(1+$B19)^('DCF Model'!C19+4)+('DCF Model'!G39+'DCF Model'!G42)*I$17/(1+$B19)^('DCF Model'!C19+4)-'DCF Model'!C16)*1000000/'DCF Model'!C15,0),"")</f>
        <v>2398</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1629</v>
      </c>
      <c r="D20" s="37">
        <f>IFERROR(ROUND(('DCF Model'!C45/(1+$B20)^('DCF Model'!C19+0)+'DCF Model'!D45/(1+$B20)^('DCF Model'!C19+1)+'DCF Model'!E45/(1+$B20)^('DCF Model'!C19+2)+'DCF Model'!F45/(1+$B20)^('DCF Model'!C19+3)+'DCF Model'!G45/(1+$B20)^('DCF Model'!C19+4)+('DCF Model'!G39+'DCF Model'!G42)*D$17/(1+$B20)^('DCF Model'!C19+4)-'DCF Model'!C16)*1000000/'DCF Model'!C15,0),"")</f>
        <v>1749</v>
      </c>
      <c r="E20" s="37">
        <f>IFERROR(ROUND(('DCF Model'!C45/(1+$B20)^('DCF Model'!C19+0)+'DCF Model'!D45/(1+$B20)^('DCF Model'!C19+1)+'DCF Model'!E45/(1+$B20)^('DCF Model'!C19+2)+'DCF Model'!F45/(1+$B20)^('DCF Model'!C19+3)+'DCF Model'!G45/(1+$B20)^('DCF Model'!C19+4)+('DCF Model'!G39+'DCF Model'!G42)*E$17/(1+$B20)^('DCF Model'!C19+4)-'DCF Model'!C16)*1000000/'DCF Model'!C15,0),"")</f>
        <v>1869</v>
      </c>
      <c r="F20" s="37">
        <f>IFERROR(ROUND(('DCF Model'!C45/(1+$B20)^('DCF Model'!C19+0)+'DCF Model'!D45/(1+$B20)^('DCF Model'!C19+1)+'DCF Model'!E45/(1+$B20)^('DCF Model'!C19+2)+'DCF Model'!F45/(1+$B20)^('DCF Model'!C19+3)+'DCF Model'!G45/(1+$B20)^('DCF Model'!C19+4)+('DCF Model'!G39+'DCF Model'!G42)*F$17/(1+$B20)^('DCF Model'!C19+4)-'DCF Model'!C16)*1000000/'DCF Model'!C15,0),"")</f>
        <v>1989</v>
      </c>
      <c r="G20" s="37">
        <f>IFERROR(ROUND(('DCF Model'!C45/(1+$B20)^('DCF Model'!C19+0)+'DCF Model'!D45/(1+$B20)^('DCF Model'!C19+1)+'DCF Model'!E45/(1+$B20)^('DCF Model'!C19+2)+'DCF Model'!F45/(1+$B20)^('DCF Model'!C19+3)+'DCF Model'!G45/(1+$B20)^('DCF Model'!C19+4)+('DCF Model'!G39+'DCF Model'!G42)*G$17/(1+$B20)^('DCF Model'!C19+4)-'DCF Model'!C16)*1000000/'DCF Model'!C15,0),"")</f>
        <v>2109</v>
      </c>
      <c r="H20" s="37">
        <f>IFERROR(ROUND(('DCF Model'!C45/(1+$B20)^('DCF Model'!C19+0)+'DCF Model'!D45/(1+$B20)^('DCF Model'!C19+1)+'DCF Model'!E45/(1+$B20)^('DCF Model'!C19+2)+'DCF Model'!F45/(1+$B20)^('DCF Model'!C19+3)+'DCF Model'!G45/(1+$B20)^('DCF Model'!C19+4)+('DCF Model'!G39+'DCF Model'!G42)*H$17/(1+$B20)^('DCF Model'!C19+4)-'DCF Model'!C16)*1000000/'DCF Model'!C15,0),"")</f>
        <v>2229</v>
      </c>
      <c r="I20" s="37">
        <f>IFERROR(ROUND(('DCF Model'!C45/(1+$B20)^('DCF Model'!C19+0)+'DCF Model'!D45/(1+$B20)^('DCF Model'!C19+1)+'DCF Model'!E45/(1+$B20)^('DCF Model'!C19+2)+'DCF Model'!F45/(1+$B20)^('DCF Model'!C19+3)+'DCF Model'!G45/(1+$B20)^('DCF Model'!C19+4)+('DCF Model'!G39+'DCF Model'!G42)*I$17/(1+$B20)^('DCF Model'!C19+4)-'DCF Model'!C16)*1000000/'DCF Model'!C15,0),"")</f>
        <v>2350</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1598</v>
      </c>
      <c r="D21" s="37">
        <f>IFERROR(ROUND(('DCF Model'!C45/(1+$B21)^('DCF Model'!C19+0)+'DCF Model'!D45/(1+$B21)^('DCF Model'!C19+1)+'DCF Model'!E45/(1+$B21)^('DCF Model'!C19+2)+'DCF Model'!F45/(1+$B21)^('DCF Model'!C19+3)+'DCF Model'!G45/(1+$B21)^('DCF Model'!C19+4)+('DCF Model'!G39+'DCF Model'!G42)*D$17/(1+$B21)^('DCF Model'!C19+4)-'DCF Model'!C16)*1000000/'DCF Model'!C15,0),"")</f>
        <v>1716</v>
      </c>
      <c r="E21" s="37">
        <f>IFERROR(ROUND(('DCF Model'!C45/(1+$B21)^('DCF Model'!C19+0)+'DCF Model'!D45/(1+$B21)^('DCF Model'!C19+1)+'DCF Model'!E45/(1+$B21)^('DCF Model'!C19+2)+'DCF Model'!F45/(1+$B21)^('DCF Model'!C19+3)+'DCF Model'!G45/(1+$B21)^('DCF Model'!C19+4)+('DCF Model'!G39+'DCF Model'!G42)*E$17/(1+$B21)^('DCF Model'!C19+4)-'DCF Model'!C16)*1000000/'DCF Model'!C15,0),"")</f>
        <v>1833</v>
      </c>
      <c r="F21" s="37">
        <f>IFERROR(ROUND(('DCF Model'!C45/(1+$B21)^('DCF Model'!C19+0)+'DCF Model'!D45/(1+$B21)^('DCF Model'!C19+1)+'DCF Model'!E45/(1+$B21)^('DCF Model'!C19+2)+'DCF Model'!F45/(1+$B21)^('DCF Model'!C19+3)+'DCF Model'!G45/(1+$B21)^('DCF Model'!C19+4)+('DCF Model'!G39+'DCF Model'!G42)*F$17/(1+$B21)^('DCF Model'!C19+4)-'DCF Model'!C16)*1000000/'DCF Model'!C15,0),"")</f>
        <v>1950</v>
      </c>
      <c r="G21" s="37">
        <f>IFERROR(ROUND(('DCF Model'!C45/(1+$B21)^('DCF Model'!C19+0)+'DCF Model'!D45/(1+$B21)^('DCF Model'!C19+1)+'DCF Model'!E45/(1+$B21)^('DCF Model'!C19+2)+'DCF Model'!F45/(1+$B21)^('DCF Model'!C19+3)+'DCF Model'!G45/(1+$B21)^('DCF Model'!C19+4)+('DCF Model'!G39+'DCF Model'!G42)*G$17/(1+$B21)^('DCF Model'!C19+4)-'DCF Model'!C16)*1000000/'DCF Model'!C15,0),"")</f>
        <v>2068</v>
      </c>
      <c r="H21" s="37">
        <f>IFERROR(ROUND(('DCF Model'!C45/(1+$B21)^('DCF Model'!C19+0)+'DCF Model'!D45/(1+$B21)^('DCF Model'!C19+1)+'DCF Model'!E45/(1+$B21)^('DCF Model'!C19+2)+'DCF Model'!F45/(1+$B21)^('DCF Model'!C19+3)+'DCF Model'!G45/(1+$B21)^('DCF Model'!C19+4)+('DCF Model'!G39+'DCF Model'!G42)*H$17/(1+$B21)^('DCF Model'!C19+4)-'DCF Model'!C16)*1000000/'DCF Model'!C15,0),"")</f>
        <v>2185</v>
      </c>
      <c r="I21" s="37">
        <f>IFERROR(ROUND(('DCF Model'!C45/(1+$B21)^('DCF Model'!C19+0)+'DCF Model'!D45/(1+$B21)^('DCF Model'!C19+1)+'DCF Model'!E45/(1+$B21)^('DCF Model'!C19+2)+'DCF Model'!F45/(1+$B21)^('DCF Model'!C19+3)+'DCF Model'!G45/(1+$B21)^('DCF Model'!C19+4)+('DCF Model'!G39+'DCF Model'!G42)*I$17/(1+$B21)^('DCF Model'!C19+4)-'DCF Model'!C16)*1000000/'DCF Model'!C15,0),"")</f>
        <v>2303</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1569</v>
      </c>
      <c r="D22" s="37">
        <f>IFERROR(ROUND(('DCF Model'!C45/(1+$B22)^('DCF Model'!C19+0)+'DCF Model'!D45/(1+$B22)^('DCF Model'!C19+1)+'DCF Model'!E45/(1+$B22)^('DCF Model'!C19+2)+'DCF Model'!F45/(1+$B22)^('DCF Model'!C19+3)+'DCF Model'!G45/(1+$B22)^('DCF Model'!C19+4)+('DCF Model'!G39+'DCF Model'!G42)*D$17/(1+$B22)^('DCF Model'!C19+4)-'DCF Model'!C16)*1000000/'DCF Model'!C15,0),"")</f>
        <v>1683</v>
      </c>
      <c r="E22" s="37">
        <f>IFERROR(ROUND(('DCF Model'!C45/(1+$B22)^('DCF Model'!C19+0)+'DCF Model'!D45/(1+$B22)^('DCF Model'!C19+1)+'DCF Model'!E45/(1+$B22)^('DCF Model'!C19+2)+'DCF Model'!F45/(1+$B22)^('DCF Model'!C19+3)+'DCF Model'!G45/(1+$B22)^('DCF Model'!C19+4)+('DCF Model'!G39+'DCF Model'!G42)*E$17/(1+$B22)^('DCF Model'!C19+4)-'DCF Model'!C16)*1000000/'DCF Model'!C15,0),"")</f>
        <v>1798</v>
      </c>
      <c r="F22" s="37">
        <f>IFERROR(ROUND(('DCF Model'!C45/(1+$B22)^('DCF Model'!C19+0)+'DCF Model'!D45/(1+$B22)^('DCF Model'!C19+1)+'DCF Model'!E45/(1+$B22)^('DCF Model'!C19+2)+'DCF Model'!F45/(1+$B22)^('DCF Model'!C19+3)+'DCF Model'!G45/(1+$B22)^('DCF Model'!C19+4)+('DCF Model'!G39+'DCF Model'!G42)*F$17/(1+$B22)^('DCF Model'!C19+4)-'DCF Model'!C16)*1000000/'DCF Model'!C15,0),"")</f>
        <v>1913</v>
      </c>
      <c r="G22" s="37">
        <f>IFERROR(ROUND(('DCF Model'!C45/(1+$B22)^('DCF Model'!C19+0)+'DCF Model'!D45/(1+$B22)^('DCF Model'!C19+1)+'DCF Model'!E45/(1+$B22)^('DCF Model'!C19+2)+'DCF Model'!F45/(1+$B22)^('DCF Model'!C19+3)+'DCF Model'!G45/(1+$B22)^('DCF Model'!C19+4)+('DCF Model'!G39+'DCF Model'!G42)*G$17/(1+$B22)^('DCF Model'!C19+4)-'DCF Model'!C16)*1000000/'DCF Model'!C15,0),"")</f>
        <v>2028</v>
      </c>
      <c r="H22" s="37">
        <f>IFERROR(ROUND(('DCF Model'!C45/(1+$B22)^('DCF Model'!C19+0)+'DCF Model'!D45/(1+$B22)^('DCF Model'!C19+1)+'DCF Model'!E45/(1+$B22)^('DCF Model'!C19+2)+'DCF Model'!F45/(1+$B22)^('DCF Model'!C19+3)+'DCF Model'!G45/(1+$B22)^('DCF Model'!C19+4)+('DCF Model'!G39+'DCF Model'!G42)*H$17/(1+$B22)^('DCF Model'!C19+4)-'DCF Model'!C16)*1000000/'DCF Model'!C15,0),"")</f>
        <v>2142</v>
      </c>
      <c r="I22" s="37">
        <f>IFERROR(ROUND(('DCF Model'!C45/(1+$B22)^('DCF Model'!C19+0)+'DCF Model'!D45/(1+$B22)^('DCF Model'!C19+1)+'DCF Model'!E45/(1+$B22)^('DCF Model'!C19+2)+'DCF Model'!F45/(1+$B22)^('DCF Model'!C19+3)+'DCF Model'!G45/(1+$B22)^('DCF Model'!C19+4)+('DCF Model'!G39+'DCF Model'!G42)*I$17/(1+$B22)^('DCF Model'!C19+4)-'DCF Model'!C16)*1000000/'DCF Model'!C15,0),"")</f>
        <v>2257</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1540</v>
      </c>
      <c r="D23" s="37">
        <f>IFERROR(ROUND(('DCF Model'!C45/(1+$B23)^('DCF Model'!C19+0)+'DCF Model'!D45/(1+$B23)^('DCF Model'!C19+1)+'DCF Model'!E45/(1+$B23)^('DCF Model'!C19+2)+'DCF Model'!F45/(1+$B23)^('DCF Model'!C19+3)+'DCF Model'!G45/(1+$B23)^('DCF Model'!C19+4)+('DCF Model'!G39+'DCF Model'!G42)*D$17/(1+$B23)^('DCF Model'!C19+4)-'DCF Model'!C16)*1000000/'DCF Model'!C15,0),"")</f>
        <v>1652</v>
      </c>
      <c r="E23" s="37">
        <f>IFERROR(ROUND(('DCF Model'!C45/(1+$B23)^('DCF Model'!C19+0)+'DCF Model'!D45/(1+$B23)^('DCF Model'!C19+1)+'DCF Model'!E45/(1+$B23)^('DCF Model'!C19+2)+'DCF Model'!F45/(1+$B23)^('DCF Model'!C19+3)+'DCF Model'!G45/(1+$B23)^('DCF Model'!C19+4)+('DCF Model'!G39+'DCF Model'!G42)*E$17/(1+$B23)^('DCF Model'!C19+4)-'DCF Model'!C16)*1000000/'DCF Model'!C15,0),"")</f>
        <v>1764</v>
      </c>
      <c r="F23" s="37">
        <f>IFERROR(ROUND(('DCF Model'!C45/(1+$B23)^('DCF Model'!C19+0)+'DCF Model'!D45/(1+$B23)^('DCF Model'!C19+1)+'DCF Model'!E45/(1+$B23)^('DCF Model'!C19+2)+'DCF Model'!F45/(1+$B23)^('DCF Model'!C19+3)+'DCF Model'!G45/(1+$B23)^('DCF Model'!C19+4)+('DCF Model'!G39+'DCF Model'!G42)*F$17/(1+$B23)^('DCF Model'!C19+4)-'DCF Model'!C16)*1000000/'DCF Model'!C15,0),"")</f>
        <v>1876</v>
      </c>
      <c r="G23" s="37">
        <f>IFERROR(ROUND(('DCF Model'!C45/(1+$B23)^('DCF Model'!C19+0)+'DCF Model'!D45/(1+$B23)^('DCF Model'!C19+1)+'DCF Model'!E45/(1+$B23)^('DCF Model'!C19+2)+'DCF Model'!F45/(1+$B23)^('DCF Model'!C19+3)+'DCF Model'!G45/(1+$B23)^('DCF Model'!C19+4)+('DCF Model'!G39+'DCF Model'!G42)*G$17/(1+$B23)^('DCF Model'!C19+4)-'DCF Model'!C16)*1000000/'DCF Model'!C15,0),"")</f>
        <v>1988</v>
      </c>
      <c r="H23" s="37">
        <f>IFERROR(ROUND(('DCF Model'!C45/(1+$B23)^('DCF Model'!C19+0)+'DCF Model'!D45/(1+$B23)^('DCF Model'!C19+1)+'DCF Model'!E45/(1+$B23)^('DCF Model'!C19+2)+'DCF Model'!F45/(1+$B23)^('DCF Model'!C19+3)+'DCF Model'!G45/(1+$B23)^('DCF Model'!C19+4)+('DCF Model'!G39+'DCF Model'!G42)*H$17/(1+$B23)^('DCF Model'!C19+4)-'DCF Model'!C16)*1000000/'DCF Model'!C15,0),"")</f>
        <v>2100</v>
      </c>
      <c r="I23" s="37">
        <f>IFERROR(ROUND(('DCF Model'!C45/(1+$B23)^('DCF Model'!C19+0)+'DCF Model'!D45/(1+$B23)^('DCF Model'!C19+1)+'DCF Model'!E45/(1+$B23)^('DCF Model'!C19+2)+'DCF Model'!F45/(1+$B23)^('DCF Model'!C19+3)+'DCF Model'!G45/(1+$B23)^('DCF Model'!C19+4)+('DCF Model'!G39+'DCF Model'!G42)*I$17/(1+$B23)^('DCF Model'!C19+4)-'DCF Model'!C16)*1000000/'DCF Model'!C15,0),"")</f>
        <v>2213</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1512</v>
      </c>
      <c r="D24" s="37">
        <f>IFERROR(ROUND(('DCF Model'!C45/(1+$B24)^('DCF Model'!C19+0)+'DCF Model'!D45/(1+$B24)^('DCF Model'!C19+1)+'DCF Model'!E45/(1+$B24)^('DCF Model'!C19+2)+'DCF Model'!F45/(1+$B24)^('DCF Model'!C19+3)+'DCF Model'!G45/(1+$B24)^('DCF Model'!C19+4)+('DCF Model'!G39+'DCF Model'!G42)*D$17/(1+$B24)^('DCF Model'!C19+4)-'DCF Model'!C16)*1000000/'DCF Model'!C15,0),"")</f>
        <v>1621</v>
      </c>
      <c r="E24" s="37">
        <f>IFERROR(ROUND(('DCF Model'!C45/(1+$B24)^('DCF Model'!C19+0)+'DCF Model'!D45/(1+$B24)^('DCF Model'!C19+1)+'DCF Model'!E45/(1+$B24)^('DCF Model'!C19+2)+'DCF Model'!F45/(1+$B24)^('DCF Model'!C19+3)+'DCF Model'!G45/(1+$B24)^('DCF Model'!C19+4)+('DCF Model'!G39+'DCF Model'!G42)*E$17/(1+$B24)^('DCF Model'!C19+4)-'DCF Model'!C16)*1000000/'DCF Model'!C15,0),"")</f>
        <v>1731</v>
      </c>
      <c r="F24" s="37">
        <f>IFERROR(ROUND(('DCF Model'!C45/(1+$B24)^('DCF Model'!C19+0)+'DCF Model'!D45/(1+$B24)^('DCF Model'!C19+1)+'DCF Model'!E45/(1+$B24)^('DCF Model'!C19+2)+'DCF Model'!F45/(1+$B24)^('DCF Model'!C19+3)+'DCF Model'!G45/(1+$B24)^('DCF Model'!C19+4)+('DCF Model'!G39+'DCF Model'!G42)*F$17/(1+$B24)^('DCF Model'!C19+4)-'DCF Model'!C16)*1000000/'DCF Model'!C15,0),"")</f>
        <v>1841</v>
      </c>
      <c r="G24" s="37">
        <f>IFERROR(ROUND(('DCF Model'!C45/(1+$B24)^('DCF Model'!C19+0)+'DCF Model'!D45/(1+$B24)^('DCF Model'!C19+1)+'DCF Model'!E45/(1+$B24)^('DCF Model'!C19+2)+'DCF Model'!F45/(1+$B24)^('DCF Model'!C19+3)+'DCF Model'!G45/(1+$B24)^('DCF Model'!C19+4)+('DCF Model'!G39+'DCF Model'!G42)*G$17/(1+$B24)^('DCF Model'!C19+4)-'DCF Model'!C16)*1000000/'DCF Model'!C15,0),"")</f>
        <v>1950</v>
      </c>
      <c r="H24" s="37">
        <f>IFERROR(ROUND(('DCF Model'!C45/(1+$B24)^('DCF Model'!C19+0)+'DCF Model'!D45/(1+$B24)^('DCF Model'!C19+1)+'DCF Model'!E45/(1+$B24)^('DCF Model'!C19+2)+'DCF Model'!F45/(1+$B24)^('DCF Model'!C19+3)+'DCF Model'!G45/(1+$B24)^('DCF Model'!C19+4)+('DCF Model'!G39+'DCF Model'!G42)*H$17/(1+$B24)^('DCF Model'!C19+4)-'DCF Model'!C16)*1000000/'DCF Model'!C15,0),"")</f>
        <v>2060</v>
      </c>
      <c r="I24" s="37">
        <f>IFERROR(ROUND(('DCF Model'!C45/(1+$B24)^('DCF Model'!C19+0)+'DCF Model'!D45/(1+$B24)^('DCF Model'!C19+1)+'DCF Model'!E45/(1+$B24)^('DCF Model'!C19+2)+'DCF Model'!F45/(1+$B24)^('DCF Model'!C19+3)+'DCF Model'!G45/(1+$B24)^('DCF Model'!C19+4)+('DCF Model'!G39+'DCF Model'!G42)*I$17/(1+$B24)^('DCF Model'!C19+4)-'DCF Model'!C16)*1000000/'DCF Model'!C15,0),"")</f>
        <v>2169</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246</v>
      </c>
      <c r="C6" s="4" t="s">
        <v>251</v>
      </c>
      <c r="D6" s="43" t="s">
        <v>252</v>
      </c>
      <c r="E6" s="43" t="s">
        <v>253</v>
      </c>
      <c r="F6" s="43" t="s">
        <v>254</v>
      </c>
      <c r="G6" s="43" t="s">
        <v>255</v>
      </c>
    </row>
    <row r="7" spans="2:7" ht="30" customHeight="1" x14ac:dyDescent="0.3">
      <c r="B7" s="43" t="s">
        <v>246</v>
      </c>
      <c r="C7" s="4" t="s">
        <v>256</v>
      </c>
      <c r="D7" s="43" t="s">
        <v>257</v>
      </c>
      <c r="E7" s="43" t="s">
        <v>258</v>
      </c>
      <c r="F7" s="43" t="s">
        <v>259</v>
      </c>
      <c r="G7" s="43" t="s">
        <v>260</v>
      </c>
    </row>
    <row r="8" spans="2:7" ht="30" customHeight="1" x14ac:dyDescent="0.3">
      <c r="B8" s="43" t="s">
        <v>246</v>
      </c>
      <c r="C8" s="4" t="s">
        <v>261</v>
      </c>
      <c r="D8" s="43" t="s">
        <v>262</v>
      </c>
      <c r="E8" s="43" t="s">
        <v>263</v>
      </c>
      <c r="F8" s="43" t="s">
        <v>264</v>
      </c>
      <c r="G8" s="43" t="s">
        <v>260</v>
      </c>
    </row>
    <row r="9" spans="2:7" ht="30" customHeight="1" x14ac:dyDescent="0.3">
      <c r="B9" s="43" t="s">
        <v>246</v>
      </c>
      <c r="C9" s="4" t="s">
        <v>265</v>
      </c>
      <c r="D9" s="43" t="s">
        <v>266</v>
      </c>
      <c r="E9" s="43" t="s">
        <v>267</v>
      </c>
      <c r="F9" s="43" t="s">
        <v>268</v>
      </c>
      <c r="G9" s="43" t="s">
        <v>260</v>
      </c>
    </row>
    <row r="10" spans="2:7" ht="30" customHeight="1" x14ac:dyDescent="0.3">
      <c r="B10" s="43" t="s">
        <v>246</v>
      </c>
      <c r="C10" s="4" t="s">
        <v>269</v>
      </c>
      <c r="D10" s="43" t="s">
        <v>270</v>
      </c>
      <c r="E10" s="43" t="s">
        <v>271</v>
      </c>
      <c r="F10" s="43" t="s">
        <v>272</v>
      </c>
      <c r="G10" s="43" t="s">
        <v>273</v>
      </c>
    </row>
    <row r="11" spans="2:7" ht="30" customHeight="1" x14ac:dyDescent="0.3">
      <c r="B11" s="43" t="s">
        <v>246</v>
      </c>
      <c r="C11" s="4" t="s">
        <v>274</v>
      </c>
      <c r="D11" s="43" t="s">
        <v>275</v>
      </c>
      <c r="E11" s="43" t="s">
        <v>276</v>
      </c>
      <c r="F11" s="43" t="s">
        <v>277</v>
      </c>
      <c r="G11" s="43" t="s">
        <v>260</v>
      </c>
    </row>
    <row r="12" spans="2:7" ht="30" customHeight="1" x14ac:dyDescent="0.3">
      <c r="B12" s="43" t="s">
        <v>246</v>
      </c>
      <c r="C12" s="4" t="s">
        <v>278</v>
      </c>
      <c r="D12" s="43" t="s">
        <v>279</v>
      </c>
      <c r="E12" s="43" t="s">
        <v>280</v>
      </c>
      <c r="F12" s="43" t="s">
        <v>281</v>
      </c>
      <c r="G12" s="43" t="s">
        <v>260</v>
      </c>
    </row>
    <row r="13" spans="2:7" ht="30" customHeight="1" x14ac:dyDescent="0.3">
      <c r="B13" s="43" t="s">
        <v>246</v>
      </c>
      <c r="C13" s="4" t="s">
        <v>282</v>
      </c>
      <c r="D13" s="43" t="s">
        <v>283</v>
      </c>
      <c r="E13" s="43" t="s">
        <v>284</v>
      </c>
      <c r="F13" s="43" t="s">
        <v>285</v>
      </c>
      <c r="G13" s="43" t="s">
        <v>260</v>
      </c>
    </row>
    <row r="14" spans="2:7" ht="30" customHeight="1" x14ac:dyDescent="0.3">
      <c r="B14" s="43" t="s">
        <v>246</v>
      </c>
      <c r="C14" s="4" t="s">
        <v>286</v>
      </c>
      <c r="D14" s="43" t="s">
        <v>287</v>
      </c>
      <c r="E14" s="43" t="s">
        <v>288</v>
      </c>
      <c r="F14" s="43" t="s">
        <v>247</v>
      </c>
      <c r="G14" s="43" t="s">
        <v>260</v>
      </c>
    </row>
    <row r="15" spans="2:7" ht="30" customHeight="1" x14ac:dyDescent="0.3">
      <c r="B15" s="43" t="s">
        <v>246</v>
      </c>
      <c r="C15" s="4" t="s">
        <v>289</v>
      </c>
      <c r="D15" s="43" t="s">
        <v>290</v>
      </c>
      <c r="E15" s="43" t="s">
        <v>291</v>
      </c>
      <c r="F15" s="43" t="s">
        <v>292</v>
      </c>
      <c r="G15" s="43" t="s">
        <v>260</v>
      </c>
    </row>
    <row r="16" spans="2:7" ht="30" customHeight="1" x14ac:dyDescent="0.3">
      <c r="B16" s="43" t="s">
        <v>246</v>
      </c>
      <c r="C16" s="4" t="s">
        <v>293</v>
      </c>
      <c r="D16" s="43" t="s">
        <v>294</v>
      </c>
      <c r="E16" s="43" t="s">
        <v>295</v>
      </c>
      <c r="F16" s="43" t="s">
        <v>296</v>
      </c>
      <c r="G16" s="43" t="s">
        <v>297</v>
      </c>
    </row>
    <row r="17" spans="2:7" ht="30" customHeight="1" x14ac:dyDescent="0.3">
      <c r="B17" s="43" t="s">
        <v>246</v>
      </c>
      <c r="C17" s="4" t="s">
        <v>298</v>
      </c>
      <c r="D17" s="43" t="s">
        <v>299</v>
      </c>
      <c r="E17" s="43" t="s">
        <v>300</v>
      </c>
      <c r="F17" s="43" t="s">
        <v>264</v>
      </c>
      <c r="G17" s="43" t="s">
        <v>260</v>
      </c>
    </row>
    <row r="18" spans="2:7" ht="30" customHeight="1" x14ac:dyDescent="0.3">
      <c r="B18" s="43" t="s">
        <v>246</v>
      </c>
      <c r="C18" s="4" t="s">
        <v>301</v>
      </c>
      <c r="D18" s="43" t="s">
        <v>302</v>
      </c>
      <c r="E18" s="43" t="s">
        <v>303</v>
      </c>
      <c r="F18" s="43" t="s">
        <v>304</v>
      </c>
      <c r="G18" s="43" t="s">
        <v>260</v>
      </c>
    </row>
    <row r="19" spans="2:7" ht="30" customHeight="1" x14ac:dyDescent="0.3">
      <c r="B19" s="43" t="s">
        <v>246</v>
      </c>
      <c r="C19" s="4" t="s">
        <v>305</v>
      </c>
      <c r="D19" s="43" t="s">
        <v>306</v>
      </c>
      <c r="E19" s="43" t="s">
        <v>307</v>
      </c>
      <c r="F19" s="43" t="s">
        <v>247</v>
      </c>
      <c r="G19" s="43" t="s">
        <v>308</v>
      </c>
    </row>
    <row r="20" spans="2:7" ht="30" customHeight="1" x14ac:dyDescent="0.3">
      <c r="B20" s="43" t="s">
        <v>246</v>
      </c>
      <c r="C20" s="4" t="s">
        <v>309</v>
      </c>
      <c r="D20" s="43" t="s">
        <v>310</v>
      </c>
      <c r="E20" s="43" t="s">
        <v>311</v>
      </c>
      <c r="F20" s="43" t="s">
        <v>264</v>
      </c>
      <c r="G20" s="43" t="s">
        <v>260</v>
      </c>
    </row>
    <row r="21" spans="2:7" ht="30" customHeight="1" x14ac:dyDescent="0.3">
      <c r="B21" s="43" t="s">
        <v>246</v>
      </c>
      <c r="C21" s="4" t="s">
        <v>312</v>
      </c>
      <c r="D21" s="43" t="s">
        <v>313</v>
      </c>
      <c r="E21" s="43" t="s">
        <v>314</v>
      </c>
      <c r="F21" s="43" t="s">
        <v>247</v>
      </c>
      <c r="G21" s="43" t="s">
        <v>260</v>
      </c>
    </row>
    <row r="22" spans="2:7" ht="30" customHeight="1" x14ac:dyDescent="0.3">
      <c r="B22" s="43" t="s">
        <v>246</v>
      </c>
      <c r="C22" s="4" t="s">
        <v>315</v>
      </c>
      <c r="D22" s="43" t="s">
        <v>316</v>
      </c>
      <c r="E22" s="43" t="s">
        <v>317</v>
      </c>
      <c r="F22" s="43" t="s">
        <v>247</v>
      </c>
      <c r="G22" s="43" t="s">
        <v>255</v>
      </c>
    </row>
    <row r="23" spans="2:7" ht="30" customHeight="1" x14ac:dyDescent="0.3">
      <c r="B23" s="43" t="s">
        <v>246</v>
      </c>
      <c r="C23" s="4" t="s">
        <v>318</v>
      </c>
      <c r="D23" s="43" t="s">
        <v>319</v>
      </c>
      <c r="E23" s="43" t="s">
        <v>320</v>
      </c>
      <c r="F23" s="43" t="s">
        <v>247</v>
      </c>
      <c r="G23" s="43" t="s">
        <v>321</v>
      </c>
    </row>
    <row r="24" spans="2:7" ht="30" customHeight="1" x14ac:dyDescent="0.3">
      <c r="B24" s="43" t="s">
        <v>246</v>
      </c>
      <c r="C24" s="4" t="s">
        <v>322</v>
      </c>
      <c r="D24" s="43" t="s">
        <v>323</v>
      </c>
      <c r="E24" s="43" t="s">
        <v>324</v>
      </c>
      <c r="F24" s="43" t="s">
        <v>247</v>
      </c>
      <c r="G24" s="43" t="s">
        <v>325</v>
      </c>
    </row>
    <row r="25" spans="2:7" ht="30" customHeight="1" x14ac:dyDescent="0.3">
      <c r="B25" s="43" t="s">
        <v>246</v>
      </c>
      <c r="C25" s="4" t="s">
        <v>322</v>
      </c>
      <c r="D25" s="43" t="s">
        <v>326</v>
      </c>
      <c r="E25" s="43" t="s">
        <v>327</v>
      </c>
      <c r="F25" s="43" t="s">
        <v>247</v>
      </c>
      <c r="G25" s="43" t="s">
        <v>325</v>
      </c>
    </row>
    <row r="26" spans="2:7" ht="30" customHeight="1" x14ac:dyDescent="0.3">
      <c r="B26" s="43" t="s">
        <v>246</v>
      </c>
      <c r="C26" s="4" t="s">
        <v>322</v>
      </c>
      <c r="D26" s="43" t="s">
        <v>328</v>
      </c>
      <c r="E26" s="43" t="s">
        <v>329</v>
      </c>
      <c r="F26" s="43" t="s">
        <v>247</v>
      </c>
      <c r="G26" s="43" t="s">
        <v>325</v>
      </c>
    </row>
    <row r="27" spans="2:7" ht="30" customHeight="1" x14ac:dyDescent="0.3">
      <c r="B27" s="43" t="s">
        <v>246</v>
      </c>
      <c r="C27" s="4" t="s">
        <v>322</v>
      </c>
      <c r="D27" s="43" t="s">
        <v>330</v>
      </c>
      <c r="E27" s="43" t="s">
        <v>331</v>
      </c>
      <c r="F27" s="43" t="s">
        <v>247</v>
      </c>
      <c r="G27" s="43" t="s">
        <v>325</v>
      </c>
    </row>
    <row r="28" spans="2:7" ht="14" customHeight="1" x14ac:dyDescent="0.2"/>
    <row r="29" spans="2:7" ht="14" customHeight="1" x14ac:dyDescent="0.3">
      <c r="B29" s="8" t="s">
        <v>332</v>
      </c>
    </row>
    <row r="30" spans="2:7" ht="14" customHeight="1" x14ac:dyDescent="0.3">
      <c r="B30" s="10" t="s">
        <v>333</v>
      </c>
      <c r="C30" s="10" t="s">
        <v>334</v>
      </c>
    </row>
    <row r="31" spans="2:7" ht="14" customHeight="1" x14ac:dyDescent="0.3">
      <c r="B31" s="4" t="s">
        <v>335</v>
      </c>
      <c r="C31" t="s">
        <v>336</v>
      </c>
    </row>
    <row r="32" spans="2:7" ht="14" customHeight="1" x14ac:dyDescent="0.3">
      <c r="B32" s="4" t="s">
        <v>337</v>
      </c>
      <c r="C32" t="s">
        <v>338</v>
      </c>
    </row>
    <row r="33" spans="2:3" ht="14" customHeight="1" x14ac:dyDescent="0.3">
      <c r="B33" s="4" t="s">
        <v>339</v>
      </c>
      <c r="C33" t="s">
        <v>340</v>
      </c>
    </row>
    <row r="34" spans="2:3" ht="14" customHeight="1" x14ac:dyDescent="0.3">
      <c r="B34" s="4" t="s">
        <v>341</v>
      </c>
      <c r="C34" t="s">
        <v>42</v>
      </c>
    </row>
    <row r="35" spans="2:3" ht="14" customHeight="1" x14ac:dyDescent="0.3">
      <c r="B35" s="4" t="s">
        <v>342</v>
      </c>
      <c r="C35" t="s">
        <v>4</v>
      </c>
    </row>
    <row r="36" spans="2:3" ht="14" customHeight="1" x14ac:dyDescent="0.3">
      <c r="B36" s="4" t="s">
        <v>343</v>
      </c>
      <c r="C36" t="s">
        <v>246</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353</v>
      </c>
    </row>
    <row r="42" spans="2:3" ht="14" customHeight="1" x14ac:dyDescent="0.3">
      <c r="B42" s="4" t="s">
        <v>354</v>
      </c>
      <c r="C42" t="s">
        <v>349</v>
      </c>
    </row>
    <row r="43" spans="2:3" ht="14" customHeight="1" x14ac:dyDescent="0.3">
      <c r="B43" s="4" t="s">
        <v>355</v>
      </c>
      <c r="C43" t="s">
        <v>345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361</v>
      </c>
    </row>
    <row r="47" spans="2:3" ht="14" x14ac:dyDescent="0.3">
      <c r="B47" s="4" t="s">
        <v>362</v>
      </c>
      <c r="C47" t="s">
        <v>338</v>
      </c>
    </row>
    <row r="48" spans="2:3" ht="14" x14ac:dyDescent="0.3">
      <c r="B48" s="4" t="s">
        <v>363</v>
      </c>
      <c r="C48" t="s">
        <v>338</v>
      </c>
    </row>
    <row r="49" spans="2:3" ht="14" x14ac:dyDescent="0.3">
      <c r="B49" s="4" t="s">
        <v>364</v>
      </c>
      <c r="C49" t="s">
        <v>365</v>
      </c>
    </row>
    <row r="50" spans="2:3" ht="14" x14ac:dyDescent="0.3">
      <c r="B50" s="4" t="s">
        <v>366</v>
      </c>
      <c r="C50" t="s">
        <v>367</v>
      </c>
    </row>
    <row r="51" spans="2:3" ht="14" x14ac:dyDescent="0.3">
      <c r="B51" s="4" t="s">
        <v>368</v>
      </c>
      <c r="C51" t="s">
        <v>369</v>
      </c>
    </row>
    <row r="52" spans="2:3" ht="14" x14ac:dyDescent="0.3">
      <c r="B52" s="4" t="s">
        <v>370</v>
      </c>
      <c r="C52" t="s">
        <v>371</v>
      </c>
    </row>
    <row r="53" spans="2:3" ht="14" x14ac:dyDescent="0.3">
      <c r="B53" s="4" t="s">
        <v>372</v>
      </c>
      <c r="C53" t="s">
        <v>373</v>
      </c>
    </row>
    <row r="54" spans="2:3" ht="14" x14ac:dyDescent="0.3">
      <c r="B54" s="4" t="s">
        <v>374</v>
      </c>
      <c r="C54" t="s">
        <v>375</v>
      </c>
    </row>
    <row r="55" spans="2:3" ht="14" x14ac:dyDescent="0.3">
      <c r="B55" s="4" t="s">
        <v>376</v>
      </c>
      <c r="C55" t="s">
        <v>377</v>
      </c>
    </row>
    <row r="56" spans="2:3" ht="14" x14ac:dyDescent="0.3">
      <c r="B56" s="4" t="s">
        <v>378</v>
      </c>
      <c r="C56" t="s">
        <v>379</v>
      </c>
    </row>
    <row r="57" spans="2:3" ht="14" x14ac:dyDescent="0.3">
      <c r="B57" s="4" t="s">
        <v>380</v>
      </c>
      <c r="C57" t="s">
        <v>381</v>
      </c>
    </row>
    <row r="58" spans="2:3" ht="14" x14ac:dyDescent="0.3">
      <c r="B58" s="4" t="s">
        <v>382</v>
      </c>
      <c r="C58" t="s">
        <v>383</v>
      </c>
    </row>
    <row r="59" spans="2:3" ht="14" x14ac:dyDescent="0.3">
      <c r="B59" s="4" t="s">
        <v>384</v>
      </c>
      <c r="C59" t="s">
        <v>385</v>
      </c>
    </row>
    <row r="60" spans="2:3" ht="14" x14ac:dyDescent="0.3">
      <c r="B60" s="4" t="s">
        <v>386</v>
      </c>
      <c r="C60" t="s">
        <v>387</v>
      </c>
    </row>
    <row r="61" spans="2:3" ht="14" x14ac:dyDescent="0.3">
      <c r="B61" s="4" t="s">
        <v>388</v>
      </c>
      <c r="C61" t="s">
        <v>389</v>
      </c>
    </row>
    <row r="62" spans="2:3" ht="14" x14ac:dyDescent="0.3">
      <c r="B62" s="4" t="s">
        <v>390</v>
      </c>
      <c r="C62" t="s">
        <v>391</v>
      </c>
    </row>
    <row r="63" spans="2:3" ht="14" x14ac:dyDescent="0.3">
      <c r="B63" s="4" t="s">
        <v>392</v>
      </c>
      <c r="C63"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2026-09-05T09:35:02Z</dcterms:created>
  <dcterms:modified xsi:type="dcterms:W3CDTF">2026-09-05T09:36:26Z</dcterms:modified>
</cp:coreProperties>
</file>