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9121D0F2-D6F4-4BDD-8094-1928CA534663}" xr6:coauthVersionLast="47" xr6:coauthVersionMax="47" xr10:uidLastSave="{00000000-0000-0000-0000-000000000000}"/>
  <bookViews>
    <workbookView xWindow="-110" yWindow="-110" windowWidth="19420" windowHeight="10300" xr2:uid="{00000000-000D-0000-FFFF-FFFF00000000}"/>
  </bookViews>
  <sheets>
    <sheet name="Cover &amp; Thesis" sheetId="1" r:id="rId1"/>
    <sheet name="Segment Data" sheetId="2" r:id="rId2"/>
    <sheet name="Peer Comps" sheetId="3" r:id="rId3"/>
    <sheet name="SOTP Valuation" sheetId="4" r:id="rId4"/>
    <sheet name="Sensitivity" sheetId="5" r:id="rId5"/>
    <sheet name="D&amp;A Allocation" sheetId="6" r:id="rId6"/>
  </sheets>
  <calcPr calcId="181029"/>
</workbook>
</file>

<file path=xl/calcChain.xml><?xml version="1.0" encoding="utf-8"?>
<calcChain xmlns="http://schemas.openxmlformats.org/spreadsheetml/2006/main">
  <c r="C11" i="6" l="1"/>
  <c r="E11" i="6" s="1"/>
  <c r="D10" i="6"/>
  <c r="D9" i="6"/>
  <c r="C12" i="5"/>
  <c r="C11" i="5"/>
  <c r="C10" i="5"/>
  <c r="C9" i="5"/>
  <c r="C7" i="5"/>
  <c r="E7" i="5" s="1"/>
  <c r="C6" i="5"/>
  <c r="E6" i="5" s="1"/>
  <c r="H7" i="4"/>
  <c r="C8" i="5" s="1"/>
  <c r="F7" i="4"/>
  <c r="G6" i="4"/>
  <c r="F7" i="5" s="1"/>
  <c r="F6" i="4"/>
  <c r="H6" i="4" s="1"/>
  <c r="C20" i="4" s="1"/>
  <c r="G5" i="4"/>
  <c r="F6" i="5" s="1"/>
  <c r="E5" i="4"/>
  <c r="D6" i="5" s="1"/>
  <c r="C5" i="4"/>
  <c r="F5" i="4" s="1"/>
  <c r="H5" i="4" s="1"/>
  <c r="D17" i="3"/>
  <c r="D8" i="3"/>
  <c r="D17" i="2"/>
  <c r="C17" i="2"/>
  <c r="D16" i="2"/>
  <c r="D18" i="2" s="1"/>
  <c r="C16" i="2"/>
  <c r="C18" i="2" s="1"/>
  <c r="D13" i="2"/>
  <c r="C13" i="2"/>
  <c r="D8" i="2"/>
  <c r="C8" i="2"/>
  <c r="D11" i="6" l="1"/>
  <c r="H8" i="4"/>
  <c r="C17" i="4" s="1"/>
  <c r="C19" i="4" s="1"/>
  <c r="C21" i="4" s="1"/>
  <c r="C23" i="4" s="1"/>
  <c r="C25" i="4" s="1"/>
  <c r="C28" i="4" s="1"/>
  <c r="C12" i="1" s="1"/>
  <c r="D29" i="5"/>
  <c r="F27" i="5"/>
  <c r="C26" i="5"/>
  <c r="E19" i="5"/>
  <c r="G17" i="5"/>
  <c r="D16" i="5"/>
  <c r="C29" i="5"/>
  <c r="E27" i="5"/>
  <c r="G25" i="5"/>
  <c r="D19" i="5"/>
  <c r="F17" i="5"/>
  <c r="C16" i="5"/>
  <c r="G28" i="5"/>
  <c r="D27" i="5"/>
  <c r="F25" i="5"/>
  <c r="C19" i="5"/>
  <c r="E17" i="5"/>
  <c r="G15" i="5"/>
  <c r="F28" i="5"/>
  <c r="C27" i="5"/>
  <c r="E25" i="5"/>
  <c r="G18" i="5"/>
  <c r="D17" i="5"/>
  <c r="F15" i="5"/>
  <c r="E28" i="5"/>
  <c r="G26" i="5"/>
  <c r="D25" i="5"/>
  <c r="F18" i="5"/>
  <c r="C17" i="5"/>
  <c r="E15" i="5"/>
  <c r="G29" i="5"/>
  <c r="D28" i="5"/>
  <c r="F26" i="5"/>
  <c r="C25" i="5"/>
  <c r="E18" i="5"/>
  <c r="G16" i="5"/>
  <c r="D15" i="5"/>
  <c r="F29" i="5"/>
  <c r="C28" i="5"/>
  <c r="E26" i="5"/>
  <c r="G19" i="5"/>
  <c r="D18" i="5"/>
  <c r="F16" i="5"/>
  <c r="C15" i="5"/>
  <c r="E29" i="5"/>
  <c r="G27" i="5"/>
  <c r="D26" i="5"/>
  <c r="F19" i="5"/>
  <c r="C18" i="5"/>
  <c r="E16" i="5"/>
  <c r="D16" i="1" l="1"/>
  <c r="D15" i="1"/>
  <c r="D14" i="1"/>
  <c r="D13" i="1"/>
  <c r="C13" i="4"/>
</calcChain>
</file>

<file path=xl/sharedStrings.xml><?xml version="1.0" encoding="utf-8"?>
<sst xmlns="http://schemas.openxmlformats.org/spreadsheetml/2006/main" count="136" uniqueCount="121">
  <si>
    <t>SOTP Valuation Model</t>
  </si>
  <si>
    <t>Valuation Date: September 2026</t>
  </si>
  <si>
    <t>Investment Thesis</t>
  </si>
  <si>
    <t>KDDI の連結BS は総資産の 37.5% が金融事業の貸出金・有価証券、負債の 29.7% が金融事業の預金である。連結 DCF は預金を有利子負債として扱ってしまうため成立しない。非金融(通信)を EV/EBITDA、金融(auフィナンシャルホールディングス、議決権100.0%)を PBR×純資産で評価し、SOTP で合算する。</t>
  </si>
  <si>
    <t>Valuation Cross-Check</t>
  </si>
  <si>
    <t>Method</t>
  </si>
  <si>
    <t>Fair Value (¥)</t>
  </si>
  <si>
    <t>vs SOTP Base</t>
  </si>
  <si>
    <t>SOTP (Base Case)</t>
  </si>
  <si>
    <t>—</t>
  </si>
  <si>
    <t>DCF - Perpetuity Growth</t>
  </si>
  <si>
    <t>DCF - Exit Multiple</t>
  </si>
  <si>
    <t>Comps - EV/EBITDA Median [参考・Target不算入]</t>
  </si>
  <si>
    <t>Comps - PER Median [参考・Target不算入]</t>
  </si>
  <si>
    <t>DCF cross-check as of 2026-09-07 01:32 from 9433_DCF_Model_20260906.xlsx (static snapshot — regenerate after re-running the DCF)</t>
  </si>
  <si>
    <t>Segment Financial Data</t>
  </si>
  <si>
    <t>(¥ millions)</t>
  </si>
  <si>
    <t>Segment</t>
  </si>
  <si>
    <t>FY2025.3</t>
  </si>
  <si>
    <t>FY2026.3</t>
  </si>
  <si>
    <t>Telecom &amp; Non-Financial (ex-au FH)  (通信・非金融(auフィナンシャルHDを除く連結))</t>
  </si>
  <si>
    <t xml:space="preserve">  Revenue</t>
  </si>
  <si>
    <t xml:space="preserve">  Operating Profit</t>
  </si>
  <si>
    <t xml:space="preserve">  OPM %</t>
  </si>
  <si>
    <t>au Financial Holdings (100% owned)  (auフィナンシャルホールディングス(議決権100.0%))</t>
  </si>
  <si>
    <t>Consolidated Total</t>
  </si>
  <si>
    <t xml:space="preserve">  Total Revenue</t>
  </si>
  <si>
    <t xml:space="preserve">  Total Operating Profit</t>
  </si>
  <si>
    <t xml:space="preserve">  Total OPM %</t>
  </si>
  <si>
    <t>Peer Comparable Analysis</t>
  </si>
  <si>
    <t>Telecom &amp; Non-Financial (ex-au FH)</t>
  </si>
  <si>
    <t>Company</t>
  </si>
  <si>
    <t>Ticker</t>
  </si>
  <si>
    <t>EV/EBITDA</t>
  </si>
  <si>
    <t>OPM %</t>
  </si>
  <si>
    <t>Mkt Cap ($B)</t>
  </si>
  <si>
    <t>Note</t>
  </si>
  <si>
    <t>NTT, Inc.</t>
  </si>
  <si>
    <t>9432.T</t>
  </si>
  <si>
    <t>自社パイプラインの 9432 モデル(20260906)の Comps Analysis 自社行より。</t>
  </si>
  <si>
    <t>SoftBank Corp.</t>
  </si>
  <si>
    <t>9434.T</t>
  </si>
  <si>
    <t>PayPay銀行・PayPayカードを連結。本モデルが分離した金融事業が EV と EBITDA の双方に入るため統計から除外。加えて yfinance の EBITDA(1,039,656)が営業利益(1,042,576)を下回っており値自体が使えない。</t>
  </si>
  <si>
    <t>Okinawa Cellular</t>
  </si>
  <si>
    <t>9436.T</t>
  </si>
  <si>
    <t>KDDI の 80.9% 子会社であり連結内。ピアとして独立していないため除外。</t>
  </si>
  <si>
    <t>Median</t>
  </si>
  <si>
    <t>Selected Multiple</t>
  </si>
  <si>
    <t>9432 NTT の EV/EBITDA 8.10x。9434 ソフトバンクは金融事業を連結しており倍率が汚染されるため除外。9436 沖縄セルラーは KDDI の 80.9% 子会社で連結内のためピアとして独立していない。</t>
  </si>
  <si>
    <t>au Financial Holdings (100% owned)</t>
  </si>
  <si>
    <t>PBR (x)</t>
  </si>
  <si>
    <t>ROE %</t>
  </si>
  <si>
    <t>Rakuten Bank</t>
  </si>
  <si>
    <t>5838.T</t>
  </si>
  <si>
    <t>デジタル銀行。グループ経済圏型で au じぶん銀行に最も近い。</t>
  </si>
  <si>
    <t>Seven Bank</t>
  </si>
  <si>
    <t>8410.T</t>
  </si>
  <si>
    <t>流通系銀行。自社パイプラインの型D モデルあり。</t>
  </si>
  <si>
    <t>Japan Post Bank</t>
  </si>
  <si>
    <t>7182.T</t>
  </si>
  <si>
    <t>規模は大きく異なるが国内リテール銀行の水準参照。</t>
  </si>
  <si>
    <t>AEON Financial Service</t>
  </si>
  <si>
    <t>8570.T</t>
  </si>
  <si>
    <t>流通系金融持株会社。カード+銀行の複合という点で au FH に近い。</t>
  </si>
  <si>
    <t>上場デジタル/流通系銀行4社の PBR 中央値(2026-09-06 yfinance): 5838 楽天銀行 2.952 / 8410 セブン銀行 1.416 / 7182 ゆうちょ銀行 1.302 / 8570 イオンフィナンシャル 0.737 → 中央値 1.359。</t>
  </si>
  <si>
    <t>SOTP Valuation</t>
  </si>
  <si>
    <t>(¥ millions unless noted)</t>
  </si>
  <si>
    <t>OP (FY25E)</t>
  </si>
  <si>
    <t>D&amp;A Alloc %</t>
  </si>
  <si>
    <t>D&amp;A</t>
  </si>
  <si>
    <t>EBITDA</t>
  </si>
  <si>
    <t>Multiple (x)</t>
  </si>
  <si>
    <t>Segment EV</t>
  </si>
  <si>
    <t>金融セグメントは PBR × 純資産の【株主価値】。EV 列には合算せず、下の Equity Bridge で純有利子負債の控除後に加算する</t>
  </si>
  <si>
    <t>純資産 × PBR = 株主価値 (EV ではない)</t>
  </si>
  <si>
    <t>Equity Method Investments</t>
  </si>
  <si>
    <t>Total Segment EV (非金融)</t>
  </si>
  <si>
    <t>← Consolidated D&amp;A (input)</t>
  </si>
  <si>
    <t>EV Composition %</t>
  </si>
  <si>
    <t xml:space="preserve">  Telecom &amp; Non-Financial (ex-au FH)</t>
  </si>
  <si>
    <t xml:space="preserve">  (金融セグメントは EV に含まれないため構成比の対象外)</t>
  </si>
  <si>
    <t>Equity Bridge</t>
  </si>
  <si>
    <t>Total Enterprise Value</t>
  </si>
  <si>
    <t>Less: Net Debt (非金融、預金・貸出金 除外)</t>
  </si>
  <si>
    <t>非金融の株主価値</t>
  </si>
  <si>
    <t>Add: 金融セグメント株主価値 (PBR × 純資産)</t>
  </si>
  <si>
    <t>SOTP 株主価値 (割引前)</t>
  </si>
  <si>
    <t>Conglomerate Discount</t>
  </si>
  <si>
    <t>Adjusted SOTP 株主価値 (割引後)</t>
  </si>
  <si>
    <t>Less: Minority Interest</t>
  </si>
  <si>
    <t>Equity Value (親会社株主帰属)</t>
  </si>
  <si>
    <t>Shares Outstanding (thousands)</t>
  </si>
  <si>
    <t>Stock Split Ratio</t>
  </si>
  <si>
    <t>Fair Value Per Share (post-split)</t>
  </si>
  <si>
    <t>Fair Value = Equity Value (¥M) × 1,000 ÷ Shares (千株) ÷ split. 株数は【千株】単位（dcf_comps_template は【株】単位: 桁が3つ違う）</t>
  </si>
  <si>
    <t>Sensitivity Analysis</t>
  </si>
  <si>
    <t>Table 1: Telecom &amp; Non-Financial (ex-au FH) Multiple × Conglomerate Discount</t>
  </si>
  <si>
    <t>Fair Value (¥/share, post-split)</t>
  </si>
  <si>
    <t>Base Assumptions (do not edit)</t>
  </si>
  <si>
    <t>Telecom &amp; Non-Financial (ex-au FH) OP</t>
  </si>
  <si>
    <t>au Financial Holdings (100% owned) 純資産</t>
  </si>
  <si>
    <t>Equity Method EV</t>
  </si>
  <si>
    <t>Net Debt</t>
  </si>
  <si>
    <t>Minority Interest</t>
  </si>
  <si>
    <t>Shares (thousands)</t>
  </si>
  <si>
    <t>Split Ratio</t>
  </si>
  <si>
    <t>Telecom &amp; Non-Financial (ex-au FH) EV/EBITDA →</t>
  </si>
  <si>
    <t>Table 2: Telecom &amp; Non-Financial (ex-au FH) × au Financial Holdings (100% owned) Multiple Sensitivity</t>
  </si>
  <si>
    <t>Fair Value (¥/share, post-split) — Base discount, base Telecom &amp; Non-Financial (ex-au FH) multiple</t>
  </si>
  <si>
    <t>Telecom &amp; Non-Financial (ex-au FH) ↓ / au Financial Holdings (100% owned) →</t>
  </si>
  <si>
    <t>D&amp;A Allocation Methodology</t>
  </si>
  <si>
    <t>セグメント別D&amp;Aは非開示のため、固定資産集約度をもとに按分している。</t>
  </si>
  <si>
    <t>Segment-level D&amp;A is not disclosed; allocation is estimated from fixed-asset intensity by segment.</t>
  </si>
  <si>
    <t>Consolidated D&amp;A (FY25E)</t>
  </si>
  <si>
    <t>¥M (input)</t>
  </si>
  <si>
    <t>Allocation %</t>
  </si>
  <si>
    <t>D&amp;A (¥M)</t>
  </si>
  <si>
    <t>Check</t>
  </si>
  <si>
    <t>Total</t>
  </si>
  <si>
    <t>Notes:</t>
  </si>
  <si>
    <t>• Allocation sums to 100% — residual is implicitly in corporate/eliminations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</si>
</sst>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
    <numFmt numFmtId="177" formatCode="0.0%;\(0.0%\)"/>
    <numFmt numFmtId="178" formatCode="#,##0;\(#,##0\)"/>
    <numFmt numFmtId="179" formatCode="0.00&quot;x&quot;"/>
  </numFmts>
  <fonts count="14" x14ac:knownFonts="1">
    <font>
      <sz val="11"/>
      <color theme="1"/>
      <name val="ＭＳ Ｐゴシック"/>
      <family val="2"/>
      <scheme val="minor"/>
    </font>
    <font>
      <b/>
      <sz val="14"/>
      <name val="Arial"/>
    </font>
    <font>
      <sz val="10"/>
      <color rgb="FF000000"/>
      <name val="Arial"/>
    </font>
    <font>
      <b/>
      <sz val="11"/>
      <name val="Arial"/>
    </font>
    <font>
      <b/>
      <sz val="11"/>
      <color rgb="FFFFFFFF"/>
      <name val="Arial"/>
    </font>
    <font>
      <sz val="10"/>
      <color rgb="FF006600"/>
      <name val="Arial"/>
    </font>
    <font>
      <i/>
      <sz val="9"/>
      <color rgb="FF808080"/>
      <name val="Arial"/>
    </font>
    <font>
      <sz val="10"/>
      <color rgb="FF0000FF"/>
      <name val="Arial"/>
    </font>
    <font>
      <b/>
      <sz val="10"/>
      <name val="Arial"/>
    </font>
    <font>
      <sz val="10"/>
      <color rgb="FF808080"/>
      <name val="Arial"/>
    </font>
    <font>
      <sz val="9"/>
      <color rgb="FF808080"/>
      <name val="Arial"/>
    </font>
    <font>
      <i/>
      <sz val="10"/>
      <color rgb="FF808080"/>
      <name val="Arial"/>
    </font>
    <font>
      <b/>
      <sz val="12"/>
      <color rgb="FF000080"/>
      <name val="Arial"/>
    </font>
    <font>
      <sz val="6"/>
      <name val="ＭＳ Ｐゴシック"/>
      <family val="3"/>
      <charset val="128"/>
      <scheme val="minor"/>
    </font>
  </fonts>
  <fills count="7">
    <fill>
      <patternFill patternType="none"/>
    </fill>
    <fill>
      <patternFill patternType="gray125"/>
    </fill>
    <fill>
      <patternFill patternType="solid">
        <fgColor rgb="FF000080"/>
        <bgColor rgb="FF000080"/>
      </patternFill>
    </fill>
    <fill>
      <patternFill patternType="solid">
        <fgColor rgb="FFF2F2F2"/>
        <bgColor rgb="FFF2F2F2"/>
      </patternFill>
    </fill>
    <fill>
      <patternFill patternType="solid">
        <fgColor rgb="FFDCE6F1"/>
        <bgColor rgb="FFDCE6F1"/>
      </patternFill>
    </fill>
    <fill>
      <patternFill patternType="solid">
        <fgColor rgb="FFFFF2CC"/>
        <bgColor rgb="FFFFF2CC"/>
      </patternFill>
    </fill>
    <fill>
      <patternFill patternType="solid">
        <fgColor rgb="FFD6E4F0"/>
        <bgColor rgb="FFD6E4F0"/>
      </patternFill>
    </fill>
  </fills>
  <borders count="6">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s>
  <cellStyleXfs count="1">
    <xf numFmtId="0" fontId="0" fillId="0" borderId="0"/>
  </cellStyleXfs>
  <cellXfs count="68">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wrapText="1"/>
    </xf>
    <xf numFmtId="0" fontId="2" fillId="0" borderId="2" xfId="0" applyFont="1" applyBorder="1"/>
    <xf numFmtId="176" fontId="5" fillId="0" borderId="2" xfId="0" applyNumberFormat="1" applyFont="1" applyBorder="1"/>
    <xf numFmtId="0" fontId="6" fillId="0" borderId="2" xfId="0" applyFont="1" applyBorder="1" applyAlignment="1">
      <alignment horizontal="center"/>
    </xf>
    <xf numFmtId="176" fontId="7" fillId="0" borderId="2" xfId="0" applyNumberFormat="1" applyFont="1" applyBorder="1"/>
    <xf numFmtId="177" fontId="2" fillId="0" borderId="2" xfId="0" applyNumberFormat="1" applyFont="1" applyBorder="1" applyAlignment="1">
      <alignment horizontal="center"/>
    </xf>
    <xf numFmtId="0" fontId="6" fillId="0" borderId="0" xfId="0" applyFont="1"/>
    <xf numFmtId="0" fontId="8" fillId="0" borderId="0" xfId="0" applyFont="1"/>
    <xf numFmtId="178" fontId="7" fillId="0" borderId="3" xfId="0" applyNumberFormat="1" applyFont="1" applyBorder="1"/>
    <xf numFmtId="177" fontId="2" fillId="0" borderId="3" xfId="0" applyNumberFormat="1" applyFont="1" applyBorder="1"/>
    <xf numFmtId="0" fontId="8" fillId="3" borderId="0" xfId="0" applyFont="1" applyFill="1"/>
    <xf numFmtId="178" fontId="5" fillId="3" borderId="4" xfId="0" applyNumberFormat="1" applyFont="1" applyFill="1" applyBorder="1"/>
    <xf numFmtId="177" fontId="5" fillId="3" borderId="4" xfId="0" applyNumberFormat="1" applyFont="1" applyFill="1" applyBorder="1"/>
    <xf numFmtId="0" fontId="9" fillId="0" borderId="2" xfId="0" applyFont="1" applyBorder="1"/>
    <xf numFmtId="179" fontId="7" fillId="0" borderId="2" xfId="0" applyNumberFormat="1" applyFont="1" applyBorder="1"/>
    <xf numFmtId="177" fontId="7" fillId="0" borderId="2" xfId="0" applyNumberFormat="1" applyFont="1" applyBorder="1"/>
    <xf numFmtId="3" fontId="7" fillId="0" borderId="2" xfId="0" applyNumberFormat="1" applyFont="1" applyBorder="1"/>
    <xf numFmtId="0" fontId="10" fillId="0" borderId="2" xfId="0" applyFont="1" applyBorder="1"/>
    <xf numFmtId="0" fontId="11" fillId="0" borderId="2" xfId="0" applyFont="1" applyBorder="1"/>
    <xf numFmtId="179" fontId="11" fillId="0" borderId="2" xfId="0" applyNumberFormat="1" applyFont="1" applyBorder="1"/>
    <xf numFmtId="177" fontId="11" fillId="0" borderId="2" xfId="0" applyNumberFormat="1" applyFont="1" applyBorder="1"/>
    <xf numFmtId="3" fontId="11" fillId="0" borderId="2" xfId="0" applyNumberFormat="1" applyFont="1" applyBorder="1"/>
    <xf numFmtId="0" fontId="6" fillId="0" borderId="2" xfId="0" applyFont="1" applyBorder="1"/>
    <xf numFmtId="0" fontId="8" fillId="3" borderId="4" xfId="0" applyFont="1" applyFill="1" applyBorder="1"/>
    <xf numFmtId="0" fontId="0" fillId="3" borderId="4" xfId="0" applyFill="1" applyBorder="1"/>
    <xf numFmtId="179" fontId="8" fillId="3" borderId="4" xfId="0" applyNumberFormat="1" applyFont="1" applyFill="1" applyBorder="1"/>
    <xf numFmtId="0" fontId="8" fillId="5" borderId="4" xfId="0" applyFont="1" applyFill="1" applyBorder="1"/>
    <xf numFmtId="0" fontId="10" fillId="5" borderId="4" xfId="0" applyFont="1" applyFill="1" applyBorder="1"/>
    <xf numFmtId="179" fontId="7" fillId="5" borderId="4" xfId="0" applyNumberFormat="1" applyFont="1" applyFill="1" applyBorder="1"/>
    <xf numFmtId="0" fontId="0" fillId="5" borderId="4" xfId="0" applyFill="1" applyBorder="1"/>
    <xf numFmtId="178" fontId="5" fillId="0" borderId="2" xfId="0" applyNumberFormat="1" applyFont="1" applyBorder="1"/>
    <xf numFmtId="177" fontId="7" fillId="0" borderId="3" xfId="0" applyNumberFormat="1" applyFont="1" applyBorder="1"/>
    <xf numFmtId="178" fontId="2" fillId="0" borderId="2" xfId="0" applyNumberFormat="1" applyFont="1" applyBorder="1"/>
    <xf numFmtId="179" fontId="5" fillId="0" borderId="2" xfId="0" applyNumberFormat="1" applyFont="1" applyBorder="1"/>
    <xf numFmtId="0" fontId="0" fillId="0" borderId="2" xfId="0" applyBorder="1"/>
    <xf numFmtId="178" fontId="7" fillId="0" borderId="2" xfId="0" applyNumberFormat="1" applyFont="1" applyBorder="1"/>
    <xf numFmtId="0" fontId="8" fillId="3" borderId="5" xfId="0" applyFont="1" applyFill="1" applyBorder="1"/>
    <xf numFmtId="0" fontId="0" fillId="3" borderId="5" xfId="0" applyFill="1" applyBorder="1"/>
    <xf numFmtId="178" fontId="8" fillId="3" borderId="5" xfId="0" applyNumberFormat="1" applyFont="1" applyFill="1" applyBorder="1"/>
    <xf numFmtId="178" fontId="7" fillId="0" borderId="0" xfId="0" applyNumberFormat="1" applyFont="1"/>
    <xf numFmtId="177" fontId="2" fillId="0" borderId="0" xfId="0" applyNumberFormat="1" applyFont="1"/>
    <xf numFmtId="0" fontId="8" fillId="0" borderId="2" xfId="0" applyFont="1" applyBorder="1"/>
    <xf numFmtId="177" fontId="7" fillId="0" borderId="3" xfId="0" applyNumberFormat="1" applyFont="1" applyBorder="1" applyAlignment="1">
      <alignment horizontal="center"/>
    </xf>
    <xf numFmtId="178" fontId="8" fillId="3" borderId="4" xfId="0" applyNumberFormat="1" applyFont="1" applyFill="1" applyBorder="1"/>
    <xf numFmtId="3" fontId="7" fillId="0" borderId="3" xfId="0" applyNumberFormat="1" applyFont="1" applyBorder="1"/>
    <xf numFmtId="0" fontId="8" fillId="6" borderId="5" xfId="0" applyFont="1" applyFill="1" applyBorder="1"/>
    <xf numFmtId="176" fontId="12" fillId="6" borderId="5" xfId="0" applyNumberFormat="1" applyFont="1" applyFill="1" applyBorder="1"/>
    <xf numFmtId="178" fontId="5" fillId="0" borderId="0" xfId="0" applyNumberFormat="1" applyFont="1"/>
    <xf numFmtId="178" fontId="2" fillId="0" borderId="0" xfId="0" applyNumberFormat="1" applyFont="1"/>
    <xf numFmtId="179" fontId="5" fillId="0" borderId="0" xfId="0" applyNumberFormat="1" applyFont="1"/>
    <xf numFmtId="178" fontId="6" fillId="0" borderId="0" xfId="0" applyNumberFormat="1" applyFont="1"/>
    <xf numFmtId="3" fontId="5" fillId="0" borderId="0" xfId="0" applyNumberFormat="1" applyFont="1"/>
    <xf numFmtId="179" fontId="4" fillId="2" borderId="0" xfId="0" applyNumberFormat="1" applyFont="1" applyFill="1" applyAlignment="1">
      <alignment horizontal="center"/>
    </xf>
    <xf numFmtId="177" fontId="8" fillId="4" borderId="0" xfId="0" applyNumberFormat="1" applyFont="1" applyFill="1" applyAlignment="1">
      <alignment horizontal="center"/>
    </xf>
    <xf numFmtId="176" fontId="2" fillId="0" borderId="2" xfId="0" applyNumberFormat="1" applyFont="1" applyBorder="1" applyAlignment="1">
      <alignment horizontal="center"/>
    </xf>
    <xf numFmtId="176" fontId="2" fillId="6" borderId="2" xfId="0" applyNumberFormat="1" applyFont="1" applyFill="1" applyBorder="1" applyAlignment="1">
      <alignment horizontal="center"/>
    </xf>
    <xf numFmtId="179" fontId="8" fillId="4" borderId="0" xfId="0" applyNumberFormat="1" applyFont="1" applyFill="1" applyAlignment="1">
      <alignment horizontal="center"/>
    </xf>
    <xf numFmtId="177" fontId="8" fillId="3" borderId="5" xfId="0" applyNumberFormat="1" applyFont="1" applyFill="1" applyBorder="1"/>
    <xf numFmtId="0" fontId="2" fillId="0" borderId="0" xfId="0" applyFont="1" applyAlignment="1">
      <alignment vertical="top" wrapText="1"/>
    </xf>
    <xf numFmtId="0" fontId="0" fillId="0" borderId="0" xfId="0"/>
    <xf numFmtId="0" fontId="8" fillId="0" borderId="0" xfId="0" applyFont="1"/>
    <xf numFmtId="0" fontId="3" fillId="4" borderId="0" xfId="0" applyFont="1" applyFill="1"/>
    <xf numFmtId="0" fontId="0" fillId="4" borderId="0" xfId="0" applyFill="1"/>
    <xf numFmtId="0" fontId="6"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80"/>
  </sheetPr>
  <dimension ref="B2:F18"/>
  <sheetViews>
    <sheetView tabSelected="1" workbookViewId="0"/>
  </sheetViews>
  <sheetFormatPr defaultRowHeight="13" x14ac:dyDescent="0.2"/>
  <cols>
    <col min="1" max="1" width="3" customWidth="1"/>
    <col min="2" max="2" width="30" customWidth="1"/>
    <col min="3" max="6" width="18" customWidth="1"/>
  </cols>
  <sheetData>
    <row r="2" spans="2:6" ht="18" x14ac:dyDescent="0.4">
      <c r="B2" s="1" t="s">
        <v>0</v>
      </c>
    </row>
    <row r="3" spans="2:6" ht="13.5" x14ac:dyDescent="0.25">
      <c r="B3" s="2" t="s">
        <v>1</v>
      </c>
    </row>
    <row r="5" spans="2:6" ht="14" x14ac:dyDescent="0.3">
      <c r="B5" s="3" t="s">
        <v>2</v>
      </c>
    </row>
    <row r="6" spans="2:6" x14ac:dyDescent="0.2">
      <c r="B6" s="62" t="s">
        <v>3</v>
      </c>
      <c r="C6" s="63"/>
      <c r="D6" s="63"/>
      <c r="E6" s="63"/>
      <c r="F6" s="63"/>
    </row>
    <row r="7" spans="2:6" x14ac:dyDescent="0.2">
      <c r="B7" s="63"/>
      <c r="C7" s="63"/>
      <c r="D7" s="63"/>
      <c r="E7" s="63"/>
      <c r="F7" s="63"/>
    </row>
    <row r="8" spans="2:6" x14ac:dyDescent="0.2">
      <c r="B8" s="63"/>
      <c r="C8" s="63"/>
      <c r="D8" s="63"/>
      <c r="E8" s="63"/>
      <c r="F8" s="63"/>
    </row>
    <row r="10" spans="2:6" ht="14" x14ac:dyDescent="0.3">
      <c r="B10" s="3" t="s">
        <v>4</v>
      </c>
    </row>
    <row r="11" spans="2:6" ht="14" x14ac:dyDescent="0.3">
      <c r="B11" s="4" t="s">
        <v>5</v>
      </c>
      <c r="C11" s="4" t="s">
        <v>6</v>
      </c>
      <c r="D11" s="4" t="s">
        <v>7</v>
      </c>
    </row>
    <row r="12" spans="2:6" ht="14" x14ac:dyDescent="0.3">
      <c r="B12" s="5" t="s">
        <v>8</v>
      </c>
      <c r="C12" s="6">
        <f>'SOTP Valuation'!C28</f>
        <v>2657.3462399650643</v>
      </c>
      <c r="D12" s="7" t="s">
        <v>9</v>
      </c>
    </row>
    <row r="13" spans="2:6" ht="13.5" x14ac:dyDescent="0.25">
      <c r="B13" s="5" t="s">
        <v>10</v>
      </c>
      <c r="C13" s="8">
        <v>4628</v>
      </c>
      <c r="D13" s="9">
        <f>(C13-$C$12)/$C$12</f>
        <v>0.74158712568101159</v>
      </c>
    </row>
    <row r="14" spans="2:6" ht="13.5" x14ac:dyDescent="0.25">
      <c r="B14" s="5" t="s">
        <v>11</v>
      </c>
      <c r="C14" s="8">
        <v>3812</v>
      </c>
      <c r="D14" s="9">
        <f>(C14-$C$12)/$C$12</f>
        <v>0.43451385546586346</v>
      </c>
    </row>
    <row r="15" spans="2:6" ht="13.5" x14ac:dyDescent="0.25">
      <c r="B15" s="5" t="s">
        <v>12</v>
      </c>
      <c r="C15" s="8">
        <v>3356</v>
      </c>
      <c r="D15" s="9">
        <f>(C15-$C$12)/$C$12</f>
        <v>0.26291408681622186</v>
      </c>
    </row>
    <row r="16" spans="2:6" ht="13.5" x14ac:dyDescent="0.25">
      <c r="B16" s="5" t="s">
        <v>13</v>
      </c>
      <c r="C16" s="8">
        <v>3975</v>
      </c>
      <c r="D16" s="9">
        <f>(C16-$C$12)/$C$12</f>
        <v>0.49585324645246781</v>
      </c>
    </row>
    <row r="18" spans="2:2" ht="14" x14ac:dyDescent="0.3">
      <c r="B18" s="10" t="s">
        <v>14</v>
      </c>
    </row>
  </sheetData>
  <mergeCells count="1">
    <mergeCell ref="B6:F8"/>
  </mergeCells>
  <phoneticPr fontId="13"/>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6600"/>
  </sheetPr>
  <dimension ref="B1:D18"/>
  <sheetViews>
    <sheetView workbookViewId="0"/>
  </sheetViews>
  <sheetFormatPr defaultRowHeight="13" x14ac:dyDescent="0.2"/>
  <cols>
    <col min="1" max="1" width="3" customWidth="1"/>
    <col min="2" max="2" width="35" customWidth="1"/>
    <col min="3" max="4" width="16" customWidth="1"/>
  </cols>
  <sheetData>
    <row r="1" spans="2:4" ht="18" x14ac:dyDescent="0.4">
      <c r="B1" s="1" t="s">
        <v>15</v>
      </c>
    </row>
    <row r="2" spans="2:4" ht="14" x14ac:dyDescent="0.3">
      <c r="B2" s="10" t="s">
        <v>16</v>
      </c>
    </row>
    <row r="4" spans="2:4" ht="14" x14ac:dyDescent="0.3">
      <c r="B4" s="4" t="s">
        <v>17</v>
      </c>
      <c r="C4" s="4" t="s">
        <v>18</v>
      </c>
      <c r="D4" s="4" t="s">
        <v>19</v>
      </c>
    </row>
    <row r="5" spans="2:4" ht="14" x14ac:dyDescent="0.3">
      <c r="B5" s="64" t="s">
        <v>20</v>
      </c>
      <c r="C5" s="63"/>
      <c r="D5" s="63"/>
    </row>
    <row r="6" spans="2:4" ht="13.5" x14ac:dyDescent="0.25">
      <c r="B6" s="2" t="s">
        <v>21</v>
      </c>
      <c r="C6" s="12">
        <v>5567839</v>
      </c>
      <c r="D6" s="12">
        <v>5733007</v>
      </c>
    </row>
    <row r="7" spans="2:4" ht="13.5" x14ac:dyDescent="0.25">
      <c r="B7" s="2" t="s">
        <v>22</v>
      </c>
      <c r="C7" s="12">
        <v>1046821</v>
      </c>
      <c r="D7" s="12">
        <v>1055926</v>
      </c>
    </row>
    <row r="8" spans="2:4" ht="13.5" x14ac:dyDescent="0.25">
      <c r="B8" s="2" t="s">
        <v>23</v>
      </c>
      <c r="C8" s="13">
        <f>IF(C6=0,0,C7/C6)</f>
        <v>0.18801208152750107</v>
      </c>
      <c r="D8" s="13">
        <f>IF(D6=0,0,D7/D6)</f>
        <v>0.18418362300970503</v>
      </c>
    </row>
    <row r="10" spans="2:4" ht="14" x14ac:dyDescent="0.3">
      <c r="B10" s="64" t="s">
        <v>24</v>
      </c>
      <c r="C10" s="63"/>
      <c r="D10" s="63"/>
    </row>
    <row r="11" spans="2:4" ht="13.5" x14ac:dyDescent="0.25">
      <c r="B11" s="2" t="s">
        <v>21</v>
      </c>
      <c r="C11" s="12">
        <v>267686</v>
      </c>
      <c r="D11" s="12">
        <v>338907</v>
      </c>
    </row>
    <row r="12" spans="2:4" ht="13.5" x14ac:dyDescent="0.25">
      <c r="B12" s="2" t="s">
        <v>22</v>
      </c>
      <c r="C12" s="12">
        <v>40647</v>
      </c>
      <c r="D12" s="12">
        <v>43199</v>
      </c>
    </row>
    <row r="13" spans="2:4" ht="13.5" x14ac:dyDescent="0.25">
      <c r="B13" s="2" t="s">
        <v>23</v>
      </c>
      <c r="C13" s="13">
        <f>IF(C11=0,0,C12/C11)</f>
        <v>0.15184581935551356</v>
      </c>
      <c r="D13" s="13">
        <f>IF(D11=0,0,D12/D11)</f>
        <v>0.12746564691788603</v>
      </c>
    </row>
    <row r="15" spans="2:4" ht="14" x14ac:dyDescent="0.3">
      <c r="B15" s="14" t="s">
        <v>25</v>
      </c>
    </row>
    <row r="16" spans="2:4" ht="14" x14ac:dyDescent="0.3">
      <c r="B16" s="14" t="s">
        <v>26</v>
      </c>
      <c r="C16" s="15">
        <f>C6+C11</f>
        <v>5835525</v>
      </c>
      <c r="D16" s="15">
        <f>D6+D11</f>
        <v>6071914</v>
      </c>
    </row>
    <row r="17" spans="2:4" ht="14" x14ac:dyDescent="0.3">
      <c r="B17" s="14" t="s">
        <v>27</v>
      </c>
      <c r="C17" s="15">
        <f>C7+C12</f>
        <v>1087468</v>
      </c>
      <c r="D17" s="15">
        <f>D7+D12</f>
        <v>1099125</v>
      </c>
    </row>
    <row r="18" spans="2:4" ht="14" x14ac:dyDescent="0.3">
      <c r="B18" s="14" t="s">
        <v>28</v>
      </c>
      <c r="C18" s="16">
        <f>IF(C16=0,0,C17/C16)</f>
        <v>0.18635307020362349</v>
      </c>
      <c r="D18" s="16">
        <f>IF(D16=0,0,D17/D16)</f>
        <v>0.18101788002926261</v>
      </c>
    </row>
  </sheetData>
  <mergeCells count="2">
    <mergeCell ref="B10:D10"/>
    <mergeCell ref="B5:D5"/>
  </mergeCells>
  <phoneticPr fontId="13"/>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00000"/>
  </sheetPr>
  <dimension ref="B1:G18"/>
  <sheetViews>
    <sheetView workbookViewId="0"/>
  </sheetViews>
  <sheetFormatPr defaultRowHeight="13" x14ac:dyDescent="0.2"/>
  <cols>
    <col min="1" max="1" width="3" customWidth="1"/>
    <col min="2" max="2" width="25" customWidth="1"/>
    <col min="3" max="3" width="12" customWidth="1"/>
    <col min="4" max="4" width="14" customWidth="1"/>
    <col min="5" max="5" width="12" customWidth="1"/>
    <col min="6" max="6" width="16" customWidth="1"/>
    <col min="7" max="7" width="30" customWidth="1"/>
  </cols>
  <sheetData>
    <row r="1" spans="2:7" ht="18" x14ac:dyDescent="0.4">
      <c r="B1" s="1" t="s">
        <v>29</v>
      </c>
    </row>
    <row r="3" spans="2:7" ht="14" x14ac:dyDescent="0.3">
      <c r="B3" s="65" t="s">
        <v>30</v>
      </c>
      <c r="C3" s="66"/>
      <c r="D3" s="66"/>
      <c r="E3" s="66"/>
      <c r="F3" s="66"/>
      <c r="G3" s="66"/>
    </row>
    <row r="4" spans="2:7" ht="14" x14ac:dyDescent="0.3">
      <c r="B4" s="4" t="s">
        <v>31</v>
      </c>
      <c r="C4" s="4" t="s">
        <v>32</v>
      </c>
      <c r="D4" s="4" t="s">
        <v>33</v>
      </c>
      <c r="E4" s="4" t="s">
        <v>34</v>
      </c>
      <c r="F4" s="4" t="s">
        <v>35</v>
      </c>
      <c r="G4" s="4" t="s">
        <v>36</v>
      </c>
    </row>
    <row r="5" spans="2:7" ht="13.5" x14ac:dyDescent="0.25">
      <c r="B5" s="5" t="s">
        <v>37</v>
      </c>
      <c r="C5" s="17" t="s">
        <v>38</v>
      </c>
      <c r="D5" s="18">
        <v>8.1</v>
      </c>
      <c r="E5" s="19">
        <v>0.124</v>
      </c>
      <c r="F5" s="20">
        <v>95</v>
      </c>
      <c r="G5" s="21" t="s">
        <v>39</v>
      </c>
    </row>
    <row r="6" spans="2:7" ht="14" x14ac:dyDescent="0.3">
      <c r="B6" s="22" t="s">
        <v>40</v>
      </c>
      <c r="C6" s="22" t="s">
        <v>41</v>
      </c>
      <c r="D6" s="23">
        <v>0</v>
      </c>
      <c r="E6" s="24">
        <v>0.14810000000000001</v>
      </c>
      <c r="F6" s="25">
        <v>78</v>
      </c>
      <c r="G6" s="26" t="s">
        <v>42</v>
      </c>
    </row>
    <row r="7" spans="2:7" ht="14" x14ac:dyDescent="0.3">
      <c r="B7" s="22" t="s">
        <v>43</v>
      </c>
      <c r="C7" s="22" t="s">
        <v>44</v>
      </c>
      <c r="D7" s="23">
        <v>15.13</v>
      </c>
      <c r="E7" s="24">
        <v>0.2165</v>
      </c>
      <c r="F7" s="25">
        <v>2.6</v>
      </c>
      <c r="G7" s="26" t="s">
        <v>45</v>
      </c>
    </row>
    <row r="8" spans="2:7" ht="14" x14ac:dyDescent="0.3">
      <c r="B8" s="27" t="s">
        <v>46</v>
      </c>
      <c r="C8" s="28"/>
      <c r="D8" s="29">
        <f>MEDIAN(D5)</f>
        <v>8.1</v>
      </c>
      <c r="E8" s="28"/>
      <c r="F8" s="28"/>
      <c r="G8" s="28"/>
    </row>
    <row r="9" spans="2:7" ht="14" x14ac:dyDescent="0.3">
      <c r="B9" s="30" t="s">
        <v>47</v>
      </c>
      <c r="C9" s="31" t="s">
        <v>48</v>
      </c>
      <c r="D9" s="32">
        <v>8.1</v>
      </c>
      <c r="E9" s="33"/>
      <c r="F9" s="33"/>
      <c r="G9" s="33"/>
    </row>
    <row r="11" spans="2:7" ht="14" x14ac:dyDescent="0.3">
      <c r="B11" s="65" t="s">
        <v>49</v>
      </c>
      <c r="C11" s="66"/>
      <c r="D11" s="66"/>
      <c r="E11" s="66"/>
      <c r="F11" s="66"/>
      <c r="G11" s="66"/>
    </row>
    <row r="12" spans="2:7" ht="14" x14ac:dyDescent="0.3">
      <c r="B12" s="4" t="s">
        <v>31</v>
      </c>
      <c r="C12" s="4" t="s">
        <v>32</v>
      </c>
      <c r="D12" s="4" t="s">
        <v>50</v>
      </c>
      <c r="E12" s="4" t="s">
        <v>51</v>
      </c>
      <c r="F12" s="4" t="s">
        <v>35</v>
      </c>
      <c r="G12" s="4" t="s">
        <v>36</v>
      </c>
    </row>
    <row r="13" spans="2:7" ht="13.5" x14ac:dyDescent="0.25">
      <c r="B13" s="5" t="s">
        <v>52</v>
      </c>
      <c r="C13" s="17" t="s">
        <v>53</v>
      </c>
      <c r="D13" s="18">
        <v>2.952</v>
      </c>
      <c r="E13" s="19">
        <v>0.188</v>
      </c>
      <c r="F13" s="20">
        <v>7.9</v>
      </c>
      <c r="G13" s="21" t="s">
        <v>54</v>
      </c>
    </row>
    <row r="14" spans="2:7" ht="13.5" x14ac:dyDescent="0.25">
      <c r="B14" s="5" t="s">
        <v>55</v>
      </c>
      <c r="C14" s="17" t="s">
        <v>56</v>
      </c>
      <c r="D14" s="18">
        <v>1.4159999999999999</v>
      </c>
      <c r="E14" s="19">
        <v>4.8000000000000001E-2</v>
      </c>
      <c r="F14" s="20">
        <v>2.7</v>
      </c>
      <c r="G14" s="21" t="s">
        <v>57</v>
      </c>
    </row>
    <row r="15" spans="2:7" ht="13.5" x14ac:dyDescent="0.25">
      <c r="B15" s="5" t="s">
        <v>58</v>
      </c>
      <c r="C15" s="17" t="s">
        <v>59</v>
      </c>
      <c r="D15" s="18">
        <v>1.302</v>
      </c>
      <c r="E15" s="19">
        <v>5.7000000000000002E-2</v>
      </c>
      <c r="F15" s="20">
        <v>82</v>
      </c>
      <c r="G15" s="21" t="s">
        <v>60</v>
      </c>
    </row>
    <row r="16" spans="2:7" ht="13.5" x14ac:dyDescent="0.25">
      <c r="B16" s="5" t="s">
        <v>61</v>
      </c>
      <c r="C16" s="17" t="s">
        <v>62</v>
      </c>
      <c r="D16" s="18">
        <v>0.73699999999999999</v>
      </c>
      <c r="E16" s="19">
        <v>4.4999999999999998E-2</v>
      </c>
      <c r="F16" s="20">
        <v>2.4</v>
      </c>
      <c r="G16" s="21" t="s">
        <v>63</v>
      </c>
    </row>
    <row r="17" spans="2:7" ht="14" x14ac:dyDescent="0.3">
      <c r="B17" s="27" t="s">
        <v>46</v>
      </c>
      <c r="C17" s="28"/>
      <c r="D17" s="29">
        <f>MEDIAN(D13,D14,D15,D16)</f>
        <v>1.359</v>
      </c>
      <c r="E17" s="28"/>
      <c r="F17" s="28"/>
      <c r="G17" s="28"/>
    </row>
    <row r="18" spans="2:7" ht="14" x14ac:dyDescent="0.3">
      <c r="B18" s="30" t="s">
        <v>47</v>
      </c>
      <c r="C18" s="31" t="s">
        <v>64</v>
      </c>
      <c r="D18" s="32">
        <v>1.359</v>
      </c>
      <c r="E18" s="33"/>
      <c r="F18" s="33"/>
      <c r="G18" s="33"/>
    </row>
  </sheetData>
  <mergeCells count="2">
    <mergeCell ref="B3:G3"/>
    <mergeCell ref="B11:G11"/>
  </mergeCells>
  <phoneticPr fontId="13"/>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00FF"/>
  </sheetPr>
  <dimension ref="B1:I28"/>
  <sheetViews>
    <sheetView workbookViewId="0"/>
  </sheetViews>
  <sheetFormatPr defaultRowHeight="13" x14ac:dyDescent="0.2"/>
  <cols>
    <col min="1" max="1" width="3" customWidth="1"/>
    <col min="2" max="2" width="35" customWidth="1"/>
    <col min="3" max="8" width="18" customWidth="1"/>
  </cols>
  <sheetData>
    <row r="1" spans="2:9" ht="18" x14ac:dyDescent="0.4">
      <c r="B1" s="1" t="s">
        <v>65</v>
      </c>
    </row>
    <row r="2" spans="2:9" ht="14" x14ac:dyDescent="0.3">
      <c r="B2" s="10" t="s">
        <v>66</v>
      </c>
    </row>
    <row r="4" spans="2:9" ht="14" x14ac:dyDescent="0.3">
      <c r="B4" s="4" t="s">
        <v>17</v>
      </c>
      <c r="C4" s="4" t="s">
        <v>67</v>
      </c>
      <c r="D4" s="4" t="s">
        <v>68</v>
      </c>
      <c r="E4" s="4" t="s">
        <v>69</v>
      </c>
      <c r="F4" s="4" t="s">
        <v>70</v>
      </c>
      <c r="G4" s="4" t="s">
        <v>71</v>
      </c>
      <c r="H4" s="4" t="s">
        <v>72</v>
      </c>
      <c r="I4" s="10" t="s">
        <v>73</v>
      </c>
    </row>
    <row r="5" spans="2:9" ht="13.5" x14ac:dyDescent="0.25">
      <c r="B5" s="5" t="s">
        <v>30</v>
      </c>
      <c r="C5" s="34">
        <f>'Segment Data'!D7</f>
        <v>1055926</v>
      </c>
      <c r="D5" s="35">
        <v>1</v>
      </c>
      <c r="E5" s="36">
        <f>B10*D5</f>
        <v>679483</v>
      </c>
      <c r="F5" s="36">
        <f>C5+E5</f>
        <v>1735409</v>
      </c>
      <c r="G5" s="37">
        <f>'Peer Comps'!D9</f>
        <v>8.1</v>
      </c>
      <c r="H5" s="36">
        <f>F5*G5</f>
        <v>14056812.899999999</v>
      </c>
    </row>
    <row r="6" spans="2:9" ht="14" x14ac:dyDescent="0.3">
      <c r="B6" s="5" t="s">
        <v>49</v>
      </c>
      <c r="C6" s="12">
        <v>360081</v>
      </c>
      <c r="D6" s="38"/>
      <c r="E6" s="38"/>
      <c r="F6" s="36">
        <f>C6</f>
        <v>360081</v>
      </c>
      <c r="G6" s="37">
        <f>'Peer Comps'!D18</f>
        <v>1.359</v>
      </c>
      <c r="H6" s="36">
        <f>F6*G6</f>
        <v>489350.07899999997</v>
      </c>
      <c r="I6" s="10" t="s">
        <v>74</v>
      </c>
    </row>
    <row r="7" spans="2:9" ht="13.5" x14ac:dyDescent="0.25">
      <c r="B7" s="5" t="s">
        <v>75</v>
      </c>
      <c r="C7" s="39">
        <v>0</v>
      </c>
      <c r="D7" s="38"/>
      <c r="E7" s="38"/>
      <c r="F7" s="36">
        <f>C7</f>
        <v>0</v>
      </c>
      <c r="G7" s="18">
        <v>10</v>
      </c>
      <c r="H7" s="36">
        <f>F7*G7</f>
        <v>0</v>
      </c>
    </row>
    <row r="8" spans="2:9" ht="14" x14ac:dyDescent="0.3">
      <c r="B8" s="40" t="s">
        <v>76</v>
      </c>
      <c r="C8" s="41"/>
      <c r="D8" s="41"/>
      <c r="E8" s="41"/>
      <c r="F8" s="41"/>
      <c r="G8" s="41"/>
      <c r="H8" s="42">
        <f>H5+H7</f>
        <v>14056812.899999999</v>
      </c>
    </row>
    <row r="10" spans="2:9" ht="14" x14ac:dyDescent="0.3">
      <c r="B10" s="43">
        <v>679483</v>
      </c>
      <c r="C10" s="10" t="s">
        <v>77</v>
      </c>
    </row>
    <row r="12" spans="2:9" ht="14" x14ac:dyDescent="0.3">
      <c r="B12" s="3" t="s">
        <v>78</v>
      </c>
    </row>
    <row r="13" spans="2:9" ht="13.5" x14ac:dyDescent="0.25">
      <c r="B13" s="2" t="s">
        <v>79</v>
      </c>
      <c r="C13" s="44">
        <f>H5/H8</f>
        <v>1</v>
      </c>
    </row>
    <row r="14" spans="2:9" ht="14" x14ac:dyDescent="0.3">
      <c r="B14" s="10" t="s">
        <v>80</v>
      </c>
    </row>
    <row r="16" spans="2:9" ht="14" x14ac:dyDescent="0.3">
      <c r="B16" s="65" t="s">
        <v>81</v>
      </c>
      <c r="C16" s="66"/>
    </row>
    <row r="17" spans="2:4" ht="13.5" x14ac:dyDescent="0.25">
      <c r="B17" s="5" t="s">
        <v>82</v>
      </c>
      <c r="C17" s="34">
        <f>H8</f>
        <v>14056812.899999999</v>
      </c>
    </row>
    <row r="18" spans="2:4" ht="13.5" x14ac:dyDescent="0.25">
      <c r="B18" s="5" t="s">
        <v>83</v>
      </c>
      <c r="C18" s="12">
        <v>3060157</v>
      </c>
    </row>
    <row r="19" spans="2:4" ht="13.5" x14ac:dyDescent="0.25">
      <c r="B19" s="5" t="s">
        <v>84</v>
      </c>
      <c r="C19" s="36">
        <f>C17-C18</f>
        <v>10996655.899999999</v>
      </c>
    </row>
    <row r="20" spans="2:4" ht="13.5" x14ac:dyDescent="0.25">
      <c r="B20" s="5" t="s">
        <v>85</v>
      </c>
      <c r="C20" s="34">
        <f>H6</f>
        <v>489350.07899999997</v>
      </c>
    </row>
    <row r="21" spans="2:4" ht="14" x14ac:dyDescent="0.3">
      <c r="B21" s="45" t="s">
        <v>86</v>
      </c>
      <c r="C21" s="36">
        <f>C19+C20</f>
        <v>11486005.978999998</v>
      </c>
    </row>
    <row r="22" spans="2:4" ht="13.5" x14ac:dyDescent="0.25">
      <c r="B22" s="5" t="s">
        <v>87</v>
      </c>
      <c r="C22" s="46">
        <v>0.1</v>
      </c>
    </row>
    <row r="23" spans="2:4" ht="13.5" x14ac:dyDescent="0.25">
      <c r="B23" s="5" t="s">
        <v>88</v>
      </c>
      <c r="C23" s="36">
        <f>C21*(1-C22)</f>
        <v>10337405.381099999</v>
      </c>
    </row>
    <row r="24" spans="2:4" ht="13.5" x14ac:dyDescent="0.25">
      <c r="B24" s="5" t="s">
        <v>89</v>
      </c>
      <c r="C24" s="12">
        <v>515952</v>
      </c>
    </row>
    <row r="25" spans="2:4" ht="14" x14ac:dyDescent="0.3">
      <c r="B25" s="27" t="s">
        <v>90</v>
      </c>
      <c r="C25" s="47">
        <f>C23-C24</f>
        <v>9821453.381099999</v>
      </c>
    </row>
    <row r="26" spans="2:4" ht="13.5" x14ac:dyDescent="0.25">
      <c r="B26" s="5" t="s">
        <v>91</v>
      </c>
      <c r="C26" s="48">
        <v>3695963</v>
      </c>
    </row>
    <row r="27" spans="2:4" ht="13.5" x14ac:dyDescent="0.25">
      <c r="B27" s="5" t="s">
        <v>92</v>
      </c>
      <c r="C27" s="48">
        <v>1</v>
      </c>
    </row>
    <row r="28" spans="2:4" ht="15.5" x14ac:dyDescent="0.35">
      <c r="B28" s="49" t="s">
        <v>93</v>
      </c>
      <c r="C28" s="50">
        <f>C25*1000/C26/C27</f>
        <v>2657.3462399650643</v>
      </c>
      <c r="D28" s="10" t="s">
        <v>94</v>
      </c>
    </row>
  </sheetData>
  <mergeCells count="1">
    <mergeCell ref="B16:C16"/>
  </mergeCells>
  <phoneticPr fontId="13"/>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6600"/>
  </sheetPr>
  <dimension ref="B1:G29"/>
  <sheetViews>
    <sheetView workbookViewId="0"/>
  </sheetViews>
  <sheetFormatPr defaultRowHeight="13" x14ac:dyDescent="0.2"/>
  <cols>
    <col min="1" max="1" width="3" customWidth="1"/>
    <col min="2" max="2" width="38" customWidth="1"/>
    <col min="3" max="7" width="14" customWidth="1"/>
  </cols>
  <sheetData>
    <row r="1" spans="2:7" ht="18" x14ac:dyDescent="0.4">
      <c r="B1" s="1" t="s">
        <v>95</v>
      </c>
    </row>
    <row r="3" spans="2:7" ht="14" x14ac:dyDescent="0.3">
      <c r="B3" s="3" t="s">
        <v>96</v>
      </c>
    </row>
    <row r="4" spans="2:7" ht="14" x14ac:dyDescent="0.3">
      <c r="B4" s="10" t="s">
        <v>97</v>
      </c>
    </row>
    <row r="5" spans="2:7" ht="14" x14ac:dyDescent="0.3">
      <c r="B5" s="10" t="s">
        <v>98</v>
      </c>
    </row>
    <row r="6" spans="2:7" ht="14" x14ac:dyDescent="0.3">
      <c r="B6" s="10" t="s">
        <v>99</v>
      </c>
      <c r="C6" s="51">
        <f>'SOTP Valuation'!C5</f>
        <v>1055926</v>
      </c>
      <c r="D6" s="51">
        <f>'SOTP Valuation'!E5</f>
        <v>679483</v>
      </c>
      <c r="E6" s="52">
        <f>C6+D6</f>
        <v>1735409</v>
      </c>
      <c r="F6" s="53">
        <f>'SOTP Valuation'!G5</f>
        <v>8.1</v>
      </c>
    </row>
    <row r="7" spans="2:7" ht="14" x14ac:dyDescent="0.3">
      <c r="B7" s="10" t="s">
        <v>100</v>
      </c>
      <c r="C7" s="51">
        <f>'SOTP Valuation'!C6</f>
        <v>360081</v>
      </c>
      <c r="D7" s="54">
        <v>0</v>
      </c>
      <c r="E7" s="52">
        <f>C7+D7</f>
        <v>360081</v>
      </c>
      <c r="F7" s="53">
        <f>'SOTP Valuation'!G6</f>
        <v>1.359</v>
      </c>
    </row>
    <row r="8" spans="2:7" ht="14" x14ac:dyDescent="0.3">
      <c r="B8" s="10" t="s">
        <v>101</v>
      </c>
      <c r="C8" s="51">
        <f>'SOTP Valuation'!H7</f>
        <v>0</v>
      </c>
    </row>
    <row r="9" spans="2:7" ht="14" x14ac:dyDescent="0.3">
      <c r="B9" s="10" t="s">
        <v>102</v>
      </c>
      <c r="C9" s="51">
        <f>'SOTP Valuation'!C18</f>
        <v>3060157</v>
      </c>
    </row>
    <row r="10" spans="2:7" ht="14" x14ac:dyDescent="0.3">
      <c r="B10" s="10" t="s">
        <v>103</v>
      </c>
      <c r="C10" s="51">
        <f>'SOTP Valuation'!C24</f>
        <v>515952</v>
      </c>
    </row>
    <row r="11" spans="2:7" ht="14" x14ac:dyDescent="0.3">
      <c r="B11" s="10" t="s">
        <v>104</v>
      </c>
      <c r="C11" s="55">
        <f>'SOTP Valuation'!C26</f>
        <v>3695963</v>
      </c>
    </row>
    <row r="12" spans="2:7" ht="14" x14ac:dyDescent="0.3">
      <c r="B12" s="10" t="s">
        <v>105</v>
      </c>
      <c r="C12" s="55">
        <f>'SOTP Valuation'!C27</f>
        <v>1</v>
      </c>
    </row>
    <row r="14" spans="2:7" ht="14" x14ac:dyDescent="0.3">
      <c r="B14" s="11" t="s">
        <v>106</v>
      </c>
      <c r="C14" s="56">
        <v>6</v>
      </c>
      <c r="D14" s="56">
        <v>7</v>
      </c>
      <c r="E14" s="56">
        <v>8.1</v>
      </c>
      <c r="F14" s="56">
        <v>9</v>
      </c>
      <c r="G14" s="56">
        <v>10</v>
      </c>
    </row>
    <row r="15" spans="2:7" ht="14" x14ac:dyDescent="0.3">
      <c r="B15" s="57">
        <v>0</v>
      </c>
      <c r="C15" s="58">
        <f>((($E$6*6+C8)-$C$9+(E7*F7))*(1-$B15)-$C$10)*1000/$C$11/$C$12</f>
        <v>1982.08019912537</v>
      </c>
      <c r="D15" s="58">
        <f>((($E$6*7+C8)-$C$9+(E7*F7))*(1-$B15)-$C$10)*1000/$C$11/$C$12</f>
        <v>2451.621966724234</v>
      </c>
      <c r="E15" s="58">
        <f>((($E$6*8.1+C8)-$C$9+(E7*F7))*(1-$B15)-$C$10)*1000/$C$11/$C$12</f>
        <v>2968.1179110829839</v>
      </c>
      <c r="F15" s="58">
        <f>((($E$6*9+C8)-$C$9+(E7*F7))*(1-$B15)-$C$10)*1000/$C$11/$C$12</f>
        <v>3390.705501921962</v>
      </c>
      <c r="G15" s="58">
        <f>((($E$6*10+C8)-$C$9+(E7*F7))*(1-$B15)-$C$10)*1000/$C$11/$C$12</f>
        <v>3860.2472695208257</v>
      </c>
    </row>
    <row r="16" spans="2:7" ht="14" x14ac:dyDescent="0.3">
      <c r="B16" s="57">
        <v>0.05</v>
      </c>
      <c r="C16" s="58">
        <f>((($E$6*6+C8)-$C$9+(E7*F7))*(1-$B16)-$C$10)*1000/$C$11/$C$12</f>
        <v>1875.9962491642907</v>
      </c>
      <c r="D16" s="58">
        <f>((($E$6*7+C8)-$C$9+(E7*F7))*(1-$B16)-$C$10)*1000/$C$11/$C$12</f>
        <v>2322.0609283832114</v>
      </c>
      <c r="E16" s="58">
        <f>((($E$6*8.1+C8)-$C$9+(E7*F7))*(1-$B16)-$C$10)*1000/$C$11/$C$12</f>
        <v>2812.7320755240244</v>
      </c>
      <c r="F16" s="58">
        <f>((($E$6*9+C8)-$C$9+(E7*F7))*(1-$B16)-$C$10)*1000/$C$11/$C$12</f>
        <v>3214.1902868210527</v>
      </c>
      <c r="G16" s="58">
        <f>((($E$6*10+C8)-$C$9+(E7*F7))*(1-$B16)-$C$10)*1000/$C$11/$C$12</f>
        <v>3660.2549660399736</v>
      </c>
    </row>
    <row r="17" spans="2:7" ht="14" x14ac:dyDescent="0.3">
      <c r="B17" s="57">
        <v>0.1</v>
      </c>
      <c r="C17" s="58">
        <f>((($E$6*6+C8)-$C$9+(E7*F7))*(1-$B17)-$C$10)*1000/$C$11/$C$12</f>
        <v>1769.9122992032119</v>
      </c>
      <c r="D17" s="58">
        <f>((($E$6*7+C8)-$C$9+(E7*F7))*(1-$B17)-$C$10)*1000/$C$11/$C$12</f>
        <v>2192.4998900421892</v>
      </c>
      <c r="E17" s="59">
        <f>((($E$6*8.1+C8)-$C$9+(E7*F7))*(1-$B17)-$C$10)*1000/$C$11/$C$12</f>
        <v>2657.3462399650643</v>
      </c>
      <c r="F17" s="58">
        <f>((($E$6*9+C8)-$C$9+(E7*F7))*(1-$B17)-$C$10)*1000/$C$11/$C$12</f>
        <v>3037.6750717201444</v>
      </c>
      <c r="G17" s="58">
        <f>((($E$6*10+C8)-$C$9+(E7*F7))*(1-$B17)-$C$10)*1000/$C$11/$C$12</f>
        <v>3460.262662559122</v>
      </c>
    </row>
    <row r="18" spans="2:7" ht="14" x14ac:dyDescent="0.3">
      <c r="B18" s="57">
        <v>0.15</v>
      </c>
      <c r="C18" s="58">
        <f>((($E$6*6+C8)-$C$9+(E7*F7))*(1-$B18)-$C$10)*1000/$C$11/$C$12</f>
        <v>1663.8283492421324</v>
      </c>
      <c r="D18" s="58">
        <f>((($E$6*7+C8)-$C$9+(E7*F7))*(1-$B18)-$C$10)*1000/$C$11/$C$12</f>
        <v>2062.9388517011671</v>
      </c>
      <c r="E18" s="58">
        <f>((($E$6*8.1+C8)-$C$9+(E7*F7))*(1-$B18)-$C$10)*1000/$C$11/$C$12</f>
        <v>2501.9604044061048</v>
      </c>
      <c r="F18" s="58">
        <f>((($E$6*9+C8)-$C$9+(E7*F7))*(1-$B18)-$C$10)*1000/$C$11/$C$12</f>
        <v>2861.1598566192356</v>
      </c>
      <c r="G18" s="58">
        <f>((($E$6*10+C8)-$C$9+(E7*F7))*(1-$B18)-$C$10)*1000/$C$11/$C$12</f>
        <v>3260.2703590782698</v>
      </c>
    </row>
    <row r="19" spans="2:7" ht="14" x14ac:dyDescent="0.3">
      <c r="B19" s="57">
        <v>0.2</v>
      </c>
      <c r="C19" s="58">
        <f>((($E$6*6+C8)-$C$9+(E7*F7))*(1-$B19)-$C$10)*1000/$C$11/$C$12</f>
        <v>1557.7443992810536</v>
      </c>
      <c r="D19" s="58">
        <f>((($E$6*7+C8)-$C$9+(E7*F7))*(1-$B19)-$C$10)*1000/$C$11/$C$12</f>
        <v>1933.3778133601447</v>
      </c>
      <c r="E19" s="58">
        <f>((($E$6*8.1+C8)-$C$9+(E7*F7))*(1-$B19)-$C$10)*1000/$C$11/$C$12</f>
        <v>2346.5745688471447</v>
      </c>
      <c r="F19" s="58">
        <f>((($E$6*9+C8)-$C$9+(E7*F7))*(1-$B19)-$C$10)*1000/$C$11/$C$12</f>
        <v>2684.6446415183273</v>
      </c>
      <c r="G19" s="58">
        <f>((($E$6*10+C8)-$C$9+(E7*F7))*(1-$B19)-$C$10)*1000/$C$11/$C$12</f>
        <v>3060.2780555974182</v>
      </c>
    </row>
    <row r="22" spans="2:7" ht="14" x14ac:dyDescent="0.3">
      <c r="B22" s="3" t="s">
        <v>107</v>
      </c>
    </row>
    <row r="23" spans="2:7" ht="14" x14ac:dyDescent="0.3">
      <c r="B23" s="10" t="s">
        <v>108</v>
      </c>
    </row>
    <row r="24" spans="2:7" ht="14" x14ac:dyDescent="0.3">
      <c r="B24" s="11" t="s">
        <v>109</v>
      </c>
      <c r="C24" s="56">
        <v>0.8</v>
      </c>
      <c r="D24" s="56">
        <v>1</v>
      </c>
      <c r="E24" s="56">
        <v>1.359</v>
      </c>
      <c r="F24" s="56">
        <v>1.6</v>
      </c>
      <c r="G24" s="56">
        <v>2</v>
      </c>
    </row>
    <row r="25" spans="2:7" ht="14" x14ac:dyDescent="0.3">
      <c r="B25" s="60">
        <v>6</v>
      </c>
      <c r="C25" s="58">
        <f>((($E$6*$B25+$C$8)-$C$9+($E$7*C$24))*(1-'SOTP Valuation'!$C$22)-$C$10)*1000/$C$11/$C$12</f>
        <v>1720.897536041351</v>
      </c>
      <c r="D25" s="58">
        <f>((($E$6*$B25+$C$8)-$C$9+($E$7*D$24))*(1-'SOTP Valuation'!$C$22)-$C$10)*1000/$C$11/$C$12</f>
        <v>1738.4341239346822</v>
      </c>
      <c r="E25" s="58">
        <f>((($E$6*$B25+$C$8)-$C$9+($E$7*E$24))*(1-'SOTP Valuation'!$C$22)-$C$10)*1000/$C$11/$C$12</f>
        <v>1769.9122992032119</v>
      </c>
      <c r="F25" s="58">
        <f>((($E$6*$B25+$C$8)-$C$9+($E$7*F$24))*(1-'SOTP Valuation'!$C$22)-$C$10)*1000/$C$11/$C$12</f>
        <v>1791.0438876146754</v>
      </c>
      <c r="G25" s="58">
        <f>((($E$6*$B25+$C$8)-$C$9+($E$7*G$24))*(1-'SOTP Valuation'!$C$22)-$C$10)*1000/$C$11/$C$12</f>
        <v>1826.1170634013383</v>
      </c>
    </row>
    <row r="26" spans="2:7" ht="14" x14ac:dyDescent="0.3">
      <c r="B26" s="60">
        <v>7</v>
      </c>
      <c r="C26" s="58">
        <f>((($E$6*$B26+$C$8)-$C$9+($E$7*C$24))*(1-'SOTP Valuation'!$C$22)-$C$10)*1000/$C$11/$C$12</f>
        <v>2143.4851268803291</v>
      </c>
      <c r="D26" s="58">
        <f>((($E$6*$B26+$C$8)-$C$9+($E$7*D$24))*(1-'SOTP Valuation'!$C$22)-$C$10)*1000/$C$11/$C$12</f>
        <v>2161.0217147736603</v>
      </c>
      <c r="E26" s="58">
        <f>((($E$6*$B26+$C$8)-$C$9+($E$7*E$24))*(1-'SOTP Valuation'!$C$22)-$C$10)*1000/$C$11/$C$12</f>
        <v>2192.4998900421892</v>
      </c>
      <c r="F26" s="58">
        <f>((($E$6*$B26+$C$8)-$C$9+($E$7*F$24))*(1-'SOTP Valuation'!$C$22)-$C$10)*1000/$C$11/$C$12</f>
        <v>2213.631478453653</v>
      </c>
      <c r="G26" s="58">
        <f>((($E$6*$B26+$C$8)-$C$9+($E$7*G$24))*(1-'SOTP Valuation'!$C$22)-$C$10)*1000/$C$11/$C$12</f>
        <v>2248.7046542403159</v>
      </c>
    </row>
    <row r="27" spans="2:7" ht="14" x14ac:dyDescent="0.3">
      <c r="B27" s="60">
        <v>8.1</v>
      </c>
      <c r="C27" s="58">
        <f>((($E$6*$B27+$C$8)-$C$9+($E$7*C$24))*(1-'SOTP Valuation'!$C$22)-$C$10)*1000/$C$11/$C$12</f>
        <v>2608.3314768032033</v>
      </c>
      <c r="D27" s="58">
        <f>((($E$6*$B27+$C$8)-$C$9+($E$7*D$24))*(1-'SOTP Valuation'!$C$22)-$C$10)*1000/$C$11/$C$12</f>
        <v>2625.8680646965345</v>
      </c>
      <c r="E27" s="59">
        <f>((($E$6*$B27+$C$8)-$C$9+($E$7*E$24))*(1-'SOTP Valuation'!$C$22)-$C$10)*1000/$C$11/$C$12</f>
        <v>2657.3462399650643</v>
      </c>
      <c r="F27" s="58">
        <f>((($E$6*$B27+$C$8)-$C$9+($E$7*F$24))*(1-'SOTP Valuation'!$C$22)-$C$10)*1000/$C$11/$C$12</f>
        <v>2678.4778283765286</v>
      </c>
      <c r="G27" s="58">
        <f>((($E$6*$B27+$C$8)-$C$9+($E$7*G$24))*(1-'SOTP Valuation'!$C$22)-$C$10)*1000/$C$11/$C$12</f>
        <v>2713.551004163191</v>
      </c>
    </row>
    <row r="28" spans="2:7" ht="14" x14ac:dyDescent="0.3">
      <c r="B28" s="60">
        <v>9</v>
      </c>
      <c r="C28" s="58">
        <f>((($E$6*$B28+$C$8)-$C$9+($E$7*C$24))*(1-'SOTP Valuation'!$C$22)-$C$10)*1000/$C$11/$C$12</f>
        <v>2988.6603085582842</v>
      </c>
      <c r="D28" s="58">
        <f>((($E$6*$B28+$C$8)-$C$9+($E$7*D$24))*(1-'SOTP Valuation'!$C$22)-$C$10)*1000/$C$11/$C$12</f>
        <v>3006.196896451615</v>
      </c>
      <c r="E28" s="58">
        <f>((($E$6*$B28+$C$8)-$C$9+($E$7*E$24))*(1-'SOTP Valuation'!$C$22)-$C$10)*1000/$C$11/$C$12</f>
        <v>3037.6750717201444</v>
      </c>
      <c r="F28" s="58">
        <f>((($E$6*$B28+$C$8)-$C$9+($E$7*F$24))*(1-'SOTP Valuation'!$C$22)-$C$10)*1000/$C$11/$C$12</f>
        <v>3058.8066601316086</v>
      </c>
      <c r="G28" s="58">
        <f>((($E$6*$B28+$C$8)-$C$9+($E$7*G$24))*(1-'SOTP Valuation'!$C$22)-$C$10)*1000/$C$11/$C$12</f>
        <v>3093.8798359182706</v>
      </c>
    </row>
    <row r="29" spans="2:7" ht="14" x14ac:dyDescent="0.3">
      <c r="B29" s="60">
        <v>10</v>
      </c>
      <c r="C29" s="58">
        <f>((($E$6*$B29+$C$8)-$C$9+($E$7*C$24))*(1-'SOTP Valuation'!$C$22)-$C$10)*1000/$C$11/$C$12</f>
        <v>3411.2478993972618</v>
      </c>
      <c r="D29" s="58">
        <f>((($E$6*$B29+$C$8)-$C$9+($E$7*D$24))*(1-'SOTP Valuation'!$C$22)-$C$10)*1000/$C$11/$C$12</f>
        <v>3428.7844872905926</v>
      </c>
      <c r="E29" s="58">
        <f>((($E$6*$B29+$C$8)-$C$9+($E$7*E$24))*(1-'SOTP Valuation'!$C$22)-$C$10)*1000/$C$11/$C$12</f>
        <v>3460.262662559122</v>
      </c>
      <c r="F29" s="58">
        <f>((($E$6*$B29+$C$8)-$C$9+($E$7*F$24))*(1-'SOTP Valuation'!$C$22)-$C$10)*1000/$C$11/$C$12</f>
        <v>3481.3942509705862</v>
      </c>
      <c r="G29" s="58">
        <f>((($E$6*$B29+$C$8)-$C$9+($E$7*G$24))*(1-'SOTP Valuation'!$C$22)-$C$10)*1000/$C$11/$C$12</f>
        <v>3516.4674267572482</v>
      </c>
    </row>
  </sheetData>
  <phoneticPr fontId="13"/>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08080"/>
  </sheetPr>
  <dimension ref="B1:E14"/>
  <sheetViews>
    <sheetView workbookViewId="0"/>
  </sheetViews>
  <sheetFormatPr defaultRowHeight="13" x14ac:dyDescent="0.2"/>
  <cols>
    <col min="1" max="1" width="3" customWidth="1"/>
    <col min="2" max="2" width="35" customWidth="1"/>
    <col min="3" max="5" width="18" customWidth="1"/>
  </cols>
  <sheetData>
    <row r="1" spans="2:5" ht="18" x14ac:dyDescent="0.4">
      <c r="B1" s="1" t="s">
        <v>110</v>
      </c>
    </row>
    <row r="3" spans="2:5" ht="13.5" x14ac:dyDescent="0.25">
      <c r="B3" s="2" t="s">
        <v>111</v>
      </c>
    </row>
    <row r="4" spans="2:5" ht="13.5" x14ac:dyDescent="0.25">
      <c r="B4" s="2" t="s">
        <v>112</v>
      </c>
    </row>
    <row r="6" spans="2:5" ht="14" x14ac:dyDescent="0.3">
      <c r="B6" s="11" t="s">
        <v>113</v>
      </c>
      <c r="C6" s="43">
        <v>679483</v>
      </c>
      <c r="D6" s="10" t="s">
        <v>114</v>
      </c>
    </row>
    <row r="8" spans="2:5" ht="14" x14ac:dyDescent="0.3">
      <c r="B8" s="4" t="s">
        <v>17</v>
      </c>
      <c r="C8" s="4" t="s">
        <v>115</v>
      </c>
      <c r="D8" s="4" t="s">
        <v>116</v>
      </c>
      <c r="E8" s="4" t="s">
        <v>117</v>
      </c>
    </row>
    <row r="9" spans="2:5" ht="13.5" x14ac:dyDescent="0.25">
      <c r="B9" s="5" t="s">
        <v>30</v>
      </c>
      <c r="C9" s="35">
        <v>1</v>
      </c>
      <c r="D9" s="36">
        <f>$C$6*C9</f>
        <v>679483</v>
      </c>
    </row>
    <row r="10" spans="2:5" ht="13.5" x14ac:dyDescent="0.25">
      <c r="B10" s="5" t="s">
        <v>49</v>
      </c>
      <c r="C10" s="35">
        <v>0</v>
      </c>
      <c r="D10" s="36">
        <f>$C$6*C10</f>
        <v>0</v>
      </c>
    </row>
    <row r="11" spans="2:5" ht="14" x14ac:dyDescent="0.3">
      <c r="B11" s="40" t="s">
        <v>118</v>
      </c>
      <c r="C11" s="61">
        <f>C9+C10</f>
        <v>1</v>
      </c>
      <c r="D11" s="42">
        <f>D9+D10</f>
        <v>679483</v>
      </c>
      <c r="E11" s="40" t="str">
        <f>IF(ABS(C11-1)&lt;0.001,"OK","CHECK")</f>
        <v>OK</v>
      </c>
    </row>
    <row r="13" spans="2:5" ht="14" x14ac:dyDescent="0.3">
      <c r="B13" s="3" t="s">
        <v>119</v>
      </c>
    </row>
    <row r="14" spans="2:5" ht="14" x14ac:dyDescent="0.3">
      <c r="B14" s="67" t="s">
        <v>120</v>
      </c>
      <c r="C14" s="63"/>
      <c r="D14" s="63"/>
      <c r="E14" s="63"/>
    </row>
  </sheetData>
  <mergeCells count="1">
    <mergeCell ref="B14:E14"/>
  </mergeCells>
  <phoneticPr fontId="1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Cover &amp; Thesis</vt:lpstr>
      <vt:lpstr>Segment Data</vt:lpstr>
      <vt:lpstr>Peer Comps</vt:lpstr>
      <vt:lpstr>SOTP Valuation</vt:lpstr>
      <vt:lpstr>Sensitivity</vt:lpstr>
      <vt:lpstr>D&amp;A Allocation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2026-09-06T16:32:38Z</dcterms:created>
  <dcterms:modified xsi:type="dcterms:W3CDTF">2026-09-06T16:32:42Z</dcterms:modified>
</cp:coreProperties>
</file>