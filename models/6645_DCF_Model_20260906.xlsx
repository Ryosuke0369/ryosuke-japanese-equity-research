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0A532D6E-8EFA-4D2E-8E73-D5A699871458}"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F17" i="7" l="1"/>
  <c r="I3" i="7"/>
  <c r="G17" i="7" s="1"/>
  <c r="F3" i="7"/>
  <c r="H6" i="7" s="1"/>
  <c r="O10" i="6"/>
  <c r="N10" i="6"/>
  <c r="M10" i="6"/>
  <c r="L10" i="6"/>
  <c r="K10" i="6"/>
  <c r="J10" i="6"/>
  <c r="O9" i="6"/>
  <c r="N9" i="6"/>
  <c r="M9" i="6"/>
  <c r="L9" i="6"/>
  <c r="K9" i="6"/>
  <c r="E17" i="6" s="1"/>
  <c r="J9" i="6"/>
  <c r="O8" i="6"/>
  <c r="N8" i="6"/>
  <c r="M8" i="6"/>
  <c r="L8" i="6"/>
  <c r="K8" i="6"/>
  <c r="J8" i="6"/>
  <c r="O7" i="6"/>
  <c r="I15" i="6" s="1"/>
  <c r="N7" i="6"/>
  <c r="M7" i="6"/>
  <c r="L7" i="6"/>
  <c r="K7" i="6"/>
  <c r="J7" i="6"/>
  <c r="D17" i="6" s="1"/>
  <c r="O6" i="6"/>
  <c r="N6" i="6"/>
  <c r="M6" i="6"/>
  <c r="G15" i="6" s="1"/>
  <c r="L6" i="6"/>
  <c r="F15" i="6" s="1"/>
  <c r="K6" i="6"/>
  <c r="J6" i="6"/>
  <c r="O5" i="6"/>
  <c r="N5" i="6"/>
  <c r="L5" i="6"/>
  <c r="D5" i="6"/>
  <c r="E5" i="6" s="1"/>
  <c r="C16" i="5"/>
  <c r="C18" i="5" s="1"/>
  <c r="C14" i="5"/>
  <c r="C7" i="5"/>
  <c r="C6" i="5"/>
  <c r="C5" i="5"/>
  <c r="C13" i="4"/>
  <c r="C12" i="4"/>
  <c r="C9" i="4"/>
  <c r="C7" i="4"/>
  <c r="C6" i="4"/>
  <c r="D27" i="3"/>
  <c r="G5" i="5" s="1"/>
  <c r="C25" i="3"/>
  <c r="C24" i="3"/>
  <c r="C23" i="3"/>
  <c r="C26" i="3" s="1"/>
  <c r="F28" i="2"/>
  <c r="E28" i="2"/>
  <c r="D28" i="2"/>
  <c r="F16" i="2"/>
  <c r="E16" i="2"/>
  <c r="D16" i="2"/>
  <c r="F15" i="2"/>
  <c r="E15" i="2"/>
  <c r="D15" i="2"/>
  <c r="F14" i="2"/>
  <c r="E14" i="2"/>
  <c r="D14" i="2"/>
  <c r="C14" i="2"/>
  <c r="F13" i="2"/>
  <c r="E13" i="2"/>
  <c r="D13" i="2"/>
  <c r="C13" i="2"/>
  <c r="D9" i="2"/>
  <c r="F8" i="2"/>
  <c r="F9" i="2" s="1"/>
  <c r="E8" i="2"/>
  <c r="E9" i="2" s="1"/>
  <c r="D8" i="2"/>
  <c r="C8" i="2"/>
  <c r="C9" i="2" s="1"/>
  <c r="J5" i="6" l="1"/>
  <c r="K5" i="6"/>
  <c r="C30" i="3"/>
  <c r="C33" i="3" s="1"/>
  <c r="H17" i="7"/>
  <c r="F31" i="3"/>
  <c r="H15" i="6"/>
  <c r="D16" i="6"/>
  <c r="C74" i="4" s="1"/>
  <c r="I17" i="7"/>
  <c r="C8" i="4"/>
  <c r="C10" i="4" s="1"/>
  <c r="M5" i="6"/>
  <c r="I16" i="6"/>
  <c r="D17" i="7"/>
  <c r="E15" i="6"/>
  <c r="E17" i="7"/>
  <c r="C3" i="7"/>
  <c r="G36" i="4"/>
  <c r="C11" i="4"/>
  <c r="C24" i="4" s="1"/>
  <c r="C25" i="4" s="1"/>
  <c r="G46" i="3"/>
  <c r="F36" i="4"/>
  <c r="F46" i="3"/>
  <c r="E46" i="3"/>
  <c r="E36" i="4"/>
  <c r="D36" i="4"/>
  <c r="D46" i="3"/>
  <c r="H36" i="4"/>
  <c r="C46" i="3"/>
  <c r="C71" i="4"/>
  <c r="C70" i="4"/>
  <c r="D9" i="5"/>
  <c r="C42" i="3"/>
  <c r="I6" i="7"/>
  <c r="D30" i="3"/>
  <c r="D33" i="3" s="1"/>
  <c r="G31" i="3"/>
  <c r="E7" i="5"/>
  <c r="F17" i="6"/>
  <c r="C17" i="7"/>
  <c r="E16" i="6"/>
  <c r="G17" i="6"/>
  <c r="C6" i="7"/>
  <c r="D6" i="5"/>
  <c r="F30" i="3"/>
  <c r="D32" i="3"/>
  <c r="E6" i="5"/>
  <c r="G7" i="5"/>
  <c r="D15" i="6"/>
  <c r="F16" i="6"/>
  <c r="C28" i="6" s="1"/>
  <c r="C19" i="1" s="1"/>
  <c r="D19" i="1" s="1"/>
  <c r="H17" i="6"/>
  <c r="D6" i="7"/>
  <c r="D7" i="5"/>
  <c r="E30" i="3"/>
  <c r="F7" i="5"/>
  <c r="G30" i="3"/>
  <c r="E32" i="3"/>
  <c r="D5" i="5"/>
  <c r="F6" i="5"/>
  <c r="H7" i="5"/>
  <c r="G16" i="6"/>
  <c r="I17" i="6"/>
  <c r="E6" i="7"/>
  <c r="E5" i="5"/>
  <c r="G6" i="5"/>
  <c r="H16" i="6"/>
  <c r="F6" i="7"/>
  <c r="H5" i="5"/>
  <c r="C32" i="3"/>
  <c r="C37" i="3" s="1"/>
  <c r="C31" i="3"/>
  <c r="C34" i="3" s="1"/>
  <c r="F32" i="3"/>
  <c r="D31" i="3"/>
  <c r="G32" i="3"/>
  <c r="F5" i="5"/>
  <c r="H6" i="5"/>
  <c r="G6" i="7"/>
  <c r="E31" i="3"/>
  <c r="C27" i="6" l="1"/>
  <c r="C18" i="1" s="1"/>
  <c r="D18" i="1" s="1"/>
  <c r="C29" i="4"/>
  <c r="C26" i="4"/>
  <c r="C27" i="4"/>
  <c r="D10" i="5"/>
  <c r="C35" i="3"/>
  <c r="E9" i="5"/>
  <c r="E12" i="5" s="1"/>
  <c r="D42" i="3"/>
  <c r="D34" i="3"/>
  <c r="E10" i="5" s="1"/>
  <c r="D37" i="3"/>
  <c r="D35" i="3"/>
  <c r="E33" i="3"/>
  <c r="E39" i="4"/>
  <c r="E43" i="4"/>
  <c r="E46" i="4"/>
  <c r="E40" i="4"/>
  <c r="E50" i="4" s="1"/>
  <c r="E55" i="4" s="1"/>
  <c r="E44" i="4"/>
  <c r="E38" i="4"/>
  <c r="E41" i="4"/>
  <c r="E45" i="4"/>
  <c r="F43" i="4"/>
  <c r="F46" i="4"/>
  <c r="F39" i="4"/>
  <c r="F49" i="4" s="1"/>
  <c r="F40" i="4"/>
  <c r="F50" i="4" s="1"/>
  <c r="F55" i="4" s="1"/>
  <c r="F44" i="4"/>
  <c r="F41" i="4"/>
  <c r="F38" i="4"/>
  <c r="F45" i="4"/>
  <c r="H40" i="4"/>
  <c r="H44" i="4"/>
  <c r="H39" i="4"/>
  <c r="H46" i="4"/>
  <c r="H38" i="4"/>
  <c r="H41" i="4"/>
  <c r="H45" i="4"/>
  <c r="H43" i="4"/>
  <c r="G46" i="4"/>
  <c r="G40" i="4"/>
  <c r="G44" i="4"/>
  <c r="G38" i="4"/>
  <c r="G48" i="4" s="1"/>
  <c r="G53" i="4" s="1"/>
  <c r="G45" i="4"/>
  <c r="G43" i="4"/>
  <c r="G41" i="4"/>
  <c r="G39" i="4"/>
  <c r="D12" i="5"/>
  <c r="D45" i="4"/>
  <c r="D39" i="4"/>
  <c r="D49" i="4" s="1"/>
  <c r="D54" i="4" s="1"/>
  <c r="D43" i="4"/>
  <c r="D46" i="4"/>
  <c r="D40" i="4"/>
  <c r="D44" i="4"/>
  <c r="D41" i="4"/>
  <c r="D38" i="4"/>
  <c r="B18" i="7"/>
  <c r="B13" i="7"/>
  <c r="B12" i="7"/>
  <c r="B11" i="7"/>
  <c r="B10" i="7"/>
  <c r="B9" i="7"/>
  <c r="B8" i="7"/>
  <c r="B7" i="7"/>
  <c r="B24" i="7"/>
  <c r="B23" i="7"/>
  <c r="B22" i="7"/>
  <c r="B21" i="7"/>
  <c r="B20" i="7"/>
  <c r="B19" i="7"/>
  <c r="H49" i="4" l="1"/>
  <c r="H54" i="4" s="1"/>
  <c r="G51" i="4"/>
  <c r="G56" i="4" s="1"/>
  <c r="F48" i="4"/>
  <c r="F53" i="4" s="1"/>
  <c r="H48" i="4"/>
  <c r="H53" i="4" s="1"/>
  <c r="G50" i="4"/>
  <c r="G55" i="4" s="1"/>
  <c r="C36" i="3"/>
  <c r="C39" i="3"/>
  <c r="C38" i="3"/>
  <c r="D48" i="4"/>
  <c r="D53" i="4" s="1"/>
  <c r="H50" i="4"/>
  <c r="H55" i="4" s="1"/>
  <c r="E49" i="4"/>
  <c r="E54" i="4" s="1"/>
  <c r="D15" i="5"/>
  <c r="D16" i="5" s="1"/>
  <c r="D13" i="5"/>
  <c r="D14" i="5" s="1"/>
  <c r="D51" i="4"/>
  <c r="D56" i="4" s="1"/>
  <c r="G49" i="4"/>
  <c r="G54" i="4" s="1"/>
  <c r="F9" i="5"/>
  <c r="F12" i="5" s="1"/>
  <c r="E42" i="3"/>
  <c r="E34" i="3"/>
  <c r="F10" i="5" s="1"/>
  <c r="E37" i="3"/>
  <c r="F33" i="3"/>
  <c r="E35" i="3"/>
  <c r="E51" i="4"/>
  <c r="E56" i="4" s="1"/>
  <c r="D36" i="3"/>
  <c r="D39" i="3"/>
  <c r="D38" i="3"/>
  <c r="D50" i="4"/>
  <c r="D55" i="4" s="1"/>
  <c r="H51" i="4"/>
  <c r="H56" i="4" s="1"/>
  <c r="F51" i="4"/>
  <c r="F56" i="4" s="1"/>
  <c r="E48" i="4"/>
  <c r="E53" i="4" s="1"/>
  <c r="E13" i="5"/>
  <c r="E14" i="5" s="1"/>
  <c r="E18" i="5" s="1"/>
  <c r="E15" i="5"/>
  <c r="E16" i="5" s="1"/>
  <c r="F54" i="4"/>
  <c r="C60" i="4"/>
  <c r="B78" i="4"/>
  <c r="D18" i="5" l="1"/>
  <c r="D19" i="5" s="1"/>
  <c r="C44" i="3" s="1"/>
  <c r="F13" i="5"/>
  <c r="F14" i="5" s="1"/>
  <c r="F18" i="5" s="1"/>
  <c r="F19" i="5" s="1"/>
  <c r="E44" i="3" s="1"/>
  <c r="F15" i="5"/>
  <c r="F16" i="5" s="1"/>
  <c r="C65" i="4"/>
  <c r="D65" i="4" s="1"/>
  <c r="C64" i="4"/>
  <c r="D64" i="4" s="1"/>
  <c r="C67" i="4"/>
  <c r="D67" i="4" s="1"/>
  <c r="C63" i="4"/>
  <c r="D63" i="4" s="1"/>
  <c r="C66" i="4"/>
  <c r="D66" i="4" s="1"/>
  <c r="E39" i="3"/>
  <c r="E38" i="3"/>
  <c r="E36" i="3"/>
  <c r="D40" i="3"/>
  <c r="D41" i="3" s="1"/>
  <c r="C40" i="3"/>
  <c r="C41" i="3" s="1"/>
  <c r="C45" i="3" s="1"/>
  <c r="F42" i="3"/>
  <c r="F34" i="3"/>
  <c r="G10" i="5" s="1"/>
  <c r="F37" i="3"/>
  <c r="G33" i="3"/>
  <c r="G9" i="5"/>
  <c r="G12" i="5" s="1"/>
  <c r="E19" i="5" l="1"/>
  <c r="D44" i="3" s="1"/>
  <c r="D45" i="3" s="1"/>
  <c r="D47" i="3" s="1"/>
  <c r="F35" i="3"/>
  <c r="F39" i="3" s="1"/>
  <c r="G37" i="3"/>
  <c r="C16" i="4"/>
  <c r="C28" i="4" s="1"/>
  <c r="H9" i="5"/>
  <c r="H12" i="5" s="1"/>
  <c r="G34" i="3"/>
  <c r="H10" i="5" s="1"/>
  <c r="G42" i="3"/>
  <c r="C47" i="3"/>
  <c r="G13" i="5"/>
  <c r="G14" i="5" s="1"/>
  <c r="G15" i="5"/>
  <c r="G16" i="5" s="1"/>
  <c r="E40" i="3"/>
  <c r="E41" i="3" s="1"/>
  <c r="E45" i="3" s="1"/>
  <c r="E47" i="3" s="1"/>
  <c r="F36" i="3" l="1"/>
  <c r="G18" i="5"/>
  <c r="G19" i="5" s="1"/>
  <c r="F44" i="3" s="1"/>
  <c r="F38" i="3"/>
  <c r="H14" i="5"/>
  <c r="F40" i="3"/>
  <c r="F41" i="3" s="1"/>
  <c r="F45" i="3" s="1"/>
  <c r="C72" i="4"/>
  <c r="C73" i="4"/>
  <c r="H13" i="5"/>
  <c r="H15" i="5"/>
  <c r="H16" i="5" s="1"/>
  <c r="G35" i="3"/>
  <c r="H18" i="5" l="1"/>
  <c r="H19" i="5" s="1"/>
  <c r="G44" i="3" s="1"/>
  <c r="F47" i="3"/>
  <c r="G36" i="3"/>
  <c r="G38" i="3"/>
  <c r="G39" i="3"/>
  <c r="G40" i="3" l="1"/>
  <c r="G41" i="3" s="1"/>
  <c r="G45" i="3" s="1"/>
  <c r="C59" i="3"/>
  <c r="C60" i="3" s="1"/>
  <c r="C61" i="3" s="1"/>
  <c r="C51" i="3" l="1"/>
  <c r="C52" i="3" s="1"/>
  <c r="G47" i="3"/>
  <c r="C50" i="3" s="1"/>
  <c r="G12" i="7"/>
  <c r="H24" i="7"/>
  <c r="C7" i="7"/>
  <c r="D19" i="7"/>
  <c r="I13" i="7"/>
  <c r="D12" i="7"/>
  <c r="G9" i="7"/>
  <c r="C22" i="7"/>
  <c r="H10" i="7"/>
  <c r="F10" i="7"/>
  <c r="G18" i="7"/>
  <c r="I24" i="7"/>
  <c r="I22" i="7"/>
  <c r="D23" i="7"/>
  <c r="E18" i="7"/>
  <c r="G7" i="7"/>
  <c r="H11" i="7"/>
  <c r="G21" i="7"/>
  <c r="H12" i="7"/>
  <c r="D7" i="7"/>
  <c r="C9" i="7"/>
  <c r="E11" i="7"/>
  <c r="H8" i="7"/>
  <c r="F24" i="7"/>
  <c r="F18" i="7"/>
  <c r="I18" i="7"/>
  <c r="F20" i="7"/>
  <c r="I21" i="7"/>
  <c r="C11" i="7"/>
  <c r="F7" i="7"/>
  <c r="E23" i="7"/>
  <c r="G13" i="7"/>
  <c r="D21" i="7"/>
  <c r="F13" i="7"/>
  <c r="I12" i="7"/>
  <c r="I9" i="7"/>
  <c r="D8" i="7"/>
  <c r="C20" i="7"/>
  <c r="C19" i="7"/>
  <c r="F21" i="7"/>
  <c r="H20" i="7"/>
  <c r="E9" i="7"/>
  <c r="G23" i="7"/>
  <c r="H9" i="7"/>
  <c r="D11" i="7"/>
  <c r="F12" i="7"/>
  <c r="I19" i="7"/>
  <c r="D10" i="7"/>
  <c r="E8" i="7"/>
  <c r="E13" i="7"/>
  <c r="C12" i="7"/>
  <c r="C21" i="7"/>
  <c r="D13" i="7"/>
  <c r="H22" i="7"/>
  <c r="E20" i="7"/>
  <c r="E21" i="7"/>
  <c r="G24" i="7"/>
  <c r="C13" i="7"/>
  <c r="G22" i="7"/>
  <c r="C10" i="7"/>
  <c r="F11" i="7"/>
  <c r="H23" i="7"/>
  <c r="G8" i="7"/>
  <c r="D24" i="7"/>
  <c r="I20" i="7"/>
  <c r="C8" i="7"/>
  <c r="E10" i="7"/>
  <c r="H7" i="7"/>
  <c r="G20" i="7"/>
  <c r="I10" i="7"/>
  <c r="H18" i="7"/>
  <c r="D9" i="7"/>
  <c r="G10" i="7"/>
  <c r="E7" i="7"/>
  <c r="F8" i="7"/>
  <c r="E19" i="7"/>
  <c r="D18" i="7"/>
  <c r="G11" i="7"/>
  <c r="C18" i="7"/>
  <c r="F22" i="7"/>
  <c r="I11" i="7"/>
  <c r="I8" i="7"/>
  <c r="F9" i="7"/>
  <c r="C23" i="7"/>
  <c r="C24" i="7"/>
  <c r="F23" i="7"/>
  <c r="D22" i="7"/>
  <c r="E12" i="7"/>
  <c r="D20" i="7"/>
  <c r="G19" i="7"/>
  <c r="E24" i="7"/>
  <c r="H21" i="7"/>
  <c r="H13" i="7"/>
  <c r="I23" i="7"/>
  <c r="I7" i="7"/>
  <c r="F19" i="7"/>
  <c r="E22" i="7"/>
  <c r="H19" i="7"/>
  <c r="C58" i="3" l="1"/>
  <c r="C62" i="3" s="1"/>
  <c r="C53" i="3"/>
  <c r="C17" i="4" l="1"/>
  <c r="C54" i="3"/>
  <c r="C55" i="3" s="1"/>
  <c r="C16" i="1" s="1"/>
  <c r="C63" i="3"/>
  <c r="C64" i="3" s="1"/>
  <c r="C17" i="1"/>
  <c r="C19" i="4" l="1"/>
  <c r="C20" i="4" s="1"/>
  <c r="B79" i="4"/>
  <c r="C10" i="1"/>
  <c r="C12" i="1" s="1"/>
  <c r="C11" i="1" s="1"/>
  <c r="D17" i="1"/>
  <c r="D16" i="1"/>
  <c r="C21" i="1"/>
</calcChain>
</file>

<file path=xl/sharedStrings.xml><?xml version="1.0" encoding="utf-8"?>
<sst xmlns="http://schemas.openxmlformats.org/spreadsheetml/2006/main" count="431" uniqueCount="347">
  <si>
    <t>DISCLAIMER: This is a sample analysis for demonstration purposes only. It does not constitute investment advice.</t>
  </si>
  <si>
    <t>オムロン (6645.T)</t>
  </si>
  <si>
    <t>Equity Research Report</t>
  </si>
  <si>
    <t>Company</t>
  </si>
  <si>
    <t>オムロン</t>
  </si>
  <si>
    <t>Ticker</t>
  </si>
  <si>
    <t>6645.T (TSE Prime)</t>
  </si>
  <si>
    <t>Sector</t>
  </si>
  <si>
    <t>電気機器</t>
  </si>
  <si>
    <t>Current Price</t>
  </si>
  <si>
    <t>Target Price (DCF Mid)</t>
  </si>
  <si>
    <t>Recommendation</t>
  </si>
  <si>
    <t>Upside / Downside</t>
  </si>
  <si>
    <t>Valuation Summary</t>
  </si>
  <si>
    <t>Methodology</t>
  </si>
  <si>
    <t>Implied Value (JPY)</t>
  </si>
  <si>
    <t>vs Current Price</t>
  </si>
  <si>
    <t>DCF - Perpetuity Growth [参考・Target不算入 — 追補6 §X]</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</si>
  <si>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</si>
  <si>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</si>
  <si>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</si>
  <si>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**4.21倍** で 3.0倍を超えたため、**乖離そのものを裁定トリガーとする追補6 §X により中点平均を禁止**し、どちらの脚を落とすかを判定した。■**観測倍率バンドテスト**: Peer の実測 EV/EBITDA の第1〜第3四分位バンドは **(15.020840678830101, 18.258808221981813, 5)倍**。これに対し **PGM逆算 3.71倍 / 仮定Exit 15.60倍**。**PGM法のみがバンドの外にあるため PGM法を[参考]に降格し、Target = Exit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</si>
  <si>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</si>
  <si>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</si>
  <si>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</si>
  <si>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</si>
  <si>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</si>
  <si>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</si>
  <si>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</si>
  <si>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</si>
  <si>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</si>
  <si>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オムロン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</si>
  <si>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</si>
  <si>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</si>
  <si>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</si>
  <si>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</si>
  <si>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</si>
  <si>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</si>
  <si>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</si>
  <si>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</si>
  <si>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</si>
  <si>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</si>
  <si>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</si>
  <si>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</si>
  <si>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</si>
  <si>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</si>
  <si>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</si>
  <si>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</si>
  <si>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</si>
  <si>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</si>
  <si>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</si>
  <si>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</si>
  <si>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</si>
  <si>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</si>
  <si>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</si>
  <si>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</si>
  <si>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</si>
  <si>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</si>
  <si>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</si>
  <si>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0/4, Cash 4/4, Debt 3/4 — blank cells are years with no year-key match in the source data (verify against 決算短信 or set hist_ocf / hist_cash / hist_debt in overrides).</t>
  </si>
  <si>
    <t>DCF Valuation Model - オムロン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</si>
  <si>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</si>
  <si>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</si>
  <si>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</si>
  <si>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</si>
  <si>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</si>
  <si>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</si>
  <si>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</si>
  <si>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</si>
  <si>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</si>
  <si>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</si>
  <si>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</si>
  <si>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</si>
  <si>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</si>
  <si>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</si>
  <si>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</si>
  <si>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</si>
  <si>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</si>
  <si>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</si>
  <si>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</si>
  <si>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</si>
  <si>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</si>
  <si>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</si>
  <si>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</si>
  <si>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</si>
  <si>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</si>
  <si>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</si>
  <si>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</si>
  <si>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</si>
  <si>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</si>
  <si>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</si>
  <si>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</si>
  <si>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</si>
  <si>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</si>
  <si>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</si>
  <si>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</si>
  <si>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</si>
  <si>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</si>
  <si>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</si>
  <si>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</si>
  <si>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</si>
  <si>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</si>
  <si>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</si>
  <si>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</si>
  <si>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</si>
  <si>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</si>
  <si>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</si>
  <si>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</si>
  <si>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</si>
  <si>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</si>
  <si>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</si>
  <si>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</si>
  <si>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</si>
  <si>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</si>
  <si>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</si>
  <si>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</si>
  <si>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</si>
  <si>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</si>
  <si>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</si>
  <si>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</si>
  <si>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</si>
  <si>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</si>
  <si>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</si>
  <si>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</si>
  <si>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</si>
  <si>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オムロン (6645.T)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</si>
  <si>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</si>
  <si>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</si>
  <si>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</si>
  <si>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</si>
  <si>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</si>
  <si>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</si>
  <si>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</si>
  <si>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</si>
  <si>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</si>
  <si>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</si>
  <si>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</si>
  <si>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</si>
  <si>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</si>
  <si>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</si>
  <si>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</si>
  <si>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</si>
  <si>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</si>
  <si>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</si>
  <si>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</si>
  <si>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</si>
  <si>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</si>
  <si>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</si>
  <si>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</si>
  <si>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</si>
  <si>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</si>
  <si>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</si>
  <si>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</si>
  <si>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</si>
  <si>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</si>
  <si>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</si>
  <si>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</si>
  <si>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</si>
  <si>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</si>
  <si>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</si>
  <si>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</si>
  <si>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</si>
  <si>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</si>
  <si>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</si>
  <si>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</si>
  <si>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</si>
  <si>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</si>
  <si>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</si>
  <si>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</si>
  <si>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</si>
  <si>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</si>
  <si>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</si>
  <si>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</si>
  <si>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</si>
  <si>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</si>
  <si>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</si>
  <si>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</si>
  <si>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オムロン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</si>
  <si>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</si>
  <si>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</si>
  <si>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</si>
  <si>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</si>
  <si>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</si>
  <si>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</si>
  <si>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</si>
  <si>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</si>
  <si>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</si>
  <si>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</si>
  <si>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</si>
  <si>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</si>
  <si>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</si>
  <si>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</si>
  <si>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</si>
  <si>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</si>
  <si>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</si>
  <si>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</si>
  <si>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</si>
  <si>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</si>
  <si>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</si>
  <si>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</si>
  <si>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</si>
  <si>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</si>
  <si>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</si>
  <si>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</si>
  <si>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</si>
  <si>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</si>
  <si>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</si>
  <si>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</si>
  <si>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</si>
  <si>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</si>
  <si>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</si>
  <si>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</si>
  <si>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OMRON Corporation</t>
  </si>
  <si>
    <t>6645.T</t>
  </si>
  <si>
    <t>YASKAWA Electric Corporation</t>
  </si>
  <si>
    <t>6506.T</t>
  </si>
  <si>
    <t>Fanuc Corporation</t>
  </si>
  <si>
    <t>6954.T</t>
  </si>
  <si>
    <t>SMC Corporation</t>
  </si>
  <si>
    <t>6273.T</t>
  </si>
  <si>
    <t>Mitsubishi Electric Corporation</t>
  </si>
  <si>
    <t>6503.T</t>
  </si>
  <si>
    <t>Hitachi, Ltd.</t>
  </si>
  <si>
    <t>6501.T</t>
  </si>
  <si>
    <t>Statistics</t>
  </si>
  <si>
    <t>25th Percentile</t>
  </si>
  <si>
    <t>Median (50th)</t>
  </si>
  <si>
    <t>75th Percentile</t>
  </si>
  <si>
    <t>Implied Valuation for オムロン</t>
  </si>
  <si>
    <t>オムロン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</si>
  <si>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</si>
  <si>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</si>
  <si>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</si>
  <si>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</si>
  <si>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</si>
  <si>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</si>
  <si>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</si>
  <si>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</si>
  <si>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</si>
  <si>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</si>
  <si>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</si>
  <si>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</si>
  <si>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</si>
  <si>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</si>
  <si>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</si>
  <si>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オムロン</t>
  </si>
  <si>
    <t>日付</t>
  </si>
  <si>
    <t>セル</t>
  </si>
  <si>
    <t>変更内容</t>
  </si>
  <si>
    <t>理由</t>
  </si>
  <si>
    <t>元の値</t>
  </si>
  <si>
    <t>状態</t>
  </si>
  <si>
    <t>2026-09-06</t>
  </si>
  <si>
    <t>-</t>
  </si>
  <si>
    <t>Generated by pipeline on 2026-09-06 19:16, template rev 63983ab</t>
  </si>
  <si>
    <t>初期生成（手修正なし）</t>
  </si>
  <si>
    <t>generated</t>
  </si>
  <si>
    <t>DCF Model!C8</t>
  </si>
  <si>
    <t>Beta = 1.351（採用値）</t>
  </si>
  <si>
    <t>実測β(raw) = 1.524 → Blume調整 0.67×raw + 0.33×1.00 = 1.351 → 採用 1.351。クランプ域 [0.3, 2.0] の内側。置換なし。回帰βは平均回帰するため Blume 調整を既定とする（2026-09-05 バッチで85件中57件が旧下限 0.60 に張り付き、両裾の歪みが実証された）。</t>
  </si>
  <si>
    <t>実測 1.524</t>
  </si>
  <si>
    <t>確定</t>
  </si>
  <si>
    <t>Pipeline Metadata (do not edit — read by scripts/validate_output.py)</t>
  </si>
  <si>
    <t>key</t>
  </si>
  <si>
    <t>value</t>
  </si>
  <si>
    <t>auto_log_entries</t>
  </si>
  <si>
    <t>1</t>
  </si>
  <si>
    <t>beta_adopted_c8</t>
  </si>
  <si>
    <t>1.3512</t>
  </si>
  <si>
    <t>beta_basis</t>
  </si>
  <si>
    <t>Blume: 0.67 x 1.524 + 0.33 x 1.00 = 1.351</t>
  </si>
  <si>
    <t>beta_blume_adjusted</t>
  </si>
  <si>
    <t>beta_clamped</t>
  </si>
  <si>
    <t>no</t>
  </si>
  <si>
    <t>beta_raw</t>
  </si>
  <si>
    <t>1.5242</t>
  </si>
  <si>
    <t>capex_pct_basis</t>
  </si>
  <si>
    <t>explicit_override</t>
  </si>
  <si>
    <t>capex_pct_c5</t>
  </si>
  <si>
    <t>0.0462</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</si>
  <si>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</si>
  <si>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</si>
  <si>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</si>
  <si>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</si>
  <si>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</si>
  <si>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</si>
  <si>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</si>
  <si>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</si>
  <si>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</si>
  <si>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</si>
  <si>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</si>
  <si>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</si>
  <si>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</si>
  <si>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</si>
  <si>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</si>
  <si>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</si>
  <si>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</si>
  <si>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</si>
  <si>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</si>
  <si>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</si>
  <si>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</si>
  <si>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88966.0</t>
  </si>
  <si>
    <t>core_net_income</t>
  </si>
  <si>
    <t>27242.0</t>
  </si>
  <si>
    <t>cost_of_debt_at_c11</t>
  </si>
  <si>
    <t>0.01</t>
  </si>
  <si>
    <t>cost_of_debt_basis</t>
  </si>
  <si>
    <t>assumption</t>
  </si>
  <si>
    <t>da_pct_basis</t>
  </si>
  <si>
    <t>da_pct_c18</t>
  </si>
  <si>
    <t>0.044</t>
  </si>
  <si>
    <t>da_pct_hist3yr</t>
  </si>
  <si>
    <t>0.00665</t>
  </si>
  <si>
    <t>fs_year_coverage</t>
  </si>
  <si>
    <t>OCF 0/4, Cash 4/4, Debt 3/4</t>
  </si>
  <si>
    <t>fs_year_map</t>
  </si>
  <si>
    <t>FY2023&lt;-FY2023[cash]; FY2024&lt;-FY2024[cash+debt]; FY2025&lt;-FY2025[cash+debt]; FY2026&lt;-FY2026[cash+debt]</t>
  </si>
  <si>
    <t>fs_year_sources</t>
  </si>
  <si>
    <t>overrides: none | EDINET year-key match: hist_ocf, hist_cash, hist_debt, hist_capex, hist_depreciation</t>
  </si>
  <si>
    <t>fx_sensitivity</t>
  </si>
  <si>
    <t>not enabled</t>
  </si>
  <si>
    <t>generated_at</t>
  </si>
  <si>
    <t>2026-09-06 19:16:25</t>
  </si>
  <si>
    <t>guidance_note</t>
  </si>
  <si>
    <t>TDnet 決算短信 via screener guidance table: FY2027 disclosed 2026-08-05 (net_income=40,500mn, operating_income=80,000mn, revenue=880,000mn)</t>
  </si>
  <si>
    <t>guidance_source</t>
  </si>
  <si>
    <t>tdnet_screener_db</t>
  </si>
  <si>
    <t>latest_operating_income</t>
  </si>
  <si>
    <t>55188.0</t>
  </si>
  <si>
    <t>ltm_revenue_c20</t>
  </si>
  <si>
    <t>293308.0</t>
  </si>
  <si>
    <t>ltm_revenue_source</t>
  </si>
  <si>
    <t>latest FY (no LTM)</t>
  </si>
  <si>
    <t>market_data_source</t>
  </si>
  <si>
    <t>yfinance; from overrides: beta, current_price, shares_outstanding</t>
  </si>
  <si>
    <t>narrative_tokens_used</t>
  </si>
  <si>
    <t>net_debt_source</t>
  </si>
  <si>
    <t>EDINET net_debt</t>
  </si>
  <si>
    <t>reverse_dcf_sheet</t>
  </si>
  <si>
    <t>op0=55,188(FY2026) peak=98,409(FY2023) peak_opm=0.1123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</si>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</sst>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6217</v>
      </c>
    </row>
    <row r="10" spans="2:5" ht="14" customHeight="1" x14ac:dyDescent="0.3">
      <c r="B10" s="4" t="s">
        <v>10</v>
      </c>
      <c r="C10" s="5">
        <f>IF(ISNUMBER(C17),ROUND(C17,0),"N/A")</f>
        <v>4870</v>
      </c>
    </row>
    <row r="11" spans="2:5" ht="14" customHeight="1" x14ac:dyDescent="0.3">
      <c r="B11" s="4" t="s">
        <v>11</v>
      </c>
      <c r="C11" s="6" t="str">
        <f>IF(NOT(ISNUMBER(C12)),"N/A",IF(C12&gt;0.15,"BUY",IF(C12&gt;0.05,"HOLD","SELL")))</f>
        <v>SELL</v>
      </c>
    </row>
    <row r="12" spans="2:5" ht="14" customHeight="1" x14ac:dyDescent="0.3">
      <c r="B12" s="4" t="s">
        <v>12</v>
      </c>
      <c r="C12" s="7">
        <f>IF(ISNUMBER(C10),(C10-C9)/C9,"N/A")</f>
        <v>-0.216663985845263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1298</v>
      </c>
      <c r="D16" s="7">
        <f>IF(ISNUMBER(C16),(C16-C9)/C9,"N/A")</f>
        <v>-0.79121762908155058</v>
      </c>
    </row>
    <row r="17" spans="2:5" ht="13.5" customHeight="1" x14ac:dyDescent="0.25">
      <c r="B17" t="s">
        <v>18</v>
      </c>
      <c r="C17" s="11">
        <f>IF('DCF Model'!C62&lt;'DCF Model'!C16,"INVALID (EV &lt; net debt)",'DCF Model'!C64)</f>
        <v>4870</v>
      </c>
      <c r="D17" s="7">
        <f>IF(ISNUMBER(C17),(C17-C9)/C9,"N/A")</f>
        <v>-0.216663985845263</v>
      </c>
    </row>
    <row r="18" spans="2:5" ht="13.5" customHeight="1" x14ac:dyDescent="0.25">
      <c r="B18" t="s">
        <v>19</v>
      </c>
      <c r="C18" s="11">
        <f>'Comps Analysis'!C27</f>
        <v>6657</v>
      </c>
      <c r="D18" s="7">
        <f>IF(ISNUMBER(C18),(C18-C9)/C9,"N/A")</f>
        <v>7.0773685057101493E-2</v>
      </c>
    </row>
    <row r="19" spans="2:5" ht="13.5" customHeight="1" x14ac:dyDescent="0.25">
      <c r="B19" t="s">
        <v>20</v>
      </c>
      <c r="C19" s="11">
        <f>'Comps Analysis'!C28</f>
        <v>4156</v>
      </c>
      <c r="D19" s="7">
        <f>IF(ISNUMBER(C19),(C19-C9)/C9,"N/A")</f>
        <v>-0.33151037477883222</v>
      </c>
    </row>
    <row r="20" spans="2:5" ht="14" customHeight="1" x14ac:dyDescent="0.3">
      <c r="B20" s="45" t="s">
        <v>21</v>
      </c>
      <c r="C20" s="44"/>
      <c r="D20" s="44"/>
      <c r="E20" s="44"/>
    </row>
    <row r="21" spans="2:5" ht="14" customHeight="1" x14ac:dyDescent="0.3">
      <c r="B21" s="4" t="s">
        <v>22</v>
      </c>
      <c r="C21" s="6" t="str">
        <f>IF(COUNT(C16:C17)=0,"N/A",MIN(C16:C17)&amp;" - "&amp;MAX(C16:C17))</f>
        <v>1298 - 4870</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876082</v>
      </c>
      <c r="D6" s="5">
        <v>818761</v>
      </c>
      <c r="E6" s="5">
        <v>715379</v>
      </c>
      <c r="F6" s="5">
        <v>767351</v>
      </c>
    </row>
    <row r="7" spans="2:6" ht="14" customHeight="1" x14ac:dyDescent="0.3">
      <c r="B7" s="4" t="s">
        <v>38</v>
      </c>
      <c r="C7" s="5">
        <v>482199</v>
      </c>
      <c r="D7" s="5">
        <v>472297</v>
      </c>
      <c r="E7" s="5">
        <v>385092</v>
      </c>
      <c r="F7" s="5">
        <v>416350</v>
      </c>
    </row>
    <row r="8" spans="2:6" ht="14" customHeight="1" x14ac:dyDescent="0.3">
      <c r="B8" s="4" t="s">
        <v>39</v>
      </c>
      <c r="C8" s="5">
        <f>C6-C7</f>
        <v>393883</v>
      </c>
      <c r="D8" s="5">
        <f>D6-D7</f>
        <v>346464</v>
      </c>
      <c r="E8" s="5">
        <f>E6-E7</f>
        <v>330287</v>
      </c>
      <c r="F8" s="5">
        <f>F6-F7</f>
        <v>351001</v>
      </c>
    </row>
    <row r="9" spans="2:6" ht="13.5" customHeight="1" x14ac:dyDescent="0.25">
      <c r="B9" t="s">
        <v>40</v>
      </c>
      <c r="C9" s="7">
        <f>C8/C6</f>
        <v>0.44959604237959461</v>
      </c>
      <c r="D9" s="7">
        <f>D8/D6</f>
        <v>0.42315645224919113</v>
      </c>
      <c r="E9" s="7">
        <f>E8/E6</f>
        <v>0.46169512943488694</v>
      </c>
      <c r="F9" s="7">
        <f>F8/F6</f>
        <v>0.45741909504255551</v>
      </c>
    </row>
    <row r="10" spans="2:6" ht="14" customHeight="1" x14ac:dyDescent="0.3">
      <c r="B10" s="4" t="s">
        <v>41</v>
      </c>
      <c r="C10" s="5">
        <v>295474</v>
      </c>
      <c r="D10" s="5">
        <v>311511</v>
      </c>
      <c r="E10" s="5">
        <v>273361</v>
      </c>
      <c r="F10" s="5">
        <v>295813</v>
      </c>
    </row>
    <row r="11" spans="2:6" ht="14" customHeight="1" x14ac:dyDescent="0.3">
      <c r="B11" s="4" t="s">
        <v>42</v>
      </c>
      <c r="C11" s="5">
        <v>98409</v>
      </c>
      <c r="D11" s="5">
        <v>34953</v>
      </c>
      <c r="E11" s="5">
        <v>56926</v>
      </c>
      <c r="F11" s="5">
        <v>55188</v>
      </c>
    </row>
    <row r="12" spans="2:6" ht="14" customHeight="1" x14ac:dyDescent="0.3">
      <c r="B12" s="4" t="s">
        <v>43</v>
      </c>
      <c r="C12" s="5">
        <v>73861</v>
      </c>
      <c r="D12" s="5">
        <v>8105</v>
      </c>
      <c r="E12" s="5">
        <v>16271</v>
      </c>
      <c r="F12" s="5">
        <v>28487</v>
      </c>
    </row>
    <row r="13" spans="2:6" ht="13.5" customHeight="1" x14ac:dyDescent="0.25">
      <c r="B13" t="s">
        <v>44</v>
      </c>
      <c r="C13" s="7">
        <f>C11/C6</f>
        <v>0.11232852632516134</v>
      </c>
      <c r="D13" s="7">
        <f>D11/D6</f>
        <v>4.2690113476338026E-2</v>
      </c>
      <c r="E13" s="7">
        <f>E11/E6</f>
        <v>7.957460311247605E-2</v>
      </c>
      <c r="F13" s="7">
        <f>F11/F6</f>
        <v>7.1920151273667465E-2</v>
      </c>
    </row>
    <row r="14" spans="2:6" ht="13.5" customHeight="1" x14ac:dyDescent="0.25">
      <c r="B14" t="s">
        <v>45</v>
      </c>
      <c r="C14" s="7">
        <f>C12/C6</f>
        <v>8.4308318171130103E-2</v>
      </c>
      <c r="D14" s="7">
        <f>D12/D6</f>
        <v>9.8991036456304096E-3</v>
      </c>
      <c r="E14" s="7">
        <f>E12/E6</f>
        <v>2.2744587134931275E-2</v>
      </c>
      <c r="F14" s="7">
        <f>F12/F6</f>
        <v>3.7123819477657555E-2</v>
      </c>
    </row>
    <row r="15" spans="2:6" ht="13.5" customHeight="1" x14ac:dyDescent="0.25">
      <c r="B15" t="s">
        <v>46</v>
      </c>
      <c r="C15" t="s">
        <v>47</v>
      </c>
      <c r="D15" s="7">
        <f>(D6-C6)/C6</f>
        <v>-6.5428806892505492E-2</v>
      </c>
      <c r="E15" s="7">
        <f>(E6-D6)/D6</f>
        <v>-0.12626639519957594</v>
      </c>
      <c r="F15" s="7">
        <f>(F6-E6)/E6</f>
        <v>7.2649602518385356E-2</v>
      </c>
    </row>
    <row r="16" spans="2:6" ht="13.5" customHeight="1" x14ac:dyDescent="0.25">
      <c r="B16" t="s">
        <v>48</v>
      </c>
      <c r="C16" t="s">
        <v>47</v>
      </c>
      <c r="D16" s="7">
        <f>(D11-C11)/C11</f>
        <v>-0.64481907142639394</v>
      </c>
      <c r="E16" s="7">
        <f>(E11-D11)/D11</f>
        <v>0.62864417932652417</v>
      </c>
      <c r="F16" s="7">
        <f>(F11-E11)/E11</f>
        <v>-3.0530864631275693E-2</v>
      </c>
    </row>
    <row r="18" spans="2:6" ht="14" customHeight="1" x14ac:dyDescent="0.3">
      <c r="B18" s="3" t="s">
        <v>49</v>
      </c>
    </row>
    <row r="19" spans="2:6" ht="14" customHeight="1" x14ac:dyDescent="0.3">
      <c r="B19" s="4" t="s">
        <v>50</v>
      </c>
      <c r="C19" s="5"/>
      <c r="D19" s="5"/>
      <c r="E19" s="5"/>
      <c r="F19" s="5"/>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22152</v>
      </c>
      <c r="D26" s="5">
        <v>28347</v>
      </c>
      <c r="E26" s="5">
        <v>25996</v>
      </c>
      <c r="F26" s="5">
        <v>44134</v>
      </c>
    </row>
    <row r="27" spans="2:6" ht="14" customHeight="1" x14ac:dyDescent="0.3">
      <c r="B27" s="4" t="s">
        <v>57</v>
      </c>
      <c r="C27" s="5"/>
      <c r="D27" s="5">
        <v>91067</v>
      </c>
      <c r="E27" s="5">
        <v>100091</v>
      </c>
      <c r="F27" s="5">
        <v>154353</v>
      </c>
    </row>
    <row r="28" spans="2:6" ht="14" customHeight="1" x14ac:dyDescent="0.3">
      <c r="B28" s="4" t="s">
        <v>58</v>
      </c>
      <c r="D28" s="5">
        <f>D27-D26</f>
        <v>62720</v>
      </c>
      <c r="E28" s="5">
        <f>E27-E26</f>
        <v>74095</v>
      </c>
      <c r="F28" s="5">
        <f>F27-F26</f>
        <v>110219</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4.6199999999999998E-2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1.3512</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0.01</v>
      </c>
    </row>
    <row r="12" spans="2:7" ht="14" customHeight="1" x14ac:dyDescent="0.3">
      <c r="B12" s="4" t="s">
        <v>69</v>
      </c>
      <c r="C12" s="13">
        <v>6.1100000000000002E-2</v>
      </c>
    </row>
    <row r="13" spans="2:7" ht="14" customHeight="1" x14ac:dyDescent="0.3">
      <c r="B13" s="4" t="s">
        <v>70</v>
      </c>
      <c r="C13" s="7">
        <v>0.01</v>
      </c>
    </row>
    <row r="14" spans="2:7" ht="14" customHeight="1" x14ac:dyDescent="0.3">
      <c r="B14" s="4" t="s">
        <v>71</v>
      </c>
      <c r="C14" s="14">
        <v>15.6</v>
      </c>
    </row>
    <row r="15" spans="2:7" ht="14" customHeight="1" x14ac:dyDescent="0.3">
      <c r="B15" s="4" t="s">
        <v>72</v>
      </c>
      <c r="C15" s="15">
        <v>196629396</v>
      </c>
    </row>
    <row r="16" spans="2:7" ht="14" customHeight="1" x14ac:dyDescent="0.3">
      <c r="B16" s="4" t="s">
        <v>73</v>
      </c>
      <c r="C16" s="5">
        <v>74668</v>
      </c>
    </row>
    <row r="17" spans="2:7" ht="14" customHeight="1" x14ac:dyDescent="0.3">
      <c r="B17" s="4" t="s">
        <v>74</v>
      </c>
      <c r="C17" s="5">
        <v>767351</v>
      </c>
    </row>
    <row r="18" spans="2:7" ht="14" customHeight="1" x14ac:dyDescent="0.3">
      <c r="B18" s="4" t="s">
        <v>75</v>
      </c>
      <c r="C18" s="7">
        <v>4.3999999999999997E-2</v>
      </c>
    </row>
    <row r="19" spans="2:7" ht="14" customHeight="1" x14ac:dyDescent="0.3">
      <c r="B19" s="4" t="s">
        <v>76</v>
      </c>
      <c r="C19" s="12">
        <v>1</v>
      </c>
    </row>
    <row r="20" spans="2:7" ht="14" customHeight="1" x14ac:dyDescent="0.3">
      <c r="B20" s="4" t="s">
        <v>77</v>
      </c>
      <c r="C20" s="5">
        <v>293308</v>
      </c>
    </row>
    <row r="22" spans="2:7" ht="14" customHeight="1" x14ac:dyDescent="0.3">
      <c r="B22" s="8" t="s">
        <v>78</v>
      </c>
      <c r="C22" s="9"/>
      <c r="D22" s="9"/>
      <c r="E22" s="9"/>
      <c r="F22" s="9"/>
      <c r="G22" s="9"/>
    </row>
    <row r="23" spans="2:7" ht="14" customHeight="1" x14ac:dyDescent="0.3">
      <c r="B23" s="4" t="s">
        <v>79</v>
      </c>
      <c r="C23" s="16">
        <f>C7+C8*C9+C10</f>
        <v>0.127528</v>
      </c>
    </row>
    <row r="24" spans="2:7" ht="14" customHeight="1" x14ac:dyDescent="0.3">
      <c r="B24" s="4" t="s">
        <v>80</v>
      </c>
      <c r="C24" s="16">
        <f>1/(1+C12)</f>
        <v>0.9424182452172275</v>
      </c>
    </row>
    <row r="25" spans="2:7" ht="14" customHeight="1" x14ac:dyDescent="0.3">
      <c r="B25" s="4" t="s">
        <v>81</v>
      </c>
      <c r="C25" s="16">
        <f>C12/(1+C12)</f>
        <v>5.7581754782772603E-2</v>
      </c>
    </row>
    <row r="26" spans="2:7" ht="14" customHeight="1" x14ac:dyDescent="0.3">
      <c r="B26" s="4" t="s">
        <v>82</v>
      </c>
      <c r="C26" s="16">
        <f>C23*C24+C11*C25</f>
        <v>0.12076053152389031</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customHeight="1" x14ac:dyDescent="0.3">
      <c r="B31" s="4" t="s">
        <v>91</v>
      </c>
      <c r="C31" s="18">
        <f>CHOOSE($D$27,C76,C77,C78,C79,C80)</f>
        <v>0.54300000000000004</v>
      </c>
      <c r="D31" s="18">
        <f>CHOOSE($D$27,D76,D77,D78,D79,D80)</f>
        <v>0.54300000000000004</v>
      </c>
      <c r="E31" s="18">
        <f>CHOOSE($D$27,E76,E77,E78,E79,E80)</f>
        <v>0.54300000000000004</v>
      </c>
      <c r="F31" s="18">
        <f>CHOOSE($D$27,F76,F77,F78,F79,F80)</f>
        <v>0.54300000000000004</v>
      </c>
      <c r="G31" s="18">
        <f>CHOOSE($D$27,G76,G77,G78,G79,G80)</f>
        <v>0.54300000000000004</v>
      </c>
    </row>
    <row r="32" spans="2:7" ht="14" customHeight="1" x14ac:dyDescent="0.3">
      <c r="B32" s="4" t="s">
        <v>92</v>
      </c>
      <c r="C32" s="18">
        <f>CHOOSE($D$27,C83,C84,C85,C86,C87)</f>
        <v>0.38450000000000001</v>
      </c>
      <c r="D32" s="18">
        <f>CHOOSE($D$27,D83,D84,D85,D86,D87)</f>
        <v>0.38350000000000001</v>
      </c>
      <c r="E32" s="18">
        <f>CHOOSE($D$27,E83,E84,E85,E86,E87)</f>
        <v>0.38250000000000001</v>
      </c>
      <c r="F32" s="18">
        <f>CHOOSE($D$27,F83,F84,F85,F86,F87)</f>
        <v>0.38179999999999997</v>
      </c>
      <c r="G32" s="18">
        <f>CHOOSE($D$27,G83,G84,G85,G86,G87)</f>
        <v>0.38129999999999997</v>
      </c>
    </row>
    <row r="33" spans="2:7" ht="14" customHeight="1" x14ac:dyDescent="0.3">
      <c r="B33" s="4" t="s">
        <v>37</v>
      </c>
      <c r="C33" s="5">
        <f>C17*(1+C30)</f>
        <v>790371.53</v>
      </c>
      <c r="D33" s="5">
        <f>C33*(1+D30)</f>
        <v>814082.67590000003</v>
      </c>
      <c r="E33" s="5">
        <f>D33*(1+E30)</f>
        <v>834434.74279749999</v>
      </c>
      <c r="F33" s="5">
        <f>E33*(1+F30)</f>
        <v>855295.61136743741</v>
      </c>
      <c r="G33" s="5">
        <f>F33*(1+G30)</f>
        <v>872401.52359478618</v>
      </c>
    </row>
    <row r="34" spans="2:7" ht="14" customHeight="1" x14ac:dyDescent="0.3">
      <c r="B34" s="4" t="s">
        <v>38</v>
      </c>
      <c r="C34" s="5">
        <f>C33*C31</f>
        <v>429171.74079000007</v>
      </c>
      <c r="D34" s="5">
        <f>D33*D31</f>
        <v>442046.89301370003</v>
      </c>
      <c r="E34" s="5">
        <f>E33*E31</f>
        <v>453098.06533904251</v>
      </c>
      <c r="F34" s="5">
        <f>F33*F31</f>
        <v>464425.51697251853</v>
      </c>
      <c r="G34" s="5">
        <f>G33*G31</f>
        <v>473714.02731196891</v>
      </c>
    </row>
    <row r="35" spans="2:7" ht="14" customHeight="1" x14ac:dyDescent="0.3">
      <c r="B35" s="4" t="s">
        <v>39</v>
      </c>
      <c r="C35" s="19">
        <f>C33-C34</f>
        <v>361199.78920999996</v>
      </c>
      <c r="D35" s="19">
        <f>D33-D34</f>
        <v>372035.7828863</v>
      </c>
      <c r="E35" s="19">
        <f>E33-E34</f>
        <v>381336.67745845747</v>
      </c>
      <c r="F35" s="19">
        <f>F33-F34</f>
        <v>390870.09439491888</v>
      </c>
      <c r="G35" s="19">
        <f>G33-G34</f>
        <v>398687.49628281727</v>
      </c>
    </row>
    <row r="36" spans="2:7" ht="14" customHeight="1" x14ac:dyDescent="0.3">
      <c r="B36" s="4" t="s">
        <v>40</v>
      </c>
      <c r="C36" s="7">
        <f>C35/C33</f>
        <v>0.45699999999999991</v>
      </c>
      <c r="D36" s="7">
        <f>D35/D33</f>
        <v>0.45699999999999996</v>
      </c>
      <c r="E36" s="7">
        <f>E35/E33</f>
        <v>0.45699999999999996</v>
      </c>
      <c r="F36" s="7">
        <f>F35/F33</f>
        <v>0.45699999999999996</v>
      </c>
      <c r="G36" s="7">
        <f>G35/G33</f>
        <v>0.45699999999999996</v>
      </c>
    </row>
    <row r="37" spans="2:7" ht="14" customHeight="1" x14ac:dyDescent="0.3">
      <c r="B37" s="4" t="s">
        <v>93</v>
      </c>
      <c r="C37" s="5">
        <f>C33*C32</f>
        <v>303897.85328500002</v>
      </c>
      <c r="D37" s="5">
        <f>D33*D32</f>
        <v>312200.70620765002</v>
      </c>
      <c r="E37" s="5">
        <f>E33*E32</f>
        <v>319171.28912004374</v>
      </c>
      <c r="F37" s="5">
        <f>F33*F32</f>
        <v>326551.8644200876</v>
      </c>
      <c r="G37" s="5">
        <f>G33*G32</f>
        <v>332646.70094669197</v>
      </c>
    </row>
    <row r="38" spans="2:7" ht="14" customHeight="1" x14ac:dyDescent="0.3">
      <c r="B38" s="4" t="s">
        <v>94</v>
      </c>
      <c r="C38" s="7">
        <f>(C35-C37)/C33</f>
        <v>7.2499999999999926E-2</v>
      </c>
      <c r="D38" s="7">
        <f>(D35-D37)/D33</f>
        <v>7.3499999999999982E-2</v>
      </c>
      <c r="E38" s="7">
        <f>(E35-E37)/E33</f>
        <v>7.4499999999999983E-2</v>
      </c>
      <c r="F38" s="7">
        <f>(F35-F37)/F33</f>
        <v>7.5199999999999989E-2</v>
      </c>
      <c r="G38" s="7">
        <f>(G35-G37)/G33</f>
        <v>7.569999999999999E-2</v>
      </c>
    </row>
    <row r="39" spans="2:7" ht="14" customHeight="1" x14ac:dyDescent="0.3">
      <c r="B39" s="4" t="s">
        <v>95</v>
      </c>
      <c r="C39" s="19">
        <f>C35-C37</f>
        <v>57301.93592499994</v>
      </c>
      <c r="D39" s="19">
        <f>D35-D37</f>
        <v>59835.076678649988</v>
      </c>
      <c r="E39" s="19">
        <f>E35-E37</f>
        <v>62165.38833841373</v>
      </c>
      <c r="F39" s="19">
        <f>F35-F37</f>
        <v>64318.22997483128</v>
      </c>
      <c r="G39" s="19">
        <f>G35-G37</f>
        <v>66040.795336125302</v>
      </c>
    </row>
    <row r="40" spans="2:7" ht="14" customHeight="1" x14ac:dyDescent="0.3">
      <c r="B40" s="4" t="s">
        <v>96</v>
      </c>
      <c r="C40" s="5">
        <f>MAX(0,C39*C6)</f>
        <v>14325.483981249985</v>
      </c>
      <c r="D40" s="5">
        <f>MAX(0,D39*C6)</f>
        <v>14958.769169662497</v>
      </c>
      <c r="E40" s="5">
        <f>MAX(0,E39*C6)</f>
        <v>15541.347084603432</v>
      </c>
      <c r="F40" s="5">
        <f>MAX(0,F39*C6)</f>
        <v>16079.55749370782</v>
      </c>
      <c r="G40" s="5">
        <f>MAX(0,G39*C6)</f>
        <v>16510.198834031326</v>
      </c>
    </row>
    <row r="41" spans="2:7" ht="14" customHeight="1" x14ac:dyDescent="0.3">
      <c r="B41" s="4" t="s">
        <v>97</v>
      </c>
      <c r="C41" s="19">
        <f>C39-C40</f>
        <v>42976.451943749955</v>
      </c>
      <c r="D41" s="19">
        <f>D39-D40</f>
        <v>44876.307508987491</v>
      </c>
      <c r="E41" s="19">
        <f>E39-E40</f>
        <v>46624.041253810297</v>
      </c>
      <c r="F41" s="19">
        <f>F39-F40</f>
        <v>48238.67248112346</v>
      </c>
      <c r="G41" s="19">
        <f>G39-G40</f>
        <v>49530.596502093977</v>
      </c>
    </row>
    <row r="42" spans="2:7" ht="14" customHeight="1" x14ac:dyDescent="0.3">
      <c r="B42" s="4" t="s">
        <v>98</v>
      </c>
      <c r="C42" s="5">
        <f>C33*C18</f>
        <v>34776.347320000001</v>
      </c>
      <c r="D42" s="5">
        <f>D33*C18</f>
        <v>35819.637739600003</v>
      </c>
      <c r="E42" s="5">
        <f>E33*C18</f>
        <v>36715.128683089999</v>
      </c>
      <c r="F42" s="5">
        <f>F33*C18</f>
        <v>37633.006900167245</v>
      </c>
      <c r="G42" s="5">
        <f>G33*C18</f>
        <v>38385.667038170592</v>
      </c>
    </row>
    <row r="43" spans="2:7" ht="14" customHeight="1" x14ac:dyDescent="0.3">
      <c r="B43" s="4" t="s">
        <v>99</v>
      </c>
      <c r="C43" s="5">
        <v>50000</v>
      </c>
      <c r="D43" s="5">
        <v>47000</v>
      </c>
      <c r="E43" s="5">
        <v>44000</v>
      </c>
      <c r="F43" s="5">
        <v>42000</v>
      </c>
      <c r="G43" s="5">
        <v>40200</v>
      </c>
    </row>
    <row r="44" spans="2:7" ht="14" customHeight="1" x14ac:dyDescent="0.3">
      <c r="B44" s="4" t="s">
        <v>100</v>
      </c>
      <c r="C44" s="5">
        <f>'NWC Schedule'!D19</f>
        <v>6853.5315336164786</v>
      </c>
      <c r="D44" s="5">
        <f>'NWC Schedule'!E19</f>
        <v>7289.3259460084955</v>
      </c>
      <c r="E44" s="5">
        <f>'NWC Schedule'!F19</f>
        <v>6256.671436990553</v>
      </c>
      <c r="F44" s="5">
        <f>'NWC Schedule'!G19</f>
        <v>6413.0882229153649</v>
      </c>
      <c r="G44" s="5">
        <f>'NWC Schedule'!H19</f>
        <v>5258.7323427906376</v>
      </c>
    </row>
    <row r="45" spans="2:7" ht="14" customHeight="1" x14ac:dyDescent="0.3">
      <c r="B45" s="4" t="s">
        <v>101</v>
      </c>
      <c r="C45" s="20">
        <f>C41+C42-C43-C44</f>
        <v>20899.267730133477</v>
      </c>
      <c r="D45" s="20">
        <f>D41+D42-D43-D44</f>
        <v>26406.619302578998</v>
      </c>
      <c r="E45" s="20">
        <f>E41+E42-E43-E44</f>
        <v>33082.498499909736</v>
      </c>
      <c r="F45" s="20">
        <f>F41+F42-F43-F44</f>
        <v>37458.591158375348</v>
      </c>
      <c r="G45" s="20">
        <f>G41+G42-G43-G44</f>
        <v>42457.531197473931</v>
      </c>
    </row>
    <row r="46" spans="2:7" ht="14" customHeight="1" x14ac:dyDescent="0.3">
      <c r="B46" s="4" t="s">
        <v>102</v>
      </c>
      <c r="C46" s="21">
        <f>1/(1+C26)^(C19+0)</f>
        <v>0.89225126320277093</v>
      </c>
      <c r="D46" s="21">
        <f>1/(1+C26)^(C19+1)</f>
        <v>0.79611231668694038</v>
      </c>
      <c r="E46" s="21">
        <f>1/(1+C26)^(C19+2)</f>
        <v>0.71033222021520703</v>
      </c>
      <c r="F46" s="21">
        <f>1/(1+C26)^(C19+3)</f>
        <v>0.63379482078064719</v>
      </c>
      <c r="G46" s="21">
        <f>1/(1+C26)^(C19+4)</f>
        <v>0.56550422945290635</v>
      </c>
    </row>
    <row r="47" spans="2:7" ht="14" customHeight="1" x14ac:dyDescent="0.3">
      <c r="B47" s="4" t="s">
        <v>103</v>
      </c>
      <c r="C47" s="19">
        <f>C45*C46</f>
        <v>18647.398032224501</v>
      </c>
      <c r="D47" s="19">
        <f>D45*D46</f>
        <v>21022.634868846246</v>
      </c>
      <c r="E47" s="19">
        <f>E45*E46</f>
        <v>23499.56460970714</v>
      </c>
      <c r="F47" s="19">
        <f>F45*F46</f>
        <v>23741.06106991804</v>
      </c>
      <c r="G47" s="19">
        <f>G45*G46</f>
        <v>24009.913464300229</v>
      </c>
    </row>
    <row r="49" spans="2:7" ht="14" customHeight="1" x14ac:dyDescent="0.3">
      <c r="B49" s="22" t="s">
        <v>104</v>
      </c>
      <c r="C49" s="23"/>
      <c r="D49" s="23"/>
      <c r="E49" s="23"/>
      <c r="F49" s="23"/>
      <c r="G49" s="23"/>
    </row>
    <row r="50" spans="2:7" ht="14" customHeight="1" x14ac:dyDescent="0.3">
      <c r="B50" s="4" t="s">
        <v>105</v>
      </c>
      <c r="C50" s="5">
        <f>SUM(C47:G47)</f>
        <v>110920.57204499617</v>
      </c>
    </row>
    <row r="51" spans="2:7" ht="14" customHeight="1" x14ac:dyDescent="0.3">
      <c r="B51" s="4" t="s">
        <v>106</v>
      </c>
      <c r="C51" s="5">
        <f>G45*(1+C13)/(C26-C13)</f>
        <v>387160.53380620771</v>
      </c>
    </row>
    <row r="52" spans="2:7" ht="14" customHeight="1" x14ac:dyDescent="0.3">
      <c r="B52" s="4" t="s">
        <v>107</v>
      </c>
      <c r="C52" s="5">
        <f>C51*G46</f>
        <v>218940.91934465538</v>
      </c>
    </row>
    <row r="53" spans="2:7" ht="14" customHeight="1" x14ac:dyDescent="0.3">
      <c r="B53" s="4" t="s">
        <v>108</v>
      </c>
      <c r="C53" s="5">
        <f>C50+C52</f>
        <v>329861.49138965155</v>
      </c>
    </row>
    <row r="54" spans="2:7" ht="14" customHeight="1" x14ac:dyDescent="0.3">
      <c r="B54" s="4" t="s">
        <v>109</v>
      </c>
      <c r="C54" s="5">
        <f>C53-C16</f>
        <v>255193.49138965155</v>
      </c>
    </row>
    <row r="55" spans="2:7" ht="14" customHeight="1" x14ac:dyDescent="0.3">
      <c r="B55" s="4" t="s">
        <v>110</v>
      </c>
      <c r="C55" s="24">
        <f>ROUND(C54*1000000/C15,0)</f>
        <v>1298</v>
      </c>
    </row>
    <row r="57" spans="2:7" ht="14" customHeight="1" x14ac:dyDescent="0.3">
      <c r="B57" s="22" t="s">
        <v>111</v>
      </c>
      <c r="C57" s="23"/>
      <c r="D57" s="23"/>
      <c r="E57" s="23"/>
      <c r="F57" s="23"/>
      <c r="G57" s="23"/>
    </row>
    <row r="58" spans="2:7" ht="14" customHeight="1" x14ac:dyDescent="0.3">
      <c r="B58" s="4" t="s">
        <v>105</v>
      </c>
      <c r="C58" s="5">
        <f>C50</f>
        <v>110920.57204499617</v>
      </c>
    </row>
    <row r="59" spans="2:7" ht="14" customHeight="1" x14ac:dyDescent="0.3">
      <c r="B59" s="4" t="s">
        <v>112</v>
      </c>
      <c r="C59" s="5">
        <f>G39+G42</f>
        <v>104426.46237429589</v>
      </c>
    </row>
    <row r="60" spans="2:7" ht="14" customHeight="1" x14ac:dyDescent="0.3">
      <c r="B60" s="4" t="s">
        <v>113</v>
      </c>
      <c r="C60" s="5">
        <f>C59*C14</f>
        <v>1629052.813039016</v>
      </c>
    </row>
    <row r="61" spans="2:7" ht="14" customHeight="1" x14ac:dyDescent="0.3">
      <c r="B61" s="4" t="s">
        <v>107</v>
      </c>
      <c r="C61" s="5">
        <f>C60*G46</f>
        <v>921236.25577571825</v>
      </c>
    </row>
    <row r="62" spans="2:7" ht="14" customHeight="1" x14ac:dyDescent="0.3">
      <c r="B62" s="4" t="s">
        <v>108</v>
      </c>
      <c r="C62" s="5">
        <f>C58+C61</f>
        <v>1032156.8278207144</v>
      </c>
    </row>
    <row r="63" spans="2:7" ht="14" customHeight="1" x14ac:dyDescent="0.3">
      <c r="B63" s="4" t="s">
        <v>109</v>
      </c>
      <c r="C63" s="5">
        <f>C62-C16</f>
        <v>957488.82782071445</v>
      </c>
    </row>
    <row r="64" spans="2:7" ht="14" customHeight="1" x14ac:dyDescent="0.3">
      <c r="B64" s="4" t="s">
        <v>114</v>
      </c>
      <c r="C64" s="24">
        <f>ROUND(C63*1000000/C15,0)</f>
        <v>4870</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0.03</v>
      </c>
      <c r="D69" s="26">
        <v>0.03</v>
      </c>
      <c r="E69" s="26">
        <v>2.5000000000000001E-2</v>
      </c>
      <c r="F69" s="26">
        <v>2.5000000000000001E-2</v>
      </c>
      <c r="G69" s="26">
        <v>0.02</v>
      </c>
    </row>
    <row r="70" spans="2:7" ht="14" customHeight="1" x14ac:dyDescent="0.3">
      <c r="B70" s="4" t="s">
        <v>121</v>
      </c>
      <c r="C70" s="26">
        <v>0.05</v>
      </c>
      <c r="D70" s="26">
        <v>4.4999999999999998E-2</v>
      </c>
      <c r="E70" s="26">
        <v>0.04</v>
      </c>
      <c r="F70" s="26">
        <v>3.5000000000000003E-2</v>
      </c>
      <c r="G70" s="26">
        <v>0.03</v>
      </c>
    </row>
    <row r="71" spans="2:7" ht="14" customHeight="1" x14ac:dyDescent="0.3">
      <c r="B71" s="4" t="s">
        <v>122</v>
      </c>
      <c r="C71" s="26">
        <v>0.03</v>
      </c>
      <c r="D71" s="26">
        <v>0.03</v>
      </c>
      <c r="E71" s="26">
        <v>2.5000000000000001E-2</v>
      </c>
      <c r="F71" s="26">
        <v>2.5000000000000001E-2</v>
      </c>
      <c r="G71" s="26">
        <v>0.02</v>
      </c>
    </row>
    <row r="72" spans="2:7" ht="14" customHeight="1" x14ac:dyDescent="0.3">
      <c r="B72" s="4" t="s">
        <v>123</v>
      </c>
      <c r="C72" s="26">
        <v>0</v>
      </c>
      <c r="D72" s="26">
        <v>0.01</v>
      </c>
      <c r="E72" s="26">
        <v>1.4999999999999999E-2</v>
      </c>
      <c r="F72" s="26">
        <v>1.4999999999999999E-2</v>
      </c>
      <c r="G72" s="26">
        <v>1.4999999999999999E-2</v>
      </c>
    </row>
    <row r="73" spans="2:7" ht="14" customHeight="1" x14ac:dyDescent="0.3">
      <c r="B73" s="4" t="s">
        <v>124</v>
      </c>
      <c r="C73" s="26">
        <v>-0.08</v>
      </c>
      <c r="D73" s="26">
        <v>-0.01</v>
      </c>
      <c r="E73" s="26">
        <v>0.01</v>
      </c>
      <c r="F73" s="26">
        <v>1.4999999999999999E-2</v>
      </c>
      <c r="G73" s="26">
        <v>1.4999999999999999E-2</v>
      </c>
    </row>
    <row r="75" spans="2:7" ht="14" customHeight="1" x14ac:dyDescent="0.3">
      <c r="B75" s="3" t="s">
        <v>91</v>
      </c>
    </row>
    <row r="76" spans="2:7" ht="14" customHeight="1" x14ac:dyDescent="0.3">
      <c r="B76" s="4" t="s">
        <v>84</v>
      </c>
      <c r="C76" s="26">
        <v>0.54300000000000004</v>
      </c>
      <c r="D76" s="26">
        <v>0.54300000000000004</v>
      </c>
      <c r="E76" s="26">
        <v>0.54300000000000004</v>
      </c>
      <c r="F76" s="26">
        <v>0.54300000000000004</v>
      </c>
      <c r="G76" s="26">
        <v>0.54300000000000004</v>
      </c>
    </row>
    <row r="77" spans="2:7" ht="14" customHeight="1" x14ac:dyDescent="0.3">
      <c r="B77" s="4" t="s">
        <v>121</v>
      </c>
      <c r="C77" s="26">
        <v>0.53300000000000003</v>
      </c>
      <c r="D77" s="26">
        <v>0.53300000000000003</v>
      </c>
      <c r="E77" s="26">
        <v>0.53300000000000003</v>
      </c>
      <c r="F77" s="26">
        <v>0.53300000000000003</v>
      </c>
      <c r="G77" s="26">
        <v>0.53300000000000003</v>
      </c>
    </row>
    <row r="78" spans="2:7" ht="14" customHeight="1" x14ac:dyDescent="0.3">
      <c r="B78" s="4" t="s">
        <v>122</v>
      </c>
      <c r="C78" s="26">
        <v>0.54300000000000004</v>
      </c>
      <c r="D78" s="26">
        <v>0.54300000000000004</v>
      </c>
      <c r="E78" s="26">
        <v>0.54300000000000004</v>
      </c>
      <c r="F78" s="26">
        <v>0.54300000000000004</v>
      </c>
      <c r="G78" s="26">
        <v>0.54300000000000004</v>
      </c>
    </row>
    <row r="79" spans="2:7" ht="14" customHeight="1" x14ac:dyDescent="0.3">
      <c r="B79" s="4" t="s">
        <v>123</v>
      </c>
      <c r="C79" s="26">
        <v>0.55300000000000005</v>
      </c>
      <c r="D79" s="26">
        <v>0.55300000000000005</v>
      </c>
      <c r="E79" s="26">
        <v>0.55300000000000005</v>
      </c>
      <c r="F79" s="26">
        <v>0.55300000000000005</v>
      </c>
      <c r="G79" s="26">
        <v>0.55300000000000005</v>
      </c>
    </row>
    <row r="80" spans="2:7" ht="14" customHeight="1" x14ac:dyDescent="0.3">
      <c r="B80" s="4" t="s">
        <v>124</v>
      </c>
      <c r="C80" s="26">
        <v>0.56999999999999995</v>
      </c>
      <c r="D80" s="26">
        <v>0.56999999999999995</v>
      </c>
      <c r="E80" s="26">
        <v>0.56999999999999995</v>
      </c>
      <c r="F80" s="26">
        <v>0.56999999999999995</v>
      </c>
      <c r="G80" s="26">
        <v>0.56999999999999995</v>
      </c>
    </row>
    <row r="82" spans="2:7" ht="14" customHeight="1" x14ac:dyDescent="0.3">
      <c r="B82" s="3" t="s">
        <v>92</v>
      </c>
    </row>
    <row r="83" spans="2:7" ht="14" customHeight="1" x14ac:dyDescent="0.3">
      <c r="B83" s="4" t="s">
        <v>84</v>
      </c>
      <c r="C83" s="26">
        <v>0.38450000000000001</v>
      </c>
      <c r="D83" s="26">
        <v>0.38350000000000001</v>
      </c>
      <c r="E83" s="26">
        <v>0.38250000000000001</v>
      </c>
      <c r="F83" s="26">
        <v>0.38179999999999997</v>
      </c>
      <c r="G83" s="26">
        <v>0.38129999999999997</v>
      </c>
    </row>
    <row r="84" spans="2:7" ht="14" customHeight="1" x14ac:dyDescent="0.3">
      <c r="B84" s="4" t="s">
        <v>121</v>
      </c>
      <c r="C84" s="26">
        <v>0.38700000000000001</v>
      </c>
      <c r="D84" s="26">
        <v>0.38450000000000001</v>
      </c>
      <c r="E84" s="26">
        <v>0.38200000000000001</v>
      </c>
      <c r="F84" s="26">
        <v>0.3805</v>
      </c>
      <c r="G84" s="26">
        <v>0.37919999999999998</v>
      </c>
    </row>
    <row r="85" spans="2:7" ht="14" customHeight="1" x14ac:dyDescent="0.3">
      <c r="B85" s="4" t="s">
        <v>122</v>
      </c>
      <c r="C85" s="26">
        <v>0.38450000000000001</v>
      </c>
      <c r="D85" s="26">
        <v>0.38350000000000001</v>
      </c>
      <c r="E85" s="26">
        <v>0.38250000000000001</v>
      </c>
      <c r="F85" s="26">
        <v>0.38179999999999997</v>
      </c>
      <c r="G85" s="26">
        <v>0.38129999999999997</v>
      </c>
    </row>
    <row r="86" spans="2:7" ht="14" customHeight="1" x14ac:dyDescent="0.3">
      <c r="B86" s="4" t="s">
        <v>123</v>
      </c>
      <c r="C86" s="26">
        <v>0.378</v>
      </c>
      <c r="D86" s="26">
        <v>0.38</v>
      </c>
      <c r="E86" s="26">
        <v>0.38150000000000001</v>
      </c>
      <c r="F86" s="26">
        <v>0.38200000000000001</v>
      </c>
      <c r="G86" s="26">
        <v>0.38240000000000002</v>
      </c>
    </row>
    <row r="87" spans="2:7" ht="14" customHeight="1" x14ac:dyDescent="0.3">
      <c r="B87" s="4" t="s">
        <v>124</v>
      </c>
      <c r="C87" s="26">
        <v>0.38400000000000001</v>
      </c>
      <c r="D87" s="26">
        <v>0.38700000000000001</v>
      </c>
      <c r="E87" s="26">
        <v>0.38700000000000001</v>
      </c>
      <c r="F87" s="26">
        <v>0.38600000000000001</v>
      </c>
      <c r="G87" s="26">
        <v>0.38500000000000001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6217</v>
      </c>
    </row>
    <row r="7" spans="2:9" ht="14" customHeight="1" x14ac:dyDescent="0.3">
      <c r="B7" s="4" t="s">
        <v>72</v>
      </c>
      <c r="C7" s="15">
        <f>'DCF Model'!C15</f>
        <v>196629396</v>
      </c>
    </row>
    <row r="8" spans="2:9" ht="14" customHeight="1" x14ac:dyDescent="0.3">
      <c r="B8" s="4" t="s">
        <v>129</v>
      </c>
      <c r="C8" s="5">
        <f>C6*C7/1000000</f>
        <v>1222444.954932</v>
      </c>
    </row>
    <row r="9" spans="2:9" ht="14" customHeight="1" x14ac:dyDescent="0.3">
      <c r="B9" s="4" t="s">
        <v>73</v>
      </c>
      <c r="C9" s="5">
        <f>'DCF Model'!C16</f>
        <v>74668</v>
      </c>
    </row>
    <row r="10" spans="2:9" ht="14" customHeight="1" x14ac:dyDescent="0.3">
      <c r="B10" s="4" t="s">
        <v>130</v>
      </c>
      <c r="C10" s="5">
        <f>C8+C9</f>
        <v>1297112.954932</v>
      </c>
    </row>
    <row r="11" spans="2:9" ht="14" customHeight="1" x14ac:dyDescent="0.3">
      <c r="B11" s="4" t="s">
        <v>131</v>
      </c>
      <c r="C11" s="16">
        <f>'DCF Model'!C26</f>
        <v>0.12076053152389031</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55188</v>
      </c>
    </row>
    <row r="15" spans="2:9" ht="14" customHeight="1" x14ac:dyDescent="0.3">
      <c r="B15" s="4" t="s">
        <v>135</v>
      </c>
      <c r="C15" s="27">
        <v>98409</v>
      </c>
    </row>
    <row r="16" spans="2:9" ht="14" customHeight="1" x14ac:dyDescent="0.3">
      <c r="B16" s="4" t="s">
        <v>136</v>
      </c>
      <c r="C16" s="5">
        <f>'DCF Model'!G33</f>
        <v>872401.52359478618</v>
      </c>
    </row>
    <row r="17" spans="2:9" ht="14" customHeight="1" x14ac:dyDescent="0.3">
      <c r="B17" s="4" t="s">
        <v>137</v>
      </c>
      <c r="C17" s="5">
        <f>'DCF Model'!C53</f>
        <v>329861.49138965155</v>
      </c>
    </row>
    <row r="18" spans="2:9" ht="14" customHeight="1" x14ac:dyDescent="0.3">
      <c r="B18" s="4" t="s">
        <v>138</v>
      </c>
      <c r="C18" s="26">
        <v>0.1123285263251613</v>
      </c>
    </row>
    <row r="19" spans="2:9" ht="14" customHeight="1" x14ac:dyDescent="0.3">
      <c r="B19" s="4" t="s">
        <v>139</v>
      </c>
      <c r="C19" s="5">
        <f>C10-C17</f>
        <v>967251.46354234847</v>
      </c>
    </row>
    <row r="20" spans="2:9" ht="14" customHeight="1" x14ac:dyDescent="0.3">
      <c r="B20" s="4" t="s">
        <v>140</v>
      </c>
      <c r="C20" s="15">
        <f>IFERROR(ROUND(C19*1000000/C7,0),"N/A")</f>
        <v>4919</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143668.92033479232</v>
      </c>
    </row>
    <row r="25" spans="2:9" ht="14" customHeight="1" x14ac:dyDescent="0.3">
      <c r="B25" s="4" t="s">
        <v>144</v>
      </c>
      <c r="C25" s="5">
        <f>IFERROR(C24/(1-C13),"N/A")</f>
        <v>191558.56044638975</v>
      </c>
    </row>
    <row r="26" spans="2:9" ht="13.5" customHeight="1" x14ac:dyDescent="0.25">
      <c r="B26" s="6" t="s">
        <v>145</v>
      </c>
      <c r="C26" s="14">
        <f>IFERROR(C25/C15,"N/A")</f>
        <v>1.9465552992753685</v>
      </c>
    </row>
    <row r="27" spans="2:9" ht="13.5" customHeight="1" x14ac:dyDescent="0.25">
      <c r="B27" s="6" t="s">
        <v>146</v>
      </c>
      <c r="C27" s="14">
        <f>IFERROR(C25/C14,"N/A")</f>
        <v>3.4710183454082362</v>
      </c>
    </row>
    <row r="28" spans="2:9" ht="13.5" customHeight="1" x14ac:dyDescent="0.25">
      <c r="B28" s="6" t="s">
        <v>147</v>
      </c>
      <c r="C28" s="7">
        <f>IFERROR(C25/C16,"N/A")</f>
        <v>0.21957614156502211</v>
      </c>
    </row>
    <row r="29" spans="2:9" ht="13.5" customHeight="1" x14ac:dyDescent="0.25">
      <c r="B29" s="6" t="s">
        <v>148</v>
      </c>
      <c r="C29" s="5">
        <f>IFERROR(C25/C18,"N/A")</f>
        <v>1705342.0596997642</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0.10076053152389031</v>
      </c>
      <c r="E36" s="29">
        <f>'DCF Model'!C26-0.01</f>
        <v>0.11076053152389032</v>
      </c>
      <c r="F36" s="29">
        <f>'DCF Model'!C26</f>
        <v>0.12076053152389031</v>
      </c>
      <c r="G36" s="29">
        <f>'DCF Model'!C26+0.01</f>
        <v>0.13076053152389031</v>
      </c>
      <c r="H36" s="29">
        <f>'DCF Model'!C26+0.02</f>
        <v>0.14076053152389031</v>
      </c>
    </row>
    <row r="37" spans="2:9" ht="14" customHeight="1" x14ac:dyDescent="0.3">
      <c r="B37" s="3" t="s">
        <v>154</v>
      </c>
    </row>
    <row r="38" spans="2:9" ht="14" customHeight="1" x14ac:dyDescent="0.3">
      <c r="B38" s="4" t="s">
        <v>155</v>
      </c>
      <c r="C38" s="30">
        <v>3</v>
      </c>
      <c r="D38" s="13">
        <f t="shared" ref="D38:H41" si="0">IFERROR((1-(1+D$36)^(-$C38))/D$36-(1+D$36)/(D$36^2*$C38)*(1-($C38+1)/(1+D$36)^$C38+$C38/(1+D$36)^($C38+1)),"N/A")</f>
        <v>0.88074342590550936</v>
      </c>
      <c r="E38" s="13">
        <f t="shared" si="0"/>
        <v>0.8703598350802777</v>
      </c>
      <c r="F38" s="13">
        <f t="shared" si="0"/>
        <v>0.86020494769750067</v>
      </c>
      <c r="G38" s="13">
        <f t="shared" si="0"/>
        <v>0.8502715546031574</v>
      </c>
      <c r="H38" s="13">
        <f t="shared" si="0"/>
        <v>0.84055273910122241</v>
      </c>
    </row>
    <row r="39" spans="2:9" ht="14" customHeight="1" x14ac:dyDescent="0.3">
      <c r="B39" s="4" t="s">
        <v>156</v>
      </c>
      <c r="C39" s="30">
        <v>5</v>
      </c>
      <c r="D39" s="13">
        <f t="shared" si="0"/>
        <v>1.6580820410405575</v>
      </c>
      <c r="E39" s="13">
        <f t="shared" si="0"/>
        <v>1.6297960138087464</v>
      </c>
      <c r="F39" s="13">
        <f t="shared" si="0"/>
        <v>1.6023602528165959</v>
      </c>
      <c r="G39" s="13">
        <f t="shared" si="0"/>
        <v>1.575739731497787</v>
      </c>
      <c r="H39" s="13">
        <f t="shared" si="0"/>
        <v>1.5499012196715216</v>
      </c>
    </row>
    <row r="40" spans="2:9" ht="14" customHeight="1" x14ac:dyDescent="0.3">
      <c r="B40" s="4" t="s">
        <v>157</v>
      </c>
      <c r="C40" s="30">
        <v>7</v>
      </c>
      <c r="D40" s="13">
        <f t="shared" si="0"/>
        <v>2.3456306300170291</v>
      </c>
      <c r="E40" s="13">
        <f t="shared" si="0"/>
        <v>2.2941574898123371</v>
      </c>
      <c r="F40" s="13">
        <f t="shared" si="0"/>
        <v>2.2446232611194028</v>
      </c>
      <c r="G40" s="13">
        <f t="shared" si="0"/>
        <v>2.196930103957802</v>
      </c>
      <c r="H40" s="13">
        <f t="shared" si="0"/>
        <v>2.1509862077432831</v>
      </c>
    </row>
    <row r="41" spans="2:9" ht="14" customHeight="1" x14ac:dyDescent="0.3">
      <c r="B41" s="4" t="s">
        <v>158</v>
      </c>
      <c r="C41" s="30">
        <v>10</v>
      </c>
      <c r="D41" s="13">
        <f t="shared" si="0"/>
        <v>3.2337509796215076</v>
      </c>
      <c r="E41" s="13">
        <f t="shared" si="0"/>
        <v>3.1412655181949867</v>
      </c>
      <c r="F41" s="13">
        <f t="shared" si="0"/>
        <v>3.0532483016150396</v>
      </c>
      <c r="G41" s="13">
        <f t="shared" si="0"/>
        <v>2.9694150841831322</v>
      </c>
      <c r="H41" s="13">
        <f t="shared" si="0"/>
        <v>2.8895033452349601</v>
      </c>
    </row>
    <row r="42" spans="2:9" ht="14" customHeight="1" x14ac:dyDescent="0.3">
      <c r="B42" s="3" t="s">
        <v>159</v>
      </c>
    </row>
    <row r="43" spans="2:9" ht="14" customHeight="1" x14ac:dyDescent="0.3">
      <c r="B43" s="4" t="s">
        <v>155</v>
      </c>
      <c r="C43" s="30">
        <v>3</v>
      </c>
      <c r="D43" s="13">
        <f t="shared" ref="D43:H46" si="1">IFERROR((1+D$36)/(D$36^2*$C43)*(1-($C43+1)/(1+D$36)^$C43+$C43/(1+D$36)^($C43+1))+(1+$C$12)/((D$36-$C$12)*(1+D$36)^$C43),"N/A")</f>
        <v>9.9462350940831321</v>
      </c>
      <c r="E43" s="13">
        <f t="shared" si="1"/>
        <v>8.8843728035171328</v>
      </c>
      <c r="F43" s="13">
        <f t="shared" si="1"/>
        <v>8.0158481975426987</v>
      </c>
      <c r="G43" s="13">
        <f t="shared" si="1"/>
        <v>7.2925831215378736</v>
      </c>
      <c r="H43" s="13">
        <f t="shared" si="1"/>
        <v>6.6812085144479445</v>
      </c>
    </row>
    <row r="44" spans="2:9" ht="14" customHeight="1" x14ac:dyDescent="0.3">
      <c r="B44" s="4" t="s">
        <v>156</v>
      </c>
      <c r="C44" s="30">
        <v>5</v>
      </c>
      <c r="D44" s="13">
        <f t="shared" si="1"/>
        <v>9.0112413435782255</v>
      </c>
      <c r="E44" s="13">
        <f t="shared" si="1"/>
        <v>7.9873213136092094</v>
      </c>
      <c r="F44" s="13">
        <f t="shared" si="1"/>
        <v>7.1523385595666928</v>
      </c>
      <c r="G44" s="13">
        <f t="shared" si="1"/>
        <v>6.4591887008082702</v>
      </c>
      <c r="H44" s="13">
        <f t="shared" si="1"/>
        <v>5.8751851933271659</v>
      </c>
    </row>
    <row r="45" spans="2:9" ht="14" customHeight="1" x14ac:dyDescent="0.3">
      <c r="B45" s="4" t="s">
        <v>157</v>
      </c>
      <c r="C45" s="30">
        <v>7</v>
      </c>
      <c r="D45" s="13">
        <f t="shared" si="1"/>
        <v>8.1935792354624546</v>
      </c>
      <c r="E45" s="13">
        <f t="shared" si="1"/>
        <v>7.2114210608614222</v>
      </c>
      <c r="F45" s="13">
        <f t="shared" si="1"/>
        <v>6.4134638721931729</v>
      </c>
      <c r="G45" s="13">
        <f t="shared" si="1"/>
        <v>5.7535899066142342</v>
      </c>
      <c r="H45" s="13">
        <f t="shared" si="1"/>
        <v>5.1998112089646957</v>
      </c>
    </row>
    <row r="46" spans="2:9" ht="14" customHeight="1" x14ac:dyDescent="0.3">
      <c r="B46" s="4" t="s">
        <v>158</v>
      </c>
      <c r="C46" s="30">
        <v>10</v>
      </c>
      <c r="D46" s="13">
        <f t="shared" si="1"/>
        <v>7.1516382520859594</v>
      </c>
      <c r="E46" s="13">
        <f t="shared" si="1"/>
        <v>6.2353505988139268</v>
      </c>
      <c r="F46" s="13">
        <f t="shared" si="1"/>
        <v>5.4955657547125156</v>
      </c>
      <c r="G46" s="13">
        <f t="shared" si="1"/>
        <v>4.8876903582898148</v>
      </c>
      <c r="H46" s="13">
        <f t="shared" si="1"/>
        <v>4.3808311478444182</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168996.35448194758</v>
      </c>
      <c r="E48" s="5">
        <f t="shared" si="2"/>
        <v>189259.33867445015</v>
      </c>
      <c r="F48" s="5">
        <f t="shared" si="2"/>
        <v>209835.67899544718</v>
      </c>
      <c r="G48" s="5">
        <f t="shared" si="2"/>
        <v>230721.97125660916</v>
      </c>
      <c r="H48" s="5">
        <f t="shared" si="2"/>
        <v>251914.83123212866</v>
      </c>
    </row>
    <row r="49" spans="2:9" ht="14" customHeight="1" x14ac:dyDescent="0.3">
      <c r="B49" s="4" t="s">
        <v>156</v>
      </c>
      <c r="C49" s="30">
        <v>5</v>
      </c>
      <c r="D49" s="5">
        <f t="shared" si="2"/>
        <v>181770.48486174174</v>
      </c>
      <c r="E49" s="5">
        <f t="shared" si="2"/>
        <v>205267.66022367543</v>
      </c>
      <c r="F49" s="5">
        <f t="shared" si="2"/>
        <v>229442.84147202203</v>
      </c>
      <c r="G49" s="5">
        <f t="shared" si="2"/>
        <v>254292.31002368711</v>
      </c>
      <c r="H49" s="5">
        <f t="shared" si="2"/>
        <v>279812.11439347331</v>
      </c>
    </row>
    <row r="50" spans="2:9" ht="14" customHeight="1" x14ac:dyDescent="0.3">
      <c r="B50" s="4" t="s">
        <v>157</v>
      </c>
      <c r="C50" s="30">
        <v>7</v>
      </c>
      <c r="D50" s="5">
        <f t="shared" si="2"/>
        <v>195278.91666378031</v>
      </c>
      <c r="E50" s="5">
        <f t="shared" si="2"/>
        <v>222268.80982735223</v>
      </c>
      <c r="F50" s="5">
        <f t="shared" si="2"/>
        <v>250349.5308262516</v>
      </c>
      <c r="G50" s="5">
        <f t="shared" si="2"/>
        <v>279519.35877169552</v>
      </c>
      <c r="H50" s="5">
        <f t="shared" si="2"/>
        <v>309775.7299917643</v>
      </c>
    </row>
    <row r="51" spans="2:9" ht="14" customHeight="1" x14ac:dyDescent="0.3">
      <c r="B51" s="4" t="s">
        <v>158</v>
      </c>
      <c r="C51" s="30">
        <v>10</v>
      </c>
      <c r="D51" s="5">
        <f t="shared" si="2"/>
        <v>216876.13888937782</v>
      </c>
      <c r="E51" s="5">
        <f t="shared" si="2"/>
        <v>249564.76044621944</v>
      </c>
      <c r="F51" s="5">
        <f t="shared" si="2"/>
        <v>284043.78044266725</v>
      </c>
      <c r="G51" s="5">
        <f t="shared" si="2"/>
        <v>320316.49827982049</v>
      </c>
      <c r="H51" s="5">
        <f t="shared" si="2"/>
        <v>358383.59806792176</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1.7172855580480197</v>
      </c>
      <c r="E53" s="14">
        <f t="shared" si="3"/>
        <v>1.9231913613028295</v>
      </c>
      <c r="F53" s="14">
        <f t="shared" si="3"/>
        <v>2.1322813868187582</v>
      </c>
      <c r="G53" s="14">
        <f t="shared" si="3"/>
        <v>2.3445210423498781</v>
      </c>
      <c r="H53" s="14">
        <f t="shared" si="3"/>
        <v>2.5598759385028673</v>
      </c>
    </row>
    <row r="54" spans="2:9" ht="14" customHeight="1" x14ac:dyDescent="0.3">
      <c r="B54" s="4" t="s">
        <v>156</v>
      </c>
      <c r="C54" s="30">
        <v>5</v>
      </c>
      <c r="D54" s="14">
        <f t="shared" si="3"/>
        <v>1.8470920836685847</v>
      </c>
      <c r="E54" s="14">
        <f t="shared" si="3"/>
        <v>2.0858626774347409</v>
      </c>
      <c r="F54" s="14">
        <f t="shared" si="3"/>
        <v>2.3315229447715353</v>
      </c>
      <c r="G54" s="14">
        <f t="shared" si="3"/>
        <v>2.5840350986564959</v>
      </c>
      <c r="H54" s="14">
        <f t="shared" si="3"/>
        <v>2.8433589853923249</v>
      </c>
    </row>
    <row r="55" spans="2:9" ht="14" customHeight="1" x14ac:dyDescent="0.3">
      <c r="B55" s="4" t="s">
        <v>157</v>
      </c>
      <c r="C55" s="30">
        <v>7</v>
      </c>
      <c r="D55" s="14">
        <f t="shared" si="3"/>
        <v>1.9843603396414995</v>
      </c>
      <c r="E55" s="14">
        <f t="shared" si="3"/>
        <v>2.2586227868116966</v>
      </c>
      <c r="F55" s="14">
        <f t="shared" si="3"/>
        <v>2.5439698688763386</v>
      </c>
      <c r="G55" s="14">
        <f t="shared" si="3"/>
        <v>2.8403840987277134</v>
      </c>
      <c r="H55" s="14">
        <f t="shared" si="3"/>
        <v>3.1478394251721316</v>
      </c>
    </row>
    <row r="56" spans="2:9" ht="14" customHeight="1" x14ac:dyDescent="0.3">
      <c r="B56" s="4" t="s">
        <v>158</v>
      </c>
      <c r="C56" s="30">
        <v>10</v>
      </c>
      <c r="D56" s="14">
        <f t="shared" si="3"/>
        <v>2.2038242324317676</v>
      </c>
      <c r="E56" s="14">
        <f t="shared" si="3"/>
        <v>2.5359952895184326</v>
      </c>
      <c r="F56" s="14">
        <f t="shared" si="3"/>
        <v>2.886359788664322</v>
      </c>
      <c r="G56" s="14">
        <f t="shared" si="3"/>
        <v>3.2549512573018777</v>
      </c>
      <c r="H56" s="14">
        <f t="shared" si="3"/>
        <v>3.6417766471351376</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229442.84147202203</v>
      </c>
    </row>
    <row r="62" spans="2:9" ht="14" customHeight="1" x14ac:dyDescent="0.3">
      <c r="B62" s="28" t="s">
        <v>165</v>
      </c>
      <c r="C62" s="28" t="s">
        <v>166</v>
      </c>
      <c r="D62" s="28" t="s">
        <v>167</v>
      </c>
    </row>
    <row r="63" spans="2:9" ht="14" customHeight="1" x14ac:dyDescent="0.3">
      <c r="B63" s="31">
        <v>5.62E-2</v>
      </c>
      <c r="C63" s="5">
        <f>IFERROR($C$60/B63,"N/A")</f>
        <v>4082612.8375804634</v>
      </c>
      <c r="D63" s="14">
        <f>IFERROR(C63/'DCF Model'!C17,"N/A")</f>
        <v>5.3203981458035026</v>
      </c>
    </row>
    <row r="64" spans="2:9" ht="14" customHeight="1" x14ac:dyDescent="0.3">
      <c r="B64" s="31">
        <v>8.4199999999999997E-2</v>
      </c>
      <c r="C64" s="5">
        <f>IFERROR($C$60/B64,"N/A")</f>
        <v>2724974.3642757963</v>
      </c>
      <c r="D64" s="14">
        <f>IFERROR(C64/'DCF Model'!C17,"N/A")</f>
        <v>3.5511446056313165</v>
      </c>
    </row>
    <row r="65" spans="2:9" ht="14" customHeight="1" x14ac:dyDescent="0.3">
      <c r="B65" s="4" t="s">
        <v>168</v>
      </c>
      <c r="C65" s="5">
        <f>IFERROR($C$60/$C$18,"N/A")</f>
        <v>2042605.2845013372</v>
      </c>
      <c r="D65" s="14">
        <f>IFERROR(C65/'DCF Model'!C17,"N/A")</f>
        <v>2.6618917346837851</v>
      </c>
    </row>
    <row r="66" spans="2:9" ht="14" customHeight="1" x14ac:dyDescent="0.3">
      <c r="B66" s="31">
        <v>0.1404</v>
      </c>
      <c r="C66" s="5">
        <f>IFERROR($C$60/B66,"N/A")</f>
        <v>1634208.2725927494</v>
      </c>
      <c r="D66" s="14">
        <f>IFERROR(C66/'DCF Model'!C17,"N/A")</f>
        <v>2.1296750412689232</v>
      </c>
    </row>
    <row r="67" spans="2:9" ht="14" customHeight="1" x14ac:dyDescent="0.3">
      <c r="B67" s="31">
        <v>0.16850000000000001</v>
      </c>
      <c r="C67" s="5">
        <f>IFERROR($C$60/B67,"N/A")</f>
        <v>1361678.5844036916</v>
      </c>
      <c r="D67" s="14">
        <f>IFERROR(C67/'DCF Model'!C17,"N/A")</f>
        <v>1.7745185507071621</v>
      </c>
    </row>
    <row r="69" spans="2:9" ht="14" customHeight="1" x14ac:dyDescent="0.3">
      <c r="B69" s="8" t="s">
        <v>169</v>
      </c>
      <c r="C69" s="9"/>
      <c r="D69" s="9"/>
      <c r="E69" s="9"/>
      <c r="F69" s="9"/>
      <c r="G69" s="9"/>
      <c r="H69" s="9"/>
      <c r="I69" s="9"/>
    </row>
    <row r="70" spans="2:9" ht="13.5" customHeight="1" x14ac:dyDescent="0.25">
      <c r="B70" s="6" t="s">
        <v>170</v>
      </c>
      <c r="C70" s="14">
        <f>IFERROR(C10/'Comps Analysis'!G5,"N/A")</f>
        <v>14.579872703414788</v>
      </c>
    </row>
    <row r="71" spans="2:9" ht="13.5" customHeight="1" x14ac:dyDescent="0.25">
      <c r="B71" s="6" t="s">
        <v>171</v>
      </c>
      <c r="C71" s="14">
        <f>IFERROR(C10/'Comps Analysis'!F5,"N/A")</f>
        <v>1.6903776171947389</v>
      </c>
    </row>
    <row r="72" spans="2:9" ht="14" customHeight="1" x14ac:dyDescent="0.3">
      <c r="B72" s="4" t="s">
        <v>172</v>
      </c>
      <c r="C72" s="14">
        <f>IFERROR(C10/(C25+'DCF Model'!G42),"N/A")</f>
        <v>5.6409894221810593</v>
      </c>
    </row>
    <row r="73" spans="2:9" ht="14" customHeight="1" x14ac:dyDescent="0.3">
      <c r="B73" s="4" t="s">
        <v>173</v>
      </c>
      <c r="C73" s="14">
        <f>IFERROR(C10/(C60+'DCF Model'!G42),"N/A")</f>
        <v>4.8430727637892081</v>
      </c>
    </row>
    <row r="74" spans="2:9" ht="14" customHeight="1" x14ac:dyDescent="0.3">
      <c r="B74" s="4" t="s">
        <v>174</v>
      </c>
      <c r="C74" s="14">
        <f>IFERROR('Comps Analysis'!D16,"N/A")</f>
        <v>15.552094158010673</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6,217 yen the market is paying for a steady-state operating profit of 229,443 mn JPY - 2.33x the FY2023 cycle peak of 98,409 mn - reached in 5 years and sustained for ever, against 55,188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191,559 mn, or 1.95x the peak. The base case supports an EV of only 329,861 mn, leaving 4,919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80.19001734538692</v>
      </c>
      <c r="D5" s="34">
        <f>CHOOSE('DCF Model'!$D$27,D25,D26,D27,D28,D29)</f>
        <v>78</v>
      </c>
      <c r="E5" s="34">
        <f>CHOOSE('DCF Model'!$D$27,E25,E26,E27,E28,E29)</f>
        <v>78</v>
      </c>
      <c r="F5" s="34">
        <f>CHOOSE('DCF Model'!$D$27,F25,F26,F27,F28,F29)</f>
        <v>78</v>
      </c>
      <c r="G5" s="34">
        <f>CHOOSE('DCF Model'!$D$27,G25,G26,G27,G28,G29)</f>
        <v>78</v>
      </c>
      <c r="H5" s="34">
        <f>CHOOSE('DCF Model'!$D$27,H25,H26,H27,H28,H29)</f>
        <v>78</v>
      </c>
    </row>
    <row r="6" spans="2:8" ht="14" customHeight="1" x14ac:dyDescent="0.3">
      <c r="B6" s="33" t="s">
        <v>181</v>
      </c>
      <c r="C6" s="34">
        <f>C13/C10*365</f>
        <v>135.19508826708298</v>
      </c>
      <c r="D6" s="34">
        <f>CHOOSE('DCF Model'!$D$27,D32,D33,D34,D35,D36)</f>
        <v>134</v>
      </c>
      <c r="E6" s="34">
        <f>CHOOSE('DCF Model'!$D$27,E32,E33,E34,E35,E36)</f>
        <v>134</v>
      </c>
      <c r="F6" s="34">
        <f>CHOOSE('DCF Model'!$D$27,F32,F33,F34,F35,F36)</f>
        <v>134</v>
      </c>
      <c r="G6" s="34">
        <f>CHOOSE('DCF Model'!$D$27,G32,G33,G34,G35,G36)</f>
        <v>134</v>
      </c>
      <c r="H6" s="34">
        <f>CHOOSE('DCF Model'!$D$27,H32,H33,H34,H35,H36)</f>
        <v>134</v>
      </c>
    </row>
    <row r="7" spans="2:8" ht="14" customHeight="1" x14ac:dyDescent="0.3">
      <c r="B7" s="33" t="s">
        <v>182</v>
      </c>
      <c r="C7" s="34">
        <f>C15/C10*365</f>
        <v>75.986801969496824</v>
      </c>
      <c r="D7" s="34">
        <f>CHOOSE('DCF Model'!$D$27,D39,D40,D41,D42,D43)</f>
        <v>71</v>
      </c>
      <c r="E7" s="34">
        <f>CHOOSE('DCF Model'!$D$27,E39,E40,E41,E42,E43)</f>
        <v>71</v>
      </c>
      <c r="F7" s="34">
        <f>CHOOSE('DCF Model'!$D$27,F39,F40,F41,F42,F43)</f>
        <v>71</v>
      </c>
      <c r="G7" s="34">
        <f>CHOOSE('DCF Model'!$D$27,G39,G40,G41,G42,G43)</f>
        <v>71</v>
      </c>
      <c r="H7" s="34">
        <f>CHOOSE('DCF Model'!$D$27,H39,H40,H41,H42,H43)</f>
        <v>71</v>
      </c>
    </row>
    <row r="8" spans="2:8" ht="14" customHeight="1" x14ac:dyDescent="0.3">
      <c r="B8" s="8" t="s">
        <v>183</v>
      </c>
      <c r="C8" s="9"/>
      <c r="D8" s="9"/>
      <c r="E8" s="9"/>
      <c r="F8" s="9"/>
      <c r="G8" s="9"/>
      <c r="H8" s="9"/>
    </row>
    <row r="9" spans="2:8" ht="14" customHeight="1" x14ac:dyDescent="0.3">
      <c r="B9" s="33" t="s">
        <v>37</v>
      </c>
      <c r="C9" s="35">
        <v>767351</v>
      </c>
      <c r="D9" s="35">
        <f>'DCF Model'!C33</f>
        <v>790371.53</v>
      </c>
      <c r="E9" s="35">
        <f>'DCF Model'!D33</f>
        <v>814082.67590000003</v>
      </c>
      <c r="F9" s="35">
        <f>'DCF Model'!E33</f>
        <v>834434.74279749999</v>
      </c>
      <c r="G9" s="35">
        <f>'DCF Model'!F33</f>
        <v>855295.61136743741</v>
      </c>
      <c r="H9" s="35">
        <f>'DCF Model'!G33</f>
        <v>872401.52359478618</v>
      </c>
    </row>
    <row r="10" spans="2:8" ht="14" customHeight="1" x14ac:dyDescent="0.3">
      <c r="B10" s="33" t="s">
        <v>38</v>
      </c>
      <c r="C10" s="35">
        <v>416350</v>
      </c>
      <c r="D10" s="35">
        <f>'DCF Model'!C34</f>
        <v>429171.74079000007</v>
      </c>
      <c r="E10" s="35">
        <f>'DCF Model'!D34</f>
        <v>442046.89301370003</v>
      </c>
      <c r="F10" s="35">
        <f>'DCF Model'!E34</f>
        <v>453098.06533904251</v>
      </c>
      <c r="G10" s="35">
        <f>'DCF Model'!F34</f>
        <v>464425.51697251853</v>
      </c>
      <c r="H10" s="35">
        <f>'DCF Model'!G34</f>
        <v>473714.02731196891</v>
      </c>
    </row>
    <row r="11" spans="2:8" ht="14" customHeight="1" x14ac:dyDescent="0.3">
      <c r="B11" s="8" t="s">
        <v>184</v>
      </c>
      <c r="C11" s="9"/>
      <c r="D11" s="9"/>
      <c r="E11" s="9"/>
      <c r="F11" s="9"/>
      <c r="G11" s="9"/>
      <c r="H11" s="9"/>
    </row>
    <row r="12" spans="2:8" ht="14" customHeight="1" x14ac:dyDescent="0.3">
      <c r="B12" s="33" t="s">
        <v>185</v>
      </c>
      <c r="C12" s="35">
        <v>168586</v>
      </c>
      <c r="D12" s="35">
        <f t="shared" ref="D12:H13" si="0">D9*D5/365</f>
        <v>168901.31326027398</v>
      </c>
      <c r="E12" s="35">
        <f t="shared" si="0"/>
        <v>173968.35265808221</v>
      </c>
      <c r="F12" s="35">
        <f t="shared" si="0"/>
        <v>178317.56147453425</v>
      </c>
      <c r="G12" s="35">
        <f t="shared" si="0"/>
        <v>182775.50051139758</v>
      </c>
      <c r="H12" s="35">
        <f t="shared" si="0"/>
        <v>186431.01052162555</v>
      </c>
    </row>
    <row r="13" spans="2:8" ht="14" customHeight="1" x14ac:dyDescent="0.3">
      <c r="B13" s="33" t="s">
        <v>186</v>
      </c>
      <c r="C13" s="35">
        <v>154215</v>
      </c>
      <c r="D13" s="35">
        <f t="shared" si="0"/>
        <v>157558.94045441097</v>
      </c>
      <c r="E13" s="35">
        <f t="shared" si="0"/>
        <v>162285.70866804328</v>
      </c>
      <c r="F13" s="35">
        <f t="shared" si="0"/>
        <v>166342.85138474437</v>
      </c>
      <c r="G13" s="35">
        <f t="shared" si="0"/>
        <v>170501.42266936295</v>
      </c>
      <c r="H13" s="35">
        <f t="shared" si="0"/>
        <v>173911.45112275021</v>
      </c>
    </row>
    <row r="14" spans="2:8" ht="14" customHeight="1" x14ac:dyDescent="0.3">
      <c r="B14" s="33" t="s">
        <v>187</v>
      </c>
      <c r="C14" s="35">
        <f t="shared" ref="C14:H14" si="1">C12+C13</f>
        <v>322801</v>
      </c>
      <c r="D14" s="35">
        <f t="shared" si="1"/>
        <v>326460.25371468498</v>
      </c>
      <c r="E14" s="35">
        <f t="shared" si="1"/>
        <v>336254.06132612552</v>
      </c>
      <c r="F14" s="35">
        <f t="shared" si="1"/>
        <v>344660.41285927861</v>
      </c>
      <c r="G14" s="35">
        <f t="shared" si="1"/>
        <v>353276.92318076052</v>
      </c>
      <c r="H14" s="35">
        <f t="shared" si="1"/>
        <v>360342.46164437575</v>
      </c>
    </row>
    <row r="15" spans="2:8" ht="14" customHeight="1" x14ac:dyDescent="0.3">
      <c r="B15" s="33" t="s">
        <v>188</v>
      </c>
      <c r="C15" s="35">
        <v>86677</v>
      </c>
      <c r="D15" s="35">
        <f>D10*D7/365</f>
        <v>83482.722181068501</v>
      </c>
      <c r="E15" s="35">
        <f>E10*E7/365</f>
        <v>85987.203846500546</v>
      </c>
      <c r="F15" s="35">
        <f>F10*F7/365</f>
        <v>88136.883942663073</v>
      </c>
      <c r="G15" s="35">
        <f>G10*G7/365</f>
        <v>90340.306041229633</v>
      </c>
      <c r="H15" s="35">
        <f>H10*H7/365</f>
        <v>92147.112162054211</v>
      </c>
    </row>
    <row r="16" spans="2:8" ht="14" customHeight="1" x14ac:dyDescent="0.3">
      <c r="B16" s="33" t="s">
        <v>189</v>
      </c>
      <c r="C16" s="35">
        <f t="shared" ref="C16:H16" si="2">C15</f>
        <v>86677</v>
      </c>
      <c r="D16" s="35">
        <f t="shared" si="2"/>
        <v>83482.722181068501</v>
      </c>
      <c r="E16" s="35">
        <f t="shared" si="2"/>
        <v>85987.203846500546</v>
      </c>
      <c r="F16" s="35">
        <f t="shared" si="2"/>
        <v>88136.883942663073</v>
      </c>
      <c r="G16" s="35">
        <f t="shared" si="2"/>
        <v>90340.306041229633</v>
      </c>
      <c r="H16" s="35">
        <f t="shared" si="2"/>
        <v>92147.112162054211</v>
      </c>
    </row>
    <row r="17" spans="2:8" ht="14" customHeight="1" x14ac:dyDescent="0.3">
      <c r="B17" s="22" t="s">
        <v>190</v>
      </c>
      <c r="C17" s="23"/>
      <c r="D17" s="23"/>
      <c r="E17" s="23"/>
      <c r="F17" s="23"/>
      <c r="G17" s="23"/>
      <c r="H17" s="23"/>
    </row>
    <row r="18" spans="2:8" ht="14" customHeight="1" x14ac:dyDescent="0.3">
      <c r="B18" s="33" t="s">
        <v>191</v>
      </c>
      <c r="C18" s="20">
        <f t="shared" ref="C18:H18" si="3">C14-C16</f>
        <v>236124</v>
      </c>
      <c r="D18" s="20">
        <f t="shared" si="3"/>
        <v>242977.53153361648</v>
      </c>
      <c r="E18" s="20">
        <f t="shared" si="3"/>
        <v>250266.85747962497</v>
      </c>
      <c r="F18" s="20">
        <f t="shared" si="3"/>
        <v>256523.52891661553</v>
      </c>
      <c r="G18" s="20">
        <f t="shared" si="3"/>
        <v>262936.61713953089</v>
      </c>
      <c r="H18" s="20">
        <f t="shared" si="3"/>
        <v>268195.34948232153</v>
      </c>
    </row>
    <row r="19" spans="2:8" ht="14" customHeight="1" x14ac:dyDescent="0.3">
      <c r="B19" s="33" t="s">
        <v>100</v>
      </c>
      <c r="C19" s="36" t="s">
        <v>47</v>
      </c>
      <c r="D19" s="24">
        <f>D18-C18</f>
        <v>6853.5315336164786</v>
      </c>
      <c r="E19" s="24">
        <f>E18-D18</f>
        <v>7289.3259460084955</v>
      </c>
      <c r="F19" s="24">
        <f>F18-E18</f>
        <v>6256.671436990553</v>
      </c>
      <c r="G19" s="24">
        <f>G18-F18</f>
        <v>6413.0882229153649</v>
      </c>
      <c r="H19" s="24">
        <f>H18-G18</f>
        <v>5258.7323427906376</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78</v>
      </c>
      <c r="E25" s="30">
        <v>78</v>
      </c>
      <c r="F25" s="30">
        <v>78</v>
      </c>
      <c r="G25" s="30">
        <v>78</v>
      </c>
      <c r="H25" s="30">
        <v>78</v>
      </c>
    </row>
    <row r="26" spans="2:8" ht="14" customHeight="1" x14ac:dyDescent="0.3">
      <c r="B26" s="4" t="s">
        <v>121</v>
      </c>
      <c r="D26" s="30">
        <v>75</v>
      </c>
      <c r="E26" s="30">
        <v>75</v>
      </c>
      <c r="F26" s="30">
        <v>75</v>
      </c>
      <c r="G26" s="30">
        <v>75</v>
      </c>
      <c r="H26" s="30">
        <v>75</v>
      </c>
    </row>
    <row r="27" spans="2:8" ht="14" customHeight="1" x14ac:dyDescent="0.3">
      <c r="B27" s="4" t="s">
        <v>122</v>
      </c>
      <c r="D27" s="30">
        <v>78</v>
      </c>
      <c r="E27" s="30">
        <v>78</v>
      </c>
      <c r="F27" s="30">
        <v>78</v>
      </c>
      <c r="G27" s="30">
        <v>78</v>
      </c>
      <c r="H27" s="30">
        <v>78</v>
      </c>
    </row>
    <row r="28" spans="2:8" ht="14" customHeight="1" x14ac:dyDescent="0.3">
      <c r="B28" s="4" t="s">
        <v>123</v>
      </c>
      <c r="D28" s="30">
        <v>82</v>
      </c>
      <c r="E28" s="30">
        <v>82</v>
      </c>
      <c r="F28" s="30">
        <v>82</v>
      </c>
      <c r="G28" s="30">
        <v>82</v>
      </c>
      <c r="H28" s="30">
        <v>82</v>
      </c>
    </row>
    <row r="29" spans="2:8" ht="14" customHeight="1" x14ac:dyDescent="0.3">
      <c r="B29" s="4" t="s">
        <v>124</v>
      </c>
      <c r="D29" s="30">
        <v>88</v>
      </c>
      <c r="E29" s="30">
        <v>88</v>
      </c>
      <c r="F29" s="30">
        <v>88</v>
      </c>
      <c r="G29" s="30">
        <v>88</v>
      </c>
      <c r="H29" s="30">
        <v>88</v>
      </c>
    </row>
    <row r="31" spans="2:8" ht="14" customHeight="1" x14ac:dyDescent="0.3">
      <c r="B31" s="3" t="s">
        <v>194</v>
      </c>
    </row>
    <row r="32" spans="2:8" ht="14" customHeight="1" x14ac:dyDescent="0.3">
      <c r="B32" s="4" t="s">
        <v>84</v>
      </c>
      <c r="D32" s="30">
        <v>134</v>
      </c>
      <c r="E32" s="30">
        <v>134</v>
      </c>
      <c r="F32" s="30">
        <v>134</v>
      </c>
      <c r="G32" s="30">
        <v>134</v>
      </c>
      <c r="H32" s="30">
        <v>134</v>
      </c>
    </row>
    <row r="33" spans="2:8" ht="14" customHeight="1" x14ac:dyDescent="0.3">
      <c r="B33" s="4" t="s">
        <v>121</v>
      </c>
      <c r="D33" s="30">
        <v>128</v>
      </c>
      <c r="E33" s="30">
        <v>128</v>
      </c>
      <c r="F33" s="30">
        <v>128</v>
      </c>
      <c r="G33" s="30">
        <v>128</v>
      </c>
      <c r="H33" s="30">
        <v>128</v>
      </c>
    </row>
    <row r="34" spans="2:8" ht="14" customHeight="1" x14ac:dyDescent="0.3">
      <c r="B34" s="4" t="s">
        <v>122</v>
      </c>
      <c r="D34" s="30">
        <v>134</v>
      </c>
      <c r="E34" s="30">
        <v>134</v>
      </c>
      <c r="F34" s="30">
        <v>134</v>
      </c>
      <c r="G34" s="30">
        <v>134</v>
      </c>
      <c r="H34" s="30">
        <v>134</v>
      </c>
    </row>
    <row r="35" spans="2:8" ht="14" customHeight="1" x14ac:dyDescent="0.3">
      <c r="B35" s="4" t="s">
        <v>123</v>
      </c>
      <c r="D35" s="30">
        <v>140</v>
      </c>
      <c r="E35" s="30">
        <v>140</v>
      </c>
      <c r="F35" s="30">
        <v>140</v>
      </c>
      <c r="G35" s="30">
        <v>140</v>
      </c>
      <c r="H35" s="30">
        <v>140</v>
      </c>
    </row>
    <row r="36" spans="2:8" ht="14" customHeight="1" x14ac:dyDescent="0.3">
      <c r="B36" s="4" t="s">
        <v>124</v>
      </c>
      <c r="D36" s="30">
        <v>150</v>
      </c>
      <c r="E36" s="30">
        <v>150</v>
      </c>
      <c r="F36" s="30">
        <v>150</v>
      </c>
      <c r="G36" s="30">
        <v>150</v>
      </c>
      <c r="H36" s="30">
        <v>150</v>
      </c>
    </row>
    <row r="38" spans="2:8" ht="14" customHeight="1" x14ac:dyDescent="0.3">
      <c r="B38" s="3" t="s">
        <v>195</v>
      </c>
    </row>
    <row r="39" spans="2:8" ht="14" customHeight="1" x14ac:dyDescent="0.3">
      <c r="B39" s="4" t="s">
        <v>84</v>
      </c>
      <c r="D39" s="30">
        <v>71</v>
      </c>
      <c r="E39" s="30">
        <v>71</v>
      </c>
      <c r="F39" s="30">
        <v>71</v>
      </c>
      <c r="G39" s="30">
        <v>71</v>
      </c>
      <c r="H39" s="30">
        <v>71</v>
      </c>
    </row>
    <row r="40" spans="2:8" ht="14" customHeight="1" x14ac:dyDescent="0.3">
      <c r="B40" s="4" t="s">
        <v>121</v>
      </c>
      <c r="D40" s="30">
        <v>73</v>
      </c>
      <c r="E40" s="30">
        <v>73</v>
      </c>
      <c r="F40" s="30">
        <v>73</v>
      </c>
      <c r="G40" s="30">
        <v>73</v>
      </c>
      <c r="H40" s="30">
        <v>73</v>
      </c>
    </row>
    <row r="41" spans="2:8" ht="14" customHeight="1" x14ac:dyDescent="0.3">
      <c r="B41" s="4" t="s">
        <v>122</v>
      </c>
      <c r="D41" s="30">
        <v>71</v>
      </c>
      <c r="E41" s="30">
        <v>71</v>
      </c>
      <c r="F41" s="30">
        <v>71</v>
      </c>
      <c r="G41" s="30">
        <v>71</v>
      </c>
      <c r="H41" s="30">
        <v>71</v>
      </c>
    </row>
    <row r="42" spans="2:8" ht="14" customHeight="1" x14ac:dyDescent="0.3">
      <c r="B42" s="4" t="s">
        <v>123</v>
      </c>
      <c r="D42" s="30">
        <v>68</v>
      </c>
      <c r="E42" s="30">
        <v>68</v>
      </c>
      <c r="F42" s="30">
        <v>68</v>
      </c>
      <c r="G42" s="30">
        <v>68</v>
      </c>
      <c r="H42" s="30">
        <v>68</v>
      </c>
    </row>
    <row r="43" spans="2:8" ht="14" customHeight="1" x14ac:dyDescent="0.3">
      <c r="B43" s="4" t="s">
        <v>124</v>
      </c>
      <c r="D43" s="30">
        <v>64</v>
      </c>
      <c r="E43" s="30">
        <v>64</v>
      </c>
      <c r="F43" s="30">
        <v>64</v>
      </c>
      <c r="G43" s="30">
        <v>64</v>
      </c>
      <c r="H43" s="30">
        <v>64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1222444.954932</v>
      </c>
      <c r="E5" s="37">
        <f>D5+C24</f>
        <v>1297112.954932</v>
      </c>
      <c r="F5" s="37">
        <v>767351</v>
      </c>
      <c r="G5" s="37">
        <v>88966</v>
      </c>
      <c r="H5" s="37">
        <v>55188</v>
      </c>
      <c r="I5" s="37">
        <v>28487</v>
      </c>
      <c r="J5" s="38">
        <f t="shared" ref="J5:J10" si="0">IFERROR(E5/G5,"")</f>
        <v>14.579872703414788</v>
      </c>
      <c r="K5" s="38">
        <f t="shared" ref="K5:K10" si="1">IFERROR(E5/F5,"")</f>
        <v>1.6903776171947389</v>
      </c>
      <c r="L5" s="38">
        <f t="shared" ref="L5:L10" si="2">IFERROR(D5/I5,"")</f>
        <v>42.912379504054485</v>
      </c>
      <c r="M5" s="38">
        <f t="shared" ref="M5:M10" si="3">IFERROR(D5/P5,"")</f>
        <v>1.4624559059344289</v>
      </c>
      <c r="N5" s="39">
        <f t="shared" ref="N5:N10" si="4">IFERROR(H5/F5,"")</f>
        <v>7.1920151273667465E-2</v>
      </c>
      <c r="O5" s="39">
        <f t="shared" ref="O5:O10" si="5">IFERROR(I5/P5,"")</f>
        <v>3.4080046896403211E-2</v>
      </c>
      <c r="P5" s="37">
        <v>835885</v>
      </c>
    </row>
    <row r="6" spans="2:17" ht="14" customHeight="1" x14ac:dyDescent="0.3">
      <c r="B6" s="4" t="s">
        <v>214</v>
      </c>
      <c r="C6" t="s">
        <v>215</v>
      </c>
      <c r="D6" s="37">
        <v>1185311</v>
      </c>
      <c r="E6" s="37">
        <v>1248939</v>
      </c>
      <c r="F6" s="37">
        <v>542122</v>
      </c>
      <c r="G6" s="37">
        <v>68402</v>
      </c>
      <c r="H6" s="37">
        <v>47308</v>
      </c>
      <c r="I6" s="37">
        <v>35240</v>
      </c>
      <c r="J6" s="38">
        <f t="shared" si="0"/>
        <v>18.258808221981813</v>
      </c>
      <c r="K6" s="38">
        <f t="shared" si="1"/>
        <v>2.3037969313180429</v>
      </c>
      <c r="L6" s="38">
        <f t="shared" si="2"/>
        <v>33.635385925085131</v>
      </c>
      <c r="M6" s="38">
        <f t="shared" si="3"/>
        <v>2.4513092968139274</v>
      </c>
      <c r="N6" s="39">
        <f t="shared" si="4"/>
        <v>8.7264490280785506E-2</v>
      </c>
      <c r="O6" s="39">
        <f t="shared" si="5"/>
        <v>7.2878881255402844E-2</v>
      </c>
      <c r="P6" s="37">
        <v>483542</v>
      </c>
    </row>
    <row r="7" spans="2:17" ht="14" customHeight="1" x14ac:dyDescent="0.3">
      <c r="B7" s="4" t="s">
        <v>216</v>
      </c>
      <c r="C7" t="s">
        <v>217</v>
      </c>
      <c r="D7" s="37">
        <v>5511090</v>
      </c>
      <c r="E7" s="37">
        <v>4793019</v>
      </c>
      <c r="F7" s="37">
        <v>857831</v>
      </c>
      <c r="G7" s="37">
        <v>231545</v>
      </c>
      <c r="H7" s="37">
        <v>183763</v>
      </c>
      <c r="I7" s="37">
        <v>166543</v>
      </c>
      <c r="J7" s="38">
        <f t="shared" si="0"/>
        <v>20.700161955559395</v>
      </c>
      <c r="K7" s="38">
        <f t="shared" si="1"/>
        <v>5.5873697733003356</v>
      </c>
      <c r="L7" s="38">
        <f t="shared" si="2"/>
        <v>33.091093591444853</v>
      </c>
      <c r="M7" s="38">
        <f t="shared" si="3"/>
        <v>2.9552124516923692</v>
      </c>
      <c r="N7" s="39">
        <f t="shared" si="4"/>
        <v>0.21421818516700841</v>
      </c>
      <c r="O7" s="39">
        <f t="shared" si="5"/>
        <v>8.9305372864932744E-2</v>
      </c>
      <c r="P7" s="37">
        <v>1864871</v>
      </c>
    </row>
    <row r="8" spans="2:17" ht="14" customHeight="1" x14ac:dyDescent="0.3">
      <c r="B8" s="4" t="s">
        <v>218</v>
      </c>
      <c r="C8" t="s">
        <v>219</v>
      </c>
      <c r="D8" s="37">
        <v>4194759</v>
      </c>
      <c r="E8" s="37">
        <v>3535981</v>
      </c>
      <c r="F8" s="37">
        <v>842541</v>
      </c>
      <c r="G8" s="37">
        <v>235405</v>
      </c>
      <c r="H8" s="37">
        <v>190559</v>
      </c>
      <c r="I8" s="37">
        <v>167304</v>
      </c>
      <c r="J8" s="38">
        <f t="shared" si="0"/>
        <v>15.020840678830101</v>
      </c>
      <c r="K8" s="38">
        <f t="shared" si="1"/>
        <v>4.1968058527715568</v>
      </c>
      <c r="L8" s="38">
        <f t="shared" si="2"/>
        <v>25.07267608664467</v>
      </c>
      <c r="M8" s="38">
        <f t="shared" si="3"/>
        <v>1.9832531948995078</v>
      </c>
      <c r="N8" s="39">
        <f t="shared" si="4"/>
        <v>0.22617178273816943</v>
      </c>
      <c r="O8" s="39">
        <f t="shared" si="5"/>
        <v>7.9100180134178688E-2</v>
      </c>
      <c r="P8" s="37">
        <v>2115090</v>
      </c>
    </row>
    <row r="9" spans="2:17" ht="14" customHeight="1" x14ac:dyDescent="0.3">
      <c r="B9" s="4" t="s">
        <v>220</v>
      </c>
      <c r="C9" t="s">
        <v>221</v>
      </c>
      <c r="D9" s="37">
        <v>10739696</v>
      </c>
      <c r="E9" s="37">
        <v>10371365</v>
      </c>
      <c r="F9" s="37">
        <v>5894747</v>
      </c>
      <c r="G9" s="37">
        <v>666879</v>
      </c>
      <c r="H9" s="37">
        <v>433095</v>
      </c>
      <c r="I9" s="37">
        <v>407758</v>
      </c>
      <c r="J9" s="38">
        <f t="shared" si="0"/>
        <v>15.552094158010673</v>
      </c>
      <c r="K9" s="38">
        <f t="shared" si="1"/>
        <v>1.7594249592052043</v>
      </c>
      <c r="L9" s="38">
        <f t="shared" si="2"/>
        <v>26.338406603917029</v>
      </c>
      <c r="M9" s="38">
        <f t="shared" si="3"/>
        <v>2.3949730011555959</v>
      </c>
      <c r="N9" s="39">
        <f t="shared" si="4"/>
        <v>7.3471346607411656E-2</v>
      </c>
      <c r="O9" s="39">
        <f t="shared" si="5"/>
        <v>9.0930823461409294E-2</v>
      </c>
      <c r="P9" s="37">
        <v>4484266</v>
      </c>
    </row>
    <row r="10" spans="2:17" ht="14" customHeight="1" x14ac:dyDescent="0.3">
      <c r="B10" s="4" t="s">
        <v>222</v>
      </c>
      <c r="C10" t="s">
        <v>223</v>
      </c>
      <c r="D10" s="37">
        <v>24068208</v>
      </c>
      <c r="E10" s="37">
        <v>23753765</v>
      </c>
      <c r="F10" s="37">
        <v>10586781</v>
      </c>
      <c r="G10" s="37">
        <v>1657248</v>
      </c>
      <c r="H10" s="37">
        <v>1199275</v>
      </c>
      <c r="I10" s="37">
        <v>802368</v>
      </c>
      <c r="J10" s="38">
        <f t="shared" si="0"/>
        <v>14.333259113904496</v>
      </c>
      <c r="K10" s="38">
        <f t="shared" si="1"/>
        <v>2.2437193137366305</v>
      </c>
      <c r="L10" s="38">
        <f t="shared" si="2"/>
        <v>29.996470447475474</v>
      </c>
      <c r="M10" s="38">
        <f t="shared" si="3"/>
        <v>3.6642594226968672</v>
      </c>
      <c r="N10" s="39">
        <f t="shared" si="4"/>
        <v>0.1132804201768224</v>
      </c>
      <c r="O10" s="39">
        <f t="shared" si="5"/>
        <v>0.12215635266532682</v>
      </c>
      <c r="P10" s="37">
        <v>6568369</v>
      </c>
    </row>
    <row r="14" spans="2:17" ht="14" customHeight="1" x14ac:dyDescent="0.3">
      <c r="B14" s="3" t="s">
        <v>224</v>
      </c>
    </row>
    <row r="15" spans="2:17" ht="14" customHeight="1" x14ac:dyDescent="0.3">
      <c r="B15" s="4" t="s">
        <v>225</v>
      </c>
      <c r="D15" s="38">
        <f t="shared" ref="D15:I15" si="6">PERCENTILE(J6:J10,0.25)</f>
        <v>15.020840678830101</v>
      </c>
      <c r="E15" s="38">
        <f t="shared" si="6"/>
        <v>2.2437193137366305</v>
      </c>
      <c r="F15" s="38">
        <f t="shared" si="6"/>
        <v>26.338406603917029</v>
      </c>
      <c r="G15" s="38">
        <f t="shared" si="6"/>
        <v>2.3949730011555959</v>
      </c>
      <c r="H15" s="39">
        <f t="shared" si="6"/>
        <v>8.7264490280785506E-2</v>
      </c>
      <c r="I15" s="39">
        <f t="shared" si="6"/>
        <v>7.9100180134178688E-2</v>
      </c>
    </row>
    <row r="16" spans="2:17" ht="14" customHeight="1" x14ac:dyDescent="0.3">
      <c r="B16" s="4" t="s">
        <v>226</v>
      </c>
      <c r="D16" s="38">
        <f t="shared" ref="D16:I16" si="7">MEDIAN(J6:J10)</f>
        <v>15.552094158010673</v>
      </c>
      <c r="E16" s="38">
        <f t="shared" si="7"/>
        <v>2.3037969313180429</v>
      </c>
      <c r="F16" s="38">
        <f t="shared" si="7"/>
        <v>29.996470447475474</v>
      </c>
      <c r="G16" s="38">
        <f t="shared" si="7"/>
        <v>2.4513092968139274</v>
      </c>
      <c r="H16" s="39">
        <f t="shared" si="7"/>
        <v>0.1132804201768224</v>
      </c>
      <c r="I16" s="39">
        <f t="shared" si="7"/>
        <v>8.9305372864932744E-2</v>
      </c>
    </row>
    <row r="17" spans="2:9" ht="14" customHeight="1" x14ac:dyDescent="0.3">
      <c r="B17" s="4" t="s">
        <v>227</v>
      </c>
      <c r="D17" s="38">
        <f t="shared" ref="D17:I17" si="8">PERCENTILE(J6:J10,0.75)</f>
        <v>18.258808221981813</v>
      </c>
      <c r="E17" s="38">
        <f t="shared" si="8"/>
        <v>4.1968058527715568</v>
      </c>
      <c r="F17" s="38">
        <f t="shared" si="8"/>
        <v>33.091093591444853</v>
      </c>
      <c r="G17" s="38">
        <f t="shared" si="8"/>
        <v>2.9552124516923692</v>
      </c>
      <c r="H17" s="39">
        <f t="shared" si="8"/>
        <v>0.21421818516700841</v>
      </c>
      <c r="I17" s="39">
        <f t="shared" si="8"/>
        <v>9.0930823461409294E-2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88966</v>
      </c>
    </row>
    <row r="22" spans="2:9" ht="14" customHeight="1" x14ac:dyDescent="0.3">
      <c r="B22" s="4" t="s">
        <v>231</v>
      </c>
      <c r="C22" s="5">
        <v>27242</v>
      </c>
    </row>
    <row r="23" spans="2:9" ht="14" customHeight="1" x14ac:dyDescent="0.3">
      <c r="B23" s="4" t="s">
        <v>232</v>
      </c>
      <c r="C23" s="15">
        <v>196629396</v>
      </c>
    </row>
    <row r="24" spans="2:9" ht="14" customHeight="1" x14ac:dyDescent="0.3">
      <c r="B24" s="4" t="s">
        <v>73</v>
      </c>
      <c r="C24" s="5">
        <v>74668</v>
      </c>
    </row>
    <row r="26" spans="2:9" ht="14" customHeight="1" x14ac:dyDescent="0.3">
      <c r="B26" s="3" t="s">
        <v>233</v>
      </c>
    </row>
    <row r="27" spans="2:9" ht="14" customHeight="1" x14ac:dyDescent="0.3">
      <c r="B27" s="4" t="s">
        <v>234</v>
      </c>
      <c r="C27" s="24">
        <f>ROUND((C21*D16-C24)*1000000/C23,0)</f>
        <v>6657</v>
      </c>
    </row>
    <row r="28" spans="2:9" ht="14" customHeight="1" x14ac:dyDescent="0.3">
      <c r="B28" s="4" t="s">
        <v>235</v>
      </c>
      <c r="C28" s="24">
        <f>ROUND(C22*F16*1000000/C23,0)</f>
        <v>4156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0.12076053152389031</v>
      </c>
      <c r="E3" s="4" t="s">
        <v>238</v>
      </c>
      <c r="F3" s="16">
        <f>'DCF Model'!C13</f>
        <v>0.01</v>
      </c>
      <c r="H3" s="4" t="s">
        <v>239</v>
      </c>
      <c r="I3" s="14">
        <f>'DCF Model'!C14</f>
        <v>15.6</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0.10576053152389031</v>
      </c>
      <c r="C7" s="37">
        <f>IFERROR(ROUND(('DCF Model'!C45/(1+$B7)^('DCF Model'!C19+0)+'DCF Model'!D45/(1+$B7)^('DCF Model'!C19+1)+'DCF Model'!E45/(1+$B7)^('DCF Model'!C19+2)+'DCF Model'!F45/(1+$B7)^('DCF Model'!C19+3)+'DCF Model'!G45/(1+$B7)^('DCF Model'!C19+4)+'DCF Model'!G45*(1+C$6)/($B7-C$6)/(1+$B7)^('DCF Model'!C19+4)-'DCF Model'!C16)*1000000/'DCF Model'!C15,0),"")</f>
        <v>1477</v>
      </c>
      <c r="D7" s="37">
        <f>IFERROR(ROUND(('DCF Model'!C45/(1+$B7)^('DCF Model'!C19+0)+'DCF Model'!D45/(1+$B7)^('DCF Model'!C19+1)+'DCF Model'!E45/(1+$B7)^('DCF Model'!C19+2)+'DCF Model'!F45/(1+$B7)^('DCF Model'!C19+3)+'DCF Model'!G45/(1+$B7)^('DCF Model'!C19+4)+'DCF Model'!G45*(1+D$6)/($B7-D$6)/(1+$B7)^('DCF Model'!C19+4)-'DCF Model'!C16)*1000000/'DCF Model'!C15,0),"")</f>
        <v>1511</v>
      </c>
      <c r="E7" s="37">
        <f>IFERROR(ROUND(('DCF Model'!C45/(1+$B7)^('DCF Model'!C19+0)+'DCF Model'!D45/(1+$B7)^('DCF Model'!C19+1)+'DCF Model'!E45/(1+$B7)^('DCF Model'!C19+2)+'DCF Model'!F45/(1+$B7)^('DCF Model'!C19+3)+'DCF Model'!G45/(1+$B7)^('DCF Model'!C19+4)+'DCF Model'!G45*(1+E$6)/($B7-E$6)/(1+$B7)^('DCF Model'!C19+4)-'DCF Model'!C16)*1000000/'DCF Model'!C15,0),"")</f>
        <v>1548</v>
      </c>
      <c r="F7" s="37">
        <f>IFERROR(ROUND(('DCF Model'!C45/(1+$B7)^('DCF Model'!C19+0)+'DCF Model'!D45/(1+$B7)^('DCF Model'!C19+1)+'DCF Model'!E45/(1+$B7)^('DCF Model'!C19+2)+'DCF Model'!F45/(1+$B7)^('DCF Model'!C19+3)+'DCF Model'!G45/(1+$B7)^('DCF Model'!C19+4)+'DCF Model'!G45*(1+F$6)/($B7-F$6)/(1+$B7)^('DCF Model'!C19+4)-'DCF Model'!C16)*1000000/'DCF Model'!C15,0),"")</f>
        <v>1586</v>
      </c>
      <c r="G7" s="37">
        <f>IFERROR(ROUND(('DCF Model'!C45/(1+$B7)^('DCF Model'!C19+0)+'DCF Model'!D45/(1+$B7)^('DCF Model'!C19+1)+'DCF Model'!E45/(1+$B7)^('DCF Model'!C19+2)+'DCF Model'!F45/(1+$B7)^('DCF Model'!C19+3)+'DCF Model'!G45/(1+$B7)^('DCF Model'!C19+4)+'DCF Model'!G45*(1+G$6)/($B7-G$6)/(1+$B7)^('DCF Model'!C19+4)-'DCF Model'!C16)*1000000/'DCF Model'!C15,0),"")</f>
        <v>1627</v>
      </c>
      <c r="H7" s="37">
        <f>IFERROR(ROUND(('DCF Model'!C45/(1+$B7)^('DCF Model'!C19+0)+'DCF Model'!D45/(1+$B7)^('DCF Model'!C19+1)+'DCF Model'!E45/(1+$B7)^('DCF Model'!C19+2)+'DCF Model'!F45/(1+$B7)^('DCF Model'!C19+3)+'DCF Model'!G45/(1+$B7)^('DCF Model'!C19+4)+'DCF Model'!G45*(1+H$6)/($B7-H$6)/(1+$B7)^('DCF Model'!C19+4)-'DCF Model'!C16)*1000000/'DCF Model'!C15,0),"")</f>
        <v>1669</v>
      </c>
      <c r="I7" s="37">
        <f>IFERROR(ROUND(('DCF Model'!C45/(1+$B7)^('DCF Model'!C19+0)+'DCF Model'!D45/(1+$B7)^('DCF Model'!C19+1)+'DCF Model'!E45/(1+$B7)^('DCF Model'!C19+2)+'DCF Model'!F45/(1+$B7)^('DCF Model'!C19+3)+'DCF Model'!G45/(1+$B7)^('DCF Model'!C19+4)+'DCF Model'!G45*(1+I$6)/($B7-I$6)/(1+$B7)^('DCF Model'!C19+4)-'DCF Model'!C16)*1000000/'DCF Model'!C15,0),"")</f>
        <v>1715</v>
      </c>
    </row>
    <row r="8" spans="2:9" ht="13.5" customHeight="1" x14ac:dyDescent="0.25">
      <c r="B8" s="39">
        <f>$C$3-0.01</f>
        <v>0.11076053152389032</v>
      </c>
      <c r="C8" s="37">
        <f>IFERROR(ROUND(('DCF Model'!C45/(1+$B8)^('DCF Model'!C19+0)+'DCF Model'!D45/(1+$B8)^('DCF Model'!C19+1)+'DCF Model'!E45/(1+$B8)^('DCF Model'!C19+2)+'DCF Model'!F45/(1+$B8)^('DCF Model'!C19+3)+'DCF Model'!G45/(1+$B8)^('DCF Model'!C19+4)+'DCF Model'!G45*(1+C$6)/($B8-C$6)/(1+$B8)^('DCF Model'!C19+4)-'DCF Model'!C16)*1000000/'DCF Model'!C15,0),"")</f>
        <v>1383</v>
      </c>
      <c r="D8" s="37">
        <f>IFERROR(ROUND(('DCF Model'!C45/(1+$B8)^('DCF Model'!C19+0)+'DCF Model'!D45/(1+$B8)^('DCF Model'!C19+1)+'DCF Model'!E45/(1+$B8)^('DCF Model'!C19+2)+'DCF Model'!F45/(1+$B8)^('DCF Model'!C19+3)+'DCF Model'!G45/(1+$B8)^('DCF Model'!C19+4)+'DCF Model'!G45*(1+D$6)/($B8-D$6)/(1+$B8)^('DCF Model'!C19+4)-'DCF Model'!C16)*1000000/'DCF Model'!C15,0),"")</f>
        <v>1414</v>
      </c>
      <c r="E8" s="37">
        <f>IFERROR(ROUND(('DCF Model'!C45/(1+$B8)^('DCF Model'!C19+0)+'DCF Model'!D45/(1+$B8)^('DCF Model'!C19+1)+'DCF Model'!E45/(1+$B8)^('DCF Model'!C19+2)+'DCF Model'!F45/(1+$B8)^('DCF Model'!C19+3)+'DCF Model'!G45/(1+$B8)^('DCF Model'!C19+4)+'DCF Model'!G45*(1+E$6)/($B8-E$6)/(1+$B8)^('DCF Model'!C19+4)-'DCF Model'!C16)*1000000/'DCF Model'!C15,0),"")</f>
        <v>1446</v>
      </c>
      <c r="F8" s="37">
        <f>IFERROR(ROUND(('DCF Model'!C45/(1+$B8)^('DCF Model'!C19+0)+'DCF Model'!D45/(1+$B8)^('DCF Model'!C19+1)+'DCF Model'!E45/(1+$B8)^('DCF Model'!C19+2)+'DCF Model'!F45/(1+$B8)^('DCF Model'!C19+3)+'DCF Model'!G45/(1+$B8)^('DCF Model'!C19+4)+'DCF Model'!G45*(1+F$6)/($B8-F$6)/(1+$B8)^('DCF Model'!C19+4)-'DCF Model'!C16)*1000000/'DCF Model'!C15,0),"")</f>
        <v>1480</v>
      </c>
      <c r="G8" s="37">
        <f>IFERROR(ROUND(('DCF Model'!C45/(1+$B8)^('DCF Model'!C19+0)+'DCF Model'!D45/(1+$B8)^('DCF Model'!C19+1)+'DCF Model'!E45/(1+$B8)^('DCF Model'!C19+2)+'DCF Model'!F45/(1+$B8)^('DCF Model'!C19+3)+'DCF Model'!G45/(1+$B8)^('DCF Model'!C19+4)+'DCF Model'!G45*(1+G$6)/($B8-G$6)/(1+$B8)^('DCF Model'!C19+4)-'DCF Model'!C16)*1000000/'DCF Model'!C15,0),"")</f>
        <v>1516</v>
      </c>
      <c r="H8" s="37">
        <f>IFERROR(ROUND(('DCF Model'!C45/(1+$B8)^('DCF Model'!C19+0)+'DCF Model'!D45/(1+$B8)^('DCF Model'!C19+1)+'DCF Model'!E45/(1+$B8)^('DCF Model'!C19+2)+'DCF Model'!F45/(1+$B8)^('DCF Model'!C19+3)+'DCF Model'!G45/(1+$B8)^('DCF Model'!C19+4)+'DCF Model'!G45*(1+H$6)/($B8-H$6)/(1+$B8)^('DCF Model'!C19+4)-'DCF Model'!C16)*1000000/'DCF Model'!C15,0),"")</f>
        <v>1554</v>
      </c>
      <c r="I8" s="37">
        <f>IFERROR(ROUND(('DCF Model'!C45/(1+$B8)^('DCF Model'!C19+0)+'DCF Model'!D45/(1+$B8)^('DCF Model'!C19+1)+'DCF Model'!E45/(1+$B8)^('DCF Model'!C19+2)+'DCF Model'!F45/(1+$B8)^('DCF Model'!C19+3)+'DCF Model'!G45/(1+$B8)^('DCF Model'!C19+4)+'DCF Model'!G45*(1+I$6)/($B8-I$6)/(1+$B8)^('DCF Model'!C19+4)-'DCF Model'!C16)*1000000/'DCF Model'!C15,0),"")</f>
        <v>1594</v>
      </c>
    </row>
    <row r="9" spans="2:9" ht="13.5" customHeight="1" x14ac:dyDescent="0.25">
      <c r="B9" s="39">
        <f>$C$3-0.005</f>
        <v>0.11576053152389031</v>
      </c>
      <c r="C9" s="37">
        <f>IFERROR(ROUND(('DCF Model'!C45/(1+$B9)^('DCF Model'!C19+0)+'DCF Model'!D45/(1+$B9)^('DCF Model'!C19+1)+'DCF Model'!E45/(1+$B9)^('DCF Model'!C19+2)+'DCF Model'!F45/(1+$B9)^('DCF Model'!C19+3)+'DCF Model'!G45/(1+$B9)^('DCF Model'!C19+4)+'DCF Model'!G45*(1+C$6)/($B9-C$6)/(1+$B9)^('DCF Model'!C19+4)-'DCF Model'!C16)*1000000/'DCF Model'!C15,0),"")</f>
        <v>1298</v>
      </c>
      <c r="D9" s="37">
        <f>IFERROR(ROUND(('DCF Model'!C45/(1+$B9)^('DCF Model'!C19+0)+'DCF Model'!D45/(1+$B9)^('DCF Model'!C19+1)+'DCF Model'!E45/(1+$B9)^('DCF Model'!C19+2)+'DCF Model'!F45/(1+$B9)^('DCF Model'!C19+3)+'DCF Model'!G45/(1+$B9)^('DCF Model'!C19+4)+'DCF Model'!G45*(1+D$6)/($B9-D$6)/(1+$B9)^('DCF Model'!C19+4)-'DCF Model'!C16)*1000000/'DCF Model'!C15,0),"")</f>
        <v>1325</v>
      </c>
      <c r="E9" s="37">
        <f>IFERROR(ROUND(('DCF Model'!C45/(1+$B9)^('DCF Model'!C19+0)+'DCF Model'!D45/(1+$B9)^('DCF Model'!C19+1)+'DCF Model'!E45/(1+$B9)^('DCF Model'!C19+2)+'DCF Model'!F45/(1+$B9)^('DCF Model'!C19+3)+'DCF Model'!G45/(1+$B9)^('DCF Model'!C19+4)+'DCF Model'!G45*(1+E$6)/($B9-E$6)/(1+$B9)^('DCF Model'!C19+4)-'DCF Model'!C16)*1000000/'DCF Model'!C15,0),"")</f>
        <v>1354</v>
      </c>
      <c r="F9" s="37">
        <f>IFERROR(ROUND(('DCF Model'!C45/(1+$B9)^('DCF Model'!C19+0)+'DCF Model'!D45/(1+$B9)^('DCF Model'!C19+1)+'DCF Model'!E45/(1+$B9)^('DCF Model'!C19+2)+'DCF Model'!F45/(1+$B9)^('DCF Model'!C19+3)+'DCF Model'!G45/(1+$B9)^('DCF Model'!C19+4)+'DCF Model'!G45*(1+F$6)/($B9-F$6)/(1+$B9)^('DCF Model'!C19+4)-'DCF Model'!C16)*1000000/'DCF Model'!C15,0),"")</f>
        <v>1385</v>
      </c>
      <c r="G9" s="37">
        <f>IFERROR(ROUND(('DCF Model'!C45/(1+$B9)^('DCF Model'!C19+0)+'DCF Model'!D45/(1+$B9)^('DCF Model'!C19+1)+'DCF Model'!E45/(1+$B9)^('DCF Model'!C19+2)+'DCF Model'!F45/(1+$B9)^('DCF Model'!C19+3)+'DCF Model'!G45/(1+$B9)^('DCF Model'!C19+4)+'DCF Model'!G45*(1+G$6)/($B9-G$6)/(1+$B9)^('DCF Model'!C19+4)-'DCF Model'!C16)*1000000/'DCF Model'!C15,0),"")</f>
        <v>1417</v>
      </c>
      <c r="H9" s="37">
        <f>IFERROR(ROUND(('DCF Model'!C45/(1+$B9)^('DCF Model'!C19+0)+'DCF Model'!D45/(1+$B9)^('DCF Model'!C19+1)+'DCF Model'!E45/(1+$B9)^('DCF Model'!C19+2)+'DCF Model'!F45/(1+$B9)^('DCF Model'!C19+3)+'DCF Model'!G45/(1+$B9)^('DCF Model'!C19+4)+'DCF Model'!G45*(1+H$6)/($B9-H$6)/(1+$B9)^('DCF Model'!C19+4)-'DCF Model'!C16)*1000000/'DCF Model'!C15,0),"")</f>
        <v>1450</v>
      </c>
      <c r="I9" s="37">
        <f>IFERROR(ROUND(('DCF Model'!C45/(1+$B9)^('DCF Model'!C19+0)+'DCF Model'!D45/(1+$B9)^('DCF Model'!C19+1)+'DCF Model'!E45/(1+$B9)^('DCF Model'!C19+2)+'DCF Model'!F45/(1+$B9)^('DCF Model'!C19+3)+'DCF Model'!G45/(1+$B9)^('DCF Model'!C19+4)+'DCF Model'!G45*(1+I$6)/($B9-I$6)/(1+$B9)^('DCF Model'!C19+4)-'DCF Model'!C16)*1000000/'DCF Model'!C15,0),"")</f>
        <v>1485</v>
      </c>
    </row>
    <row r="10" spans="2:9" ht="13.5" customHeight="1" x14ac:dyDescent="0.25">
      <c r="B10" s="39">
        <f>$C$3</f>
        <v>0.12076053152389031</v>
      </c>
      <c r="C10" s="37">
        <f>IFERROR(ROUND(('DCF Model'!C45/(1+$B10)^('DCF Model'!C19+0)+'DCF Model'!D45/(1+$B10)^('DCF Model'!C19+1)+'DCF Model'!E45/(1+$B10)^('DCF Model'!C19+2)+'DCF Model'!F45/(1+$B10)^('DCF Model'!C19+3)+'DCF Model'!G45/(1+$B10)^('DCF Model'!C19+4)+'DCF Model'!G45*(1+C$6)/($B10-C$6)/(1+$B10)^('DCF Model'!C19+4)-'DCF Model'!C16)*1000000/'DCF Model'!C15,0),"")</f>
        <v>1219</v>
      </c>
      <c r="D10" s="37">
        <f>IFERROR(ROUND(('DCF Model'!C45/(1+$B10)^('DCF Model'!C19+0)+'DCF Model'!D45/(1+$B10)^('DCF Model'!C19+1)+'DCF Model'!E45/(1+$B10)^('DCF Model'!C19+2)+'DCF Model'!F45/(1+$B10)^('DCF Model'!C19+3)+'DCF Model'!G45/(1+$B10)^('DCF Model'!C19+4)+'DCF Model'!G45*(1+D$6)/($B10-D$6)/(1+$B10)^('DCF Model'!C19+4)-'DCF Model'!C16)*1000000/'DCF Model'!C15,0),"")</f>
        <v>1244</v>
      </c>
      <c r="E10" s="37">
        <f>IFERROR(ROUND(('DCF Model'!C45/(1+$B10)^('DCF Model'!C19+0)+'DCF Model'!D45/(1+$B10)^('DCF Model'!C19+1)+'DCF Model'!E45/(1+$B10)^('DCF Model'!C19+2)+'DCF Model'!F45/(1+$B10)^('DCF Model'!C19+3)+'DCF Model'!G45/(1+$B10)^('DCF Model'!C19+4)+'DCF Model'!G45*(1+E$6)/($B10-E$6)/(1+$B10)^('DCF Model'!C19+4)-'DCF Model'!C16)*1000000/'DCF Model'!C15,0),"")</f>
        <v>1271</v>
      </c>
      <c r="F10" s="37">
        <f>IFERROR(ROUND(('DCF Model'!C45/(1+$B10)^('DCF Model'!C19+0)+'DCF Model'!D45/(1+$B10)^('DCF Model'!C19+1)+'DCF Model'!E45/(1+$B10)^('DCF Model'!C19+2)+'DCF Model'!F45/(1+$B10)^('DCF Model'!C19+3)+'DCF Model'!G45/(1+$B10)^('DCF Model'!C19+4)+'DCF Model'!G45*(1+F$6)/($B10-F$6)/(1+$B10)^('DCF Model'!C19+4)-'DCF Model'!C16)*1000000/'DCF Model'!C15,0),"")</f>
        <v>1298</v>
      </c>
      <c r="G10" s="37">
        <f>IFERROR(ROUND(('DCF Model'!C45/(1+$B10)^('DCF Model'!C19+0)+'DCF Model'!D45/(1+$B10)^('DCF Model'!C19+1)+'DCF Model'!E45/(1+$B10)^('DCF Model'!C19+2)+'DCF Model'!F45/(1+$B10)^('DCF Model'!C19+3)+'DCF Model'!G45/(1+$B10)^('DCF Model'!C19+4)+'DCF Model'!G45*(1+G$6)/($B10-G$6)/(1+$B10)^('DCF Model'!C19+4)-'DCF Model'!C16)*1000000/'DCF Model'!C15,0),"")</f>
        <v>1326</v>
      </c>
      <c r="H10" s="37">
        <f>IFERROR(ROUND(('DCF Model'!C45/(1+$B10)^('DCF Model'!C19+0)+'DCF Model'!D45/(1+$B10)^('DCF Model'!C19+1)+'DCF Model'!E45/(1+$B10)^('DCF Model'!C19+2)+'DCF Model'!F45/(1+$B10)^('DCF Model'!C19+3)+'DCF Model'!G45/(1+$B10)^('DCF Model'!C19+4)+'DCF Model'!G45*(1+H$6)/($B10-H$6)/(1+$B10)^('DCF Model'!C19+4)-'DCF Model'!C16)*1000000/'DCF Model'!C15,0),"")</f>
        <v>1356</v>
      </c>
      <c r="I10" s="37">
        <f>IFERROR(ROUND(('DCF Model'!C45/(1+$B10)^('DCF Model'!C19+0)+'DCF Model'!D45/(1+$B10)^('DCF Model'!C19+1)+'DCF Model'!E45/(1+$B10)^('DCF Model'!C19+2)+'DCF Model'!F45/(1+$B10)^('DCF Model'!C19+3)+'DCF Model'!G45/(1+$B10)^('DCF Model'!C19+4)+'DCF Model'!G45*(1+I$6)/($B10-I$6)/(1+$B10)^('DCF Model'!C19+4)-'DCF Model'!C16)*1000000/'DCF Model'!C15,0),"")</f>
        <v>1388</v>
      </c>
    </row>
    <row r="11" spans="2:9" ht="13.5" customHeight="1" x14ac:dyDescent="0.25">
      <c r="B11" s="39">
        <f>$C$3+0.005</f>
        <v>0.1257605315238903</v>
      </c>
      <c r="C11" s="37">
        <f>IFERROR(ROUND(('DCF Model'!C45/(1+$B11)^('DCF Model'!C19+0)+'DCF Model'!D45/(1+$B11)^('DCF Model'!C19+1)+'DCF Model'!E45/(1+$B11)^('DCF Model'!C19+2)+'DCF Model'!F45/(1+$B11)^('DCF Model'!C19+3)+'DCF Model'!G45/(1+$B11)^('DCF Model'!C19+4)+'DCF Model'!G45*(1+C$6)/($B11-C$6)/(1+$B11)^('DCF Model'!C19+4)-'DCF Model'!C16)*1000000/'DCF Model'!C15,0),"")</f>
        <v>1148</v>
      </c>
      <c r="D11" s="37">
        <f>IFERROR(ROUND(('DCF Model'!C45/(1+$B11)^('DCF Model'!C19+0)+'DCF Model'!D45/(1+$B11)^('DCF Model'!C19+1)+'DCF Model'!E45/(1+$B11)^('DCF Model'!C19+2)+'DCF Model'!F45/(1+$B11)^('DCF Model'!C19+3)+'DCF Model'!G45/(1+$B11)^('DCF Model'!C19+4)+'DCF Model'!G45*(1+D$6)/($B11-D$6)/(1+$B11)^('DCF Model'!C19+4)-'DCF Model'!C16)*1000000/'DCF Model'!C15,0),"")</f>
        <v>1170</v>
      </c>
      <c r="E11" s="37">
        <f>IFERROR(ROUND(('DCF Model'!C45/(1+$B11)^('DCF Model'!C19+0)+'DCF Model'!D45/(1+$B11)^('DCF Model'!C19+1)+'DCF Model'!E45/(1+$B11)^('DCF Model'!C19+2)+'DCF Model'!F45/(1+$B11)^('DCF Model'!C19+3)+'DCF Model'!G45/(1+$B11)^('DCF Model'!C19+4)+'DCF Model'!G45*(1+E$6)/($B11-E$6)/(1+$B11)^('DCF Model'!C19+4)-'DCF Model'!C16)*1000000/'DCF Model'!C15,0),"")</f>
        <v>1194</v>
      </c>
      <c r="F11" s="37">
        <f>IFERROR(ROUND(('DCF Model'!C45/(1+$B11)^('DCF Model'!C19+0)+'DCF Model'!D45/(1+$B11)^('DCF Model'!C19+1)+'DCF Model'!E45/(1+$B11)^('DCF Model'!C19+2)+'DCF Model'!F45/(1+$B11)^('DCF Model'!C19+3)+'DCF Model'!G45/(1+$B11)^('DCF Model'!C19+4)+'DCF Model'!G45*(1+F$6)/($B11-F$6)/(1+$B11)^('DCF Model'!C19+4)-'DCF Model'!C16)*1000000/'DCF Model'!C15,0),"")</f>
        <v>1219</v>
      </c>
      <c r="G11" s="37">
        <f>IFERROR(ROUND(('DCF Model'!C45/(1+$B11)^('DCF Model'!C19+0)+'DCF Model'!D45/(1+$B11)^('DCF Model'!C19+1)+'DCF Model'!E45/(1+$B11)^('DCF Model'!C19+2)+'DCF Model'!F45/(1+$B11)^('DCF Model'!C19+3)+'DCF Model'!G45/(1+$B11)^('DCF Model'!C19+4)+'DCF Model'!G45*(1+G$6)/($B11-G$6)/(1+$B11)^('DCF Model'!C19+4)-'DCF Model'!C16)*1000000/'DCF Model'!C15,0),"")</f>
        <v>1244</v>
      </c>
      <c r="H11" s="37">
        <f>IFERROR(ROUND(('DCF Model'!C45/(1+$B11)^('DCF Model'!C19+0)+'DCF Model'!D45/(1+$B11)^('DCF Model'!C19+1)+'DCF Model'!E45/(1+$B11)^('DCF Model'!C19+2)+'DCF Model'!F45/(1+$B11)^('DCF Model'!C19+3)+'DCF Model'!G45/(1+$B11)^('DCF Model'!C19+4)+'DCF Model'!G45*(1+H$6)/($B11-H$6)/(1+$B11)^('DCF Model'!C19+4)-'DCF Model'!C16)*1000000/'DCF Model'!C15,0),"")</f>
        <v>1271</v>
      </c>
      <c r="I11" s="37">
        <f>IFERROR(ROUND(('DCF Model'!C45/(1+$B11)^('DCF Model'!C19+0)+'DCF Model'!D45/(1+$B11)^('DCF Model'!C19+1)+'DCF Model'!E45/(1+$B11)^('DCF Model'!C19+2)+'DCF Model'!F45/(1+$B11)^('DCF Model'!C19+3)+'DCF Model'!G45/(1+$B11)^('DCF Model'!C19+4)+'DCF Model'!G45*(1+I$6)/($B11-I$6)/(1+$B11)^('DCF Model'!C19+4)-'DCF Model'!C16)*1000000/'DCF Model'!C15,0),"")</f>
        <v>1299</v>
      </c>
    </row>
    <row r="12" spans="2:9" ht="13.5" customHeight="1" x14ac:dyDescent="0.25">
      <c r="B12" s="39">
        <f>$C$3+0.01</f>
        <v>0.13076053152389031</v>
      </c>
      <c r="C12" s="37">
        <f>IFERROR(ROUND(('DCF Model'!C45/(1+$B12)^('DCF Model'!C19+0)+'DCF Model'!D45/(1+$B12)^('DCF Model'!C19+1)+'DCF Model'!E45/(1+$B12)^('DCF Model'!C19+2)+'DCF Model'!F45/(1+$B12)^('DCF Model'!C19+3)+'DCF Model'!G45/(1+$B12)^('DCF Model'!C19+4)+'DCF Model'!G45*(1+C$6)/($B12-C$6)/(1+$B12)^('DCF Model'!C19+4)-'DCF Model'!C16)*1000000/'DCF Model'!C15,0),"")</f>
        <v>1082</v>
      </c>
      <c r="D12" s="37">
        <f>IFERROR(ROUND(('DCF Model'!C45/(1+$B12)^('DCF Model'!C19+0)+'DCF Model'!D45/(1+$B12)^('DCF Model'!C19+1)+'DCF Model'!E45/(1+$B12)^('DCF Model'!C19+2)+'DCF Model'!F45/(1+$B12)^('DCF Model'!C19+3)+'DCF Model'!G45/(1+$B12)^('DCF Model'!C19+4)+'DCF Model'!G45*(1+D$6)/($B12-D$6)/(1+$B12)^('DCF Model'!C19+4)-'DCF Model'!C16)*1000000/'DCF Model'!C15,0),"")</f>
        <v>1102</v>
      </c>
      <c r="E12" s="37">
        <f>IFERROR(ROUND(('DCF Model'!C45/(1+$B12)^('DCF Model'!C19+0)+'DCF Model'!D45/(1+$B12)^('DCF Model'!C19+1)+'DCF Model'!E45/(1+$B12)^('DCF Model'!C19+2)+'DCF Model'!F45/(1+$B12)^('DCF Model'!C19+3)+'DCF Model'!G45/(1+$B12)^('DCF Model'!C19+4)+'DCF Model'!G45*(1+E$6)/($B12-E$6)/(1+$B12)^('DCF Model'!C19+4)-'DCF Model'!C16)*1000000/'DCF Model'!C15,0),"")</f>
        <v>1124</v>
      </c>
      <c r="F12" s="37">
        <f>IFERROR(ROUND(('DCF Model'!C45/(1+$B12)^('DCF Model'!C19+0)+'DCF Model'!D45/(1+$B12)^('DCF Model'!C19+1)+'DCF Model'!E45/(1+$B12)^('DCF Model'!C19+2)+'DCF Model'!F45/(1+$B12)^('DCF Model'!C19+3)+'DCF Model'!G45/(1+$B12)^('DCF Model'!C19+4)+'DCF Model'!G45*(1+F$6)/($B12-F$6)/(1+$B12)^('DCF Model'!C19+4)-'DCF Model'!C16)*1000000/'DCF Model'!C15,0),"")</f>
        <v>1146</v>
      </c>
      <c r="G12" s="37">
        <f>IFERROR(ROUND(('DCF Model'!C45/(1+$B12)^('DCF Model'!C19+0)+'DCF Model'!D45/(1+$B12)^('DCF Model'!C19+1)+'DCF Model'!E45/(1+$B12)^('DCF Model'!C19+2)+'DCF Model'!F45/(1+$B12)^('DCF Model'!C19+3)+'DCF Model'!G45/(1+$B12)^('DCF Model'!C19+4)+'DCF Model'!G45*(1+G$6)/($B12-G$6)/(1+$B12)^('DCF Model'!C19+4)-'DCF Model'!C16)*1000000/'DCF Model'!C15,0),"")</f>
        <v>1169</v>
      </c>
      <c r="H12" s="37">
        <f>IFERROR(ROUND(('DCF Model'!C45/(1+$B12)^('DCF Model'!C19+0)+'DCF Model'!D45/(1+$B12)^('DCF Model'!C19+1)+'DCF Model'!E45/(1+$B12)^('DCF Model'!C19+2)+'DCF Model'!F45/(1+$B12)^('DCF Model'!C19+3)+'DCF Model'!G45/(1+$B12)^('DCF Model'!C19+4)+'DCF Model'!G45*(1+H$6)/($B12-H$6)/(1+$B12)^('DCF Model'!C19+4)-'DCF Model'!C16)*1000000/'DCF Model'!C15,0),"")</f>
        <v>1193</v>
      </c>
      <c r="I12" s="37">
        <f>IFERROR(ROUND(('DCF Model'!C45/(1+$B12)^('DCF Model'!C19+0)+'DCF Model'!D45/(1+$B12)^('DCF Model'!C19+1)+'DCF Model'!E45/(1+$B12)^('DCF Model'!C19+2)+'DCF Model'!F45/(1+$B12)^('DCF Model'!C19+3)+'DCF Model'!G45/(1+$B12)^('DCF Model'!C19+4)+'DCF Model'!G45*(1+I$6)/($B12-I$6)/(1+$B12)^('DCF Model'!C19+4)-'DCF Model'!C16)*1000000/'DCF Model'!C15,0),"")</f>
        <v>1218</v>
      </c>
    </row>
    <row r="13" spans="2:9" ht="13.5" customHeight="1" x14ac:dyDescent="0.25">
      <c r="B13" s="39">
        <f>$C$3+0.015</f>
        <v>0.13576053152389031</v>
      </c>
      <c r="C13" s="37">
        <f>IFERROR(ROUND(('DCF Model'!C45/(1+$B13)^('DCF Model'!C19+0)+'DCF Model'!D45/(1+$B13)^('DCF Model'!C19+1)+'DCF Model'!E45/(1+$B13)^('DCF Model'!C19+2)+'DCF Model'!F45/(1+$B13)^('DCF Model'!C19+3)+'DCF Model'!G45/(1+$B13)^('DCF Model'!C19+4)+'DCF Model'!G45*(1+C$6)/($B13-C$6)/(1+$B13)^('DCF Model'!C19+4)-'DCF Model'!C16)*1000000/'DCF Model'!C15,0),"")</f>
        <v>1021</v>
      </c>
      <c r="D13" s="37">
        <f>IFERROR(ROUND(('DCF Model'!C45/(1+$B13)^('DCF Model'!C19+0)+'DCF Model'!D45/(1+$B13)^('DCF Model'!C19+1)+'DCF Model'!E45/(1+$B13)^('DCF Model'!C19+2)+'DCF Model'!F45/(1+$B13)^('DCF Model'!C19+3)+'DCF Model'!G45/(1+$B13)^('DCF Model'!C19+4)+'DCF Model'!G45*(1+D$6)/($B13-D$6)/(1+$B13)^('DCF Model'!C19+4)-'DCF Model'!C16)*1000000/'DCF Model'!C15,0),"")</f>
        <v>1040</v>
      </c>
      <c r="E13" s="37">
        <f>IFERROR(ROUND(('DCF Model'!C45/(1+$B13)^('DCF Model'!C19+0)+'DCF Model'!D45/(1+$B13)^('DCF Model'!C19+1)+'DCF Model'!E45/(1+$B13)^('DCF Model'!C19+2)+'DCF Model'!F45/(1+$B13)^('DCF Model'!C19+3)+'DCF Model'!G45/(1+$B13)^('DCF Model'!C19+4)+'DCF Model'!G45*(1+E$6)/($B13-E$6)/(1+$B13)^('DCF Model'!C19+4)-'DCF Model'!C16)*1000000/'DCF Model'!C15,0),"")</f>
        <v>1059</v>
      </c>
      <c r="F13" s="37">
        <f>IFERROR(ROUND(('DCF Model'!C45/(1+$B13)^('DCF Model'!C19+0)+'DCF Model'!D45/(1+$B13)^('DCF Model'!C19+1)+'DCF Model'!E45/(1+$B13)^('DCF Model'!C19+2)+'DCF Model'!F45/(1+$B13)^('DCF Model'!C19+3)+'DCF Model'!G45/(1+$B13)^('DCF Model'!C19+4)+'DCF Model'!G45*(1+F$6)/($B13-F$6)/(1+$B13)^('DCF Model'!C19+4)-'DCF Model'!C16)*1000000/'DCF Model'!C15,0),"")</f>
        <v>1079</v>
      </c>
      <c r="G13" s="37">
        <f>IFERROR(ROUND(('DCF Model'!C45/(1+$B13)^('DCF Model'!C19+0)+'DCF Model'!D45/(1+$B13)^('DCF Model'!C19+1)+'DCF Model'!E45/(1+$B13)^('DCF Model'!C19+2)+'DCF Model'!F45/(1+$B13)^('DCF Model'!C19+3)+'DCF Model'!G45/(1+$B13)^('DCF Model'!C19+4)+'DCF Model'!G45*(1+G$6)/($B13-G$6)/(1+$B13)^('DCF Model'!C19+4)-'DCF Model'!C16)*1000000/'DCF Model'!C15,0),"")</f>
        <v>1100</v>
      </c>
      <c r="H13" s="37">
        <f>IFERROR(ROUND(('DCF Model'!C45/(1+$B13)^('DCF Model'!C19+0)+'DCF Model'!D45/(1+$B13)^('DCF Model'!C19+1)+'DCF Model'!E45/(1+$B13)^('DCF Model'!C19+2)+'DCF Model'!F45/(1+$B13)^('DCF Model'!C19+3)+'DCF Model'!G45/(1+$B13)^('DCF Model'!C19+4)+'DCF Model'!G45*(1+H$6)/($B13-H$6)/(1+$B13)^('DCF Model'!C19+4)-'DCF Model'!C16)*1000000/'DCF Model'!C15,0),"")</f>
        <v>1122</v>
      </c>
      <c r="I13" s="37">
        <f>IFERROR(ROUND(('DCF Model'!C45/(1+$B13)^('DCF Model'!C19+0)+'DCF Model'!D45/(1+$B13)^('DCF Model'!C19+1)+'DCF Model'!E45/(1+$B13)^('DCF Model'!C19+2)+'DCF Model'!F45/(1+$B13)^('DCF Model'!C19+3)+'DCF Model'!G45/(1+$B13)^('DCF Model'!C19+4)+'DCF Model'!G45*(1+I$6)/($B13-I$6)/(1+$B13)^('DCF Model'!C19+4)-'DCF Model'!C16)*1000000/'DCF Model'!C15,0),"")</f>
        <v>1145</v>
      </c>
    </row>
    <row r="16" spans="2:9" ht="14" customHeight="1" x14ac:dyDescent="0.3">
      <c r="B16" s="3" t="s">
        <v>242</v>
      </c>
    </row>
    <row r="17" spans="2:9" ht="14" customHeight="1" x14ac:dyDescent="0.3">
      <c r="B17" s="40" t="s">
        <v>243</v>
      </c>
      <c r="C17" s="42">
        <f>$I$3-3</f>
        <v>12.6</v>
      </c>
      <c r="D17" s="42">
        <f>$I$3-2</f>
        <v>13.6</v>
      </c>
      <c r="E17" s="42">
        <f>$I$3-1</f>
        <v>14.6</v>
      </c>
      <c r="F17" s="42">
        <f>$I$3</f>
        <v>15.6</v>
      </c>
      <c r="G17" s="42">
        <f>$I$3+1</f>
        <v>16.600000000000001</v>
      </c>
      <c r="H17" s="42">
        <f>$I$3+2</f>
        <v>17.600000000000001</v>
      </c>
      <c r="I17" s="42">
        <f>$I$3+3</f>
        <v>18.600000000000001</v>
      </c>
    </row>
    <row r="18" spans="2:9" ht="13.5" customHeight="1" x14ac:dyDescent="0.25">
      <c r="B18" s="39">
        <f>$C$3-0.015</f>
        <v>0.10576053152389031</v>
      </c>
      <c r="C18" s="37">
        <f>IFERROR(ROUND(('DCF Model'!C45/(1+$B18)^('DCF Model'!C19+0)+'DCF Model'!D45/(1+$B18)^('DCF Model'!C19+1)+'DCF Model'!E45/(1+$B18)^('DCF Model'!C19+2)+'DCF Model'!F45/(1+$B18)^('DCF Model'!C19+3)+'DCF Model'!G45/(1+$B18)^('DCF Model'!C19+4)+('DCF Model'!G39+'DCF Model'!G42)*C$17/(1+$B18)^('DCF Model'!C19+4)-'DCF Model'!C16)*1000000/'DCF Model'!C15,0),"")</f>
        <v>4257</v>
      </c>
      <c r="D18" s="37">
        <f>IFERROR(ROUND(('DCF Model'!C45/(1+$B18)^('DCF Model'!C19+0)+'DCF Model'!D45/(1+$B18)^('DCF Model'!C19+1)+'DCF Model'!E45/(1+$B18)^('DCF Model'!C19+2)+'DCF Model'!F45/(1+$B18)^('DCF Model'!C19+3)+'DCF Model'!G45/(1+$B18)^('DCF Model'!C19+4)+('DCF Model'!G39+'DCF Model'!G42)*D$17/(1+$B18)^('DCF Model'!C19+4)-'DCF Model'!C16)*1000000/'DCF Model'!C15,0),"")</f>
        <v>4578</v>
      </c>
      <c r="E18" s="37">
        <f>IFERROR(ROUND(('DCF Model'!C45/(1+$B18)^('DCF Model'!C19+0)+'DCF Model'!D45/(1+$B18)^('DCF Model'!C19+1)+'DCF Model'!E45/(1+$B18)^('DCF Model'!C19+2)+'DCF Model'!F45/(1+$B18)^('DCF Model'!C19+3)+'DCF Model'!G45/(1+$B18)^('DCF Model'!C19+4)+('DCF Model'!G39+'DCF Model'!G42)*E$17/(1+$B18)^('DCF Model'!C19+4)-'DCF Model'!C16)*1000000/'DCF Model'!C15,0),"")</f>
        <v>4899</v>
      </c>
      <c r="F18" s="37">
        <f>IFERROR(ROUND(('DCF Model'!C45/(1+$B18)^('DCF Model'!C19+0)+'DCF Model'!D45/(1+$B18)^('DCF Model'!C19+1)+'DCF Model'!E45/(1+$B18)^('DCF Model'!C19+2)+'DCF Model'!F45/(1+$B18)^('DCF Model'!C19+3)+'DCF Model'!G45/(1+$B18)^('DCF Model'!C19+4)+('DCF Model'!G39+'DCF Model'!G42)*F$17/(1+$B18)^('DCF Model'!C19+4)-'DCF Model'!C16)*1000000/'DCF Model'!C15,0),"")</f>
        <v>5220</v>
      </c>
      <c r="G18" s="37">
        <f>IFERROR(ROUND(('DCF Model'!C45/(1+$B18)^('DCF Model'!C19+0)+'DCF Model'!D45/(1+$B18)^('DCF Model'!C19+1)+'DCF Model'!E45/(1+$B18)^('DCF Model'!C19+2)+'DCF Model'!F45/(1+$B18)^('DCF Model'!C19+3)+'DCF Model'!G45/(1+$B18)^('DCF Model'!C19+4)+('DCF Model'!G39+'DCF Model'!G42)*G$17/(1+$B18)^('DCF Model'!C19+4)-'DCF Model'!C16)*1000000/'DCF Model'!C15,0),"")</f>
        <v>5542</v>
      </c>
      <c r="H18" s="37">
        <f>IFERROR(ROUND(('DCF Model'!C45/(1+$B18)^('DCF Model'!C19+0)+'DCF Model'!D45/(1+$B18)^('DCF Model'!C19+1)+'DCF Model'!E45/(1+$B18)^('DCF Model'!C19+2)+'DCF Model'!F45/(1+$B18)^('DCF Model'!C19+3)+'DCF Model'!G45/(1+$B18)^('DCF Model'!C19+4)+('DCF Model'!G39+'DCF Model'!G42)*H$17/(1+$B18)^('DCF Model'!C19+4)-'DCF Model'!C16)*1000000/'DCF Model'!C15,0),"")</f>
        <v>5863</v>
      </c>
      <c r="I18" s="37">
        <f>IFERROR(ROUND(('DCF Model'!C45/(1+$B18)^('DCF Model'!C19+0)+'DCF Model'!D45/(1+$B18)^('DCF Model'!C19+1)+'DCF Model'!E45/(1+$B18)^('DCF Model'!C19+2)+'DCF Model'!F45/(1+$B18)^('DCF Model'!C19+3)+'DCF Model'!G45/(1+$B18)^('DCF Model'!C19+4)+('DCF Model'!G39+'DCF Model'!G42)*I$17/(1+$B18)^('DCF Model'!C19+4)-'DCF Model'!C16)*1000000/'DCF Model'!C15,0),"")</f>
        <v>6184</v>
      </c>
    </row>
    <row r="19" spans="2:9" ht="13.5" customHeight="1" x14ac:dyDescent="0.25">
      <c r="B19" s="39">
        <f>$C$3-0.01</f>
        <v>0.11076053152389032</v>
      </c>
      <c r="C19" s="37">
        <f>IFERROR(ROUND(('DCF Model'!C45/(1+$B19)^('DCF Model'!C19+0)+'DCF Model'!D45/(1+$B19)^('DCF Model'!C19+1)+'DCF Model'!E45/(1+$B19)^('DCF Model'!C19+2)+'DCF Model'!F45/(1+$B19)^('DCF Model'!C19+3)+'DCF Model'!G45/(1+$B19)^('DCF Model'!C19+4)+('DCF Model'!G39+'DCF Model'!G42)*C$17/(1+$B19)^('DCF Model'!C19+4)-'DCF Model'!C16)*1000000/'DCF Model'!C15,0),"")</f>
        <v>4158</v>
      </c>
      <c r="D19" s="37">
        <f>IFERROR(ROUND(('DCF Model'!C45/(1+$B19)^('DCF Model'!C19+0)+'DCF Model'!D45/(1+$B19)^('DCF Model'!C19+1)+'DCF Model'!E45/(1+$B19)^('DCF Model'!C19+2)+'DCF Model'!F45/(1+$B19)^('DCF Model'!C19+3)+'DCF Model'!G45/(1+$B19)^('DCF Model'!C19+4)+('DCF Model'!G39+'DCF Model'!G42)*D$17/(1+$B19)^('DCF Model'!C19+4)-'DCF Model'!C16)*1000000/'DCF Model'!C15,0),"")</f>
        <v>4472</v>
      </c>
      <c r="E19" s="37">
        <f>IFERROR(ROUND(('DCF Model'!C45/(1+$B19)^('DCF Model'!C19+0)+'DCF Model'!D45/(1+$B19)^('DCF Model'!C19+1)+'DCF Model'!E45/(1+$B19)^('DCF Model'!C19+2)+'DCF Model'!F45/(1+$B19)^('DCF Model'!C19+3)+'DCF Model'!G45/(1+$B19)^('DCF Model'!C19+4)+('DCF Model'!G39+'DCF Model'!G42)*E$17/(1+$B19)^('DCF Model'!C19+4)-'DCF Model'!C16)*1000000/'DCF Model'!C15,0),"")</f>
        <v>4786</v>
      </c>
      <c r="F19" s="37">
        <f>IFERROR(ROUND(('DCF Model'!C45/(1+$B19)^('DCF Model'!C19+0)+'DCF Model'!D45/(1+$B19)^('DCF Model'!C19+1)+'DCF Model'!E45/(1+$B19)^('DCF Model'!C19+2)+'DCF Model'!F45/(1+$B19)^('DCF Model'!C19+3)+'DCF Model'!G45/(1+$B19)^('DCF Model'!C19+4)+('DCF Model'!G39+'DCF Model'!G42)*F$17/(1+$B19)^('DCF Model'!C19+4)-'DCF Model'!C16)*1000000/'DCF Model'!C15,0),"")</f>
        <v>5100</v>
      </c>
      <c r="G19" s="37">
        <f>IFERROR(ROUND(('DCF Model'!C45/(1+$B19)^('DCF Model'!C19+0)+'DCF Model'!D45/(1+$B19)^('DCF Model'!C19+1)+'DCF Model'!E45/(1+$B19)^('DCF Model'!C19+2)+'DCF Model'!F45/(1+$B19)^('DCF Model'!C19+3)+'DCF Model'!G45/(1+$B19)^('DCF Model'!C19+4)+('DCF Model'!G39+'DCF Model'!G42)*G$17/(1+$B19)^('DCF Model'!C19+4)-'DCF Model'!C16)*1000000/'DCF Model'!C15,0),"")</f>
        <v>5414</v>
      </c>
      <c r="H19" s="37">
        <f>IFERROR(ROUND(('DCF Model'!C45/(1+$B19)^('DCF Model'!C19+0)+'DCF Model'!D45/(1+$B19)^('DCF Model'!C19+1)+'DCF Model'!E45/(1+$B19)^('DCF Model'!C19+2)+'DCF Model'!F45/(1+$B19)^('DCF Model'!C19+3)+'DCF Model'!G45/(1+$B19)^('DCF Model'!C19+4)+('DCF Model'!G39+'DCF Model'!G42)*H$17/(1+$B19)^('DCF Model'!C19+4)-'DCF Model'!C16)*1000000/'DCF Model'!C15,0),"")</f>
        <v>5728</v>
      </c>
      <c r="I19" s="37">
        <f>IFERROR(ROUND(('DCF Model'!C45/(1+$B19)^('DCF Model'!C19+0)+'DCF Model'!D45/(1+$B19)^('DCF Model'!C19+1)+'DCF Model'!E45/(1+$B19)^('DCF Model'!C19+2)+'DCF Model'!F45/(1+$B19)^('DCF Model'!C19+3)+'DCF Model'!G45/(1+$B19)^('DCF Model'!C19+4)+('DCF Model'!G39+'DCF Model'!G42)*I$17/(1+$B19)^('DCF Model'!C19+4)-'DCF Model'!C16)*1000000/'DCF Model'!C15,0),"")</f>
        <v>6043</v>
      </c>
    </row>
    <row r="20" spans="2:9" ht="13.5" customHeight="1" x14ac:dyDescent="0.25">
      <c r="B20" s="39">
        <f>$C$3-0.005</f>
        <v>0.11576053152389031</v>
      </c>
      <c r="C20" s="37">
        <f>IFERROR(ROUND(('DCF Model'!C45/(1+$B20)^('DCF Model'!C19+0)+'DCF Model'!D45/(1+$B20)^('DCF Model'!C19+1)+'DCF Model'!E45/(1+$B20)^('DCF Model'!C19+2)+'DCF Model'!F45/(1+$B20)^('DCF Model'!C19+3)+'DCF Model'!G45/(1+$B20)^('DCF Model'!C19+4)+('DCF Model'!G39+'DCF Model'!G42)*C$17/(1+$B20)^('DCF Model'!C19+4)-'DCF Model'!C16)*1000000/'DCF Model'!C15,0),"")</f>
        <v>4062</v>
      </c>
      <c r="D20" s="37">
        <f>IFERROR(ROUND(('DCF Model'!C45/(1+$B20)^('DCF Model'!C19+0)+'DCF Model'!D45/(1+$B20)^('DCF Model'!C19+1)+'DCF Model'!E45/(1+$B20)^('DCF Model'!C19+2)+'DCF Model'!F45/(1+$B20)^('DCF Model'!C19+3)+'DCF Model'!G45/(1+$B20)^('DCF Model'!C19+4)+('DCF Model'!G39+'DCF Model'!G42)*D$17/(1+$B20)^('DCF Model'!C19+4)-'DCF Model'!C16)*1000000/'DCF Model'!C15,0),"")</f>
        <v>4369</v>
      </c>
      <c r="E20" s="37">
        <f>IFERROR(ROUND(('DCF Model'!C45/(1+$B20)^('DCF Model'!C19+0)+'DCF Model'!D45/(1+$B20)^('DCF Model'!C19+1)+'DCF Model'!E45/(1+$B20)^('DCF Model'!C19+2)+'DCF Model'!F45/(1+$B20)^('DCF Model'!C19+3)+'DCF Model'!G45/(1+$B20)^('DCF Model'!C19+4)+('DCF Model'!G39+'DCF Model'!G42)*E$17/(1+$B20)^('DCF Model'!C19+4)-'DCF Model'!C16)*1000000/'DCF Model'!C15,0),"")</f>
        <v>4676</v>
      </c>
      <c r="F20" s="37">
        <f>IFERROR(ROUND(('DCF Model'!C45/(1+$B20)^('DCF Model'!C19+0)+'DCF Model'!D45/(1+$B20)^('DCF Model'!C19+1)+'DCF Model'!E45/(1+$B20)^('DCF Model'!C19+2)+'DCF Model'!F45/(1+$B20)^('DCF Model'!C19+3)+'DCF Model'!G45/(1+$B20)^('DCF Model'!C19+4)+('DCF Model'!G39+'DCF Model'!G42)*F$17/(1+$B20)^('DCF Model'!C19+4)-'DCF Model'!C16)*1000000/'DCF Model'!C15,0),"")</f>
        <v>4983</v>
      </c>
      <c r="G20" s="37">
        <f>IFERROR(ROUND(('DCF Model'!C45/(1+$B20)^('DCF Model'!C19+0)+'DCF Model'!D45/(1+$B20)^('DCF Model'!C19+1)+'DCF Model'!E45/(1+$B20)^('DCF Model'!C19+2)+'DCF Model'!F45/(1+$B20)^('DCF Model'!C19+3)+'DCF Model'!G45/(1+$B20)^('DCF Model'!C19+4)+('DCF Model'!G39+'DCF Model'!G42)*G$17/(1+$B20)^('DCF Model'!C19+4)-'DCF Model'!C16)*1000000/'DCF Model'!C15,0),"")</f>
        <v>5290</v>
      </c>
      <c r="H20" s="37">
        <f>IFERROR(ROUND(('DCF Model'!C45/(1+$B20)^('DCF Model'!C19+0)+'DCF Model'!D45/(1+$B20)^('DCF Model'!C19+1)+'DCF Model'!E45/(1+$B20)^('DCF Model'!C19+2)+'DCF Model'!F45/(1+$B20)^('DCF Model'!C19+3)+'DCF Model'!G45/(1+$B20)^('DCF Model'!C19+4)+('DCF Model'!G39+'DCF Model'!G42)*H$17/(1+$B20)^('DCF Model'!C19+4)-'DCF Model'!C16)*1000000/'DCF Model'!C15,0),"")</f>
        <v>5598</v>
      </c>
      <c r="I20" s="37">
        <f>IFERROR(ROUND(('DCF Model'!C45/(1+$B20)^('DCF Model'!C19+0)+'DCF Model'!D45/(1+$B20)^('DCF Model'!C19+1)+'DCF Model'!E45/(1+$B20)^('DCF Model'!C19+2)+'DCF Model'!F45/(1+$B20)^('DCF Model'!C19+3)+'DCF Model'!G45/(1+$B20)^('DCF Model'!C19+4)+('DCF Model'!G39+'DCF Model'!G42)*I$17/(1+$B20)^('DCF Model'!C19+4)-'DCF Model'!C16)*1000000/'DCF Model'!C15,0),"")</f>
        <v>5905</v>
      </c>
    </row>
    <row r="21" spans="2:9" ht="13.5" customHeight="1" x14ac:dyDescent="0.25">
      <c r="B21" s="39">
        <f>$C$3</f>
        <v>0.12076053152389031</v>
      </c>
      <c r="C21" s="37">
        <f>IFERROR(ROUND(('DCF Model'!C45/(1+$B21)^('DCF Model'!C19+0)+'DCF Model'!D45/(1+$B21)^('DCF Model'!C19+1)+'DCF Model'!E45/(1+$B21)^('DCF Model'!C19+2)+'DCF Model'!F45/(1+$B21)^('DCF Model'!C19+3)+'DCF Model'!G45/(1+$B21)^('DCF Model'!C19+4)+('DCF Model'!G39+'DCF Model'!G42)*C$17/(1+$B21)^('DCF Model'!C19+4)-'DCF Model'!C16)*1000000/'DCF Model'!C15,0),"")</f>
        <v>3969</v>
      </c>
      <c r="D21" s="37">
        <f>IFERROR(ROUND(('DCF Model'!C45/(1+$B21)^('DCF Model'!C19+0)+'DCF Model'!D45/(1+$B21)^('DCF Model'!C19+1)+'DCF Model'!E45/(1+$B21)^('DCF Model'!C19+2)+'DCF Model'!F45/(1+$B21)^('DCF Model'!C19+3)+'DCF Model'!G45/(1+$B21)^('DCF Model'!C19+4)+('DCF Model'!G39+'DCF Model'!G42)*D$17/(1+$B21)^('DCF Model'!C19+4)-'DCF Model'!C16)*1000000/'DCF Model'!C15,0),"")</f>
        <v>4269</v>
      </c>
      <c r="E21" s="37">
        <f>IFERROR(ROUND(('DCF Model'!C45/(1+$B21)^('DCF Model'!C19+0)+'DCF Model'!D45/(1+$B21)^('DCF Model'!C19+1)+'DCF Model'!E45/(1+$B21)^('DCF Model'!C19+2)+'DCF Model'!F45/(1+$B21)^('DCF Model'!C19+3)+'DCF Model'!G45/(1+$B21)^('DCF Model'!C19+4)+('DCF Model'!G39+'DCF Model'!G42)*E$17/(1+$B21)^('DCF Model'!C19+4)-'DCF Model'!C16)*1000000/'DCF Model'!C15,0),"")</f>
        <v>4569</v>
      </c>
      <c r="F21" s="37">
        <f>IFERROR(ROUND(('DCF Model'!C45/(1+$B21)^('DCF Model'!C19+0)+'DCF Model'!D45/(1+$B21)^('DCF Model'!C19+1)+'DCF Model'!E45/(1+$B21)^('DCF Model'!C19+2)+'DCF Model'!F45/(1+$B21)^('DCF Model'!C19+3)+'DCF Model'!G45/(1+$B21)^('DCF Model'!C19+4)+('DCF Model'!G39+'DCF Model'!G42)*F$17/(1+$B21)^('DCF Model'!C19+4)-'DCF Model'!C16)*1000000/'DCF Model'!C15,0),"")</f>
        <v>4870</v>
      </c>
      <c r="G21" s="37">
        <f>IFERROR(ROUND(('DCF Model'!C45/(1+$B21)^('DCF Model'!C19+0)+'DCF Model'!D45/(1+$B21)^('DCF Model'!C19+1)+'DCF Model'!E45/(1+$B21)^('DCF Model'!C19+2)+'DCF Model'!F45/(1+$B21)^('DCF Model'!C19+3)+'DCF Model'!G45/(1+$B21)^('DCF Model'!C19+4)+('DCF Model'!G39+'DCF Model'!G42)*G$17/(1+$B21)^('DCF Model'!C19+4)-'DCF Model'!C16)*1000000/'DCF Model'!C15,0),"")</f>
        <v>5170</v>
      </c>
      <c r="H21" s="37">
        <f>IFERROR(ROUND(('DCF Model'!C45/(1+$B21)^('DCF Model'!C19+0)+'DCF Model'!D45/(1+$B21)^('DCF Model'!C19+1)+'DCF Model'!E45/(1+$B21)^('DCF Model'!C19+2)+'DCF Model'!F45/(1+$B21)^('DCF Model'!C19+3)+'DCF Model'!G45/(1+$B21)^('DCF Model'!C19+4)+('DCF Model'!G39+'DCF Model'!G42)*H$17/(1+$B21)^('DCF Model'!C19+4)-'DCF Model'!C16)*1000000/'DCF Model'!C15,0),"")</f>
        <v>5470</v>
      </c>
      <c r="I21" s="37">
        <f>IFERROR(ROUND(('DCF Model'!C45/(1+$B21)^('DCF Model'!C19+0)+'DCF Model'!D45/(1+$B21)^('DCF Model'!C19+1)+'DCF Model'!E45/(1+$B21)^('DCF Model'!C19+2)+'DCF Model'!F45/(1+$B21)^('DCF Model'!C19+3)+'DCF Model'!G45/(1+$B21)^('DCF Model'!C19+4)+('DCF Model'!G39+'DCF Model'!G42)*I$17/(1+$B21)^('DCF Model'!C19+4)-'DCF Model'!C16)*1000000/'DCF Model'!C15,0),"")</f>
        <v>5770</v>
      </c>
    </row>
    <row r="22" spans="2:9" ht="13.5" customHeight="1" x14ac:dyDescent="0.25">
      <c r="B22" s="39">
        <f>$C$3+0.005</f>
        <v>0.1257605315238903</v>
      </c>
      <c r="C22" s="37">
        <f>IFERROR(ROUND(('DCF Model'!C45/(1+$B22)^('DCF Model'!C19+0)+'DCF Model'!D45/(1+$B22)^('DCF Model'!C19+1)+'DCF Model'!E45/(1+$B22)^('DCF Model'!C19+2)+'DCF Model'!F45/(1+$B22)^('DCF Model'!C19+3)+'DCF Model'!G45/(1+$B22)^('DCF Model'!C19+4)+('DCF Model'!G39+'DCF Model'!G42)*C$17/(1+$B22)^('DCF Model'!C19+4)-'DCF Model'!C16)*1000000/'DCF Model'!C15,0),"")</f>
        <v>3877</v>
      </c>
      <c r="D22" s="37">
        <f>IFERROR(ROUND(('DCF Model'!C45/(1+$B22)^('DCF Model'!C19+0)+'DCF Model'!D45/(1+$B22)^('DCF Model'!C19+1)+'DCF Model'!E45/(1+$B22)^('DCF Model'!C19+2)+'DCF Model'!F45/(1+$B22)^('DCF Model'!C19+3)+'DCF Model'!G45/(1+$B22)^('DCF Model'!C19+4)+('DCF Model'!G39+'DCF Model'!G42)*D$17/(1+$B22)^('DCF Model'!C19+4)-'DCF Model'!C16)*1000000/'DCF Model'!C15,0),"")</f>
        <v>4171</v>
      </c>
      <c r="E22" s="37">
        <f>IFERROR(ROUND(('DCF Model'!C45/(1+$B22)^('DCF Model'!C19+0)+'DCF Model'!D45/(1+$B22)^('DCF Model'!C19+1)+'DCF Model'!E45/(1+$B22)^('DCF Model'!C19+2)+'DCF Model'!F45/(1+$B22)^('DCF Model'!C19+3)+'DCF Model'!G45/(1+$B22)^('DCF Model'!C19+4)+('DCF Model'!G39+'DCF Model'!G42)*E$17/(1+$B22)^('DCF Model'!C19+4)-'DCF Model'!C16)*1000000/'DCF Model'!C15,0),"")</f>
        <v>4465</v>
      </c>
      <c r="F22" s="37">
        <f>IFERROR(ROUND(('DCF Model'!C45/(1+$B22)^('DCF Model'!C19+0)+'DCF Model'!D45/(1+$B22)^('DCF Model'!C19+1)+'DCF Model'!E45/(1+$B22)^('DCF Model'!C19+2)+'DCF Model'!F45/(1+$B22)^('DCF Model'!C19+3)+'DCF Model'!G45/(1+$B22)^('DCF Model'!C19+4)+('DCF Model'!G39+'DCF Model'!G42)*F$17/(1+$B22)^('DCF Model'!C19+4)-'DCF Model'!C16)*1000000/'DCF Model'!C15,0),"")</f>
        <v>4759</v>
      </c>
      <c r="G22" s="37">
        <f>IFERROR(ROUND(('DCF Model'!C45/(1+$B22)^('DCF Model'!C19+0)+'DCF Model'!D45/(1+$B22)^('DCF Model'!C19+1)+'DCF Model'!E45/(1+$B22)^('DCF Model'!C19+2)+'DCF Model'!F45/(1+$B22)^('DCF Model'!C19+3)+'DCF Model'!G45/(1+$B22)^('DCF Model'!C19+4)+('DCF Model'!G39+'DCF Model'!G42)*G$17/(1+$B22)^('DCF Model'!C19+4)-'DCF Model'!C16)*1000000/'DCF Model'!C15,0),"")</f>
        <v>5052</v>
      </c>
      <c r="H22" s="37">
        <f>IFERROR(ROUND(('DCF Model'!C45/(1+$B22)^('DCF Model'!C19+0)+'DCF Model'!D45/(1+$B22)^('DCF Model'!C19+1)+'DCF Model'!E45/(1+$B22)^('DCF Model'!C19+2)+'DCF Model'!F45/(1+$B22)^('DCF Model'!C19+3)+'DCF Model'!G45/(1+$B22)^('DCF Model'!C19+4)+('DCF Model'!G39+'DCF Model'!G42)*H$17/(1+$B22)^('DCF Model'!C19+4)-'DCF Model'!C16)*1000000/'DCF Model'!C15,0),"")</f>
        <v>5346</v>
      </c>
      <c r="I22" s="37">
        <f>IFERROR(ROUND(('DCF Model'!C45/(1+$B22)^('DCF Model'!C19+0)+'DCF Model'!D45/(1+$B22)^('DCF Model'!C19+1)+'DCF Model'!E45/(1+$B22)^('DCF Model'!C19+2)+'DCF Model'!F45/(1+$B22)^('DCF Model'!C19+3)+'DCF Model'!G45/(1+$B22)^('DCF Model'!C19+4)+('DCF Model'!G39+'DCF Model'!G42)*I$17/(1+$B22)^('DCF Model'!C19+4)-'DCF Model'!C16)*1000000/'DCF Model'!C15,0),"")</f>
        <v>5640</v>
      </c>
    </row>
    <row r="23" spans="2:9" ht="13.5" customHeight="1" x14ac:dyDescent="0.25">
      <c r="B23" s="39">
        <f>$C$3+0.01</f>
        <v>0.13076053152389031</v>
      </c>
      <c r="C23" s="37">
        <f>IFERROR(ROUND(('DCF Model'!C45/(1+$B23)^('DCF Model'!C19+0)+'DCF Model'!D45/(1+$B23)^('DCF Model'!C19+1)+'DCF Model'!E45/(1+$B23)^('DCF Model'!C19+2)+'DCF Model'!F45/(1+$B23)^('DCF Model'!C19+3)+'DCF Model'!G45/(1+$B23)^('DCF Model'!C19+4)+('DCF Model'!G39+'DCF Model'!G42)*C$17/(1+$B23)^('DCF Model'!C19+4)-'DCF Model'!C16)*1000000/'DCF Model'!C15,0),"")</f>
        <v>3789</v>
      </c>
      <c r="D23" s="37">
        <f>IFERROR(ROUND(('DCF Model'!C45/(1+$B23)^('DCF Model'!C19+0)+'DCF Model'!D45/(1+$B23)^('DCF Model'!C19+1)+'DCF Model'!E45/(1+$B23)^('DCF Model'!C19+2)+'DCF Model'!F45/(1+$B23)^('DCF Model'!C19+3)+'DCF Model'!G45/(1+$B23)^('DCF Model'!C19+4)+('DCF Model'!G39+'DCF Model'!G42)*D$17/(1+$B23)^('DCF Model'!C19+4)-'DCF Model'!C16)*1000000/'DCF Model'!C15,0),"")</f>
        <v>4076</v>
      </c>
      <c r="E23" s="37">
        <f>IFERROR(ROUND(('DCF Model'!C45/(1+$B23)^('DCF Model'!C19+0)+'DCF Model'!D45/(1+$B23)^('DCF Model'!C19+1)+'DCF Model'!E45/(1+$B23)^('DCF Model'!C19+2)+'DCF Model'!F45/(1+$B23)^('DCF Model'!C19+3)+'DCF Model'!G45/(1+$B23)^('DCF Model'!C19+4)+('DCF Model'!G39+'DCF Model'!G42)*E$17/(1+$B23)^('DCF Model'!C19+4)-'DCF Model'!C16)*1000000/'DCF Model'!C15,0),"")</f>
        <v>4363</v>
      </c>
      <c r="F23" s="37">
        <f>IFERROR(ROUND(('DCF Model'!C45/(1+$B23)^('DCF Model'!C19+0)+'DCF Model'!D45/(1+$B23)^('DCF Model'!C19+1)+'DCF Model'!E45/(1+$B23)^('DCF Model'!C19+2)+'DCF Model'!F45/(1+$B23)^('DCF Model'!C19+3)+'DCF Model'!G45/(1+$B23)^('DCF Model'!C19+4)+('DCF Model'!G39+'DCF Model'!G42)*F$17/(1+$B23)^('DCF Model'!C19+4)-'DCF Model'!C16)*1000000/'DCF Model'!C15,0),"")</f>
        <v>4651</v>
      </c>
      <c r="G23" s="37">
        <f>IFERROR(ROUND(('DCF Model'!C45/(1+$B23)^('DCF Model'!C19+0)+'DCF Model'!D45/(1+$B23)^('DCF Model'!C19+1)+'DCF Model'!E45/(1+$B23)^('DCF Model'!C19+2)+'DCF Model'!F45/(1+$B23)^('DCF Model'!C19+3)+'DCF Model'!G45/(1+$B23)^('DCF Model'!C19+4)+('DCF Model'!G39+'DCF Model'!G42)*G$17/(1+$B23)^('DCF Model'!C19+4)-'DCF Model'!C16)*1000000/'DCF Model'!C15,0),"")</f>
        <v>4938</v>
      </c>
      <c r="H23" s="37">
        <f>IFERROR(ROUND(('DCF Model'!C45/(1+$B23)^('DCF Model'!C19+0)+'DCF Model'!D45/(1+$B23)^('DCF Model'!C19+1)+'DCF Model'!E45/(1+$B23)^('DCF Model'!C19+2)+'DCF Model'!F45/(1+$B23)^('DCF Model'!C19+3)+'DCF Model'!G45/(1+$B23)^('DCF Model'!C19+4)+('DCF Model'!G39+'DCF Model'!G42)*H$17/(1+$B23)^('DCF Model'!C19+4)-'DCF Model'!C16)*1000000/'DCF Model'!C15,0),"")</f>
        <v>5225</v>
      </c>
      <c r="I23" s="37">
        <f>IFERROR(ROUND(('DCF Model'!C45/(1+$B23)^('DCF Model'!C19+0)+'DCF Model'!D45/(1+$B23)^('DCF Model'!C19+1)+'DCF Model'!E45/(1+$B23)^('DCF Model'!C19+2)+'DCF Model'!F45/(1+$B23)^('DCF Model'!C19+3)+'DCF Model'!G45/(1+$B23)^('DCF Model'!C19+4)+('DCF Model'!G39+'DCF Model'!G42)*I$17/(1+$B23)^('DCF Model'!C19+4)-'DCF Model'!C16)*1000000/'DCF Model'!C15,0),"")</f>
        <v>5512</v>
      </c>
    </row>
    <row r="24" spans="2:9" ht="13.5" customHeight="1" x14ac:dyDescent="0.25">
      <c r="B24" s="39">
        <f>$C$3+0.015</f>
        <v>0.13576053152389031</v>
      </c>
      <c r="C24" s="37">
        <f>IFERROR(ROUND(('DCF Model'!C45/(1+$B24)^('DCF Model'!C19+0)+'DCF Model'!D45/(1+$B24)^('DCF Model'!C19+1)+'DCF Model'!E45/(1+$B24)^('DCF Model'!C19+2)+'DCF Model'!F45/(1+$B24)^('DCF Model'!C19+3)+'DCF Model'!G45/(1+$B24)^('DCF Model'!C19+4)+('DCF Model'!G39+'DCF Model'!G42)*C$17/(1+$B24)^('DCF Model'!C19+4)-'DCF Model'!C16)*1000000/'DCF Model'!C15,0),"")</f>
        <v>3702</v>
      </c>
      <c r="D24" s="37">
        <f>IFERROR(ROUND(('DCF Model'!C45/(1+$B24)^('DCF Model'!C19+0)+'DCF Model'!D45/(1+$B24)^('DCF Model'!C19+1)+'DCF Model'!E45/(1+$B24)^('DCF Model'!C19+2)+'DCF Model'!F45/(1+$B24)^('DCF Model'!C19+3)+'DCF Model'!G45/(1+$B24)^('DCF Model'!C19+4)+('DCF Model'!G39+'DCF Model'!G42)*D$17/(1+$B24)^('DCF Model'!C19+4)-'DCF Model'!C16)*1000000/'DCF Model'!C15,0),"")</f>
        <v>3983</v>
      </c>
      <c r="E24" s="37">
        <f>IFERROR(ROUND(('DCF Model'!C45/(1+$B24)^('DCF Model'!C19+0)+'DCF Model'!D45/(1+$B24)^('DCF Model'!C19+1)+'DCF Model'!E45/(1+$B24)^('DCF Model'!C19+2)+'DCF Model'!F45/(1+$B24)^('DCF Model'!C19+3)+'DCF Model'!G45/(1+$B24)^('DCF Model'!C19+4)+('DCF Model'!G39+'DCF Model'!G42)*E$17/(1+$B24)^('DCF Model'!C19+4)-'DCF Model'!C16)*1000000/'DCF Model'!C15,0),"")</f>
        <v>4264</v>
      </c>
      <c r="F24" s="37">
        <f>IFERROR(ROUND(('DCF Model'!C45/(1+$B24)^('DCF Model'!C19+0)+'DCF Model'!D45/(1+$B24)^('DCF Model'!C19+1)+'DCF Model'!E45/(1+$B24)^('DCF Model'!C19+2)+'DCF Model'!F45/(1+$B24)^('DCF Model'!C19+3)+'DCF Model'!G45/(1+$B24)^('DCF Model'!C19+4)+('DCF Model'!G39+'DCF Model'!G42)*F$17/(1+$B24)^('DCF Model'!C19+4)-'DCF Model'!C16)*1000000/'DCF Model'!C15,0),"")</f>
        <v>4545</v>
      </c>
      <c r="G24" s="37">
        <f>IFERROR(ROUND(('DCF Model'!C45/(1+$B24)^('DCF Model'!C19+0)+'DCF Model'!D45/(1+$B24)^('DCF Model'!C19+1)+'DCF Model'!E45/(1+$B24)^('DCF Model'!C19+2)+'DCF Model'!F45/(1+$B24)^('DCF Model'!C19+3)+'DCF Model'!G45/(1+$B24)^('DCF Model'!C19+4)+('DCF Model'!G39+'DCF Model'!G42)*G$17/(1+$B24)^('DCF Model'!C19+4)-'DCF Model'!C16)*1000000/'DCF Model'!C15,0),"")</f>
        <v>4826</v>
      </c>
      <c r="H24" s="37">
        <f>IFERROR(ROUND(('DCF Model'!C45/(1+$B24)^('DCF Model'!C19+0)+'DCF Model'!D45/(1+$B24)^('DCF Model'!C19+1)+'DCF Model'!E45/(1+$B24)^('DCF Model'!C19+2)+'DCF Model'!F45/(1+$B24)^('DCF Model'!C19+3)+'DCF Model'!G45/(1+$B24)^('DCF Model'!C19+4)+('DCF Model'!G39+'DCF Model'!G42)*H$17/(1+$B24)^('DCF Model'!C19+4)-'DCF Model'!C16)*1000000/'DCF Model'!C15,0),"")</f>
        <v>5107</v>
      </c>
      <c r="I24" s="37">
        <f>IFERROR(ROUND(('DCF Model'!C45/(1+$B24)^('DCF Model'!C19+0)+'DCF Model'!D45/(1+$B24)^('DCF Model'!C19+1)+'DCF Model'!E45/(1+$B24)^('DCF Model'!C19+2)+'DCF Model'!F45/(1+$B24)^('DCF Model'!C19+3)+'DCF Model'!G45/(1+$B24)^('DCF Model'!C19+4)+('DCF Model'!G39+'DCF Model'!G42)*I$17/(1+$B24)^('DCF Model'!C19+4)-'DCF Model'!C16)*1000000/'DCF Model'!C15,0),"")</f>
        <v>5388</v>
      </c>
    </row>
    <row r="26" spans="2:9" ht="14" customHeight="1"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12" spans="2:7" ht="14" customHeight="1" x14ac:dyDescent="0.3">
      <c r="B12" s="8" t="s">
        <v>262</v>
      </c>
    </row>
    <row r="13" spans="2:7" ht="14" customHeight="1" x14ac:dyDescent="0.3">
      <c r="B13" s="10" t="s">
        <v>263</v>
      </c>
      <c r="C13" s="10" t="s">
        <v>264</v>
      </c>
    </row>
    <row r="14" spans="2:7" ht="14" customHeight="1" x14ac:dyDescent="0.3">
      <c r="B14" s="4" t="s">
        <v>265</v>
      </c>
      <c r="C14" t="s">
        <v>266</v>
      </c>
    </row>
    <row r="15" spans="2:7" ht="14" customHeight="1" x14ac:dyDescent="0.3">
      <c r="B15" s="4" t="s">
        <v>267</v>
      </c>
      <c r="C15" t="s">
        <v>268</v>
      </c>
    </row>
    <row r="16" spans="2:7" ht="14" customHeight="1" x14ac:dyDescent="0.3">
      <c r="B16" s="4" t="s">
        <v>269</v>
      </c>
      <c r="C16" t="s">
        <v>270</v>
      </c>
    </row>
    <row r="17" spans="2:3" ht="14" customHeight="1" x14ac:dyDescent="0.3">
      <c r="B17" s="4" t="s">
        <v>271</v>
      </c>
      <c r="C17" t="s">
        <v>268</v>
      </c>
    </row>
    <row r="18" spans="2:3" ht="14" customHeight="1" x14ac:dyDescent="0.3">
      <c r="B18" s="4" t="s">
        <v>272</v>
      </c>
      <c r="C18" t="s">
        <v>273</v>
      </c>
    </row>
    <row r="19" spans="2:3" ht="14" customHeight="1" x14ac:dyDescent="0.3">
      <c r="B19" s="4" t="s">
        <v>274</v>
      </c>
      <c r="C19" t="s">
        <v>275</v>
      </c>
    </row>
    <row r="20" spans="2:3" ht="14" customHeight="1" x14ac:dyDescent="0.3">
      <c r="B20" s="4" t="s">
        <v>276</v>
      </c>
      <c r="C20" t="s">
        <v>277</v>
      </c>
    </row>
    <row r="21" spans="2:3" ht="14" customHeight="1" x14ac:dyDescent="0.3">
      <c r="B21" s="4" t="s">
        <v>278</v>
      </c>
      <c r="C21" t="s">
        <v>279</v>
      </c>
    </row>
    <row r="22" spans="2:3" ht="14" customHeight="1" x14ac:dyDescent="0.3">
      <c r="B22" s="4" t="s">
        <v>280</v>
      </c>
      <c r="C22" t="s">
        <v>47</v>
      </c>
    </row>
    <row r="23" spans="2:3" ht="14" customHeight="1" x14ac:dyDescent="0.3">
      <c r="B23" s="4" t="s">
        <v>281</v>
      </c>
      <c r="C23" t="s">
        <v>4</v>
      </c>
    </row>
    <row r="24" spans="2:3" ht="14" customHeight="1" x14ac:dyDescent="0.3">
      <c r="B24" s="4" t="s">
        <v>282</v>
      </c>
      <c r="C24" t="s">
        <v>252</v>
      </c>
    </row>
    <row r="25" spans="2:3" ht="14" customHeight="1" x14ac:dyDescent="0.3">
      <c r="B25" s="4" t="s">
        <v>283</v>
      </c>
      <c r="C25" t="s">
        <v>284</v>
      </c>
    </row>
    <row r="26" spans="2:3" ht="14" customHeight="1" x14ac:dyDescent="0.3">
      <c r="B26" s="4" t="s">
        <v>285</v>
      </c>
      <c r="C26" t="s">
        <v>273</v>
      </c>
    </row>
    <row r="27" spans="2:3" ht="14" customHeight="1" x14ac:dyDescent="0.3">
      <c r="B27" s="4" t="s">
        <v>286</v>
      </c>
      <c r="C27" t="s">
        <v>273</v>
      </c>
    </row>
    <row r="28" spans="2:3" ht="14" customHeight="1" x14ac:dyDescent="0.3">
      <c r="B28" s="4" t="s">
        <v>287</v>
      </c>
      <c r="C28" t="s">
        <v>288</v>
      </c>
    </row>
    <row r="29" spans="2:3" ht="14" customHeight="1" x14ac:dyDescent="0.3">
      <c r="B29" s="4" t="s">
        <v>289</v>
      </c>
      <c r="C29" t="s">
        <v>290</v>
      </c>
    </row>
    <row r="30" spans="2:3" ht="14" customHeight="1" x14ac:dyDescent="0.3">
      <c r="B30" s="4" t="s">
        <v>291</v>
      </c>
      <c r="C30" t="s">
        <v>292</v>
      </c>
    </row>
    <row r="31" spans="2:3" ht="14" customHeight="1" x14ac:dyDescent="0.3">
      <c r="B31" s="4" t="s">
        <v>293</v>
      </c>
      <c r="C31" t="s">
        <v>288</v>
      </c>
    </row>
    <row r="32" spans="2:3" ht="14" customHeight="1" x14ac:dyDescent="0.3">
      <c r="B32" s="4" t="s">
        <v>294</v>
      </c>
      <c r="C32" t="s">
        <v>273</v>
      </c>
    </row>
    <row r="33" spans="2:3" ht="14" customHeight="1" x14ac:dyDescent="0.3">
      <c r="B33" s="4" t="s">
        <v>295</v>
      </c>
      <c r="C33" t="s">
        <v>284</v>
      </c>
    </row>
    <row r="34" spans="2:3" ht="14" customHeight="1" x14ac:dyDescent="0.3">
      <c r="B34" s="4" t="s">
        <v>296</v>
      </c>
      <c r="C34" t="s">
        <v>297</v>
      </c>
    </row>
    <row r="35" spans="2:3" ht="14" customHeight="1" x14ac:dyDescent="0.3">
      <c r="B35" s="4" t="s">
        <v>298</v>
      </c>
      <c r="C35" t="s">
        <v>299</v>
      </c>
    </row>
    <row r="36" spans="2:3" ht="14" customHeight="1" x14ac:dyDescent="0.3">
      <c r="B36" s="4" t="s">
        <v>300</v>
      </c>
      <c r="C36" t="s">
        <v>301</v>
      </c>
    </row>
    <row r="37" spans="2:3" ht="14" customHeight="1" x14ac:dyDescent="0.3">
      <c r="B37" s="4" t="s">
        <v>302</v>
      </c>
      <c r="C37" t="s">
        <v>303</v>
      </c>
    </row>
    <row r="38" spans="2:3" ht="14" customHeight="1" x14ac:dyDescent="0.3">
      <c r="B38" s="4" t="s">
        <v>304</v>
      </c>
      <c r="C38" t="s">
        <v>305</v>
      </c>
    </row>
    <row r="39" spans="2:3" ht="14" customHeight="1" x14ac:dyDescent="0.3">
      <c r="B39" s="4" t="s">
        <v>306</v>
      </c>
      <c r="C39" t="s">
        <v>307</v>
      </c>
    </row>
    <row r="40" spans="2:3" ht="14" customHeight="1" x14ac:dyDescent="0.3">
      <c r="B40" s="4" t="s">
        <v>308</v>
      </c>
      <c r="C40" t="s">
        <v>277</v>
      </c>
    </row>
    <row r="41" spans="2:3" ht="14" customHeight="1" x14ac:dyDescent="0.3">
      <c r="B41" s="4" t="s">
        <v>309</v>
      </c>
      <c r="C41" t="s">
        <v>310</v>
      </c>
    </row>
    <row r="42" spans="2:3" ht="14" customHeight="1" x14ac:dyDescent="0.3">
      <c r="B42" s="4" t="s">
        <v>311</v>
      </c>
      <c r="C42" t="s">
        <v>312</v>
      </c>
    </row>
    <row r="43" spans="2:3" ht="14" customHeight="1" x14ac:dyDescent="0.3">
      <c r="B43" s="4" t="s">
        <v>313</v>
      </c>
      <c r="C43" t="s">
        <v>314</v>
      </c>
    </row>
    <row r="44" spans="2:3" ht="14" customHeight="1" x14ac:dyDescent="0.3">
      <c r="B44" s="4" t="s">
        <v>315</v>
      </c>
      <c r="C44" t="s">
        <v>316</v>
      </c>
    </row>
    <row r="45" spans="2:3" ht="14" customHeight="1" x14ac:dyDescent="0.3">
      <c r="B45" s="4" t="s">
        <v>317</v>
      </c>
      <c r="C45" t="s">
        <v>318</v>
      </c>
    </row>
    <row r="46" spans="2:3" ht="14" customHeight="1" x14ac:dyDescent="0.3">
      <c r="B46" s="4" t="s">
        <v>319</v>
      </c>
      <c r="C46" t="s">
        <v>320</v>
      </c>
    </row>
    <row r="47" spans="2:3" ht="14" customHeight="1" x14ac:dyDescent="0.3">
      <c r="B47" s="4" t="s">
        <v>321</v>
      </c>
      <c r="C47" t="s">
        <v>322</v>
      </c>
    </row>
    <row r="48" spans="2:3" ht="14" customHeight="1" x14ac:dyDescent="0.3">
      <c r="B48" s="4" t="s">
        <v>323</v>
      </c>
      <c r="C48" t="s">
        <v>324</v>
      </c>
    </row>
    <row r="49" spans="2:3" ht="14" customHeight="1" x14ac:dyDescent="0.3">
      <c r="B49" s="4" t="s">
        <v>325</v>
      </c>
      <c r="C49" t="s">
        <v>326</v>
      </c>
    </row>
    <row r="50" spans="2:3" ht="14" customHeight="1" x14ac:dyDescent="0.3">
      <c r="B50" s="4" t="s">
        <v>327</v>
      </c>
      <c r="C50" t="s">
        <v>328</v>
      </c>
    </row>
    <row r="51" spans="2:3" ht="14" customHeight="1" x14ac:dyDescent="0.3">
      <c r="B51" s="4" t="s">
        <v>329</v>
      </c>
      <c r="C51" t="s">
        <v>330</v>
      </c>
    </row>
    <row r="52" spans="2:3" ht="14" customHeight="1" x14ac:dyDescent="0.3">
      <c r="B52" s="4" t="s">
        <v>331</v>
      </c>
      <c r="C52" t="s">
        <v>332</v>
      </c>
    </row>
    <row r="53" spans="2:3" ht="14" customHeight="1" x14ac:dyDescent="0.3">
      <c r="B53" s="4" t="s">
        <v>333</v>
      </c>
      <c r="C53" t="s">
        <v>334</v>
      </c>
    </row>
    <row r="54" spans="2:3" ht="14" customHeight="1" x14ac:dyDescent="0.3">
      <c r="B54" s="4" t="s">
        <v>335</v>
      </c>
      <c r="C54" t="s">
        <v>284</v>
      </c>
    </row>
    <row r="55" spans="2:3" ht="14" customHeight="1" x14ac:dyDescent="0.3">
      <c r="B55" s="4" t="s">
        <v>336</v>
      </c>
      <c r="C55" t="s">
        <v>337</v>
      </c>
    </row>
    <row r="56" spans="2:3" ht="14" customHeight="1" x14ac:dyDescent="0.3">
      <c r="B56" s="4" t="s">
        <v>338</v>
      </c>
      <c r="C56" t="s">
        <v>339</v>
      </c>
    </row>
    <row r="57" spans="2:3" ht="14" customHeight="1" x14ac:dyDescent="0.3">
      <c r="B57" s="4" t="s">
        <v>340</v>
      </c>
      <c r="C57" t="s">
        <v>341</v>
      </c>
    </row>
    <row r="58" spans="2:3" ht="14" customHeight="1" x14ac:dyDescent="0.3">
      <c r="B58" s="4" t="s">
        <v>342</v>
      </c>
      <c r="C58" t="s">
        <v>343</v>
      </c>
    </row>
    <row r="59" spans="2:3" ht="14" customHeight="1" x14ac:dyDescent="0.3">
      <c r="B59" s="4" t="s">
        <v>344</v>
      </c>
      <c r="C59" t="s">
        <v>345</v>
      </c>
    </row>
    <row r="60" spans="2:3" ht="14" customHeight="1" x14ac:dyDescent="0.3">
      <c r="B60" s="4" t="s">
        <v>346</v>
      </c>
      <c r="C60"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2026-09-06T10:16:25Z</dcterms:created>
  <dcterms:modified xsi:type="dcterms:W3CDTF">2026-09-06T10:46:20Z</dcterms:modified>
</cp:coreProperties>
</file>