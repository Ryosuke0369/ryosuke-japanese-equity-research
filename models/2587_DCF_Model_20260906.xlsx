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9E6AA97A-D53B-4C0E-A9DF-D6044C92B5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H16" i="6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J6" i="6"/>
  <c r="O5" i="6"/>
  <c r="N5" i="6"/>
  <c r="D5" i="6"/>
  <c r="E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G5" i="5" s="1"/>
  <c r="C25" i="3"/>
  <c r="C24" i="3"/>
  <c r="C23" i="3"/>
  <c r="C26" i="3" s="1"/>
  <c r="F28" i="2"/>
  <c r="E28" i="2"/>
  <c r="D28" i="2"/>
  <c r="C28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F16" i="6" l="1"/>
  <c r="C28" i="6" s="1"/>
  <c r="C19" i="1" s="1"/>
  <c r="D19" i="1" s="1"/>
  <c r="D17" i="6"/>
  <c r="E15" i="6"/>
  <c r="G15" i="6"/>
  <c r="I15" i="6"/>
  <c r="E17" i="6"/>
  <c r="H15" i="6"/>
  <c r="I16" i="6"/>
  <c r="F15" i="6"/>
  <c r="C3" i="7"/>
  <c r="G36" i="4"/>
  <c r="C11" i="4"/>
  <c r="C24" i="4" s="1"/>
  <c r="C25" i="4" s="1"/>
  <c r="G46" i="3"/>
  <c r="F36" i="4"/>
  <c r="F46" i="3"/>
  <c r="D36" i="4"/>
  <c r="D46" i="3"/>
  <c r="C46" i="3"/>
  <c r="E46" i="3"/>
  <c r="H36" i="4"/>
  <c r="E36" i="4"/>
  <c r="C70" i="4"/>
  <c r="C71" i="4"/>
  <c r="J5" i="6"/>
  <c r="K5" i="6"/>
  <c r="H5" i="5"/>
  <c r="D7" i="5"/>
  <c r="I6" i="7"/>
  <c r="F31" i="3"/>
  <c r="D30" i="3"/>
  <c r="G31" i="3"/>
  <c r="E7" i="5"/>
  <c r="L5" i="6"/>
  <c r="D16" i="6"/>
  <c r="F17" i="6"/>
  <c r="C17" i="7"/>
  <c r="C31" i="3"/>
  <c r="E30" i="3"/>
  <c r="C32" i="3"/>
  <c r="D6" i="5"/>
  <c r="F7" i="5"/>
  <c r="M5" i="6"/>
  <c r="E16" i="6"/>
  <c r="G17" i="6"/>
  <c r="C6" i="7"/>
  <c r="D17" i="7"/>
  <c r="F30" i="3"/>
  <c r="D32" i="3"/>
  <c r="E6" i="5"/>
  <c r="G7" i="5"/>
  <c r="D15" i="6"/>
  <c r="H17" i="6"/>
  <c r="D6" i="7"/>
  <c r="E17" i="7"/>
  <c r="F32" i="3"/>
  <c r="C30" i="3"/>
  <c r="C33" i="3" s="1"/>
  <c r="G30" i="3"/>
  <c r="E32" i="3"/>
  <c r="D5" i="5"/>
  <c r="F6" i="5"/>
  <c r="H7" i="5"/>
  <c r="G16" i="6"/>
  <c r="I17" i="6"/>
  <c r="E6" i="7"/>
  <c r="F17" i="7"/>
  <c r="F6" i="7"/>
  <c r="G17" i="7"/>
  <c r="E5" i="5"/>
  <c r="G6" i="5"/>
  <c r="D31" i="3"/>
  <c r="G32" i="3"/>
  <c r="F5" i="5"/>
  <c r="H6" i="5"/>
  <c r="G6" i="7"/>
  <c r="H17" i="7"/>
  <c r="E31" i="3"/>
  <c r="C29" i="4" l="1"/>
  <c r="C26" i="4"/>
  <c r="C27" i="4"/>
  <c r="D9" i="5"/>
  <c r="D12" i="5" s="1"/>
  <c r="C42" i="3"/>
  <c r="C34" i="3"/>
  <c r="D10" i="5" s="1"/>
  <c r="C37" i="3"/>
  <c r="D33" i="3"/>
  <c r="D45" i="4"/>
  <c r="D39" i="4"/>
  <c r="D46" i="4"/>
  <c r="D40" i="4"/>
  <c r="D44" i="4"/>
  <c r="D43" i="4"/>
  <c r="D38" i="4"/>
  <c r="D41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C27" i="6"/>
  <c r="C18" i="1" s="1"/>
  <c r="D18" i="1" s="1"/>
  <c r="C74" i="4"/>
  <c r="F43" i="4"/>
  <c r="F46" i="4"/>
  <c r="F44" i="4"/>
  <c r="F38" i="4"/>
  <c r="F48" i="4" s="1"/>
  <c r="F53" i="4" s="1"/>
  <c r="F41" i="4"/>
  <c r="F51" i="4" s="1"/>
  <c r="F56" i="4" s="1"/>
  <c r="F45" i="4"/>
  <c r="F40" i="4"/>
  <c r="F39" i="4"/>
  <c r="F49" i="4" s="1"/>
  <c r="E39" i="4"/>
  <c r="E43" i="4"/>
  <c r="E46" i="4"/>
  <c r="E40" i="4"/>
  <c r="E44" i="4"/>
  <c r="E38" i="4"/>
  <c r="E48" i="4" s="1"/>
  <c r="E53" i="4" s="1"/>
  <c r="E41" i="4"/>
  <c r="E51" i="4" s="1"/>
  <c r="E56" i="4" s="1"/>
  <c r="E45" i="4"/>
  <c r="H40" i="4"/>
  <c r="H44" i="4"/>
  <c r="H38" i="4"/>
  <c r="H41" i="4"/>
  <c r="H45" i="4"/>
  <c r="H39" i="4"/>
  <c r="H49" i="4" s="1"/>
  <c r="H54" i="4" s="1"/>
  <c r="H43" i="4"/>
  <c r="H46" i="4"/>
  <c r="G46" i="4"/>
  <c r="G40" i="4"/>
  <c r="G38" i="4"/>
  <c r="G41" i="4"/>
  <c r="G45" i="4"/>
  <c r="G39" i="4"/>
  <c r="G43" i="4"/>
  <c r="G44" i="4"/>
  <c r="D48" i="4" l="1"/>
  <c r="D53" i="4" s="1"/>
  <c r="G49" i="4"/>
  <c r="G54" i="4" s="1"/>
  <c r="H51" i="4"/>
  <c r="H56" i="4" s="1"/>
  <c r="D15" i="5"/>
  <c r="D16" i="5" s="1"/>
  <c r="D13" i="5"/>
  <c r="D14" i="5" s="1"/>
  <c r="D18" i="5" s="1"/>
  <c r="D19" i="5" s="1"/>
  <c r="C44" i="3" s="1"/>
  <c r="G48" i="4"/>
  <c r="G53" i="4" s="1"/>
  <c r="H48" i="4"/>
  <c r="H53" i="4" s="1"/>
  <c r="D50" i="4"/>
  <c r="D55" i="4" s="1"/>
  <c r="E9" i="5"/>
  <c r="E12" i="5" s="1"/>
  <c r="D34" i="3"/>
  <c r="E10" i="5" s="1"/>
  <c r="D37" i="3"/>
  <c r="D42" i="3"/>
  <c r="E33" i="3"/>
  <c r="G51" i="4"/>
  <c r="G56" i="4" s="1"/>
  <c r="E50" i="4"/>
  <c r="E55" i="4" s="1"/>
  <c r="G50" i="4"/>
  <c r="G55" i="4" s="1"/>
  <c r="H50" i="4"/>
  <c r="H55" i="4" s="1"/>
  <c r="E49" i="4"/>
  <c r="E54" i="4" s="1"/>
  <c r="D49" i="4"/>
  <c r="D54" i="4" s="1"/>
  <c r="F54" i="4"/>
  <c r="B78" i="4" s="1"/>
  <c r="C60" i="4"/>
  <c r="F50" i="4"/>
  <c r="F55" i="4" s="1"/>
  <c r="D51" i="4"/>
  <c r="D56" i="4" s="1"/>
  <c r="C35" i="3"/>
  <c r="E13" i="5" l="1"/>
  <c r="E15" i="5"/>
  <c r="E16" i="5" s="1"/>
  <c r="E14" i="5"/>
  <c r="E18" i="5" s="1"/>
  <c r="E19" i="5" s="1"/>
  <c r="D44" i="3" s="1"/>
  <c r="C36" i="3"/>
  <c r="C38" i="3"/>
  <c r="C39" i="3"/>
  <c r="C65" i="4"/>
  <c r="D65" i="4" s="1"/>
  <c r="C64" i="4"/>
  <c r="D64" i="4" s="1"/>
  <c r="C67" i="4"/>
  <c r="D67" i="4" s="1"/>
  <c r="C63" i="4"/>
  <c r="D63" i="4" s="1"/>
  <c r="C66" i="4"/>
  <c r="D66" i="4" s="1"/>
  <c r="F9" i="5"/>
  <c r="F12" i="5" s="1"/>
  <c r="E42" i="3"/>
  <c r="E34" i="3"/>
  <c r="F10" i="5" s="1"/>
  <c r="E37" i="3"/>
  <c r="E35" i="3"/>
  <c r="F33" i="3"/>
  <c r="D35" i="3"/>
  <c r="E39" i="3" l="1"/>
  <c r="E38" i="3"/>
  <c r="E36" i="3"/>
  <c r="F13" i="5"/>
  <c r="F14" i="5" s="1"/>
  <c r="F18" i="5" s="1"/>
  <c r="F19" i="5" s="1"/>
  <c r="E44" i="3" s="1"/>
  <c r="F15" i="5"/>
  <c r="F16" i="5" s="1"/>
  <c r="C40" i="3"/>
  <c r="C41" i="3" s="1"/>
  <c r="C45" i="3" s="1"/>
  <c r="D36" i="3"/>
  <c r="D39" i="3"/>
  <c r="D38" i="3"/>
  <c r="F42" i="3"/>
  <c r="F34" i="3"/>
  <c r="G10" i="5" s="1"/>
  <c r="F37" i="3"/>
  <c r="G33" i="3"/>
  <c r="G9" i="5"/>
  <c r="G12" i="5" s="1"/>
  <c r="F35" i="3" l="1"/>
  <c r="C47" i="3"/>
  <c r="E40" i="3"/>
  <c r="E41" i="3" s="1"/>
  <c r="E45" i="3" s="1"/>
  <c r="E47" i="3" s="1"/>
  <c r="G37" i="3"/>
  <c r="G35" i="3"/>
  <c r="G42" i="3"/>
  <c r="C16" i="4"/>
  <c r="C28" i="4" s="1"/>
  <c r="H9" i="5"/>
  <c r="H12" i="5" s="1"/>
  <c r="G34" i="3"/>
  <c r="H10" i="5" s="1"/>
  <c r="F38" i="3"/>
  <c r="F36" i="3"/>
  <c r="F39" i="3"/>
  <c r="D40" i="3"/>
  <c r="D41" i="3" s="1"/>
  <c r="D45" i="3" s="1"/>
  <c r="G13" i="5"/>
  <c r="G14" i="5" s="1"/>
  <c r="G18" i="5" s="1"/>
  <c r="G19" i="5" s="1"/>
  <c r="F44" i="3" s="1"/>
  <c r="G15" i="5"/>
  <c r="G16" i="5" s="1"/>
  <c r="D47" i="3" l="1"/>
  <c r="G38" i="3"/>
  <c r="G36" i="3"/>
  <c r="G39" i="3"/>
  <c r="F40" i="3"/>
  <c r="F41" i="3" s="1"/>
  <c r="F45" i="3" s="1"/>
  <c r="H15" i="5"/>
  <c r="H16" i="5" s="1"/>
  <c r="H13" i="5"/>
  <c r="H14" i="5"/>
  <c r="C72" i="4"/>
  <c r="C73" i="4"/>
  <c r="H18" i="5" l="1"/>
  <c r="H19" i="5" s="1"/>
  <c r="G44" i="3" s="1"/>
  <c r="F47" i="3"/>
  <c r="C8" i="7"/>
  <c r="C11" i="7"/>
  <c r="G19" i="7"/>
  <c r="F21" i="7"/>
  <c r="D23" i="7"/>
  <c r="E18" i="7"/>
  <c r="G10" i="7"/>
  <c r="C21" i="7"/>
  <c r="G21" i="7"/>
  <c r="E12" i="7"/>
  <c r="C22" i="7"/>
  <c r="H18" i="7"/>
  <c r="I23" i="7"/>
  <c r="G24" i="7"/>
  <c r="F12" i="7"/>
  <c r="G40" i="3"/>
  <c r="C59" i="3"/>
  <c r="C60" i="3" s="1"/>
  <c r="C61" i="3" s="1"/>
  <c r="G41" i="3"/>
  <c r="G45" i="3" s="1"/>
  <c r="H19" i="7" s="1"/>
  <c r="G12" i="7" l="1"/>
  <c r="D18" i="7"/>
  <c r="F22" i="7"/>
  <c r="F7" i="7"/>
  <c r="E22" i="7"/>
  <c r="E19" i="7"/>
  <c r="F9" i="7"/>
  <c r="D22" i="7"/>
  <c r="I21" i="7"/>
  <c r="C12" i="7"/>
  <c r="D13" i="7"/>
  <c r="H8" i="7"/>
  <c r="C24" i="7"/>
  <c r="E9" i="7"/>
  <c r="C10" i="7"/>
  <c r="E20" i="7"/>
  <c r="H12" i="7"/>
  <c r="F20" i="7"/>
  <c r="C20" i="7"/>
  <c r="F8" i="7"/>
  <c r="C51" i="3"/>
  <c r="C52" i="3" s="1"/>
  <c r="G47" i="3"/>
  <c r="C50" i="3" s="1"/>
  <c r="E23" i="7"/>
  <c r="E11" i="7"/>
  <c r="D10" i="7"/>
  <c r="D8" i="7"/>
  <c r="H22" i="7"/>
  <c r="E7" i="7"/>
  <c r="D19" i="7"/>
  <c r="H13" i="7"/>
  <c r="G9" i="7"/>
  <c r="I18" i="7"/>
  <c r="D20" i="7"/>
  <c r="H20" i="7"/>
  <c r="I9" i="7"/>
  <c r="G11" i="7"/>
  <c r="C23" i="7"/>
  <c r="I20" i="7"/>
  <c r="I11" i="7"/>
  <c r="F13" i="7"/>
  <c r="F18" i="7"/>
  <c r="F11" i="7"/>
  <c r="D12" i="7"/>
  <c r="H23" i="7"/>
  <c r="H10" i="7"/>
  <c r="F19" i="7"/>
  <c r="C7" i="7"/>
  <c r="H24" i="7"/>
  <c r="D7" i="7"/>
  <c r="I19" i="7"/>
  <c r="G20" i="7"/>
  <c r="F24" i="7"/>
  <c r="D9" i="7"/>
  <c r="F23" i="7"/>
  <c r="H9" i="7"/>
  <c r="C19" i="7"/>
  <c r="H7" i="7"/>
  <c r="E10" i="7"/>
  <c r="I24" i="7"/>
  <c r="F10" i="7"/>
  <c r="C9" i="7"/>
  <c r="G13" i="7"/>
  <c r="D11" i="7"/>
  <c r="I7" i="7"/>
  <c r="C13" i="7"/>
  <c r="G8" i="7"/>
  <c r="I10" i="7"/>
  <c r="C18" i="7"/>
  <c r="G22" i="7"/>
  <c r="I12" i="7"/>
  <c r="H21" i="7"/>
  <c r="H11" i="7"/>
  <c r="E21" i="7"/>
  <c r="D21" i="7"/>
  <c r="E13" i="7"/>
  <c r="D24" i="7"/>
  <c r="G18" i="7"/>
  <c r="E8" i="7"/>
  <c r="I8" i="7"/>
  <c r="I13" i="7"/>
  <c r="G7" i="7"/>
  <c r="I22" i="7"/>
  <c r="G23" i="7"/>
  <c r="E24" i="7"/>
  <c r="C53" i="3" l="1"/>
  <c r="C58" i="3"/>
  <c r="C62" i="3" s="1"/>
  <c r="C63" i="3" l="1"/>
  <c r="C64" i="3" s="1"/>
  <c r="C17" i="1" s="1"/>
  <c r="D17" i="1" s="1"/>
  <c r="C17" i="4"/>
  <c r="C54" i="3"/>
  <c r="C55" i="3" s="1"/>
  <c r="C16" i="1" s="1"/>
  <c r="C10" i="1" l="1"/>
  <c r="C12" i="1" s="1"/>
  <c r="C11" i="1" s="1"/>
  <c r="D16" i="1"/>
  <c r="C21" i="1"/>
  <c r="C19" i="4"/>
  <c r="C20" i="4" s="1"/>
  <c r="B79" i="4" s="1"/>
</calcChain>
</file>

<file path=xl/sharedStrings.xml><?xml version="1.0" encoding="utf-8"?>
<sst xmlns="http://schemas.openxmlformats.org/spreadsheetml/2006/main" count="445" uniqueCount="360">
  <si>
    <t>DISCLAIMER: This is a sample analysis for demonstration purposes only. It does not constitute investment advice.</t>
  </si>
  <si>
    <t>サントリー食品インターナショナル (2587.T)</t>
  </si>
  <si>
    <t>Equity Research Report</t>
  </si>
  <si>
    <t>Company</t>
  </si>
  <si>
    <t>サントリー食品インターナショナル</t>
  </si>
  <si>
    <t>Ticker</t>
  </si>
  <si>
    <t>2587.T (TSE Prime)</t>
  </si>
  <si>
    <t>Sector</t>
  </si>
  <si>
    <t>食料品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</si>
  <si>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</si>
  <si>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</si>
  <si>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</si>
  <si>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</si>
  <si>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</si>
  <si>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</si>
  <si>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</si>
  <si>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</si>
  <si>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</si>
  <si>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</si>
  <si>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</si>
  <si>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</si>
  <si>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</si>
  <si>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</si>
  <si>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</si>
  <si>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</si>
  <si>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</si>
  <si>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</si>
  <si>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</si>
  <si>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</si>
  <si>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</si>
  <si>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</si>
  <si>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サントリー食品インターナショナル - Historical Financials (JPY mn)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</si>
  <si>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</si>
  <si>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</si>
  <si>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</si>
  <si>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</si>
  <si>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</si>
  <si>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</si>
  <si>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</si>
  <si>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</si>
  <si>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</si>
  <si>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</si>
  <si>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</si>
  <si>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</si>
  <si>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</si>
  <si>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</si>
  <si>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</si>
  <si>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</si>
  <si>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</si>
  <si>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</si>
  <si>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</si>
  <si>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</si>
  <si>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</si>
  <si>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</si>
  <si>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</si>
  <si>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</si>
  <si>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</si>
  <si>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</si>
  <si>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</si>
  <si>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</si>
  <si>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サントリー食品インターナショナル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</si>
  <si>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</si>
  <si>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</si>
  <si>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</si>
  <si>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</si>
  <si>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</si>
  <si>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</si>
  <si>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</si>
  <si>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</si>
  <si>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</si>
  <si>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</si>
  <si>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</si>
  <si>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</si>
  <si>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</si>
  <si>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</si>
  <si>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</si>
  <si>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</si>
  <si>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</si>
  <si>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</si>
  <si>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</si>
  <si>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</si>
  <si>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</si>
  <si>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</si>
  <si>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</si>
  <si>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</si>
  <si>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</si>
  <si>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</si>
  <si>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</si>
  <si>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</si>
  <si>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</si>
  <si>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</si>
  <si>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</si>
  <si>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</si>
  <si>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</si>
  <si>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</si>
  <si>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</si>
  <si>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</si>
  <si>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</si>
  <si>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</si>
  <si>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</si>
  <si>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</si>
  <si>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</si>
  <si>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</si>
  <si>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</si>
  <si>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</si>
  <si>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</si>
  <si>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</si>
  <si>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</si>
  <si>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</si>
  <si>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</si>
  <si>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</si>
  <si>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</si>
  <si>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</si>
  <si>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</si>
  <si>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</si>
  <si>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</si>
  <si>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</si>
  <si>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</si>
  <si>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</si>
  <si>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</si>
  <si>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</si>
  <si>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</si>
  <si>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</si>
  <si>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</si>
  <si>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</si>
  <si>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サントリー食品インターナショナル (2587.T)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</si>
  <si>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</si>
  <si>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</si>
  <si>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</si>
  <si>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</si>
  <si>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</si>
  <si>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</si>
  <si>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</si>
  <si>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</si>
  <si>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(FY2025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</si>
  <si>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</si>
  <si>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</si>
  <si>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</si>
  <si>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</si>
  <si>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</si>
  <si>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</si>
  <si>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</si>
  <si>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</si>
  <si>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</si>
  <si>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</si>
  <si>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</si>
  <si>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FY2025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</si>
  <si>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</si>
  <si>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</si>
  <si>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</si>
  <si>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</si>
  <si>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</si>
  <si>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</si>
  <si>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</si>
  <si>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</si>
  <si>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</si>
  <si>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</si>
  <si>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</si>
  <si>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</si>
  <si>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</si>
  <si>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</si>
  <si>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</si>
  <si>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</si>
  <si>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</si>
  <si>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</si>
  <si>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</si>
  <si>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</si>
  <si>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</si>
  <si>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</si>
  <si>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</si>
  <si>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</si>
  <si>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</si>
  <si>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</si>
  <si>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</si>
  <si>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</si>
  <si>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</si>
  <si>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</si>
  <si>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サントリー食品インターナショナル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</si>
  <si>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</si>
  <si>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</si>
  <si>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</si>
  <si>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</si>
  <si>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</si>
  <si>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</si>
  <si>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</si>
  <si>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</si>
  <si>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</si>
  <si>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</si>
  <si>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</si>
  <si>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</si>
  <si>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</si>
  <si>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</si>
  <si>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</si>
  <si>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</si>
  <si>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</si>
  <si>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</si>
  <si>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</si>
  <si>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</si>
  <si>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</si>
  <si>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</si>
  <si>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</si>
  <si>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</si>
  <si>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</si>
  <si>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</si>
  <si>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</si>
  <si>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</si>
  <si>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</si>
  <si>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</si>
  <si>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</si>
  <si>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</si>
  <si>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</si>
  <si>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</si>
  <si>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Suntory Beverage &amp; Food Limited</t>
  </si>
  <si>
    <t>2587.T</t>
  </si>
  <si>
    <t>Asahi Group Holdings, Ltd.</t>
  </si>
  <si>
    <t>2502.T</t>
  </si>
  <si>
    <t>Kikkoman Corporation</t>
  </si>
  <si>
    <t>2801.T</t>
  </si>
  <si>
    <t>Nissin Foods Holdings Co.,Ltd.</t>
  </si>
  <si>
    <t>2897.T</t>
  </si>
  <si>
    <t>Meiji Holdings Co., Ltd.</t>
  </si>
  <si>
    <t>2269.T</t>
  </si>
  <si>
    <t>Nichirei Corporation</t>
  </si>
  <si>
    <t>2871.T</t>
  </si>
  <si>
    <t>Statistics</t>
  </si>
  <si>
    <t>25th Percentile</t>
  </si>
  <si>
    <t>Median (50th)</t>
  </si>
  <si>
    <t>75th Percentile</t>
  </si>
  <si>
    <t>Implied Valuation for サントリー食品インターナショナル</t>
  </si>
  <si>
    <t>サントリー食品インターナショナル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</si>
  <si>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</si>
  <si>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</si>
  <si>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</si>
  <si>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</si>
  <si>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</si>
  <si>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</si>
  <si>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</si>
  <si>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</si>
  <si>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</si>
  <si>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</si>
  <si>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</si>
  <si>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</si>
  <si>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</si>
  <si>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</si>
  <si>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</si>
  <si>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サントリー食品インターナショナル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</si>
  <si>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</si>
  <si>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</si>
  <si>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</si>
  <si>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</si>
  <si>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</si>
  <si>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</si>
  <si>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</si>
  <si>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</si>
  <si>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18:41, template rev 63983ab</t>
  </si>
  <si>
    <t>初期生成（手修正なし）</t>
  </si>
  <si>
    <t>generated</t>
  </si>
  <si>
    <t>DCF Model!C11</t>
  </si>
  <si>
    <t>After-tax Cost of Debt = 15.92% (実績ベース)</t>
  </si>
  <si>
    <t>実績Kd = 支払利息4,528 ÷ 平均有利子負債21,336(期首27,216/期末15,456、debt_beginning/debt_ending) = 税引前21.22% × (1−25.0%) = 15.92%。【マージナルコスト注記】これは既存借入の実績平均コストであり、新規調達の限界コストではない。テンプレ既定(税引前2.8%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</si>
  <si>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</si>
  <si>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</si>
  <si>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</si>
  <si>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0.525（採用値）</t>
  </si>
  <si>
    <t>実測β(raw) = 0.291 → Blume調整 0.67×raw + 0.33×1.00 = 0.525 → 採用 0.525。クランプ域 [0.3, 2.0] の内側。置換なし。回帰βは平均回帰するため Blume 調整を既定とする（2026-09-05 バッチで85件中57件が旧下限 0.60 に張り付き、両裾の歪みが実証された）。</t>
  </si>
  <si>
    <t>実測 0.291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</si>
  <si>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</si>
  <si>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</si>
  <si>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</si>
  <si>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</si>
  <si>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</si>
  <si>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</si>
  <si>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</si>
  <si>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0.5252</t>
  </si>
  <si>
    <t>beta_basis</t>
  </si>
  <si>
    <t>Blume: 0.67 x 0.291 + 0.33 x 1.00 = 0.525</t>
  </si>
  <si>
    <t>beta_blume_adjusted</t>
  </si>
  <si>
    <t>beta_clamped</t>
  </si>
  <si>
    <t>no</t>
  </si>
  <si>
    <t>beta_raw</t>
  </si>
  <si>
    <t>0.2914</t>
  </si>
  <si>
    <t>capex_pct_basis</t>
  </si>
  <si>
    <t>explicit_override</t>
  </si>
  <si>
    <t>capex_pct_c5</t>
  </si>
  <si>
    <t>0.051135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</si>
  <si>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</si>
  <si>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</si>
  <si>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</si>
  <si>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</si>
  <si>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</si>
  <si>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</si>
  <si>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</si>
  <si>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</si>
  <si>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</si>
  <si>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</si>
  <si>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</si>
  <si>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</si>
  <si>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</si>
  <si>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</si>
  <si>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</si>
  <si>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</si>
  <si>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</si>
  <si>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</si>
  <si>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</si>
  <si>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</si>
  <si>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</si>
  <si>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232403.0</t>
  </si>
  <si>
    <t>core_net_income</t>
  </si>
  <si>
    <t>88723.0</t>
  </si>
  <si>
    <t>cost_of_debt_actual</t>
  </si>
  <si>
    <t>interest 4,528 (expense 4,528 + fees 0) / avg debt 21,336 (debt_beginning/debt_ending) = 0.212223 pre-tax -&gt; 0.159200 after-tax</t>
  </si>
  <si>
    <t>cost_of_debt_at_c11</t>
  </si>
  <si>
    <t>0.1592</t>
  </si>
  <si>
    <t>cost_of_debt_avg_debt</t>
  </si>
  <si>
    <t>21336.0</t>
  </si>
  <si>
    <t>cost_of_debt_basis</t>
  </si>
  <si>
    <t>actual</t>
  </si>
  <si>
    <t>cost_of_debt_interest</t>
  </si>
  <si>
    <t>4528.0</t>
  </si>
  <si>
    <t>cost_of_debt_pretax</t>
  </si>
  <si>
    <t>0.21222347206599176</t>
  </si>
  <si>
    <t>da_pct_basis</t>
  </si>
  <si>
    <t>da_pct_c18</t>
  </si>
  <si>
    <t>0.0487</t>
  </si>
  <si>
    <t>da_pct_hist3yr</t>
  </si>
  <si>
    <t>0.046669</t>
  </si>
  <si>
    <t>fs_year_coverage</t>
  </si>
  <si>
    <t>OCF 4/4, Cash 4/4, Debt 4/4</t>
  </si>
  <si>
    <t>fs_year_map</t>
  </si>
  <si>
    <t>FY2022&lt;-FY2022[ocf+cash+debt]; FY2023&lt;-FY2023[ocf+cash+debt]; FY2024&lt;-FY2024[ocf+cash+debt]; FY2025&lt;-FY2025[ocf+cash+debt]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</si>
  <si>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</si>
  <si>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</si>
  <si>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</si>
  <si>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</si>
  <si>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</si>
  <si>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18:41:16</t>
  </si>
  <si>
    <t>guidance_note</t>
  </si>
  <si>
    <t>TDnet 決算短信 via screener guidance table: FY2026 disclosed 2026-08-06 (net_income=89,000mn, operating_income=155,000mn, revenue=1,826,000mn)</t>
  </si>
  <si>
    <t>guidance_source</t>
  </si>
  <si>
    <t>tdnet_screener_db</t>
  </si>
  <si>
    <t>latest_operating_income</t>
  </si>
  <si>
    <t>148793.0</t>
  </si>
  <si>
    <t>ltm_revenue_c20</t>
  </si>
  <si>
    <t>1808906.0</t>
  </si>
  <si>
    <t>ltm_revenue_source</t>
  </si>
  <si>
    <t>LTM row</t>
  </si>
  <si>
    <t>market_data_source</t>
  </si>
  <si>
    <t>yfinance; from overrides: beta, current_price, shares_outstanding</t>
  </si>
  <si>
    <t>narrative_tokens_used</t>
  </si>
  <si>
    <t>net_debt_source</t>
  </si>
  <si>
    <t>EDINET net_debt</t>
  </si>
  <si>
    <t>reverse_dcf_sheet</t>
  </si>
  <si>
    <t>op0=148,793(FY2025) peak=160,110(FY2024) peak_opm=0.0944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</si>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</sst>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4514</v>
      </c>
    </row>
    <row r="10" spans="2:5" ht="14" x14ac:dyDescent="0.3">
      <c r="B10" s="4" t="s">
        <v>10</v>
      </c>
      <c r="C10" s="5">
        <f>IF(COUNT(C16:C17)=0,"N/A",ROUND(AVERAGE(C16:C17),0))</f>
        <v>8078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0.78954364200265836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6977</v>
      </c>
      <c r="D16" s="7">
        <f>IF(ISNUMBER(C16),(C16-C9)/C9,"N/A")</f>
        <v>0.54563579973416043</v>
      </c>
    </row>
    <row r="17" spans="2:5" ht="13.5" x14ac:dyDescent="0.25">
      <c r="B17" t="s">
        <v>18</v>
      </c>
      <c r="C17" s="11">
        <f>IF('DCF Model'!C62&lt;'DCF Model'!C16,"INVALID (EV &lt; net debt)",'DCF Model'!C64)</f>
        <v>9179</v>
      </c>
      <c r="D17" s="7">
        <f>IF(ISNUMBER(C17),(C17-C9)/C9,"N/A")</f>
        <v>1.0334514842711564</v>
      </c>
    </row>
    <row r="18" spans="2:5" ht="13.5" x14ac:dyDescent="0.25">
      <c r="B18" t="s">
        <v>19</v>
      </c>
      <c r="C18" s="11">
        <f>'Comps Analysis'!C27</f>
        <v>8645</v>
      </c>
      <c r="D18" s="7">
        <f>IF(ISNUMBER(C18),(C18-C9)/C9,"N/A")</f>
        <v>0.91515285777580857</v>
      </c>
    </row>
    <row r="19" spans="2:5" ht="13.5" x14ac:dyDescent="0.25">
      <c r="B19" t="s">
        <v>20</v>
      </c>
      <c r="C19" s="11">
        <f>'Comps Analysis'!C28</f>
        <v>5662</v>
      </c>
      <c r="D19" s="7">
        <f>IF(ISNUMBER(C19),(C19-C9)/C9,"N/A")</f>
        <v>0.25431989366415597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6977 - 9179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1450397</v>
      </c>
      <c r="D6" s="5">
        <v>1591722</v>
      </c>
      <c r="E6" s="5">
        <v>1696765</v>
      </c>
      <c r="F6" s="5">
        <v>1715438</v>
      </c>
    </row>
    <row r="7" spans="2:6" ht="14" x14ac:dyDescent="0.3">
      <c r="B7" s="4" t="s">
        <v>38</v>
      </c>
      <c r="C7" s="5">
        <v>897879</v>
      </c>
      <c r="D7" s="5">
        <v>1001726</v>
      </c>
      <c r="E7" s="5">
        <v>1049885</v>
      </c>
      <c r="F7" s="5">
        <v>1073452</v>
      </c>
    </row>
    <row r="8" spans="2:6" ht="14" x14ac:dyDescent="0.3">
      <c r="B8" s="4" t="s">
        <v>39</v>
      </c>
      <c r="C8" s="5">
        <f>C6-C7</f>
        <v>552518</v>
      </c>
      <c r="D8" s="5">
        <f>D6-D7</f>
        <v>589996</v>
      </c>
      <c r="E8" s="5">
        <f>E6-E7</f>
        <v>646880</v>
      </c>
      <c r="F8" s="5">
        <f>F6-F7</f>
        <v>641986</v>
      </c>
    </row>
    <row r="9" spans="2:6" ht="13.5" x14ac:dyDescent="0.25">
      <c r="B9" t="s">
        <v>40</v>
      </c>
      <c r="C9" s="7">
        <f>C8/C6</f>
        <v>0.38094259709582962</v>
      </c>
      <c r="D9" s="7">
        <f>D8/D6</f>
        <v>0.37066522922972728</v>
      </c>
      <c r="E9" s="7">
        <f>E8/E6</f>
        <v>0.38124313030973644</v>
      </c>
      <c r="F9" s="7">
        <f>F8/F6</f>
        <v>0.37424028149079125</v>
      </c>
    </row>
    <row r="10" spans="2:6" ht="14" x14ac:dyDescent="0.3">
      <c r="B10" s="4" t="s">
        <v>41</v>
      </c>
      <c r="C10" s="5">
        <v>413240</v>
      </c>
      <c r="D10" s="5">
        <v>448242</v>
      </c>
      <c r="E10" s="5">
        <v>486770</v>
      </c>
      <c r="F10" s="5">
        <v>493193</v>
      </c>
    </row>
    <row r="11" spans="2:6" ht="14" x14ac:dyDescent="0.3">
      <c r="B11" s="4" t="s">
        <v>42</v>
      </c>
      <c r="C11" s="5">
        <v>139278</v>
      </c>
      <c r="D11" s="5">
        <v>141754</v>
      </c>
      <c r="E11" s="5">
        <v>160110</v>
      </c>
      <c r="F11" s="5">
        <v>148793</v>
      </c>
    </row>
    <row r="12" spans="2:6" ht="14" x14ac:dyDescent="0.3">
      <c r="B12" s="4" t="s">
        <v>43</v>
      </c>
      <c r="C12" s="5">
        <v>82317</v>
      </c>
      <c r="D12" s="5">
        <v>82743</v>
      </c>
      <c r="E12" s="5">
        <v>93495</v>
      </c>
      <c r="F12" s="5">
        <v>88723</v>
      </c>
    </row>
    <row r="13" spans="2:6" ht="13.5" x14ac:dyDescent="0.25">
      <c r="B13" t="s">
        <v>44</v>
      </c>
      <c r="C13" s="7">
        <f>C11/C6</f>
        <v>9.6027501435813775E-2</v>
      </c>
      <c r="D13" s="7">
        <f>D11/D6</f>
        <v>8.9057008698755186E-2</v>
      </c>
      <c r="E13" s="7">
        <f>E11/E6</f>
        <v>9.4361918120659014E-2</v>
      </c>
      <c r="F13" s="7">
        <f>F11/F6</f>
        <v>8.6737614533431109E-2</v>
      </c>
    </row>
    <row r="14" spans="2:6" ht="13.5" x14ac:dyDescent="0.25">
      <c r="B14" t="s">
        <v>45</v>
      </c>
      <c r="C14" s="7">
        <f>C12/C6</f>
        <v>5.6754805753183438E-2</v>
      </c>
      <c r="D14" s="7">
        <f>D12/D6</f>
        <v>5.1983323721102051E-2</v>
      </c>
      <c r="E14" s="7">
        <f>E12/E6</f>
        <v>5.5101914525582503E-2</v>
      </c>
      <c r="F14" s="7">
        <f>F12/F6</f>
        <v>5.1720318659141278E-2</v>
      </c>
    </row>
    <row r="15" spans="2:6" ht="13.5" x14ac:dyDescent="0.25">
      <c r="B15" t="s">
        <v>46</v>
      </c>
      <c r="C15" t="s">
        <v>47</v>
      </c>
      <c r="D15" s="7">
        <f>(D6-C6)/C6</f>
        <v>9.743883915920952E-2</v>
      </c>
      <c r="E15" s="7">
        <f>(E6-D6)/D6</f>
        <v>6.5993307876626703E-2</v>
      </c>
      <c r="F15" s="7">
        <f>(F6-E6)/E6</f>
        <v>1.1005059628174791E-2</v>
      </c>
    </row>
    <row r="16" spans="2:6" ht="13.5" x14ac:dyDescent="0.25">
      <c r="B16" t="s">
        <v>48</v>
      </c>
      <c r="C16" t="s">
        <v>47</v>
      </c>
      <c r="D16" s="7">
        <f>(D11-C11)/C11</f>
        <v>1.7777394850586596E-2</v>
      </c>
      <c r="E16" s="7">
        <f>(E11-D11)/D11</f>
        <v>0.1294919367354713</v>
      </c>
      <c r="F16" s="7">
        <f>(F11-E11)/E11</f>
        <v>-7.0682655674223965E-2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150509</v>
      </c>
      <c r="D19" s="5">
        <v>158292</v>
      </c>
      <c r="E19" s="5">
        <v>193730</v>
      </c>
      <c r="F19" s="5">
        <v>159307</v>
      </c>
    </row>
    <row r="20" spans="2:6" ht="14" x14ac:dyDescent="0.3">
      <c r="B20" s="4" t="s">
        <v>51</v>
      </c>
      <c r="C20" s="5"/>
      <c r="D20" s="5"/>
      <c r="E20" s="5"/>
      <c r="F20" s="5"/>
    </row>
    <row r="21" spans="2:6" ht="14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200630</v>
      </c>
      <c r="D26" s="5">
        <v>171755</v>
      </c>
      <c r="E26" s="5">
        <v>160493</v>
      </c>
      <c r="F26" s="5">
        <v>148663</v>
      </c>
    </row>
    <row r="27" spans="2:6" ht="14" x14ac:dyDescent="0.3">
      <c r="B27" s="4" t="s">
        <v>57</v>
      </c>
      <c r="C27" s="5">
        <v>122748</v>
      </c>
      <c r="D27" s="5">
        <v>74431</v>
      </c>
      <c r="E27" s="5">
        <v>27216</v>
      </c>
      <c r="F27" s="5">
        <v>15456</v>
      </c>
    </row>
    <row r="28" spans="2:6" ht="14" x14ac:dyDescent="0.3">
      <c r="B28" s="4" t="s">
        <v>58</v>
      </c>
      <c r="C28" s="5">
        <f>C27-C26</f>
        <v>-77882</v>
      </c>
      <c r="D28" s="5">
        <f>D27-D26</f>
        <v>-97324</v>
      </c>
      <c r="E28" s="5">
        <f>E27-E26</f>
        <v>-133277</v>
      </c>
      <c r="F28" s="5">
        <f>F27-F26</f>
        <v>-133207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5.1135E-2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0.5252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0.15920000000000001</v>
      </c>
    </row>
    <row r="12" spans="2:7" ht="14" x14ac:dyDescent="0.3">
      <c r="B12" s="4" t="s">
        <v>69</v>
      </c>
      <c r="C12" s="13">
        <v>0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10.9</v>
      </c>
    </row>
    <row r="15" spans="2:7" ht="14" x14ac:dyDescent="0.3">
      <c r="B15" s="4" t="s">
        <v>72</v>
      </c>
      <c r="C15" s="15">
        <v>308999659</v>
      </c>
    </row>
    <row r="16" spans="2:7" ht="14" x14ac:dyDescent="0.3">
      <c r="B16" s="4" t="s">
        <v>73</v>
      </c>
      <c r="C16" s="5">
        <v>-133207</v>
      </c>
    </row>
    <row r="17" spans="2:7" ht="14" x14ac:dyDescent="0.3">
      <c r="B17" s="4" t="s">
        <v>74</v>
      </c>
      <c r="C17" s="5">
        <v>1715438</v>
      </c>
    </row>
    <row r="18" spans="2:7" ht="14" x14ac:dyDescent="0.3">
      <c r="B18" s="4" t="s">
        <v>75</v>
      </c>
      <c r="C18" s="7">
        <v>4.87E-2</v>
      </c>
    </row>
    <row r="19" spans="2:7" ht="14" x14ac:dyDescent="0.3">
      <c r="B19" s="4" t="s">
        <v>76</v>
      </c>
      <c r="C19" s="12">
        <v>0.5</v>
      </c>
    </row>
    <row r="20" spans="2:7" ht="14" x14ac:dyDescent="0.3">
      <c r="B20" s="4" t="s">
        <v>77</v>
      </c>
      <c r="C20" s="5">
        <v>1808906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7.3838000000000001E-2</v>
      </c>
    </row>
    <row r="24" spans="2:7" ht="14" x14ac:dyDescent="0.3">
      <c r="B24" s="4" t="s">
        <v>80</v>
      </c>
      <c r="C24" s="16">
        <f>1/(1+C12)</f>
        <v>1</v>
      </c>
    </row>
    <row r="25" spans="2:7" ht="14" x14ac:dyDescent="0.3">
      <c r="B25" s="4" t="s">
        <v>81</v>
      </c>
      <c r="C25" s="16">
        <f>C12/(1+C12)</f>
        <v>0</v>
      </c>
    </row>
    <row r="26" spans="2:7" ht="14" x14ac:dyDescent="0.3">
      <c r="B26" s="4" t="s">
        <v>82</v>
      </c>
      <c r="C26" s="16">
        <f>C23*C24+C11*C25</f>
        <v>7.3838000000000001E-2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0.03</v>
      </c>
      <c r="D30" s="18">
        <f>CHOOSE($D$27,D69,D70,D71,D72,D73)</f>
        <v>0.03</v>
      </c>
      <c r="E30" s="18">
        <f>CHOOSE($D$27,E69,E70,E71,E72,E73)</f>
        <v>2.5000000000000001E-2</v>
      </c>
      <c r="F30" s="18">
        <f>CHOOSE($D$27,F69,F70,F71,F72,F73)</f>
        <v>2.5000000000000001E-2</v>
      </c>
      <c r="G30" s="18">
        <f>CHOOSE($D$27,G69,G70,G71,G72,G73)</f>
        <v>0.02</v>
      </c>
    </row>
    <row r="31" spans="2:7" ht="14" x14ac:dyDescent="0.3">
      <c r="B31" s="4" t="s">
        <v>91</v>
      </c>
      <c r="C31" s="18">
        <f>CHOOSE($D$27,C76,C77,C78,C79,C80)</f>
        <v>0.626</v>
      </c>
      <c r="D31" s="18">
        <f>CHOOSE($D$27,D76,D77,D78,D79,D80)</f>
        <v>0.626</v>
      </c>
      <c r="E31" s="18">
        <f>CHOOSE($D$27,E76,E77,E78,E79,E80)</f>
        <v>0.626</v>
      </c>
      <c r="F31" s="18">
        <f>CHOOSE($D$27,F76,F77,F78,F79,F80)</f>
        <v>0.626</v>
      </c>
      <c r="G31" s="18">
        <f>CHOOSE($D$27,G76,G77,G78,G79,G80)</f>
        <v>0.626</v>
      </c>
    </row>
    <row r="32" spans="2:7" ht="14" x14ac:dyDescent="0.3">
      <c r="B32" s="4" t="s">
        <v>92</v>
      </c>
      <c r="C32" s="18">
        <f>CHOOSE($D$27,C83,C84,C85,C86,C87)</f>
        <v>0.28599999999999998</v>
      </c>
      <c r="D32" s="18">
        <f>CHOOSE($D$27,D83,D84,D85,D86,D87)</f>
        <v>0.2848</v>
      </c>
      <c r="E32" s="18">
        <f>CHOOSE($D$27,E83,E84,E85,E86,E87)</f>
        <v>0.28370000000000001</v>
      </c>
      <c r="F32" s="18">
        <f>CHOOSE($D$27,F83,F84,F85,F86,F87)</f>
        <v>0.28289999999999998</v>
      </c>
      <c r="G32" s="18">
        <f>CHOOSE($D$27,G83,G84,G85,G86,G87)</f>
        <v>0.2823</v>
      </c>
    </row>
    <row r="33" spans="2:7" ht="14" x14ac:dyDescent="0.3">
      <c r="B33" s="4" t="s">
        <v>37</v>
      </c>
      <c r="C33" s="5">
        <f>C17*(1+C30)</f>
        <v>1766901.1400000001</v>
      </c>
      <c r="D33" s="5">
        <f>C33*(1+D30)</f>
        <v>1819908.1742000002</v>
      </c>
      <c r="E33" s="5">
        <f>D33*(1+E30)</f>
        <v>1865405.8785550001</v>
      </c>
      <c r="F33" s="5">
        <f>E33*(1+F30)</f>
        <v>1912041.0255188749</v>
      </c>
      <c r="G33" s="5">
        <f>F33*(1+G30)</f>
        <v>1950281.8460292525</v>
      </c>
    </row>
    <row r="34" spans="2:7" ht="14" x14ac:dyDescent="0.3">
      <c r="B34" s="4" t="s">
        <v>38</v>
      </c>
      <c r="C34" s="5">
        <f>C33*C31</f>
        <v>1106080.1136400001</v>
      </c>
      <c r="D34" s="5">
        <f>D33*D31</f>
        <v>1139262.5170492001</v>
      </c>
      <c r="E34" s="5">
        <f>E33*E31</f>
        <v>1167744.0799754302</v>
      </c>
      <c r="F34" s="5">
        <f>F33*F31</f>
        <v>1196937.6819748157</v>
      </c>
      <c r="G34" s="5">
        <f>G33*G31</f>
        <v>1220876.4356143121</v>
      </c>
    </row>
    <row r="35" spans="2:7" ht="14" x14ac:dyDescent="0.3">
      <c r="B35" s="4" t="s">
        <v>39</v>
      </c>
      <c r="C35" s="19">
        <f>C33-C34</f>
        <v>660821.02636000002</v>
      </c>
      <c r="D35" s="19">
        <f>D33-D34</f>
        <v>680645.65715080011</v>
      </c>
      <c r="E35" s="19">
        <f>E33-E34</f>
        <v>697661.79857956991</v>
      </c>
      <c r="F35" s="19">
        <f>F33-F34</f>
        <v>715103.3435440592</v>
      </c>
      <c r="G35" s="19">
        <f>G33-G34</f>
        <v>729405.41041494044</v>
      </c>
    </row>
    <row r="36" spans="2:7" ht="14" x14ac:dyDescent="0.3">
      <c r="B36" s="4" t="s">
        <v>40</v>
      </c>
      <c r="C36" s="7">
        <f>C35/C33</f>
        <v>0.374</v>
      </c>
      <c r="D36" s="7">
        <f>D35/D33</f>
        <v>0.374</v>
      </c>
      <c r="E36" s="7">
        <f>E35/E33</f>
        <v>0.37399999999999994</v>
      </c>
      <c r="F36" s="7">
        <f>F35/F33</f>
        <v>0.374</v>
      </c>
      <c r="G36" s="7">
        <f>G35/G33</f>
        <v>0.374</v>
      </c>
    </row>
    <row r="37" spans="2:7" ht="14" x14ac:dyDescent="0.3">
      <c r="B37" s="4" t="s">
        <v>93</v>
      </c>
      <c r="C37" s="5">
        <f>C33*C32</f>
        <v>505333.72603999998</v>
      </c>
      <c r="D37" s="5">
        <f>D33*D32</f>
        <v>518309.84801216004</v>
      </c>
      <c r="E37" s="5">
        <f>E33*E32</f>
        <v>529215.64774605352</v>
      </c>
      <c r="F37" s="5">
        <f>F33*F32</f>
        <v>540916.40611928969</v>
      </c>
      <c r="G37" s="5">
        <f>G33*G32</f>
        <v>550564.56513405801</v>
      </c>
    </row>
    <row r="38" spans="2:7" ht="14" x14ac:dyDescent="0.3">
      <c r="B38" s="4" t="s">
        <v>94</v>
      </c>
      <c r="C38" s="7">
        <f>(C35-C37)/C33</f>
        <v>8.8000000000000009E-2</v>
      </c>
      <c r="D38" s="7">
        <f>(D35-D37)/D33</f>
        <v>8.9200000000000029E-2</v>
      </c>
      <c r="E38" s="7">
        <f>(E35-E37)/E33</f>
        <v>9.0299999999999936E-2</v>
      </c>
      <c r="F38" s="7">
        <f>(F35-F37)/F33</f>
        <v>9.11E-2</v>
      </c>
      <c r="G38" s="7">
        <f>(G35-G37)/G33</f>
        <v>9.169999999999999E-2</v>
      </c>
    </row>
    <row r="39" spans="2:7" ht="14" x14ac:dyDescent="0.3">
      <c r="B39" s="4" t="s">
        <v>95</v>
      </c>
      <c r="C39" s="19">
        <f>C35-C37</f>
        <v>155487.30032000004</v>
      </c>
      <c r="D39" s="19">
        <f>D35-D37</f>
        <v>162335.80913864006</v>
      </c>
      <c r="E39" s="19">
        <f>E35-E37</f>
        <v>168446.15083351638</v>
      </c>
      <c r="F39" s="19">
        <f>F35-F37</f>
        <v>174186.93742476951</v>
      </c>
      <c r="G39" s="19">
        <f>G35-G37</f>
        <v>178840.84528088244</v>
      </c>
    </row>
    <row r="40" spans="2:7" ht="14" x14ac:dyDescent="0.3">
      <c r="B40" s="4" t="s">
        <v>96</v>
      </c>
      <c r="C40" s="5">
        <f>MAX(0,C39*C6)</f>
        <v>38871.82508000001</v>
      </c>
      <c r="D40" s="5">
        <f>MAX(0,D39*C6)</f>
        <v>40583.952284660016</v>
      </c>
      <c r="E40" s="5">
        <f>MAX(0,E39*C6)</f>
        <v>42111.537708379095</v>
      </c>
      <c r="F40" s="5">
        <f>MAX(0,F39*C6)</f>
        <v>43546.734356192377</v>
      </c>
      <c r="G40" s="5">
        <f>MAX(0,G39*C6)</f>
        <v>44710.211320220609</v>
      </c>
    </row>
    <row r="41" spans="2:7" ht="14" x14ac:dyDescent="0.3">
      <c r="B41" s="4" t="s">
        <v>97</v>
      </c>
      <c r="C41" s="19">
        <f>C39-C40</f>
        <v>116615.47524000003</v>
      </c>
      <c r="D41" s="19">
        <f>D39-D40</f>
        <v>121751.85685398005</v>
      </c>
      <c r="E41" s="19">
        <f>E39-E40</f>
        <v>126334.61312513729</v>
      </c>
      <c r="F41" s="19">
        <f>F39-F40</f>
        <v>130640.20306857713</v>
      </c>
      <c r="G41" s="19">
        <f>G39-G40</f>
        <v>134130.63396066183</v>
      </c>
    </row>
    <row r="42" spans="2:7" ht="14" x14ac:dyDescent="0.3">
      <c r="B42" s="4" t="s">
        <v>98</v>
      </c>
      <c r="C42" s="5">
        <f>C33*C18</f>
        <v>86048.085518000007</v>
      </c>
      <c r="D42" s="5">
        <f>D33*C18</f>
        <v>88629.528083540019</v>
      </c>
      <c r="E42" s="5">
        <f>E33*C18</f>
        <v>90845.266285628502</v>
      </c>
      <c r="F42" s="5">
        <f>F33*C18</f>
        <v>93116.39794276921</v>
      </c>
      <c r="G42" s="5">
        <f>G33*C18</f>
        <v>94978.725901624595</v>
      </c>
    </row>
    <row r="43" spans="2:7" ht="14" x14ac:dyDescent="0.3">
      <c r="B43" s="4" t="s">
        <v>99</v>
      </c>
      <c r="C43" s="5">
        <v>92600</v>
      </c>
      <c r="D43" s="5">
        <v>94400</v>
      </c>
      <c r="E43" s="5">
        <v>96100</v>
      </c>
      <c r="F43" s="5">
        <v>97900</v>
      </c>
      <c r="G43" s="5">
        <v>99700</v>
      </c>
    </row>
    <row r="44" spans="2:7" ht="14" x14ac:dyDescent="0.3">
      <c r="B44" s="4" t="s">
        <v>100</v>
      </c>
      <c r="C44" s="5">
        <f>'NWC Schedule'!D19</f>
        <v>-34581.01109457534</v>
      </c>
      <c r="D44" s="5">
        <f>'NWC Schedule'!E19</f>
        <v>19.169667162874248</v>
      </c>
      <c r="E44" s="5">
        <f>'NWC Schedule'!F19</f>
        <v>16.453964314598124</v>
      </c>
      <c r="F44" s="5">
        <f>'NWC Schedule'!G19</f>
        <v>16.865313422458712</v>
      </c>
      <c r="G44" s="5">
        <f>'NWC Schedule'!H19</f>
        <v>13.829557006480172</v>
      </c>
    </row>
    <row r="45" spans="2:7" ht="14" x14ac:dyDescent="0.3">
      <c r="B45" s="4" t="s">
        <v>101</v>
      </c>
      <c r="C45" s="20">
        <f>C41+C42-C43-C44</f>
        <v>144644.57185257538</v>
      </c>
      <c r="D45" s="20">
        <f>D41+D42-D43-D44</f>
        <v>115962.21527035721</v>
      </c>
      <c r="E45" s="20">
        <f>E41+E42-E43-E44</f>
        <v>121063.42544645118</v>
      </c>
      <c r="F45" s="20">
        <f>F41+F42-F43-F44</f>
        <v>125839.73569792387</v>
      </c>
      <c r="G45" s="20">
        <f>G41+G42-G43-G44</f>
        <v>129395.53030527994</v>
      </c>
    </row>
    <row r="46" spans="2:7" ht="14" x14ac:dyDescent="0.3">
      <c r="B46" s="4" t="s">
        <v>102</v>
      </c>
      <c r="C46" s="21">
        <f>1/(1+C26)^(C19+0)</f>
        <v>0.96500733816082662</v>
      </c>
      <c r="D46" s="21">
        <f>1/(1+C26)^(C19+1)</f>
        <v>0.89865262559233938</v>
      </c>
      <c r="E46" s="21">
        <f>1/(1+C26)^(C19+2)</f>
        <v>0.83686051861858057</v>
      </c>
      <c r="F46" s="21">
        <f>1/(1+C26)^(C19+3)</f>
        <v>0.77931728865860639</v>
      </c>
      <c r="G46" s="21">
        <f>1/(1+C26)^(C19+4)</f>
        <v>0.7257307793713822</v>
      </c>
    </row>
    <row r="47" spans="2:7" ht="14" x14ac:dyDescent="0.3">
      <c r="B47" s="4" t="s">
        <v>103</v>
      </c>
      <c r="C47" s="19">
        <f>C45*C46</f>
        <v>139583.07326286618</v>
      </c>
      <c r="D47" s="19">
        <f>D45*D46</f>
        <v>104209.74922221058</v>
      </c>
      <c r="E47" s="19">
        <f>E45*E46</f>
        <v>101313.201004859</v>
      </c>
      <c r="F47" s="19">
        <f>F45*F46</f>
        <v>98069.081629621665</v>
      </c>
      <c r="G47" s="19">
        <f>G45*G46</f>
        <v>93906.319055624117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537081.42417518154</v>
      </c>
    </row>
    <row r="51" spans="2:7" ht="14" x14ac:dyDescent="0.3">
      <c r="B51" s="4" t="s">
        <v>106</v>
      </c>
      <c r="C51" s="5">
        <f>G45*(1+C13)/(C26-C13)</f>
        <v>2047205.2007947105</v>
      </c>
    </row>
    <row r="52" spans="2:7" ht="14" x14ac:dyDescent="0.3">
      <c r="B52" s="4" t="s">
        <v>107</v>
      </c>
      <c r="C52" s="5">
        <f>C51*G46</f>
        <v>1485719.8259058923</v>
      </c>
    </row>
    <row r="53" spans="2:7" ht="14" x14ac:dyDescent="0.3">
      <c r="B53" s="4" t="s">
        <v>108</v>
      </c>
      <c r="C53" s="5">
        <f>C50+C52</f>
        <v>2022801.250081074</v>
      </c>
    </row>
    <row r="54" spans="2:7" ht="14" x14ac:dyDescent="0.3">
      <c r="B54" s="4" t="s">
        <v>109</v>
      </c>
      <c r="C54" s="5">
        <f>C53-C16</f>
        <v>2156008.250081074</v>
      </c>
    </row>
    <row r="55" spans="2:7" ht="14" x14ac:dyDescent="0.3">
      <c r="B55" s="4" t="s">
        <v>110</v>
      </c>
      <c r="C55" s="24">
        <f>ROUND(C54*1000000/C15,0)</f>
        <v>6977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537081.42417518154</v>
      </c>
    </row>
    <row r="59" spans="2:7" ht="14" x14ac:dyDescent="0.3">
      <c r="B59" s="4" t="s">
        <v>112</v>
      </c>
      <c r="C59" s="5">
        <f>G39+G42</f>
        <v>273819.57118250703</v>
      </c>
    </row>
    <row r="60" spans="2:7" ht="14" x14ac:dyDescent="0.3">
      <c r="B60" s="4" t="s">
        <v>113</v>
      </c>
      <c r="C60" s="5">
        <f>C59*C14</f>
        <v>2984633.3258893266</v>
      </c>
    </row>
    <row r="61" spans="2:7" ht="14" x14ac:dyDescent="0.3">
      <c r="B61" s="4" t="s">
        <v>107</v>
      </c>
      <c r="C61" s="5">
        <f>C60*G46</f>
        <v>2166040.2697354616</v>
      </c>
    </row>
    <row r="62" spans="2:7" ht="14" x14ac:dyDescent="0.3">
      <c r="B62" s="4" t="s">
        <v>108</v>
      </c>
      <c r="C62" s="5">
        <f>C58+C61</f>
        <v>2703121.693910643</v>
      </c>
    </row>
    <row r="63" spans="2:7" ht="14" x14ac:dyDescent="0.3">
      <c r="B63" s="4" t="s">
        <v>109</v>
      </c>
      <c r="C63" s="5">
        <f>C62-C16</f>
        <v>2836328.693910643</v>
      </c>
    </row>
    <row r="64" spans="2:7" ht="14" x14ac:dyDescent="0.3">
      <c r="B64" s="4" t="s">
        <v>114</v>
      </c>
      <c r="C64" s="24">
        <f>ROUND(C63*1000000/C15,0)</f>
        <v>9179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0.03</v>
      </c>
      <c r="D69" s="26">
        <v>0.03</v>
      </c>
      <c r="E69" s="26">
        <v>2.5000000000000001E-2</v>
      </c>
      <c r="F69" s="26">
        <v>2.5000000000000001E-2</v>
      </c>
      <c r="G69" s="26">
        <v>0.02</v>
      </c>
    </row>
    <row r="70" spans="2:7" ht="14" x14ac:dyDescent="0.3">
      <c r="B70" s="4" t="s">
        <v>121</v>
      </c>
      <c r="C70" s="26">
        <v>0.05</v>
      </c>
      <c r="D70" s="26">
        <v>4.4999999999999998E-2</v>
      </c>
      <c r="E70" s="26">
        <v>0.04</v>
      </c>
      <c r="F70" s="26">
        <v>3.5000000000000003E-2</v>
      </c>
      <c r="G70" s="26">
        <v>0.03</v>
      </c>
    </row>
    <row r="71" spans="2:7" ht="14" x14ac:dyDescent="0.3">
      <c r="B71" s="4" t="s">
        <v>122</v>
      </c>
      <c r="C71" s="26">
        <v>0.03</v>
      </c>
      <c r="D71" s="26">
        <v>0.03</v>
      </c>
      <c r="E71" s="26">
        <v>2.5000000000000001E-2</v>
      </c>
      <c r="F71" s="26">
        <v>2.5000000000000001E-2</v>
      </c>
      <c r="G71" s="26">
        <v>0.02</v>
      </c>
    </row>
    <row r="72" spans="2:7" ht="14" x14ac:dyDescent="0.3">
      <c r="B72" s="4" t="s">
        <v>123</v>
      </c>
      <c r="C72" s="26">
        <v>0.01</v>
      </c>
      <c r="D72" s="26">
        <v>1.4999999999999999E-2</v>
      </c>
      <c r="E72" s="26">
        <v>0.02</v>
      </c>
      <c r="F72" s="26">
        <v>0.02</v>
      </c>
      <c r="G72" s="26">
        <v>0.02</v>
      </c>
    </row>
    <row r="73" spans="2:7" ht="14" x14ac:dyDescent="0.3">
      <c r="B73" s="4" t="s">
        <v>124</v>
      </c>
      <c r="C73" s="26">
        <v>-0.06</v>
      </c>
      <c r="D73" s="26">
        <v>-0.01</v>
      </c>
      <c r="E73" s="26">
        <v>1.4999999999999999E-2</v>
      </c>
      <c r="F73" s="26">
        <v>0.02</v>
      </c>
      <c r="G73" s="26">
        <v>0.02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0.626</v>
      </c>
      <c r="D76" s="26">
        <v>0.626</v>
      </c>
      <c r="E76" s="26">
        <v>0.626</v>
      </c>
      <c r="F76" s="26">
        <v>0.626</v>
      </c>
      <c r="G76" s="26">
        <v>0.626</v>
      </c>
    </row>
    <row r="77" spans="2:7" ht="14" x14ac:dyDescent="0.3">
      <c r="B77" s="4" t="s">
        <v>121</v>
      </c>
      <c r="C77" s="26">
        <v>0.61599999999999999</v>
      </c>
      <c r="D77" s="26">
        <v>0.61599999999999999</v>
      </c>
      <c r="E77" s="26">
        <v>0.61599999999999999</v>
      </c>
      <c r="F77" s="26">
        <v>0.61599999999999999</v>
      </c>
      <c r="G77" s="26">
        <v>0.61599999999999999</v>
      </c>
    </row>
    <row r="78" spans="2:7" ht="14" x14ac:dyDescent="0.3">
      <c r="B78" s="4" t="s">
        <v>122</v>
      </c>
      <c r="C78" s="26">
        <v>0.626</v>
      </c>
      <c r="D78" s="26">
        <v>0.626</v>
      </c>
      <c r="E78" s="26">
        <v>0.626</v>
      </c>
      <c r="F78" s="26">
        <v>0.626</v>
      </c>
      <c r="G78" s="26">
        <v>0.626</v>
      </c>
    </row>
    <row r="79" spans="2:7" ht="14" x14ac:dyDescent="0.3">
      <c r="B79" s="4" t="s">
        <v>123</v>
      </c>
      <c r="C79" s="26">
        <v>0.63600000000000001</v>
      </c>
      <c r="D79" s="26">
        <v>0.63600000000000001</v>
      </c>
      <c r="E79" s="26">
        <v>0.63600000000000001</v>
      </c>
      <c r="F79" s="26">
        <v>0.63600000000000001</v>
      </c>
      <c r="G79" s="26">
        <v>0.63600000000000001</v>
      </c>
    </row>
    <row r="80" spans="2:7" ht="14" x14ac:dyDescent="0.3">
      <c r="B80" s="4" t="s">
        <v>124</v>
      </c>
      <c r="C80" s="26">
        <v>0.64600000000000002</v>
      </c>
      <c r="D80" s="26">
        <v>0.64600000000000002</v>
      </c>
      <c r="E80" s="26">
        <v>0.64600000000000002</v>
      </c>
      <c r="F80" s="26">
        <v>0.64600000000000002</v>
      </c>
      <c r="G80" s="26">
        <v>0.64600000000000002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0.28599999999999998</v>
      </c>
      <c r="D83" s="26">
        <v>0.2848</v>
      </c>
      <c r="E83" s="26">
        <v>0.28370000000000001</v>
      </c>
      <c r="F83" s="26">
        <v>0.28289999999999998</v>
      </c>
      <c r="G83" s="26">
        <v>0.2823</v>
      </c>
    </row>
    <row r="84" spans="2:7" ht="14" x14ac:dyDescent="0.3">
      <c r="B84" s="4" t="s">
        <v>121</v>
      </c>
      <c r="C84" s="26">
        <v>0.29099999999999998</v>
      </c>
      <c r="D84" s="26">
        <v>0.29020000000000001</v>
      </c>
      <c r="E84" s="26">
        <v>0.28960000000000002</v>
      </c>
      <c r="F84" s="26">
        <v>0.2893</v>
      </c>
      <c r="G84" s="26">
        <v>0.28920000000000001</v>
      </c>
    </row>
    <row r="85" spans="2:7" ht="14" x14ac:dyDescent="0.3">
      <c r="B85" s="4" t="s">
        <v>122</v>
      </c>
      <c r="C85" s="26">
        <v>0.28599999999999998</v>
      </c>
      <c r="D85" s="26">
        <v>0.2848</v>
      </c>
      <c r="E85" s="26">
        <v>0.28370000000000001</v>
      </c>
      <c r="F85" s="26">
        <v>0.28289999999999998</v>
      </c>
      <c r="G85" s="26">
        <v>0.2823</v>
      </c>
    </row>
    <row r="86" spans="2:7" ht="14" x14ac:dyDescent="0.3">
      <c r="B86" s="4" t="s">
        <v>123</v>
      </c>
      <c r="C86" s="26">
        <v>0.27650000000000002</v>
      </c>
      <c r="D86" s="26">
        <v>0.2757</v>
      </c>
      <c r="E86" s="26">
        <v>0.27550000000000002</v>
      </c>
      <c r="F86" s="26">
        <v>0.27550000000000002</v>
      </c>
      <c r="G86" s="26">
        <v>0.27550000000000002</v>
      </c>
    </row>
    <row r="87" spans="2:7" ht="14" x14ac:dyDescent="0.3">
      <c r="B87" s="4" t="s">
        <v>124</v>
      </c>
      <c r="C87" s="26">
        <v>0.28199999999999997</v>
      </c>
      <c r="D87" s="26">
        <v>0.28899999999999998</v>
      </c>
      <c r="E87" s="26">
        <v>0.29099999999999998</v>
      </c>
      <c r="F87" s="26">
        <v>0.29099999999999998</v>
      </c>
      <c r="G87" s="26">
        <v>0.28999999999999998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4514</v>
      </c>
    </row>
    <row r="7" spans="2:9" ht="14" x14ac:dyDescent="0.3">
      <c r="B7" s="4" t="s">
        <v>72</v>
      </c>
      <c r="C7" s="15">
        <f>'DCF Model'!C15</f>
        <v>308999659</v>
      </c>
    </row>
    <row r="8" spans="2:9" ht="14" x14ac:dyDescent="0.3">
      <c r="B8" s="4" t="s">
        <v>129</v>
      </c>
      <c r="C8" s="5">
        <f>C6*C7/1000000</f>
        <v>1394824.4607259999</v>
      </c>
    </row>
    <row r="9" spans="2:9" ht="14" x14ac:dyDescent="0.3">
      <c r="B9" s="4" t="s">
        <v>73</v>
      </c>
      <c r="C9" s="5">
        <f>'DCF Model'!C16</f>
        <v>-133207</v>
      </c>
    </row>
    <row r="10" spans="2:9" ht="14" x14ac:dyDescent="0.3">
      <c r="B10" s="4" t="s">
        <v>130</v>
      </c>
      <c r="C10" s="5">
        <f>C8+C9</f>
        <v>1261617.4607259999</v>
      </c>
    </row>
    <row r="11" spans="2:9" ht="14" x14ac:dyDescent="0.3">
      <c r="B11" s="4" t="s">
        <v>131</v>
      </c>
      <c r="C11" s="16">
        <f>'DCF Model'!C26</f>
        <v>7.3838000000000001E-2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148793</v>
      </c>
    </row>
    <row r="15" spans="2:9" ht="14" x14ac:dyDescent="0.3">
      <c r="B15" s="4" t="s">
        <v>135</v>
      </c>
      <c r="C15" s="27">
        <v>160110</v>
      </c>
    </row>
    <row r="16" spans="2:9" ht="14" x14ac:dyDescent="0.3">
      <c r="B16" s="4" t="s">
        <v>136</v>
      </c>
      <c r="C16" s="5">
        <f>'DCF Model'!G33</f>
        <v>1950281.8460292525</v>
      </c>
    </row>
    <row r="17" spans="2:9" ht="14" x14ac:dyDescent="0.3">
      <c r="B17" s="4" t="s">
        <v>137</v>
      </c>
      <c r="C17" s="5">
        <f>'DCF Model'!C53</f>
        <v>2022801.250081074</v>
      </c>
    </row>
    <row r="18" spans="2:9" ht="14" x14ac:dyDescent="0.3">
      <c r="B18" s="4" t="s">
        <v>138</v>
      </c>
      <c r="C18" s="26">
        <v>9.4361918120659014E-2</v>
      </c>
    </row>
    <row r="19" spans="2:9" ht="14" x14ac:dyDescent="0.3">
      <c r="B19" s="4" t="s">
        <v>139</v>
      </c>
      <c r="C19" s="5">
        <f>C10-C17</f>
        <v>-761183.78935507406</v>
      </c>
    </row>
    <row r="20" spans="2:9" ht="14" x14ac:dyDescent="0.3">
      <c r="B20" s="4" t="s">
        <v>140</v>
      </c>
      <c r="C20" s="15">
        <f>IFERROR(ROUND(C19*1000000/C7,0),"N/A")</f>
        <v>-2463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80539.135457826385</v>
      </c>
    </row>
    <row r="25" spans="2:9" ht="14" x14ac:dyDescent="0.3">
      <c r="B25" s="4" t="s">
        <v>144</v>
      </c>
      <c r="C25" s="5">
        <f>IFERROR(C24/(1-C13),"N/A")</f>
        <v>107385.51394376851</v>
      </c>
    </row>
    <row r="26" spans="2:9" ht="13.5" x14ac:dyDescent="0.25">
      <c r="B26" s="6" t="s">
        <v>145</v>
      </c>
      <c r="C26" s="14">
        <f>IFERROR(C25/C15,"N/A")</f>
        <v>0.67069835702809644</v>
      </c>
    </row>
    <row r="27" spans="2:9" ht="13.5" x14ac:dyDescent="0.25">
      <c r="B27" s="6" t="s">
        <v>146</v>
      </c>
      <c r="C27" s="14">
        <f>IFERROR(C25/C14,"N/A")</f>
        <v>0.7217107924685201</v>
      </c>
    </row>
    <row r="28" spans="2:9" ht="13.5" x14ac:dyDescent="0.25">
      <c r="B28" s="6" t="s">
        <v>147</v>
      </c>
      <c r="C28" s="7">
        <f>IFERROR(C25/C16,"N/A")</f>
        <v>5.5061535932564805E-2</v>
      </c>
    </row>
    <row r="29" spans="2:9" ht="13.5" x14ac:dyDescent="0.25">
      <c r="B29" s="6" t="s">
        <v>148</v>
      </c>
      <c r="C29" s="5">
        <f>IFERROR(C25/C18,"N/A")</f>
        <v>1138017.4977627781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5.3837999999999997E-2</v>
      </c>
      <c r="E36" s="29">
        <f>'DCF Model'!C26-0.01</f>
        <v>6.3838000000000006E-2</v>
      </c>
      <c r="F36" s="29">
        <f>'DCF Model'!C26</f>
        <v>7.3838000000000001E-2</v>
      </c>
      <c r="G36" s="29">
        <f>'DCF Model'!C26+0.01</f>
        <v>8.3837999999999996E-2</v>
      </c>
      <c r="H36" s="29">
        <f>'DCF Model'!C26+0.02</f>
        <v>9.3838000000000005E-2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0.93275324779181257</v>
      </c>
      <c r="E38" s="13">
        <f t="shared" si="0"/>
        <v>0.9211906146286919</v>
      </c>
      <c r="F38" s="13">
        <f t="shared" si="0"/>
        <v>0.90989490118751926</v>
      </c>
      <c r="G38" s="13">
        <f t="shared" si="0"/>
        <v>0.8988573050796278</v>
      </c>
      <c r="H38" s="13">
        <f t="shared" si="0"/>
        <v>0.88806939704886712</v>
      </c>
    </row>
    <row r="39" spans="2:9" ht="14" x14ac:dyDescent="0.3">
      <c r="B39" s="4" t="s">
        <v>156</v>
      </c>
      <c r="C39" s="30">
        <v>5</v>
      </c>
      <c r="D39" s="13">
        <f t="shared" si="0"/>
        <v>1.8033209785886051</v>
      </c>
      <c r="E39" s="13">
        <f t="shared" si="0"/>
        <v>1.7705168848053132</v>
      </c>
      <c r="F39" s="13">
        <f t="shared" si="0"/>
        <v>1.738755154111677</v>
      </c>
      <c r="G39" s="13">
        <f t="shared" si="0"/>
        <v>1.7079906079817788</v>
      </c>
      <c r="H39" s="13">
        <f t="shared" si="0"/>
        <v>1.6781804986932154</v>
      </c>
    </row>
    <row r="40" spans="2:9" ht="14" x14ac:dyDescent="0.3">
      <c r="B40" s="4" t="s">
        <v>157</v>
      </c>
      <c r="C40" s="30">
        <v>7</v>
      </c>
      <c r="D40" s="13">
        <f t="shared" si="0"/>
        <v>2.6163591571027105</v>
      </c>
      <c r="E40" s="13">
        <f t="shared" si="0"/>
        <v>2.5542730101396329</v>
      </c>
      <c r="F40" s="13">
        <f t="shared" si="0"/>
        <v>2.4946806664951167</v>
      </c>
      <c r="G40" s="13">
        <f t="shared" si="0"/>
        <v>2.4374489494995308</v>
      </c>
      <c r="H40" s="13">
        <f t="shared" si="0"/>
        <v>2.3824533281237654</v>
      </c>
    </row>
    <row r="41" spans="2:9" ht="14" x14ac:dyDescent="0.3">
      <c r="B41" s="4" t="s">
        <v>158</v>
      </c>
      <c r="C41" s="30">
        <v>10</v>
      </c>
      <c r="D41" s="13">
        <f t="shared" si="0"/>
        <v>3.7373268070755099</v>
      </c>
      <c r="E41" s="13">
        <f t="shared" si="0"/>
        <v>3.6193003014595662</v>
      </c>
      <c r="F41" s="13">
        <f t="shared" si="0"/>
        <v>3.5074358373244987</v>
      </c>
      <c r="G41" s="13">
        <f t="shared" si="0"/>
        <v>3.4013147864984519</v>
      </c>
      <c r="H41" s="13">
        <f t="shared" si="0"/>
        <v>3.3005524456063888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21.456646977598002</v>
      </c>
      <c r="E43" s="13">
        <f t="shared" si="1"/>
        <v>17.314334646222378</v>
      </c>
      <c r="F43" s="13">
        <f t="shared" si="1"/>
        <v>14.47303602696525</v>
      </c>
      <c r="G43" s="13">
        <f t="shared" si="1"/>
        <v>12.40405924144517</v>
      </c>
      <c r="H43" s="13">
        <f t="shared" si="1"/>
        <v>10.83096063327638</v>
      </c>
    </row>
    <row r="44" spans="2:9" ht="14" x14ac:dyDescent="0.3">
      <c r="B44" s="4" t="s">
        <v>156</v>
      </c>
      <c r="C44" s="30">
        <v>5</v>
      </c>
      <c r="D44" s="13">
        <f t="shared" si="1"/>
        <v>20.20622233411413</v>
      </c>
      <c r="E44" s="13">
        <f t="shared" si="1"/>
        <v>16.165723555861316</v>
      </c>
      <c r="F44" s="13">
        <f t="shared" si="1"/>
        <v>13.399866202344741</v>
      </c>
      <c r="G44" s="13">
        <f t="shared" si="1"/>
        <v>11.390410294393677</v>
      </c>
      <c r="H44" s="13">
        <f t="shared" si="1"/>
        <v>9.8663918322524005</v>
      </c>
    </row>
    <row r="45" spans="2:9" ht="14" x14ac:dyDescent="0.3">
      <c r="B45" s="4" t="s">
        <v>157</v>
      </c>
      <c r="C45" s="30">
        <v>7</v>
      </c>
      <c r="D45" s="13">
        <f t="shared" si="1"/>
        <v>19.051147757013055</v>
      </c>
      <c r="E45" s="13">
        <f t="shared" si="1"/>
        <v>15.117523446442901</v>
      </c>
      <c r="F45" s="13">
        <f t="shared" si="1"/>
        <v>12.43207387114213</v>
      </c>
      <c r="G45" s="13">
        <f t="shared" si="1"/>
        <v>10.486852347284914</v>
      </c>
      <c r="H45" s="13">
        <f t="shared" si="1"/>
        <v>9.0163100712692721</v>
      </c>
    </row>
    <row r="46" spans="2:9" ht="14" x14ac:dyDescent="0.3">
      <c r="B46" s="4" t="s">
        <v>158</v>
      </c>
      <c r="C46" s="30">
        <v>10</v>
      </c>
      <c r="D46" s="13">
        <f t="shared" si="1"/>
        <v>17.479905276138439</v>
      </c>
      <c r="E46" s="13">
        <f t="shared" si="1"/>
        <v>13.712415016057012</v>
      </c>
      <c r="F46" s="13">
        <f t="shared" si="1"/>
        <v>11.153083050103625</v>
      </c>
      <c r="G46" s="13">
        <f t="shared" si="1"/>
        <v>9.3091587218176688</v>
      </c>
      <c r="H46" s="13">
        <f t="shared" si="1"/>
        <v>7.9231375760911833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71929.666453198137</v>
      </c>
      <c r="E48" s="5">
        <f t="shared" si="2"/>
        <v>89237.613269534006</v>
      </c>
      <c r="F48" s="5">
        <f t="shared" si="2"/>
        <v>106872.57458539403</v>
      </c>
      <c r="G48" s="5">
        <f t="shared" si="2"/>
        <v>124831.14673726904</v>
      </c>
      <c r="H48" s="5">
        <f t="shared" si="2"/>
        <v>143109.93798131446</v>
      </c>
    </row>
    <row r="49" spans="2:9" ht="14" x14ac:dyDescent="0.3">
      <c r="B49" s="4" t="s">
        <v>156</v>
      </c>
      <c r="C49" s="30">
        <v>5</v>
      </c>
      <c r="D49" s="5">
        <f t="shared" si="2"/>
        <v>69970.282052535054</v>
      </c>
      <c r="E49" s="5">
        <f t="shared" si="2"/>
        <v>87760.754448018677</v>
      </c>
      <c r="F49" s="5">
        <f t="shared" si="2"/>
        <v>106228.07699427007</v>
      </c>
      <c r="G49" s="5">
        <f t="shared" si="2"/>
        <v>125370.3361739978</v>
      </c>
      <c r="H49" s="5">
        <f t="shared" si="2"/>
        <v>145185.30458892774</v>
      </c>
    </row>
    <row r="50" spans="2:9" ht="14" x14ac:dyDescent="0.3">
      <c r="B50" s="4" t="s">
        <v>157</v>
      </c>
      <c r="C50" s="30">
        <v>7</v>
      </c>
      <c r="D50" s="5">
        <f t="shared" si="2"/>
        <v>67862.613986741315</v>
      </c>
      <c r="E50" s="5">
        <f t="shared" si="2"/>
        <v>86131.744721057868</v>
      </c>
      <c r="F50" s="5">
        <f t="shared" si="2"/>
        <v>105450.27382234234</v>
      </c>
      <c r="G50" s="5">
        <f t="shared" si="2"/>
        <v>125822.43261011185</v>
      </c>
      <c r="H50" s="5">
        <f t="shared" si="2"/>
        <v>147251.39505577271</v>
      </c>
    </row>
    <row r="51" spans="2:9" ht="14" x14ac:dyDescent="0.3">
      <c r="B51" s="4" t="s">
        <v>158</v>
      </c>
      <c r="C51" s="30">
        <v>10</v>
      </c>
      <c r="D51" s="5">
        <f t="shared" si="2"/>
        <v>64420.746503319242</v>
      </c>
      <c r="E51" s="5">
        <f t="shared" si="2"/>
        <v>83401.068535855142</v>
      </c>
      <c r="F51" s="5">
        <f t="shared" si="2"/>
        <v>104031.74696592338</v>
      </c>
      <c r="G51" s="5">
        <f t="shared" si="2"/>
        <v>126334.16385065518</v>
      </c>
      <c r="H51" s="5">
        <f t="shared" si="2"/>
        <v>150326.49664652429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0.44925155488850249</v>
      </c>
      <c r="E53" s="14">
        <f t="shared" si="3"/>
        <v>0.55735190350093067</v>
      </c>
      <c r="F53" s="14">
        <f t="shared" si="3"/>
        <v>0.66749468856032745</v>
      </c>
      <c r="G53" s="14">
        <f t="shared" si="3"/>
        <v>0.7796586517848294</v>
      </c>
      <c r="H53" s="14">
        <f t="shared" si="3"/>
        <v>0.89382260933929458</v>
      </c>
    </row>
    <row r="54" spans="2:9" ht="14" x14ac:dyDescent="0.3">
      <c r="B54" s="4" t="s">
        <v>156</v>
      </c>
      <c r="C54" s="30">
        <v>5</v>
      </c>
      <c r="D54" s="14">
        <f t="shared" si="3"/>
        <v>0.43701381582996102</v>
      </c>
      <c r="E54" s="14">
        <f t="shared" si="3"/>
        <v>0.54812787738441493</v>
      </c>
      <c r="F54" s="14">
        <f t="shared" si="3"/>
        <v>0.66346934603878627</v>
      </c>
      <c r="G54" s="14">
        <f t="shared" si="3"/>
        <v>0.78302627052649931</v>
      </c>
      <c r="H54" s="14">
        <f t="shared" si="3"/>
        <v>0.90678473917261726</v>
      </c>
    </row>
    <row r="55" spans="2:9" ht="14" x14ac:dyDescent="0.3">
      <c r="B55" s="4" t="s">
        <v>157</v>
      </c>
      <c r="C55" s="30">
        <v>7</v>
      </c>
      <c r="D55" s="14">
        <f t="shared" si="3"/>
        <v>0.42384994058298242</v>
      </c>
      <c r="E55" s="14">
        <f t="shared" si="3"/>
        <v>0.53795356143312645</v>
      </c>
      <c r="F55" s="14">
        <f t="shared" si="3"/>
        <v>0.65861141604111129</v>
      </c>
      <c r="G55" s="14">
        <f t="shared" si="3"/>
        <v>0.78584993198495945</v>
      </c>
      <c r="H55" s="14">
        <f t="shared" si="3"/>
        <v>0.91968893295717136</v>
      </c>
    </row>
    <row r="56" spans="2:9" ht="14" x14ac:dyDescent="0.3">
      <c r="B56" s="4" t="s">
        <v>158</v>
      </c>
      <c r="C56" s="30">
        <v>10</v>
      </c>
      <c r="D56" s="14">
        <f t="shared" si="3"/>
        <v>0.40235304792529664</v>
      </c>
      <c r="E56" s="14">
        <f t="shared" si="3"/>
        <v>0.52089856058868989</v>
      </c>
      <c r="F56" s="14">
        <f t="shared" si="3"/>
        <v>0.64975171423348554</v>
      </c>
      <c r="G56" s="14">
        <f t="shared" si="3"/>
        <v>0.78904605490384849</v>
      </c>
      <c r="H56" s="14">
        <f t="shared" si="3"/>
        <v>0.93889511365014233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106228.07699427007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4.7199999999999999E-2</v>
      </c>
      <c r="C63" s="5">
        <f>IFERROR($C$60/B63,"N/A")</f>
        <v>2250594.8515735185</v>
      </c>
      <c r="D63" s="14">
        <f>IFERROR(C63/'DCF Model'!C17,"N/A")</f>
        <v>1.3119651375179509</v>
      </c>
    </row>
    <row r="64" spans="2:9" ht="14" x14ac:dyDescent="0.3">
      <c r="B64" s="31">
        <v>7.0800000000000002E-2</v>
      </c>
      <c r="C64" s="5">
        <f>IFERROR($C$60/B64,"N/A")</f>
        <v>1500396.5677156788</v>
      </c>
      <c r="D64" s="14">
        <f>IFERROR(C64/'DCF Model'!C17,"N/A")</f>
        <v>0.87464342501196712</v>
      </c>
    </row>
    <row r="65" spans="2:9" ht="14" x14ac:dyDescent="0.3">
      <c r="B65" s="4" t="s">
        <v>168</v>
      </c>
      <c r="C65" s="5">
        <f>IFERROR($C$60/$C$18,"N/A")</f>
        <v>1125751.5649315012</v>
      </c>
      <c r="D65" s="14">
        <f>IFERROR(C65/'DCF Model'!C17,"N/A")</f>
        <v>0.65624730531298781</v>
      </c>
    </row>
    <row r="66" spans="2:9" ht="14" x14ac:dyDescent="0.3">
      <c r="B66" s="31">
        <v>0.11799999999999999</v>
      </c>
      <c r="C66" s="5">
        <f>IFERROR($C$60/B66,"N/A")</f>
        <v>900237.94062940741</v>
      </c>
      <c r="D66" s="14">
        <f>IFERROR(C66/'DCF Model'!C17,"N/A")</f>
        <v>0.52478605500718034</v>
      </c>
    </row>
    <row r="67" spans="2:9" ht="14" x14ac:dyDescent="0.3">
      <c r="B67" s="31">
        <v>0.14149999999999999</v>
      </c>
      <c r="C67" s="5">
        <f>IFERROR($C$60/B67,"N/A")</f>
        <v>750728.4593234635</v>
      </c>
      <c r="D67" s="14">
        <f>IFERROR(C67/'DCF Model'!C17,"N/A")</f>
        <v>0.43763077378690662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5.4285764844946058</v>
      </c>
    </row>
    <row r="71" spans="2:9" ht="13.5" x14ac:dyDescent="0.25">
      <c r="B71" s="6" t="s">
        <v>171</v>
      </c>
      <c r="C71" s="14">
        <f>IFERROR(C10/'Comps Analysis'!F5,"N/A")</f>
        <v>0.73544917433681656</v>
      </c>
    </row>
    <row r="72" spans="2:9" ht="14" x14ac:dyDescent="0.3">
      <c r="B72" s="4" t="s">
        <v>172</v>
      </c>
      <c r="C72" s="14">
        <f>IFERROR(C10/(C25+'DCF Model'!G42),"N/A")</f>
        <v>6.2343893451228309</v>
      </c>
    </row>
    <row r="73" spans="2:9" ht="14" x14ac:dyDescent="0.3">
      <c r="B73" s="4" t="s">
        <v>173</v>
      </c>
      <c r="C73" s="14">
        <f>IFERROR(C10/(C60+'DCF Model'!G42),"N/A")</f>
        <v>6.2702525091995351</v>
      </c>
    </row>
    <row r="74" spans="2:9" ht="14" x14ac:dyDescent="0.3">
      <c r="B74" s="4" t="s">
        <v>174</v>
      </c>
      <c r="C74" s="14">
        <f>IFERROR('Comps Analysis'!D16,"N/A")</f>
        <v>10.92142078168791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FY2025."</f>
        <v>At 4,514 yen the market is paying for a steady-state operating profit of 106,228 mn JPY - 0.66x the FY2024 cycle peak of 160,110 mn - reached in 5 years and sustained for ever, against 148,793 mn actually earned in FY2025.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107,386 mn, or 0.67x the peak. The base case supports an EV of only 2,022,801 mn, leaving -2,463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85.373085474380304</v>
      </c>
      <c r="D5" s="34">
        <f>CHOOSE('DCF Model'!$D$27,D25,D26,D27,D28,D29)</f>
        <v>74</v>
      </c>
      <c r="E5" s="34">
        <f>CHOOSE('DCF Model'!$D$27,E25,E26,E27,E28,E29)</f>
        <v>74</v>
      </c>
      <c r="F5" s="34">
        <f>CHOOSE('DCF Model'!$D$27,F25,F26,F27,F28,F29)</f>
        <v>74</v>
      </c>
      <c r="G5" s="34">
        <f>CHOOSE('DCF Model'!$D$27,G25,G26,G27,G28,G29)</f>
        <v>74</v>
      </c>
      <c r="H5" s="34">
        <f>CHOOSE('DCF Model'!$D$27,H25,H26,H27,H28,H29)</f>
        <v>74</v>
      </c>
    </row>
    <row r="6" spans="2:8" ht="14" x14ac:dyDescent="0.3">
      <c r="B6" s="33" t="s">
        <v>181</v>
      </c>
      <c r="C6" s="34">
        <f>C13/C10*365</f>
        <v>46.762892052928315</v>
      </c>
      <c r="D6" s="34">
        <f>CHOOSE('DCF Model'!$D$27,D32,D33,D34,D35,D36)</f>
        <v>43</v>
      </c>
      <c r="E6" s="34">
        <f>CHOOSE('DCF Model'!$D$27,E32,E33,E34,E35,E36)</f>
        <v>43</v>
      </c>
      <c r="F6" s="34">
        <f>CHOOSE('DCF Model'!$D$27,F32,F33,F34,F35,F36)</f>
        <v>43</v>
      </c>
      <c r="G6" s="34">
        <f>CHOOSE('DCF Model'!$D$27,G32,G33,G34,G35,G36)</f>
        <v>43</v>
      </c>
      <c r="H6" s="34">
        <f>CHOOSE('DCF Model'!$D$27,H32,H33,H34,H35,H36)</f>
        <v>43</v>
      </c>
    </row>
    <row r="7" spans="2:8" ht="14" x14ac:dyDescent="0.3">
      <c r="B7" s="33" t="s">
        <v>182</v>
      </c>
      <c r="C7" s="34">
        <f>C15/C10*365</f>
        <v>171.21832648315902</v>
      </c>
      <c r="D7" s="34">
        <f>CHOOSE('DCF Model'!$D$27,D39,D40,D41,D42,D43)</f>
        <v>161</v>
      </c>
      <c r="E7" s="34">
        <f>CHOOSE('DCF Model'!$D$27,E39,E40,E41,E42,E43)</f>
        <v>161</v>
      </c>
      <c r="F7" s="34">
        <f>CHOOSE('DCF Model'!$D$27,F39,F40,F41,F42,F43)</f>
        <v>161</v>
      </c>
      <c r="G7" s="34">
        <f>CHOOSE('DCF Model'!$D$27,G39,G40,G41,G42,G43)</f>
        <v>161</v>
      </c>
      <c r="H7" s="34">
        <f>CHOOSE('DCF Model'!$D$27,H39,H40,H41,H42,H43)</f>
        <v>161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1715438</v>
      </c>
      <c r="D9" s="35">
        <f>'DCF Model'!C33</f>
        <v>1766901.1400000001</v>
      </c>
      <c r="E9" s="35">
        <f>'DCF Model'!D33</f>
        <v>1819908.1742000002</v>
      </c>
      <c r="F9" s="35">
        <f>'DCF Model'!E33</f>
        <v>1865405.8785550001</v>
      </c>
      <c r="G9" s="35">
        <f>'DCF Model'!F33</f>
        <v>1912041.0255188749</v>
      </c>
      <c r="H9" s="35">
        <f>'DCF Model'!G33</f>
        <v>1950281.8460292525</v>
      </c>
    </row>
    <row r="10" spans="2:8" ht="14" x14ac:dyDescent="0.3">
      <c r="B10" s="33" t="s">
        <v>38</v>
      </c>
      <c r="C10" s="35">
        <v>1073452</v>
      </c>
      <c r="D10" s="35">
        <f>'DCF Model'!C34</f>
        <v>1106080.1136400001</v>
      </c>
      <c r="E10" s="35">
        <f>'DCF Model'!D34</f>
        <v>1139262.5170492001</v>
      </c>
      <c r="F10" s="35">
        <f>'DCF Model'!E34</f>
        <v>1167744.0799754302</v>
      </c>
      <c r="G10" s="35">
        <f>'DCF Model'!F34</f>
        <v>1196937.6819748157</v>
      </c>
      <c r="H10" s="35">
        <f>'DCF Model'!G34</f>
        <v>1220876.4356143121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401239</v>
      </c>
      <c r="D12" s="35">
        <f t="shared" ref="D12:H13" si="0">D9*D5/365</f>
        <v>358221.0530410959</v>
      </c>
      <c r="E12" s="35">
        <f t="shared" si="0"/>
        <v>368967.68463232886</v>
      </c>
      <c r="F12" s="35">
        <f t="shared" si="0"/>
        <v>378191.87674813706</v>
      </c>
      <c r="G12" s="35">
        <f t="shared" si="0"/>
        <v>387646.67366684036</v>
      </c>
      <c r="H12" s="35">
        <f t="shared" si="0"/>
        <v>395399.60714017722</v>
      </c>
    </row>
    <row r="13" spans="2:8" ht="14" x14ac:dyDescent="0.3">
      <c r="B13" s="33" t="s">
        <v>186</v>
      </c>
      <c r="C13" s="35">
        <v>137528</v>
      </c>
      <c r="D13" s="35">
        <f t="shared" si="0"/>
        <v>130305.3284562192</v>
      </c>
      <c r="E13" s="35">
        <f t="shared" si="0"/>
        <v>134214.48830990578</v>
      </c>
      <c r="F13" s="35">
        <f t="shared" si="0"/>
        <v>137569.85051765342</v>
      </c>
      <c r="G13" s="35">
        <f t="shared" si="0"/>
        <v>141009.0967805947</v>
      </c>
      <c r="H13" s="35">
        <f t="shared" si="0"/>
        <v>143829.27871620664</v>
      </c>
    </row>
    <row r="14" spans="2:8" ht="14" x14ac:dyDescent="0.3">
      <c r="B14" s="33" t="s">
        <v>187</v>
      </c>
      <c r="C14" s="35">
        <f t="shared" ref="C14:H14" si="1">C12+C13</f>
        <v>538767</v>
      </c>
      <c r="D14" s="35">
        <f t="shared" si="1"/>
        <v>488526.38149731513</v>
      </c>
      <c r="E14" s="35">
        <f t="shared" si="1"/>
        <v>503182.17294223467</v>
      </c>
      <c r="F14" s="35">
        <f t="shared" si="1"/>
        <v>515761.72726579045</v>
      </c>
      <c r="G14" s="35">
        <f t="shared" si="1"/>
        <v>528655.77044743509</v>
      </c>
      <c r="H14" s="35">
        <f t="shared" si="1"/>
        <v>539228.88585638383</v>
      </c>
    </row>
    <row r="15" spans="2:8" ht="14" x14ac:dyDescent="0.3">
      <c r="B15" s="33" t="s">
        <v>188</v>
      </c>
      <c r="C15" s="35">
        <v>503547</v>
      </c>
      <c r="D15" s="35">
        <f>D10*D7/365</f>
        <v>487887.39259189047</v>
      </c>
      <c r="E15" s="35">
        <f>E10*E7/365</f>
        <v>502524.01436964714</v>
      </c>
      <c r="F15" s="35">
        <f>F10*F7/365</f>
        <v>515087.11472888832</v>
      </c>
      <c r="G15" s="35">
        <f>G10*G7/365</f>
        <v>527964.2925971105</v>
      </c>
      <c r="H15" s="35">
        <f>H10*H7/365</f>
        <v>538523.57844905276</v>
      </c>
    </row>
    <row r="16" spans="2:8" ht="14" x14ac:dyDescent="0.3">
      <c r="B16" s="33" t="s">
        <v>189</v>
      </c>
      <c r="C16" s="35">
        <f t="shared" ref="C16:H16" si="2">C15</f>
        <v>503547</v>
      </c>
      <c r="D16" s="35">
        <f t="shared" si="2"/>
        <v>487887.39259189047</v>
      </c>
      <c r="E16" s="35">
        <f t="shared" si="2"/>
        <v>502524.01436964714</v>
      </c>
      <c r="F16" s="35">
        <f t="shared" si="2"/>
        <v>515087.11472888832</v>
      </c>
      <c r="G16" s="35">
        <f t="shared" si="2"/>
        <v>527964.2925971105</v>
      </c>
      <c r="H16" s="35">
        <f t="shared" si="2"/>
        <v>538523.57844905276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35220</v>
      </c>
      <c r="D18" s="20">
        <f t="shared" si="3"/>
        <v>638.98890542465961</v>
      </c>
      <c r="E18" s="20">
        <f t="shared" si="3"/>
        <v>658.15857258753385</v>
      </c>
      <c r="F18" s="20">
        <f t="shared" si="3"/>
        <v>674.61253690213198</v>
      </c>
      <c r="G18" s="20">
        <f t="shared" si="3"/>
        <v>691.47785032459069</v>
      </c>
      <c r="H18" s="20">
        <f t="shared" si="3"/>
        <v>705.30740733107086</v>
      </c>
    </row>
    <row r="19" spans="2:8" ht="14" x14ac:dyDescent="0.3">
      <c r="B19" s="33" t="s">
        <v>100</v>
      </c>
      <c r="C19" s="36" t="s">
        <v>47</v>
      </c>
      <c r="D19" s="24">
        <f>D18-C18</f>
        <v>-34581.01109457534</v>
      </c>
      <c r="E19" s="24">
        <f>E18-D18</f>
        <v>19.169667162874248</v>
      </c>
      <c r="F19" s="24">
        <f>F18-E18</f>
        <v>16.453964314598124</v>
      </c>
      <c r="G19" s="24">
        <f>G18-F18</f>
        <v>16.865313422458712</v>
      </c>
      <c r="H19" s="24">
        <f>H18-G18</f>
        <v>13.829557006480172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74</v>
      </c>
      <c r="E25" s="30">
        <v>74</v>
      </c>
      <c r="F25" s="30">
        <v>74</v>
      </c>
      <c r="G25" s="30">
        <v>74</v>
      </c>
      <c r="H25" s="30">
        <v>74</v>
      </c>
    </row>
    <row r="26" spans="2:8" ht="14" x14ac:dyDescent="0.3">
      <c r="B26" s="4" t="s">
        <v>121</v>
      </c>
      <c r="D26" s="30">
        <v>71</v>
      </c>
      <c r="E26" s="30">
        <v>71</v>
      </c>
      <c r="F26" s="30">
        <v>71</v>
      </c>
      <c r="G26" s="30">
        <v>71</v>
      </c>
      <c r="H26" s="30">
        <v>71</v>
      </c>
    </row>
    <row r="27" spans="2:8" ht="14" x14ac:dyDescent="0.3">
      <c r="B27" s="4" t="s">
        <v>122</v>
      </c>
      <c r="D27" s="30">
        <v>74</v>
      </c>
      <c r="E27" s="30">
        <v>74</v>
      </c>
      <c r="F27" s="30">
        <v>74</v>
      </c>
      <c r="G27" s="30">
        <v>74</v>
      </c>
      <c r="H27" s="30">
        <v>74</v>
      </c>
    </row>
    <row r="28" spans="2:8" ht="14" x14ac:dyDescent="0.3">
      <c r="B28" s="4" t="s">
        <v>123</v>
      </c>
      <c r="D28" s="30">
        <v>78</v>
      </c>
      <c r="E28" s="30">
        <v>78</v>
      </c>
      <c r="F28" s="30">
        <v>78</v>
      </c>
      <c r="G28" s="30">
        <v>78</v>
      </c>
      <c r="H28" s="30">
        <v>78</v>
      </c>
    </row>
    <row r="29" spans="2:8" ht="14" x14ac:dyDescent="0.3">
      <c r="B29" s="4" t="s">
        <v>124</v>
      </c>
      <c r="D29" s="30">
        <v>82</v>
      </c>
      <c r="E29" s="30">
        <v>82</v>
      </c>
      <c r="F29" s="30">
        <v>82</v>
      </c>
      <c r="G29" s="30">
        <v>82</v>
      </c>
      <c r="H29" s="30">
        <v>82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43</v>
      </c>
      <c r="E32" s="30">
        <v>43</v>
      </c>
      <c r="F32" s="30">
        <v>43</v>
      </c>
      <c r="G32" s="30">
        <v>43</v>
      </c>
      <c r="H32" s="30">
        <v>43</v>
      </c>
    </row>
    <row r="33" spans="2:8" ht="14" x14ac:dyDescent="0.3">
      <c r="B33" s="4" t="s">
        <v>121</v>
      </c>
      <c r="D33" s="30">
        <v>37</v>
      </c>
      <c r="E33" s="30">
        <v>37</v>
      </c>
      <c r="F33" s="30">
        <v>37</v>
      </c>
      <c r="G33" s="30">
        <v>37</v>
      </c>
      <c r="H33" s="30">
        <v>37</v>
      </c>
    </row>
    <row r="34" spans="2:8" ht="14" x14ac:dyDescent="0.3">
      <c r="B34" s="4" t="s">
        <v>122</v>
      </c>
      <c r="D34" s="30">
        <v>43</v>
      </c>
      <c r="E34" s="30">
        <v>43</v>
      </c>
      <c r="F34" s="30">
        <v>43</v>
      </c>
      <c r="G34" s="30">
        <v>43</v>
      </c>
      <c r="H34" s="30">
        <v>43</v>
      </c>
    </row>
    <row r="35" spans="2:8" ht="14" x14ac:dyDescent="0.3">
      <c r="B35" s="4" t="s">
        <v>123</v>
      </c>
      <c r="D35" s="30">
        <v>50</v>
      </c>
      <c r="E35" s="30">
        <v>50</v>
      </c>
      <c r="F35" s="30">
        <v>50</v>
      </c>
      <c r="G35" s="30">
        <v>50</v>
      </c>
      <c r="H35" s="30">
        <v>50</v>
      </c>
    </row>
    <row r="36" spans="2:8" ht="14" x14ac:dyDescent="0.3">
      <c r="B36" s="4" t="s">
        <v>124</v>
      </c>
      <c r="D36" s="30">
        <v>57</v>
      </c>
      <c r="E36" s="30">
        <v>57</v>
      </c>
      <c r="F36" s="30">
        <v>57</v>
      </c>
      <c r="G36" s="30">
        <v>57</v>
      </c>
      <c r="H36" s="30">
        <v>57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161</v>
      </c>
      <c r="E39" s="30">
        <v>161</v>
      </c>
      <c r="F39" s="30">
        <v>161</v>
      </c>
      <c r="G39" s="30">
        <v>161</v>
      </c>
      <c r="H39" s="30">
        <v>161</v>
      </c>
    </row>
    <row r="40" spans="2:8" ht="14" x14ac:dyDescent="0.3">
      <c r="B40" s="4" t="s">
        <v>121</v>
      </c>
      <c r="D40" s="30">
        <v>163</v>
      </c>
      <c r="E40" s="30">
        <v>163</v>
      </c>
      <c r="F40" s="30">
        <v>163</v>
      </c>
      <c r="G40" s="30">
        <v>163</v>
      </c>
      <c r="H40" s="30">
        <v>163</v>
      </c>
    </row>
    <row r="41" spans="2:8" ht="14" x14ac:dyDescent="0.3">
      <c r="B41" s="4" t="s">
        <v>122</v>
      </c>
      <c r="D41" s="30">
        <v>161</v>
      </c>
      <c r="E41" s="30">
        <v>161</v>
      </c>
      <c r="F41" s="30">
        <v>161</v>
      </c>
      <c r="G41" s="30">
        <v>161</v>
      </c>
      <c r="H41" s="30">
        <v>161</v>
      </c>
    </row>
    <row r="42" spans="2:8" ht="14" x14ac:dyDescent="0.3">
      <c r="B42" s="4" t="s">
        <v>123</v>
      </c>
      <c r="D42" s="30">
        <v>158</v>
      </c>
      <c r="E42" s="30">
        <v>158</v>
      </c>
      <c r="F42" s="30">
        <v>158</v>
      </c>
      <c r="G42" s="30">
        <v>158</v>
      </c>
      <c r="H42" s="30">
        <v>158</v>
      </c>
    </row>
    <row r="43" spans="2:8" ht="14" x14ac:dyDescent="0.3">
      <c r="B43" s="4" t="s">
        <v>124</v>
      </c>
      <c r="D43" s="30">
        <v>155</v>
      </c>
      <c r="E43" s="30">
        <v>155</v>
      </c>
      <c r="F43" s="30">
        <v>155</v>
      </c>
      <c r="G43" s="30">
        <v>155</v>
      </c>
      <c r="H43" s="30">
        <v>155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1394824.4607259999</v>
      </c>
      <c r="E5" s="37">
        <f>D5+C24</f>
        <v>1261617.4607259999</v>
      </c>
      <c r="F5" s="37">
        <v>1715438</v>
      </c>
      <c r="G5" s="37">
        <v>232403</v>
      </c>
      <c r="H5" s="37">
        <v>148793</v>
      </c>
      <c r="I5" s="37">
        <v>88723</v>
      </c>
      <c r="J5" s="38">
        <f t="shared" ref="J5:J10" si="0">IFERROR(E5/G5,"")</f>
        <v>5.4285764844946058</v>
      </c>
      <c r="K5" s="38">
        <f t="shared" ref="K5:K10" si="1">IFERROR(E5/F5,"")</f>
        <v>0.73544917433681656</v>
      </c>
      <c r="L5" s="38">
        <f t="shared" ref="L5:L10" si="2">IFERROR(D5/I5,"")</f>
        <v>15.721114713501571</v>
      </c>
      <c r="M5" s="38">
        <f t="shared" ref="M5:M10" si="3">IFERROR(D5/P5,"")</f>
        <v>1.0599388887144476</v>
      </c>
      <c r="N5" s="39">
        <f t="shared" ref="N5:N10" si="4">IFERROR(H5/F5,"")</f>
        <v>8.6737614533431109E-2</v>
      </c>
      <c r="O5" s="39">
        <f t="shared" ref="O5:O10" si="5">IFERROR(I5/P5,"")</f>
        <v>6.7421357074899615E-2</v>
      </c>
      <c r="P5" s="37">
        <v>1315948</v>
      </c>
    </row>
    <row r="6" spans="2:17" ht="14" x14ac:dyDescent="0.3">
      <c r="B6" s="4" t="s">
        <v>214</v>
      </c>
      <c r="C6" t="s">
        <v>215</v>
      </c>
      <c r="D6" s="37">
        <v>2397303</v>
      </c>
      <c r="E6" s="37">
        <v>3885100</v>
      </c>
      <c r="F6" s="37">
        <v>2894676</v>
      </c>
      <c r="G6" s="37">
        <v>348957</v>
      </c>
      <c r="H6" s="37">
        <v>185870</v>
      </c>
      <c r="I6" s="37">
        <v>121574</v>
      </c>
      <c r="J6" s="38">
        <f t="shared" si="0"/>
        <v>11.133463435322977</v>
      </c>
      <c r="K6" s="38">
        <f t="shared" si="1"/>
        <v>1.3421536641751961</v>
      </c>
      <c r="L6" s="38">
        <f t="shared" si="2"/>
        <v>19.718879036636125</v>
      </c>
      <c r="M6" s="38">
        <f t="shared" si="3"/>
        <v>0.79828887411872984</v>
      </c>
      <c r="N6" s="39">
        <f t="shared" si="4"/>
        <v>6.4210985961814029E-2</v>
      </c>
      <c r="O6" s="39">
        <f t="shared" si="5"/>
        <v>4.0483481471516314E-2</v>
      </c>
      <c r="P6" s="37">
        <v>3003052</v>
      </c>
    </row>
    <row r="7" spans="2:17" ht="14" x14ac:dyDescent="0.3">
      <c r="B7" s="4" t="s">
        <v>216</v>
      </c>
      <c r="C7" t="s">
        <v>217</v>
      </c>
      <c r="D7" s="37">
        <v>1655551</v>
      </c>
      <c r="E7" s="37">
        <v>1605210</v>
      </c>
      <c r="F7" s="37">
        <v>745539</v>
      </c>
      <c r="G7" s="37">
        <v>102686</v>
      </c>
      <c r="H7" s="37">
        <v>75940</v>
      </c>
      <c r="I7" s="37">
        <v>61615</v>
      </c>
      <c r="J7" s="38">
        <f t="shared" si="0"/>
        <v>15.632218608184173</v>
      </c>
      <c r="K7" s="38">
        <f t="shared" si="1"/>
        <v>2.1530865588520518</v>
      </c>
      <c r="L7" s="38">
        <f t="shared" si="2"/>
        <v>26.869285076685873</v>
      </c>
      <c r="M7" s="38">
        <f t="shared" si="3"/>
        <v>2.9514711440409038</v>
      </c>
      <c r="N7" s="39">
        <f t="shared" si="4"/>
        <v>0.1018591918061966</v>
      </c>
      <c r="O7" s="39">
        <f t="shared" si="5"/>
        <v>0.10984554057234135</v>
      </c>
      <c r="P7" s="37">
        <v>560924</v>
      </c>
    </row>
    <row r="8" spans="2:17" ht="14" x14ac:dyDescent="0.3">
      <c r="B8" s="4" t="s">
        <v>218</v>
      </c>
      <c r="C8" t="s">
        <v>219</v>
      </c>
      <c r="D8" s="37">
        <v>854146</v>
      </c>
      <c r="E8" s="37">
        <v>931346</v>
      </c>
      <c r="F8" s="37">
        <v>788131</v>
      </c>
      <c r="G8" s="37">
        <v>85277</v>
      </c>
      <c r="H8" s="37">
        <v>49380</v>
      </c>
      <c r="I8" s="37">
        <v>45380</v>
      </c>
      <c r="J8" s="38">
        <f t="shared" si="0"/>
        <v>10.92142078168791</v>
      </c>
      <c r="K8" s="38">
        <f t="shared" si="1"/>
        <v>1.1817147149395215</v>
      </c>
      <c r="L8" s="38">
        <f t="shared" si="2"/>
        <v>18.822080211546936</v>
      </c>
      <c r="M8" s="38">
        <f t="shared" si="3"/>
        <v>1.6515832379420228</v>
      </c>
      <c r="N8" s="39">
        <f t="shared" si="4"/>
        <v>6.2654558696460361E-2</v>
      </c>
      <c r="O8" s="39">
        <f t="shared" si="5"/>
        <v>8.7747115057389469E-2</v>
      </c>
      <c r="P8" s="37">
        <v>517168</v>
      </c>
    </row>
    <row r="9" spans="2:17" ht="14" x14ac:dyDescent="0.3">
      <c r="B9" s="4" t="s">
        <v>220</v>
      </c>
      <c r="C9" t="s">
        <v>221</v>
      </c>
      <c r="D9" s="37">
        <v>1195303</v>
      </c>
      <c r="E9" s="37">
        <v>1238638</v>
      </c>
      <c r="F9" s="37">
        <v>1173688</v>
      </c>
      <c r="G9" s="37">
        <v>148261</v>
      </c>
      <c r="H9" s="37">
        <v>93307</v>
      </c>
      <c r="I9" s="37">
        <v>35076</v>
      </c>
      <c r="J9" s="38">
        <f t="shared" si="0"/>
        <v>8.3544425034230176</v>
      </c>
      <c r="K9" s="38">
        <f t="shared" si="1"/>
        <v>1.0553383863513983</v>
      </c>
      <c r="L9" s="38">
        <f t="shared" si="2"/>
        <v>34.077517390808531</v>
      </c>
      <c r="M9" s="38">
        <f t="shared" si="3"/>
        <v>1.5471475630513147</v>
      </c>
      <c r="N9" s="39">
        <f t="shared" si="4"/>
        <v>7.9498980989837167E-2</v>
      </c>
      <c r="O9" s="39">
        <f t="shared" si="5"/>
        <v>4.5400829682170893E-2</v>
      </c>
      <c r="P9" s="37">
        <v>772585</v>
      </c>
    </row>
    <row r="10" spans="2:17" ht="14" x14ac:dyDescent="0.3">
      <c r="B10" s="4" t="s">
        <v>222</v>
      </c>
      <c r="C10" t="s">
        <v>223</v>
      </c>
      <c r="D10" s="37">
        <v>528426</v>
      </c>
      <c r="E10" s="37">
        <v>601072</v>
      </c>
      <c r="F10" s="37">
        <v>716144</v>
      </c>
      <c r="G10" s="37">
        <v>61091</v>
      </c>
      <c r="H10" s="37">
        <v>39004</v>
      </c>
      <c r="I10" s="37">
        <v>27332</v>
      </c>
      <c r="J10" s="38">
        <f t="shared" si="0"/>
        <v>9.8389615491643614</v>
      </c>
      <c r="K10" s="38">
        <f t="shared" si="1"/>
        <v>0.83931723228847832</v>
      </c>
      <c r="L10" s="38">
        <f t="shared" si="2"/>
        <v>19.333601639104348</v>
      </c>
      <c r="M10" s="38">
        <f t="shared" si="3"/>
        <v>1.8454301309967416</v>
      </c>
      <c r="N10" s="39">
        <f t="shared" si="4"/>
        <v>5.4463906700328427E-2</v>
      </c>
      <c r="O10" s="39">
        <f t="shared" si="5"/>
        <v>9.5451957966494722E-2</v>
      </c>
      <c r="P10" s="37">
        <v>286343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9.8389615491643614</v>
      </c>
      <c r="E15" s="38">
        <f t="shared" si="6"/>
        <v>1.0553383863513983</v>
      </c>
      <c r="F15" s="38">
        <f t="shared" si="6"/>
        <v>19.333601639104348</v>
      </c>
      <c r="G15" s="38">
        <f t="shared" si="6"/>
        <v>1.5471475630513147</v>
      </c>
      <c r="H15" s="39">
        <f t="shared" si="6"/>
        <v>6.2654558696460361E-2</v>
      </c>
      <c r="I15" s="39">
        <f t="shared" si="6"/>
        <v>4.5400829682170893E-2</v>
      </c>
    </row>
    <row r="16" spans="2:17" ht="14" x14ac:dyDescent="0.3">
      <c r="B16" s="4" t="s">
        <v>226</v>
      </c>
      <c r="D16" s="38">
        <f t="shared" ref="D16:I16" si="7">MEDIAN(J6:J10)</f>
        <v>10.92142078168791</v>
      </c>
      <c r="E16" s="38">
        <f t="shared" si="7"/>
        <v>1.1817147149395215</v>
      </c>
      <c r="F16" s="38">
        <f t="shared" si="7"/>
        <v>19.718879036636125</v>
      </c>
      <c r="G16" s="38">
        <f t="shared" si="7"/>
        <v>1.6515832379420228</v>
      </c>
      <c r="H16" s="39">
        <f t="shared" si="7"/>
        <v>6.4210985961814029E-2</v>
      </c>
      <c r="I16" s="39">
        <f t="shared" si="7"/>
        <v>8.7747115057389469E-2</v>
      </c>
    </row>
    <row r="17" spans="2:9" ht="14" x14ac:dyDescent="0.3">
      <c r="B17" s="4" t="s">
        <v>227</v>
      </c>
      <c r="D17" s="38">
        <f t="shared" ref="D17:I17" si="8">PERCENTILE(J6:J10,0.75)</f>
        <v>11.133463435322977</v>
      </c>
      <c r="E17" s="38">
        <f t="shared" si="8"/>
        <v>1.3421536641751961</v>
      </c>
      <c r="F17" s="38">
        <f t="shared" si="8"/>
        <v>26.869285076685873</v>
      </c>
      <c r="G17" s="38">
        <f t="shared" si="8"/>
        <v>1.8454301309967416</v>
      </c>
      <c r="H17" s="39">
        <f t="shared" si="8"/>
        <v>7.9498980989837167E-2</v>
      </c>
      <c r="I17" s="39">
        <f t="shared" si="8"/>
        <v>9.5451957966494722E-2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232403</v>
      </c>
    </row>
    <row r="22" spans="2:9" ht="14" x14ac:dyDescent="0.3">
      <c r="B22" s="4" t="s">
        <v>231</v>
      </c>
      <c r="C22" s="5">
        <v>88723</v>
      </c>
    </row>
    <row r="23" spans="2:9" ht="14" x14ac:dyDescent="0.3">
      <c r="B23" s="4" t="s">
        <v>232</v>
      </c>
      <c r="C23" s="15">
        <v>308999659</v>
      </c>
    </row>
    <row r="24" spans="2:9" ht="14" x14ac:dyDescent="0.3">
      <c r="B24" s="4" t="s">
        <v>73</v>
      </c>
      <c r="C24" s="5">
        <v>-133207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8645</v>
      </c>
    </row>
    <row r="28" spans="2:9" ht="14" x14ac:dyDescent="0.3">
      <c r="B28" s="4" t="s">
        <v>235</v>
      </c>
      <c r="C28" s="24">
        <f>ROUND(C22*F16*1000000/C23,0)</f>
        <v>5662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7.3838000000000001E-2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10.9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5.8838000000000001E-2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7988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8271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8581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8923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9302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9723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10196</v>
      </c>
    </row>
    <row r="8" spans="2:9" ht="13.5" x14ac:dyDescent="0.25">
      <c r="B8" s="39">
        <f>$C$3-0.01</f>
        <v>6.3838000000000006E-2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7388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7622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7876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8154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8459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8795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9168</v>
      </c>
    </row>
    <row r="9" spans="2:9" ht="13.5" x14ac:dyDescent="0.25">
      <c r="B9" s="39">
        <f>$C$3-0.005</f>
        <v>6.8837999999999996E-2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6878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7074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7286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7516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7766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8039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8339</v>
      </c>
    </row>
    <row r="10" spans="2:9" ht="13.5" x14ac:dyDescent="0.25">
      <c r="B10" s="39">
        <f>$C$3</f>
        <v>7.3838000000000001E-2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6440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6606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6785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6977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7186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7412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7658</v>
      </c>
    </row>
    <row r="11" spans="2:9" ht="13.5" x14ac:dyDescent="0.25">
      <c r="B11" s="39">
        <f>$C$3+0.005</f>
        <v>7.8838000000000005E-2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6059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6201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6354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6517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6693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6883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7088</v>
      </c>
    </row>
    <row r="12" spans="2:9" ht="13.5" x14ac:dyDescent="0.25">
      <c r="B12" s="39">
        <f>$C$3+0.01</f>
        <v>8.3837999999999996E-2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5725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5848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5979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6120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6270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6430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6603</v>
      </c>
    </row>
    <row r="13" spans="2:9" ht="13.5" x14ac:dyDescent="0.25">
      <c r="B13" s="39">
        <f>$C$3+0.015</f>
        <v>8.8838E-2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5430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5537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5651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5772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5901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6039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6187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7.9</v>
      </c>
      <c r="D17" s="42">
        <f>$I$3-2</f>
        <v>8.9</v>
      </c>
      <c r="E17" s="42">
        <f>$I$3-1</f>
        <v>9.9</v>
      </c>
      <c r="F17" s="42">
        <f>$I$3</f>
        <v>10.9</v>
      </c>
      <c r="G17" s="42">
        <f>$I$3+1</f>
        <v>11.9</v>
      </c>
      <c r="H17" s="42">
        <f>$I$3+2</f>
        <v>12.9</v>
      </c>
      <c r="I17" s="42">
        <f>$I$3+3</f>
        <v>13.9</v>
      </c>
    </row>
    <row r="18" spans="2:9" ht="13.5" x14ac:dyDescent="0.25">
      <c r="B18" s="39">
        <f>$C$3-0.015</f>
        <v>5.8838000000000001E-2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7640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8325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9010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9695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10380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11065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11751</v>
      </c>
    </row>
    <row r="19" spans="2:9" ht="13.5" x14ac:dyDescent="0.25">
      <c r="B19" s="39">
        <f>$C$3-0.01</f>
        <v>6.3838000000000006E-2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7506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8177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8848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9519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10190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10860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11531</v>
      </c>
    </row>
    <row r="20" spans="2:9" ht="13.5" x14ac:dyDescent="0.25">
      <c r="B20" s="39">
        <f>$C$3-0.005</f>
        <v>6.8837999999999996E-2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7377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8033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8690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9347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10004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10660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11317</v>
      </c>
    </row>
    <row r="21" spans="2:9" ht="13.5" x14ac:dyDescent="0.25">
      <c r="B21" s="39">
        <f>$C$3</f>
        <v>7.3838000000000001E-2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7250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7893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8536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9179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9822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10465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11108</v>
      </c>
    </row>
    <row r="22" spans="2:9" ht="13.5" x14ac:dyDescent="0.25">
      <c r="B22" s="39">
        <f>$C$3+0.005</f>
        <v>7.8838000000000005E-2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7126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7756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8386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9015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9645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10275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10905</v>
      </c>
    </row>
    <row r="23" spans="2:9" ht="13.5" x14ac:dyDescent="0.25">
      <c r="B23" s="39">
        <f>$C$3+0.01</f>
        <v>8.3837999999999996E-2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7005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7622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8239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8856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9473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10090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10706</v>
      </c>
    </row>
    <row r="24" spans="2:9" ht="13.5" x14ac:dyDescent="0.25">
      <c r="B24" s="39">
        <f>$C$3+0.015</f>
        <v>8.8838E-2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6888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7492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8096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8700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9304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9909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10513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7" spans="2:7" ht="30" customHeight="1" x14ac:dyDescent="0.3">
      <c r="B7" t="s">
        <v>252</v>
      </c>
      <c r="C7" s="4" t="s">
        <v>262</v>
      </c>
      <c r="D7" t="s">
        <v>263</v>
      </c>
      <c r="E7" t="s">
        <v>264</v>
      </c>
      <c r="F7" t="s">
        <v>265</v>
      </c>
      <c r="G7" t="s">
        <v>266</v>
      </c>
    </row>
    <row r="12" spans="2:7" ht="14" x14ac:dyDescent="0.3">
      <c r="B12" s="8" t="s">
        <v>267</v>
      </c>
    </row>
    <row r="13" spans="2:7" ht="14" x14ac:dyDescent="0.3">
      <c r="B13" s="10" t="s">
        <v>268</v>
      </c>
      <c r="C13" s="10" t="s">
        <v>269</v>
      </c>
    </row>
    <row r="14" spans="2:7" ht="14" x14ac:dyDescent="0.3">
      <c r="B14" s="4" t="s">
        <v>270</v>
      </c>
      <c r="C14" t="s">
        <v>271</v>
      </c>
    </row>
    <row r="15" spans="2:7" ht="14" x14ac:dyDescent="0.3">
      <c r="B15" s="4" t="s">
        <v>272</v>
      </c>
      <c r="C15" t="s">
        <v>273</v>
      </c>
    </row>
    <row r="16" spans="2:7" ht="14" x14ac:dyDescent="0.3">
      <c r="B16" s="4" t="s">
        <v>274</v>
      </c>
      <c r="C16" t="s">
        <v>275</v>
      </c>
    </row>
    <row r="17" spans="2:3" ht="14" x14ac:dyDescent="0.3">
      <c r="B17" s="4" t="s">
        <v>276</v>
      </c>
      <c r="C17" t="s">
        <v>273</v>
      </c>
    </row>
    <row r="18" spans="2:3" ht="14" x14ac:dyDescent="0.3">
      <c r="B18" s="4" t="s">
        <v>277</v>
      </c>
      <c r="C18" t="s">
        <v>278</v>
      </c>
    </row>
    <row r="19" spans="2:3" ht="14" x14ac:dyDescent="0.3">
      <c r="B19" s="4" t="s">
        <v>279</v>
      </c>
      <c r="C19" t="s">
        <v>280</v>
      </c>
    </row>
    <row r="20" spans="2:3" ht="14" x14ac:dyDescent="0.3">
      <c r="B20" s="4" t="s">
        <v>281</v>
      </c>
      <c r="C20" t="s">
        <v>282</v>
      </c>
    </row>
    <row r="21" spans="2:3" ht="14" x14ac:dyDescent="0.3">
      <c r="B21" s="4" t="s">
        <v>283</v>
      </c>
      <c r="C21" t="s">
        <v>284</v>
      </c>
    </row>
    <row r="22" spans="2:3" ht="14" x14ac:dyDescent="0.3">
      <c r="B22" s="4" t="s">
        <v>285</v>
      </c>
      <c r="C22" t="s">
        <v>47</v>
      </c>
    </row>
    <row r="23" spans="2:3" ht="14" x14ac:dyDescent="0.3">
      <c r="B23" s="4" t="s">
        <v>286</v>
      </c>
      <c r="C23" t="s">
        <v>4</v>
      </c>
    </row>
    <row r="24" spans="2:3" ht="14" x14ac:dyDescent="0.3">
      <c r="B24" s="4" t="s">
        <v>287</v>
      </c>
      <c r="C24" t="s">
        <v>252</v>
      </c>
    </row>
    <row r="25" spans="2:3" ht="14" x14ac:dyDescent="0.3">
      <c r="B25" s="4" t="s">
        <v>288</v>
      </c>
      <c r="C25" t="s">
        <v>289</v>
      </c>
    </row>
    <row r="26" spans="2:3" ht="14" x14ac:dyDescent="0.3">
      <c r="B26" s="4" t="s">
        <v>290</v>
      </c>
      <c r="C26" t="s">
        <v>278</v>
      </c>
    </row>
    <row r="27" spans="2:3" ht="14" x14ac:dyDescent="0.3">
      <c r="B27" s="4" t="s">
        <v>291</v>
      </c>
      <c r="C27" t="s">
        <v>278</v>
      </c>
    </row>
    <row r="28" spans="2:3" ht="14" x14ac:dyDescent="0.3">
      <c r="B28" s="4" t="s">
        <v>292</v>
      </c>
      <c r="C28" t="s">
        <v>293</v>
      </c>
    </row>
    <row r="29" spans="2:3" ht="14" x14ac:dyDescent="0.3">
      <c r="B29" s="4" t="s">
        <v>294</v>
      </c>
      <c r="C29" t="s">
        <v>295</v>
      </c>
    </row>
    <row r="30" spans="2:3" ht="14" x14ac:dyDescent="0.3">
      <c r="B30" s="4" t="s">
        <v>296</v>
      </c>
      <c r="C30" t="s">
        <v>297</v>
      </c>
    </row>
    <row r="31" spans="2:3" ht="14" x14ac:dyDescent="0.3">
      <c r="B31" s="4" t="s">
        <v>298</v>
      </c>
      <c r="C31" t="s">
        <v>293</v>
      </c>
    </row>
    <row r="32" spans="2:3" ht="14" x14ac:dyDescent="0.3">
      <c r="B32" s="4" t="s">
        <v>299</v>
      </c>
      <c r="C32" t="s">
        <v>278</v>
      </c>
    </row>
    <row r="33" spans="2:3" ht="14" x14ac:dyDescent="0.3">
      <c r="B33" s="4" t="s">
        <v>300</v>
      </c>
      <c r="C33" t="s">
        <v>289</v>
      </c>
    </row>
    <row r="34" spans="2:3" ht="14" x14ac:dyDescent="0.3">
      <c r="B34" s="4" t="s">
        <v>301</v>
      </c>
      <c r="C34" t="s">
        <v>302</v>
      </c>
    </row>
    <row r="35" spans="2:3" ht="14" x14ac:dyDescent="0.3">
      <c r="B35" s="4" t="s">
        <v>303</v>
      </c>
      <c r="C35" t="s">
        <v>304</v>
      </c>
    </row>
    <row r="36" spans="2:3" ht="14" x14ac:dyDescent="0.3">
      <c r="B36" s="4" t="s">
        <v>305</v>
      </c>
      <c r="C36" t="s">
        <v>306</v>
      </c>
    </row>
    <row r="37" spans="2:3" ht="14" x14ac:dyDescent="0.3">
      <c r="B37" s="4" t="s">
        <v>307</v>
      </c>
      <c r="C37" t="s">
        <v>308</v>
      </c>
    </row>
    <row r="38" spans="2:3" ht="14" x14ac:dyDescent="0.3">
      <c r="B38" s="4" t="s">
        <v>309</v>
      </c>
      <c r="C38" t="s">
        <v>310</v>
      </c>
    </row>
    <row r="39" spans="2:3" ht="14" x14ac:dyDescent="0.3">
      <c r="B39" s="4" t="s">
        <v>311</v>
      </c>
      <c r="C39" t="s">
        <v>312</v>
      </c>
    </row>
    <row r="40" spans="2:3" ht="14" x14ac:dyDescent="0.3">
      <c r="B40" s="4" t="s">
        <v>313</v>
      </c>
      <c r="C40" t="s">
        <v>314</v>
      </c>
    </row>
    <row r="41" spans="2:3" ht="14" x14ac:dyDescent="0.3">
      <c r="B41" s="4" t="s">
        <v>315</v>
      </c>
      <c r="C41" t="s">
        <v>316</v>
      </c>
    </row>
    <row r="42" spans="2:3" ht="14" x14ac:dyDescent="0.3">
      <c r="B42" s="4" t="s">
        <v>317</v>
      </c>
      <c r="C42" t="s">
        <v>318</v>
      </c>
    </row>
    <row r="43" spans="2:3" ht="14" x14ac:dyDescent="0.3">
      <c r="B43" s="4" t="s">
        <v>319</v>
      </c>
      <c r="C43" t="s">
        <v>320</v>
      </c>
    </row>
    <row r="44" spans="2:3" ht="14" x14ac:dyDescent="0.3">
      <c r="B44" s="4" t="s">
        <v>321</v>
      </c>
      <c r="C44" t="s">
        <v>282</v>
      </c>
    </row>
    <row r="45" spans="2:3" ht="14" x14ac:dyDescent="0.3">
      <c r="B45" s="4" t="s">
        <v>322</v>
      </c>
      <c r="C45" t="s">
        <v>323</v>
      </c>
    </row>
    <row r="46" spans="2:3" ht="14" x14ac:dyDescent="0.3">
      <c r="B46" s="4" t="s">
        <v>324</v>
      </c>
      <c r="C46" t="s">
        <v>325</v>
      </c>
    </row>
    <row r="47" spans="2:3" ht="14" x14ac:dyDescent="0.3">
      <c r="B47" s="4" t="s">
        <v>326</v>
      </c>
      <c r="C47" t="s">
        <v>327</v>
      </c>
    </row>
    <row r="48" spans="2:3" ht="14" x14ac:dyDescent="0.3">
      <c r="B48" s="4" t="s">
        <v>328</v>
      </c>
      <c r="C48" t="s">
        <v>329</v>
      </c>
    </row>
    <row r="49" spans="2:3" ht="14" x14ac:dyDescent="0.3">
      <c r="B49" s="4" t="s">
        <v>330</v>
      </c>
      <c r="C49" t="s">
        <v>331</v>
      </c>
    </row>
    <row r="50" spans="2:3" ht="14" x14ac:dyDescent="0.3">
      <c r="B50" s="4" t="s">
        <v>332</v>
      </c>
      <c r="C50" t="s">
        <v>333</v>
      </c>
    </row>
    <row r="51" spans="2:3" ht="14" x14ac:dyDescent="0.3">
      <c r="B51" s="4" t="s">
        <v>334</v>
      </c>
      <c r="C51" t="s">
        <v>335</v>
      </c>
    </row>
    <row r="52" spans="2:3" ht="14" x14ac:dyDescent="0.3">
      <c r="B52" s="4" t="s">
        <v>336</v>
      </c>
      <c r="C52" t="s">
        <v>337</v>
      </c>
    </row>
    <row r="53" spans="2:3" ht="14" x14ac:dyDescent="0.3">
      <c r="B53" s="4" t="s">
        <v>338</v>
      </c>
      <c r="C53" t="s">
        <v>339</v>
      </c>
    </row>
    <row r="54" spans="2:3" ht="14" x14ac:dyDescent="0.3">
      <c r="B54" s="4" t="s">
        <v>340</v>
      </c>
      <c r="C54" t="s">
        <v>341</v>
      </c>
    </row>
    <row r="55" spans="2:3" ht="14" x14ac:dyDescent="0.3">
      <c r="B55" s="4" t="s">
        <v>342</v>
      </c>
      <c r="C55" t="s">
        <v>343</v>
      </c>
    </row>
    <row r="56" spans="2:3" ht="14" x14ac:dyDescent="0.3">
      <c r="B56" s="4" t="s">
        <v>344</v>
      </c>
      <c r="C56" t="s">
        <v>345</v>
      </c>
    </row>
    <row r="57" spans="2:3" ht="14" x14ac:dyDescent="0.3">
      <c r="B57" s="4" t="s">
        <v>346</v>
      </c>
      <c r="C57" t="s">
        <v>347</v>
      </c>
    </row>
    <row r="58" spans="2:3" ht="14" x14ac:dyDescent="0.3">
      <c r="B58" s="4" t="s">
        <v>348</v>
      </c>
      <c r="C58" t="s">
        <v>289</v>
      </c>
    </row>
    <row r="59" spans="2:3" ht="14" x14ac:dyDescent="0.3">
      <c r="B59" s="4" t="s">
        <v>349</v>
      </c>
      <c r="C59" t="s">
        <v>350</v>
      </c>
    </row>
    <row r="60" spans="2:3" ht="14" x14ac:dyDescent="0.3">
      <c r="B60" s="4" t="s">
        <v>351</v>
      </c>
      <c r="C60" t="s">
        <v>352</v>
      </c>
    </row>
    <row r="61" spans="2:3" ht="14" x14ac:dyDescent="0.3">
      <c r="B61" s="4" t="s">
        <v>353</v>
      </c>
      <c r="C61" t="s">
        <v>354</v>
      </c>
    </row>
    <row r="62" spans="2:3" ht="14" x14ac:dyDescent="0.3">
      <c r="B62" s="4" t="s">
        <v>355</v>
      </c>
      <c r="C62" t="s">
        <v>356</v>
      </c>
    </row>
    <row r="63" spans="2:3" ht="14" x14ac:dyDescent="0.3">
      <c r="B63" s="4" t="s">
        <v>357</v>
      </c>
      <c r="C63" t="s">
        <v>358</v>
      </c>
    </row>
    <row r="64" spans="2:3" ht="14" x14ac:dyDescent="0.3">
      <c r="B64" s="4" t="s">
        <v>359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2026-09-06T09:41:16Z</dcterms:created>
  <dcterms:modified xsi:type="dcterms:W3CDTF">2026-09-06T09:41:19Z</dcterms:modified>
</cp:coreProperties>
</file>