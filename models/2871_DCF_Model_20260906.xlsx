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610DD4E0-A437-498D-8380-893E214C9A6E}"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6" i="6" s="1"/>
  <c r="L6" i="6"/>
  <c r="K6" i="6"/>
  <c r="J6" i="6"/>
  <c r="D17" i="6" s="1"/>
  <c r="O5" i="6"/>
  <c r="N5" i="6"/>
  <c r="D5" i="6"/>
  <c r="M5" i="6" s="1"/>
  <c r="C16" i="5"/>
  <c r="C14" i="5"/>
  <c r="C7" i="5"/>
  <c r="C6" i="5"/>
  <c r="C5" i="5"/>
  <c r="C13" i="4"/>
  <c r="C12" i="4"/>
  <c r="C9" i="4"/>
  <c r="C7" i="4"/>
  <c r="C6" i="4"/>
  <c r="D27" i="3"/>
  <c r="G5" i="5" s="1"/>
  <c r="C25" i="3"/>
  <c r="C26" i="3" s="1"/>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C8" i="4" l="1"/>
  <c r="C10" i="4" s="1"/>
  <c r="C18" i="5"/>
  <c r="F15" i="6"/>
  <c r="E5" i="6"/>
  <c r="J5" i="6" s="1"/>
  <c r="G15" i="6"/>
  <c r="H15" i="6"/>
  <c r="I17" i="6"/>
  <c r="I16" i="6"/>
  <c r="E15" i="6"/>
  <c r="C71" i="4"/>
  <c r="C70" i="4"/>
  <c r="C3" i="7"/>
  <c r="G36" i="4"/>
  <c r="C11" i="4"/>
  <c r="C24" i="4" s="1"/>
  <c r="C25" i="4" s="1"/>
  <c r="G46" i="3"/>
  <c r="E36" i="4"/>
  <c r="D36" i="4"/>
  <c r="D46" i="3"/>
  <c r="C46" i="3"/>
  <c r="F36" i="4"/>
  <c r="F46" i="3"/>
  <c r="E46" i="3"/>
  <c r="H36" i="4"/>
  <c r="C30" i="3"/>
  <c r="C33" i="3" s="1"/>
  <c r="F31" i="3"/>
  <c r="H5" i="5"/>
  <c r="D7" i="5"/>
  <c r="K5" i="6"/>
  <c r="I15" i="6"/>
  <c r="E17" i="6"/>
  <c r="I6" i="7"/>
  <c r="F32" i="3"/>
  <c r="G32" i="3"/>
  <c r="D30" i="3"/>
  <c r="G31" i="3"/>
  <c r="E7" i="5"/>
  <c r="L5" i="6"/>
  <c r="D16" i="6"/>
  <c r="F17" i="6"/>
  <c r="C17" i="7"/>
  <c r="F5" i="5"/>
  <c r="E30" i="3"/>
  <c r="C32" i="3"/>
  <c r="D6" i="5"/>
  <c r="F7" i="5"/>
  <c r="E16" i="6"/>
  <c r="G17" i="6"/>
  <c r="C6" i="7"/>
  <c r="D17" i="7"/>
  <c r="D31" i="3"/>
  <c r="H6" i="5"/>
  <c r="F30" i="3"/>
  <c r="D32" i="3"/>
  <c r="E6" i="5"/>
  <c r="G7" i="5"/>
  <c r="D15" i="6"/>
  <c r="F16" i="6"/>
  <c r="C28" i="6" s="1"/>
  <c r="C19" i="1" s="1"/>
  <c r="D19" i="1" s="1"/>
  <c r="H17" i="6"/>
  <c r="D6" i="7"/>
  <c r="E17" i="7"/>
  <c r="C31" i="3"/>
  <c r="G30" i="3"/>
  <c r="E32" i="3"/>
  <c r="D5" i="5"/>
  <c r="F6" i="5"/>
  <c r="H7" i="5"/>
  <c r="E6" i="7"/>
  <c r="F17" i="7"/>
  <c r="E5" i="5"/>
  <c r="G6" i="5"/>
  <c r="H16" i="6"/>
  <c r="F6" i="7"/>
  <c r="G17" i="7"/>
  <c r="G6" i="7"/>
  <c r="H17" i="7"/>
  <c r="E31" i="3"/>
  <c r="C29" i="4" l="1"/>
  <c r="C27" i="4"/>
  <c r="C26" i="4"/>
  <c r="D9" i="5"/>
  <c r="D12" i="5" s="1"/>
  <c r="C42" i="3"/>
  <c r="C34" i="3"/>
  <c r="D10" i="5" s="1"/>
  <c r="C37" i="3"/>
  <c r="D33" i="3"/>
  <c r="E39" i="4"/>
  <c r="E46" i="4"/>
  <c r="E40" i="4"/>
  <c r="E44" i="4"/>
  <c r="E38" i="4"/>
  <c r="E43" i="4"/>
  <c r="E41" i="4"/>
  <c r="E45" i="4"/>
  <c r="C27" i="6"/>
  <c r="C18" i="1" s="1"/>
  <c r="D18" i="1" s="1"/>
  <c r="C74" i="4"/>
  <c r="H40" i="4"/>
  <c r="H50" i="4" s="1"/>
  <c r="H55" i="4" s="1"/>
  <c r="H38" i="4"/>
  <c r="H41" i="4"/>
  <c r="H45" i="4"/>
  <c r="H39" i="4"/>
  <c r="H44" i="4"/>
  <c r="H43" i="4"/>
  <c r="H46" i="4"/>
  <c r="G46" i="4"/>
  <c r="G44" i="4"/>
  <c r="G38" i="4"/>
  <c r="G41" i="4"/>
  <c r="G40" i="4"/>
  <c r="G45" i="4"/>
  <c r="G39" i="4"/>
  <c r="G43" i="4"/>
  <c r="D45" i="4"/>
  <c r="D43" i="4"/>
  <c r="D46" i="4"/>
  <c r="D40" i="4"/>
  <c r="D44" i="4"/>
  <c r="D39" i="4"/>
  <c r="D49" i="4" s="1"/>
  <c r="D54" i="4" s="1"/>
  <c r="D38" i="4"/>
  <c r="D41" i="4"/>
  <c r="F43" i="4"/>
  <c r="F40" i="4"/>
  <c r="F44" i="4"/>
  <c r="F38" i="4"/>
  <c r="F46" i="4"/>
  <c r="F41" i="4"/>
  <c r="F51" i="4" s="1"/>
  <c r="F56" i="4" s="1"/>
  <c r="F45" i="4"/>
  <c r="F39" i="4"/>
  <c r="B13" i="7"/>
  <c r="B12" i="7"/>
  <c r="B11" i="7"/>
  <c r="B10" i="7"/>
  <c r="B9" i="7"/>
  <c r="B8" i="7"/>
  <c r="B7" i="7"/>
  <c r="B24" i="7"/>
  <c r="B23" i="7"/>
  <c r="B22" i="7"/>
  <c r="B21" i="7"/>
  <c r="B20" i="7"/>
  <c r="B19" i="7"/>
  <c r="B18" i="7"/>
  <c r="C35" i="3" l="1"/>
  <c r="C39" i="3" s="1"/>
  <c r="E50" i="4"/>
  <c r="E55" i="4" s="1"/>
  <c r="F50" i="4"/>
  <c r="F55" i="4" s="1"/>
  <c r="H48" i="4"/>
  <c r="H53" i="4" s="1"/>
  <c r="F49" i="4"/>
  <c r="D51" i="4"/>
  <c r="D56" i="4" s="1"/>
  <c r="E49" i="4"/>
  <c r="E54" i="4" s="1"/>
  <c r="D48" i="4"/>
  <c r="D53" i="4" s="1"/>
  <c r="D37" i="3"/>
  <c r="D42" i="3"/>
  <c r="E9" i="5"/>
  <c r="E12" i="5" s="1"/>
  <c r="D34" i="3"/>
  <c r="E10" i="5" s="1"/>
  <c r="E33" i="3"/>
  <c r="F54" i="4"/>
  <c r="B78" i="4" s="1"/>
  <c r="C60" i="4"/>
  <c r="G49" i="4"/>
  <c r="G54" i="4" s="1"/>
  <c r="G50" i="4"/>
  <c r="G55" i="4" s="1"/>
  <c r="H49" i="4"/>
  <c r="H54" i="4" s="1"/>
  <c r="E51" i="4"/>
  <c r="E56" i="4" s="1"/>
  <c r="C38" i="3"/>
  <c r="F48" i="4"/>
  <c r="F53" i="4" s="1"/>
  <c r="D50" i="4"/>
  <c r="D55" i="4" s="1"/>
  <c r="G51" i="4"/>
  <c r="G56" i="4" s="1"/>
  <c r="G48" i="4"/>
  <c r="G53" i="4" s="1"/>
  <c r="H51" i="4"/>
  <c r="H56" i="4" s="1"/>
  <c r="E48" i="4"/>
  <c r="E53" i="4" s="1"/>
  <c r="D15" i="5"/>
  <c r="D16" i="5" s="1"/>
  <c r="D13" i="5"/>
  <c r="D14" i="5" s="1"/>
  <c r="D18" i="5" s="1"/>
  <c r="D19" i="5" s="1"/>
  <c r="C44" i="3" s="1"/>
  <c r="C36" i="3" l="1"/>
  <c r="C40" i="3"/>
  <c r="C41" i="3" s="1"/>
  <c r="C45" i="3" s="1"/>
  <c r="D35" i="3"/>
  <c r="C64" i="4"/>
  <c r="D64" i="4" s="1"/>
  <c r="C65" i="4"/>
  <c r="D65" i="4" s="1"/>
  <c r="C67" i="4"/>
  <c r="D67" i="4" s="1"/>
  <c r="C63" i="4"/>
  <c r="D63" i="4" s="1"/>
  <c r="C66" i="4"/>
  <c r="D66" i="4" s="1"/>
  <c r="F9" i="5"/>
  <c r="F12" i="5" s="1"/>
  <c r="F33" i="3"/>
  <c r="E42" i="3"/>
  <c r="E34" i="3"/>
  <c r="F10" i="5" s="1"/>
  <c r="E37" i="3"/>
  <c r="E13" i="5"/>
  <c r="E14" i="5" s="1"/>
  <c r="E15" i="5"/>
  <c r="E16" i="5" s="1"/>
  <c r="E18" i="5" l="1"/>
  <c r="E19" i="5" s="1"/>
  <c r="D44" i="3" s="1"/>
  <c r="C47" i="3"/>
  <c r="F13" i="5"/>
  <c r="F15" i="5"/>
  <c r="F16" i="5" s="1"/>
  <c r="F42" i="3"/>
  <c r="F34" i="3"/>
  <c r="G10" i="5" s="1"/>
  <c r="F35" i="3"/>
  <c r="G33" i="3"/>
  <c r="F37" i="3"/>
  <c r="G9" i="5"/>
  <c r="G12" i="5" s="1"/>
  <c r="E35" i="3"/>
  <c r="D36" i="3"/>
  <c r="D39" i="3"/>
  <c r="D38" i="3"/>
  <c r="F14" i="5"/>
  <c r="F18" i="5" s="1"/>
  <c r="F19" i="5" s="1"/>
  <c r="E44" i="3" s="1"/>
  <c r="F38" i="3" l="1"/>
  <c r="F36" i="3"/>
  <c r="F39" i="3"/>
  <c r="D40" i="3"/>
  <c r="D41" i="3" s="1"/>
  <c r="D45" i="3" s="1"/>
  <c r="G13" i="5"/>
  <c r="G14" i="5" s="1"/>
  <c r="G15" i="5"/>
  <c r="G16" i="5" s="1"/>
  <c r="E39" i="3"/>
  <c r="E38" i="3"/>
  <c r="E36" i="3"/>
  <c r="G37" i="3"/>
  <c r="C16" i="4"/>
  <c r="C28" i="4" s="1"/>
  <c r="H9" i="5"/>
  <c r="H12" i="5" s="1"/>
  <c r="G42" i="3"/>
  <c r="G34" i="3"/>
  <c r="H10" i="5" s="1"/>
  <c r="G18" i="5" l="1"/>
  <c r="G19" i="5" s="1"/>
  <c r="F44" i="3" s="1"/>
  <c r="D47" i="3"/>
  <c r="H15" i="5"/>
  <c r="H16" i="5" s="1"/>
  <c r="H13" i="5"/>
  <c r="H14" i="5" s="1"/>
  <c r="H18" i="5" s="1"/>
  <c r="H19" i="5" s="1"/>
  <c r="G44" i="3" s="1"/>
  <c r="C72" i="4"/>
  <c r="C73" i="4"/>
  <c r="G35" i="3"/>
  <c r="F40" i="3"/>
  <c r="F41" i="3" s="1"/>
  <c r="F45" i="3" s="1"/>
  <c r="F47" i="3" s="1"/>
  <c r="E40" i="3"/>
  <c r="E41" i="3"/>
  <c r="E45" i="3" s="1"/>
  <c r="E47" i="3" s="1"/>
  <c r="G38" i="3" l="1"/>
  <c r="G36" i="3"/>
  <c r="G39" i="3"/>
  <c r="C59" i="3" l="1"/>
  <c r="C60" i="3" s="1"/>
  <c r="C61" i="3" s="1"/>
  <c r="G40" i="3"/>
  <c r="G41" i="3" s="1"/>
  <c r="G45" i="3" s="1"/>
  <c r="G47" i="3" l="1"/>
  <c r="C50" i="3" s="1"/>
  <c r="C51" i="3"/>
  <c r="C52" i="3" s="1"/>
  <c r="E8" i="7"/>
  <c r="H19" i="7"/>
  <c r="I10" i="7"/>
  <c r="C13" i="7"/>
  <c r="G11" i="7"/>
  <c r="F7" i="7"/>
  <c r="I11" i="7"/>
  <c r="H18" i="7"/>
  <c r="F24" i="7"/>
  <c r="H23" i="7"/>
  <c r="G20" i="7"/>
  <c r="H8" i="7"/>
  <c r="D7" i="7"/>
  <c r="F13" i="7"/>
  <c r="G7" i="7"/>
  <c r="F10" i="7"/>
  <c r="C22" i="7"/>
  <c r="G21" i="7"/>
  <c r="F22" i="7"/>
  <c r="E18" i="7"/>
  <c r="D10" i="7"/>
  <c r="C21" i="7"/>
  <c r="E23" i="7"/>
  <c r="E13" i="7"/>
  <c r="G12" i="7"/>
  <c r="C19" i="7"/>
  <c r="G18" i="7"/>
  <c r="C9" i="7"/>
  <c r="G22" i="7"/>
  <c r="G23" i="7"/>
  <c r="I22" i="7"/>
  <c r="D11" i="7"/>
  <c r="H10" i="7"/>
  <c r="H9" i="7"/>
  <c r="G8" i="7"/>
  <c r="C8" i="7"/>
  <c r="I21" i="7"/>
  <c r="E7" i="7"/>
  <c r="C12" i="7"/>
  <c r="I13" i="7"/>
  <c r="G9" i="7"/>
  <c r="D23" i="7"/>
  <c r="H21" i="7"/>
  <c r="I20" i="7"/>
  <c r="C18" i="7"/>
  <c r="D8" i="7"/>
  <c r="E9" i="7"/>
  <c r="D12" i="7"/>
  <c r="F9" i="7"/>
  <c r="D22" i="7"/>
  <c r="D18" i="7"/>
  <c r="H12" i="7"/>
  <c r="C11" i="7"/>
  <c r="H20" i="7"/>
  <c r="G19" i="7"/>
  <c r="E20" i="7"/>
  <c r="F12" i="7"/>
  <c r="C20" i="7"/>
  <c r="C23" i="7"/>
  <c r="F11" i="7"/>
  <c r="E11" i="7"/>
  <c r="I23" i="7"/>
  <c r="I18" i="7"/>
  <c r="I9" i="7"/>
  <c r="E19" i="7"/>
  <c r="D21" i="7"/>
  <c r="H11" i="7"/>
  <c r="E22" i="7"/>
  <c r="I7" i="7"/>
  <c r="G10" i="7"/>
  <c r="D19" i="7"/>
  <c r="D24" i="7"/>
  <c r="E21" i="7"/>
  <c r="F20" i="7"/>
  <c r="I24" i="7"/>
  <c r="E12" i="7"/>
  <c r="C24" i="7"/>
  <c r="I12" i="7"/>
  <c r="F23" i="7"/>
  <c r="F19" i="7"/>
  <c r="F18" i="7"/>
  <c r="F8" i="7"/>
  <c r="H13" i="7"/>
  <c r="C10" i="7"/>
  <c r="D9" i="7"/>
  <c r="C7" i="7"/>
  <c r="H22" i="7"/>
  <c r="D20" i="7"/>
  <c r="D13" i="7"/>
  <c r="I19" i="7"/>
  <c r="G13" i="7"/>
  <c r="I8" i="7"/>
  <c r="E24" i="7"/>
  <c r="E10" i="7"/>
  <c r="H24" i="7"/>
  <c r="F21" i="7"/>
  <c r="G24" i="7"/>
  <c r="H7" i="7"/>
  <c r="C58" i="3" l="1"/>
  <c r="C62" i="3" s="1"/>
  <c r="C53" i="3"/>
  <c r="C63" i="3" l="1"/>
  <c r="C64" i="3" s="1"/>
  <c r="C17" i="1" s="1"/>
  <c r="D17" i="1" s="1"/>
  <c r="C17" i="4"/>
  <c r="C54" i="3"/>
  <c r="C55" i="3" s="1"/>
  <c r="C16" i="1" s="1"/>
  <c r="C21" i="1" l="1"/>
  <c r="D16" i="1"/>
  <c r="C10" i="1"/>
  <c r="C12" i="1" s="1"/>
  <c r="C11" i="1" s="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<sst xmlns="http://schemas.openxmlformats.org/spreadsheetml/2006/main" count="445" uniqueCount="360">
  <si>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</si>
  <si>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ニチレイ (2871.T)</t>
  </si>
  <si>
    <t>Equity Research Report</t>
  </si>
  <si>
    <t>Company</t>
  </si>
  <si>
    <t>ニチレイ</t>
  </si>
  <si>
    <t>Ticker</t>
  </si>
  <si>
    <t>2871.T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</si>
  <si>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</si>
  <si>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</si>
  <si>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</si>
  <si>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</si>
  <si>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</si>
  <si>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</si>
  <si>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</si>
  <si>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</si>
  <si>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</si>
  <si>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</si>
  <si>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</si>
  <si>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</si>
  <si>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</si>
  <si>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</si>
  <si>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</si>
  <si>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</si>
  <si>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</si>
  <si>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</si>
  <si>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</si>
  <si>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</si>
  <si>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</si>
  <si>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</si>
  <si>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</si>
  <si>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</si>
  <si>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ニチレイ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</si>
  <si>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</si>
  <si>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</si>
  <si>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</si>
  <si>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</si>
  <si>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</si>
  <si>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</si>
  <si>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</si>
  <si>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</si>
  <si>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</si>
  <si>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</si>
  <si>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</si>
  <si>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</si>
  <si>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</si>
  <si>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</si>
  <si>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</si>
  <si>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</si>
  <si>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</si>
  <si>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</si>
  <si>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</si>
  <si>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</si>
  <si>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</si>
  <si>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</si>
  <si>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</si>
  <si>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</si>
  <si>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</si>
  <si>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</si>
  <si>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</si>
  <si>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</si>
  <si>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ニチレイ</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</si>
  <si>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</si>
  <si>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</si>
  <si>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</si>
  <si>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</si>
  <si>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</si>
  <si>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</si>
  <si>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</si>
  <si>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</si>
  <si>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</si>
  <si>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</si>
  <si>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</si>
  <si>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</si>
  <si>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</si>
  <si>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</si>
  <si>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</si>
  <si>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</si>
  <si>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</si>
  <si>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</si>
  <si>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</si>
  <si>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</si>
  <si>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</si>
  <si>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</si>
  <si>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</si>
  <si>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</si>
  <si>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</si>
  <si>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</si>
  <si>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</si>
  <si>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</si>
  <si>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</si>
  <si>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</si>
  <si>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</si>
  <si>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</si>
  <si>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</si>
  <si>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</si>
  <si>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</si>
  <si>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</si>
  <si>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</si>
  <si>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</si>
  <si>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</si>
  <si>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</si>
  <si>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</si>
  <si>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</si>
  <si>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</si>
  <si>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</si>
  <si>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</si>
  <si>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</si>
  <si>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</si>
  <si>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</si>
  <si>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</si>
  <si>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</si>
  <si>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</si>
  <si>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</si>
  <si>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</si>
  <si>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</si>
  <si>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</si>
  <si>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</si>
  <si>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</si>
  <si>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</si>
  <si>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</si>
  <si>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</si>
  <si>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</si>
  <si>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</si>
  <si>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</si>
  <si>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</si>
  <si>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ニチレイ (2871.T)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</si>
  <si>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</si>
  <si>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</si>
  <si>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</si>
  <si>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</si>
  <si>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</si>
  <si>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</si>
  <si>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</si>
  <si>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</si>
  <si>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</si>
  <si>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</si>
  <si>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</si>
  <si>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</si>
  <si>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</si>
  <si>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</si>
  <si>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</si>
  <si>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</si>
  <si>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</si>
  <si>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</si>
  <si>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</si>
  <si>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</si>
  <si>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</si>
  <si>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</si>
  <si>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</si>
  <si>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</si>
  <si>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</si>
  <si>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</si>
  <si>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</si>
  <si>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</si>
  <si>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</si>
  <si>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</si>
  <si>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</si>
  <si>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</si>
  <si>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</si>
  <si>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</si>
  <si>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</si>
  <si>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</si>
  <si>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</si>
  <si>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</si>
  <si>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</si>
  <si>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</si>
  <si>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</si>
  <si>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</si>
  <si>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</si>
  <si>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</si>
  <si>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</si>
  <si>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</si>
  <si>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</si>
  <si>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</si>
  <si>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</si>
  <si>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</si>
  <si>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</si>
  <si>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ニチレイ</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</si>
  <si>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</si>
  <si>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</si>
  <si>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</si>
  <si>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</si>
  <si>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</si>
  <si>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</si>
  <si>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</si>
  <si>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</si>
  <si>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</si>
  <si>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</si>
  <si>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</si>
  <si>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</si>
  <si>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</si>
  <si>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</si>
  <si>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</si>
  <si>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</si>
  <si>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</si>
  <si>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</si>
  <si>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</si>
  <si>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</si>
  <si>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</si>
  <si>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</si>
  <si>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</si>
  <si>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</si>
  <si>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</si>
  <si>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</si>
  <si>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</si>
  <si>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</si>
  <si>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</si>
  <si>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</si>
  <si>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</si>
  <si>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</si>
  <si>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</si>
  <si>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</si>
  <si>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Nichirei Corporation</t>
  </si>
  <si>
    <t>2871.T</t>
  </si>
  <si>
    <t>Nissin Foods Holdings Co.,Ltd.</t>
  </si>
  <si>
    <t>2897.T</t>
  </si>
  <si>
    <t>Meiji Holdings Co., Ltd.</t>
  </si>
  <si>
    <t>2269.T</t>
  </si>
  <si>
    <t>Kikkoman Corporation</t>
  </si>
  <si>
    <t>2801.T</t>
  </si>
  <si>
    <t>Asahi Group Holdings, Ltd.</t>
  </si>
  <si>
    <t>2502.T</t>
  </si>
  <si>
    <t>Suntory Beverage &amp; Food Limited</t>
  </si>
  <si>
    <t>2587.T</t>
  </si>
  <si>
    <t>Statistics</t>
  </si>
  <si>
    <t>25th Percentile</t>
  </si>
  <si>
    <t>Median (50th)</t>
  </si>
  <si>
    <t>75th Percentile</t>
  </si>
  <si>
    <t>Implied Valuation for ニチレイ</t>
  </si>
  <si>
    <t>ニチレイ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</si>
  <si>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</si>
  <si>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</si>
  <si>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</si>
  <si>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</si>
  <si>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</si>
  <si>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</si>
  <si>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</si>
  <si>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</si>
  <si>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</si>
  <si>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</si>
  <si>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</si>
  <si>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</si>
  <si>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</si>
  <si>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</si>
  <si>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</si>
  <si>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ニチレイ</t>
  </si>
  <si>
    <t>日付</t>
  </si>
  <si>
    <t>セル</t>
  </si>
  <si>
    <t>変更内容</t>
  </si>
  <si>
    <t>理由</t>
  </si>
  <si>
    <t>元の値</t>
  </si>
  <si>
    <t>状態</t>
  </si>
  <si>
    <t>2026-09-06</t>
  </si>
  <si>
    <t>-</t>
  </si>
  <si>
    <t>Generated by pipeline on 2026-09-06 18:43, template rev 63983ab</t>
  </si>
  <si>
    <t>初期生成（手修正なし）</t>
  </si>
  <si>
    <t>generated</t>
  </si>
  <si>
    <t>DCF Model!C11</t>
  </si>
  <si>
    <t>After-tax Cost of Debt = 0.89% (実績ベース)</t>
  </si>
  <si>
    <t>実績Kd = 支払利息1,373 ÷ 平均有利子負債115,504(期首106,253/期末124,754、debt_beginning/debt_ending) = 税引前1.19% × (1−25.0%) = 0.89%。【マージナルコスト注記】これは既存借入の実績平均コストであり、新規調達の限界コストではない。テンプレ既定(税引前2.8%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</si>
  <si>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</si>
  <si>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</si>
  <si>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</si>
  <si>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0.352（採用値）</t>
  </si>
  <si>
    <t>実測β(raw) = 0.033 → Blume調整 0.67×raw + 0.33×1.00 = 0.352 → 採用 0.352。クランプ域 [0.3, 2.0] の内側。置換なし。回帰βは平均回帰するため Blume 調整を既定とする（2026-09-05 バッチで85件中57件が旧下限 0.60 に張り付き、両裾の歪みが実証された）。</t>
  </si>
  <si>
    <t>実測 0.033</t>
  </si>
  <si>
    <t>確定</t>
  </si>
  <si>
    <t>Pipeline Metadata (do not edit — read by scripts/validate_output.py)</t>
  </si>
  <si>
    <t>key</t>
  </si>
  <si>
    <t>value</t>
  </si>
  <si>
    <t>auto_log_entries</t>
  </si>
  <si>
    <t>2</t>
  </si>
  <si>
    <t>beta_adopted_c8</t>
  </si>
  <si>
    <t>0.352</t>
  </si>
  <si>
    <t>beta_basis</t>
  </si>
  <si>
    <t>Blume: 0.67 x 0.033 + 0.33 x 1.00 = 0.352</t>
  </si>
  <si>
    <t>beta_blume_adjusted</t>
  </si>
  <si>
    <t>beta_clamped</t>
  </si>
  <si>
    <t>no</t>
  </si>
  <si>
    <t>beta_raw</t>
  </si>
  <si>
    <t>0.0329</t>
  </si>
  <si>
    <t>capex_pct_basis</t>
  </si>
  <si>
    <t>explicit_override</t>
  </si>
  <si>
    <t>capex_pct_c5</t>
  </si>
  <si>
    <t>0.03234</t>
  </si>
  <si>
    <t>capex_pct_hist3yr</t>
  </si>
  <si>
    <t>0.040605</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</si>
  <si>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</si>
  <si>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</si>
  <si>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</si>
  <si>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</si>
  <si>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</si>
  <si>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</si>
  <si>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</si>
  <si>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</si>
  <si>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</si>
  <si>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</si>
  <si>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</si>
  <si>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</si>
  <si>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</si>
  <si>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</si>
  <si>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</si>
  <si>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</si>
  <si>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</si>
  <si>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</si>
  <si>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</si>
  <si>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</si>
  <si>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61091.0</t>
  </si>
  <si>
    <t>core_net_income</t>
  </si>
  <si>
    <t>27332.0</t>
  </si>
  <si>
    <t>cost_of_debt_actual</t>
  </si>
  <si>
    <t>interest 1,373 (expense 1,373 + fees 0) / avg debt 115,504 (debt_beginning/debt_ending) = 0.011887 pre-tax -&gt; 0.008900 after-tax</t>
  </si>
  <si>
    <t>cost_of_debt_at_c11</t>
  </si>
  <si>
    <t>0.0089</t>
  </si>
  <si>
    <t>cost_of_debt_avg_debt</t>
  </si>
  <si>
    <t>115503.5</t>
  </si>
  <si>
    <t>cost_of_debt_basis</t>
  </si>
  <si>
    <t>actual</t>
  </si>
  <si>
    <t>cost_of_debt_interest</t>
  </si>
  <si>
    <t>1373.0</t>
  </si>
  <si>
    <t>cost_of_debt_pretax</t>
  </si>
  <si>
    <t>0.011887085672728531</t>
  </si>
  <si>
    <t>da_pct_basis</t>
  </si>
  <si>
    <t>da_pct_c18</t>
  </si>
  <si>
    <t>0.0308</t>
  </si>
  <si>
    <t>da_pct_hist3yr</t>
  </si>
  <si>
    <t>0.033677</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</si>
  <si>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</si>
  <si>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</si>
  <si>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</si>
  <si>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</si>
  <si>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</si>
  <si>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</si>
  <si>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</si>
  <si>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</si>
  <si>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</si>
  <si>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18:43:03</t>
  </si>
  <si>
    <t>guidance_note</t>
  </si>
  <si>
    <t>screener DB: newest guidance is FY2026 (disclosed 2026-08-07) but the latest actual FY is FY2026 - that is history, not guidance; ignored | EDINET XBRL: 5 cached EDINET XBRL file(s) for this ticker carry no ForecastMember context | EDINET tanshin: skipped (--tanshin-fallback not given; EDINET does not host 決算短信)</t>
  </si>
  <si>
    <t>guidance_source</t>
  </si>
  <si>
    <t>latest_operating_income</t>
  </si>
  <si>
    <t>39004.0</t>
  </si>
  <si>
    <t>ltm_revenue_c20</t>
  </si>
  <si>
    <t>716144.0</t>
  </si>
  <si>
    <t>ltm_revenue_source</t>
  </si>
  <si>
    <t>latest FY (no LTM)</t>
  </si>
  <si>
    <t>market_data_source</t>
  </si>
  <si>
    <t>yfinance; from overrides: beta, current_price, shares_outstanding</t>
  </si>
  <si>
    <t>narrative_tokens_used</t>
  </si>
  <si>
    <t>net_debt_source</t>
  </si>
  <si>
    <t>EDINET net_debt</t>
  </si>
  <si>
    <t>reverse_dcf_sheet</t>
  </si>
  <si>
    <t>op0=39,004(FY2026) peak=39,004(FY2026) peak_opm=0.0545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</si>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</sst>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2108.5</v>
      </c>
    </row>
    <row r="10" spans="2:5" ht="14" x14ac:dyDescent="0.3">
      <c r="B10" s="4" t="s">
        <v>10</v>
      </c>
      <c r="C10" s="5">
        <f>IF(COUNT(C16:C17)=0,"N/A",ROUND(AVERAGE(C16:C17),0))</f>
        <v>2199</v>
      </c>
    </row>
    <row r="11" spans="2:5" ht="14" x14ac:dyDescent="0.3">
      <c r="B11" s="4" t="s">
        <v>11</v>
      </c>
      <c r="C11" s="6" t="str">
        <f>IF(NOT(ISNUMBER(C12)),"N/A",IF(C12&gt;0.15,"BUY",IF(C12&gt;0.05,"HOLD","SELL")))</f>
        <v>SELL</v>
      </c>
    </row>
    <row r="12" spans="2:5" ht="14" x14ac:dyDescent="0.3">
      <c r="B12" s="4" t="s">
        <v>12</v>
      </c>
      <c r="C12" s="7">
        <f>IF(ISNUMBER(C10),(C10-C9)/C9,"N/A")</f>
        <v>4.292150818117145E-2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2043</v>
      </c>
      <c r="D16" s="7">
        <f>IF(ISNUMBER(C16),(C16-C9)/C9,"N/A")</f>
        <v>-3.1064737965378231E-2</v>
      </c>
    </row>
    <row r="17" spans="2:5" ht="13.5" x14ac:dyDescent="0.25">
      <c r="B17" t="s">
        <v>18</v>
      </c>
      <c r="C17" s="11">
        <f>IF('DCF Model'!C62&lt;'DCF Model'!C16,"INVALID (EV &lt; net debt)",'DCF Model'!C64)</f>
        <v>2354</v>
      </c>
      <c r="D17" s="7">
        <f>IF(ISNUMBER(C17),(C17-C9)/C9,"N/A")</f>
        <v>0.1164334835190894</v>
      </c>
    </row>
    <row r="18" spans="2:5" ht="13.5" x14ac:dyDescent="0.25">
      <c r="B18" t="s">
        <v>19</v>
      </c>
      <c r="C18" s="11">
        <f>'Comps Analysis'!C27</f>
        <v>2372</v>
      </c>
      <c r="D18" s="7">
        <f>IF(ISNUMBER(C18),(C18-C9)/C9,"N/A")</f>
        <v>0.12497035807446051</v>
      </c>
    </row>
    <row r="19" spans="2:5" ht="13.5" x14ac:dyDescent="0.25">
      <c r="B19" t="s">
        <v>20</v>
      </c>
      <c r="C19" s="11">
        <f>'Comps Analysis'!C28</f>
        <v>2151</v>
      </c>
      <c r="D19" s="7">
        <f>IF(ISNUMBER(C19),(C19-C9)/C9,"N/A")</f>
        <v>2.0156509366848471E-2</v>
      </c>
    </row>
    <row r="20" spans="2:5" ht="14" x14ac:dyDescent="0.3">
      <c r="B20" s="45" t="s">
        <v>21</v>
      </c>
      <c r="C20" s="44"/>
      <c r="D20" s="44"/>
      <c r="E20" s="44"/>
    </row>
    <row r="21" spans="2:5" ht="14" x14ac:dyDescent="0.3">
      <c r="B21" s="4" t="s">
        <v>22</v>
      </c>
      <c r="C21" s="6" t="str">
        <f>IF(COUNT(C16:C17)=0,"N/A",MIN(C16:C17)&amp;" - "&amp;MAX(C16:C17))</f>
        <v>2043 - 2354</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662204</v>
      </c>
      <c r="D6" s="5">
        <v>680091</v>
      </c>
      <c r="E6" s="5">
        <v>702080</v>
      </c>
      <c r="F6" s="5">
        <v>716144</v>
      </c>
    </row>
    <row r="7" spans="2:6" ht="14" x14ac:dyDescent="0.3">
      <c r="B7" s="4" t="s">
        <v>38</v>
      </c>
      <c r="C7" s="5">
        <v>553330</v>
      </c>
      <c r="D7" s="5">
        <v>559945</v>
      </c>
      <c r="E7" s="5">
        <v>575852</v>
      </c>
      <c r="F7" s="5">
        <v>586922</v>
      </c>
    </row>
    <row r="8" spans="2:6" ht="14" x14ac:dyDescent="0.3">
      <c r="B8" s="4" t="s">
        <v>39</v>
      </c>
      <c r="C8" s="5">
        <f>C6-C7</f>
        <v>108874</v>
      </c>
      <c r="D8" s="5">
        <f>D6-D7</f>
        <v>120146</v>
      </c>
      <c r="E8" s="5">
        <f>E6-E7</f>
        <v>126228</v>
      </c>
      <c r="F8" s="5">
        <f>F6-F7</f>
        <v>129222</v>
      </c>
    </row>
    <row r="9" spans="2:6" ht="13.5" x14ac:dyDescent="0.25">
      <c r="B9" t="s">
        <v>40</v>
      </c>
      <c r="C9" s="7">
        <f>C8/C6</f>
        <v>0.16441157105665324</v>
      </c>
      <c r="D9" s="7">
        <f>D8/D6</f>
        <v>0.17666165263178016</v>
      </c>
      <c r="E9" s="7">
        <f>E8/E6</f>
        <v>0.17979147675478577</v>
      </c>
      <c r="F9" s="7">
        <f>F8/F6</f>
        <v>0.18044136374807301</v>
      </c>
    </row>
    <row r="10" spans="2:6" ht="14" x14ac:dyDescent="0.3">
      <c r="B10" s="4" t="s">
        <v>41</v>
      </c>
      <c r="C10" s="5">
        <v>75932</v>
      </c>
      <c r="D10" s="5">
        <v>83229</v>
      </c>
      <c r="E10" s="5">
        <v>87907</v>
      </c>
      <c r="F10" s="5">
        <v>90218</v>
      </c>
    </row>
    <row r="11" spans="2:6" ht="14" x14ac:dyDescent="0.3">
      <c r="B11" s="4" t="s">
        <v>42</v>
      </c>
      <c r="C11" s="5">
        <v>32942</v>
      </c>
      <c r="D11" s="5">
        <v>36917</v>
      </c>
      <c r="E11" s="5">
        <v>38321</v>
      </c>
      <c r="F11" s="5">
        <v>39004</v>
      </c>
    </row>
    <row r="12" spans="2:6" ht="14" x14ac:dyDescent="0.3">
      <c r="B12" s="4" t="s">
        <v>43</v>
      </c>
      <c r="C12" s="5">
        <v>21568</v>
      </c>
      <c r="D12" s="5">
        <v>24495</v>
      </c>
      <c r="E12" s="5">
        <v>24731</v>
      </c>
      <c r="F12" s="5">
        <v>27332</v>
      </c>
    </row>
    <row r="13" spans="2:6" ht="13.5" x14ac:dyDescent="0.25">
      <c r="B13" t="s">
        <v>44</v>
      </c>
      <c r="C13" s="7">
        <f>C11/C6</f>
        <v>4.9745999722140007E-2</v>
      </c>
      <c r="D13" s="7">
        <f>D11/D6</f>
        <v>5.4282441614431007E-2</v>
      </c>
      <c r="E13" s="7">
        <f>E11/E6</f>
        <v>5.4582098906107566E-2</v>
      </c>
      <c r="F13" s="7">
        <f>F11/F6</f>
        <v>5.4463906700328427E-2</v>
      </c>
    </row>
    <row r="14" spans="2:6" ht="13.5" x14ac:dyDescent="0.25">
      <c r="B14" t="s">
        <v>45</v>
      </c>
      <c r="C14" s="7">
        <f>C12/C6</f>
        <v>3.2570023738908251E-2</v>
      </c>
      <c r="D14" s="7">
        <f>D12/D6</f>
        <v>3.6017238869504226E-2</v>
      </c>
      <c r="E14" s="7">
        <f>E12/E6</f>
        <v>3.5225330446672747E-2</v>
      </c>
      <c r="F14" s="7">
        <f>F12/F6</f>
        <v>3.8165508612792956E-2</v>
      </c>
    </row>
    <row r="15" spans="2:6" ht="13.5" x14ac:dyDescent="0.25">
      <c r="B15" t="s">
        <v>46</v>
      </c>
      <c r="C15" t="s">
        <v>47</v>
      </c>
      <c r="D15" s="7">
        <f>(D6-C6)/C6</f>
        <v>2.7011313734136309E-2</v>
      </c>
      <c r="E15" s="7">
        <f>(E6-D6)/D6</f>
        <v>3.2332437864932784E-2</v>
      </c>
      <c r="F15" s="7">
        <f>(F6-E6)/E6</f>
        <v>2.0031905195989061E-2</v>
      </c>
    </row>
    <row r="16" spans="2:6" ht="13.5" x14ac:dyDescent="0.25">
      <c r="B16" t="s">
        <v>48</v>
      </c>
      <c r="C16" t="s">
        <v>47</v>
      </c>
      <c r="D16" s="7">
        <f>(D11-C11)/C11</f>
        <v>0.12066662619148807</v>
      </c>
      <c r="E16" s="7">
        <f>(E11-D11)/D11</f>
        <v>3.8031259311428339E-2</v>
      </c>
      <c r="F16" s="7">
        <f>(F11-E11)/E11</f>
        <v>1.7823125701312597E-2</v>
      </c>
    </row>
    <row r="18" spans="2:6" ht="14" x14ac:dyDescent="0.3">
      <c r="B18" s="3" t="s">
        <v>49</v>
      </c>
    </row>
    <row r="19" spans="2:6" ht="14" x14ac:dyDescent="0.3">
      <c r="B19" s="4" t="s">
        <v>50</v>
      </c>
      <c r="C19" s="5">
        <v>37865</v>
      </c>
      <c r="D19" s="5">
        <v>62442</v>
      </c>
      <c r="E19" s="5">
        <v>53194</v>
      </c>
      <c r="F19" s="5">
        <v>48746</v>
      </c>
    </row>
    <row r="20" spans="2:6" ht="14" x14ac:dyDescent="0.3">
      <c r="B20" s="4" t="s">
        <v>51</v>
      </c>
      <c r="C20" s="5">
        <v>23830</v>
      </c>
      <c r="D20" s="5">
        <v>26726</v>
      </c>
      <c r="E20" s="5">
        <v>28328</v>
      </c>
      <c r="F20" s="5">
        <v>30198</v>
      </c>
    </row>
    <row r="21" spans="2:6" ht="14" x14ac:dyDescent="0.3">
      <c r="B21" s="4" t="s">
        <v>52</v>
      </c>
      <c r="C21" s="5">
        <f>C19-C20</f>
        <v>14035</v>
      </c>
      <c r="D21" s="5">
        <f>D19-D20</f>
        <v>35716</v>
      </c>
      <c r="E21" s="5">
        <f>E19-E20</f>
        <v>24866</v>
      </c>
      <c r="F21" s="5">
        <f>F19-F20</f>
        <v>18548</v>
      </c>
    </row>
    <row r="22" spans="2:6" ht="13.5" x14ac:dyDescent="0.25">
      <c r="B22" t="s">
        <v>53</v>
      </c>
      <c r="C22" s="7">
        <f>C21/C6</f>
        <v>2.1194375147235597E-2</v>
      </c>
      <c r="D22" s="7">
        <f>D21/D6</f>
        <v>5.2516501468185872E-2</v>
      </c>
      <c r="E22" s="7">
        <f>E21/E6</f>
        <v>3.5417616226071105E-2</v>
      </c>
      <c r="F22" s="7">
        <f>F21/F6</f>
        <v>2.5899819030809446E-2</v>
      </c>
    </row>
    <row r="23" spans="2:6" ht="13.5" x14ac:dyDescent="0.25">
      <c r="B23" t="s">
        <v>54</v>
      </c>
      <c r="C23" s="7">
        <f>C20/C6</f>
        <v>3.5985889544611634E-2</v>
      </c>
      <c r="D23" s="7">
        <f>D20/D6</f>
        <v>3.9297682221937948E-2</v>
      </c>
      <c r="E23" s="7">
        <f>E20/E6</f>
        <v>4.0348678213309022E-2</v>
      </c>
      <c r="F23" s="7">
        <f>F20/F6</f>
        <v>4.2167497039701511E-2</v>
      </c>
    </row>
    <row r="25" spans="2:6" ht="14" x14ac:dyDescent="0.3">
      <c r="B25" s="3" t="s">
        <v>55</v>
      </c>
    </row>
    <row r="26" spans="2:6" ht="14" x14ac:dyDescent="0.3">
      <c r="B26" s="4" t="s">
        <v>56</v>
      </c>
      <c r="C26" s="5">
        <v>27767</v>
      </c>
      <c r="D26" s="5">
        <v>29725</v>
      </c>
      <c r="E26" s="5">
        <v>39369</v>
      </c>
      <c r="F26" s="5">
        <v>52108</v>
      </c>
    </row>
    <row r="27" spans="2:6" ht="14" x14ac:dyDescent="0.3">
      <c r="B27" s="4" t="s">
        <v>57</v>
      </c>
      <c r="C27" s="5">
        <v>84063</v>
      </c>
      <c r="D27" s="5">
        <v>81890</v>
      </c>
      <c r="E27" s="5">
        <v>79730</v>
      </c>
      <c r="F27" s="5">
        <v>89824</v>
      </c>
    </row>
    <row r="28" spans="2:6" ht="14" x14ac:dyDescent="0.3">
      <c r="B28" s="4" t="s">
        <v>58</v>
      </c>
      <c r="C28" s="5">
        <f>C27-C26</f>
        <v>56296</v>
      </c>
      <c r="D28" s="5">
        <f>D27-D26</f>
        <v>52165</v>
      </c>
      <c r="E28" s="5">
        <f>E27-E26</f>
        <v>40361</v>
      </c>
      <c r="F28" s="5">
        <f>F27-F26</f>
        <v>37716</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3.2340000000000001E-2</v>
      </c>
    </row>
    <row r="6" spans="2:7" ht="14" x14ac:dyDescent="0.3">
      <c r="B6" s="4" t="s">
        <v>63</v>
      </c>
      <c r="C6" s="7">
        <v>0.25</v>
      </c>
    </row>
    <row r="7" spans="2:7" ht="14" x14ac:dyDescent="0.3">
      <c r="B7" s="4" t="s">
        <v>64</v>
      </c>
      <c r="C7" s="7">
        <v>2.9700000000000001E-2</v>
      </c>
    </row>
    <row r="8" spans="2:7" ht="14" x14ac:dyDescent="0.3">
      <c r="B8" s="4" t="s">
        <v>65</v>
      </c>
      <c r="C8" s="12">
        <v>0.35199999999999998</v>
      </c>
    </row>
    <row r="9" spans="2:7" ht="14" x14ac:dyDescent="0.3">
      <c r="B9" s="4" t="s">
        <v>66</v>
      </c>
      <c r="C9" s="7">
        <v>6.5000000000000002E-2</v>
      </c>
    </row>
    <row r="10" spans="2:7" ht="14" x14ac:dyDescent="0.3">
      <c r="B10" s="4" t="s">
        <v>67</v>
      </c>
      <c r="C10" s="7">
        <v>0.01</v>
      </c>
    </row>
    <row r="11" spans="2:7" ht="14" x14ac:dyDescent="0.3">
      <c r="B11" s="4" t="s">
        <v>68</v>
      </c>
      <c r="C11" s="7">
        <v>8.8999999999999999E-3</v>
      </c>
    </row>
    <row r="12" spans="2:7" ht="14" x14ac:dyDescent="0.3">
      <c r="B12" s="4" t="s">
        <v>69</v>
      </c>
      <c r="C12" s="13">
        <v>0.13750000000000001</v>
      </c>
    </row>
    <row r="13" spans="2:7" ht="14" x14ac:dyDescent="0.3">
      <c r="B13" s="4" t="s">
        <v>70</v>
      </c>
      <c r="C13" s="7">
        <v>0.01</v>
      </c>
    </row>
    <row r="14" spans="2:7" ht="14" x14ac:dyDescent="0.3">
      <c r="B14" s="4" t="s">
        <v>71</v>
      </c>
      <c r="C14" s="14">
        <v>10.9</v>
      </c>
    </row>
    <row r="15" spans="2:7" ht="14" x14ac:dyDescent="0.3">
      <c r="B15" s="4" t="s">
        <v>72</v>
      </c>
      <c r="C15" s="15">
        <v>250617252</v>
      </c>
    </row>
    <row r="16" spans="2:7" ht="14" x14ac:dyDescent="0.3">
      <c r="B16" s="4" t="s">
        <v>73</v>
      </c>
      <c r="C16" s="5">
        <v>72646</v>
      </c>
    </row>
    <row r="17" spans="2:7" ht="14" x14ac:dyDescent="0.3">
      <c r="B17" s="4" t="s">
        <v>74</v>
      </c>
      <c r="C17" s="5">
        <v>716144</v>
      </c>
    </row>
    <row r="18" spans="2:7" ht="14" x14ac:dyDescent="0.3">
      <c r="B18" s="4" t="s">
        <v>75</v>
      </c>
      <c r="C18" s="7">
        <v>3.0800000000000001E-2</v>
      </c>
    </row>
    <row r="19" spans="2:7" ht="14" x14ac:dyDescent="0.3">
      <c r="B19" s="4" t="s">
        <v>76</v>
      </c>
      <c r="C19" s="12">
        <v>1</v>
      </c>
    </row>
    <row r="20" spans="2:7" ht="14" x14ac:dyDescent="0.3">
      <c r="B20" s="4" t="s">
        <v>77</v>
      </c>
      <c r="C20" s="5">
        <v>716144</v>
      </c>
    </row>
    <row r="22" spans="2:7" ht="14" x14ac:dyDescent="0.3">
      <c r="B22" s="8" t="s">
        <v>78</v>
      </c>
      <c r="C22" s="9"/>
      <c r="D22" s="9"/>
      <c r="E22" s="9"/>
      <c r="F22" s="9"/>
      <c r="G22" s="9"/>
    </row>
    <row r="23" spans="2:7" ht="14" x14ac:dyDescent="0.3">
      <c r="B23" s="4" t="s">
        <v>79</v>
      </c>
      <c r="C23" s="16">
        <f>C7+C8*C9+C10</f>
        <v>6.2579999999999997E-2</v>
      </c>
    </row>
    <row r="24" spans="2:7" ht="14" x14ac:dyDescent="0.3">
      <c r="B24" s="4" t="s">
        <v>80</v>
      </c>
      <c r="C24" s="16">
        <f>1/(1+C12)</f>
        <v>0.87912087912087911</v>
      </c>
    </row>
    <row r="25" spans="2:7" ht="14" x14ac:dyDescent="0.3">
      <c r="B25" s="4" t="s">
        <v>81</v>
      </c>
      <c r="C25" s="16">
        <f>C12/(1+C12)</f>
        <v>0.12087912087912089</v>
      </c>
    </row>
    <row r="26" spans="2:7" ht="14" x14ac:dyDescent="0.3">
      <c r="B26" s="4" t="s">
        <v>82</v>
      </c>
      <c r="C26" s="16">
        <f>C23*C24+C11*C25</f>
        <v>5.6091208791208789E-2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2.5000000000000001E-2</v>
      </c>
      <c r="D30" s="18">
        <f>CHOOSE($D$27,D69,D70,D71,D72,D73)</f>
        <v>2.5000000000000001E-2</v>
      </c>
      <c r="E30" s="18">
        <f>CHOOSE($D$27,E69,E70,E71,E72,E73)</f>
        <v>0.02</v>
      </c>
      <c r="F30" s="18">
        <f>CHOOSE($D$27,F69,F70,F71,F72,F73)</f>
        <v>0.02</v>
      </c>
      <c r="G30" s="18">
        <f>CHOOSE($D$27,G69,G70,G71,G72,G73)</f>
        <v>1.4999999999999999E-2</v>
      </c>
    </row>
    <row r="31" spans="2:7" ht="14" x14ac:dyDescent="0.3">
      <c r="B31" s="4" t="s">
        <v>91</v>
      </c>
      <c r="C31" s="18">
        <f>CHOOSE($D$27,C76,C77,C78,C79,C80)</f>
        <v>0.82</v>
      </c>
      <c r="D31" s="18">
        <f>CHOOSE($D$27,D76,D77,D78,D79,D80)</f>
        <v>0.82</v>
      </c>
      <c r="E31" s="18">
        <f>CHOOSE($D$27,E76,E77,E78,E79,E80)</f>
        <v>0.82</v>
      </c>
      <c r="F31" s="18">
        <f>CHOOSE($D$27,F76,F77,F78,F79,F80)</f>
        <v>0.82</v>
      </c>
      <c r="G31" s="18">
        <f>CHOOSE($D$27,G76,G77,G78,G79,G80)</f>
        <v>0.82</v>
      </c>
    </row>
    <row r="32" spans="2:7" ht="14" x14ac:dyDescent="0.3">
      <c r="B32" s="4" t="s">
        <v>92</v>
      </c>
      <c r="C32" s="18">
        <f>CHOOSE($D$27,C83,C84,C85,C86,C87)</f>
        <v>0.12540000000000001</v>
      </c>
      <c r="D32" s="18">
        <f>CHOOSE($D$27,D83,D84,D85,D86,D87)</f>
        <v>0.12540000000000001</v>
      </c>
      <c r="E32" s="18">
        <f>CHOOSE($D$27,E83,E84,E85,E86,E87)</f>
        <v>0.1255</v>
      </c>
      <c r="F32" s="18">
        <f>CHOOSE($D$27,F83,F84,F85,F86,F87)</f>
        <v>0.1255</v>
      </c>
      <c r="G32" s="18">
        <f>CHOOSE($D$27,G83,G84,G85,G86,G87)</f>
        <v>0.1255</v>
      </c>
    </row>
    <row r="33" spans="2:7" ht="14" x14ac:dyDescent="0.3">
      <c r="B33" s="4" t="s">
        <v>37</v>
      </c>
      <c r="C33" s="5">
        <f>C17*(1+C30)</f>
        <v>734047.6</v>
      </c>
      <c r="D33" s="5">
        <f>C33*(1+D30)</f>
        <v>752398.78999999992</v>
      </c>
      <c r="E33" s="5">
        <f>D33*(1+E30)</f>
        <v>767446.76579999994</v>
      </c>
      <c r="F33" s="5">
        <f>E33*(1+F30)</f>
        <v>782795.70111599995</v>
      </c>
      <c r="G33" s="5">
        <f>F33*(1+G30)</f>
        <v>794537.63663273992</v>
      </c>
    </row>
    <row r="34" spans="2:7" ht="14" x14ac:dyDescent="0.3">
      <c r="B34" s="4" t="s">
        <v>38</v>
      </c>
      <c r="C34" s="5">
        <f>C33*C31</f>
        <v>601919.03199999989</v>
      </c>
      <c r="D34" s="5">
        <f>D33*D31</f>
        <v>616967.0077999999</v>
      </c>
      <c r="E34" s="5">
        <f>E33*E31</f>
        <v>629306.3479559999</v>
      </c>
      <c r="F34" s="5">
        <f>F33*F31</f>
        <v>641892.47491511994</v>
      </c>
      <c r="G34" s="5">
        <f>G33*G31</f>
        <v>651520.86203884671</v>
      </c>
    </row>
    <row r="35" spans="2:7" ht="14" x14ac:dyDescent="0.3">
      <c r="B35" s="4" t="s">
        <v>39</v>
      </c>
      <c r="C35" s="19">
        <f>C33-C34</f>
        <v>132128.56800000009</v>
      </c>
      <c r="D35" s="19">
        <f>D33-D34</f>
        <v>135431.78220000002</v>
      </c>
      <c r="E35" s="19">
        <f>E33-E34</f>
        <v>138140.41784400004</v>
      </c>
      <c r="F35" s="19">
        <f>F33-F34</f>
        <v>140903.22620088002</v>
      </c>
      <c r="G35" s="19">
        <f>G33-G34</f>
        <v>143016.77459389321</v>
      </c>
    </row>
    <row r="36" spans="2:7" ht="14" x14ac:dyDescent="0.3">
      <c r="B36" s="4" t="s">
        <v>40</v>
      </c>
      <c r="C36" s="7">
        <f>C35/C33</f>
        <v>0.18000000000000013</v>
      </c>
      <c r="D36" s="7">
        <f>D35/D33</f>
        <v>0.18000000000000005</v>
      </c>
      <c r="E36" s="7">
        <f>E35/E33</f>
        <v>0.18000000000000008</v>
      </c>
      <c r="F36" s="7">
        <f>F35/F33</f>
        <v>0.18000000000000002</v>
      </c>
      <c r="G36" s="7">
        <f>G35/G33</f>
        <v>0.18000000000000002</v>
      </c>
    </row>
    <row r="37" spans="2:7" ht="14" x14ac:dyDescent="0.3">
      <c r="B37" s="4" t="s">
        <v>93</v>
      </c>
      <c r="C37" s="5">
        <f>C33*C32</f>
        <v>92049.569040000002</v>
      </c>
      <c r="D37" s="5">
        <f>D33*D32</f>
        <v>94350.808265999993</v>
      </c>
      <c r="E37" s="5">
        <f>E33*E32</f>
        <v>96314.569107899995</v>
      </c>
      <c r="F37" s="5">
        <f>F33*F32</f>
        <v>98240.860490057996</v>
      </c>
      <c r="G37" s="5">
        <f>G33*G32</f>
        <v>99714.473397408859</v>
      </c>
    </row>
    <row r="38" spans="2:7" ht="14" x14ac:dyDescent="0.3">
      <c r="B38" s="4" t="s">
        <v>94</v>
      </c>
      <c r="C38" s="7">
        <f>(C35-C37)/C33</f>
        <v>5.4600000000000114E-2</v>
      </c>
      <c r="D38" s="7">
        <f>(D35-D37)/D33</f>
        <v>5.4600000000000037E-2</v>
      </c>
      <c r="E38" s="7">
        <f>(E35-E37)/E33</f>
        <v>5.4500000000000062E-2</v>
      </c>
      <c r="F38" s="7">
        <f>(F35-F37)/F33</f>
        <v>5.4500000000000028E-2</v>
      </c>
      <c r="G38" s="7">
        <f>(G35-G37)/G33</f>
        <v>5.4500000000000028E-2</v>
      </c>
    </row>
    <row r="39" spans="2:7" ht="14" x14ac:dyDescent="0.3">
      <c r="B39" s="4" t="s">
        <v>95</v>
      </c>
      <c r="C39" s="19">
        <f>C35-C37</f>
        <v>40078.998960000084</v>
      </c>
      <c r="D39" s="19">
        <f>D35-D37</f>
        <v>41080.973934000023</v>
      </c>
      <c r="E39" s="19">
        <f>E35-E37</f>
        <v>41825.848736100044</v>
      </c>
      <c r="F39" s="19">
        <f>F35-F37</f>
        <v>42662.365710822021</v>
      </c>
      <c r="G39" s="19">
        <f>G35-G37</f>
        <v>43302.301196484346</v>
      </c>
    </row>
    <row r="40" spans="2:7" ht="14" x14ac:dyDescent="0.3">
      <c r="B40" s="4" t="s">
        <v>96</v>
      </c>
      <c r="C40" s="5">
        <f>MAX(0,C39*C6)</f>
        <v>10019.749740000021</v>
      </c>
      <c r="D40" s="5">
        <f>MAX(0,D39*C6)</f>
        <v>10270.243483500006</v>
      </c>
      <c r="E40" s="5">
        <f>MAX(0,E39*C6)</f>
        <v>10456.462184025011</v>
      </c>
      <c r="F40" s="5">
        <f>MAX(0,F39*C6)</f>
        <v>10665.591427705505</v>
      </c>
      <c r="G40" s="5">
        <f>MAX(0,G39*C6)</f>
        <v>10825.575299121087</v>
      </c>
    </row>
    <row r="41" spans="2:7" ht="14" x14ac:dyDescent="0.3">
      <c r="B41" s="4" t="s">
        <v>97</v>
      </c>
      <c r="C41" s="19">
        <f>C39-C40</f>
        <v>30059.249220000063</v>
      </c>
      <c r="D41" s="19">
        <f>D39-D40</f>
        <v>30810.730450500017</v>
      </c>
      <c r="E41" s="19">
        <f>E39-E40</f>
        <v>31369.386552075033</v>
      </c>
      <c r="F41" s="19">
        <f>F39-F40</f>
        <v>31996.774283116516</v>
      </c>
      <c r="G41" s="19">
        <f>G39-G40</f>
        <v>32476.72589736326</v>
      </c>
    </row>
    <row r="42" spans="2:7" ht="14" x14ac:dyDescent="0.3">
      <c r="B42" s="4" t="s">
        <v>98</v>
      </c>
      <c r="C42" s="5">
        <f>C33*C18</f>
        <v>22608.666079999999</v>
      </c>
      <c r="D42" s="5">
        <f>D33*C18</f>
        <v>23173.882731999998</v>
      </c>
      <c r="E42" s="5">
        <f>E33*C18</f>
        <v>23637.360386639997</v>
      </c>
      <c r="F42" s="5">
        <f>F33*C18</f>
        <v>24110.107594372799</v>
      </c>
      <c r="G42" s="5">
        <f>G33*C18</f>
        <v>24471.759208288389</v>
      </c>
    </row>
    <row r="43" spans="2:7" ht="14" x14ac:dyDescent="0.3">
      <c r="B43" s="4" t="s">
        <v>99</v>
      </c>
      <c r="C43" s="5">
        <v>31500</v>
      </c>
      <c r="D43" s="5">
        <v>30000</v>
      </c>
      <c r="E43" s="5">
        <v>28600</v>
      </c>
      <c r="F43" s="5">
        <v>27100</v>
      </c>
      <c r="G43" s="5">
        <v>25700</v>
      </c>
    </row>
    <row r="44" spans="2:7" ht="14" x14ac:dyDescent="0.3">
      <c r="B44" s="4" t="s">
        <v>100</v>
      </c>
      <c r="C44" s="5">
        <f>'NWC Schedule'!D19</f>
        <v>1227.4973808219074</v>
      </c>
      <c r="D44" s="5">
        <f>'NWC Schedule'!E19</f>
        <v>3466.1124345205608</v>
      </c>
      <c r="E44" s="5">
        <f>'NWC Schedule'!F19</f>
        <v>2842.2121963068203</v>
      </c>
      <c r="F44" s="5">
        <f>'NWC Schedule'!G19</f>
        <v>2899.0564402330201</v>
      </c>
      <c r="G44" s="5">
        <f>'NWC Schedule'!H19</f>
        <v>2217.7781767781998</v>
      </c>
    </row>
    <row r="45" spans="2:7" ht="14" x14ac:dyDescent="0.3">
      <c r="B45" s="4" t="s">
        <v>101</v>
      </c>
      <c r="C45" s="20">
        <f>C41+C42-C43-C44</f>
        <v>19940.417919178159</v>
      </c>
      <c r="D45" s="20">
        <f>D41+D42-D43-D44</f>
        <v>20518.500747979459</v>
      </c>
      <c r="E45" s="20">
        <f>E41+E42-E43-E44</f>
        <v>23564.534742408214</v>
      </c>
      <c r="F45" s="20">
        <f>F41+F42-F43-F44</f>
        <v>26107.825437256295</v>
      </c>
      <c r="G45" s="20">
        <f>G41+G42-G43-G44</f>
        <v>29030.706928873449</v>
      </c>
    </row>
    <row r="46" spans="2:7" ht="14" x14ac:dyDescent="0.3">
      <c r="B46" s="4" t="s">
        <v>102</v>
      </c>
      <c r="C46" s="21">
        <f>1/(1+C26)^(C19+0)</f>
        <v>0.94688791240350323</v>
      </c>
      <c r="D46" s="21">
        <f>1/(1+C26)^(C19+1)</f>
        <v>0.89659671865586432</v>
      </c>
      <c r="E46" s="21">
        <f>1/(1+C26)^(C19+2)</f>
        <v>0.84897659519588253</v>
      </c>
      <c r="F46" s="21">
        <f>1/(1+C26)^(C19+3)</f>
        <v>0.80388567590446314</v>
      </c>
      <c r="G46" s="21">
        <f>1/(1+C26)^(C19+4)</f>
        <v>0.7611896294682563</v>
      </c>
    </row>
    <row r="47" spans="2:7" ht="14" x14ac:dyDescent="0.3">
      <c r="B47" s="4" t="s">
        <v>103</v>
      </c>
      <c r="C47" s="19">
        <f>C45*C46</f>
        <v>18881.340695944014</v>
      </c>
      <c r="D47" s="19">
        <f>D45*D46</f>
        <v>18396.82044237628</v>
      </c>
      <c r="E47" s="19">
        <f>E45*E46</f>
        <v>20005.738472984809</v>
      </c>
      <c r="F47" s="19">
        <f>F45*F46</f>
        <v>20987.706898024513</v>
      </c>
      <c r="G47" s="19">
        <f>G45*G46</f>
        <v>22097.873050390721</v>
      </c>
    </row>
    <row r="49" spans="2:7" ht="14" x14ac:dyDescent="0.3">
      <c r="B49" s="22" t="s">
        <v>104</v>
      </c>
      <c r="C49" s="23"/>
      <c r="D49" s="23"/>
      <c r="E49" s="23"/>
      <c r="F49" s="23"/>
      <c r="G49" s="23"/>
    </row>
    <row r="50" spans="2:7" ht="14" x14ac:dyDescent="0.3">
      <c r="B50" s="4" t="s">
        <v>105</v>
      </c>
      <c r="C50" s="5">
        <f>SUM(C47:G47)</f>
        <v>100369.47955972035</v>
      </c>
    </row>
    <row r="51" spans="2:7" ht="14" x14ac:dyDescent="0.3">
      <c r="B51" s="4" t="s">
        <v>106</v>
      </c>
      <c r="C51" s="5">
        <f>G45*(1+C13)/(C26-C13)</f>
        <v>636151.98575036565</v>
      </c>
    </row>
    <row r="52" spans="2:7" ht="14" x14ac:dyDescent="0.3">
      <c r="B52" s="4" t="s">
        <v>107</v>
      </c>
      <c r="C52" s="5">
        <f>C51*G46</f>
        <v>484232.29431881628</v>
      </c>
    </row>
    <row r="53" spans="2:7" ht="14" x14ac:dyDescent="0.3">
      <c r="B53" s="4" t="s">
        <v>108</v>
      </c>
      <c r="C53" s="5">
        <f>C50+C52</f>
        <v>584601.77387853665</v>
      </c>
    </row>
    <row r="54" spans="2:7" ht="14" x14ac:dyDescent="0.3">
      <c r="B54" s="4" t="s">
        <v>109</v>
      </c>
      <c r="C54" s="5">
        <f>C53-C16</f>
        <v>511955.77387853665</v>
      </c>
    </row>
    <row r="55" spans="2:7" ht="14" x14ac:dyDescent="0.3">
      <c r="B55" s="4" t="s">
        <v>110</v>
      </c>
      <c r="C55" s="24">
        <f>ROUND(C54*1000000/C15,0)</f>
        <v>2043</v>
      </c>
    </row>
    <row r="57" spans="2:7" ht="14" x14ac:dyDescent="0.3">
      <c r="B57" s="22" t="s">
        <v>111</v>
      </c>
      <c r="C57" s="23"/>
      <c r="D57" s="23"/>
      <c r="E57" s="23"/>
      <c r="F57" s="23"/>
      <c r="G57" s="23"/>
    </row>
    <row r="58" spans="2:7" ht="14" x14ac:dyDescent="0.3">
      <c r="B58" s="4" t="s">
        <v>105</v>
      </c>
      <c r="C58" s="5">
        <f>C50</f>
        <v>100369.47955972035</v>
      </c>
    </row>
    <row r="59" spans="2:7" ht="14" x14ac:dyDescent="0.3">
      <c r="B59" s="4" t="s">
        <v>112</v>
      </c>
      <c r="C59" s="5">
        <f>G39+G42</f>
        <v>67774.060404772739</v>
      </c>
    </row>
    <row r="60" spans="2:7" ht="14" x14ac:dyDescent="0.3">
      <c r="B60" s="4" t="s">
        <v>113</v>
      </c>
      <c r="C60" s="5">
        <f>C59*C14</f>
        <v>738737.25841202284</v>
      </c>
    </row>
    <row r="61" spans="2:7" ht="14" x14ac:dyDescent="0.3">
      <c r="B61" s="4" t="s">
        <v>107</v>
      </c>
      <c r="C61" s="5">
        <f>C60*G46</f>
        <v>562319.14000504313</v>
      </c>
    </row>
    <row r="62" spans="2:7" ht="14" x14ac:dyDescent="0.3">
      <c r="B62" s="4" t="s">
        <v>108</v>
      </c>
      <c r="C62" s="5">
        <f>C58+C61</f>
        <v>662688.6195647635</v>
      </c>
    </row>
    <row r="63" spans="2:7" ht="14" x14ac:dyDescent="0.3">
      <c r="B63" s="4" t="s">
        <v>109</v>
      </c>
      <c r="C63" s="5">
        <f>C62-C16</f>
        <v>590042.6195647635</v>
      </c>
    </row>
    <row r="64" spans="2:7" ht="14" x14ac:dyDescent="0.3">
      <c r="B64" s="4" t="s">
        <v>114</v>
      </c>
      <c r="C64" s="24">
        <f>ROUND(C63*1000000/C15,0)</f>
        <v>2354</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2.5000000000000001E-2</v>
      </c>
      <c r="D69" s="26">
        <v>2.5000000000000001E-2</v>
      </c>
      <c r="E69" s="26">
        <v>0.02</v>
      </c>
      <c r="F69" s="26">
        <v>0.02</v>
      </c>
      <c r="G69" s="26">
        <v>1.4999999999999999E-2</v>
      </c>
    </row>
    <row r="70" spans="2:7" ht="14" x14ac:dyDescent="0.3">
      <c r="B70" s="4" t="s">
        <v>121</v>
      </c>
      <c r="C70" s="26">
        <v>0.04</v>
      </c>
      <c r="D70" s="26">
        <v>3.5000000000000003E-2</v>
      </c>
      <c r="E70" s="26">
        <v>0.03</v>
      </c>
      <c r="F70" s="26">
        <v>0.03</v>
      </c>
      <c r="G70" s="26">
        <v>2.5000000000000001E-2</v>
      </c>
    </row>
    <row r="71" spans="2:7" ht="14" x14ac:dyDescent="0.3">
      <c r="B71" s="4" t="s">
        <v>122</v>
      </c>
      <c r="C71" s="26">
        <v>2.5000000000000001E-2</v>
      </c>
      <c r="D71" s="26">
        <v>2.5000000000000001E-2</v>
      </c>
      <c r="E71" s="26">
        <v>0.02</v>
      </c>
      <c r="F71" s="26">
        <v>0.02</v>
      </c>
      <c r="G71" s="26">
        <v>1.4999999999999999E-2</v>
      </c>
    </row>
    <row r="72" spans="2:7" ht="14" x14ac:dyDescent="0.3">
      <c r="B72" s="4" t="s">
        <v>123</v>
      </c>
      <c r="C72" s="26">
        <v>0.01</v>
      </c>
      <c r="D72" s="26">
        <v>1.4999999999999999E-2</v>
      </c>
      <c r="E72" s="26">
        <v>1.4999999999999999E-2</v>
      </c>
      <c r="F72" s="26">
        <v>1.4999999999999999E-2</v>
      </c>
      <c r="G72" s="26">
        <v>0.01</v>
      </c>
    </row>
    <row r="73" spans="2:7" ht="14" x14ac:dyDescent="0.3">
      <c r="B73" s="4" t="s">
        <v>124</v>
      </c>
      <c r="C73" s="26">
        <v>-0.06</v>
      </c>
      <c r="D73" s="26">
        <v>-0.01</v>
      </c>
      <c r="E73" s="26">
        <v>1.4999999999999999E-2</v>
      </c>
      <c r="F73" s="26">
        <v>1.4999999999999999E-2</v>
      </c>
      <c r="G73" s="26">
        <v>1.4999999999999999E-2</v>
      </c>
    </row>
    <row r="75" spans="2:7" ht="14" x14ac:dyDescent="0.3">
      <c r="B75" s="3" t="s">
        <v>91</v>
      </c>
    </row>
    <row r="76" spans="2:7" ht="14" x14ac:dyDescent="0.3">
      <c r="B76" s="4" t="s">
        <v>84</v>
      </c>
      <c r="C76" s="26">
        <v>0.82</v>
      </c>
      <c r="D76" s="26">
        <v>0.82</v>
      </c>
      <c r="E76" s="26">
        <v>0.82</v>
      </c>
      <c r="F76" s="26">
        <v>0.82</v>
      </c>
      <c r="G76" s="26">
        <v>0.82</v>
      </c>
    </row>
    <row r="77" spans="2:7" ht="14" x14ac:dyDescent="0.3">
      <c r="B77" s="4" t="s">
        <v>121</v>
      </c>
      <c r="C77" s="26">
        <v>0.81</v>
      </c>
      <c r="D77" s="26">
        <v>0.81</v>
      </c>
      <c r="E77" s="26">
        <v>0.81</v>
      </c>
      <c r="F77" s="26">
        <v>0.81</v>
      </c>
      <c r="G77" s="26">
        <v>0.81</v>
      </c>
    </row>
    <row r="78" spans="2:7" ht="14" x14ac:dyDescent="0.3">
      <c r="B78" s="4" t="s">
        <v>122</v>
      </c>
      <c r="C78" s="26">
        <v>0.82</v>
      </c>
      <c r="D78" s="26">
        <v>0.82</v>
      </c>
      <c r="E78" s="26">
        <v>0.82</v>
      </c>
      <c r="F78" s="26">
        <v>0.82</v>
      </c>
      <c r="G78" s="26">
        <v>0.82</v>
      </c>
    </row>
    <row r="79" spans="2:7" ht="14" x14ac:dyDescent="0.3">
      <c r="B79" s="4" t="s">
        <v>123</v>
      </c>
      <c r="C79" s="26">
        <v>0.83</v>
      </c>
      <c r="D79" s="26">
        <v>0.83</v>
      </c>
      <c r="E79" s="26">
        <v>0.83</v>
      </c>
      <c r="F79" s="26">
        <v>0.83</v>
      </c>
      <c r="G79" s="26">
        <v>0.83</v>
      </c>
    </row>
    <row r="80" spans="2:7" ht="14" x14ac:dyDescent="0.3">
      <c r="B80" s="4" t="s">
        <v>124</v>
      </c>
      <c r="C80" s="26">
        <v>0.84</v>
      </c>
      <c r="D80" s="26">
        <v>0.84</v>
      </c>
      <c r="E80" s="26">
        <v>0.84</v>
      </c>
      <c r="F80" s="26">
        <v>0.84</v>
      </c>
      <c r="G80" s="26">
        <v>0.84</v>
      </c>
    </row>
    <row r="82" spans="2:7" ht="14" x14ac:dyDescent="0.3">
      <c r="B82" s="3" t="s">
        <v>92</v>
      </c>
    </row>
    <row r="83" spans="2:7" ht="14" x14ac:dyDescent="0.3">
      <c r="B83" s="4" t="s">
        <v>84</v>
      </c>
      <c r="C83" s="26">
        <v>0.12540000000000001</v>
      </c>
      <c r="D83" s="26">
        <v>0.12540000000000001</v>
      </c>
      <c r="E83" s="26">
        <v>0.1255</v>
      </c>
      <c r="F83" s="26">
        <v>0.1255</v>
      </c>
      <c r="G83" s="26">
        <v>0.1255</v>
      </c>
    </row>
    <row r="84" spans="2:7" ht="14" x14ac:dyDescent="0.3">
      <c r="B84" s="4" t="s">
        <v>121</v>
      </c>
      <c r="C84" s="26">
        <v>0.13300000000000001</v>
      </c>
      <c r="D84" s="26">
        <v>0.13150000000000001</v>
      </c>
      <c r="E84" s="26">
        <v>0.13020000000000001</v>
      </c>
      <c r="F84" s="26">
        <v>0.1295</v>
      </c>
      <c r="G84" s="26">
        <v>0.129</v>
      </c>
    </row>
    <row r="85" spans="2:7" ht="14" x14ac:dyDescent="0.3">
      <c r="B85" s="4" t="s">
        <v>122</v>
      </c>
      <c r="C85" s="26">
        <v>0.12540000000000001</v>
      </c>
      <c r="D85" s="26">
        <v>0.12540000000000001</v>
      </c>
      <c r="E85" s="26">
        <v>0.1255</v>
      </c>
      <c r="F85" s="26">
        <v>0.1255</v>
      </c>
      <c r="G85" s="26">
        <v>0.1255</v>
      </c>
    </row>
    <row r="86" spans="2:7" ht="14" x14ac:dyDescent="0.3">
      <c r="B86" s="4" t="s">
        <v>123</v>
      </c>
      <c r="C86" s="26">
        <v>0.11600000000000001</v>
      </c>
      <c r="D86" s="26">
        <v>0.1164</v>
      </c>
      <c r="E86" s="26">
        <v>0.1167</v>
      </c>
      <c r="F86" s="26">
        <v>0.1168</v>
      </c>
      <c r="G86" s="26">
        <v>0.1169</v>
      </c>
    </row>
    <row r="87" spans="2:7" ht="14" x14ac:dyDescent="0.3">
      <c r="B87" s="4" t="s">
        <v>124</v>
      </c>
      <c r="C87" s="26">
        <v>0.11700000000000001</v>
      </c>
      <c r="D87" s="26">
        <v>0.121</v>
      </c>
      <c r="E87" s="26">
        <v>0.122</v>
      </c>
      <c r="F87" s="26">
        <v>0.122</v>
      </c>
      <c r="G87" s="26">
        <v>0.121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2108.5</v>
      </c>
    </row>
    <row r="7" spans="2:9" ht="14" x14ac:dyDescent="0.3">
      <c r="B7" s="4" t="s">
        <v>72</v>
      </c>
      <c r="C7" s="15">
        <f>'DCF Model'!C15</f>
        <v>250617252</v>
      </c>
    </row>
    <row r="8" spans="2:9" ht="14" x14ac:dyDescent="0.3">
      <c r="B8" s="4" t="s">
        <v>129</v>
      </c>
      <c r="C8" s="5">
        <f>C6*C7/1000000</f>
        <v>528426.47584199999</v>
      </c>
    </row>
    <row r="9" spans="2:9" ht="14" x14ac:dyDescent="0.3">
      <c r="B9" s="4" t="s">
        <v>73</v>
      </c>
      <c r="C9" s="5">
        <f>'DCF Model'!C16</f>
        <v>72646</v>
      </c>
    </row>
    <row r="10" spans="2:9" ht="14" x14ac:dyDescent="0.3">
      <c r="B10" s="4" t="s">
        <v>130</v>
      </c>
      <c r="C10" s="5">
        <f>C8+C9</f>
        <v>601072.47584199999</v>
      </c>
    </row>
    <row r="11" spans="2:9" ht="14" x14ac:dyDescent="0.3">
      <c r="B11" s="4" t="s">
        <v>131</v>
      </c>
      <c r="C11" s="16">
        <f>'DCF Model'!C26</f>
        <v>5.6091208791208789E-2</v>
      </c>
    </row>
    <row r="12" spans="2:9" ht="14" x14ac:dyDescent="0.3">
      <c r="B12" s="4" t="s">
        <v>132</v>
      </c>
      <c r="C12" s="16">
        <f>'DCF Model'!C13</f>
        <v>0.01</v>
      </c>
    </row>
    <row r="13" spans="2:9" ht="14" x14ac:dyDescent="0.3">
      <c r="B13" s="4" t="s">
        <v>133</v>
      </c>
      <c r="C13" s="16">
        <f>'DCF Model'!C6</f>
        <v>0.25</v>
      </c>
    </row>
    <row r="14" spans="2:9" ht="14" x14ac:dyDescent="0.3">
      <c r="B14" s="4" t="s">
        <v>134</v>
      </c>
      <c r="C14" s="27">
        <v>39004</v>
      </c>
    </row>
    <row r="15" spans="2:9" ht="14" x14ac:dyDescent="0.3">
      <c r="B15" s="4" t="s">
        <v>135</v>
      </c>
      <c r="C15" s="27">
        <v>39004</v>
      </c>
    </row>
    <row r="16" spans="2:9" ht="14" x14ac:dyDescent="0.3">
      <c r="B16" s="4" t="s">
        <v>136</v>
      </c>
      <c r="C16" s="5">
        <f>'DCF Model'!G33</f>
        <v>794537.63663273992</v>
      </c>
    </row>
    <row r="17" spans="2:9" ht="14" x14ac:dyDescent="0.3">
      <c r="B17" s="4" t="s">
        <v>137</v>
      </c>
      <c r="C17" s="5">
        <f>'DCF Model'!C53</f>
        <v>584601.77387853665</v>
      </c>
    </row>
    <row r="18" spans="2:9" ht="14" x14ac:dyDescent="0.3">
      <c r="B18" s="4" t="s">
        <v>138</v>
      </c>
      <c r="C18" s="26">
        <v>5.4463906700328427E-2</v>
      </c>
    </row>
    <row r="19" spans="2:9" ht="14" x14ac:dyDescent="0.3">
      <c r="B19" s="4" t="s">
        <v>139</v>
      </c>
      <c r="C19" s="5">
        <f>C10-C17</f>
        <v>16470.701963463333</v>
      </c>
    </row>
    <row r="20" spans="2:9" ht="14" x14ac:dyDescent="0.3">
      <c r="B20" s="4" t="s">
        <v>140</v>
      </c>
      <c r="C20" s="15">
        <f>IFERROR(ROUND(C19*1000000/C7,0),"N/A")</f>
        <v>66</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27704.15698268242</v>
      </c>
    </row>
    <row r="25" spans="2:9" ht="14" x14ac:dyDescent="0.3">
      <c r="B25" s="4" t="s">
        <v>144</v>
      </c>
      <c r="C25" s="5">
        <f>IFERROR(C24/(1-C13),"N/A")</f>
        <v>36938.875976909891</v>
      </c>
    </row>
    <row r="26" spans="2:9" ht="13.5" x14ac:dyDescent="0.25">
      <c r="B26" s="6" t="s">
        <v>145</v>
      </c>
      <c r="C26" s="14">
        <f>IFERROR(C25/C15,"N/A")</f>
        <v>0.94705353237898393</v>
      </c>
    </row>
    <row r="27" spans="2:9" ht="13.5" x14ac:dyDescent="0.25">
      <c r="B27" s="6" t="s">
        <v>146</v>
      </c>
      <c r="C27" s="14">
        <f>IFERROR(C25/C14,"N/A")</f>
        <v>0.94705353237898393</v>
      </c>
    </row>
    <row r="28" spans="2:9" ht="13.5" x14ac:dyDescent="0.25">
      <c r="B28" s="6" t="s">
        <v>147</v>
      </c>
      <c r="C28" s="7">
        <f>IFERROR(C25/C16,"N/A")</f>
        <v>4.6491033619826108E-2</v>
      </c>
    </row>
    <row r="29" spans="2:9" ht="13.5" x14ac:dyDescent="0.25">
      <c r="B29" s="6" t="s">
        <v>148</v>
      </c>
      <c r="C29" s="5">
        <f>IFERROR(C25/C18,"N/A")</f>
        <v>678226.70489201508</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3.6091208791208793E-2</v>
      </c>
      <c r="E36" s="29">
        <f>'DCF Model'!C26-0.01</f>
        <v>4.6091208791208788E-2</v>
      </c>
      <c r="F36" s="29">
        <f>'DCF Model'!C26</f>
        <v>5.6091208791208789E-2</v>
      </c>
      <c r="G36" s="29">
        <f>'DCF Model'!C26+0.01</f>
        <v>6.6091208791208791E-2</v>
      </c>
      <c r="H36" s="29">
        <f>'DCF Model'!C26+0.02</f>
        <v>7.6091208791208786E-2</v>
      </c>
    </row>
    <row r="37" spans="2:9" ht="14" x14ac:dyDescent="0.3">
      <c r="B37" s="3" t="s">
        <v>154</v>
      </c>
    </row>
    <row r="38" spans="2:9" ht="14" x14ac:dyDescent="0.3">
      <c r="B38" s="4" t="s">
        <v>155</v>
      </c>
      <c r="C38" s="30">
        <v>3</v>
      </c>
      <c r="D38" s="13">
        <f t="shared" ref="D38:H41" si="0">IFERROR((1-(1+D$36)^(-$C38))/D$36-(1+D$36)/(D$36^2*$C38)*(1-($C38+1)/(1+D$36)^$C38+$C38/(1+D$36)^($C38+1)),"N/A")</f>
        <v>0.95395912621147083</v>
      </c>
      <c r="E38" s="13">
        <f t="shared" si="0"/>
        <v>0.94189989170435195</v>
      </c>
      <c r="F38" s="13">
        <f t="shared" si="0"/>
        <v>0.93012418115433304</v>
      </c>
      <c r="G38" s="13">
        <f t="shared" si="0"/>
        <v>0.91862247879726588</v>
      </c>
      <c r="H38" s="13">
        <f t="shared" si="0"/>
        <v>0.90738567919977742</v>
      </c>
    </row>
    <row r="39" spans="2:9" ht="14" x14ac:dyDescent="0.3">
      <c r="B39" s="4" t="s">
        <v>156</v>
      </c>
      <c r="C39" s="30">
        <v>5</v>
      </c>
      <c r="D39" s="13">
        <f t="shared" si="0"/>
        <v>1.8642537678048803</v>
      </c>
      <c r="E39" s="13">
        <f t="shared" si="0"/>
        <v>1.8294804261041793</v>
      </c>
      <c r="F39" s="13">
        <f t="shared" si="0"/>
        <v>1.7958361343756337</v>
      </c>
      <c r="G39" s="13">
        <f t="shared" si="0"/>
        <v>1.7632709811058849</v>
      </c>
      <c r="H39" s="13">
        <f t="shared" si="0"/>
        <v>1.7317377907032601</v>
      </c>
    </row>
    <row r="40" spans="2:9" ht="14" x14ac:dyDescent="0.3">
      <c r="B40" s="4" t="s">
        <v>157</v>
      </c>
      <c r="C40" s="30">
        <v>7</v>
      </c>
      <c r="D40" s="13">
        <f t="shared" si="0"/>
        <v>2.7331297099698904</v>
      </c>
      <c r="E40" s="13">
        <f t="shared" si="0"/>
        <v>2.6662605122550991</v>
      </c>
      <c r="F40" s="13">
        <f t="shared" si="0"/>
        <v>2.6021449991891719</v>
      </c>
      <c r="G40" s="13">
        <f t="shared" si="0"/>
        <v>2.5406328525929749</v>
      </c>
      <c r="H40" s="13">
        <f t="shared" si="0"/>
        <v>2.4815837114913997</v>
      </c>
    </row>
    <row r="41" spans="2:9" ht="14" x14ac:dyDescent="0.3">
      <c r="B41" s="4" t="s">
        <v>158</v>
      </c>
      <c r="C41" s="30">
        <v>10</v>
      </c>
      <c r="D41" s="13">
        <f t="shared" si="0"/>
        <v>3.9633949290798531</v>
      </c>
      <c r="E41" s="13">
        <f t="shared" si="0"/>
        <v>3.833283791106691</v>
      </c>
      <c r="F41" s="13">
        <f t="shared" si="0"/>
        <v>3.7101722538572721</v>
      </c>
      <c r="G41" s="13">
        <f t="shared" si="0"/>
        <v>3.5935725944627284</v>
      </c>
      <c r="H41" s="13">
        <f t="shared" si="0"/>
        <v>3.483037515298558</v>
      </c>
    </row>
    <row r="42" spans="2:9" ht="14" x14ac:dyDescent="0.3">
      <c r="B42" s="3" t="s">
        <v>159</v>
      </c>
    </row>
    <row r="43" spans="2:9" ht="14" x14ac:dyDescent="0.3">
      <c r="B43" s="4" t="s">
        <v>155</v>
      </c>
      <c r="C43" s="30">
        <v>3</v>
      </c>
      <c r="D43" s="13">
        <f t="shared" ref="D43:H46" si="1">IFERROR((1+D$36)/(D$36^2*$C43)*(1-($C43+1)/(1+D$36)^$C43+$C43/(1+D$36)^($C43+1))+(1+$C$12)/((D$36-$C$12)*(1+D$36)^$C43),"N/A")</f>
        <v>36.646172549965286</v>
      </c>
      <c r="E43" s="13">
        <f t="shared" si="1"/>
        <v>26.247613344441334</v>
      </c>
      <c r="F43" s="13">
        <f t="shared" si="1"/>
        <v>20.366022729113407</v>
      </c>
      <c r="G43" s="13">
        <f t="shared" si="1"/>
        <v>16.585392985659546</v>
      </c>
      <c r="H43" s="13">
        <f t="shared" si="1"/>
        <v>13.951947962247193</v>
      </c>
    </row>
    <row r="44" spans="2:9" ht="14" x14ac:dyDescent="0.3">
      <c r="B44" s="4" t="s">
        <v>156</v>
      </c>
      <c r="C44" s="30">
        <v>5</v>
      </c>
      <c r="D44" s="13">
        <f t="shared" si="1"/>
        <v>35.058687070539079</v>
      </c>
      <c r="E44" s="13">
        <f t="shared" si="1"/>
        <v>24.886614171697619</v>
      </c>
      <c r="F44" s="13">
        <f t="shared" si="1"/>
        <v>19.141703936443019</v>
      </c>
      <c r="G44" s="13">
        <f t="shared" si="1"/>
        <v>15.45559194487481</v>
      </c>
      <c r="H44" s="13">
        <f t="shared" si="1"/>
        <v>12.893331394273934</v>
      </c>
    </row>
    <row r="45" spans="2:9" ht="14" x14ac:dyDescent="0.3">
      <c r="B45" s="4" t="s">
        <v>157</v>
      </c>
      <c r="C45" s="30">
        <v>7</v>
      </c>
      <c r="D45" s="13">
        <f t="shared" si="1"/>
        <v>33.558977122971086</v>
      </c>
      <c r="E45" s="13">
        <f t="shared" si="1"/>
        <v>23.617214429942202</v>
      </c>
      <c r="F45" s="13">
        <f t="shared" si="1"/>
        <v>18.013869356091874</v>
      </c>
      <c r="G45" s="13">
        <f t="shared" si="1"/>
        <v>14.427337088745604</v>
      </c>
      <c r="H45" s="13">
        <f t="shared" si="1"/>
        <v>11.941179720087272</v>
      </c>
    </row>
    <row r="46" spans="2:9" ht="14" x14ac:dyDescent="0.3">
      <c r="B46" s="4" t="s">
        <v>158</v>
      </c>
      <c r="C46" s="30">
        <v>10</v>
      </c>
      <c r="D46" s="13">
        <f t="shared" si="1"/>
        <v>31.462498090571277</v>
      </c>
      <c r="E46" s="13">
        <f t="shared" si="1"/>
        <v>21.870152015763541</v>
      </c>
      <c r="F46" s="13">
        <f t="shared" si="1"/>
        <v>16.484802646253918</v>
      </c>
      <c r="G46" s="13">
        <f t="shared" si="1"/>
        <v>13.053427457549834</v>
      </c>
      <c r="H46" s="13">
        <f t="shared" si="1"/>
        <v>10.686817607777806</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20854.06722867447</v>
      </c>
      <c r="E48" s="5">
        <f t="shared" si="2"/>
        <v>29133.776636314316</v>
      </c>
      <c r="F48" s="5">
        <f t="shared" si="2"/>
        <v>37569.996577377824</v>
      </c>
      <c r="G48" s="5">
        <f t="shared" si="2"/>
        <v>46161.101958108316</v>
      </c>
      <c r="H48" s="5">
        <f t="shared" si="2"/>
        <v>54905.472614337501</v>
      </c>
    </row>
    <row r="49" spans="2:9" ht="14" x14ac:dyDescent="0.3">
      <c r="B49" s="4" t="s">
        <v>156</v>
      </c>
      <c r="C49" s="30">
        <v>5</v>
      </c>
      <c r="D49" s="5">
        <f t="shared" si="2"/>
        <v>20785.621902031675</v>
      </c>
      <c r="E49" s="5">
        <f t="shared" si="2"/>
        <v>29335.967850534027</v>
      </c>
      <c r="F49" s="5">
        <f t="shared" si="2"/>
        <v>38208.990047730033</v>
      </c>
      <c r="G49" s="5">
        <f t="shared" si="2"/>
        <v>47403.900740614044</v>
      </c>
      <c r="H49" s="5">
        <f t="shared" si="2"/>
        <v>56919.755225299625</v>
      </c>
    </row>
    <row r="50" spans="2:9" ht="14" x14ac:dyDescent="0.3">
      <c r="B50" s="4" t="s">
        <v>157</v>
      </c>
      <c r="C50" s="30">
        <v>7</v>
      </c>
      <c r="D50" s="5">
        <f t="shared" si="2"/>
        <v>20704.653006424898</v>
      </c>
      <c r="E50" s="5">
        <f t="shared" si="2"/>
        <v>29530.796057181</v>
      </c>
      <c r="F50" s="5">
        <f t="shared" si="2"/>
        <v>38855.38916736158</v>
      </c>
      <c r="G50" s="5">
        <f t="shared" si="2"/>
        <v>48680.856327580404</v>
      </c>
      <c r="H50" s="5">
        <f t="shared" si="2"/>
        <v>59009.100710626684</v>
      </c>
    </row>
    <row r="51" spans="2:9" ht="14" x14ac:dyDescent="0.3">
      <c r="B51" s="4" t="s">
        <v>158</v>
      </c>
      <c r="C51" s="30">
        <v>10</v>
      </c>
      <c r="D51" s="5">
        <f t="shared" si="2"/>
        <v>20559.133928699361</v>
      </c>
      <c r="E51" s="5">
        <f t="shared" si="2"/>
        <v>29808.506421497223</v>
      </c>
      <c r="F51" s="5">
        <f t="shared" si="2"/>
        <v>39837.808391908169</v>
      </c>
      <c r="G51" s="5">
        <f t="shared" si="2"/>
        <v>50658.439284652879</v>
      </c>
      <c r="H51" s="5">
        <f t="shared" si="2"/>
        <v>62280.240663808538</v>
      </c>
    </row>
    <row r="52" spans="2:9" ht="14" x14ac:dyDescent="0.3">
      <c r="B52" s="22" t="s">
        <v>161</v>
      </c>
      <c r="C52" s="23"/>
      <c r="D52" s="23"/>
      <c r="E52" s="23"/>
      <c r="F52" s="23"/>
      <c r="G52" s="23"/>
      <c r="H52" s="23"/>
      <c r="I52" s="23"/>
    </row>
    <row r="53" spans="2:9" ht="14" x14ac:dyDescent="0.3">
      <c r="B53" s="4" t="s">
        <v>155</v>
      </c>
      <c r="C53" s="30">
        <v>3</v>
      </c>
      <c r="D53" s="14">
        <f t="shared" ref="D53:H56" si="3">IFERROR(D48/$C$15,"N/A")</f>
        <v>0.53466483511112883</v>
      </c>
      <c r="E53" s="14">
        <f t="shared" si="3"/>
        <v>0.7469433041819894</v>
      </c>
      <c r="F53" s="14">
        <f t="shared" si="3"/>
        <v>0.96323445229663174</v>
      </c>
      <c r="G53" s="14">
        <f t="shared" si="3"/>
        <v>1.1834966146576842</v>
      </c>
      <c r="H53" s="14">
        <f t="shared" si="3"/>
        <v>1.4076882528545149</v>
      </c>
    </row>
    <row r="54" spans="2:9" ht="14" x14ac:dyDescent="0.3">
      <c r="B54" s="4" t="s">
        <v>156</v>
      </c>
      <c r="C54" s="30">
        <v>5</v>
      </c>
      <c r="D54" s="14">
        <f t="shared" si="3"/>
        <v>0.53291000671807187</v>
      </c>
      <c r="E54" s="14">
        <f t="shared" si="3"/>
        <v>0.75212716261239942</v>
      </c>
      <c r="F54" s="14">
        <f t="shared" si="3"/>
        <v>0.97961721997051665</v>
      </c>
      <c r="G54" s="14">
        <f t="shared" si="3"/>
        <v>1.2153599820688659</v>
      </c>
      <c r="H54" s="14">
        <f t="shared" si="3"/>
        <v>1.4593312282150452</v>
      </c>
    </row>
    <row r="55" spans="2:9" ht="14" x14ac:dyDescent="0.3">
      <c r="B55" s="4" t="s">
        <v>157</v>
      </c>
      <c r="C55" s="30">
        <v>7</v>
      </c>
      <c r="D55" s="14">
        <f t="shared" si="3"/>
        <v>0.53083409410380722</v>
      </c>
      <c r="E55" s="14">
        <f t="shared" si="3"/>
        <v>0.75712224533845252</v>
      </c>
      <c r="F55" s="14">
        <f t="shared" si="3"/>
        <v>0.99618985661372117</v>
      </c>
      <c r="G55" s="14">
        <f t="shared" si="3"/>
        <v>1.2480990751610195</v>
      </c>
      <c r="H55" s="14">
        <f t="shared" si="3"/>
        <v>1.5128986952780916</v>
      </c>
    </row>
    <row r="56" spans="2:9" ht="14" x14ac:dyDescent="0.3">
      <c r="B56" s="4" t="s">
        <v>158</v>
      </c>
      <c r="C56" s="30">
        <v>10</v>
      </c>
      <c r="D56" s="14">
        <f t="shared" si="3"/>
        <v>0.52710321835451135</v>
      </c>
      <c r="E56" s="14">
        <f t="shared" si="3"/>
        <v>0.76424229364929808</v>
      </c>
      <c r="F56" s="14">
        <f t="shared" si="3"/>
        <v>1.021377509791513</v>
      </c>
      <c r="G56" s="14">
        <f t="shared" si="3"/>
        <v>1.2988011302597908</v>
      </c>
      <c r="H56" s="14">
        <f t="shared" si="3"/>
        <v>1.5967654769718116</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38208.990047730033</v>
      </c>
    </row>
    <row r="62" spans="2:9" ht="14" x14ac:dyDescent="0.3">
      <c r="B62" s="28" t="s">
        <v>165</v>
      </c>
      <c r="C62" s="28" t="s">
        <v>166</v>
      </c>
      <c r="D62" s="28" t="s">
        <v>167</v>
      </c>
    </row>
    <row r="63" spans="2:9" ht="14" x14ac:dyDescent="0.3">
      <c r="B63" s="31">
        <v>2.7199999999999998E-2</v>
      </c>
      <c r="C63" s="5">
        <f>IFERROR($C$60/B63,"N/A")</f>
        <v>1404742.2811665453</v>
      </c>
      <c r="D63" s="14">
        <f>IFERROR(C63/'DCF Model'!C17,"N/A")</f>
        <v>1.9615360614157842</v>
      </c>
    </row>
    <row r="64" spans="2:9" ht="14" x14ac:dyDescent="0.3">
      <c r="B64" s="31">
        <v>4.0800000000000003E-2</v>
      </c>
      <c r="C64" s="5">
        <f>IFERROR($C$60/B64,"N/A")</f>
        <v>936494.85411103012</v>
      </c>
      <c r="D64" s="14">
        <f>IFERROR(C64/'DCF Model'!C17,"N/A")</f>
        <v>1.3076907076105226</v>
      </c>
    </row>
    <row r="65" spans="2:9" ht="14" x14ac:dyDescent="0.3">
      <c r="B65" s="4" t="s">
        <v>168</v>
      </c>
      <c r="C65" s="5">
        <f>IFERROR($C$60/$C$18,"N/A")</f>
        <v>701546.99437856569</v>
      </c>
      <c r="D65" s="14">
        <f>IFERROR(C65/'DCF Model'!C17,"N/A")</f>
        <v>0.97961721997051665</v>
      </c>
    </row>
    <row r="66" spans="2:9" ht="14" x14ac:dyDescent="0.3">
      <c r="B66" s="31">
        <v>6.8099999999999994E-2</v>
      </c>
      <c r="C66" s="5">
        <f>IFERROR($C$60/B66,"N/A")</f>
        <v>561071.8068682825</v>
      </c>
      <c r="D66" s="14">
        <f>IFERROR(C66/'DCF Model'!C17,"N/A")</f>
        <v>0.78346227416313274</v>
      </c>
    </row>
    <row r="67" spans="2:9" ht="14" x14ac:dyDescent="0.3">
      <c r="B67" s="31">
        <v>8.1699999999999995E-2</v>
      </c>
      <c r="C67" s="5">
        <f>IFERROR($C$60/B67,"N/A")</f>
        <v>467674.29678984132</v>
      </c>
      <c r="D67" s="14">
        <f>IFERROR(C67/'DCF Model'!C17,"N/A")</f>
        <v>0.65304505349460629</v>
      </c>
    </row>
    <row r="69" spans="2:9" ht="14" x14ac:dyDescent="0.3">
      <c r="B69" s="8" t="s">
        <v>169</v>
      </c>
      <c r="C69" s="9"/>
      <c r="D69" s="9"/>
      <c r="E69" s="9"/>
      <c r="F69" s="9"/>
      <c r="G69" s="9"/>
      <c r="H69" s="9"/>
      <c r="I69" s="9"/>
    </row>
    <row r="70" spans="2:9" ht="13.5" x14ac:dyDescent="0.25">
      <c r="B70" s="6" t="s">
        <v>170</v>
      </c>
      <c r="C70" s="14">
        <f>IFERROR(C10/'Comps Analysis'!G5,"N/A")</f>
        <v>9.8389693382331274</v>
      </c>
    </row>
    <row r="71" spans="2:9" ht="13.5" x14ac:dyDescent="0.25">
      <c r="B71" s="6" t="s">
        <v>171</v>
      </c>
      <c r="C71" s="14">
        <f>IFERROR(C10/'Comps Analysis'!F5,"N/A")</f>
        <v>0.83931789673864476</v>
      </c>
    </row>
    <row r="72" spans="2:9" ht="14" x14ac:dyDescent="0.3">
      <c r="B72" s="4" t="s">
        <v>172</v>
      </c>
      <c r="C72" s="14">
        <f>IFERROR(C10/(C25+'DCF Model'!G42),"N/A")</f>
        <v>9.7877586517274082</v>
      </c>
    </row>
    <row r="73" spans="2:9" ht="14" x14ac:dyDescent="0.3">
      <c r="B73" s="4" t="s">
        <v>173</v>
      </c>
      <c r="C73" s="14">
        <f>IFERROR(C10/(C60+'DCF Model'!G42),"N/A")</f>
        <v>9.5894271044356856</v>
      </c>
    </row>
    <row r="74" spans="2:9" ht="14" x14ac:dyDescent="0.3">
      <c r="B74" s="4" t="s">
        <v>174</v>
      </c>
      <c r="C74" s="14">
        <f>IFERROR('Comps Analysis'!D16,"N/A")</f>
        <v>10.92142078168791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2,109 yen the market is paying for a steady-state operating profit of 38,209 mn JPY - 0.98x the FY2026 cycle peak of 39,004 mn - reached in 5 years and sustained for ever, against 39,004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36,939 mn, or 0.95x the peak. The base case supports an EV of only 584,602 mn, leaving 66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54.94744772001161</v>
      </c>
      <c r="D5" s="34">
        <f>CHOOSE('DCF Model'!$D$27,D25,D26,D27,D28,D29)</f>
        <v>55</v>
      </c>
      <c r="E5" s="34">
        <f>CHOOSE('DCF Model'!$D$27,E25,E26,E27,E28,E29)</f>
        <v>55</v>
      </c>
      <c r="F5" s="34">
        <f>CHOOSE('DCF Model'!$D$27,F25,F26,F27,F28,F29)</f>
        <v>55</v>
      </c>
      <c r="G5" s="34">
        <f>CHOOSE('DCF Model'!$D$27,G25,G26,G27,G28,G29)</f>
        <v>55</v>
      </c>
      <c r="H5" s="34">
        <f>CHOOSE('DCF Model'!$D$27,H25,H26,H27,H28,H29)</f>
        <v>55</v>
      </c>
    </row>
    <row r="6" spans="2:8" ht="14" x14ac:dyDescent="0.3">
      <c r="B6" s="33" t="s">
        <v>181</v>
      </c>
      <c r="C6" s="34">
        <f>C13/C10*365</f>
        <v>35.497391476209785</v>
      </c>
      <c r="D6" s="34">
        <f>CHOOSE('DCF Model'!$D$27,D32,D33,D34,D35,D36)</f>
        <v>35</v>
      </c>
      <c r="E6" s="34">
        <f>CHOOSE('DCF Model'!$D$27,E32,E33,E34,E35,E36)</f>
        <v>35</v>
      </c>
      <c r="F6" s="34">
        <f>CHOOSE('DCF Model'!$D$27,F32,F33,F34,F35,F36)</f>
        <v>35</v>
      </c>
      <c r="G6" s="34">
        <f>CHOOSE('DCF Model'!$D$27,G32,G33,G34,G35,G36)</f>
        <v>35</v>
      </c>
      <c r="H6" s="34">
        <f>CHOOSE('DCF Model'!$D$27,H32,H33,H34,H35,H36)</f>
        <v>35</v>
      </c>
    </row>
    <row r="7" spans="2:8" ht="14" x14ac:dyDescent="0.3">
      <c r="B7" s="33" t="s">
        <v>182</v>
      </c>
      <c r="C7" s="34">
        <f>C15/C10*365</f>
        <v>17.084518896889197</v>
      </c>
      <c r="D7" s="34">
        <f>CHOOSE('DCF Model'!$D$27,D39,D40,D41,D42,D43)</f>
        <v>18</v>
      </c>
      <c r="E7" s="34">
        <f>CHOOSE('DCF Model'!$D$27,E39,E40,E41,E42,E43)</f>
        <v>18</v>
      </c>
      <c r="F7" s="34">
        <f>CHOOSE('DCF Model'!$D$27,F39,F40,F41,F42,F43)</f>
        <v>18</v>
      </c>
      <c r="G7" s="34">
        <f>CHOOSE('DCF Model'!$D$27,G39,G40,G41,G42,G43)</f>
        <v>18</v>
      </c>
      <c r="H7" s="34">
        <f>CHOOSE('DCF Model'!$D$27,H39,H40,H41,H42,H43)</f>
        <v>18</v>
      </c>
    </row>
    <row r="8" spans="2:8" ht="14" x14ac:dyDescent="0.3">
      <c r="B8" s="8" t="s">
        <v>183</v>
      </c>
      <c r="C8" s="9"/>
      <c r="D8" s="9"/>
      <c r="E8" s="9"/>
      <c r="F8" s="9"/>
      <c r="G8" s="9"/>
      <c r="H8" s="9"/>
    </row>
    <row r="9" spans="2:8" ht="14" x14ac:dyDescent="0.3">
      <c r="B9" s="33" t="s">
        <v>37</v>
      </c>
      <c r="C9" s="35">
        <v>716144</v>
      </c>
      <c r="D9" s="35">
        <f>'DCF Model'!C33</f>
        <v>734047.6</v>
      </c>
      <c r="E9" s="35">
        <f>'DCF Model'!D33</f>
        <v>752398.78999999992</v>
      </c>
      <c r="F9" s="35">
        <f>'DCF Model'!E33</f>
        <v>767446.76579999994</v>
      </c>
      <c r="G9" s="35">
        <f>'DCF Model'!F33</f>
        <v>782795.70111599995</v>
      </c>
      <c r="H9" s="35">
        <f>'DCF Model'!G33</f>
        <v>794537.63663273992</v>
      </c>
    </row>
    <row r="10" spans="2:8" ht="14" x14ac:dyDescent="0.3">
      <c r="B10" s="33" t="s">
        <v>38</v>
      </c>
      <c r="C10" s="35">
        <v>586922</v>
      </c>
      <c r="D10" s="35">
        <f>'DCF Model'!C34</f>
        <v>601919.03199999989</v>
      </c>
      <c r="E10" s="35">
        <f>'DCF Model'!D34</f>
        <v>616967.0077999999</v>
      </c>
      <c r="F10" s="35">
        <f>'DCF Model'!E34</f>
        <v>629306.3479559999</v>
      </c>
      <c r="G10" s="35">
        <f>'DCF Model'!F34</f>
        <v>641892.47491511994</v>
      </c>
      <c r="H10" s="35">
        <f>'DCF Model'!G34</f>
        <v>651520.86203884671</v>
      </c>
    </row>
    <row r="11" spans="2:8" ht="14" x14ac:dyDescent="0.3">
      <c r="B11" s="8" t="s">
        <v>184</v>
      </c>
      <c r="C11" s="9"/>
      <c r="D11" s="9"/>
      <c r="E11" s="9"/>
      <c r="F11" s="9"/>
      <c r="G11" s="9"/>
      <c r="H11" s="9"/>
    </row>
    <row r="12" spans="2:8" ht="14" x14ac:dyDescent="0.3">
      <c r="B12" s="33" t="s">
        <v>185</v>
      </c>
      <c r="C12" s="35">
        <v>107809</v>
      </c>
      <c r="D12" s="35">
        <f t="shared" ref="D12:H13" si="0">D9*D5/365</f>
        <v>110609.91232876712</v>
      </c>
      <c r="E12" s="35">
        <f t="shared" si="0"/>
        <v>113375.16013698629</v>
      </c>
      <c r="F12" s="35">
        <f t="shared" si="0"/>
        <v>115642.66333972602</v>
      </c>
      <c r="G12" s="35">
        <f t="shared" si="0"/>
        <v>117955.51660652054</v>
      </c>
      <c r="H12" s="35">
        <f t="shared" si="0"/>
        <v>119724.84935561835</v>
      </c>
    </row>
    <row r="13" spans="2:8" ht="14" x14ac:dyDescent="0.3">
      <c r="B13" s="33" t="s">
        <v>186</v>
      </c>
      <c r="C13" s="35">
        <v>57080</v>
      </c>
      <c r="D13" s="35">
        <f t="shared" si="0"/>
        <v>57718.263342465747</v>
      </c>
      <c r="E13" s="35">
        <f t="shared" si="0"/>
        <v>59161.219926027392</v>
      </c>
      <c r="F13" s="35">
        <f t="shared" si="0"/>
        <v>60344.444324547927</v>
      </c>
      <c r="G13" s="35">
        <f t="shared" si="0"/>
        <v>61551.333211038895</v>
      </c>
      <c r="H13" s="35">
        <f t="shared" si="0"/>
        <v>62474.603209204484</v>
      </c>
    </row>
    <row r="14" spans="2:8" ht="14" x14ac:dyDescent="0.3">
      <c r="B14" s="33" t="s">
        <v>187</v>
      </c>
      <c r="C14" s="35">
        <f t="shared" ref="C14:H14" si="1">C12+C13</f>
        <v>164889</v>
      </c>
      <c r="D14" s="35">
        <f t="shared" si="1"/>
        <v>168328.17567123286</v>
      </c>
      <c r="E14" s="35">
        <f t="shared" si="1"/>
        <v>172536.3800630137</v>
      </c>
      <c r="F14" s="35">
        <f t="shared" si="1"/>
        <v>175987.10766427394</v>
      </c>
      <c r="G14" s="35">
        <f t="shared" si="1"/>
        <v>179506.84981755944</v>
      </c>
      <c r="H14" s="35">
        <f t="shared" si="1"/>
        <v>182199.45256482283</v>
      </c>
    </row>
    <row r="15" spans="2:8" ht="14" x14ac:dyDescent="0.3">
      <c r="B15" s="33" t="s">
        <v>188</v>
      </c>
      <c r="C15" s="35">
        <v>27472</v>
      </c>
      <c r="D15" s="35">
        <f>D10*D7/365</f>
        <v>29683.678290410953</v>
      </c>
      <c r="E15" s="35">
        <f>E10*E7/365</f>
        <v>30425.770247671229</v>
      </c>
      <c r="F15" s="35">
        <f>F10*F7/365</f>
        <v>31034.285652624654</v>
      </c>
      <c r="G15" s="35">
        <f>G10*G7/365</f>
        <v>31654.971365677146</v>
      </c>
      <c r="H15" s="35">
        <f>H10*H7/365</f>
        <v>32129.795936162307</v>
      </c>
    </row>
    <row r="16" spans="2:8" ht="14" x14ac:dyDescent="0.3">
      <c r="B16" s="33" t="s">
        <v>189</v>
      </c>
      <c r="C16" s="35">
        <f t="shared" ref="C16:H16" si="2">C15</f>
        <v>27472</v>
      </c>
      <c r="D16" s="35">
        <f t="shared" si="2"/>
        <v>29683.678290410953</v>
      </c>
      <c r="E16" s="35">
        <f t="shared" si="2"/>
        <v>30425.770247671229</v>
      </c>
      <c r="F16" s="35">
        <f t="shared" si="2"/>
        <v>31034.285652624654</v>
      </c>
      <c r="G16" s="35">
        <f t="shared" si="2"/>
        <v>31654.971365677146</v>
      </c>
      <c r="H16" s="35">
        <f t="shared" si="2"/>
        <v>32129.795936162307</v>
      </c>
    </row>
    <row r="17" spans="2:8" ht="14" x14ac:dyDescent="0.3">
      <c r="B17" s="22" t="s">
        <v>190</v>
      </c>
      <c r="C17" s="23"/>
      <c r="D17" s="23"/>
      <c r="E17" s="23"/>
      <c r="F17" s="23"/>
      <c r="G17" s="23"/>
      <c r="H17" s="23"/>
    </row>
    <row r="18" spans="2:8" ht="14" x14ac:dyDescent="0.3">
      <c r="B18" s="33" t="s">
        <v>191</v>
      </c>
      <c r="C18" s="20">
        <f t="shared" ref="C18:H18" si="3">C14-C16</f>
        <v>137417</v>
      </c>
      <c r="D18" s="20">
        <f t="shared" si="3"/>
        <v>138644.49738082191</v>
      </c>
      <c r="E18" s="20">
        <f t="shared" si="3"/>
        <v>142110.60981534247</v>
      </c>
      <c r="F18" s="20">
        <f t="shared" si="3"/>
        <v>144952.82201164929</v>
      </c>
      <c r="G18" s="20">
        <f t="shared" si="3"/>
        <v>147851.87845188231</v>
      </c>
      <c r="H18" s="20">
        <f t="shared" si="3"/>
        <v>150069.65662866051</v>
      </c>
    </row>
    <row r="19" spans="2:8" ht="14" x14ac:dyDescent="0.3">
      <c r="B19" s="33" t="s">
        <v>100</v>
      </c>
      <c r="C19" s="36" t="s">
        <v>47</v>
      </c>
      <c r="D19" s="24">
        <f>D18-C18</f>
        <v>1227.4973808219074</v>
      </c>
      <c r="E19" s="24">
        <f>E18-D18</f>
        <v>3466.1124345205608</v>
      </c>
      <c r="F19" s="24">
        <f>F18-E18</f>
        <v>2842.2121963068203</v>
      </c>
      <c r="G19" s="24">
        <f>G18-F18</f>
        <v>2899.0564402330201</v>
      </c>
      <c r="H19" s="24">
        <f>H18-G18</f>
        <v>2217.7781767781998</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55</v>
      </c>
      <c r="E25" s="30">
        <v>55</v>
      </c>
      <c r="F25" s="30">
        <v>55</v>
      </c>
      <c r="G25" s="30">
        <v>55</v>
      </c>
      <c r="H25" s="30">
        <v>55</v>
      </c>
    </row>
    <row r="26" spans="2:8" ht="14" x14ac:dyDescent="0.3">
      <c r="B26" s="4" t="s">
        <v>121</v>
      </c>
      <c r="D26" s="30">
        <v>52</v>
      </c>
      <c r="E26" s="30">
        <v>52</v>
      </c>
      <c r="F26" s="30">
        <v>52</v>
      </c>
      <c r="G26" s="30">
        <v>52</v>
      </c>
      <c r="H26" s="30">
        <v>52</v>
      </c>
    </row>
    <row r="27" spans="2:8" ht="14" x14ac:dyDescent="0.3">
      <c r="B27" s="4" t="s">
        <v>122</v>
      </c>
      <c r="D27" s="30">
        <v>55</v>
      </c>
      <c r="E27" s="30">
        <v>55</v>
      </c>
      <c r="F27" s="30">
        <v>55</v>
      </c>
      <c r="G27" s="30">
        <v>55</v>
      </c>
      <c r="H27" s="30">
        <v>55</v>
      </c>
    </row>
    <row r="28" spans="2:8" ht="14" x14ac:dyDescent="0.3">
      <c r="B28" s="4" t="s">
        <v>123</v>
      </c>
      <c r="D28" s="30">
        <v>59</v>
      </c>
      <c r="E28" s="30">
        <v>59</v>
      </c>
      <c r="F28" s="30">
        <v>59</v>
      </c>
      <c r="G28" s="30">
        <v>59</v>
      </c>
      <c r="H28" s="30">
        <v>59</v>
      </c>
    </row>
    <row r="29" spans="2:8" ht="14" x14ac:dyDescent="0.3">
      <c r="B29" s="4" t="s">
        <v>124</v>
      </c>
      <c r="D29" s="30">
        <v>63</v>
      </c>
      <c r="E29" s="30">
        <v>63</v>
      </c>
      <c r="F29" s="30">
        <v>63</v>
      </c>
      <c r="G29" s="30">
        <v>63</v>
      </c>
      <c r="H29" s="30">
        <v>63</v>
      </c>
    </row>
    <row r="31" spans="2:8" ht="14" x14ac:dyDescent="0.3">
      <c r="B31" s="3" t="s">
        <v>194</v>
      </c>
    </row>
    <row r="32" spans="2:8" ht="14" x14ac:dyDescent="0.3">
      <c r="B32" s="4" t="s">
        <v>84</v>
      </c>
      <c r="D32" s="30">
        <v>35</v>
      </c>
      <c r="E32" s="30">
        <v>35</v>
      </c>
      <c r="F32" s="30">
        <v>35</v>
      </c>
      <c r="G32" s="30">
        <v>35</v>
      </c>
      <c r="H32" s="30">
        <v>35</v>
      </c>
    </row>
    <row r="33" spans="2:8" ht="14" x14ac:dyDescent="0.3">
      <c r="B33" s="4" t="s">
        <v>121</v>
      </c>
      <c r="D33" s="30">
        <v>29</v>
      </c>
      <c r="E33" s="30">
        <v>29</v>
      </c>
      <c r="F33" s="30">
        <v>29</v>
      </c>
      <c r="G33" s="30">
        <v>29</v>
      </c>
      <c r="H33" s="30">
        <v>29</v>
      </c>
    </row>
    <row r="34" spans="2:8" ht="14" x14ac:dyDescent="0.3">
      <c r="B34" s="4" t="s">
        <v>122</v>
      </c>
      <c r="D34" s="30">
        <v>35</v>
      </c>
      <c r="E34" s="30">
        <v>35</v>
      </c>
      <c r="F34" s="30">
        <v>35</v>
      </c>
      <c r="G34" s="30">
        <v>35</v>
      </c>
      <c r="H34" s="30">
        <v>35</v>
      </c>
    </row>
    <row r="35" spans="2:8" ht="14" x14ac:dyDescent="0.3">
      <c r="B35" s="4" t="s">
        <v>123</v>
      </c>
      <c r="D35" s="30">
        <v>42</v>
      </c>
      <c r="E35" s="30">
        <v>42</v>
      </c>
      <c r="F35" s="30">
        <v>42</v>
      </c>
      <c r="G35" s="30">
        <v>42</v>
      </c>
      <c r="H35" s="30">
        <v>42</v>
      </c>
    </row>
    <row r="36" spans="2:8" ht="14" x14ac:dyDescent="0.3">
      <c r="B36" s="4" t="s">
        <v>124</v>
      </c>
      <c r="D36" s="30">
        <v>49</v>
      </c>
      <c r="E36" s="30">
        <v>49</v>
      </c>
      <c r="F36" s="30">
        <v>49</v>
      </c>
      <c r="G36" s="30">
        <v>49</v>
      </c>
      <c r="H36" s="30">
        <v>49</v>
      </c>
    </row>
    <row r="38" spans="2:8" ht="14" x14ac:dyDescent="0.3">
      <c r="B38" s="3" t="s">
        <v>195</v>
      </c>
    </row>
    <row r="39" spans="2:8" ht="14" x14ac:dyDescent="0.3">
      <c r="B39" s="4" t="s">
        <v>84</v>
      </c>
      <c r="D39" s="30">
        <v>18</v>
      </c>
      <c r="E39" s="30">
        <v>18</v>
      </c>
      <c r="F39" s="30">
        <v>18</v>
      </c>
      <c r="G39" s="30">
        <v>18</v>
      </c>
      <c r="H39" s="30">
        <v>18</v>
      </c>
    </row>
    <row r="40" spans="2:8" ht="14" x14ac:dyDescent="0.3">
      <c r="B40" s="4" t="s">
        <v>121</v>
      </c>
      <c r="D40" s="30">
        <v>20</v>
      </c>
      <c r="E40" s="30">
        <v>20</v>
      </c>
      <c r="F40" s="30">
        <v>20</v>
      </c>
      <c r="G40" s="30">
        <v>20</v>
      </c>
      <c r="H40" s="30">
        <v>20</v>
      </c>
    </row>
    <row r="41" spans="2:8" ht="14" x14ac:dyDescent="0.3">
      <c r="B41" s="4" t="s">
        <v>122</v>
      </c>
      <c r="D41" s="30">
        <v>18</v>
      </c>
      <c r="E41" s="30">
        <v>18</v>
      </c>
      <c r="F41" s="30">
        <v>18</v>
      </c>
      <c r="G41" s="30">
        <v>18</v>
      </c>
      <c r="H41" s="30">
        <v>18</v>
      </c>
    </row>
    <row r="42" spans="2:8" ht="14" x14ac:dyDescent="0.3">
      <c r="B42" s="4" t="s">
        <v>123</v>
      </c>
      <c r="D42" s="30">
        <v>15</v>
      </c>
      <c r="E42" s="30">
        <v>15</v>
      </c>
      <c r="F42" s="30">
        <v>15</v>
      </c>
      <c r="G42" s="30">
        <v>15</v>
      </c>
      <c r="H42" s="30">
        <v>15</v>
      </c>
    </row>
    <row r="43" spans="2:8" ht="14" x14ac:dyDescent="0.3">
      <c r="B43" s="4" t="s">
        <v>124</v>
      </c>
      <c r="D43" s="30">
        <v>12</v>
      </c>
      <c r="E43" s="30">
        <v>12</v>
      </c>
      <c r="F43" s="30">
        <v>12</v>
      </c>
      <c r="G43" s="30">
        <v>12</v>
      </c>
      <c r="H43" s="30">
        <v>12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528426.47584199999</v>
      </c>
      <c r="E5" s="37">
        <f>D5+C24</f>
        <v>601072.47584199999</v>
      </c>
      <c r="F5" s="37">
        <v>716144</v>
      </c>
      <c r="G5" s="37">
        <v>61091</v>
      </c>
      <c r="H5" s="37">
        <v>39004</v>
      </c>
      <c r="I5" s="37">
        <v>27332</v>
      </c>
      <c r="J5" s="38">
        <f t="shared" ref="J5:J10" si="0">IFERROR(E5/G5,"")</f>
        <v>9.8389693382331274</v>
      </c>
      <c r="K5" s="38">
        <f t="shared" ref="K5:K10" si="1">IFERROR(E5/F5,"")</f>
        <v>0.83931789673864476</v>
      </c>
      <c r="L5" s="38">
        <f t="shared" ref="L5:L10" si="2">IFERROR(D5/I5,"")</f>
        <v>19.333619048807257</v>
      </c>
      <c r="M5" s="38">
        <f t="shared" ref="M5:M10" si="3">IFERROR(D5/P5,"")</f>
        <v>1.8454317927869721</v>
      </c>
      <c r="N5" s="39">
        <f t="shared" ref="N5:N10" si="4">IFERROR(H5/F5,"")</f>
        <v>5.4463906700328427E-2</v>
      </c>
      <c r="O5" s="39">
        <f t="shared" ref="O5:O10" si="5">IFERROR(I5/P5,"")</f>
        <v>9.5451957966494722E-2</v>
      </c>
      <c r="P5" s="37">
        <v>286343</v>
      </c>
    </row>
    <row r="6" spans="2:17" ht="14" x14ac:dyDescent="0.3">
      <c r="B6" s="4" t="s">
        <v>214</v>
      </c>
      <c r="C6" t="s">
        <v>215</v>
      </c>
      <c r="D6" s="37">
        <v>854146</v>
      </c>
      <c r="E6" s="37">
        <v>931346</v>
      </c>
      <c r="F6" s="37">
        <v>788131</v>
      </c>
      <c r="G6" s="37">
        <v>85277</v>
      </c>
      <c r="H6" s="37">
        <v>49380</v>
      </c>
      <c r="I6" s="37">
        <v>45380</v>
      </c>
      <c r="J6" s="38">
        <f t="shared" si="0"/>
        <v>10.92142078168791</v>
      </c>
      <c r="K6" s="38">
        <f t="shared" si="1"/>
        <v>1.1817147149395215</v>
      </c>
      <c r="L6" s="38">
        <f t="shared" si="2"/>
        <v>18.822080211546936</v>
      </c>
      <c r="M6" s="38">
        <f t="shared" si="3"/>
        <v>1.6515832379420228</v>
      </c>
      <c r="N6" s="39">
        <f t="shared" si="4"/>
        <v>6.2654558696460361E-2</v>
      </c>
      <c r="O6" s="39">
        <f t="shared" si="5"/>
        <v>8.7747115057389469E-2</v>
      </c>
      <c r="P6" s="37">
        <v>517168</v>
      </c>
    </row>
    <row r="7" spans="2:17" ht="14" x14ac:dyDescent="0.3">
      <c r="B7" s="4" t="s">
        <v>216</v>
      </c>
      <c r="C7" t="s">
        <v>217</v>
      </c>
      <c r="D7" s="37">
        <v>1195303</v>
      </c>
      <c r="E7" s="37">
        <v>1238638</v>
      </c>
      <c r="F7" s="37">
        <v>1173688</v>
      </c>
      <c r="G7" s="37">
        <v>148261</v>
      </c>
      <c r="H7" s="37">
        <v>93307</v>
      </c>
      <c r="I7" s="37">
        <v>35076</v>
      </c>
      <c r="J7" s="38">
        <f t="shared" si="0"/>
        <v>8.3544425034230176</v>
      </c>
      <c r="K7" s="38">
        <f t="shared" si="1"/>
        <v>1.0553383863513983</v>
      </c>
      <c r="L7" s="38">
        <f t="shared" si="2"/>
        <v>34.077517390808531</v>
      </c>
      <c r="M7" s="38">
        <f t="shared" si="3"/>
        <v>1.5471475630513147</v>
      </c>
      <c r="N7" s="39">
        <f t="shared" si="4"/>
        <v>7.9498980989837167E-2</v>
      </c>
      <c r="O7" s="39">
        <f t="shared" si="5"/>
        <v>4.5400829682170893E-2</v>
      </c>
      <c r="P7" s="37">
        <v>772585</v>
      </c>
    </row>
    <row r="8" spans="2:17" ht="14" x14ac:dyDescent="0.3">
      <c r="B8" s="4" t="s">
        <v>218</v>
      </c>
      <c r="C8" t="s">
        <v>219</v>
      </c>
      <c r="D8" s="37">
        <v>1655551</v>
      </c>
      <c r="E8" s="37">
        <v>1605210</v>
      </c>
      <c r="F8" s="37">
        <v>745539</v>
      </c>
      <c r="G8" s="37">
        <v>102686</v>
      </c>
      <c r="H8" s="37">
        <v>75940</v>
      </c>
      <c r="I8" s="37">
        <v>61615</v>
      </c>
      <c r="J8" s="38">
        <f t="shared" si="0"/>
        <v>15.632218608184173</v>
      </c>
      <c r="K8" s="38">
        <f t="shared" si="1"/>
        <v>2.1530865588520518</v>
      </c>
      <c r="L8" s="38">
        <f t="shared" si="2"/>
        <v>26.869285076685873</v>
      </c>
      <c r="M8" s="38">
        <f t="shared" si="3"/>
        <v>2.9514711440409038</v>
      </c>
      <c r="N8" s="39">
        <f t="shared" si="4"/>
        <v>0.1018591918061966</v>
      </c>
      <c r="O8" s="39">
        <f t="shared" si="5"/>
        <v>0.10984554057234135</v>
      </c>
      <c r="P8" s="37">
        <v>560924</v>
      </c>
    </row>
    <row r="9" spans="2:17" ht="14" x14ac:dyDescent="0.3">
      <c r="B9" s="4" t="s">
        <v>220</v>
      </c>
      <c r="C9" t="s">
        <v>221</v>
      </c>
      <c r="D9" s="37">
        <v>2397303</v>
      </c>
      <c r="E9" s="37">
        <v>3885100</v>
      </c>
      <c r="F9" s="37">
        <v>2894676</v>
      </c>
      <c r="G9" s="37">
        <v>348957</v>
      </c>
      <c r="H9" s="37">
        <v>185870</v>
      </c>
      <c r="I9" s="37">
        <v>121574</v>
      </c>
      <c r="J9" s="38">
        <f t="shared" si="0"/>
        <v>11.133463435322977</v>
      </c>
      <c r="K9" s="38">
        <f t="shared" si="1"/>
        <v>1.3421536641751961</v>
      </c>
      <c r="L9" s="38">
        <f t="shared" si="2"/>
        <v>19.718879036636125</v>
      </c>
      <c r="M9" s="38">
        <f t="shared" si="3"/>
        <v>0.79828887411872984</v>
      </c>
      <c r="N9" s="39">
        <f t="shared" si="4"/>
        <v>6.4210985961814029E-2</v>
      </c>
      <c r="O9" s="39">
        <f t="shared" si="5"/>
        <v>4.0483481471516314E-2</v>
      </c>
      <c r="P9" s="37">
        <v>3003052</v>
      </c>
    </row>
    <row r="10" spans="2:17" ht="14" x14ac:dyDescent="0.3">
      <c r="B10" s="4" t="s">
        <v>222</v>
      </c>
      <c r="C10" t="s">
        <v>223</v>
      </c>
      <c r="D10" s="37">
        <v>1394824</v>
      </c>
      <c r="E10" s="37">
        <v>1261617</v>
      </c>
      <c r="F10" s="37">
        <v>1715438</v>
      </c>
      <c r="G10" s="37">
        <v>232403</v>
      </c>
      <c r="H10" s="37">
        <v>148793</v>
      </c>
      <c r="I10" s="37">
        <v>88723</v>
      </c>
      <c r="J10" s="38">
        <f t="shared" si="0"/>
        <v>5.428574502050318</v>
      </c>
      <c r="K10" s="38">
        <f t="shared" si="1"/>
        <v>0.73544890576051136</v>
      </c>
      <c r="L10" s="38">
        <f t="shared" si="2"/>
        <v>15.7211095206429</v>
      </c>
      <c r="M10" s="38">
        <f t="shared" si="3"/>
        <v>1.059938538604869</v>
      </c>
      <c r="N10" s="39">
        <f t="shared" si="4"/>
        <v>8.6737614533431109E-2</v>
      </c>
      <c r="O10" s="39">
        <f t="shared" si="5"/>
        <v>6.7421357074899615E-2</v>
      </c>
      <c r="P10" s="37">
        <v>1315948</v>
      </c>
    </row>
    <row r="14" spans="2:17" ht="14" x14ac:dyDescent="0.3">
      <c r="B14" s="3" t="s">
        <v>224</v>
      </c>
    </row>
    <row r="15" spans="2:17" ht="14" x14ac:dyDescent="0.3">
      <c r="B15" s="4" t="s">
        <v>225</v>
      </c>
      <c r="D15" s="38">
        <f t="shared" ref="D15:I15" si="6">PERCENTILE(J6:J10,0.25)</f>
        <v>8.3544425034230176</v>
      </c>
      <c r="E15" s="38">
        <f t="shared" si="6"/>
        <v>1.0553383863513983</v>
      </c>
      <c r="F15" s="38">
        <f t="shared" si="6"/>
        <v>18.822080211546936</v>
      </c>
      <c r="G15" s="38">
        <f t="shared" si="6"/>
        <v>1.059938538604869</v>
      </c>
      <c r="H15" s="39">
        <f t="shared" si="6"/>
        <v>6.4210985961814029E-2</v>
      </c>
      <c r="I15" s="39">
        <f t="shared" si="6"/>
        <v>4.5400829682170893E-2</v>
      </c>
    </row>
    <row r="16" spans="2:17" ht="14" x14ac:dyDescent="0.3">
      <c r="B16" s="4" t="s">
        <v>226</v>
      </c>
      <c r="D16" s="38">
        <f t="shared" ref="D16:I16" si="7">MEDIAN(J6:J10)</f>
        <v>10.92142078168791</v>
      </c>
      <c r="E16" s="38">
        <f t="shared" si="7"/>
        <v>1.1817147149395215</v>
      </c>
      <c r="F16" s="38">
        <f t="shared" si="7"/>
        <v>19.718879036636125</v>
      </c>
      <c r="G16" s="38">
        <f t="shared" si="7"/>
        <v>1.5471475630513147</v>
      </c>
      <c r="H16" s="39">
        <f t="shared" si="7"/>
        <v>7.9498980989837167E-2</v>
      </c>
      <c r="I16" s="39">
        <f t="shared" si="7"/>
        <v>6.7421357074899615E-2</v>
      </c>
    </row>
    <row r="17" spans="2:9" ht="14" x14ac:dyDescent="0.3">
      <c r="B17" s="4" t="s">
        <v>227</v>
      </c>
      <c r="D17" s="38">
        <f t="shared" ref="D17:I17" si="8">PERCENTILE(J6:J10,0.75)</f>
        <v>11.133463435322977</v>
      </c>
      <c r="E17" s="38">
        <f t="shared" si="8"/>
        <v>1.3421536641751961</v>
      </c>
      <c r="F17" s="38">
        <f t="shared" si="8"/>
        <v>26.869285076685873</v>
      </c>
      <c r="G17" s="38">
        <f t="shared" si="8"/>
        <v>1.6515832379420228</v>
      </c>
      <c r="H17" s="39">
        <f t="shared" si="8"/>
        <v>8.6737614533431109E-2</v>
      </c>
      <c r="I17" s="39">
        <f t="shared" si="8"/>
        <v>8.7747115057389469E-2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61091</v>
      </c>
    </row>
    <row r="22" spans="2:9" ht="14" x14ac:dyDescent="0.3">
      <c r="B22" s="4" t="s">
        <v>231</v>
      </c>
      <c r="C22" s="5">
        <v>27332</v>
      </c>
    </row>
    <row r="23" spans="2:9" ht="14" x14ac:dyDescent="0.3">
      <c r="B23" s="4" t="s">
        <v>232</v>
      </c>
      <c r="C23" s="15">
        <v>250617252</v>
      </c>
    </row>
    <row r="24" spans="2:9" ht="14" x14ac:dyDescent="0.3">
      <c r="B24" s="4" t="s">
        <v>73</v>
      </c>
      <c r="C24" s="5">
        <v>72646</v>
      </c>
    </row>
    <row r="26" spans="2:9" ht="14" x14ac:dyDescent="0.3">
      <c r="B26" s="3" t="s">
        <v>233</v>
      </c>
    </row>
    <row r="27" spans="2:9" ht="14" x14ac:dyDescent="0.3">
      <c r="B27" s="4" t="s">
        <v>234</v>
      </c>
      <c r="C27" s="24">
        <f>ROUND((C21*D16-C24)*1000000/C23,0)</f>
        <v>2372</v>
      </c>
    </row>
    <row r="28" spans="2:9" ht="14" x14ac:dyDescent="0.3">
      <c r="B28" s="4" t="s">
        <v>235</v>
      </c>
      <c r="C28" s="24">
        <f>ROUND(C22*F16*1000000/C23,0)</f>
        <v>2151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5.6091208791208789E-2</v>
      </c>
      <c r="E3" s="4" t="s">
        <v>238</v>
      </c>
      <c r="F3" s="16">
        <f>'DCF Model'!C13</f>
        <v>0.01</v>
      </c>
      <c r="H3" s="4" t="s">
        <v>239</v>
      </c>
      <c r="I3" s="14">
        <f>'DCF Model'!C14</f>
        <v>10.9</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4.109120879120879E-2</v>
      </c>
      <c r="C7" s="37">
        <f>IFERROR(ROUND(('DCF Model'!C45/(1+$B7)^('DCF Model'!C19+0)+'DCF Model'!D45/(1+$B7)^('DCF Model'!C19+1)+'DCF Model'!E45/(1+$B7)^('DCF Model'!C19+2)+'DCF Model'!F45/(1+$B7)^('DCF Model'!C19+3)+'DCF Model'!G45/(1+$B7)^('DCF Model'!C19+4)+'DCF Model'!G45*(1+C$6)/($B7-C$6)/(1+$B7)^('DCF Model'!C19+4)-'DCF Model'!C16)*1000000/'DCF Model'!C15,0),"")</f>
        <v>2589</v>
      </c>
      <c r="D7" s="37">
        <f>IFERROR(ROUND(('DCF Model'!C45/(1+$B7)^('DCF Model'!C19+0)+'DCF Model'!D45/(1+$B7)^('DCF Model'!C19+1)+'DCF Model'!E45/(1+$B7)^('DCF Model'!C19+2)+'DCF Model'!F45/(1+$B7)^('DCF Model'!C19+3)+'DCF Model'!G45/(1+$B7)^('DCF Model'!C19+4)+'DCF Model'!G45*(1+D$6)/($B7-D$6)/(1+$B7)^('DCF Model'!C19+4)-'DCF Model'!C16)*1000000/'DCF Model'!C15,0),"")</f>
        <v>2766</v>
      </c>
      <c r="E7" s="37">
        <f>IFERROR(ROUND(('DCF Model'!C45/(1+$B7)^('DCF Model'!C19+0)+'DCF Model'!D45/(1+$B7)^('DCF Model'!C19+1)+'DCF Model'!E45/(1+$B7)^('DCF Model'!C19+2)+'DCF Model'!F45/(1+$B7)^('DCF Model'!C19+3)+'DCF Model'!G45/(1+$B7)^('DCF Model'!C19+4)+'DCF Model'!G45*(1+E$6)/($B7-E$6)/(1+$B7)^('DCF Model'!C19+4)-'DCF Model'!C16)*1000000/'DCF Model'!C15,0),"")</f>
        <v>2969</v>
      </c>
      <c r="F7" s="37">
        <f>IFERROR(ROUND(('DCF Model'!C45/(1+$B7)^('DCF Model'!C19+0)+'DCF Model'!D45/(1+$B7)^('DCF Model'!C19+1)+'DCF Model'!E45/(1+$B7)^('DCF Model'!C19+2)+'DCF Model'!F45/(1+$B7)^('DCF Model'!C19+3)+'DCF Model'!G45/(1+$B7)^('DCF Model'!C19+4)+'DCF Model'!G45*(1+F$6)/($B7-F$6)/(1+$B7)^('DCF Model'!C19+4)-'DCF Model'!C16)*1000000/'DCF Model'!C15,0),"")</f>
        <v>3206</v>
      </c>
      <c r="G7" s="37">
        <f>IFERROR(ROUND(('DCF Model'!C45/(1+$B7)^('DCF Model'!C19+0)+'DCF Model'!D45/(1+$B7)^('DCF Model'!C19+1)+'DCF Model'!E45/(1+$B7)^('DCF Model'!C19+2)+'DCF Model'!F45/(1+$B7)^('DCF Model'!C19+3)+'DCF Model'!G45/(1+$B7)^('DCF Model'!C19+4)+'DCF Model'!G45*(1+G$6)/($B7-G$6)/(1+$B7)^('DCF Model'!C19+4)-'DCF Model'!C16)*1000000/'DCF Model'!C15,0),"")</f>
        <v>3483</v>
      </c>
      <c r="H7" s="37">
        <f>IFERROR(ROUND(('DCF Model'!C45/(1+$B7)^('DCF Model'!C19+0)+'DCF Model'!D45/(1+$B7)^('DCF Model'!C19+1)+'DCF Model'!E45/(1+$B7)^('DCF Model'!C19+2)+'DCF Model'!F45/(1+$B7)^('DCF Model'!C19+3)+'DCF Model'!G45/(1+$B7)^('DCF Model'!C19+4)+'DCF Model'!G45*(1+H$6)/($B7-H$6)/(1+$B7)^('DCF Model'!C19+4)-'DCF Model'!C16)*1000000/'DCF Model'!C15,0),"")</f>
        <v>3813</v>
      </c>
      <c r="I7" s="37">
        <f>IFERROR(ROUND(('DCF Model'!C45/(1+$B7)^('DCF Model'!C19+0)+'DCF Model'!D45/(1+$B7)^('DCF Model'!C19+1)+'DCF Model'!E45/(1+$B7)^('DCF Model'!C19+2)+'DCF Model'!F45/(1+$B7)^('DCF Model'!C19+3)+'DCF Model'!G45/(1+$B7)^('DCF Model'!C19+4)+'DCF Model'!G45*(1+I$6)/($B7-I$6)/(1+$B7)^('DCF Model'!C19+4)-'DCF Model'!C16)*1000000/'DCF Model'!C15,0),"")</f>
        <v>4214</v>
      </c>
    </row>
    <row r="8" spans="2:9" ht="13.5" x14ac:dyDescent="0.25">
      <c r="B8" s="39">
        <f>$C$3-0.01</f>
        <v>4.6091208791208788E-2</v>
      </c>
      <c r="C8" s="37">
        <f>IFERROR(ROUND(('DCF Model'!C45/(1+$B8)^('DCF Model'!C19+0)+'DCF Model'!D45/(1+$B8)^('DCF Model'!C19+1)+'DCF Model'!E45/(1+$B8)^('DCF Model'!C19+2)+'DCF Model'!F45/(1+$B8)^('DCF Model'!C19+3)+'DCF Model'!G45/(1+$B8)^('DCF Model'!C19+4)+'DCF Model'!G45*(1+C$6)/($B8-C$6)/(1+$B8)^('DCF Model'!C19+4)-'DCF Model'!C16)*1000000/'DCF Model'!C15,0),"")</f>
        <v>2249</v>
      </c>
      <c r="D8" s="37">
        <f>IFERROR(ROUND(('DCF Model'!C45/(1+$B8)^('DCF Model'!C19+0)+'DCF Model'!D45/(1+$B8)^('DCF Model'!C19+1)+'DCF Model'!E45/(1+$B8)^('DCF Model'!C19+2)+'DCF Model'!F45/(1+$B8)^('DCF Model'!C19+3)+'DCF Model'!G45/(1+$B8)^('DCF Model'!C19+4)+'DCF Model'!G45*(1+D$6)/($B8-D$6)/(1+$B8)^('DCF Model'!C19+4)-'DCF Model'!C16)*1000000/'DCF Model'!C15,0),"")</f>
        <v>2384</v>
      </c>
      <c r="E8" s="37">
        <f>IFERROR(ROUND(('DCF Model'!C45/(1+$B8)^('DCF Model'!C19+0)+'DCF Model'!D45/(1+$B8)^('DCF Model'!C19+1)+'DCF Model'!E45/(1+$B8)^('DCF Model'!C19+2)+'DCF Model'!F45/(1+$B8)^('DCF Model'!C19+3)+'DCF Model'!G45/(1+$B8)^('DCF Model'!C19+4)+'DCF Model'!G45*(1+E$6)/($B8-E$6)/(1+$B8)^('DCF Model'!C19+4)-'DCF Model'!C16)*1000000/'DCF Model'!C15,0),"")</f>
        <v>2537</v>
      </c>
      <c r="F8" s="37">
        <f>IFERROR(ROUND(('DCF Model'!C45/(1+$B8)^('DCF Model'!C19+0)+'DCF Model'!D45/(1+$B8)^('DCF Model'!C19+1)+'DCF Model'!E45/(1+$B8)^('DCF Model'!C19+2)+'DCF Model'!F45/(1+$B8)^('DCF Model'!C19+3)+'DCF Model'!G45/(1+$B8)^('DCF Model'!C19+4)+'DCF Model'!G45*(1+F$6)/($B8-F$6)/(1+$B8)^('DCF Model'!C19+4)-'DCF Model'!C16)*1000000/'DCF Model'!C15,0),"")</f>
        <v>2710</v>
      </c>
      <c r="G8" s="37">
        <f>IFERROR(ROUND(('DCF Model'!C45/(1+$B8)^('DCF Model'!C19+0)+'DCF Model'!D45/(1+$B8)^('DCF Model'!C19+1)+'DCF Model'!E45/(1+$B8)^('DCF Model'!C19+2)+'DCF Model'!F45/(1+$B8)^('DCF Model'!C19+3)+'DCF Model'!G45/(1+$B8)^('DCF Model'!C19+4)+'DCF Model'!G45*(1+G$6)/($B8-G$6)/(1+$B8)^('DCF Model'!C19+4)-'DCF Model'!C16)*1000000/'DCF Model'!C15,0),"")</f>
        <v>2910</v>
      </c>
      <c r="H8" s="37">
        <f>IFERROR(ROUND(('DCF Model'!C45/(1+$B8)^('DCF Model'!C19+0)+'DCF Model'!D45/(1+$B8)^('DCF Model'!C19+1)+'DCF Model'!E45/(1+$B8)^('DCF Model'!C19+2)+'DCF Model'!F45/(1+$B8)^('DCF Model'!C19+3)+'DCF Model'!G45/(1+$B8)^('DCF Model'!C19+4)+'DCF Model'!G45*(1+H$6)/($B8-H$6)/(1+$B8)^('DCF Model'!C19+4)-'DCF Model'!C16)*1000000/'DCF Model'!C15,0),"")</f>
        <v>3141</v>
      </c>
      <c r="I8" s="37">
        <f>IFERROR(ROUND(('DCF Model'!C45/(1+$B8)^('DCF Model'!C19+0)+'DCF Model'!D45/(1+$B8)^('DCF Model'!C19+1)+'DCF Model'!E45/(1+$B8)^('DCF Model'!C19+2)+'DCF Model'!F45/(1+$B8)^('DCF Model'!C19+3)+'DCF Model'!G45/(1+$B8)^('DCF Model'!C19+4)+'DCF Model'!G45*(1+I$6)/($B8-I$6)/(1+$B8)^('DCF Model'!C19+4)-'DCF Model'!C16)*1000000/'DCF Model'!C15,0),"")</f>
        <v>3413</v>
      </c>
    </row>
    <row r="9" spans="2:9" ht="13.5" x14ac:dyDescent="0.25">
      <c r="B9" s="39">
        <f>$C$3-0.005</f>
        <v>5.1091208791208792E-2</v>
      </c>
      <c r="C9" s="37">
        <f>IFERROR(ROUND(('DCF Model'!C45/(1+$B9)^('DCF Model'!C19+0)+'DCF Model'!D45/(1+$B9)^('DCF Model'!C19+1)+'DCF Model'!E45/(1+$B9)^('DCF Model'!C19+2)+'DCF Model'!F45/(1+$B9)^('DCF Model'!C19+3)+'DCF Model'!G45/(1+$B9)^('DCF Model'!C19+4)+'DCF Model'!G45*(1+C$6)/($B9-C$6)/(1+$B9)^('DCF Model'!C19+4)-'DCF Model'!C16)*1000000/'DCF Model'!C15,0),"")</f>
        <v>1979</v>
      </c>
      <c r="D9" s="37">
        <f>IFERROR(ROUND(('DCF Model'!C45/(1+$B9)^('DCF Model'!C19+0)+'DCF Model'!D45/(1+$B9)^('DCF Model'!C19+1)+'DCF Model'!E45/(1+$B9)^('DCF Model'!C19+2)+'DCF Model'!F45/(1+$B9)^('DCF Model'!C19+3)+'DCF Model'!G45/(1+$B9)^('DCF Model'!C19+4)+'DCF Model'!G45*(1+D$6)/($B9-D$6)/(1+$B9)^('DCF Model'!C19+4)-'DCF Model'!C16)*1000000/'DCF Model'!C15,0),"")</f>
        <v>2085</v>
      </c>
      <c r="E9" s="37">
        <f>IFERROR(ROUND(('DCF Model'!C45/(1+$B9)^('DCF Model'!C19+0)+'DCF Model'!D45/(1+$B9)^('DCF Model'!C19+1)+'DCF Model'!E45/(1+$B9)^('DCF Model'!C19+2)+'DCF Model'!F45/(1+$B9)^('DCF Model'!C19+3)+'DCF Model'!G45/(1+$B9)^('DCF Model'!C19+4)+'DCF Model'!G45*(1+E$6)/($B9-E$6)/(1+$B9)^('DCF Model'!C19+4)-'DCF Model'!C16)*1000000/'DCF Model'!C15,0),"")</f>
        <v>2203</v>
      </c>
      <c r="F9" s="37">
        <f>IFERROR(ROUND(('DCF Model'!C45/(1+$B9)^('DCF Model'!C19+0)+'DCF Model'!D45/(1+$B9)^('DCF Model'!C19+1)+'DCF Model'!E45/(1+$B9)^('DCF Model'!C19+2)+'DCF Model'!F45/(1+$B9)^('DCF Model'!C19+3)+'DCF Model'!G45/(1+$B9)^('DCF Model'!C19+4)+'DCF Model'!G45*(1+F$6)/($B9-F$6)/(1+$B9)^('DCF Model'!C19+4)-'DCF Model'!C16)*1000000/'DCF Model'!C15,0),"")</f>
        <v>2336</v>
      </c>
      <c r="G9" s="37">
        <f>IFERROR(ROUND(('DCF Model'!C45/(1+$B9)^('DCF Model'!C19+0)+'DCF Model'!D45/(1+$B9)^('DCF Model'!C19+1)+'DCF Model'!E45/(1+$B9)^('DCF Model'!C19+2)+'DCF Model'!F45/(1+$B9)^('DCF Model'!C19+3)+'DCF Model'!G45/(1+$B9)^('DCF Model'!C19+4)+'DCF Model'!G45*(1+G$6)/($B9-G$6)/(1+$B9)^('DCF Model'!C19+4)-'DCF Model'!C16)*1000000/'DCF Model'!C15,0),"")</f>
        <v>2485</v>
      </c>
      <c r="H9" s="37">
        <f>IFERROR(ROUND(('DCF Model'!C45/(1+$B9)^('DCF Model'!C19+0)+'DCF Model'!D45/(1+$B9)^('DCF Model'!C19+1)+'DCF Model'!E45/(1+$B9)^('DCF Model'!C19+2)+'DCF Model'!F45/(1+$B9)^('DCF Model'!C19+3)+'DCF Model'!G45/(1+$B9)^('DCF Model'!C19+4)+'DCF Model'!G45*(1+H$6)/($B9-H$6)/(1+$B9)^('DCF Model'!C19+4)-'DCF Model'!C16)*1000000/'DCF Model'!C15,0),"")</f>
        <v>2656</v>
      </c>
      <c r="I9" s="37">
        <f>IFERROR(ROUND(('DCF Model'!C45/(1+$B9)^('DCF Model'!C19+0)+'DCF Model'!D45/(1+$B9)^('DCF Model'!C19+1)+'DCF Model'!E45/(1+$B9)^('DCF Model'!C19+2)+'DCF Model'!F45/(1+$B9)^('DCF Model'!C19+3)+'DCF Model'!G45/(1+$B9)^('DCF Model'!C19+4)+'DCF Model'!G45*(1+I$6)/($B9-I$6)/(1+$B9)^('DCF Model'!C19+4)-'DCF Model'!C16)*1000000/'DCF Model'!C15,0),"")</f>
        <v>2852</v>
      </c>
    </row>
    <row r="10" spans="2:9" ht="13.5" x14ac:dyDescent="0.25">
      <c r="B10" s="39">
        <f>$C$3</f>
        <v>5.6091208791208789E-2</v>
      </c>
      <c r="C10" s="37">
        <f>IFERROR(ROUND(('DCF Model'!C45/(1+$B10)^('DCF Model'!C19+0)+'DCF Model'!D45/(1+$B10)^('DCF Model'!C19+1)+'DCF Model'!E45/(1+$B10)^('DCF Model'!C19+2)+'DCF Model'!F45/(1+$B10)^('DCF Model'!C19+3)+'DCF Model'!G45/(1+$B10)^('DCF Model'!C19+4)+'DCF Model'!G45*(1+C$6)/($B10-C$6)/(1+$B10)^('DCF Model'!C19+4)-'DCF Model'!C16)*1000000/'DCF Model'!C15,0),"")</f>
        <v>1760</v>
      </c>
      <c r="D10" s="37">
        <f>IFERROR(ROUND(('DCF Model'!C45/(1+$B10)^('DCF Model'!C19+0)+'DCF Model'!D45/(1+$B10)^('DCF Model'!C19+1)+'DCF Model'!E45/(1+$B10)^('DCF Model'!C19+2)+'DCF Model'!F45/(1+$B10)^('DCF Model'!C19+3)+'DCF Model'!G45/(1+$B10)^('DCF Model'!C19+4)+'DCF Model'!G45*(1+D$6)/($B10-D$6)/(1+$B10)^('DCF Model'!C19+4)-'DCF Model'!C16)*1000000/'DCF Model'!C15,0),"")</f>
        <v>1845</v>
      </c>
      <c r="E10" s="37">
        <f>IFERROR(ROUND(('DCF Model'!C45/(1+$B10)^('DCF Model'!C19+0)+'DCF Model'!D45/(1+$B10)^('DCF Model'!C19+1)+'DCF Model'!E45/(1+$B10)^('DCF Model'!C19+2)+'DCF Model'!F45/(1+$B10)^('DCF Model'!C19+3)+'DCF Model'!G45/(1+$B10)^('DCF Model'!C19+4)+'DCF Model'!G45*(1+E$6)/($B10-E$6)/(1+$B10)^('DCF Model'!C19+4)-'DCF Model'!C16)*1000000/'DCF Model'!C15,0),"")</f>
        <v>1939</v>
      </c>
      <c r="F10" s="37">
        <f>IFERROR(ROUND(('DCF Model'!C45/(1+$B10)^('DCF Model'!C19+0)+'DCF Model'!D45/(1+$B10)^('DCF Model'!C19+1)+'DCF Model'!E45/(1+$B10)^('DCF Model'!C19+2)+'DCF Model'!F45/(1+$B10)^('DCF Model'!C19+3)+'DCF Model'!G45/(1+$B10)^('DCF Model'!C19+4)+'DCF Model'!G45*(1+F$6)/($B10-F$6)/(1+$B10)^('DCF Model'!C19+4)-'DCF Model'!C16)*1000000/'DCF Model'!C15,0),"")</f>
        <v>2043</v>
      </c>
      <c r="G10" s="37">
        <f>IFERROR(ROUND(('DCF Model'!C45/(1+$B10)^('DCF Model'!C19+0)+'DCF Model'!D45/(1+$B10)^('DCF Model'!C19+1)+'DCF Model'!E45/(1+$B10)^('DCF Model'!C19+2)+'DCF Model'!F45/(1+$B10)^('DCF Model'!C19+3)+'DCF Model'!G45/(1+$B10)^('DCF Model'!C19+4)+'DCF Model'!G45*(1+G$6)/($B10-G$6)/(1+$B10)^('DCF Model'!C19+4)-'DCF Model'!C16)*1000000/'DCF Model'!C15,0),"")</f>
        <v>2159</v>
      </c>
      <c r="H10" s="37">
        <f>IFERROR(ROUND(('DCF Model'!C45/(1+$B10)^('DCF Model'!C19+0)+'DCF Model'!D45/(1+$B10)^('DCF Model'!C19+1)+'DCF Model'!E45/(1+$B10)^('DCF Model'!C19+2)+'DCF Model'!F45/(1+$B10)^('DCF Model'!C19+3)+'DCF Model'!G45/(1+$B10)^('DCF Model'!C19+4)+'DCF Model'!G45*(1+H$6)/($B10-H$6)/(1+$B10)^('DCF Model'!C19+4)-'DCF Model'!C16)*1000000/'DCF Model'!C15,0),"")</f>
        <v>2289</v>
      </c>
      <c r="I10" s="37">
        <f>IFERROR(ROUND(('DCF Model'!C45/(1+$B10)^('DCF Model'!C19+0)+'DCF Model'!D45/(1+$B10)^('DCF Model'!C19+1)+'DCF Model'!E45/(1+$B10)^('DCF Model'!C19+2)+'DCF Model'!F45/(1+$B10)^('DCF Model'!C19+3)+'DCF Model'!G45/(1+$B10)^('DCF Model'!C19+4)+'DCF Model'!G45*(1+I$6)/($B10-I$6)/(1+$B10)^('DCF Model'!C19+4)-'DCF Model'!C16)*1000000/'DCF Model'!C15,0),"")</f>
        <v>2435</v>
      </c>
    </row>
    <row r="11" spans="2:9" ht="13.5" x14ac:dyDescent="0.25">
      <c r="B11" s="39">
        <f>$C$3+0.005</f>
        <v>6.1091208791208787E-2</v>
      </c>
      <c r="C11" s="37">
        <f>IFERROR(ROUND(('DCF Model'!C45/(1+$B11)^('DCF Model'!C19+0)+'DCF Model'!D45/(1+$B11)^('DCF Model'!C19+1)+'DCF Model'!E45/(1+$B11)^('DCF Model'!C19+2)+'DCF Model'!F45/(1+$B11)^('DCF Model'!C19+3)+'DCF Model'!G45/(1+$B11)^('DCF Model'!C19+4)+'DCF Model'!G45*(1+C$6)/($B11-C$6)/(1+$B11)^('DCF Model'!C19+4)-'DCF Model'!C16)*1000000/'DCF Model'!C15,0),"")</f>
        <v>1578</v>
      </c>
      <c r="D11" s="37">
        <f>IFERROR(ROUND(('DCF Model'!C45/(1+$B11)^('DCF Model'!C19+0)+'DCF Model'!D45/(1+$B11)^('DCF Model'!C19+1)+'DCF Model'!E45/(1+$B11)^('DCF Model'!C19+2)+'DCF Model'!F45/(1+$B11)^('DCF Model'!C19+3)+'DCF Model'!G45/(1+$B11)^('DCF Model'!C19+4)+'DCF Model'!G45*(1+D$6)/($B11-D$6)/(1+$B11)^('DCF Model'!C19+4)-'DCF Model'!C16)*1000000/'DCF Model'!C15,0),"")</f>
        <v>1648</v>
      </c>
      <c r="E11" s="37">
        <f>IFERROR(ROUND(('DCF Model'!C45/(1+$B11)^('DCF Model'!C19+0)+'DCF Model'!D45/(1+$B11)^('DCF Model'!C19+1)+'DCF Model'!E45/(1+$B11)^('DCF Model'!C19+2)+'DCF Model'!F45/(1+$B11)^('DCF Model'!C19+3)+'DCF Model'!G45/(1+$B11)^('DCF Model'!C19+4)+'DCF Model'!G45*(1+E$6)/($B11-E$6)/(1+$B11)^('DCF Model'!C19+4)-'DCF Model'!C16)*1000000/'DCF Model'!C15,0),"")</f>
        <v>1724</v>
      </c>
      <c r="F11" s="37">
        <f>IFERROR(ROUND(('DCF Model'!C45/(1+$B11)^('DCF Model'!C19+0)+'DCF Model'!D45/(1+$B11)^('DCF Model'!C19+1)+'DCF Model'!E45/(1+$B11)^('DCF Model'!C19+2)+'DCF Model'!F45/(1+$B11)^('DCF Model'!C19+3)+'DCF Model'!G45/(1+$B11)^('DCF Model'!C19+4)+'DCF Model'!G45*(1+F$6)/($B11-F$6)/(1+$B11)^('DCF Model'!C19+4)-'DCF Model'!C16)*1000000/'DCF Model'!C15,0),"")</f>
        <v>1807</v>
      </c>
      <c r="G11" s="37">
        <f>IFERROR(ROUND(('DCF Model'!C45/(1+$B11)^('DCF Model'!C19+0)+'DCF Model'!D45/(1+$B11)^('DCF Model'!C19+1)+'DCF Model'!E45/(1+$B11)^('DCF Model'!C19+2)+'DCF Model'!F45/(1+$B11)^('DCF Model'!C19+3)+'DCF Model'!G45/(1+$B11)^('DCF Model'!C19+4)+'DCF Model'!G45*(1+G$6)/($B11-G$6)/(1+$B11)^('DCF Model'!C19+4)-'DCF Model'!C16)*1000000/'DCF Model'!C15,0),"")</f>
        <v>1899</v>
      </c>
      <c r="H11" s="37">
        <f>IFERROR(ROUND(('DCF Model'!C45/(1+$B11)^('DCF Model'!C19+0)+'DCF Model'!D45/(1+$B11)^('DCF Model'!C19+1)+'DCF Model'!E45/(1+$B11)^('DCF Model'!C19+2)+'DCF Model'!F45/(1+$B11)^('DCF Model'!C19+3)+'DCF Model'!G45/(1+$B11)^('DCF Model'!C19+4)+'DCF Model'!G45*(1+H$6)/($B11-H$6)/(1+$B11)^('DCF Model'!C19+4)-'DCF Model'!C16)*1000000/'DCF Model'!C15,0),"")</f>
        <v>2001</v>
      </c>
      <c r="I11" s="37">
        <f>IFERROR(ROUND(('DCF Model'!C45/(1+$B11)^('DCF Model'!C19+0)+'DCF Model'!D45/(1+$B11)^('DCF Model'!C19+1)+'DCF Model'!E45/(1+$B11)^('DCF Model'!C19+2)+'DCF Model'!F45/(1+$B11)^('DCF Model'!C19+3)+'DCF Model'!G45/(1+$B11)^('DCF Model'!C19+4)+'DCF Model'!G45*(1+I$6)/($B11-I$6)/(1+$B11)^('DCF Model'!C19+4)-'DCF Model'!C16)*1000000/'DCF Model'!C15,0),"")</f>
        <v>2115</v>
      </c>
    </row>
    <row r="12" spans="2:9" ht="13.5" x14ac:dyDescent="0.25">
      <c r="B12" s="39">
        <f>$C$3+0.01</f>
        <v>6.6091208791208791E-2</v>
      </c>
      <c r="C12" s="37">
        <f>IFERROR(ROUND(('DCF Model'!C45/(1+$B12)^('DCF Model'!C19+0)+'DCF Model'!D45/(1+$B12)^('DCF Model'!C19+1)+'DCF Model'!E45/(1+$B12)^('DCF Model'!C19+2)+'DCF Model'!F45/(1+$B12)^('DCF Model'!C19+3)+'DCF Model'!G45/(1+$B12)^('DCF Model'!C19+4)+'DCF Model'!G45*(1+C$6)/($B12-C$6)/(1+$B12)^('DCF Model'!C19+4)-'DCF Model'!C16)*1000000/'DCF Model'!C15,0),"")</f>
        <v>1425</v>
      </c>
      <c r="D12" s="37">
        <f>IFERROR(ROUND(('DCF Model'!C45/(1+$B12)^('DCF Model'!C19+0)+'DCF Model'!D45/(1+$B12)^('DCF Model'!C19+1)+'DCF Model'!E45/(1+$B12)^('DCF Model'!C19+2)+'DCF Model'!F45/(1+$B12)^('DCF Model'!C19+3)+'DCF Model'!G45/(1+$B12)^('DCF Model'!C19+4)+'DCF Model'!G45*(1+D$6)/($B12-D$6)/(1+$B12)^('DCF Model'!C19+4)-'DCF Model'!C16)*1000000/'DCF Model'!C15,0),"")</f>
        <v>1483</v>
      </c>
      <c r="E12" s="37">
        <f>IFERROR(ROUND(('DCF Model'!C45/(1+$B12)^('DCF Model'!C19+0)+'DCF Model'!D45/(1+$B12)^('DCF Model'!C19+1)+'DCF Model'!E45/(1+$B12)^('DCF Model'!C19+2)+'DCF Model'!F45/(1+$B12)^('DCF Model'!C19+3)+'DCF Model'!G45/(1+$B12)^('DCF Model'!C19+4)+'DCF Model'!G45*(1+E$6)/($B12-E$6)/(1+$B12)^('DCF Model'!C19+4)-'DCF Model'!C16)*1000000/'DCF Model'!C15,0),"")</f>
        <v>1546</v>
      </c>
      <c r="F12" s="37">
        <f>IFERROR(ROUND(('DCF Model'!C45/(1+$B12)^('DCF Model'!C19+0)+'DCF Model'!D45/(1+$B12)^('DCF Model'!C19+1)+'DCF Model'!E45/(1+$B12)^('DCF Model'!C19+2)+'DCF Model'!F45/(1+$B12)^('DCF Model'!C19+3)+'DCF Model'!G45/(1+$B12)^('DCF Model'!C19+4)+'DCF Model'!G45*(1+F$6)/($B12-F$6)/(1+$B12)^('DCF Model'!C19+4)-'DCF Model'!C16)*1000000/'DCF Model'!C15,0),"")</f>
        <v>1614</v>
      </c>
      <c r="G12" s="37">
        <f>IFERROR(ROUND(('DCF Model'!C45/(1+$B12)^('DCF Model'!C19+0)+'DCF Model'!D45/(1+$B12)^('DCF Model'!C19+1)+'DCF Model'!E45/(1+$B12)^('DCF Model'!C19+2)+'DCF Model'!F45/(1+$B12)^('DCF Model'!C19+3)+'DCF Model'!G45/(1+$B12)^('DCF Model'!C19+4)+'DCF Model'!G45*(1+G$6)/($B12-G$6)/(1+$B12)^('DCF Model'!C19+4)-'DCF Model'!C16)*1000000/'DCF Model'!C15,0),"")</f>
        <v>1688</v>
      </c>
      <c r="H12" s="37">
        <f>IFERROR(ROUND(('DCF Model'!C45/(1+$B12)^('DCF Model'!C19+0)+'DCF Model'!D45/(1+$B12)^('DCF Model'!C19+1)+'DCF Model'!E45/(1+$B12)^('DCF Model'!C19+2)+'DCF Model'!F45/(1+$B12)^('DCF Model'!C19+3)+'DCF Model'!G45/(1+$B12)^('DCF Model'!C19+4)+'DCF Model'!G45*(1+H$6)/($B12-H$6)/(1+$B12)^('DCF Model'!C19+4)-'DCF Model'!C16)*1000000/'DCF Model'!C15,0),"")</f>
        <v>1770</v>
      </c>
      <c r="I12" s="37">
        <f>IFERROR(ROUND(('DCF Model'!C45/(1+$B12)^('DCF Model'!C19+0)+'DCF Model'!D45/(1+$B12)^('DCF Model'!C19+1)+'DCF Model'!E45/(1+$B12)^('DCF Model'!C19+2)+'DCF Model'!F45/(1+$B12)^('DCF Model'!C19+3)+'DCF Model'!G45/(1+$B12)^('DCF Model'!C19+4)+'DCF Model'!G45*(1+I$6)/($B12-I$6)/(1+$B12)^('DCF Model'!C19+4)-'DCF Model'!C16)*1000000/'DCF Model'!C15,0),"")</f>
        <v>1861</v>
      </c>
    </row>
    <row r="13" spans="2:9" ht="13.5" x14ac:dyDescent="0.25">
      <c r="B13" s="39">
        <f>$C$3+0.015</f>
        <v>7.1091208791208782E-2</v>
      </c>
      <c r="C13" s="37">
        <f>IFERROR(ROUND(('DCF Model'!C45/(1+$B13)^('DCF Model'!C19+0)+'DCF Model'!D45/(1+$B13)^('DCF Model'!C19+1)+'DCF Model'!E45/(1+$B13)^('DCF Model'!C19+2)+'DCF Model'!F45/(1+$B13)^('DCF Model'!C19+3)+'DCF Model'!G45/(1+$B13)^('DCF Model'!C19+4)+'DCF Model'!G45*(1+C$6)/($B13-C$6)/(1+$B13)^('DCF Model'!C19+4)-'DCF Model'!C16)*1000000/'DCF Model'!C15,0),"")</f>
        <v>1295</v>
      </c>
      <c r="D13" s="37">
        <f>IFERROR(ROUND(('DCF Model'!C45/(1+$B13)^('DCF Model'!C19+0)+'DCF Model'!D45/(1+$B13)^('DCF Model'!C19+1)+'DCF Model'!E45/(1+$B13)^('DCF Model'!C19+2)+'DCF Model'!F45/(1+$B13)^('DCF Model'!C19+3)+'DCF Model'!G45/(1+$B13)^('DCF Model'!C19+4)+'DCF Model'!G45*(1+D$6)/($B13-D$6)/(1+$B13)^('DCF Model'!C19+4)-'DCF Model'!C16)*1000000/'DCF Model'!C15,0),"")</f>
        <v>1343</v>
      </c>
      <c r="E13" s="37">
        <f>IFERROR(ROUND(('DCF Model'!C45/(1+$B13)^('DCF Model'!C19+0)+'DCF Model'!D45/(1+$B13)^('DCF Model'!C19+1)+'DCF Model'!E45/(1+$B13)^('DCF Model'!C19+2)+'DCF Model'!F45/(1+$B13)^('DCF Model'!C19+3)+'DCF Model'!G45/(1+$B13)^('DCF Model'!C19+4)+'DCF Model'!G45*(1+E$6)/($B13-E$6)/(1+$B13)^('DCF Model'!C19+4)-'DCF Model'!C16)*1000000/'DCF Model'!C15,0),"")</f>
        <v>1395</v>
      </c>
      <c r="F13" s="37">
        <f>IFERROR(ROUND(('DCF Model'!C45/(1+$B13)^('DCF Model'!C19+0)+'DCF Model'!D45/(1+$B13)^('DCF Model'!C19+1)+'DCF Model'!E45/(1+$B13)^('DCF Model'!C19+2)+'DCF Model'!F45/(1+$B13)^('DCF Model'!C19+3)+'DCF Model'!G45/(1+$B13)^('DCF Model'!C19+4)+'DCF Model'!G45*(1+F$6)/($B13-F$6)/(1+$B13)^('DCF Model'!C19+4)-'DCF Model'!C16)*1000000/'DCF Model'!C15,0),"")</f>
        <v>1452</v>
      </c>
      <c r="G13" s="37">
        <f>IFERROR(ROUND(('DCF Model'!C45/(1+$B13)^('DCF Model'!C19+0)+'DCF Model'!D45/(1+$B13)^('DCF Model'!C19+1)+'DCF Model'!E45/(1+$B13)^('DCF Model'!C19+2)+'DCF Model'!F45/(1+$B13)^('DCF Model'!C19+3)+'DCF Model'!G45/(1+$B13)^('DCF Model'!C19+4)+'DCF Model'!G45*(1+G$6)/($B13-G$6)/(1+$B13)^('DCF Model'!C19+4)-'DCF Model'!C16)*1000000/'DCF Model'!C15,0),"")</f>
        <v>1514</v>
      </c>
      <c r="H13" s="37">
        <f>IFERROR(ROUND(('DCF Model'!C45/(1+$B13)^('DCF Model'!C19+0)+'DCF Model'!D45/(1+$B13)^('DCF Model'!C19+1)+'DCF Model'!E45/(1+$B13)^('DCF Model'!C19+2)+'DCF Model'!F45/(1+$B13)^('DCF Model'!C19+3)+'DCF Model'!G45/(1+$B13)^('DCF Model'!C19+4)+'DCF Model'!G45*(1+H$6)/($B13-H$6)/(1+$B13)^('DCF Model'!C19+4)-'DCF Model'!C16)*1000000/'DCF Model'!C15,0),"")</f>
        <v>1581</v>
      </c>
      <c r="I13" s="37">
        <f>IFERROR(ROUND(('DCF Model'!C45/(1+$B13)^('DCF Model'!C19+0)+'DCF Model'!D45/(1+$B13)^('DCF Model'!C19+1)+'DCF Model'!E45/(1+$B13)^('DCF Model'!C19+2)+'DCF Model'!F45/(1+$B13)^('DCF Model'!C19+3)+'DCF Model'!G45/(1+$B13)^('DCF Model'!C19+4)+'DCF Model'!G45*(1+I$6)/($B13-I$6)/(1+$B13)^('DCF Model'!C19+4)-'DCF Model'!C16)*1000000/'DCF Model'!C15,0),"")</f>
        <v>1654</v>
      </c>
    </row>
    <row r="16" spans="2:9" ht="14" x14ac:dyDescent="0.3">
      <c r="B16" s="3" t="s">
        <v>242</v>
      </c>
    </row>
    <row r="17" spans="2:9" ht="14" x14ac:dyDescent="0.3">
      <c r="B17" s="40" t="s">
        <v>243</v>
      </c>
      <c r="C17" s="42">
        <f>$I$3-3</f>
        <v>7.9</v>
      </c>
      <c r="D17" s="42">
        <f>$I$3-2</f>
        <v>8.9</v>
      </c>
      <c r="E17" s="42">
        <f>$I$3-1</f>
        <v>9.9</v>
      </c>
      <c r="F17" s="42">
        <f>$I$3</f>
        <v>10.9</v>
      </c>
      <c r="G17" s="42">
        <f>$I$3+1</f>
        <v>11.9</v>
      </c>
      <c r="H17" s="42">
        <f>$I$3+2</f>
        <v>12.9</v>
      </c>
      <c r="I17" s="42">
        <f>$I$3+3</f>
        <v>13.9</v>
      </c>
    </row>
    <row r="18" spans="2:9" ht="13.5" x14ac:dyDescent="0.25">
      <c r="B18" s="39">
        <f>$C$3-0.015</f>
        <v>4.109120879120879E-2</v>
      </c>
      <c r="C18" s="37">
        <f>IFERROR(ROUND(('DCF Model'!C45/(1+$B18)^('DCF Model'!C19+0)+'DCF Model'!D45/(1+$B18)^('DCF Model'!C19+1)+'DCF Model'!E45/(1+$B18)^('DCF Model'!C19+2)+'DCF Model'!F45/(1+$B18)^('DCF Model'!C19+3)+'DCF Model'!G45/(1+$B18)^('DCF Model'!C19+4)+('DCF Model'!G39+'DCF Model'!G42)*C$17/(1+$B18)^('DCF Model'!C19+4)-'DCF Model'!C16)*1000000/'DCF Model'!C15,0),"")</f>
        <v>1876</v>
      </c>
      <c r="D18" s="37">
        <f>IFERROR(ROUND(('DCF Model'!C45/(1+$B18)^('DCF Model'!C19+0)+'DCF Model'!D45/(1+$B18)^('DCF Model'!C19+1)+'DCF Model'!E45/(1+$B18)^('DCF Model'!C19+2)+'DCF Model'!F45/(1+$B18)^('DCF Model'!C19+3)+'DCF Model'!G45/(1+$B18)^('DCF Model'!C19+4)+('DCF Model'!G39+'DCF Model'!G42)*D$17/(1+$B18)^('DCF Model'!C19+4)-'DCF Model'!C16)*1000000/'DCF Model'!C15,0),"")</f>
        <v>2097</v>
      </c>
      <c r="E18" s="37">
        <f>IFERROR(ROUND(('DCF Model'!C45/(1+$B18)^('DCF Model'!C19+0)+'DCF Model'!D45/(1+$B18)^('DCF Model'!C19+1)+'DCF Model'!E45/(1+$B18)^('DCF Model'!C19+2)+'DCF Model'!F45/(1+$B18)^('DCF Model'!C19+3)+'DCF Model'!G45/(1+$B18)^('DCF Model'!C19+4)+('DCF Model'!G39+'DCF Model'!G42)*E$17/(1+$B18)^('DCF Model'!C19+4)-'DCF Model'!C16)*1000000/'DCF Model'!C15,0),"")</f>
        <v>2318</v>
      </c>
      <c r="F18" s="37">
        <f>IFERROR(ROUND(('DCF Model'!C45/(1+$B18)^('DCF Model'!C19+0)+'DCF Model'!D45/(1+$B18)^('DCF Model'!C19+1)+'DCF Model'!E45/(1+$B18)^('DCF Model'!C19+2)+'DCF Model'!F45/(1+$B18)^('DCF Model'!C19+3)+'DCF Model'!G45/(1+$B18)^('DCF Model'!C19+4)+('DCF Model'!G39+'DCF Model'!G42)*F$17/(1+$B18)^('DCF Model'!C19+4)-'DCF Model'!C16)*1000000/'DCF Model'!C15,0),"")</f>
        <v>2539</v>
      </c>
      <c r="G18" s="37">
        <f>IFERROR(ROUND(('DCF Model'!C45/(1+$B18)^('DCF Model'!C19+0)+'DCF Model'!D45/(1+$B18)^('DCF Model'!C19+1)+'DCF Model'!E45/(1+$B18)^('DCF Model'!C19+2)+'DCF Model'!F45/(1+$B18)^('DCF Model'!C19+3)+'DCF Model'!G45/(1+$B18)^('DCF Model'!C19+4)+('DCF Model'!G39+'DCF Model'!G42)*G$17/(1+$B18)^('DCF Model'!C19+4)-'DCF Model'!C16)*1000000/'DCF Model'!C15,0),"")</f>
        <v>2760</v>
      </c>
      <c r="H18" s="37">
        <f>IFERROR(ROUND(('DCF Model'!C45/(1+$B18)^('DCF Model'!C19+0)+'DCF Model'!D45/(1+$B18)^('DCF Model'!C19+1)+'DCF Model'!E45/(1+$B18)^('DCF Model'!C19+2)+'DCF Model'!F45/(1+$B18)^('DCF Model'!C19+3)+'DCF Model'!G45/(1+$B18)^('DCF Model'!C19+4)+('DCF Model'!G39+'DCF Model'!G42)*H$17/(1+$B18)^('DCF Model'!C19+4)-'DCF Model'!C16)*1000000/'DCF Model'!C15,0),"")</f>
        <v>2981</v>
      </c>
      <c r="I18" s="37">
        <f>IFERROR(ROUND(('DCF Model'!C45/(1+$B18)^('DCF Model'!C19+0)+'DCF Model'!D45/(1+$B18)^('DCF Model'!C19+1)+'DCF Model'!E45/(1+$B18)^('DCF Model'!C19+2)+'DCF Model'!F45/(1+$B18)^('DCF Model'!C19+3)+'DCF Model'!G45/(1+$B18)^('DCF Model'!C19+4)+('DCF Model'!G39+'DCF Model'!G42)*I$17/(1+$B18)^('DCF Model'!C19+4)-'DCF Model'!C16)*1000000/'DCF Model'!C15,0),"")</f>
        <v>3202</v>
      </c>
    </row>
    <row r="19" spans="2:9" ht="13.5" x14ac:dyDescent="0.25">
      <c r="B19" s="39">
        <f>$C$3-0.01</f>
        <v>4.6091208791208788E-2</v>
      </c>
      <c r="C19" s="37">
        <f>IFERROR(ROUND(('DCF Model'!C45/(1+$B19)^('DCF Model'!C19+0)+'DCF Model'!D45/(1+$B19)^('DCF Model'!C19+1)+'DCF Model'!E45/(1+$B19)^('DCF Model'!C19+2)+'DCF Model'!F45/(1+$B19)^('DCF Model'!C19+3)+'DCF Model'!G45/(1+$B19)^('DCF Model'!C19+4)+('DCF Model'!G39+'DCF Model'!G42)*C$17/(1+$B19)^('DCF Model'!C19+4)-'DCF Model'!C16)*1000000/'DCF Model'!C15,0),"")</f>
        <v>1828</v>
      </c>
      <c r="D19" s="37">
        <f>IFERROR(ROUND(('DCF Model'!C45/(1+$B19)^('DCF Model'!C19+0)+'DCF Model'!D45/(1+$B19)^('DCF Model'!C19+1)+'DCF Model'!E45/(1+$B19)^('DCF Model'!C19+2)+'DCF Model'!F45/(1+$B19)^('DCF Model'!C19+3)+'DCF Model'!G45/(1+$B19)^('DCF Model'!C19+4)+('DCF Model'!G39+'DCF Model'!G42)*D$17/(1+$B19)^('DCF Model'!C19+4)-'DCF Model'!C16)*1000000/'DCF Model'!C15,0),"")</f>
        <v>2044</v>
      </c>
      <c r="E19" s="37">
        <f>IFERROR(ROUND(('DCF Model'!C45/(1+$B19)^('DCF Model'!C19+0)+'DCF Model'!D45/(1+$B19)^('DCF Model'!C19+1)+'DCF Model'!E45/(1+$B19)^('DCF Model'!C19+2)+'DCF Model'!F45/(1+$B19)^('DCF Model'!C19+3)+'DCF Model'!G45/(1+$B19)^('DCF Model'!C19+4)+('DCF Model'!G39+'DCF Model'!G42)*E$17/(1+$B19)^('DCF Model'!C19+4)-'DCF Model'!C16)*1000000/'DCF Model'!C15,0),"")</f>
        <v>2260</v>
      </c>
      <c r="F19" s="37">
        <f>IFERROR(ROUND(('DCF Model'!C45/(1+$B19)^('DCF Model'!C19+0)+'DCF Model'!D45/(1+$B19)^('DCF Model'!C19+1)+'DCF Model'!E45/(1+$B19)^('DCF Model'!C19+2)+'DCF Model'!F45/(1+$B19)^('DCF Model'!C19+3)+'DCF Model'!G45/(1+$B19)^('DCF Model'!C19+4)+('DCF Model'!G39+'DCF Model'!G42)*F$17/(1+$B19)^('DCF Model'!C19+4)-'DCF Model'!C16)*1000000/'DCF Model'!C15,0),"")</f>
        <v>2476</v>
      </c>
      <c r="G19" s="37">
        <f>IFERROR(ROUND(('DCF Model'!C45/(1+$B19)^('DCF Model'!C19+0)+'DCF Model'!D45/(1+$B19)^('DCF Model'!C19+1)+'DCF Model'!E45/(1+$B19)^('DCF Model'!C19+2)+'DCF Model'!F45/(1+$B19)^('DCF Model'!C19+3)+'DCF Model'!G45/(1+$B19)^('DCF Model'!C19+4)+('DCF Model'!G39+'DCF Model'!G42)*G$17/(1+$B19)^('DCF Model'!C19+4)-'DCF Model'!C16)*1000000/'DCF Model'!C15,0),"")</f>
        <v>2692</v>
      </c>
      <c r="H19" s="37">
        <f>IFERROR(ROUND(('DCF Model'!C45/(1+$B19)^('DCF Model'!C19+0)+'DCF Model'!D45/(1+$B19)^('DCF Model'!C19+1)+'DCF Model'!E45/(1+$B19)^('DCF Model'!C19+2)+'DCF Model'!F45/(1+$B19)^('DCF Model'!C19+3)+'DCF Model'!G45/(1+$B19)^('DCF Model'!C19+4)+('DCF Model'!G39+'DCF Model'!G42)*H$17/(1+$B19)^('DCF Model'!C19+4)-'DCF Model'!C16)*1000000/'DCF Model'!C15,0),"")</f>
        <v>2907</v>
      </c>
      <c r="I19" s="37">
        <f>IFERROR(ROUND(('DCF Model'!C45/(1+$B19)^('DCF Model'!C19+0)+'DCF Model'!D45/(1+$B19)^('DCF Model'!C19+1)+'DCF Model'!E45/(1+$B19)^('DCF Model'!C19+2)+'DCF Model'!F45/(1+$B19)^('DCF Model'!C19+3)+'DCF Model'!G45/(1+$B19)^('DCF Model'!C19+4)+('DCF Model'!G39+'DCF Model'!G42)*I$17/(1+$B19)^('DCF Model'!C19+4)-'DCF Model'!C16)*1000000/'DCF Model'!C15,0),"")</f>
        <v>3123</v>
      </c>
    </row>
    <row r="20" spans="2:9" ht="13.5" x14ac:dyDescent="0.25">
      <c r="B20" s="39">
        <f>$C$3-0.005</f>
        <v>5.1091208791208792E-2</v>
      </c>
      <c r="C20" s="37">
        <f>IFERROR(ROUND(('DCF Model'!C45/(1+$B20)^('DCF Model'!C19+0)+'DCF Model'!D45/(1+$B20)^('DCF Model'!C19+1)+'DCF Model'!E45/(1+$B20)^('DCF Model'!C19+2)+'DCF Model'!F45/(1+$B20)^('DCF Model'!C19+3)+'DCF Model'!G45/(1+$B20)^('DCF Model'!C19+4)+('DCF Model'!G39+'DCF Model'!G42)*C$17/(1+$B20)^('DCF Model'!C19+4)-'DCF Model'!C16)*1000000/'DCF Model'!C15,0),"")</f>
        <v>1782</v>
      </c>
      <c r="D20" s="37">
        <f>IFERROR(ROUND(('DCF Model'!C45/(1+$B20)^('DCF Model'!C19+0)+'DCF Model'!D45/(1+$B20)^('DCF Model'!C19+1)+'DCF Model'!E45/(1+$B20)^('DCF Model'!C19+2)+'DCF Model'!F45/(1+$B20)^('DCF Model'!C19+3)+'DCF Model'!G45/(1+$B20)^('DCF Model'!C19+4)+('DCF Model'!G39+'DCF Model'!G42)*D$17/(1+$B20)^('DCF Model'!C19+4)-'DCF Model'!C16)*1000000/'DCF Model'!C15,0),"")</f>
        <v>1993</v>
      </c>
      <c r="E20" s="37">
        <f>IFERROR(ROUND(('DCF Model'!C45/(1+$B20)^('DCF Model'!C19+0)+'DCF Model'!D45/(1+$B20)^('DCF Model'!C19+1)+'DCF Model'!E45/(1+$B20)^('DCF Model'!C19+2)+'DCF Model'!F45/(1+$B20)^('DCF Model'!C19+3)+'DCF Model'!G45/(1+$B20)^('DCF Model'!C19+4)+('DCF Model'!G39+'DCF Model'!G42)*E$17/(1+$B20)^('DCF Model'!C19+4)-'DCF Model'!C16)*1000000/'DCF Model'!C15,0),"")</f>
        <v>2203</v>
      </c>
      <c r="F20" s="37">
        <f>IFERROR(ROUND(('DCF Model'!C45/(1+$B20)^('DCF Model'!C19+0)+'DCF Model'!D45/(1+$B20)^('DCF Model'!C19+1)+'DCF Model'!E45/(1+$B20)^('DCF Model'!C19+2)+'DCF Model'!F45/(1+$B20)^('DCF Model'!C19+3)+'DCF Model'!G45/(1+$B20)^('DCF Model'!C19+4)+('DCF Model'!G39+'DCF Model'!G42)*F$17/(1+$B20)^('DCF Model'!C19+4)-'DCF Model'!C16)*1000000/'DCF Model'!C15,0),"")</f>
        <v>2414</v>
      </c>
      <c r="G20" s="37">
        <f>IFERROR(ROUND(('DCF Model'!C45/(1+$B20)^('DCF Model'!C19+0)+'DCF Model'!D45/(1+$B20)^('DCF Model'!C19+1)+'DCF Model'!E45/(1+$B20)^('DCF Model'!C19+2)+'DCF Model'!F45/(1+$B20)^('DCF Model'!C19+3)+'DCF Model'!G45/(1+$B20)^('DCF Model'!C19+4)+('DCF Model'!G39+'DCF Model'!G42)*G$17/(1+$B20)^('DCF Model'!C19+4)-'DCF Model'!C16)*1000000/'DCF Model'!C15,0),"")</f>
        <v>2625</v>
      </c>
      <c r="H20" s="37">
        <f>IFERROR(ROUND(('DCF Model'!C45/(1+$B20)^('DCF Model'!C19+0)+'DCF Model'!D45/(1+$B20)^('DCF Model'!C19+1)+'DCF Model'!E45/(1+$B20)^('DCF Model'!C19+2)+'DCF Model'!F45/(1+$B20)^('DCF Model'!C19+3)+'DCF Model'!G45/(1+$B20)^('DCF Model'!C19+4)+('DCF Model'!G39+'DCF Model'!G42)*H$17/(1+$B20)^('DCF Model'!C19+4)-'DCF Model'!C16)*1000000/'DCF Model'!C15,0),"")</f>
        <v>2836</v>
      </c>
      <c r="I20" s="37">
        <f>IFERROR(ROUND(('DCF Model'!C45/(1+$B20)^('DCF Model'!C19+0)+'DCF Model'!D45/(1+$B20)^('DCF Model'!C19+1)+'DCF Model'!E45/(1+$B20)^('DCF Model'!C19+2)+'DCF Model'!F45/(1+$B20)^('DCF Model'!C19+3)+'DCF Model'!G45/(1+$B20)^('DCF Model'!C19+4)+('DCF Model'!G39+'DCF Model'!G42)*I$17/(1+$B20)^('DCF Model'!C19+4)-'DCF Model'!C16)*1000000/'DCF Model'!C15,0),"")</f>
        <v>3047</v>
      </c>
    </row>
    <row r="21" spans="2:9" ht="13.5" x14ac:dyDescent="0.25">
      <c r="B21" s="39">
        <f>$C$3</f>
        <v>5.6091208791208789E-2</v>
      </c>
      <c r="C21" s="37">
        <f>IFERROR(ROUND(('DCF Model'!C45/(1+$B21)^('DCF Model'!C19+0)+'DCF Model'!D45/(1+$B21)^('DCF Model'!C19+1)+'DCF Model'!E45/(1+$B21)^('DCF Model'!C19+2)+'DCF Model'!F45/(1+$B21)^('DCF Model'!C19+3)+'DCF Model'!G45/(1+$B21)^('DCF Model'!C19+4)+('DCF Model'!G39+'DCF Model'!G42)*C$17/(1+$B21)^('DCF Model'!C19+4)-'DCF Model'!C16)*1000000/'DCF Model'!C15,0),"")</f>
        <v>1737</v>
      </c>
      <c r="D21" s="37">
        <f>IFERROR(ROUND(('DCF Model'!C45/(1+$B21)^('DCF Model'!C19+0)+'DCF Model'!D45/(1+$B21)^('DCF Model'!C19+1)+'DCF Model'!E45/(1+$B21)^('DCF Model'!C19+2)+'DCF Model'!F45/(1+$B21)^('DCF Model'!C19+3)+'DCF Model'!G45/(1+$B21)^('DCF Model'!C19+4)+('DCF Model'!G39+'DCF Model'!G42)*D$17/(1+$B21)^('DCF Model'!C19+4)-'DCF Model'!C16)*1000000/'DCF Model'!C15,0),"")</f>
        <v>1943</v>
      </c>
      <c r="E21" s="37">
        <f>IFERROR(ROUND(('DCF Model'!C45/(1+$B21)^('DCF Model'!C19+0)+'DCF Model'!D45/(1+$B21)^('DCF Model'!C19+1)+'DCF Model'!E45/(1+$B21)^('DCF Model'!C19+2)+'DCF Model'!F45/(1+$B21)^('DCF Model'!C19+3)+'DCF Model'!G45/(1+$B21)^('DCF Model'!C19+4)+('DCF Model'!G39+'DCF Model'!G42)*E$17/(1+$B21)^('DCF Model'!C19+4)-'DCF Model'!C16)*1000000/'DCF Model'!C15,0),"")</f>
        <v>2149</v>
      </c>
      <c r="F21" s="37">
        <f>IFERROR(ROUND(('DCF Model'!C45/(1+$B21)^('DCF Model'!C19+0)+'DCF Model'!D45/(1+$B21)^('DCF Model'!C19+1)+'DCF Model'!E45/(1+$B21)^('DCF Model'!C19+2)+'DCF Model'!F45/(1+$B21)^('DCF Model'!C19+3)+'DCF Model'!G45/(1+$B21)^('DCF Model'!C19+4)+('DCF Model'!G39+'DCF Model'!G42)*F$17/(1+$B21)^('DCF Model'!C19+4)-'DCF Model'!C16)*1000000/'DCF Model'!C15,0),"")</f>
        <v>2354</v>
      </c>
      <c r="G21" s="37">
        <f>IFERROR(ROUND(('DCF Model'!C45/(1+$B21)^('DCF Model'!C19+0)+'DCF Model'!D45/(1+$B21)^('DCF Model'!C19+1)+'DCF Model'!E45/(1+$B21)^('DCF Model'!C19+2)+'DCF Model'!F45/(1+$B21)^('DCF Model'!C19+3)+'DCF Model'!G45/(1+$B21)^('DCF Model'!C19+4)+('DCF Model'!G39+'DCF Model'!G42)*G$17/(1+$B21)^('DCF Model'!C19+4)-'DCF Model'!C16)*1000000/'DCF Model'!C15,0),"")</f>
        <v>2560</v>
      </c>
      <c r="H21" s="37">
        <f>IFERROR(ROUND(('DCF Model'!C45/(1+$B21)^('DCF Model'!C19+0)+'DCF Model'!D45/(1+$B21)^('DCF Model'!C19+1)+'DCF Model'!E45/(1+$B21)^('DCF Model'!C19+2)+'DCF Model'!F45/(1+$B21)^('DCF Model'!C19+3)+'DCF Model'!G45/(1+$B21)^('DCF Model'!C19+4)+('DCF Model'!G39+'DCF Model'!G42)*H$17/(1+$B21)^('DCF Model'!C19+4)-'DCF Model'!C16)*1000000/'DCF Model'!C15,0),"")</f>
        <v>2766</v>
      </c>
      <c r="I21" s="37">
        <f>IFERROR(ROUND(('DCF Model'!C45/(1+$B21)^('DCF Model'!C19+0)+'DCF Model'!D45/(1+$B21)^('DCF Model'!C19+1)+'DCF Model'!E45/(1+$B21)^('DCF Model'!C19+2)+'DCF Model'!F45/(1+$B21)^('DCF Model'!C19+3)+'DCF Model'!G45/(1+$B21)^('DCF Model'!C19+4)+('DCF Model'!G39+'DCF Model'!G42)*I$17/(1+$B21)^('DCF Model'!C19+4)-'DCF Model'!C16)*1000000/'DCF Model'!C15,0),"")</f>
        <v>2972</v>
      </c>
    </row>
    <row r="22" spans="2:9" ht="13.5" x14ac:dyDescent="0.25">
      <c r="B22" s="39">
        <f>$C$3+0.005</f>
        <v>6.1091208791208787E-2</v>
      </c>
      <c r="C22" s="37">
        <f>IFERROR(ROUND(('DCF Model'!C45/(1+$B22)^('DCF Model'!C19+0)+'DCF Model'!D45/(1+$B22)^('DCF Model'!C19+1)+'DCF Model'!E45/(1+$B22)^('DCF Model'!C19+2)+'DCF Model'!F45/(1+$B22)^('DCF Model'!C19+3)+'DCF Model'!G45/(1+$B22)^('DCF Model'!C19+4)+('DCF Model'!G39+'DCF Model'!G42)*C$17/(1+$B22)^('DCF Model'!C19+4)-'DCF Model'!C16)*1000000/'DCF Model'!C15,0),"")</f>
        <v>1693</v>
      </c>
      <c r="D22" s="37">
        <f>IFERROR(ROUND(('DCF Model'!C45/(1+$B22)^('DCF Model'!C19+0)+'DCF Model'!D45/(1+$B22)^('DCF Model'!C19+1)+'DCF Model'!E45/(1+$B22)^('DCF Model'!C19+2)+'DCF Model'!F45/(1+$B22)^('DCF Model'!C19+3)+'DCF Model'!G45/(1+$B22)^('DCF Model'!C19+4)+('DCF Model'!G39+'DCF Model'!G42)*D$17/(1+$B22)^('DCF Model'!C19+4)-'DCF Model'!C16)*1000000/'DCF Model'!C15,0),"")</f>
        <v>1894</v>
      </c>
      <c r="E22" s="37">
        <f>IFERROR(ROUND(('DCF Model'!C45/(1+$B22)^('DCF Model'!C19+0)+'DCF Model'!D45/(1+$B22)^('DCF Model'!C19+1)+'DCF Model'!E45/(1+$B22)^('DCF Model'!C19+2)+'DCF Model'!F45/(1+$B22)^('DCF Model'!C19+3)+'DCF Model'!G45/(1+$B22)^('DCF Model'!C19+4)+('DCF Model'!G39+'DCF Model'!G42)*E$17/(1+$B22)^('DCF Model'!C19+4)-'DCF Model'!C16)*1000000/'DCF Model'!C15,0),"")</f>
        <v>2095</v>
      </c>
      <c r="F22" s="37">
        <f>IFERROR(ROUND(('DCF Model'!C45/(1+$B22)^('DCF Model'!C19+0)+'DCF Model'!D45/(1+$B22)^('DCF Model'!C19+1)+'DCF Model'!E45/(1+$B22)^('DCF Model'!C19+2)+'DCF Model'!F45/(1+$B22)^('DCF Model'!C19+3)+'DCF Model'!G45/(1+$B22)^('DCF Model'!C19+4)+('DCF Model'!G39+'DCF Model'!G42)*F$17/(1+$B22)^('DCF Model'!C19+4)-'DCF Model'!C16)*1000000/'DCF Model'!C15,0),"")</f>
        <v>2296</v>
      </c>
      <c r="G22" s="37">
        <f>IFERROR(ROUND(('DCF Model'!C45/(1+$B22)^('DCF Model'!C19+0)+'DCF Model'!D45/(1+$B22)^('DCF Model'!C19+1)+'DCF Model'!E45/(1+$B22)^('DCF Model'!C19+2)+'DCF Model'!F45/(1+$B22)^('DCF Model'!C19+3)+'DCF Model'!G45/(1+$B22)^('DCF Model'!C19+4)+('DCF Model'!G39+'DCF Model'!G42)*G$17/(1+$B22)^('DCF Model'!C19+4)-'DCF Model'!C16)*1000000/'DCF Model'!C15,0),"")</f>
        <v>2497</v>
      </c>
      <c r="H22" s="37">
        <f>IFERROR(ROUND(('DCF Model'!C45/(1+$B22)^('DCF Model'!C19+0)+'DCF Model'!D45/(1+$B22)^('DCF Model'!C19+1)+'DCF Model'!E45/(1+$B22)^('DCF Model'!C19+2)+'DCF Model'!F45/(1+$B22)^('DCF Model'!C19+3)+'DCF Model'!G45/(1+$B22)^('DCF Model'!C19+4)+('DCF Model'!G39+'DCF Model'!G42)*H$17/(1+$B22)^('DCF Model'!C19+4)-'DCF Model'!C16)*1000000/'DCF Model'!C15,0),"")</f>
        <v>2698</v>
      </c>
      <c r="I22" s="37">
        <f>IFERROR(ROUND(('DCF Model'!C45/(1+$B22)^('DCF Model'!C19+0)+'DCF Model'!D45/(1+$B22)^('DCF Model'!C19+1)+'DCF Model'!E45/(1+$B22)^('DCF Model'!C19+2)+'DCF Model'!F45/(1+$B22)^('DCF Model'!C19+3)+'DCF Model'!G45/(1+$B22)^('DCF Model'!C19+4)+('DCF Model'!G39+'DCF Model'!G42)*I$17/(1+$B22)^('DCF Model'!C19+4)-'DCF Model'!C16)*1000000/'DCF Model'!C15,0),"")</f>
        <v>2899</v>
      </c>
    </row>
    <row r="23" spans="2:9" ht="13.5" x14ac:dyDescent="0.25">
      <c r="B23" s="39">
        <f>$C$3+0.01</f>
        <v>6.6091208791208791E-2</v>
      </c>
      <c r="C23" s="37">
        <f>IFERROR(ROUND(('DCF Model'!C45/(1+$B23)^('DCF Model'!C19+0)+'DCF Model'!D45/(1+$B23)^('DCF Model'!C19+1)+'DCF Model'!E45/(1+$B23)^('DCF Model'!C19+2)+'DCF Model'!F45/(1+$B23)^('DCF Model'!C19+3)+'DCF Model'!G45/(1+$B23)^('DCF Model'!C19+4)+('DCF Model'!G39+'DCF Model'!G42)*C$17/(1+$B23)^('DCF Model'!C19+4)-'DCF Model'!C16)*1000000/'DCF Model'!C15,0),"")</f>
        <v>1651</v>
      </c>
      <c r="D23" s="37">
        <f>IFERROR(ROUND(('DCF Model'!C45/(1+$B23)^('DCF Model'!C19+0)+'DCF Model'!D45/(1+$B23)^('DCF Model'!C19+1)+'DCF Model'!E45/(1+$B23)^('DCF Model'!C19+2)+'DCF Model'!F45/(1+$B23)^('DCF Model'!C19+3)+'DCF Model'!G45/(1+$B23)^('DCF Model'!C19+4)+('DCF Model'!G39+'DCF Model'!G42)*D$17/(1+$B23)^('DCF Model'!C19+4)-'DCF Model'!C16)*1000000/'DCF Model'!C15,0),"")</f>
        <v>1847</v>
      </c>
      <c r="E23" s="37">
        <f>IFERROR(ROUND(('DCF Model'!C45/(1+$B23)^('DCF Model'!C19+0)+'DCF Model'!D45/(1+$B23)^('DCF Model'!C19+1)+'DCF Model'!E45/(1+$B23)^('DCF Model'!C19+2)+'DCF Model'!F45/(1+$B23)^('DCF Model'!C19+3)+'DCF Model'!G45/(1+$B23)^('DCF Model'!C19+4)+('DCF Model'!G39+'DCF Model'!G42)*E$17/(1+$B23)^('DCF Model'!C19+4)-'DCF Model'!C16)*1000000/'DCF Model'!C15,0),"")</f>
        <v>2043</v>
      </c>
      <c r="F23" s="37">
        <f>IFERROR(ROUND(('DCF Model'!C45/(1+$B23)^('DCF Model'!C19+0)+'DCF Model'!D45/(1+$B23)^('DCF Model'!C19+1)+'DCF Model'!E45/(1+$B23)^('DCF Model'!C19+2)+'DCF Model'!F45/(1+$B23)^('DCF Model'!C19+3)+'DCF Model'!G45/(1+$B23)^('DCF Model'!C19+4)+('DCF Model'!G39+'DCF Model'!G42)*F$17/(1+$B23)^('DCF Model'!C19+4)-'DCF Model'!C16)*1000000/'DCF Model'!C15,0),"")</f>
        <v>2240</v>
      </c>
      <c r="G23" s="37">
        <f>IFERROR(ROUND(('DCF Model'!C45/(1+$B23)^('DCF Model'!C19+0)+'DCF Model'!D45/(1+$B23)^('DCF Model'!C19+1)+'DCF Model'!E45/(1+$B23)^('DCF Model'!C19+2)+'DCF Model'!F45/(1+$B23)^('DCF Model'!C19+3)+'DCF Model'!G45/(1+$B23)^('DCF Model'!C19+4)+('DCF Model'!G39+'DCF Model'!G42)*G$17/(1+$B23)^('DCF Model'!C19+4)-'DCF Model'!C16)*1000000/'DCF Model'!C15,0),"")</f>
        <v>2436</v>
      </c>
      <c r="H23" s="37">
        <f>IFERROR(ROUND(('DCF Model'!C45/(1+$B23)^('DCF Model'!C19+0)+'DCF Model'!D45/(1+$B23)^('DCF Model'!C19+1)+'DCF Model'!E45/(1+$B23)^('DCF Model'!C19+2)+'DCF Model'!F45/(1+$B23)^('DCF Model'!C19+3)+'DCF Model'!G45/(1+$B23)^('DCF Model'!C19+4)+('DCF Model'!G39+'DCF Model'!G42)*H$17/(1+$B23)^('DCF Model'!C19+4)-'DCF Model'!C16)*1000000/'DCF Model'!C15,0),"")</f>
        <v>2632</v>
      </c>
      <c r="I23" s="37">
        <f>IFERROR(ROUND(('DCF Model'!C45/(1+$B23)^('DCF Model'!C19+0)+'DCF Model'!D45/(1+$B23)^('DCF Model'!C19+1)+'DCF Model'!E45/(1+$B23)^('DCF Model'!C19+2)+'DCF Model'!F45/(1+$B23)^('DCF Model'!C19+3)+'DCF Model'!G45/(1+$B23)^('DCF Model'!C19+4)+('DCF Model'!G39+'DCF Model'!G42)*I$17/(1+$B23)^('DCF Model'!C19+4)-'DCF Model'!C16)*1000000/'DCF Model'!C15,0),"")</f>
        <v>2829</v>
      </c>
    </row>
    <row r="24" spans="2:9" ht="13.5" x14ac:dyDescent="0.25">
      <c r="B24" s="39">
        <f>$C$3+0.015</f>
        <v>7.1091208791208782E-2</v>
      </c>
      <c r="C24" s="37">
        <f>IFERROR(ROUND(('DCF Model'!C45/(1+$B24)^('DCF Model'!C19+0)+'DCF Model'!D45/(1+$B24)^('DCF Model'!C19+1)+'DCF Model'!E45/(1+$B24)^('DCF Model'!C19+2)+'DCF Model'!F45/(1+$B24)^('DCF Model'!C19+3)+'DCF Model'!G45/(1+$B24)^('DCF Model'!C19+4)+('DCF Model'!G39+'DCF Model'!G42)*C$17/(1+$B24)^('DCF Model'!C19+4)-'DCF Model'!C16)*1000000/'DCF Model'!C15,0),"")</f>
        <v>1609</v>
      </c>
      <c r="D24" s="37">
        <f>IFERROR(ROUND(('DCF Model'!C45/(1+$B24)^('DCF Model'!C19+0)+'DCF Model'!D45/(1+$B24)^('DCF Model'!C19+1)+'DCF Model'!E45/(1+$B24)^('DCF Model'!C19+2)+'DCF Model'!F45/(1+$B24)^('DCF Model'!C19+3)+'DCF Model'!G45/(1+$B24)^('DCF Model'!C19+4)+('DCF Model'!G39+'DCF Model'!G42)*D$17/(1+$B24)^('DCF Model'!C19+4)-'DCF Model'!C16)*1000000/'DCF Model'!C15,0),"")</f>
        <v>1801</v>
      </c>
      <c r="E24" s="37">
        <f>IFERROR(ROUND(('DCF Model'!C45/(1+$B24)^('DCF Model'!C19+0)+'DCF Model'!D45/(1+$B24)^('DCF Model'!C19+1)+'DCF Model'!E45/(1+$B24)^('DCF Model'!C19+2)+'DCF Model'!F45/(1+$B24)^('DCF Model'!C19+3)+'DCF Model'!G45/(1+$B24)^('DCF Model'!C19+4)+('DCF Model'!G39+'DCF Model'!G42)*E$17/(1+$B24)^('DCF Model'!C19+4)-'DCF Model'!C16)*1000000/'DCF Model'!C15,0),"")</f>
        <v>1993</v>
      </c>
      <c r="F24" s="37">
        <f>IFERROR(ROUND(('DCF Model'!C45/(1+$B24)^('DCF Model'!C19+0)+'DCF Model'!D45/(1+$B24)^('DCF Model'!C19+1)+'DCF Model'!E45/(1+$B24)^('DCF Model'!C19+2)+'DCF Model'!F45/(1+$B24)^('DCF Model'!C19+3)+'DCF Model'!G45/(1+$B24)^('DCF Model'!C19+4)+('DCF Model'!G39+'DCF Model'!G42)*F$17/(1+$B24)^('DCF Model'!C19+4)-'DCF Model'!C16)*1000000/'DCF Model'!C15,0),"")</f>
        <v>2185</v>
      </c>
      <c r="G24" s="37">
        <f>IFERROR(ROUND(('DCF Model'!C45/(1+$B24)^('DCF Model'!C19+0)+'DCF Model'!D45/(1+$B24)^('DCF Model'!C19+1)+'DCF Model'!E45/(1+$B24)^('DCF Model'!C19+2)+'DCF Model'!F45/(1+$B24)^('DCF Model'!C19+3)+'DCF Model'!G45/(1+$B24)^('DCF Model'!C19+4)+('DCF Model'!G39+'DCF Model'!G42)*G$17/(1+$B24)^('DCF Model'!C19+4)-'DCF Model'!C16)*1000000/'DCF Model'!C15,0),"")</f>
        <v>2376</v>
      </c>
      <c r="H24" s="37">
        <f>IFERROR(ROUND(('DCF Model'!C45/(1+$B24)^('DCF Model'!C19+0)+'DCF Model'!D45/(1+$B24)^('DCF Model'!C19+1)+'DCF Model'!E45/(1+$B24)^('DCF Model'!C19+2)+'DCF Model'!F45/(1+$B24)^('DCF Model'!C19+3)+'DCF Model'!G45/(1+$B24)^('DCF Model'!C19+4)+('DCF Model'!G39+'DCF Model'!G42)*H$17/(1+$B24)^('DCF Model'!C19+4)-'DCF Model'!C16)*1000000/'DCF Model'!C15,0),"")</f>
        <v>2568</v>
      </c>
      <c r="I24" s="37">
        <f>IFERROR(ROUND(('DCF Model'!C45/(1+$B24)^('DCF Model'!C19+0)+'DCF Model'!D45/(1+$B24)^('DCF Model'!C19+1)+'DCF Model'!E45/(1+$B24)^('DCF Model'!C19+2)+'DCF Model'!F45/(1+$B24)^('DCF Model'!C19+3)+'DCF Model'!G45/(1+$B24)^('DCF Model'!C19+4)+('DCF Model'!G39+'DCF Model'!G42)*I$17/(1+$B24)^('DCF Model'!C19+4)-'DCF Model'!C16)*1000000/'DCF Model'!C15,0),"")</f>
        <v>2760</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290</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290</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2026-09-06T09:43:03Z</dcterms:created>
  <dcterms:modified xsi:type="dcterms:W3CDTF">2026-09-06T09:43:07Z</dcterms:modified>
</cp:coreProperties>
</file>