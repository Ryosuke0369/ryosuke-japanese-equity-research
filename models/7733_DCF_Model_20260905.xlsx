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1708A6B-A928-47D9-A109-C2F4A5916FE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17" i="7" l="1"/>
  <c r="H6" i="7"/>
  <c r="I3" i="7"/>
  <c r="H17" i="7" s="1"/>
  <c r="F3" i="7"/>
  <c r="G6" i="7" s="1"/>
  <c r="O10" i="6"/>
  <c r="N10" i="6"/>
  <c r="M10" i="6"/>
  <c r="L10" i="6"/>
  <c r="K10" i="6"/>
  <c r="J10" i="6"/>
  <c r="O9" i="6"/>
  <c r="N9" i="6"/>
  <c r="M9" i="6"/>
  <c r="L9" i="6"/>
  <c r="K9" i="6"/>
  <c r="J9" i="6"/>
  <c r="O8" i="6"/>
  <c r="N8" i="6"/>
  <c r="M8" i="6"/>
  <c r="L8" i="6"/>
  <c r="K8" i="6"/>
  <c r="J8" i="6"/>
  <c r="O7" i="6"/>
  <c r="N7" i="6"/>
  <c r="M7" i="6"/>
  <c r="L7" i="6"/>
  <c r="K7" i="6"/>
  <c r="J7" i="6"/>
  <c r="O6" i="6"/>
  <c r="I17" i="6" s="1"/>
  <c r="N6" i="6"/>
  <c r="M6" i="6"/>
  <c r="G15" i="6" s="1"/>
  <c r="L6" i="6"/>
  <c r="K6" i="6"/>
  <c r="J6" i="6"/>
  <c r="O5" i="6"/>
  <c r="N5" i="6"/>
  <c r="E5" i="6"/>
  <c r="J5" i="6" s="1"/>
  <c r="D5" i="6"/>
  <c r="M5" i="6" s="1"/>
  <c r="C16" i="5"/>
  <c r="C14" i="5"/>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D9" i="2"/>
  <c r="F8" i="2"/>
  <c r="F9" i="2" s="1"/>
  <c r="E8" i="2"/>
  <c r="E9" i="2" s="1"/>
  <c r="D8" i="2"/>
  <c r="C8" i="2"/>
  <c r="C9" i="2" s="1"/>
  <c r="I16" i="6" l="1"/>
  <c r="C26" i="3"/>
  <c r="G36" i="4" s="1"/>
  <c r="D17" i="6"/>
  <c r="E15" i="6"/>
  <c r="C18" i="5"/>
  <c r="F15" i="6"/>
  <c r="D6" i="7"/>
  <c r="G16" i="6"/>
  <c r="H15" i="6"/>
  <c r="E17" i="7"/>
  <c r="C3" i="7"/>
  <c r="C11" i="4"/>
  <c r="G46" i="3"/>
  <c r="E36" i="4"/>
  <c r="D36" i="4"/>
  <c r="D46" i="3"/>
  <c r="F46" i="3"/>
  <c r="C46" i="3"/>
  <c r="F36" i="4"/>
  <c r="E46" i="3"/>
  <c r="H36" i="4"/>
  <c r="C30" i="3"/>
  <c r="C33" i="3" s="1"/>
  <c r="F31" i="3"/>
  <c r="H5" i="5"/>
  <c r="D7" i="5"/>
  <c r="K5" i="6"/>
  <c r="I15" i="6"/>
  <c r="E17" i="6"/>
  <c r="I6" i="7"/>
  <c r="F32" i="3"/>
  <c r="G32" i="3"/>
  <c r="C24" i="4"/>
  <c r="C25" i="4" s="1"/>
  <c r="D30" i="3"/>
  <c r="G31" i="3"/>
  <c r="E7" i="5"/>
  <c r="L5" i="6"/>
  <c r="D16" i="6"/>
  <c r="F17" i="6"/>
  <c r="C17" i="7"/>
  <c r="D31" i="3"/>
  <c r="F5" i="5"/>
  <c r="E30" i="3"/>
  <c r="C32" i="3"/>
  <c r="D6" i="5"/>
  <c r="F7" i="5"/>
  <c r="E16" i="6"/>
  <c r="G17" i="6"/>
  <c r="C6" i="7"/>
  <c r="D17" i="7"/>
  <c r="F30" i="3"/>
  <c r="D32" i="3"/>
  <c r="E6" i="5"/>
  <c r="G7" i="5"/>
  <c r="D15" i="6"/>
  <c r="F16" i="6"/>
  <c r="C28" i="6" s="1"/>
  <c r="C19" i="1" s="1"/>
  <c r="D19" i="1" s="1"/>
  <c r="H17" i="6"/>
  <c r="C31" i="3"/>
  <c r="H6" i="5"/>
  <c r="G30" i="3"/>
  <c r="E32" i="3"/>
  <c r="C70" i="4"/>
  <c r="D5" i="5"/>
  <c r="F6" i="5"/>
  <c r="H7" i="5"/>
  <c r="E6" i="7"/>
  <c r="F17" i="7"/>
  <c r="C71" i="4"/>
  <c r="E5" i="5"/>
  <c r="G6" i="5"/>
  <c r="H16" i="6"/>
  <c r="F6" i="7"/>
  <c r="G17" i="7"/>
  <c r="E31" i="3"/>
  <c r="E39" i="4" l="1"/>
  <c r="E46" i="4"/>
  <c r="E40" i="4"/>
  <c r="E44" i="4"/>
  <c r="E38" i="4"/>
  <c r="E43" i="4"/>
  <c r="E41" i="4"/>
  <c r="E51" i="4" s="1"/>
  <c r="E56" i="4" s="1"/>
  <c r="E45" i="4"/>
  <c r="C29" i="4"/>
  <c r="C27" i="4"/>
  <c r="C26" i="4"/>
  <c r="F43" i="4"/>
  <c r="F40" i="4"/>
  <c r="F44" i="4"/>
  <c r="F38" i="4"/>
  <c r="F48" i="4" s="1"/>
  <c r="F53" i="4" s="1"/>
  <c r="F41" i="4"/>
  <c r="F51" i="4" s="1"/>
  <c r="F56" i="4" s="1"/>
  <c r="F45" i="4"/>
  <c r="F46" i="4"/>
  <c r="F39" i="4"/>
  <c r="G46" i="4"/>
  <c r="G44" i="4"/>
  <c r="G38" i="4"/>
  <c r="G41" i="4"/>
  <c r="G51" i="4" s="1"/>
  <c r="G56" i="4" s="1"/>
  <c r="G45" i="4"/>
  <c r="G39" i="4"/>
  <c r="G40" i="4"/>
  <c r="G43" i="4"/>
  <c r="B13" i="7"/>
  <c r="B12" i="7"/>
  <c r="B11" i="7"/>
  <c r="B10" i="7"/>
  <c r="B9" i="7"/>
  <c r="B8" i="7"/>
  <c r="B7" i="7"/>
  <c r="B24" i="7"/>
  <c r="B23" i="7"/>
  <c r="B22" i="7"/>
  <c r="B21" i="7"/>
  <c r="B20" i="7"/>
  <c r="B19" i="7"/>
  <c r="B18" i="7"/>
  <c r="D9" i="5"/>
  <c r="D12" i="5" s="1"/>
  <c r="C42" i="3"/>
  <c r="C34" i="3"/>
  <c r="D10" i="5" s="1"/>
  <c r="C37" i="3"/>
  <c r="D33" i="3"/>
  <c r="D45" i="4"/>
  <c r="D43" i="4"/>
  <c r="D46" i="4"/>
  <c r="D39" i="4"/>
  <c r="D40" i="4"/>
  <c r="D44" i="4"/>
  <c r="D38" i="4"/>
  <c r="D41" i="4"/>
  <c r="D51" i="4" s="1"/>
  <c r="D56" i="4" s="1"/>
  <c r="H40" i="4"/>
  <c r="H50" i="4" s="1"/>
  <c r="H55" i="4" s="1"/>
  <c r="H38" i="4"/>
  <c r="H48" i="4" s="1"/>
  <c r="H53" i="4" s="1"/>
  <c r="H41" i="4"/>
  <c r="H45" i="4"/>
  <c r="H39" i="4"/>
  <c r="H44" i="4"/>
  <c r="H43" i="4"/>
  <c r="H46" i="4"/>
  <c r="C27" i="6"/>
  <c r="C18" i="1" s="1"/>
  <c r="D18" i="1" s="1"/>
  <c r="C74" i="4"/>
  <c r="E48" i="4" l="1"/>
  <c r="E53" i="4" s="1"/>
  <c r="F49" i="4"/>
  <c r="E50" i="4"/>
  <c r="E55" i="4" s="1"/>
  <c r="D50" i="4"/>
  <c r="D55" i="4" s="1"/>
  <c r="H49" i="4"/>
  <c r="H54" i="4" s="1"/>
  <c r="G49" i="4"/>
  <c r="G54" i="4" s="1"/>
  <c r="E49" i="4"/>
  <c r="E54" i="4" s="1"/>
  <c r="D48" i="4"/>
  <c r="D53" i="4" s="1"/>
  <c r="C35" i="3"/>
  <c r="G48" i="4"/>
  <c r="G53" i="4" s="1"/>
  <c r="F50" i="4"/>
  <c r="F55" i="4" s="1"/>
  <c r="D15" i="5"/>
  <c r="D16" i="5" s="1"/>
  <c r="D13" i="5"/>
  <c r="D14" i="5" s="1"/>
  <c r="D18" i="5" s="1"/>
  <c r="D19" i="5" s="1"/>
  <c r="C44" i="3" s="1"/>
  <c r="F54" i="4"/>
  <c r="B78" i="4" s="1"/>
  <c r="C60" i="4"/>
  <c r="D49" i="4"/>
  <c r="D54" i="4" s="1"/>
  <c r="H51" i="4"/>
  <c r="H56" i="4" s="1"/>
  <c r="G50" i="4"/>
  <c r="G55" i="4" s="1"/>
  <c r="D37" i="3"/>
  <c r="D42" i="3"/>
  <c r="D34" i="3"/>
  <c r="E10" i="5" s="1"/>
  <c r="E33" i="3"/>
  <c r="E9" i="5"/>
  <c r="E12" i="5" s="1"/>
  <c r="D35" i="3" l="1"/>
  <c r="D39" i="3" s="1"/>
  <c r="D36" i="3"/>
  <c r="F9" i="5"/>
  <c r="F12" i="5" s="1"/>
  <c r="E34" i="3"/>
  <c r="F10" i="5" s="1"/>
  <c r="F33" i="3"/>
  <c r="E42" i="3"/>
  <c r="E37" i="3"/>
  <c r="C36" i="3"/>
  <c r="C39" i="3"/>
  <c r="C38" i="3"/>
  <c r="E13" i="5"/>
  <c r="E14" i="5" s="1"/>
  <c r="E18" i="5" s="1"/>
  <c r="E19" i="5" s="1"/>
  <c r="D44" i="3" s="1"/>
  <c r="E15" i="5"/>
  <c r="E16" i="5" s="1"/>
  <c r="C64" i="4"/>
  <c r="D64" i="4" s="1"/>
  <c r="C65" i="4"/>
  <c r="D65" i="4" s="1"/>
  <c r="C67" i="4"/>
  <c r="D67" i="4" s="1"/>
  <c r="C63" i="4"/>
  <c r="D63" i="4" s="1"/>
  <c r="C66" i="4"/>
  <c r="D66" i="4" s="1"/>
  <c r="D38" i="3" l="1"/>
  <c r="F13" i="5"/>
  <c r="F15" i="5"/>
  <c r="F16" i="5" s="1"/>
  <c r="C40" i="3"/>
  <c r="C41" i="3" s="1"/>
  <c r="C45" i="3" s="1"/>
  <c r="D40" i="3"/>
  <c r="D41" i="3" s="1"/>
  <c r="D45" i="3" s="1"/>
  <c r="D47" i="3" s="1"/>
  <c r="F14" i="5"/>
  <c r="F42" i="3"/>
  <c r="F34" i="3"/>
  <c r="G10" i="5" s="1"/>
  <c r="G33" i="3"/>
  <c r="F37" i="3"/>
  <c r="G9" i="5"/>
  <c r="G12" i="5" s="1"/>
  <c r="E35" i="3"/>
  <c r="F35" i="3" l="1"/>
  <c r="F39" i="3" s="1"/>
  <c r="C47" i="3"/>
  <c r="G37" i="3"/>
  <c r="C16" i="4"/>
  <c r="C28" i="4" s="1"/>
  <c r="H9" i="5"/>
  <c r="H12" i="5" s="1"/>
  <c r="G42" i="3"/>
  <c r="G34" i="3"/>
  <c r="H10" i="5" s="1"/>
  <c r="F36" i="3"/>
  <c r="F18" i="5"/>
  <c r="F19" i="5" s="1"/>
  <c r="E44" i="3" s="1"/>
  <c r="E39" i="3"/>
  <c r="E38" i="3"/>
  <c r="E36" i="3"/>
  <c r="G13" i="5"/>
  <c r="G14" i="5" s="1"/>
  <c r="G18" i="5" s="1"/>
  <c r="G19" i="5" s="1"/>
  <c r="F44" i="3" s="1"/>
  <c r="G15" i="5"/>
  <c r="G16" i="5" s="1"/>
  <c r="F38" i="3" l="1"/>
  <c r="G35" i="3"/>
  <c r="E40" i="3"/>
  <c r="E41" i="3"/>
  <c r="E45" i="3" s="1"/>
  <c r="F40" i="3"/>
  <c r="F41" i="3" s="1"/>
  <c r="F45" i="3" s="1"/>
  <c r="F47" i="3" s="1"/>
  <c r="H15" i="5"/>
  <c r="H16" i="5" s="1"/>
  <c r="H13" i="5"/>
  <c r="H14" i="5" s="1"/>
  <c r="H18" i="5" s="1"/>
  <c r="H19" i="5" s="1"/>
  <c r="G44" i="3" s="1"/>
  <c r="C72" i="4"/>
  <c r="C73" i="4"/>
  <c r="G38" i="3" l="1"/>
  <c r="G36" i="3"/>
  <c r="G39" i="3"/>
  <c r="E47" i="3"/>
  <c r="C59" i="3" l="1"/>
  <c r="C60" i="3" s="1"/>
  <c r="C61" i="3" s="1"/>
  <c r="G40" i="3"/>
  <c r="G41" i="3"/>
  <c r="G45" i="3" s="1"/>
  <c r="G47" i="3" l="1"/>
  <c r="C50" i="3" s="1"/>
  <c r="C51" i="3"/>
  <c r="C52" i="3" s="1"/>
  <c r="I8" i="7"/>
  <c r="C19" i="7"/>
  <c r="D8" i="7"/>
  <c r="C13" i="7"/>
  <c r="H24" i="7"/>
  <c r="G11" i="7"/>
  <c r="H10" i="7"/>
  <c r="G19" i="7"/>
  <c r="H8" i="7"/>
  <c r="D18" i="7"/>
  <c r="C23" i="7"/>
  <c r="C22" i="7"/>
  <c r="F18" i="7"/>
  <c r="G18" i="7"/>
  <c r="F7" i="7"/>
  <c r="I22" i="7"/>
  <c r="H18" i="7"/>
  <c r="C24" i="7"/>
  <c r="G23" i="7"/>
  <c r="I11" i="7"/>
  <c r="G22" i="7"/>
  <c r="I10" i="7"/>
  <c r="F9" i="7"/>
  <c r="H20" i="7"/>
  <c r="D20" i="7"/>
  <c r="I9" i="7"/>
  <c r="E24" i="7"/>
  <c r="D10" i="7"/>
  <c r="E13" i="7"/>
  <c r="F24" i="7"/>
  <c r="G24" i="7"/>
  <c r="I12" i="7"/>
  <c r="F11" i="7"/>
  <c r="C8" i="7"/>
  <c r="F10" i="7"/>
  <c r="E12" i="7"/>
  <c r="F19" i="7"/>
  <c r="D23" i="7"/>
  <c r="I24" i="7"/>
  <c r="D12" i="7"/>
  <c r="I13" i="7"/>
  <c r="E23" i="7"/>
  <c r="C18" i="7"/>
  <c r="F12" i="7"/>
  <c r="G8" i="7"/>
  <c r="F21" i="7"/>
  <c r="I21" i="7"/>
  <c r="F20" i="7"/>
  <c r="G7" i="7"/>
  <c r="E7" i="7"/>
  <c r="H19" i="7"/>
  <c r="D19" i="7"/>
  <c r="H13" i="7"/>
  <c r="G21" i="7"/>
  <c r="H12" i="7"/>
  <c r="D22" i="7"/>
  <c r="I23" i="7"/>
  <c r="D11" i="7"/>
  <c r="H9" i="7"/>
  <c r="F22" i="7"/>
  <c r="E22" i="7"/>
  <c r="E9" i="7"/>
  <c r="E11" i="7"/>
  <c r="E8" i="7"/>
  <c r="D9" i="7"/>
  <c r="D13" i="7"/>
  <c r="E21" i="7"/>
  <c r="H22" i="7"/>
  <c r="C10" i="7"/>
  <c r="H11" i="7"/>
  <c r="D21" i="7"/>
  <c r="F23" i="7"/>
  <c r="E10" i="7"/>
  <c r="F13" i="7"/>
  <c r="E19" i="7"/>
  <c r="E18" i="7"/>
  <c r="G10" i="7"/>
  <c r="C20" i="7"/>
  <c r="H21" i="7"/>
  <c r="C9" i="7"/>
  <c r="C7" i="7"/>
  <c r="E20" i="7"/>
  <c r="I19" i="7"/>
  <c r="D7" i="7"/>
  <c r="I18" i="7"/>
  <c r="D24" i="7"/>
  <c r="H23" i="7"/>
  <c r="C11" i="7"/>
  <c r="G20" i="7"/>
  <c r="G9" i="7"/>
  <c r="I20" i="7"/>
  <c r="H7" i="7"/>
  <c r="C12" i="7"/>
  <c r="C21" i="7"/>
  <c r="F8" i="7"/>
  <c r="I7" i="7"/>
  <c r="G13" i="7"/>
  <c r="G12" i="7"/>
  <c r="C58" i="3" l="1"/>
  <c r="C62" i="3" s="1"/>
  <c r="C53" i="3"/>
  <c r="C17" i="4" l="1"/>
  <c r="C54" i="3"/>
  <c r="C55" i="3" s="1"/>
  <c r="C16" i="1" s="1"/>
  <c r="C63" i="3"/>
  <c r="C64" i="3" s="1"/>
  <c r="C17" i="1" s="1"/>
  <c r="D17" i="1" s="1"/>
  <c r="C10" i="1" l="1"/>
  <c r="C12" i="1" s="1"/>
  <c r="C11" i="1" s="1"/>
  <c r="D16" i="1"/>
  <c r="C21" i="1"/>
  <c r="C19" i="4"/>
  <c r="C20" i="4" s="1"/>
  <c r="B79" i="4" s="1"/>
</calcChain>
</file>

<file path=xl/sharedStrings.xml><?xml version="1.0" encoding="utf-8"?>
<sst xmlns="http://schemas.openxmlformats.org/spreadsheetml/2006/main" count="513" uniqueCount="395">
  <si>
    <t>DISCLAIMER: This is a sample analysis for demonstration purposes only. It does not constitute investment advice.</t>
  </si>
  <si>
    <t>オリンパス (7733.T)</t>
  </si>
  <si>
    <t>Equity Research Report</t>
  </si>
  <si>
    <t>Company</t>
  </si>
  <si>
    <t>オリンパス</t>
  </si>
  <si>
    <t>Ticker</t>
  </si>
  <si>
    <t>7733.T (TSE Prime)</t>
  </si>
  <si>
    <t>Sector</t>
  </si>
  <si>
    <t>精密機器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</si>
  <si>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</si>
  <si>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</si>
  <si>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</si>
  <si>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</si>
  <si>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</si>
  <si>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</si>
  <si>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</si>
  <si>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</si>
  <si>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</si>
  <si>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</si>
  <si>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</si>
  <si>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</si>
  <si>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</si>
  <si>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</si>
  <si>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</si>
  <si>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</si>
  <si>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</si>
  <si>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</si>
  <si>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</si>
  <si>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</si>
  <si>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</si>
  <si>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</si>
  <si>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オリンパス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</si>
  <si>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</si>
  <si>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</si>
  <si>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</si>
  <si>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</si>
  <si>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</si>
  <si>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</si>
  <si>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</si>
  <si>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</si>
  <si>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</si>
  <si>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</si>
  <si>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</si>
  <si>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</si>
  <si>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</si>
  <si>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</si>
  <si>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</si>
  <si>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</si>
  <si>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</si>
  <si>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</si>
  <si>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</si>
  <si>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</si>
  <si>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</si>
  <si>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</si>
  <si>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</si>
  <si>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</si>
  <si>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</si>
  <si>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</si>
  <si>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</si>
  <si>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</si>
  <si>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オリンパス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</si>
  <si>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</si>
  <si>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</si>
  <si>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</si>
  <si>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</si>
  <si>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</si>
  <si>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</si>
  <si>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</si>
  <si>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</si>
  <si>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</si>
  <si>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</si>
  <si>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</si>
  <si>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</si>
  <si>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</si>
  <si>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</si>
  <si>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</si>
  <si>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</si>
  <si>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</si>
  <si>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</si>
  <si>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</si>
  <si>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</si>
  <si>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</si>
  <si>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</si>
  <si>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</si>
  <si>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</si>
  <si>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</si>
  <si>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</si>
  <si>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</si>
  <si>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</si>
  <si>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</si>
  <si>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</si>
  <si>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</si>
  <si>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</si>
  <si>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</si>
  <si>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</si>
  <si>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</si>
  <si>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</si>
  <si>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</si>
  <si>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</si>
  <si>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</si>
  <si>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</si>
  <si>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</si>
  <si>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</si>
  <si>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</si>
  <si>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</si>
  <si>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</si>
  <si>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</si>
  <si>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</si>
  <si>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</si>
  <si>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</si>
  <si>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</si>
  <si>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</si>
  <si>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</si>
  <si>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</si>
  <si>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</si>
  <si>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</si>
  <si>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</si>
  <si>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</si>
  <si>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</si>
  <si>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</si>
  <si>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</si>
  <si>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</si>
  <si>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</si>
  <si>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</si>
  <si>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</si>
  <si>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オリンパス (7733.T)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</si>
  <si>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</si>
  <si>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</si>
  <si>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</si>
  <si>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</si>
  <si>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</si>
  <si>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</si>
  <si>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</si>
  <si>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</si>
  <si>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</si>
  <si>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</si>
  <si>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</si>
  <si>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</si>
  <si>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</si>
  <si>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</si>
  <si>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</si>
  <si>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</si>
  <si>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</si>
  <si>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</si>
  <si>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</si>
  <si>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</si>
  <si>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</si>
  <si>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</si>
  <si>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</si>
  <si>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</si>
  <si>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</si>
  <si>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</si>
  <si>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</si>
  <si>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</si>
  <si>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</si>
  <si>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</si>
  <si>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</si>
  <si>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</si>
  <si>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</si>
  <si>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</si>
  <si>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</si>
  <si>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</si>
  <si>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</si>
  <si>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</si>
  <si>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</si>
  <si>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</si>
  <si>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</si>
  <si>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</si>
  <si>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</si>
  <si>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</si>
  <si>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</si>
  <si>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</si>
  <si>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</si>
  <si>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</si>
  <si>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</si>
  <si>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</si>
  <si>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</si>
  <si>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オリンパス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</si>
  <si>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</si>
  <si>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</si>
  <si>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</si>
  <si>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</si>
  <si>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</si>
  <si>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</si>
  <si>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</si>
  <si>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</si>
  <si>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</si>
  <si>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</si>
  <si>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</si>
  <si>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</si>
  <si>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</si>
  <si>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</si>
  <si>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</si>
  <si>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</si>
  <si>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</si>
  <si>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</si>
  <si>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</si>
  <si>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</si>
  <si>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</si>
  <si>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</si>
  <si>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</si>
  <si>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</si>
  <si>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</si>
  <si>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</si>
  <si>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</si>
  <si>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</si>
  <si>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</si>
  <si>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</si>
  <si>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</si>
  <si>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</si>
  <si>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</si>
  <si>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</si>
  <si>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Olympus Corporation</t>
  </si>
  <si>
    <t>7733.T</t>
  </si>
  <si>
    <t>Terumo Corporation</t>
  </si>
  <si>
    <t>4543.T</t>
  </si>
  <si>
    <t>Asahi Intecc Co., Ltd.</t>
  </si>
  <si>
    <t>7747.T</t>
  </si>
  <si>
    <t>Nihon Kohden Corporation</t>
  </si>
  <si>
    <t>6849.T</t>
  </si>
  <si>
    <t>H.U. Group Holdings, Inc.</t>
  </si>
  <si>
    <t>4544.T</t>
  </si>
  <si>
    <t>Tokyo Seimitsu Co., Ltd.</t>
  </si>
  <si>
    <t>7729.T</t>
  </si>
  <si>
    <t>Statistics</t>
  </si>
  <si>
    <t>25th Percentile</t>
  </si>
  <si>
    <t>Median (50th)</t>
  </si>
  <si>
    <t>75th Percentile</t>
  </si>
  <si>
    <t>Implied Valuation for オリンパス</t>
  </si>
  <si>
    <t>オリンパス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</si>
  <si>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</si>
  <si>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</si>
  <si>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</si>
  <si>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</si>
  <si>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</si>
  <si>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</si>
  <si>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</si>
  <si>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</si>
  <si>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</si>
  <si>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</si>
  <si>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</si>
  <si>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</si>
  <si>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</si>
  <si>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</si>
  <si>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</si>
  <si>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オリンパス</t>
  </si>
  <si>
    <t>日付</t>
  </si>
  <si>
    <t>セル</t>
  </si>
  <si>
    <t>変更内容</t>
  </si>
  <si>
    <t>理由</t>
  </si>
  <si>
    <t>元の値</t>
  </si>
  <si>
    <t>状態</t>
  </si>
  <si>
    <t>2026-09-05</t>
  </si>
  <si>
    <t>-</t>
  </si>
  <si>
    <t>Generated by pipeline on 2026-09-05 22:14, template rev c9b5dd9</t>
  </si>
  <si>
    <t>初期生成（手修正なし）</t>
  </si>
  <si>
    <t>generated</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</si>
  <si>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</si>
  <si>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</si>
  <si>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</si>
  <si>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</si>
  <si>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</si>
  <si>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</si>
  <si>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</si>
  <si>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</si>
  <si>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</si>
  <si>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</si>
  <si>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</si>
  <si>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</si>
  <si>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2,190,540百万円。■テンプレートの自動規則(&gt;=1兆円 -&gt; 0.0%、&gt;=1,000億円 -&gt; 1.5%)とは異なる値であり、明示指定で上書きしている。</t>
  </si>
  <si>
    <t>テンプレ自動値</t>
  </si>
  <si>
    <t>DCF Model!C8</t>
  </si>
  <si>
    <t>Beta = 0.60</t>
  </si>
  <si>
    <t>yfinance実測 **0.223** はテンプレのクランプ下限 0.60 を**下回る**ため、追補1 §A の規則 max(0.6, min(1.75, 実測)) により **0.60 を明示指定**した。■**テンプレの無言の 1.0 置換は起きていない**（クランプ域外の値をそのまま渡すと 1.0 に落ちる既知の挙動を回避）。■実測 0.223 は医療機器のディフェンシブ性を反映するが、**下限 0.60 の採用により WACC は実測ベースより高く（保守的に）出ている**。</t>
  </si>
  <si>
    <t>yfinance実測 0.223</t>
  </si>
  <si>
    <t>設計判断(クランプ下限を採用)</t>
  </si>
  <si>
    <t>DCF Model!C6</t>
  </si>
  <si>
    <t>Effective Tax Rate = 25%</t>
  </si>
  <si>
    <t>バッチ共通の既定値(v2 §1-3)。当社の実績税負担率を個別に検証したものではない。</t>
  </si>
  <si>
    <t>テンプレ既定 30%</t>
  </si>
  <si>
    <t>推定</t>
  </si>
  <si>
    <t>DCF Model!C11</t>
  </si>
  <si>
    <t>After-tax Cost of Debt = 2.98%(実績ベース)</t>
  </si>
  <si>
    <t>支払利息 9,297百万円 ÷ 平均有利子負債 ((229,102 + 239,576)/2 = 234,339) = 3.97%(税引前)、× (1 − 25%) = 2.98%（validate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</si>
  <si>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</si>
  <si>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</si>
  <si>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</si>
  <si>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</si>
  <si>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</si>
  <si>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</si>
  <si>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</si>
  <si>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13.6x</t>
  </si>
  <si>
    <t>Peer 5社の実測EV/EBITDA中央値 13.57x。 自社の現在倍率 13.34x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</si>
  <si>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</si>
  <si>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</si>
  <si>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</si>
  <si>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CLEAN。赤字年なし。直近 9.98% は p25 8.88% を上回るため追補5 §U 非該当（差は 1.1pt）。</t>
  </si>
  <si>
    <t>DCF Model シナリオ5本</t>
  </si>
  <si>
    <t>実績OPM分布からの導出（min 5.59 / p25 8.88 / med 13.11 / p75 17.46 / max 21.10 %）</t>
  </si>
  <si>
    <t>直近 9.98% ≤ 中央値 13.11% のため**型A規則により中央値へ収束**（到達 **13.11%**、パス 10.60 → 11.50 → 12.30 → 12.80 → 13.11%）。直近 9.98% は p25 8.88% を上回るため追補5 §U 非該当（差は 1.1pt と小さい）。■**要注意**: FY2024 の 5.59% は品質・規制対応に伴う一過性費用の年であり、観測窓の変動が **15.5pt**（5.59〜21.10%）と本バッチで最大級。Base は直近 9.98% から 13.11% への **+3.1pt の利益率回復**を織り込んでおり、**規制対応コストの正常化が前提**である。■Upside = max(p75 17.46, 直近+1.0pt = 10.98) = **17.46%**（FY2023 の収益力の再現）。■Downside 1 = min(p25 8.88, 直近 9.98) = **8.88%**。■Downside 2 は FY2024 の実績トラフ **5.59%** が直近と別年で機能するため、売上 −5% + OPM 5.59〜6.2%。■COGS% は直近実績 **35.3%** 固定・SGA% 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</si>
  <si>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</si>
  <si>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</si>
  <si>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</si>
  <si>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</si>
  <si>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</si>
  <si>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</si>
  <si>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78 / DIH 216 / DPO 77 日</t>
  </si>
  <si>
    <t>実績4期の平均（DSO 78 / DIH 216 / DPO 77）。**DIH 216日は本バッチで最長の部類**で、内視鏡の製品寿命と保守部品在庫を反映している。</t>
  </si>
  <si>
    <t>Comps Analysis</t>
  </si>
  <si>
    <t>Peer 5社 = 4543 テルモ / 7747 朝日インテック / 6849 日本光電 / 4544 H.U.グループHD / 7729 東京精密</t>
  </si>
  <si>
    <t>医療機器で事業比較可能性を優先。■**7741 HOYA を Peer から除外した**: yfinance の損益計算書が `RawMaterialsAndConsumablesUsedIFRS`（103,855）を売上原価として取り込んでおり営業利益が過大（OPM 55.3% は成立しない。EDINET 有報 docID S100TOTA で 792,628 − 556,064 = 236,564、実勢 OPM ≈ 29.8% と確認）。EBITDA = 営業利益 + D&amp;A で算出する本バッチの方式では EBITDA が過大になり倍率が過小に出るため、**v2 §5 の『D&amp;A/EBITDA が信頼できない社は comps CSV に入れない』に従い除外**（詳細は batch/manual_queue.md）。■**自社倍率 13.34x と Peer中央値 13.57x が近く、Peer選定の妥当性の傍証になっている**。</t>
  </si>
  <si>
    <t>Executive Summary!C10 / Target</t>
  </si>
  <si>
    <t>Target Price = 1,777円 = PGM 1,230円 と Exit 2,323円 の2本平均。Comps 2本(EV/EBITDA 2,097円 / PER 1,773円)は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</si>
  <si>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</si>
  <si>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</si>
  <si>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</si>
  <si>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</si>
  <si>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</si>
  <si>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</si>
  <si>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**Base が織り込む +3.1pt の利益率回復が最大の前提**</t>
  </si>
  <si>
    <t>直近 9.98% から中央値 13.11% への回復は**規制対応・品質対応コストの正常化が前提**である。この前提が外れる場合は Downside 1（8.88%）が現実的なシナリオになり、Target は大きく下振れる。**本銘柄は Target の前提感応度が本バッチの平均より高く、目視レビュー時に優先確認すべき**。</t>
  </si>
  <si>
    <t>未解決</t>
  </si>
  <si>
    <t>FY2024 の OPM 5.59% への落ち込みの内訳を一次ソースで確認していない</t>
  </si>
  <si>
    <t>米FDA 対応等に伴う一過性費用と判断して Downside 2 の設計に使ったが、費用の性質（一過性か恒常的なコスト構造の変化か）を有報で確認していない。恒常化しているなら中央値 13.11% への収束は成立しない。</t>
  </si>
  <si>
    <t>beta 0.223 → 0.60 のクランプが Target を押し下げている</t>
  </si>
  <si>
    <t>実測 beta をそのまま使えば Ke は約 4.4%、WACC は約 4.4% となり Target は大幅に上振れる。追補1 §A の下限 0.60 は保守側の設計判断であり、**医療機器のディフェンシブ性を評価に反映しきれていない**点は認識しておくこと。</t>
  </si>
  <si>
    <t>Pipeline Metadata (do not edit — read by scripts/validate_output.py)</t>
  </si>
  <si>
    <t>key</t>
  </si>
  <si>
    <t>value</t>
  </si>
  <si>
    <t>auto_log_entries</t>
  </si>
  <si>
    <t>1</t>
  </si>
  <si>
    <t>capex_pct_basis</t>
  </si>
  <si>
    <t>assumption</t>
  </si>
  <si>
    <t>capex_pct_c5</t>
  </si>
  <si>
    <t>0.07035</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</si>
  <si>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</si>
  <si>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</si>
  <si>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</si>
  <si>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</si>
  <si>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</si>
  <si>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</si>
  <si>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</si>
  <si>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</si>
  <si>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</si>
  <si>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</si>
  <si>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</si>
  <si>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</si>
  <si>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</si>
  <si>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</si>
  <si>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</si>
  <si>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</si>
  <si>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</si>
  <si>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</si>
  <si>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</si>
  <si>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</si>
  <si>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9,297 (expense 9,297 + fees 0) / avg debt 234,339 (debt_beginning/debt_ending) = 0.039673 pre-tax -&gt; 0.029800 after-tax</t>
  </si>
  <si>
    <t>cost_of_debt_at_c11</t>
  </si>
  <si>
    <t>0.0298</t>
  </si>
  <si>
    <t>cost_of_debt_avg_debt</t>
  </si>
  <si>
    <t>234339.0</t>
  </si>
  <si>
    <t>cost_of_debt_basis</t>
  </si>
  <si>
    <t>actual</t>
  </si>
  <si>
    <t>cost_of_debt_interest</t>
  </si>
  <si>
    <t>9297.0</t>
  </si>
  <si>
    <t>cost_of_debt_pretax</t>
  </si>
  <si>
    <t>0.03967329381793044</t>
  </si>
  <si>
    <t>da_pct_basis</t>
  </si>
  <si>
    <t>da_pct_c18</t>
  </si>
  <si>
    <t>0.067</t>
  </si>
  <si>
    <t>da_pct_hist3yr</t>
  </si>
  <si>
    <t>0.067818</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</si>
  <si>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</si>
  <si>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</si>
  <si>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</si>
  <si>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</si>
  <si>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</si>
  <si>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</si>
  <si>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</si>
  <si>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</si>
  <si>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</si>
  <si>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22:14:14</t>
  </si>
  <si>
    <t>ltm_revenue_c20</t>
  </si>
  <si>
    <t>1010676.0</t>
  </si>
  <si>
    <t>ltm_revenue_source</t>
  </si>
  <si>
    <t>latest FY (no LTM)</t>
  </si>
  <si>
    <t>narrative_tokens_used</t>
  </si>
  <si>
    <t>reverse_dcf_sheet</t>
  </si>
  <si>
    <t>op0=100,820(FY2026) peak=186,118(FY2023) peak_opm=0.2110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</si>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</sst>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2061</v>
      </c>
    </row>
    <row r="10" spans="2:5" ht="14" customHeight="1" x14ac:dyDescent="0.3">
      <c r="B10" s="4" t="s">
        <v>10</v>
      </c>
      <c r="C10" s="5">
        <f>IF(COUNT(C16:C17)=0,"N/A",ROUND(AVERAGE(C16:C17),0))</f>
        <v>1777</v>
      </c>
    </row>
    <row r="11" spans="2:5" ht="14" customHeight="1" x14ac:dyDescent="0.3">
      <c r="B11" s="4" t="s">
        <v>11</v>
      </c>
      <c r="C11" s="6" t="str">
        <f>IF(NOT(ISNUMBER(C12)),"N/A",IF(C12&gt;0.15,"BUY",IF(C12&gt;0.05,"HOLD","SELL")))</f>
        <v>SELL</v>
      </c>
    </row>
    <row r="12" spans="2:5" ht="14" customHeight="1" x14ac:dyDescent="0.3">
      <c r="B12" s="4" t="s">
        <v>12</v>
      </c>
      <c r="C12" s="7">
        <f>IF(ISNUMBER(C10),(C10-C9)/C9,"N/A")</f>
        <v>-0.13779718583212033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1230</v>
      </c>
      <c r="D16" s="7">
        <f>IF(ISNUMBER(C16),(C16-C9)/C9,"N/A")</f>
        <v>-0.40320232896652108</v>
      </c>
    </row>
    <row r="17" spans="2:5" ht="13.5" customHeight="1" x14ac:dyDescent="0.25">
      <c r="B17" t="s">
        <v>18</v>
      </c>
      <c r="C17" s="11">
        <f>IF('DCF Model'!C62&lt;'DCF Model'!C16,"INVALID (EV &lt; net debt)",'DCF Model'!C64)</f>
        <v>2323</v>
      </c>
      <c r="D17" s="7">
        <f>IF(ISNUMBER(C17),(C17-C9)/C9,"N/A")</f>
        <v>0.12712275594371664</v>
      </c>
    </row>
    <row r="18" spans="2:5" ht="13.5" customHeight="1" x14ac:dyDescent="0.25">
      <c r="B18" t="s">
        <v>19</v>
      </c>
      <c r="C18" s="11">
        <f>'Comps Analysis'!C27</f>
        <v>2097</v>
      </c>
      <c r="D18" s="7">
        <f>IF(ISNUMBER(C18),(C18-C9)/C9,"N/A")</f>
        <v>1.7467248908296942E-2</v>
      </c>
    </row>
    <row r="19" spans="2:5" ht="13.5" customHeight="1" x14ac:dyDescent="0.25">
      <c r="B19" t="s">
        <v>20</v>
      </c>
      <c r="C19" s="11">
        <f>'Comps Analysis'!C28</f>
        <v>1773</v>
      </c>
      <c r="D19" s="7">
        <f>IF(ISNUMBER(C19),(C19-C9)/C9,"N/A")</f>
        <v>-0.13973799126637554</v>
      </c>
    </row>
    <row r="20" spans="2:5" ht="14" customHeight="1" x14ac:dyDescent="0.3">
      <c r="B20" s="46" t="s">
        <v>21</v>
      </c>
      <c r="C20" s="45"/>
      <c r="D20" s="45"/>
      <c r="E20" s="45"/>
    </row>
    <row r="21" spans="2:5" ht="14" customHeight="1" x14ac:dyDescent="0.3">
      <c r="B21" s="4" t="s">
        <v>22</v>
      </c>
      <c r="C21" s="6" t="str">
        <f>IF(COUNT(C16:C17)=0,"N/A",MIN(C16:C17)&amp;" - "&amp;MAX(C16:C17))</f>
        <v>1230 - 2323</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881923</v>
      </c>
      <c r="D6" s="5">
        <v>925752</v>
      </c>
      <c r="E6" s="5">
        <v>997332</v>
      </c>
      <c r="F6" s="5">
        <v>1010676</v>
      </c>
    </row>
    <row r="7" spans="2:6" ht="14" customHeight="1" x14ac:dyDescent="0.3">
      <c r="B7" s="4" t="s">
        <v>38</v>
      </c>
      <c r="C7" s="5">
        <v>285074</v>
      </c>
      <c r="D7" s="5">
        <v>307320</v>
      </c>
      <c r="E7" s="5">
        <v>313635</v>
      </c>
      <c r="F7" s="5">
        <v>356586</v>
      </c>
    </row>
    <row r="8" spans="2:6" ht="14" customHeight="1" x14ac:dyDescent="0.3">
      <c r="B8" s="4" t="s">
        <v>39</v>
      </c>
      <c r="C8" s="5">
        <f>C6-C7</f>
        <v>596849</v>
      </c>
      <c r="D8" s="5">
        <f>D6-D7</f>
        <v>618432</v>
      </c>
      <c r="E8" s="5">
        <f>E6-E7</f>
        <v>683697</v>
      </c>
      <c r="F8" s="5">
        <f>F6-F7</f>
        <v>654090</v>
      </c>
    </row>
    <row r="9" spans="2:6" ht="13.5" customHeight="1" x14ac:dyDescent="0.25">
      <c r="B9" t="s">
        <v>40</v>
      </c>
      <c r="C9" s="7">
        <f>C8/C6</f>
        <v>0.67675862858775648</v>
      </c>
      <c r="D9" s="7">
        <f>D8/D6</f>
        <v>0.66803204313898323</v>
      </c>
      <c r="E9" s="7">
        <f>E8/E6</f>
        <v>0.68552598332350712</v>
      </c>
      <c r="F9" s="7">
        <f>F8/F6</f>
        <v>0.64718069885898155</v>
      </c>
    </row>
    <row r="10" spans="2:6" ht="14" customHeight="1" x14ac:dyDescent="0.3">
      <c r="B10" s="4" t="s">
        <v>41</v>
      </c>
      <c r="C10" s="5">
        <v>410731</v>
      </c>
      <c r="D10" s="5">
        <v>566687</v>
      </c>
      <c r="E10" s="5">
        <v>521701</v>
      </c>
      <c r="F10" s="5">
        <v>553270</v>
      </c>
    </row>
    <row r="11" spans="2:6" ht="14" customHeight="1" x14ac:dyDescent="0.3">
      <c r="B11" s="4" t="s">
        <v>42</v>
      </c>
      <c r="C11" s="5">
        <v>186118</v>
      </c>
      <c r="D11" s="5">
        <v>51745</v>
      </c>
      <c r="E11" s="5">
        <v>161996</v>
      </c>
      <c r="F11" s="5">
        <v>100820</v>
      </c>
    </row>
    <row r="12" spans="2:6" ht="14" customHeight="1" x14ac:dyDescent="0.3">
      <c r="B12" s="4" t="s">
        <v>43</v>
      </c>
      <c r="C12" s="5">
        <v>143432</v>
      </c>
      <c r="D12" s="5">
        <v>242566</v>
      </c>
      <c r="E12" s="5">
        <v>117855</v>
      </c>
      <c r="F12" s="5">
        <v>68172</v>
      </c>
    </row>
    <row r="13" spans="2:6" ht="13.5" customHeight="1" x14ac:dyDescent="0.25">
      <c r="B13" t="s">
        <v>44</v>
      </c>
      <c r="C13" s="7">
        <f>C11/C6</f>
        <v>0.21103656441662141</v>
      </c>
      <c r="D13" s="7">
        <f>D11/D6</f>
        <v>5.5895099335459171E-2</v>
      </c>
      <c r="E13" s="7">
        <f>E11/E6</f>
        <v>0.16242936153657958</v>
      </c>
      <c r="F13" s="7">
        <f>F11/F6</f>
        <v>9.9755015455002399E-2</v>
      </c>
    </row>
    <row r="14" spans="2:6" ht="13.5" customHeight="1" x14ac:dyDescent="0.25">
      <c r="B14" t="s">
        <v>45</v>
      </c>
      <c r="C14" s="7">
        <f>C12/C6</f>
        <v>0.16263551353122666</v>
      </c>
      <c r="D14" s="7">
        <f>D12/D6</f>
        <v>0.26202049793033122</v>
      </c>
      <c r="E14" s="7">
        <f>E12/E6</f>
        <v>0.1181702783025111</v>
      </c>
      <c r="F14" s="7">
        <f>F12/F6</f>
        <v>6.7451883689728459E-2</v>
      </c>
    </row>
    <row r="15" spans="2:6" ht="13.5" customHeight="1" x14ac:dyDescent="0.25">
      <c r="B15" t="s">
        <v>46</v>
      </c>
      <c r="C15" t="s">
        <v>47</v>
      </c>
      <c r="D15" s="7">
        <f>(D6-C6)/C6</f>
        <v>4.9697082398349968E-2</v>
      </c>
      <c r="E15" s="7">
        <f>(E6-D6)/D6</f>
        <v>7.7320923962357083E-2</v>
      </c>
      <c r="F15" s="7">
        <f>(F6-E6)/E6</f>
        <v>1.3379697031680524E-2</v>
      </c>
    </row>
    <row r="16" spans="2:6" ht="13.5" customHeight="1" x14ac:dyDescent="0.25">
      <c r="B16" t="s">
        <v>48</v>
      </c>
      <c r="C16" t="s">
        <v>47</v>
      </c>
      <c r="D16" s="7">
        <f>(D11-C11)/C11</f>
        <v>-0.72197745516285372</v>
      </c>
      <c r="E16" s="7">
        <f>(E11-D11)/D11</f>
        <v>2.1306599671465842</v>
      </c>
      <c r="F16" s="7">
        <f>(F11-E11)/E11</f>
        <v>-0.3776389540482481</v>
      </c>
    </row>
    <row r="18" spans="2:6" ht="14" customHeight="1" x14ac:dyDescent="0.3">
      <c r="B18" s="3" t="s">
        <v>49</v>
      </c>
    </row>
    <row r="19" spans="2:6" ht="14" customHeight="1" x14ac:dyDescent="0.3">
      <c r="B19" s="4" t="s">
        <v>50</v>
      </c>
      <c r="C19" s="5">
        <v>98490</v>
      </c>
      <c r="D19" s="5">
        <v>42365</v>
      </c>
      <c r="E19" s="5">
        <v>190463</v>
      </c>
      <c r="F19" s="5">
        <v>100585</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169329</v>
      </c>
      <c r="D26" s="5">
        <v>340933</v>
      </c>
      <c r="E26" s="5">
        <v>252532</v>
      </c>
      <c r="F26" s="5">
        <v>188038</v>
      </c>
    </row>
    <row r="27" spans="2:6" ht="14" customHeight="1" x14ac:dyDescent="0.3">
      <c r="B27" s="4" t="s">
        <v>57</v>
      </c>
      <c r="C27" s="5">
        <v>340057</v>
      </c>
      <c r="D27" s="5">
        <v>299616</v>
      </c>
      <c r="E27" s="5">
        <v>229102</v>
      </c>
      <c r="F27" s="5">
        <v>239576</v>
      </c>
    </row>
    <row r="28" spans="2:6" ht="14" customHeight="1" x14ac:dyDescent="0.3">
      <c r="B28" s="4" t="s">
        <v>58</v>
      </c>
      <c r="C28" s="5">
        <f>C27-C26</f>
        <v>170728</v>
      </c>
      <c r="D28" s="5">
        <f>D27-D26</f>
        <v>-41317</v>
      </c>
      <c r="E28" s="5">
        <f>E27-E26</f>
        <v>-23430</v>
      </c>
      <c r="F28" s="5">
        <f>F27-F26</f>
        <v>51538</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7.0349999999999996E-2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0.6</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2.98E-2</v>
      </c>
    </row>
    <row r="12" spans="2:7" ht="14" customHeight="1" x14ac:dyDescent="0.3">
      <c r="B12" s="4" t="s">
        <v>69</v>
      </c>
      <c r="C12" s="13">
        <v>2.35E-2</v>
      </c>
    </row>
    <row r="13" spans="2:7" ht="14" customHeight="1" x14ac:dyDescent="0.3">
      <c r="B13" s="4" t="s">
        <v>70</v>
      </c>
      <c r="C13" s="7">
        <v>0.01</v>
      </c>
    </row>
    <row r="14" spans="2:7" ht="14" customHeight="1" x14ac:dyDescent="0.3">
      <c r="B14" s="4" t="s">
        <v>71</v>
      </c>
      <c r="C14" s="14">
        <v>13.6</v>
      </c>
    </row>
    <row r="15" spans="2:7" ht="14" customHeight="1" x14ac:dyDescent="0.3">
      <c r="B15" s="4" t="s">
        <v>72</v>
      </c>
      <c r="C15" s="15">
        <v>1062852681</v>
      </c>
    </row>
    <row r="16" spans="2:7" ht="14" customHeight="1" x14ac:dyDescent="0.3">
      <c r="B16" s="4" t="s">
        <v>73</v>
      </c>
      <c r="C16" s="5">
        <v>51538</v>
      </c>
    </row>
    <row r="17" spans="2:7" ht="14" customHeight="1" x14ac:dyDescent="0.3">
      <c r="B17" s="4" t="s">
        <v>74</v>
      </c>
      <c r="C17" s="5">
        <v>1010676</v>
      </c>
    </row>
    <row r="18" spans="2:7" ht="14" customHeight="1" x14ac:dyDescent="0.3">
      <c r="B18" s="4" t="s">
        <v>75</v>
      </c>
      <c r="C18" s="7">
        <v>6.7000000000000004E-2</v>
      </c>
    </row>
    <row r="19" spans="2:7" ht="14" customHeight="1" x14ac:dyDescent="0.3">
      <c r="B19" s="4" t="s">
        <v>76</v>
      </c>
      <c r="C19" s="12">
        <v>1</v>
      </c>
    </row>
    <row r="20" spans="2:7" ht="14" customHeight="1" x14ac:dyDescent="0.3">
      <c r="B20" s="4" t="s">
        <v>77</v>
      </c>
      <c r="C20" s="5">
        <v>1010676</v>
      </c>
    </row>
    <row r="22" spans="2:7" ht="14" customHeight="1" x14ac:dyDescent="0.3">
      <c r="B22" s="8" t="s">
        <v>78</v>
      </c>
      <c r="C22" s="9"/>
      <c r="D22" s="9"/>
      <c r="E22" s="9"/>
      <c r="F22" s="9"/>
      <c r="G22" s="9"/>
    </row>
    <row r="23" spans="2:7" ht="14" customHeight="1" x14ac:dyDescent="0.3">
      <c r="B23" s="4" t="s">
        <v>79</v>
      </c>
      <c r="C23" s="16">
        <f>C7+C8*C9+C10</f>
        <v>7.8699999999999992E-2</v>
      </c>
    </row>
    <row r="24" spans="2:7" ht="14" customHeight="1" x14ac:dyDescent="0.3">
      <c r="B24" s="4" t="s">
        <v>80</v>
      </c>
      <c r="C24" s="16">
        <f>1/(1+C12)</f>
        <v>0.97703957010258913</v>
      </c>
    </row>
    <row r="25" spans="2:7" ht="14" customHeight="1" x14ac:dyDescent="0.3">
      <c r="B25" s="4" t="s">
        <v>81</v>
      </c>
      <c r="C25" s="16">
        <f>C12/(1+C12)</f>
        <v>2.2960429897410845E-2</v>
      </c>
    </row>
    <row r="26" spans="2:7" ht="14" customHeight="1" x14ac:dyDescent="0.3">
      <c r="B26" s="4" t="s">
        <v>82</v>
      </c>
      <c r="C26" s="16">
        <f>C23*C24+C11*C25</f>
        <v>7.7577234978016593E-2</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0.03</v>
      </c>
      <c r="D30" s="18">
        <f>CHOOSE($D$27,D69,D70,D71,D72,D73)</f>
        <v>3.5000000000000003E-2</v>
      </c>
      <c r="E30" s="18">
        <f>CHOOSE($D$27,E69,E70,E71,E72,E73)</f>
        <v>3.5000000000000003E-2</v>
      </c>
      <c r="F30" s="18">
        <f>CHOOSE($D$27,F69,F70,F71,F72,F73)</f>
        <v>0.03</v>
      </c>
      <c r="G30" s="18">
        <f>CHOOSE($D$27,G69,G70,G71,G72,G73)</f>
        <v>0.03</v>
      </c>
    </row>
    <row r="31" spans="2:7" ht="14" customHeight="1" x14ac:dyDescent="0.3">
      <c r="B31" s="4" t="s">
        <v>91</v>
      </c>
      <c r="C31" s="18">
        <f>CHOOSE($D$27,C76,C77,C78,C79,C80)</f>
        <v>0.35299999999999998</v>
      </c>
      <c r="D31" s="18">
        <f>CHOOSE($D$27,D76,D77,D78,D79,D80)</f>
        <v>0.35299999999999998</v>
      </c>
      <c r="E31" s="18">
        <f>CHOOSE($D$27,E76,E77,E78,E79,E80)</f>
        <v>0.35299999999999998</v>
      </c>
      <c r="F31" s="18">
        <f>CHOOSE($D$27,F76,F77,F78,F79,F80)</f>
        <v>0.35299999999999998</v>
      </c>
      <c r="G31" s="18">
        <f>CHOOSE($D$27,G76,G77,G78,G79,G80)</f>
        <v>0.35299999999999998</v>
      </c>
    </row>
    <row r="32" spans="2:7" ht="14" customHeight="1" x14ac:dyDescent="0.3">
      <c r="B32" s="4" t="s">
        <v>92</v>
      </c>
      <c r="C32" s="18">
        <f>CHOOSE($D$27,C83,C84,C85,C86,C87)</f>
        <v>0.54100000000000004</v>
      </c>
      <c r="D32" s="18">
        <f>CHOOSE($D$27,D83,D84,D85,D86,D87)</f>
        <v>0.53200000000000003</v>
      </c>
      <c r="E32" s="18">
        <f>CHOOSE($D$27,E83,E84,E85,E86,E87)</f>
        <v>0.52400000000000002</v>
      </c>
      <c r="F32" s="18">
        <f>CHOOSE($D$27,F83,F84,F85,F86,F87)</f>
        <v>0.51900000000000002</v>
      </c>
      <c r="G32" s="18">
        <f>CHOOSE($D$27,G83,G84,G85,G86,G87)</f>
        <v>0.51590000000000003</v>
      </c>
    </row>
    <row r="33" spans="2:7" ht="14" customHeight="1" x14ac:dyDescent="0.3">
      <c r="B33" s="4" t="s">
        <v>37</v>
      </c>
      <c r="C33" s="5">
        <f>C17*(1+C30)</f>
        <v>1040996.28</v>
      </c>
      <c r="D33" s="5">
        <f>C33*(1+D30)</f>
        <v>1077431.1498</v>
      </c>
      <c r="E33" s="5">
        <f>D33*(1+E30)</f>
        <v>1115141.2400429999</v>
      </c>
      <c r="F33" s="5">
        <f>E33*(1+F30)</f>
        <v>1148595.4772442898</v>
      </c>
      <c r="G33" s="5">
        <f>F33*(1+G30)</f>
        <v>1183053.3415616185</v>
      </c>
    </row>
    <row r="34" spans="2:7" ht="14" customHeight="1" x14ac:dyDescent="0.3">
      <c r="B34" s="4" t="s">
        <v>38</v>
      </c>
      <c r="C34" s="5">
        <f>C33*C31</f>
        <v>367471.68683999998</v>
      </c>
      <c r="D34" s="5">
        <f>D33*D31</f>
        <v>380333.19587940001</v>
      </c>
      <c r="E34" s="5">
        <f>E33*E31</f>
        <v>393644.8577351789</v>
      </c>
      <c r="F34" s="5">
        <f>F33*F31</f>
        <v>405454.20346723427</v>
      </c>
      <c r="G34" s="5">
        <f>G33*G31</f>
        <v>417617.82957125129</v>
      </c>
    </row>
    <row r="35" spans="2:7" ht="14" customHeight="1" x14ac:dyDescent="0.3">
      <c r="B35" s="4" t="s">
        <v>39</v>
      </c>
      <c r="C35" s="19">
        <f>C33-C34</f>
        <v>673524.59316000005</v>
      </c>
      <c r="D35" s="19">
        <f>D33-D34</f>
        <v>697097.9539206</v>
      </c>
      <c r="E35" s="19">
        <f>E33-E34</f>
        <v>721496.38230782095</v>
      </c>
      <c r="F35" s="19">
        <f>F33-F34</f>
        <v>743141.27377705555</v>
      </c>
      <c r="G35" s="19">
        <f>G33-G34</f>
        <v>765435.5119903672</v>
      </c>
    </row>
    <row r="36" spans="2:7" ht="14" customHeight="1" x14ac:dyDescent="0.3">
      <c r="B36" s="4" t="s">
        <v>40</v>
      </c>
      <c r="C36" s="7">
        <f>C35/C33</f>
        <v>0.64700000000000002</v>
      </c>
      <c r="D36" s="7">
        <f>D35/D33</f>
        <v>0.64700000000000002</v>
      </c>
      <c r="E36" s="7">
        <f>E35/E33</f>
        <v>0.64700000000000002</v>
      </c>
      <c r="F36" s="7">
        <f>F35/F33</f>
        <v>0.64700000000000002</v>
      </c>
      <c r="G36" s="7">
        <f>G35/G33</f>
        <v>0.64700000000000002</v>
      </c>
    </row>
    <row r="37" spans="2:7" ht="14" customHeight="1" x14ac:dyDescent="0.3">
      <c r="B37" s="4" t="s">
        <v>93</v>
      </c>
      <c r="C37" s="5">
        <f>C33*C32</f>
        <v>563178.98748000001</v>
      </c>
      <c r="D37" s="5">
        <f>D33*D32</f>
        <v>573193.37169360009</v>
      </c>
      <c r="E37" s="5">
        <f>E33*E32</f>
        <v>584334.009782532</v>
      </c>
      <c r="F37" s="5">
        <f>F33*F32</f>
        <v>596121.05268978642</v>
      </c>
      <c r="G37" s="5">
        <f>G33*G32</f>
        <v>610337.21891163907</v>
      </c>
    </row>
    <row r="38" spans="2:7" ht="14" customHeight="1" x14ac:dyDescent="0.3">
      <c r="B38" s="4" t="s">
        <v>94</v>
      </c>
      <c r="C38" s="7">
        <f>(C35-C37)/C33</f>
        <v>0.10600000000000004</v>
      </c>
      <c r="D38" s="7">
        <f>(D35-D37)/D33</f>
        <v>0.11499999999999992</v>
      </c>
      <c r="E38" s="7">
        <f>(E35-E37)/E33</f>
        <v>0.12299999999999997</v>
      </c>
      <c r="F38" s="7">
        <f>(F35-F37)/F33</f>
        <v>0.12800000000000003</v>
      </c>
      <c r="G38" s="7">
        <f>(G35-G37)/G33</f>
        <v>0.13109999999999997</v>
      </c>
    </row>
    <row r="39" spans="2:7" ht="14" customHeight="1" x14ac:dyDescent="0.3">
      <c r="B39" s="4" t="s">
        <v>95</v>
      </c>
      <c r="C39" s="19">
        <f>C35-C37</f>
        <v>110345.60568000004</v>
      </c>
      <c r="D39" s="19">
        <f>D35-D37</f>
        <v>123904.58222699992</v>
      </c>
      <c r="E39" s="19">
        <f>E35-E37</f>
        <v>137162.37252528896</v>
      </c>
      <c r="F39" s="19">
        <f>F35-F37</f>
        <v>147020.22108726914</v>
      </c>
      <c r="G39" s="19">
        <f>G35-G37</f>
        <v>155098.29307872814</v>
      </c>
    </row>
    <row r="40" spans="2:7" ht="14" customHeight="1" x14ac:dyDescent="0.3">
      <c r="B40" s="4" t="s">
        <v>96</v>
      </c>
      <c r="C40" s="5">
        <f>MAX(0,C39*C6)</f>
        <v>27586.401420000009</v>
      </c>
      <c r="D40" s="5">
        <f>MAX(0,D39*C6)</f>
        <v>30976.14555674998</v>
      </c>
      <c r="E40" s="5">
        <f>MAX(0,E39*C6)</f>
        <v>34290.593131322239</v>
      </c>
      <c r="F40" s="5">
        <f>MAX(0,F39*C6)</f>
        <v>36755.055271817284</v>
      </c>
      <c r="G40" s="5">
        <f>MAX(0,G39*C6)</f>
        <v>38774.573269682034</v>
      </c>
    </row>
    <row r="41" spans="2:7" ht="14" customHeight="1" x14ac:dyDescent="0.3">
      <c r="B41" s="4" t="s">
        <v>97</v>
      </c>
      <c r="C41" s="19">
        <f>C39-C40</f>
        <v>82759.204260000028</v>
      </c>
      <c r="D41" s="19">
        <f>D39-D40</f>
        <v>92928.436670249939</v>
      </c>
      <c r="E41" s="19">
        <f>E39-E40</f>
        <v>102871.77939396672</v>
      </c>
      <c r="F41" s="19">
        <f>F39-F40</f>
        <v>110265.16581545185</v>
      </c>
      <c r="G41" s="19">
        <f>G39-G40</f>
        <v>116323.7198090461</v>
      </c>
    </row>
    <row r="42" spans="2:7" ht="14" customHeight="1" x14ac:dyDescent="0.3">
      <c r="B42" s="4" t="s">
        <v>98</v>
      </c>
      <c r="C42" s="5">
        <f>C33*C18</f>
        <v>69746.75076000001</v>
      </c>
      <c r="D42" s="5">
        <f>D33*C18</f>
        <v>72187.887036600005</v>
      </c>
      <c r="E42" s="5">
        <f>E33*C18</f>
        <v>74714.46308288099</v>
      </c>
      <c r="F42" s="5">
        <f>F33*C18</f>
        <v>76955.896975367417</v>
      </c>
      <c r="G42" s="5">
        <f>G33*C18</f>
        <v>79264.573884628437</v>
      </c>
    </row>
    <row r="43" spans="2:7" ht="14" customHeight="1" x14ac:dyDescent="0.3">
      <c r="B43" s="4" t="s">
        <v>99</v>
      </c>
      <c r="C43" s="5">
        <v>84000</v>
      </c>
      <c r="D43" s="5">
        <v>84000</v>
      </c>
      <c r="E43" s="5">
        <v>83000</v>
      </c>
      <c r="F43" s="5">
        <v>82500</v>
      </c>
      <c r="G43" s="5">
        <v>83200</v>
      </c>
    </row>
    <row r="44" spans="2:7" ht="14" customHeight="1" x14ac:dyDescent="0.3">
      <c r="B44" s="4" t="s">
        <v>100</v>
      </c>
      <c r="C44" s="5">
        <f>'NWC Schedule'!D19</f>
        <v>-878.24846367124701</v>
      </c>
      <c r="D44" s="5">
        <f>'NWC Schedule'!E19</f>
        <v>12684.026303771534</v>
      </c>
      <c r="E44" s="5">
        <f>'NWC Schedule'!F19</f>
        <v>13127.967224403401</v>
      </c>
      <c r="F44" s="5">
        <f>'NWC Schedule'!G19</f>
        <v>11646.382351935201</v>
      </c>
      <c r="G44" s="5">
        <f>'NWC Schedule'!H19</f>
        <v>11995.773822493094</v>
      </c>
    </row>
    <row r="45" spans="2:7" ht="14" customHeight="1" x14ac:dyDescent="0.3">
      <c r="B45" s="4" t="s">
        <v>101</v>
      </c>
      <c r="C45" s="20">
        <f>C41+C42-C43-C44</f>
        <v>69384.203483671299</v>
      </c>
      <c r="D45" s="20">
        <f>D41+D42-D43-D44</f>
        <v>68432.29740307841</v>
      </c>
      <c r="E45" s="20">
        <f>E41+E42-E43-E44</f>
        <v>81458.27525244432</v>
      </c>
      <c r="F45" s="20">
        <f>F41+F42-F43-F44</f>
        <v>93074.680438884068</v>
      </c>
      <c r="G45" s="20">
        <f>G41+G42-G43-G44</f>
        <v>100392.51987118146</v>
      </c>
    </row>
    <row r="46" spans="2:7" ht="14" customHeight="1" x14ac:dyDescent="0.3">
      <c r="B46" s="4" t="s">
        <v>102</v>
      </c>
      <c r="C46" s="21">
        <f>1/(1+C26)^(C19+0)</f>
        <v>0.92800772653702246</v>
      </c>
      <c r="D46" s="21">
        <f>1/(1+C26)^(C19+1)</f>
        <v>0.86119834051241306</v>
      </c>
      <c r="E46" s="21">
        <f>1/(1+C26)^(C19+2)</f>
        <v>0.79919871407638099</v>
      </c>
      <c r="F46" s="21">
        <f>1/(1+C26)^(C19+3)</f>
        <v>0.74166258170133414</v>
      </c>
      <c r="G46" s="21">
        <f>1/(1+C26)^(C19+4)</f>
        <v>0.68826860630223374</v>
      </c>
    </row>
    <row r="47" spans="2:7" ht="14" customHeight="1" x14ac:dyDescent="0.3">
      <c r="B47" s="4" t="s">
        <v>103</v>
      </c>
      <c r="C47" s="19">
        <f>C45*C46</f>
        <v>64389.076932463955</v>
      </c>
      <c r="D47" s="19">
        <f>D45*D46</f>
        <v>58933.780960983044</v>
      </c>
      <c r="E47" s="19">
        <f>E45*E46</f>
        <v>65101.34883263339</v>
      </c>
      <c r="F47" s="19">
        <f>F45*F46</f>
        <v>69030.007785329421</v>
      </c>
      <c r="G47" s="19">
        <f>G45*G46</f>
        <v>69097.019734907371</v>
      </c>
    </row>
    <row r="49" spans="2:7" ht="14" customHeight="1" x14ac:dyDescent="0.3">
      <c r="B49" s="22" t="s">
        <v>104</v>
      </c>
      <c r="C49" s="23"/>
      <c r="D49" s="23"/>
      <c r="E49" s="23"/>
      <c r="F49" s="23"/>
      <c r="G49" s="23"/>
    </row>
    <row r="50" spans="2:7" ht="14" customHeight="1" x14ac:dyDescent="0.3">
      <c r="B50" s="4" t="s">
        <v>105</v>
      </c>
      <c r="C50" s="5">
        <f>SUM(C47:G47)</f>
        <v>326551.23424631718</v>
      </c>
    </row>
    <row r="51" spans="2:7" ht="14" customHeight="1" x14ac:dyDescent="0.3">
      <c r="B51" s="4" t="s">
        <v>106</v>
      </c>
      <c r="C51" s="5">
        <f>G45*(1+C13)/(C26-C13)</f>
        <v>1500452.705750366</v>
      </c>
    </row>
    <row r="52" spans="2:7" ht="14" customHeight="1" x14ac:dyDescent="0.3">
      <c r="B52" s="4" t="s">
        <v>107</v>
      </c>
      <c r="C52" s="5">
        <f>C51*G46</f>
        <v>1032714.49260922</v>
      </c>
    </row>
    <row r="53" spans="2:7" ht="14" customHeight="1" x14ac:dyDescent="0.3">
      <c r="B53" s="4" t="s">
        <v>108</v>
      </c>
      <c r="C53" s="5">
        <f>C50+C52</f>
        <v>1359265.7268555372</v>
      </c>
    </row>
    <row r="54" spans="2:7" ht="14" customHeight="1" x14ac:dyDescent="0.3">
      <c r="B54" s="4" t="s">
        <v>109</v>
      </c>
      <c r="C54" s="5">
        <f>C53-C16</f>
        <v>1307727.7268555372</v>
      </c>
    </row>
    <row r="55" spans="2:7" ht="14" customHeight="1" x14ac:dyDescent="0.3">
      <c r="B55" s="4" t="s">
        <v>110</v>
      </c>
      <c r="C55" s="24">
        <f>ROUND(C54*1000000/C15,0)</f>
        <v>1230</v>
      </c>
    </row>
    <row r="57" spans="2:7" ht="14" customHeight="1" x14ac:dyDescent="0.3">
      <c r="B57" s="22" t="s">
        <v>111</v>
      </c>
      <c r="C57" s="23"/>
      <c r="D57" s="23"/>
      <c r="E57" s="23"/>
      <c r="F57" s="23"/>
      <c r="G57" s="23"/>
    </row>
    <row r="58" spans="2:7" ht="14" customHeight="1" x14ac:dyDescent="0.3">
      <c r="B58" s="4" t="s">
        <v>105</v>
      </c>
      <c r="C58" s="5">
        <f>C50</f>
        <v>326551.23424631718</v>
      </c>
    </row>
    <row r="59" spans="2:7" ht="14" customHeight="1" x14ac:dyDescent="0.3">
      <c r="B59" s="4" t="s">
        <v>112</v>
      </c>
      <c r="C59" s="5">
        <f>G39+G42</f>
        <v>234362.86696335656</v>
      </c>
    </row>
    <row r="60" spans="2:7" ht="14" customHeight="1" x14ac:dyDescent="0.3">
      <c r="B60" s="4" t="s">
        <v>113</v>
      </c>
      <c r="C60" s="5">
        <f>C59*C14</f>
        <v>3187334.9907016493</v>
      </c>
    </row>
    <row r="61" spans="2:7" ht="14" customHeight="1" x14ac:dyDescent="0.3">
      <c r="B61" s="4" t="s">
        <v>107</v>
      </c>
      <c r="C61" s="5">
        <f>C60*G46</f>
        <v>2193742.6118685673</v>
      </c>
    </row>
    <row r="62" spans="2:7" ht="14" customHeight="1" x14ac:dyDescent="0.3">
      <c r="B62" s="4" t="s">
        <v>108</v>
      </c>
      <c r="C62" s="5">
        <f>C58+C61</f>
        <v>2520293.8461148846</v>
      </c>
    </row>
    <row r="63" spans="2:7" ht="14" customHeight="1" x14ac:dyDescent="0.3">
      <c r="B63" s="4" t="s">
        <v>109</v>
      </c>
      <c r="C63" s="5">
        <f>C62-C16</f>
        <v>2468755.8461148846</v>
      </c>
    </row>
    <row r="64" spans="2:7" ht="14" customHeight="1" x14ac:dyDescent="0.3">
      <c r="B64" s="4" t="s">
        <v>114</v>
      </c>
      <c r="C64" s="24">
        <f>ROUND(C63*1000000/C15,0)</f>
        <v>2323</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0.03</v>
      </c>
      <c r="D69" s="26">
        <v>3.5000000000000003E-2</v>
      </c>
      <c r="E69" s="26">
        <v>3.5000000000000003E-2</v>
      </c>
      <c r="F69" s="26">
        <v>0.03</v>
      </c>
      <c r="G69" s="26">
        <v>0.03</v>
      </c>
    </row>
    <row r="70" spans="2:7" ht="14" customHeight="1" x14ac:dyDescent="0.3">
      <c r="B70" s="4" t="s">
        <v>121</v>
      </c>
      <c r="C70" s="26">
        <v>0.05</v>
      </c>
      <c r="D70" s="26">
        <v>0.05</v>
      </c>
      <c r="E70" s="26">
        <v>4.4999999999999998E-2</v>
      </c>
      <c r="F70" s="26">
        <v>0.04</v>
      </c>
      <c r="G70" s="26">
        <v>0.04</v>
      </c>
    </row>
    <row r="71" spans="2:7" ht="14" customHeight="1" x14ac:dyDescent="0.3">
      <c r="B71" s="4" t="s">
        <v>122</v>
      </c>
      <c r="C71" s="26">
        <v>0.03</v>
      </c>
      <c r="D71" s="26">
        <v>3.5000000000000003E-2</v>
      </c>
      <c r="E71" s="26">
        <v>3.5000000000000003E-2</v>
      </c>
      <c r="F71" s="26">
        <v>0.03</v>
      </c>
      <c r="G71" s="26">
        <v>0.03</v>
      </c>
    </row>
    <row r="72" spans="2:7" ht="14" customHeight="1" x14ac:dyDescent="0.3">
      <c r="B72" s="4" t="s">
        <v>123</v>
      </c>
      <c r="C72" s="26">
        <v>5.0000000000000001E-3</v>
      </c>
      <c r="D72" s="26">
        <v>1.4999999999999999E-2</v>
      </c>
      <c r="E72" s="26">
        <v>0.02</v>
      </c>
      <c r="F72" s="26">
        <v>0.02</v>
      </c>
      <c r="G72" s="26">
        <v>0.02</v>
      </c>
    </row>
    <row r="73" spans="2:7" ht="14" customHeight="1" x14ac:dyDescent="0.3">
      <c r="B73" s="4" t="s">
        <v>124</v>
      </c>
      <c r="C73" s="26">
        <v>-0.05</v>
      </c>
      <c r="D73" s="26">
        <v>0</v>
      </c>
      <c r="E73" s="26">
        <v>1.4999999999999999E-2</v>
      </c>
      <c r="F73" s="26">
        <v>0.02</v>
      </c>
      <c r="G73" s="26">
        <v>0.02</v>
      </c>
    </row>
    <row r="75" spans="2:7" ht="14" customHeight="1" x14ac:dyDescent="0.3">
      <c r="B75" s="3" t="s">
        <v>91</v>
      </c>
    </row>
    <row r="76" spans="2:7" ht="14" customHeight="1" x14ac:dyDescent="0.3">
      <c r="B76" s="4" t="s">
        <v>84</v>
      </c>
      <c r="C76" s="26">
        <v>0.35299999999999998</v>
      </c>
      <c r="D76" s="26">
        <v>0.35299999999999998</v>
      </c>
      <c r="E76" s="26">
        <v>0.35299999999999998</v>
      </c>
      <c r="F76" s="26">
        <v>0.35299999999999998</v>
      </c>
      <c r="G76" s="26">
        <v>0.35299999999999998</v>
      </c>
    </row>
    <row r="77" spans="2:7" ht="14" customHeight="1" x14ac:dyDescent="0.3">
      <c r="B77" s="4" t="s">
        <v>121</v>
      </c>
      <c r="C77" s="26">
        <v>0.34300000000000003</v>
      </c>
      <c r="D77" s="26">
        <v>0.34300000000000003</v>
      </c>
      <c r="E77" s="26">
        <v>0.34300000000000003</v>
      </c>
      <c r="F77" s="26">
        <v>0.34300000000000003</v>
      </c>
      <c r="G77" s="26">
        <v>0.34300000000000003</v>
      </c>
    </row>
    <row r="78" spans="2:7" ht="14" customHeight="1" x14ac:dyDescent="0.3">
      <c r="B78" s="4" t="s">
        <v>122</v>
      </c>
      <c r="C78" s="26">
        <v>0.35299999999999998</v>
      </c>
      <c r="D78" s="26">
        <v>0.35299999999999998</v>
      </c>
      <c r="E78" s="26">
        <v>0.35299999999999998</v>
      </c>
      <c r="F78" s="26">
        <v>0.35299999999999998</v>
      </c>
      <c r="G78" s="26">
        <v>0.35299999999999998</v>
      </c>
    </row>
    <row r="79" spans="2:7" ht="14" customHeight="1" x14ac:dyDescent="0.3">
      <c r="B79" s="4" t="s">
        <v>123</v>
      </c>
      <c r="C79" s="26">
        <v>0.36299999999999999</v>
      </c>
      <c r="D79" s="26">
        <v>0.36299999999999999</v>
      </c>
      <c r="E79" s="26">
        <v>0.36299999999999999</v>
      </c>
      <c r="F79" s="26">
        <v>0.36299999999999999</v>
      </c>
      <c r="G79" s="26">
        <v>0.36299999999999999</v>
      </c>
    </row>
    <row r="80" spans="2:7" ht="14" customHeight="1" x14ac:dyDescent="0.3">
      <c r="B80" s="4" t="s">
        <v>124</v>
      </c>
      <c r="C80" s="26">
        <v>0.38</v>
      </c>
      <c r="D80" s="26">
        <v>0.38</v>
      </c>
      <c r="E80" s="26">
        <v>0.38</v>
      </c>
      <c r="F80" s="26">
        <v>0.38</v>
      </c>
      <c r="G80" s="26">
        <v>0.38</v>
      </c>
    </row>
    <row r="82" spans="2:7" ht="14" customHeight="1" x14ac:dyDescent="0.3">
      <c r="B82" s="3" t="s">
        <v>92</v>
      </c>
    </row>
    <row r="83" spans="2:7" ht="14" customHeight="1" x14ac:dyDescent="0.3">
      <c r="B83" s="4" t="s">
        <v>84</v>
      </c>
      <c r="C83" s="26">
        <v>0.54100000000000004</v>
      </c>
      <c r="D83" s="26">
        <v>0.53200000000000003</v>
      </c>
      <c r="E83" s="26">
        <v>0.52400000000000002</v>
      </c>
      <c r="F83" s="26">
        <v>0.51900000000000002</v>
      </c>
      <c r="G83" s="26">
        <v>0.51590000000000003</v>
      </c>
    </row>
    <row r="84" spans="2:7" ht="14" customHeight="1" x14ac:dyDescent="0.3">
      <c r="B84" s="4" t="s">
        <v>121</v>
      </c>
      <c r="C84" s="26">
        <v>0.53100000000000003</v>
      </c>
      <c r="D84" s="26">
        <v>0.51500000000000001</v>
      </c>
      <c r="E84" s="26">
        <v>0.501</v>
      </c>
      <c r="F84" s="26">
        <v>0.49099999999999999</v>
      </c>
      <c r="G84" s="26">
        <v>0.4824</v>
      </c>
    </row>
    <row r="85" spans="2:7" ht="14" customHeight="1" x14ac:dyDescent="0.3">
      <c r="B85" s="4" t="s">
        <v>122</v>
      </c>
      <c r="C85" s="26">
        <v>0.54100000000000004</v>
      </c>
      <c r="D85" s="26">
        <v>0.53200000000000003</v>
      </c>
      <c r="E85" s="26">
        <v>0.52400000000000002</v>
      </c>
      <c r="F85" s="26">
        <v>0.51900000000000002</v>
      </c>
      <c r="G85" s="26">
        <v>0.51590000000000003</v>
      </c>
    </row>
    <row r="86" spans="2:7" ht="14" customHeight="1" x14ac:dyDescent="0.3">
      <c r="B86" s="4" t="s">
        <v>123</v>
      </c>
      <c r="C86" s="26">
        <v>0.54100000000000004</v>
      </c>
      <c r="D86" s="26">
        <v>0.54400000000000004</v>
      </c>
      <c r="E86" s="26">
        <v>0.54600000000000004</v>
      </c>
      <c r="F86" s="26">
        <v>0.54749999999999999</v>
      </c>
      <c r="G86" s="26">
        <v>0.54820000000000002</v>
      </c>
    </row>
    <row r="87" spans="2:7" ht="14" customHeight="1" x14ac:dyDescent="0.3">
      <c r="B87" s="4" t="s">
        <v>124</v>
      </c>
      <c r="C87" s="26">
        <v>0.55800000000000005</v>
      </c>
      <c r="D87" s="26">
        <v>0.56200000000000006</v>
      </c>
      <c r="E87" s="26">
        <v>0.56410000000000005</v>
      </c>
      <c r="F87" s="26">
        <v>0.56410000000000005</v>
      </c>
      <c r="G87" s="26">
        <v>0.56299999999999994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2061</v>
      </c>
    </row>
    <row r="7" spans="2:9" ht="14" customHeight="1" x14ac:dyDescent="0.3">
      <c r="B7" s="4" t="s">
        <v>72</v>
      </c>
      <c r="C7" s="15">
        <f>'DCF Model'!C15</f>
        <v>1062852681</v>
      </c>
    </row>
    <row r="8" spans="2:9" ht="14" customHeight="1" x14ac:dyDescent="0.3">
      <c r="B8" s="4" t="s">
        <v>129</v>
      </c>
      <c r="C8" s="5">
        <f>C6*C7/1000000</f>
        <v>2190539.3755410002</v>
      </c>
    </row>
    <row r="9" spans="2:9" ht="14" customHeight="1" x14ac:dyDescent="0.3">
      <c r="B9" s="4" t="s">
        <v>73</v>
      </c>
      <c r="C9" s="5">
        <f>'DCF Model'!C16</f>
        <v>51538</v>
      </c>
    </row>
    <row r="10" spans="2:9" ht="14" customHeight="1" x14ac:dyDescent="0.3">
      <c r="B10" s="4" t="s">
        <v>130</v>
      </c>
      <c r="C10" s="5">
        <f>C8+C9</f>
        <v>2242077.3755410002</v>
      </c>
    </row>
    <row r="11" spans="2:9" ht="14" customHeight="1" x14ac:dyDescent="0.3">
      <c r="B11" s="4" t="s">
        <v>131</v>
      </c>
      <c r="C11" s="16">
        <f>'DCF Model'!C26</f>
        <v>7.7577234978016593E-2</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100820</v>
      </c>
    </row>
    <row r="15" spans="2:9" ht="14" customHeight="1" x14ac:dyDescent="0.3">
      <c r="B15" s="4" t="s">
        <v>135</v>
      </c>
      <c r="C15" s="27">
        <v>186118</v>
      </c>
    </row>
    <row r="16" spans="2:9" ht="14" customHeight="1" x14ac:dyDescent="0.3">
      <c r="B16" s="4" t="s">
        <v>136</v>
      </c>
      <c r="C16" s="5">
        <f>'DCF Model'!G33</f>
        <v>1183053.3415616185</v>
      </c>
    </row>
    <row r="17" spans="2:9" ht="14" customHeight="1" x14ac:dyDescent="0.3">
      <c r="B17" s="4" t="s">
        <v>137</v>
      </c>
      <c r="C17" s="5">
        <f>'DCF Model'!C53</f>
        <v>1359265.7268555372</v>
      </c>
    </row>
    <row r="18" spans="2:9" ht="14" customHeight="1" x14ac:dyDescent="0.3">
      <c r="B18" s="4" t="s">
        <v>138</v>
      </c>
      <c r="C18" s="26">
        <v>0.21103656441662141</v>
      </c>
    </row>
    <row r="19" spans="2:9" ht="14" customHeight="1" x14ac:dyDescent="0.3">
      <c r="B19" s="4" t="s">
        <v>139</v>
      </c>
      <c r="C19" s="5">
        <f>C10-C17</f>
        <v>882811.64868546301</v>
      </c>
    </row>
    <row r="20" spans="2:9" ht="14" customHeight="1" x14ac:dyDescent="0.3">
      <c r="B20" s="4" t="s">
        <v>140</v>
      </c>
      <c r="C20" s="15">
        <f>IFERROR(ROUND(C19*1000000/C7,0),"N/A")</f>
        <v>831</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151513.38964582892</v>
      </c>
    </row>
    <row r="25" spans="2:9" ht="14" customHeight="1" x14ac:dyDescent="0.3">
      <c r="B25" s="4" t="s">
        <v>144</v>
      </c>
      <c r="C25" s="5">
        <f>IFERROR(C24/(1-C13),"N/A")</f>
        <v>202017.85286110523</v>
      </c>
    </row>
    <row r="26" spans="2:9" ht="13.5" customHeight="1" x14ac:dyDescent="0.25">
      <c r="B26" s="6" t="s">
        <v>145</v>
      </c>
      <c r="C26" s="14">
        <f>IFERROR(C25/C15,"N/A")</f>
        <v>1.0854288830801171</v>
      </c>
    </row>
    <row r="27" spans="2:9" ht="13.5" customHeight="1" x14ac:dyDescent="0.25">
      <c r="B27" s="6" t="s">
        <v>146</v>
      </c>
      <c r="C27" s="14">
        <f>IFERROR(C25/C14,"N/A")</f>
        <v>2.0037477966782902</v>
      </c>
    </row>
    <row r="28" spans="2:9" ht="13.5" customHeight="1" x14ac:dyDescent="0.25">
      <c r="B28" s="6" t="s">
        <v>147</v>
      </c>
      <c r="C28" s="7">
        <f>IFERROR(C25/C16,"N/A")</f>
        <v>0.17075971620556324</v>
      </c>
    </row>
    <row r="29" spans="2:9" ht="13.5" customHeight="1" x14ac:dyDescent="0.25">
      <c r="B29" s="6" t="s">
        <v>148</v>
      </c>
      <c r="C29" s="5">
        <f>IFERROR(C25/C18,"N/A")</f>
        <v>957264.69685266609</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5.7577234978016589E-2</v>
      </c>
      <c r="E36" s="29">
        <f>'DCF Model'!C26-0.01</f>
        <v>6.7577234978016598E-2</v>
      </c>
      <c r="F36" s="29">
        <f>'DCF Model'!C26</f>
        <v>7.7577234978016593E-2</v>
      </c>
      <c r="G36" s="29">
        <f>'DCF Model'!C26+0.01</f>
        <v>8.7577234978016588E-2</v>
      </c>
      <c r="H36" s="29">
        <f>'DCF Model'!C26+0.02</f>
        <v>9.7577234978016597E-2</v>
      </c>
    </row>
    <row r="37" spans="2:9" ht="14" customHeight="1" x14ac:dyDescent="0.3">
      <c r="B37" s="3" t="s">
        <v>154</v>
      </c>
    </row>
    <row r="38" spans="2:9" ht="14" customHeight="1" x14ac:dyDescent="0.3">
      <c r="B38" s="4" t="s">
        <v>155</v>
      </c>
      <c r="C38" s="30">
        <v>3</v>
      </c>
      <c r="D38" s="13">
        <f t="shared" ref="D38:H41" si="0">IFERROR((1-(1+D$36)^(-$C38))/D$36-(1+D$36)/(D$36^2*$C38)*(1-($C38+1)/(1+D$36)^$C38+$C38/(1+D$36)^($C38+1)),"N/A")</f>
        <v>0.92839788935140444</v>
      </c>
      <c r="E38" s="13">
        <f t="shared" si="0"/>
        <v>0.91693611859498381</v>
      </c>
      <c r="F38" s="13">
        <f t="shared" si="0"/>
        <v>0.9057379311954854</v>
      </c>
      <c r="G38" s="13">
        <f t="shared" si="0"/>
        <v>0.89479466661176921</v>
      </c>
      <c r="H38" s="13">
        <f t="shared" si="0"/>
        <v>0.88409803011460419</v>
      </c>
    </row>
    <row r="39" spans="2:9" ht="14" customHeight="1" x14ac:dyDescent="0.3">
      <c r="B39" s="4" t="s">
        <v>156</v>
      </c>
      <c r="C39" s="30">
        <v>5</v>
      </c>
      <c r="D39" s="13">
        <f t="shared" si="0"/>
        <v>1.7909297734748919</v>
      </c>
      <c r="E39" s="13">
        <f t="shared" si="0"/>
        <v>1.7585208930194129</v>
      </c>
      <c r="F39" s="13">
        <f t="shared" si="0"/>
        <v>1.7271371875078896</v>
      </c>
      <c r="G39" s="13">
        <f t="shared" si="0"/>
        <v>1.6967344061904028</v>
      </c>
      <c r="H39" s="13">
        <f t="shared" si="0"/>
        <v>1.6672706699643602</v>
      </c>
    </row>
    <row r="40" spans="2:9" ht="14" customHeight="1" x14ac:dyDescent="0.3">
      <c r="B40" s="4" t="s">
        <v>157</v>
      </c>
      <c r="C40" s="30">
        <v>7</v>
      </c>
      <c r="D40" s="13">
        <f t="shared" si="0"/>
        <v>2.5928429516628562</v>
      </c>
      <c r="E40" s="13">
        <f t="shared" si="0"/>
        <v>2.5317054624809585</v>
      </c>
      <c r="F40" s="13">
        <f t="shared" si="0"/>
        <v>2.4730109229113553</v>
      </c>
      <c r="G40" s="13">
        <f t="shared" si="0"/>
        <v>2.4166294691266823</v>
      </c>
      <c r="H40" s="13">
        <f t="shared" si="0"/>
        <v>2.3624396324173835</v>
      </c>
    </row>
    <row r="41" spans="2:9" ht="14" customHeight="1" x14ac:dyDescent="0.3">
      <c r="B41" s="4" t="s">
        <v>158</v>
      </c>
      <c r="C41" s="30">
        <v>10</v>
      </c>
      <c r="D41" s="13">
        <f t="shared" si="0"/>
        <v>3.6924445655553639</v>
      </c>
      <c r="E41" s="13">
        <f t="shared" si="0"/>
        <v>3.5767734873179884</v>
      </c>
      <c r="F41" s="13">
        <f t="shared" si="0"/>
        <v>3.4671037307880628</v>
      </c>
      <c r="G41" s="13">
        <f t="shared" si="0"/>
        <v>3.3630297427654874</v>
      </c>
      <c r="H41" s="13">
        <f t="shared" si="0"/>
        <v>3.2641786804739947</v>
      </c>
    </row>
    <row r="42" spans="2:9" ht="14" customHeight="1" x14ac:dyDescent="0.3">
      <c r="B42" s="3" t="s">
        <v>159</v>
      </c>
    </row>
    <row r="43" spans="2:9" ht="14" customHeight="1" x14ac:dyDescent="0.3">
      <c r="B43" s="4" t="s">
        <v>155</v>
      </c>
      <c r="C43" s="30">
        <v>3</v>
      </c>
      <c r="D43" s="13">
        <f t="shared" ref="D43:H46" si="1">IFERROR((1+D$36)/(D$36^2*$C43)*(1-($C43+1)/(1+D$36)^$C43+$C43/(1+D$36)^($C43+1))+(1+$C$12)/((D$36-$C$12)*(1+D$36)^$C43),"N/A")</f>
        <v>19.703394562572413</v>
      </c>
      <c r="E43" s="13">
        <f t="shared" si="1"/>
        <v>16.135965442260872</v>
      </c>
      <c r="F43" s="13">
        <f t="shared" si="1"/>
        <v>13.627380206132758</v>
      </c>
      <c r="G43" s="13">
        <f t="shared" si="1"/>
        <v>11.768081363471298</v>
      </c>
      <c r="H43" s="13">
        <f t="shared" si="1"/>
        <v>10.335576072219059</v>
      </c>
    </row>
    <row r="44" spans="2:9" ht="14" customHeight="1" x14ac:dyDescent="0.3">
      <c r="B44" s="4" t="s">
        <v>156</v>
      </c>
      <c r="C44" s="30">
        <v>5</v>
      </c>
      <c r="D44" s="13">
        <f t="shared" si="1"/>
        <v>18.495155360849999</v>
      </c>
      <c r="E44" s="13">
        <f t="shared" si="1"/>
        <v>15.017932497784603</v>
      </c>
      <c r="F44" s="13">
        <f t="shared" si="1"/>
        <v>12.577966101879481</v>
      </c>
      <c r="G44" s="13">
        <f t="shared" si="1"/>
        <v>10.77380241641556</v>
      </c>
      <c r="H44" s="13">
        <f t="shared" si="1"/>
        <v>9.3873645139367063</v>
      </c>
    </row>
    <row r="45" spans="2:9" ht="14" customHeight="1" x14ac:dyDescent="0.3">
      <c r="B45" s="4" t="s">
        <v>157</v>
      </c>
      <c r="C45" s="30">
        <v>7</v>
      </c>
      <c r="D45" s="13">
        <f t="shared" si="1"/>
        <v>17.384152588145028</v>
      </c>
      <c r="E45" s="13">
        <f t="shared" si="1"/>
        <v>14.002190203206975</v>
      </c>
      <c r="F45" s="13">
        <f t="shared" si="1"/>
        <v>11.635726357817145</v>
      </c>
      <c r="G45" s="13">
        <f t="shared" si="1"/>
        <v>9.8912972203415066</v>
      </c>
      <c r="H45" s="13">
        <f t="shared" si="1"/>
        <v>8.5551969330595981</v>
      </c>
    </row>
    <row r="46" spans="2:9" ht="14" customHeight="1" x14ac:dyDescent="0.3">
      <c r="B46" s="4" t="s">
        <v>158</v>
      </c>
      <c r="C46" s="30">
        <v>10</v>
      </c>
      <c r="D46" s="13">
        <f t="shared" si="1"/>
        <v>15.88120395079334</v>
      </c>
      <c r="E46" s="13">
        <f t="shared" si="1"/>
        <v>12.647882778274409</v>
      </c>
      <c r="F46" s="13">
        <f t="shared" si="1"/>
        <v>10.396985742337467</v>
      </c>
      <c r="G46" s="13">
        <f t="shared" si="1"/>
        <v>8.7468693129077408</v>
      </c>
      <c r="H46" s="13">
        <f t="shared" si="1"/>
        <v>7.4903393543544077</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146971.39705143546</v>
      </c>
      <c r="E48" s="5">
        <f t="shared" si="2"/>
        <v>179536.26708056949</v>
      </c>
      <c r="F48" s="5">
        <f t="shared" si="2"/>
        <v>212668.90324186874</v>
      </c>
      <c r="G48" s="5">
        <f t="shared" si="2"/>
        <v>246363.29516150919</v>
      </c>
      <c r="H48" s="5">
        <f t="shared" si="2"/>
        <v>280613.45754310547</v>
      </c>
    </row>
    <row r="49" spans="2:9" ht="14" customHeight="1" x14ac:dyDescent="0.3">
      <c r="B49" s="4" t="s">
        <v>156</v>
      </c>
      <c r="C49" s="30">
        <v>5</v>
      </c>
      <c r="D49" s="5">
        <f t="shared" si="2"/>
        <v>151870.84975265138</v>
      </c>
      <c r="E49" s="5">
        <f t="shared" si="2"/>
        <v>187252.30152032941</v>
      </c>
      <c r="F49" s="5">
        <f t="shared" si="2"/>
        <v>223828.43988235161</v>
      </c>
      <c r="G49" s="5">
        <f t="shared" si="2"/>
        <v>261594.89741476887</v>
      </c>
      <c r="H49" s="5">
        <f t="shared" si="2"/>
        <v>300546.790058796</v>
      </c>
    </row>
    <row r="50" spans="2:9" ht="14" customHeight="1" x14ac:dyDescent="0.3">
      <c r="B50" s="4" t="s">
        <v>157</v>
      </c>
      <c r="C50" s="30">
        <v>7</v>
      </c>
      <c r="D50" s="5">
        <f t="shared" si="2"/>
        <v>156926.03136692656</v>
      </c>
      <c r="E50" s="5">
        <f t="shared" si="2"/>
        <v>195268.7341275925</v>
      </c>
      <c r="F50" s="5">
        <f t="shared" si="2"/>
        <v>235490.88859695848</v>
      </c>
      <c r="G50" s="5">
        <f t="shared" si="2"/>
        <v>277596.74555095215</v>
      </c>
      <c r="H50" s="5">
        <f t="shared" si="2"/>
        <v>321588.7791372069</v>
      </c>
    </row>
    <row r="51" spans="2:9" ht="14" customHeight="1" x14ac:dyDescent="0.3">
      <c r="B51" s="4" t="s">
        <v>158</v>
      </c>
      <c r="C51" s="30">
        <v>10</v>
      </c>
      <c r="D51" s="5">
        <f t="shared" si="2"/>
        <v>164796.33708698148</v>
      </c>
      <c r="E51" s="5">
        <f t="shared" si="2"/>
        <v>207847.13487743068</v>
      </c>
      <c r="F51" s="5">
        <f t="shared" si="2"/>
        <v>253908.50463836247</v>
      </c>
      <c r="G51" s="5">
        <f t="shared" si="2"/>
        <v>303008.51050153014</v>
      </c>
      <c r="H51" s="5">
        <f t="shared" si="2"/>
        <v>355169.75670927262</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0.78966782928806167</v>
      </c>
      <c r="E53" s="14">
        <f t="shared" si="3"/>
        <v>0.96463677387769853</v>
      </c>
      <c r="F53" s="14">
        <f t="shared" si="3"/>
        <v>1.1426562892459018</v>
      </c>
      <c r="G53" s="14">
        <f t="shared" si="3"/>
        <v>1.3236940820420873</v>
      </c>
      <c r="H53" s="14">
        <f t="shared" si="3"/>
        <v>1.5077179936551299</v>
      </c>
    </row>
    <row r="54" spans="2:9" ht="14" customHeight="1" x14ac:dyDescent="0.3">
      <c r="B54" s="4" t="s">
        <v>156</v>
      </c>
      <c r="C54" s="30">
        <v>5</v>
      </c>
      <c r="D54" s="14">
        <f t="shared" si="3"/>
        <v>0.8159922723898354</v>
      </c>
      <c r="E54" s="14">
        <f t="shared" si="3"/>
        <v>1.0060945288490604</v>
      </c>
      <c r="F54" s="14">
        <f t="shared" si="3"/>
        <v>1.2026157592621434</v>
      </c>
      <c r="G54" s="14">
        <f t="shared" si="3"/>
        <v>1.4055324977421253</v>
      </c>
      <c r="H54" s="14">
        <f t="shared" si="3"/>
        <v>1.6148185025564212</v>
      </c>
    </row>
    <row r="55" spans="2:9" ht="14" customHeight="1" x14ac:dyDescent="0.3">
      <c r="B55" s="4" t="s">
        <v>157</v>
      </c>
      <c r="C55" s="30">
        <v>7</v>
      </c>
      <c r="D55" s="14">
        <f t="shared" si="3"/>
        <v>0.8431534368891056</v>
      </c>
      <c r="E55" s="14">
        <f t="shared" si="3"/>
        <v>1.0491663037835808</v>
      </c>
      <c r="F55" s="14">
        <f t="shared" si="3"/>
        <v>1.2652773433894544</v>
      </c>
      <c r="G55" s="14">
        <f t="shared" si="3"/>
        <v>1.4915093948513962</v>
      </c>
      <c r="H55" s="14">
        <f t="shared" si="3"/>
        <v>1.727875751604933</v>
      </c>
    </row>
    <row r="56" spans="2:9" ht="14" customHeight="1" x14ac:dyDescent="0.3">
      <c r="B56" s="4" t="s">
        <v>158</v>
      </c>
      <c r="C56" s="30">
        <v>10</v>
      </c>
      <c r="D56" s="14">
        <f t="shared" si="3"/>
        <v>0.88544008149121245</v>
      </c>
      <c r="E56" s="14">
        <f t="shared" si="3"/>
        <v>1.1167492390710769</v>
      </c>
      <c r="F56" s="14">
        <f t="shared" si="3"/>
        <v>1.3642340055145794</v>
      </c>
      <c r="G56" s="14">
        <f t="shared" si="3"/>
        <v>1.628045167590078</v>
      </c>
      <c r="H56" s="14">
        <f t="shared" si="3"/>
        <v>1.9083041764325461</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223828.43988235161</v>
      </c>
    </row>
    <row r="62" spans="2:9" ht="14" customHeight="1" x14ac:dyDescent="0.3">
      <c r="B62" s="28" t="s">
        <v>165</v>
      </c>
      <c r="C62" s="28" t="s">
        <v>166</v>
      </c>
      <c r="D62" s="28" t="s">
        <v>167</v>
      </c>
    </row>
    <row r="63" spans="2:9" ht="14" customHeight="1" x14ac:dyDescent="0.3">
      <c r="B63" s="31">
        <v>0.1055</v>
      </c>
      <c r="C63" s="5">
        <f>IFERROR($C$60/B63,"N/A")</f>
        <v>2121596.5865625744</v>
      </c>
      <c r="D63" s="14">
        <f>IFERROR(C63/'DCF Model'!C17,"N/A")</f>
        <v>2.0991856802403288</v>
      </c>
    </row>
    <row r="64" spans="2:9" ht="14" customHeight="1" x14ac:dyDescent="0.3">
      <c r="B64" s="31">
        <v>0.1583</v>
      </c>
      <c r="C64" s="5">
        <f>IFERROR($C$60/B64,"N/A")</f>
        <v>1413950.9784103071</v>
      </c>
      <c r="D64" s="14">
        <f>IFERROR(C64/'DCF Model'!C17,"N/A")</f>
        <v>1.3990150932745085</v>
      </c>
    </row>
    <row r="65" spans="2:9" ht="14" customHeight="1" x14ac:dyDescent="0.3">
      <c r="B65" s="4" t="s">
        <v>168</v>
      </c>
      <c r="C65" s="5">
        <f>IFERROR($C$60/$C$18,"N/A")</f>
        <v>1060614.4982557474</v>
      </c>
      <c r="D65" s="14">
        <f>IFERROR(C65/'DCF Model'!C17,"N/A")</f>
        <v>1.0494109865631986</v>
      </c>
    </row>
    <row r="66" spans="2:9" ht="14" customHeight="1" x14ac:dyDescent="0.3">
      <c r="B66" s="31">
        <v>0.26379999999999998</v>
      </c>
      <c r="C66" s="5">
        <f>IFERROR($C$60/B66,"N/A")</f>
        <v>848477.78575569228</v>
      </c>
      <c r="D66" s="14">
        <f>IFERROR(C66/'DCF Model'!C17,"N/A")</f>
        <v>0.83951512230991165</v>
      </c>
    </row>
    <row r="67" spans="2:9" ht="14" customHeight="1" x14ac:dyDescent="0.3">
      <c r="B67" s="31">
        <v>0.31659999999999999</v>
      </c>
      <c r="C67" s="5">
        <f>IFERROR($C$60/B67,"N/A")</f>
        <v>706975.48920515354</v>
      </c>
      <c r="D67" s="14">
        <f>IFERROR(C67/'DCF Model'!C17,"N/A")</f>
        <v>0.69950754663725423</v>
      </c>
    </row>
    <row r="69" spans="2:9" ht="14" customHeight="1" x14ac:dyDescent="0.3">
      <c r="B69" s="8" t="s">
        <v>169</v>
      </c>
      <c r="C69" s="9"/>
      <c r="D69" s="9"/>
      <c r="E69" s="9"/>
      <c r="F69" s="9"/>
      <c r="G69" s="9"/>
      <c r="H69" s="9"/>
      <c r="I69" s="9"/>
    </row>
    <row r="70" spans="2:9" ht="13.5" customHeight="1" x14ac:dyDescent="0.25">
      <c r="B70" s="6" t="s">
        <v>170</v>
      </c>
      <c r="C70" s="14">
        <f>IFERROR(C10/'Comps Analysis'!G5,"N/A")</f>
        <v>13.342839484045086</v>
      </c>
    </row>
    <row r="71" spans="2:9" ht="13.5" customHeight="1" x14ac:dyDescent="0.25">
      <c r="B71" s="6" t="s">
        <v>171</v>
      </c>
      <c r="C71" s="14">
        <f>IFERROR(C10/'Comps Analysis'!F5,"N/A")</f>
        <v>2.2183938032970012</v>
      </c>
    </row>
    <row r="72" spans="2:9" ht="14" customHeight="1" x14ac:dyDescent="0.3">
      <c r="B72" s="4" t="s">
        <v>172</v>
      </c>
      <c r="C72" s="14">
        <f>IFERROR(C10/(C25+'DCF Model'!G42),"N/A")</f>
        <v>7.9709116615654585</v>
      </c>
    </row>
    <row r="73" spans="2:9" ht="14" customHeight="1" x14ac:dyDescent="0.3">
      <c r="B73" s="4" t="s">
        <v>173</v>
      </c>
      <c r="C73" s="14">
        <f>IFERROR(C10/(C60+'DCF Model'!G42),"N/A")</f>
        <v>7.3973244967788157</v>
      </c>
    </row>
    <row r="74" spans="2:9" ht="14" customHeight="1" x14ac:dyDescent="0.3">
      <c r="B74" s="4" t="s">
        <v>174</v>
      </c>
      <c r="C74" s="14">
        <f>IFERROR('Comps Analysis'!D16,"N/A")</f>
        <v>13.569190283400809</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2,061 yen the market is paying for a steady-state operating profit of 223,828 mn JPY - 1.20x the FY2023 cycle peak of 186,118 mn - reached in 5 years and sustained for ever, against 100,820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202,018 mn, or 1.09x the peak. The base case supports an EV of only 1,359,266 mn, leaving 831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85.530916930846288</v>
      </c>
      <c r="D5" s="34">
        <f>CHOOSE('DCF Model'!$D$27,D25,D26,D27,D28,D29)</f>
        <v>78</v>
      </c>
      <c r="E5" s="34">
        <f>CHOOSE('DCF Model'!$D$27,E25,E26,E27,E28,E29)</f>
        <v>78</v>
      </c>
      <c r="F5" s="34">
        <f>CHOOSE('DCF Model'!$D$27,F25,F26,F27,F28,F29)</f>
        <v>78</v>
      </c>
      <c r="G5" s="34">
        <f>CHOOSE('DCF Model'!$D$27,G25,G26,G27,G28,G29)</f>
        <v>78</v>
      </c>
      <c r="H5" s="34">
        <f>CHOOSE('DCF Model'!$D$27,H25,H26,H27,H28,H29)</f>
        <v>78</v>
      </c>
    </row>
    <row r="6" spans="2:8" ht="14" customHeight="1" x14ac:dyDescent="0.3">
      <c r="B6" s="33" t="s">
        <v>181</v>
      </c>
      <c r="C6" s="34">
        <f>C13/C10*365</f>
        <v>211.97854094103525</v>
      </c>
      <c r="D6" s="34">
        <f>CHOOSE('DCF Model'!$D$27,D32,D33,D34,D35,D36)</f>
        <v>216</v>
      </c>
      <c r="E6" s="34">
        <f>CHOOSE('DCF Model'!$D$27,E32,E33,E34,E35,E36)</f>
        <v>216</v>
      </c>
      <c r="F6" s="34">
        <f>CHOOSE('DCF Model'!$D$27,F32,F33,F34,F35,F36)</f>
        <v>216</v>
      </c>
      <c r="G6" s="34">
        <f>CHOOSE('DCF Model'!$D$27,G32,G33,G34,G35,G36)</f>
        <v>216</v>
      </c>
      <c r="H6" s="34">
        <f>CHOOSE('DCF Model'!$D$27,H32,H33,H34,H35,H36)</f>
        <v>216</v>
      </c>
    </row>
    <row r="7" spans="2:8" ht="14" customHeight="1" x14ac:dyDescent="0.3">
      <c r="B7" s="33" t="s">
        <v>182</v>
      </c>
      <c r="C7" s="34">
        <f>C15/C10*365</f>
        <v>82.548922279618381</v>
      </c>
      <c r="D7" s="34">
        <f>CHOOSE('DCF Model'!$D$27,D39,D40,D41,D42,D43)</f>
        <v>77</v>
      </c>
      <c r="E7" s="34">
        <f>CHOOSE('DCF Model'!$D$27,E39,E40,E41,E42,E43)</f>
        <v>77</v>
      </c>
      <c r="F7" s="34">
        <f>CHOOSE('DCF Model'!$D$27,F39,F40,F41,F42,F43)</f>
        <v>77</v>
      </c>
      <c r="G7" s="34">
        <f>CHOOSE('DCF Model'!$D$27,G39,G40,G41,G42,G43)</f>
        <v>77</v>
      </c>
      <c r="H7" s="34">
        <f>CHOOSE('DCF Model'!$D$27,H39,H40,H41,H42,H43)</f>
        <v>77</v>
      </c>
    </row>
    <row r="8" spans="2:8" ht="14" customHeight="1" x14ac:dyDescent="0.3">
      <c r="B8" s="8" t="s">
        <v>183</v>
      </c>
      <c r="C8" s="9"/>
      <c r="D8" s="9"/>
      <c r="E8" s="9"/>
      <c r="F8" s="9"/>
      <c r="G8" s="9"/>
      <c r="H8" s="9"/>
    </row>
    <row r="9" spans="2:8" ht="14" customHeight="1" x14ac:dyDescent="0.3">
      <c r="B9" s="33" t="s">
        <v>37</v>
      </c>
      <c r="C9" s="35">
        <v>1010676</v>
      </c>
      <c r="D9" s="35">
        <f>'DCF Model'!C33</f>
        <v>1040996.28</v>
      </c>
      <c r="E9" s="35">
        <f>'DCF Model'!D33</f>
        <v>1077431.1498</v>
      </c>
      <c r="F9" s="35">
        <f>'DCF Model'!E33</f>
        <v>1115141.2400429999</v>
      </c>
      <c r="G9" s="35">
        <f>'DCF Model'!F33</f>
        <v>1148595.4772442898</v>
      </c>
      <c r="H9" s="35">
        <f>'DCF Model'!G33</f>
        <v>1183053.3415616185</v>
      </c>
    </row>
    <row r="10" spans="2:8" ht="14" customHeight="1" x14ac:dyDescent="0.3">
      <c r="B10" s="33" t="s">
        <v>38</v>
      </c>
      <c r="C10" s="35">
        <v>356586</v>
      </c>
      <c r="D10" s="35">
        <f>'DCF Model'!C34</f>
        <v>367471.68683999998</v>
      </c>
      <c r="E10" s="35">
        <f>'DCF Model'!D34</f>
        <v>380333.19587940001</v>
      </c>
      <c r="F10" s="35">
        <f>'DCF Model'!E34</f>
        <v>393644.8577351789</v>
      </c>
      <c r="G10" s="35">
        <f>'DCF Model'!F34</f>
        <v>405454.20346723427</v>
      </c>
      <c r="H10" s="35">
        <f>'DCF Model'!G34</f>
        <v>417617.82957125129</v>
      </c>
    </row>
    <row r="11" spans="2:8" ht="14" customHeight="1" x14ac:dyDescent="0.3">
      <c r="B11" s="8" t="s">
        <v>184</v>
      </c>
      <c r="C11" s="9"/>
      <c r="D11" s="9"/>
      <c r="E11" s="9"/>
      <c r="F11" s="9"/>
      <c r="G11" s="9"/>
      <c r="H11" s="9"/>
    </row>
    <row r="12" spans="2:8" ht="14" customHeight="1" x14ac:dyDescent="0.3">
      <c r="B12" s="33" t="s">
        <v>185</v>
      </c>
      <c r="C12" s="35">
        <v>236833</v>
      </c>
      <c r="D12" s="35">
        <f t="shared" ref="D12:H13" si="0">D9*D5/365</f>
        <v>222459.47901369864</v>
      </c>
      <c r="E12" s="35">
        <f t="shared" si="0"/>
        <v>230245.56077917811</v>
      </c>
      <c r="F12" s="35">
        <f t="shared" si="0"/>
        <v>238304.15540644925</v>
      </c>
      <c r="G12" s="35">
        <f t="shared" si="0"/>
        <v>245453.28006864275</v>
      </c>
      <c r="H12" s="35">
        <f t="shared" si="0"/>
        <v>252816.87847070204</v>
      </c>
    </row>
    <row r="13" spans="2:8" ht="14" customHeight="1" x14ac:dyDescent="0.3">
      <c r="B13" s="33" t="s">
        <v>186</v>
      </c>
      <c r="C13" s="35">
        <v>207092</v>
      </c>
      <c r="D13" s="35">
        <f t="shared" si="0"/>
        <v>217462.69686969862</v>
      </c>
      <c r="E13" s="35">
        <f t="shared" si="0"/>
        <v>225073.89126013807</v>
      </c>
      <c r="F13" s="35">
        <f t="shared" si="0"/>
        <v>232951.47745424285</v>
      </c>
      <c r="G13" s="35">
        <f t="shared" si="0"/>
        <v>239940.02177787016</v>
      </c>
      <c r="H13" s="35">
        <f t="shared" si="0"/>
        <v>247138.22243120626</v>
      </c>
    </row>
    <row r="14" spans="2:8" ht="14" customHeight="1" x14ac:dyDescent="0.3">
      <c r="B14" s="33" t="s">
        <v>187</v>
      </c>
      <c r="C14" s="35">
        <f t="shared" ref="C14:H14" si="1">C12+C13</f>
        <v>443925</v>
      </c>
      <c r="D14" s="35">
        <f t="shared" si="1"/>
        <v>439922.17588339723</v>
      </c>
      <c r="E14" s="35">
        <f t="shared" si="1"/>
        <v>455319.45203931618</v>
      </c>
      <c r="F14" s="35">
        <f t="shared" si="1"/>
        <v>471255.6328606921</v>
      </c>
      <c r="G14" s="35">
        <f t="shared" si="1"/>
        <v>485393.30184651294</v>
      </c>
      <c r="H14" s="35">
        <f t="shared" si="1"/>
        <v>499955.1009019083</v>
      </c>
    </row>
    <row r="15" spans="2:8" ht="14" customHeight="1" x14ac:dyDescent="0.3">
      <c r="B15" s="33" t="s">
        <v>188</v>
      </c>
      <c r="C15" s="35">
        <v>80646</v>
      </c>
      <c r="D15" s="35">
        <f>D10*D7/365</f>
        <v>77521.424347068489</v>
      </c>
      <c r="E15" s="35">
        <f>E10*E7/365</f>
        <v>80234.674199215893</v>
      </c>
      <c r="F15" s="35">
        <f>F10*F7/365</f>
        <v>83042.887796188428</v>
      </c>
      <c r="G15" s="35">
        <f>G10*G7/365</f>
        <v>85534.174430074083</v>
      </c>
      <c r="H15" s="35">
        <f>H10*H7/365</f>
        <v>88100.199662976302</v>
      </c>
    </row>
    <row r="16" spans="2:8" ht="14" customHeight="1" x14ac:dyDescent="0.3">
      <c r="B16" s="33" t="s">
        <v>189</v>
      </c>
      <c r="C16" s="35">
        <f t="shared" ref="C16:H16" si="2">C15</f>
        <v>80646</v>
      </c>
      <c r="D16" s="35">
        <f t="shared" si="2"/>
        <v>77521.424347068489</v>
      </c>
      <c r="E16" s="35">
        <f t="shared" si="2"/>
        <v>80234.674199215893</v>
      </c>
      <c r="F16" s="35">
        <f t="shared" si="2"/>
        <v>83042.887796188428</v>
      </c>
      <c r="G16" s="35">
        <f t="shared" si="2"/>
        <v>85534.174430074083</v>
      </c>
      <c r="H16" s="35">
        <f t="shared" si="2"/>
        <v>88100.199662976302</v>
      </c>
    </row>
    <row r="17" spans="2:8" ht="14" customHeight="1" x14ac:dyDescent="0.3">
      <c r="B17" s="22" t="s">
        <v>190</v>
      </c>
      <c r="C17" s="23"/>
      <c r="D17" s="23"/>
      <c r="E17" s="23"/>
      <c r="F17" s="23"/>
      <c r="G17" s="23"/>
      <c r="H17" s="23"/>
    </row>
    <row r="18" spans="2:8" ht="14" customHeight="1" x14ac:dyDescent="0.3">
      <c r="B18" s="33" t="s">
        <v>191</v>
      </c>
      <c r="C18" s="20">
        <f t="shared" ref="C18:H18" si="3">C14-C16</f>
        <v>363279</v>
      </c>
      <c r="D18" s="20">
        <f t="shared" si="3"/>
        <v>362400.75153632875</v>
      </c>
      <c r="E18" s="20">
        <f t="shared" si="3"/>
        <v>375084.77784010029</v>
      </c>
      <c r="F18" s="20">
        <f t="shared" si="3"/>
        <v>388212.74506450369</v>
      </c>
      <c r="G18" s="20">
        <f t="shared" si="3"/>
        <v>399859.12741643889</v>
      </c>
      <c r="H18" s="20">
        <f t="shared" si="3"/>
        <v>411854.90123893198</v>
      </c>
    </row>
    <row r="19" spans="2:8" ht="14" customHeight="1" x14ac:dyDescent="0.3">
      <c r="B19" s="33" t="s">
        <v>100</v>
      </c>
      <c r="C19" s="36" t="s">
        <v>47</v>
      </c>
      <c r="D19" s="24">
        <f>D18-C18</f>
        <v>-878.24846367124701</v>
      </c>
      <c r="E19" s="24">
        <f>E18-D18</f>
        <v>12684.026303771534</v>
      </c>
      <c r="F19" s="24">
        <f>F18-E18</f>
        <v>13127.967224403401</v>
      </c>
      <c r="G19" s="24">
        <f>G18-F18</f>
        <v>11646.382351935201</v>
      </c>
      <c r="H19" s="24">
        <f>H18-G18</f>
        <v>11995.773822493094</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78</v>
      </c>
      <c r="E25" s="30">
        <v>78</v>
      </c>
      <c r="F25" s="30">
        <v>78</v>
      </c>
      <c r="G25" s="30">
        <v>78</v>
      </c>
      <c r="H25" s="30">
        <v>78</v>
      </c>
    </row>
    <row r="26" spans="2:8" ht="14" customHeight="1" x14ac:dyDescent="0.3">
      <c r="B26" s="4" t="s">
        <v>121</v>
      </c>
      <c r="D26" s="30">
        <v>75</v>
      </c>
      <c r="E26" s="30">
        <v>75</v>
      </c>
      <c r="F26" s="30">
        <v>75</v>
      </c>
      <c r="G26" s="30">
        <v>75</v>
      </c>
      <c r="H26" s="30">
        <v>75</v>
      </c>
    </row>
    <row r="27" spans="2:8" ht="14" customHeight="1" x14ac:dyDescent="0.3">
      <c r="B27" s="4" t="s">
        <v>122</v>
      </c>
      <c r="D27" s="30">
        <v>78</v>
      </c>
      <c r="E27" s="30">
        <v>78</v>
      </c>
      <c r="F27" s="30">
        <v>78</v>
      </c>
      <c r="G27" s="30">
        <v>78</v>
      </c>
      <c r="H27" s="30">
        <v>78</v>
      </c>
    </row>
    <row r="28" spans="2:8" ht="14" customHeight="1" x14ac:dyDescent="0.3">
      <c r="B28" s="4" t="s">
        <v>123</v>
      </c>
      <c r="D28" s="30">
        <v>82</v>
      </c>
      <c r="E28" s="30">
        <v>82</v>
      </c>
      <c r="F28" s="30">
        <v>82</v>
      </c>
      <c r="G28" s="30">
        <v>82</v>
      </c>
      <c r="H28" s="30">
        <v>82</v>
      </c>
    </row>
    <row r="29" spans="2:8" ht="14" customHeight="1" x14ac:dyDescent="0.3">
      <c r="B29" s="4" t="s">
        <v>124</v>
      </c>
      <c r="D29" s="30">
        <v>88</v>
      </c>
      <c r="E29" s="30">
        <v>88</v>
      </c>
      <c r="F29" s="30">
        <v>88</v>
      </c>
      <c r="G29" s="30">
        <v>88</v>
      </c>
      <c r="H29" s="30">
        <v>88</v>
      </c>
    </row>
    <row r="31" spans="2:8" ht="14" customHeight="1" x14ac:dyDescent="0.3">
      <c r="B31" s="3" t="s">
        <v>194</v>
      </c>
    </row>
    <row r="32" spans="2:8" ht="14" customHeight="1" x14ac:dyDescent="0.3">
      <c r="B32" s="4" t="s">
        <v>84</v>
      </c>
      <c r="D32" s="30">
        <v>216</v>
      </c>
      <c r="E32" s="30">
        <v>216</v>
      </c>
      <c r="F32" s="30">
        <v>216</v>
      </c>
      <c r="G32" s="30">
        <v>216</v>
      </c>
      <c r="H32" s="30">
        <v>216</v>
      </c>
    </row>
    <row r="33" spans="2:8" ht="14" customHeight="1" x14ac:dyDescent="0.3">
      <c r="B33" s="4" t="s">
        <v>121</v>
      </c>
      <c r="D33" s="30">
        <v>205</v>
      </c>
      <c r="E33" s="30">
        <v>205</v>
      </c>
      <c r="F33" s="30">
        <v>205</v>
      </c>
      <c r="G33" s="30">
        <v>205</v>
      </c>
      <c r="H33" s="30">
        <v>205</v>
      </c>
    </row>
    <row r="34" spans="2:8" ht="14" customHeight="1" x14ac:dyDescent="0.3">
      <c r="B34" s="4" t="s">
        <v>122</v>
      </c>
      <c r="D34" s="30">
        <v>216</v>
      </c>
      <c r="E34" s="30">
        <v>216</v>
      </c>
      <c r="F34" s="30">
        <v>216</v>
      </c>
      <c r="G34" s="30">
        <v>216</v>
      </c>
      <c r="H34" s="30">
        <v>216</v>
      </c>
    </row>
    <row r="35" spans="2:8" ht="14" customHeight="1" x14ac:dyDescent="0.3">
      <c r="B35" s="4" t="s">
        <v>123</v>
      </c>
      <c r="D35" s="30">
        <v>226</v>
      </c>
      <c r="E35" s="30">
        <v>226</v>
      </c>
      <c r="F35" s="30">
        <v>226</v>
      </c>
      <c r="G35" s="30">
        <v>226</v>
      </c>
      <c r="H35" s="30">
        <v>226</v>
      </c>
    </row>
    <row r="36" spans="2:8" ht="14" customHeight="1" x14ac:dyDescent="0.3">
      <c r="B36" s="4" t="s">
        <v>124</v>
      </c>
      <c r="D36" s="30">
        <v>240</v>
      </c>
      <c r="E36" s="30">
        <v>240</v>
      </c>
      <c r="F36" s="30">
        <v>240</v>
      </c>
      <c r="G36" s="30">
        <v>240</v>
      </c>
      <c r="H36" s="30">
        <v>240</v>
      </c>
    </row>
    <row r="38" spans="2:8" ht="14" customHeight="1" x14ac:dyDescent="0.3">
      <c r="B38" s="3" t="s">
        <v>195</v>
      </c>
    </row>
    <row r="39" spans="2:8" ht="14" customHeight="1" x14ac:dyDescent="0.3">
      <c r="B39" s="4" t="s">
        <v>84</v>
      </c>
      <c r="D39" s="30">
        <v>77</v>
      </c>
      <c r="E39" s="30">
        <v>77</v>
      </c>
      <c r="F39" s="30">
        <v>77</v>
      </c>
      <c r="G39" s="30">
        <v>77</v>
      </c>
      <c r="H39" s="30">
        <v>77</v>
      </c>
    </row>
    <row r="40" spans="2:8" ht="14" customHeight="1" x14ac:dyDescent="0.3">
      <c r="B40" s="4" t="s">
        <v>121</v>
      </c>
      <c r="D40" s="30">
        <v>80</v>
      </c>
      <c r="E40" s="30">
        <v>80</v>
      </c>
      <c r="F40" s="30">
        <v>80</v>
      </c>
      <c r="G40" s="30">
        <v>80</v>
      </c>
      <c r="H40" s="30">
        <v>80</v>
      </c>
    </row>
    <row r="41" spans="2:8" ht="14" customHeight="1" x14ac:dyDescent="0.3">
      <c r="B41" s="4" t="s">
        <v>122</v>
      </c>
      <c r="D41" s="30">
        <v>77</v>
      </c>
      <c r="E41" s="30">
        <v>77</v>
      </c>
      <c r="F41" s="30">
        <v>77</v>
      </c>
      <c r="G41" s="30">
        <v>77</v>
      </c>
      <c r="H41" s="30">
        <v>77</v>
      </c>
    </row>
    <row r="42" spans="2:8" ht="14" customHeight="1" x14ac:dyDescent="0.3">
      <c r="B42" s="4" t="s">
        <v>123</v>
      </c>
      <c r="D42" s="30">
        <v>74</v>
      </c>
      <c r="E42" s="30">
        <v>74</v>
      </c>
      <c r="F42" s="30">
        <v>74</v>
      </c>
      <c r="G42" s="30">
        <v>74</v>
      </c>
      <c r="H42" s="30">
        <v>74</v>
      </c>
    </row>
    <row r="43" spans="2:8" ht="14" customHeight="1" x14ac:dyDescent="0.3">
      <c r="B43" s="4" t="s">
        <v>124</v>
      </c>
      <c r="D43" s="30">
        <v>70</v>
      </c>
      <c r="E43" s="30">
        <v>70</v>
      </c>
      <c r="F43" s="30">
        <v>70</v>
      </c>
      <c r="G43" s="30">
        <v>70</v>
      </c>
      <c r="H43" s="30">
        <v>70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2190539.3755410002</v>
      </c>
      <c r="E5" s="37">
        <f>D5+C24</f>
        <v>2242077.3755410002</v>
      </c>
      <c r="F5" s="37">
        <v>1010676</v>
      </c>
      <c r="G5" s="37">
        <v>168036</v>
      </c>
      <c r="H5" s="37">
        <v>100820</v>
      </c>
      <c r="I5" s="37">
        <v>68172</v>
      </c>
      <c r="J5" s="38">
        <f t="shared" ref="J5:J10" si="0">IFERROR(E5/G5,"")</f>
        <v>13.342839484045086</v>
      </c>
      <c r="K5" s="38">
        <f t="shared" ref="K5:K10" si="1">IFERROR(E5/F5,"")</f>
        <v>2.2183938032970012</v>
      </c>
      <c r="L5" s="38">
        <f t="shared" ref="L5:L10" si="2">IFERROR(D5/I5,"")</f>
        <v>32.132537926729448</v>
      </c>
      <c r="M5" s="38">
        <f t="shared" ref="M5:M10" si="3">IFERROR(D5/P5,"")</f>
        <v>2.6975757050650215</v>
      </c>
      <c r="N5" s="39">
        <f t="shared" ref="N5:N10" si="4">IFERROR(H5/F5,"")</f>
        <v>9.9755015455002399E-2</v>
      </c>
      <c r="O5" s="39">
        <f t="shared" ref="O5:O10" si="5">IFERROR(I5/P5,"")</f>
        <v>8.3951529481306339E-2</v>
      </c>
      <c r="P5" s="37">
        <v>812040</v>
      </c>
    </row>
    <row r="6" spans="2:17" ht="14" customHeight="1" x14ac:dyDescent="0.3">
      <c r="B6" s="4" t="s">
        <v>214</v>
      </c>
      <c r="C6" t="s">
        <v>215</v>
      </c>
      <c r="D6" s="37">
        <v>3587447</v>
      </c>
      <c r="E6" s="37">
        <v>3686749</v>
      </c>
      <c r="F6" s="37">
        <v>1131877</v>
      </c>
      <c r="G6" s="37">
        <v>271700</v>
      </c>
      <c r="H6" s="37">
        <v>176321</v>
      </c>
      <c r="I6" s="37">
        <v>135914</v>
      </c>
      <c r="J6" s="38">
        <f t="shared" si="0"/>
        <v>13.569190283400809</v>
      </c>
      <c r="K6" s="38">
        <f t="shared" si="1"/>
        <v>3.257199324661602</v>
      </c>
      <c r="L6" s="38">
        <f t="shared" si="2"/>
        <v>26.39497770649087</v>
      </c>
      <c r="M6" s="38">
        <f t="shared" si="3"/>
        <v>2.2640748648319446</v>
      </c>
      <c r="N6" s="39">
        <f t="shared" si="4"/>
        <v>0.15577752706345302</v>
      </c>
      <c r="O6" s="39">
        <f t="shared" si="5"/>
        <v>8.5776729573640798E-2</v>
      </c>
      <c r="P6" s="37">
        <v>1584509</v>
      </c>
    </row>
    <row r="7" spans="2:17" ht="14" customHeight="1" x14ac:dyDescent="0.3">
      <c r="B7" s="4" t="s">
        <v>216</v>
      </c>
      <c r="C7" t="s">
        <v>217</v>
      </c>
      <c r="D7" s="37">
        <v>934207</v>
      </c>
      <c r="E7" s="37">
        <v>891105</v>
      </c>
      <c r="F7" s="37">
        <v>120025</v>
      </c>
      <c r="G7" s="37">
        <v>40228</v>
      </c>
      <c r="H7" s="37">
        <v>30083</v>
      </c>
      <c r="I7" s="37">
        <v>12737</v>
      </c>
      <c r="J7" s="38">
        <f t="shared" si="0"/>
        <v>22.151362235259022</v>
      </c>
      <c r="K7" s="38">
        <f t="shared" si="1"/>
        <v>7.424328264944803</v>
      </c>
      <c r="L7" s="38">
        <f t="shared" si="2"/>
        <v>73.34592133155374</v>
      </c>
      <c r="M7" s="38">
        <f t="shared" si="3"/>
        <v>6.2050878416525519</v>
      </c>
      <c r="N7" s="39">
        <f t="shared" si="4"/>
        <v>0.25063945011455946</v>
      </c>
      <c r="O7" s="39">
        <f t="shared" si="5"/>
        <v>8.4600312178273726E-2</v>
      </c>
      <c r="P7" s="37">
        <v>150555</v>
      </c>
    </row>
    <row r="8" spans="2:17" ht="14" customHeight="1" x14ac:dyDescent="0.3">
      <c r="B8" s="4" t="s">
        <v>218</v>
      </c>
      <c r="C8" t="s">
        <v>219</v>
      </c>
      <c r="D8" s="37">
        <v>242278</v>
      </c>
      <c r="E8" s="37">
        <v>231786</v>
      </c>
      <c r="F8" s="37">
        <v>235099</v>
      </c>
      <c r="G8" s="37">
        <v>24566</v>
      </c>
      <c r="H8" s="37">
        <v>18745</v>
      </c>
      <c r="I8" s="37">
        <v>14513</v>
      </c>
      <c r="J8" s="38">
        <f t="shared" si="0"/>
        <v>9.4352356916062856</v>
      </c>
      <c r="K8" s="38">
        <f t="shared" si="1"/>
        <v>0.9859080642622895</v>
      </c>
      <c r="L8" s="38">
        <f t="shared" si="2"/>
        <v>16.693860676634742</v>
      </c>
      <c r="M8" s="38">
        <f t="shared" si="3"/>
        <v>1.3480709095158077</v>
      </c>
      <c r="N8" s="39">
        <f t="shared" si="4"/>
        <v>7.9732368066218917E-2</v>
      </c>
      <c r="O8" s="39">
        <f t="shared" si="5"/>
        <v>8.0752495520860001E-2</v>
      </c>
      <c r="P8" s="37">
        <v>179722</v>
      </c>
    </row>
    <row r="9" spans="2:17" ht="14" customHeight="1" x14ac:dyDescent="0.3">
      <c r="B9" s="4" t="s">
        <v>220</v>
      </c>
      <c r="C9" t="s">
        <v>221</v>
      </c>
      <c r="D9" s="37">
        <v>190922</v>
      </c>
      <c r="E9" s="37">
        <v>217147</v>
      </c>
      <c r="F9" s="37">
        <v>247362</v>
      </c>
      <c r="G9" s="37">
        <v>26537</v>
      </c>
      <c r="H9" s="37">
        <v>4780</v>
      </c>
      <c r="I9" s="37">
        <v>6823</v>
      </c>
      <c r="J9" s="38">
        <f t="shared" si="0"/>
        <v>8.1828013716697434</v>
      </c>
      <c r="K9" s="38">
        <f t="shared" si="1"/>
        <v>0.87785108464517592</v>
      </c>
      <c r="L9" s="38">
        <f t="shared" si="2"/>
        <v>27.982119302359667</v>
      </c>
      <c r="M9" s="38">
        <f t="shared" si="3"/>
        <v>1.3894431951327788</v>
      </c>
      <c r="N9" s="39">
        <f t="shared" si="4"/>
        <v>1.9323905854577501E-2</v>
      </c>
      <c r="O9" s="39">
        <f t="shared" si="5"/>
        <v>4.9654680552220012E-2</v>
      </c>
      <c r="P9" s="37">
        <v>137409</v>
      </c>
    </row>
    <row r="10" spans="2:17" ht="14" customHeight="1" x14ac:dyDescent="0.3">
      <c r="B10" s="4" t="s">
        <v>222</v>
      </c>
      <c r="C10" t="s">
        <v>223</v>
      </c>
      <c r="D10" s="37">
        <v>683936</v>
      </c>
      <c r="E10" s="37">
        <v>645575</v>
      </c>
      <c r="F10" s="37">
        <v>166839</v>
      </c>
      <c r="G10" s="37">
        <v>39365</v>
      </c>
      <c r="H10" s="37">
        <v>33738</v>
      </c>
      <c r="I10" s="37">
        <v>24739</v>
      </c>
      <c r="J10" s="38">
        <f t="shared" si="0"/>
        <v>16.399720563952751</v>
      </c>
      <c r="K10" s="38">
        <f t="shared" si="1"/>
        <v>3.8694489897446043</v>
      </c>
      <c r="L10" s="38">
        <f t="shared" si="2"/>
        <v>27.646064917741217</v>
      </c>
      <c r="M10" s="38">
        <f t="shared" si="3"/>
        <v>3.5678157082046575</v>
      </c>
      <c r="N10" s="39">
        <f t="shared" si="4"/>
        <v>0.20221890565155629</v>
      </c>
      <c r="O10" s="39">
        <f t="shared" si="5"/>
        <v>0.12905329271346297</v>
      </c>
      <c r="P10" s="37">
        <v>191696</v>
      </c>
    </row>
    <row r="14" spans="2:17" ht="14" customHeight="1" x14ac:dyDescent="0.3">
      <c r="B14" s="3" t="s">
        <v>224</v>
      </c>
    </row>
    <row r="15" spans="2:17" ht="14" customHeight="1" x14ac:dyDescent="0.3">
      <c r="B15" s="4" t="s">
        <v>225</v>
      </c>
      <c r="D15" s="38">
        <f t="shared" ref="D15:I15" si="6">PERCENTILE(J6:J10,0.25)</f>
        <v>9.4352356916062856</v>
      </c>
      <c r="E15" s="38">
        <f t="shared" si="6"/>
        <v>0.9859080642622895</v>
      </c>
      <c r="F15" s="38">
        <f t="shared" si="6"/>
        <v>26.39497770649087</v>
      </c>
      <c r="G15" s="38">
        <f t="shared" si="6"/>
        <v>1.3894431951327788</v>
      </c>
      <c r="H15" s="39">
        <f t="shared" si="6"/>
        <v>7.9732368066218917E-2</v>
      </c>
      <c r="I15" s="39">
        <f t="shared" si="6"/>
        <v>8.0752495520860001E-2</v>
      </c>
    </row>
    <row r="16" spans="2:17" ht="14" customHeight="1" x14ac:dyDescent="0.3">
      <c r="B16" s="4" t="s">
        <v>226</v>
      </c>
      <c r="D16" s="38">
        <f t="shared" ref="D16:I16" si="7">MEDIAN(J6:J10)</f>
        <v>13.569190283400809</v>
      </c>
      <c r="E16" s="38">
        <f t="shared" si="7"/>
        <v>3.257199324661602</v>
      </c>
      <c r="F16" s="38">
        <f t="shared" si="7"/>
        <v>27.646064917741217</v>
      </c>
      <c r="G16" s="38">
        <f t="shared" si="7"/>
        <v>2.2640748648319446</v>
      </c>
      <c r="H16" s="39">
        <f t="shared" si="7"/>
        <v>0.15577752706345302</v>
      </c>
      <c r="I16" s="39">
        <f t="shared" si="7"/>
        <v>8.4600312178273726E-2</v>
      </c>
    </row>
    <row r="17" spans="2:9" ht="14" customHeight="1" x14ac:dyDescent="0.3">
      <c r="B17" s="4" t="s">
        <v>227</v>
      </c>
      <c r="D17" s="38">
        <f t="shared" ref="D17:I17" si="8">PERCENTILE(J6:J10,0.75)</f>
        <v>16.399720563952751</v>
      </c>
      <c r="E17" s="38">
        <f t="shared" si="8"/>
        <v>3.8694489897446043</v>
      </c>
      <c r="F17" s="38">
        <f t="shared" si="8"/>
        <v>27.982119302359667</v>
      </c>
      <c r="G17" s="38">
        <f t="shared" si="8"/>
        <v>3.5678157082046575</v>
      </c>
      <c r="H17" s="39">
        <f t="shared" si="8"/>
        <v>0.20221890565155629</v>
      </c>
      <c r="I17" s="39">
        <f t="shared" si="8"/>
        <v>8.5776729573640798E-2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168036</v>
      </c>
    </row>
    <row r="22" spans="2:9" ht="14" customHeight="1" x14ac:dyDescent="0.3">
      <c r="B22" s="4" t="s">
        <v>231</v>
      </c>
      <c r="C22" s="5">
        <v>68172</v>
      </c>
    </row>
    <row r="23" spans="2:9" ht="14" customHeight="1" x14ac:dyDescent="0.3">
      <c r="B23" s="4" t="s">
        <v>232</v>
      </c>
      <c r="C23" s="15">
        <v>1062852681</v>
      </c>
    </row>
    <row r="24" spans="2:9" ht="14" customHeight="1" x14ac:dyDescent="0.3">
      <c r="B24" s="4" t="s">
        <v>73</v>
      </c>
      <c r="C24" s="5">
        <v>51538</v>
      </c>
    </row>
    <row r="26" spans="2:9" ht="14" customHeight="1" x14ac:dyDescent="0.3">
      <c r="B26" s="3" t="s">
        <v>233</v>
      </c>
    </row>
    <row r="27" spans="2:9" ht="14" customHeight="1" x14ac:dyDescent="0.3">
      <c r="B27" s="4" t="s">
        <v>234</v>
      </c>
      <c r="C27" s="24">
        <f>ROUND((C21*D16-C24)*1000000/C23,0)</f>
        <v>2097</v>
      </c>
    </row>
    <row r="28" spans="2:9" ht="14" customHeight="1" x14ac:dyDescent="0.3">
      <c r="B28" s="4" t="s">
        <v>235</v>
      </c>
      <c r="C28" s="24">
        <f>ROUND(C22*F16*1000000/C23,0)</f>
        <v>1773</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7.7577234978016593E-2</v>
      </c>
      <c r="E3" s="4" t="s">
        <v>238</v>
      </c>
      <c r="F3" s="16">
        <f>'DCF Model'!C13</f>
        <v>0.01</v>
      </c>
      <c r="H3" s="4" t="s">
        <v>239</v>
      </c>
      <c r="I3" s="14">
        <f>'DCF Model'!C14</f>
        <v>13.6</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6.2577234978016594E-2</v>
      </c>
      <c r="C7" s="37">
        <f>IFERROR(ROUND(('DCF Model'!C45/(1+$B7)^('DCF Model'!C19+0)+'DCF Model'!D45/(1+$B7)^('DCF Model'!C19+1)+'DCF Model'!E45/(1+$B7)^('DCF Model'!C19+2)+'DCF Model'!F45/(1+$B7)^('DCF Model'!C19+3)+'DCF Model'!G45/(1+$B7)^('DCF Model'!C19+4)+'DCF Model'!G45*(1+C$6)/($B7-C$6)/(1+$B7)^('DCF Model'!C19+4)-'DCF Model'!C16)*1000000/'DCF Model'!C15,0),"")</f>
        <v>1436</v>
      </c>
      <c r="D7" s="37">
        <f>IFERROR(ROUND(('DCF Model'!C45/(1+$B7)^('DCF Model'!C19+0)+'DCF Model'!D45/(1+$B7)^('DCF Model'!C19+1)+'DCF Model'!E45/(1+$B7)^('DCF Model'!C19+2)+'DCF Model'!F45/(1+$B7)^('DCF Model'!C19+3)+'DCF Model'!G45/(1+$B7)^('DCF Model'!C19+4)+'DCF Model'!G45*(1+D$6)/($B7-D$6)/(1+$B7)^('DCF Model'!C19+4)-'DCF Model'!C16)*1000000/'DCF Model'!C15,0),"")</f>
        <v>1489</v>
      </c>
      <c r="E7" s="37">
        <f>IFERROR(ROUND(('DCF Model'!C45/(1+$B7)^('DCF Model'!C19+0)+'DCF Model'!D45/(1+$B7)^('DCF Model'!C19+1)+'DCF Model'!E45/(1+$B7)^('DCF Model'!C19+2)+'DCF Model'!F45/(1+$B7)^('DCF Model'!C19+3)+'DCF Model'!G45/(1+$B7)^('DCF Model'!C19+4)+'DCF Model'!G45*(1+E$6)/($B7-E$6)/(1+$B7)^('DCF Model'!C19+4)-'DCF Model'!C16)*1000000/'DCF Model'!C15,0),"")</f>
        <v>1548</v>
      </c>
      <c r="F7" s="37">
        <f>IFERROR(ROUND(('DCF Model'!C45/(1+$B7)^('DCF Model'!C19+0)+'DCF Model'!D45/(1+$B7)^('DCF Model'!C19+1)+'DCF Model'!E45/(1+$B7)^('DCF Model'!C19+2)+'DCF Model'!F45/(1+$B7)^('DCF Model'!C19+3)+'DCF Model'!G45/(1+$B7)^('DCF Model'!C19+4)+'DCF Model'!G45*(1+F$6)/($B7-F$6)/(1+$B7)^('DCF Model'!C19+4)-'DCF Model'!C16)*1000000/'DCF Model'!C15,0),"")</f>
        <v>1612</v>
      </c>
      <c r="G7" s="37">
        <f>IFERROR(ROUND(('DCF Model'!C45/(1+$B7)^('DCF Model'!C19+0)+'DCF Model'!D45/(1+$B7)^('DCF Model'!C19+1)+'DCF Model'!E45/(1+$B7)^('DCF Model'!C19+2)+'DCF Model'!F45/(1+$B7)^('DCF Model'!C19+3)+'DCF Model'!G45/(1+$B7)^('DCF Model'!C19+4)+'DCF Model'!G45*(1+G$6)/($B7-G$6)/(1+$B7)^('DCF Model'!C19+4)-'DCF Model'!C16)*1000000/'DCF Model'!C15,0),"")</f>
        <v>1682</v>
      </c>
      <c r="H7" s="37">
        <f>IFERROR(ROUND(('DCF Model'!C45/(1+$B7)^('DCF Model'!C19+0)+'DCF Model'!D45/(1+$B7)^('DCF Model'!C19+1)+'DCF Model'!E45/(1+$B7)^('DCF Model'!C19+2)+'DCF Model'!F45/(1+$B7)^('DCF Model'!C19+3)+'DCF Model'!G45/(1+$B7)^('DCF Model'!C19+4)+'DCF Model'!G45*(1+H$6)/($B7-H$6)/(1+$B7)^('DCF Model'!C19+4)-'DCF Model'!C16)*1000000/'DCF Model'!C15,0),"")</f>
        <v>1760</v>
      </c>
      <c r="I7" s="37">
        <f>IFERROR(ROUND(('DCF Model'!C45/(1+$B7)^('DCF Model'!C19+0)+'DCF Model'!D45/(1+$B7)^('DCF Model'!C19+1)+'DCF Model'!E45/(1+$B7)^('DCF Model'!C19+2)+'DCF Model'!F45/(1+$B7)^('DCF Model'!C19+3)+'DCF Model'!G45/(1+$B7)^('DCF Model'!C19+4)+'DCF Model'!G45*(1+I$6)/($B7-I$6)/(1+$B7)^('DCF Model'!C19+4)-'DCF Model'!C16)*1000000/'DCF Model'!C15,0),"")</f>
        <v>1846</v>
      </c>
    </row>
    <row r="8" spans="2:9" ht="13.5" customHeight="1" x14ac:dyDescent="0.25">
      <c r="B8" s="39">
        <f>$C$3-0.01</f>
        <v>6.7577234978016598E-2</v>
      </c>
      <c r="C8" s="37">
        <f>IFERROR(ROUND(('DCF Model'!C45/(1+$B8)^('DCF Model'!C19+0)+'DCF Model'!D45/(1+$B8)^('DCF Model'!C19+1)+'DCF Model'!E45/(1+$B8)^('DCF Model'!C19+2)+'DCF Model'!F45/(1+$B8)^('DCF Model'!C19+3)+'DCF Model'!G45/(1+$B8)^('DCF Model'!C19+4)+'DCF Model'!G45*(1+C$6)/($B8-C$6)/(1+$B8)^('DCF Model'!C19+4)-'DCF Model'!C16)*1000000/'DCF Model'!C15,0),"")</f>
        <v>1317</v>
      </c>
      <c r="D8" s="37">
        <f>IFERROR(ROUND(('DCF Model'!C45/(1+$B8)^('DCF Model'!C19+0)+'DCF Model'!D45/(1+$B8)^('DCF Model'!C19+1)+'DCF Model'!E45/(1+$B8)^('DCF Model'!C19+2)+'DCF Model'!F45/(1+$B8)^('DCF Model'!C19+3)+'DCF Model'!G45/(1+$B8)^('DCF Model'!C19+4)+'DCF Model'!G45*(1+D$6)/($B8-D$6)/(1+$B8)^('DCF Model'!C19+4)-'DCF Model'!C16)*1000000/'DCF Model'!C15,0),"")</f>
        <v>1362</v>
      </c>
      <c r="E8" s="37">
        <f>IFERROR(ROUND(('DCF Model'!C45/(1+$B8)^('DCF Model'!C19+0)+'DCF Model'!D45/(1+$B8)^('DCF Model'!C19+1)+'DCF Model'!E45/(1+$B8)^('DCF Model'!C19+2)+'DCF Model'!F45/(1+$B8)^('DCF Model'!C19+3)+'DCF Model'!G45/(1+$B8)^('DCF Model'!C19+4)+'DCF Model'!G45*(1+E$6)/($B8-E$6)/(1+$B8)^('DCF Model'!C19+4)-'DCF Model'!C16)*1000000/'DCF Model'!C15,0),"")</f>
        <v>1410</v>
      </c>
      <c r="F8" s="37">
        <f>IFERROR(ROUND(('DCF Model'!C45/(1+$B8)^('DCF Model'!C19+0)+'DCF Model'!D45/(1+$B8)^('DCF Model'!C19+1)+'DCF Model'!E45/(1+$B8)^('DCF Model'!C19+2)+'DCF Model'!F45/(1+$B8)^('DCF Model'!C19+3)+'DCF Model'!G45/(1+$B8)^('DCF Model'!C19+4)+'DCF Model'!G45*(1+F$6)/($B8-F$6)/(1+$B8)^('DCF Model'!C19+4)-'DCF Model'!C16)*1000000/'DCF Model'!C15,0),"")</f>
        <v>1462</v>
      </c>
      <c r="G8" s="37">
        <f>IFERROR(ROUND(('DCF Model'!C45/(1+$B8)^('DCF Model'!C19+0)+'DCF Model'!D45/(1+$B8)^('DCF Model'!C19+1)+'DCF Model'!E45/(1+$B8)^('DCF Model'!C19+2)+'DCF Model'!F45/(1+$B8)^('DCF Model'!C19+3)+'DCF Model'!G45/(1+$B8)^('DCF Model'!C19+4)+'DCF Model'!G45*(1+G$6)/($B8-G$6)/(1+$B8)^('DCF Model'!C19+4)-'DCF Model'!C16)*1000000/'DCF Model'!C15,0),"")</f>
        <v>1520</v>
      </c>
      <c r="H8" s="37">
        <f>IFERROR(ROUND(('DCF Model'!C45/(1+$B8)^('DCF Model'!C19+0)+'DCF Model'!D45/(1+$B8)^('DCF Model'!C19+1)+'DCF Model'!E45/(1+$B8)^('DCF Model'!C19+2)+'DCF Model'!F45/(1+$B8)^('DCF Model'!C19+3)+'DCF Model'!G45/(1+$B8)^('DCF Model'!C19+4)+'DCF Model'!G45*(1+H$6)/($B8-H$6)/(1+$B8)^('DCF Model'!C19+4)-'DCF Model'!C16)*1000000/'DCF Model'!C15,0),"")</f>
        <v>1583</v>
      </c>
      <c r="I8" s="37">
        <f>IFERROR(ROUND(('DCF Model'!C45/(1+$B8)^('DCF Model'!C19+0)+'DCF Model'!D45/(1+$B8)^('DCF Model'!C19+1)+'DCF Model'!E45/(1+$B8)^('DCF Model'!C19+2)+'DCF Model'!F45/(1+$B8)^('DCF Model'!C19+3)+'DCF Model'!G45/(1+$B8)^('DCF Model'!C19+4)+'DCF Model'!G45*(1+I$6)/($B8-I$6)/(1+$B8)^('DCF Model'!C19+4)-'DCF Model'!C16)*1000000/'DCF Model'!C15,0),"")</f>
        <v>1652</v>
      </c>
    </row>
    <row r="9" spans="2:9" ht="13.5" customHeight="1" x14ac:dyDescent="0.25">
      <c r="B9" s="39">
        <f>$C$3-0.005</f>
        <v>7.2577234978016589E-2</v>
      </c>
      <c r="C9" s="37">
        <f>IFERROR(ROUND(('DCF Model'!C45/(1+$B9)^('DCF Model'!C19+0)+'DCF Model'!D45/(1+$B9)^('DCF Model'!C19+1)+'DCF Model'!E45/(1+$B9)^('DCF Model'!C19+2)+'DCF Model'!F45/(1+$B9)^('DCF Model'!C19+3)+'DCF Model'!G45/(1+$B9)^('DCF Model'!C19+4)+'DCF Model'!G45*(1+C$6)/($B9-C$6)/(1+$B9)^('DCF Model'!C19+4)-'DCF Model'!C16)*1000000/'DCF Model'!C15,0),"")</f>
        <v>1215</v>
      </c>
      <c r="D9" s="37">
        <f>IFERROR(ROUND(('DCF Model'!C45/(1+$B9)^('DCF Model'!C19+0)+'DCF Model'!D45/(1+$B9)^('DCF Model'!C19+1)+'DCF Model'!E45/(1+$B9)^('DCF Model'!C19+2)+'DCF Model'!F45/(1+$B9)^('DCF Model'!C19+3)+'DCF Model'!G45/(1+$B9)^('DCF Model'!C19+4)+'DCF Model'!G45*(1+D$6)/($B9-D$6)/(1+$B9)^('DCF Model'!C19+4)-'DCF Model'!C16)*1000000/'DCF Model'!C15,0),"")</f>
        <v>1253</v>
      </c>
      <c r="E9" s="37">
        <f>IFERROR(ROUND(('DCF Model'!C45/(1+$B9)^('DCF Model'!C19+0)+'DCF Model'!D45/(1+$B9)^('DCF Model'!C19+1)+'DCF Model'!E45/(1+$B9)^('DCF Model'!C19+2)+'DCF Model'!F45/(1+$B9)^('DCF Model'!C19+3)+'DCF Model'!G45/(1+$B9)^('DCF Model'!C19+4)+'DCF Model'!G45*(1+E$6)/($B9-E$6)/(1+$B9)^('DCF Model'!C19+4)-'DCF Model'!C16)*1000000/'DCF Model'!C15,0),"")</f>
        <v>1293</v>
      </c>
      <c r="F9" s="37">
        <f>IFERROR(ROUND(('DCF Model'!C45/(1+$B9)^('DCF Model'!C19+0)+'DCF Model'!D45/(1+$B9)^('DCF Model'!C19+1)+'DCF Model'!E45/(1+$B9)^('DCF Model'!C19+2)+'DCF Model'!F45/(1+$B9)^('DCF Model'!C19+3)+'DCF Model'!G45/(1+$B9)^('DCF Model'!C19+4)+'DCF Model'!G45*(1+F$6)/($B9-F$6)/(1+$B9)^('DCF Model'!C19+4)-'DCF Model'!C16)*1000000/'DCF Model'!C15,0),"")</f>
        <v>1337</v>
      </c>
      <c r="G9" s="37">
        <f>IFERROR(ROUND(('DCF Model'!C45/(1+$B9)^('DCF Model'!C19+0)+'DCF Model'!D45/(1+$B9)^('DCF Model'!C19+1)+'DCF Model'!E45/(1+$B9)^('DCF Model'!C19+2)+'DCF Model'!F45/(1+$B9)^('DCF Model'!C19+3)+'DCF Model'!G45/(1+$B9)^('DCF Model'!C19+4)+'DCF Model'!G45*(1+G$6)/($B9-G$6)/(1+$B9)^('DCF Model'!C19+4)-'DCF Model'!C16)*1000000/'DCF Model'!C15,0),"")</f>
        <v>1385</v>
      </c>
      <c r="H9" s="37">
        <f>IFERROR(ROUND(('DCF Model'!C45/(1+$B9)^('DCF Model'!C19+0)+'DCF Model'!D45/(1+$B9)^('DCF Model'!C19+1)+'DCF Model'!E45/(1+$B9)^('DCF Model'!C19+2)+'DCF Model'!F45/(1+$B9)^('DCF Model'!C19+3)+'DCF Model'!G45/(1+$B9)^('DCF Model'!C19+4)+'DCF Model'!G45*(1+H$6)/($B9-H$6)/(1+$B9)^('DCF Model'!C19+4)-'DCF Model'!C16)*1000000/'DCF Model'!C15,0),"")</f>
        <v>1436</v>
      </c>
      <c r="I9" s="37">
        <f>IFERROR(ROUND(('DCF Model'!C45/(1+$B9)^('DCF Model'!C19+0)+'DCF Model'!D45/(1+$B9)^('DCF Model'!C19+1)+'DCF Model'!E45/(1+$B9)^('DCF Model'!C19+2)+'DCF Model'!F45/(1+$B9)^('DCF Model'!C19+3)+'DCF Model'!G45/(1+$B9)^('DCF Model'!C19+4)+'DCF Model'!G45*(1+I$6)/($B9-I$6)/(1+$B9)^('DCF Model'!C19+4)-'DCF Model'!C16)*1000000/'DCF Model'!C15,0),"")</f>
        <v>1492</v>
      </c>
    </row>
    <row r="10" spans="2:9" ht="13.5" customHeight="1" x14ac:dyDescent="0.25">
      <c r="B10" s="39">
        <f>$C$3</f>
        <v>7.7577234978016593E-2</v>
      </c>
      <c r="C10" s="37">
        <f>IFERROR(ROUND(('DCF Model'!C45/(1+$B10)^('DCF Model'!C19+0)+'DCF Model'!D45/(1+$B10)^('DCF Model'!C19+1)+'DCF Model'!E45/(1+$B10)^('DCF Model'!C19+2)+'DCF Model'!F45/(1+$B10)^('DCF Model'!C19+3)+'DCF Model'!G45/(1+$B10)^('DCF Model'!C19+4)+'DCF Model'!G45*(1+C$6)/($B10-C$6)/(1+$B10)^('DCF Model'!C19+4)-'DCF Model'!C16)*1000000/'DCF Model'!C15,0),"")</f>
        <v>1127</v>
      </c>
      <c r="D10" s="37">
        <f>IFERROR(ROUND(('DCF Model'!C45/(1+$B10)^('DCF Model'!C19+0)+'DCF Model'!D45/(1+$B10)^('DCF Model'!C19+1)+'DCF Model'!E45/(1+$B10)^('DCF Model'!C19+2)+'DCF Model'!F45/(1+$B10)^('DCF Model'!C19+3)+'DCF Model'!G45/(1+$B10)^('DCF Model'!C19+4)+'DCF Model'!G45*(1+D$6)/($B10-D$6)/(1+$B10)^('DCF Model'!C19+4)-'DCF Model'!C16)*1000000/'DCF Model'!C15,0),"")</f>
        <v>1159</v>
      </c>
      <c r="E10" s="37">
        <f>IFERROR(ROUND(('DCF Model'!C45/(1+$B10)^('DCF Model'!C19+0)+'DCF Model'!D45/(1+$B10)^('DCF Model'!C19+1)+'DCF Model'!E45/(1+$B10)^('DCF Model'!C19+2)+'DCF Model'!F45/(1+$B10)^('DCF Model'!C19+3)+'DCF Model'!G45/(1+$B10)^('DCF Model'!C19+4)+'DCF Model'!G45*(1+E$6)/($B10-E$6)/(1+$B10)^('DCF Model'!C19+4)-'DCF Model'!C16)*1000000/'DCF Model'!C15,0),"")</f>
        <v>1193</v>
      </c>
      <c r="F10" s="37">
        <f>IFERROR(ROUND(('DCF Model'!C45/(1+$B10)^('DCF Model'!C19+0)+'DCF Model'!D45/(1+$B10)^('DCF Model'!C19+1)+'DCF Model'!E45/(1+$B10)^('DCF Model'!C19+2)+'DCF Model'!F45/(1+$B10)^('DCF Model'!C19+3)+'DCF Model'!G45/(1+$B10)^('DCF Model'!C19+4)+'DCF Model'!G45*(1+F$6)/($B10-F$6)/(1+$B10)^('DCF Model'!C19+4)-'DCF Model'!C16)*1000000/'DCF Model'!C15,0),"")</f>
        <v>1230</v>
      </c>
      <c r="G10" s="37">
        <f>IFERROR(ROUND(('DCF Model'!C45/(1+$B10)^('DCF Model'!C19+0)+'DCF Model'!D45/(1+$B10)^('DCF Model'!C19+1)+'DCF Model'!E45/(1+$B10)^('DCF Model'!C19+2)+'DCF Model'!F45/(1+$B10)^('DCF Model'!C19+3)+'DCF Model'!G45/(1+$B10)^('DCF Model'!C19+4)+'DCF Model'!G45*(1+G$6)/($B10-G$6)/(1+$B10)^('DCF Model'!C19+4)-'DCF Model'!C16)*1000000/'DCF Model'!C15,0),"")</f>
        <v>1270</v>
      </c>
      <c r="H10" s="37">
        <f>IFERROR(ROUND(('DCF Model'!C45/(1+$B10)^('DCF Model'!C19+0)+'DCF Model'!D45/(1+$B10)^('DCF Model'!C19+1)+'DCF Model'!E45/(1+$B10)^('DCF Model'!C19+2)+'DCF Model'!F45/(1+$B10)^('DCF Model'!C19+3)+'DCF Model'!G45/(1+$B10)^('DCF Model'!C19+4)+'DCF Model'!G45*(1+H$6)/($B10-H$6)/(1+$B10)^('DCF Model'!C19+4)-'DCF Model'!C16)*1000000/'DCF Model'!C15,0),"")</f>
        <v>1313</v>
      </c>
      <c r="I10" s="37">
        <f>IFERROR(ROUND(('DCF Model'!C45/(1+$B10)^('DCF Model'!C19+0)+'DCF Model'!D45/(1+$B10)^('DCF Model'!C19+1)+'DCF Model'!E45/(1+$B10)^('DCF Model'!C19+2)+'DCF Model'!F45/(1+$B10)^('DCF Model'!C19+3)+'DCF Model'!G45/(1+$B10)^('DCF Model'!C19+4)+'DCF Model'!G45*(1+I$6)/($B10-I$6)/(1+$B10)^('DCF Model'!C19+4)-'DCF Model'!C16)*1000000/'DCF Model'!C15,0),"")</f>
        <v>1360</v>
      </c>
    </row>
    <row r="11" spans="2:9" ht="13.5" customHeight="1" x14ac:dyDescent="0.25">
      <c r="B11" s="39">
        <f>$C$3+0.005</f>
        <v>8.2577234978016598E-2</v>
      </c>
      <c r="C11" s="37">
        <f>IFERROR(ROUND(('DCF Model'!C45/(1+$B11)^('DCF Model'!C19+0)+'DCF Model'!D45/(1+$B11)^('DCF Model'!C19+1)+'DCF Model'!E45/(1+$B11)^('DCF Model'!C19+2)+'DCF Model'!F45/(1+$B11)^('DCF Model'!C19+3)+'DCF Model'!G45/(1+$B11)^('DCF Model'!C19+4)+'DCF Model'!G45*(1+C$6)/($B11-C$6)/(1+$B11)^('DCF Model'!C19+4)-'DCF Model'!C16)*1000000/'DCF Model'!C15,0),"")</f>
        <v>1050</v>
      </c>
      <c r="D11" s="37">
        <f>IFERROR(ROUND(('DCF Model'!C45/(1+$B11)^('DCF Model'!C19+0)+'DCF Model'!D45/(1+$B11)^('DCF Model'!C19+1)+'DCF Model'!E45/(1+$B11)^('DCF Model'!C19+2)+'DCF Model'!F45/(1+$B11)^('DCF Model'!C19+3)+'DCF Model'!G45/(1+$B11)^('DCF Model'!C19+4)+'DCF Model'!G45*(1+D$6)/($B11-D$6)/(1+$B11)^('DCF Model'!C19+4)-'DCF Model'!C16)*1000000/'DCF Model'!C15,0),"")</f>
        <v>1077</v>
      </c>
      <c r="E11" s="37">
        <f>IFERROR(ROUND(('DCF Model'!C45/(1+$B11)^('DCF Model'!C19+0)+'DCF Model'!D45/(1+$B11)^('DCF Model'!C19+1)+'DCF Model'!E45/(1+$B11)^('DCF Model'!C19+2)+'DCF Model'!F45/(1+$B11)^('DCF Model'!C19+3)+'DCF Model'!G45/(1+$B11)^('DCF Model'!C19+4)+'DCF Model'!G45*(1+E$6)/($B11-E$6)/(1+$B11)^('DCF Model'!C19+4)-'DCF Model'!C16)*1000000/'DCF Model'!C15,0),"")</f>
        <v>1107</v>
      </c>
      <c r="F11" s="37">
        <f>IFERROR(ROUND(('DCF Model'!C45/(1+$B11)^('DCF Model'!C19+0)+'DCF Model'!D45/(1+$B11)^('DCF Model'!C19+1)+'DCF Model'!E45/(1+$B11)^('DCF Model'!C19+2)+'DCF Model'!F45/(1+$B11)^('DCF Model'!C19+3)+'DCF Model'!G45/(1+$B11)^('DCF Model'!C19+4)+'DCF Model'!G45*(1+F$6)/($B11-F$6)/(1+$B11)^('DCF Model'!C19+4)-'DCF Model'!C16)*1000000/'DCF Model'!C15,0),"")</f>
        <v>1138</v>
      </c>
      <c r="G11" s="37">
        <f>IFERROR(ROUND(('DCF Model'!C45/(1+$B11)^('DCF Model'!C19+0)+'DCF Model'!D45/(1+$B11)^('DCF Model'!C19+1)+'DCF Model'!E45/(1+$B11)^('DCF Model'!C19+2)+'DCF Model'!F45/(1+$B11)^('DCF Model'!C19+3)+'DCF Model'!G45/(1+$B11)^('DCF Model'!C19+4)+'DCF Model'!G45*(1+G$6)/($B11-G$6)/(1+$B11)^('DCF Model'!C19+4)-'DCF Model'!C16)*1000000/'DCF Model'!C15,0),"")</f>
        <v>1172</v>
      </c>
      <c r="H11" s="37">
        <f>IFERROR(ROUND(('DCF Model'!C45/(1+$B11)^('DCF Model'!C19+0)+'DCF Model'!D45/(1+$B11)^('DCF Model'!C19+1)+'DCF Model'!E45/(1+$B11)^('DCF Model'!C19+2)+'DCF Model'!F45/(1+$B11)^('DCF Model'!C19+3)+'DCF Model'!G45/(1+$B11)^('DCF Model'!C19+4)+'DCF Model'!G45*(1+H$6)/($B11-H$6)/(1+$B11)^('DCF Model'!C19+4)-'DCF Model'!C16)*1000000/'DCF Model'!C15,0),"")</f>
        <v>1209</v>
      </c>
      <c r="I11" s="37">
        <f>IFERROR(ROUND(('DCF Model'!C45/(1+$B11)^('DCF Model'!C19+0)+'DCF Model'!D45/(1+$B11)^('DCF Model'!C19+1)+'DCF Model'!E45/(1+$B11)^('DCF Model'!C19+2)+'DCF Model'!F45/(1+$B11)^('DCF Model'!C19+3)+'DCF Model'!G45/(1+$B11)^('DCF Model'!C19+4)+'DCF Model'!G45*(1+I$6)/($B11-I$6)/(1+$B11)^('DCF Model'!C19+4)-'DCF Model'!C16)*1000000/'DCF Model'!C15,0),"")</f>
        <v>1248</v>
      </c>
    </row>
    <row r="12" spans="2:9" ht="13.5" customHeight="1" x14ac:dyDescent="0.25">
      <c r="B12" s="39">
        <f>$C$3+0.01</f>
        <v>8.7577234978016588E-2</v>
      </c>
      <c r="C12" s="37">
        <f>IFERROR(ROUND(('DCF Model'!C45/(1+$B12)^('DCF Model'!C19+0)+'DCF Model'!D45/(1+$B12)^('DCF Model'!C19+1)+'DCF Model'!E45/(1+$B12)^('DCF Model'!C19+2)+'DCF Model'!F45/(1+$B12)^('DCF Model'!C19+3)+'DCF Model'!G45/(1+$B12)^('DCF Model'!C19+4)+'DCF Model'!G45*(1+C$6)/($B12-C$6)/(1+$B12)^('DCF Model'!C19+4)-'DCF Model'!C16)*1000000/'DCF Model'!C15,0),"")</f>
        <v>982</v>
      </c>
      <c r="D12" s="37">
        <f>IFERROR(ROUND(('DCF Model'!C45/(1+$B12)^('DCF Model'!C19+0)+'DCF Model'!D45/(1+$B12)^('DCF Model'!C19+1)+'DCF Model'!E45/(1+$B12)^('DCF Model'!C19+2)+'DCF Model'!F45/(1+$B12)^('DCF Model'!C19+3)+'DCF Model'!G45/(1+$B12)^('DCF Model'!C19+4)+'DCF Model'!G45*(1+D$6)/($B12-D$6)/(1+$B12)^('DCF Model'!C19+4)-'DCF Model'!C16)*1000000/'DCF Model'!C15,0),"")</f>
        <v>1006</v>
      </c>
      <c r="E12" s="37">
        <f>IFERROR(ROUND(('DCF Model'!C45/(1+$B12)^('DCF Model'!C19+0)+'DCF Model'!D45/(1+$B12)^('DCF Model'!C19+1)+'DCF Model'!E45/(1+$B12)^('DCF Model'!C19+2)+'DCF Model'!F45/(1+$B12)^('DCF Model'!C19+3)+'DCF Model'!G45/(1+$B12)^('DCF Model'!C19+4)+'DCF Model'!G45*(1+E$6)/($B12-E$6)/(1+$B12)^('DCF Model'!C19+4)-'DCF Model'!C16)*1000000/'DCF Model'!C15,0),"")</f>
        <v>1031</v>
      </c>
      <c r="F12" s="37">
        <f>IFERROR(ROUND(('DCF Model'!C45/(1+$B12)^('DCF Model'!C19+0)+'DCF Model'!D45/(1+$B12)^('DCF Model'!C19+1)+'DCF Model'!E45/(1+$B12)^('DCF Model'!C19+2)+'DCF Model'!F45/(1+$B12)^('DCF Model'!C19+3)+'DCF Model'!G45/(1+$B12)^('DCF Model'!C19+4)+'DCF Model'!G45*(1+F$6)/($B12-F$6)/(1+$B12)^('DCF Model'!C19+4)-'DCF Model'!C16)*1000000/'DCF Model'!C15,0),"")</f>
        <v>1058</v>
      </c>
      <c r="G12" s="37">
        <f>IFERROR(ROUND(('DCF Model'!C45/(1+$B12)^('DCF Model'!C19+0)+'DCF Model'!D45/(1+$B12)^('DCF Model'!C19+1)+'DCF Model'!E45/(1+$B12)^('DCF Model'!C19+2)+'DCF Model'!F45/(1+$B12)^('DCF Model'!C19+3)+'DCF Model'!G45/(1+$B12)^('DCF Model'!C19+4)+'DCF Model'!G45*(1+G$6)/($B12-G$6)/(1+$B12)^('DCF Model'!C19+4)-'DCF Model'!C16)*1000000/'DCF Model'!C15,0),"")</f>
        <v>1087</v>
      </c>
      <c r="H12" s="37">
        <f>IFERROR(ROUND(('DCF Model'!C45/(1+$B12)^('DCF Model'!C19+0)+'DCF Model'!D45/(1+$B12)^('DCF Model'!C19+1)+'DCF Model'!E45/(1+$B12)^('DCF Model'!C19+2)+'DCF Model'!F45/(1+$B12)^('DCF Model'!C19+3)+'DCF Model'!G45/(1+$B12)^('DCF Model'!C19+4)+'DCF Model'!G45*(1+H$6)/($B12-H$6)/(1+$B12)^('DCF Model'!C19+4)-'DCF Model'!C16)*1000000/'DCF Model'!C15,0),"")</f>
        <v>1118</v>
      </c>
      <c r="I12" s="37">
        <f>IFERROR(ROUND(('DCF Model'!C45/(1+$B12)^('DCF Model'!C19+0)+'DCF Model'!D45/(1+$B12)^('DCF Model'!C19+1)+'DCF Model'!E45/(1+$B12)^('DCF Model'!C19+2)+'DCF Model'!F45/(1+$B12)^('DCF Model'!C19+3)+'DCF Model'!G45/(1+$B12)^('DCF Model'!C19+4)+'DCF Model'!G45*(1+I$6)/($B12-I$6)/(1+$B12)^('DCF Model'!C19+4)-'DCF Model'!C16)*1000000/'DCF Model'!C15,0),"")</f>
        <v>1152</v>
      </c>
    </row>
    <row r="13" spans="2:9" ht="13.5" customHeight="1" x14ac:dyDescent="0.25">
      <c r="B13" s="39">
        <f>$C$3+0.015</f>
        <v>9.2577234978016593E-2</v>
      </c>
      <c r="C13" s="37">
        <f>IFERROR(ROUND(('DCF Model'!C45/(1+$B13)^('DCF Model'!C19+0)+'DCF Model'!D45/(1+$B13)^('DCF Model'!C19+1)+'DCF Model'!E45/(1+$B13)^('DCF Model'!C19+2)+'DCF Model'!F45/(1+$B13)^('DCF Model'!C19+3)+'DCF Model'!G45/(1+$B13)^('DCF Model'!C19+4)+'DCF Model'!G45*(1+C$6)/($B13-C$6)/(1+$B13)^('DCF Model'!C19+4)-'DCF Model'!C16)*1000000/'DCF Model'!C15,0),"")</f>
        <v>921</v>
      </c>
      <c r="D13" s="37">
        <f>IFERROR(ROUND(('DCF Model'!C45/(1+$B13)^('DCF Model'!C19+0)+'DCF Model'!D45/(1+$B13)^('DCF Model'!C19+1)+'DCF Model'!E45/(1+$B13)^('DCF Model'!C19+2)+'DCF Model'!F45/(1+$B13)^('DCF Model'!C19+3)+'DCF Model'!G45/(1+$B13)^('DCF Model'!C19+4)+'DCF Model'!G45*(1+D$6)/($B13-D$6)/(1+$B13)^('DCF Model'!C19+4)-'DCF Model'!C16)*1000000/'DCF Model'!C15,0),"")</f>
        <v>942</v>
      </c>
      <c r="E13" s="37">
        <f>IFERROR(ROUND(('DCF Model'!C45/(1+$B13)^('DCF Model'!C19+0)+'DCF Model'!D45/(1+$B13)^('DCF Model'!C19+1)+'DCF Model'!E45/(1+$B13)^('DCF Model'!C19+2)+'DCF Model'!F45/(1+$B13)^('DCF Model'!C19+3)+'DCF Model'!G45/(1+$B13)^('DCF Model'!C19+4)+'DCF Model'!G45*(1+E$6)/($B13-E$6)/(1+$B13)^('DCF Model'!C19+4)-'DCF Model'!C16)*1000000/'DCF Model'!C15,0),"")</f>
        <v>965</v>
      </c>
      <c r="F13" s="37">
        <f>IFERROR(ROUND(('DCF Model'!C45/(1+$B13)^('DCF Model'!C19+0)+'DCF Model'!D45/(1+$B13)^('DCF Model'!C19+1)+'DCF Model'!E45/(1+$B13)^('DCF Model'!C19+2)+'DCF Model'!F45/(1+$B13)^('DCF Model'!C19+3)+'DCF Model'!G45/(1+$B13)^('DCF Model'!C19+4)+'DCF Model'!G45*(1+F$6)/($B13-F$6)/(1+$B13)^('DCF Model'!C19+4)-'DCF Model'!C16)*1000000/'DCF Model'!C15,0),"")</f>
        <v>988</v>
      </c>
      <c r="G13" s="37">
        <f>IFERROR(ROUND(('DCF Model'!C45/(1+$B13)^('DCF Model'!C19+0)+'DCF Model'!D45/(1+$B13)^('DCF Model'!C19+1)+'DCF Model'!E45/(1+$B13)^('DCF Model'!C19+2)+'DCF Model'!F45/(1+$B13)^('DCF Model'!C19+3)+'DCF Model'!G45/(1+$B13)^('DCF Model'!C19+4)+'DCF Model'!G45*(1+G$6)/($B13-G$6)/(1+$B13)^('DCF Model'!C19+4)-'DCF Model'!C16)*1000000/'DCF Model'!C15,0),"")</f>
        <v>1013</v>
      </c>
      <c r="H13" s="37">
        <f>IFERROR(ROUND(('DCF Model'!C45/(1+$B13)^('DCF Model'!C19+0)+'DCF Model'!D45/(1+$B13)^('DCF Model'!C19+1)+'DCF Model'!E45/(1+$B13)^('DCF Model'!C19+2)+'DCF Model'!F45/(1+$B13)^('DCF Model'!C19+3)+'DCF Model'!G45/(1+$B13)^('DCF Model'!C19+4)+'DCF Model'!G45*(1+H$6)/($B13-H$6)/(1+$B13)^('DCF Model'!C19+4)-'DCF Model'!C16)*1000000/'DCF Model'!C15,0),"")</f>
        <v>1040</v>
      </c>
      <c r="I13" s="37">
        <f>IFERROR(ROUND(('DCF Model'!C45/(1+$B13)^('DCF Model'!C19+0)+'DCF Model'!D45/(1+$B13)^('DCF Model'!C19+1)+'DCF Model'!E45/(1+$B13)^('DCF Model'!C19+2)+'DCF Model'!F45/(1+$B13)^('DCF Model'!C19+3)+'DCF Model'!G45/(1+$B13)^('DCF Model'!C19+4)+'DCF Model'!G45*(1+I$6)/($B13-I$6)/(1+$B13)^('DCF Model'!C19+4)-'DCF Model'!C16)*1000000/'DCF Model'!C15,0),"")</f>
        <v>1068</v>
      </c>
    </row>
    <row r="16" spans="2:9" ht="14" customHeight="1" x14ac:dyDescent="0.3">
      <c r="B16" s="3" t="s">
        <v>242</v>
      </c>
    </row>
    <row r="17" spans="2:9" ht="14" customHeight="1" x14ac:dyDescent="0.3">
      <c r="B17" s="40" t="s">
        <v>243</v>
      </c>
      <c r="C17" s="42">
        <f>$I$3-3</f>
        <v>10.6</v>
      </c>
      <c r="D17" s="42">
        <f>$I$3-2</f>
        <v>11.6</v>
      </c>
      <c r="E17" s="42">
        <f>$I$3-1</f>
        <v>12.6</v>
      </c>
      <c r="F17" s="42">
        <f>$I$3</f>
        <v>13.6</v>
      </c>
      <c r="G17" s="42">
        <f>$I$3+1</f>
        <v>14.6</v>
      </c>
      <c r="H17" s="42">
        <f>$I$3+2</f>
        <v>15.6</v>
      </c>
      <c r="I17" s="42">
        <f>$I$3+3</f>
        <v>16.600000000000001</v>
      </c>
    </row>
    <row r="18" spans="2:9" ht="13.5" customHeight="1" x14ac:dyDescent="0.25">
      <c r="B18" s="39">
        <f>$C$3-0.015</f>
        <v>6.2577234978016594E-2</v>
      </c>
      <c r="C18" s="37">
        <f>IFERROR(ROUND(('DCF Model'!C45/(1+$B18)^('DCF Model'!C19+0)+'DCF Model'!D45/(1+$B18)^('DCF Model'!C19+1)+'DCF Model'!E45/(1+$B18)^('DCF Model'!C19+2)+'DCF Model'!F45/(1+$B18)^('DCF Model'!C19+3)+'DCF Model'!G45/(1+$B18)^('DCF Model'!C19+4)+('DCF Model'!G39+'DCF Model'!G42)*C$17/(1+$B18)^('DCF Model'!C19+4)-'DCF Model'!C16)*1000000/'DCF Model'!C15,0),"")</f>
        <v>1998</v>
      </c>
      <c r="D18" s="37">
        <f>IFERROR(ROUND(('DCF Model'!C45/(1+$B18)^('DCF Model'!C19+0)+'DCF Model'!D45/(1+$B18)^('DCF Model'!C19+1)+'DCF Model'!E45/(1+$B18)^('DCF Model'!C19+2)+'DCF Model'!F45/(1+$B18)^('DCF Model'!C19+3)+'DCF Model'!G45/(1+$B18)^('DCF Model'!C19+4)+('DCF Model'!G39+'DCF Model'!G42)*D$17/(1+$B18)^('DCF Model'!C19+4)-'DCF Model'!C16)*1000000/'DCF Model'!C15,0),"")</f>
        <v>2161</v>
      </c>
      <c r="E18" s="37">
        <f>IFERROR(ROUND(('DCF Model'!C45/(1+$B18)^('DCF Model'!C19+0)+'DCF Model'!D45/(1+$B18)^('DCF Model'!C19+1)+'DCF Model'!E45/(1+$B18)^('DCF Model'!C19+2)+'DCF Model'!F45/(1+$B18)^('DCF Model'!C19+3)+'DCF Model'!G45/(1+$B18)^('DCF Model'!C19+4)+('DCF Model'!G39+'DCF Model'!G42)*E$17/(1+$B18)^('DCF Model'!C19+4)-'DCF Model'!C16)*1000000/'DCF Model'!C15,0),"")</f>
        <v>2323</v>
      </c>
      <c r="F18" s="37">
        <f>IFERROR(ROUND(('DCF Model'!C45/(1+$B18)^('DCF Model'!C19+0)+'DCF Model'!D45/(1+$B18)^('DCF Model'!C19+1)+'DCF Model'!E45/(1+$B18)^('DCF Model'!C19+2)+'DCF Model'!F45/(1+$B18)^('DCF Model'!C19+3)+'DCF Model'!G45/(1+$B18)^('DCF Model'!C19+4)+('DCF Model'!G39+'DCF Model'!G42)*F$17/(1+$B18)^('DCF Model'!C19+4)-'DCF Model'!C16)*1000000/'DCF Model'!C15,0),"")</f>
        <v>2486</v>
      </c>
      <c r="G18" s="37">
        <f>IFERROR(ROUND(('DCF Model'!C45/(1+$B18)^('DCF Model'!C19+0)+'DCF Model'!D45/(1+$B18)^('DCF Model'!C19+1)+'DCF Model'!E45/(1+$B18)^('DCF Model'!C19+2)+'DCF Model'!F45/(1+$B18)^('DCF Model'!C19+3)+'DCF Model'!G45/(1+$B18)^('DCF Model'!C19+4)+('DCF Model'!G39+'DCF Model'!G42)*G$17/(1+$B18)^('DCF Model'!C19+4)-'DCF Model'!C16)*1000000/'DCF Model'!C15,0),"")</f>
        <v>2649</v>
      </c>
      <c r="H18" s="37">
        <f>IFERROR(ROUND(('DCF Model'!C45/(1+$B18)^('DCF Model'!C19+0)+'DCF Model'!D45/(1+$B18)^('DCF Model'!C19+1)+'DCF Model'!E45/(1+$B18)^('DCF Model'!C19+2)+'DCF Model'!F45/(1+$B18)^('DCF Model'!C19+3)+'DCF Model'!G45/(1+$B18)^('DCF Model'!C19+4)+('DCF Model'!G39+'DCF Model'!G42)*H$17/(1+$B18)^('DCF Model'!C19+4)-'DCF Model'!C16)*1000000/'DCF Model'!C15,0),"")</f>
        <v>2812</v>
      </c>
      <c r="I18" s="37">
        <f>IFERROR(ROUND(('DCF Model'!C45/(1+$B18)^('DCF Model'!C19+0)+'DCF Model'!D45/(1+$B18)^('DCF Model'!C19+1)+'DCF Model'!E45/(1+$B18)^('DCF Model'!C19+2)+'DCF Model'!F45/(1+$B18)^('DCF Model'!C19+3)+'DCF Model'!G45/(1+$B18)^('DCF Model'!C19+4)+('DCF Model'!G39+'DCF Model'!G42)*I$17/(1+$B18)^('DCF Model'!C19+4)-'DCF Model'!C16)*1000000/'DCF Model'!C15,0),"")</f>
        <v>2975</v>
      </c>
    </row>
    <row r="19" spans="2:9" ht="13.5" customHeight="1" x14ac:dyDescent="0.25">
      <c r="B19" s="39">
        <f>$C$3-0.01</f>
        <v>6.7577234978016598E-2</v>
      </c>
      <c r="C19" s="37">
        <f>IFERROR(ROUND(('DCF Model'!C45/(1+$B19)^('DCF Model'!C19+0)+'DCF Model'!D45/(1+$B19)^('DCF Model'!C19+1)+'DCF Model'!E45/(1+$B19)^('DCF Model'!C19+2)+'DCF Model'!F45/(1+$B19)^('DCF Model'!C19+3)+'DCF Model'!G45/(1+$B19)^('DCF Model'!C19+4)+('DCF Model'!G39+'DCF Model'!G42)*C$17/(1+$B19)^('DCF Model'!C19+4)-'DCF Model'!C16)*1000000/'DCF Model'!C15,0),"")</f>
        <v>1953</v>
      </c>
      <c r="D19" s="37">
        <f>IFERROR(ROUND(('DCF Model'!C45/(1+$B19)^('DCF Model'!C19+0)+'DCF Model'!D45/(1+$B19)^('DCF Model'!C19+1)+'DCF Model'!E45/(1+$B19)^('DCF Model'!C19+2)+'DCF Model'!F45/(1+$B19)^('DCF Model'!C19+3)+'DCF Model'!G45/(1+$B19)^('DCF Model'!C19+4)+('DCF Model'!G39+'DCF Model'!G42)*D$17/(1+$B19)^('DCF Model'!C19+4)-'DCF Model'!C16)*1000000/'DCF Model'!C15,0),"")</f>
        <v>2112</v>
      </c>
      <c r="E19" s="37">
        <f>IFERROR(ROUND(('DCF Model'!C45/(1+$B19)^('DCF Model'!C19+0)+'DCF Model'!D45/(1+$B19)^('DCF Model'!C19+1)+'DCF Model'!E45/(1+$B19)^('DCF Model'!C19+2)+'DCF Model'!F45/(1+$B19)^('DCF Model'!C19+3)+'DCF Model'!G45/(1+$B19)^('DCF Model'!C19+4)+('DCF Model'!G39+'DCF Model'!G42)*E$17/(1+$B19)^('DCF Model'!C19+4)-'DCF Model'!C16)*1000000/'DCF Model'!C15,0),"")</f>
        <v>2271</v>
      </c>
      <c r="F19" s="37">
        <f>IFERROR(ROUND(('DCF Model'!C45/(1+$B19)^('DCF Model'!C19+0)+'DCF Model'!D45/(1+$B19)^('DCF Model'!C19+1)+'DCF Model'!E45/(1+$B19)^('DCF Model'!C19+2)+'DCF Model'!F45/(1+$B19)^('DCF Model'!C19+3)+'DCF Model'!G45/(1+$B19)^('DCF Model'!C19+4)+('DCF Model'!G39+'DCF Model'!G42)*F$17/(1+$B19)^('DCF Model'!C19+4)-'DCF Model'!C16)*1000000/'DCF Model'!C15,0),"")</f>
        <v>2430</v>
      </c>
      <c r="G19" s="37">
        <f>IFERROR(ROUND(('DCF Model'!C45/(1+$B19)^('DCF Model'!C19+0)+'DCF Model'!D45/(1+$B19)^('DCF Model'!C19+1)+'DCF Model'!E45/(1+$B19)^('DCF Model'!C19+2)+'DCF Model'!F45/(1+$B19)^('DCF Model'!C19+3)+'DCF Model'!G45/(1+$B19)^('DCF Model'!C19+4)+('DCF Model'!G39+'DCF Model'!G42)*G$17/(1+$B19)^('DCF Model'!C19+4)-'DCF Model'!C16)*1000000/'DCF Model'!C15,0),"")</f>
        <v>2589</v>
      </c>
      <c r="H19" s="37">
        <f>IFERROR(ROUND(('DCF Model'!C45/(1+$B19)^('DCF Model'!C19+0)+'DCF Model'!D45/(1+$B19)^('DCF Model'!C19+1)+'DCF Model'!E45/(1+$B19)^('DCF Model'!C19+2)+'DCF Model'!F45/(1+$B19)^('DCF Model'!C19+3)+'DCF Model'!G45/(1+$B19)^('DCF Model'!C19+4)+('DCF Model'!G39+'DCF Model'!G42)*H$17/(1+$B19)^('DCF Model'!C19+4)-'DCF Model'!C16)*1000000/'DCF Model'!C15,0),"")</f>
        <v>2748</v>
      </c>
      <c r="I19" s="37">
        <f>IFERROR(ROUND(('DCF Model'!C45/(1+$B19)^('DCF Model'!C19+0)+'DCF Model'!D45/(1+$B19)^('DCF Model'!C19+1)+'DCF Model'!E45/(1+$B19)^('DCF Model'!C19+2)+'DCF Model'!F45/(1+$B19)^('DCF Model'!C19+3)+'DCF Model'!G45/(1+$B19)^('DCF Model'!C19+4)+('DCF Model'!G39+'DCF Model'!G42)*I$17/(1+$B19)^('DCF Model'!C19+4)-'DCF Model'!C16)*1000000/'DCF Model'!C15,0),"")</f>
        <v>2907</v>
      </c>
    </row>
    <row r="20" spans="2:9" ht="13.5" customHeight="1" x14ac:dyDescent="0.25">
      <c r="B20" s="39">
        <f>$C$3-0.005</f>
        <v>7.2577234978016589E-2</v>
      </c>
      <c r="C20" s="37">
        <f>IFERROR(ROUND(('DCF Model'!C45/(1+$B20)^('DCF Model'!C19+0)+'DCF Model'!D45/(1+$B20)^('DCF Model'!C19+1)+'DCF Model'!E45/(1+$B20)^('DCF Model'!C19+2)+'DCF Model'!F45/(1+$B20)^('DCF Model'!C19+3)+'DCF Model'!G45/(1+$B20)^('DCF Model'!C19+4)+('DCF Model'!G39+'DCF Model'!G42)*C$17/(1+$B20)^('DCF Model'!C19+4)-'DCF Model'!C16)*1000000/'DCF Model'!C15,0),"")</f>
        <v>1910</v>
      </c>
      <c r="D20" s="37">
        <f>IFERROR(ROUND(('DCF Model'!C45/(1+$B20)^('DCF Model'!C19+0)+'DCF Model'!D45/(1+$B20)^('DCF Model'!C19+1)+'DCF Model'!E45/(1+$B20)^('DCF Model'!C19+2)+'DCF Model'!F45/(1+$B20)^('DCF Model'!C19+3)+'DCF Model'!G45/(1+$B20)^('DCF Model'!C19+4)+('DCF Model'!G39+'DCF Model'!G42)*D$17/(1+$B20)^('DCF Model'!C19+4)-'DCF Model'!C16)*1000000/'DCF Model'!C15,0),"")</f>
        <v>2065</v>
      </c>
      <c r="E20" s="37">
        <f>IFERROR(ROUND(('DCF Model'!C45/(1+$B20)^('DCF Model'!C19+0)+'DCF Model'!D45/(1+$B20)^('DCF Model'!C19+1)+'DCF Model'!E45/(1+$B20)^('DCF Model'!C19+2)+'DCF Model'!F45/(1+$B20)^('DCF Model'!C19+3)+'DCF Model'!G45/(1+$B20)^('DCF Model'!C19+4)+('DCF Model'!G39+'DCF Model'!G42)*E$17/(1+$B20)^('DCF Model'!C19+4)-'DCF Model'!C16)*1000000/'DCF Model'!C15,0),"")</f>
        <v>2220</v>
      </c>
      <c r="F20" s="37">
        <f>IFERROR(ROUND(('DCF Model'!C45/(1+$B20)^('DCF Model'!C19+0)+'DCF Model'!D45/(1+$B20)^('DCF Model'!C19+1)+'DCF Model'!E45/(1+$B20)^('DCF Model'!C19+2)+'DCF Model'!F45/(1+$B20)^('DCF Model'!C19+3)+'DCF Model'!G45/(1+$B20)^('DCF Model'!C19+4)+('DCF Model'!G39+'DCF Model'!G42)*F$17/(1+$B20)^('DCF Model'!C19+4)-'DCF Model'!C16)*1000000/'DCF Model'!C15,0),"")</f>
        <v>2376</v>
      </c>
      <c r="G20" s="37">
        <f>IFERROR(ROUND(('DCF Model'!C45/(1+$B20)^('DCF Model'!C19+0)+'DCF Model'!D45/(1+$B20)^('DCF Model'!C19+1)+'DCF Model'!E45/(1+$B20)^('DCF Model'!C19+2)+'DCF Model'!F45/(1+$B20)^('DCF Model'!C19+3)+'DCF Model'!G45/(1+$B20)^('DCF Model'!C19+4)+('DCF Model'!G39+'DCF Model'!G42)*G$17/(1+$B20)^('DCF Model'!C19+4)-'DCF Model'!C16)*1000000/'DCF Model'!C15,0),"")</f>
        <v>2531</v>
      </c>
      <c r="H20" s="37">
        <f>IFERROR(ROUND(('DCF Model'!C45/(1+$B20)^('DCF Model'!C19+0)+'DCF Model'!D45/(1+$B20)^('DCF Model'!C19+1)+'DCF Model'!E45/(1+$B20)^('DCF Model'!C19+2)+'DCF Model'!F45/(1+$B20)^('DCF Model'!C19+3)+'DCF Model'!G45/(1+$B20)^('DCF Model'!C19+4)+('DCF Model'!G39+'DCF Model'!G42)*H$17/(1+$B20)^('DCF Model'!C19+4)-'DCF Model'!C16)*1000000/'DCF Model'!C15,0),"")</f>
        <v>2686</v>
      </c>
      <c r="I20" s="37">
        <f>IFERROR(ROUND(('DCF Model'!C45/(1+$B20)^('DCF Model'!C19+0)+'DCF Model'!D45/(1+$B20)^('DCF Model'!C19+1)+'DCF Model'!E45/(1+$B20)^('DCF Model'!C19+2)+'DCF Model'!F45/(1+$B20)^('DCF Model'!C19+3)+'DCF Model'!G45/(1+$B20)^('DCF Model'!C19+4)+('DCF Model'!G39+'DCF Model'!G42)*I$17/(1+$B20)^('DCF Model'!C19+4)-'DCF Model'!C16)*1000000/'DCF Model'!C15,0),"")</f>
        <v>2842</v>
      </c>
    </row>
    <row r="21" spans="2:9" ht="13.5" customHeight="1" x14ac:dyDescent="0.25">
      <c r="B21" s="39">
        <f>$C$3</f>
        <v>7.7577234978016593E-2</v>
      </c>
      <c r="C21" s="37">
        <f>IFERROR(ROUND(('DCF Model'!C45/(1+$B21)^('DCF Model'!C19+0)+'DCF Model'!D45/(1+$B21)^('DCF Model'!C19+1)+'DCF Model'!E45/(1+$B21)^('DCF Model'!C19+2)+'DCF Model'!F45/(1+$B21)^('DCF Model'!C19+3)+'DCF Model'!G45/(1+$B21)^('DCF Model'!C19+4)+('DCF Model'!G39+'DCF Model'!G42)*C$17/(1+$B21)^('DCF Model'!C19+4)-'DCF Model'!C16)*1000000/'DCF Model'!C15,0),"")</f>
        <v>1867</v>
      </c>
      <c r="D21" s="37">
        <f>IFERROR(ROUND(('DCF Model'!C45/(1+$B21)^('DCF Model'!C19+0)+'DCF Model'!D45/(1+$B21)^('DCF Model'!C19+1)+'DCF Model'!E45/(1+$B21)^('DCF Model'!C19+2)+'DCF Model'!F45/(1+$B21)^('DCF Model'!C19+3)+'DCF Model'!G45/(1+$B21)^('DCF Model'!C19+4)+('DCF Model'!G39+'DCF Model'!G42)*D$17/(1+$B21)^('DCF Model'!C19+4)-'DCF Model'!C16)*1000000/'DCF Model'!C15,0),"")</f>
        <v>2019</v>
      </c>
      <c r="E21" s="37">
        <f>IFERROR(ROUND(('DCF Model'!C45/(1+$B21)^('DCF Model'!C19+0)+'DCF Model'!D45/(1+$B21)^('DCF Model'!C19+1)+'DCF Model'!E45/(1+$B21)^('DCF Model'!C19+2)+'DCF Model'!F45/(1+$B21)^('DCF Model'!C19+3)+'DCF Model'!G45/(1+$B21)^('DCF Model'!C19+4)+('DCF Model'!G39+'DCF Model'!G42)*E$17/(1+$B21)^('DCF Model'!C19+4)-'DCF Model'!C16)*1000000/'DCF Model'!C15,0),"")</f>
        <v>2171</v>
      </c>
      <c r="F21" s="37">
        <f>IFERROR(ROUND(('DCF Model'!C45/(1+$B21)^('DCF Model'!C19+0)+'DCF Model'!D45/(1+$B21)^('DCF Model'!C19+1)+'DCF Model'!E45/(1+$B21)^('DCF Model'!C19+2)+'DCF Model'!F45/(1+$B21)^('DCF Model'!C19+3)+'DCF Model'!G45/(1+$B21)^('DCF Model'!C19+4)+('DCF Model'!G39+'DCF Model'!G42)*F$17/(1+$B21)^('DCF Model'!C19+4)-'DCF Model'!C16)*1000000/'DCF Model'!C15,0),"")</f>
        <v>2323</v>
      </c>
      <c r="G21" s="37">
        <f>IFERROR(ROUND(('DCF Model'!C45/(1+$B21)^('DCF Model'!C19+0)+'DCF Model'!D45/(1+$B21)^('DCF Model'!C19+1)+'DCF Model'!E45/(1+$B21)^('DCF Model'!C19+2)+'DCF Model'!F45/(1+$B21)^('DCF Model'!C19+3)+'DCF Model'!G45/(1+$B21)^('DCF Model'!C19+4)+('DCF Model'!G39+'DCF Model'!G42)*G$17/(1+$B21)^('DCF Model'!C19+4)-'DCF Model'!C16)*1000000/'DCF Model'!C15,0),"")</f>
        <v>2475</v>
      </c>
      <c r="H21" s="37">
        <f>IFERROR(ROUND(('DCF Model'!C45/(1+$B21)^('DCF Model'!C19+0)+'DCF Model'!D45/(1+$B21)^('DCF Model'!C19+1)+'DCF Model'!E45/(1+$B21)^('DCF Model'!C19+2)+'DCF Model'!F45/(1+$B21)^('DCF Model'!C19+3)+'DCF Model'!G45/(1+$B21)^('DCF Model'!C19+4)+('DCF Model'!G39+'DCF Model'!G42)*H$17/(1+$B21)^('DCF Model'!C19+4)-'DCF Model'!C16)*1000000/'DCF Model'!C15,0),"")</f>
        <v>2626</v>
      </c>
      <c r="I21" s="37">
        <f>IFERROR(ROUND(('DCF Model'!C45/(1+$B21)^('DCF Model'!C19+0)+'DCF Model'!D45/(1+$B21)^('DCF Model'!C19+1)+'DCF Model'!E45/(1+$B21)^('DCF Model'!C19+2)+'DCF Model'!F45/(1+$B21)^('DCF Model'!C19+3)+'DCF Model'!G45/(1+$B21)^('DCF Model'!C19+4)+('DCF Model'!G39+'DCF Model'!G42)*I$17/(1+$B21)^('DCF Model'!C19+4)-'DCF Model'!C16)*1000000/'DCF Model'!C15,0),"")</f>
        <v>2778</v>
      </c>
    </row>
    <row r="22" spans="2:9" ht="13.5" customHeight="1" x14ac:dyDescent="0.25">
      <c r="B22" s="39">
        <f>$C$3+0.005</f>
        <v>8.2577234978016598E-2</v>
      </c>
      <c r="C22" s="37">
        <f>IFERROR(ROUND(('DCF Model'!C45/(1+$B22)^('DCF Model'!C19+0)+'DCF Model'!D45/(1+$B22)^('DCF Model'!C19+1)+'DCF Model'!E45/(1+$B22)^('DCF Model'!C19+2)+'DCF Model'!F45/(1+$B22)^('DCF Model'!C19+3)+'DCF Model'!G45/(1+$B22)^('DCF Model'!C19+4)+('DCF Model'!G39+'DCF Model'!G42)*C$17/(1+$B22)^('DCF Model'!C19+4)-'DCF Model'!C16)*1000000/'DCF Model'!C15,0),"")</f>
        <v>1826</v>
      </c>
      <c r="D22" s="37">
        <f>IFERROR(ROUND(('DCF Model'!C45/(1+$B22)^('DCF Model'!C19+0)+'DCF Model'!D45/(1+$B22)^('DCF Model'!C19+1)+'DCF Model'!E45/(1+$B22)^('DCF Model'!C19+2)+'DCF Model'!F45/(1+$B22)^('DCF Model'!C19+3)+'DCF Model'!G45/(1+$B22)^('DCF Model'!C19+4)+('DCF Model'!G39+'DCF Model'!G42)*D$17/(1+$B22)^('DCF Model'!C19+4)-'DCF Model'!C16)*1000000/'DCF Model'!C15,0),"")</f>
        <v>1975</v>
      </c>
      <c r="E22" s="37">
        <f>IFERROR(ROUND(('DCF Model'!C45/(1+$B22)^('DCF Model'!C19+0)+'DCF Model'!D45/(1+$B22)^('DCF Model'!C19+1)+'DCF Model'!E45/(1+$B22)^('DCF Model'!C19+2)+'DCF Model'!F45/(1+$B22)^('DCF Model'!C19+3)+'DCF Model'!G45/(1+$B22)^('DCF Model'!C19+4)+('DCF Model'!G39+'DCF Model'!G42)*E$17/(1+$B22)^('DCF Model'!C19+4)-'DCF Model'!C16)*1000000/'DCF Model'!C15,0),"")</f>
        <v>2123</v>
      </c>
      <c r="F22" s="37">
        <f>IFERROR(ROUND(('DCF Model'!C45/(1+$B22)^('DCF Model'!C19+0)+'DCF Model'!D45/(1+$B22)^('DCF Model'!C19+1)+'DCF Model'!E45/(1+$B22)^('DCF Model'!C19+2)+'DCF Model'!F45/(1+$B22)^('DCF Model'!C19+3)+'DCF Model'!G45/(1+$B22)^('DCF Model'!C19+4)+('DCF Model'!G39+'DCF Model'!G42)*F$17/(1+$B22)^('DCF Model'!C19+4)-'DCF Model'!C16)*1000000/'DCF Model'!C15,0),"")</f>
        <v>2271</v>
      </c>
      <c r="G22" s="37">
        <f>IFERROR(ROUND(('DCF Model'!C45/(1+$B22)^('DCF Model'!C19+0)+'DCF Model'!D45/(1+$B22)^('DCF Model'!C19+1)+'DCF Model'!E45/(1+$B22)^('DCF Model'!C19+2)+'DCF Model'!F45/(1+$B22)^('DCF Model'!C19+3)+'DCF Model'!G45/(1+$B22)^('DCF Model'!C19+4)+('DCF Model'!G39+'DCF Model'!G42)*G$17/(1+$B22)^('DCF Model'!C19+4)-'DCF Model'!C16)*1000000/'DCF Model'!C15,0),"")</f>
        <v>2420</v>
      </c>
      <c r="H22" s="37">
        <f>IFERROR(ROUND(('DCF Model'!C45/(1+$B22)^('DCF Model'!C19+0)+'DCF Model'!D45/(1+$B22)^('DCF Model'!C19+1)+'DCF Model'!E45/(1+$B22)^('DCF Model'!C19+2)+'DCF Model'!F45/(1+$B22)^('DCF Model'!C19+3)+'DCF Model'!G45/(1+$B22)^('DCF Model'!C19+4)+('DCF Model'!G39+'DCF Model'!G42)*H$17/(1+$B22)^('DCF Model'!C19+4)-'DCF Model'!C16)*1000000/'DCF Model'!C15,0),"")</f>
        <v>2568</v>
      </c>
      <c r="I22" s="37">
        <f>IFERROR(ROUND(('DCF Model'!C45/(1+$B22)^('DCF Model'!C19+0)+'DCF Model'!D45/(1+$B22)^('DCF Model'!C19+1)+'DCF Model'!E45/(1+$B22)^('DCF Model'!C19+2)+'DCF Model'!F45/(1+$B22)^('DCF Model'!C19+3)+'DCF Model'!G45/(1+$B22)^('DCF Model'!C19+4)+('DCF Model'!G39+'DCF Model'!G42)*I$17/(1+$B22)^('DCF Model'!C19+4)-'DCF Model'!C16)*1000000/'DCF Model'!C15,0),"")</f>
        <v>2716</v>
      </c>
    </row>
    <row r="23" spans="2:9" ht="13.5" customHeight="1" x14ac:dyDescent="0.25">
      <c r="B23" s="39">
        <f>$C$3+0.01</f>
        <v>8.7577234978016588E-2</v>
      </c>
      <c r="C23" s="37">
        <f>IFERROR(ROUND(('DCF Model'!C45/(1+$B23)^('DCF Model'!C19+0)+'DCF Model'!D45/(1+$B23)^('DCF Model'!C19+1)+'DCF Model'!E45/(1+$B23)^('DCF Model'!C19+2)+'DCF Model'!F45/(1+$B23)^('DCF Model'!C19+3)+'DCF Model'!G45/(1+$B23)^('DCF Model'!C19+4)+('DCF Model'!G39+'DCF Model'!G42)*C$17/(1+$B23)^('DCF Model'!C19+4)-'DCF Model'!C16)*1000000/'DCF Model'!C15,0),"")</f>
        <v>1786</v>
      </c>
      <c r="D23" s="37">
        <f>IFERROR(ROUND(('DCF Model'!C45/(1+$B23)^('DCF Model'!C19+0)+'DCF Model'!D45/(1+$B23)^('DCF Model'!C19+1)+'DCF Model'!E45/(1+$B23)^('DCF Model'!C19+2)+'DCF Model'!F45/(1+$B23)^('DCF Model'!C19+3)+'DCF Model'!G45/(1+$B23)^('DCF Model'!C19+4)+('DCF Model'!G39+'DCF Model'!G42)*D$17/(1+$B23)^('DCF Model'!C19+4)-'DCF Model'!C16)*1000000/'DCF Model'!C15,0),"")</f>
        <v>1931</v>
      </c>
      <c r="E23" s="37">
        <f>IFERROR(ROUND(('DCF Model'!C45/(1+$B23)^('DCF Model'!C19+0)+'DCF Model'!D45/(1+$B23)^('DCF Model'!C19+1)+'DCF Model'!E45/(1+$B23)^('DCF Model'!C19+2)+'DCF Model'!F45/(1+$B23)^('DCF Model'!C19+3)+'DCF Model'!G45/(1+$B23)^('DCF Model'!C19+4)+('DCF Model'!G39+'DCF Model'!G42)*E$17/(1+$B23)^('DCF Model'!C19+4)-'DCF Model'!C16)*1000000/'DCF Model'!C15,0),"")</f>
        <v>2076</v>
      </c>
      <c r="F23" s="37">
        <f>IFERROR(ROUND(('DCF Model'!C45/(1+$B23)^('DCF Model'!C19+0)+'DCF Model'!D45/(1+$B23)^('DCF Model'!C19+1)+'DCF Model'!E45/(1+$B23)^('DCF Model'!C19+2)+'DCF Model'!F45/(1+$B23)^('DCF Model'!C19+3)+'DCF Model'!G45/(1+$B23)^('DCF Model'!C19+4)+('DCF Model'!G39+'DCF Model'!G42)*F$17/(1+$B23)^('DCF Model'!C19+4)-'DCF Model'!C16)*1000000/'DCF Model'!C15,0),"")</f>
        <v>2221</v>
      </c>
      <c r="G23" s="37">
        <f>IFERROR(ROUND(('DCF Model'!C45/(1+$B23)^('DCF Model'!C19+0)+'DCF Model'!D45/(1+$B23)^('DCF Model'!C19+1)+'DCF Model'!E45/(1+$B23)^('DCF Model'!C19+2)+'DCF Model'!F45/(1+$B23)^('DCF Model'!C19+3)+'DCF Model'!G45/(1+$B23)^('DCF Model'!C19+4)+('DCF Model'!G39+'DCF Model'!G42)*G$17/(1+$B23)^('DCF Model'!C19+4)-'DCF Model'!C16)*1000000/'DCF Model'!C15,0),"")</f>
        <v>2366</v>
      </c>
      <c r="H23" s="37">
        <f>IFERROR(ROUND(('DCF Model'!C45/(1+$B23)^('DCF Model'!C19+0)+'DCF Model'!D45/(1+$B23)^('DCF Model'!C19+1)+'DCF Model'!E45/(1+$B23)^('DCF Model'!C19+2)+'DCF Model'!F45/(1+$B23)^('DCF Model'!C19+3)+'DCF Model'!G45/(1+$B23)^('DCF Model'!C19+4)+('DCF Model'!G39+'DCF Model'!G42)*H$17/(1+$B23)^('DCF Model'!C19+4)-'DCF Model'!C16)*1000000/'DCF Model'!C15,0),"")</f>
        <v>2511</v>
      </c>
      <c r="I23" s="37">
        <f>IFERROR(ROUND(('DCF Model'!C45/(1+$B23)^('DCF Model'!C19+0)+'DCF Model'!D45/(1+$B23)^('DCF Model'!C19+1)+'DCF Model'!E45/(1+$B23)^('DCF Model'!C19+2)+'DCF Model'!F45/(1+$B23)^('DCF Model'!C19+3)+'DCF Model'!G45/(1+$B23)^('DCF Model'!C19+4)+('DCF Model'!G39+'DCF Model'!G42)*I$17/(1+$B23)^('DCF Model'!C19+4)-'DCF Model'!C16)*1000000/'DCF Model'!C15,0),"")</f>
        <v>2656</v>
      </c>
    </row>
    <row r="24" spans="2:9" ht="13.5" customHeight="1" x14ac:dyDescent="0.25">
      <c r="B24" s="39">
        <f>$C$3+0.015</f>
        <v>9.2577234978016593E-2</v>
      </c>
      <c r="C24" s="37">
        <f>IFERROR(ROUND(('DCF Model'!C45/(1+$B24)^('DCF Model'!C19+0)+'DCF Model'!D45/(1+$B24)^('DCF Model'!C19+1)+'DCF Model'!E45/(1+$B24)^('DCF Model'!C19+2)+'DCF Model'!F45/(1+$B24)^('DCF Model'!C19+3)+'DCF Model'!G45/(1+$B24)^('DCF Model'!C19+4)+('DCF Model'!G39+'DCF Model'!G42)*C$17/(1+$B24)^('DCF Model'!C19+4)-'DCF Model'!C16)*1000000/'DCF Model'!C15,0),"")</f>
        <v>1747</v>
      </c>
      <c r="D24" s="37">
        <f>IFERROR(ROUND(('DCF Model'!C45/(1+$B24)^('DCF Model'!C19+0)+'DCF Model'!D45/(1+$B24)^('DCF Model'!C19+1)+'DCF Model'!E45/(1+$B24)^('DCF Model'!C19+2)+'DCF Model'!F45/(1+$B24)^('DCF Model'!C19+3)+'DCF Model'!G45/(1+$B24)^('DCF Model'!C19+4)+('DCF Model'!G39+'DCF Model'!G42)*D$17/(1+$B24)^('DCF Model'!C19+4)-'DCF Model'!C16)*1000000/'DCF Model'!C15,0),"")</f>
        <v>1889</v>
      </c>
      <c r="E24" s="37">
        <f>IFERROR(ROUND(('DCF Model'!C45/(1+$B24)^('DCF Model'!C19+0)+'DCF Model'!D45/(1+$B24)^('DCF Model'!C19+1)+'DCF Model'!E45/(1+$B24)^('DCF Model'!C19+2)+'DCF Model'!F45/(1+$B24)^('DCF Model'!C19+3)+'DCF Model'!G45/(1+$B24)^('DCF Model'!C19+4)+('DCF Model'!G39+'DCF Model'!G42)*E$17/(1+$B24)^('DCF Model'!C19+4)-'DCF Model'!C16)*1000000/'DCF Model'!C15,0),"")</f>
        <v>2031</v>
      </c>
      <c r="F24" s="37">
        <f>IFERROR(ROUND(('DCF Model'!C45/(1+$B24)^('DCF Model'!C19+0)+'DCF Model'!D45/(1+$B24)^('DCF Model'!C19+1)+'DCF Model'!E45/(1+$B24)^('DCF Model'!C19+2)+'DCF Model'!F45/(1+$B24)^('DCF Model'!C19+3)+'DCF Model'!G45/(1+$B24)^('DCF Model'!C19+4)+('DCF Model'!G39+'DCF Model'!G42)*F$17/(1+$B24)^('DCF Model'!C19+4)-'DCF Model'!C16)*1000000/'DCF Model'!C15,0),"")</f>
        <v>2172</v>
      </c>
      <c r="G24" s="37">
        <f>IFERROR(ROUND(('DCF Model'!C45/(1+$B24)^('DCF Model'!C19+0)+'DCF Model'!D45/(1+$B24)^('DCF Model'!C19+1)+'DCF Model'!E45/(1+$B24)^('DCF Model'!C19+2)+'DCF Model'!F45/(1+$B24)^('DCF Model'!C19+3)+'DCF Model'!G45/(1+$B24)^('DCF Model'!C19+4)+('DCF Model'!G39+'DCF Model'!G42)*G$17/(1+$B24)^('DCF Model'!C19+4)-'DCF Model'!C16)*1000000/'DCF Model'!C15,0),"")</f>
        <v>2314</v>
      </c>
      <c r="H24" s="37">
        <f>IFERROR(ROUND(('DCF Model'!C45/(1+$B24)^('DCF Model'!C19+0)+'DCF Model'!D45/(1+$B24)^('DCF Model'!C19+1)+'DCF Model'!E45/(1+$B24)^('DCF Model'!C19+2)+'DCF Model'!F45/(1+$B24)^('DCF Model'!C19+3)+'DCF Model'!G45/(1+$B24)^('DCF Model'!C19+4)+('DCF Model'!G39+'DCF Model'!G42)*H$17/(1+$B24)^('DCF Model'!C19+4)-'DCF Model'!C16)*1000000/'DCF Model'!C15,0),"")</f>
        <v>2456</v>
      </c>
      <c r="I24" s="37">
        <f>IFERROR(ROUND(('DCF Model'!C45/(1+$B24)^('DCF Model'!C19+0)+'DCF Model'!D45/(1+$B24)^('DCF Model'!C19+1)+'DCF Model'!E45/(1+$B24)^('DCF Model'!C19+2)+'DCF Model'!F45/(1+$B24)^('DCF Model'!C19+3)+'DCF Model'!G45/(1+$B24)^('DCF Model'!C19+4)+('DCF Model'!G39+'DCF Model'!G42)*I$17/(1+$B24)^('DCF Model'!C19+4)-'DCF Model'!C16)*1000000/'DCF Model'!C15,0),"")</f>
        <v>2597</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252</v>
      </c>
      <c r="C6" s="4" t="s">
        <v>257</v>
      </c>
      <c r="D6" s="43" t="s">
        <v>258</v>
      </c>
      <c r="E6" s="43" t="s">
        <v>259</v>
      </c>
      <c r="F6" s="43" t="s">
        <v>260</v>
      </c>
      <c r="G6" s="43" t="s">
        <v>261</v>
      </c>
    </row>
    <row r="7" spans="2:7" ht="30" customHeight="1" x14ac:dyDescent="0.3">
      <c r="B7" s="43" t="s">
        <v>252</v>
      </c>
      <c r="C7" s="4" t="s">
        <v>262</v>
      </c>
      <c r="D7" s="43" t="s">
        <v>263</v>
      </c>
      <c r="E7" s="43" t="s">
        <v>264</v>
      </c>
      <c r="F7" s="43" t="s">
        <v>265</v>
      </c>
      <c r="G7" s="43" t="s">
        <v>266</v>
      </c>
    </row>
    <row r="8" spans="2:7" ht="30" customHeight="1" x14ac:dyDescent="0.3">
      <c r="B8" s="43" t="s">
        <v>252</v>
      </c>
      <c r="C8" s="4" t="s">
        <v>267</v>
      </c>
      <c r="D8" s="43" t="s">
        <v>268</v>
      </c>
      <c r="E8" s="43" t="s">
        <v>269</v>
      </c>
      <c r="F8" s="43" t="s">
        <v>270</v>
      </c>
      <c r="G8" s="43" t="s">
        <v>266</v>
      </c>
    </row>
    <row r="9" spans="2:7" ht="30" customHeight="1" x14ac:dyDescent="0.3">
      <c r="B9" s="43" t="s">
        <v>252</v>
      </c>
      <c r="C9" s="4" t="s">
        <v>271</v>
      </c>
      <c r="D9" s="43" t="s">
        <v>272</v>
      </c>
      <c r="E9" s="43" t="s">
        <v>273</v>
      </c>
      <c r="F9" s="43" t="s">
        <v>274</v>
      </c>
      <c r="G9" s="43" t="s">
        <v>275</v>
      </c>
    </row>
    <row r="10" spans="2:7" ht="30" customHeight="1" x14ac:dyDescent="0.3">
      <c r="B10" s="43" t="s">
        <v>252</v>
      </c>
      <c r="C10" s="4" t="s">
        <v>276</v>
      </c>
      <c r="D10" s="43" t="s">
        <v>277</v>
      </c>
      <c r="E10" s="43" t="s">
        <v>278</v>
      </c>
      <c r="F10" s="43" t="s">
        <v>279</v>
      </c>
      <c r="G10" s="43" t="s">
        <v>280</v>
      </c>
    </row>
    <row r="11" spans="2:7" ht="30" customHeight="1" x14ac:dyDescent="0.3">
      <c r="B11" s="43" t="s">
        <v>252</v>
      </c>
      <c r="C11" s="4" t="s">
        <v>281</v>
      </c>
      <c r="D11" s="43" t="s">
        <v>282</v>
      </c>
      <c r="E11" s="43" t="s">
        <v>283</v>
      </c>
      <c r="F11" s="43" t="s">
        <v>284</v>
      </c>
      <c r="G11" s="43" t="s">
        <v>285</v>
      </c>
    </row>
    <row r="12" spans="2:7" ht="30" customHeight="1" x14ac:dyDescent="0.3">
      <c r="B12" s="43" t="s">
        <v>252</v>
      </c>
      <c r="C12" s="4" t="s">
        <v>286</v>
      </c>
      <c r="D12" s="43" t="s">
        <v>287</v>
      </c>
      <c r="E12" s="43" t="s">
        <v>288</v>
      </c>
      <c r="F12" s="43" t="s">
        <v>289</v>
      </c>
      <c r="G12" s="43" t="s">
        <v>266</v>
      </c>
    </row>
    <row r="13" spans="2:7" ht="30" customHeight="1" x14ac:dyDescent="0.3">
      <c r="B13" s="43" t="s">
        <v>252</v>
      </c>
      <c r="C13" s="4" t="s">
        <v>290</v>
      </c>
      <c r="D13" s="43" t="s">
        <v>291</v>
      </c>
      <c r="E13" s="43" t="s">
        <v>292</v>
      </c>
      <c r="F13" s="43" t="s">
        <v>293</v>
      </c>
      <c r="G13" s="43" t="s">
        <v>266</v>
      </c>
    </row>
    <row r="14" spans="2:7" ht="30" customHeight="1" x14ac:dyDescent="0.3">
      <c r="B14" s="43" t="s">
        <v>252</v>
      </c>
      <c r="C14" s="4" t="s">
        <v>294</v>
      </c>
      <c r="D14" s="43" t="s">
        <v>295</v>
      </c>
      <c r="E14" s="43" t="s">
        <v>296</v>
      </c>
      <c r="F14" s="43" t="s">
        <v>253</v>
      </c>
      <c r="G14" s="43" t="s">
        <v>266</v>
      </c>
    </row>
    <row r="15" spans="2:7" ht="30" customHeight="1" x14ac:dyDescent="0.3">
      <c r="B15" s="43" t="s">
        <v>252</v>
      </c>
      <c r="C15" s="4" t="s">
        <v>297</v>
      </c>
      <c r="D15" s="43" t="s">
        <v>298</v>
      </c>
      <c r="E15" s="43" t="s">
        <v>299</v>
      </c>
      <c r="F15" s="43" t="s">
        <v>300</v>
      </c>
      <c r="G15" s="43" t="s">
        <v>266</v>
      </c>
    </row>
    <row r="16" spans="2:7" ht="30" customHeight="1" x14ac:dyDescent="0.3">
      <c r="B16" s="43" t="s">
        <v>252</v>
      </c>
      <c r="C16" s="4" t="s">
        <v>301</v>
      </c>
      <c r="D16" s="43" t="s">
        <v>302</v>
      </c>
      <c r="E16" s="43" t="s">
        <v>303</v>
      </c>
      <c r="F16" s="43" t="s">
        <v>253</v>
      </c>
      <c r="G16" s="43" t="s">
        <v>304</v>
      </c>
    </row>
    <row r="17" spans="2:7" ht="30" customHeight="1" x14ac:dyDescent="0.3">
      <c r="B17" s="43" t="s">
        <v>252</v>
      </c>
      <c r="C17" s="4" t="s">
        <v>305</v>
      </c>
      <c r="D17" s="43" t="s">
        <v>306</v>
      </c>
      <c r="E17" s="43" t="s">
        <v>307</v>
      </c>
      <c r="F17" s="43" t="s">
        <v>270</v>
      </c>
      <c r="G17" s="43" t="s">
        <v>266</v>
      </c>
    </row>
    <row r="18" spans="2:7" ht="30" customHeight="1" x14ac:dyDescent="0.3">
      <c r="B18" s="43" t="s">
        <v>252</v>
      </c>
      <c r="C18" s="4" t="s">
        <v>308</v>
      </c>
      <c r="D18" s="43" t="s">
        <v>309</v>
      </c>
      <c r="E18" s="43" t="s">
        <v>310</v>
      </c>
      <c r="F18" s="43" t="s">
        <v>253</v>
      </c>
      <c r="G18" s="43" t="s">
        <v>266</v>
      </c>
    </row>
    <row r="19" spans="2:7" ht="30" customHeight="1" x14ac:dyDescent="0.3">
      <c r="B19" s="43" t="s">
        <v>252</v>
      </c>
      <c r="C19" s="4" t="s">
        <v>311</v>
      </c>
      <c r="D19" s="43" t="s">
        <v>312</v>
      </c>
      <c r="E19" s="43" t="s">
        <v>313</v>
      </c>
      <c r="F19" s="43" t="s">
        <v>253</v>
      </c>
      <c r="G19" s="43" t="s">
        <v>261</v>
      </c>
    </row>
    <row r="20" spans="2:7" ht="30" customHeight="1" x14ac:dyDescent="0.3">
      <c r="B20" s="43" t="s">
        <v>252</v>
      </c>
      <c r="C20" s="4" t="s">
        <v>314</v>
      </c>
      <c r="D20" s="43" t="s">
        <v>315</v>
      </c>
      <c r="E20" s="43" t="s">
        <v>316</v>
      </c>
      <c r="F20" s="43" t="s">
        <v>253</v>
      </c>
      <c r="G20" s="43" t="s">
        <v>317</v>
      </c>
    </row>
    <row r="21" spans="2:7" ht="30" customHeight="1" x14ac:dyDescent="0.3">
      <c r="B21" s="43" t="s">
        <v>252</v>
      </c>
      <c r="C21" s="4" t="s">
        <v>318</v>
      </c>
      <c r="D21" s="43" t="s">
        <v>319</v>
      </c>
      <c r="E21" s="43" t="s">
        <v>320</v>
      </c>
      <c r="F21" s="43" t="s">
        <v>253</v>
      </c>
      <c r="G21" s="43" t="s">
        <v>321</v>
      </c>
    </row>
    <row r="22" spans="2:7" ht="30" customHeight="1" x14ac:dyDescent="0.3">
      <c r="B22" s="43" t="s">
        <v>252</v>
      </c>
      <c r="C22" s="4" t="s">
        <v>318</v>
      </c>
      <c r="D22" s="43" t="s">
        <v>322</v>
      </c>
      <c r="E22" s="43" t="s">
        <v>323</v>
      </c>
      <c r="F22" s="43" t="s">
        <v>253</v>
      </c>
      <c r="G22" s="43" t="s">
        <v>321</v>
      </c>
    </row>
    <row r="23" spans="2:7" ht="30" customHeight="1" x14ac:dyDescent="0.3">
      <c r="B23" s="43" t="s">
        <v>252</v>
      </c>
      <c r="C23" s="4" t="s">
        <v>318</v>
      </c>
      <c r="D23" s="43" t="s">
        <v>324</v>
      </c>
      <c r="E23" s="43" t="s">
        <v>325</v>
      </c>
      <c r="F23" s="43" t="s">
        <v>253</v>
      </c>
      <c r="G23" s="43" t="s">
        <v>321</v>
      </c>
    </row>
    <row r="24" spans="2:7" ht="14" customHeight="1" x14ac:dyDescent="0.2"/>
    <row r="25" spans="2:7" ht="14" customHeight="1" x14ac:dyDescent="0.3">
      <c r="B25" s="8" t="s">
        <v>326</v>
      </c>
    </row>
    <row r="26" spans="2:7" ht="14" customHeight="1" x14ac:dyDescent="0.3">
      <c r="B26" s="10" t="s">
        <v>327</v>
      </c>
      <c r="C26" s="10" t="s">
        <v>328</v>
      </c>
    </row>
    <row r="27" spans="2:7" ht="14" customHeight="1" x14ac:dyDescent="0.3">
      <c r="B27" s="4" t="s">
        <v>329</v>
      </c>
      <c r="C27" t="s">
        <v>330</v>
      </c>
    </row>
    <row r="28" spans="2:7" ht="14" customHeight="1" x14ac:dyDescent="0.3">
      <c r="B28" s="4" t="s">
        <v>331</v>
      </c>
      <c r="C28" t="s">
        <v>332</v>
      </c>
    </row>
    <row r="29" spans="2:7" ht="14" customHeight="1" x14ac:dyDescent="0.3">
      <c r="B29" s="4" t="s">
        <v>333</v>
      </c>
      <c r="C29" t="s">
        <v>334</v>
      </c>
    </row>
    <row r="30" spans="2:7" ht="14" customHeight="1" x14ac:dyDescent="0.3">
      <c r="B30" s="4" t="s">
        <v>335</v>
      </c>
      <c r="C30" t="s">
        <v>47</v>
      </c>
    </row>
    <row r="31" spans="2:7" ht="14" customHeight="1" x14ac:dyDescent="0.3">
      <c r="B31" s="4" t="s">
        <v>336</v>
      </c>
      <c r="C31" t="s">
        <v>4</v>
      </c>
    </row>
    <row r="32" spans="2:7" ht="14" customHeight="1" x14ac:dyDescent="0.3">
      <c r="B32" s="4" t="s">
        <v>337</v>
      </c>
      <c r="C32" t="s">
        <v>252</v>
      </c>
    </row>
    <row r="33" spans="2:3" ht="14" customHeight="1" x14ac:dyDescent="0.3">
      <c r="B33" s="4" t="s">
        <v>338</v>
      </c>
      <c r="C33" t="s">
        <v>339</v>
      </c>
    </row>
    <row r="34" spans="2:3" ht="14" customHeight="1" x14ac:dyDescent="0.3">
      <c r="B34" s="4" t="s">
        <v>340</v>
      </c>
      <c r="C34" t="s">
        <v>341</v>
      </c>
    </row>
    <row r="35" spans="2:3" ht="14" customHeight="1" x14ac:dyDescent="0.3">
      <c r="B35" s="4" t="s">
        <v>342</v>
      </c>
      <c r="C35" t="s">
        <v>343</v>
      </c>
    </row>
    <row r="36" spans="2:3" ht="14" customHeight="1" x14ac:dyDescent="0.3">
      <c r="B36" s="4" t="s">
        <v>344</v>
      </c>
      <c r="C36" t="s">
        <v>345</v>
      </c>
    </row>
    <row r="37" spans="2:3" ht="14" customHeight="1" x14ac:dyDescent="0.3">
      <c r="B37" s="4" t="s">
        <v>346</v>
      </c>
      <c r="C37" t="s">
        <v>347</v>
      </c>
    </row>
    <row r="38" spans="2:3" ht="14" customHeight="1" x14ac:dyDescent="0.3">
      <c r="B38" s="4" t="s">
        <v>348</v>
      </c>
      <c r="C38" t="s">
        <v>343</v>
      </c>
    </row>
    <row r="39" spans="2:3" ht="14" customHeight="1" x14ac:dyDescent="0.3">
      <c r="B39" s="4" t="s">
        <v>349</v>
      </c>
      <c r="C39" t="s">
        <v>339</v>
      </c>
    </row>
    <row r="40" spans="2:3" ht="14" customHeight="1" x14ac:dyDescent="0.3">
      <c r="B40" s="4" t="s">
        <v>350</v>
      </c>
      <c r="C40" t="s">
        <v>351</v>
      </c>
    </row>
    <row r="41" spans="2:3" ht="14" customHeight="1" x14ac:dyDescent="0.3">
      <c r="B41" s="4" t="s">
        <v>352</v>
      </c>
      <c r="C41" t="s">
        <v>353</v>
      </c>
    </row>
    <row r="42" spans="2:3" ht="14" customHeight="1" x14ac:dyDescent="0.3">
      <c r="B42" s="4" t="s">
        <v>354</v>
      </c>
      <c r="C42" t="s">
        <v>355</v>
      </c>
    </row>
    <row r="43" spans="2:3" ht="14" customHeight="1" x14ac:dyDescent="0.3">
      <c r="B43" s="4" t="s">
        <v>356</v>
      </c>
      <c r="C43" t="s">
        <v>357</v>
      </c>
    </row>
    <row r="44" spans="2:3" ht="14" customHeight="1" x14ac:dyDescent="0.3">
      <c r="B44" s="4" t="s">
        <v>358</v>
      </c>
      <c r="C44" t="s">
        <v>359</v>
      </c>
    </row>
    <row r="45" spans="2:3" ht="14" customHeight="1" x14ac:dyDescent="0.3">
      <c r="B45" s="4" t="s">
        <v>360</v>
      </c>
      <c r="C45" t="s">
        <v>361</v>
      </c>
    </row>
    <row r="46" spans="2:3" ht="14" customHeight="1" x14ac:dyDescent="0.3">
      <c r="B46" s="4" t="s">
        <v>362</v>
      </c>
      <c r="C46" t="s">
        <v>363</v>
      </c>
    </row>
    <row r="47" spans="2:3" ht="14" customHeight="1" x14ac:dyDescent="0.3">
      <c r="B47" s="4" t="s">
        <v>364</v>
      </c>
      <c r="C47" t="s">
        <v>365</v>
      </c>
    </row>
    <row r="48" spans="2:3" ht="14" customHeight="1" x14ac:dyDescent="0.3">
      <c r="B48" s="4" t="s">
        <v>366</v>
      </c>
      <c r="C48" t="s">
        <v>332</v>
      </c>
    </row>
    <row r="49" spans="2:3" ht="14" customHeight="1" x14ac:dyDescent="0.3">
      <c r="B49" s="4" t="s">
        <v>367</v>
      </c>
      <c r="C49" t="s">
        <v>368</v>
      </c>
    </row>
    <row r="50" spans="2:3" ht="14" customHeight="1" x14ac:dyDescent="0.3">
      <c r="B50" s="4" t="s">
        <v>369</v>
      </c>
      <c r="C50" t="s">
        <v>370</v>
      </c>
    </row>
    <row r="51" spans="2:3" ht="14" x14ac:dyDescent="0.3">
      <c r="B51" s="4" t="s">
        <v>371</v>
      </c>
      <c r="C51" t="s">
        <v>372</v>
      </c>
    </row>
    <row r="52" spans="2:3" ht="14" x14ac:dyDescent="0.3">
      <c r="B52" s="4" t="s">
        <v>373</v>
      </c>
      <c r="C52" t="s">
        <v>374</v>
      </c>
    </row>
    <row r="53" spans="2:3" ht="14" x14ac:dyDescent="0.3">
      <c r="B53" s="4" t="s">
        <v>375</v>
      </c>
      <c r="C53" t="s">
        <v>376</v>
      </c>
    </row>
    <row r="54" spans="2:3" ht="14" x14ac:dyDescent="0.3">
      <c r="B54" s="4" t="s">
        <v>377</v>
      </c>
      <c r="C54" t="s">
        <v>378</v>
      </c>
    </row>
    <row r="55" spans="2:3" ht="14" x14ac:dyDescent="0.3">
      <c r="B55" s="4" t="s">
        <v>379</v>
      </c>
      <c r="C55" t="s">
        <v>380</v>
      </c>
    </row>
    <row r="56" spans="2:3" ht="14" x14ac:dyDescent="0.3">
      <c r="B56" s="4" t="s">
        <v>381</v>
      </c>
      <c r="C56" t="s">
        <v>382</v>
      </c>
    </row>
    <row r="57" spans="2:3" ht="14" x14ac:dyDescent="0.3">
      <c r="B57" s="4" t="s">
        <v>383</v>
      </c>
      <c r="C57" t="s">
        <v>384</v>
      </c>
    </row>
    <row r="58" spans="2:3" ht="14" x14ac:dyDescent="0.3">
      <c r="B58" s="4" t="s">
        <v>385</v>
      </c>
      <c r="C58" t="s">
        <v>339</v>
      </c>
    </row>
    <row r="59" spans="2:3" ht="14" x14ac:dyDescent="0.3">
      <c r="B59" s="4" t="s">
        <v>386</v>
      </c>
      <c r="C59" t="s">
        <v>387</v>
      </c>
    </row>
    <row r="60" spans="2:3" ht="14" x14ac:dyDescent="0.3">
      <c r="B60" s="4" t="s">
        <v>388</v>
      </c>
      <c r="C60" t="s">
        <v>389</v>
      </c>
    </row>
    <row r="61" spans="2:3" ht="14" x14ac:dyDescent="0.3">
      <c r="B61" s="4" t="s">
        <v>390</v>
      </c>
      <c r="C61" t="s">
        <v>391</v>
      </c>
    </row>
    <row r="62" spans="2:3" ht="14" x14ac:dyDescent="0.3">
      <c r="B62" s="4" t="s">
        <v>392</v>
      </c>
      <c r="C62" t="s">
        <v>393</v>
      </c>
    </row>
    <row r="63" spans="2:3" ht="14" x14ac:dyDescent="0.3">
      <c r="B63" s="4" t="s">
        <v>394</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2026-09-05T13:14:14Z</dcterms:created>
  <dcterms:modified xsi:type="dcterms:W3CDTF">2026-09-05T13:31:29Z</dcterms:modified>
</cp:coreProperties>
</file>