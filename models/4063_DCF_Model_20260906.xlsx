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ryosuke0923\ryosuke-japanese-equity-research\models\"/>
    </mc:Choice>
  </mc:AlternateContent>
  <xr:revisionPtr revIDLastSave="0" documentId="13_ncr:1_{51F9B44C-9A46-4CC8-A53D-4D9BF4EC2C2C}" xr6:coauthVersionLast="47" xr6:coauthVersionMax="47" xr10:uidLastSave="{00000000-0000-0000-0000-000000000000}"/>
  <bookViews>
    <workbookView xWindow="-110" yWindow="-110" windowWidth="19420" windowHeight="10300" xr2:uid="{00000000-000D-0000-FFFF-FFFF00000000}"/>
  </bookViews>
  <sheets>
    <sheet name="Executive Summary" sheetId="1" r:id="rId1"/>
    <sheet name="Financial Statements" sheetId="2" r:id="rId2"/>
    <sheet name="DCF Model" sheetId="3" r:id="rId3"/>
    <sheet name="Reverse DCF" sheetId="4" r:id="rId4"/>
    <sheet name="NWC Schedule" sheetId="5" r:id="rId5"/>
    <sheet name="Comps Analysis" sheetId="6" r:id="rId6"/>
    <sheet name="Sensitivity Analysis" sheetId="7" r:id="rId7"/>
    <sheet name="Adjustments Log" sheetId="8" r:id="rId8"/>
  </sheets>
  <calcPr calcId="181029"/>
</workbook>
</file>

<file path=xl/calcChain.xml><?xml version="1.0" encoding="utf-8"?>
<calcChain xmlns="http://schemas.openxmlformats.org/spreadsheetml/2006/main">
  <c r="I3" i="7" l="1"/>
  <c r="I17" i="7" s="1"/>
  <c r="F3" i="7"/>
  <c r="H6" i="7" s="1"/>
  <c r="O10" i="6"/>
  <c r="N10" i="6"/>
  <c r="M10" i="6"/>
  <c r="L10" i="6"/>
  <c r="K10" i="6"/>
  <c r="J10" i="6"/>
  <c r="O9" i="6"/>
  <c r="N9" i="6"/>
  <c r="M9" i="6"/>
  <c r="L9" i="6"/>
  <c r="K9" i="6"/>
  <c r="J9" i="6"/>
  <c r="O8" i="6"/>
  <c r="N8" i="6"/>
  <c r="M8" i="6"/>
  <c r="L8" i="6"/>
  <c r="K8" i="6"/>
  <c r="J8" i="6"/>
  <c r="O7" i="6"/>
  <c r="N7" i="6"/>
  <c r="M7" i="6"/>
  <c r="L7" i="6"/>
  <c r="K7" i="6"/>
  <c r="J7" i="6"/>
  <c r="O6" i="6"/>
  <c r="N6" i="6"/>
  <c r="M6" i="6"/>
  <c r="L6" i="6"/>
  <c r="K6" i="6"/>
  <c r="J6" i="6"/>
  <c r="O5" i="6"/>
  <c r="N5" i="6"/>
  <c r="D5" i="6"/>
  <c r="L5" i="6" s="1"/>
  <c r="B29" i="1" s="1"/>
  <c r="C16" i="5"/>
  <c r="C14" i="5"/>
  <c r="G7" i="5"/>
  <c r="D7" i="5"/>
  <c r="C7" i="5"/>
  <c r="H6" i="5"/>
  <c r="F6" i="5"/>
  <c r="C6" i="5"/>
  <c r="F5" i="5"/>
  <c r="D5" i="5"/>
  <c r="C5" i="5"/>
  <c r="C13" i="4"/>
  <c r="C12" i="4"/>
  <c r="C9" i="4"/>
  <c r="C7" i="4"/>
  <c r="C6" i="4"/>
  <c r="G32" i="3"/>
  <c r="F32" i="3"/>
  <c r="E32" i="3"/>
  <c r="D32" i="3"/>
  <c r="C31" i="3"/>
  <c r="G30" i="3"/>
  <c r="F30" i="3"/>
  <c r="D30" i="3"/>
  <c r="C30" i="3"/>
  <c r="C33" i="3" s="1"/>
  <c r="D9" i="5" s="1"/>
  <c r="D12" i="5" s="1"/>
  <c r="D27" i="3"/>
  <c r="G5" i="5" s="1"/>
  <c r="C25" i="3"/>
  <c r="C24" i="3"/>
  <c r="C23" i="3"/>
  <c r="C26" i="3" s="1"/>
  <c r="H28" i="2"/>
  <c r="G28" i="2"/>
  <c r="F28" i="2"/>
  <c r="E28" i="2"/>
  <c r="D28" i="2"/>
  <c r="C28" i="2"/>
  <c r="H23" i="2"/>
  <c r="G23" i="2"/>
  <c r="F23" i="2"/>
  <c r="E23" i="2"/>
  <c r="D23" i="2"/>
  <c r="C23" i="2"/>
  <c r="H21" i="2"/>
  <c r="H22" i="2" s="1"/>
  <c r="G21" i="2"/>
  <c r="G22" i="2" s="1"/>
  <c r="F21" i="2"/>
  <c r="F22" i="2" s="1"/>
  <c r="E21" i="2"/>
  <c r="E22" i="2" s="1"/>
  <c r="D21" i="2"/>
  <c r="D22" i="2" s="1"/>
  <c r="C21" i="2"/>
  <c r="C22" i="2" s="1"/>
  <c r="H16" i="2"/>
  <c r="G16" i="2"/>
  <c r="F16" i="2"/>
  <c r="E16" i="2"/>
  <c r="D16" i="2"/>
  <c r="H15" i="2"/>
  <c r="G15" i="2"/>
  <c r="F15" i="2"/>
  <c r="E15" i="2"/>
  <c r="D15" i="2"/>
  <c r="H14" i="2"/>
  <c r="G14" i="2"/>
  <c r="F14" i="2"/>
  <c r="E14" i="2"/>
  <c r="D14" i="2"/>
  <c r="C14" i="2"/>
  <c r="H13" i="2"/>
  <c r="G13" i="2"/>
  <c r="F13" i="2"/>
  <c r="E13" i="2"/>
  <c r="D13" i="2"/>
  <c r="C13" i="2"/>
  <c r="H9" i="2"/>
  <c r="H8" i="2"/>
  <c r="G8" i="2"/>
  <c r="G9" i="2" s="1"/>
  <c r="F8" i="2"/>
  <c r="F9" i="2" s="1"/>
  <c r="E8" i="2"/>
  <c r="E9" i="2" s="1"/>
  <c r="D8" i="2"/>
  <c r="D9" i="2" s="1"/>
  <c r="C8" i="2"/>
  <c r="C9" i="2" s="1"/>
  <c r="B24" i="1" l="1"/>
  <c r="E5" i="6"/>
  <c r="I16" i="6"/>
  <c r="C42" i="3"/>
  <c r="M5" i="6"/>
  <c r="D31" i="3"/>
  <c r="H5" i="5"/>
  <c r="H7" i="5"/>
  <c r="D16" i="6"/>
  <c r="C27" i="6" s="1"/>
  <c r="C18" i="1" s="1"/>
  <c r="D18" i="1" s="1"/>
  <c r="F16" i="6"/>
  <c r="C28" i="6" s="1"/>
  <c r="C19" i="1" s="1"/>
  <c r="D19" i="1" s="1"/>
  <c r="D15" i="6"/>
  <c r="F31" i="3"/>
  <c r="C8" i="4"/>
  <c r="C10" i="4" s="1"/>
  <c r="C70" i="4" s="1"/>
  <c r="E15" i="6"/>
  <c r="G31" i="3"/>
  <c r="E6" i="5"/>
  <c r="C71" i="4"/>
  <c r="C34" i="3"/>
  <c r="D10" i="5" s="1"/>
  <c r="H15" i="6"/>
  <c r="C3" i="7"/>
  <c r="G36" i="4"/>
  <c r="C11" i="4"/>
  <c r="C24" i="4" s="1"/>
  <c r="C25" i="4" s="1"/>
  <c r="G46" i="3"/>
  <c r="E36" i="4"/>
  <c r="F46" i="3"/>
  <c r="H36" i="4"/>
  <c r="G16" i="6"/>
  <c r="G17" i="6"/>
  <c r="I17" i="6"/>
  <c r="B31" i="1"/>
  <c r="C35" i="3"/>
  <c r="C46" i="3"/>
  <c r="D17" i="6"/>
  <c r="G15" i="6"/>
  <c r="D33" i="3"/>
  <c r="D46" i="3"/>
  <c r="D36" i="4"/>
  <c r="E16" i="6"/>
  <c r="E17" i="6"/>
  <c r="E46" i="3"/>
  <c r="F36" i="4"/>
  <c r="C18" i="5"/>
  <c r="F15" i="6"/>
  <c r="I15" i="6"/>
  <c r="I6" i="7"/>
  <c r="F17" i="6"/>
  <c r="C17" i="7"/>
  <c r="E7" i="5"/>
  <c r="E30" i="3"/>
  <c r="C32" i="3"/>
  <c r="C37" i="3" s="1"/>
  <c r="D6" i="5"/>
  <c r="F7" i="5"/>
  <c r="C6" i="7"/>
  <c r="D17" i="7"/>
  <c r="H17" i="6"/>
  <c r="D6" i="7"/>
  <c r="E17" i="7"/>
  <c r="E6" i="7"/>
  <c r="F17" i="7"/>
  <c r="E5" i="5"/>
  <c r="G6" i="5"/>
  <c r="H16" i="6"/>
  <c r="F6" i="7"/>
  <c r="G17" i="7"/>
  <c r="G6" i="7"/>
  <c r="H17" i="7"/>
  <c r="E31" i="3"/>
  <c r="C74" i="4" l="1"/>
  <c r="J5" i="6"/>
  <c r="K5" i="6"/>
  <c r="C27" i="4"/>
  <c r="C29" i="4"/>
  <c r="C26" i="4"/>
  <c r="G46" i="4"/>
  <c r="G44" i="4"/>
  <c r="G45" i="4"/>
  <c r="G39" i="4"/>
  <c r="G40" i="4"/>
  <c r="G50" i="4" s="1"/>
  <c r="G55" i="4" s="1"/>
  <c r="G43" i="4"/>
  <c r="G38" i="4"/>
  <c r="G48" i="4" s="1"/>
  <c r="G53" i="4" s="1"/>
  <c r="G41" i="4"/>
  <c r="B13" i="7"/>
  <c r="B12" i="7"/>
  <c r="B11" i="7"/>
  <c r="B10" i="7"/>
  <c r="B9" i="7"/>
  <c r="B8" i="7"/>
  <c r="B7" i="7"/>
  <c r="B24" i="7"/>
  <c r="B23" i="7"/>
  <c r="B22" i="7"/>
  <c r="B21" i="7"/>
  <c r="B20" i="7"/>
  <c r="B19" i="7"/>
  <c r="B18" i="7"/>
  <c r="D45" i="4"/>
  <c r="D43" i="4"/>
  <c r="D44" i="4"/>
  <c r="D38" i="4"/>
  <c r="D48" i="4" s="1"/>
  <c r="D53" i="4" s="1"/>
  <c r="D39" i="4"/>
  <c r="D40" i="4"/>
  <c r="D46" i="4"/>
  <c r="D41" i="4"/>
  <c r="D35" i="3"/>
  <c r="E33" i="3"/>
  <c r="E9" i="5"/>
  <c r="E12" i="5" s="1"/>
  <c r="D42" i="3"/>
  <c r="D37" i="3"/>
  <c r="D34" i="3"/>
  <c r="E10" i="5" s="1"/>
  <c r="F43" i="4"/>
  <c r="F40" i="4"/>
  <c r="F41" i="4"/>
  <c r="F45" i="4"/>
  <c r="F46" i="4"/>
  <c r="F44" i="4"/>
  <c r="F39" i="4"/>
  <c r="F38" i="4"/>
  <c r="H40" i="4"/>
  <c r="H50" i="4" s="1"/>
  <c r="H55" i="4" s="1"/>
  <c r="H38" i="4"/>
  <c r="H39" i="4"/>
  <c r="H43" i="4"/>
  <c r="H44" i="4"/>
  <c r="H46" i="4"/>
  <c r="H41" i="4"/>
  <c r="H45" i="4"/>
  <c r="D15" i="5"/>
  <c r="D16" i="5" s="1"/>
  <c r="D13" i="5"/>
  <c r="D14" i="5" s="1"/>
  <c r="C39" i="3"/>
  <c r="C38" i="3"/>
  <c r="C36" i="3"/>
  <c r="E39" i="4"/>
  <c r="E49" i="4" s="1"/>
  <c r="E54" i="4" s="1"/>
  <c r="E46" i="4"/>
  <c r="E38" i="4"/>
  <c r="E41" i="4"/>
  <c r="E51" i="4" s="1"/>
  <c r="E56" i="4" s="1"/>
  <c r="E40" i="4"/>
  <c r="E44" i="4"/>
  <c r="E45" i="4"/>
  <c r="E43" i="4"/>
  <c r="F9" i="5" l="1"/>
  <c r="F12" i="5" s="1"/>
  <c r="F33" i="3"/>
  <c r="E42" i="3"/>
  <c r="E37" i="3"/>
  <c r="E34" i="3"/>
  <c r="F10" i="5" s="1"/>
  <c r="G51" i="4"/>
  <c r="G56" i="4" s="1"/>
  <c r="C40" i="3"/>
  <c r="C41" i="3" s="1"/>
  <c r="C45" i="3" s="1"/>
  <c r="H49" i="4"/>
  <c r="H54" i="4" s="1"/>
  <c r="E50" i="4"/>
  <c r="E55" i="4" s="1"/>
  <c r="D18" i="5"/>
  <c r="D19" i="5" s="1"/>
  <c r="C44" i="3" s="1"/>
  <c r="H48" i="4"/>
  <c r="H53" i="4" s="1"/>
  <c r="F50" i="4"/>
  <c r="F55" i="4" s="1"/>
  <c r="D51" i="4"/>
  <c r="D56" i="4" s="1"/>
  <c r="D36" i="3"/>
  <c r="D38" i="3"/>
  <c r="D39" i="3"/>
  <c r="F51" i="4"/>
  <c r="F56" i="4" s="1"/>
  <c r="E48" i="4"/>
  <c r="E53" i="4" s="1"/>
  <c r="F48" i="4"/>
  <c r="F53" i="4" s="1"/>
  <c r="E13" i="5"/>
  <c r="E14" i="5" s="1"/>
  <c r="E15" i="5"/>
  <c r="E16" i="5" s="1"/>
  <c r="D50" i="4"/>
  <c r="D55" i="4" s="1"/>
  <c r="G49" i="4"/>
  <c r="G54" i="4" s="1"/>
  <c r="H51" i="4"/>
  <c r="H56" i="4" s="1"/>
  <c r="F49" i="4"/>
  <c r="D49" i="4"/>
  <c r="D54" i="4" s="1"/>
  <c r="E18" i="5" l="1"/>
  <c r="E19" i="5" s="1"/>
  <c r="D44" i="3" s="1"/>
  <c r="C47" i="3"/>
  <c r="F15" i="5"/>
  <c r="F16" i="5" s="1"/>
  <c r="F13" i="5"/>
  <c r="E35" i="3"/>
  <c r="D40" i="3"/>
  <c r="D41" i="3"/>
  <c r="D45" i="3" s="1"/>
  <c r="D47" i="3" s="1"/>
  <c r="F42" i="3"/>
  <c r="F34" i="3"/>
  <c r="G10" i="5" s="1"/>
  <c r="F37" i="3"/>
  <c r="F35" i="3"/>
  <c r="G9" i="5"/>
  <c r="G12" i="5" s="1"/>
  <c r="G33" i="3"/>
  <c r="F14" i="5"/>
  <c r="F18" i="5" s="1"/>
  <c r="F19" i="5" s="1"/>
  <c r="E44" i="3" s="1"/>
  <c r="B78" i="4"/>
  <c r="C60" i="4"/>
  <c r="F54" i="4"/>
  <c r="E39" i="3" l="1"/>
  <c r="E38" i="3"/>
  <c r="E36" i="3"/>
  <c r="G37" i="3"/>
  <c r="C16" i="4"/>
  <c r="C28" i="4" s="1"/>
  <c r="H9" i="5"/>
  <c r="H12" i="5" s="1"/>
  <c r="G42" i="3"/>
  <c r="C72" i="4" s="1"/>
  <c r="G34" i="3"/>
  <c r="H10" i="5" s="1"/>
  <c r="G13" i="5"/>
  <c r="G14" i="5" s="1"/>
  <c r="G15" i="5"/>
  <c r="G16" i="5" s="1"/>
  <c r="F36" i="3"/>
  <c r="F39" i="3"/>
  <c r="F38" i="3"/>
  <c r="C67" i="4"/>
  <c r="D67" i="4" s="1"/>
  <c r="C63" i="4"/>
  <c r="D63" i="4" s="1"/>
  <c r="C66" i="4"/>
  <c r="D66" i="4" s="1"/>
  <c r="C64" i="4"/>
  <c r="D64" i="4" s="1"/>
  <c r="C65" i="4"/>
  <c r="D65" i="4" s="1"/>
  <c r="C73" i="4" l="1"/>
  <c r="G18" i="5"/>
  <c r="G19" i="5" s="1"/>
  <c r="F44" i="3" s="1"/>
  <c r="G35" i="3"/>
  <c r="H13" i="5"/>
  <c r="H15" i="5"/>
  <c r="H16" i="5" s="1"/>
  <c r="E40" i="3"/>
  <c r="E41" i="3" s="1"/>
  <c r="E45" i="3" s="1"/>
  <c r="F40" i="3"/>
  <c r="F41" i="3" s="1"/>
  <c r="F45" i="3" s="1"/>
  <c r="F47" i="3" s="1"/>
  <c r="H14" i="5"/>
  <c r="H18" i="5" s="1"/>
  <c r="H19" i="5" s="1"/>
  <c r="G44" i="3" s="1"/>
  <c r="E47" i="3" l="1"/>
  <c r="G36" i="3"/>
  <c r="G39" i="3"/>
  <c r="G38" i="3"/>
  <c r="C59" i="3" l="1"/>
  <c r="C60" i="3" s="1"/>
  <c r="C61" i="3" s="1"/>
  <c r="G40" i="3"/>
  <c r="G41" i="3" s="1"/>
  <c r="G45" i="3" s="1"/>
  <c r="G47" i="3" l="1"/>
  <c r="C50" i="3" s="1"/>
  <c r="C51" i="3"/>
  <c r="C52" i="3" s="1"/>
  <c r="D18" i="7"/>
  <c r="F18" i="7"/>
  <c r="H24" i="7"/>
  <c r="H11" i="7"/>
  <c r="I18" i="7"/>
  <c r="H21" i="7"/>
  <c r="E7" i="7"/>
  <c r="I8" i="7"/>
  <c r="I21" i="7"/>
  <c r="F19" i="7"/>
  <c r="F22" i="7"/>
  <c r="E22" i="7"/>
  <c r="E18" i="7"/>
  <c r="G22" i="7"/>
  <c r="F20" i="7"/>
  <c r="F21" i="7"/>
  <c r="F10" i="7"/>
  <c r="C24" i="7"/>
  <c r="I9" i="7"/>
  <c r="G19" i="7"/>
  <c r="F8" i="7"/>
  <c r="C13" i="7"/>
  <c r="G20" i="7"/>
  <c r="D7" i="7"/>
  <c r="E20" i="7"/>
  <c r="E19" i="7"/>
  <c r="D11" i="7"/>
  <c r="C20" i="7"/>
  <c r="D10" i="7"/>
  <c r="D19" i="7"/>
  <c r="C12" i="7"/>
  <c r="G11" i="7"/>
  <c r="E21" i="7"/>
  <c r="H23" i="7"/>
  <c r="G23" i="7"/>
  <c r="E11" i="7"/>
  <c r="D21" i="7"/>
  <c r="G12" i="7"/>
  <c r="D24" i="7"/>
  <c r="C18" i="7"/>
  <c r="H7" i="7"/>
  <c r="I23" i="7"/>
  <c r="I19" i="7"/>
  <c r="E12" i="7"/>
  <c r="G10" i="7"/>
  <c r="C11" i="7"/>
  <c r="C10" i="7"/>
  <c r="D13" i="7"/>
  <c r="C23" i="7"/>
  <c r="C8" i="7"/>
  <c r="I7" i="7"/>
  <c r="H18" i="7"/>
  <c r="E23" i="7"/>
  <c r="H8" i="7"/>
  <c r="H20" i="7"/>
  <c r="I20" i="7"/>
  <c r="I11" i="7"/>
  <c r="I10" i="7"/>
  <c r="G13" i="7"/>
  <c r="E24" i="7"/>
  <c r="F24" i="7"/>
  <c r="G7" i="7"/>
  <c r="H22" i="7"/>
  <c r="H19" i="7"/>
  <c r="C21" i="7"/>
  <c r="H9" i="7"/>
  <c r="F9" i="7"/>
  <c r="D22" i="7"/>
  <c r="D23" i="7"/>
  <c r="G24" i="7"/>
  <c r="I13" i="7"/>
  <c r="H12" i="7"/>
  <c r="G8" i="7"/>
  <c r="C7" i="7"/>
  <c r="H10" i="7"/>
  <c r="E13" i="7"/>
  <c r="I22" i="7"/>
  <c r="E8" i="7"/>
  <c r="D8" i="7"/>
  <c r="I24" i="7"/>
  <c r="F12" i="7"/>
  <c r="G9" i="7"/>
  <c r="C22" i="7"/>
  <c r="F13" i="7"/>
  <c r="I12" i="7"/>
  <c r="D12" i="7"/>
  <c r="C19" i="7"/>
  <c r="H13" i="7"/>
  <c r="D9" i="7"/>
  <c r="F7" i="7"/>
  <c r="F23" i="7"/>
  <c r="E9" i="7"/>
  <c r="E10" i="7"/>
  <c r="G21" i="7"/>
  <c r="F11" i="7"/>
  <c r="G18" i="7"/>
  <c r="D20" i="7"/>
  <c r="C9" i="7"/>
  <c r="C58" i="3" l="1"/>
  <c r="C62" i="3" s="1"/>
  <c r="C53" i="3"/>
  <c r="C54" i="3" l="1"/>
  <c r="C55" i="3" s="1"/>
  <c r="C16" i="1" s="1"/>
  <c r="C17" i="4"/>
  <c r="C63" i="3"/>
  <c r="C64" i="3" s="1"/>
  <c r="C17" i="1"/>
  <c r="D17" i="1" s="1"/>
  <c r="C19" i="4" l="1"/>
  <c r="C20" i="4" s="1"/>
  <c r="B79" i="4"/>
  <c r="C10" i="1"/>
  <c r="D16" i="1"/>
  <c r="C21" i="1"/>
  <c r="C12" i="1" l="1"/>
  <c r="C11" i="1" s="1"/>
  <c r="B26" i="1" l="1"/>
</calcChain>
</file>

<file path=xl/sharedStrings.xml><?xml version="1.0" encoding="utf-8"?>
<sst xmlns="http://schemas.openxmlformats.org/spreadsheetml/2006/main" count="433" uniqueCount="351">
  <si>
    <t>DISCLAIMER: This is a sample analysis for demonstration purposes only. It does not constitute investment advice.</t>
  </si>
  <si>
    <t>信越化学工業 (4063.T)</t>
  </si>
  <si>
    <t>Equity Research Report</t>
  </si>
  <si>
    <t>Company</t>
  </si>
  <si>
    <t>信越化学工業</t>
  </si>
  <si>
    <t>Ticker</t>
  </si>
  <si>
    <t>4063.T (TSE Prime)</t>
  </si>
  <si>
    <t>Sector</t>
  </si>
  <si>
    <t>化学</t>
  </si>
  <si>
    <t>Current Price</t>
  </si>
  <si>
    <t>Target Price (DCF Mid)</t>
  </si>
  <si>
    <t>Recommendation</t>
  </si>
  <si>
    <t>Upside / Downside</t>
  </si>
  <si>
    <t>Valuation Summary</t>
  </si>
  <si>
    <t>Methodology</t>
  </si>
  <si>
    <t>Implied Value (JPY)</t>
  </si>
  <si>
    <t>vs Current Price</t>
  </si>
  <si>
    <t>DCF - Perpetuity Growth</t>
  </si>
  <si>
    <t>DCF - Exit Multiple</t>
  </si>
  <si>
    <t>Comps - EV/EBITDA Median [参考・Target不算入]</t>
  </si>
  <si>
    <t>Comps - PER Median [参考・Target不算入]</t>
  </si>
  <si>
    <t>Note: Target Mid は DCF 2法（PGM / Exit）の平均のみ。Comps 2法は [参考] で Target 不算入（EV&lt;ネットデットで株式価値が負になる手法は INVALID として平均から除外）</t>
  </si>
  <si>
    <t>DCF Valuation Range (PGM - Exit)</t>
  </si>
  <si>
    <t>Key Investment Thesis</t>
  </si>
  <si>
    <t>The balance sheet carries net cash rather than net debt, so enterprise value is funded entirely by equity and the discount rate is the cost of equity with no leverage benefit assumed.</t>
  </si>
  <si>
    <t>Key Risks</t>
  </si>
  <si>
    <t>Semiconductor wafer demand is cyclical: the projected margin recovery assumes a memory and logic capex upturn that customer order books have not yet confirmed.</t>
  </si>
  <si>
    <t>信越化学工業 - Historical Financials (JPY mn)</t>
  </si>
  <si>
    <t>FY2021</t>
  </si>
  <si>
    <t>FY2022</t>
  </si>
  <si>
    <t>FY2023</t>
  </si>
  <si>
    <t>FY2024</t>
  </si>
  <si>
    <t>FY2025</t>
  </si>
  <si>
    <t>FY2026</t>
  </si>
  <si>
    <t>Income Statement</t>
  </si>
  <si>
    <t>Revenue</t>
  </si>
  <si>
    <t>COGS</t>
  </si>
  <si>
    <t>Gross Profit</t>
  </si>
  <si>
    <t>Gross Margin</t>
  </si>
  <si>
    <t>SGA</t>
  </si>
  <si>
    <t>Operating Income</t>
  </si>
  <si>
    <t>Net Income</t>
  </si>
  <si>
    <t>Operating Margin</t>
  </si>
  <si>
    <t>Net Margin</t>
  </si>
  <si>
    <t>Revenue Growth (YoY)</t>
  </si>
  <si>
    <t>n/a</t>
  </si>
  <si>
    <t>Operating Income Growth (YoY)</t>
  </si>
  <si>
    <t>Cash Flow Statement</t>
  </si>
  <si>
    <t>Operating Cash Flow</t>
  </si>
  <si>
    <t>Capex</t>
  </si>
  <si>
    <t>Free Cash Flow</t>
  </si>
  <si>
    <t>FCF Margin</t>
  </si>
  <si>
    <t>Capex / Revenue</t>
  </si>
  <si>
    <t>Balance Sheet Highlights</t>
  </si>
  <si>
    <t>Cash &amp; Deposits</t>
  </si>
  <si>
    <t>Total Interest-bearing Debt (short + long)</t>
  </si>
  <si>
    <t>Net Debt (Cash)</t>
  </si>
  <si>
    <t>Note: OCF / Cash / Debt coverage OCF 6/6, Cash 6/6, Debt 6/6 — blank cells are years with no year-key match in the source data (verify against 決算短信 or set hist_ocf / hist_cash / hist_debt in overrides).</t>
  </si>
  <si>
    <t>DCF Valuation Model - 信越化学工業</t>
  </si>
  <si>
    <t>Assumptions</t>
  </si>
  <si>
    <t>Capex / Revenue (fallback)</t>
  </si>
  <si>
    <t>Effective Tax Rate</t>
  </si>
  <si>
    <t>Risk-Free Rate</t>
  </si>
  <si>
    <t>Beta</t>
  </si>
  <si>
    <t>Equity Risk Premium</t>
  </si>
  <si>
    <t>Size Premium</t>
  </si>
  <si>
    <t>After-tax Cost of Debt</t>
  </si>
  <si>
    <t>D/E Ratio</t>
  </si>
  <si>
    <t>Terminal Growth Rate</t>
  </si>
  <si>
    <t>Exit Multiple (EV/EBITDA)</t>
  </si>
  <si>
    <t>Fully Diluted Shares</t>
  </si>
  <si>
    <t>Net Debt (JPY mn)</t>
  </si>
  <si>
    <t>Base Year Revenue (JPY mn)</t>
  </si>
  <si>
    <t>D&amp;A / Revenue</t>
  </si>
  <si>
    <t>Stub Fraction (yr remaining)</t>
  </si>
  <si>
    <t>LTM Revenue (JPY mn)</t>
  </si>
  <si>
    <t>WACC Calculation</t>
  </si>
  <si>
    <t>Cost of Equity (Ke)</t>
  </si>
  <si>
    <t>Weight of Equity</t>
  </si>
  <si>
    <t>Weight of Debt</t>
  </si>
  <si>
    <t>WACC</t>
  </si>
  <si>
    <t>Active Scenario</t>
  </si>
  <si>
    <t>Base</t>
  </si>
  <si>
    <t>Projected Free Cash Flow</t>
  </si>
  <si>
    <t>FY2027(E)</t>
  </si>
  <si>
    <t>FY2028(E)</t>
  </si>
  <si>
    <t>FY2029(E)</t>
  </si>
  <si>
    <t>FY2030(E)</t>
  </si>
  <si>
    <t>FY2031(E)</t>
  </si>
  <si>
    <t>COGS % of Revenue</t>
  </si>
  <si>
    <t>SGA % of Revenue</t>
  </si>
  <si>
    <t>SGA Expense</t>
  </si>
  <si>
    <t>Implied Operating Margin</t>
  </si>
  <si>
    <t>Operating Income (EBIT)</t>
  </si>
  <si>
    <t>Less: Tax</t>
  </si>
  <si>
    <t>NOPAT</t>
  </si>
  <si>
    <t>Plus: D&amp;A</t>
  </si>
  <si>
    <t>Less: Capex</t>
  </si>
  <si>
    <t>Change in NWC</t>
  </si>
  <si>
    <t>Unlevered Free Cash Flow</t>
  </si>
  <si>
    <t>Discount Factor</t>
  </si>
  <si>
    <t>PV of FCF</t>
  </si>
  <si>
    <t>Valuation - Perpetuity Growth Method</t>
  </si>
  <si>
    <t>Sum of PV of FCFs</t>
  </si>
  <si>
    <t>Terminal Value (PGM)</t>
  </si>
  <si>
    <t>PV of Terminal Value</t>
  </si>
  <si>
    <t>Enterprise Value</t>
  </si>
  <si>
    <t>Equity Value</t>
  </si>
  <si>
    <t>Implied Share Price (PGM)</t>
  </si>
  <si>
    <t>Valuation - Exit Multiple Method</t>
  </si>
  <si>
    <t>Year 5 EBITDA</t>
  </si>
  <si>
    <t>Terminal Value (Exit Multiple)</t>
  </si>
  <si>
    <t>Implied Share Price (Exit Multiple)</t>
  </si>
  <si>
    <t>Scenario Input Matrix</t>
  </si>
  <si>
    <t>Year 1</t>
  </si>
  <si>
    <t>Year 2</t>
  </si>
  <si>
    <t>Year 3</t>
  </si>
  <si>
    <t>Year 4</t>
  </si>
  <si>
    <t>Year 5</t>
  </si>
  <si>
    <t>Upside</t>
  </si>
  <si>
    <t>Management</t>
  </si>
  <si>
    <t>Downside 1</t>
  </si>
  <si>
    <t>Downside 2</t>
  </si>
  <si>
    <t>Reverse DCF - 信越化学工業 (4063.T)</t>
  </si>
  <si>
    <t>What is the current share price already assuming? Every value below is a live formula off the other sheets.</t>
  </si>
  <si>
    <t>Block 0: Market-implied enterprise value (live)</t>
  </si>
  <si>
    <t>Current Share Price (JPY)</t>
  </si>
  <si>
    <t>Market Capitalisation (JPY mn)</t>
  </si>
  <si>
    <t>Enterprise Value (JPY mn)</t>
  </si>
  <si>
    <t>WACC (w)</t>
  </si>
  <si>
    <t>Terminal Growth (g)</t>
  </si>
  <si>
    <t>Effective Tax Rate (t)</t>
  </si>
  <si>
    <t>Starting Operating Profit OP0 (FY2026 actual)</t>
  </si>
  <si>
    <t>Cycle-peak Operating Profit (FY2023 actual)</t>
  </si>
  <si>
    <t>Terminal-year Revenue, active scenario (JPY mn)</t>
  </si>
  <si>
    <t>Base-case DCF Enterprise Value, PGM (JPY mn)</t>
  </si>
  <si>
    <t>Cycle-peak Operating Margin (FY2023 actual)</t>
  </si>
  <si>
    <t>Gap: market EV less base-case DCF EV (JPY mn)</t>
  </si>
  <si>
    <t>Gap per share (JPY) - the part of the price the base case does not explain</t>
  </si>
  <si>
    <t>Block A: Required steady-state operating profit, reached IMMEDIATELY (no ramp)</t>
  </si>
  <si>
    <t>The lowest bar the price can clear: today's EV read as a perpetuity of one steady-state profit, capex = D&amp;A, no NWC build.</t>
  </si>
  <si>
    <t>Required steady-state NOPAT (JPY mn)</t>
  </si>
  <si>
    <t>Required steady-state Operating Profit (JPY mn)</t>
  </si>
  <si>
    <t>... as a multiple of the FY2023 peak</t>
  </si>
  <si>
    <t>... as a multiple of FY2026 actual</t>
  </si>
  <si>
    <t>... implied OPM on terminal-year revenue</t>
  </si>
  <si>
    <t>... revenue needed if margins only reach the cycle peak</t>
  </si>
  <si>
    <t>Block B: Required steady-state operating profit by YEARS-TO-REACH (linear ramp) x WACC</t>
  </si>
  <si>
    <t>Operating profit ramps linearly from OP0 (C14) to OP* over N years, then grows at g for ever. Column F is the model WACC.</t>
  </si>
  <si>
    <t>OP* = ( EV/(1-t) - OP0*(A-B) ) / ( B + TVF ). A longer ramp needs a HIGHER steady state, because more years are spent below it.</t>
  </si>
  <si>
    <t>Years to steady state (N)   \   WACC</t>
  </si>
  <si>
    <t>N</t>
  </si>
  <si>
    <t>B-1  PV weight on the RAMP from OP0   (A - B)</t>
  </si>
  <si>
    <t>N = 3 years</t>
  </si>
  <si>
    <t>N = 5 years</t>
  </si>
  <si>
    <t>N = 7 years</t>
  </si>
  <si>
    <t>N = 10 years</t>
  </si>
  <si>
    <t>B-2  PV weight on the STEADY STATE OP*   (B + terminal factor)</t>
  </si>
  <si>
    <t>B-3  REQUIRED steady-state Operating Profit (JPY mn)</t>
  </si>
  <si>
    <t>B-4  ... as a multiple of the FY2023 peak operating profit</t>
  </si>
  <si>
    <t>Block C: Decomposing the required profit into revenue x margin (N = 5 years, model WACC)</t>
  </si>
  <si>
    <t>The revenue the company must run at, for a given steady-state operating margin, to earn the Block B-3 profit.</t>
  </si>
  <si>
    <t>Required steady-state Operating Profit (N=5, model WACC)</t>
  </si>
  <si>
    <t>Assumed steady-state OPM</t>
  </si>
  <si>
    <t>Required Revenue</t>
  </si>
  <si>
    <t>x base-year revenue</t>
  </si>
  <si>
    <t>cycle-peak OPM (FY2023)</t>
  </si>
  <si>
    <t>Block D: The same question expressed as multiples</t>
  </si>
  <si>
    <t>Current EV / latest-FY EBITDA (actual)</t>
  </si>
  <si>
    <t>Current EV / latest-FY Revenue (actual)</t>
  </si>
  <si>
    <t>EV / EBITDA if the Block A profit were already earned</t>
  </si>
  <si>
    <t>EV / EBITDA if the Block B-3 (N=5) profit were already earned</t>
  </si>
  <si>
    <t>Peer median EV / EBITDA (statistics rows)</t>
  </si>
  <si>
    <t>Rows 3-4 answer: what multiple would today's EV be paying IF the company already earned the profit the price requires?</t>
  </si>
  <si>
    <t>Block F: The one-line answer</t>
  </si>
  <si>
    <t>NWC Schedule - 信越化学工業</t>
  </si>
  <si>
    <t>Working Capital Drivers (Days)</t>
  </si>
  <si>
    <t>Base Year</t>
  </si>
  <si>
    <t>DSO (Days Sales Outstanding)</t>
  </si>
  <si>
    <t>DIH (Days Inventory Held)</t>
  </si>
  <si>
    <t>DPO (Days Payable Outstanding)</t>
  </si>
  <si>
    <t>P&amp;L Reference (JPY mn)</t>
  </si>
  <si>
    <t>Working Capital Items (JPY mn)</t>
  </si>
  <si>
    <t>Accounts Receivable</t>
  </si>
  <si>
    <t>Inventory</t>
  </si>
  <si>
    <t>Current Assets (AR + Inv)</t>
  </si>
  <si>
    <t>Accounts Payable</t>
  </si>
  <si>
    <t>Current Liabilities (AP)</t>
  </si>
  <si>
    <t>Net Working Capital (JPY mn)</t>
  </si>
  <si>
    <t>Net Working Capital</t>
  </si>
  <si>
    <t>Scenario Input Matrix (Working Capital Days)</t>
  </si>
  <si>
    <t>DSO (Days)</t>
  </si>
  <si>
    <t>DIH (Days)</t>
  </si>
  <si>
    <t>DPO (Days)</t>
  </si>
  <si>
    <t>Comparable Company Analysis</t>
  </si>
  <si>
    <t>Peer prices as of 2026-09-06 (Mkt Cap / EV of peer rows are static CSV values; the subject row is live-linked to Executive Summary)</t>
  </si>
  <si>
    <t>Mkt Cap
(JPY mn)</t>
  </si>
  <si>
    <t>EV
(JPY mn)</t>
  </si>
  <si>
    <t>Revenue
(JPY mn)</t>
  </si>
  <si>
    <t>EBITDA
(JPY mn)</t>
  </si>
  <si>
    <t>Op Income
(JPY mn)</t>
  </si>
  <si>
    <t>Net Income
(JPY mn)</t>
  </si>
  <si>
    <t>EV/EBITDA</t>
  </si>
  <si>
    <t>EV/Revenue</t>
  </si>
  <si>
    <t>PER</t>
  </si>
  <si>
    <t>PBR</t>
  </si>
  <si>
    <t>Op Margin</t>
  </si>
  <si>
    <t>ROE</t>
  </si>
  <si>
    <t>Book Value
(JPY mn)</t>
  </si>
  <si>
    <t>Note</t>
  </si>
  <si>
    <t>Shin-Etsu Chemical Co., Ltd.</t>
  </si>
  <si>
    <t>4063.T</t>
  </si>
  <si>
    <t>Asahi Kasei Corporation</t>
  </si>
  <si>
    <t>3407.T</t>
  </si>
  <si>
    <t>Mitsubishi Chemical Group Corporation</t>
  </si>
  <si>
    <t>4188.T</t>
  </si>
  <si>
    <t>Mitsui Chemicals, Inc.</t>
  </si>
  <si>
    <t>4183.T</t>
  </si>
  <si>
    <t>Nippon Sanso Holdings Corporation</t>
  </si>
  <si>
    <t>4091.T</t>
  </si>
  <si>
    <t>FUJIFILM Holdings Corporation</t>
  </si>
  <si>
    <t>4901.T</t>
  </si>
  <si>
    <t>Statistics</t>
  </si>
  <si>
    <t>25th Percentile</t>
  </si>
  <si>
    <t>Median (50th)</t>
  </si>
  <si>
    <t>75th Percentile</t>
  </si>
  <si>
    <t>Implied Valuation for 信越化学工業</t>
  </si>
  <si>
    <t>信越化学工業 Financials</t>
  </si>
  <si>
    <t>EBITDA (JPY mn)</t>
  </si>
  <si>
    <t>Net Income (JPY mn)</t>
  </si>
  <si>
    <t>Shares Outstanding</t>
  </si>
  <si>
    <t>Implied Share Price (Median Multiples)</t>
  </si>
  <si>
    <t>Via EV/EBITDA (Median)</t>
  </si>
  <si>
    <t>Via PER (Median)</t>
  </si>
  <si>
    <t>Sensitivity Analysis</t>
  </si>
  <si>
    <t>Current WACC:</t>
  </si>
  <si>
    <t>Terminal g:</t>
  </si>
  <si>
    <t>Exit Multiple:</t>
  </si>
  <si>
    <t>Table 1: WACC vs Terminal Growth Rate (PGM - Implied Share Price, JPY)</t>
  </si>
  <si>
    <t>WACC \ Terminal g</t>
  </si>
  <si>
    <t>Table 2: WACC vs Exit Multiple (Exit Multiple - Implied Share Price, JPY)</t>
  </si>
  <si>
    <t>WACC \ Exit Multiple</t>
  </si>
  <si>
    <t>All values dynamically linked to DCF Model. Headers auto-center on current WACC / Terminal g / Exit Multiple.</t>
  </si>
  <si>
    <t>Adjustments Log - 信越化学工業</t>
  </si>
  <si>
    <t>日付</t>
  </si>
  <si>
    <t>セル</t>
  </si>
  <si>
    <t>変更内容</t>
  </si>
  <si>
    <t>理由</t>
  </si>
  <si>
    <t>元の値</t>
  </si>
  <si>
    <t>状態</t>
  </si>
  <si>
    <t>2026-09-06</t>
  </si>
  <si>
    <t>-</t>
  </si>
  <si>
    <t>Generated by pipeline on 2026-09-06 23:18, template rev 041abe3</t>
  </si>
  <si>
    <t>初期生成（手修正なし）</t>
  </si>
  <si>
    <t>generated</t>
  </si>
  <si>
    <t>DCF Model!C8</t>
  </si>
  <si>
    <t>Beta = 1.029（採用値）</t>
  </si>
  <si>
    <t>実測β(raw) = 1.044 → Blume調整 0.67×raw + 0.33×1.00 = 1.029 → 採用 1.029。クランプ域 [0.3, 2.0] の内側。置換なし。回帰βは平均回帰するため Blume 調整を既定とする（2026-09-05 バッチで85件中57件が旧下限 0.60 に張り付き、両裾の歪みが実証された）。</t>
  </si>
  <si>
    <t>実測 1.044</t>
  </si>
  <si>
    <t>確定</t>
  </si>
  <si>
    <t>Pipeline Metadata (do not edit — read by scripts/validate_output.py)</t>
  </si>
  <si>
    <t>key</t>
  </si>
  <si>
    <t>value</t>
  </si>
  <si>
    <t>annual_doc_ids</t>
  </si>
  <si>
    <t>2026-03-31=S100YE9I, 2025-03-31=S100W0RG, 2024-03-31=S100TO0V, 2023-03-31=S100R9Y6, 2022-03-31=S100OLVL</t>
  </si>
  <si>
    <t>auto_log_entries</t>
  </si>
  <si>
    <t>1</t>
  </si>
  <si>
    <t>beta_adopted_c8</t>
  </si>
  <si>
    <t>1.0292</t>
  </si>
  <si>
    <t>beta_basis</t>
  </si>
  <si>
    <t>Blume: 0.67 x 1.044 + 0.33 x 1.00 = 1.029</t>
  </si>
  <si>
    <t>beta_blume_adjusted</t>
  </si>
  <si>
    <t>beta_clamped</t>
  </si>
  <si>
    <t>no</t>
  </si>
  <si>
    <t>beta_raw</t>
  </si>
  <si>
    <t>1.0436</t>
  </si>
  <si>
    <t>capex_pct_basis</t>
  </si>
  <si>
    <t>explicit_override</t>
  </si>
  <si>
    <t>capex_pct_c5</t>
  </si>
  <si>
    <t>0.1</t>
  </si>
  <si>
    <t>capex_pct_hist3yr</t>
  </si>
  <si>
    <t>0.15467</t>
  </si>
  <si>
    <t>company_name</t>
  </si>
  <si>
    <t>comps_asof</t>
  </si>
  <si>
    <t>comps_da_missing</t>
  </si>
  <si>
    <t>none</t>
  </si>
  <si>
    <t>comps_ebitda_excluded</t>
  </si>
  <si>
    <t>comps_ev_ebitda_invalid</t>
  </si>
  <si>
    <t>comps_ev_ebitda_rows</t>
  </si>
  <si>
    <t>6,7,8,9,10</t>
  </si>
  <si>
    <t>comps_impl_mult_row</t>
  </si>
  <si>
    <t>27</t>
  </si>
  <si>
    <t>comps_impl_per_row</t>
  </si>
  <si>
    <t>28</t>
  </si>
  <si>
    <t>comps_peer_rows</t>
  </si>
  <si>
    <t>comps_per_excluded</t>
  </si>
  <si>
    <t>comps_stale_excluded</t>
  </si>
  <si>
    <t>comps_stat_median_row</t>
  </si>
  <si>
    <t>16</t>
  </si>
  <si>
    <t>comps_subject_row</t>
  </si>
  <si>
    <t>5</t>
  </si>
  <si>
    <t>core_ebitda</t>
  </si>
  <si>
    <t>878177.0</t>
  </si>
  <si>
    <t>core_net_income</t>
  </si>
  <si>
    <t>474459.0</t>
  </si>
  <si>
    <t>cost_of_debt_at_c11</t>
  </si>
  <si>
    <t>0.01</t>
  </si>
  <si>
    <t>cost_of_debt_basis</t>
  </si>
  <si>
    <t>assumption</t>
  </si>
  <si>
    <t>da_pct_basis</t>
  </si>
  <si>
    <t>da_pct_c18</t>
  </si>
  <si>
    <t>0.095</t>
  </si>
  <si>
    <t>da_pct_hist3yr</t>
  </si>
  <si>
    <t>0.093905</t>
  </si>
  <si>
    <t>disclosure_basis_date</t>
  </si>
  <si>
    <t>2026-03-31</t>
  </si>
  <si>
    <t>fs_year_coverage</t>
  </si>
  <si>
    <t>OCF 6/6, Cash 6/6, Debt 6/6</t>
  </si>
  <si>
    <t>fs_year_map</t>
  </si>
  <si>
    <t>FY2021&lt;-FY2021[ocf+cash+debt]; FY2022&lt;-FY2022[ocf+cash+debt]; FY2023&lt;-FY2023[ocf+cash+debt]; FY2024&lt;-FY2024[ocf+cash+debt]; FY2025&lt;-FY2025[ocf+cash+debt]; FY2026&lt;-FY2026[ocf+cash+debt]</t>
  </si>
  <si>
    <t>fs_year_sources</t>
  </si>
  <si>
    <t>overrides: none | EDINET year-key match: hist_ocf, hist_cash, hist_debt, hist_capex, hist_depreciation</t>
  </si>
  <si>
    <t>fx_sensitivity</t>
  </si>
  <si>
    <t>not enabled</t>
  </si>
  <si>
    <t>generated_at</t>
  </si>
  <si>
    <t>2026-09-06 23:18:21</t>
  </si>
  <si>
    <t>guidance_note</t>
  </si>
  <si>
    <t>TDnet 決算短信 via screener guidance table: FY2027 disclosed 2026-07-24 (net_income=525,000mn, operating_income=700,000mn, revenue=2,700,000mn)</t>
  </si>
  <si>
    <t>guidance_source</t>
  </si>
  <si>
    <t>tdnet_screener_db</t>
  </si>
  <si>
    <t>latest_operating_income</t>
  </si>
  <si>
    <t>635204.0</t>
  </si>
  <si>
    <t>ltm_revenue_c20</t>
  </si>
  <si>
    <t>2573969.0</t>
  </si>
  <si>
    <t>ltm_revenue_source</t>
  </si>
  <si>
    <t>latest FY (no LTM)</t>
  </si>
  <si>
    <t>market_data_source</t>
  </si>
  <si>
    <t>yfinance; from overrides: beta</t>
  </si>
  <si>
    <t>narrative_tokens_used</t>
  </si>
  <si>
    <t>pb,per,price,target_price,upside_pct,wacc</t>
  </si>
  <si>
    <t>net_debt_source</t>
  </si>
  <si>
    <t>EDINET net_debt</t>
  </si>
  <si>
    <t>reverse_dcf_sheet</t>
  </si>
  <si>
    <t>op0=635,204(FY2026) peak=998,202(FY2023) peak_opm=0.3554 N=3/5/7/10</t>
  </si>
  <si>
    <t>scenario_index_range</t>
  </si>
  <si>
    <t>B69:B73</t>
  </si>
  <si>
    <t>tax_rate_c6</t>
  </si>
  <si>
    <t>0.25</t>
  </si>
  <si>
    <t>template_rev</t>
  </si>
  <si>
    <t>041abe3</t>
  </si>
  <si>
    <t>ticker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</si>
</sst>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0\)"/>
    <numFmt numFmtId="177" formatCode="0.0%;\(0.0%\)"/>
    <numFmt numFmtId="178" formatCode="0.000"/>
    <numFmt numFmtId="179" formatCode="0.00&quot;x&quot;"/>
    <numFmt numFmtId="180" formatCode="0.00%;\(0.00%\)"/>
    <numFmt numFmtId="181" formatCode="0.0000"/>
  </numFmts>
  <fonts count="9" x14ac:knownFonts="1">
    <font>
      <sz val="11"/>
      <color theme="1"/>
      <name val="ＭＳ Ｐゴシック"/>
      <family val="2"/>
      <scheme val="minor"/>
    </font>
    <font>
      <i/>
      <sz val="9"/>
      <color rgb="FF808080"/>
      <name val="Arial"/>
    </font>
    <font>
      <b/>
      <sz val="14"/>
      <name val="Arial"/>
    </font>
    <font>
      <b/>
      <sz val="11"/>
      <name val="Arial"/>
    </font>
    <font>
      <b/>
      <sz val="10"/>
      <name val="Arial"/>
    </font>
    <font>
      <sz val="10"/>
      <color rgb="FF000000"/>
      <name val="Arial"/>
    </font>
    <font>
      <b/>
      <sz val="11"/>
      <color rgb="FFFFFFFF"/>
      <name val="Arial"/>
    </font>
    <font>
      <sz val="10"/>
      <color rgb="FF006600"/>
      <name val="Arial"/>
    </font>
    <font>
      <sz val="6"/>
      <name val="ＭＳ Ｐゴシック"/>
      <family val="3"/>
      <charset val="128"/>
      <scheme val="minor"/>
    </font>
  </fonts>
  <fills count="6">
    <fill>
      <patternFill patternType="none"/>
    </fill>
    <fill>
      <patternFill patternType="gray125"/>
    </fill>
    <fill>
      <patternFill patternType="solid">
        <fgColor rgb="FFDCE6F1"/>
        <bgColor rgb="FFDCE6F1"/>
      </patternFill>
    </fill>
    <fill>
      <patternFill patternType="solid">
        <fgColor rgb="FF000080"/>
        <bgColor rgb="FF000080"/>
      </patternFill>
    </fill>
    <fill>
      <patternFill patternType="solid">
        <fgColor rgb="FFF2F2F2"/>
        <bgColor rgb="FFF2F2F2"/>
      </patternFill>
    </fill>
    <fill>
      <patternFill patternType="solid">
        <fgColor rgb="FFE2EFDA"/>
        <bgColor rgb="FFE2EFDA"/>
      </patternFill>
    </fill>
  </fills>
  <borders count="7">
    <border>
      <left/>
      <right/>
      <top/>
      <bottom/>
      <diagonal/>
    </border>
    <border>
      <left/>
      <right/>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thin">
        <color auto="1"/>
      </bottom>
      <diagonal/>
    </border>
    <border>
      <left/>
      <right/>
      <top style="thin">
        <color auto="1"/>
      </top>
      <bottom style="double">
        <color auto="1"/>
      </bottom>
      <diagonal/>
    </border>
    <border>
      <left style="hair">
        <color rgb="FFB0B0B0"/>
      </left>
      <right style="hair">
        <color rgb="FFB0B0B0"/>
      </right>
      <top style="hair">
        <color rgb="FFB0B0B0"/>
      </top>
      <bottom style="hair">
        <color rgb="FFB0B0B0"/>
      </bottom>
      <diagonal/>
    </border>
    <border>
      <left style="thin">
        <color auto="1"/>
      </left>
      <right style="thin">
        <color auto="1"/>
      </right>
      <top style="thin">
        <color auto="1"/>
      </top>
      <bottom style="thin">
        <color auto="1"/>
      </bottom>
      <diagonal/>
    </border>
  </borders>
  <cellStyleXfs count="1">
    <xf numFmtId="0" fontId="0" fillId="0" borderId="0"/>
  </cellStyleXfs>
  <cellXfs count="4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176" fontId="5" fillId="0" borderId="0" xfId="0" applyNumberFormat="1" applyFont="1"/>
    <xf numFmtId="0" fontId="5" fillId="0" borderId="0" xfId="0" applyFont="1"/>
    <xf numFmtId="177" fontId="5" fillId="0" borderId="0" xfId="0" applyNumberFormat="1" applyFont="1"/>
    <xf numFmtId="0" fontId="3" fillId="2" borderId="0" xfId="0" applyFont="1" applyFill="1"/>
    <xf numFmtId="0" fontId="0" fillId="2" borderId="0" xfId="0" applyFill="1"/>
    <xf numFmtId="0" fontId="6" fillId="3" borderId="1" xfId="0" applyFont="1" applyFill="1" applyBorder="1" applyAlignment="1">
      <alignment horizontal="center" wrapText="1"/>
    </xf>
    <xf numFmtId="176" fontId="7" fillId="0" borderId="0" xfId="0" applyNumberFormat="1" applyFont="1"/>
    <xf numFmtId="2" fontId="5" fillId="0" borderId="0" xfId="0" applyNumberFormat="1" applyFont="1"/>
    <xf numFmtId="178" fontId="5" fillId="0" borderId="0" xfId="0" applyNumberFormat="1" applyFont="1"/>
    <xf numFmtId="179" fontId="5" fillId="0" borderId="0" xfId="0" applyNumberFormat="1" applyFont="1"/>
    <xf numFmtId="3" fontId="5" fillId="0" borderId="0" xfId="0" applyNumberFormat="1" applyFont="1"/>
    <xf numFmtId="180" fontId="5" fillId="0" borderId="0" xfId="0" applyNumberFormat="1" applyFont="1"/>
    <xf numFmtId="0" fontId="5" fillId="0" borderId="2" xfId="0" applyFont="1" applyBorder="1"/>
    <xf numFmtId="177" fontId="5" fillId="2" borderId="0" xfId="0" applyNumberFormat="1" applyFont="1" applyFill="1"/>
    <xf numFmtId="176" fontId="5" fillId="0" borderId="3" xfId="0" applyNumberFormat="1" applyFont="1" applyBorder="1"/>
    <xf numFmtId="176" fontId="5" fillId="4" borderId="3" xfId="0" applyNumberFormat="1" applyFont="1" applyFill="1" applyBorder="1"/>
    <xf numFmtId="181" fontId="5" fillId="0" borderId="0" xfId="0" applyNumberFormat="1" applyFont="1"/>
    <xf numFmtId="0" fontId="3" fillId="5" borderId="0" xfId="0" applyFont="1" applyFill="1"/>
    <xf numFmtId="0" fontId="0" fillId="5" borderId="0" xfId="0" applyFill="1"/>
    <xf numFmtId="176" fontId="5" fillId="0" borderId="4" xfId="0" applyNumberFormat="1" applyFont="1" applyBorder="1"/>
    <xf numFmtId="0" fontId="6" fillId="3" borderId="0" xfId="0" applyFont="1" applyFill="1" applyAlignment="1">
      <alignment horizontal="center"/>
    </xf>
    <xf numFmtId="177" fontId="5" fillId="0" borderId="2" xfId="0" applyNumberFormat="1" applyFont="1" applyBorder="1"/>
    <xf numFmtId="176" fontId="5" fillId="0" borderId="2" xfId="0" applyNumberFormat="1" applyFont="1" applyBorder="1"/>
    <xf numFmtId="0" fontId="6" fillId="3" borderId="0" xfId="0" applyFont="1" applyFill="1"/>
    <xf numFmtId="180" fontId="6" fillId="3" borderId="0" xfId="0" applyNumberFormat="1" applyFont="1" applyFill="1" applyAlignment="1">
      <alignment horizontal="center"/>
    </xf>
    <xf numFmtId="3" fontId="5" fillId="0" borderId="2" xfId="0" applyNumberFormat="1" applyFont="1" applyBorder="1"/>
    <xf numFmtId="177" fontId="4" fillId="0" borderId="2" xfId="0" applyNumberFormat="1" applyFont="1" applyBorder="1"/>
    <xf numFmtId="0" fontId="6" fillId="2" borderId="1" xfId="0" applyFont="1" applyFill="1" applyBorder="1" applyAlignment="1">
      <alignment horizontal="center" wrapText="1"/>
    </xf>
    <xf numFmtId="0" fontId="4" fillId="0" borderId="5" xfId="0" applyFont="1" applyBorder="1"/>
    <xf numFmtId="3" fontId="5" fillId="0" borderId="5" xfId="0" applyNumberFormat="1" applyFont="1" applyBorder="1"/>
    <xf numFmtId="176" fontId="5" fillId="0" borderId="5" xfId="0" applyNumberFormat="1" applyFont="1" applyBorder="1"/>
    <xf numFmtId="0" fontId="5" fillId="0" borderId="5" xfId="0" applyFont="1" applyBorder="1"/>
    <xf numFmtId="176" fontId="5" fillId="0" borderId="6" xfId="0" applyNumberFormat="1" applyFont="1" applyBorder="1"/>
    <xf numFmtId="179" fontId="5" fillId="0" borderId="6" xfId="0" applyNumberFormat="1" applyFont="1" applyBorder="1"/>
    <xf numFmtId="177" fontId="5" fillId="0" borderId="6" xfId="0" applyNumberFormat="1" applyFont="1" applyBorder="1"/>
    <xf numFmtId="0" fontId="6" fillId="3" borderId="6" xfId="0" applyFont="1" applyFill="1" applyBorder="1" applyAlignment="1">
      <alignment horizontal="center" wrapText="1"/>
    </xf>
    <xf numFmtId="177" fontId="6" fillId="3" borderId="6" xfId="0" applyNumberFormat="1" applyFont="1" applyFill="1" applyBorder="1" applyAlignment="1">
      <alignment horizontal="center"/>
    </xf>
    <xf numFmtId="179" fontId="6" fillId="3" borderId="6" xfId="0" applyNumberFormat="1" applyFont="1" applyFill="1" applyBorder="1" applyAlignment="1">
      <alignment horizontal="center"/>
    </xf>
    <xf numFmtId="0" fontId="2" fillId="0" borderId="0" xfId="0" applyFont="1"/>
    <xf numFmtId="0" fontId="0" fillId="0" borderId="0" xfId="0"/>
    <xf numFmtId="0" fontId="1" fillId="0" borderId="0" xfId="0" applyFont="1"/>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B1:E31"/>
  <sheetViews>
    <sheetView tabSelected="1" workbookViewId="0"/>
  </sheetViews>
  <sheetFormatPr defaultRowHeight="13" x14ac:dyDescent="0.2"/>
  <cols>
    <col min="1" max="1" width="3" customWidth="1"/>
    <col min="2" max="2" width="30" customWidth="1"/>
    <col min="3" max="5" width="22" customWidth="1"/>
  </cols>
  <sheetData>
    <row r="1" spans="2:5" ht="14" x14ac:dyDescent="0.3">
      <c r="B1" s="45" t="s">
        <v>0</v>
      </c>
      <c r="C1" s="44"/>
      <c r="D1" s="44"/>
      <c r="E1" s="44"/>
    </row>
    <row r="3" spans="2:5" ht="18" x14ac:dyDescent="0.4">
      <c r="B3" s="43" t="s">
        <v>1</v>
      </c>
      <c r="C3" s="44"/>
      <c r="D3" s="44"/>
    </row>
    <row r="4" spans="2:5" ht="14" x14ac:dyDescent="0.3">
      <c r="B4" s="3" t="s">
        <v>2</v>
      </c>
    </row>
    <row r="6" spans="2:5" ht="14" x14ac:dyDescent="0.3">
      <c r="B6" s="4" t="s">
        <v>3</v>
      </c>
      <c r="C6" t="s">
        <v>4</v>
      </c>
    </row>
    <row r="7" spans="2:5" ht="14" x14ac:dyDescent="0.3">
      <c r="B7" s="4" t="s">
        <v>5</v>
      </c>
      <c r="C7" t="s">
        <v>6</v>
      </c>
    </row>
    <row r="8" spans="2:5" ht="14" x14ac:dyDescent="0.3">
      <c r="B8" s="4" t="s">
        <v>7</v>
      </c>
      <c r="C8" t="s">
        <v>8</v>
      </c>
    </row>
    <row r="9" spans="2:5" ht="14" x14ac:dyDescent="0.3">
      <c r="B9" s="4" t="s">
        <v>9</v>
      </c>
      <c r="C9" s="5">
        <v>5786</v>
      </c>
    </row>
    <row r="10" spans="2:5" ht="14" x14ac:dyDescent="0.3">
      <c r="B10" s="4" t="s">
        <v>10</v>
      </c>
      <c r="C10" s="5">
        <f>IF(COUNT(C16:C17)=0,"N/A",ROUND(AVERAGE(C16:C17),0))</f>
        <v>4087</v>
      </c>
    </row>
    <row r="11" spans="2:5" ht="14" x14ac:dyDescent="0.3">
      <c r="B11" s="4" t="s">
        <v>11</v>
      </c>
      <c r="C11" s="6" t="str">
        <f>IF(NOT(ISNUMBER(C12)),"N/A",IF(C12&gt;0.15,"BUY",IF(C12&gt;0.05,"HOLD","SELL")))</f>
        <v>SELL</v>
      </c>
    </row>
    <row r="12" spans="2:5" ht="14" x14ac:dyDescent="0.3">
      <c r="B12" s="4" t="s">
        <v>12</v>
      </c>
      <c r="C12" s="7">
        <f>IF(ISNUMBER(C10),(C10-C9)/C9,"N/A")</f>
        <v>-0.29363982025578983</v>
      </c>
    </row>
    <row r="14" spans="2:5" ht="14" x14ac:dyDescent="0.3">
      <c r="B14" s="8" t="s">
        <v>13</v>
      </c>
      <c r="C14" s="9"/>
      <c r="D14" s="9"/>
    </row>
    <row r="15" spans="2:5" ht="14" x14ac:dyDescent="0.3">
      <c r="B15" s="10" t="s">
        <v>14</v>
      </c>
      <c r="C15" s="10" t="s">
        <v>15</v>
      </c>
      <c r="D15" s="10" t="s">
        <v>16</v>
      </c>
    </row>
    <row r="16" spans="2:5" ht="13.5" x14ac:dyDescent="0.25">
      <c r="B16" t="s">
        <v>17</v>
      </c>
      <c r="C16" s="11">
        <f>IF('DCF Model'!C53&lt;'DCF Model'!C16,"INVALID (EV &lt; net debt)",'DCF Model'!C55)</f>
        <v>3416</v>
      </c>
      <c r="D16" s="7">
        <f>IF(ISNUMBER(C16),(C16-C9)/C9,"N/A")</f>
        <v>-0.40960940200483925</v>
      </c>
    </row>
    <row r="17" spans="2:5" ht="13.5" x14ac:dyDescent="0.25">
      <c r="B17" t="s">
        <v>18</v>
      </c>
      <c r="C17" s="11">
        <f>IF('DCF Model'!C62&lt;'DCF Model'!C16,"INVALID (EV &lt; net debt)",'DCF Model'!C64)</f>
        <v>4757</v>
      </c>
      <c r="D17" s="7">
        <f>IF(ISNUMBER(C17),(C17-C9)/C9,"N/A")</f>
        <v>-0.17784306947805045</v>
      </c>
    </row>
    <row r="18" spans="2:5" ht="13.5" x14ac:dyDescent="0.25">
      <c r="B18" t="s">
        <v>19</v>
      </c>
      <c r="C18" s="11">
        <f>'Comps Analysis'!C27</f>
        <v>5242</v>
      </c>
      <c r="D18" s="7">
        <f>IF(ISNUMBER(C18),(C18-C9)/C9,"N/A")</f>
        <v>-9.4020048392671973E-2</v>
      </c>
    </row>
    <row r="19" spans="2:5" ht="13.5" x14ac:dyDescent="0.25">
      <c r="B19" t="s">
        <v>20</v>
      </c>
      <c r="C19" s="11">
        <f>'Comps Analysis'!C28</f>
        <v>4997</v>
      </c>
      <c r="D19" s="7">
        <f>IF(ISNUMBER(C19),(C19-C9)/C9,"N/A")</f>
        <v>-0.13636363636363635</v>
      </c>
    </row>
    <row r="20" spans="2:5" ht="14" x14ac:dyDescent="0.3">
      <c r="B20" s="45" t="s">
        <v>21</v>
      </c>
      <c r="C20" s="44"/>
      <c r="D20" s="44"/>
      <c r="E20" s="44"/>
    </row>
    <row r="21" spans="2:5" ht="14" x14ac:dyDescent="0.3">
      <c r="B21" s="4" t="s">
        <v>22</v>
      </c>
      <c r="C21" s="6" t="str">
        <f>IF(COUNT(C16:C17)=0,"N/A",MIN(C16:C17)&amp;" - "&amp;MAX(C16:C17))</f>
        <v>3416 - 4757</v>
      </c>
    </row>
    <row r="23" spans="2:5" ht="14" x14ac:dyDescent="0.3">
      <c r="B23" s="8" t="s">
        <v>23</v>
      </c>
      <c r="C23" s="9"/>
      <c r="D23" s="9"/>
    </row>
    <row r="24" spans="2:5" x14ac:dyDescent="0.2">
      <c r="B24" t="str">
        <f>"Semiconductor-grade silicon, silicones and PVC give Shin-Etsu a structurally higher operating margin than the Japanese chemical peer group; the shares change hands at "&amp;TEXT('Comps Analysis'!L5,"0.0""x""")&amp;" earnings and "&amp;TEXT('Comps Analysis'!M5,"0.00""x""")&amp;" book against a "&amp;TEXT('DCF Model'!C26,"0.00%")&amp;" cost of capital."</f>
        <v>Semiconductor-grade silicon, silicones and PVC give Shin-Etsu a structurally higher operating margin than the Japanese chemical peer group; the shares change hands at 22.1x earnings and 2.35x book against a 10.66% cost of capital.</v>
      </c>
    </row>
    <row r="25" spans="2:5" x14ac:dyDescent="0.2">
      <c r="B25" t="s">
        <v>24</v>
      </c>
    </row>
    <row r="26" spans="2:5" x14ac:dyDescent="0.2">
      <c r="B26" t="str">
        <f>"At "&amp;TEXT(C9,"#,##0")&amp;" the market is capitalising the current trough operating margin as permanent; normalising toward the five-year median margin supports "&amp;TEXT(C10,"#,##0")&amp;", or "&amp;TEXT(C12,"+0.0%;-0.0%")&amp;" from the current level."</f>
        <v>At 5,786 the market is capitalising the current trough operating margin as permanent; normalising toward the five-year median margin supports 4,087, or -29.4% from the current level.</v>
      </c>
    </row>
    <row r="28" spans="2:5" ht="14" x14ac:dyDescent="0.3">
      <c r="B28" s="8" t="s">
        <v>25</v>
      </c>
      <c r="C28" s="9"/>
      <c r="D28" s="9"/>
    </row>
    <row r="29" spans="2:5" x14ac:dyDescent="0.2">
      <c r="B29" t="str">
        <f>"PVC and silicones are commodity-linked, and a further leg down in Chinese construction demand would take margins below the level implied by today's "&amp;TEXT(C9,"#,##0")&amp;" and "&amp;TEXT('Comps Analysis'!L5,"0.0""x""")&amp;"."</f>
        <v>PVC and silicones are commodity-linked, and a further leg down in Chinese construction demand would take margins below the level implied by today's 5,786 and 22.1x.</v>
      </c>
    </row>
    <row r="30" spans="2:5" x14ac:dyDescent="0.2">
      <c r="B30" t="s">
        <v>26</v>
      </c>
    </row>
    <row r="31" spans="2:5" x14ac:dyDescent="0.2">
      <c r="B31" t="str">
        <f>"Yen appreciation compresses translated overseas earnings, and the "&amp;TEXT('DCF Model'!C26,"0.00%")&amp;" discount rate carries no explicit FX sensitivity in this model."</f>
        <v>Yen appreciation compresses translated overseas earnings, and the 10.66% discount rate carries no explicit FX sensitivity in this model.</v>
      </c>
    </row>
  </sheetData>
  <mergeCells count="3">
    <mergeCell ref="B3:D3"/>
    <mergeCell ref="B1:E1"/>
    <mergeCell ref="B20:E20"/>
  </mergeCells>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3366"/>
  </sheetPr>
  <dimension ref="B2:H30"/>
  <sheetViews>
    <sheetView workbookViewId="0"/>
  </sheetViews>
  <sheetFormatPr defaultRowHeight="13" x14ac:dyDescent="0.2"/>
  <cols>
    <col min="1" max="1" width="3" customWidth="1"/>
    <col min="2" max="2" width="32" customWidth="1"/>
    <col min="3" max="8" width="18" customWidth="1"/>
  </cols>
  <sheetData>
    <row r="2" spans="2:8" ht="18" x14ac:dyDescent="0.4">
      <c r="B2" s="2" t="s">
        <v>27</v>
      </c>
    </row>
    <row r="4" spans="2:8" ht="14" x14ac:dyDescent="0.3">
      <c r="C4" s="10" t="s">
        <v>28</v>
      </c>
      <c r="D4" s="10" t="s">
        <v>29</v>
      </c>
      <c r="E4" s="10" t="s">
        <v>30</v>
      </c>
      <c r="F4" s="10" t="s">
        <v>31</v>
      </c>
      <c r="G4" s="10" t="s">
        <v>32</v>
      </c>
      <c r="H4" s="10" t="s">
        <v>33</v>
      </c>
    </row>
    <row r="5" spans="2:8" ht="14" x14ac:dyDescent="0.3">
      <c r="B5" s="3" t="s">
        <v>34</v>
      </c>
    </row>
    <row r="6" spans="2:8" ht="14" x14ac:dyDescent="0.3">
      <c r="B6" s="4" t="s">
        <v>35</v>
      </c>
      <c r="C6" s="5">
        <v>1496906</v>
      </c>
      <c r="D6" s="5">
        <v>2074428</v>
      </c>
      <c r="E6" s="5">
        <v>2808824</v>
      </c>
      <c r="F6" s="5">
        <v>2414937</v>
      </c>
      <c r="G6" s="5">
        <v>2561249</v>
      </c>
      <c r="H6" s="5">
        <v>2573969</v>
      </c>
    </row>
    <row r="7" spans="2:8" ht="14" x14ac:dyDescent="0.3">
      <c r="B7" s="4" t="s">
        <v>36</v>
      </c>
      <c r="C7" s="5">
        <v>953203</v>
      </c>
      <c r="D7" s="5">
        <v>1206425</v>
      </c>
      <c r="E7" s="5">
        <v>1594717</v>
      </c>
      <c r="F7" s="5">
        <v>1503728</v>
      </c>
      <c r="G7" s="5">
        <v>1577127</v>
      </c>
      <c r="H7" s="5">
        <v>1693175</v>
      </c>
    </row>
    <row r="8" spans="2:8" ht="14" x14ac:dyDescent="0.3">
      <c r="B8" s="4" t="s">
        <v>37</v>
      </c>
      <c r="C8" s="5">
        <f t="shared" ref="C8:H8" si="0">C6-C7</f>
        <v>543703</v>
      </c>
      <c r="D8" s="5">
        <f t="shared" si="0"/>
        <v>868003</v>
      </c>
      <c r="E8" s="5">
        <f t="shared" si="0"/>
        <v>1214107</v>
      </c>
      <c r="F8" s="5">
        <f t="shared" si="0"/>
        <v>911209</v>
      </c>
      <c r="G8" s="5">
        <f t="shared" si="0"/>
        <v>984122</v>
      </c>
      <c r="H8" s="5">
        <f t="shared" si="0"/>
        <v>880794</v>
      </c>
    </row>
    <row r="9" spans="2:8" ht="13.5" x14ac:dyDescent="0.25">
      <c r="B9" t="s">
        <v>38</v>
      </c>
      <c r="C9" s="7">
        <f t="shared" ref="C9:H9" si="1">C8/C6</f>
        <v>0.36321786404757544</v>
      </c>
      <c r="D9" s="7">
        <f t="shared" si="1"/>
        <v>0.41843004433029252</v>
      </c>
      <c r="E9" s="7">
        <f t="shared" si="1"/>
        <v>0.43224744590618708</v>
      </c>
      <c r="F9" s="7">
        <f t="shared" si="1"/>
        <v>0.37732205850504591</v>
      </c>
      <c r="G9" s="7">
        <f t="shared" si="1"/>
        <v>0.38423519150227098</v>
      </c>
      <c r="H9" s="7">
        <f t="shared" si="1"/>
        <v>0.34219293239351367</v>
      </c>
    </row>
    <row r="10" spans="2:8" ht="14" x14ac:dyDescent="0.3">
      <c r="B10" s="4" t="s">
        <v>39</v>
      </c>
      <c r="C10" s="5">
        <v>151489</v>
      </c>
      <c r="D10" s="5">
        <v>191680</v>
      </c>
      <c r="E10" s="5">
        <v>215905</v>
      </c>
      <c r="F10" s="5">
        <v>210171</v>
      </c>
      <c r="G10" s="5">
        <v>242016</v>
      </c>
      <c r="H10" s="5">
        <v>245588</v>
      </c>
    </row>
    <row r="11" spans="2:8" ht="14" x14ac:dyDescent="0.3">
      <c r="B11" s="4" t="s">
        <v>40</v>
      </c>
      <c r="C11" s="5">
        <v>392213</v>
      </c>
      <c r="D11" s="5">
        <v>676322</v>
      </c>
      <c r="E11" s="5">
        <v>998202</v>
      </c>
      <c r="F11" s="5">
        <v>701038</v>
      </c>
      <c r="G11" s="5">
        <v>742105</v>
      </c>
      <c r="H11" s="5">
        <v>635204</v>
      </c>
    </row>
    <row r="12" spans="2:8" ht="14" x14ac:dyDescent="0.3">
      <c r="B12" s="4" t="s">
        <v>41</v>
      </c>
      <c r="C12" s="5">
        <v>293732</v>
      </c>
      <c r="D12" s="5">
        <v>500117</v>
      </c>
      <c r="E12" s="5">
        <v>708238</v>
      </c>
      <c r="F12" s="5">
        <v>520140</v>
      </c>
      <c r="G12" s="5">
        <v>534021</v>
      </c>
      <c r="H12" s="5">
        <v>474459</v>
      </c>
    </row>
    <row r="13" spans="2:8" ht="13.5" x14ac:dyDescent="0.25">
      <c r="B13" t="s">
        <v>42</v>
      </c>
      <c r="C13" s="7">
        <f t="shared" ref="C13:H13" si="2">C11/C6</f>
        <v>0.26201578455828223</v>
      </c>
      <c r="D13" s="7">
        <f t="shared" si="2"/>
        <v>0.32602818704722458</v>
      </c>
      <c r="E13" s="7">
        <f t="shared" si="2"/>
        <v>0.35538075721369511</v>
      </c>
      <c r="F13" s="7">
        <f t="shared" si="2"/>
        <v>0.29029245897512024</v>
      </c>
      <c r="G13" s="7">
        <f t="shared" si="2"/>
        <v>0.28974340253524744</v>
      </c>
      <c r="H13" s="7">
        <f t="shared" si="2"/>
        <v>0.2467799728745762</v>
      </c>
    </row>
    <row r="14" spans="2:8" ht="13.5" x14ac:dyDescent="0.25">
      <c r="B14" t="s">
        <v>43</v>
      </c>
      <c r="C14" s="7">
        <f t="shared" ref="C14:H14" si="3">C12/C6</f>
        <v>0.19622608233249114</v>
      </c>
      <c r="D14" s="7">
        <f t="shared" si="3"/>
        <v>0.2410866995624818</v>
      </c>
      <c r="E14" s="7">
        <f t="shared" si="3"/>
        <v>0.25214751796481372</v>
      </c>
      <c r="F14" s="7">
        <f t="shared" si="3"/>
        <v>0.2153845007136832</v>
      </c>
      <c r="G14" s="7">
        <f t="shared" si="3"/>
        <v>0.20850022781853697</v>
      </c>
      <c r="H14" s="7">
        <f t="shared" si="3"/>
        <v>0.18432972580477852</v>
      </c>
    </row>
    <row r="15" spans="2:8" ht="13.5" x14ac:dyDescent="0.25">
      <c r="B15" t="s">
        <v>44</v>
      </c>
      <c r="C15" t="s">
        <v>45</v>
      </c>
      <c r="D15" s="7">
        <f>(D6-C6)/C6</f>
        <v>0.38581046505258182</v>
      </c>
      <c r="E15" s="7">
        <f>(E6-D6)/D6</f>
        <v>0.35402337415422469</v>
      </c>
      <c r="F15" s="7">
        <f>(F6-E6)/E6</f>
        <v>-0.14023199744804232</v>
      </c>
      <c r="G15" s="7">
        <f>(G6-F6)/F6</f>
        <v>6.0586259600146922E-2</v>
      </c>
      <c r="H15" s="7">
        <f>(H6-G6)/G6</f>
        <v>4.9663269756279067E-3</v>
      </c>
    </row>
    <row r="16" spans="2:8" ht="13.5" x14ac:dyDescent="0.25">
      <c r="B16" t="s">
        <v>46</v>
      </c>
      <c r="C16" t="s">
        <v>45</v>
      </c>
      <c r="D16" s="7">
        <f>(D11-C11)/C11</f>
        <v>0.72437425582527859</v>
      </c>
      <c r="E16" s="7">
        <f>(E11-D11)/D11</f>
        <v>0.4759271471281431</v>
      </c>
      <c r="F16" s="7">
        <f>(F11-E11)/E11</f>
        <v>-0.29769926327536911</v>
      </c>
      <c r="G16" s="7">
        <f>(G11-F11)/F11</f>
        <v>5.8580276675444125E-2</v>
      </c>
      <c r="H16" s="7">
        <f>(H11-G11)/G11</f>
        <v>-0.14405104398973193</v>
      </c>
    </row>
    <row r="18" spans="2:8" ht="14" x14ac:dyDescent="0.3">
      <c r="B18" s="3" t="s">
        <v>47</v>
      </c>
    </row>
    <row r="19" spans="2:8" ht="14" x14ac:dyDescent="0.3">
      <c r="B19" s="4" t="s">
        <v>48</v>
      </c>
      <c r="C19" s="5">
        <v>401176</v>
      </c>
      <c r="D19" s="5">
        <v>553528</v>
      </c>
      <c r="E19" s="5">
        <v>788013</v>
      </c>
      <c r="F19" s="5">
        <v>755183</v>
      </c>
      <c r="G19" s="5">
        <v>881934</v>
      </c>
      <c r="H19" s="5">
        <v>712651</v>
      </c>
    </row>
    <row r="20" spans="2:8" ht="14" x14ac:dyDescent="0.3">
      <c r="B20" s="4" t="s">
        <v>49</v>
      </c>
      <c r="C20" s="5">
        <v>236195</v>
      </c>
      <c r="D20" s="5">
        <v>195775</v>
      </c>
      <c r="E20" s="5">
        <v>295517</v>
      </c>
      <c r="F20" s="5">
        <v>374417</v>
      </c>
      <c r="G20" s="5">
        <v>439473</v>
      </c>
      <c r="H20" s="5">
        <v>353620</v>
      </c>
    </row>
    <row r="21" spans="2:8" ht="14" x14ac:dyDescent="0.3">
      <c r="B21" s="4" t="s">
        <v>50</v>
      </c>
      <c r="C21" s="5">
        <f t="shared" ref="C21:H21" si="4">C19-C20</f>
        <v>164981</v>
      </c>
      <c r="D21" s="5">
        <f t="shared" si="4"/>
        <v>357753</v>
      </c>
      <c r="E21" s="5">
        <f t="shared" si="4"/>
        <v>492496</v>
      </c>
      <c r="F21" s="5">
        <f t="shared" si="4"/>
        <v>380766</v>
      </c>
      <c r="G21" s="5">
        <f t="shared" si="4"/>
        <v>442461</v>
      </c>
      <c r="H21" s="5">
        <f t="shared" si="4"/>
        <v>359031</v>
      </c>
    </row>
    <row r="22" spans="2:8" ht="13.5" x14ac:dyDescent="0.25">
      <c r="B22" t="s">
        <v>51</v>
      </c>
      <c r="C22" s="7">
        <f t="shared" ref="C22:H22" si="5">C21/C6</f>
        <v>0.11021466945820245</v>
      </c>
      <c r="D22" s="7">
        <f t="shared" si="5"/>
        <v>0.1724586247389642</v>
      </c>
      <c r="E22" s="7">
        <f t="shared" si="5"/>
        <v>0.17533886067621182</v>
      </c>
      <c r="F22" s="7">
        <f t="shared" si="5"/>
        <v>0.1576711939069218</v>
      </c>
      <c r="G22" s="7">
        <f t="shared" si="5"/>
        <v>0.17275204402227196</v>
      </c>
      <c r="H22" s="7">
        <f t="shared" si="5"/>
        <v>0.13948536287733068</v>
      </c>
    </row>
    <row r="23" spans="2:8" ht="13.5" x14ac:dyDescent="0.25">
      <c r="B23" t="s">
        <v>52</v>
      </c>
      <c r="C23" s="7">
        <f t="shared" ref="C23:H23" si="6">C20/C6</f>
        <v>0.15778879902946477</v>
      </c>
      <c r="D23" s="7">
        <f t="shared" si="6"/>
        <v>9.4375413366961883E-2</v>
      </c>
      <c r="E23" s="7">
        <f t="shared" si="6"/>
        <v>0.10521022321085266</v>
      </c>
      <c r="F23" s="7">
        <f t="shared" si="6"/>
        <v>0.15504213981565565</v>
      </c>
      <c r="G23" s="7">
        <f t="shared" si="6"/>
        <v>0.17158542570441218</v>
      </c>
      <c r="H23" s="7">
        <f t="shared" si="6"/>
        <v>0.13738316195727299</v>
      </c>
    </row>
    <row r="25" spans="2:8" ht="14" x14ac:dyDescent="0.3">
      <c r="B25" s="3" t="s">
        <v>53</v>
      </c>
    </row>
    <row r="26" spans="2:8" ht="14" x14ac:dyDescent="0.3">
      <c r="B26" s="4" t="s">
        <v>54</v>
      </c>
      <c r="C26" s="5">
        <v>801596</v>
      </c>
      <c r="D26" s="5">
        <v>1008925</v>
      </c>
      <c r="E26" s="5">
        <v>1247344</v>
      </c>
      <c r="F26" s="5">
        <v>590135</v>
      </c>
      <c r="G26" s="5">
        <v>1708438</v>
      </c>
      <c r="H26" s="5">
        <v>1660060</v>
      </c>
    </row>
    <row r="27" spans="2:8" ht="14" x14ac:dyDescent="0.3">
      <c r="B27" s="4" t="s">
        <v>55</v>
      </c>
      <c r="C27" s="5">
        <v>27754</v>
      </c>
      <c r="D27" s="5">
        <v>30401</v>
      </c>
      <c r="E27" s="5">
        <v>29810</v>
      </c>
      <c r="F27" s="5">
        <v>24299</v>
      </c>
      <c r="G27" s="5">
        <v>16841</v>
      </c>
      <c r="H27" s="5">
        <v>243295</v>
      </c>
    </row>
    <row r="28" spans="2:8" ht="14" x14ac:dyDescent="0.3">
      <c r="B28" s="4" t="s">
        <v>56</v>
      </c>
      <c r="C28" s="5">
        <f t="shared" ref="C28:H28" si="7">C27-C26</f>
        <v>-773842</v>
      </c>
      <c r="D28" s="5">
        <f t="shared" si="7"/>
        <v>-978524</v>
      </c>
      <c r="E28" s="5">
        <f t="shared" si="7"/>
        <v>-1217534</v>
      </c>
      <c r="F28" s="5">
        <f t="shared" si="7"/>
        <v>-565836</v>
      </c>
      <c r="G28" s="5">
        <f t="shared" si="7"/>
        <v>-1691597</v>
      </c>
      <c r="H28" s="5">
        <f t="shared" si="7"/>
        <v>-1416765</v>
      </c>
    </row>
    <row r="30" spans="2:8" ht="14" x14ac:dyDescent="0.3">
      <c r="B30" s="1" t="s">
        <v>57</v>
      </c>
    </row>
  </sheetData>
  <phoneticPr fontId="8"/>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6600"/>
  </sheetPr>
  <dimension ref="B2:G87"/>
  <sheetViews>
    <sheetView workbookViewId="0"/>
  </sheetViews>
  <sheetFormatPr defaultRowHeight="13" x14ac:dyDescent="0.2"/>
  <cols>
    <col min="1" max="1" width="3" customWidth="1"/>
    <col min="2" max="2" width="32" customWidth="1"/>
    <col min="3" max="7" width="16" customWidth="1"/>
  </cols>
  <sheetData>
    <row r="2" spans="2:7" ht="18" x14ac:dyDescent="0.4">
      <c r="B2" s="2" t="s">
        <v>58</v>
      </c>
    </row>
    <row r="4" spans="2:7" ht="14" x14ac:dyDescent="0.3">
      <c r="B4" s="8" t="s">
        <v>59</v>
      </c>
      <c r="C4" s="9"/>
      <c r="D4" s="9"/>
      <c r="E4" s="9"/>
      <c r="F4" s="9"/>
      <c r="G4" s="9"/>
    </row>
    <row r="5" spans="2:7" ht="14" x14ac:dyDescent="0.3">
      <c r="B5" s="4" t="s">
        <v>60</v>
      </c>
      <c r="C5" s="7">
        <v>0.1</v>
      </c>
    </row>
    <row r="6" spans="2:7" ht="14" x14ac:dyDescent="0.3">
      <c r="B6" s="4" t="s">
        <v>61</v>
      </c>
      <c r="C6" s="7">
        <v>0.25</v>
      </c>
    </row>
    <row r="7" spans="2:7" ht="14" x14ac:dyDescent="0.3">
      <c r="B7" s="4" t="s">
        <v>62</v>
      </c>
      <c r="C7" s="7">
        <v>2.9700000000000001E-2</v>
      </c>
    </row>
    <row r="8" spans="2:7" ht="14" x14ac:dyDescent="0.3">
      <c r="B8" s="4" t="s">
        <v>63</v>
      </c>
      <c r="C8" s="12">
        <v>1.0291999999999999</v>
      </c>
    </row>
    <row r="9" spans="2:7" ht="14" x14ac:dyDescent="0.3">
      <c r="B9" s="4" t="s">
        <v>64</v>
      </c>
      <c r="C9" s="7">
        <v>6.5000000000000002E-2</v>
      </c>
    </row>
    <row r="10" spans="2:7" ht="14" x14ac:dyDescent="0.3">
      <c r="B10" s="4" t="s">
        <v>65</v>
      </c>
      <c r="C10" s="7">
        <v>0.01</v>
      </c>
    </row>
    <row r="11" spans="2:7" ht="14" x14ac:dyDescent="0.3">
      <c r="B11" s="4" t="s">
        <v>66</v>
      </c>
      <c r="C11" s="7">
        <v>0.01</v>
      </c>
    </row>
    <row r="12" spans="2:7" ht="14" x14ac:dyDescent="0.3">
      <c r="B12" s="4" t="s">
        <v>67</v>
      </c>
      <c r="C12" s="13">
        <v>0</v>
      </c>
    </row>
    <row r="13" spans="2:7" ht="14" x14ac:dyDescent="0.3">
      <c r="B13" s="4" t="s">
        <v>68</v>
      </c>
      <c r="C13" s="7">
        <v>0.01</v>
      </c>
    </row>
    <row r="14" spans="2:7" ht="14" x14ac:dyDescent="0.3">
      <c r="B14" s="4" t="s">
        <v>69</v>
      </c>
      <c r="C14" s="14">
        <v>9.1999999999999993</v>
      </c>
    </row>
    <row r="15" spans="2:7" ht="14" x14ac:dyDescent="0.3">
      <c r="B15" s="4" t="s">
        <v>70</v>
      </c>
      <c r="C15" s="15">
        <v>1815064711</v>
      </c>
    </row>
    <row r="16" spans="2:7" ht="14" x14ac:dyDescent="0.3">
      <c r="B16" s="4" t="s">
        <v>71</v>
      </c>
      <c r="C16" s="5">
        <v>-1416765</v>
      </c>
    </row>
    <row r="17" spans="2:7" ht="14" x14ac:dyDescent="0.3">
      <c r="B17" s="4" t="s">
        <v>72</v>
      </c>
      <c r="C17" s="5">
        <v>2573969</v>
      </c>
    </row>
    <row r="18" spans="2:7" ht="14" x14ac:dyDescent="0.3">
      <c r="B18" s="4" t="s">
        <v>73</v>
      </c>
      <c r="C18" s="7">
        <v>9.5000000000000001E-2</v>
      </c>
    </row>
    <row r="19" spans="2:7" ht="14" x14ac:dyDescent="0.3">
      <c r="B19" s="4" t="s">
        <v>74</v>
      </c>
      <c r="C19" s="12">
        <v>1</v>
      </c>
    </row>
    <row r="20" spans="2:7" ht="14" x14ac:dyDescent="0.3">
      <c r="B20" s="4" t="s">
        <v>75</v>
      </c>
      <c r="C20" s="5">
        <v>2573969</v>
      </c>
    </row>
    <row r="22" spans="2:7" ht="14" x14ac:dyDescent="0.3">
      <c r="B22" s="8" t="s">
        <v>76</v>
      </c>
      <c r="C22" s="9"/>
      <c r="D22" s="9"/>
      <c r="E22" s="9"/>
      <c r="F22" s="9"/>
      <c r="G22" s="9"/>
    </row>
    <row r="23" spans="2:7" ht="14" x14ac:dyDescent="0.3">
      <c r="B23" s="4" t="s">
        <v>77</v>
      </c>
      <c r="C23" s="16">
        <f>C7+C8*C9+C10</f>
        <v>0.106598</v>
      </c>
    </row>
    <row r="24" spans="2:7" ht="14" x14ac:dyDescent="0.3">
      <c r="B24" s="4" t="s">
        <v>78</v>
      </c>
      <c r="C24" s="16">
        <f>1/(1+C12)</f>
        <v>1</v>
      </c>
    </row>
    <row r="25" spans="2:7" ht="14" x14ac:dyDescent="0.3">
      <c r="B25" s="4" t="s">
        <v>79</v>
      </c>
      <c r="C25" s="16">
        <f>C12/(1+C12)</f>
        <v>0</v>
      </c>
    </row>
    <row r="26" spans="2:7" ht="14" x14ac:dyDescent="0.3">
      <c r="B26" s="4" t="s">
        <v>80</v>
      </c>
      <c r="C26" s="16">
        <f>C23*C24+C11*C25</f>
        <v>0.106598</v>
      </c>
    </row>
    <row r="27" spans="2:7" ht="14" x14ac:dyDescent="0.3">
      <c r="B27" s="4" t="s">
        <v>81</v>
      </c>
      <c r="C27" s="17" t="s">
        <v>82</v>
      </c>
      <c r="D27" s="6">
        <f>MATCH(C27,B69:B73,0)</f>
        <v>1</v>
      </c>
    </row>
    <row r="28" spans="2:7" ht="14" x14ac:dyDescent="0.3">
      <c r="B28" s="8" t="s">
        <v>83</v>
      </c>
      <c r="C28" s="9"/>
      <c r="D28" s="9"/>
      <c r="E28" s="9"/>
      <c r="F28" s="9"/>
      <c r="G28" s="9"/>
    </row>
    <row r="29" spans="2:7" ht="14" x14ac:dyDescent="0.3">
      <c r="C29" s="10" t="s">
        <v>84</v>
      </c>
      <c r="D29" s="10" t="s">
        <v>85</v>
      </c>
      <c r="E29" s="10" t="s">
        <v>86</v>
      </c>
      <c r="F29" s="10" t="s">
        <v>87</v>
      </c>
      <c r="G29" s="10" t="s">
        <v>88</v>
      </c>
    </row>
    <row r="30" spans="2:7" ht="14" x14ac:dyDescent="0.3">
      <c r="B30" s="4" t="s">
        <v>44</v>
      </c>
      <c r="C30" s="18">
        <f>CHOOSE($D$27,C69,C70,C71,C72,C73)</f>
        <v>2.5000000000000001E-2</v>
      </c>
      <c r="D30" s="18">
        <f>CHOOSE($D$27,D69,D70,D71,D72,D73)</f>
        <v>0.03</v>
      </c>
      <c r="E30" s="18">
        <f>CHOOSE($D$27,E69,E70,E71,E72,E73)</f>
        <v>0.03</v>
      </c>
      <c r="F30" s="18">
        <f>CHOOSE($D$27,F69,F70,F71,F72,F73)</f>
        <v>2.5000000000000001E-2</v>
      </c>
      <c r="G30" s="18">
        <f>CHOOSE($D$27,G69,G70,G71,G72,G73)</f>
        <v>2.5000000000000001E-2</v>
      </c>
    </row>
    <row r="31" spans="2:7" ht="14" x14ac:dyDescent="0.3">
      <c r="B31" s="4" t="s">
        <v>89</v>
      </c>
      <c r="C31" s="18">
        <f>CHOOSE($D$27,C76,C77,C78,C79,C80)</f>
        <v>0.65</v>
      </c>
      <c r="D31" s="18">
        <f>CHOOSE($D$27,D76,D77,D78,D79,D80)</f>
        <v>0.64</v>
      </c>
      <c r="E31" s="18">
        <f>CHOOSE($D$27,E76,E77,E78,E79,E80)</f>
        <v>0.63</v>
      </c>
      <c r="F31" s="18">
        <f>CHOOSE($D$27,F76,F77,F78,F79,F80)</f>
        <v>0.62</v>
      </c>
      <c r="G31" s="18">
        <f>CHOOSE($D$27,G76,G77,G78,G79,G80)</f>
        <v>0.61499999999999999</v>
      </c>
    </row>
    <row r="32" spans="2:7" ht="14" x14ac:dyDescent="0.3">
      <c r="B32" s="4" t="s">
        <v>90</v>
      </c>
      <c r="C32" s="18">
        <f>CHOOSE($D$27,C83,C84,C85,C86,C87)</f>
        <v>9.8895999999999998E-2</v>
      </c>
      <c r="D32" s="18">
        <f>CHOOSE($D$27,D83,D84,D85,D86,D87)</f>
        <v>0.104572</v>
      </c>
      <c r="E32" s="18">
        <f>CHOOSE($D$27,E83,E84,E85,E86,E87)</f>
        <v>0.110248</v>
      </c>
      <c r="F32" s="18">
        <f>CHOOSE($D$27,F83,F84,F85,F86,F87)</f>
        <v>0.115925</v>
      </c>
      <c r="G32" s="18">
        <f>CHOOSE($D$27,G83,G84,G85,G86,G87)</f>
        <v>0.116601</v>
      </c>
    </row>
    <row r="33" spans="2:7" ht="14" x14ac:dyDescent="0.3">
      <c r="B33" s="4" t="s">
        <v>35</v>
      </c>
      <c r="C33" s="5">
        <f>C17*(1+C30)</f>
        <v>2638318.2249999996</v>
      </c>
      <c r="D33" s="5">
        <f>C33*(1+D30)</f>
        <v>2717467.7717499998</v>
      </c>
      <c r="E33" s="5">
        <f>D33*(1+E30)</f>
        <v>2798991.8049025</v>
      </c>
      <c r="F33" s="5">
        <f>E33*(1+F30)</f>
        <v>2868966.6000250624</v>
      </c>
      <c r="G33" s="5">
        <f>F33*(1+G30)</f>
        <v>2940690.7650256888</v>
      </c>
    </row>
    <row r="34" spans="2:7" ht="14" x14ac:dyDescent="0.3">
      <c r="B34" s="4" t="s">
        <v>36</v>
      </c>
      <c r="C34" s="5">
        <f>C33*C31</f>
        <v>1714906.8462499997</v>
      </c>
      <c r="D34" s="5">
        <f>D33*D31</f>
        <v>1739179.3739199999</v>
      </c>
      <c r="E34" s="5">
        <f>E33*E31</f>
        <v>1763364.8370885751</v>
      </c>
      <c r="F34" s="5">
        <f>F33*F31</f>
        <v>1778759.2920155388</v>
      </c>
      <c r="G34" s="5">
        <f>G33*G31</f>
        <v>1808524.8204907987</v>
      </c>
    </row>
    <row r="35" spans="2:7" ht="14" x14ac:dyDescent="0.3">
      <c r="B35" s="4" t="s">
        <v>37</v>
      </c>
      <c r="C35" s="19">
        <f>C33-C34</f>
        <v>923411.37874999992</v>
      </c>
      <c r="D35" s="19">
        <f>D33-D34</f>
        <v>978288.39782999991</v>
      </c>
      <c r="E35" s="19">
        <f>E33-E34</f>
        <v>1035626.9678139249</v>
      </c>
      <c r="F35" s="19">
        <f>F33-F34</f>
        <v>1090207.3080095237</v>
      </c>
      <c r="G35" s="19">
        <f>G33-G34</f>
        <v>1132165.9445348901</v>
      </c>
    </row>
    <row r="36" spans="2:7" ht="14" x14ac:dyDescent="0.3">
      <c r="B36" s="4" t="s">
        <v>38</v>
      </c>
      <c r="C36" s="7">
        <f>C35/C33</f>
        <v>0.35000000000000003</v>
      </c>
      <c r="D36" s="7">
        <f>D35/D33</f>
        <v>0.36</v>
      </c>
      <c r="E36" s="7">
        <f>E35/E33</f>
        <v>0.36999999999999994</v>
      </c>
      <c r="F36" s="7">
        <f>F35/F33</f>
        <v>0.38</v>
      </c>
      <c r="G36" s="7">
        <f>G35/G33</f>
        <v>0.38499999999999995</v>
      </c>
    </row>
    <row r="37" spans="2:7" ht="14" x14ac:dyDescent="0.3">
      <c r="B37" s="4" t="s">
        <v>91</v>
      </c>
      <c r="C37" s="5">
        <f>C33*C32</f>
        <v>260919.11917959995</v>
      </c>
      <c r="D37" s="5">
        <f>D33*D32</f>
        <v>284171.03982744098</v>
      </c>
      <c r="E37" s="5">
        <f>E33*E32</f>
        <v>308583.24850689084</v>
      </c>
      <c r="F37" s="5">
        <f>F33*F32</f>
        <v>332584.95310790534</v>
      </c>
      <c r="G37" s="5">
        <f>G33*G32</f>
        <v>342887.48389276036</v>
      </c>
    </row>
    <row r="38" spans="2:7" ht="14" x14ac:dyDescent="0.3">
      <c r="B38" s="4" t="s">
        <v>92</v>
      </c>
      <c r="C38" s="7">
        <f>(C35-C37)/C33</f>
        <v>0.25110400000000005</v>
      </c>
      <c r="D38" s="7">
        <f>(D35-D37)/D33</f>
        <v>0.25542799999999999</v>
      </c>
      <c r="E38" s="7">
        <f>(E35-E37)/E33</f>
        <v>0.25975199999999993</v>
      </c>
      <c r="F38" s="7">
        <f>(F35-F37)/F33</f>
        <v>0.264075</v>
      </c>
      <c r="G38" s="7">
        <f>(G35-G37)/G33</f>
        <v>0.268399</v>
      </c>
    </row>
    <row r="39" spans="2:7" ht="14" x14ac:dyDescent="0.3">
      <c r="B39" s="4" t="s">
        <v>93</v>
      </c>
      <c r="C39" s="19">
        <f>C35-C37</f>
        <v>662492.2595704</v>
      </c>
      <c r="D39" s="19">
        <f>D35-D37</f>
        <v>694117.35800255893</v>
      </c>
      <c r="E39" s="19">
        <f>E35-E37</f>
        <v>727043.71930703404</v>
      </c>
      <c r="F39" s="19">
        <f>F35-F37</f>
        <v>757622.35490161832</v>
      </c>
      <c r="G39" s="19">
        <f>G35-G37</f>
        <v>789278.46064212976</v>
      </c>
    </row>
    <row r="40" spans="2:7" ht="14" x14ac:dyDescent="0.3">
      <c r="B40" s="4" t="s">
        <v>94</v>
      </c>
      <c r="C40" s="5">
        <f>MAX(0,C39*C6)</f>
        <v>165623.0648926</v>
      </c>
      <c r="D40" s="5">
        <f>MAX(0,D39*C6)</f>
        <v>173529.33950063973</v>
      </c>
      <c r="E40" s="5">
        <f>MAX(0,E39*C6)</f>
        <v>181760.92982675851</v>
      </c>
      <c r="F40" s="5">
        <f>MAX(0,F39*C6)</f>
        <v>189405.58872540458</v>
      </c>
      <c r="G40" s="5">
        <f>MAX(0,G39*C6)</f>
        <v>197319.61516053244</v>
      </c>
    </row>
    <row r="41" spans="2:7" ht="14" x14ac:dyDescent="0.3">
      <c r="B41" s="4" t="s">
        <v>95</v>
      </c>
      <c r="C41" s="19">
        <f>C39-C40</f>
        <v>496869.1946778</v>
      </c>
      <c r="D41" s="19">
        <f>D39-D40</f>
        <v>520588.01850191923</v>
      </c>
      <c r="E41" s="19">
        <f>E39-E40</f>
        <v>545282.78948027547</v>
      </c>
      <c r="F41" s="19">
        <f>F39-F40</f>
        <v>568216.76617621374</v>
      </c>
      <c r="G41" s="19">
        <f>G39-G40</f>
        <v>591958.84548159735</v>
      </c>
    </row>
    <row r="42" spans="2:7" ht="14" x14ac:dyDescent="0.3">
      <c r="B42" s="4" t="s">
        <v>96</v>
      </c>
      <c r="C42" s="5">
        <f>C33*C18</f>
        <v>250640.23137499997</v>
      </c>
      <c r="D42" s="5">
        <f>D33*C18</f>
        <v>258159.43831624999</v>
      </c>
      <c r="E42" s="5">
        <f>E33*C18</f>
        <v>265904.2214657375</v>
      </c>
      <c r="F42" s="5">
        <f>F33*C18</f>
        <v>272551.82700238092</v>
      </c>
      <c r="G42" s="5">
        <f>G33*C18</f>
        <v>279365.62267744046</v>
      </c>
    </row>
    <row r="43" spans="2:7" ht="14" x14ac:dyDescent="0.3">
      <c r="B43" s="4" t="s">
        <v>97</v>
      </c>
      <c r="C43" s="5">
        <v>340000</v>
      </c>
      <c r="D43" s="5">
        <v>325000</v>
      </c>
      <c r="E43" s="5">
        <v>313000</v>
      </c>
      <c r="F43" s="5">
        <v>302000</v>
      </c>
      <c r="G43" s="5">
        <v>293000</v>
      </c>
    </row>
    <row r="44" spans="2:7" ht="14" x14ac:dyDescent="0.3">
      <c r="B44" s="4" t="s">
        <v>98</v>
      </c>
      <c r="C44" s="5">
        <f>'NWC Schedule'!D19</f>
        <v>504786.47161986283</v>
      </c>
      <c r="D44" s="5">
        <f>'NWC Schedule'!E19</f>
        <v>23974.722982684849</v>
      </c>
      <c r="E44" s="5">
        <f>'NWC Schedule'!F19</f>
        <v>24405.838637188543</v>
      </c>
      <c r="F44" s="5">
        <f>'NWC Schedule'!G19</f>
        <v>19052.315450082766</v>
      </c>
      <c r="G44" s="5">
        <f>'NWC Schedule'!H19</f>
        <v>24471.695584528614</v>
      </c>
    </row>
    <row r="45" spans="2:7" ht="14" x14ac:dyDescent="0.3">
      <c r="B45" s="4" t="s">
        <v>99</v>
      </c>
      <c r="C45" s="20">
        <f>C41+C42-C43-C44</f>
        <v>-97277.045567062916</v>
      </c>
      <c r="D45" s="20">
        <f>D41+D42-D43-D44</f>
        <v>429772.73383548437</v>
      </c>
      <c r="E45" s="20">
        <f>E41+E42-E43-E44</f>
        <v>473781.17230882449</v>
      </c>
      <c r="F45" s="20">
        <f>F41+F42-F43-F44</f>
        <v>519716.27772851195</v>
      </c>
      <c r="G45" s="20">
        <f>G41+G42-G43-G44</f>
        <v>553852.77257450926</v>
      </c>
    </row>
    <row r="46" spans="2:7" ht="14" x14ac:dyDescent="0.3">
      <c r="B46" s="4" t="s">
        <v>100</v>
      </c>
      <c r="C46" s="21">
        <f>1/(1+C26)^(C19+0)</f>
        <v>0.90367052895450739</v>
      </c>
      <c r="D46" s="21">
        <f>1/(1+C26)^(C19+1)</f>
        <v>0.81662042490091924</v>
      </c>
      <c r="E46" s="21">
        <f>1/(1+C26)^(C19+2)</f>
        <v>0.73795581132526833</v>
      </c>
      <c r="F46" s="21">
        <f>1/(1+C26)^(C19+3)</f>
        <v>0.66686891836535778</v>
      </c>
      <c r="G46" s="21">
        <f>1/(1+C26)^(C19+4)</f>
        <v>0.60262978820254309</v>
      </c>
    </row>
    <row r="47" spans="2:7" ht="14" x14ac:dyDescent="0.3">
      <c r="B47" s="4" t="s">
        <v>101</v>
      </c>
      <c r="C47" s="19">
        <f>C45*C46</f>
        <v>-87906.399222719469</v>
      </c>
      <c r="D47" s="19">
        <f>D45*D46</f>
        <v>350961.19251556293</v>
      </c>
      <c r="E47" s="19">
        <f>E45*E46</f>
        <v>349629.56940179534</v>
      </c>
      <c r="F47" s="19">
        <f>F45*F46</f>
        <v>346582.63198568264</v>
      </c>
      <c r="G47" s="19">
        <f>G45*G46</f>
        <v>333768.17903196777</v>
      </c>
    </row>
    <row r="49" spans="2:7" ht="14" x14ac:dyDescent="0.3">
      <c r="B49" s="22" t="s">
        <v>102</v>
      </c>
      <c r="C49" s="23"/>
      <c r="D49" s="23"/>
      <c r="E49" s="23"/>
      <c r="F49" s="23"/>
      <c r="G49" s="23"/>
    </row>
    <row r="50" spans="2:7" ht="14" x14ac:dyDescent="0.3">
      <c r="B50" s="4" t="s">
        <v>103</v>
      </c>
      <c r="C50" s="5">
        <f>SUM(C47:G47)</f>
        <v>1293035.1737122892</v>
      </c>
    </row>
    <row r="51" spans="2:7" ht="14" x14ac:dyDescent="0.3">
      <c r="B51" s="4" t="s">
        <v>104</v>
      </c>
      <c r="C51" s="5">
        <f>G45*(1+C13)/(C26-C13)</f>
        <v>5790920.1049737502</v>
      </c>
    </row>
    <row r="52" spans="2:7" ht="14" x14ac:dyDescent="0.3">
      <c r="B52" s="4" t="s">
        <v>105</v>
      </c>
      <c r="C52" s="5">
        <f>C51*G46</f>
        <v>3489780.9563581799</v>
      </c>
    </row>
    <row r="53" spans="2:7" ht="14" x14ac:dyDescent="0.3">
      <c r="B53" s="4" t="s">
        <v>106</v>
      </c>
      <c r="C53" s="5">
        <f>C50+C52</f>
        <v>4782816.1300704693</v>
      </c>
    </row>
    <row r="54" spans="2:7" ht="14" x14ac:dyDescent="0.3">
      <c r="B54" s="4" t="s">
        <v>107</v>
      </c>
      <c r="C54" s="5">
        <f>C53-C16</f>
        <v>6199581.1300704693</v>
      </c>
    </row>
    <row r="55" spans="2:7" ht="14" x14ac:dyDescent="0.3">
      <c r="B55" s="4" t="s">
        <v>108</v>
      </c>
      <c r="C55" s="24">
        <f>ROUND(C54*1000000/C15,0)</f>
        <v>3416</v>
      </c>
    </row>
    <row r="57" spans="2:7" ht="14" x14ac:dyDescent="0.3">
      <c r="B57" s="22" t="s">
        <v>109</v>
      </c>
      <c r="C57" s="23"/>
      <c r="D57" s="23"/>
      <c r="E57" s="23"/>
      <c r="F57" s="23"/>
      <c r="G57" s="23"/>
    </row>
    <row r="58" spans="2:7" ht="14" x14ac:dyDescent="0.3">
      <c r="B58" s="4" t="s">
        <v>103</v>
      </c>
      <c r="C58" s="5">
        <f>C50</f>
        <v>1293035.1737122892</v>
      </c>
    </row>
    <row r="59" spans="2:7" ht="14" x14ac:dyDescent="0.3">
      <c r="B59" s="4" t="s">
        <v>110</v>
      </c>
      <c r="C59" s="5">
        <f>G39+G42</f>
        <v>1068644.0833195702</v>
      </c>
    </row>
    <row r="60" spans="2:7" ht="14" x14ac:dyDescent="0.3">
      <c r="B60" s="4" t="s">
        <v>111</v>
      </c>
      <c r="C60" s="5">
        <f>C59*C14</f>
        <v>9831525.5665400457</v>
      </c>
    </row>
    <row r="61" spans="2:7" ht="14" x14ac:dyDescent="0.3">
      <c r="B61" s="4" t="s">
        <v>105</v>
      </c>
      <c r="C61" s="5">
        <f>C60*G46</f>
        <v>5924770.1698719151</v>
      </c>
    </row>
    <row r="62" spans="2:7" ht="14" x14ac:dyDescent="0.3">
      <c r="B62" s="4" t="s">
        <v>106</v>
      </c>
      <c r="C62" s="5">
        <f>C58+C61</f>
        <v>7217805.3435842041</v>
      </c>
    </row>
    <row r="63" spans="2:7" ht="14" x14ac:dyDescent="0.3">
      <c r="B63" s="4" t="s">
        <v>107</v>
      </c>
      <c r="C63" s="5">
        <f>C62-C16</f>
        <v>8634570.3435842041</v>
      </c>
    </row>
    <row r="64" spans="2:7" ht="14" x14ac:dyDescent="0.3">
      <c r="B64" s="4" t="s">
        <v>112</v>
      </c>
      <c r="C64" s="24">
        <f>ROUND(C63*1000000/C15,0)</f>
        <v>4757</v>
      </c>
    </row>
    <row r="66" spans="2:7" ht="14" x14ac:dyDescent="0.3">
      <c r="B66" s="22" t="s">
        <v>113</v>
      </c>
      <c r="C66" s="23"/>
      <c r="D66" s="23"/>
      <c r="E66" s="23"/>
      <c r="F66" s="23"/>
      <c r="G66" s="23"/>
    </row>
    <row r="67" spans="2:7" ht="14" x14ac:dyDescent="0.3">
      <c r="C67" s="25" t="s">
        <v>114</v>
      </c>
      <c r="D67" s="25" t="s">
        <v>115</v>
      </c>
      <c r="E67" s="25" t="s">
        <v>116</v>
      </c>
      <c r="F67" s="25" t="s">
        <v>117</v>
      </c>
      <c r="G67" s="25" t="s">
        <v>118</v>
      </c>
    </row>
    <row r="68" spans="2:7" ht="14" x14ac:dyDescent="0.3">
      <c r="B68" s="3" t="s">
        <v>44</v>
      </c>
    </row>
    <row r="69" spans="2:7" ht="14" x14ac:dyDescent="0.3">
      <c r="B69" s="4" t="s">
        <v>82</v>
      </c>
      <c r="C69" s="26">
        <v>2.5000000000000001E-2</v>
      </c>
      <c r="D69" s="26">
        <v>0.03</v>
      </c>
      <c r="E69" s="26">
        <v>0.03</v>
      </c>
      <c r="F69" s="26">
        <v>2.5000000000000001E-2</v>
      </c>
      <c r="G69" s="26">
        <v>2.5000000000000001E-2</v>
      </c>
    </row>
    <row r="70" spans="2:7" ht="14" x14ac:dyDescent="0.3">
      <c r="B70" s="4" t="s">
        <v>119</v>
      </c>
      <c r="C70" s="26">
        <v>0.04</v>
      </c>
      <c r="D70" s="26">
        <v>4.4999999999999998E-2</v>
      </c>
      <c r="E70" s="26">
        <v>4.4999999999999998E-2</v>
      </c>
      <c r="F70" s="26">
        <v>0.04</v>
      </c>
      <c r="G70" s="26">
        <v>0.04</v>
      </c>
    </row>
    <row r="71" spans="2:7" ht="14" x14ac:dyDescent="0.3">
      <c r="B71" s="4" t="s">
        <v>120</v>
      </c>
      <c r="C71" s="26">
        <v>2.5000000000000001E-2</v>
      </c>
      <c r="D71" s="26">
        <v>0.03</v>
      </c>
      <c r="E71" s="26">
        <v>0.03</v>
      </c>
      <c r="F71" s="26">
        <v>2.5000000000000001E-2</v>
      </c>
      <c r="G71" s="26">
        <v>2.5000000000000001E-2</v>
      </c>
    </row>
    <row r="72" spans="2:7" ht="14" x14ac:dyDescent="0.3">
      <c r="B72" s="4" t="s">
        <v>121</v>
      </c>
      <c r="C72" s="26">
        <v>0</v>
      </c>
      <c r="D72" s="26">
        <v>0</v>
      </c>
      <c r="E72" s="26">
        <v>5.0000000000000001E-3</v>
      </c>
      <c r="F72" s="26">
        <v>5.0000000000000001E-3</v>
      </c>
      <c r="G72" s="26">
        <v>5.0000000000000001E-3</v>
      </c>
    </row>
    <row r="73" spans="2:7" ht="14" x14ac:dyDescent="0.3">
      <c r="B73" s="4" t="s">
        <v>122</v>
      </c>
      <c r="C73" s="26">
        <v>-0.12</v>
      </c>
      <c r="D73" s="26">
        <v>-0.03</v>
      </c>
      <c r="E73" s="26">
        <v>0</v>
      </c>
      <c r="F73" s="26">
        <v>0.01</v>
      </c>
      <c r="G73" s="26">
        <v>1.4999999999999999E-2</v>
      </c>
    </row>
    <row r="75" spans="2:7" ht="14" x14ac:dyDescent="0.3">
      <c r="B75" s="3" t="s">
        <v>89</v>
      </c>
    </row>
    <row r="76" spans="2:7" ht="14" x14ac:dyDescent="0.3">
      <c r="B76" s="4" t="s">
        <v>82</v>
      </c>
      <c r="C76" s="26">
        <v>0.65</v>
      </c>
      <c r="D76" s="26">
        <v>0.64</v>
      </c>
      <c r="E76" s="26">
        <v>0.63</v>
      </c>
      <c r="F76" s="26">
        <v>0.62</v>
      </c>
      <c r="G76" s="26">
        <v>0.61499999999999999</v>
      </c>
    </row>
    <row r="77" spans="2:7" ht="14" x14ac:dyDescent="0.3">
      <c r="B77" s="4" t="s">
        <v>119</v>
      </c>
      <c r="C77" s="26">
        <v>0.64200000000000002</v>
      </c>
      <c r="D77" s="26">
        <v>0.622</v>
      </c>
      <c r="E77" s="26">
        <v>0.60699999999999998</v>
      </c>
      <c r="F77" s="26">
        <v>0.6</v>
      </c>
      <c r="G77" s="26">
        <v>0.6</v>
      </c>
    </row>
    <row r="78" spans="2:7" ht="14" x14ac:dyDescent="0.3">
      <c r="B78" s="4" t="s">
        <v>120</v>
      </c>
      <c r="C78" s="26">
        <v>0.65</v>
      </c>
      <c r="D78" s="26">
        <v>0.64</v>
      </c>
      <c r="E78" s="26">
        <v>0.63</v>
      </c>
      <c r="F78" s="26">
        <v>0.62</v>
      </c>
      <c r="G78" s="26">
        <v>0.61499999999999999</v>
      </c>
    </row>
    <row r="79" spans="2:7" ht="14" x14ac:dyDescent="0.3">
      <c r="B79" s="4" t="s">
        <v>121</v>
      </c>
      <c r="C79" s="26">
        <v>0.65700000000000003</v>
      </c>
      <c r="D79" s="26">
        <v>0.66200000000000003</v>
      </c>
      <c r="E79" s="26">
        <v>0.66700000000000004</v>
      </c>
      <c r="F79" s="26">
        <v>0.66700000000000004</v>
      </c>
      <c r="G79" s="26">
        <v>0.66700000000000004</v>
      </c>
    </row>
    <row r="80" spans="2:7" ht="14" x14ac:dyDescent="0.3">
      <c r="B80" s="4" t="s">
        <v>122</v>
      </c>
      <c r="C80" s="26">
        <v>0.74</v>
      </c>
      <c r="D80" s="26">
        <v>0.75</v>
      </c>
      <c r="E80" s="26">
        <v>0.74</v>
      </c>
      <c r="F80" s="26">
        <v>0.73</v>
      </c>
      <c r="G80" s="26">
        <v>0.72</v>
      </c>
    </row>
    <row r="82" spans="2:7" ht="14" x14ac:dyDescent="0.3">
      <c r="B82" s="3" t="s">
        <v>90</v>
      </c>
    </row>
    <row r="83" spans="2:7" ht="14" x14ac:dyDescent="0.3">
      <c r="B83" s="4" t="s">
        <v>82</v>
      </c>
      <c r="C83" s="26">
        <v>9.8895999999999998E-2</v>
      </c>
      <c r="D83" s="26">
        <v>0.104572</v>
      </c>
      <c r="E83" s="26">
        <v>0.110248</v>
      </c>
      <c r="F83" s="26">
        <v>0.115925</v>
      </c>
      <c r="G83" s="26">
        <v>0.116601</v>
      </c>
    </row>
    <row r="84" spans="2:7" ht="14" x14ac:dyDescent="0.3">
      <c r="B84" s="4" t="s">
        <v>119</v>
      </c>
      <c r="C84" s="26">
        <v>9.2999999999999999E-2</v>
      </c>
      <c r="D84" s="26">
        <v>9.2999999999999999E-2</v>
      </c>
      <c r="E84" s="26">
        <v>9.2999999999999999E-2</v>
      </c>
      <c r="F84" s="26">
        <v>9.2999999999999999E-2</v>
      </c>
      <c r="G84" s="26">
        <v>9.2999999999999999E-2</v>
      </c>
    </row>
    <row r="85" spans="2:7" ht="14" x14ac:dyDescent="0.3">
      <c r="B85" s="4" t="s">
        <v>120</v>
      </c>
      <c r="C85" s="26">
        <v>9.8895999999999998E-2</v>
      </c>
      <c r="D85" s="26">
        <v>0.104572</v>
      </c>
      <c r="E85" s="26">
        <v>0.110248</v>
      </c>
      <c r="F85" s="26">
        <v>0.115925</v>
      </c>
      <c r="G85" s="26">
        <v>0.116601</v>
      </c>
    </row>
    <row r="86" spans="2:7" ht="14" x14ac:dyDescent="0.3">
      <c r="B86" s="4" t="s">
        <v>121</v>
      </c>
      <c r="C86" s="26">
        <v>9.8000000000000004E-2</v>
      </c>
      <c r="D86" s="26">
        <v>9.8000000000000004E-2</v>
      </c>
      <c r="E86" s="26">
        <v>9.8000000000000004E-2</v>
      </c>
      <c r="F86" s="26">
        <v>9.8000000000000004E-2</v>
      </c>
      <c r="G86" s="26">
        <v>9.8000000000000004E-2</v>
      </c>
    </row>
    <row r="87" spans="2:7" ht="14" x14ac:dyDescent="0.3">
      <c r="B87" s="4" t="s">
        <v>122</v>
      </c>
      <c r="C87" s="26">
        <v>0.11</v>
      </c>
      <c r="D87" s="26">
        <v>0.11</v>
      </c>
      <c r="E87" s="26">
        <v>0.11</v>
      </c>
      <c r="F87" s="26">
        <v>0.11</v>
      </c>
      <c r="G87" s="26">
        <v>0.11</v>
      </c>
    </row>
  </sheetData>
  <phoneticPr fontId="8"/>
  <dataValidations count="1">
    <dataValidation type="list" sqref="C27" xr:uid="{00000000-0002-0000-0200-000000000000}">
      <formula1>"Base,Upside,Management,Downside 1,Downside 2"</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B2:I79"/>
  <sheetViews>
    <sheetView workbookViewId="0"/>
  </sheetViews>
  <sheetFormatPr defaultRowHeight="13" x14ac:dyDescent="0.2"/>
  <cols>
    <col min="1" max="1" width="3" customWidth="1"/>
    <col min="2" max="2" width="52" customWidth="1"/>
    <col min="3" max="9" width="15" customWidth="1"/>
  </cols>
  <sheetData>
    <row r="2" spans="2:9" ht="18" x14ac:dyDescent="0.4">
      <c r="B2" s="2" t="s">
        <v>123</v>
      </c>
    </row>
    <row r="3" spans="2:9" ht="14" x14ac:dyDescent="0.3">
      <c r="B3" s="1" t="s">
        <v>124</v>
      </c>
    </row>
    <row r="5" spans="2:9" ht="14" x14ac:dyDescent="0.3">
      <c r="B5" s="8" t="s">
        <v>125</v>
      </c>
      <c r="C5" s="9"/>
      <c r="D5" s="9"/>
      <c r="E5" s="9"/>
      <c r="F5" s="9"/>
      <c r="G5" s="9"/>
      <c r="H5" s="9"/>
      <c r="I5" s="9"/>
    </row>
    <row r="6" spans="2:9" ht="14" x14ac:dyDescent="0.3">
      <c r="B6" s="4" t="s">
        <v>126</v>
      </c>
      <c r="C6" s="15">
        <f>'Executive Summary'!C9</f>
        <v>5786</v>
      </c>
    </row>
    <row r="7" spans="2:9" ht="14" x14ac:dyDescent="0.3">
      <c r="B7" s="4" t="s">
        <v>70</v>
      </c>
      <c r="C7" s="15">
        <f>'DCF Model'!C15</f>
        <v>1815064711</v>
      </c>
    </row>
    <row r="8" spans="2:9" ht="14" x14ac:dyDescent="0.3">
      <c r="B8" s="4" t="s">
        <v>127</v>
      </c>
      <c r="C8" s="5">
        <f>C6*C7/1000000</f>
        <v>10501964.417846</v>
      </c>
    </row>
    <row r="9" spans="2:9" ht="14" x14ac:dyDescent="0.3">
      <c r="B9" s="4" t="s">
        <v>71</v>
      </c>
      <c r="C9" s="5">
        <f>'DCF Model'!C16</f>
        <v>-1416765</v>
      </c>
    </row>
    <row r="10" spans="2:9" ht="14" x14ac:dyDescent="0.3">
      <c r="B10" s="4" t="s">
        <v>128</v>
      </c>
      <c r="C10" s="5">
        <f>C8+C9</f>
        <v>9085199.4178459998</v>
      </c>
    </row>
    <row r="11" spans="2:9" ht="14" x14ac:dyDescent="0.3">
      <c r="B11" s="4" t="s">
        <v>129</v>
      </c>
      <c r="C11" s="16">
        <f>'DCF Model'!C26</f>
        <v>0.106598</v>
      </c>
    </row>
    <row r="12" spans="2:9" ht="14" x14ac:dyDescent="0.3">
      <c r="B12" s="4" t="s">
        <v>130</v>
      </c>
      <c r="C12" s="16">
        <f>'DCF Model'!C13</f>
        <v>0.01</v>
      </c>
    </row>
    <row r="13" spans="2:9" ht="14" x14ac:dyDescent="0.3">
      <c r="B13" s="4" t="s">
        <v>131</v>
      </c>
      <c r="C13" s="16">
        <f>'DCF Model'!C6</f>
        <v>0.25</v>
      </c>
    </row>
    <row r="14" spans="2:9" ht="14" x14ac:dyDescent="0.3">
      <c r="B14" s="4" t="s">
        <v>132</v>
      </c>
      <c r="C14" s="27">
        <v>635204</v>
      </c>
    </row>
    <row r="15" spans="2:9" ht="14" x14ac:dyDescent="0.3">
      <c r="B15" s="4" t="s">
        <v>133</v>
      </c>
      <c r="C15" s="27">
        <v>998202</v>
      </c>
    </row>
    <row r="16" spans="2:9" ht="14" x14ac:dyDescent="0.3">
      <c r="B16" s="4" t="s">
        <v>134</v>
      </c>
      <c r="C16" s="5">
        <f>'DCF Model'!G33</f>
        <v>2940690.7650256888</v>
      </c>
    </row>
    <row r="17" spans="2:9" ht="14" x14ac:dyDescent="0.3">
      <c r="B17" s="4" t="s">
        <v>135</v>
      </c>
      <c r="C17" s="5">
        <f>'DCF Model'!C53</f>
        <v>4782816.1300704693</v>
      </c>
    </row>
    <row r="18" spans="2:9" ht="14" x14ac:dyDescent="0.3">
      <c r="B18" s="4" t="s">
        <v>136</v>
      </c>
      <c r="C18" s="26">
        <v>0.35538075721369511</v>
      </c>
    </row>
    <row r="19" spans="2:9" ht="14" x14ac:dyDescent="0.3">
      <c r="B19" s="4" t="s">
        <v>137</v>
      </c>
      <c r="C19" s="5">
        <f>C10-C17</f>
        <v>4302383.2877755305</v>
      </c>
    </row>
    <row r="20" spans="2:9" ht="14" x14ac:dyDescent="0.3">
      <c r="B20" s="4" t="s">
        <v>138</v>
      </c>
      <c r="C20" s="15">
        <f>IFERROR(ROUND(C19*1000000/C7,0),"N/A")</f>
        <v>2370</v>
      </c>
    </row>
    <row r="22" spans="2:9" ht="14" x14ac:dyDescent="0.3">
      <c r="B22" s="8" t="s">
        <v>139</v>
      </c>
      <c r="C22" s="9"/>
      <c r="D22" s="9"/>
      <c r="E22" s="9"/>
      <c r="F22" s="9"/>
      <c r="G22" s="9"/>
      <c r="H22" s="9"/>
      <c r="I22" s="9"/>
    </row>
    <row r="23" spans="2:9" ht="14" x14ac:dyDescent="0.3">
      <c r="B23" s="1" t="s">
        <v>140</v>
      </c>
    </row>
    <row r="24" spans="2:9" ht="14" x14ac:dyDescent="0.3">
      <c r="B24" s="4" t="s">
        <v>141</v>
      </c>
      <c r="C24" s="5">
        <f>C10*(C11-C12)</f>
        <v>877612.09336508787</v>
      </c>
    </row>
    <row r="25" spans="2:9" ht="14" x14ac:dyDescent="0.3">
      <c r="B25" s="4" t="s">
        <v>142</v>
      </c>
      <c r="C25" s="5">
        <f>IFERROR(C24/(1-C13),"N/A")</f>
        <v>1170149.4578201172</v>
      </c>
    </row>
    <row r="26" spans="2:9" ht="13.5" x14ac:dyDescent="0.25">
      <c r="B26" s="6" t="s">
        <v>143</v>
      </c>
      <c r="C26" s="14">
        <f>IFERROR(C25/C15,"N/A")</f>
        <v>1.1722571762229661</v>
      </c>
    </row>
    <row r="27" spans="2:9" ht="13.5" x14ac:dyDescent="0.25">
      <c r="B27" s="6" t="s">
        <v>144</v>
      </c>
      <c r="C27" s="14">
        <f>IFERROR(C25/C14,"N/A")</f>
        <v>1.8421632386132916</v>
      </c>
    </row>
    <row r="28" spans="2:9" ht="13.5" x14ac:dyDescent="0.25">
      <c r="B28" s="6" t="s">
        <v>145</v>
      </c>
      <c r="C28" s="7">
        <f>IFERROR(C25/C16,"N/A")</f>
        <v>0.39791652755093249</v>
      </c>
    </row>
    <row r="29" spans="2:9" ht="13.5" x14ac:dyDescent="0.25">
      <c r="B29" s="6" t="s">
        <v>146</v>
      </c>
      <c r="C29" s="5">
        <f>IFERROR(C25/C18,"N/A")</f>
        <v>3292664.0907472968</v>
      </c>
    </row>
    <row r="32" spans="2:9" ht="14" x14ac:dyDescent="0.3">
      <c r="B32" s="8" t="s">
        <v>147</v>
      </c>
      <c r="C32" s="9"/>
      <c r="D32" s="9"/>
      <c r="E32" s="9"/>
      <c r="F32" s="9"/>
      <c r="G32" s="9"/>
      <c r="H32" s="9"/>
      <c r="I32" s="9"/>
    </row>
    <row r="33" spans="2:9" ht="14" x14ac:dyDescent="0.3">
      <c r="B33" s="1" t="s">
        <v>148</v>
      </c>
    </row>
    <row r="34" spans="2:9" ht="14" x14ac:dyDescent="0.3">
      <c r="B34" s="1" t="s">
        <v>149</v>
      </c>
    </row>
    <row r="36" spans="2:9" ht="14" x14ac:dyDescent="0.3">
      <c r="B36" s="28" t="s">
        <v>150</v>
      </c>
      <c r="C36" s="28" t="s">
        <v>151</v>
      </c>
      <c r="D36" s="29">
        <f>'DCF Model'!C26-0.02</f>
        <v>8.6597999999999994E-2</v>
      </c>
      <c r="E36" s="29">
        <f>'DCF Model'!C26-0.01</f>
        <v>9.6598000000000003E-2</v>
      </c>
      <c r="F36" s="29">
        <f>'DCF Model'!C26</f>
        <v>0.106598</v>
      </c>
      <c r="G36" s="29">
        <f>'DCF Model'!C26+0.01</f>
        <v>0.11659799999999999</v>
      </c>
      <c r="H36" s="29">
        <f>'DCF Model'!C26+0.02</f>
        <v>0.12659799999999999</v>
      </c>
    </row>
    <row r="37" spans="2:9" ht="14" x14ac:dyDescent="0.3">
      <c r="B37" s="3" t="s">
        <v>152</v>
      </c>
    </row>
    <row r="38" spans="2:9" ht="14" x14ac:dyDescent="0.3">
      <c r="B38" s="4" t="s">
        <v>153</v>
      </c>
      <c r="C38" s="30">
        <v>3</v>
      </c>
      <c r="D38" s="13">
        <f t="shared" ref="D38:H41" si="0">IFERROR((1-(1+D$36)^(-$C38))/D$36-(1+D$36)/(D$36^2*$C38)*(1-($C38+1)/(1+D$36)^$C38+$C38/(1+D$36)^($C38+1)),"N/A")</f>
        <v>0.89585524512402004</v>
      </c>
      <c r="E38" s="13">
        <f t="shared" si="0"/>
        <v>0.88513481443968445</v>
      </c>
      <c r="F38" s="13">
        <f t="shared" si="0"/>
        <v>0.87465382760331867</v>
      </c>
      <c r="G38" s="13">
        <f t="shared" si="0"/>
        <v>0.86440463484920227</v>
      </c>
      <c r="H38" s="13">
        <f t="shared" si="0"/>
        <v>0.8543799008278985</v>
      </c>
    </row>
    <row r="39" spans="2:9" ht="14" x14ac:dyDescent="0.3">
      <c r="B39" s="4" t="s">
        <v>154</v>
      </c>
      <c r="C39" s="30">
        <v>5</v>
      </c>
      <c r="D39" s="13">
        <f t="shared" si="0"/>
        <v>1.6996694184512045</v>
      </c>
      <c r="E39" s="13">
        <f t="shared" si="0"/>
        <v>1.6701155140176254</v>
      </c>
      <c r="F39" s="13">
        <f t="shared" si="0"/>
        <v>1.6414647863073344</v>
      </c>
      <c r="G39" s="13">
        <f t="shared" si="0"/>
        <v>1.6136794618044732</v>
      </c>
      <c r="H39" s="13">
        <f t="shared" si="0"/>
        <v>1.5867237321116876</v>
      </c>
    </row>
    <row r="40" spans="2:9" ht="14" x14ac:dyDescent="0.3">
      <c r="B40" s="4" t="s">
        <v>155</v>
      </c>
      <c r="C40" s="30">
        <v>7</v>
      </c>
      <c r="D40" s="13">
        <f t="shared" si="0"/>
        <v>2.4220518388063335</v>
      </c>
      <c r="E40" s="13">
        <f t="shared" si="0"/>
        <v>2.3676525341872918</v>
      </c>
      <c r="F40" s="13">
        <f t="shared" si="0"/>
        <v>2.3153419506432402</v>
      </c>
      <c r="G40" s="13">
        <f t="shared" si="0"/>
        <v>2.2650128925173809</v>
      </c>
      <c r="H40" s="13">
        <f t="shared" si="0"/>
        <v>2.216564873474475</v>
      </c>
    </row>
    <row r="41" spans="2:9" ht="14" x14ac:dyDescent="0.3">
      <c r="B41" s="4" t="s">
        <v>156</v>
      </c>
      <c r="C41" s="30">
        <v>10</v>
      </c>
      <c r="D41" s="13">
        <f t="shared" si="0"/>
        <v>3.3729845602778621</v>
      </c>
      <c r="E41" s="13">
        <f t="shared" si="0"/>
        <v>3.273637664947763</v>
      </c>
      <c r="F41" s="13">
        <f t="shared" si="0"/>
        <v>3.1792029172851222</v>
      </c>
      <c r="G41" s="13">
        <f t="shared" si="0"/>
        <v>3.0893616304841065</v>
      </c>
      <c r="H41" s="13">
        <f t="shared" si="0"/>
        <v>3.0038199052915218</v>
      </c>
    </row>
    <row r="42" spans="2:9" ht="14" x14ac:dyDescent="0.3">
      <c r="B42" s="3" t="s">
        <v>157</v>
      </c>
    </row>
    <row r="43" spans="2:9" ht="14" x14ac:dyDescent="0.3">
      <c r="B43" s="4" t="s">
        <v>153</v>
      </c>
      <c r="C43" s="30">
        <v>3</v>
      </c>
      <c r="D43" s="13">
        <f t="shared" ref="D43:H46" si="1">IFERROR((1+D$36)/(D$36^2*$C43)*(1-($C43+1)/(1+D$36)^$C43+$C43/(1+D$36)^($C43+1))+(1+$C$12)/((D$36-$C$12)*(1+D$36)^$C43),"N/A")</f>
        <v>11.928596805523746</v>
      </c>
      <c r="E43" s="13">
        <f t="shared" si="1"/>
        <v>10.461144171035237</v>
      </c>
      <c r="F43" s="13">
        <f t="shared" si="1"/>
        <v>9.2994397401873776</v>
      </c>
      <c r="G43" s="13">
        <f t="shared" si="1"/>
        <v>8.3573784712918542</v>
      </c>
      <c r="H43" s="13">
        <f t="shared" si="1"/>
        <v>7.5783966785349577</v>
      </c>
    </row>
    <row r="44" spans="2:9" ht="14" x14ac:dyDescent="0.3">
      <c r="B44" s="4" t="s">
        <v>154</v>
      </c>
      <c r="C44" s="30">
        <v>5</v>
      </c>
      <c r="D44" s="13">
        <f t="shared" si="1"/>
        <v>10.929373097214372</v>
      </c>
      <c r="E44" s="13">
        <f t="shared" si="1"/>
        <v>9.5087395510087447</v>
      </c>
      <c r="F44" s="13">
        <f t="shared" si="1"/>
        <v>8.3871987798590411</v>
      </c>
      <c r="G44" s="13">
        <f t="shared" si="1"/>
        <v>7.4803709884326226</v>
      </c>
      <c r="H44" s="13">
        <f t="shared" si="1"/>
        <v>6.7328340866493024</v>
      </c>
    </row>
    <row r="45" spans="2:9" ht="14" x14ac:dyDescent="0.3">
      <c r="B45" s="4" t="s">
        <v>155</v>
      </c>
      <c r="C45" s="30">
        <v>7</v>
      </c>
      <c r="D45" s="13">
        <f t="shared" si="1"/>
        <v>10.04148688491474</v>
      </c>
      <c r="E45" s="13">
        <f t="shared" si="1"/>
        <v>8.6719758055528828</v>
      </c>
      <c r="F45" s="13">
        <f t="shared" si="1"/>
        <v>7.5945605058033401</v>
      </c>
      <c r="G45" s="13">
        <f t="shared" si="1"/>
        <v>6.7265884332759924</v>
      </c>
      <c r="H45" s="13">
        <f t="shared" si="1"/>
        <v>6.0137897431540157</v>
      </c>
    </row>
    <row r="46" spans="2:9" ht="14" x14ac:dyDescent="0.3">
      <c r="B46" s="4" t="s">
        <v>156</v>
      </c>
      <c r="C46" s="30">
        <v>10</v>
      </c>
      <c r="D46" s="13">
        <f t="shared" si="1"/>
        <v>8.8885545359791465</v>
      </c>
      <c r="E46" s="13">
        <f t="shared" si="1"/>
        <v>7.5998546225861574</v>
      </c>
      <c r="F46" s="13">
        <f t="shared" si="1"/>
        <v>6.5921139552968775</v>
      </c>
      <c r="G46" s="13">
        <f t="shared" si="1"/>
        <v>5.7853014845754505</v>
      </c>
      <c r="H46" s="13">
        <f t="shared" si="1"/>
        <v>5.126917836668115</v>
      </c>
    </row>
    <row r="47" spans="2:9" ht="14" x14ac:dyDescent="0.3">
      <c r="B47" s="22" t="s">
        <v>158</v>
      </c>
      <c r="C47" s="23"/>
      <c r="D47" s="23"/>
      <c r="E47" s="23"/>
      <c r="F47" s="23"/>
      <c r="G47" s="23"/>
      <c r="H47" s="23"/>
      <c r="I47" s="23"/>
    </row>
    <row r="48" spans="2:9" ht="14" x14ac:dyDescent="0.3">
      <c r="B48" s="4" t="s">
        <v>153</v>
      </c>
      <c r="C48" s="30">
        <v>3</v>
      </c>
      <c r="D48" s="5">
        <f t="shared" ref="D48:H51" si="2">IFERROR(($C$10/(1-$C$13)-$C$14*D38)/D43,"N/A")</f>
        <v>967804.39282892039</v>
      </c>
      <c r="E48" s="5">
        <f t="shared" si="2"/>
        <v>1104215.5485349933</v>
      </c>
      <c r="F48" s="5">
        <f t="shared" si="2"/>
        <v>1242872.2521785859</v>
      </c>
      <c r="G48" s="5">
        <f t="shared" si="2"/>
        <v>1383750.4166940416</v>
      </c>
      <c r="H48" s="5">
        <f t="shared" si="2"/>
        <v>1526826.0799863602</v>
      </c>
    </row>
    <row r="49" spans="2:9" ht="14" x14ac:dyDescent="0.3">
      <c r="B49" s="4" t="s">
        <v>154</v>
      </c>
      <c r="C49" s="30">
        <v>5</v>
      </c>
      <c r="D49" s="5">
        <f t="shared" si="2"/>
        <v>1009569.561984216</v>
      </c>
      <c r="E49" s="5">
        <f t="shared" si="2"/>
        <v>1162376.4758238725</v>
      </c>
      <c r="F49" s="5">
        <f t="shared" si="2"/>
        <v>1319979.9499516771</v>
      </c>
      <c r="G49" s="5">
        <f t="shared" si="2"/>
        <v>1482357.4381652467</v>
      </c>
      <c r="H49" s="5">
        <f t="shared" si="2"/>
        <v>1649484.5735593224</v>
      </c>
    </row>
    <row r="50" spans="2:9" ht="14" x14ac:dyDescent="0.3">
      <c r="B50" s="4" t="s">
        <v>155</v>
      </c>
      <c r="C50" s="30">
        <v>7</v>
      </c>
      <c r="D50" s="5">
        <f t="shared" si="2"/>
        <v>1053141.0665351199</v>
      </c>
      <c r="E50" s="5">
        <f t="shared" si="2"/>
        <v>1223441.7047929417</v>
      </c>
      <c r="F50" s="5">
        <f t="shared" si="2"/>
        <v>1401382.5747053537</v>
      </c>
      <c r="G50" s="5">
        <f t="shared" si="2"/>
        <v>1586964.0428137765</v>
      </c>
      <c r="H50" s="5">
        <f t="shared" si="2"/>
        <v>1780180.0207749649</v>
      </c>
    </row>
    <row r="51" spans="2:9" ht="14" x14ac:dyDescent="0.3">
      <c r="B51" s="4" t="s">
        <v>156</v>
      </c>
      <c r="C51" s="30">
        <v>10</v>
      </c>
      <c r="D51" s="5">
        <f t="shared" si="2"/>
        <v>1121787.1138447747</v>
      </c>
      <c r="E51" s="5">
        <f t="shared" si="2"/>
        <v>1320310.9773505977</v>
      </c>
      <c r="F51" s="5">
        <f t="shared" si="2"/>
        <v>1531247.3179885885</v>
      </c>
      <c r="G51" s="5">
        <f t="shared" si="2"/>
        <v>1754657.7971311344</v>
      </c>
      <c r="H51" s="5">
        <f t="shared" si="2"/>
        <v>1990584.0369983905</v>
      </c>
    </row>
    <row r="52" spans="2:9" ht="14" x14ac:dyDescent="0.3">
      <c r="B52" s="22" t="s">
        <v>159</v>
      </c>
      <c r="C52" s="23"/>
      <c r="D52" s="23"/>
      <c r="E52" s="23"/>
      <c r="F52" s="23"/>
      <c r="G52" s="23"/>
      <c r="H52" s="23"/>
      <c r="I52" s="23"/>
    </row>
    <row r="53" spans="2:9" ht="14" x14ac:dyDescent="0.3">
      <c r="B53" s="4" t="s">
        <v>153</v>
      </c>
      <c r="C53" s="30">
        <v>3</v>
      </c>
      <c r="D53" s="14">
        <f t="shared" ref="D53:H56" si="3">IFERROR(D48/$C$15,"N/A")</f>
        <v>0.9695476394847139</v>
      </c>
      <c r="E53" s="14">
        <f t="shared" si="3"/>
        <v>1.1062045042336053</v>
      </c>
      <c r="F53" s="14">
        <f t="shared" si="3"/>
        <v>1.2451109616877003</v>
      </c>
      <c r="G53" s="14">
        <f t="shared" si="3"/>
        <v>1.3862428813947894</v>
      </c>
      <c r="H53" s="14">
        <f t="shared" si="3"/>
        <v>1.5295762580984211</v>
      </c>
    </row>
    <row r="54" spans="2:9" ht="14" x14ac:dyDescent="0.3">
      <c r="B54" s="4" t="s">
        <v>154</v>
      </c>
      <c r="C54" s="30">
        <v>5</v>
      </c>
      <c r="D54" s="14">
        <f t="shared" si="3"/>
        <v>1.0113880376759574</v>
      </c>
      <c r="E54" s="14">
        <f t="shared" si="3"/>
        <v>1.1644701932313024</v>
      </c>
      <c r="F54" s="14">
        <f t="shared" si="3"/>
        <v>1.3223575488244634</v>
      </c>
      <c r="G54" s="14">
        <f t="shared" si="3"/>
        <v>1.4850275176419669</v>
      </c>
      <c r="H54" s="14">
        <f t="shared" si="3"/>
        <v>1.6524556888879429</v>
      </c>
    </row>
    <row r="55" spans="2:9" ht="14" x14ac:dyDescent="0.3">
      <c r="B55" s="4" t="s">
        <v>155</v>
      </c>
      <c r="C55" s="30">
        <v>7</v>
      </c>
      <c r="D55" s="14">
        <f t="shared" si="3"/>
        <v>1.0550380249038971</v>
      </c>
      <c r="E55" s="14">
        <f t="shared" si="3"/>
        <v>1.2256454152495604</v>
      </c>
      <c r="F55" s="14">
        <f t="shared" si="3"/>
        <v>1.4039067991301899</v>
      </c>
      <c r="G55" s="14">
        <f t="shared" si="3"/>
        <v>1.5898225437474345</v>
      </c>
      <c r="H55" s="14">
        <f t="shared" si="3"/>
        <v>1.78338654979149</v>
      </c>
    </row>
    <row r="56" spans="2:9" ht="14" x14ac:dyDescent="0.3">
      <c r="B56" s="4" t="s">
        <v>156</v>
      </c>
      <c r="C56" s="30">
        <v>10</v>
      </c>
      <c r="D56" s="14">
        <f t="shared" si="3"/>
        <v>1.1238077201255605</v>
      </c>
      <c r="E56" s="14">
        <f t="shared" si="3"/>
        <v>1.3226891724827217</v>
      </c>
      <c r="F56" s="14">
        <f t="shared" si="3"/>
        <v>1.5340054598053183</v>
      </c>
      <c r="G56" s="14">
        <f t="shared" si="3"/>
        <v>1.7578183545325841</v>
      </c>
      <c r="H56" s="14">
        <f t="shared" si="3"/>
        <v>1.9941695538562239</v>
      </c>
    </row>
    <row r="58" spans="2:9" ht="14" x14ac:dyDescent="0.3">
      <c r="B58" s="8" t="s">
        <v>160</v>
      </c>
      <c r="C58" s="9"/>
      <c r="D58" s="9"/>
      <c r="E58" s="9"/>
      <c r="F58" s="9"/>
      <c r="G58" s="9"/>
      <c r="H58" s="9"/>
      <c r="I58" s="9"/>
    </row>
    <row r="59" spans="2:9" ht="14" x14ac:dyDescent="0.3">
      <c r="B59" s="1" t="s">
        <v>161</v>
      </c>
    </row>
    <row r="60" spans="2:9" ht="14" x14ac:dyDescent="0.3">
      <c r="B60" s="4" t="s">
        <v>162</v>
      </c>
      <c r="C60" s="5">
        <f>F49</f>
        <v>1319979.9499516771</v>
      </c>
    </row>
    <row r="62" spans="2:9" ht="14" x14ac:dyDescent="0.3">
      <c r="B62" s="28" t="s">
        <v>163</v>
      </c>
      <c r="C62" s="28" t="s">
        <v>164</v>
      </c>
      <c r="D62" s="28" t="s">
        <v>165</v>
      </c>
    </row>
    <row r="63" spans="2:9" ht="14" x14ac:dyDescent="0.3">
      <c r="B63" s="31">
        <v>0.1777</v>
      </c>
      <c r="C63" s="5">
        <f>IFERROR($C$60/B63,"N/A")</f>
        <v>7428137.0284281215</v>
      </c>
      <c r="D63" s="14">
        <f>IFERROR(C63/'DCF Model'!C17,"N/A")</f>
        <v>2.8858688773750272</v>
      </c>
    </row>
    <row r="64" spans="2:9" ht="14" x14ac:dyDescent="0.3">
      <c r="B64" s="31">
        <v>0.26650000000000001</v>
      </c>
      <c r="C64" s="5">
        <f>IFERROR($C$60/B64,"N/A")</f>
        <v>4953020.4501001015</v>
      </c>
      <c r="D64" s="14">
        <f>IFERROR(C64/'DCF Model'!C17,"N/A")</f>
        <v>1.9242735441258623</v>
      </c>
    </row>
    <row r="65" spans="2:9" ht="14" x14ac:dyDescent="0.3">
      <c r="B65" s="4" t="s">
        <v>166</v>
      </c>
      <c r="C65" s="5">
        <f>IFERROR($C$60/$C$18,"N/A")</f>
        <v>3714269.6197193251</v>
      </c>
      <c r="D65" s="14">
        <f>IFERROR(C65/'DCF Model'!C17,"N/A")</f>
        <v>1.4430125691954041</v>
      </c>
    </row>
    <row r="66" spans="2:9" ht="14" x14ac:dyDescent="0.3">
      <c r="B66" s="31">
        <v>0.44419999999999998</v>
      </c>
      <c r="C66" s="5">
        <f>IFERROR($C$60/B66,"N/A")</f>
        <v>2971589.2614850905</v>
      </c>
      <c r="D66" s="14">
        <f>IFERROR(C66/'DCF Model'!C17,"N/A")</f>
        <v>1.154477486514053</v>
      </c>
    </row>
    <row r="67" spans="2:9" ht="14" x14ac:dyDescent="0.3">
      <c r="B67" s="31">
        <v>0.53310000000000002</v>
      </c>
      <c r="C67" s="5">
        <f>IFERROR($C$60/B67,"N/A")</f>
        <v>2476045.676142707</v>
      </c>
      <c r="D67" s="14">
        <f>IFERROR(C67/'DCF Model'!C17,"N/A")</f>
        <v>0.96195629245834235</v>
      </c>
    </row>
    <row r="69" spans="2:9" ht="14" x14ac:dyDescent="0.3">
      <c r="B69" s="8" t="s">
        <v>167</v>
      </c>
      <c r="C69" s="9"/>
      <c r="D69" s="9"/>
      <c r="E69" s="9"/>
      <c r="F69" s="9"/>
      <c r="G69" s="9"/>
      <c r="H69" s="9"/>
      <c r="I69" s="9"/>
    </row>
    <row r="70" spans="2:9" ht="13.5" x14ac:dyDescent="0.25">
      <c r="B70" s="6" t="s">
        <v>168</v>
      </c>
      <c r="C70" s="14">
        <f>IFERROR(C10/'Comps Analysis'!G5,"N/A")</f>
        <v>10.345510156079975</v>
      </c>
    </row>
    <row r="71" spans="2:9" ht="13.5" x14ac:dyDescent="0.25">
      <c r="B71" s="6" t="s">
        <v>169</v>
      </c>
      <c r="C71" s="14">
        <f>IFERROR(C10/'Comps Analysis'!F5,"N/A")</f>
        <v>3.5296460127709386</v>
      </c>
    </row>
    <row r="72" spans="2:9" ht="14" x14ac:dyDescent="0.3">
      <c r="B72" s="4" t="s">
        <v>170</v>
      </c>
      <c r="C72" s="14">
        <f>IFERROR(C10/(C25+'DCF Model'!G42),"N/A")</f>
        <v>6.2677508775744721</v>
      </c>
    </row>
    <row r="73" spans="2:9" ht="14" x14ac:dyDescent="0.3">
      <c r="B73" s="4" t="s">
        <v>171</v>
      </c>
      <c r="C73" s="14">
        <f>IFERROR(C10/(C60+'DCF Model'!G42),"N/A")</f>
        <v>5.6805730877230651</v>
      </c>
    </row>
    <row r="74" spans="2:9" ht="14" x14ac:dyDescent="0.3">
      <c r="B74" s="4" t="s">
        <v>172</v>
      </c>
      <c r="C74" s="14">
        <f>IFERROR('Comps Analysis'!D16,"N/A")</f>
        <v>9.2210891708653779</v>
      </c>
    </row>
    <row r="75" spans="2:9" ht="14" x14ac:dyDescent="0.3">
      <c r="B75" s="1" t="s">
        <v>173</v>
      </c>
    </row>
    <row r="77" spans="2:9" ht="14" x14ac:dyDescent="0.3">
      <c r="B77" s="22" t="s">
        <v>174</v>
      </c>
      <c r="C77" s="23"/>
      <c r="D77" s="23"/>
      <c r="E77" s="23"/>
      <c r="F77" s="23"/>
      <c r="G77" s="23"/>
      <c r="H77" s="23"/>
      <c r="I77" s="23"/>
    </row>
    <row r="78" spans="2:9" ht="14" x14ac:dyDescent="0.3">
      <c r="B78" s="4" t="str">
        <f>"At "&amp;TEXT(C6,"#,##0")&amp;" yen the market is paying for a steady-state operating profit of "&amp;TEXT(F49,"#,##0")&amp;" mn JPY - "&amp;TEXT(F54,"0.00")&amp;"x the FY2023 cycle peak of "&amp;TEXT(C15,"#,##0")&amp;" mn - reached in 5 years and sustained for ever, against "&amp;TEXT(C14,"#,##0")&amp;" mn actually earned in FY2026."</f>
        <v>At 5,786 yen the market is paying for a steady-state operating profit of 1,319,980 mn JPY - 1.32x the FY2023 cycle peak of 998,202 mn - reached in 5 years and sustained for ever, against 635,204 mn actually earned in FY2026.</v>
      </c>
    </row>
    <row r="79" spans="2:9" ht="14" x14ac:dyDescent="0.3">
      <c r="B79" s="4" t="str">
        <f>"Even with no ramp at all (Block A) the price needs "&amp;TEXT(C25,"#,##0")&amp;" mn, or "&amp;TEXT(C26,"0.00")&amp;"x the peak. The base case supports an EV of only "&amp;TEXT(C17,"#,##0")&amp;" mn, leaving "&amp;TEXT(C20,"#,##0")&amp;" yen per share of the current price unexplained by mid-cycle economics."</f>
        <v>Even with no ramp at all (Block A) the price needs 1,170,149 mn, or 1.17x the peak. The base case supports an EV of only 4,782,816 mn, leaving 2,370 yen per share of the current price unexplained by mid-cycle economics.</v>
      </c>
    </row>
  </sheetData>
  <phoneticPr fontId="8"/>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C6600"/>
  </sheetPr>
  <dimension ref="B2:H43"/>
  <sheetViews>
    <sheetView workbookViewId="0"/>
  </sheetViews>
  <sheetFormatPr defaultRowHeight="13" x14ac:dyDescent="0.2"/>
  <cols>
    <col min="1" max="1" width="3" customWidth="1"/>
    <col min="2" max="2" width="28" customWidth="1"/>
    <col min="3" max="8" width="16" customWidth="1"/>
  </cols>
  <sheetData>
    <row r="2" spans="2:8" ht="18" x14ac:dyDescent="0.4">
      <c r="B2" s="2" t="s">
        <v>175</v>
      </c>
    </row>
    <row r="4" spans="2:8" ht="14" x14ac:dyDescent="0.3">
      <c r="B4" s="8" t="s">
        <v>176</v>
      </c>
      <c r="C4" s="32" t="s">
        <v>177</v>
      </c>
      <c r="D4" s="32" t="s">
        <v>84</v>
      </c>
      <c r="E4" s="32" t="s">
        <v>85</v>
      </c>
      <c r="F4" s="32" t="s">
        <v>86</v>
      </c>
      <c r="G4" s="32" t="s">
        <v>87</v>
      </c>
      <c r="H4" s="32" t="s">
        <v>88</v>
      </c>
    </row>
    <row r="5" spans="2:8" ht="14" x14ac:dyDescent="0.3">
      <c r="B5" s="33" t="s">
        <v>178</v>
      </c>
      <c r="C5" s="34">
        <f>C12/C9*365</f>
        <v>0</v>
      </c>
      <c r="D5" s="34">
        <f>CHOOSE('DCF Model'!$D$27,D25,D26,D27,D28,D29)</f>
        <v>71</v>
      </c>
      <c r="E5" s="34">
        <f>CHOOSE('DCF Model'!$D$27,E25,E26,E27,E28,E29)</f>
        <v>71</v>
      </c>
      <c r="F5" s="34">
        <f>CHOOSE('DCF Model'!$D$27,F25,F26,F27,F28,F29)</f>
        <v>71</v>
      </c>
      <c r="G5" s="34">
        <f>CHOOSE('DCF Model'!$D$27,G25,G26,G27,G28,G29)</f>
        <v>71</v>
      </c>
      <c r="H5" s="34">
        <f>CHOOSE('DCF Model'!$D$27,H25,H26,H27,H28,H29)</f>
        <v>71</v>
      </c>
    </row>
    <row r="6" spans="2:8" ht="14" x14ac:dyDescent="0.3">
      <c r="B6" s="33" t="s">
        <v>179</v>
      </c>
      <c r="C6" s="34">
        <f>C13/C10*365</f>
        <v>170.49752683567854</v>
      </c>
      <c r="D6" s="34">
        <f>CHOOSE('DCF Model'!$D$27,D32,D33,D34,D35,D36)</f>
        <v>170</v>
      </c>
      <c r="E6" s="34">
        <f>CHOOSE('DCF Model'!$D$27,E32,E33,E34,E35,E36)</f>
        <v>170</v>
      </c>
      <c r="F6" s="34">
        <f>CHOOSE('DCF Model'!$D$27,F32,F33,F34,F35,F36)</f>
        <v>170</v>
      </c>
      <c r="G6" s="34">
        <f>CHOOSE('DCF Model'!$D$27,G32,G33,G34,G35,G36)</f>
        <v>170</v>
      </c>
      <c r="H6" s="34">
        <f>CHOOSE('DCF Model'!$D$27,H32,H33,H34,H35,H36)</f>
        <v>170</v>
      </c>
    </row>
    <row r="7" spans="2:8" ht="14" x14ac:dyDescent="0.3">
      <c r="B7" s="33" t="s">
        <v>180</v>
      </c>
      <c r="C7" s="34">
        <f>C15/C10*365</f>
        <v>38.026568429134613</v>
      </c>
      <c r="D7" s="34">
        <f>CHOOSE('DCF Model'!$D$27,D39,D40,D41,D42,D43)</f>
        <v>41</v>
      </c>
      <c r="E7" s="34">
        <f>CHOOSE('DCF Model'!$D$27,E39,E40,E41,E42,E43)</f>
        <v>41</v>
      </c>
      <c r="F7" s="34">
        <f>CHOOSE('DCF Model'!$D$27,F39,F40,F41,F42,F43)</f>
        <v>41</v>
      </c>
      <c r="G7" s="34">
        <f>CHOOSE('DCF Model'!$D$27,G39,G40,G41,G42,G43)</f>
        <v>41</v>
      </c>
      <c r="H7" s="34">
        <f>CHOOSE('DCF Model'!$D$27,H39,H40,H41,H42,H43)</f>
        <v>41</v>
      </c>
    </row>
    <row r="8" spans="2:8" ht="14" x14ac:dyDescent="0.3">
      <c r="B8" s="8" t="s">
        <v>181</v>
      </c>
      <c r="C8" s="9"/>
      <c r="D8" s="9"/>
      <c r="E8" s="9"/>
      <c r="F8" s="9"/>
      <c r="G8" s="9"/>
      <c r="H8" s="9"/>
    </row>
    <row r="9" spans="2:8" ht="14" x14ac:dyDescent="0.3">
      <c r="B9" s="33" t="s">
        <v>35</v>
      </c>
      <c r="C9" s="35">
        <v>2573969</v>
      </c>
      <c r="D9" s="35">
        <f>'DCF Model'!C33</f>
        <v>2638318.2249999996</v>
      </c>
      <c r="E9" s="35">
        <f>'DCF Model'!D33</f>
        <v>2717467.7717499998</v>
      </c>
      <c r="F9" s="35">
        <f>'DCF Model'!E33</f>
        <v>2798991.8049025</v>
      </c>
      <c r="G9" s="35">
        <f>'DCF Model'!F33</f>
        <v>2868966.6000250624</v>
      </c>
      <c r="H9" s="35">
        <f>'DCF Model'!G33</f>
        <v>2940690.7650256888</v>
      </c>
    </row>
    <row r="10" spans="2:8" ht="14" x14ac:dyDescent="0.3">
      <c r="B10" s="33" t="s">
        <v>36</v>
      </c>
      <c r="C10" s="35">
        <v>1693175</v>
      </c>
      <c r="D10" s="35">
        <f>'DCF Model'!C34</f>
        <v>1714906.8462499997</v>
      </c>
      <c r="E10" s="35">
        <f>'DCF Model'!D34</f>
        <v>1739179.3739199999</v>
      </c>
      <c r="F10" s="35">
        <f>'DCF Model'!E34</f>
        <v>1763364.8370885751</v>
      </c>
      <c r="G10" s="35">
        <f>'DCF Model'!F34</f>
        <v>1778759.2920155388</v>
      </c>
      <c r="H10" s="35">
        <f>'DCF Model'!G34</f>
        <v>1808524.8204907987</v>
      </c>
    </row>
    <row r="11" spans="2:8" ht="14" x14ac:dyDescent="0.3">
      <c r="B11" s="8" t="s">
        <v>182</v>
      </c>
      <c r="C11" s="9"/>
      <c r="D11" s="9"/>
      <c r="E11" s="9"/>
      <c r="F11" s="9"/>
      <c r="G11" s="9"/>
      <c r="H11" s="9"/>
    </row>
    <row r="12" spans="2:8" ht="14" x14ac:dyDescent="0.3">
      <c r="B12" s="33" t="s">
        <v>183</v>
      </c>
      <c r="C12" s="35">
        <v>0</v>
      </c>
      <c r="D12" s="35">
        <f t="shared" ref="D12:H13" si="0">D9*D5/365</f>
        <v>513207.10678082181</v>
      </c>
      <c r="E12" s="35">
        <f t="shared" si="0"/>
        <v>528603.31998424651</v>
      </c>
      <c r="F12" s="35">
        <f t="shared" si="0"/>
        <v>544461.41958377394</v>
      </c>
      <c r="G12" s="35">
        <f t="shared" si="0"/>
        <v>558072.95507336827</v>
      </c>
      <c r="H12" s="35">
        <f t="shared" si="0"/>
        <v>572024.77895020251</v>
      </c>
    </row>
    <row r="13" spans="2:8" ht="14" x14ac:dyDescent="0.3">
      <c r="B13" s="33" t="s">
        <v>184</v>
      </c>
      <c r="C13" s="35">
        <v>790910</v>
      </c>
      <c r="D13" s="35">
        <f t="shared" si="0"/>
        <v>798723.73660958896</v>
      </c>
      <c r="E13" s="35">
        <f t="shared" si="0"/>
        <v>810028.74949698627</v>
      </c>
      <c r="F13" s="35">
        <f t="shared" si="0"/>
        <v>821293.21179467882</v>
      </c>
      <c r="G13" s="35">
        <f t="shared" si="0"/>
        <v>828463.23189764819</v>
      </c>
      <c r="H13" s="35">
        <f t="shared" si="0"/>
        <v>842326.62872174173</v>
      </c>
    </row>
    <row r="14" spans="2:8" ht="14" x14ac:dyDescent="0.3">
      <c r="B14" s="33" t="s">
        <v>185</v>
      </c>
      <c r="C14" s="35">
        <f t="shared" ref="C14:H14" si="1">C12+C13</f>
        <v>790910</v>
      </c>
      <c r="D14" s="35">
        <f t="shared" si="1"/>
        <v>1311930.8433904108</v>
      </c>
      <c r="E14" s="35">
        <f t="shared" si="1"/>
        <v>1338632.0694812327</v>
      </c>
      <c r="F14" s="35">
        <f t="shared" si="1"/>
        <v>1365754.6313784528</v>
      </c>
      <c r="G14" s="35">
        <f t="shared" si="1"/>
        <v>1386536.1869710165</v>
      </c>
      <c r="H14" s="35">
        <f t="shared" si="1"/>
        <v>1414351.4076719442</v>
      </c>
    </row>
    <row r="15" spans="2:8" ht="14" x14ac:dyDescent="0.3">
      <c r="B15" s="33" t="s">
        <v>186</v>
      </c>
      <c r="C15" s="35">
        <v>176399</v>
      </c>
      <c r="D15" s="35">
        <f>D10*D7/365</f>
        <v>192633.37177054794</v>
      </c>
      <c r="E15" s="35">
        <f>E10*E7/365</f>
        <v>195359.8748786849</v>
      </c>
      <c r="F15" s="35">
        <f>F10*F7/365</f>
        <v>198076.59813871665</v>
      </c>
      <c r="G15" s="35">
        <f>G10*G7/365</f>
        <v>199805.8382811975</v>
      </c>
      <c r="H15" s="35">
        <f>H10*H7/365</f>
        <v>203149.36339759655</v>
      </c>
    </row>
    <row r="16" spans="2:8" ht="14" x14ac:dyDescent="0.3">
      <c r="B16" s="33" t="s">
        <v>187</v>
      </c>
      <c r="C16" s="35">
        <f t="shared" ref="C16:H16" si="2">C15</f>
        <v>176399</v>
      </c>
      <c r="D16" s="35">
        <f t="shared" si="2"/>
        <v>192633.37177054794</v>
      </c>
      <c r="E16" s="35">
        <f t="shared" si="2"/>
        <v>195359.8748786849</v>
      </c>
      <c r="F16" s="35">
        <f t="shared" si="2"/>
        <v>198076.59813871665</v>
      </c>
      <c r="G16" s="35">
        <f t="shared" si="2"/>
        <v>199805.8382811975</v>
      </c>
      <c r="H16" s="35">
        <f t="shared" si="2"/>
        <v>203149.36339759655</v>
      </c>
    </row>
    <row r="17" spans="2:8" ht="14" x14ac:dyDescent="0.3">
      <c r="B17" s="22" t="s">
        <v>188</v>
      </c>
      <c r="C17" s="23"/>
      <c r="D17" s="23"/>
      <c r="E17" s="23"/>
      <c r="F17" s="23"/>
      <c r="G17" s="23"/>
      <c r="H17" s="23"/>
    </row>
    <row r="18" spans="2:8" ht="14" x14ac:dyDescent="0.3">
      <c r="B18" s="33" t="s">
        <v>189</v>
      </c>
      <c r="C18" s="20">
        <f t="shared" ref="C18:H18" si="3">C14-C16</f>
        <v>614511</v>
      </c>
      <c r="D18" s="20">
        <f t="shared" si="3"/>
        <v>1119297.4716198628</v>
      </c>
      <c r="E18" s="20">
        <f t="shared" si="3"/>
        <v>1143272.1946025477</v>
      </c>
      <c r="F18" s="20">
        <f t="shared" si="3"/>
        <v>1167678.0332397362</v>
      </c>
      <c r="G18" s="20">
        <f t="shared" si="3"/>
        <v>1186730.348689819</v>
      </c>
      <c r="H18" s="20">
        <f t="shared" si="3"/>
        <v>1211202.0442743476</v>
      </c>
    </row>
    <row r="19" spans="2:8" ht="14" x14ac:dyDescent="0.3">
      <c r="B19" s="33" t="s">
        <v>98</v>
      </c>
      <c r="C19" s="36" t="s">
        <v>45</v>
      </c>
      <c r="D19" s="24">
        <f>D18-C18</f>
        <v>504786.47161986283</v>
      </c>
      <c r="E19" s="24">
        <f>E18-D18</f>
        <v>23974.722982684849</v>
      </c>
      <c r="F19" s="24">
        <f>F18-E18</f>
        <v>24405.838637188543</v>
      </c>
      <c r="G19" s="24">
        <f>G18-F18</f>
        <v>19052.315450082766</v>
      </c>
      <c r="H19" s="24">
        <f>H18-G18</f>
        <v>24471.695584528614</v>
      </c>
    </row>
    <row r="22" spans="2:8" ht="14" x14ac:dyDescent="0.3">
      <c r="B22" s="22" t="s">
        <v>190</v>
      </c>
      <c r="C22" s="23"/>
      <c r="D22" s="23"/>
      <c r="E22" s="23"/>
      <c r="F22" s="23"/>
      <c r="G22" s="23"/>
      <c r="H22" s="23"/>
    </row>
    <row r="23" spans="2:8" ht="14" x14ac:dyDescent="0.3">
      <c r="D23" s="25" t="s">
        <v>84</v>
      </c>
      <c r="E23" s="25" t="s">
        <v>85</v>
      </c>
      <c r="F23" s="25" t="s">
        <v>86</v>
      </c>
      <c r="G23" s="25" t="s">
        <v>87</v>
      </c>
      <c r="H23" s="25" t="s">
        <v>88</v>
      </c>
    </row>
    <row r="24" spans="2:8" ht="14" x14ac:dyDescent="0.3">
      <c r="B24" s="3" t="s">
        <v>191</v>
      </c>
    </row>
    <row r="25" spans="2:8" ht="14" x14ac:dyDescent="0.3">
      <c r="B25" s="4" t="s">
        <v>82</v>
      </c>
      <c r="D25" s="30">
        <v>71</v>
      </c>
      <c r="E25" s="30">
        <v>71</v>
      </c>
      <c r="F25" s="30">
        <v>71</v>
      </c>
      <c r="G25" s="30">
        <v>71</v>
      </c>
      <c r="H25" s="30">
        <v>71</v>
      </c>
    </row>
    <row r="26" spans="2:8" ht="14" x14ac:dyDescent="0.3">
      <c r="B26" s="4" t="s">
        <v>119</v>
      </c>
      <c r="D26" s="30">
        <v>68</v>
      </c>
      <c r="E26" s="30">
        <v>68</v>
      </c>
      <c r="F26" s="30">
        <v>68</v>
      </c>
      <c r="G26" s="30">
        <v>68</v>
      </c>
      <c r="H26" s="30">
        <v>68</v>
      </c>
    </row>
    <row r="27" spans="2:8" ht="14" x14ac:dyDescent="0.3">
      <c r="B27" s="4" t="s">
        <v>120</v>
      </c>
      <c r="D27" s="30">
        <v>71</v>
      </c>
      <c r="E27" s="30">
        <v>71</v>
      </c>
      <c r="F27" s="30">
        <v>71</v>
      </c>
      <c r="G27" s="30">
        <v>71</v>
      </c>
      <c r="H27" s="30">
        <v>71</v>
      </c>
    </row>
    <row r="28" spans="2:8" ht="14" x14ac:dyDescent="0.3">
      <c r="B28" s="4" t="s">
        <v>121</v>
      </c>
      <c r="D28" s="30">
        <v>75</v>
      </c>
      <c r="E28" s="30">
        <v>75</v>
      </c>
      <c r="F28" s="30">
        <v>75</v>
      </c>
      <c r="G28" s="30">
        <v>75</v>
      </c>
      <c r="H28" s="30">
        <v>75</v>
      </c>
    </row>
    <row r="29" spans="2:8" ht="14" x14ac:dyDescent="0.3">
      <c r="B29" s="4" t="s">
        <v>122</v>
      </c>
      <c r="D29" s="30">
        <v>78</v>
      </c>
      <c r="E29" s="30">
        <v>78</v>
      </c>
      <c r="F29" s="30">
        <v>78</v>
      </c>
      <c r="G29" s="30">
        <v>78</v>
      </c>
      <c r="H29" s="30">
        <v>78</v>
      </c>
    </row>
    <row r="31" spans="2:8" ht="14" x14ac:dyDescent="0.3">
      <c r="B31" s="3" t="s">
        <v>192</v>
      </c>
    </row>
    <row r="32" spans="2:8" ht="14" x14ac:dyDescent="0.3">
      <c r="B32" s="4" t="s">
        <v>82</v>
      </c>
      <c r="D32" s="30">
        <v>170</v>
      </c>
      <c r="E32" s="30">
        <v>170</v>
      </c>
      <c r="F32" s="30">
        <v>170</v>
      </c>
      <c r="G32" s="30">
        <v>170</v>
      </c>
      <c r="H32" s="30">
        <v>170</v>
      </c>
    </row>
    <row r="33" spans="2:8" ht="14" x14ac:dyDescent="0.3">
      <c r="B33" s="4" t="s">
        <v>119</v>
      </c>
      <c r="D33" s="30">
        <v>160</v>
      </c>
      <c r="E33" s="30">
        <v>158</v>
      </c>
      <c r="F33" s="30">
        <v>155</v>
      </c>
      <c r="G33" s="30">
        <v>155</v>
      </c>
      <c r="H33" s="30">
        <v>155</v>
      </c>
    </row>
    <row r="34" spans="2:8" ht="14" x14ac:dyDescent="0.3">
      <c r="B34" s="4" t="s">
        <v>120</v>
      </c>
      <c r="D34" s="30">
        <v>170</v>
      </c>
      <c r="E34" s="30">
        <v>170</v>
      </c>
      <c r="F34" s="30">
        <v>170</v>
      </c>
      <c r="G34" s="30">
        <v>170</v>
      </c>
      <c r="H34" s="30">
        <v>170</v>
      </c>
    </row>
    <row r="35" spans="2:8" ht="14" x14ac:dyDescent="0.3">
      <c r="B35" s="4" t="s">
        <v>121</v>
      </c>
      <c r="D35" s="30">
        <v>180</v>
      </c>
      <c r="E35" s="30">
        <v>182</v>
      </c>
      <c r="F35" s="30">
        <v>185</v>
      </c>
      <c r="G35" s="30">
        <v>185</v>
      </c>
      <c r="H35" s="30">
        <v>185</v>
      </c>
    </row>
    <row r="36" spans="2:8" ht="14" x14ac:dyDescent="0.3">
      <c r="B36" s="4" t="s">
        <v>122</v>
      </c>
      <c r="D36" s="30">
        <v>200</v>
      </c>
      <c r="E36" s="30">
        <v>205</v>
      </c>
      <c r="F36" s="30">
        <v>200</v>
      </c>
      <c r="G36" s="30">
        <v>195</v>
      </c>
      <c r="H36" s="30">
        <v>190</v>
      </c>
    </row>
    <row r="38" spans="2:8" ht="14" x14ac:dyDescent="0.3">
      <c r="B38" s="3" t="s">
        <v>193</v>
      </c>
    </row>
    <row r="39" spans="2:8" ht="14" x14ac:dyDescent="0.3">
      <c r="B39" s="4" t="s">
        <v>82</v>
      </c>
      <c r="D39" s="30">
        <v>41</v>
      </c>
      <c r="E39" s="30">
        <v>41</v>
      </c>
      <c r="F39" s="30">
        <v>41</v>
      </c>
      <c r="G39" s="30">
        <v>41</v>
      </c>
      <c r="H39" s="30">
        <v>41</v>
      </c>
    </row>
    <row r="40" spans="2:8" ht="14" x14ac:dyDescent="0.3">
      <c r="B40" s="4" t="s">
        <v>119</v>
      </c>
      <c r="D40" s="30">
        <v>43</v>
      </c>
      <c r="E40" s="30">
        <v>43</v>
      </c>
      <c r="F40" s="30">
        <v>43</v>
      </c>
      <c r="G40" s="30">
        <v>43</v>
      </c>
      <c r="H40" s="30">
        <v>43</v>
      </c>
    </row>
    <row r="41" spans="2:8" ht="14" x14ac:dyDescent="0.3">
      <c r="B41" s="4" t="s">
        <v>120</v>
      </c>
      <c r="D41" s="30">
        <v>41</v>
      </c>
      <c r="E41" s="30">
        <v>41</v>
      </c>
      <c r="F41" s="30">
        <v>41</v>
      </c>
      <c r="G41" s="30">
        <v>41</v>
      </c>
      <c r="H41" s="30">
        <v>41</v>
      </c>
    </row>
    <row r="42" spans="2:8" ht="14" x14ac:dyDescent="0.3">
      <c r="B42" s="4" t="s">
        <v>121</v>
      </c>
      <c r="D42" s="30">
        <v>39</v>
      </c>
      <c r="E42" s="30">
        <v>39</v>
      </c>
      <c r="F42" s="30">
        <v>39</v>
      </c>
      <c r="G42" s="30">
        <v>39</v>
      </c>
      <c r="H42" s="30">
        <v>39</v>
      </c>
    </row>
    <row r="43" spans="2:8" ht="14" x14ac:dyDescent="0.3">
      <c r="B43" s="4" t="s">
        <v>122</v>
      </c>
      <c r="D43" s="30">
        <v>36</v>
      </c>
      <c r="E43" s="30">
        <v>36</v>
      </c>
      <c r="F43" s="30">
        <v>36</v>
      </c>
      <c r="G43" s="30">
        <v>36</v>
      </c>
      <c r="H43" s="30">
        <v>36</v>
      </c>
    </row>
  </sheetData>
  <phoneticPr fontId="8"/>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6600"/>
  </sheetPr>
  <dimension ref="B2:Q28"/>
  <sheetViews>
    <sheetView workbookViewId="0"/>
  </sheetViews>
  <sheetFormatPr defaultRowHeight="13" x14ac:dyDescent="0.2"/>
  <cols>
    <col min="1" max="1" width="3" customWidth="1"/>
    <col min="2" max="2" width="16" customWidth="1"/>
    <col min="3" max="3" width="10" customWidth="1"/>
    <col min="4" max="16" width="12" customWidth="1"/>
    <col min="17" max="17" width="26" customWidth="1"/>
  </cols>
  <sheetData>
    <row r="2" spans="2:17" ht="18" x14ac:dyDescent="0.4">
      <c r="B2" s="2" t="s">
        <v>194</v>
      </c>
    </row>
    <row r="3" spans="2:17" ht="14" x14ac:dyDescent="0.3">
      <c r="B3" s="1" t="s">
        <v>195</v>
      </c>
    </row>
    <row r="4" spans="2:17" ht="28" x14ac:dyDescent="0.3">
      <c r="B4" s="10" t="s">
        <v>3</v>
      </c>
      <c r="C4" s="10" t="s">
        <v>5</v>
      </c>
      <c r="D4" s="10" t="s">
        <v>196</v>
      </c>
      <c r="E4" s="10" t="s">
        <v>197</v>
      </c>
      <c r="F4" s="10" t="s">
        <v>198</v>
      </c>
      <c r="G4" s="10" t="s">
        <v>199</v>
      </c>
      <c r="H4" s="10" t="s">
        <v>200</v>
      </c>
      <c r="I4" s="10" t="s">
        <v>201</v>
      </c>
      <c r="J4" s="10" t="s">
        <v>202</v>
      </c>
      <c r="K4" s="10" t="s">
        <v>203</v>
      </c>
      <c r="L4" s="10" t="s">
        <v>204</v>
      </c>
      <c r="M4" s="10" t="s">
        <v>205</v>
      </c>
      <c r="N4" s="10" t="s">
        <v>206</v>
      </c>
      <c r="O4" s="10" t="s">
        <v>207</v>
      </c>
      <c r="P4" s="10" t="s">
        <v>208</v>
      </c>
      <c r="Q4" s="10" t="s">
        <v>209</v>
      </c>
    </row>
    <row r="5" spans="2:17" ht="14" x14ac:dyDescent="0.3">
      <c r="B5" s="4" t="s">
        <v>210</v>
      </c>
      <c r="C5" t="s">
        <v>211</v>
      </c>
      <c r="D5" s="37">
        <f>'Executive Summary'!C9*C23/1000000</f>
        <v>10501964.417846</v>
      </c>
      <c r="E5" s="37">
        <f>D5+C24</f>
        <v>9085199.4178459998</v>
      </c>
      <c r="F5" s="37">
        <v>2573969</v>
      </c>
      <c r="G5" s="37">
        <v>878178</v>
      </c>
      <c r="H5" s="37">
        <v>635205</v>
      </c>
      <c r="I5" s="37">
        <v>474459</v>
      </c>
      <c r="J5" s="38">
        <f t="shared" ref="J5:J10" si="0">IFERROR(E5/G5,"")</f>
        <v>10.345510156079975</v>
      </c>
      <c r="K5" s="38">
        <f t="shared" ref="K5:K10" si="1">IFERROR(E5/F5,"")</f>
        <v>3.5296460127709386</v>
      </c>
      <c r="L5" s="38">
        <f t="shared" ref="L5:L10" si="2">IFERROR(D5/I5,"")</f>
        <v>22.134608929003349</v>
      </c>
      <c r="M5" s="38">
        <f t="shared" ref="M5:M10" si="3">IFERROR(D5/P5,"")</f>
        <v>2.3523650550184705</v>
      </c>
      <c r="N5" s="39">
        <f t="shared" ref="N5:N10" si="4">IFERROR(H5/F5,"")</f>
        <v>0.24678036137964365</v>
      </c>
      <c r="O5" s="39">
        <f t="shared" ref="O5:O10" si="5">IFERROR(I5/P5,"")</f>
        <v>0.10627542878953362</v>
      </c>
      <c r="P5" s="37">
        <v>4464428</v>
      </c>
    </row>
    <row r="6" spans="2:17" ht="14" x14ac:dyDescent="0.3">
      <c r="B6" s="4" t="s">
        <v>212</v>
      </c>
      <c r="C6" t="s">
        <v>213</v>
      </c>
      <c r="D6" s="37">
        <v>2160016</v>
      </c>
      <c r="E6" s="37">
        <v>2794214</v>
      </c>
      <c r="F6" s="37">
        <v>3074505</v>
      </c>
      <c r="G6" s="37">
        <v>427544</v>
      </c>
      <c r="H6" s="37">
        <v>231200</v>
      </c>
      <c r="I6" s="37">
        <v>158794</v>
      </c>
      <c r="J6" s="38">
        <f t="shared" si="0"/>
        <v>6.5355004397208241</v>
      </c>
      <c r="K6" s="38">
        <f t="shared" si="1"/>
        <v>0.90883377974665835</v>
      </c>
      <c r="L6" s="38">
        <f t="shared" si="2"/>
        <v>13.602629822285477</v>
      </c>
      <c r="M6" s="38">
        <f t="shared" si="3"/>
        <v>1.0342630619035376</v>
      </c>
      <c r="N6" s="39">
        <f t="shared" si="4"/>
        <v>7.5199097090425937E-2</v>
      </c>
      <c r="O6" s="39">
        <f t="shared" si="5"/>
        <v>7.6034051901425884E-2</v>
      </c>
      <c r="P6" s="37">
        <v>2088459</v>
      </c>
    </row>
    <row r="7" spans="2:17" ht="14" x14ac:dyDescent="0.3">
      <c r="B7" s="4" t="s">
        <v>214</v>
      </c>
      <c r="C7" t="s">
        <v>215</v>
      </c>
      <c r="D7" s="37">
        <v>1681376</v>
      </c>
      <c r="E7" s="37">
        <v>3044793</v>
      </c>
      <c r="F7" s="37">
        <v>3703988</v>
      </c>
      <c r="G7" s="37">
        <v>303490</v>
      </c>
      <c r="H7" s="37">
        <v>32333</v>
      </c>
      <c r="I7" s="37">
        <v>11829</v>
      </c>
      <c r="J7" s="38">
        <f t="shared" si="0"/>
        <v>10.032597449668852</v>
      </c>
      <c r="K7" s="38">
        <f t="shared" si="1"/>
        <v>0.8220310108996034</v>
      </c>
      <c r="L7" s="38">
        <f t="shared" si="2"/>
        <v>142.14016400371966</v>
      </c>
      <c r="M7" s="38">
        <f t="shared" si="3"/>
        <v>0.95441894787631087</v>
      </c>
      <c r="N7" s="39">
        <f t="shared" si="4"/>
        <v>8.7292399435419336E-3</v>
      </c>
      <c r="O7" s="39">
        <f t="shared" si="5"/>
        <v>6.7146323811145643E-3</v>
      </c>
      <c r="P7" s="37">
        <v>1761675</v>
      </c>
    </row>
    <row r="8" spans="2:17" ht="14" x14ac:dyDescent="0.3">
      <c r="B8" s="4" t="s">
        <v>216</v>
      </c>
      <c r="C8" t="s">
        <v>217</v>
      </c>
      <c r="D8" s="37">
        <v>804059</v>
      </c>
      <c r="E8" s="37">
        <v>1361137</v>
      </c>
      <c r="F8" s="37">
        <v>1668754</v>
      </c>
      <c r="G8" s="37">
        <v>156370</v>
      </c>
      <c r="H8" s="37">
        <v>56602</v>
      </c>
      <c r="I8" s="37">
        <v>34378</v>
      </c>
      <c r="J8" s="38">
        <f t="shared" si="0"/>
        <v>8.7045916735946793</v>
      </c>
      <c r="K8" s="38">
        <f t="shared" si="1"/>
        <v>0.81566066658117375</v>
      </c>
      <c r="L8" s="38">
        <f t="shared" si="2"/>
        <v>23.388766071324685</v>
      </c>
      <c r="M8" s="38">
        <f t="shared" si="3"/>
        <v>0.92984144128725021</v>
      </c>
      <c r="N8" s="39">
        <f t="shared" si="4"/>
        <v>3.3918720194828E-2</v>
      </c>
      <c r="O8" s="39">
        <f t="shared" si="5"/>
        <v>3.9755899838908697E-2</v>
      </c>
      <c r="P8" s="37">
        <v>864727</v>
      </c>
    </row>
    <row r="9" spans="2:17" ht="14" x14ac:dyDescent="0.3">
      <c r="B9" s="4" t="s">
        <v>218</v>
      </c>
      <c r="C9" t="s">
        <v>219</v>
      </c>
      <c r="D9" s="37">
        <v>2368140</v>
      </c>
      <c r="E9" s="37">
        <v>3084852</v>
      </c>
      <c r="F9" s="37">
        <v>1359611</v>
      </c>
      <c r="G9" s="37">
        <v>320233</v>
      </c>
      <c r="H9" s="37">
        <v>193329</v>
      </c>
      <c r="I9" s="37">
        <v>123891</v>
      </c>
      <c r="J9" s="38">
        <f t="shared" si="0"/>
        <v>9.6331483638475728</v>
      </c>
      <c r="K9" s="38">
        <f t="shared" si="1"/>
        <v>2.2689225079820625</v>
      </c>
      <c r="L9" s="38">
        <f t="shared" si="2"/>
        <v>19.11470566869264</v>
      </c>
      <c r="M9" s="38">
        <f t="shared" si="3"/>
        <v>1.9453126732749719</v>
      </c>
      <c r="N9" s="39">
        <f t="shared" si="4"/>
        <v>0.14219434823637056</v>
      </c>
      <c r="O9" s="39">
        <f t="shared" si="5"/>
        <v>0.10177047488945314</v>
      </c>
      <c r="P9" s="37">
        <v>1217357</v>
      </c>
    </row>
    <row r="10" spans="2:17" ht="14" x14ac:dyDescent="0.3">
      <c r="B10" s="4" t="s">
        <v>220</v>
      </c>
      <c r="C10" t="s">
        <v>221</v>
      </c>
      <c r="D10" s="37">
        <v>3962306</v>
      </c>
      <c r="E10" s="37">
        <v>4818766</v>
      </c>
      <c r="F10" s="37">
        <v>3356969</v>
      </c>
      <c r="G10" s="37">
        <v>522581</v>
      </c>
      <c r="H10" s="37">
        <v>350210</v>
      </c>
      <c r="I10" s="37">
        <v>276415</v>
      </c>
      <c r="J10" s="38">
        <f t="shared" si="0"/>
        <v>9.2210891708653779</v>
      </c>
      <c r="K10" s="38">
        <f t="shared" si="1"/>
        <v>1.4354514444428887</v>
      </c>
      <c r="L10" s="38">
        <f t="shared" si="2"/>
        <v>14.334627281442758</v>
      </c>
      <c r="M10" s="38">
        <f t="shared" si="3"/>
        <v>1.0319714549882149</v>
      </c>
      <c r="N10" s="39">
        <f t="shared" si="4"/>
        <v>0.10432327495428168</v>
      </c>
      <c r="O10" s="39">
        <f t="shared" si="5"/>
        <v>7.1991509421677022E-2</v>
      </c>
      <c r="P10" s="37">
        <v>3839550</v>
      </c>
    </row>
    <row r="14" spans="2:17" ht="14" x14ac:dyDescent="0.3">
      <c r="B14" s="3" t="s">
        <v>222</v>
      </c>
    </row>
    <row r="15" spans="2:17" ht="14" x14ac:dyDescent="0.3">
      <c r="B15" s="4" t="s">
        <v>223</v>
      </c>
      <c r="D15" s="38">
        <f t="shared" ref="D15:I15" si="6">PERCENTILE(J6:J10,0.25)</f>
        <v>8.7045916735946793</v>
      </c>
      <c r="E15" s="38">
        <f t="shared" si="6"/>
        <v>0.8220310108996034</v>
      </c>
      <c r="F15" s="38">
        <f t="shared" si="6"/>
        <v>14.334627281442758</v>
      </c>
      <c r="G15" s="38">
        <f t="shared" si="6"/>
        <v>0.95441894787631087</v>
      </c>
      <c r="H15" s="39">
        <f t="shared" si="6"/>
        <v>3.3918720194828E-2</v>
      </c>
      <c r="I15" s="39">
        <f t="shared" si="6"/>
        <v>3.9755899838908697E-2</v>
      </c>
    </row>
    <row r="16" spans="2:17" ht="14" x14ac:dyDescent="0.3">
      <c r="B16" s="4" t="s">
        <v>224</v>
      </c>
      <c r="D16" s="38">
        <f t="shared" ref="D16:I16" si="7">MEDIAN(J6:J10)</f>
        <v>9.2210891708653779</v>
      </c>
      <c r="E16" s="38">
        <f t="shared" si="7"/>
        <v>0.90883377974665835</v>
      </c>
      <c r="F16" s="38">
        <f t="shared" si="7"/>
        <v>19.11470566869264</v>
      </c>
      <c r="G16" s="38">
        <f t="shared" si="7"/>
        <v>1.0319714549882149</v>
      </c>
      <c r="H16" s="39">
        <f t="shared" si="7"/>
        <v>7.5199097090425937E-2</v>
      </c>
      <c r="I16" s="39">
        <f t="shared" si="7"/>
        <v>7.1991509421677022E-2</v>
      </c>
    </row>
    <row r="17" spans="2:9" ht="14" x14ac:dyDescent="0.3">
      <c r="B17" s="4" t="s">
        <v>225</v>
      </c>
      <c r="D17" s="38">
        <f t="shared" ref="D17:I17" si="8">PERCENTILE(J6:J10,0.75)</f>
        <v>9.6331483638475728</v>
      </c>
      <c r="E17" s="38">
        <f t="shared" si="8"/>
        <v>1.4354514444428887</v>
      </c>
      <c r="F17" s="38">
        <f t="shared" si="8"/>
        <v>23.388766071324685</v>
      </c>
      <c r="G17" s="38">
        <f t="shared" si="8"/>
        <v>1.0342630619035376</v>
      </c>
      <c r="H17" s="39">
        <f t="shared" si="8"/>
        <v>0.10432327495428168</v>
      </c>
      <c r="I17" s="39">
        <f t="shared" si="8"/>
        <v>7.6034051901425884E-2</v>
      </c>
    </row>
    <row r="19" spans="2:9" ht="14" x14ac:dyDescent="0.3">
      <c r="B19" s="22" t="s">
        <v>226</v>
      </c>
      <c r="C19" s="23"/>
      <c r="D19" s="23"/>
      <c r="E19" s="23"/>
      <c r="F19" s="23"/>
      <c r="G19" s="23"/>
      <c r="H19" s="23"/>
      <c r="I19" s="23"/>
    </row>
    <row r="20" spans="2:9" ht="14" x14ac:dyDescent="0.3">
      <c r="B20" s="3" t="s">
        <v>227</v>
      </c>
    </row>
    <row r="21" spans="2:9" ht="14" x14ac:dyDescent="0.3">
      <c r="B21" s="4" t="s">
        <v>228</v>
      </c>
      <c r="C21" s="5">
        <v>878177</v>
      </c>
    </row>
    <row r="22" spans="2:9" ht="14" x14ac:dyDescent="0.3">
      <c r="B22" s="4" t="s">
        <v>229</v>
      </c>
      <c r="C22" s="5">
        <v>474459</v>
      </c>
    </row>
    <row r="23" spans="2:9" ht="14" x14ac:dyDescent="0.3">
      <c r="B23" s="4" t="s">
        <v>230</v>
      </c>
      <c r="C23" s="15">
        <v>1815064711</v>
      </c>
    </row>
    <row r="24" spans="2:9" ht="14" x14ac:dyDescent="0.3">
      <c r="B24" s="4" t="s">
        <v>71</v>
      </c>
      <c r="C24" s="5">
        <v>-1416765</v>
      </c>
    </row>
    <row r="26" spans="2:9" ht="14" x14ac:dyDescent="0.3">
      <c r="B26" s="3" t="s">
        <v>231</v>
      </c>
    </row>
    <row r="27" spans="2:9" ht="14" x14ac:dyDescent="0.3">
      <c r="B27" s="4" t="s">
        <v>232</v>
      </c>
      <c r="C27" s="24">
        <f>ROUND((C21*D16-C24)*1000000/C23,0)</f>
        <v>5242</v>
      </c>
    </row>
    <row r="28" spans="2:9" ht="14" x14ac:dyDescent="0.3">
      <c r="B28" s="4" t="s">
        <v>233</v>
      </c>
      <c r="C28" s="24">
        <f>ROUND(C22*F16*1000000/C23,0)</f>
        <v>4997</v>
      </c>
    </row>
  </sheetData>
  <phoneticPr fontId="8"/>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96600"/>
  </sheetPr>
  <dimension ref="B2:I26"/>
  <sheetViews>
    <sheetView workbookViewId="0"/>
  </sheetViews>
  <sheetFormatPr defaultRowHeight="13" x14ac:dyDescent="0.2"/>
  <cols>
    <col min="1" max="1" width="3" customWidth="1"/>
    <col min="2" max="2" width="24" customWidth="1"/>
    <col min="3" max="9" width="14" customWidth="1"/>
  </cols>
  <sheetData>
    <row r="2" spans="2:9" ht="18" x14ac:dyDescent="0.4">
      <c r="B2" s="2" t="s">
        <v>234</v>
      </c>
    </row>
    <row r="3" spans="2:9" ht="14" x14ac:dyDescent="0.3">
      <c r="B3" s="4" t="s">
        <v>235</v>
      </c>
      <c r="C3" s="16">
        <f>'DCF Model'!C26</f>
        <v>0.106598</v>
      </c>
      <c r="E3" s="4" t="s">
        <v>236</v>
      </c>
      <c r="F3" s="16">
        <f>'DCF Model'!C13</f>
        <v>0.01</v>
      </c>
      <c r="H3" s="4" t="s">
        <v>237</v>
      </c>
      <c r="I3" s="14">
        <f>'DCF Model'!C14</f>
        <v>9.1999999999999993</v>
      </c>
    </row>
    <row r="5" spans="2:9" ht="14" x14ac:dyDescent="0.3">
      <c r="B5" s="3" t="s">
        <v>238</v>
      </c>
    </row>
    <row r="6" spans="2:9" ht="14" x14ac:dyDescent="0.3">
      <c r="B6" s="40" t="s">
        <v>239</v>
      </c>
      <c r="C6" s="41">
        <f>$F$3-0.0075</f>
        <v>2.5000000000000005E-3</v>
      </c>
      <c r="D6" s="41">
        <f>$F$3-0.005</f>
        <v>5.0000000000000001E-3</v>
      </c>
      <c r="E6" s="41">
        <f>$F$3-0.0025</f>
        <v>7.4999999999999997E-3</v>
      </c>
      <c r="F6" s="41">
        <f>$F$3</f>
        <v>0.01</v>
      </c>
      <c r="G6" s="41">
        <f>$F$3+0.0025</f>
        <v>1.2500000000000001E-2</v>
      </c>
      <c r="H6" s="41">
        <f>$F$3+0.005</f>
        <v>1.4999999999999999E-2</v>
      </c>
      <c r="I6" s="41">
        <f>$F$3+0.0075</f>
        <v>1.7500000000000002E-2</v>
      </c>
    </row>
    <row r="7" spans="2:9" ht="13.5" x14ac:dyDescent="0.25">
      <c r="B7" s="39">
        <f>$C$3-0.015</f>
        <v>9.1597999999999999E-2</v>
      </c>
      <c r="C7" s="37">
        <f>IFERROR(ROUND(('DCF Model'!C45/(1+$B7)^('DCF Model'!C19+0)+'DCF Model'!D45/(1+$B7)^('DCF Model'!C19+1)+'DCF Model'!E45/(1+$B7)^('DCF Model'!C19+2)+'DCF Model'!F45/(1+$B7)^('DCF Model'!C19+3)+'DCF Model'!G45/(1+$B7)^('DCF Model'!C19+4)+'DCF Model'!G45*(1+C$6)/($B7-C$6)/(1+$B7)^('DCF Model'!C19+4)-'DCF Model'!C16)*1000000/'DCF Model'!C15,0),"")</f>
        <v>3745</v>
      </c>
      <c r="D7" s="37">
        <f>IFERROR(ROUND(('DCF Model'!C45/(1+$B7)^('DCF Model'!C19+0)+'DCF Model'!D45/(1+$B7)^('DCF Model'!C19+1)+'DCF Model'!E45/(1+$B7)^('DCF Model'!C19+2)+'DCF Model'!F45/(1+$B7)^('DCF Model'!C19+3)+'DCF Model'!G45/(1+$B7)^('DCF Model'!C19+4)+'DCF Model'!G45*(1+D$6)/($B7-D$6)/(1+$B7)^('DCF Model'!C19+4)-'DCF Model'!C16)*1000000/'DCF Model'!C15,0),"")</f>
        <v>3814</v>
      </c>
      <c r="E7" s="37">
        <f>IFERROR(ROUND(('DCF Model'!C45/(1+$B7)^('DCF Model'!C19+0)+'DCF Model'!D45/(1+$B7)^('DCF Model'!C19+1)+'DCF Model'!E45/(1+$B7)^('DCF Model'!C19+2)+'DCF Model'!F45/(1+$B7)^('DCF Model'!C19+3)+'DCF Model'!G45/(1+$B7)^('DCF Model'!C19+4)+'DCF Model'!G45*(1+E$6)/($B7-E$6)/(1+$B7)^('DCF Model'!C19+4)-'DCF Model'!C16)*1000000/'DCF Model'!C15,0),"")</f>
        <v>3888</v>
      </c>
      <c r="F7" s="37">
        <f>IFERROR(ROUND(('DCF Model'!C45/(1+$B7)^('DCF Model'!C19+0)+'DCF Model'!D45/(1+$B7)^('DCF Model'!C19+1)+'DCF Model'!E45/(1+$B7)^('DCF Model'!C19+2)+'DCF Model'!F45/(1+$B7)^('DCF Model'!C19+3)+'DCF Model'!G45/(1+$B7)^('DCF Model'!C19+4)+'DCF Model'!G45*(1+F$6)/($B7-F$6)/(1+$B7)^('DCF Model'!C19+4)-'DCF Model'!C16)*1000000/'DCF Model'!C15,0),"")</f>
        <v>3966</v>
      </c>
      <c r="G7" s="37">
        <f>IFERROR(ROUND(('DCF Model'!C45/(1+$B7)^('DCF Model'!C19+0)+'DCF Model'!D45/(1+$B7)^('DCF Model'!C19+1)+'DCF Model'!E45/(1+$B7)^('DCF Model'!C19+2)+'DCF Model'!F45/(1+$B7)^('DCF Model'!C19+3)+'DCF Model'!G45/(1+$B7)^('DCF Model'!C19+4)+'DCF Model'!G45*(1+G$6)/($B7-G$6)/(1+$B7)^('DCF Model'!C19+4)-'DCF Model'!C16)*1000000/'DCF Model'!C15,0),"")</f>
        <v>4049</v>
      </c>
      <c r="H7" s="37">
        <f>IFERROR(ROUND(('DCF Model'!C45/(1+$B7)^('DCF Model'!C19+0)+'DCF Model'!D45/(1+$B7)^('DCF Model'!C19+1)+'DCF Model'!E45/(1+$B7)^('DCF Model'!C19+2)+'DCF Model'!F45/(1+$B7)^('DCF Model'!C19+3)+'DCF Model'!G45/(1+$B7)^('DCF Model'!C19+4)+'DCF Model'!G45*(1+H$6)/($B7-H$6)/(1+$B7)^('DCF Model'!C19+4)-'DCF Model'!C16)*1000000/'DCF Model'!C15,0),"")</f>
        <v>4138</v>
      </c>
      <c r="I7" s="37">
        <f>IFERROR(ROUND(('DCF Model'!C45/(1+$B7)^('DCF Model'!C19+0)+'DCF Model'!D45/(1+$B7)^('DCF Model'!C19+1)+'DCF Model'!E45/(1+$B7)^('DCF Model'!C19+2)+'DCF Model'!F45/(1+$B7)^('DCF Model'!C19+3)+'DCF Model'!G45/(1+$B7)^('DCF Model'!C19+4)+'DCF Model'!G45*(1+I$6)/($B7-I$6)/(1+$B7)^('DCF Model'!C19+4)-'DCF Model'!C16)*1000000/'DCF Model'!C15,0),"")</f>
        <v>4233</v>
      </c>
    </row>
    <row r="8" spans="2:9" ht="13.5" x14ac:dyDescent="0.25">
      <c r="B8" s="39">
        <f>$C$3-0.01</f>
        <v>9.6598000000000003E-2</v>
      </c>
      <c r="C8" s="37">
        <f>IFERROR(ROUND(('DCF Model'!C45/(1+$B8)^('DCF Model'!C19+0)+'DCF Model'!D45/(1+$B8)^('DCF Model'!C19+1)+'DCF Model'!E45/(1+$B8)^('DCF Model'!C19+2)+'DCF Model'!F45/(1+$B8)^('DCF Model'!C19+3)+'DCF Model'!G45/(1+$B8)^('DCF Model'!C19+4)+'DCF Model'!G45*(1+C$6)/($B8-C$6)/(1+$B8)^('DCF Model'!C19+4)-'DCF Model'!C16)*1000000/'DCF Model'!C15,0),"")</f>
        <v>3567</v>
      </c>
      <c r="D8" s="37">
        <f>IFERROR(ROUND(('DCF Model'!C45/(1+$B8)^('DCF Model'!C19+0)+'DCF Model'!D45/(1+$B8)^('DCF Model'!C19+1)+'DCF Model'!E45/(1+$B8)^('DCF Model'!C19+2)+'DCF Model'!F45/(1+$B8)^('DCF Model'!C19+3)+'DCF Model'!G45/(1+$B8)^('DCF Model'!C19+4)+'DCF Model'!G45*(1+D$6)/($B8-D$6)/(1+$B8)^('DCF Model'!C19+4)-'DCF Model'!C16)*1000000/'DCF Model'!C15,0),"")</f>
        <v>3628</v>
      </c>
      <c r="E8" s="37">
        <f>IFERROR(ROUND(('DCF Model'!C45/(1+$B8)^('DCF Model'!C19+0)+'DCF Model'!D45/(1+$B8)^('DCF Model'!C19+1)+'DCF Model'!E45/(1+$B8)^('DCF Model'!C19+2)+'DCF Model'!F45/(1+$B8)^('DCF Model'!C19+3)+'DCF Model'!G45/(1+$B8)^('DCF Model'!C19+4)+'DCF Model'!G45*(1+E$6)/($B8-E$6)/(1+$B8)^('DCF Model'!C19+4)-'DCF Model'!C16)*1000000/'DCF Model'!C15,0),"")</f>
        <v>3693</v>
      </c>
      <c r="F8" s="37">
        <f>IFERROR(ROUND(('DCF Model'!C45/(1+$B8)^('DCF Model'!C19+0)+'DCF Model'!D45/(1+$B8)^('DCF Model'!C19+1)+'DCF Model'!E45/(1+$B8)^('DCF Model'!C19+2)+'DCF Model'!F45/(1+$B8)^('DCF Model'!C19+3)+'DCF Model'!G45/(1+$B8)^('DCF Model'!C19+4)+'DCF Model'!G45*(1+F$6)/($B8-F$6)/(1+$B8)^('DCF Model'!C19+4)-'DCF Model'!C16)*1000000/'DCF Model'!C15,0),"")</f>
        <v>3761</v>
      </c>
      <c r="G8" s="37">
        <f>IFERROR(ROUND(('DCF Model'!C45/(1+$B8)^('DCF Model'!C19+0)+'DCF Model'!D45/(1+$B8)^('DCF Model'!C19+1)+'DCF Model'!E45/(1+$B8)^('DCF Model'!C19+2)+'DCF Model'!F45/(1+$B8)^('DCF Model'!C19+3)+'DCF Model'!G45/(1+$B8)^('DCF Model'!C19+4)+'DCF Model'!G45*(1+G$6)/($B8-G$6)/(1+$B8)^('DCF Model'!C19+4)-'DCF Model'!C16)*1000000/'DCF Model'!C15,0),"")</f>
        <v>3834</v>
      </c>
      <c r="H8" s="37">
        <f>IFERROR(ROUND(('DCF Model'!C45/(1+$B8)^('DCF Model'!C19+0)+'DCF Model'!D45/(1+$B8)^('DCF Model'!C19+1)+'DCF Model'!E45/(1+$B8)^('DCF Model'!C19+2)+'DCF Model'!F45/(1+$B8)^('DCF Model'!C19+3)+'DCF Model'!G45/(1+$B8)^('DCF Model'!C19+4)+'DCF Model'!G45*(1+H$6)/($B8-H$6)/(1+$B8)^('DCF Model'!C19+4)-'DCF Model'!C16)*1000000/'DCF Model'!C15,0),"")</f>
        <v>3911</v>
      </c>
      <c r="I8" s="37">
        <f>IFERROR(ROUND(('DCF Model'!C45/(1+$B8)^('DCF Model'!C19+0)+'DCF Model'!D45/(1+$B8)^('DCF Model'!C19+1)+'DCF Model'!E45/(1+$B8)^('DCF Model'!C19+2)+'DCF Model'!F45/(1+$B8)^('DCF Model'!C19+3)+'DCF Model'!G45/(1+$B8)^('DCF Model'!C19+4)+'DCF Model'!G45*(1+I$6)/($B8-I$6)/(1+$B8)^('DCF Model'!C19+4)-'DCF Model'!C16)*1000000/'DCF Model'!C15,0),"")</f>
        <v>3992</v>
      </c>
    </row>
    <row r="9" spans="2:9" ht="13.5" x14ac:dyDescent="0.25">
      <c r="B9" s="39">
        <f>$C$3-0.005</f>
        <v>0.10159799999999999</v>
      </c>
      <c r="C9" s="37">
        <f>IFERROR(ROUND(('DCF Model'!C45/(1+$B9)^('DCF Model'!C19+0)+'DCF Model'!D45/(1+$B9)^('DCF Model'!C19+1)+'DCF Model'!E45/(1+$B9)^('DCF Model'!C19+2)+'DCF Model'!F45/(1+$B9)^('DCF Model'!C19+3)+'DCF Model'!G45/(1+$B9)^('DCF Model'!C19+4)+'DCF Model'!G45*(1+C$6)/($B9-C$6)/(1+$B9)^('DCF Model'!C19+4)-'DCF Model'!C16)*1000000/'DCF Model'!C15,0),"")</f>
        <v>3408</v>
      </c>
      <c r="D9" s="37">
        <f>IFERROR(ROUND(('DCF Model'!C45/(1+$B9)^('DCF Model'!C19+0)+'DCF Model'!D45/(1+$B9)^('DCF Model'!C19+1)+'DCF Model'!E45/(1+$B9)^('DCF Model'!C19+2)+'DCF Model'!F45/(1+$B9)^('DCF Model'!C19+3)+'DCF Model'!G45/(1+$B9)^('DCF Model'!C19+4)+'DCF Model'!G45*(1+D$6)/($B9-D$6)/(1+$B9)^('DCF Model'!C19+4)-'DCF Model'!C16)*1000000/'DCF Model'!C15,0),"")</f>
        <v>3462</v>
      </c>
      <c r="E9" s="37">
        <f>IFERROR(ROUND(('DCF Model'!C45/(1+$B9)^('DCF Model'!C19+0)+'DCF Model'!D45/(1+$B9)^('DCF Model'!C19+1)+'DCF Model'!E45/(1+$B9)^('DCF Model'!C19+2)+'DCF Model'!F45/(1+$B9)^('DCF Model'!C19+3)+'DCF Model'!G45/(1+$B9)^('DCF Model'!C19+4)+'DCF Model'!G45*(1+E$6)/($B9-E$6)/(1+$B9)^('DCF Model'!C19+4)-'DCF Model'!C16)*1000000/'DCF Model'!C15,0),"")</f>
        <v>3519</v>
      </c>
      <c r="F9" s="37">
        <f>IFERROR(ROUND(('DCF Model'!C45/(1+$B9)^('DCF Model'!C19+0)+'DCF Model'!D45/(1+$B9)^('DCF Model'!C19+1)+'DCF Model'!E45/(1+$B9)^('DCF Model'!C19+2)+'DCF Model'!F45/(1+$B9)^('DCF Model'!C19+3)+'DCF Model'!G45/(1+$B9)^('DCF Model'!C19+4)+'DCF Model'!G45*(1+F$6)/($B9-F$6)/(1+$B9)^('DCF Model'!C19+4)-'DCF Model'!C16)*1000000/'DCF Model'!C15,0),"")</f>
        <v>3579</v>
      </c>
      <c r="G9" s="37">
        <f>IFERROR(ROUND(('DCF Model'!C45/(1+$B9)^('DCF Model'!C19+0)+'DCF Model'!D45/(1+$B9)^('DCF Model'!C19+1)+'DCF Model'!E45/(1+$B9)^('DCF Model'!C19+2)+'DCF Model'!F45/(1+$B9)^('DCF Model'!C19+3)+'DCF Model'!G45/(1+$B9)^('DCF Model'!C19+4)+'DCF Model'!G45*(1+G$6)/($B9-G$6)/(1+$B9)^('DCF Model'!C19+4)-'DCF Model'!C16)*1000000/'DCF Model'!C15,0),"")</f>
        <v>3642</v>
      </c>
      <c r="H9" s="37">
        <f>IFERROR(ROUND(('DCF Model'!C45/(1+$B9)^('DCF Model'!C19+0)+'DCF Model'!D45/(1+$B9)^('DCF Model'!C19+1)+'DCF Model'!E45/(1+$B9)^('DCF Model'!C19+2)+'DCF Model'!F45/(1+$B9)^('DCF Model'!C19+3)+'DCF Model'!G45/(1+$B9)^('DCF Model'!C19+4)+'DCF Model'!G45*(1+H$6)/($B9-H$6)/(1+$B9)^('DCF Model'!C19+4)-'DCF Model'!C16)*1000000/'DCF Model'!C15,0),"")</f>
        <v>3710</v>
      </c>
      <c r="I9" s="37">
        <f>IFERROR(ROUND(('DCF Model'!C45/(1+$B9)^('DCF Model'!C19+0)+'DCF Model'!D45/(1+$B9)^('DCF Model'!C19+1)+'DCF Model'!E45/(1+$B9)^('DCF Model'!C19+2)+'DCF Model'!F45/(1+$B9)^('DCF Model'!C19+3)+'DCF Model'!G45/(1+$B9)^('DCF Model'!C19+4)+'DCF Model'!G45*(1+I$6)/($B9-I$6)/(1+$B9)^('DCF Model'!C19+4)-'DCF Model'!C16)*1000000/'DCF Model'!C15,0),"")</f>
        <v>3781</v>
      </c>
    </row>
    <row r="10" spans="2:9" ht="13.5" x14ac:dyDescent="0.25">
      <c r="B10" s="39">
        <f>$C$3</f>
        <v>0.106598</v>
      </c>
      <c r="C10" s="37">
        <f>IFERROR(ROUND(('DCF Model'!C45/(1+$B10)^('DCF Model'!C19+0)+'DCF Model'!D45/(1+$B10)^('DCF Model'!C19+1)+'DCF Model'!E45/(1+$B10)^('DCF Model'!C19+2)+'DCF Model'!F45/(1+$B10)^('DCF Model'!C19+3)+'DCF Model'!G45/(1+$B10)^('DCF Model'!C19+4)+'DCF Model'!G45*(1+C$6)/($B10-C$6)/(1+$B10)^('DCF Model'!C19+4)-'DCF Model'!C16)*1000000/'DCF Model'!C15,0),"")</f>
        <v>3264</v>
      </c>
      <c r="D10" s="37">
        <f>IFERROR(ROUND(('DCF Model'!C45/(1+$B10)^('DCF Model'!C19+0)+'DCF Model'!D45/(1+$B10)^('DCF Model'!C19+1)+'DCF Model'!E45/(1+$B10)^('DCF Model'!C19+2)+'DCF Model'!F45/(1+$B10)^('DCF Model'!C19+3)+'DCF Model'!G45/(1+$B10)^('DCF Model'!C19+4)+'DCF Model'!G45*(1+D$6)/($B10-D$6)/(1+$B10)^('DCF Model'!C19+4)-'DCF Model'!C16)*1000000/'DCF Model'!C15,0),"")</f>
        <v>3312</v>
      </c>
      <c r="E10" s="37">
        <f>IFERROR(ROUND(('DCF Model'!C45/(1+$B10)^('DCF Model'!C19+0)+'DCF Model'!D45/(1+$B10)^('DCF Model'!C19+1)+'DCF Model'!E45/(1+$B10)^('DCF Model'!C19+2)+'DCF Model'!F45/(1+$B10)^('DCF Model'!C19+3)+'DCF Model'!G45/(1+$B10)^('DCF Model'!C19+4)+'DCF Model'!G45*(1+E$6)/($B10-E$6)/(1+$B10)^('DCF Model'!C19+4)-'DCF Model'!C16)*1000000/'DCF Model'!C15,0),"")</f>
        <v>3362</v>
      </c>
      <c r="F10" s="37">
        <f>IFERROR(ROUND(('DCF Model'!C45/(1+$B10)^('DCF Model'!C19+0)+'DCF Model'!D45/(1+$B10)^('DCF Model'!C19+1)+'DCF Model'!E45/(1+$B10)^('DCF Model'!C19+2)+'DCF Model'!F45/(1+$B10)^('DCF Model'!C19+3)+'DCF Model'!G45/(1+$B10)^('DCF Model'!C19+4)+'DCF Model'!G45*(1+F$6)/($B10-F$6)/(1+$B10)^('DCF Model'!C19+4)-'DCF Model'!C16)*1000000/'DCF Model'!C15,0),"")</f>
        <v>3416</v>
      </c>
      <c r="G10" s="37">
        <f>IFERROR(ROUND(('DCF Model'!C45/(1+$B10)^('DCF Model'!C19+0)+'DCF Model'!D45/(1+$B10)^('DCF Model'!C19+1)+'DCF Model'!E45/(1+$B10)^('DCF Model'!C19+2)+'DCF Model'!F45/(1+$B10)^('DCF Model'!C19+3)+'DCF Model'!G45/(1+$B10)^('DCF Model'!C19+4)+'DCF Model'!G45*(1+G$6)/($B10-G$6)/(1+$B10)^('DCF Model'!C19+4)-'DCF Model'!C16)*1000000/'DCF Model'!C15,0),"")</f>
        <v>3472</v>
      </c>
      <c r="H10" s="37">
        <f>IFERROR(ROUND(('DCF Model'!C45/(1+$B10)^('DCF Model'!C19+0)+'DCF Model'!D45/(1+$B10)^('DCF Model'!C19+1)+'DCF Model'!E45/(1+$B10)^('DCF Model'!C19+2)+'DCF Model'!F45/(1+$B10)^('DCF Model'!C19+3)+'DCF Model'!G45/(1+$B10)^('DCF Model'!C19+4)+'DCF Model'!G45*(1+H$6)/($B10-H$6)/(1+$B10)^('DCF Model'!C19+4)-'DCF Model'!C16)*1000000/'DCF Model'!C15,0),"")</f>
        <v>3531</v>
      </c>
      <c r="I10" s="37">
        <f>IFERROR(ROUND(('DCF Model'!C45/(1+$B10)^('DCF Model'!C19+0)+'DCF Model'!D45/(1+$B10)^('DCF Model'!C19+1)+'DCF Model'!E45/(1+$B10)^('DCF Model'!C19+2)+'DCF Model'!F45/(1+$B10)^('DCF Model'!C19+3)+'DCF Model'!G45/(1+$B10)^('DCF Model'!C19+4)+'DCF Model'!G45*(1+I$6)/($B10-I$6)/(1+$B10)^('DCF Model'!C19+4)-'DCF Model'!C16)*1000000/'DCF Model'!C15,0),"")</f>
        <v>3593</v>
      </c>
    </row>
    <row r="11" spans="2:9" ht="13.5" x14ac:dyDescent="0.25">
      <c r="B11" s="39">
        <f>$C$3+0.005</f>
        <v>0.111598</v>
      </c>
      <c r="C11" s="37">
        <f>IFERROR(ROUND(('DCF Model'!C45/(1+$B11)^('DCF Model'!C19+0)+'DCF Model'!D45/(1+$B11)^('DCF Model'!C19+1)+'DCF Model'!E45/(1+$B11)^('DCF Model'!C19+2)+'DCF Model'!F45/(1+$B11)^('DCF Model'!C19+3)+'DCF Model'!G45/(1+$B11)^('DCF Model'!C19+4)+'DCF Model'!G45*(1+C$6)/($B11-C$6)/(1+$B11)^('DCF Model'!C19+4)-'DCF Model'!C16)*1000000/'DCF Model'!C15,0),"")</f>
        <v>3133</v>
      </c>
      <c r="D11" s="37">
        <f>IFERROR(ROUND(('DCF Model'!C45/(1+$B11)^('DCF Model'!C19+0)+'DCF Model'!D45/(1+$B11)^('DCF Model'!C19+1)+'DCF Model'!E45/(1+$B11)^('DCF Model'!C19+2)+'DCF Model'!F45/(1+$B11)^('DCF Model'!C19+3)+'DCF Model'!G45/(1+$B11)^('DCF Model'!C19+4)+'DCF Model'!G45*(1+D$6)/($B11-D$6)/(1+$B11)^('DCF Model'!C19+4)-'DCF Model'!C16)*1000000/'DCF Model'!C15,0),"")</f>
        <v>3176</v>
      </c>
      <c r="E11" s="37">
        <f>IFERROR(ROUND(('DCF Model'!C45/(1+$B11)^('DCF Model'!C19+0)+'DCF Model'!D45/(1+$B11)^('DCF Model'!C19+1)+'DCF Model'!E45/(1+$B11)^('DCF Model'!C19+2)+'DCF Model'!F45/(1+$B11)^('DCF Model'!C19+3)+'DCF Model'!G45/(1+$B11)^('DCF Model'!C19+4)+'DCF Model'!G45*(1+E$6)/($B11-E$6)/(1+$B11)^('DCF Model'!C19+4)-'DCF Model'!C16)*1000000/'DCF Model'!C15,0),"")</f>
        <v>3221</v>
      </c>
      <c r="F11" s="37">
        <f>IFERROR(ROUND(('DCF Model'!C45/(1+$B11)^('DCF Model'!C19+0)+'DCF Model'!D45/(1+$B11)^('DCF Model'!C19+1)+'DCF Model'!E45/(1+$B11)^('DCF Model'!C19+2)+'DCF Model'!F45/(1+$B11)^('DCF Model'!C19+3)+'DCF Model'!G45/(1+$B11)^('DCF Model'!C19+4)+'DCF Model'!G45*(1+F$6)/($B11-F$6)/(1+$B11)^('DCF Model'!C19+4)-'DCF Model'!C16)*1000000/'DCF Model'!C15,0),"")</f>
        <v>3269</v>
      </c>
      <c r="G11" s="37">
        <f>IFERROR(ROUND(('DCF Model'!C45/(1+$B11)^('DCF Model'!C19+0)+'DCF Model'!D45/(1+$B11)^('DCF Model'!C19+1)+'DCF Model'!E45/(1+$B11)^('DCF Model'!C19+2)+'DCF Model'!F45/(1+$B11)^('DCF Model'!C19+3)+'DCF Model'!G45/(1+$B11)^('DCF Model'!C19+4)+'DCF Model'!G45*(1+G$6)/($B11-G$6)/(1+$B11)^('DCF Model'!C19+4)-'DCF Model'!C16)*1000000/'DCF Model'!C15,0),"")</f>
        <v>3318</v>
      </c>
      <c r="H11" s="37">
        <f>IFERROR(ROUND(('DCF Model'!C45/(1+$B11)^('DCF Model'!C19+0)+'DCF Model'!D45/(1+$B11)^('DCF Model'!C19+1)+'DCF Model'!E45/(1+$B11)^('DCF Model'!C19+2)+'DCF Model'!F45/(1+$B11)^('DCF Model'!C19+3)+'DCF Model'!G45/(1+$B11)^('DCF Model'!C19+4)+'DCF Model'!G45*(1+H$6)/($B11-H$6)/(1+$B11)^('DCF Model'!C19+4)-'DCF Model'!C16)*1000000/'DCF Model'!C15,0),"")</f>
        <v>3370</v>
      </c>
      <c r="I11" s="37">
        <f>IFERROR(ROUND(('DCF Model'!C45/(1+$B11)^('DCF Model'!C19+0)+'DCF Model'!D45/(1+$B11)^('DCF Model'!C19+1)+'DCF Model'!E45/(1+$B11)^('DCF Model'!C19+2)+'DCF Model'!F45/(1+$B11)^('DCF Model'!C19+3)+'DCF Model'!G45/(1+$B11)^('DCF Model'!C19+4)+'DCF Model'!G45*(1+I$6)/($B11-I$6)/(1+$B11)^('DCF Model'!C19+4)-'DCF Model'!C16)*1000000/'DCF Model'!C15,0),"")</f>
        <v>3425</v>
      </c>
    </row>
    <row r="12" spans="2:9" ht="13.5" x14ac:dyDescent="0.25">
      <c r="B12" s="39">
        <f>$C$3+0.01</f>
        <v>0.11659799999999999</v>
      </c>
      <c r="C12" s="37">
        <f>IFERROR(ROUND(('DCF Model'!C45/(1+$B12)^('DCF Model'!C19+0)+'DCF Model'!D45/(1+$B12)^('DCF Model'!C19+1)+'DCF Model'!E45/(1+$B12)^('DCF Model'!C19+2)+'DCF Model'!F45/(1+$B12)^('DCF Model'!C19+3)+'DCF Model'!G45/(1+$B12)^('DCF Model'!C19+4)+'DCF Model'!G45*(1+C$6)/($B12-C$6)/(1+$B12)^('DCF Model'!C19+4)-'DCF Model'!C16)*1000000/'DCF Model'!C15,0),"")</f>
        <v>3015</v>
      </c>
      <c r="D12" s="37">
        <f>IFERROR(ROUND(('DCF Model'!C45/(1+$B12)^('DCF Model'!C19+0)+'DCF Model'!D45/(1+$B12)^('DCF Model'!C19+1)+'DCF Model'!E45/(1+$B12)^('DCF Model'!C19+2)+'DCF Model'!F45/(1+$B12)^('DCF Model'!C19+3)+'DCF Model'!G45/(1+$B12)^('DCF Model'!C19+4)+'DCF Model'!G45*(1+D$6)/($B12-D$6)/(1+$B12)^('DCF Model'!C19+4)-'DCF Model'!C16)*1000000/'DCF Model'!C15,0),"")</f>
        <v>3053</v>
      </c>
      <c r="E12" s="37">
        <f>IFERROR(ROUND(('DCF Model'!C45/(1+$B12)^('DCF Model'!C19+0)+'DCF Model'!D45/(1+$B12)^('DCF Model'!C19+1)+'DCF Model'!E45/(1+$B12)^('DCF Model'!C19+2)+'DCF Model'!F45/(1+$B12)^('DCF Model'!C19+3)+'DCF Model'!G45/(1+$B12)^('DCF Model'!C19+4)+'DCF Model'!G45*(1+E$6)/($B12-E$6)/(1+$B12)^('DCF Model'!C19+4)-'DCF Model'!C16)*1000000/'DCF Model'!C15,0),"")</f>
        <v>3093</v>
      </c>
      <c r="F12" s="37">
        <f>IFERROR(ROUND(('DCF Model'!C45/(1+$B12)^('DCF Model'!C19+0)+'DCF Model'!D45/(1+$B12)^('DCF Model'!C19+1)+'DCF Model'!E45/(1+$B12)^('DCF Model'!C19+2)+'DCF Model'!F45/(1+$B12)^('DCF Model'!C19+3)+'DCF Model'!G45/(1+$B12)^('DCF Model'!C19+4)+'DCF Model'!G45*(1+F$6)/($B12-F$6)/(1+$B12)^('DCF Model'!C19+4)-'DCF Model'!C16)*1000000/'DCF Model'!C15,0),"")</f>
        <v>3136</v>
      </c>
      <c r="G12" s="37">
        <f>IFERROR(ROUND(('DCF Model'!C45/(1+$B12)^('DCF Model'!C19+0)+'DCF Model'!D45/(1+$B12)^('DCF Model'!C19+1)+'DCF Model'!E45/(1+$B12)^('DCF Model'!C19+2)+'DCF Model'!F45/(1+$B12)^('DCF Model'!C19+3)+'DCF Model'!G45/(1+$B12)^('DCF Model'!C19+4)+'DCF Model'!G45*(1+G$6)/($B12-G$6)/(1+$B12)^('DCF Model'!C19+4)-'DCF Model'!C16)*1000000/'DCF Model'!C15,0),"")</f>
        <v>3180</v>
      </c>
      <c r="H12" s="37">
        <f>IFERROR(ROUND(('DCF Model'!C45/(1+$B12)^('DCF Model'!C19+0)+'DCF Model'!D45/(1+$B12)^('DCF Model'!C19+1)+'DCF Model'!E45/(1+$B12)^('DCF Model'!C19+2)+'DCF Model'!F45/(1+$B12)^('DCF Model'!C19+3)+'DCF Model'!G45/(1+$B12)^('DCF Model'!C19+4)+'DCF Model'!G45*(1+H$6)/($B12-H$6)/(1+$B12)^('DCF Model'!C19+4)-'DCF Model'!C16)*1000000/'DCF Model'!C15,0),"")</f>
        <v>3226</v>
      </c>
      <c r="I12" s="37">
        <f>IFERROR(ROUND(('DCF Model'!C45/(1+$B12)^('DCF Model'!C19+0)+'DCF Model'!D45/(1+$B12)^('DCF Model'!C19+1)+'DCF Model'!E45/(1+$B12)^('DCF Model'!C19+2)+'DCF Model'!F45/(1+$B12)^('DCF Model'!C19+3)+'DCF Model'!G45/(1+$B12)^('DCF Model'!C19+4)+'DCF Model'!G45*(1+I$6)/($B12-I$6)/(1+$B12)^('DCF Model'!C19+4)-'DCF Model'!C16)*1000000/'DCF Model'!C15,0),"")</f>
        <v>3275</v>
      </c>
    </row>
    <row r="13" spans="2:9" ht="13.5" x14ac:dyDescent="0.25">
      <c r="B13" s="39">
        <f>$C$3+0.015</f>
        <v>0.121598</v>
      </c>
      <c r="C13" s="37">
        <f>IFERROR(ROUND(('DCF Model'!C45/(1+$B13)^('DCF Model'!C19+0)+'DCF Model'!D45/(1+$B13)^('DCF Model'!C19+1)+'DCF Model'!E45/(1+$B13)^('DCF Model'!C19+2)+'DCF Model'!F45/(1+$B13)^('DCF Model'!C19+3)+'DCF Model'!G45/(1+$B13)^('DCF Model'!C19+4)+'DCF Model'!G45*(1+C$6)/($B13-C$6)/(1+$B13)^('DCF Model'!C19+4)-'DCF Model'!C16)*1000000/'DCF Model'!C15,0),"")</f>
        <v>2906</v>
      </c>
      <c r="D13" s="37">
        <f>IFERROR(ROUND(('DCF Model'!C45/(1+$B13)^('DCF Model'!C19+0)+'DCF Model'!D45/(1+$B13)^('DCF Model'!C19+1)+'DCF Model'!E45/(1+$B13)^('DCF Model'!C19+2)+'DCF Model'!F45/(1+$B13)^('DCF Model'!C19+3)+'DCF Model'!G45/(1+$B13)^('DCF Model'!C19+4)+'DCF Model'!G45*(1+D$6)/($B13-D$6)/(1+$B13)^('DCF Model'!C19+4)-'DCF Model'!C16)*1000000/'DCF Model'!C15,0),"")</f>
        <v>2941</v>
      </c>
      <c r="E13" s="37">
        <f>IFERROR(ROUND(('DCF Model'!C45/(1+$B13)^('DCF Model'!C19+0)+'DCF Model'!D45/(1+$B13)^('DCF Model'!C19+1)+'DCF Model'!E45/(1+$B13)^('DCF Model'!C19+2)+'DCF Model'!F45/(1+$B13)^('DCF Model'!C19+3)+'DCF Model'!G45/(1+$B13)^('DCF Model'!C19+4)+'DCF Model'!G45*(1+E$6)/($B13-E$6)/(1+$B13)^('DCF Model'!C19+4)-'DCF Model'!C16)*1000000/'DCF Model'!C15,0),"")</f>
        <v>2977</v>
      </c>
      <c r="F13" s="37">
        <f>IFERROR(ROUND(('DCF Model'!C45/(1+$B13)^('DCF Model'!C19+0)+'DCF Model'!D45/(1+$B13)^('DCF Model'!C19+1)+'DCF Model'!E45/(1+$B13)^('DCF Model'!C19+2)+'DCF Model'!F45/(1+$B13)^('DCF Model'!C19+3)+'DCF Model'!G45/(1+$B13)^('DCF Model'!C19+4)+'DCF Model'!G45*(1+F$6)/($B13-F$6)/(1+$B13)^('DCF Model'!C19+4)-'DCF Model'!C16)*1000000/'DCF Model'!C15,0),"")</f>
        <v>3015</v>
      </c>
      <c r="G13" s="37">
        <f>IFERROR(ROUND(('DCF Model'!C45/(1+$B13)^('DCF Model'!C19+0)+'DCF Model'!D45/(1+$B13)^('DCF Model'!C19+1)+'DCF Model'!E45/(1+$B13)^('DCF Model'!C19+2)+'DCF Model'!F45/(1+$B13)^('DCF Model'!C19+3)+'DCF Model'!G45/(1+$B13)^('DCF Model'!C19+4)+'DCF Model'!G45*(1+G$6)/($B13-G$6)/(1+$B13)^('DCF Model'!C19+4)-'DCF Model'!C16)*1000000/'DCF Model'!C15,0),"")</f>
        <v>3054</v>
      </c>
      <c r="H13" s="37">
        <f>IFERROR(ROUND(('DCF Model'!C45/(1+$B13)^('DCF Model'!C19+0)+'DCF Model'!D45/(1+$B13)^('DCF Model'!C19+1)+'DCF Model'!E45/(1+$B13)^('DCF Model'!C19+2)+'DCF Model'!F45/(1+$B13)^('DCF Model'!C19+3)+'DCF Model'!G45/(1+$B13)^('DCF Model'!C19+4)+'DCF Model'!G45*(1+H$6)/($B13-H$6)/(1+$B13)^('DCF Model'!C19+4)-'DCF Model'!C16)*1000000/'DCF Model'!C15,0),"")</f>
        <v>3096</v>
      </c>
      <c r="I13" s="37">
        <f>IFERROR(ROUND(('DCF Model'!C45/(1+$B13)^('DCF Model'!C19+0)+'DCF Model'!D45/(1+$B13)^('DCF Model'!C19+1)+'DCF Model'!E45/(1+$B13)^('DCF Model'!C19+2)+'DCF Model'!F45/(1+$B13)^('DCF Model'!C19+3)+'DCF Model'!G45/(1+$B13)^('DCF Model'!C19+4)+'DCF Model'!G45*(1+I$6)/($B13-I$6)/(1+$B13)^('DCF Model'!C19+4)-'DCF Model'!C16)*1000000/'DCF Model'!C15,0),"")</f>
        <v>3139</v>
      </c>
    </row>
    <row r="16" spans="2:9" ht="14" x14ac:dyDescent="0.3">
      <c r="B16" s="3" t="s">
        <v>240</v>
      </c>
    </row>
    <row r="17" spans="2:9" ht="14" x14ac:dyDescent="0.3">
      <c r="B17" s="40" t="s">
        <v>241</v>
      </c>
      <c r="C17" s="42">
        <f>$I$3-3</f>
        <v>6.1999999999999993</v>
      </c>
      <c r="D17" s="42">
        <f>$I$3-2</f>
        <v>7.1999999999999993</v>
      </c>
      <c r="E17" s="42">
        <f>$I$3-1</f>
        <v>8.1999999999999993</v>
      </c>
      <c r="F17" s="42">
        <f>$I$3</f>
        <v>9.1999999999999993</v>
      </c>
      <c r="G17" s="42">
        <f>$I$3+1</f>
        <v>10.199999999999999</v>
      </c>
      <c r="H17" s="42">
        <f>$I$3+2</f>
        <v>11.2</v>
      </c>
      <c r="I17" s="42">
        <f>$I$3+3</f>
        <v>12.2</v>
      </c>
    </row>
    <row r="18" spans="2:9" ht="13.5" x14ac:dyDescent="0.25">
      <c r="B18" s="39">
        <f>$C$3-0.015</f>
        <v>9.1597999999999999E-2</v>
      </c>
      <c r="C18" s="37">
        <f>IFERROR(ROUND(('DCF Model'!C45/(1+$B18)^('DCF Model'!C19+0)+'DCF Model'!D45/(1+$B18)^('DCF Model'!C19+1)+'DCF Model'!E45/(1+$B18)^('DCF Model'!C19+2)+'DCF Model'!F45/(1+$B18)^('DCF Model'!C19+3)+'DCF Model'!G45/(1+$B18)^('DCF Model'!C19+4)+('DCF Model'!G39+'DCF Model'!G42)*C$17/(1+$B18)^('DCF Model'!C19+4)-'DCF Model'!C16)*1000000/'DCF Model'!C15,0),"")</f>
        <v>3885</v>
      </c>
      <c r="D18" s="37">
        <f>IFERROR(ROUND(('DCF Model'!C45/(1+$B18)^('DCF Model'!C19+0)+'DCF Model'!D45/(1+$B18)^('DCF Model'!C19+1)+'DCF Model'!E45/(1+$B18)^('DCF Model'!C19+2)+'DCF Model'!F45/(1+$B18)^('DCF Model'!C19+3)+'DCF Model'!G45/(1+$B18)^('DCF Model'!C19+4)+('DCF Model'!G39+'DCF Model'!G42)*D$17/(1+$B18)^('DCF Model'!C19+4)-'DCF Model'!C16)*1000000/'DCF Model'!C15,0),"")</f>
        <v>4264</v>
      </c>
      <c r="E18" s="37">
        <f>IFERROR(ROUND(('DCF Model'!C45/(1+$B18)^('DCF Model'!C19+0)+'DCF Model'!D45/(1+$B18)^('DCF Model'!C19+1)+'DCF Model'!E45/(1+$B18)^('DCF Model'!C19+2)+'DCF Model'!F45/(1+$B18)^('DCF Model'!C19+3)+'DCF Model'!G45/(1+$B18)^('DCF Model'!C19+4)+('DCF Model'!G39+'DCF Model'!G42)*E$17/(1+$B18)^('DCF Model'!C19+4)-'DCF Model'!C16)*1000000/'DCF Model'!C15,0),"")</f>
        <v>4644</v>
      </c>
      <c r="F18" s="37">
        <f>IFERROR(ROUND(('DCF Model'!C45/(1+$B18)^('DCF Model'!C19+0)+'DCF Model'!D45/(1+$B18)^('DCF Model'!C19+1)+'DCF Model'!E45/(1+$B18)^('DCF Model'!C19+2)+'DCF Model'!F45/(1+$B18)^('DCF Model'!C19+3)+'DCF Model'!G45/(1+$B18)^('DCF Model'!C19+4)+('DCF Model'!G39+'DCF Model'!G42)*F$17/(1+$B18)^('DCF Model'!C19+4)-'DCF Model'!C16)*1000000/'DCF Model'!C15,0),"")</f>
        <v>5024</v>
      </c>
      <c r="G18" s="37">
        <f>IFERROR(ROUND(('DCF Model'!C45/(1+$B18)^('DCF Model'!C19+0)+'DCF Model'!D45/(1+$B18)^('DCF Model'!C19+1)+'DCF Model'!E45/(1+$B18)^('DCF Model'!C19+2)+'DCF Model'!F45/(1+$B18)^('DCF Model'!C19+3)+'DCF Model'!G45/(1+$B18)^('DCF Model'!C19+4)+('DCF Model'!G39+'DCF Model'!G42)*G$17/(1+$B18)^('DCF Model'!C19+4)-'DCF Model'!C16)*1000000/'DCF Model'!C15,0),"")</f>
        <v>5404</v>
      </c>
      <c r="H18" s="37">
        <f>IFERROR(ROUND(('DCF Model'!C45/(1+$B18)^('DCF Model'!C19+0)+'DCF Model'!D45/(1+$B18)^('DCF Model'!C19+1)+'DCF Model'!E45/(1+$B18)^('DCF Model'!C19+2)+'DCF Model'!F45/(1+$B18)^('DCF Model'!C19+3)+'DCF Model'!G45/(1+$B18)^('DCF Model'!C19+4)+('DCF Model'!G39+'DCF Model'!G42)*H$17/(1+$B18)^('DCF Model'!C19+4)-'DCF Model'!C16)*1000000/'DCF Model'!C15,0),"")</f>
        <v>5784</v>
      </c>
      <c r="I18" s="37">
        <f>IFERROR(ROUND(('DCF Model'!C45/(1+$B18)^('DCF Model'!C19+0)+'DCF Model'!D45/(1+$B18)^('DCF Model'!C19+1)+'DCF Model'!E45/(1+$B18)^('DCF Model'!C19+2)+'DCF Model'!F45/(1+$B18)^('DCF Model'!C19+3)+'DCF Model'!G45/(1+$B18)^('DCF Model'!C19+4)+('DCF Model'!G39+'DCF Model'!G42)*I$17/(1+$B18)^('DCF Model'!C19+4)-'DCF Model'!C16)*1000000/'DCF Model'!C15,0),"")</f>
        <v>6164</v>
      </c>
    </row>
    <row r="19" spans="2:9" ht="13.5" x14ac:dyDescent="0.25">
      <c r="B19" s="39">
        <f>$C$3-0.01</f>
        <v>9.6598000000000003E-2</v>
      </c>
      <c r="C19" s="37">
        <f>IFERROR(ROUND(('DCF Model'!C45/(1+$B19)^('DCF Model'!C19+0)+'DCF Model'!D45/(1+$B19)^('DCF Model'!C19+1)+'DCF Model'!E45/(1+$B19)^('DCF Model'!C19+2)+'DCF Model'!F45/(1+$B19)^('DCF Model'!C19+3)+'DCF Model'!G45/(1+$B19)^('DCF Model'!C19+4)+('DCF Model'!G39+'DCF Model'!G42)*C$17/(1+$B19)^('DCF Model'!C19+4)-'DCF Model'!C16)*1000000/'DCF Model'!C15,0),"")</f>
        <v>3819</v>
      </c>
      <c r="D19" s="37">
        <f>IFERROR(ROUND(('DCF Model'!C45/(1+$B19)^('DCF Model'!C19+0)+'DCF Model'!D45/(1+$B19)^('DCF Model'!C19+1)+'DCF Model'!E45/(1+$B19)^('DCF Model'!C19+2)+'DCF Model'!F45/(1+$B19)^('DCF Model'!C19+3)+'DCF Model'!G45/(1+$B19)^('DCF Model'!C19+4)+('DCF Model'!G39+'DCF Model'!G42)*D$17/(1+$B19)^('DCF Model'!C19+4)-'DCF Model'!C16)*1000000/'DCF Model'!C15,0),"")</f>
        <v>4190</v>
      </c>
      <c r="E19" s="37">
        <f>IFERROR(ROUND(('DCF Model'!C45/(1+$B19)^('DCF Model'!C19+0)+'DCF Model'!D45/(1+$B19)^('DCF Model'!C19+1)+'DCF Model'!E45/(1+$B19)^('DCF Model'!C19+2)+'DCF Model'!F45/(1+$B19)^('DCF Model'!C19+3)+'DCF Model'!G45/(1+$B19)^('DCF Model'!C19+4)+('DCF Model'!G39+'DCF Model'!G42)*E$17/(1+$B19)^('DCF Model'!C19+4)-'DCF Model'!C16)*1000000/'DCF Model'!C15,0),"")</f>
        <v>4561</v>
      </c>
      <c r="F19" s="37">
        <f>IFERROR(ROUND(('DCF Model'!C45/(1+$B19)^('DCF Model'!C19+0)+'DCF Model'!D45/(1+$B19)^('DCF Model'!C19+1)+'DCF Model'!E45/(1+$B19)^('DCF Model'!C19+2)+'DCF Model'!F45/(1+$B19)^('DCF Model'!C19+3)+'DCF Model'!G45/(1+$B19)^('DCF Model'!C19+4)+('DCF Model'!G39+'DCF Model'!G42)*F$17/(1+$B19)^('DCF Model'!C19+4)-'DCF Model'!C16)*1000000/'DCF Model'!C15,0),"")</f>
        <v>4933</v>
      </c>
      <c r="G19" s="37">
        <f>IFERROR(ROUND(('DCF Model'!C45/(1+$B19)^('DCF Model'!C19+0)+'DCF Model'!D45/(1+$B19)^('DCF Model'!C19+1)+'DCF Model'!E45/(1+$B19)^('DCF Model'!C19+2)+'DCF Model'!F45/(1+$B19)^('DCF Model'!C19+3)+'DCF Model'!G45/(1+$B19)^('DCF Model'!C19+4)+('DCF Model'!G39+'DCF Model'!G42)*G$17/(1+$B19)^('DCF Model'!C19+4)-'DCF Model'!C16)*1000000/'DCF Model'!C15,0),"")</f>
        <v>5304</v>
      </c>
      <c r="H19" s="37">
        <f>IFERROR(ROUND(('DCF Model'!C45/(1+$B19)^('DCF Model'!C19+0)+'DCF Model'!D45/(1+$B19)^('DCF Model'!C19+1)+'DCF Model'!E45/(1+$B19)^('DCF Model'!C19+2)+'DCF Model'!F45/(1+$B19)^('DCF Model'!C19+3)+'DCF Model'!G45/(1+$B19)^('DCF Model'!C19+4)+('DCF Model'!G39+'DCF Model'!G42)*H$17/(1+$B19)^('DCF Model'!C19+4)-'DCF Model'!C16)*1000000/'DCF Model'!C15,0),"")</f>
        <v>5675</v>
      </c>
      <c r="I19" s="37">
        <f>IFERROR(ROUND(('DCF Model'!C45/(1+$B19)^('DCF Model'!C19+0)+'DCF Model'!D45/(1+$B19)^('DCF Model'!C19+1)+'DCF Model'!E45/(1+$B19)^('DCF Model'!C19+2)+'DCF Model'!F45/(1+$B19)^('DCF Model'!C19+3)+'DCF Model'!G45/(1+$B19)^('DCF Model'!C19+4)+('DCF Model'!G39+'DCF Model'!G42)*I$17/(1+$B19)^('DCF Model'!C19+4)-'DCF Model'!C16)*1000000/'DCF Model'!C15,0),"")</f>
        <v>6047</v>
      </c>
    </row>
    <row r="20" spans="2:9" ht="13.5" x14ac:dyDescent="0.25">
      <c r="B20" s="39">
        <f>$C$3-0.005</f>
        <v>0.10159799999999999</v>
      </c>
      <c r="C20" s="37">
        <f>IFERROR(ROUND(('DCF Model'!C45/(1+$B20)^('DCF Model'!C19+0)+'DCF Model'!D45/(1+$B20)^('DCF Model'!C19+1)+'DCF Model'!E45/(1+$B20)^('DCF Model'!C19+2)+'DCF Model'!F45/(1+$B20)^('DCF Model'!C19+3)+'DCF Model'!G45/(1+$B20)^('DCF Model'!C19+4)+('DCF Model'!G39+'DCF Model'!G42)*C$17/(1+$B20)^('DCF Model'!C19+4)-'DCF Model'!C16)*1000000/'DCF Model'!C15,0),"")</f>
        <v>3755</v>
      </c>
      <c r="D20" s="37">
        <f>IFERROR(ROUND(('DCF Model'!C45/(1+$B20)^('DCF Model'!C19+0)+'DCF Model'!D45/(1+$B20)^('DCF Model'!C19+1)+'DCF Model'!E45/(1+$B20)^('DCF Model'!C19+2)+'DCF Model'!F45/(1+$B20)^('DCF Model'!C19+3)+'DCF Model'!G45/(1+$B20)^('DCF Model'!C19+4)+('DCF Model'!G39+'DCF Model'!G42)*D$17/(1+$B20)^('DCF Model'!C19+4)-'DCF Model'!C16)*1000000/'DCF Model'!C15,0),"")</f>
        <v>4118</v>
      </c>
      <c r="E20" s="37">
        <f>IFERROR(ROUND(('DCF Model'!C45/(1+$B20)^('DCF Model'!C19+0)+'DCF Model'!D45/(1+$B20)^('DCF Model'!C19+1)+'DCF Model'!E45/(1+$B20)^('DCF Model'!C19+2)+'DCF Model'!F45/(1+$B20)^('DCF Model'!C19+3)+'DCF Model'!G45/(1+$B20)^('DCF Model'!C19+4)+('DCF Model'!G39+'DCF Model'!G42)*E$17/(1+$B20)^('DCF Model'!C19+4)-'DCF Model'!C16)*1000000/'DCF Model'!C15,0),"")</f>
        <v>4481</v>
      </c>
      <c r="F20" s="37">
        <f>IFERROR(ROUND(('DCF Model'!C45/(1+$B20)^('DCF Model'!C19+0)+'DCF Model'!D45/(1+$B20)^('DCF Model'!C19+1)+'DCF Model'!E45/(1+$B20)^('DCF Model'!C19+2)+'DCF Model'!F45/(1+$B20)^('DCF Model'!C19+3)+'DCF Model'!G45/(1+$B20)^('DCF Model'!C19+4)+('DCF Model'!G39+'DCF Model'!G42)*F$17/(1+$B20)^('DCF Model'!C19+4)-'DCF Model'!C16)*1000000/'DCF Model'!C15,0),"")</f>
        <v>4844</v>
      </c>
      <c r="G20" s="37">
        <f>IFERROR(ROUND(('DCF Model'!C45/(1+$B20)^('DCF Model'!C19+0)+'DCF Model'!D45/(1+$B20)^('DCF Model'!C19+1)+'DCF Model'!E45/(1+$B20)^('DCF Model'!C19+2)+'DCF Model'!F45/(1+$B20)^('DCF Model'!C19+3)+'DCF Model'!G45/(1+$B20)^('DCF Model'!C19+4)+('DCF Model'!G39+'DCF Model'!G42)*G$17/(1+$B20)^('DCF Model'!C19+4)-'DCF Model'!C16)*1000000/'DCF Model'!C15,0),"")</f>
        <v>5207</v>
      </c>
      <c r="H20" s="37">
        <f>IFERROR(ROUND(('DCF Model'!C45/(1+$B20)^('DCF Model'!C19+0)+'DCF Model'!D45/(1+$B20)^('DCF Model'!C19+1)+'DCF Model'!E45/(1+$B20)^('DCF Model'!C19+2)+'DCF Model'!F45/(1+$B20)^('DCF Model'!C19+3)+'DCF Model'!G45/(1+$B20)^('DCF Model'!C19+4)+('DCF Model'!G39+'DCF Model'!G42)*H$17/(1+$B20)^('DCF Model'!C19+4)-'DCF Model'!C16)*1000000/'DCF Model'!C15,0),"")</f>
        <v>5570</v>
      </c>
      <c r="I20" s="37">
        <f>IFERROR(ROUND(('DCF Model'!C45/(1+$B20)^('DCF Model'!C19+0)+'DCF Model'!D45/(1+$B20)^('DCF Model'!C19+1)+'DCF Model'!E45/(1+$B20)^('DCF Model'!C19+2)+'DCF Model'!F45/(1+$B20)^('DCF Model'!C19+3)+'DCF Model'!G45/(1+$B20)^('DCF Model'!C19+4)+('DCF Model'!G39+'DCF Model'!G42)*I$17/(1+$B20)^('DCF Model'!C19+4)-'DCF Model'!C16)*1000000/'DCF Model'!C15,0),"")</f>
        <v>5933</v>
      </c>
    </row>
    <row r="21" spans="2:9" ht="13.5" x14ac:dyDescent="0.25">
      <c r="B21" s="39">
        <f>$C$3</f>
        <v>0.106598</v>
      </c>
      <c r="C21" s="37">
        <f>IFERROR(ROUND(('DCF Model'!C45/(1+$B21)^('DCF Model'!C19+0)+'DCF Model'!D45/(1+$B21)^('DCF Model'!C19+1)+'DCF Model'!E45/(1+$B21)^('DCF Model'!C19+2)+'DCF Model'!F45/(1+$B21)^('DCF Model'!C19+3)+'DCF Model'!G45/(1+$B21)^('DCF Model'!C19+4)+('DCF Model'!G39+'DCF Model'!G42)*C$17/(1+$B21)^('DCF Model'!C19+4)-'DCF Model'!C16)*1000000/'DCF Model'!C15,0),"")</f>
        <v>3693</v>
      </c>
      <c r="D21" s="37">
        <f>IFERROR(ROUND(('DCF Model'!C45/(1+$B21)^('DCF Model'!C19+0)+'DCF Model'!D45/(1+$B21)^('DCF Model'!C19+1)+'DCF Model'!E45/(1+$B21)^('DCF Model'!C19+2)+'DCF Model'!F45/(1+$B21)^('DCF Model'!C19+3)+'DCF Model'!G45/(1+$B21)^('DCF Model'!C19+4)+('DCF Model'!G39+'DCF Model'!G42)*D$17/(1+$B21)^('DCF Model'!C19+4)-'DCF Model'!C16)*1000000/'DCF Model'!C15,0),"")</f>
        <v>4048</v>
      </c>
      <c r="E21" s="37">
        <f>IFERROR(ROUND(('DCF Model'!C45/(1+$B21)^('DCF Model'!C19+0)+'DCF Model'!D45/(1+$B21)^('DCF Model'!C19+1)+'DCF Model'!E45/(1+$B21)^('DCF Model'!C19+2)+'DCF Model'!F45/(1+$B21)^('DCF Model'!C19+3)+'DCF Model'!G45/(1+$B21)^('DCF Model'!C19+4)+('DCF Model'!G39+'DCF Model'!G42)*E$17/(1+$B21)^('DCF Model'!C19+4)-'DCF Model'!C16)*1000000/'DCF Model'!C15,0),"")</f>
        <v>4402</v>
      </c>
      <c r="F21" s="37">
        <f>IFERROR(ROUND(('DCF Model'!C45/(1+$B21)^('DCF Model'!C19+0)+'DCF Model'!D45/(1+$B21)^('DCF Model'!C19+1)+'DCF Model'!E45/(1+$B21)^('DCF Model'!C19+2)+'DCF Model'!F45/(1+$B21)^('DCF Model'!C19+3)+'DCF Model'!G45/(1+$B21)^('DCF Model'!C19+4)+('DCF Model'!G39+'DCF Model'!G42)*F$17/(1+$B21)^('DCF Model'!C19+4)-'DCF Model'!C16)*1000000/'DCF Model'!C15,0),"")</f>
        <v>4757</v>
      </c>
      <c r="G21" s="37">
        <f>IFERROR(ROUND(('DCF Model'!C45/(1+$B21)^('DCF Model'!C19+0)+'DCF Model'!D45/(1+$B21)^('DCF Model'!C19+1)+'DCF Model'!E45/(1+$B21)^('DCF Model'!C19+2)+'DCF Model'!F45/(1+$B21)^('DCF Model'!C19+3)+'DCF Model'!G45/(1+$B21)^('DCF Model'!C19+4)+('DCF Model'!G39+'DCF Model'!G42)*G$17/(1+$B21)^('DCF Model'!C19+4)-'DCF Model'!C16)*1000000/'DCF Model'!C15,0),"")</f>
        <v>5112</v>
      </c>
      <c r="H21" s="37">
        <f>IFERROR(ROUND(('DCF Model'!C45/(1+$B21)^('DCF Model'!C19+0)+'DCF Model'!D45/(1+$B21)^('DCF Model'!C19+1)+'DCF Model'!E45/(1+$B21)^('DCF Model'!C19+2)+'DCF Model'!F45/(1+$B21)^('DCF Model'!C19+3)+'DCF Model'!G45/(1+$B21)^('DCF Model'!C19+4)+('DCF Model'!G39+'DCF Model'!G42)*H$17/(1+$B21)^('DCF Model'!C19+4)-'DCF Model'!C16)*1000000/'DCF Model'!C15,0),"")</f>
        <v>5467</v>
      </c>
      <c r="I21" s="37">
        <f>IFERROR(ROUND(('DCF Model'!C45/(1+$B21)^('DCF Model'!C19+0)+'DCF Model'!D45/(1+$B21)^('DCF Model'!C19+1)+'DCF Model'!E45/(1+$B21)^('DCF Model'!C19+2)+'DCF Model'!F45/(1+$B21)^('DCF Model'!C19+3)+'DCF Model'!G45/(1+$B21)^('DCF Model'!C19+4)+('DCF Model'!G39+'DCF Model'!G42)*I$17/(1+$B21)^('DCF Model'!C19+4)-'DCF Model'!C16)*1000000/'DCF Model'!C15,0),"")</f>
        <v>5822</v>
      </c>
    </row>
    <row r="22" spans="2:9" ht="13.5" x14ac:dyDescent="0.25">
      <c r="B22" s="39">
        <f>$C$3+0.005</f>
        <v>0.111598</v>
      </c>
      <c r="C22" s="37">
        <f>IFERROR(ROUND(('DCF Model'!C45/(1+$B22)^('DCF Model'!C19+0)+'DCF Model'!D45/(1+$B22)^('DCF Model'!C19+1)+'DCF Model'!E45/(1+$B22)^('DCF Model'!C19+2)+'DCF Model'!F45/(1+$B22)^('DCF Model'!C19+3)+'DCF Model'!G45/(1+$B22)^('DCF Model'!C19+4)+('DCF Model'!G39+'DCF Model'!G42)*C$17/(1+$B22)^('DCF Model'!C19+4)-'DCF Model'!C16)*1000000/'DCF Model'!C15,0),"")</f>
        <v>3632</v>
      </c>
      <c r="D22" s="37">
        <f>IFERROR(ROUND(('DCF Model'!C45/(1+$B22)^('DCF Model'!C19+0)+'DCF Model'!D45/(1+$B22)^('DCF Model'!C19+1)+'DCF Model'!E45/(1+$B22)^('DCF Model'!C19+2)+'DCF Model'!F45/(1+$B22)^('DCF Model'!C19+3)+'DCF Model'!G45/(1+$B22)^('DCF Model'!C19+4)+('DCF Model'!G39+'DCF Model'!G42)*D$17/(1+$B22)^('DCF Model'!C19+4)-'DCF Model'!C16)*1000000/'DCF Model'!C15,0),"")</f>
        <v>3979</v>
      </c>
      <c r="E22" s="37">
        <f>IFERROR(ROUND(('DCF Model'!C45/(1+$B22)^('DCF Model'!C19+0)+'DCF Model'!D45/(1+$B22)^('DCF Model'!C19+1)+'DCF Model'!E45/(1+$B22)^('DCF Model'!C19+2)+'DCF Model'!F45/(1+$B22)^('DCF Model'!C19+3)+'DCF Model'!G45/(1+$B22)^('DCF Model'!C19+4)+('DCF Model'!G39+'DCF Model'!G42)*E$17/(1+$B22)^('DCF Model'!C19+4)-'DCF Model'!C16)*1000000/'DCF Model'!C15,0),"")</f>
        <v>4326</v>
      </c>
      <c r="F22" s="37">
        <f>IFERROR(ROUND(('DCF Model'!C45/(1+$B22)^('DCF Model'!C19+0)+'DCF Model'!D45/(1+$B22)^('DCF Model'!C19+1)+'DCF Model'!E45/(1+$B22)^('DCF Model'!C19+2)+'DCF Model'!F45/(1+$B22)^('DCF Model'!C19+3)+'DCF Model'!G45/(1+$B22)^('DCF Model'!C19+4)+('DCF Model'!G39+'DCF Model'!G42)*F$17/(1+$B22)^('DCF Model'!C19+4)-'DCF Model'!C16)*1000000/'DCF Model'!C15,0),"")</f>
        <v>4673</v>
      </c>
      <c r="G22" s="37">
        <f>IFERROR(ROUND(('DCF Model'!C45/(1+$B22)^('DCF Model'!C19+0)+'DCF Model'!D45/(1+$B22)^('DCF Model'!C19+1)+'DCF Model'!E45/(1+$B22)^('DCF Model'!C19+2)+'DCF Model'!F45/(1+$B22)^('DCF Model'!C19+3)+'DCF Model'!G45/(1+$B22)^('DCF Model'!C19+4)+('DCF Model'!G39+'DCF Model'!G42)*G$17/(1+$B22)^('DCF Model'!C19+4)-'DCF Model'!C16)*1000000/'DCF Model'!C15,0),"")</f>
        <v>5020</v>
      </c>
      <c r="H22" s="37">
        <f>IFERROR(ROUND(('DCF Model'!C45/(1+$B22)^('DCF Model'!C19+0)+'DCF Model'!D45/(1+$B22)^('DCF Model'!C19+1)+'DCF Model'!E45/(1+$B22)^('DCF Model'!C19+2)+'DCF Model'!F45/(1+$B22)^('DCF Model'!C19+3)+'DCF Model'!G45/(1+$B22)^('DCF Model'!C19+4)+('DCF Model'!G39+'DCF Model'!G42)*H$17/(1+$B22)^('DCF Model'!C19+4)-'DCF Model'!C16)*1000000/'DCF Model'!C15,0),"")</f>
        <v>5367</v>
      </c>
      <c r="I22" s="37">
        <f>IFERROR(ROUND(('DCF Model'!C45/(1+$B22)^('DCF Model'!C19+0)+'DCF Model'!D45/(1+$B22)^('DCF Model'!C19+1)+'DCF Model'!E45/(1+$B22)^('DCF Model'!C19+2)+'DCF Model'!F45/(1+$B22)^('DCF Model'!C19+3)+'DCF Model'!G45/(1+$B22)^('DCF Model'!C19+4)+('DCF Model'!G39+'DCF Model'!G42)*I$17/(1+$B22)^('DCF Model'!C19+4)-'DCF Model'!C16)*1000000/'DCF Model'!C15,0),"")</f>
        <v>5713</v>
      </c>
    </row>
    <row r="23" spans="2:9" ht="13.5" x14ac:dyDescent="0.25">
      <c r="B23" s="39">
        <f>$C$3+0.01</f>
        <v>0.11659799999999999</v>
      </c>
      <c r="C23" s="37">
        <f>IFERROR(ROUND(('DCF Model'!C45/(1+$B23)^('DCF Model'!C19+0)+'DCF Model'!D45/(1+$B23)^('DCF Model'!C19+1)+'DCF Model'!E45/(1+$B23)^('DCF Model'!C19+2)+'DCF Model'!F45/(1+$B23)^('DCF Model'!C19+3)+'DCF Model'!G45/(1+$B23)^('DCF Model'!C19+4)+('DCF Model'!G39+'DCF Model'!G42)*C$17/(1+$B23)^('DCF Model'!C19+4)-'DCF Model'!C16)*1000000/'DCF Model'!C15,0),"")</f>
        <v>3573</v>
      </c>
      <c r="D23" s="37">
        <f>IFERROR(ROUND(('DCF Model'!C45/(1+$B23)^('DCF Model'!C19+0)+'DCF Model'!D45/(1+$B23)^('DCF Model'!C19+1)+'DCF Model'!E45/(1+$B23)^('DCF Model'!C19+2)+'DCF Model'!F45/(1+$B23)^('DCF Model'!C19+3)+'DCF Model'!G45/(1+$B23)^('DCF Model'!C19+4)+('DCF Model'!G39+'DCF Model'!G42)*D$17/(1+$B23)^('DCF Model'!C19+4)-'DCF Model'!C16)*1000000/'DCF Model'!C15,0),"")</f>
        <v>3912</v>
      </c>
      <c r="E23" s="37">
        <f>IFERROR(ROUND(('DCF Model'!C45/(1+$B23)^('DCF Model'!C19+0)+'DCF Model'!D45/(1+$B23)^('DCF Model'!C19+1)+'DCF Model'!E45/(1+$B23)^('DCF Model'!C19+2)+'DCF Model'!F45/(1+$B23)^('DCF Model'!C19+3)+'DCF Model'!G45/(1+$B23)^('DCF Model'!C19+4)+('DCF Model'!G39+'DCF Model'!G42)*E$17/(1+$B23)^('DCF Model'!C19+4)-'DCF Model'!C16)*1000000/'DCF Model'!C15,0),"")</f>
        <v>4251</v>
      </c>
      <c r="F23" s="37">
        <f>IFERROR(ROUND(('DCF Model'!C45/(1+$B23)^('DCF Model'!C19+0)+'DCF Model'!D45/(1+$B23)^('DCF Model'!C19+1)+'DCF Model'!E45/(1+$B23)^('DCF Model'!C19+2)+'DCF Model'!F45/(1+$B23)^('DCF Model'!C19+3)+'DCF Model'!G45/(1+$B23)^('DCF Model'!C19+4)+('DCF Model'!G39+'DCF Model'!G42)*F$17/(1+$B23)^('DCF Model'!C19+4)-'DCF Model'!C16)*1000000/'DCF Model'!C15,0),"")</f>
        <v>4591</v>
      </c>
      <c r="G23" s="37">
        <f>IFERROR(ROUND(('DCF Model'!C45/(1+$B23)^('DCF Model'!C19+0)+'DCF Model'!D45/(1+$B23)^('DCF Model'!C19+1)+'DCF Model'!E45/(1+$B23)^('DCF Model'!C19+2)+'DCF Model'!F45/(1+$B23)^('DCF Model'!C19+3)+'DCF Model'!G45/(1+$B23)^('DCF Model'!C19+4)+('DCF Model'!G39+'DCF Model'!G42)*G$17/(1+$B23)^('DCF Model'!C19+4)-'DCF Model'!C16)*1000000/'DCF Model'!C15,0),"")</f>
        <v>4930</v>
      </c>
      <c r="H23" s="37">
        <f>IFERROR(ROUND(('DCF Model'!C45/(1+$B23)^('DCF Model'!C19+0)+'DCF Model'!D45/(1+$B23)^('DCF Model'!C19+1)+'DCF Model'!E45/(1+$B23)^('DCF Model'!C19+2)+'DCF Model'!F45/(1+$B23)^('DCF Model'!C19+3)+'DCF Model'!G45/(1+$B23)^('DCF Model'!C19+4)+('DCF Model'!G39+'DCF Model'!G42)*H$17/(1+$B23)^('DCF Model'!C19+4)-'DCF Model'!C16)*1000000/'DCF Model'!C15,0),"")</f>
        <v>5269</v>
      </c>
      <c r="I23" s="37">
        <f>IFERROR(ROUND(('DCF Model'!C45/(1+$B23)^('DCF Model'!C19+0)+'DCF Model'!D45/(1+$B23)^('DCF Model'!C19+1)+'DCF Model'!E45/(1+$B23)^('DCF Model'!C19+2)+'DCF Model'!F45/(1+$B23)^('DCF Model'!C19+3)+'DCF Model'!G45/(1+$B23)^('DCF Model'!C19+4)+('DCF Model'!G39+'DCF Model'!G42)*I$17/(1+$B23)^('DCF Model'!C19+4)-'DCF Model'!C16)*1000000/'DCF Model'!C15,0),"")</f>
        <v>5608</v>
      </c>
    </row>
    <row r="24" spans="2:9" ht="13.5" x14ac:dyDescent="0.25">
      <c r="B24" s="39">
        <f>$C$3+0.015</f>
        <v>0.121598</v>
      </c>
      <c r="C24" s="37">
        <f>IFERROR(ROUND(('DCF Model'!C45/(1+$B24)^('DCF Model'!C19+0)+'DCF Model'!D45/(1+$B24)^('DCF Model'!C19+1)+'DCF Model'!E45/(1+$B24)^('DCF Model'!C19+2)+'DCF Model'!F45/(1+$B24)^('DCF Model'!C19+3)+'DCF Model'!G45/(1+$B24)^('DCF Model'!C19+4)+('DCF Model'!G39+'DCF Model'!G42)*C$17/(1+$B24)^('DCF Model'!C19+4)-'DCF Model'!C16)*1000000/'DCF Model'!C15,0),"")</f>
        <v>3515</v>
      </c>
      <c r="D24" s="37">
        <f>IFERROR(ROUND(('DCF Model'!C45/(1+$B24)^('DCF Model'!C19+0)+'DCF Model'!D45/(1+$B24)^('DCF Model'!C19+1)+'DCF Model'!E45/(1+$B24)^('DCF Model'!C19+2)+'DCF Model'!F45/(1+$B24)^('DCF Model'!C19+3)+'DCF Model'!G45/(1+$B24)^('DCF Model'!C19+4)+('DCF Model'!G39+'DCF Model'!G42)*D$17/(1+$B24)^('DCF Model'!C19+4)-'DCF Model'!C16)*1000000/'DCF Model'!C15,0),"")</f>
        <v>3847</v>
      </c>
      <c r="E24" s="37">
        <f>IFERROR(ROUND(('DCF Model'!C45/(1+$B24)^('DCF Model'!C19+0)+'DCF Model'!D45/(1+$B24)^('DCF Model'!C19+1)+'DCF Model'!E45/(1+$B24)^('DCF Model'!C19+2)+'DCF Model'!F45/(1+$B24)^('DCF Model'!C19+3)+'DCF Model'!G45/(1+$B24)^('DCF Model'!C19+4)+('DCF Model'!G39+'DCF Model'!G42)*E$17/(1+$B24)^('DCF Model'!C19+4)-'DCF Model'!C16)*1000000/'DCF Model'!C15,0),"")</f>
        <v>4179</v>
      </c>
      <c r="F24" s="37">
        <f>IFERROR(ROUND(('DCF Model'!C45/(1+$B24)^('DCF Model'!C19+0)+'DCF Model'!D45/(1+$B24)^('DCF Model'!C19+1)+'DCF Model'!E45/(1+$B24)^('DCF Model'!C19+2)+'DCF Model'!F45/(1+$B24)^('DCF Model'!C19+3)+'DCF Model'!G45/(1+$B24)^('DCF Model'!C19+4)+('DCF Model'!G39+'DCF Model'!G42)*F$17/(1+$B24)^('DCF Model'!C19+4)-'DCF Model'!C16)*1000000/'DCF Model'!C15,0),"")</f>
        <v>4511</v>
      </c>
      <c r="G24" s="37">
        <f>IFERROR(ROUND(('DCF Model'!C45/(1+$B24)^('DCF Model'!C19+0)+'DCF Model'!D45/(1+$B24)^('DCF Model'!C19+1)+'DCF Model'!E45/(1+$B24)^('DCF Model'!C19+2)+'DCF Model'!F45/(1+$B24)^('DCF Model'!C19+3)+'DCF Model'!G45/(1+$B24)^('DCF Model'!C19+4)+('DCF Model'!G39+'DCF Model'!G42)*G$17/(1+$B24)^('DCF Model'!C19+4)-'DCF Model'!C16)*1000000/'DCF Model'!C15,0),"")</f>
        <v>4842</v>
      </c>
      <c r="H24" s="37">
        <f>IFERROR(ROUND(('DCF Model'!C45/(1+$B24)^('DCF Model'!C19+0)+'DCF Model'!D45/(1+$B24)^('DCF Model'!C19+1)+'DCF Model'!E45/(1+$B24)^('DCF Model'!C19+2)+'DCF Model'!F45/(1+$B24)^('DCF Model'!C19+3)+'DCF Model'!G45/(1+$B24)^('DCF Model'!C19+4)+('DCF Model'!G39+'DCF Model'!G42)*H$17/(1+$B24)^('DCF Model'!C19+4)-'DCF Model'!C16)*1000000/'DCF Model'!C15,0),"")</f>
        <v>5174</v>
      </c>
      <c r="I24" s="37">
        <f>IFERROR(ROUND(('DCF Model'!C45/(1+$B24)^('DCF Model'!C19+0)+'DCF Model'!D45/(1+$B24)^('DCF Model'!C19+1)+'DCF Model'!E45/(1+$B24)^('DCF Model'!C19+2)+'DCF Model'!F45/(1+$B24)^('DCF Model'!C19+3)+'DCF Model'!G45/(1+$B24)^('DCF Model'!C19+4)+('DCF Model'!G39+'DCF Model'!G42)*I$17/(1+$B24)^('DCF Model'!C19+4)-'DCF Model'!C16)*1000000/'DCF Model'!C15,0),"")</f>
        <v>5506</v>
      </c>
    </row>
    <row r="26" spans="2:9" ht="14" x14ac:dyDescent="0.3">
      <c r="B26" s="45" t="s">
        <v>242</v>
      </c>
      <c r="C26" s="44"/>
      <c r="D26" s="44"/>
      <c r="E26" s="44"/>
      <c r="F26" s="44"/>
      <c r="G26" s="44"/>
      <c r="H26" s="44"/>
      <c r="I26" s="44"/>
    </row>
  </sheetData>
  <mergeCells count="1">
    <mergeCell ref="B26:I26"/>
  </mergeCells>
  <phoneticPr fontId="8"/>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sheetPr>
  <dimension ref="B2:G62"/>
  <sheetViews>
    <sheetView workbookViewId="0"/>
  </sheetViews>
  <sheetFormatPr defaultRowHeight="13" x14ac:dyDescent="0.2"/>
  <cols>
    <col min="1" max="1" width="3" customWidth="1"/>
    <col min="2" max="2" width="14" customWidth="1"/>
    <col min="3" max="3" width="16" customWidth="1"/>
    <col min="4" max="5" width="46" customWidth="1"/>
    <col min="6" max="6" width="20" customWidth="1"/>
    <col min="7" max="7" width="12" customWidth="1"/>
  </cols>
  <sheetData>
    <row r="2" spans="2:7" ht="18" x14ac:dyDescent="0.4">
      <c r="B2" s="2" t="s">
        <v>243</v>
      </c>
    </row>
    <row r="4" spans="2:7" ht="14" x14ac:dyDescent="0.3">
      <c r="B4" s="10" t="s">
        <v>244</v>
      </c>
      <c r="C4" s="10" t="s">
        <v>245</v>
      </c>
      <c r="D4" s="10" t="s">
        <v>246</v>
      </c>
      <c r="E4" s="10" t="s">
        <v>247</v>
      </c>
      <c r="F4" s="10" t="s">
        <v>248</v>
      </c>
      <c r="G4" s="10" t="s">
        <v>249</v>
      </c>
    </row>
    <row r="5" spans="2:7" x14ac:dyDescent="0.2">
      <c r="B5" t="s">
        <v>250</v>
      </c>
      <c r="C5" t="s">
        <v>251</v>
      </c>
      <c r="D5" t="s">
        <v>252</v>
      </c>
      <c r="E5" t="s">
        <v>253</v>
      </c>
      <c r="F5" t="s">
        <v>251</v>
      </c>
      <c r="G5" t="s">
        <v>254</v>
      </c>
    </row>
    <row r="6" spans="2:7" ht="30" customHeight="1" x14ac:dyDescent="0.3">
      <c r="B6" t="s">
        <v>250</v>
      </c>
      <c r="C6" s="4" t="s">
        <v>255</v>
      </c>
      <c r="D6" t="s">
        <v>256</v>
      </c>
      <c r="E6" t="s">
        <v>257</v>
      </c>
      <c r="F6" t="s">
        <v>258</v>
      </c>
      <c r="G6" t="s">
        <v>259</v>
      </c>
    </row>
    <row r="12" spans="2:7" ht="14" x14ac:dyDescent="0.3">
      <c r="B12" s="8" t="s">
        <v>260</v>
      </c>
    </row>
    <row r="13" spans="2:7" ht="14" x14ac:dyDescent="0.3">
      <c r="B13" s="10" t="s">
        <v>261</v>
      </c>
      <c r="C13" s="10" t="s">
        <v>262</v>
      </c>
    </row>
    <row r="14" spans="2:7" ht="14" x14ac:dyDescent="0.3">
      <c r="B14" s="4" t="s">
        <v>263</v>
      </c>
      <c r="C14" t="s">
        <v>264</v>
      </c>
    </row>
    <row r="15" spans="2:7" ht="14" x14ac:dyDescent="0.3">
      <c r="B15" s="4" t="s">
        <v>265</v>
      </c>
      <c r="C15" t="s">
        <v>266</v>
      </c>
    </row>
    <row r="16" spans="2:7" ht="14" x14ac:dyDescent="0.3">
      <c r="B16" s="4" t="s">
        <v>267</v>
      </c>
      <c r="C16" t="s">
        <v>268</v>
      </c>
    </row>
    <row r="17" spans="2:3" ht="14" x14ac:dyDescent="0.3">
      <c r="B17" s="4" t="s">
        <v>269</v>
      </c>
      <c r="C17" t="s">
        <v>270</v>
      </c>
    </row>
    <row r="18" spans="2:3" ht="14" x14ac:dyDescent="0.3">
      <c r="B18" s="4" t="s">
        <v>271</v>
      </c>
      <c r="C18" t="s">
        <v>268</v>
      </c>
    </row>
    <row r="19" spans="2:3" ht="14" x14ac:dyDescent="0.3">
      <c r="B19" s="4" t="s">
        <v>272</v>
      </c>
      <c r="C19" t="s">
        <v>273</v>
      </c>
    </row>
    <row r="20" spans="2:3" ht="14" x14ac:dyDescent="0.3">
      <c r="B20" s="4" t="s">
        <v>274</v>
      </c>
      <c r="C20" t="s">
        <v>275</v>
      </c>
    </row>
    <row r="21" spans="2:3" ht="14" x14ac:dyDescent="0.3">
      <c r="B21" s="4" t="s">
        <v>276</v>
      </c>
      <c r="C21" t="s">
        <v>277</v>
      </c>
    </row>
    <row r="22" spans="2:3" ht="14" x14ac:dyDescent="0.3">
      <c r="B22" s="4" t="s">
        <v>278</v>
      </c>
      <c r="C22" t="s">
        <v>279</v>
      </c>
    </row>
    <row r="23" spans="2:3" ht="14" x14ac:dyDescent="0.3">
      <c r="B23" s="4" t="s">
        <v>280</v>
      </c>
      <c r="C23" t="s">
        <v>281</v>
      </c>
    </row>
    <row r="24" spans="2:3" ht="14" x14ac:dyDescent="0.3">
      <c r="B24" s="4" t="s">
        <v>282</v>
      </c>
      <c r="C24" t="s">
        <v>4</v>
      </c>
    </row>
    <row r="25" spans="2:3" ht="14" x14ac:dyDescent="0.3">
      <c r="B25" s="4" t="s">
        <v>283</v>
      </c>
      <c r="C25" t="s">
        <v>250</v>
      </c>
    </row>
    <row r="26" spans="2:3" ht="14" x14ac:dyDescent="0.3">
      <c r="B26" s="4" t="s">
        <v>284</v>
      </c>
      <c r="C26" t="s">
        <v>285</v>
      </c>
    </row>
    <row r="27" spans="2:3" ht="14" x14ac:dyDescent="0.3">
      <c r="B27" s="4" t="s">
        <v>286</v>
      </c>
      <c r="C27" t="s">
        <v>273</v>
      </c>
    </row>
    <row r="28" spans="2:3" ht="14" x14ac:dyDescent="0.3">
      <c r="B28" s="4" t="s">
        <v>287</v>
      </c>
      <c r="C28" t="s">
        <v>273</v>
      </c>
    </row>
    <row r="29" spans="2:3" ht="14" x14ac:dyDescent="0.3">
      <c r="B29" s="4" t="s">
        <v>288</v>
      </c>
      <c r="C29" t="s">
        <v>289</v>
      </c>
    </row>
    <row r="30" spans="2:3" ht="14" x14ac:dyDescent="0.3">
      <c r="B30" s="4" t="s">
        <v>290</v>
      </c>
      <c r="C30" t="s">
        <v>291</v>
      </c>
    </row>
    <row r="31" spans="2:3" ht="14" x14ac:dyDescent="0.3">
      <c r="B31" s="4" t="s">
        <v>292</v>
      </c>
      <c r="C31" t="s">
        <v>293</v>
      </c>
    </row>
    <row r="32" spans="2:3" ht="14" x14ac:dyDescent="0.3">
      <c r="B32" s="4" t="s">
        <v>294</v>
      </c>
      <c r="C32" t="s">
        <v>289</v>
      </c>
    </row>
    <row r="33" spans="2:3" ht="14" x14ac:dyDescent="0.3">
      <c r="B33" s="4" t="s">
        <v>295</v>
      </c>
      <c r="C33" t="s">
        <v>273</v>
      </c>
    </row>
    <row r="34" spans="2:3" ht="14" x14ac:dyDescent="0.3">
      <c r="B34" s="4" t="s">
        <v>296</v>
      </c>
      <c r="C34" t="s">
        <v>285</v>
      </c>
    </row>
    <row r="35" spans="2:3" ht="14" x14ac:dyDescent="0.3">
      <c r="B35" s="4" t="s">
        <v>297</v>
      </c>
      <c r="C35" t="s">
        <v>298</v>
      </c>
    </row>
    <row r="36" spans="2:3" ht="14" x14ac:dyDescent="0.3">
      <c r="B36" s="4" t="s">
        <v>299</v>
      </c>
      <c r="C36" t="s">
        <v>300</v>
      </c>
    </row>
    <row r="37" spans="2:3" ht="14" x14ac:dyDescent="0.3">
      <c r="B37" s="4" t="s">
        <v>301</v>
      </c>
      <c r="C37" t="s">
        <v>302</v>
      </c>
    </row>
    <row r="38" spans="2:3" ht="14" x14ac:dyDescent="0.3">
      <c r="B38" s="4" t="s">
        <v>303</v>
      </c>
      <c r="C38" t="s">
        <v>304</v>
      </c>
    </row>
    <row r="39" spans="2:3" ht="14" x14ac:dyDescent="0.3">
      <c r="B39" s="4" t="s">
        <v>305</v>
      </c>
      <c r="C39" t="s">
        <v>306</v>
      </c>
    </row>
    <row r="40" spans="2:3" ht="14" x14ac:dyDescent="0.3">
      <c r="B40" s="4" t="s">
        <v>307</v>
      </c>
      <c r="C40" t="s">
        <v>308</v>
      </c>
    </row>
    <row r="41" spans="2:3" ht="14" x14ac:dyDescent="0.3">
      <c r="B41" s="4" t="s">
        <v>309</v>
      </c>
      <c r="C41" t="s">
        <v>277</v>
      </c>
    </row>
    <row r="42" spans="2:3" ht="14" x14ac:dyDescent="0.3">
      <c r="B42" s="4" t="s">
        <v>310</v>
      </c>
      <c r="C42" t="s">
        <v>311</v>
      </c>
    </row>
    <row r="43" spans="2:3" ht="14" x14ac:dyDescent="0.3">
      <c r="B43" s="4" t="s">
        <v>312</v>
      </c>
      <c r="C43" t="s">
        <v>313</v>
      </c>
    </row>
    <row r="44" spans="2:3" ht="14" x14ac:dyDescent="0.3">
      <c r="B44" s="4" t="s">
        <v>314</v>
      </c>
      <c r="C44" t="s">
        <v>315</v>
      </c>
    </row>
    <row r="45" spans="2:3" ht="14" x14ac:dyDescent="0.3">
      <c r="B45" s="4" t="s">
        <v>316</v>
      </c>
      <c r="C45" t="s">
        <v>317</v>
      </c>
    </row>
    <row r="46" spans="2:3" ht="14" x14ac:dyDescent="0.3">
      <c r="B46" s="4" t="s">
        <v>318</v>
      </c>
      <c r="C46" t="s">
        <v>319</v>
      </c>
    </row>
    <row r="47" spans="2:3" ht="14" x14ac:dyDescent="0.3">
      <c r="B47" s="4" t="s">
        <v>320</v>
      </c>
      <c r="C47" t="s">
        <v>321</v>
      </c>
    </row>
    <row r="48" spans="2:3" ht="14" x14ac:dyDescent="0.3">
      <c r="B48" s="4" t="s">
        <v>322</v>
      </c>
      <c r="C48" t="s">
        <v>323</v>
      </c>
    </row>
    <row r="49" spans="2:3" ht="14" x14ac:dyDescent="0.3">
      <c r="B49" s="4" t="s">
        <v>324</v>
      </c>
      <c r="C49" t="s">
        <v>325</v>
      </c>
    </row>
    <row r="50" spans="2:3" ht="14" x14ac:dyDescent="0.3">
      <c r="B50" s="4" t="s">
        <v>326</v>
      </c>
      <c r="C50" t="s">
        <v>327</v>
      </c>
    </row>
    <row r="51" spans="2:3" ht="14" x14ac:dyDescent="0.3">
      <c r="B51" s="4" t="s">
        <v>328</v>
      </c>
      <c r="C51" t="s">
        <v>329</v>
      </c>
    </row>
    <row r="52" spans="2:3" ht="14" x14ac:dyDescent="0.3">
      <c r="B52" s="4" t="s">
        <v>330</v>
      </c>
      <c r="C52" t="s">
        <v>331</v>
      </c>
    </row>
    <row r="53" spans="2:3" ht="14" x14ac:dyDescent="0.3">
      <c r="B53" s="4" t="s">
        <v>332</v>
      </c>
      <c r="C53" t="s">
        <v>333</v>
      </c>
    </row>
    <row r="54" spans="2:3" ht="14" x14ac:dyDescent="0.3">
      <c r="B54" s="4" t="s">
        <v>334</v>
      </c>
      <c r="C54" t="s">
        <v>335</v>
      </c>
    </row>
    <row r="55" spans="2:3" ht="14" x14ac:dyDescent="0.3">
      <c r="B55" s="4" t="s">
        <v>336</v>
      </c>
      <c r="C55" t="s">
        <v>337</v>
      </c>
    </row>
    <row r="56" spans="2:3" ht="14" x14ac:dyDescent="0.3">
      <c r="B56" s="4" t="s">
        <v>338</v>
      </c>
      <c r="C56" t="s">
        <v>339</v>
      </c>
    </row>
    <row r="57" spans="2:3" ht="14" x14ac:dyDescent="0.3">
      <c r="B57" s="4" t="s">
        <v>340</v>
      </c>
      <c r="C57" t="s">
        <v>341</v>
      </c>
    </row>
    <row r="58" spans="2:3" ht="14" x14ac:dyDescent="0.3">
      <c r="B58" s="4" t="s">
        <v>342</v>
      </c>
      <c r="C58" t="s">
        <v>343</v>
      </c>
    </row>
    <row r="59" spans="2:3" ht="14" x14ac:dyDescent="0.3">
      <c r="B59" s="4" t="s">
        <v>344</v>
      </c>
      <c r="C59" t="s">
        <v>345</v>
      </c>
    </row>
    <row r="60" spans="2:3" ht="14" x14ac:dyDescent="0.3">
      <c r="B60" s="4" t="s">
        <v>346</v>
      </c>
      <c r="C60" t="s">
        <v>347</v>
      </c>
    </row>
    <row r="61" spans="2:3" ht="14" x14ac:dyDescent="0.3">
      <c r="B61" s="4" t="s">
        <v>348</v>
      </c>
      <c r="C61" t="s">
        <v>349</v>
      </c>
    </row>
    <row r="62" spans="2:3" ht="14" x14ac:dyDescent="0.3">
      <c r="B62" s="4" t="s">
        <v>350</v>
      </c>
      <c r="C62" t="s">
        <v>211</v>
      </c>
    </row>
  </sheetData>
  <phoneticPr fontId="8"/>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Executive Summary</vt:lpstr>
      <vt:lpstr>Financial Statements</vt:lpstr>
      <vt:lpstr>DCF Model</vt:lpstr>
      <vt:lpstr>Reverse DCF</vt:lpstr>
      <vt:lpstr>NWC Schedule</vt:lpstr>
      <vt:lpstr>Comps Analysis</vt:lpstr>
      <vt:lpstr>Sensitivity Analysis</vt:lpstr>
      <vt:lpstr>Adjustments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良亮 佐藤</cp:lastModifiedBy>
  <dcterms:created xsi:type="dcterms:W3CDTF">2026-09-06T14:18:21Z</dcterms:created>
  <dcterms:modified xsi:type="dcterms:W3CDTF">2026-09-06T14:18:24Z</dcterms:modified>
</cp:coreProperties>
</file>