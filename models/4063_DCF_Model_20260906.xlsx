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B4991CF5-4345-40B3-9F15-AE71ADDBA497}"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F16" i="6" s="1"/>
  <c r="C28" i="6" s="1"/>
  <c r="C19" i="1" s="1"/>
  <c r="D19" i="1" s="1"/>
  <c r="K6" i="6"/>
  <c r="E15" i="6" s="1"/>
  <c r="J6" i="6"/>
  <c r="O5" i="6"/>
  <c r="N5" i="6"/>
  <c r="D5" i="6"/>
  <c r="E5" i="6" s="1"/>
  <c r="C16" i="5"/>
  <c r="C14" i="5"/>
  <c r="C18" i="5" s="1"/>
  <c r="C7" i="5"/>
  <c r="C6" i="5"/>
  <c r="C5" i="5"/>
  <c r="C13" i="4"/>
  <c r="C12" i="4"/>
  <c r="C9" i="4"/>
  <c r="C7" i="4"/>
  <c r="C6" i="4"/>
  <c r="C8" i="4" s="1"/>
  <c r="C10" i="4" s="1"/>
  <c r="D27" i="3"/>
  <c r="G5" i="5" s="1"/>
  <c r="C25" i="3"/>
  <c r="C24" i="3"/>
  <c r="C23" i="3"/>
  <c r="H28" i="2"/>
  <c r="G28" i="2"/>
  <c r="F28" i="2"/>
  <c r="E28" i="2"/>
  <c r="D28" i="2"/>
  <c r="C28" i="2"/>
  <c r="H23" i="2"/>
  <c r="G23" i="2"/>
  <c r="F23" i="2"/>
  <c r="E23" i="2"/>
  <c r="D23" i="2"/>
  <c r="C23" i="2"/>
  <c r="G22" i="2"/>
  <c r="H21" i="2"/>
  <c r="H22" i="2" s="1"/>
  <c r="G21" i="2"/>
  <c r="F21" i="2"/>
  <c r="F22" i="2" s="1"/>
  <c r="E21" i="2"/>
  <c r="E22" i="2" s="1"/>
  <c r="D21" i="2"/>
  <c r="D22" i="2" s="1"/>
  <c r="C21" i="2"/>
  <c r="C22" i="2" s="1"/>
  <c r="H16" i="2"/>
  <c r="G16" i="2"/>
  <c r="F16" i="2"/>
  <c r="E16" i="2"/>
  <c r="D16" i="2"/>
  <c r="H15" i="2"/>
  <c r="G15" i="2"/>
  <c r="F15" i="2"/>
  <c r="E15" i="2"/>
  <c r="D15" i="2"/>
  <c r="H14" i="2"/>
  <c r="G14" i="2"/>
  <c r="F14" i="2"/>
  <c r="E14" i="2"/>
  <c r="D14" i="2"/>
  <c r="C14" i="2"/>
  <c r="H13" i="2"/>
  <c r="G13" i="2"/>
  <c r="F13" i="2"/>
  <c r="E13" i="2"/>
  <c r="D13" i="2"/>
  <c r="C13" i="2"/>
  <c r="D9" i="2"/>
  <c r="C9" i="2"/>
  <c r="H8" i="2"/>
  <c r="H9" i="2" s="1"/>
  <c r="G8" i="2"/>
  <c r="G9" i="2" s="1"/>
  <c r="F8" i="2"/>
  <c r="F9" i="2" s="1"/>
  <c r="E8" i="2"/>
  <c r="E9" i="2" s="1"/>
  <c r="D8" i="2"/>
  <c r="C8" i="2"/>
  <c r="G15" i="6" l="1"/>
  <c r="I15" i="6"/>
  <c r="E17" i="6"/>
  <c r="H15" i="6"/>
  <c r="I16" i="6"/>
  <c r="H16" i="6"/>
  <c r="C26" i="3"/>
  <c r="F46" i="3" s="1"/>
  <c r="D17" i="6"/>
  <c r="F15" i="6"/>
  <c r="J5" i="6"/>
  <c r="K5" i="6"/>
  <c r="F36" i="4"/>
  <c r="E46" i="3"/>
  <c r="H36" i="4"/>
  <c r="C71" i="4"/>
  <c r="C70" i="4"/>
  <c r="C31" i="3"/>
  <c r="E5" i="5"/>
  <c r="C30" i="3"/>
  <c r="C33" i="3" s="1"/>
  <c r="H5" i="5"/>
  <c r="D7" i="5"/>
  <c r="I6" i="7"/>
  <c r="F32" i="3"/>
  <c r="D30" i="3"/>
  <c r="G31" i="3"/>
  <c r="E7" i="5"/>
  <c r="L5" i="6"/>
  <c r="D16" i="6"/>
  <c r="F17" i="6"/>
  <c r="C17" i="7"/>
  <c r="E30" i="3"/>
  <c r="C32" i="3"/>
  <c r="D6" i="5"/>
  <c r="F7" i="5"/>
  <c r="M5" i="6"/>
  <c r="E16" i="6"/>
  <c r="G17" i="6"/>
  <c r="C6" i="7"/>
  <c r="D17" i="7"/>
  <c r="G6" i="5"/>
  <c r="F31" i="3"/>
  <c r="F30" i="3"/>
  <c r="D32" i="3"/>
  <c r="E6" i="5"/>
  <c r="G7" i="5"/>
  <c r="D15" i="6"/>
  <c r="H17" i="6"/>
  <c r="D6" i="7"/>
  <c r="E17" i="7"/>
  <c r="G30" i="3"/>
  <c r="E32" i="3"/>
  <c r="D5" i="5"/>
  <c r="F6" i="5"/>
  <c r="H7" i="5"/>
  <c r="G16" i="6"/>
  <c r="I17" i="6"/>
  <c r="E6" i="7"/>
  <c r="F17" i="7"/>
  <c r="F6" i="7"/>
  <c r="G17" i="7"/>
  <c r="D31" i="3"/>
  <c r="G32" i="3"/>
  <c r="F5" i="5"/>
  <c r="H6" i="5"/>
  <c r="G6" i="7"/>
  <c r="H17" i="7"/>
  <c r="E31" i="3"/>
  <c r="G46" i="3" l="1"/>
  <c r="E36" i="4"/>
  <c r="C11" i="4"/>
  <c r="C24" i="4" s="1"/>
  <c r="C25" i="4" s="1"/>
  <c r="B31" i="1"/>
  <c r="G36" i="4"/>
  <c r="C46" i="3"/>
  <c r="C3" i="7"/>
  <c r="D46" i="3"/>
  <c r="D36" i="4"/>
  <c r="H40" i="4"/>
  <c r="H44" i="4"/>
  <c r="H38" i="4"/>
  <c r="H41" i="4"/>
  <c r="H45" i="4"/>
  <c r="H39" i="4"/>
  <c r="H49" i="4" s="1"/>
  <c r="H54" i="4" s="1"/>
  <c r="H43" i="4"/>
  <c r="H46" i="4"/>
  <c r="F43" i="4"/>
  <c r="F46" i="4"/>
  <c r="F44" i="4"/>
  <c r="F38" i="4"/>
  <c r="F48" i="4" s="1"/>
  <c r="F53" i="4" s="1"/>
  <c r="F39" i="4"/>
  <c r="F49" i="4" s="1"/>
  <c r="F40" i="4"/>
  <c r="F41" i="4"/>
  <c r="F51" i="4" s="1"/>
  <c r="F56" i="4" s="1"/>
  <c r="F45" i="4"/>
  <c r="C27" i="6"/>
  <c r="C18" i="1" s="1"/>
  <c r="D18" i="1" s="1"/>
  <c r="C74" i="4"/>
  <c r="C29" i="4"/>
  <c r="C26" i="4"/>
  <c r="C27" i="4"/>
  <c r="B24" i="1"/>
  <c r="B29" i="1"/>
  <c r="E39" i="4"/>
  <c r="E43" i="4"/>
  <c r="E46" i="4"/>
  <c r="E40" i="4"/>
  <c r="E44" i="4"/>
  <c r="E38" i="4"/>
  <c r="E48" i="4" s="1"/>
  <c r="E53" i="4" s="1"/>
  <c r="E41" i="4"/>
  <c r="E51" i="4" s="1"/>
  <c r="E56" i="4" s="1"/>
  <c r="E45" i="4"/>
  <c r="G46" i="4"/>
  <c r="G40" i="4"/>
  <c r="G38" i="4"/>
  <c r="G41" i="4"/>
  <c r="G51" i="4" s="1"/>
  <c r="G56" i="4" s="1"/>
  <c r="G45" i="4"/>
  <c r="G39" i="4"/>
  <c r="G44" i="4"/>
  <c r="G43" i="4"/>
  <c r="B13" i="7"/>
  <c r="B12" i="7"/>
  <c r="B11" i="7"/>
  <c r="B10" i="7"/>
  <c r="B9" i="7"/>
  <c r="B8" i="7"/>
  <c r="B7" i="7"/>
  <c r="B24" i="7"/>
  <c r="B23" i="7"/>
  <c r="B22" i="7"/>
  <c r="B21" i="7"/>
  <c r="B20" i="7"/>
  <c r="B19" i="7"/>
  <c r="B18" i="7"/>
  <c r="D9" i="5"/>
  <c r="D12" i="5" s="1"/>
  <c r="C42" i="3"/>
  <c r="C34" i="3"/>
  <c r="D10" i="5" s="1"/>
  <c r="C37" i="3"/>
  <c r="D33" i="3"/>
  <c r="C35" i="3"/>
  <c r="D45" i="4"/>
  <c r="D39" i="4"/>
  <c r="D49" i="4" s="1"/>
  <c r="D54" i="4" s="1"/>
  <c r="D46" i="4"/>
  <c r="D40" i="4"/>
  <c r="D50" i="4" s="1"/>
  <c r="D55" i="4" s="1"/>
  <c r="D44" i="4"/>
  <c r="D38" i="4"/>
  <c r="D41" i="4"/>
  <c r="D43" i="4"/>
  <c r="F50" i="4" l="1"/>
  <c r="F55" i="4" s="1"/>
  <c r="C36" i="3"/>
  <c r="C39" i="3"/>
  <c r="C38" i="3"/>
  <c r="E50" i="4"/>
  <c r="E55" i="4" s="1"/>
  <c r="F54" i="4"/>
  <c r="C60" i="4"/>
  <c r="B78" i="4"/>
  <c r="G49" i="4"/>
  <c r="G54" i="4" s="1"/>
  <c r="G48" i="4"/>
  <c r="G53" i="4" s="1"/>
  <c r="H51" i="4"/>
  <c r="H56" i="4" s="1"/>
  <c r="D51" i="4"/>
  <c r="D56" i="4" s="1"/>
  <c r="E9" i="5"/>
  <c r="E12" i="5" s="1"/>
  <c r="D42" i="3"/>
  <c r="D34" i="3"/>
  <c r="E10" i="5" s="1"/>
  <c r="D37" i="3"/>
  <c r="E33" i="3"/>
  <c r="D48" i="4"/>
  <c r="D53" i="4" s="1"/>
  <c r="G50" i="4"/>
  <c r="G55" i="4" s="1"/>
  <c r="H48" i="4"/>
  <c r="H53" i="4" s="1"/>
  <c r="D15" i="5"/>
  <c r="D16" i="5" s="1"/>
  <c r="D13" i="5"/>
  <c r="D14" i="5" s="1"/>
  <c r="D18" i="5" s="1"/>
  <c r="D19" i="5" s="1"/>
  <c r="C44" i="3" s="1"/>
  <c r="E49" i="4"/>
  <c r="E54" i="4" s="1"/>
  <c r="H50" i="4"/>
  <c r="H55" i="4" s="1"/>
  <c r="E13" i="5" l="1"/>
  <c r="E14" i="5" s="1"/>
  <c r="E15" i="5"/>
  <c r="E16" i="5" s="1"/>
  <c r="C65" i="4"/>
  <c r="D65" i="4" s="1"/>
  <c r="C64" i="4"/>
  <c r="D64" i="4" s="1"/>
  <c r="C67" i="4"/>
  <c r="D67" i="4" s="1"/>
  <c r="C63" i="4"/>
  <c r="D63" i="4" s="1"/>
  <c r="C66" i="4"/>
  <c r="D66" i="4" s="1"/>
  <c r="F9" i="5"/>
  <c r="F12" i="5" s="1"/>
  <c r="E42" i="3"/>
  <c r="E34" i="3"/>
  <c r="F10" i="5" s="1"/>
  <c r="E35" i="3"/>
  <c r="F33" i="3"/>
  <c r="E37" i="3"/>
  <c r="C40" i="3"/>
  <c r="C41" i="3" s="1"/>
  <c r="C45" i="3" s="1"/>
  <c r="D35" i="3"/>
  <c r="E18" i="5" l="1"/>
  <c r="E19" i="5" s="1"/>
  <c r="D44" i="3" s="1"/>
  <c r="F42" i="3"/>
  <c r="F34" i="3"/>
  <c r="G10" i="5" s="1"/>
  <c r="F37" i="3"/>
  <c r="F35" i="3"/>
  <c r="G33" i="3"/>
  <c r="G9" i="5"/>
  <c r="G12" i="5" s="1"/>
  <c r="C47" i="3"/>
  <c r="E39" i="3"/>
  <c r="E36" i="3"/>
  <c r="E38" i="3"/>
  <c r="F13" i="5"/>
  <c r="F15" i="5"/>
  <c r="F16" i="5" s="1"/>
  <c r="F14" i="5"/>
  <c r="F18" i="5" s="1"/>
  <c r="F19" i="5" s="1"/>
  <c r="E44" i="3" s="1"/>
  <c r="D36" i="3"/>
  <c r="D39" i="3"/>
  <c r="D38" i="3"/>
  <c r="G37" i="3" l="1"/>
  <c r="C16" i="4"/>
  <c r="C28" i="4" s="1"/>
  <c r="H9" i="5"/>
  <c r="H12" i="5" s="1"/>
  <c r="G42" i="3"/>
  <c r="G34" i="3"/>
  <c r="H10" i="5" s="1"/>
  <c r="F38" i="3"/>
  <c r="F39" i="3"/>
  <c r="F36" i="3"/>
  <c r="E40" i="3"/>
  <c r="E41" i="3" s="1"/>
  <c r="E45" i="3" s="1"/>
  <c r="E47" i="3" s="1"/>
  <c r="G13" i="5"/>
  <c r="G14" i="5" s="1"/>
  <c r="G18" i="5" s="1"/>
  <c r="G19" i="5" s="1"/>
  <c r="F44" i="3" s="1"/>
  <c r="G15" i="5"/>
  <c r="G16" i="5" s="1"/>
  <c r="D40" i="3"/>
  <c r="D41" i="3" s="1"/>
  <c r="D45" i="3" s="1"/>
  <c r="D47" i="3" l="1"/>
  <c r="H15" i="5"/>
  <c r="H16" i="5" s="1"/>
  <c r="H13" i="5"/>
  <c r="C72" i="4"/>
  <c r="C73" i="4"/>
  <c r="H14" i="5"/>
  <c r="H18" i="5" s="1"/>
  <c r="H19" i="5" s="1"/>
  <c r="G44" i="3" s="1"/>
  <c r="G35" i="3"/>
  <c r="F40" i="3"/>
  <c r="F41" i="3" s="1"/>
  <c r="F45" i="3" s="1"/>
  <c r="F47" i="3" l="1"/>
  <c r="G38" i="3"/>
  <c r="G36" i="3"/>
  <c r="G39" i="3"/>
  <c r="G40" i="3" l="1"/>
  <c r="C59" i="3"/>
  <c r="C60" i="3" s="1"/>
  <c r="C61" i="3" s="1"/>
  <c r="G41" i="3"/>
  <c r="G45" i="3" s="1"/>
  <c r="C51" i="3" l="1"/>
  <c r="C52" i="3" s="1"/>
  <c r="G47" i="3"/>
  <c r="C50" i="3" s="1"/>
  <c r="F21" i="7"/>
  <c r="I9" i="7"/>
  <c r="E7" i="7"/>
  <c r="H11" i="7"/>
  <c r="H7" i="7"/>
  <c r="H20" i="7"/>
  <c r="E8" i="7"/>
  <c r="G12" i="7"/>
  <c r="E12" i="7"/>
  <c r="I20" i="7"/>
  <c r="C13" i="7"/>
  <c r="I24" i="7"/>
  <c r="H18" i="7"/>
  <c r="I21" i="7"/>
  <c r="C7" i="7"/>
  <c r="I8" i="7"/>
  <c r="G11" i="7"/>
  <c r="F13" i="7"/>
  <c r="I13" i="7"/>
  <c r="E22" i="7"/>
  <c r="D13" i="7"/>
  <c r="D11" i="7"/>
  <c r="G7" i="7"/>
  <c r="F7" i="7"/>
  <c r="D24" i="7"/>
  <c r="C9" i="7"/>
  <c r="I23" i="7"/>
  <c r="E23" i="7"/>
  <c r="D8" i="7"/>
  <c r="I19" i="7"/>
  <c r="F20" i="7"/>
  <c r="C20" i="7"/>
  <c r="G24" i="7"/>
  <c r="E24" i="7"/>
  <c r="G13" i="7"/>
  <c r="I11" i="7"/>
  <c r="F18" i="7"/>
  <c r="C18" i="7"/>
  <c r="H24" i="7"/>
  <c r="F22" i="7"/>
  <c r="D7" i="7"/>
  <c r="F8" i="7"/>
  <c r="E11" i="7"/>
  <c r="G18" i="7"/>
  <c r="H13" i="7"/>
  <c r="D9" i="7"/>
  <c r="I12" i="7"/>
  <c r="H9" i="7"/>
  <c r="E18" i="7"/>
  <c r="I18" i="7"/>
  <c r="G21" i="7"/>
  <c r="H22" i="7"/>
  <c r="D20" i="7"/>
  <c r="F19" i="7"/>
  <c r="H10" i="7"/>
  <c r="G22" i="7"/>
  <c r="H21" i="7"/>
  <c r="C23" i="7"/>
  <c r="E19" i="7"/>
  <c r="I7" i="7"/>
  <c r="D12" i="7"/>
  <c r="D19" i="7"/>
  <c r="G23" i="7"/>
  <c r="D18" i="7"/>
  <c r="H19" i="7"/>
  <c r="G9" i="7"/>
  <c r="H12" i="7"/>
  <c r="F12" i="7"/>
  <c r="D21" i="7"/>
  <c r="C21" i="7"/>
  <c r="F23" i="7"/>
  <c r="C10" i="7"/>
  <c r="H8" i="7"/>
  <c r="F24" i="7"/>
  <c r="G20" i="7"/>
  <c r="E10" i="7"/>
  <c r="C8" i="7"/>
  <c r="C24" i="7"/>
  <c r="I22" i="7"/>
  <c r="I10" i="7"/>
  <c r="E9" i="7"/>
  <c r="D22" i="7"/>
  <c r="F11" i="7"/>
  <c r="C11" i="7"/>
  <c r="E20" i="7"/>
  <c r="F9" i="7"/>
  <c r="F10" i="7"/>
  <c r="C22" i="7"/>
  <c r="D10" i="7"/>
  <c r="G10" i="7"/>
  <c r="C12" i="7"/>
  <c r="H23" i="7"/>
  <c r="D23" i="7"/>
  <c r="G8" i="7"/>
  <c r="E13" i="7"/>
  <c r="E21" i="7"/>
  <c r="G19" i="7"/>
  <c r="C19" i="7"/>
  <c r="C58" i="3" l="1"/>
  <c r="C62" i="3" s="1"/>
  <c r="C53" i="3"/>
  <c r="C17" i="4" l="1"/>
  <c r="C54" i="3"/>
  <c r="C55" i="3" s="1"/>
  <c r="C16" i="1" s="1"/>
  <c r="C63" i="3"/>
  <c r="C64" i="3" s="1"/>
  <c r="C17" i="1" s="1"/>
  <c r="D17" i="1" s="1"/>
  <c r="C21" i="1" l="1"/>
  <c r="C10" i="1"/>
  <c r="D16" i="1"/>
  <c r="C19" i="4"/>
  <c r="C20" i="4" s="1"/>
  <c r="B79" i="4" s="1"/>
  <c r="C12" i="1" l="1"/>
  <c r="C11" i="1" s="1"/>
  <c r="B26" i="1" l="1"/>
</calcChain>
</file>

<file path=xl/sharedStrings.xml><?xml version="1.0" encoding="utf-8"?>
<sst xmlns="http://schemas.openxmlformats.org/spreadsheetml/2006/main" count="433" uniqueCount="351">
  <si>
    <t>DISCLAIMER: This is a sample analysis for demonstration purposes only. It does not constitute investment advice.</t>
  </si>
  <si>
    <t>信越化学工業 (4063.T)</t>
  </si>
  <si>
    <t>Equity Research Report</t>
  </si>
  <si>
    <t>Company</t>
  </si>
  <si>
    <t>信越化学工業</t>
  </si>
  <si>
    <t>Ticker</t>
  </si>
  <si>
    <t>4063.T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</si>
  <si>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</si>
  <si>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</si>
  <si>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</si>
  <si>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</si>
  <si>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</si>
  <si>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</si>
  <si>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</si>
  <si>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</si>
  <si>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</si>
  <si>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</si>
  <si>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</si>
  <si>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</si>
  <si>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</si>
  <si>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</si>
  <si>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</si>
  <si>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</si>
  <si>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</si>
  <si>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The balance sheet carries net cash rather than net debt, so enterprise value is funded entirely by equity and the discount rate is the cost of equity with no leverage benefit assumed.</t>
  </si>
  <si>
    <t>Key Risks</t>
  </si>
  <si>
    <t>Semiconductor wafer demand is cyclical: the projected margin recovery assumes a memory and logic capex upturn that customer order books have not yet confirmed.</t>
  </si>
  <si>
    <t>信越化学工業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</si>
  <si>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</si>
  <si>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</si>
  <si>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</si>
  <si>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</si>
  <si>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</si>
  <si>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</si>
  <si>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</si>
  <si>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</si>
  <si>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</si>
  <si>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</si>
  <si>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</si>
  <si>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</si>
  <si>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</si>
  <si>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</si>
  <si>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</si>
  <si>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</si>
  <si>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</si>
  <si>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</si>
  <si>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</si>
  <si>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</si>
  <si>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</si>
  <si>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</si>
  <si>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</si>
  <si>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</si>
  <si>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</si>
  <si>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</si>
  <si>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</si>
  <si>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</si>
  <si>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</si>
  <si>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6/6 — blank cells are years with no year-key match in the source data (verify against 決算短信 or set hist_ocf / hist_cash / hist_debt in overrides).</t>
  </si>
  <si>
    <t>DCF Valuation Model - 信越化学工業</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</si>
  <si>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</si>
  <si>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</si>
  <si>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</si>
  <si>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</si>
  <si>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</si>
  <si>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</si>
  <si>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</si>
  <si>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</si>
  <si>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</si>
  <si>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</si>
  <si>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</si>
  <si>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</si>
  <si>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</si>
  <si>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</si>
  <si>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</si>
  <si>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</si>
  <si>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</si>
  <si>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</si>
  <si>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</si>
  <si>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</si>
  <si>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</si>
  <si>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</si>
  <si>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</si>
  <si>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</si>
  <si>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</si>
  <si>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</si>
  <si>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</si>
  <si>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</si>
  <si>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</si>
  <si>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</si>
  <si>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</si>
  <si>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</si>
  <si>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</si>
  <si>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</si>
  <si>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</si>
  <si>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</si>
  <si>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</si>
  <si>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</si>
  <si>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</si>
  <si>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</si>
  <si>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</si>
  <si>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</si>
  <si>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</si>
  <si>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</si>
  <si>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</si>
  <si>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</si>
  <si>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</si>
  <si>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</si>
  <si>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</si>
  <si>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</si>
  <si>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</si>
  <si>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</si>
  <si>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</si>
  <si>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</si>
  <si>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</si>
  <si>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</si>
  <si>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</si>
  <si>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</si>
  <si>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</si>
  <si>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</si>
  <si>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</si>
  <si>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</si>
  <si>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</si>
  <si>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</si>
  <si>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信越化学工業 (4063.T)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</si>
  <si>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</si>
  <si>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</si>
  <si>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</si>
  <si>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</si>
  <si>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</si>
  <si>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</si>
  <si>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</si>
  <si>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</si>
  <si>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</si>
  <si>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(FY2023 actual)</t>
  </si>
  <si>
    <t>Terminal-year Revenue, active scenario (JPY mn)</t>
  </si>
  <si>
    <t>Base-case DCF Enterprise Value, PGM (JPY mn)</t>
  </si>
  <si>
    <t>Cycle-peak Operating Margin (FY2023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</si>
  <si>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</si>
  <si>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</si>
  <si>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</si>
  <si>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</si>
  <si>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</si>
  <si>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</si>
  <si>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FY2023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</si>
  <si>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</si>
  <si>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</si>
  <si>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</si>
  <si>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</si>
  <si>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</si>
  <si>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</si>
  <si>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</si>
  <si>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</si>
  <si>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</si>
  <si>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</si>
  <si>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</si>
  <si>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</si>
  <si>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</si>
  <si>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</si>
  <si>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</si>
  <si>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FY2023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</si>
  <si>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</si>
  <si>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</si>
  <si>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</si>
  <si>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</si>
  <si>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</si>
  <si>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</si>
  <si>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(FY2023)</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</si>
  <si>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</si>
  <si>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</si>
  <si>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</si>
  <si>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</si>
  <si>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</si>
  <si>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</si>
  <si>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</si>
  <si>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</si>
  <si>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信越化学工業</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</si>
  <si>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</si>
  <si>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</si>
  <si>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</si>
  <si>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</si>
  <si>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</si>
  <si>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</si>
  <si>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</si>
  <si>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</si>
  <si>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</si>
  <si>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</si>
  <si>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</si>
  <si>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</si>
  <si>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</si>
  <si>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</si>
  <si>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</si>
  <si>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</si>
  <si>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</si>
  <si>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</si>
  <si>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</si>
  <si>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2026-09-07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</si>
  <si>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</si>
  <si>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</si>
  <si>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</si>
  <si>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</si>
  <si>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</si>
  <si>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</si>
  <si>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</si>
  <si>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</si>
  <si>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</si>
  <si>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</si>
  <si>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</si>
  <si>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</si>
  <si>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</si>
  <si>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</si>
  <si>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Shin-Etsu Chemical Co., Ltd.</t>
  </si>
  <si>
    <t>4063.T</t>
  </si>
  <si>
    <t>Asahi Kasei Corporation</t>
  </si>
  <si>
    <t>3407.T</t>
  </si>
  <si>
    <t>Mitsubishi Chemical Group Corporation</t>
  </si>
  <si>
    <t>4188.T</t>
  </si>
  <si>
    <t>Mitsui Chemicals, Inc.</t>
  </si>
  <si>
    <t>4183.T</t>
  </si>
  <si>
    <t>Nippon Sanso Holdings Corporation</t>
  </si>
  <si>
    <t>4091.T</t>
  </si>
  <si>
    <t>FUJIFILM Holdings Corporation</t>
  </si>
  <si>
    <t>4901.T</t>
  </si>
  <si>
    <t>Statistics</t>
  </si>
  <si>
    <t>25th Percentile</t>
  </si>
  <si>
    <t>Median (50th)</t>
  </si>
  <si>
    <t>75th Percentile</t>
  </si>
  <si>
    <t>Implied Valuation for 信越化学工業</t>
  </si>
  <si>
    <t>信越化学工業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</si>
  <si>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</si>
  <si>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</si>
  <si>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</si>
  <si>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</si>
  <si>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</si>
  <si>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</si>
  <si>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</si>
  <si>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</si>
  <si>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</si>
  <si>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</si>
  <si>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</si>
  <si>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</si>
  <si>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</si>
  <si>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</si>
  <si>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</si>
  <si>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信越化学工業</t>
  </si>
  <si>
    <t>日付</t>
  </si>
  <si>
    <t>セル</t>
  </si>
  <si>
    <t>変更内容</t>
  </si>
  <si>
    <t>理由</t>
  </si>
  <si>
    <t>元の値</t>
  </si>
  <si>
    <t>状態</t>
  </si>
  <si>
    <t>2026-09-07</t>
  </si>
  <si>
    <t>-</t>
  </si>
  <si>
    <t>Generated by pipeline on 2026-09-07 02:28, template rev 15b64f7</t>
  </si>
  <si>
    <t>初期生成（手修正なし）</t>
  </si>
  <si>
    <t>generated</t>
  </si>
  <si>
    <t>DCF Model!C8</t>
  </si>
  <si>
    <t>Beta = 1.029（採用値）</t>
  </si>
  <si>
    <t>実測β(raw) = 1.044 → Blume調整 0.67×raw + 0.33×1.00 = 1.029 → 採用 1.029。クランプ域 [0.3, 2.0] の内側。置換なし。回帰βは平均回帰するため Blume 調整を既定とする（2026-09-05 バッチで85件中57件が旧下限 0.60 に張り付き、両裾の歪みが実証された）。</t>
  </si>
  <si>
    <t>実測 1.044</t>
  </si>
  <si>
    <t>確定</t>
  </si>
  <si>
    <t>Pipeline Metadata (do not edit — read by scripts/validate_output.py)</t>
  </si>
  <si>
    <t>key</t>
  </si>
  <si>
    <t>value</t>
  </si>
  <si>
    <t>annual_doc_ids</t>
  </si>
  <si>
    <t>2026-03-31=S100YE9I, 2025-03-31=S100W0RG, 2024-03-31=S100TO0V, 2023-03-31=S100R9Y6, 2022-03-31=S100OLVL</t>
  </si>
  <si>
    <t>auto_log_entries</t>
  </si>
  <si>
    <t>1</t>
  </si>
  <si>
    <t>beta_adopted_c8</t>
  </si>
  <si>
    <t>1.0292</t>
  </si>
  <si>
    <t>beta_basis</t>
  </si>
  <si>
    <t>Blume: 0.67 x 1.044 + 0.33 x 1.00 = 1.029</t>
  </si>
  <si>
    <t>beta_blume_adjusted</t>
  </si>
  <si>
    <t>beta_clamped</t>
  </si>
  <si>
    <t>no</t>
  </si>
  <si>
    <t>beta_raw</t>
  </si>
  <si>
    <t>1.0436</t>
  </si>
  <si>
    <t>capex_pct_basis</t>
  </si>
  <si>
    <t>explicit_override</t>
  </si>
  <si>
    <t>capex_pct_c5</t>
  </si>
  <si>
    <t>0.1</t>
  </si>
  <si>
    <t>capex_pct_hist3yr</t>
  </si>
  <si>
    <t>0.15467</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</si>
  <si>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</si>
  <si>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</si>
  <si>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</si>
  <si>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</si>
  <si>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</si>
  <si>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</si>
  <si>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</si>
  <si>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</si>
  <si>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</si>
  <si>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</si>
  <si>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</si>
  <si>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</si>
  <si>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</si>
  <si>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</si>
  <si>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</si>
  <si>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</si>
  <si>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</si>
  <si>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</si>
  <si>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</si>
  <si>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</si>
  <si>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878177.0</t>
  </si>
  <si>
    <t>core_net_income</t>
  </si>
  <si>
    <t>474459.0</t>
  </si>
  <si>
    <t>cost_of_debt_at_c11</t>
  </si>
  <si>
    <t>0.01</t>
  </si>
  <si>
    <t>cost_of_debt_basis</t>
  </si>
  <si>
    <t>assumption</t>
  </si>
  <si>
    <t>da_pct_basis</t>
  </si>
  <si>
    <t>da_pct_c18</t>
  </si>
  <si>
    <t>0.095</t>
  </si>
  <si>
    <t>da_pct_hist3yr</t>
  </si>
  <si>
    <t>0.093905</t>
  </si>
  <si>
    <t>disclosure_basis_date</t>
  </si>
  <si>
    <t>2026-03-31</t>
  </si>
  <si>
    <t>fs_year_coverage</t>
  </si>
  <si>
    <t>OCF 6/6, Cash 6/6, Debt 6/6</t>
  </si>
  <si>
    <t>fs_year_map</t>
  </si>
  <si>
    <t>FY2021&lt;-FY2021[ocf+cash+debt]; FY2022&lt;-FY2022[ocf+cash+debt]; 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</si>
  <si>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</si>
  <si>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</si>
  <si>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</si>
  <si>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</si>
  <si>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</si>
  <si>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2026-09-07 02:28:50</t>
  </si>
  <si>
    <t>guidance_note</t>
  </si>
  <si>
    <t>TDnet 決算短信 via screener guidance table: FY2027 disclosed 2026-07-24 (net_income=525,000mn, operating_income=700,000mn, revenue=2,700,000mn)</t>
  </si>
  <si>
    <t>guidance_source</t>
  </si>
  <si>
    <t>tdnet_screener_db</t>
  </si>
  <si>
    <t>latest_operating_income</t>
  </si>
  <si>
    <t>635204.0</t>
  </si>
  <si>
    <t>ltm_revenue_c20</t>
  </si>
  <si>
    <t>2573969.0</t>
  </si>
  <si>
    <t>ltm_revenue_source</t>
  </si>
  <si>
    <t>latest FY (no LTM)</t>
  </si>
  <si>
    <t>market_data_source</t>
  </si>
  <si>
    <t>yfinance; from overrides: beta</t>
  </si>
  <si>
    <t>narrative_tokens_used</t>
  </si>
  <si>
    <t>pb,per,price,target_price,upside_pct,wacc</t>
  </si>
  <si>
    <t>net_debt_source</t>
  </si>
  <si>
    <t>EDINET net_debt</t>
  </si>
  <si>
    <t>reverse_dcf_sheet</t>
  </si>
  <si>
    <t>op0=635,204(FY2026) peak=998,202(FY2023) peak_opm=0.3554 N=3/5/7/10</t>
  </si>
  <si>
    <t>scenario_index_range</t>
  </si>
  <si>
    <t>B69:B73</t>
  </si>
  <si>
    <t>tax_rate_c6</t>
  </si>
  <si>
    <t>0.25</t>
  </si>
  <si>
    <t>template_rev</t>
  </si>
  <si>
    <t>15b64f7</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</si>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</sst>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5786</v>
      </c>
    </row>
    <row r="10" spans="2:5" ht="14" x14ac:dyDescent="0.3">
      <c r="B10" s="4" t="s">
        <v>10</v>
      </c>
      <c r="C10" s="5">
        <f>IF(COUNT(C16:C17)=0,"N/A",ROUND(AVERAGE(C16:C17),0))</f>
        <v>4087</v>
      </c>
    </row>
    <row r="11" spans="2:5" ht="14" x14ac:dyDescent="0.3">
      <c r="B11" s="4" t="s">
        <v>11</v>
      </c>
      <c r="C11" s="6" t="str">
        <f>IF(NOT(ISNUMBER(C12)),"N/A",IF(C12&gt;0.15,"BUY",IF(C12&gt;0.05,"HOLD","SELL")))</f>
        <v>SELL</v>
      </c>
    </row>
    <row r="12" spans="2:5" ht="14" x14ac:dyDescent="0.3">
      <c r="B12" s="4" t="s">
        <v>12</v>
      </c>
      <c r="C12" s="7">
        <f>IF(ISNUMBER(C10),(C10-C9)/C9,"N/A")</f>
        <v>-0.29363982025578983</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3416</v>
      </c>
      <c r="D16" s="7">
        <f>IF(ISNUMBER(C16),(C16-C9)/C9,"N/A")</f>
        <v>-0.40960940200483925</v>
      </c>
    </row>
    <row r="17" spans="2:5" ht="13.5" x14ac:dyDescent="0.25">
      <c r="B17" t="s">
        <v>18</v>
      </c>
      <c r="C17" s="11">
        <f>IF('DCF Model'!C62&lt;'DCF Model'!C16,"INVALID (EV &lt; net debt)",'DCF Model'!C64)</f>
        <v>4757</v>
      </c>
      <c r="D17" s="7">
        <f>IF(ISNUMBER(C17),(C17-C9)/C9,"N/A")</f>
        <v>-0.17784306947805045</v>
      </c>
    </row>
    <row r="18" spans="2:5" ht="13.5" x14ac:dyDescent="0.25">
      <c r="B18" t="s">
        <v>19</v>
      </c>
      <c r="C18" s="11">
        <f>'Comps Analysis'!C27</f>
        <v>5242</v>
      </c>
      <c r="D18" s="7">
        <f>IF(ISNUMBER(C18),(C18-C9)/C9,"N/A")</f>
        <v>-9.4020048392671973E-2</v>
      </c>
    </row>
    <row r="19" spans="2:5" ht="13.5" x14ac:dyDescent="0.25">
      <c r="B19" t="s">
        <v>20</v>
      </c>
      <c r="C19" s="11">
        <f>'Comps Analysis'!C28</f>
        <v>4997</v>
      </c>
      <c r="D19" s="7">
        <f>IF(ISNUMBER(C19),(C19-C9)/C9,"N/A")</f>
        <v>-0.13636363636363635</v>
      </c>
    </row>
    <row r="20" spans="2:5" ht="14" x14ac:dyDescent="0.3">
      <c r="B20" s="45" t="s">
        <v>21</v>
      </c>
      <c r="C20" s="44"/>
      <c r="D20" s="44"/>
      <c r="E20" s="44"/>
    </row>
    <row r="21" spans="2:5" ht="14" x14ac:dyDescent="0.3">
      <c r="B21" s="4" t="s">
        <v>22</v>
      </c>
      <c r="C21" s="6" t="str">
        <f>IF(COUNT(C16:C17)=0,"N/A",MIN(C16:C17)&amp;" - "&amp;MAX(C16:C17))</f>
        <v>3416 - 4757</v>
      </c>
    </row>
    <row r="23" spans="2:5" ht="14" x14ac:dyDescent="0.3">
      <c r="B23" s="8" t="s">
        <v>23</v>
      </c>
      <c r="C23" s="9"/>
      <c r="D23" s="9"/>
    </row>
    <row r="24" spans="2:5" x14ac:dyDescent="0.2">
      <c r="B24" t="str">
        <f>"Semiconductor-grade silicon, silicones and PVC give Shin-Etsu a structurally higher operating margin than the Japanese chemical peer group; the shares change hands at "&amp;TEXT('Comps Analysis'!L5,"0.0""x""")&amp;" earnings and "&amp;TEXT('Comps Analysis'!M5,"0.00""x""")&amp;" book against a "&amp;TEXT('DCF Model'!C26,"0.00%")&amp;" cost of capital."</f>
        <v>Semiconductor-grade silicon, silicones and PVC give Shin-Etsu a structurally higher operating margin than the Japanese chemical peer group; the shares change hands at 22.1x earnings and 2.35x book against a 10.66% cost of capital.</v>
      </c>
    </row>
    <row r="25" spans="2:5" x14ac:dyDescent="0.2">
      <c r="B25" t="s">
        <v>24</v>
      </c>
    </row>
    <row r="26" spans="2:5" x14ac:dyDescent="0.2">
      <c r="B26" t="str">
        <f>"At "&amp;TEXT(C9,"#,##0")&amp;" the market is capitalising the current trough operating margin as permanent; normalising toward the five-year median margin supports "&amp;TEXT(C10,"#,##0")&amp;", or "&amp;TEXT(C12,"+0.0%;-0.0%")&amp;" from the current level."</f>
        <v>At 5,786 the market is capitalising the current trough operating margin as permanent; normalising toward the five-year median margin supports 4,087, or -29.4% from the current level.</v>
      </c>
    </row>
    <row r="28" spans="2:5" ht="14" x14ac:dyDescent="0.3">
      <c r="B28" s="8" t="s">
        <v>25</v>
      </c>
      <c r="C28" s="9"/>
      <c r="D28" s="9"/>
    </row>
    <row r="29" spans="2:5" x14ac:dyDescent="0.2">
      <c r="B29" t="str">
        <f>"PVC and silicones are commodity-linked, and a further leg down in Chinese construction demand would take margins below the level implied by today's "&amp;TEXT(C9,"#,##0")&amp;" and "&amp;TEXT('Comps Analysis'!L5,"0.0""x""")&amp;"."</f>
        <v>PVC and silicones are commodity-linked, and a further leg down in Chinese construction demand would take margins below the level implied by today's 5,786 and 22.1x.</v>
      </c>
    </row>
    <row r="30" spans="2:5" x14ac:dyDescent="0.2">
      <c r="B30" t="s">
        <v>26</v>
      </c>
    </row>
    <row r="31" spans="2:5" x14ac:dyDescent="0.2">
      <c r="B31" t="str">
        <f>"Yen appreciation compresses translated overseas earnings, and the "&amp;TEXT('DCF Model'!C26,"0.00%")&amp;" discount rate carries no explicit FX sensitivity in this model."</f>
        <v>Yen appreciation compresses translated overseas earnings, and the 10.66% discount rate carries no explicit FX sensitivity in this model.</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x14ac:dyDescent="0.4">
      <c r="B2" s="2" t="s">
        <v>27</v>
      </c>
    </row>
    <row r="4" spans="2:8" ht="14" x14ac:dyDescent="0.3">
      <c r="C4" s="10" t="s">
        <v>28</v>
      </c>
      <c r="D4" s="10" t="s">
        <v>29</v>
      </c>
      <c r="E4" s="10" t="s">
        <v>30</v>
      </c>
      <c r="F4" s="10" t="s">
        <v>31</v>
      </c>
      <c r="G4" s="10" t="s">
        <v>32</v>
      </c>
      <c r="H4" s="10" t="s">
        <v>33</v>
      </c>
    </row>
    <row r="5" spans="2:8" ht="14" x14ac:dyDescent="0.3">
      <c r="B5" s="3" t="s">
        <v>34</v>
      </c>
    </row>
    <row r="6" spans="2:8" ht="14" x14ac:dyDescent="0.3">
      <c r="B6" s="4" t="s">
        <v>35</v>
      </c>
      <c r="C6" s="5">
        <v>1496906</v>
      </c>
      <c r="D6" s="5">
        <v>2074428</v>
      </c>
      <c r="E6" s="5">
        <v>2808824</v>
      </c>
      <c r="F6" s="5">
        <v>2414937</v>
      </c>
      <c r="G6" s="5">
        <v>2561249</v>
      </c>
      <c r="H6" s="5">
        <v>2573969</v>
      </c>
    </row>
    <row r="7" spans="2:8" ht="14" x14ac:dyDescent="0.3">
      <c r="B7" s="4" t="s">
        <v>36</v>
      </c>
      <c r="C7" s="5">
        <v>953203</v>
      </c>
      <c r="D7" s="5">
        <v>1206425</v>
      </c>
      <c r="E7" s="5">
        <v>1594717</v>
      </c>
      <c r="F7" s="5">
        <v>1503728</v>
      </c>
      <c r="G7" s="5">
        <v>1577127</v>
      </c>
      <c r="H7" s="5">
        <v>1693175</v>
      </c>
    </row>
    <row r="8" spans="2:8" ht="14" x14ac:dyDescent="0.3">
      <c r="B8" s="4" t="s">
        <v>37</v>
      </c>
      <c r="C8" s="5">
        <f t="shared" ref="C8:H8" si="0">C6-C7</f>
        <v>543703</v>
      </c>
      <c r="D8" s="5">
        <f t="shared" si="0"/>
        <v>868003</v>
      </c>
      <c r="E8" s="5">
        <f t="shared" si="0"/>
        <v>1214107</v>
      </c>
      <c r="F8" s="5">
        <f t="shared" si="0"/>
        <v>911209</v>
      </c>
      <c r="G8" s="5">
        <f t="shared" si="0"/>
        <v>984122</v>
      </c>
      <c r="H8" s="5">
        <f t="shared" si="0"/>
        <v>880794</v>
      </c>
    </row>
    <row r="9" spans="2:8" ht="13.5" x14ac:dyDescent="0.25">
      <c r="B9" t="s">
        <v>38</v>
      </c>
      <c r="C9" s="7">
        <f t="shared" ref="C9:H9" si="1">C8/C6</f>
        <v>0.36321786404757544</v>
      </c>
      <c r="D9" s="7">
        <f t="shared" si="1"/>
        <v>0.41843004433029252</v>
      </c>
      <c r="E9" s="7">
        <f t="shared" si="1"/>
        <v>0.43224744590618708</v>
      </c>
      <c r="F9" s="7">
        <f t="shared" si="1"/>
        <v>0.37732205850504591</v>
      </c>
      <c r="G9" s="7">
        <f t="shared" si="1"/>
        <v>0.38423519150227098</v>
      </c>
      <c r="H9" s="7">
        <f t="shared" si="1"/>
        <v>0.34219293239351367</v>
      </c>
    </row>
    <row r="10" spans="2:8" ht="14" x14ac:dyDescent="0.3">
      <c r="B10" s="4" t="s">
        <v>39</v>
      </c>
      <c r="C10" s="5">
        <v>151489</v>
      </c>
      <c r="D10" s="5">
        <v>191680</v>
      </c>
      <c r="E10" s="5">
        <v>215905</v>
      </c>
      <c r="F10" s="5">
        <v>210171</v>
      </c>
      <c r="G10" s="5">
        <v>242016</v>
      </c>
      <c r="H10" s="5">
        <v>245588</v>
      </c>
    </row>
    <row r="11" spans="2:8" ht="14" x14ac:dyDescent="0.3">
      <c r="B11" s="4" t="s">
        <v>40</v>
      </c>
      <c r="C11" s="5">
        <v>392213</v>
      </c>
      <c r="D11" s="5">
        <v>676322</v>
      </c>
      <c r="E11" s="5">
        <v>998202</v>
      </c>
      <c r="F11" s="5">
        <v>701038</v>
      </c>
      <c r="G11" s="5">
        <v>742105</v>
      </c>
      <c r="H11" s="5">
        <v>635204</v>
      </c>
    </row>
    <row r="12" spans="2:8" ht="14" x14ac:dyDescent="0.3">
      <c r="B12" s="4" t="s">
        <v>41</v>
      </c>
      <c r="C12" s="5">
        <v>293732</v>
      </c>
      <c r="D12" s="5">
        <v>500117</v>
      </c>
      <c r="E12" s="5">
        <v>708238</v>
      </c>
      <c r="F12" s="5">
        <v>520140</v>
      </c>
      <c r="G12" s="5">
        <v>534021</v>
      </c>
      <c r="H12" s="5">
        <v>474459</v>
      </c>
    </row>
    <row r="13" spans="2:8" ht="13.5" x14ac:dyDescent="0.25">
      <c r="B13" t="s">
        <v>42</v>
      </c>
      <c r="C13" s="7">
        <f t="shared" ref="C13:H13" si="2">C11/C6</f>
        <v>0.26201578455828223</v>
      </c>
      <c r="D13" s="7">
        <f t="shared" si="2"/>
        <v>0.32602818704722458</v>
      </c>
      <c r="E13" s="7">
        <f t="shared" si="2"/>
        <v>0.35538075721369511</v>
      </c>
      <c r="F13" s="7">
        <f t="shared" si="2"/>
        <v>0.29029245897512024</v>
      </c>
      <c r="G13" s="7">
        <f t="shared" si="2"/>
        <v>0.28974340253524744</v>
      </c>
      <c r="H13" s="7">
        <f t="shared" si="2"/>
        <v>0.2467799728745762</v>
      </c>
    </row>
    <row r="14" spans="2:8" ht="13.5" x14ac:dyDescent="0.25">
      <c r="B14" t="s">
        <v>43</v>
      </c>
      <c r="C14" s="7">
        <f t="shared" ref="C14:H14" si="3">C12/C6</f>
        <v>0.19622608233249114</v>
      </c>
      <c r="D14" s="7">
        <f t="shared" si="3"/>
        <v>0.2410866995624818</v>
      </c>
      <c r="E14" s="7">
        <f t="shared" si="3"/>
        <v>0.25214751796481372</v>
      </c>
      <c r="F14" s="7">
        <f t="shared" si="3"/>
        <v>0.2153845007136832</v>
      </c>
      <c r="G14" s="7">
        <f t="shared" si="3"/>
        <v>0.20850022781853697</v>
      </c>
      <c r="H14" s="7">
        <f t="shared" si="3"/>
        <v>0.18432972580477852</v>
      </c>
    </row>
    <row r="15" spans="2:8" ht="13.5" x14ac:dyDescent="0.25">
      <c r="B15" t="s">
        <v>44</v>
      </c>
      <c r="C15" t="s">
        <v>45</v>
      </c>
      <c r="D15" s="7">
        <f>(D6-C6)/C6</f>
        <v>0.38581046505258182</v>
      </c>
      <c r="E15" s="7">
        <f>(E6-D6)/D6</f>
        <v>0.35402337415422469</v>
      </c>
      <c r="F15" s="7">
        <f>(F6-E6)/E6</f>
        <v>-0.14023199744804232</v>
      </c>
      <c r="G15" s="7">
        <f>(G6-F6)/F6</f>
        <v>6.0586259600146922E-2</v>
      </c>
      <c r="H15" s="7">
        <f>(H6-G6)/G6</f>
        <v>4.9663269756279067E-3</v>
      </c>
    </row>
    <row r="16" spans="2:8" ht="13.5" x14ac:dyDescent="0.25">
      <c r="B16" t="s">
        <v>46</v>
      </c>
      <c r="C16" t="s">
        <v>45</v>
      </c>
      <c r="D16" s="7">
        <f>(D11-C11)/C11</f>
        <v>0.72437425582527859</v>
      </c>
      <c r="E16" s="7">
        <f>(E11-D11)/D11</f>
        <v>0.4759271471281431</v>
      </c>
      <c r="F16" s="7">
        <f>(F11-E11)/E11</f>
        <v>-0.29769926327536911</v>
      </c>
      <c r="G16" s="7">
        <f>(G11-F11)/F11</f>
        <v>5.8580276675444125E-2</v>
      </c>
      <c r="H16" s="7">
        <f>(H11-G11)/G11</f>
        <v>-0.14405104398973193</v>
      </c>
    </row>
    <row r="18" spans="2:8" ht="14" x14ac:dyDescent="0.3">
      <c r="B18" s="3" t="s">
        <v>47</v>
      </c>
    </row>
    <row r="19" spans="2:8" ht="14" x14ac:dyDescent="0.3">
      <c r="B19" s="4" t="s">
        <v>48</v>
      </c>
      <c r="C19" s="5">
        <v>401176</v>
      </c>
      <c r="D19" s="5">
        <v>553528</v>
      </c>
      <c r="E19" s="5">
        <v>788013</v>
      </c>
      <c r="F19" s="5">
        <v>755183</v>
      </c>
      <c r="G19" s="5">
        <v>881934</v>
      </c>
      <c r="H19" s="5">
        <v>712651</v>
      </c>
    </row>
    <row r="20" spans="2:8" ht="14" x14ac:dyDescent="0.3">
      <c r="B20" s="4" t="s">
        <v>49</v>
      </c>
      <c r="C20" s="5">
        <v>236195</v>
      </c>
      <c r="D20" s="5">
        <v>195775</v>
      </c>
      <c r="E20" s="5">
        <v>295517</v>
      </c>
      <c r="F20" s="5">
        <v>374417</v>
      </c>
      <c r="G20" s="5">
        <v>439473</v>
      </c>
      <c r="H20" s="5">
        <v>353620</v>
      </c>
    </row>
    <row r="21" spans="2:8" ht="14" x14ac:dyDescent="0.3">
      <c r="B21" s="4" t="s">
        <v>50</v>
      </c>
      <c r="C21" s="5">
        <f t="shared" ref="C21:H21" si="4">C19-C20</f>
        <v>164981</v>
      </c>
      <c r="D21" s="5">
        <f t="shared" si="4"/>
        <v>357753</v>
      </c>
      <c r="E21" s="5">
        <f t="shared" si="4"/>
        <v>492496</v>
      </c>
      <c r="F21" s="5">
        <f t="shared" si="4"/>
        <v>380766</v>
      </c>
      <c r="G21" s="5">
        <f t="shared" si="4"/>
        <v>442461</v>
      </c>
      <c r="H21" s="5">
        <f t="shared" si="4"/>
        <v>359031</v>
      </c>
    </row>
    <row r="22" spans="2:8" ht="13.5" x14ac:dyDescent="0.25">
      <c r="B22" t="s">
        <v>51</v>
      </c>
      <c r="C22" s="7">
        <f t="shared" ref="C22:H22" si="5">C21/C6</f>
        <v>0.11021466945820245</v>
      </c>
      <c r="D22" s="7">
        <f t="shared" si="5"/>
        <v>0.1724586247389642</v>
      </c>
      <c r="E22" s="7">
        <f t="shared" si="5"/>
        <v>0.17533886067621182</v>
      </c>
      <c r="F22" s="7">
        <f t="shared" si="5"/>
        <v>0.1576711939069218</v>
      </c>
      <c r="G22" s="7">
        <f t="shared" si="5"/>
        <v>0.17275204402227196</v>
      </c>
      <c r="H22" s="7">
        <f t="shared" si="5"/>
        <v>0.13948536287733068</v>
      </c>
    </row>
    <row r="23" spans="2:8" ht="13.5" x14ac:dyDescent="0.25">
      <c r="B23" t="s">
        <v>52</v>
      </c>
      <c r="C23" s="7">
        <f t="shared" ref="C23:H23" si="6">C20/C6</f>
        <v>0.15778879902946477</v>
      </c>
      <c r="D23" s="7">
        <f t="shared" si="6"/>
        <v>9.4375413366961883E-2</v>
      </c>
      <c r="E23" s="7">
        <f t="shared" si="6"/>
        <v>0.10521022321085266</v>
      </c>
      <c r="F23" s="7">
        <f t="shared" si="6"/>
        <v>0.15504213981565565</v>
      </c>
      <c r="G23" s="7">
        <f t="shared" si="6"/>
        <v>0.17158542570441218</v>
      </c>
      <c r="H23" s="7">
        <f t="shared" si="6"/>
        <v>0.13738316195727299</v>
      </c>
    </row>
    <row r="25" spans="2:8" ht="14" x14ac:dyDescent="0.3">
      <c r="B25" s="3" t="s">
        <v>53</v>
      </c>
    </row>
    <row r="26" spans="2:8" ht="14" x14ac:dyDescent="0.3">
      <c r="B26" s="4" t="s">
        <v>54</v>
      </c>
      <c r="C26" s="5">
        <v>801596</v>
      </c>
      <c r="D26" s="5">
        <v>1008925</v>
      </c>
      <c r="E26" s="5">
        <v>1247344</v>
      </c>
      <c r="F26" s="5">
        <v>590135</v>
      </c>
      <c r="G26" s="5">
        <v>1708438</v>
      </c>
      <c r="H26" s="5">
        <v>1660060</v>
      </c>
    </row>
    <row r="27" spans="2:8" ht="14" x14ac:dyDescent="0.3">
      <c r="B27" s="4" t="s">
        <v>55</v>
      </c>
      <c r="C27" s="5">
        <v>27754</v>
      </c>
      <c r="D27" s="5">
        <v>30401</v>
      </c>
      <c r="E27" s="5">
        <v>29810</v>
      </c>
      <c r="F27" s="5">
        <v>24299</v>
      </c>
      <c r="G27" s="5">
        <v>16841</v>
      </c>
      <c r="H27" s="5">
        <v>243295</v>
      </c>
    </row>
    <row r="28" spans="2:8" ht="14" x14ac:dyDescent="0.3">
      <c r="B28" s="4" t="s">
        <v>56</v>
      </c>
      <c r="C28" s="5">
        <f t="shared" ref="C28:H28" si="7">C27-C26</f>
        <v>-773842</v>
      </c>
      <c r="D28" s="5">
        <f t="shared" si="7"/>
        <v>-978524</v>
      </c>
      <c r="E28" s="5">
        <f t="shared" si="7"/>
        <v>-1217534</v>
      </c>
      <c r="F28" s="5">
        <f t="shared" si="7"/>
        <v>-565836</v>
      </c>
      <c r="G28" s="5">
        <f t="shared" si="7"/>
        <v>-1691597</v>
      </c>
      <c r="H28" s="5">
        <f t="shared" si="7"/>
        <v>-1416765</v>
      </c>
    </row>
    <row r="30" spans="2:8" ht="14" x14ac:dyDescent="0.3">
      <c r="B30" s="1" t="s">
        <v>57</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58</v>
      </c>
    </row>
    <row r="4" spans="2:7" ht="14" x14ac:dyDescent="0.3">
      <c r="B4" s="8" t="s">
        <v>59</v>
      </c>
      <c r="C4" s="9"/>
      <c r="D4" s="9"/>
      <c r="E4" s="9"/>
      <c r="F4" s="9"/>
      <c r="G4" s="9"/>
    </row>
    <row r="5" spans="2:7" ht="14" x14ac:dyDescent="0.3">
      <c r="B5" s="4" t="s">
        <v>60</v>
      </c>
      <c r="C5" s="7">
        <v>0.1</v>
      </c>
    </row>
    <row r="6" spans="2:7" ht="14" x14ac:dyDescent="0.3">
      <c r="B6" s="4" t="s">
        <v>61</v>
      </c>
      <c r="C6" s="7">
        <v>0.25</v>
      </c>
    </row>
    <row r="7" spans="2:7" ht="14" x14ac:dyDescent="0.3">
      <c r="B7" s="4" t="s">
        <v>62</v>
      </c>
      <c r="C7" s="7">
        <v>2.9700000000000001E-2</v>
      </c>
    </row>
    <row r="8" spans="2:7" ht="14" x14ac:dyDescent="0.3">
      <c r="B8" s="4" t="s">
        <v>63</v>
      </c>
      <c r="C8" s="12">
        <v>1.0291999999999999</v>
      </c>
    </row>
    <row r="9" spans="2:7" ht="14" x14ac:dyDescent="0.3">
      <c r="B9" s="4" t="s">
        <v>64</v>
      </c>
      <c r="C9" s="7">
        <v>6.5000000000000002E-2</v>
      </c>
    </row>
    <row r="10" spans="2:7" ht="14" x14ac:dyDescent="0.3">
      <c r="B10" s="4" t="s">
        <v>65</v>
      </c>
      <c r="C10" s="7">
        <v>0.01</v>
      </c>
    </row>
    <row r="11" spans="2:7" ht="14" x14ac:dyDescent="0.3">
      <c r="B11" s="4" t="s">
        <v>66</v>
      </c>
      <c r="C11" s="7">
        <v>0.01</v>
      </c>
    </row>
    <row r="12" spans="2:7" ht="14" x14ac:dyDescent="0.3">
      <c r="B12" s="4" t="s">
        <v>67</v>
      </c>
      <c r="C12" s="13">
        <v>0</v>
      </c>
    </row>
    <row r="13" spans="2:7" ht="14" x14ac:dyDescent="0.3">
      <c r="B13" s="4" t="s">
        <v>68</v>
      </c>
      <c r="C13" s="7">
        <v>0.01</v>
      </c>
    </row>
    <row r="14" spans="2:7" ht="14" x14ac:dyDescent="0.3">
      <c r="B14" s="4" t="s">
        <v>69</v>
      </c>
      <c r="C14" s="14">
        <v>9.1999999999999993</v>
      </c>
    </row>
    <row r="15" spans="2:7" ht="14" x14ac:dyDescent="0.3">
      <c r="B15" s="4" t="s">
        <v>70</v>
      </c>
      <c r="C15" s="15">
        <v>1815064711</v>
      </c>
    </row>
    <row r="16" spans="2:7" ht="14" x14ac:dyDescent="0.3">
      <c r="B16" s="4" t="s">
        <v>71</v>
      </c>
      <c r="C16" s="5">
        <v>-1416765</v>
      </c>
    </row>
    <row r="17" spans="2:7" ht="14" x14ac:dyDescent="0.3">
      <c r="B17" s="4" t="s">
        <v>72</v>
      </c>
      <c r="C17" s="5">
        <v>2573969</v>
      </c>
    </row>
    <row r="18" spans="2:7" ht="14" x14ac:dyDescent="0.3">
      <c r="B18" s="4" t="s">
        <v>73</v>
      </c>
      <c r="C18" s="7">
        <v>9.5000000000000001E-2</v>
      </c>
    </row>
    <row r="19" spans="2:7" ht="14" x14ac:dyDescent="0.3">
      <c r="B19" s="4" t="s">
        <v>74</v>
      </c>
      <c r="C19" s="12">
        <v>1</v>
      </c>
    </row>
    <row r="20" spans="2:7" ht="14" x14ac:dyDescent="0.3">
      <c r="B20" s="4" t="s">
        <v>75</v>
      </c>
      <c r="C20" s="5">
        <v>2573969</v>
      </c>
    </row>
    <row r="22" spans="2:7" ht="14" x14ac:dyDescent="0.3">
      <c r="B22" s="8" t="s">
        <v>76</v>
      </c>
      <c r="C22" s="9"/>
      <c r="D22" s="9"/>
      <c r="E22" s="9"/>
      <c r="F22" s="9"/>
      <c r="G22" s="9"/>
    </row>
    <row r="23" spans="2:7" ht="14" x14ac:dyDescent="0.3">
      <c r="B23" s="4" t="s">
        <v>77</v>
      </c>
      <c r="C23" s="16">
        <f>C7+C8*C9+C10</f>
        <v>0.106598</v>
      </c>
    </row>
    <row r="24" spans="2:7" ht="14" x14ac:dyDescent="0.3">
      <c r="B24" s="4" t="s">
        <v>78</v>
      </c>
      <c r="C24" s="16">
        <f>1/(1+C12)</f>
        <v>1</v>
      </c>
    </row>
    <row r="25" spans="2:7" ht="14" x14ac:dyDescent="0.3">
      <c r="B25" s="4" t="s">
        <v>79</v>
      </c>
      <c r="C25" s="16">
        <f>C12/(1+C12)</f>
        <v>0</v>
      </c>
    </row>
    <row r="26" spans="2:7" ht="14" x14ac:dyDescent="0.3">
      <c r="B26" s="4" t="s">
        <v>80</v>
      </c>
      <c r="C26" s="16">
        <f>C23*C24+C11*C25</f>
        <v>0.106598</v>
      </c>
    </row>
    <row r="27" spans="2:7" ht="14" x14ac:dyDescent="0.3">
      <c r="B27" s="4" t="s">
        <v>81</v>
      </c>
      <c r="C27" s="17" t="s">
        <v>82</v>
      </c>
      <c r="D27" s="6">
        <f>MATCH(C27,B69:B73,0)</f>
        <v>1</v>
      </c>
    </row>
    <row r="28" spans="2:7" ht="14" x14ac:dyDescent="0.3">
      <c r="B28" s="8" t="s">
        <v>83</v>
      </c>
      <c r="C28" s="9"/>
      <c r="D28" s="9"/>
      <c r="E28" s="9"/>
      <c r="F28" s="9"/>
      <c r="G28" s="9"/>
    </row>
    <row r="29" spans="2:7" ht="14" x14ac:dyDescent="0.3">
      <c r="C29" s="10" t="s">
        <v>84</v>
      </c>
      <c r="D29" s="10" t="s">
        <v>85</v>
      </c>
      <c r="E29" s="10" t="s">
        <v>86</v>
      </c>
      <c r="F29" s="10" t="s">
        <v>87</v>
      </c>
      <c r="G29" s="10" t="s">
        <v>88</v>
      </c>
    </row>
    <row r="30" spans="2:7" ht="14" x14ac:dyDescent="0.3">
      <c r="B30" s="4" t="s">
        <v>44</v>
      </c>
      <c r="C30" s="18">
        <f>CHOOSE($D$27,C69,C70,C71,C72,C73)</f>
        <v>2.5000000000000001E-2</v>
      </c>
      <c r="D30" s="18">
        <f>CHOOSE($D$27,D69,D70,D71,D72,D73)</f>
        <v>0.03</v>
      </c>
      <c r="E30" s="18">
        <f>CHOOSE($D$27,E69,E70,E71,E72,E73)</f>
        <v>0.03</v>
      </c>
      <c r="F30" s="18">
        <f>CHOOSE($D$27,F69,F70,F71,F72,F73)</f>
        <v>2.5000000000000001E-2</v>
      </c>
      <c r="G30" s="18">
        <f>CHOOSE($D$27,G69,G70,G71,G72,G73)</f>
        <v>2.5000000000000001E-2</v>
      </c>
    </row>
    <row r="31" spans="2:7" ht="14" x14ac:dyDescent="0.3">
      <c r="B31" s="4" t="s">
        <v>89</v>
      </c>
      <c r="C31" s="18">
        <f>CHOOSE($D$27,C76,C77,C78,C79,C80)</f>
        <v>0.65</v>
      </c>
      <c r="D31" s="18">
        <f>CHOOSE($D$27,D76,D77,D78,D79,D80)</f>
        <v>0.64</v>
      </c>
      <c r="E31" s="18">
        <f>CHOOSE($D$27,E76,E77,E78,E79,E80)</f>
        <v>0.63</v>
      </c>
      <c r="F31" s="18">
        <f>CHOOSE($D$27,F76,F77,F78,F79,F80)</f>
        <v>0.62</v>
      </c>
      <c r="G31" s="18">
        <f>CHOOSE($D$27,G76,G77,G78,G79,G80)</f>
        <v>0.61499999999999999</v>
      </c>
    </row>
    <row r="32" spans="2:7" ht="14" x14ac:dyDescent="0.3">
      <c r="B32" s="4" t="s">
        <v>90</v>
      </c>
      <c r="C32" s="18">
        <f>CHOOSE($D$27,C83,C84,C85,C86,C87)</f>
        <v>9.8895999999999998E-2</v>
      </c>
      <c r="D32" s="18">
        <f>CHOOSE($D$27,D83,D84,D85,D86,D87)</f>
        <v>0.104572</v>
      </c>
      <c r="E32" s="18">
        <f>CHOOSE($D$27,E83,E84,E85,E86,E87)</f>
        <v>0.110248</v>
      </c>
      <c r="F32" s="18">
        <f>CHOOSE($D$27,F83,F84,F85,F86,F87)</f>
        <v>0.115925</v>
      </c>
      <c r="G32" s="18">
        <f>CHOOSE($D$27,G83,G84,G85,G86,G87)</f>
        <v>0.116601</v>
      </c>
    </row>
    <row r="33" spans="2:7" ht="14" x14ac:dyDescent="0.3">
      <c r="B33" s="4" t="s">
        <v>35</v>
      </c>
      <c r="C33" s="5">
        <f>C17*(1+C30)</f>
        <v>2638318.2249999996</v>
      </c>
      <c r="D33" s="5">
        <f>C33*(1+D30)</f>
        <v>2717467.7717499998</v>
      </c>
      <c r="E33" s="5">
        <f>D33*(1+E30)</f>
        <v>2798991.8049025</v>
      </c>
      <c r="F33" s="5">
        <f>E33*(1+F30)</f>
        <v>2868966.6000250624</v>
      </c>
      <c r="G33" s="5">
        <f>F33*(1+G30)</f>
        <v>2940690.7650256888</v>
      </c>
    </row>
    <row r="34" spans="2:7" ht="14" x14ac:dyDescent="0.3">
      <c r="B34" s="4" t="s">
        <v>36</v>
      </c>
      <c r="C34" s="5">
        <f>C33*C31</f>
        <v>1714906.8462499997</v>
      </c>
      <c r="D34" s="5">
        <f>D33*D31</f>
        <v>1739179.3739199999</v>
      </c>
      <c r="E34" s="5">
        <f>E33*E31</f>
        <v>1763364.8370885751</v>
      </c>
      <c r="F34" s="5">
        <f>F33*F31</f>
        <v>1778759.2920155388</v>
      </c>
      <c r="G34" s="5">
        <f>G33*G31</f>
        <v>1808524.8204907987</v>
      </c>
    </row>
    <row r="35" spans="2:7" ht="14" x14ac:dyDescent="0.3">
      <c r="B35" s="4" t="s">
        <v>37</v>
      </c>
      <c r="C35" s="19">
        <f>C33-C34</f>
        <v>923411.37874999992</v>
      </c>
      <c r="D35" s="19">
        <f>D33-D34</f>
        <v>978288.39782999991</v>
      </c>
      <c r="E35" s="19">
        <f>E33-E34</f>
        <v>1035626.9678139249</v>
      </c>
      <c r="F35" s="19">
        <f>F33-F34</f>
        <v>1090207.3080095237</v>
      </c>
      <c r="G35" s="19">
        <f>G33-G34</f>
        <v>1132165.9445348901</v>
      </c>
    </row>
    <row r="36" spans="2:7" ht="14" x14ac:dyDescent="0.3">
      <c r="B36" s="4" t="s">
        <v>38</v>
      </c>
      <c r="C36" s="7">
        <f>C35/C33</f>
        <v>0.35000000000000003</v>
      </c>
      <c r="D36" s="7">
        <f>D35/D33</f>
        <v>0.36</v>
      </c>
      <c r="E36" s="7">
        <f>E35/E33</f>
        <v>0.36999999999999994</v>
      </c>
      <c r="F36" s="7">
        <f>F35/F33</f>
        <v>0.38</v>
      </c>
      <c r="G36" s="7">
        <f>G35/G33</f>
        <v>0.38499999999999995</v>
      </c>
    </row>
    <row r="37" spans="2:7" ht="14" x14ac:dyDescent="0.3">
      <c r="B37" s="4" t="s">
        <v>91</v>
      </c>
      <c r="C37" s="5">
        <f>C33*C32</f>
        <v>260919.11917959995</v>
      </c>
      <c r="D37" s="5">
        <f>D33*D32</f>
        <v>284171.03982744098</v>
      </c>
      <c r="E37" s="5">
        <f>E33*E32</f>
        <v>308583.24850689084</v>
      </c>
      <c r="F37" s="5">
        <f>F33*F32</f>
        <v>332584.95310790534</v>
      </c>
      <c r="G37" s="5">
        <f>G33*G32</f>
        <v>342887.48389276036</v>
      </c>
    </row>
    <row r="38" spans="2:7" ht="14" x14ac:dyDescent="0.3">
      <c r="B38" s="4" t="s">
        <v>92</v>
      </c>
      <c r="C38" s="7">
        <f>(C35-C37)/C33</f>
        <v>0.25110400000000005</v>
      </c>
      <c r="D38" s="7">
        <f>(D35-D37)/D33</f>
        <v>0.25542799999999999</v>
      </c>
      <c r="E38" s="7">
        <f>(E35-E37)/E33</f>
        <v>0.25975199999999993</v>
      </c>
      <c r="F38" s="7">
        <f>(F35-F37)/F33</f>
        <v>0.264075</v>
      </c>
      <c r="G38" s="7">
        <f>(G35-G37)/G33</f>
        <v>0.268399</v>
      </c>
    </row>
    <row r="39" spans="2:7" ht="14" x14ac:dyDescent="0.3">
      <c r="B39" s="4" t="s">
        <v>93</v>
      </c>
      <c r="C39" s="19">
        <f>C35-C37</f>
        <v>662492.2595704</v>
      </c>
      <c r="D39" s="19">
        <f>D35-D37</f>
        <v>694117.35800255893</v>
      </c>
      <c r="E39" s="19">
        <f>E35-E37</f>
        <v>727043.71930703404</v>
      </c>
      <c r="F39" s="19">
        <f>F35-F37</f>
        <v>757622.35490161832</v>
      </c>
      <c r="G39" s="19">
        <f>G35-G37</f>
        <v>789278.46064212976</v>
      </c>
    </row>
    <row r="40" spans="2:7" ht="14" x14ac:dyDescent="0.3">
      <c r="B40" s="4" t="s">
        <v>94</v>
      </c>
      <c r="C40" s="5">
        <f>MAX(0,C39*C6)</f>
        <v>165623.0648926</v>
      </c>
      <c r="D40" s="5">
        <f>MAX(0,D39*C6)</f>
        <v>173529.33950063973</v>
      </c>
      <c r="E40" s="5">
        <f>MAX(0,E39*C6)</f>
        <v>181760.92982675851</v>
      </c>
      <c r="F40" s="5">
        <f>MAX(0,F39*C6)</f>
        <v>189405.58872540458</v>
      </c>
      <c r="G40" s="5">
        <f>MAX(0,G39*C6)</f>
        <v>197319.61516053244</v>
      </c>
    </row>
    <row r="41" spans="2:7" ht="14" x14ac:dyDescent="0.3">
      <c r="B41" s="4" t="s">
        <v>95</v>
      </c>
      <c r="C41" s="19">
        <f>C39-C40</f>
        <v>496869.1946778</v>
      </c>
      <c r="D41" s="19">
        <f>D39-D40</f>
        <v>520588.01850191923</v>
      </c>
      <c r="E41" s="19">
        <f>E39-E40</f>
        <v>545282.78948027547</v>
      </c>
      <c r="F41" s="19">
        <f>F39-F40</f>
        <v>568216.76617621374</v>
      </c>
      <c r="G41" s="19">
        <f>G39-G40</f>
        <v>591958.84548159735</v>
      </c>
    </row>
    <row r="42" spans="2:7" ht="14" x14ac:dyDescent="0.3">
      <c r="B42" s="4" t="s">
        <v>96</v>
      </c>
      <c r="C42" s="5">
        <f>C33*C18</f>
        <v>250640.23137499997</v>
      </c>
      <c r="D42" s="5">
        <f>D33*C18</f>
        <v>258159.43831624999</v>
      </c>
      <c r="E42" s="5">
        <f>E33*C18</f>
        <v>265904.2214657375</v>
      </c>
      <c r="F42" s="5">
        <f>F33*C18</f>
        <v>272551.82700238092</v>
      </c>
      <c r="G42" s="5">
        <f>G33*C18</f>
        <v>279365.62267744046</v>
      </c>
    </row>
    <row r="43" spans="2:7" ht="14" x14ac:dyDescent="0.3">
      <c r="B43" s="4" t="s">
        <v>97</v>
      </c>
      <c r="C43" s="5">
        <v>340000</v>
      </c>
      <c r="D43" s="5">
        <v>325000</v>
      </c>
      <c r="E43" s="5">
        <v>313000</v>
      </c>
      <c r="F43" s="5">
        <v>302000</v>
      </c>
      <c r="G43" s="5">
        <v>293000</v>
      </c>
    </row>
    <row r="44" spans="2:7" ht="14" x14ac:dyDescent="0.3">
      <c r="B44" s="4" t="s">
        <v>98</v>
      </c>
      <c r="C44" s="5">
        <f>'NWC Schedule'!D19</f>
        <v>504786.47161986283</v>
      </c>
      <c r="D44" s="5">
        <f>'NWC Schedule'!E19</f>
        <v>23974.722982684849</v>
      </c>
      <c r="E44" s="5">
        <f>'NWC Schedule'!F19</f>
        <v>24405.838637188543</v>
      </c>
      <c r="F44" s="5">
        <f>'NWC Schedule'!G19</f>
        <v>19052.315450082766</v>
      </c>
      <c r="G44" s="5">
        <f>'NWC Schedule'!H19</f>
        <v>24471.695584528614</v>
      </c>
    </row>
    <row r="45" spans="2:7" ht="14" x14ac:dyDescent="0.3">
      <c r="B45" s="4" t="s">
        <v>99</v>
      </c>
      <c r="C45" s="20">
        <f>C41+C42-C43-C44</f>
        <v>-97277.045567062916</v>
      </c>
      <c r="D45" s="20">
        <f>D41+D42-D43-D44</f>
        <v>429772.73383548437</v>
      </c>
      <c r="E45" s="20">
        <f>E41+E42-E43-E44</f>
        <v>473781.17230882449</v>
      </c>
      <c r="F45" s="20">
        <f>F41+F42-F43-F44</f>
        <v>519716.27772851195</v>
      </c>
      <c r="G45" s="20">
        <f>G41+G42-G43-G44</f>
        <v>553852.77257450926</v>
      </c>
    </row>
    <row r="46" spans="2:7" ht="14" x14ac:dyDescent="0.3">
      <c r="B46" s="4" t="s">
        <v>100</v>
      </c>
      <c r="C46" s="21">
        <f>1/(1+C26)^(C19+0)</f>
        <v>0.90367052895450739</v>
      </c>
      <c r="D46" s="21">
        <f>1/(1+C26)^(C19+1)</f>
        <v>0.81662042490091924</v>
      </c>
      <c r="E46" s="21">
        <f>1/(1+C26)^(C19+2)</f>
        <v>0.73795581132526833</v>
      </c>
      <c r="F46" s="21">
        <f>1/(1+C26)^(C19+3)</f>
        <v>0.66686891836535778</v>
      </c>
      <c r="G46" s="21">
        <f>1/(1+C26)^(C19+4)</f>
        <v>0.60262978820254309</v>
      </c>
    </row>
    <row r="47" spans="2:7" ht="14" x14ac:dyDescent="0.3">
      <c r="B47" s="4" t="s">
        <v>101</v>
      </c>
      <c r="C47" s="19">
        <f>C45*C46</f>
        <v>-87906.399222719469</v>
      </c>
      <c r="D47" s="19">
        <f>D45*D46</f>
        <v>350961.19251556293</v>
      </c>
      <c r="E47" s="19">
        <f>E45*E46</f>
        <v>349629.56940179534</v>
      </c>
      <c r="F47" s="19">
        <f>F45*F46</f>
        <v>346582.63198568264</v>
      </c>
      <c r="G47" s="19">
        <f>G45*G46</f>
        <v>333768.17903196777</v>
      </c>
    </row>
    <row r="49" spans="2:7" ht="14" x14ac:dyDescent="0.3">
      <c r="B49" s="22" t="s">
        <v>102</v>
      </c>
      <c r="C49" s="23"/>
      <c r="D49" s="23"/>
      <c r="E49" s="23"/>
      <c r="F49" s="23"/>
      <c r="G49" s="23"/>
    </row>
    <row r="50" spans="2:7" ht="14" x14ac:dyDescent="0.3">
      <c r="B50" s="4" t="s">
        <v>103</v>
      </c>
      <c r="C50" s="5">
        <f>SUM(C47:G47)</f>
        <v>1293035.1737122892</v>
      </c>
    </row>
    <row r="51" spans="2:7" ht="14" x14ac:dyDescent="0.3">
      <c r="B51" s="4" t="s">
        <v>104</v>
      </c>
      <c r="C51" s="5">
        <f>G45*(1+C13)/(C26-C13)</f>
        <v>5790920.1049737502</v>
      </c>
    </row>
    <row r="52" spans="2:7" ht="14" x14ac:dyDescent="0.3">
      <c r="B52" s="4" t="s">
        <v>105</v>
      </c>
      <c r="C52" s="5">
        <f>C51*G46</f>
        <v>3489780.9563581799</v>
      </c>
    </row>
    <row r="53" spans="2:7" ht="14" x14ac:dyDescent="0.3">
      <c r="B53" s="4" t="s">
        <v>106</v>
      </c>
      <c r="C53" s="5">
        <f>C50+C52</f>
        <v>4782816.1300704693</v>
      </c>
    </row>
    <row r="54" spans="2:7" ht="14" x14ac:dyDescent="0.3">
      <c r="B54" s="4" t="s">
        <v>107</v>
      </c>
      <c r="C54" s="5">
        <f>C53-C16</f>
        <v>6199581.1300704693</v>
      </c>
    </row>
    <row r="55" spans="2:7" ht="14" x14ac:dyDescent="0.3">
      <c r="B55" s="4" t="s">
        <v>108</v>
      </c>
      <c r="C55" s="24">
        <f>ROUND(C54*1000000/C15,0)</f>
        <v>3416</v>
      </c>
    </row>
    <row r="57" spans="2:7" ht="14" x14ac:dyDescent="0.3">
      <c r="B57" s="22" t="s">
        <v>109</v>
      </c>
      <c r="C57" s="23"/>
      <c r="D57" s="23"/>
      <c r="E57" s="23"/>
      <c r="F57" s="23"/>
      <c r="G57" s="23"/>
    </row>
    <row r="58" spans="2:7" ht="14" x14ac:dyDescent="0.3">
      <c r="B58" s="4" t="s">
        <v>103</v>
      </c>
      <c r="C58" s="5">
        <f>C50</f>
        <v>1293035.1737122892</v>
      </c>
    </row>
    <row r="59" spans="2:7" ht="14" x14ac:dyDescent="0.3">
      <c r="B59" s="4" t="s">
        <v>110</v>
      </c>
      <c r="C59" s="5">
        <f>G39+G42</f>
        <v>1068644.0833195702</v>
      </c>
    </row>
    <row r="60" spans="2:7" ht="14" x14ac:dyDescent="0.3">
      <c r="B60" s="4" t="s">
        <v>111</v>
      </c>
      <c r="C60" s="5">
        <f>C59*C14</f>
        <v>9831525.5665400457</v>
      </c>
    </row>
    <row r="61" spans="2:7" ht="14" x14ac:dyDescent="0.3">
      <c r="B61" s="4" t="s">
        <v>105</v>
      </c>
      <c r="C61" s="5">
        <f>C60*G46</f>
        <v>5924770.1698719151</v>
      </c>
    </row>
    <row r="62" spans="2:7" ht="14" x14ac:dyDescent="0.3">
      <c r="B62" s="4" t="s">
        <v>106</v>
      </c>
      <c r="C62" s="5">
        <f>C58+C61</f>
        <v>7217805.3435842041</v>
      </c>
    </row>
    <row r="63" spans="2:7" ht="14" x14ac:dyDescent="0.3">
      <c r="B63" s="4" t="s">
        <v>107</v>
      </c>
      <c r="C63" s="5">
        <f>C62-C16</f>
        <v>8634570.3435842041</v>
      </c>
    </row>
    <row r="64" spans="2:7" ht="14" x14ac:dyDescent="0.3">
      <c r="B64" s="4" t="s">
        <v>112</v>
      </c>
      <c r="C64" s="24">
        <f>ROUND(C63*1000000/C15,0)</f>
        <v>4757</v>
      </c>
    </row>
    <row r="66" spans="2:7" ht="14" x14ac:dyDescent="0.3">
      <c r="B66" s="22" t="s">
        <v>113</v>
      </c>
      <c r="C66" s="23"/>
      <c r="D66" s="23"/>
      <c r="E66" s="23"/>
      <c r="F66" s="23"/>
      <c r="G66" s="23"/>
    </row>
    <row r="67" spans="2:7" ht="14" x14ac:dyDescent="0.3">
      <c r="C67" s="25" t="s">
        <v>114</v>
      </c>
      <c r="D67" s="25" t="s">
        <v>115</v>
      </c>
      <c r="E67" s="25" t="s">
        <v>116</v>
      </c>
      <c r="F67" s="25" t="s">
        <v>117</v>
      </c>
      <c r="G67" s="25" t="s">
        <v>118</v>
      </c>
    </row>
    <row r="68" spans="2:7" ht="14" x14ac:dyDescent="0.3">
      <c r="B68" s="3" t="s">
        <v>44</v>
      </c>
    </row>
    <row r="69" spans="2:7" ht="14" x14ac:dyDescent="0.3">
      <c r="B69" s="4" t="s">
        <v>82</v>
      </c>
      <c r="C69" s="26">
        <v>2.5000000000000001E-2</v>
      </c>
      <c r="D69" s="26">
        <v>0.03</v>
      </c>
      <c r="E69" s="26">
        <v>0.03</v>
      </c>
      <c r="F69" s="26">
        <v>2.5000000000000001E-2</v>
      </c>
      <c r="G69" s="26">
        <v>2.5000000000000001E-2</v>
      </c>
    </row>
    <row r="70" spans="2:7" ht="14" x14ac:dyDescent="0.3">
      <c r="B70" s="4" t="s">
        <v>119</v>
      </c>
      <c r="C70" s="26">
        <v>0.04</v>
      </c>
      <c r="D70" s="26">
        <v>4.4999999999999998E-2</v>
      </c>
      <c r="E70" s="26">
        <v>4.4999999999999998E-2</v>
      </c>
      <c r="F70" s="26">
        <v>0.04</v>
      </c>
      <c r="G70" s="26">
        <v>0.04</v>
      </c>
    </row>
    <row r="71" spans="2:7" ht="14" x14ac:dyDescent="0.3">
      <c r="B71" s="4" t="s">
        <v>120</v>
      </c>
      <c r="C71" s="26">
        <v>2.5000000000000001E-2</v>
      </c>
      <c r="D71" s="26">
        <v>0.03</v>
      </c>
      <c r="E71" s="26">
        <v>0.03</v>
      </c>
      <c r="F71" s="26">
        <v>2.5000000000000001E-2</v>
      </c>
      <c r="G71" s="26">
        <v>2.5000000000000001E-2</v>
      </c>
    </row>
    <row r="72" spans="2:7" ht="14" x14ac:dyDescent="0.3">
      <c r="B72" s="4" t="s">
        <v>121</v>
      </c>
      <c r="C72" s="26">
        <v>0</v>
      </c>
      <c r="D72" s="26">
        <v>0</v>
      </c>
      <c r="E72" s="26">
        <v>5.0000000000000001E-3</v>
      </c>
      <c r="F72" s="26">
        <v>5.0000000000000001E-3</v>
      </c>
      <c r="G72" s="26">
        <v>5.0000000000000001E-3</v>
      </c>
    </row>
    <row r="73" spans="2:7" ht="14" x14ac:dyDescent="0.3">
      <c r="B73" s="4" t="s">
        <v>122</v>
      </c>
      <c r="C73" s="26">
        <v>-0.12</v>
      </c>
      <c r="D73" s="26">
        <v>-0.03</v>
      </c>
      <c r="E73" s="26">
        <v>0</v>
      </c>
      <c r="F73" s="26">
        <v>0.01</v>
      </c>
      <c r="G73" s="26">
        <v>1.4999999999999999E-2</v>
      </c>
    </row>
    <row r="75" spans="2:7" ht="14" x14ac:dyDescent="0.3">
      <c r="B75" s="3" t="s">
        <v>89</v>
      </c>
    </row>
    <row r="76" spans="2:7" ht="14" x14ac:dyDescent="0.3">
      <c r="B76" s="4" t="s">
        <v>82</v>
      </c>
      <c r="C76" s="26">
        <v>0.65</v>
      </c>
      <c r="D76" s="26">
        <v>0.64</v>
      </c>
      <c r="E76" s="26">
        <v>0.63</v>
      </c>
      <c r="F76" s="26">
        <v>0.62</v>
      </c>
      <c r="G76" s="26">
        <v>0.61499999999999999</v>
      </c>
    </row>
    <row r="77" spans="2:7" ht="14" x14ac:dyDescent="0.3">
      <c r="B77" s="4" t="s">
        <v>119</v>
      </c>
      <c r="C77" s="26">
        <v>0.64200000000000002</v>
      </c>
      <c r="D77" s="26">
        <v>0.622</v>
      </c>
      <c r="E77" s="26">
        <v>0.60699999999999998</v>
      </c>
      <c r="F77" s="26">
        <v>0.6</v>
      </c>
      <c r="G77" s="26">
        <v>0.6</v>
      </c>
    </row>
    <row r="78" spans="2:7" ht="14" x14ac:dyDescent="0.3">
      <c r="B78" s="4" t="s">
        <v>120</v>
      </c>
      <c r="C78" s="26">
        <v>0.65</v>
      </c>
      <c r="D78" s="26">
        <v>0.64</v>
      </c>
      <c r="E78" s="26">
        <v>0.63</v>
      </c>
      <c r="F78" s="26">
        <v>0.62</v>
      </c>
      <c r="G78" s="26">
        <v>0.61499999999999999</v>
      </c>
    </row>
    <row r="79" spans="2:7" ht="14" x14ac:dyDescent="0.3">
      <c r="B79" s="4" t="s">
        <v>121</v>
      </c>
      <c r="C79" s="26">
        <v>0.65700000000000003</v>
      </c>
      <c r="D79" s="26">
        <v>0.66200000000000003</v>
      </c>
      <c r="E79" s="26">
        <v>0.66700000000000004</v>
      </c>
      <c r="F79" s="26">
        <v>0.66700000000000004</v>
      </c>
      <c r="G79" s="26">
        <v>0.66700000000000004</v>
      </c>
    </row>
    <row r="80" spans="2:7" ht="14" x14ac:dyDescent="0.3">
      <c r="B80" s="4" t="s">
        <v>122</v>
      </c>
      <c r="C80" s="26">
        <v>0.74</v>
      </c>
      <c r="D80" s="26">
        <v>0.75</v>
      </c>
      <c r="E80" s="26">
        <v>0.74</v>
      </c>
      <c r="F80" s="26">
        <v>0.73</v>
      </c>
      <c r="G80" s="26">
        <v>0.72</v>
      </c>
    </row>
    <row r="82" spans="2:7" ht="14" x14ac:dyDescent="0.3">
      <c r="B82" s="3" t="s">
        <v>90</v>
      </c>
    </row>
    <row r="83" spans="2:7" ht="14" x14ac:dyDescent="0.3">
      <c r="B83" s="4" t="s">
        <v>82</v>
      </c>
      <c r="C83" s="26">
        <v>9.8895999999999998E-2</v>
      </c>
      <c r="D83" s="26">
        <v>0.104572</v>
      </c>
      <c r="E83" s="26">
        <v>0.110248</v>
      </c>
      <c r="F83" s="26">
        <v>0.115925</v>
      </c>
      <c r="G83" s="26">
        <v>0.116601</v>
      </c>
    </row>
    <row r="84" spans="2:7" ht="14" x14ac:dyDescent="0.3">
      <c r="B84" s="4" t="s">
        <v>119</v>
      </c>
      <c r="C84" s="26">
        <v>9.2999999999999999E-2</v>
      </c>
      <c r="D84" s="26">
        <v>9.2999999999999999E-2</v>
      </c>
      <c r="E84" s="26">
        <v>9.2999999999999999E-2</v>
      </c>
      <c r="F84" s="26">
        <v>9.2999999999999999E-2</v>
      </c>
      <c r="G84" s="26">
        <v>9.2999999999999999E-2</v>
      </c>
    </row>
    <row r="85" spans="2:7" ht="14" x14ac:dyDescent="0.3">
      <c r="B85" s="4" t="s">
        <v>120</v>
      </c>
      <c r="C85" s="26">
        <v>9.8895999999999998E-2</v>
      </c>
      <c r="D85" s="26">
        <v>0.104572</v>
      </c>
      <c r="E85" s="26">
        <v>0.110248</v>
      </c>
      <c r="F85" s="26">
        <v>0.115925</v>
      </c>
      <c r="G85" s="26">
        <v>0.116601</v>
      </c>
    </row>
    <row r="86" spans="2:7" ht="14" x14ac:dyDescent="0.3">
      <c r="B86" s="4" t="s">
        <v>121</v>
      </c>
      <c r="C86" s="26">
        <v>9.8000000000000004E-2</v>
      </c>
      <c r="D86" s="26">
        <v>9.8000000000000004E-2</v>
      </c>
      <c r="E86" s="26">
        <v>9.8000000000000004E-2</v>
      </c>
      <c r="F86" s="26">
        <v>9.8000000000000004E-2</v>
      </c>
      <c r="G86" s="26">
        <v>9.8000000000000004E-2</v>
      </c>
    </row>
    <row r="87" spans="2:7" ht="14" x14ac:dyDescent="0.3">
      <c r="B87" s="4" t="s">
        <v>122</v>
      </c>
      <c r="C87" s="26">
        <v>0.11</v>
      </c>
      <c r="D87" s="26">
        <v>0.11</v>
      </c>
      <c r="E87" s="26">
        <v>0.11</v>
      </c>
      <c r="F87" s="26">
        <v>0.11</v>
      </c>
      <c r="G87" s="26">
        <v>0.11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123</v>
      </c>
    </row>
    <row r="3" spans="2:9" ht="14" x14ac:dyDescent="0.3">
      <c r="B3" s="1" t="s">
        <v>124</v>
      </c>
    </row>
    <row r="5" spans="2:9" ht="14" x14ac:dyDescent="0.3">
      <c r="B5" s="8" t="s">
        <v>125</v>
      </c>
      <c r="C5" s="9"/>
      <c r="D5" s="9"/>
      <c r="E5" s="9"/>
      <c r="F5" s="9"/>
      <c r="G5" s="9"/>
      <c r="H5" s="9"/>
      <c r="I5" s="9"/>
    </row>
    <row r="6" spans="2:9" ht="14" x14ac:dyDescent="0.3">
      <c r="B6" s="4" t="s">
        <v>126</v>
      </c>
      <c r="C6" s="15">
        <f>'Executive Summary'!C9</f>
        <v>5786</v>
      </c>
    </row>
    <row r="7" spans="2:9" ht="14" x14ac:dyDescent="0.3">
      <c r="B7" s="4" t="s">
        <v>70</v>
      </c>
      <c r="C7" s="15">
        <f>'DCF Model'!C15</f>
        <v>1815064711</v>
      </c>
    </row>
    <row r="8" spans="2:9" ht="14" x14ac:dyDescent="0.3">
      <c r="B8" s="4" t="s">
        <v>127</v>
      </c>
      <c r="C8" s="5">
        <f>C6*C7/1000000</f>
        <v>10501964.417846</v>
      </c>
    </row>
    <row r="9" spans="2:9" ht="14" x14ac:dyDescent="0.3">
      <c r="B9" s="4" t="s">
        <v>71</v>
      </c>
      <c r="C9" s="5">
        <f>'DCF Model'!C16</f>
        <v>-1416765</v>
      </c>
    </row>
    <row r="10" spans="2:9" ht="14" x14ac:dyDescent="0.3">
      <c r="B10" s="4" t="s">
        <v>128</v>
      </c>
      <c r="C10" s="5">
        <f>C8+C9</f>
        <v>9085199.4178459998</v>
      </c>
    </row>
    <row r="11" spans="2:9" ht="14" x14ac:dyDescent="0.3">
      <c r="B11" s="4" t="s">
        <v>129</v>
      </c>
      <c r="C11" s="16">
        <f>'DCF Model'!C26</f>
        <v>0.106598</v>
      </c>
    </row>
    <row r="12" spans="2:9" ht="14" x14ac:dyDescent="0.3">
      <c r="B12" s="4" t="s">
        <v>130</v>
      </c>
      <c r="C12" s="16">
        <f>'DCF Model'!C13</f>
        <v>0.01</v>
      </c>
    </row>
    <row r="13" spans="2:9" ht="14" x14ac:dyDescent="0.3">
      <c r="B13" s="4" t="s">
        <v>131</v>
      </c>
      <c r="C13" s="16">
        <f>'DCF Model'!C6</f>
        <v>0.25</v>
      </c>
    </row>
    <row r="14" spans="2:9" ht="14" x14ac:dyDescent="0.3">
      <c r="B14" s="4" t="s">
        <v>132</v>
      </c>
      <c r="C14" s="27">
        <v>635204</v>
      </c>
    </row>
    <row r="15" spans="2:9" ht="14" x14ac:dyDescent="0.3">
      <c r="B15" s="4" t="s">
        <v>133</v>
      </c>
      <c r="C15" s="27">
        <v>998202</v>
      </c>
    </row>
    <row r="16" spans="2:9" ht="14" x14ac:dyDescent="0.3">
      <c r="B16" s="4" t="s">
        <v>134</v>
      </c>
      <c r="C16" s="5">
        <f>'DCF Model'!G33</f>
        <v>2940690.7650256888</v>
      </c>
    </row>
    <row r="17" spans="2:9" ht="14" x14ac:dyDescent="0.3">
      <c r="B17" s="4" t="s">
        <v>135</v>
      </c>
      <c r="C17" s="5">
        <f>'DCF Model'!C53</f>
        <v>4782816.1300704693</v>
      </c>
    </row>
    <row r="18" spans="2:9" ht="14" x14ac:dyDescent="0.3">
      <c r="B18" s="4" t="s">
        <v>136</v>
      </c>
      <c r="C18" s="26">
        <v>0.35538075721369511</v>
      </c>
    </row>
    <row r="19" spans="2:9" ht="14" x14ac:dyDescent="0.3">
      <c r="B19" s="4" t="s">
        <v>137</v>
      </c>
      <c r="C19" s="5">
        <f>C10-C17</f>
        <v>4302383.2877755305</v>
      </c>
    </row>
    <row r="20" spans="2:9" ht="14" x14ac:dyDescent="0.3">
      <c r="B20" s="4" t="s">
        <v>138</v>
      </c>
      <c r="C20" s="15">
        <f>IFERROR(ROUND(C19*1000000/C7,0),"N/A")</f>
        <v>2370</v>
      </c>
    </row>
    <row r="22" spans="2:9" ht="14" x14ac:dyDescent="0.3">
      <c r="B22" s="8" t="s">
        <v>139</v>
      </c>
      <c r="C22" s="9"/>
      <c r="D22" s="9"/>
      <c r="E22" s="9"/>
      <c r="F22" s="9"/>
      <c r="G22" s="9"/>
      <c r="H22" s="9"/>
      <c r="I22" s="9"/>
    </row>
    <row r="23" spans="2:9" ht="14" x14ac:dyDescent="0.3">
      <c r="B23" s="1" t="s">
        <v>140</v>
      </c>
    </row>
    <row r="24" spans="2:9" ht="14" x14ac:dyDescent="0.3">
      <c r="B24" s="4" t="s">
        <v>141</v>
      </c>
      <c r="C24" s="5">
        <f>C10*(C11-C12)</f>
        <v>877612.09336508787</v>
      </c>
    </row>
    <row r="25" spans="2:9" ht="14" x14ac:dyDescent="0.3">
      <c r="B25" s="4" t="s">
        <v>142</v>
      </c>
      <c r="C25" s="5">
        <f>IFERROR(C24/(1-C13),"N/A")</f>
        <v>1170149.4578201172</v>
      </c>
    </row>
    <row r="26" spans="2:9" ht="13.5" x14ac:dyDescent="0.25">
      <c r="B26" s="6" t="s">
        <v>143</v>
      </c>
      <c r="C26" s="14">
        <f>IFERROR(C25/C15,"N/A")</f>
        <v>1.1722571762229661</v>
      </c>
    </row>
    <row r="27" spans="2:9" ht="13.5" x14ac:dyDescent="0.25">
      <c r="B27" s="6" t="s">
        <v>144</v>
      </c>
      <c r="C27" s="14">
        <f>IFERROR(C25/C14,"N/A")</f>
        <v>1.8421632386132916</v>
      </c>
    </row>
    <row r="28" spans="2:9" ht="13.5" x14ac:dyDescent="0.25">
      <c r="B28" s="6" t="s">
        <v>145</v>
      </c>
      <c r="C28" s="7">
        <f>IFERROR(C25/C16,"N/A")</f>
        <v>0.39791652755093249</v>
      </c>
    </row>
    <row r="29" spans="2:9" ht="13.5" x14ac:dyDescent="0.25">
      <c r="B29" s="6" t="s">
        <v>146</v>
      </c>
      <c r="C29" s="5">
        <f>IFERROR(C25/C18,"N/A")</f>
        <v>3292664.0907472968</v>
      </c>
    </row>
    <row r="32" spans="2:9" ht="14" x14ac:dyDescent="0.3">
      <c r="B32" s="8" t="s">
        <v>147</v>
      </c>
      <c r="C32" s="9"/>
      <c r="D32" s="9"/>
      <c r="E32" s="9"/>
      <c r="F32" s="9"/>
      <c r="G32" s="9"/>
      <c r="H32" s="9"/>
      <c r="I32" s="9"/>
    </row>
    <row r="33" spans="2:9" ht="14" x14ac:dyDescent="0.3">
      <c r="B33" s="1" t="s">
        <v>148</v>
      </c>
    </row>
    <row r="34" spans="2:9" ht="14" x14ac:dyDescent="0.3">
      <c r="B34" s="1" t="s">
        <v>149</v>
      </c>
    </row>
    <row r="36" spans="2:9" ht="14" x14ac:dyDescent="0.3">
      <c r="B36" s="28" t="s">
        <v>150</v>
      </c>
      <c r="C36" s="28" t="s">
        <v>151</v>
      </c>
      <c r="D36" s="29">
        <f>'DCF Model'!C26-0.02</f>
        <v>8.6597999999999994E-2</v>
      </c>
      <c r="E36" s="29">
        <f>'DCF Model'!C26-0.01</f>
        <v>9.6598000000000003E-2</v>
      </c>
      <c r="F36" s="29">
        <f>'DCF Model'!C26</f>
        <v>0.106598</v>
      </c>
      <c r="G36" s="29">
        <f>'DCF Model'!C26+0.01</f>
        <v>0.11659799999999999</v>
      </c>
      <c r="H36" s="29">
        <f>'DCF Model'!C26+0.02</f>
        <v>0.12659799999999999</v>
      </c>
    </row>
    <row r="37" spans="2:9" ht="14" x14ac:dyDescent="0.3">
      <c r="B37" s="3" t="s">
        <v>152</v>
      </c>
    </row>
    <row r="38" spans="2:9" ht="14" x14ac:dyDescent="0.3">
      <c r="B38" s="4" t="s">
        <v>153</v>
      </c>
      <c r="C38" s="30">
        <v>3</v>
      </c>
      <c r="D38" s="13">
        <f t="shared" ref="D38:H41" si="0">IFERROR((1-(1+D$36)^(-$C38))/D$36-(1+D$36)/(D$36^2*$C38)*(1-($C38+1)/(1+D$36)^$C38+$C38/(1+D$36)^($C38+1)),"N/A")</f>
        <v>0.89585524512402004</v>
      </c>
      <c r="E38" s="13">
        <f t="shared" si="0"/>
        <v>0.88513481443968445</v>
      </c>
      <c r="F38" s="13">
        <f t="shared" si="0"/>
        <v>0.87465382760331867</v>
      </c>
      <c r="G38" s="13">
        <f t="shared" si="0"/>
        <v>0.86440463484920227</v>
      </c>
      <c r="H38" s="13">
        <f t="shared" si="0"/>
        <v>0.8543799008278985</v>
      </c>
    </row>
    <row r="39" spans="2:9" ht="14" x14ac:dyDescent="0.3">
      <c r="B39" s="4" t="s">
        <v>154</v>
      </c>
      <c r="C39" s="30">
        <v>5</v>
      </c>
      <c r="D39" s="13">
        <f t="shared" si="0"/>
        <v>1.6996694184512045</v>
      </c>
      <c r="E39" s="13">
        <f t="shared" si="0"/>
        <v>1.6701155140176254</v>
      </c>
      <c r="F39" s="13">
        <f t="shared" si="0"/>
        <v>1.6414647863073344</v>
      </c>
      <c r="G39" s="13">
        <f t="shared" si="0"/>
        <v>1.6136794618044732</v>
      </c>
      <c r="H39" s="13">
        <f t="shared" si="0"/>
        <v>1.5867237321116876</v>
      </c>
    </row>
    <row r="40" spans="2:9" ht="14" x14ac:dyDescent="0.3">
      <c r="B40" s="4" t="s">
        <v>155</v>
      </c>
      <c r="C40" s="30">
        <v>7</v>
      </c>
      <c r="D40" s="13">
        <f t="shared" si="0"/>
        <v>2.4220518388063335</v>
      </c>
      <c r="E40" s="13">
        <f t="shared" si="0"/>
        <v>2.3676525341872918</v>
      </c>
      <c r="F40" s="13">
        <f t="shared" si="0"/>
        <v>2.3153419506432402</v>
      </c>
      <c r="G40" s="13">
        <f t="shared" si="0"/>
        <v>2.2650128925173809</v>
      </c>
      <c r="H40" s="13">
        <f t="shared" si="0"/>
        <v>2.216564873474475</v>
      </c>
    </row>
    <row r="41" spans="2:9" ht="14" x14ac:dyDescent="0.3">
      <c r="B41" s="4" t="s">
        <v>156</v>
      </c>
      <c r="C41" s="30">
        <v>10</v>
      </c>
      <c r="D41" s="13">
        <f t="shared" si="0"/>
        <v>3.3729845602778621</v>
      </c>
      <c r="E41" s="13">
        <f t="shared" si="0"/>
        <v>3.273637664947763</v>
      </c>
      <c r="F41" s="13">
        <f t="shared" si="0"/>
        <v>3.1792029172851222</v>
      </c>
      <c r="G41" s="13">
        <f t="shared" si="0"/>
        <v>3.0893616304841065</v>
      </c>
      <c r="H41" s="13">
        <f t="shared" si="0"/>
        <v>3.0038199052915218</v>
      </c>
    </row>
    <row r="42" spans="2:9" ht="14" x14ac:dyDescent="0.3">
      <c r="B42" s="3" t="s">
        <v>157</v>
      </c>
    </row>
    <row r="43" spans="2:9" ht="14" x14ac:dyDescent="0.3">
      <c r="B43" s="4" t="s">
        <v>153</v>
      </c>
      <c r="C43" s="30">
        <v>3</v>
      </c>
      <c r="D43" s="13">
        <f t="shared" ref="D43:H46" si="1">IFERROR((1+D$36)/(D$36^2*$C43)*(1-($C43+1)/(1+D$36)^$C43+$C43/(1+D$36)^($C43+1))+(1+$C$12)/((D$36-$C$12)*(1+D$36)^$C43),"N/A")</f>
        <v>11.928596805523746</v>
      </c>
      <c r="E43" s="13">
        <f t="shared" si="1"/>
        <v>10.461144171035237</v>
      </c>
      <c r="F43" s="13">
        <f t="shared" si="1"/>
        <v>9.2994397401873776</v>
      </c>
      <c r="G43" s="13">
        <f t="shared" si="1"/>
        <v>8.3573784712918542</v>
      </c>
      <c r="H43" s="13">
        <f t="shared" si="1"/>
        <v>7.5783966785349577</v>
      </c>
    </row>
    <row r="44" spans="2:9" ht="14" x14ac:dyDescent="0.3">
      <c r="B44" s="4" t="s">
        <v>154</v>
      </c>
      <c r="C44" s="30">
        <v>5</v>
      </c>
      <c r="D44" s="13">
        <f t="shared" si="1"/>
        <v>10.929373097214372</v>
      </c>
      <c r="E44" s="13">
        <f t="shared" si="1"/>
        <v>9.5087395510087447</v>
      </c>
      <c r="F44" s="13">
        <f t="shared" si="1"/>
        <v>8.3871987798590411</v>
      </c>
      <c r="G44" s="13">
        <f t="shared" si="1"/>
        <v>7.4803709884326226</v>
      </c>
      <c r="H44" s="13">
        <f t="shared" si="1"/>
        <v>6.7328340866493024</v>
      </c>
    </row>
    <row r="45" spans="2:9" ht="14" x14ac:dyDescent="0.3">
      <c r="B45" s="4" t="s">
        <v>155</v>
      </c>
      <c r="C45" s="30">
        <v>7</v>
      </c>
      <c r="D45" s="13">
        <f t="shared" si="1"/>
        <v>10.04148688491474</v>
      </c>
      <c r="E45" s="13">
        <f t="shared" si="1"/>
        <v>8.6719758055528828</v>
      </c>
      <c r="F45" s="13">
        <f t="shared" si="1"/>
        <v>7.5945605058033401</v>
      </c>
      <c r="G45" s="13">
        <f t="shared" si="1"/>
        <v>6.7265884332759924</v>
      </c>
      <c r="H45" s="13">
        <f t="shared" si="1"/>
        <v>6.0137897431540157</v>
      </c>
    </row>
    <row r="46" spans="2:9" ht="14" x14ac:dyDescent="0.3">
      <c r="B46" s="4" t="s">
        <v>156</v>
      </c>
      <c r="C46" s="30">
        <v>10</v>
      </c>
      <c r="D46" s="13">
        <f t="shared" si="1"/>
        <v>8.8885545359791465</v>
      </c>
      <c r="E46" s="13">
        <f t="shared" si="1"/>
        <v>7.5998546225861574</v>
      </c>
      <c r="F46" s="13">
        <f t="shared" si="1"/>
        <v>6.5921139552968775</v>
      </c>
      <c r="G46" s="13">
        <f t="shared" si="1"/>
        <v>5.7853014845754505</v>
      </c>
      <c r="H46" s="13">
        <f t="shared" si="1"/>
        <v>5.126917836668115</v>
      </c>
    </row>
    <row r="47" spans="2:9" ht="14" x14ac:dyDescent="0.3">
      <c r="B47" s="22" t="s">
        <v>158</v>
      </c>
      <c r="C47" s="23"/>
      <c r="D47" s="23"/>
      <c r="E47" s="23"/>
      <c r="F47" s="23"/>
      <c r="G47" s="23"/>
      <c r="H47" s="23"/>
      <c r="I47" s="23"/>
    </row>
    <row r="48" spans="2:9" ht="14" x14ac:dyDescent="0.3">
      <c r="B48" s="4" t="s">
        <v>153</v>
      </c>
      <c r="C48" s="30">
        <v>3</v>
      </c>
      <c r="D48" s="5">
        <f t="shared" ref="D48:H51" si="2">IFERROR(($C$10/(1-$C$13)-$C$14*D38)/D43,"N/A")</f>
        <v>967804.39282892039</v>
      </c>
      <c r="E48" s="5">
        <f t="shared" si="2"/>
        <v>1104215.5485349933</v>
      </c>
      <c r="F48" s="5">
        <f t="shared" si="2"/>
        <v>1242872.2521785859</v>
      </c>
      <c r="G48" s="5">
        <f t="shared" si="2"/>
        <v>1383750.4166940416</v>
      </c>
      <c r="H48" s="5">
        <f t="shared" si="2"/>
        <v>1526826.0799863602</v>
      </c>
    </row>
    <row r="49" spans="2:9" ht="14" x14ac:dyDescent="0.3">
      <c r="B49" s="4" t="s">
        <v>154</v>
      </c>
      <c r="C49" s="30">
        <v>5</v>
      </c>
      <c r="D49" s="5">
        <f t="shared" si="2"/>
        <v>1009569.561984216</v>
      </c>
      <c r="E49" s="5">
        <f t="shared" si="2"/>
        <v>1162376.4758238725</v>
      </c>
      <c r="F49" s="5">
        <f t="shared" si="2"/>
        <v>1319979.9499516771</v>
      </c>
      <c r="G49" s="5">
        <f t="shared" si="2"/>
        <v>1482357.4381652467</v>
      </c>
      <c r="H49" s="5">
        <f t="shared" si="2"/>
        <v>1649484.5735593224</v>
      </c>
    </row>
    <row r="50" spans="2:9" ht="14" x14ac:dyDescent="0.3">
      <c r="B50" s="4" t="s">
        <v>155</v>
      </c>
      <c r="C50" s="30">
        <v>7</v>
      </c>
      <c r="D50" s="5">
        <f t="shared" si="2"/>
        <v>1053141.0665351199</v>
      </c>
      <c r="E50" s="5">
        <f t="shared" si="2"/>
        <v>1223441.7047929417</v>
      </c>
      <c r="F50" s="5">
        <f t="shared" si="2"/>
        <v>1401382.5747053537</v>
      </c>
      <c r="G50" s="5">
        <f t="shared" si="2"/>
        <v>1586964.0428137765</v>
      </c>
      <c r="H50" s="5">
        <f t="shared" si="2"/>
        <v>1780180.0207749649</v>
      </c>
    </row>
    <row r="51" spans="2:9" ht="14" x14ac:dyDescent="0.3">
      <c r="B51" s="4" t="s">
        <v>156</v>
      </c>
      <c r="C51" s="30">
        <v>10</v>
      </c>
      <c r="D51" s="5">
        <f t="shared" si="2"/>
        <v>1121787.1138447747</v>
      </c>
      <c r="E51" s="5">
        <f t="shared" si="2"/>
        <v>1320310.9773505977</v>
      </c>
      <c r="F51" s="5">
        <f t="shared" si="2"/>
        <v>1531247.3179885885</v>
      </c>
      <c r="G51" s="5">
        <f t="shared" si="2"/>
        <v>1754657.7971311344</v>
      </c>
      <c r="H51" s="5">
        <f t="shared" si="2"/>
        <v>1990584.0369983905</v>
      </c>
    </row>
    <row r="52" spans="2:9" ht="14" x14ac:dyDescent="0.3">
      <c r="B52" s="22" t="s">
        <v>159</v>
      </c>
      <c r="C52" s="23"/>
      <c r="D52" s="23"/>
      <c r="E52" s="23"/>
      <c r="F52" s="23"/>
      <c r="G52" s="23"/>
      <c r="H52" s="23"/>
      <c r="I52" s="23"/>
    </row>
    <row r="53" spans="2:9" ht="14" x14ac:dyDescent="0.3">
      <c r="B53" s="4" t="s">
        <v>153</v>
      </c>
      <c r="C53" s="30">
        <v>3</v>
      </c>
      <c r="D53" s="14">
        <f t="shared" ref="D53:H56" si="3">IFERROR(D48/$C$15,"N/A")</f>
        <v>0.9695476394847139</v>
      </c>
      <c r="E53" s="14">
        <f t="shared" si="3"/>
        <v>1.1062045042336053</v>
      </c>
      <c r="F53" s="14">
        <f t="shared" si="3"/>
        <v>1.2451109616877003</v>
      </c>
      <c r="G53" s="14">
        <f t="shared" si="3"/>
        <v>1.3862428813947894</v>
      </c>
      <c r="H53" s="14">
        <f t="shared" si="3"/>
        <v>1.5295762580984211</v>
      </c>
    </row>
    <row r="54" spans="2:9" ht="14" x14ac:dyDescent="0.3">
      <c r="B54" s="4" t="s">
        <v>154</v>
      </c>
      <c r="C54" s="30">
        <v>5</v>
      </c>
      <c r="D54" s="14">
        <f t="shared" si="3"/>
        <v>1.0113880376759574</v>
      </c>
      <c r="E54" s="14">
        <f t="shared" si="3"/>
        <v>1.1644701932313024</v>
      </c>
      <c r="F54" s="14">
        <f t="shared" si="3"/>
        <v>1.3223575488244634</v>
      </c>
      <c r="G54" s="14">
        <f t="shared" si="3"/>
        <v>1.4850275176419669</v>
      </c>
      <c r="H54" s="14">
        <f t="shared" si="3"/>
        <v>1.6524556888879429</v>
      </c>
    </row>
    <row r="55" spans="2:9" ht="14" x14ac:dyDescent="0.3">
      <c r="B55" s="4" t="s">
        <v>155</v>
      </c>
      <c r="C55" s="30">
        <v>7</v>
      </c>
      <c r="D55" s="14">
        <f t="shared" si="3"/>
        <v>1.0550380249038971</v>
      </c>
      <c r="E55" s="14">
        <f t="shared" si="3"/>
        <v>1.2256454152495604</v>
      </c>
      <c r="F55" s="14">
        <f t="shared" si="3"/>
        <v>1.4039067991301899</v>
      </c>
      <c r="G55" s="14">
        <f t="shared" si="3"/>
        <v>1.5898225437474345</v>
      </c>
      <c r="H55" s="14">
        <f t="shared" si="3"/>
        <v>1.78338654979149</v>
      </c>
    </row>
    <row r="56" spans="2:9" ht="14" x14ac:dyDescent="0.3">
      <c r="B56" s="4" t="s">
        <v>156</v>
      </c>
      <c r="C56" s="30">
        <v>10</v>
      </c>
      <c r="D56" s="14">
        <f t="shared" si="3"/>
        <v>1.1238077201255605</v>
      </c>
      <c r="E56" s="14">
        <f t="shared" si="3"/>
        <v>1.3226891724827217</v>
      </c>
      <c r="F56" s="14">
        <f t="shared" si="3"/>
        <v>1.5340054598053183</v>
      </c>
      <c r="G56" s="14">
        <f t="shared" si="3"/>
        <v>1.7578183545325841</v>
      </c>
      <c r="H56" s="14">
        <f t="shared" si="3"/>
        <v>1.9941695538562239</v>
      </c>
    </row>
    <row r="58" spans="2:9" ht="14" x14ac:dyDescent="0.3">
      <c r="B58" s="8" t="s">
        <v>160</v>
      </c>
      <c r="C58" s="9"/>
      <c r="D58" s="9"/>
      <c r="E58" s="9"/>
      <c r="F58" s="9"/>
      <c r="G58" s="9"/>
      <c r="H58" s="9"/>
      <c r="I58" s="9"/>
    </row>
    <row r="59" spans="2:9" ht="14" x14ac:dyDescent="0.3">
      <c r="B59" s="1" t="s">
        <v>161</v>
      </c>
    </row>
    <row r="60" spans="2:9" ht="14" x14ac:dyDescent="0.3">
      <c r="B60" s="4" t="s">
        <v>162</v>
      </c>
      <c r="C60" s="5">
        <f>F49</f>
        <v>1319979.9499516771</v>
      </c>
    </row>
    <row r="62" spans="2:9" ht="14" x14ac:dyDescent="0.3">
      <c r="B62" s="28" t="s">
        <v>163</v>
      </c>
      <c r="C62" s="28" t="s">
        <v>164</v>
      </c>
      <c r="D62" s="28" t="s">
        <v>165</v>
      </c>
    </row>
    <row r="63" spans="2:9" ht="14" x14ac:dyDescent="0.3">
      <c r="B63" s="31">
        <v>0.1777</v>
      </c>
      <c r="C63" s="5">
        <f>IFERROR($C$60/B63,"N/A")</f>
        <v>7428137.0284281215</v>
      </c>
      <c r="D63" s="14">
        <f>IFERROR(C63/'DCF Model'!C17,"N/A")</f>
        <v>2.8858688773750272</v>
      </c>
    </row>
    <row r="64" spans="2:9" ht="14" x14ac:dyDescent="0.3">
      <c r="B64" s="31">
        <v>0.26650000000000001</v>
      </c>
      <c r="C64" s="5">
        <f>IFERROR($C$60/B64,"N/A")</f>
        <v>4953020.4501001015</v>
      </c>
      <c r="D64" s="14">
        <f>IFERROR(C64/'DCF Model'!C17,"N/A")</f>
        <v>1.9242735441258623</v>
      </c>
    </row>
    <row r="65" spans="2:9" ht="14" x14ac:dyDescent="0.3">
      <c r="B65" s="4" t="s">
        <v>166</v>
      </c>
      <c r="C65" s="5">
        <f>IFERROR($C$60/$C$18,"N/A")</f>
        <v>3714269.6197193251</v>
      </c>
      <c r="D65" s="14">
        <f>IFERROR(C65/'DCF Model'!C17,"N/A")</f>
        <v>1.4430125691954041</v>
      </c>
    </row>
    <row r="66" spans="2:9" ht="14" x14ac:dyDescent="0.3">
      <c r="B66" s="31">
        <v>0.44419999999999998</v>
      </c>
      <c r="C66" s="5">
        <f>IFERROR($C$60/B66,"N/A")</f>
        <v>2971589.2614850905</v>
      </c>
      <c r="D66" s="14">
        <f>IFERROR(C66/'DCF Model'!C17,"N/A")</f>
        <v>1.154477486514053</v>
      </c>
    </row>
    <row r="67" spans="2:9" ht="14" x14ac:dyDescent="0.3">
      <c r="B67" s="31">
        <v>0.53310000000000002</v>
      </c>
      <c r="C67" s="5">
        <f>IFERROR($C$60/B67,"N/A")</f>
        <v>2476045.676142707</v>
      </c>
      <c r="D67" s="14">
        <f>IFERROR(C67/'DCF Model'!C17,"N/A")</f>
        <v>0.96195629245834235</v>
      </c>
    </row>
    <row r="69" spans="2:9" ht="14" x14ac:dyDescent="0.3">
      <c r="B69" s="8" t="s">
        <v>167</v>
      </c>
      <c r="C69" s="9"/>
      <c r="D69" s="9"/>
      <c r="E69" s="9"/>
      <c r="F69" s="9"/>
      <c r="G69" s="9"/>
      <c r="H69" s="9"/>
      <c r="I69" s="9"/>
    </row>
    <row r="70" spans="2:9" ht="13.5" x14ac:dyDescent="0.25">
      <c r="B70" s="6" t="s">
        <v>168</v>
      </c>
      <c r="C70" s="14">
        <f>IFERROR(C10/'Comps Analysis'!G5,"N/A")</f>
        <v>10.345510156079975</v>
      </c>
    </row>
    <row r="71" spans="2:9" ht="13.5" x14ac:dyDescent="0.25">
      <c r="B71" s="6" t="s">
        <v>169</v>
      </c>
      <c r="C71" s="14">
        <f>IFERROR(C10/'Comps Analysis'!F5,"N/A")</f>
        <v>3.5296460127709386</v>
      </c>
    </row>
    <row r="72" spans="2:9" ht="14" x14ac:dyDescent="0.3">
      <c r="B72" s="4" t="s">
        <v>170</v>
      </c>
      <c r="C72" s="14">
        <f>IFERROR(C10/(C25+'DCF Model'!G42),"N/A")</f>
        <v>6.2677508775744721</v>
      </c>
    </row>
    <row r="73" spans="2:9" ht="14" x14ac:dyDescent="0.3">
      <c r="B73" s="4" t="s">
        <v>171</v>
      </c>
      <c r="C73" s="14">
        <f>IFERROR(C10/(C60+'DCF Model'!G42),"N/A")</f>
        <v>5.6805730877230651</v>
      </c>
    </row>
    <row r="74" spans="2:9" ht="14" x14ac:dyDescent="0.3">
      <c r="B74" s="4" t="s">
        <v>172</v>
      </c>
      <c r="C74" s="14">
        <f>IFERROR('Comps Analysis'!D16,"N/A")</f>
        <v>9.2210891708653779</v>
      </c>
    </row>
    <row r="75" spans="2:9" ht="14" x14ac:dyDescent="0.3">
      <c r="B75" s="1" t="s">
        <v>173</v>
      </c>
    </row>
    <row r="77" spans="2:9" ht="14" x14ac:dyDescent="0.3">
      <c r="B77" s="22" t="s">
        <v>174</v>
      </c>
      <c r="C77" s="23"/>
      <c r="D77" s="23"/>
      <c r="E77" s="23"/>
      <c r="F77" s="23"/>
      <c r="G77" s="23"/>
      <c r="H77" s="23"/>
      <c r="I77" s="23"/>
    </row>
    <row r="78" spans="2:9" ht="14" x14ac:dyDescent="0.3">
      <c r="B78" s="4" t="str">
        <f>"At "&amp;TEXT(C6,"#,##0")&amp;" yen the market is paying for a steady-state operating profit of "&amp;TEXT(F49,"#,##0")&amp;" mn JPY - "&amp;TEXT(F54,"0.00")&amp;"x the FY2023 cycle peak of "&amp;TEXT(C15,"#,##0")&amp;" mn - reached in 5 years and sustained for ever, against "&amp;TEXT(C14,"#,##0")&amp;" mn actually earned in FY2026."</f>
        <v>At 5,786 yen the market is paying for a steady-state operating profit of 1,319,980 mn JPY - 1.32x the FY2023 cycle peak of 998,202 mn - reached in 5 years and sustained for ever, against 635,204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1,170,149 mn, or 1.17x the peak. The base case supports an EV of only 4,782,816 mn, leaving 2,370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175</v>
      </c>
    </row>
    <row r="4" spans="2:8" ht="14" x14ac:dyDescent="0.3">
      <c r="B4" s="8" t="s">
        <v>176</v>
      </c>
      <c r="C4" s="32" t="s">
        <v>177</v>
      </c>
      <c r="D4" s="32" t="s">
        <v>84</v>
      </c>
      <c r="E4" s="32" t="s">
        <v>85</v>
      </c>
      <c r="F4" s="32" t="s">
        <v>86</v>
      </c>
      <c r="G4" s="32" t="s">
        <v>87</v>
      </c>
      <c r="H4" s="32" t="s">
        <v>88</v>
      </c>
    </row>
    <row r="5" spans="2:8" ht="14" x14ac:dyDescent="0.3">
      <c r="B5" s="33" t="s">
        <v>178</v>
      </c>
      <c r="C5" s="34">
        <f>C12/C9*365</f>
        <v>0</v>
      </c>
      <c r="D5" s="34">
        <f>CHOOSE('DCF Model'!$D$27,D25,D26,D27,D28,D29)</f>
        <v>71</v>
      </c>
      <c r="E5" s="34">
        <f>CHOOSE('DCF Model'!$D$27,E25,E26,E27,E28,E29)</f>
        <v>71</v>
      </c>
      <c r="F5" s="34">
        <f>CHOOSE('DCF Model'!$D$27,F25,F26,F27,F28,F29)</f>
        <v>71</v>
      </c>
      <c r="G5" s="34">
        <f>CHOOSE('DCF Model'!$D$27,G25,G26,G27,G28,G29)</f>
        <v>71</v>
      </c>
      <c r="H5" s="34">
        <f>CHOOSE('DCF Model'!$D$27,H25,H26,H27,H28,H29)</f>
        <v>71</v>
      </c>
    </row>
    <row r="6" spans="2:8" ht="14" x14ac:dyDescent="0.3">
      <c r="B6" s="33" t="s">
        <v>179</v>
      </c>
      <c r="C6" s="34">
        <f>C13/C10*365</f>
        <v>170.49752683567854</v>
      </c>
      <c r="D6" s="34">
        <f>CHOOSE('DCF Model'!$D$27,D32,D33,D34,D35,D36)</f>
        <v>170</v>
      </c>
      <c r="E6" s="34">
        <f>CHOOSE('DCF Model'!$D$27,E32,E33,E34,E35,E36)</f>
        <v>170</v>
      </c>
      <c r="F6" s="34">
        <f>CHOOSE('DCF Model'!$D$27,F32,F33,F34,F35,F36)</f>
        <v>170</v>
      </c>
      <c r="G6" s="34">
        <f>CHOOSE('DCF Model'!$D$27,G32,G33,G34,G35,G36)</f>
        <v>170</v>
      </c>
      <c r="H6" s="34">
        <f>CHOOSE('DCF Model'!$D$27,H32,H33,H34,H35,H36)</f>
        <v>170</v>
      </c>
    </row>
    <row r="7" spans="2:8" ht="14" x14ac:dyDescent="0.3">
      <c r="B7" s="33" t="s">
        <v>180</v>
      </c>
      <c r="C7" s="34">
        <f>C15/C10*365</f>
        <v>38.026568429134613</v>
      </c>
      <c r="D7" s="34">
        <f>CHOOSE('DCF Model'!$D$27,D39,D40,D41,D42,D43)</f>
        <v>41</v>
      </c>
      <c r="E7" s="34">
        <f>CHOOSE('DCF Model'!$D$27,E39,E40,E41,E42,E43)</f>
        <v>41</v>
      </c>
      <c r="F7" s="34">
        <f>CHOOSE('DCF Model'!$D$27,F39,F40,F41,F42,F43)</f>
        <v>41</v>
      </c>
      <c r="G7" s="34">
        <f>CHOOSE('DCF Model'!$D$27,G39,G40,G41,G42,G43)</f>
        <v>41</v>
      </c>
      <c r="H7" s="34">
        <f>CHOOSE('DCF Model'!$D$27,H39,H40,H41,H42,H43)</f>
        <v>41</v>
      </c>
    </row>
    <row r="8" spans="2:8" ht="14" x14ac:dyDescent="0.3">
      <c r="B8" s="8" t="s">
        <v>181</v>
      </c>
      <c r="C8" s="9"/>
      <c r="D8" s="9"/>
      <c r="E8" s="9"/>
      <c r="F8" s="9"/>
      <c r="G8" s="9"/>
      <c r="H8" s="9"/>
    </row>
    <row r="9" spans="2:8" ht="14" x14ac:dyDescent="0.3">
      <c r="B9" s="33" t="s">
        <v>35</v>
      </c>
      <c r="C9" s="35">
        <v>2573969</v>
      </c>
      <c r="D9" s="35">
        <f>'DCF Model'!C33</f>
        <v>2638318.2249999996</v>
      </c>
      <c r="E9" s="35">
        <f>'DCF Model'!D33</f>
        <v>2717467.7717499998</v>
      </c>
      <c r="F9" s="35">
        <f>'DCF Model'!E33</f>
        <v>2798991.8049025</v>
      </c>
      <c r="G9" s="35">
        <f>'DCF Model'!F33</f>
        <v>2868966.6000250624</v>
      </c>
      <c r="H9" s="35">
        <f>'DCF Model'!G33</f>
        <v>2940690.7650256888</v>
      </c>
    </row>
    <row r="10" spans="2:8" ht="14" x14ac:dyDescent="0.3">
      <c r="B10" s="33" t="s">
        <v>36</v>
      </c>
      <c r="C10" s="35">
        <v>1693175</v>
      </c>
      <c r="D10" s="35">
        <f>'DCF Model'!C34</f>
        <v>1714906.8462499997</v>
      </c>
      <c r="E10" s="35">
        <f>'DCF Model'!D34</f>
        <v>1739179.3739199999</v>
      </c>
      <c r="F10" s="35">
        <f>'DCF Model'!E34</f>
        <v>1763364.8370885751</v>
      </c>
      <c r="G10" s="35">
        <f>'DCF Model'!F34</f>
        <v>1778759.2920155388</v>
      </c>
      <c r="H10" s="35">
        <f>'DCF Model'!G34</f>
        <v>1808524.8204907987</v>
      </c>
    </row>
    <row r="11" spans="2:8" ht="14" x14ac:dyDescent="0.3">
      <c r="B11" s="8" t="s">
        <v>182</v>
      </c>
      <c r="C11" s="9"/>
      <c r="D11" s="9"/>
      <c r="E11" s="9"/>
      <c r="F11" s="9"/>
      <c r="G11" s="9"/>
      <c r="H11" s="9"/>
    </row>
    <row r="12" spans="2:8" ht="14" x14ac:dyDescent="0.3">
      <c r="B12" s="33" t="s">
        <v>183</v>
      </c>
      <c r="C12" s="35">
        <v>0</v>
      </c>
      <c r="D12" s="35">
        <f t="shared" ref="D12:H13" si="0">D9*D5/365</f>
        <v>513207.10678082181</v>
      </c>
      <c r="E12" s="35">
        <f t="shared" si="0"/>
        <v>528603.31998424651</v>
      </c>
      <c r="F12" s="35">
        <f t="shared" si="0"/>
        <v>544461.41958377394</v>
      </c>
      <c r="G12" s="35">
        <f t="shared" si="0"/>
        <v>558072.95507336827</v>
      </c>
      <c r="H12" s="35">
        <f t="shared" si="0"/>
        <v>572024.77895020251</v>
      </c>
    </row>
    <row r="13" spans="2:8" ht="14" x14ac:dyDescent="0.3">
      <c r="B13" s="33" t="s">
        <v>184</v>
      </c>
      <c r="C13" s="35">
        <v>790910</v>
      </c>
      <c r="D13" s="35">
        <f t="shared" si="0"/>
        <v>798723.73660958896</v>
      </c>
      <c r="E13" s="35">
        <f t="shared" si="0"/>
        <v>810028.74949698627</v>
      </c>
      <c r="F13" s="35">
        <f t="shared" si="0"/>
        <v>821293.21179467882</v>
      </c>
      <c r="G13" s="35">
        <f t="shared" si="0"/>
        <v>828463.23189764819</v>
      </c>
      <c r="H13" s="35">
        <f t="shared" si="0"/>
        <v>842326.62872174173</v>
      </c>
    </row>
    <row r="14" spans="2:8" ht="14" x14ac:dyDescent="0.3">
      <c r="B14" s="33" t="s">
        <v>185</v>
      </c>
      <c r="C14" s="35">
        <f t="shared" ref="C14:H14" si="1">C12+C13</f>
        <v>790910</v>
      </c>
      <c r="D14" s="35">
        <f t="shared" si="1"/>
        <v>1311930.8433904108</v>
      </c>
      <c r="E14" s="35">
        <f t="shared" si="1"/>
        <v>1338632.0694812327</v>
      </c>
      <c r="F14" s="35">
        <f t="shared" si="1"/>
        <v>1365754.6313784528</v>
      </c>
      <c r="G14" s="35">
        <f t="shared" si="1"/>
        <v>1386536.1869710165</v>
      </c>
      <c r="H14" s="35">
        <f t="shared" si="1"/>
        <v>1414351.4076719442</v>
      </c>
    </row>
    <row r="15" spans="2:8" ht="14" x14ac:dyDescent="0.3">
      <c r="B15" s="33" t="s">
        <v>186</v>
      </c>
      <c r="C15" s="35">
        <v>176399</v>
      </c>
      <c r="D15" s="35">
        <f>D10*D7/365</f>
        <v>192633.37177054794</v>
      </c>
      <c r="E15" s="35">
        <f>E10*E7/365</f>
        <v>195359.8748786849</v>
      </c>
      <c r="F15" s="35">
        <f>F10*F7/365</f>
        <v>198076.59813871665</v>
      </c>
      <c r="G15" s="35">
        <f>G10*G7/365</f>
        <v>199805.8382811975</v>
      </c>
      <c r="H15" s="35">
        <f>H10*H7/365</f>
        <v>203149.36339759655</v>
      </c>
    </row>
    <row r="16" spans="2:8" ht="14" x14ac:dyDescent="0.3">
      <c r="B16" s="33" t="s">
        <v>187</v>
      </c>
      <c r="C16" s="35">
        <f t="shared" ref="C16:H16" si="2">C15</f>
        <v>176399</v>
      </c>
      <c r="D16" s="35">
        <f t="shared" si="2"/>
        <v>192633.37177054794</v>
      </c>
      <c r="E16" s="35">
        <f t="shared" si="2"/>
        <v>195359.8748786849</v>
      </c>
      <c r="F16" s="35">
        <f t="shared" si="2"/>
        <v>198076.59813871665</v>
      </c>
      <c r="G16" s="35">
        <f t="shared" si="2"/>
        <v>199805.8382811975</v>
      </c>
      <c r="H16" s="35">
        <f t="shared" si="2"/>
        <v>203149.36339759655</v>
      </c>
    </row>
    <row r="17" spans="2:8" ht="14" x14ac:dyDescent="0.3">
      <c r="B17" s="22" t="s">
        <v>188</v>
      </c>
      <c r="C17" s="23"/>
      <c r="D17" s="23"/>
      <c r="E17" s="23"/>
      <c r="F17" s="23"/>
      <c r="G17" s="23"/>
      <c r="H17" s="23"/>
    </row>
    <row r="18" spans="2:8" ht="14" x14ac:dyDescent="0.3">
      <c r="B18" s="33" t="s">
        <v>189</v>
      </c>
      <c r="C18" s="20">
        <f t="shared" ref="C18:H18" si="3">C14-C16</f>
        <v>614511</v>
      </c>
      <c r="D18" s="20">
        <f t="shared" si="3"/>
        <v>1119297.4716198628</v>
      </c>
      <c r="E18" s="20">
        <f t="shared" si="3"/>
        <v>1143272.1946025477</v>
      </c>
      <c r="F18" s="20">
        <f t="shared" si="3"/>
        <v>1167678.0332397362</v>
      </c>
      <c r="G18" s="20">
        <f t="shared" si="3"/>
        <v>1186730.348689819</v>
      </c>
      <c r="H18" s="20">
        <f t="shared" si="3"/>
        <v>1211202.0442743476</v>
      </c>
    </row>
    <row r="19" spans="2:8" ht="14" x14ac:dyDescent="0.3">
      <c r="B19" s="33" t="s">
        <v>98</v>
      </c>
      <c r="C19" s="36" t="s">
        <v>45</v>
      </c>
      <c r="D19" s="24">
        <f>D18-C18</f>
        <v>504786.47161986283</v>
      </c>
      <c r="E19" s="24">
        <f>E18-D18</f>
        <v>23974.722982684849</v>
      </c>
      <c r="F19" s="24">
        <f>F18-E18</f>
        <v>24405.838637188543</v>
      </c>
      <c r="G19" s="24">
        <f>G18-F18</f>
        <v>19052.315450082766</v>
      </c>
      <c r="H19" s="24">
        <f>H18-G18</f>
        <v>24471.695584528614</v>
      </c>
    </row>
    <row r="22" spans="2:8" ht="14" x14ac:dyDescent="0.3">
      <c r="B22" s="22" t="s">
        <v>190</v>
      </c>
      <c r="C22" s="23"/>
      <c r="D22" s="23"/>
      <c r="E22" s="23"/>
      <c r="F22" s="23"/>
      <c r="G22" s="23"/>
      <c r="H22" s="23"/>
    </row>
    <row r="23" spans="2:8" ht="14" x14ac:dyDescent="0.3">
      <c r="D23" s="25" t="s">
        <v>84</v>
      </c>
      <c r="E23" s="25" t="s">
        <v>85</v>
      </c>
      <c r="F23" s="25" t="s">
        <v>86</v>
      </c>
      <c r="G23" s="25" t="s">
        <v>87</v>
      </c>
      <c r="H23" s="25" t="s">
        <v>88</v>
      </c>
    </row>
    <row r="24" spans="2:8" ht="14" x14ac:dyDescent="0.3">
      <c r="B24" s="3" t="s">
        <v>191</v>
      </c>
    </row>
    <row r="25" spans="2:8" ht="14" x14ac:dyDescent="0.3">
      <c r="B25" s="4" t="s">
        <v>82</v>
      </c>
      <c r="D25" s="30">
        <v>71</v>
      </c>
      <c r="E25" s="30">
        <v>71</v>
      </c>
      <c r="F25" s="30">
        <v>71</v>
      </c>
      <c r="G25" s="30">
        <v>71</v>
      </c>
      <c r="H25" s="30">
        <v>71</v>
      </c>
    </row>
    <row r="26" spans="2:8" ht="14" x14ac:dyDescent="0.3">
      <c r="B26" s="4" t="s">
        <v>119</v>
      </c>
      <c r="D26" s="30">
        <v>68</v>
      </c>
      <c r="E26" s="30">
        <v>68</v>
      </c>
      <c r="F26" s="30">
        <v>68</v>
      </c>
      <c r="G26" s="30">
        <v>68</v>
      </c>
      <c r="H26" s="30">
        <v>68</v>
      </c>
    </row>
    <row r="27" spans="2:8" ht="14" x14ac:dyDescent="0.3">
      <c r="B27" s="4" t="s">
        <v>120</v>
      </c>
      <c r="D27" s="30">
        <v>71</v>
      </c>
      <c r="E27" s="30">
        <v>71</v>
      </c>
      <c r="F27" s="30">
        <v>71</v>
      </c>
      <c r="G27" s="30">
        <v>71</v>
      </c>
      <c r="H27" s="30">
        <v>71</v>
      </c>
    </row>
    <row r="28" spans="2:8" ht="14" x14ac:dyDescent="0.3">
      <c r="B28" s="4" t="s">
        <v>121</v>
      </c>
      <c r="D28" s="30">
        <v>75</v>
      </c>
      <c r="E28" s="30">
        <v>75</v>
      </c>
      <c r="F28" s="30">
        <v>75</v>
      </c>
      <c r="G28" s="30">
        <v>75</v>
      </c>
      <c r="H28" s="30">
        <v>75</v>
      </c>
    </row>
    <row r="29" spans="2:8" ht="14" x14ac:dyDescent="0.3">
      <c r="B29" s="4" t="s">
        <v>122</v>
      </c>
      <c r="D29" s="30">
        <v>78</v>
      </c>
      <c r="E29" s="30">
        <v>78</v>
      </c>
      <c r="F29" s="30">
        <v>78</v>
      </c>
      <c r="G29" s="30">
        <v>78</v>
      </c>
      <c r="H29" s="30">
        <v>78</v>
      </c>
    </row>
    <row r="31" spans="2:8" ht="14" x14ac:dyDescent="0.3">
      <c r="B31" s="3" t="s">
        <v>192</v>
      </c>
    </row>
    <row r="32" spans="2:8" ht="14" x14ac:dyDescent="0.3">
      <c r="B32" s="4" t="s">
        <v>82</v>
      </c>
      <c r="D32" s="30">
        <v>170</v>
      </c>
      <c r="E32" s="30">
        <v>170</v>
      </c>
      <c r="F32" s="30">
        <v>170</v>
      </c>
      <c r="G32" s="30">
        <v>170</v>
      </c>
      <c r="H32" s="30">
        <v>170</v>
      </c>
    </row>
    <row r="33" spans="2:8" ht="14" x14ac:dyDescent="0.3">
      <c r="B33" s="4" t="s">
        <v>119</v>
      </c>
      <c r="D33" s="30">
        <v>160</v>
      </c>
      <c r="E33" s="30">
        <v>158</v>
      </c>
      <c r="F33" s="30">
        <v>155</v>
      </c>
      <c r="G33" s="30">
        <v>155</v>
      </c>
      <c r="H33" s="30">
        <v>155</v>
      </c>
    </row>
    <row r="34" spans="2:8" ht="14" x14ac:dyDescent="0.3">
      <c r="B34" s="4" t="s">
        <v>120</v>
      </c>
      <c r="D34" s="30">
        <v>170</v>
      </c>
      <c r="E34" s="30">
        <v>170</v>
      </c>
      <c r="F34" s="30">
        <v>170</v>
      </c>
      <c r="G34" s="30">
        <v>170</v>
      </c>
      <c r="H34" s="30">
        <v>170</v>
      </c>
    </row>
    <row r="35" spans="2:8" ht="14" x14ac:dyDescent="0.3">
      <c r="B35" s="4" t="s">
        <v>121</v>
      </c>
      <c r="D35" s="30">
        <v>180</v>
      </c>
      <c r="E35" s="30">
        <v>182</v>
      </c>
      <c r="F35" s="30">
        <v>185</v>
      </c>
      <c r="G35" s="30">
        <v>185</v>
      </c>
      <c r="H35" s="30">
        <v>185</v>
      </c>
    </row>
    <row r="36" spans="2:8" ht="14" x14ac:dyDescent="0.3">
      <c r="B36" s="4" t="s">
        <v>122</v>
      </c>
      <c r="D36" s="30">
        <v>200</v>
      </c>
      <c r="E36" s="30">
        <v>205</v>
      </c>
      <c r="F36" s="30">
        <v>200</v>
      </c>
      <c r="G36" s="30">
        <v>195</v>
      </c>
      <c r="H36" s="30">
        <v>190</v>
      </c>
    </row>
    <row r="38" spans="2:8" ht="14" x14ac:dyDescent="0.3">
      <c r="B38" s="3" t="s">
        <v>193</v>
      </c>
    </row>
    <row r="39" spans="2:8" ht="14" x14ac:dyDescent="0.3">
      <c r="B39" s="4" t="s">
        <v>82</v>
      </c>
      <c r="D39" s="30">
        <v>41</v>
      </c>
      <c r="E39" s="30">
        <v>41</v>
      </c>
      <c r="F39" s="30">
        <v>41</v>
      </c>
      <c r="G39" s="30">
        <v>41</v>
      </c>
      <c r="H39" s="30">
        <v>41</v>
      </c>
    </row>
    <row r="40" spans="2:8" ht="14" x14ac:dyDescent="0.3">
      <c r="B40" s="4" t="s">
        <v>119</v>
      </c>
      <c r="D40" s="30">
        <v>43</v>
      </c>
      <c r="E40" s="30">
        <v>43</v>
      </c>
      <c r="F40" s="30">
        <v>43</v>
      </c>
      <c r="G40" s="30">
        <v>43</v>
      </c>
      <c r="H40" s="30">
        <v>43</v>
      </c>
    </row>
    <row r="41" spans="2:8" ht="14" x14ac:dyDescent="0.3">
      <c r="B41" s="4" t="s">
        <v>120</v>
      </c>
      <c r="D41" s="30">
        <v>41</v>
      </c>
      <c r="E41" s="30">
        <v>41</v>
      </c>
      <c r="F41" s="30">
        <v>41</v>
      </c>
      <c r="G41" s="30">
        <v>41</v>
      </c>
      <c r="H41" s="30">
        <v>41</v>
      </c>
    </row>
    <row r="42" spans="2:8" ht="14" x14ac:dyDescent="0.3">
      <c r="B42" s="4" t="s">
        <v>121</v>
      </c>
      <c r="D42" s="30">
        <v>39</v>
      </c>
      <c r="E42" s="30">
        <v>39</v>
      </c>
      <c r="F42" s="30">
        <v>39</v>
      </c>
      <c r="G42" s="30">
        <v>39</v>
      </c>
      <c r="H42" s="30">
        <v>39</v>
      </c>
    </row>
    <row r="43" spans="2:8" ht="14" x14ac:dyDescent="0.3">
      <c r="B43" s="4" t="s">
        <v>122</v>
      </c>
      <c r="D43" s="30">
        <v>36</v>
      </c>
      <c r="E43" s="30">
        <v>36</v>
      </c>
      <c r="F43" s="30">
        <v>36</v>
      </c>
      <c r="G43" s="30">
        <v>36</v>
      </c>
      <c r="H43" s="30">
        <v>36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194</v>
      </c>
    </row>
    <row r="3" spans="2:17" ht="14" x14ac:dyDescent="0.3">
      <c r="B3" s="1" t="s">
        <v>195</v>
      </c>
    </row>
    <row r="4" spans="2:17" ht="28" x14ac:dyDescent="0.3">
      <c r="B4" s="10" t="s">
        <v>3</v>
      </c>
      <c r="C4" s="10" t="s">
        <v>5</v>
      </c>
      <c r="D4" s="10" t="s">
        <v>196</v>
      </c>
      <c r="E4" s="10" t="s">
        <v>197</v>
      </c>
      <c r="F4" s="10" t="s">
        <v>198</v>
      </c>
      <c r="G4" s="10" t="s">
        <v>199</v>
      </c>
      <c r="H4" s="10" t="s">
        <v>200</v>
      </c>
      <c r="I4" s="10" t="s">
        <v>201</v>
      </c>
      <c r="J4" s="10" t="s">
        <v>202</v>
      </c>
      <c r="K4" s="10" t="s">
        <v>203</v>
      </c>
      <c r="L4" s="10" t="s">
        <v>204</v>
      </c>
      <c r="M4" s="10" t="s">
        <v>205</v>
      </c>
      <c r="N4" s="10" t="s">
        <v>206</v>
      </c>
      <c r="O4" s="10" t="s">
        <v>207</v>
      </c>
      <c r="P4" s="10" t="s">
        <v>208</v>
      </c>
      <c r="Q4" s="10" t="s">
        <v>209</v>
      </c>
    </row>
    <row r="5" spans="2:17" ht="14" x14ac:dyDescent="0.3">
      <c r="B5" s="4" t="s">
        <v>210</v>
      </c>
      <c r="C5" t="s">
        <v>211</v>
      </c>
      <c r="D5" s="37">
        <f>'Executive Summary'!C9*C23/1000000</f>
        <v>10501964.417846</v>
      </c>
      <c r="E5" s="37">
        <f>D5+C24</f>
        <v>9085199.4178459998</v>
      </c>
      <c r="F5" s="37">
        <v>2573969</v>
      </c>
      <c r="G5" s="37">
        <v>878178</v>
      </c>
      <c r="H5" s="37">
        <v>635205</v>
      </c>
      <c r="I5" s="37">
        <v>474459</v>
      </c>
      <c r="J5" s="38">
        <f t="shared" ref="J5:J10" si="0">IFERROR(E5/G5,"")</f>
        <v>10.345510156079975</v>
      </c>
      <c r="K5" s="38">
        <f t="shared" ref="K5:K10" si="1">IFERROR(E5/F5,"")</f>
        <v>3.5296460127709386</v>
      </c>
      <c r="L5" s="38">
        <f t="shared" ref="L5:L10" si="2">IFERROR(D5/I5,"")</f>
        <v>22.134608929003349</v>
      </c>
      <c r="M5" s="38">
        <f t="shared" ref="M5:M10" si="3">IFERROR(D5/P5,"")</f>
        <v>2.3523650550184705</v>
      </c>
      <c r="N5" s="39">
        <f t="shared" ref="N5:N10" si="4">IFERROR(H5/F5,"")</f>
        <v>0.24678036137964365</v>
      </c>
      <c r="O5" s="39">
        <f t="shared" ref="O5:O10" si="5">IFERROR(I5/P5,"")</f>
        <v>0.10627542878953362</v>
      </c>
      <c r="P5" s="37">
        <v>4464428</v>
      </c>
    </row>
    <row r="6" spans="2:17" ht="14" x14ac:dyDescent="0.3">
      <c r="B6" s="4" t="s">
        <v>212</v>
      </c>
      <c r="C6" t="s">
        <v>213</v>
      </c>
      <c r="D6" s="37">
        <v>2160016</v>
      </c>
      <c r="E6" s="37">
        <v>2794214</v>
      </c>
      <c r="F6" s="37">
        <v>3074505</v>
      </c>
      <c r="G6" s="37">
        <v>427544</v>
      </c>
      <c r="H6" s="37">
        <v>231200</v>
      </c>
      <c r="I6" s="37">
        <v>158794</v>
      </c>
      <c r="J6" s="38">
        <f t="shared" si="0"/>
        <v>6.5355004397208241</v>
      </c>
      <c r="K6" s="38">
        <f t="shared" si="1"/>
        <v>0.90883377974665835</v>
      </c>
      <c r="L6" s="38">
        <f t="shared" si="2"/>
        <v>13.602629822285477</v>
      </c>
      <c r="M6" s="38">
        <f t="shared" si="3"/>
        <v>1.0342630619035376</v>
      </c>
      <c r="N6" s="39">
        <f t="shared" si="4"/>
        <v>7.5199097090425937E-2</v>
      </c>
      <c r="O6" s="39">
        <f t="shared" si="5"/>
        <v>7.6034051901425884E-2</v>
      </c>
      <c r="P6" s="37">
        <v>2088459</v>
      </c>
    </row>
    <row r="7" spans="2:17" ht="14" x14ac:dyDescent="0.3">
      <c r="B7" s="4" t="s">
        <v>214</v>
      </c>
      <c r="C7" t="s">
        <v>215</v>
      </c>
      <c r="D7" s="37">
        <v>1681376</v>
      </c>
      <c r="E7" s="37">
        <v>3044793</v>
      </c>
      <c r="F7" s="37">
        <v>3703988</v>
      </c>
      <c r="G7" s="37">
        <v>303490</v>
      </c>
      <c r="H7" s="37">
        <v>32333</v>
      </c>
      <c r="I7" s="37">
        <v>11829</v>
      </c>
      <c r="J7" s="38">
        <f t="shared" si="0"/>
        <v>10.032597449668852</v>
      </c>
      <c r="K7" s="38">
        <f t="shared" si="1"/>
        <v>0.8220310108996034</v>
      </c>
      <c r="L7" s="38">
        <f t="shared" si="2"/>
        <v>142.14016400371966</v>
      </c>
      <c r="M7" s="38">
        <f t="shared" si="3"/>
        <v>0.95441894787631087</v>
      </c>
      <c r="N7" s="39">
        <f t="shared" si="4"/>
        <v>8.7292399435419336E-3</v>
      </c>
      <c r="O7" s="39">
        <f t="shared" si="5"/>
        <v>6.7146323811145643E-3</v>
      </c>
      <c r="P7" s="37">
        <v>1761675</v>
      </c>
    </row>
    <row r="8" spans="2:17" ht="14" x14ac:dyDescent="0.3">
      <c r="B8" s="4" t="s">
        <v>216</v>
      </c>
      <c r="C8" t="s">
        <v>217</v>
      </c>
      <c r="D8" s="37">
        <v>804059</v>
      </c>
      <c r="E8" s="37">
        <v>1361137</v>
      </c>
      <c r="F8" s="37">
        <v>1668754</v>
      </c>
      <c r="G8" s="37">
        <v>156370</v>
      </c>
      <c r="H8" s="37">
        <v>56602</v>
      </c>
      <c r="I8" s="37">
        <v>34378</v>
      </c>
      <c r="J8" s="38">
        <f t="shared" si="0"/>
        <v>8.7045916735946793</v>
      </c>
      <c r="K8" s="38">
        <f t="shared" si="1"/>
        <v>0.81566066658117375</v>
      </c>
      <c r="L8" s="38">
        <f t="shared" si="2"/>
        <v>23.388766071324685</v>
      </c>
      <c r="M8" s="38">
        <f t="shared" si="3"/>
        <v>0.92984144128725021</v>
      </c>
      <c r="N8" s="39">
        <f t="shared" si="4"/>
        <v>3.3918720194828E-2</v>
      </c>
      <c r="O8" s="39">
        <f t="shared" si="5"/>
        <v>3.9755899838908697E-2</v>
      </c>
      <c r="P8" s="37">
        <v>864727</v>
      </c>
    </row>
    <row r="9" spans="2:17" ht="14" x14ac:dyDescent="0.3">
      <c r="B9" s="4" t="s">
        <v>218</v>
      </c>
      <c r="C9" t="s">
        <v>219</v>
      </c>
      <c r="D9" s="37">
        <v>2368140</v>
      </c>
      <c r="E9" s="37">
        <v>3084852</v>
      </c>
      <c r="F9" s="37">
        <v>1359611</v>
      </c>
      <c r="G9" s="37">
        <v>320233</v>
      </c>
      <c r="H9" s="37">
        <v>193329</v>
      </c>
      <c r="I9" s="37">
        <v>123891</v>
      </c>
      <c r="J9" s="38">
        <f t="shared" si="0"/>
        <v>9.6331483638475728</v>
      </c>
      <c r="K9" s="38">
        <f t="shared" si="1"/>
        <v>2.2689225079820625</v>
      </c>
      <c r="L9" s="38">
        <f t="shared" si="2"/>
        <v>19.11470566869264</v>
      </c>
      <c r="M9" s="38">
        <f t="shared" si="3"/>
        <v>1.9453126732749719</v>
      </c>
      <c r="N9" s="39">
        <f t="shared" si="4"/>
        <v>0.14219434823637056</v>
      </c>
      <c r="O9" s="39">
        <f t="shared" si="5"/>
        <v>0.10177047488945314</v>
      </c>
      <c r="P9" s="37">
        <v>1217357</v>
      </c>
    </row>
    <row r="10" spans="2:17" ht="14" x14ac:dyDescent="0.3">
      <c r="B10" s="4" t="s">
        <v>220</v>
      </c>
      <c r="C10" t="s">
        <v>221</v>
      </c>
      <c r="D10" s="37">
        <v>3962306</v>
      </c>
      <c r="E10" s="37">
        <v>4818766</v>
      </c>
      <c r="F10" s="37">
        <v>3356969</v>
      </c>
      <c r="G10" s="37">
        <v>522581</v>
      </c>
      <c r="H10" s="37">
        <v>350210</v>
      </c>
      <c r="I10" s="37">
        <v>276415</v>
      </c>
      <c r="J10" s="38">
        <f t="shared" si="0"/>
        <v>9.2210891708653779</v>
      </c>
      <c r="K10" s="38">
        <f t="shared" si="1"/>
        <v>1.4354514444428887</v>
      </c>
      <c r="L10" s="38">
        <f t="shared" si="2"/>
        <v>14.334627281442758</v>
      </c>
      <c r="M10" s="38">
        <f t="shared" si="3"/>
        <v>1.0319714549882149</v>
      </c>
      <c r="N10" s="39">
        <f t="shared" si="4"/>
        <v>0.10432327495428168</v>
      </c>
      <c r="O10" s="39">
        <f t="shared" si="5"/>
        <v>7.1991509421677022E-2</v>
      </c>
      <c r="P10" s="37">
        <v>3839550</v>
      </c>
    </row>
    <row r="14" spans="2:17" ht="14" x14ac:dyDescent="0.3">
      <c r="B14" s="3" t="s">
        <v>222</v>
      </c>
    </row>
    <row r="15" spans="2:17" ht="14" x14ac:dyDescent="0.3">
      <c r="B15" s="4" t="s">
        <v>223</v>
      </c>
      <c r="D15" s="38">
        <f t="shared" ref="D15:I15" si="6">PERCENTILE(J6:J10,0.25)</f>
        <v>8.7045916735946793</v>
      </c>
      <c r="E15" s="38">
        <f t="shared" si="6"/>
        <v>0.8220310108996034</v>
      </c>
      <c r="F15" s="38">
        <f t="shared" si="6"/>
        <v>14.334627281442758</v>
      </c>
      <c r="G15" s="38">
        <f t="shared" si="6"/>
        <v>0.95441894787631087</v>
      </c>
      <c r="H15" s="39">
        <f t="shared" si="6"/>
        <v>3.3918720194828E-2</v>
      </c>
      <c r="I15" s="39">
        <f t="shared" si="6"/>
        <v>3.9755899838908697E-2</v>
      </c>
    </row>
    <row r="16" spans="2:17" ht="14" x14ac:dyDescent="0.3">
      <c r="B16" s="4" t="s">
        <v>224</v>
      </c>
      <c r="D16" s="38">
        <f t="shared" ref="D16:I16" si="7">MEDIAN(J6:J10)</f>
        <v>9.2210891708653779</v>
      </c>
      <c r="E16" s="38">
        <f t="shared" si="7"/>
        <v>0.90883377974665835</v>
      </c>
      <c r="F16" s="38">
        <f t="shared" si="7"/>
        <v>19.11470566869264</v>
      </c>
      <c r="G16" s="38">
        <f t="shared" si="7"/>
        <v>1.0319714549882149</v>
      </c>
      <c r="H16" s="39">
        <f t="shared" si="7"/>
        <v>7.5199097090425937E-2</v>
      </c>
      <c r="I16" s="39">
        <f t="shared" si="7"/>
        <v>7.1991509421677022E-2</v>
      </c>
    </row>
    <row r="17" spans="2:9" ht="14" x14ac:dyDescent="0.3">
      <c r="B17" s="4" t="s">
        <v>225</v>
      </c>
      <c r="D17" s="38">
        <f t="shared" ref="D17:I17" si="8">PERCENTILE(J6:J10,0.75)</f>
        <v>9.6331483638475728</v>
      </c>
      <c r="E17" s="38">
        <f t="shared" si="8"/>
        <v>1.4354514444428887</v>
      </c>
      <c r="F17" s="38">
        <f t="shared" si="8"/>
        <v>23.388766071324685</v>
      </c>
      <c r="G17" s="38">
        <f t="shared" si="8"/>
        <v>1.0342630619035376</v>
      </c>
      <c r="H17" s="39">
        <f t="shared" si="8"/>
        <v>0.10432327495428168</v>
      </c>
      <c r="I17" s="39">
        <f t="shared" si="8"/>
        <v>7.6034051901425884E-2</v>
      </c>
    </row>
    <row r="19" spans="2:9" ht="14" x14ac:dyDescent="0.3">
      <c r="B19" s="22" t="s">
        <v>226</v>
      </c>
      <c r="C19" s="23"/>
      <c r="D19" s="23"/>
      <c r="E19" s="23"/>
      <c r="F19" s="23"/>
      <c r="G19" s="23"/>
      <c r="H19" s="23"/>
      <c r="I19" s="23"/>
    </row>
    <row r="20" spans="2:9" ht="14" x14ac:dyDescent="0.3">
      <c r="B20" s="3" t="s">
        <v>227</v>
      </c>
    </row>
    <row r="21" spans="2:9" ht="14" x14ac:dyDescent="0.3">
      <c r="B21" s="4" t="s">
        <v>228</v>
      </c>
      <c r="C21" s="5">
        <v>878177</v>
      </c>
    </row>
    <row r="22" spans="2:9" ht="14" x14ac:dyDescent="0.3">
      <c r="B22" s="4" t="s">
        <v>229</v>
      </c>
      <c r="C22" s="5">
        <v>474459</v>
      </c>
    </row>
    <row r="23" spans="2:9" ht="14" x14ac:dyDescent="0.3">
      <c r="B23" s="4" t="s">
        <v>230</v>
      </c>
      <c r="C23" s="15">
        <v>1815064711</v>
      </c>
    </row>
    <row r="24" spans="2:9" ht="14" x14ac:dyDescent="0.3">
      <c r="B24" s="4" t="s">
        <v>71</v>
      </c>
      <c r="C24" s="5">
        <v>-1416765</v>
      </c>
    </row>
    <row r="26" spans="2:9" ht="14" x14ac:dyDescent="0.3">
      <c r="B26" s="3" t="s">
        <v>231</v>
      </c>
    </row>
    <row r="27" spans="2:9" ht="14" x14ac:dyDescent="0.3">
      <c r="B27" s="4" t="s">
        <v>232</v>
      </c>
      <c r="C27" s="24">
        <f>ROUND((C21*D16-C24)*1000000/C23,0)</f>
        <v>5242</v>
      </c>
    </row>
    <row r="28" spans="2:9" ht="14" x14ac:dyDescent="0.3">
      <c r="B28" s="4" t="s">
        <v>233</v>
      </c>
      <c r="C28" s="24">
        <f>ROUND(C22*F16*1000000/C23,0)</f>
        <v>4997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234</v>
      </c>
    </row>
    <row r="3" spans="2:9" ht="14" x14ac:dyDescent="0.3">
      <c r="B3" s="4" t="s">
        <v>235</v>
      </c>
      <c r="C3" s="16">
        <f>'DCF Model'!C26</f>
        <v>0.106598</v>
      </c>
      <c r="E3" s="4" t="s">
        <v>236</v>
      </c>
      <c r="F3" s="16">
        <f>'DCF Model'!C13</f>
        <v>0.01</v>
      </c>
      <c r="H3" s="4" t="s">
        <v>237</v>
      </c>
      <c r="I3" s="14">
        <f>'DCF Model'!C14</f>
        <v>9.1999999999999993</v>
      </c>
    </row>
    <row r="5" spans="2:9" ht="14" x14ac:dyDescent="0.3">
      <c r="B5" s="3" t="s">
        <v>238</v>
      </c>
    </row>
    <row r="6" spans="2:9" ht="14" x14ac:dyDescent="0.3">
      <c r="B6" s="40" t="s">
        <v>239</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9.1597999999999999E-2</v>
      </c>
      <c r="C7" s="37">
        <f>IFERROR(ROUND(('DCF Model'!C45/(1+$B7)^('DCF Model'!C19+0)+'DCF Model'!D45/(1+$B7)^('DCF Model'!C19+1)+'DCF Model'!E45/(1+$B7)^('DCF Model'!C19+2)+'DCF Model'!F45/(1+$B7)^('DCF Model'!C19+3)+'DCF Model'!G45/(1+$B7)^('DCF Model'!C19+4)+'DCF Model'!G45*(1+C$6)/($B7-C$6)/(1+$B7)^('DCF Model'!C19+4)-'DCF Model'!C16)*1000000/'DCF Model'!C15,0),"")</f>
        <v>3745</v>
      </c>
      <c r="D7" s="37">
        <f>IFERROR(ROUND(('DCF Model'!C45/(1+$B7)^('DCF Model'!C19+0)+'DCF Model'!D45/(1+$B7)^('DCF Model'!C19+1)+'DCF Model'!E45/(1+$B7)^('DCF Model'!C19+2)+'DCF Model'!F45/(1+$B7)^('DCF Model'!C19+3)+'DCF Model'!G45/(1+$B7)^('DCF Model'!C19+4)+'DCF Model'!G45*(1+D$6)/($B7-D$6)/(1+$B7)^('DCF Model'!C19+4)-'DCF Model'!C16)*1000000/'DCF Model'!C15,0),"")</f>
        <v>3814</v>
      </c>
      <c r="E7" s="37">
        <f>IFERROR(ROUND(('DCF Model'!C45/(1+$B7)^('DCF Model'!C19+0)+'DCF Model'!D45/(1+$B7)^('DCF Model'!C19+1)+'DCF Model'!E45/(1+$B7)^('DCF Model'!C19+2)+'DCF Model'!F45/(1+$B7)^('DCF Model'!C19+3)+'DCF Model'!G45/(1+$B7)^('DCF Model'!C19+4)+'DCF Model'!G45*(1+E$6)/($B7-E$6)/(1+$B7)^('DCF Model'!C19+4)-'DCF Model'!C16)*1000000/'DCF Model'!C15,0),"")</f>
        <v>3888</v>
      </c>
      <c r="F7" s="37">
        <f>IFERROR(ROUND(('DCF Model'!C45/(1+$B7)^('DCF Model'!C19+0)+'DCF Model'!D45/(1+$B7)^('DCF Model'!C19+1)+'DCF Model'!E45/(1+$B7)^('DCF Model'!C19+2)+'DCF Model'!F45/(1+$B7)^('DCF Model'!C19+3)+'DCF Model'!G45/(1+$B7)^('DCF Model'!C19+4)+'DCF Model'!G45*(1+F$6)/($B7-F$6)/(1+$B7)^('DCF Model'!C19+4)-'DCF Model'!C16)*1000000/'DCF Model'!C15,0),"")</f>
        <v>3966</v>
      </c>
      <c r="G7" s="37">
        <f>IFERROR(ROUND(('DCF Model'!C45/(1+$B7)^('DCF Model'!C19+0)+'DCF Model'!D45/(1+$B7)^('DCF Model'!C19+1)+'DCF Model'!E45/(1+$B7)^('DCF Model'!C19+2)+'DCF Model'!F45/(1+$B7)^('DCF Model'!C19+3)+'DCF Model'!G45/(1+$B7)^('DCF Model'!C19+4)+'DCF Model'!G45*(1+G$6)/($B7-G$6)/(1+$B7)^('DCF Model'!C19+4)-'DCF Model'!C16)*1000000/'DCF Model'!C15,0),"")</f>
        <v>4049</v>
      </c>
      <c r="H7" s="37">
        <f>IFERROR(ROUND(('DCF Model'!C45/(1+$B7)^('DCF Model'!C19+0)+'DCF Model'!D45/(1+$B7)^('DCF Model'!C19+1)+'DCF Model'!E45/(1+$B7)^('DCF Model'!C19+2)+'DCF Model'!F45/(1+$B7)^('DCF Model'!C19+3)+'DCF Model'!G45/(1+$B7)^('DCF Model'!C19+4)+'DCF Model'!G45*(1+H$6)/($B7-H$6)/(1+$B7)^('DCF Model'!C19+4)-'DCF Model'!C16)*1000000/'DCF Model'!C15,0),"")</f>
        <v>4138</v>
      </c>
      <c r="I7" s="37">
        <f>IFERROR(ROUND(('DCF Model'!C45/(1+$B7)^('DCF Model'!C19+0)+'DCF Model'!D45/(1+$B7)^('DCF Model'!C19+1)+'DCF Model'!E45/(1+$B7)^('DCF Model'!C19+2)+'DCF Model'!F45/(1+$B7)^('DCF Model'!C19+3)+'DCF Model'!G45/(1+$B7)^('DCF Model'!C19+4)+'DCF Model'!G45*(1+I$6)/($B7-I$6)/(1+$B7)^('DCF Model'!C19+4)-'DCF Model'!C16)*1000000/'DCF Model'!C15,0),"")</f>
        <v>4233</v>
      </c>
    </row>
    <row r="8" spans="2:9" ht="13.5" x14ac:dyDescent="0.25">
      <c r="B8" s="39">
        <f>$C$3-0.01</f>
        <v>9.6598000000000003E-2</v>
      </c>
      <c r="C8" s="37">
        <f>IFERROR(ROUND(('DCF Model'!C45/(1+$B8)^('DCF Model'!C19+0)+'DCF Model'!D45/(1+$B8)^('DCF Model'!C19+1)+'DCF Model'!E45/(1+$B8)^('DCF Model'!C19+2)+'DCF Model'!F45/(1+$B8)^('DCF Model'!C19+3)+'DCF Model'!G45/(1+$B8)^('DCF Model'!C19+4)+'DCF Model'!G45*(1+C$6)/($B8-C$6)/(1+$B8)^('DCF Model'!C19+4)-'DCF Model'!C16)*1000000/'DCF Model'!C15,0),"")</f>
        <v>3567</v>
      </c>
      <c r="D8" s="37">
        <f>IFERROR(ROUND(('DCF Model'!C45/(1+$B8)^('DCF Model'!C19+0)+'DCF Model'!D45/(1+$B8)^('DCF Model'!C19+1)+'DCF Model'!E45/(1+$B8)^('DCF Model'!C19+2)+'DCF Model'!F45/(1+$B8)^('DCF Model'!C19+3)+'DCF Model'!G45/(1+$B8)^('DCF Model'!C19+4)+'DCF Model'!G45*(1+D$6)/($B8-D$6)/(1+$B8)^('DCF Model'!C19+4)-'DCF Model'!C16)*1000000/'DCF Model'!C15,0),"")</f>
        <v>3628</v>
      </c>
      <c r="E8" s="37">
        <f>IFERROR(ROUND(('DCF Model'!C45/(1+$B8)^('DCF Model'!C19+0)+'DCF Model'!D45/(1+$B8)^('DCF Model'!C19+1)+'DCF Model'!E45/(1+$B8)^('DCF Model'!C19+2)+'DCF Model'!F45/(1+$B8)^('DCF Model'!C19+3)+'DCF Model'!G45/(1+$B8)^('DCF Model'!C19+4)+'DCF Model'!G45*(1+E$6)/($B8-E$6)/(1+$B8)^('DCF Model'!C19+4)-'DCF Model'!C16)*1000000/'DCF Model'!C15,0),"")</f>
        <v>3693</v>
      </c>
      <c r="F8" s="37">
        <f>IFERROR(ROUND(('DCF Model'!C45/(1+$B8)^('DCF Model'!C19+0)+'DCF Model'!D45/(1+$B8)^('DCF Model'!C19+1)+'DCF Model'!E45/(1+$B8)^('DCF Model'!C19+2)+'DCF Model'!F45/(1+$B8)^('DCF Model'!C19+3)+'DCF Model'!G45/(1+$B8)^('DCF Model'!C19+4)+'DCF Model'!G45*(1+F$6)/($B8-F$6)/(1+$B8)^('DCF Model'!C19+4)-'DCF Model'!C16)*1000000/'DCF Model'!C15,0),"")</f>
        <v>3761</v>
      </c>
      <c r="G8" s="37">
        <f>IFERROR(ROUND(('DCF Model'!C45/(1+$B8)^('DCF Model'!C19+0)+'DCF Model'!D45/(1+$B8)^('DCF Model'!C19+1)+'DCF Model'!E45/(1+$B8)^('DCF Model'!C19+2)+'DCF Model'!F45/(1+$B8)^('DCF Model'!C19+3)+'DCF Model'!G45/(1+$B8)^('DCF Model'!C19+4)+'DCF Model'!G45*(1+G$6)/($B8-G$6)/(1+$B8)^('DCF Model'!C19+4)-'DCF Model'!C16)*1000000/'DCF Model'!C15,0),"")</f>
        <v>3834</v>
      </c>
      <c r="H8" s="37">
        <f>IFERROR(ROUND(('DCF Model'!C45/(1+$B8)^('DCF Model'!C19+0)+'DCF Model'!D45/(1+$B8)^('DCF Model'!C19+1)+'DCF Model'!E45/(1+$B8)^('DCF Model'!C19+2)+'DCF Model'!F45/(1+$B8)^('DCF Model'!C19+3)+'DCF Model'!G45/(1+$B8)^('DCF Model'!C19+4)+'DCF Model'!G45*(1+H$6)/($B8-H$6)/(1+$B8)^('DCF Model'!C19+4)-'DCF Model'!C16)*1000000/'DCF Model'!C15,0),"")</f>
        <v>3911</v>
      </c>
      <c r="I8" s="37">
        <f>IFERROR(ROUND(('DCF Model'!C45/(1+$B8)^('DCF Model'!C19+0)+'DCF Model'!D45/(1+$B8)^('DCF Model'!C19+1)+'DCF Model'!E45/(1+$B8)^('DCF Model'!C19+2)+'DCF Model'!F45/(1+$B8)^('DCF Model'!C19+3)+'DCF Model'!G45/(1+$B8)^('DCF Model'!C19+4)+'DCF Model'!G45*(1+I$6)/($B8-I$6)/(1+$B8)^('DCF Model'!C19+4)-'DCF Model'!C16)*1000000/'DCF Model'!C15,0),"")</f>
        <v>3992</v>
      </c>
    </row>
    <row r="9" spans="2:9" ht="13.5" x14ac:dyDescent="0.25">
      <c r="B9" s="39">
        <f>$C$3-0.005</f>
        <v>0.10159799999999999</v>
      </c>
      <c r="C9" s="37">
        <f>IFERROR(ROUND(('DCF Model'!C45/(1+$B9)^('DCF Model'!C19+0)+'DCF Model'!D45/(1+$B9)^('DCF Model'!C19+1)+'DCF Model'!E45/(1+$B9)^('DCF Model'!C19+2)+'DCF Model'!F45/(1+$B9)^('DCF Model'!C19+3)+'DCF Model'!G45/(1+$B9)^('DCF Model'!C19+4)+'DCF Model'!G45*(1+C$6)/($B9-C$6)/(1+$B9)^('DCF Model'!C19+4)-'DCF Model'!C16)*1000000/'DCF Model'!C15,0),"")</f>
        <v>3408</v>
      </c>
      <c r="D9" s="37">
        <f>IFERROR(ROUND(('DCF Model'!C45/(1+$B9)^('DCF Model'!C19+0)+'DCF Model'!D45/(1+$B9)^('DCF Model'!C19+1)+'DCF Model'!E45/(1+$B9)^('DCF Model'!C19+2)+'DCF Model'!F45/(1+$B9)^('DCF Model'!C19+3)+'DCF Model'!G45/(1+$B9)^('DCF Model'!C19+4)+'DCF Model'!G45*(1+D$6)/($B9-D$6)/(1+$B9)^('DCF Model'!C19+4)-'DCF Model'!C16)*1000000/'DCF Model'!C15,0),"")</f>
        <v>3462</v>
      </c>
      <c r="E9" s="37">
        <f>IFERROR(ROUND(('DCF Model'!C45/(1+$B9)^('DCF Model'!C19+0)+'DCF Model'!D45/(1+$B9)^('DCF Model'!C19+1)+'DCF Model'!E45/(1+$B9)^('DCF Model'!C19+2)+'DCF Model'!F45/(1+$B9)^('DCF Model'!C19+3)+'DCF Model'!G45/(1+$B9)^('DCF Model'!C19+4)+'DCF Model'!G45*(1+E$6)/($B9-E$6)/(1+$B9)^('DCF Model'!C19+4)-'DCF Model'!C16)*1000000/'DCF Model'!C15,0),"")</f>
        <v>3519</v>
      </c>
      <c r="F9" s="37">
        <f>IFERROR(ROUND(('DCF Model'!C45/(1+$B9)^('DCF Model'!C19+0)+'DCF Model'!D45/(1+$B9)^('DCF Model'!C19+1)+'DCF Model'!E45/(1+$B9)^('DCF Model'!C19+2)+'DCF Model'!F45/(1+$B9)^('DCF Model'!C19+3)+'DCF Model'!G45/(1+$B9)^('DCF Model'!C19+4)+'DCF Model'!G45*(1+F$6)/($B9-F$6)/(1+$B9)^('DCF Model'!C19+4)-'DCF Model'!C16)*1000000/'DCF Model'!C15,0),"")</f>
        <v>3579</v>
      </c>
      <c r="G9" s="37">
        <f>IFERROR(ROUND(('DCF Model'!C45/(1+$B9)^('DCF Model'!C19+0)+'DCF Model'!D45/(1+$B9)^('DCF Model'!C19+1)+'DCF Model'!E45/(1+$B9)^('DCF Model'!C19+2)+'DCF Model'!F45/(1+$B9)^('DCF Model'!C19+3)+'DCF Model'!G45/(1+$B9)^('DCF Model'!C19+4)+'DCF Model'!G45*(1+G$6)/($B9-G$6)/(1+$B9)^('DCF Model'!C19+4)-'DCF Model'!C16)*1000000/'DCF Model'!C15,0),"")</f>
        <v>3642</v>
      </c>
      <c r="H9" s="37">
        <f>IFERROR(ROUND(('DCF Model'!C45/(1+$B9)^('DCF Model'!C19+0)+'DCF Model'!D45/(1+$B9)^('DCF Model'!C19+1)+'DCF Model'!E45/(1+$B9)^('DCF Model'!C19+2)+'DCF Model'!F45/(1+$B9)^('DCF Model'!C19+3)+'DCF Model'!G45/(1+$B9)^('DCF Model'!C19+4)+'DCF Model'!G45*(1+H$6)/($B9-H$6)/(1+$B9)^('DCF Model'!C19+4)-'DCF Model'!C16)*1000000/'DCF Model'!C15,0),"")</f>
        <v>3710</v>
      </c>
      <c r="I9" s="37">
        <f>IFERROR(ROUND(('DCF Model'!C45/(1+$B9)^('DCF Model'!C19+0)+'DCF Model'!D45/(1+$B9)^('DCF Model'!C19+1)+'DCF Model'!E45/(1+$B9)^('DCF Model'!C19+2)+'DCF Model'!F45/(1+$B9)^('DCF Model'!C19+3)+'DCF Model'!G45/(1+$B9)^('DCF Model'!C19+4)+'DCF Model'!G45*(1+I$6)/($B9-I$6)/(1+$B9)^('DCF Model'!C19+4)-'DCF Model'!C16)*1000000/'DCF Model'!C15,0),"")</f>
        <v>3781</v>
      </c>
    </row>
    <row r="10" spans="2:9" ht="13.5" x14ac:dyDescent="0.25">
      <c r="B10" s="39">
        <f>$C$3</f>
        <v>0.106598</v>
      </c>
      <c r="C10" s="37">
        <f>IFERROR(ROUND(('DCF Model'!C45/(1+$B10)^('DCF Model'!C19+0)+'DCF Model'!D45/(1+$B10)^('DCF Model'!C19+1)+'DCF Model'!E45/(1+$B10)^('DCF Model'!C19+2)+'DCF Model'!F45/(1+$B10)^('DCF Model'!C19+3)+'DCF Model'!G45/(1+$B10)^('DCF Model'!C19+4)+'DCF Model'!G45*(1+C$6)/($B10-C$6)/(1+$B10)^('DCF Model'!C19+4)-'DCF Model'!C16)*1000000/'DCF Model'!C15,0),"")</f>
        <v>3264</v>
      </c>
      <c r="D10" s="37">
        <f>IFERROR(ROUND(('DCF Model'!C45/(1+$B10)^('DCF Model'!C19+0)+'DCF Model'!D45/(1+$B10)^('DCF Model'!C19+1)+'DCF Model'!E45/(1+$B10)^('DCF Model'!C19+2)+'DCF Model'!F45/(1+$B10)^('DCF Model'!C19+3)+'DCF Model'!G45/(1+$B10)^('DCF Model'!C19+4)+'DCF Model'!G45*(1+D$6)/($B10-D$6)/(1+$B10)^('DCF Model'!C19+4)-'DCF Model'!C16)*1000000/'DCF Model'!C15,0),"")</f>
        <v>3312</v>
      </c>
      <c r="E10" s="37">
        <f>IFERROR(ROUND(('DCF Model'!C45/(1+$B10)^('DCF Model'!C19+0)+'DCF Model'!D45/(1+$B10)^('DCF Model'!C19+1)+'DCF Model'!E45/(1+$B10)^('DCF Model'!C19+2)+'DCF Model'!F45/(1+$B10)^('DCF Model'!C19+3)+'DCF Model'!G45/(1+$B10)^('DCF Model'!C19+4)+'DCF Model'!G45*(1+E$6)/($B10-E$6)/(1+$B10)^('DCF Model'!C19+4)-'DCF Model'!C16)*1000000/'DCF Model'!C15,0),"")</f>
        <v>3362</v>
      </c>
      <c r="F10" s="37">
        <f>IFERROR(ROUND(('DCF Model'!C45/(1+$B10)^('DCF Model'!C19+0)+'DCF Model'!D45/(1+$B10)^('DCF Model'!C19+1)+'DCF Model'!E45/(1+$B10)^('DCF Model'!C19+2)+'DCF Model'!F45/(1+$B10)^('DCF Model'!C19+3)+'DCF Model'!G45/(1+$B10)^('DCF Model'!C19+4)+'DCF Model'!G45*(1+F$6)/($B10-F$6)/(1+$B10)^('DCF Model'!C19+4)-'DCF Model'!C16)*1000000/'DCF Model'!C15,0),"")</f>
        <v>3416</v>
      </c>
      <c r="G10" s="37">
        <f>IFERROR(ROUND(('DCF Model'!C45/(1+$B10)^('DCF Model'!C19+0)+'DCF Model'!D45/(1+$B10)^('DCF Model'!C19+1)+'DCF Model'!E45/(1+$B10)^('DCF Model'!C19+2)+'DCF Model'!F45/(1+$B10)^('DCF Model'!C19+3)+'DCF Model'!G45/(1+$B10)^('DCF Model'!C19+4)+'DCF Model'!G45*(1+G$6)/($B10-G$6)/(1+$B10)^('DCF Model'!C19+4)-'DCF Model'!C16)*1000000/'DCF Model'!C15,0),"")</f>
        <v>3472</v>
      </c>
      <c r="H10" s="37">
        <f>IFERROR(ROUND(('DCF Model'!C45/(1+$B10)^('DCF Model'!C19+0)+'DCF Model'!D45/(1+$B10)^('DCF Model'!C19+1)+'DCF Model'!E45/(1+$B10)^('DCF Model'!C19+2)+'DCF Model'!F45/(1+$B10)^('DCF Model'!C19+3)+'DCF Model'!G45/(1+$B10)^('DCF Model'!C19+4)+'DCF Model'!G45*(1+H$6)/($B10-H$6)/(1+$B10)^('DCF Model'!C19+4)-'DCF Model'!C16)*1000000/'DCF Model'!C15,0),"")</f>
        <v>3531</v>
      </c>
      <c r="I10" s="37">
        <f>IFERROR(ROUND(('DCF Model'!C45/(1+$B10)^('DCF Model'!C19+0)+'DCF Model'!D45/(1+$B10)^('DCF Model'!C19+1)+'DCF Model'!E45/(1+$B10)^('DCF Model'!C19+2)+'DCF Model'!F45/(1+$B10)^('DCF Model'!C19+3)+'DCF Model'!G45/(1+$B10)^('DCF Model'!C19+4)+'DCF Model'!G45*(1+I$6)/($B10-I$6)/(1+$B10)^('DCF Model'!C19+4)-'DCF Model'!C16)*1000000/'DCF Model'!C15,0),"")</f>
        <v>3593</v>
      </c>
    </row>
    <row r="11" spans="2:9" ht="13.5" x14ac:dyDescent="0.25">
      <c r="B11" s="39">
        <f>$C$3+0.005</f>
        <v>0.111598</v>
      </c>
      <c r="C11" s="37">
        <f>IFERROR(ROUND(('DCF Model'!C45/(1+$B11)^('DCF Model'!C19+0)+'DCF Model'!D45/(1+$B11)^('DCF Model'!C19+1)+'DCF Model'!E45/(1+$B11)^('DCF Model'!C19+2)+'DCF Model'!F45/(1+$B11)^('DCF Model'!C19+3)+'DCF Model'!G45/(1+$B11)^('DCF Model'!C19+4)+'DCF Model'!G45*(1+C$6)/($B11-C$6)/(1+$B11)^('DCF Model'!C19+4)-'DCF Model'!C16)*1000000/'DCF Model'!C15,0),"")</f>
        <v>3133</v>
      </c>
      <c r="D11" s="37">
        <f>IFERROR(ROUND(('DCF Model'!C45/(1+$B11)^('DCF Model'!C19+0)+'DCF Model'!D45/(1+$B11)^('DCF Model'!C19+1)+'DCF Model'!E45/(1+$B11)^('DCF Model'!C19+2)+'DCF Model'!F45/(1+$B11)^('DCF Model'!C19+3)+'DCF Model'!G45/(1+$B11)^('DCF Model'!C19+4)+'DCF Model'!G45*(1+D$6)/($B11-D$6)/(1+$B11)^('DCF Model'!C19+4)-'DCF Model'!C16)*1000000/'DCF Model'!C15,0),"")</f>
        <v>3176</v>
      </c>
      <c r="E11" s="37">
        <f>IFERROR(ROUND(('DCF Model'!C45/(1+$B11)^('DCF Model'!C19+0)+'DCF Model'!D45/(1+$B11)^('DCF Model'!C19+1)+'DCF Model'!E45/(1+$B11)^('DCF Model'!C19+2)+'DCF Model'!F45/(1+$B11)^('DCF Model'!C19+3)+'DCF Model'!G45/(1+$B11)^('DCF Model'!C19+4)+'DCF Model'!G45*(1+E$6)/($B11-E$6)/(1+$B11)^('DCF Model'!C19+4)-'DCF Model'!C16)*1000000/'DCF Model'!C15,0),"")</f>
        <v>3221</v>
      </c>
      <c r="F11" s="37">
        <f>IFERROR(ROUND(('DCF Model'!C45/(1+$B11)^('DCF Model'!C19+0)+'DCF Model'!D45/(1+$B11)^('DCF Model'!C19+1)+'DCF Model'!E45/(1+$B11)^('DCF Model'!C19+2)+'DCF Model'!F45/(1+$B11)^('DCF Model'!C19+3)+'DCF Model'!G45/(1+$B11)^('DCF Model'!C19+4)+'DCF Model'!G45*(1+F$6)/($B11-F$6)/(1+$B11)^('DCF Model'!C19+4)-'DCF Model'!C16)*1000000/'DCF Model'!C15,0),"")</f>
        <v>3269</v>
      </c>
      <c r="G11" s="37">
        <f>IFERROR(ROUND(('DCF Model'!C45/(1+$B11)^('DCF Model'!C19+0)+'DCF Model'!D45/(1+$B11)^('DCF Model'!C19+1)+'DCF Model'!E45/(1+$B11)^('DCF Model'!C19+2)+'DCF Model'!F45/(1+$B11)^('DCF Model'!C19+3)+'DCF Model'!G45/(1+$B11)^('DCF Model'!C19+4)+'DCF Model'!G45*(1+G$6)/($B11-G$6)/(1+$B11)^('DCF Model'!C19+4)-'DCF Model'!C16)*1000000/'DCF Model'!C15,0),"")</f>
        <v>3318</v>
      </c>
      <c r="H11" s="37">
        <f>IFERROR(ROUND(('DCF Model'!C45/(1+$B11)^('DCF Model'!C19+0)+'DCF Model'!D45/(1+$B11)^('DCF Model'!C19+1)+'DCF Model'!E45/(1+$B11)^('DCF Model'!C19+2)+'DCF Model'!F45/(1+$B11)^('DCF Model'!C19+3)+'DCF Model'!G45/(1+$B11)^('DCF Model'!C19+4)+'DCF Model'!G45*(1+H$6)/($B11-H$6)/(1+$B11)^('DCF Model'!C19+4)-'DCF Model'!C16)*1000000/'DCF Model'!C15,0),"")</f>
        <v>3370</v>
      </c>
      <c r="I11" s="37">
        <f>IFERROR(ROUND(('DCF Model'!C45/(1+$B11)^('DCF Model'!C19+0)+'DCF Model'!D45/(1+$B11)^('DCF Model'!C19+1)+'DCF Model'!E45/(1+$B11)^('DCF Model'!C19+2)+'DCF Model'!F45/(1+$B11)^('DCF Model'!C19+3)+'DCF Model'!G45/(1+$B11)^('DCF Model'!C19+4)+'DCF Model'!G45*(1+I$6)/($B11-I$6)/(1+$B11)^('DCF Model'!C19+4)-'DCF Model'!C16)*1000000/'DCF Model'!C15,0),"")</f>
        <v>3425</v>
      </c>
    </row>
    <row r="12" spans="2:9" ht="13.5" x14ac:dyDescent="0.25">
      <c r="B12" s="39">
        <f>$C$3+0.01</f>
        <v>0.11659799999999999</v>
      </c>
      <c r="C12" s="37">
        <f>IFERROR(ROUND(('DCF Model'!C45/(1+$B12)^('DCF Model'!C19+0)+'DCF Model'!D45/(1+$B12)^('DCF Model'!C19+1)+'DCF Model'!E45/(1+$B12)^('DCF Model'!C19+2)+'DCF Model'!F45/(1+$B12)^('DCF Model'!C19+3)+'DCF Model'!G45/(1+$B12)^('DCF Model'!C19+4)+'DCF Model'!G45*(1+C$6)/($B12-C$6)/(1+$B12)^('DCF Model'!C19+4)-'DCF Model'!C16)*1000000/'DCF Model'!C15,0),"")</f>
        <v>3015</v>
      </c>
      <c r="D12" s="37">
        <f>IFERROR(ROUND(('DCF Model'!C45/(1+$B12)^('DCF Model'!C19+0)+'DCF Model'!D45/(1+$B12)^('DCF Model'!C19+1)+'DCF Model'!E45/(1+$B12)^('DCF Model'!C19+2)+'DCF Model'!F45/(1+$B12)^('DCF Model'!C19+3)+'DCF Model'!G45/(1+$B12)^('DCF Model'!C19+4)+'DCF Model'!G45*(1+D$6)/($B12-D$6)/(1+$B12)^('DCF Model'!C19+4)-'DCF Model'!C16)*1000000/'DCF Model'!C15,0),"")</f>
        <v>3053</v>
      </c>
      <c r="E12" s="37">
        <f>IFERROR(ROUND(('DCF Model'!C45/(1+$B12)^('DCF Model'!C19+0)+'DCF Model'!D45/(1+$B12)^('DCF Model'!C19+1)+'DCF Model'!E45/(1+$B12)^('DCF Model'!C19+2)+'DCF Model'!F45/(1+$B12)^('DCF Model'!C19+3)+'DCF Model'!G45/(1+$B12)^('DCF Model'!C19+4)+'DCF Model'!G45*(1+E$6)/($B12-E$6)/(1+$B12)^('DCF Model'!C19+4)-'DCF Model'!C16)*1000000/'DCF Model'!C15,0),"")</f>
        <v>3093</v>
      </c>
      <c r="F12" s="37">
        <f>IFERROR(ROUND(('DCF Model'!C45/(1+$B12)^('DCF Model'!C19+0)+'DCF Model'!D45/(1+$B12)^('DCF Model'!C19+1)+'DCF Model'!E45/(1+$B12)^('DCF Model'!C19+2)+'DCF Model'!F45/(1+$B12)^('DCF Model'!C19+3)+'DCF Model'!G45/(1+$B12)^('DCF Model'!C19+4)+'DCF Model'!G45*(1+F$6)/($B12-F$6)/(1+$B12)^('DCF Model'!C19+4)-'DCF Model'!C16)*1000000/'DCF Model'!C15,0),"")</f>
        <v>3136</v>
      </c>
      <c r="G12" s="37">
        <f>IFERROR(ROUND(('DCF Model'!C45/(1+$B12)^('DCF Model'!C19+0)+'DCF Model'!D45/(1+$B12)^('DCF Model'!C19+1)+'DCF Model'!E45/(1+$B12)^('DCF Model'!C19+2)+'DCF Model'!F45/(1+$B12)^('DCF Model'!C19+3)+'DCF Model'!G45/(1+$B12)^('DCF Model'!C19+4)+'DCF Model'!G45*(1+G$6)/($B12-G$6)/(1+$B12)^('DCF Model'!C19+4)-'DCF Model'!C16)*1000000/'DCF Model'!C15,0),"")</f>
        <v>3180</v>
      </c>
      <c r="H12" s="37">
        <f>IFERROR(ROUND(('DCF Model'!C45/(1+$B12)^('DCF Model'!C19+0)+'DCF Model'!D45/(1+$B12)^('DCF Model'!C19+1)+'DCF Model'!E45/(1+$B12)^('DCF Model'!C19+2)+'DCF Model'!F45/(1+$B12)^('DCF Model'!C19+3)+'DCF Model'!G45/(1+$B12)^('DCF Model'!C19+4)+'DCF Model'!G45*(1+H$6)/($B12-H$6)/(1+$B12)^('DCF Model'!C19+4)-'DCF Model'!C16)*1000000/'DCF Model'!C15,0),"")</f>
        <v>3226</v>
      </c>
      <c r="I12" s="37">
        <f>IFERROR(ROUND(('DCF Model'!C45/(1+$B12)^('DCF Model'!C19+0)+'DCF Model'!D45/(1+$B12)^('DCF Model'!C19+1)+'DCF Model'!E45/(1+$B12)^('DCF Model'!C19+2)+'DCF Model'!F45/(1+$B12)^('DCF Model'!C19+3)+'DCF Model'!G45/(1+$B12)^('DCF Model'!C19+4)+'DCF Model'!G45*(1+I$6)/($B12-I$6)/(1+$B12)^('DCF Model'!C19+4)-'DCF Model'!C16)*1000000/'DCF Model'!C15,0),"")</f>
        <v>3275</v>
      </c>
    </row>
    <row r="13" spans="2:9" ht="13.5" x14ac:dyDescent="0.25">
      <c r="B13" s="39">
        <f>$C$3+0.015</f>
        <v>0.121598</v>
      </c>
      <c r="C13" s="37">
        <f>IFERROR(ROUND(('DCF Model'!C45/(1+$B13)^('DCF Model'!C19+0)+'DCF Model'!D45/(1+$B13)^('DCF Model'!C19+1)+'DCF Model'!E45/(1+$B13)^('DCF Model'!C19+2)+'DCF Model'!F45/(1+$B13)^('DCF Model'!C19+3)+'DCF Model'!G45/(1+$B13)^('DCF Model'!C19+4)+'DCF Model'!G45*(1+C$6)/($B13-C$6)/(1+$B13)^('DCF Model'!C19+4)-'DCF Model'!C16)*1000000/'DCF Model'!C15,0),"")</f>
        <v>2906</v>
      </c>
      <c r="D13" s="37">
        <f>IFERROR(ROUND(('DCF Model'!C45/(1+$B13)^('DCF Model'!C19+0)+'DCF Model'!D45/(1+$B13)^('DCF Model'!C19+1)+'DCF Model'!E45/(1+$B13)^('DCF Model'!C19+2)+'DCF Model'!F45/(1+$B13)^('DCF Model'!C19+3)+'DCF Model'!G45/(1+$B13)^('DCF Model'!C19+4)+'DCF Model'!G45*(1+D$6)/($B13-D$6)/(1+$B13)^('DCF Model'!C19+4)-'DCF Model'!C16)*1000000/'DCF Model'!C15,0),"")</f>
        <v>2941</v>
      </c>
      <c r="E13" s="37">
        <f>IFERROR(ROUND(('DCF Model'!C45/(1+$B13)^('DCF Model'!C19+0)+'DCF Model'!D45/(1+$B13)^('DCF Model'!C19+1)+'DCF Model'!E45/(1+$B13)^('DCF Model'!C19+2)+'DCF Model'!F45/(1+$B13)^('DCF Model'!C19+3)+'DCF Model'!G45/(1+$B13)^('DCF Model'!C19+4)+'DCF Model'!G45*(1+E$6)/($B13-E$6)/(1+$B13)^('DCF Model'!C19+4)-'DCF Model'!C16)*1000000/'DCF Model'!C15,0),"")</f>
        <v>2977</v>
      </c>
      <c r="F13" s="37">
        <f>IFERROR(ROUND(('DCF Model'!C45/(1+$B13)^('DCF Model'!C19+0)+'DCF Model'!D45/(1+$B13)^('DCF Model'!C19+1)+'DCF Model'!E45/(1+$B13)^('DCF Model'!C19+2)+'DCF Model'!F45/(1+$B13)^('DCF Model'!C19+3)+'DCF Model'!G45/(1+$B13)^('DCF Model'!C19+4)+'DCF Model'!G45*(1+F$6)/($B13-F$6)/(1+$B13)^('DCF Model'!C19+4)-'DCF Model'!C16)*1000000/'DCF Model'!C15,0),"")</f>
        <v>3015</v>
      </c>
      <c r="G13" s="37">
        <f>IFERROR(ROUND(('DCF Model'!C45/(1+$B13)^('DCF Model'!C19+0)+'DCF Model'!D45/(1+$B13)^('DCF Model'!C19+1)+'DCF Model'!E45/(1+$B13)^('DCF Model'!C19+2)+'DCF Model'!F45/(1+$B13)^('DCF Model'!C19+3)+'DCF Model'!G45/(1+$B13)^('DCF Model'!C19+4)+'DCF Model'!G45*(1+G$6)/($B13-G$6)/(1+$B13)^('DCF Model'!C19+4)-'DCF Model'!C16)*1000000/'DCF Model'!C15,0),"")</f>
        <v>3054</v>
      </c>
      <c r="H13" s="37">
        <f>IFERROR(ROUND(('DCF Model'!C45/(1+$B13)^('DCF Model'!C19+0)+'DCF Model'!D45/(1+$B13)^('DCF Model'!C19+1)+'DCF Model'!E45/(1+$B13)^('DCF Model'!C19+2)+'DCF Model'!F45/(1+$B13)^('DCF Model'!C19+3)+'DCF Model'!G45/(1+$B13)^('DCF Model'!C19+4)+'DCF Model'!G45*(1+H$6)/($B13-H$6)/(1+$B13)^('DCF Model'!C19+4)-'DCF Model'!C16)*1000000/'DCF Model'!C15,0),"")</f>
        <v>3096</v>
      </c>
      <c r="I13" s="37">
        <f>IFERROR(ROUND(('DCF Model'!C45/(1+$B13)^('DCF Model'!C19+0)+'DCF Model'!D45/(1+$B13)^('DCF Model'!C19+1)+'DCF Model'!E45/(1+$B13)^('DCF Model'!C19+2)+'DCF Model'!F45/(1+$B13)^('DCF Model'!C19+3)+'DCF Model'!G45/(1+$B13)^('DCF Model'!C19+4)+'DCF Model'!G45*(1+I$6)/($B13-I$6)/(1+$B13)^('DCF Model'!C19+4)-'DCF Model'!C16)*1000000/'DCF Model'!C15,0),"")</f>
        <v>3139</v>
      </c>
    </row>
    <row r="16" spans="2:9" ht="14" x14ac:dyDescent="0.3">
      <c r="B16" s="3" t="s">
        <v>240</v>
      </c>
    </row>
    <row r="17" spans="2:9" ht="14" x14ac:dyDescent="0.3">
      <c r="B17" s="40" t="s">
        <v>241</v>
      </c>
      <c r="C17" s="42">
        <f>$I$3-3</f>
        <v>6.1999999999999993</v>
      </c>
      <c r="D17" s="42">
        <f>$I$3-2</f>
        <v>7.1999999999999993</v>
      </c>
      <c r="E17" s="42">
        <f>$I$3-1</f>
        <v>8.1999999999999993</v>
      </c>
      <c r="F17" s="42">
        <f>$I$3</f>
        <v>9.1999999999999993</v>
      </c>
      <c r="G17" s="42">
        <f>$I$3+1</f>
        <v>10.199999999999999</v>
      </c>
      <c r="H17" s="42">
        <f>$I$3+2</f>
        <v>11.2</v>
      </c>
      <c r="I17" s="42">
        <f>$I$3+3</f>
        <v>12.2</v>
      </c>
    </row>
    <row r="18" spans="2:9" ht="13.5" x14ac:dyDescent="0.25">
      <c r="B18" s="39">
        <f>$C$3-0.015</f>
        <v>9.1597999999999999E-2</v>
      </c>
      <c r="C18" s="37">
        <f>IFERROR(ROUND(('DCF Model'!C45/(1+$B18)^('DCF Model'!C19+0)+'DCF Model'!D45/(1+$B18)^('DCF Model'!C19+1)+'DCF Model'!E45/(1+$B18)^('DCF Model'!C19+2)+'DCF Model'!F45/(1+$B18)^('DCF Model'!C19+3)+'DCF Model'!G45/(1+$B18)^('DCF Model'!C19+4)+('DCF Model'!G39+'DCF Model'!G42)*C$17/(1+$B18)^('DCF Model'!C19+4)-'DCF Model'!C16)*1000000/'DCF Model'!C15,0),"")</f>
        <v>3885</v>
      </c>
      <c r="D18" s="37">
        <f>IFERROR(ROUND(('DCF Model'!C45/(1+$B18)^('DCF Model'!C19+0)+'DCF Model'!D45/(1+$B18)^('DCF Model'!C19+1)+'DCF Model'!E45/(1+$B18)^('DCF Model'!C19+2)+'DCF Model'!F45/(1+$B18)^('DCF Model'!C19+3)+'DCF Model'!G45/(1+$B18)^('DCF Model'!C19+4)+('DCF Model'!G39+'DCF Model'!G42)*D$17/(1+$B18)^('DCF Model'!C19+4)-'DCF Model'!C16)*1000000/'DCF Model'!C15,0),"")</f>
        <v>4264</v>
      </c>
      <c r="E18" s="37">
        <f>IFERROR(ROUND(('DCF Model'!C45/(1+$B18)^('DCF Model'!C19+0)+'DCF Model'!D45/(1+$B18)^('DCF Model'!C19+1)+'DCF Model'!E45/(1+$B18)^('DCF Model'!C19+2)+'DCF Model'!F45/(1+$B18)^('DCF Model'!C19+3)+'DCF Model'!G45/(1+$B18)^('DCF Model'!C19+4)+('DCF Model'!G39+'DCF Model'!G42)*E$17/(1+$B18)^('DCF Model'!C19+4)-'DCF Model'!C16)*1000000/'DCF Model'!C15,0),"")</f>
        <v>4644</v>
      </c>
      <c r="F18" s="37">
        <f>IFERROR(ROUND(('DCF Model'!C45/(1+$B18)^('DCF Model'!C19+0)+'DCF Model'!D45/(1+$B18)^('DCF Model'!C19+1)+'DCF Model'!E45/(1+$B18)^('DCF Model'!C19+2)+'DCF Model'!F45/(1+$B18)^('DCF Model'!C19+3)+'DCF Model'!G45/(1+$B18)^('DCF Model'!C19+4)+('DCF Model'!G39+'DCF Model'!G42)*F$17/(1+$B18)^('DCF Model'!C19+4)-'DCF Model'!C16)*1000000/'DCF Model'!C15,0),"")</f>
        <v>5024</v>
      </c>
      <c r="G18" s="37">
        <f>IFERROR(ROUND(('DCF Model'!C45/(1+$B18)^('DCF Model'!C19+0)+'DCF Model'!D45/(1+$B18)^('DCF Model'!C19+1)+'DCF Model'!E45/(1+$B18)^('DCF Model'!C19+2)+'DCF Model'!F45/(1+$B18)^('DCF Model'!C19+3)+'DCF Model'!G45/(1+$B18)^('DCF Model'!C19+4)+('DCF Model'!G39+'DCF Model'!G42)*G$17/(1+$B18)^('DCF Model'!C19+4)-'DCF Model'!C16)*1000000/'DCF Model'!C15,0),"")</f>
        <v>5404</v>
      </c>
      <c r="H18" s="37">
        <f>IFERROR(ROUND(('DCF Model'!C45/(1+$B18)^('DCF Model'!C19+0)+'DCF Model'!D45/(1+$B18)^('DCF Model'!C19+1)+'DCF Model'!E45/(1+$B18)^('DCF Model'!C19+2)+'DCF Model'!F45/(1+$B18)^('DCF Model'!C19+3)+'DCF Model'!G45/(1+$B18)^('DCF Model'!C19+4)+('DCF Model'!G39+'DCF Model'!G42)*H$17/(1+$B18)^('DCF Model'!C19+4)-'DCF Model'!C16)*1000000/'DCF Model'!C15,0),"")</f>
        <v>5784</v>
      </c>
      <c r="I18" s="37">
        <f>IFERROR(ROUND(('DCF Model'!C45/(1+$B18)^('DCF Model'!C19+0)+'DCF Model'!D45/(1+$B18)^('DCF Model'!C19+1)+'DCF Model'!E45/(1+$B18)^('DCF Model'!C19+2)+'DCF Model'!F45/(1+$B18)^('DCF Model'!C19+3)+'DCF Model'!G45/(1+$B18)^('DCF Model'!C19+4)+('DCF Model'!G39+'DCF Model'!G42)*I$17/(1+$B18)^('DCF Model'!C19+4)-'DCF Model'!C16)*1000000/'DCF Model'!C15,0),"")</f>
        <v>6164</v>
      </c>
    </row>
    <row r="19" spans="2:9" ht="13.5" x14ac:dyDescent="0.25">
      <c r="B19" s="39">
        <f>$C$3-0.01</f>
        <v>9.6598000000000003E-2</v>
      </c>
      <c r="C19" s="37">
        <f>IFERROR(ROUND(('DCF Model'!C45/(1+$B19)^('DCF Model'!C19+0)+'DCF Model'!D45/(1+$B19)^('DCF Model'!C19+1)+'DCF Model'!E45/(1+$B19)^('DCF Model'!C19+2)+'DCF Model'!F45/(1+$B19)^('DCF Model'!C19+3)+'DCF Model'!G45/(1+$B19)^('DCF Model'!C19+4)+('DCF Model'!G39+'DCF Model'!G42)*C$17/(1+$B19)^('DCF Model'!C19+4)-'DCF Model'!C16)*1000000/'DCF Model'!C15,0),"")</f>
        <v>3819</v>
      </c>
      <c r="D19" s="37">
        <f>IFERROR(ROUND(('DCF Model'!C45/(1+$B19)^('DCF Model'!C19+0)+'DCF Model'!D45/(1+$B19)^('DCF Model'!C19+1)+'DCF Model'!E45/(1+$B19)^('DCF Model'!C19+2)+'DCF Model'!F45/(1+$B19)^('DCF Model'!C19+3)+'DCF Model'!G45/(1+$B19)^('DCF Model'!C19+4)+('DCF Model'!G39+'DCF Model'!G42)*D$17/(1+$B19)^('DCF Model'!C19+4)-'DCF Model'!C16)*1000000/'DCF Model'!C15,0),"")</f>
        <v>4190</v>
      </c>
      <c r="E19" s="37">
        <f>IFERROR(ROUND(('DCF Model'!C45/(1+$B19)^('DCF Model'!C19+0)+'DCF Model'!D45/(1+$B19)^('DCF Model'!C19+1)+'DCF Model'!E45/(1+$B19)^('DCF Model'!C19+2)+'DCF Model'!F45/(1+$B19)^('DCF Model'!C19+3)+'DCF Model'!G45/(1+$B19)^('DCF Model'!C19+4)+('DCF Model'!G39+'DCF Model'!G42)*E$17/(1+$B19)^('DCF Model'!C19+4)-'DCF Model'!C16)*1000000/'DCF Model'!C15,0),"")</f>
        <v>4561</v>
      </c>
      <c r="F19" s="37">
        <f>IFERROR(ROUND(('DCF Model'!C45/(1+$B19)^('DCF Model'!C19+0)+'DCF Model'!D45/(1+$B19)^('DCF Model'!C19+1)+'DCF Model'!E45/(1+$B19)^('DCF Model'!C19+2)+'DCF Model'!F45/(1+$B19)^('DCF Model'!C19+3)+'DCF Model'!G45/(1+$B19)^('DCF Model'!C19+4)+('DCF Model'!G39+'DCF Model'!G42)*F$17/(1+$B19)^('DCF Model'!C19+4)-'DCF Model'!C16)*1000000/'DCF Model'!C15,0),"")</f>
        <v>4933</v>
      </c>
      <c r="G19" s="37">
        <f>IFERROR(ROUND(('DCF Model'!C45/(1+$B19)^('DCF Model'!C19+0)+'DCF Model'!D45/(1+$B19)^('DCF Model'!C19+1)+'DCF Model'!E45/(1+$B19)^('DCF Model'!C19+2)+'DCF Model'!F45/(1+$B19)^('DCF Model'!C19+3)+'DCF Model'!G45/(1+$B19)^('DCF Model'!C19+4)+('DCF Model'!G39+'DCF Model'!G42)*G$17/(1+$B19)^('DCF Model'!C19+4)-'DCF Model'!C16)*1000000/'DCF Model'!C15,0),"")</f>
        <v>5304</v>
      </c>
      <c r="H19" s="37">
        <f>IFERROR(ROUND(('DCF Model'!C45/(1+$B19)^('DCF Model'!C19+0)+'DCF Model'!D45/(1+$B19)^('DCF Model'!C19+1)+'DCF Model'!E45/(1+$B19)^('DCF Model'!C19+2)+'DCF Model'!F45/(1+$B19)^('DCF Model'!C19+3)+'DCF Model'!G45/(1+$B19)^('DCF Model'!C19+4)+('DCF Model'!G39+'DCF Model'!G42)*H$17/(1+$B19)^('DCF Model'!C19+4)-'DCF Model'!C16)*1000000/'DCF Model'!C15,0),"")</f>
        <v>5675</v>
      </c>
      <c r="I19" s="37">
        <f>IFERROR(ROUND(('DCF Model'!C45/(1+$B19)^('DCF Model'!C19+0)+'DCF Model'!D45/(1+$B19)^('DCF Model'!C19+1)+'DCF Model'!E45/(1+$B19)^('DCF Model'!C19+2)+'DCF Model'!F45/(1+$B19)^('DCF Model'!C19+3)+'DCF Model'!G45/(1+$B19)^('DCF Model'!C19+4)+('DCF Model'!G39+'DCF Model'!G42)*I$17/(1+$B19)^('DCF Model'!C19+4)-'DCF Model'!C16)*1000000/'DCF Model'!C15,0),"")</f>
        <v>6047</v>
      </c>
    </row>
    <row r="20" spans="2:9" ht="13.5" x14ac:dyDescent="0.25">
      <c r="B20" s="39">
        <f>$C$3-0.005</f>
        <v>0.10159799999999999</v>
      </c>
      <c r="C20" s="37">
        <f>IFERROR(ROUND(('DCF Model'!C45/(1+$B20)^('DCF Model'!C19+0)+'DCF Model'!D45/(1+$B20)^('DCF Model'!C19+1)+'DCF Model'!E45/(1+$B20)^('DCF Model'!C19+2)+'DCF Model'!F45/(1+$B20)^('DCF Model'!C19+3)+'DCF Model'!G45/(1+$B20)^('DCF Model'!C19+4)+('DCF Model'!G39+'DCF Model'!G42)*C$17/(1+$B20)^('DCF Model'!C19+4)-'DCF Model'!C16)*1000000/'DCF Model'!C15,0),"")</f>
        <v>3755</v>
      </c>
      <c r="D20" s="37">
        <f>IFERROR(ROUND(('DCF Model'!C45/(1+$B20)^('DCF Model'!C19+0)+'DCF Model'!D45/(1+$B20)^('DCF Model'!C19+1)+'DCF Model'!E45/(1+$B20)^('DCF Model'!C19+2)+'DCF Model'!F45/(1+$B20)^('DCF Model'!C19+3)+'DCF Model'!G45/(1+$B20)^('DCF Model'!C19+4)+('DCF Model'!G39+'DCF Model'!G42)*D$17/(1+$B20)^('DCF Model'!C19+4)-'DCF Model'!C16)*1000000/'DCF Model'!C15,0),"")</f>
        <v>4118</v>
      </c>
      <c r="E20" s="37">
        <f>IFERROR(ROUND(('DCF Model'!C45/(1+$B20)^('DCF Model'!C19+0)+'DCF Model'!D45/(1+$B20)^('DCF Model'!C19+1)+'DCF Model'!E45/(1+$B20)^('DCF Model'!C19+2)+'DCF Model'!F45/(1+$B20)^('DCF Model'!C19+3)+'DCF Model'!G45/(1+$B20)^('DCF Model'!C19+4)+('DCF Model'!G39+'DCF Model'!G42)*E$17/(1+$B20)^('DCF Model'!C19+4)-'DCF Model'!C16)*1000000/'DCF Model'!C15,0),"")</f>
        <v>4481</v>
      </c>
      <c r="F20" s="37">
        <f>IFERROR(ROUND(('DCF Model'!C45/(1+$B20)^('DCF Model'!C19+0)+'DCF Model'!D45/(1+$B20)^('DCF Model'!C19+1)+'DCF Model'!E45/(1+$B20)^('DCF Model'!C19+2)+'DCF Model'!F45/(1+$B20)^('DCF Model'!C19+3)+'DCF Model'!G45/(1+$B20)^('DCF Model'!C19+4)+('DCF Model'!G39+'DCF Model'!G42)*F$17/(1+$B20)^('DCF Model'!C19+4)-'DCF Model'!C16)*1000000/'DCF Model'!C15,0),"")</f>
        <v>4844</v>
      </c>
      <c r="G20" s="37">
        <f>IFERROR(ROUND(('DCF Model'!C45/(1+$B20)^('DCF Model'!C19+0)+'DCF Model'!D45/(1+$B20)^('DCF Model'!C19+1)+'DCF Model'!E45/(1+$B20)^('DCF Model'!C19+2)+'DCF Model'!F45/(1+$B20)^('DCF Model'!C19+3)+'DCF Model'!G45/(1+$B20)^('DCF Model'!C19+4)+('DCF Model'!G39+'DCF Model'!G42)*G$17/(1+$B20)^('DCF Model'!C19+4)-'DCF Model'!C16)*1000000/'DCF Model'!C15,0),"")</f>
        <v>5207</v>
      </c>
      <c r="H20" s="37">
        <f>IFERROR(ROUND(('DCF Model'!C45/(1+$B20)^('DCF Model'!C19+0)+'DCF Model'!D45/(1+$B20)^('DCF Model'!C19+1)+'DCF Model'!E45/(1+$B20)^('DCF Model'!C19+2)+'DCF Model'!F45/(1+$B20)^('DCF Model'!C19+3)+'DCF Model'!G45/(1+$B20)^('DCF Model'!C19+4)+('DCF Model'!G39+'DCF Model'!G42)*H$17/(1+$B20)^('DCF Model'!C19+4)-'DCF Model'!C16)*1000000/'DCF Model'!C15,0),"")</f>
        <v>5570</v>
      </c>
      <c r="I20" s="37">
        <f>IFERROR(ROUND(('DCF Model'!C45/(1+$B20)^('DCF Model'!C19+0)+'DCF Model'!D45/(1+$B20)^('DCF Model'!C19+1)+'DCF Model'!E45/(1+$B20)^('DCF Model'!C19+2)+'DCF Model'!F45/(1+$B20)^('DCF Model'!C19+3)+'DCF Model'!G45/(1+$B20)^('DCF Model'!C19+4)+('DCF Model'!G39+'DCF Model'!G42)*I$17/(1+$B20)^('DCF Model'!C19+4)-'DCF Model'!C16)*1000000/'DCF Model'!C15,0),"")</f>
        <v>5933</v>
      </c>
    </row>
    <row r="21" spans="2:9" ht="13.5" x14ac:dyDescent="0.25">
      <c r="B21" s="39">
        <f>$C$3</f>
        <v>0.106598</v>
      </c>
      <c r="C21" s="37">
        <f>IFERROR(ROUND(('DCF Model'!C45/(1+$B21)^('DCF Model'!C19+0)+'DCF Model'!D45/(1+$B21)^('DCF Model'!C19+1)+'DCF Model'!E45/(1+$B21)^('DCF Model'!C19+2)+'DCF Model'!F45/(1+$B21)^('DCF Model'!C19+3)+'DCF Model'!G45/(1+$B21)^('DCF Model'!C19+4)+('DCF Model'!G39+'DCF Model'!G42)*C$17/(1+$B21)^('DCF Model'!C19+4)-'DCF Model'!C16)*1000000/'DCF Model'!C15,0),"")</f>
        <v>3693</v>
      </c>
      <c r="D21" s="37">
        <f>IFERROR(ROUND(('DCF Model'!C45/(1+$B21)^('DCF Model'!C19+0)+'DCF Model'!D45/(1+$B21)^('DCF Model'!C19+1)+'DCF Model'!E45/(1+$B21)^('DCF Model'!C19+2)+'DCF Model'!F45/(1+$B21)^('DCF Model'!C19+3)+'DCF Model'!G45/(1+$B21)^('DCF Model'!C19+4)+('DCF Model'!G39+'DCF Model'!G42)*D$17/(1+$B21)^('DCF Model'!C19+4)-'DCF Model'!C16)*1000000/'DCF Model'!C15,0),"")</f>
        <v>4048</v>
      </c>
      <c r="E21" s="37">
        <f>IFERROR(ROUND(('DCF Model'!C45/(1+$B21)^('DCF Model'!C19+0)+'DCF Model'!D45/(1+$B21)^('DCF Model'!C19+1)+'DCF Model'!E45/(1+$B21)^('DCF Model'!C19+2)+'DCF Model'!F45/(1+$B21)^('DCF Model'!C19+3)+'DCF Model'!G45/(1+$B21)^('DCF Model'!C19+4)+('DCF Model'!G39+'DCF Model'!G42)*E$17/(1+$B21)^('DCF Model'!C19+4)-'DCF Model'!C16)*1000000/'DCF Model'!C15,0),"")</f>
        <v>4402</v>
      </c>
      <c r="F21" s="37">
        <f>IFERROR(ROUND(('DCF Model'!C45/(1+$B21)^('DCF Model'!C19+0)+'DCF Model'!D45/(1+$B21)^('DCF Model'!C19+1)+'DCF Model'!E45/(1+$B21)^('DCF Model'!C19+2)+'DCF Model'!F45/(1+$B21)^('DCF Model'!C19+3)+'DCF Model'!G45/(1+$B21)^('DCF Model'!C19+4)+('DCF Model'!G39+'DCF Model'!G42)*F$17/(1+$B21)^('DCF Model'!C19+4)-'DCF Model'!C16)*1000000/'DCF Model'!C15,0),"")</f>
        <v>4757</v>
      </c>
      <c r="G21" s="37">
        <f>IFERROR(ROUND(('DCF Model'!C45/(1+$B21)^('DCF Model'!C19+0)+'DCF Model'!D45/(1+$B21)^('DCF Model'!C19+1)+'DCF Model'!E45/(1+$B21)^('DCF Model'!C19+2)+'DCF Model'!F45/(1+$B21)^('DCF Model'!C19+3)+'DCF Model'!G45/(1+$B21)^('DCF Model'!C19+4)+('DCF Model'!G39+'DCF Model'!G42)*G$17/(1+$B21)^('DCF Model'!C19+4)-'DCF Model'!C16)*1000000/'DCF Model'!C15,0),"")</f>
        <v>5112</v>
      </c>
      <c r="H21" s="37">
        <f>IFERROR(ROUND(('DCF Model'!C45/(1+$B21)^('DCF Model'!C19+0)+'DCF Model'!D45/(1+$B21)^('DCF Model'!C19+1)+'DCF Model'!E45/(1+$B21)^('DCF Model'!C19+2)+'DCF Model'!F45/(1+$B21)^('DCF Model'!C19+3)+'DCF Model'!G45/(1+$B21)^('DCF Model'!C19+4)+('DCF Model'!G39+'DCF Model'!G42)*H$17/(1+$B21)^('DCF Model'!C19+4)-'DCF Model'!C16)*1000000/'DCF Model'!C15,0),"")</f>
        <v>5467</v>
      </c>
      <c r="I21" s="37">
        <f>IFERROR(ROUND(('DCF Model'!C45/(1+$B21)^('DCF Model'!C19+0)+'DCF Model'!D45/(1+$B21)^('DCF Model'!C19+1)+'DCF Model'!E45/(1+$B21)^('DCF Model'!C19+2)+'DCF Model'!F45/(1+$B21)^('DCF Model'!C19+3)+'DCF Model'!G45/(1+$B21)^('DCF Model'!C19+4)+('DCF Model'!G39+'DCF Model'!G42)*I$17/(1+$B21)^('DCF Model'!C19+4)-'DCF Model'!C16)*1000000/'DCF Model'!C15,0),"")</f>
        <v>5822</v>
      </c>
    </row>
    <row r="22" spans="2:9" ht="13.5" x14ac:dyDescent="0.25">
      <c r="B22" s="39">
        <f>$C$3+0.005</f>
        <v>0.111598</v>
      </c>
      <c r="C22" s="37">
        <f>IFERROR(ROUND(('DCF Model'!C45/(1+$B22)^('DCF Model'!C19+0)+'DCF Model'!D45/(1+$B22)^('DCF Model'!C19+1)+'DCF Model'!E45/(1+$B22)^('DCF Model'!C19+2)+'DCF Model'!F45/(1+$B22)^('DCF Model'!C19+3)+'DCF Model'!G45/(1+$B22)^('DCF Model'!C19+4)+('DCF Model'!G39+'DCF Model'!G42)*C$17/(1+$B22)^('DCF Model'!C19+4)-'DCF Model'!C16)*1000000/'DCF Model'!C15,0),"")</f>
        <v>3632</v>
      </c>
      <c r="D22" s="37">
        <f>IFERROR(ROUND(('DCF Model'!C45/(1+$B22)^('DCF Model'!C19+0)+'DCF Model'!D45/(1+$B22)^('DCF Model'!C19+1)+'DCF Model'!E45/(1+$B22)^('DCF Model'!C19+2)+'DCF Model'!F45/(1+$B22)^('DCF Model'!C19+3)+'DCF Model'!G45/(1+$B22)^('DCF Model'!C19+4)+('DCF Model'!G39+'DCF Model'!G42)*D$17/(1+$B22)^('DCF Model'!C19+4)-'DCF Model'!C16)*1000000/'DCF Model'!C15,0),"")</f>
        <v>3979</v>
      </c>
      <c r="E22" s="37">
        <f>IFERROR(ROUND(('DCF Model'!C45/(1+$B22)^('DCF Model'!C19+0)+'DCF Model'!D45/(1+$B22)^('DCF Model'!C19+1)+'DCF Model'!E45/(1+$B22)^('DCF Model'!C19+2)+'DCF Model'!F45/(1+$B22)^('DCF Model'!C19+3)+'DCF Model'!G45/(1+$B22)^('DCF Model'!C19+4)+('DCF Model'!G39+'DCF Model'!G42)*E$17/(1+$B22)^('DCF Model'!C19+4)-'DCF Model'!C16)*1000000/'DCF Model'!C15,0),"")</f>
        <v>4326</v>
      </c>
      <c r="F22" s="37">
        <f>IFERROR(ROUND(('DCF Model'!C45/(1+$B22)^('DCF Model'!C19+0)+'DCF Model'!D45/(1+$B22)^('DCF Model'!C19+1)+'DCF Model'!E45/(1+$B22)^('DCF Model'!C19+2)+'DCF Model'!F45/(1+$B22)^('DCF Model'!C19+3)+'DCF Model'!G45/(1+$B22)^('DCF Model'!C19+4)+('DCF Model'!G39+'DCF Model'!G42)*F$17/(1+$B22)^('DCF Model'!C19+4)-'DCF Model'!C16)*1000000/'DCF Model'!C15,0),"")</f>
        <v>4673</v>
      </c>
      <c r="G22" s="37">
        <f>IFERROR(ROUND(('DCF Model'!C45/(1+$B22)^('DCF Model'!C19+0)+'DCF Model'!D45/(1+$B22)^('DCF Model'!C19+1)+'DCF Model'!E45/(1+$B22)^('DCF Model'!C19+2)+'DCF Model'!F45/(1+$B22)^('DCF Model'!C19+3)+'DCF Model'!G45/(1+$B22)^('DCF Model'!C19+4)+('DCF Model'!G39+'DCF Model'!G42)*G$17/(1+$B22)^('DCF Model'!C19+4)-'DCF Model'!C16)*1000000/'DCF Model'!C15,0),"")</f>
        <v>5020</v>
      </c>
      <c r="H22" s="37">
        <f>IFERROR(ROUND(('DCF Model'!C45/(1+$B22)^('DCF Model'!C19+0)+'DCF Model'!D45/(1+$B22)^('DCF Model'!C19+1)+'DCF Model'!E45/(1+$B22)^('DCF Model'!C19+2)+'DCF Model'!F45/(1+$B22)^('DCF Model'!C19+3)+'DCF Model'!G45/(1+$B22)^('DCF Model'!C19+4)+('DCF Model'!G39+'DCF Model'!G42)*H$17/(1+$B22)^('DCF Model'!C19+4)-'DCF Model'!C16)*1000000/'DCF Model'!C15,0),"")</f>
        <v>5367</v>
      </c>
      <c r="I22" s="37">
        <f>IFERROR(ROUND(('DCF Model'!C45/(1+$B22)^('DCF Model'!C19+0)+'DCF Model'!D45/(1+$B22)^('DCF Model'!C19+1)+'DCF Model'!E45/(1+$B22)^('DCF Model'!C19+2)+'DCF Model'!F45/(1+$B22)^('DCF Model'!C19+3)+'DCF Model'!G45/(1+$B22)^('DCF Model'!C19+4)+('DCF Model'!G39+'DCF Model'!G42)*I$17/(1+$B22)^('DCF Model'!C19+4)-'DCF Model'!C16)*1000000/'DCF Model'!C15,0),"")</f>
        <v>5713</v>
      </c>
    </row>
    <row r="23" spans="2:9" ht="13.5" x14ac:dyDescent="0.25">
      <c r="B23" s="39">
        <f>$C$3+0.01</f>
        <v>0.11659799999999999</v>
      </c>
      <c r="C23" s="37">
        <f>IFERROR(ROUND(('DCF Model'!C45/(1+$B23)^('DCF Model'!C19+0)+'DCF Model'!D45/(1+$B23)^('DCF Model'!C19+1)+'DCF Model'!E45/(1+$B23)^('DCF Model'!C19+2)+'DCF Model'!F45/(1+$B23)^('DCF Model'!C19+3)+'DCF Model'!G45/(1+$B23)^('DCF Model'!C19+4)+('DCF Model'!G39+'DCF Model'!G42)*C$17/(1+$B23)^('DCF Model'!C19+4)-'DCF Model'!C16)*1000000/'DCF Model'!C15,0),"")</f>
        <v>3573</v>
      </c>
      <c r="D23" s="37">
        <f>IFERROR(ROUND(('DCF Model'!C45/(1+$B23)^('DCF Model'!C19+0)+'DCF Model'!D45/(1+$B23)^('DCF Model'!C19+1)+'DCF Model'!E45/(1+$B23)^('DCF Model'!C19+2)+'DCF Model'!F45/(1+$B23)^('DCF Model'!C19+3)+'DCF Model'!G45/(1+$B23)^('DCF Model'!C19+4)+('DCF Model'!G39+'DCF Model'!G42)*D$17/(1+$B23)^('DCF Model'!C19+4)-'DCF Model'!C16)*1000000/'DCF Model'!C15,0),"")</f>
        <v>3912</v>
      </c>
      <c r="E23" s="37">
        <f>IFERROR(ROUND(('DCF Model'!C45/(1+$B23)^('DCF Model'!C19+0)+'DCF Model'!D45/(1+$B23)^('DCF Model'!C19+1)+'DCF Model'!E45/(1+$B23)^('DCF Model'!C19+2)+'DCF Model'!F45/(1+$B23)^('DCF Model'!C19+3)+'DCF Model'!G45/(1+$B23)^('DCF Model'!C19+4)+('DCF Model'!G39+'DCF Model'!G42)*E$17/(1+$B23)^('DCF Model'!C19+4)-'DCF Model'!C16)*1000000/'DCF Model'!C15,0),"")</f>
        <v>4251</v>
      </c>
      <c r="F23" s="37">
        <f>IFERROR(ROUND(('DCF Model'!C45/(1+$B23)^('DCF Model'!C19+0)+'DCF Model'!D45/(1+$B23)^('DCF Model'!C19+1)+'DCF Model'!E45/(1+$B23)^('DCF Model'!C19+2)+'DCF Model'!F45/(1+$B23)^('DCF Model'!C19+3)+'DCF Model'!G45/(1+$B23)^('DCF Model'!C19+4)+('DCF Model'!G39+'DCF Model'!G42)*F$17/(1+$B23)^('DCF Model'!C19+4)-'DCF Model'!C16)*1000000/'DCF Model'!C15,0),"")</f>
        <v>4591</v>
      </c>
      <c r="G23" s="37">
        <f>IFERROR(ROUND(('DCF Model'!C45/(1+$B23)^('DCF Model'!C19+0)+'DCF Model'!D45/(1+$B23)^('DCF Model'!C19+1)+'DCF Model'!E45/(1+$B23)^('DCF Model'!C19+2)+'DCF Model'!F45/(1+$B23)^('DCF Model'!C19+3)+'DCF Model'!G45/(1+$B23)^('DCF Model'!C19+4)+('DCF Model'!G39+'DCF Model'!G42)*G$17/(1+$B23)^('DCF Model'!C19+4)-'DCF Model'!C16)*1000000/'DCF Model'!C15,0),"")</f>
        <v>4930</v>
      </c>
      <c r="H23" s="37">
        <f>IFERROR(ROUND(('DCF Model'!C45/(1+$B23)^('DCF Model'!C19+0)+'DCF Model'!D45/(1+$B23)^('DCF Model'!C19+1)+'DCF Model'!E45/(1+$B23)^('DCF Model'!C19+2)+'DCF Model'!F45/(1+$B23)^('DCF Model'!C19+3)+'DCF Model'!G45/(1+$B23)^('DCF Model'!C19+4)+('DCF Model'!G39+'DCF Model'!G42)*H$17/(1+$B23)^('DCF Model'!C19+4)-'DCF Model'!C16)*1000000/'DCF Model'!C15,0),"")</f>
        <v>5269</v>
      </c>
      <c r="I23" s="37">
        <f>IFERROR(ROUND(('DCF Model'!C45/(1+$B23)^('DCF Model'!C19+0)+'DCF Model'!D45/(1+$B23)^('DCF Model'!C19+1)+'DCF Model'!E45/(1+$B23)^('DCF Model'!C19+2)+'DCF Model'!F45/(1+$B23)^('DCF Model'!C19+3)+'DCF Model'!G45/(1+$B23)^('DCF Model'!C19+4)+('DCF Model'!G39+'DCF Model'!G42)*I$17/(1+$B23)^('DCF Model'!C19+4)-'DCF Model'!C16)*1000000/'DCF Model'!C15,0),"")</f>
        <v>5608</v>
      </c>
    </row>
    <row r="24" spans="2:9" ht="13.5" x14ac:dyDescent="0.25">
      <c r="B24" s="39">
        <f>$C$3+0.015</f>
        <v>0.121598</v>
      </c>
      <c r="C24" s="37">
        <f>IFERROR(ROUND(('DCF Model'!C45/(1+$B24)^('DCF Model'!C19+0)+'DCF Model'!D45/(1+$B24)^('DCF Model'!C19+1)+'DCF Model'!E45/(1+$B24)^('DCF Model'!C19+2)+'DCF Model'!F45/(1+$B24)^('DCF Model'!C19+3)+'DCF Model'!G45/(1+$B24)^('DCF Model'!C19+4)+('DCF Model'!G39+'DCF Model'!G42)*C$17/(1+$B24)^('DCF Model'!C19+4)-'DCF Model'!C16)*1000000/'DCF Model'!C15,0),"")</f>
        <v>3515</v>
      </c>
      <c r="D24" s="37">
        <f>IFERROR(ROUND(('DCF Model'!C45/(1+$B24)^('DCF Model'!C19+0)+'DCF Model'!D45/(1+$B24)^('DCF Model'!C19+1)+'DCF Model'!E45/(1+$B24)^('DCF Model'!C19+2)+'DCF Model'!F45/(1+$B24)^('DCF Model'!C19+3)+'DCF Model'!G45/(1+$B24)^('DCF Model'!C19+4)+('DCF Model'!G39+'DCF Model'!G42)*D$17/(1+$B24)^('DCF Model'!C19+4)-'DCF Model'!C16)*1000000/'DCF Model'!C15,0),"")</f>
        <v>3847</v>
      </c>
      <c r="E24" s="37">
        <f>IFERROR(ROUND(('DCF Model'!C45/(1+$B24)^('DCF Model'!C19+0)+'DCF Model'!D45/(1+$B24)^('DCF Model'!C19+1)+'DCF Model'!E45/(1+$B24)^('DCF Model'!C19+2)+'DCF Model'!F45/(1+$B24)^('DCF Model'!C19+3)+'DCF Model'!G45/(1+$B24)^('DCF Model'!C19+4)+('DCF Model'!G39+'DCF Model'!G42)*E$17/(1+$B24)^('DCF Model'!C19+4)-'DCF Model'!C16)*1000000/'DCF Model'!C15,0),"")</f>
        <v>4179</v>
      </c>
      <c r="F24" s="37">
        <f>IFERROR(ROUND(('DCF Model'!C45/(1+$B24)^('DCF Model'!C19+0)+'DCF Model'!D45/(1+$B24)^('DCF Model'!C19+1)+'DCF Model'!E45/(1+$B24)^('DCF Model'!C19+2)+'DCF Model'!F45/(1+$B24)^('DCF Model'!C19+3)+'DCF Model'!G45/(1+$B24)^('DCF Model'!C19+4)+('DCF Model'!G39+'DCF Model'!G42)*F$17/(1+$B24)^('DCF Model'!C19+4)-'DCF Model'!C16)*1000000/'DCF Model'!C15,0),"")</f>
        <v>4511</v>
      </c>
      <c r="G24" s="37">
        <f>IFERROR(ROUND(('DCF Model'!C45/(1+$B24)^('DCF Model'!C19+0)+'DCF Model'!D45/(1+$B24)^('DCF Model'!C19+1)+'DCF Model'!E45/(1+$B24)^('DCF Model'!C19+2)+'DCF Model'!F45/(1+$B24)^('DCF Model'!C19+3)+'DCF Model'!G45/(1+$B24)^('DCF Model'!C19+4)+('DCF Model'!G39+'DCF Model'!G42)*G$17/(1+$B24)^('DCF Model'!C19+4)-'DCF Model'!C16)*1000000/'DCF Model'!C15,0),"")</f>
        <v>4842</v>
      </c>
      <c r="H24" s="37">
        <f>IFERROR(ROUND(('DCF Model'!C45/(1+$B24)^('DCF Model'!C19+0)+'DCF Model'!D45/(1+$B24)^('DCF Model'!C19+1)+'DCF Model'!E45/(1+$B24)^('DCF Model'!C19+2)+'DCF Model'!F45/(1+$B24)^('DCF Model'!C19+3)+'DCF Model'!G45/(1+$B24)^('DCF Model'!C19+4)+('DCF Model'!G39+'DCF Model'!G42)*H$17/(1+$B24)^('DCF Model'!C19+4)-'DCF Model'!C16)*1000000/'DCF Model'!C15,0),"")</f>
        <v>5174</v>
      </c>
      <c r="I24" s="37">
        <f>IFERROR(ROUND(('DCF Model'!C45/(1+$B24)^('DCF Model'!C19+0)+'DCF Model'!D45/(1+$B24)^('DCF Model'!C19+1)+'DCF Model'!E45/(1+$B24)^('DCF Model'!C19+2)+'DCF Model'!F45/(1+$B24)^('DCF Model'!C19+3)+'DCF Model'!G45/(1+$B24)^('DCF Model'!C19+4)+('DCF Model'!G39+'DCF Model'!G42)*I$17/(1+$B24)^('DCF Model'!C19+4)-'DCF Model'!C16)*1000000/'DCF Model'!C15,0),"")</f>
        <v>5506</v>
      </c>
    </row>
    <row r="26" spans="2:9" ht="14" x14ac:dyDescent="0.3">
      <c r="B26" s="45" t="s">
        <v>242</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2"/>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243</v>
      </c>
    </row>
    <row r="4" spans="2:7" ht="14" x14ac:dyDescent="0.3">
      <c r="B4" s="10" t="s">
        <v>244</v>
      </c>
      <c r="C4" s="10" t="s">
        <v>245</v>
      </c>
      <c r="D4" s="10" t="s">
        <v>246</v>
      </c>
      <c r="E4" s="10" t="s">
        <v>247</v>
      </c>
      <c r="F4" s="10" t="s">
        <v>248</v>
      </c>
      <c r="G4" s="10" t="s">
        <v>249</v>
      </c>
    </row>
    <row r="5" spans="2:7" x14ac:dyDescent="0.2">
      <c r="B5" t="s">
        <v>250</v>
      </c>
      <c r="C5" t="s">
        <v>251</v>
      </c>
      <c r="D5" t="s">
        <v>252</v>
      </c>
      <c r="E5" t="s">
        <v>253</v>
      </c>
      <c r="F5" t="s">
        <v>251</v>
      </c>
      <c r="G5" t="s">
        <v>254</v>
      </c>
    </row>
    <row r="6" spans="2:7" ht="30" customHeight="1" x14ac:dyDescent="0.3">
      <c r="B6" t="s">
        <v>250</v>
      </c>
      <c r="C6" s="4" t="s">
        <v>255</v>
      </c>
      <c r="D6" t="s">
        <v>256</v>
      </c>
      <c r="E6" t="s">
        <v>257</v>
      </c>
      <c r="F6" t="s">
        <v>258</v>
      </c>
      <c r="G6" t="s">
        <v>259</v>
      </c>
    </row>
    <row r="12" spans="2:7" ht="14" x14ac:dyDescent="0.3">
      <c r="B12" s="8" t="s">
        <v>260</v>
      </c>
    </row>
    <row r="13" spans="2:7" ht="14" x14ac:dyDescent="0.3">
      <c r="B13" s="10" t="s">
        <v>261</v>
      </c>
      <c r="C13" s="10" t="s">
        <v>262</v>
      </c>
    </row>
    <row r="14" spans="2:7" ht="14" x14ac:dyDescent="0.3">
      <c r="B14" s="4" t="s">
        <v>263</v>
      </c>
      <c r="C14" t="s">
        <v>264</v>
      </c>
    </row>
    <row r="15" spans="2:7" ht="14" x14ac:dyDescent="0.3">
      <c r="B15" s="4" t="s">
        <v>265</v>
      </c>
      <c r="C15" t="s">
        <v>266</v>
      </c>
    </row>
    <row r="16" spans="2:7" ht="14" x14ac:dyDescent="0.3">
      <c r="B16" s="4" t="s">
        <v>267</v>
      </c>
      <c r="C16" t="s">
        <v>268</v>
      </c>
    </row>
    <row r="17" spans="2:3" ht="14" x14ac:dyDescent="0.3">
      <c r="B17" s="4" t="s">
        <v>269</v>
      </c>
      <c r="C17" t="s">
        <v>270</v>
      </c>
    </row>
    <row r="18" spans="2:3" ht="14" x14ac:dyDescent="0.3">
      <c r="B18" s="4" t="s">
        <v>271</v>
      </c>
      <c r="C18" t="s">
        <v>268</v>
      </c>
    </row>
    <row r="19" spans="2:3" ht="14" x14ac:dyDescent="0.3">
      <c r="B19" s="4" t="s">
        <v>272</v>
      </c>
      <c r="C19" t="s">
        <v>273</v>
      </c>
    </row>
    <row r="20" spans="2:3" ht="14" x14ac:dyDescent="0.3">
      <c r="B20" s="4" t="s">
        <v>274</v>
      </c>
      <c r="C20" t="s">
        <v>275</v>
      </c>
    </row>
    <row r="21" spans="2:3" ht="14" x14ac:dyDescent="0.3">
      <c r="B21" s="4" t="s">
        <v>276</v>
      </c>
      <c r="C21" t="s">
        <v>277</v>
      </c>
    </row>
    <row r="22" spans="2:3" ht="14" x14ac:dyDescent="0.3">
      <c r="B22" s="4" t="s">
        <v>278</v>
      </c>
      <c r="C22" t="s">
        <v>279</v>
      </c>
    </row>
    <row r="23" spans="2:3" ht="14" x14ac:dyDescent="0.3">
      <c r="B23" s="4" t="s">
        <v>280</v>
      </c>
      <c r="C23" t="s">
        <v>281</v>
      </c>
    </row>
    <row r="24" spans="2:3" ht="14" x14ac:dyDescent="0.3">
      <c r="B24" s="4" t="s">
        <v>282</v>
      </c>
      <c r="C24" t="s">
        <v>4</v>
      </c>
    </row>
    <row r="25" spans="2:3" ht="14" x14ac:dyDescent="0.3">
      <c r="B25" s="4" t="s">
        <v>283</v>
      </c>
      <c r="C25" t="s">
        <v>250</v>
      </c>
    </row>
    <row r="26" spans="2:3" ht="14" x14ac:dyDescent="0.3">
      <c r="B26" s="4" t="s">
        <v>284</v>
      </c>
      <c r="C26" t="s">
        <v>285</v>
      </c>
    </row>
    <row r="27" spans="2:3" ht="14" x14ac:dyDescent="0.3">
      <c r="B27" s="4" t="s">
        <v>286</v>
      </c>
      <c r="C27" t="s">
        <v>273</v>
      </c>
    </row>
    <row r="28" spans="2:3" ht="14" x14ac:dyDescent="0.3">
      <c r="B28" s="4" t="s">
        <v>287</v>
      </c>
      <c r="C28" t="s">
        <v>273</v>
      </c>
    </row>
    <row r="29" spans="2:3" ht="14" x14ac:dyDescent="0.3">
      <c r="B29" s="4" t="s">
        <v>288</v>
      </c>
      <c r="C29" t="s">
        <v>289</v>
      </c>
    </row>
    <row r="30" spans="2:3" ht="14" x14ac:dyDescent="0.3">
      <c r="B30" s="4" t="s">
        <v>290</v>
      </c>
      <c r="C30" t="s">
        <v>291</v>
      </c>
    </row>
    <row r="31" spans="2:3" ht="14" x14ac:dyDescent="0.3">
      <c r="B31" s="4" t="s">
        <v>292</v>
      </c>
      <c r="C31" t="s">
        <v>293</v>
      </c>
    </row>
    <row r="32" spans="2:3" ht="14" x14ac:dyDescent="0.3">
      <c r="B32" s="4" t="s">
        <v>294</v>
      </c>
      <c r="C32" t="s">
        <v>289</v>
      </c>
    </row>
    <row r="33" spans="2:3" ht="14" x14ac:dyDescent="0.3">
      <c r="B33" s="4" t="s">
        <v>295</v>
      </c>
      <c r="C33" t="s">
        <v>273</v>
      </c>
    </row>
    <row r="34" spans="2:3" ht="14" x14ac:dyDescent="0.3">
      <c r="B34" s="4" t="s">
        <v>296</v>
      </c>
      <c r="C34" t="s">
        <v>285</v>
      </c>
    </row>
    <row r="35" spans="2:3" ht="14" x14ac:dyDescent="0.3">
      <c r="B35" s="4" t="s">
        <v>297</v>
      </c>
      <c r="C35" t="s">
        <v>298</v>
      </c>
    </row>
    <row r="36" spans="2:3" ht="14" x14ac:dyDescent="0.3">
      <c r="B36" s="4" t="s">
        <v>299</v>
      </c>
      <c r="C36" t="s">
        <v>300</v>
      </c>
    </row>
    <row r="37" spans="2:3" ht="14" x14ac:dyDescent="0.3">
      <c r="B37" s="4" t="s">
        <v>301</v>
      </c>
      <c r="C37" t="s">
        <v>302</v>
      </c>
    </row>
    <row r="38" spans="2:3" ht="14" x14ac:dyDescent="0.3">
      <c r="B38" s="4" t="s">
        <v>303</v>
      </c>
      <c r="C38" t="s">
        <v>304</v>
      </c>
    </row>
    <row r="39" spans="2:3" ht="14" x14ac:dyDescent="0.3">
      <c r="B39" s="4" t="s">
        <v>305</v>
      </c>
      <c r="C39" t="s">
        <v>306</v>
      </c>
    </row>
    <row r="40" spans="2:3" ht="14" x14ac:dyDescent="0.3">
      <c r="B40" s="4" t="s">
        <v>307</v>
      </c>
      <c r="C40" t="s">
        <v>308</v>
      </c>
    </row>
    <row r="41" spans="2:3" ht="14" x14ac:dyDescent="0.3">
      <c r="B41" s="4" t="s">
        <v>309</v>
      </c>
      <c r="C41" t="s">
        <v>277</v>
      </c>
    </row>
    <row r="42" spans="2:3" ht="14" x14ac:dyDescent="0.3">
      <c r="B42" s="4" t="s">
        <v>310</v>
      </c>
      <c r="C42" t="s">
        <v>311</v>
      </c>
    </row>
    <row r="43" spans="2:3" ht="14" x14ac:dyDescent="0.3">
      <c r="B43" s="4" t="s">
        <v>312</v>
      </c>
      <c r="C43" t="s">
        <v>313</v>
      </c>
    </row>
    <row r="44" spans="2:3" ht="14" x14ac:dyDescent="0.3">
      <c r="B44" s="4" t="s">
        <v>314</v>
      </c>
      <c r="C44" t="s">
        <v>315</v>
      </c>
    </row>
    <row r="45" spans="2:3" ht="14" x14ac:dyDescent="0.3">
      <c r="B45" s="4" t="s">
        <v>316</v>
      </c>
      <c r="C45" t="s">
        <v>317</v>
      </c>
    </row>
    <row r="46" spans="2:3" ht="14" x14ac:dyDescent="0.3">
      <c r="B46" s="4" t="s">
        <v>318</v>
      </c>
      <c r="C46" t="s">
        <v>319</v>
      </c>
    </row>
    <row r="47" spans="2:3" ht="14" x14ac:dyDescent="0.3">
      <c r="B47" s="4" t="s">
        <v>320</v>
      </c>
      <c r="C47" t="s">
        <v>321</v>
      </c>
    </row>
    <row r="48" spans="2:3" ht="14" x14ac:dyDescent="0.3">
      <c r="B48" s="4" t="s">
        <v>322</v>
      </c>
      <c r="C48" t="s">
        <v>323</v>
      </c>
    </row>
    <row r="49" spans="2:3" ht="14" x14ac:dyDescent="0.3">
      <c r="B49" s="4" t="s">
        <v>324</v>
      </c>
      <c r="C49" t="s">
        <v>325</v>
      </c>
    </row>
    <row r="50" spans="2:3" ht="14" x14ac:dyDescent="0.3">
      <c r="B50" s="4" t="s">
        <v>326</v>
      </c>
      <c r="C50" t="s">
        <v>327</v>
      </c>
    </row>
    <row r="51" spans="2:3" ht="14" x14ac:dyDescent="0.3">
      <c r="B51" s="4" t="s">
        <v>328</v>
      </c>
      <c r="C51" t="s">
        <v>329</v>
      </c>
    </row>
    <row r="52" spans="2:3" ht="14" x14ac:dyDescent="0.3">
      <c r="B52" s="4" t="s">
        <v>330</v>
      </c>
      <c r="C52" t="s">
        <v>331</v>
      </c>
    </row>
    <row r="53" spans="2:3" ht="14" x14ac:dyDescent="0.3">
      <c r="B53" s="4" t="s">
        <v>332</v>
      </c>
      <c r="C53" t="s">
        <v>333</v>
      </c>
    </row>
    <row r="54" spans="2:3" ht="14" x14ac:dyDescent="0.3">
      <c r="B54" s="4" t="s">
        <v>334</v>
      </c>
      <c r="C54" t="s">
        <v>335</v>
      </c>
    </row>
    <row r="55" spans="2:3" ht="14" x14ac:dyDescent="0.3">
      <c r="B55" s="4" t="s">
        <v>336</v>
      </c>
      <c r="C55" t="s">
        <v>337</v>
      </c>
    </row>
    <row r="56" spans="2:3" ht="14" x14ac:dyDescent="0.3">
      <c r="B56" s="4" t="s">
        <v>338</v>
      </c>
      <c r="C56" t="s">
        <v>339</v>
      </c>
    </row>
    <row r="57" spans="2:3" ht="14" x14ac:dyDescent="0.3">
      <c r="B57" s="4" t="s">
        <v>340</v>
      </c>
      <c r="C57" t="s">
        <v>341</v>
      </c>
    </row>
    <row r="58" spans="2:3" ht="14" x14ac:dyDescent="0.3">
      <c r="B58" s="4" t="s">
        <v>342</v>
      </c>
      <c r="C58" t="s">
        <v>343</v>
      </c>
    </row>
    <row r="59" spans="2:3" ht="14" x14ac:dyDescent="0.3">
      <c r="B59" s="4" t="s">
        <v>344</v>
      </c>
      <c r="C59" t="s">
        <v>345</v>
      </c>
    </row>
    <row r="60" spans="2:3" ht="14" x14ac:dyDescent="0.3">
      <c r="B60" s="4" t="s">
        <v>346</v>
      </c>
      <c r="C60" t="s">
        <v>347</v>
      </c>
    </row>
    <row r="61" spans="2:3" ht="14" x14ac:dyDescent="0.3">
      <c r="B61" s="4" t="s">
        <v>348</v>
      </c>
      <c r="C61" t="s">
        <v>349</v>
      </c>
    </row>
    <row r="62" spans="2:3" ht="14" x14ac:dyDescent="0.3">
      <c r="B62" s="4" t="s">
        <v>350</v>
      </c>
      <c r="C62" t="s">
        <v>211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2026-09-06T17:28:50Z</dcterms:created>
  <dcterms:modified xsi:type="dcterms:W3CDTF">2026-09-06T17:28:53Z</dcterms:modified>
</cp:coreProperties>
</file>