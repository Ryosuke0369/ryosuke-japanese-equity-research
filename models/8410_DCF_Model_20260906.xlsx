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ryosuke0923\ryosuke-japanese-equity-research\models\"/>
    </mc:Choice>
  </mc:AlternateContent>
  <xr:revisionPtr revIDLastSave="0" documentId="13_ncr:1_{46269043-1A22-41B3-86A1-8763F6DBB080}" xr6:coauthVersionLast="47" xr6:coauthVersionMax="47" xr10:uidLastSave="{00000000-0000-0000-0000-000000000000}"/>
  <bookViews>
    <workbookView xWindow="-110" yWindow="-110" windowWidth="19420" windowHeight="10300" xr2:uid="{00000000-000D-0000-FFFF-FFFF00000000}"/>
  </bookViews>
  <sheets>
    <sheet name="Executive Summary" sheetId="1" r:id="rId1"/>
    <sheet name="Financial Statements" sheetId="2" r:id="rId2"/>
    <sheet name="DCF Model" sheetId="3" r:id="rId3"/>
    <sheet name="Reverse DCF" sheetId="4" r:id="rId4"/>
    <sheet name="NWC Schedule" sheetId="5" r:id="rId5"/>
    <sheet name="Comps Analysis" sheetId="6" r:id="rId6"/>
    <sheet name="Sensitivity Analysis" sheetId="7" r:id="rId7"/>
    <sheet name="Adjustments Log" sheetId="8" r:id="rId8"/>
    <sheet name="DDM" sheetId="9" r:id="rId9"/>
    <sheet name="Residual Income" sheetId="10" r:id="rId10"/>
  </sheets>
  <calcPr calcId="181029"/>
</workbook>
</file>

<file path=xl/calcChain.xml><?xml version="1.0" encoding="utf-8"?>
<calcChain xmlns="http://schemas.openxmlformats.org/spreadsheetml/2006/main">
  <c r="C18" i="10" l="1"/>
  <c r="C10" i="10"/>
  <c r="D44" i="10" s="1"/>
  <c r="K39" i="9"/>
  <c r="J39" i="9"/>
  <c r="I39" i="9"/>
  <c r="H39" i="9"/>
  <c r="G39" i="9"/>
  <c r="F39" i="9"/>
  <c r="E39" i="9"/>
  <c r="D39" i="9"/>
  <c r="C39" i="9"/>
  <c r="K38" i="9"/>
  <c r="J38" i="9"/>
  <c r="I38" i="9"/>
  <c r="H38" i="9"/>
  <c r="G38" i="9"/>
  <c r="F38" i="9"/>
  <c r="E38" i="9"/>
  <c r="D38" i="9"/>
  <c r="C38" i="9"/>
  <c r="K37" i="9"/>
  <c r="J37" i="9"/>
  <c r="I37" i="9"/>
  <c r="H37" i="9"/>
  <c r="G37" i="9"/>
  <c r="F37" i="9"/>
  <c r="E37" i="9"/>
  <c r="D37" i="9"/>
  <c r="C37" i="9"/>
  <c r="K36" i="9"/>
  <c r="J36" i="9"/>
  <c r="I36" i="9"/>
  <c r="H36" i="9"/>
  <c r="G36" i="9"/>
  <c r="F36" i="9"/>
  <c r="E36" i="9"/>
  <c r="D36" i="9"/>
  <c r="C36" i="9"/>
  <c r="K35" i="9"/>
  <c r="J35" i="9"/>
  <c r="I35" i="9"/>
  <c r="H35" i="9"/>
  <c r="G35" i="9"/>
  <c r="F35" i="9"/>
  <c r="E35" i="9"/>
  <c r="D35" i="9"/>
  <c r="C35" i="9"/>
  <c r="K34" i="9"/>
  <c r="J34" i="9"/>
  <c r="I34" i="9"/>
  <c r="H34" i="9"/>
  <c r="G34" i="9"/>
  <c r="F34" i="9"/>
  <c r="E34" i="9"/>
  <c r="D34" i="9"/>
  <c r="C34" i="9"/>
  <c r="K33" i="9"/>
  <c r="J33" i="9"/>
  <c r="I33" i="9"/>
  <c r="H33" i="9"/>
  <c r="G33" i="9"/>
  <c r="F33" i="9"/>
  <c r="E33" i="9"/>
  <c r="D33" i="9"/>
  <c r="C33" i="9"/>
  <c r="K32" i="9"/>
  <c r="J32" i="9"/>
  <c r="I32" i="9"/>
  <c r="H32" i="9"/>
  <c r="G32" i="9"/>
  <c r="F32" i="9"/>
  <c r="E32" i="9"/>
  <c r="D32" i="9"/>
  <c r="C32" i="9"/>
  <c r="K31" i="9"/>
  <c r="J31" i="9"/>
  <c r="I31" i="9"/>
  <c r="H31" i="9"/>
  <c r="G31" i="9"/>
  <c r="F31" i="9"/>
  <c r="E31" i="9"/>
  <c r="D31" i="9"/>
  <c r="C31" i="9"/>
  <c r="C11" i="9"/>
  <c r="C10" i="9"/>
  <c r="C7" i="10" s="1"/>
  <c r="C8" i="9"/>
  <c r="C7" i="9"/>
  <c r="C6" i="9"/>
  <c r="D17" i="7"/>
  <c r="C6" i="7"/>
  <c r="I3" i="7"/>
  <c r="F3" i="7"/>
  <c r="F15" i="6"/>
  <c r="O8" i="6"/>
  <c r="N8" i="6"/>
  <c r="M8" i="6"/>
  <c r="L8" i="6"/>
  <c r="O7" i="6"/>
  <c r="N7" i="6"/>
  <c r="M7" i="6"/>
  <c r="L7" i="6"/>
  <c r="F17" i="6" s="1"/>
  <c r="O6" i="6"/>
  <c r="N6" i="6"/>
  <c r="M6" i="6"/>
  <c r="G16" i="6" s="1"/>
  <c r="L6" i="6"/>
  <c r="O5" i="6"/>
  <c r="N5" i="6"/>
  <c r="D5" i="6"/>
  <c r="M5" i="6" s="1"/>
  <c r="C5" i="5"/>
  <c r="C74" i="4"/>
  <c r="C13" i="4"/>
  <c r="C12" i="4"/>
  <c r="C9" i="4"/>
  <c r="C7" i="4"/>
  <c r="C6" i="4"/>
  <c r="D27" i="3"/>
  <c r="D32" i="3" s="1"/>
  <c r="C25" i="3"/>
  <c r="C24" i="3"/>
  <c r="C23" i="3"/>
  <c r="C9" i="9" s="1"/>
  <c r="E28" i="2"/>
  <c r="D28" i="2"/>
  <c r="C28" i="2"/>
  <c r="E23" i="2"/>
  <c r="D23" i="2"/>
  <c r="C23" i="2"/>
  <c r="E22" i="2"/>
  <c r="E21" i="2"/>
  <c r="D21" i="2"/>
  <c r="D22" i="2" s="1"/>
  <c r="C21" i="2"/>
  <c r="C22" i="2" s="1"/>
  <c r="E16" i="2"/>
  <c r="D16" i="2"/>
  <c r="E15" i="2"/>
  <c r="D15" i="2"/>
  <c r="E14" i="2"/>
  <c r="D14" i="2"/>
  <c r="C14" i="2"/>
  <c r="E13" i="2"/>
  <c r="D13" i="2"/>
  <c r="C13" i="2"/>
  <c r="E9" i="2"/>
  <c r="D9" i="2"/>
  <c r="E8" i="2"/>
  <c r="D8" i="2"/>
  <c r="C8" i="2"/>
  <c r="C9" i="2" s="1"/>
  <c r="C26" i="3" l="1"/>
  <c r="H36" i="4" s="1"/>
  <c r="H45" i="4" s="1"/>
  <c r="L5" i="6"/>
  <c r="G15" i="6"/>
  <c r="G17" i="6"/>
  <c r="C9" i="10"/>
  <c r="C19" i="9"/>
  <c r="C20" i="9" s="1"/>
  <c r="C23" i="9" s="1"/>
  <c r="C14" i="9"/>
  <c r="F19" i="9"/>
  <c r="F20" i="9" s="1"/>
  <c r="E19" i="9"/>
  <c r="E20" i="9" s="1"/>
  <c r="D19" i="9"/>
  <c r="D20" i="9" s="1"/>
  <c r="C24" i="9"/>
  <c r="C25" i="9" s="1"/>
  <c r="G19" i="9"/>
  <c r="G20" i="9" s="1"/>
  <c r="H40" i="4"/>
  <c r="H44" i="4"/>
  <c r="H38" i="4"/>
  <c r="H41" i="4"/>
  <c r="H39" i="4"/>
  <c r="H43" i="4"/>
  <c r="H46" i="4"/>
  <c r="F30" i="3"/>
  <c r="H5" i="5"/>
  <c r="H15" i="6"/>
  <c r="H17" i="6"/>
  <c r="H6" i="7"/>
  <c r="G6" i="7"/>
  <c r="F6" i="7"/>
  <c r="E6" i="7"/>
  <c r="G30" i="3"/>
  <c r="C8" i="4"/>
  <c r="C10" i="4" s="1"/>
  <c r="E5" i="6"/>
  <c r="I15" i="6"/>
  <c r="I17" i="6"/>
  <c r="I17" i="7"/>
  <c r="H17" i="7"/>
  <c r="G17" i="7"/>
  <c r="F17" i="7"/>
  <c r="C17" i="7"/>
  <c r="F32" i="3"/>
  <c r="C31" i="3"/>
  <c r="D31" i="3"/>
  <c r="D6" i="7"/>
  <c r="E17" i="7"/>
  <c r="E31" i="3"/>
  <c r="H16" i="6"/>
  <c r="I6" i="7"/>
  <c r="F19" i="10"/>
  <c r="E19" i="10"/>
  <c r="D19" i="10"/>
  <c r="C19" i="10"/>
  <c r="C20" i="10" s="1"/>
  <c r="C8" i="10"/>
  <c r="D56" i="10" s="1"/>
  <c r="G19" i="10"/>
  <c r="I16" i="6"/>
  <c r="G5" i="5"/>
  <c r="C32" i="3"/>
  <c r="E30" i="3"/>
  <c r="F31" i="3"/>
  <c r="F5" i="5"/>
  <c r="G31" i="3"/>
  <c r="D30" i="3"/>
  <c r="E5" i="5"/>
  <c r="D5" i="5"/>
  <c r="C30" i="3"/>
  <c r="C33" i="3" s="1"/>
  <c r="C3" i="7"/>
  <c r="G36" i="4"/>
  <c r="C11" i="4"/>
  <c r="G46" i="3"/>
  <c r="F36" i="4"/>
  <c r="F46" i="3"/>
  <c r="D36" i="4"/>
  <c r="E36" i="4"/>
  <c r="E46" i="3"/>
  <c r="D46" i="3"/>
  <c r="E32" i="3"/>
  <c r="C46" i="3"/>
  <c r="F16" i="6"/>
  <c r="C28" i="6" s="1"/>
  <c r="C21" i="1" s="1"/>
  <c r="G32" i="3"/>
  <c r="E36" i="10"/>
  <c r="C38" i="10"/>
  <c r="F39" i="10"/>
  <c r="D41" i="10"/>
  <c r="G42" i="10"/>
  <c r="G54" i="10" s="1"/>
  <c r="E44" i="10"/>
  <c r="E56" i="10" s="1"/>
  <c r="F36" i="10"/>
  <c r="D38" i="10"/>
  <c r="G39" i="10"/>
  <c r="E41" i="10"/>
  <c r="C43" i="10"/>
  <c r="F44" i="10"/>
  <c r="G36" i="10"/>
  <c r="G48" i="10" s="1"/>
  <c r="E38" i="10"/>
  <c r="E50" i="10" s="1"/>
  <c r="C40" i="10"/>
  <c r="F41" i="10"/>
  <c r="D43" i="10"/>
  <c r="G44" i="10"/>
  <c r="C37" i="10"/>
  <c r="F38" i="10"/>
  <c r="D40" i="10"/>
  <c r="D52" i="10" s="1"/>
  <c r="G41" i="10"/>
  <c r="G53" i="10" s="1"/>
  <c r="E43" i="10"/>
  <c r="D37" i="10"/>
  <c r="G38" i="10"/>
  <c r="E40" i="10"/>
  <c r="C42" i="10"/>
  <c r="C54" i="10" s="1"/>
  <c r="F43" i="10"/>
  <c r="E37" i="10"/>
  <c r="E49" i="10" s="1"/>
  <c r="C39" i="10"/>
  <c r="C51" i="10" s="1"/>
  <c r="F40" i="10"/>
  <c r="D42" i="10"/>
  <c r="G43" i="10"/>
  <c r="C36" i="10"/>
  <c r="F37" i="10"/>
  <c r="F49" i="10" s="1"/>
  <c r="D39" i="10"/>
  <c r="G40" i="10"/>
  <c r="G52" i="10" s="1"/>
  <c r="E42" i="10"/>
  <c r="E54" i="10" s="1"/>
  <c r="C44" i="10"/>
  <c r="D36" i="10"/>
  <c r="G37" i="10"/>
  <c r="E39" i="10"/>
  <c r="C41" i="10"/>
  <c r="C53" i="10" s="1"/>
  <c r="F42" i="10"/>
  <c r="C26" i="9" l="1"/>
  <c r="C49" i="10"/>
  <c r="C55" i="10"/>
  <c r="F51" i="10"/>
  <c r="D18" i="10"/>
  <c r="D20" i="10" s="1"/>
  <c r="F43" i="4"/>
  <c r="F48" i="4" s="1"/>
  <c r="F53" i="4" s="1"/>
  <c r="F46" i="4"/>
  <c r="F51" i="4" s="1"/>
  <c r="F56" i="4" s="1"/>
  <c r="F40" i="4"/>
  <c r="F44" i="4"/>
  <c r="F39" i="4"/>
  <c r="F49" i="4" s="1"/>
  <c r="F38" i="4"/>
  <c r="F41" i="4"/>
  <c r="F45" i="4"/>
  <c r="D21" i="10"/>
  <c r="D22" i="10" s="1"/>
  <c r="C21" i="10"/>
  <c r="C22" i="10" s="1"/>
  <c r="F54" i="10"/>
  <c r="D51" i="10"/>
  <c r="F55" i="10"/>
  <c r="F50" i="10"/>
  <c r="F56" i="10"/>
  <c r="D53" i="10"/>
  <c r="E51" i="10"/>
  <c r="E53" i="10"/>
  <c r="G46" i="4"/>
  <c r="G38" i="4"/>
  <c r="G40" i="4"/>
  <c r="G44" i="4"/>
  <c r="G45" i="4"/>
  <c r="G41" i="4"/>
  <c r="G39" i="4"/>
  <c r="G49" i="4" s="1"/>
  <c r="G54" i="4" s="1"/>
  <c r="G43" i="4"/>
  <c r="G48" i="4" s="1"/>
  <c r="G53" i="4" s="1"/>
  <c r="G49" i="10"/>
  <c r="G50" i="10"/>
  <c r="D55" i="10"/>
  <c r="G51" i="10"/>
  <c r="E48" i="10"/>
  <c r="B23" i="7"/>
  <c r="B21" i="7"/>
  <c r="B19" i="7"/>
  <c r="B13" i="7"/>
  <c r="B11" i="7"/>
  <c r="B9" i="7"/>
  <c r="B7" i="7"/>
  <c r="B24" i="7"/>
  <c r="B22" i="7"/>
  <c r="B20" i="7"/>
  <c r="B18" i="7"/>
  <c r="B12" i="7"/>
  <c r="B10" i="7"/>
  <c r="B8" i="7"/>
  <c r="H50" i="4"/>
  <c r="H55" i="4" s="1"/>
  <c r="C24" i="4"/>
  <c r="C25" i="4" s="1"/>
  <c r="F50" i="4"/>
  <c r="F55" i="4" s="1"/>
  <c r="C71" i="4"/>
  <c r="H48" i="4"/>
  <c r="H53" i="4" s="1"/>
  <c r="C70" i="4"/>
  <c r="H51" i="4"/>
  <c r="H56" i="4" s="1"/>
  <c r="H49" i="4"/>
  <c r="H54" i="4" s="1"/>
  <c r="G51" i="4"/>
  <c r="G56" i="4" s="1"/>
  <c r="D50" i="4"/>
  <c r="D55" i="4" s="1"/>
  <c r="E52" i="10"/>
  <c r="C50" i="10"/>
  <c r="G55" i="10"/>
  <c r="D54" i="10"/>
  <c r="D49" i="10"/>
  <c r="F53" i="10"/>
  <c r="D50" i="10"/>
  <c r="E39" i="4"/>
  <c r="E49" i="4" s="1"/>
  <c r="E54" i="4" s="1"/>
  <c r="E46" i="4"/>
  <c r="E43" i="4"/>
  <c r="E40" i="4"/>
  <c r="E38" i="4"/>
  <c r="E48" i="4" s="1"/>
  <c r="E53" i="4" s="1"/>
  <c r="E41" i="4"/>
  <c r="E51" i="4" s="1"/>
  <c r="E56" i="4" s="1"/>
  <c r="E45" i="4"/>
  <c r="E50" i="4" s="1"/>
  <c r="E55" i="4" s="1"/>
  <c r="E44" i="4"/>
  <c r="C35" i="3"/>
  <c r="D33" i="3"/>
  <c r="C37" i="3"/>
  <c r="C34" i="3"/>
  <c r="D9" i="5"/>
  <c r="D18" i="5" s="1"/>
  <c r="D19" i="5" s="1"/>
  <c r="C44" i="3" s="1"/>
  <c r="C48" i="10"/>
  <c r="G56" i="10"/>
  <c r="D48" i="10"/>
  <c r="C56" i="10"/>
  <c r="F52" i="10"/>
  <c r="E55" i="10"/>
  <c r="C52" i="10"/>
  <c r="F48" i="10"/>
  <c r="D45" i="4"/>
  <c r="D46" i="4"/>
  <c r="D51" i="4" s="1"/>
  <c r="D56" i="4" s="1"/>
  <c r="D39" i="4"/>
  <c r="D49" i="4" s="1"/>
  <c r="D54" i="4" s="1"/>
  <c r="D43" i="4"/>
  <c r="D48" i="4" s="1"/>
  <c r="D53" i="4" s="1"/>
  <c r="D38" i="4"/>
  <c r="D41" i="4"/>
  <c r="D44" i="4"/>
  <c r="D40" i="4"/>
  <c r="C18" i="1"/>
  <c r="C27" i="9"/>
  <c r="G50" i="4" l="1"/>
  <c r="G55" i="4" s="1"/>
  <c r="F54" i="4"/>
  <c r="C60" i="4"/>
  <c r="B78" i="4"/>
  <c r="E18" i="10"/>
  <c r="E20" i="10" s="1"/>
  <c r="E21" i="10"/>
  <c r="E22" i="10" s="1"/>
  <c r="C29" i="4"/>
  <c r="C27" i="4"/>
  <c r="C26" i="4"/>
  <c r="C38" i="3"/>
  <c r="C39" i="3"/>
  <c r="C36" i="3"/>
  <c r="C72" i="4"/>
  <c r="E33" i="3"/>
  <c r="D34" i="3"/>
  <c r="D35" i="3" s="1"/>
  <c r="D37" i="3"/>
  <c r="E9" i="5"/>
  <c r="E18" i="5" s="1"/>
  <c r="E19" i="5" s="1"/>
  <c r="D44" i="3" s="1"/>
  <c r="F18" i="10" l="1"/>
  <c r="F20" i="10" s="1"/>
  <c r="F21" i="10"/>
  <c r="F22" i="10" s="1"/>
  <c r="D36" i="3"/>
  <c r="D38" i="3"/>
  <c r="D39" i="3"/>
  <c r="C40" i="3"/>
  <c r="C41" i="3" s="1"/>
  <c r="C45" i="3" s="1"/>
  <c r="C64" i="4"/>
  <c r="D64" i="4" s="1"/>
  <c r="C65" i="4"/>
  <c r="D65" i="4" s="1"/>
  <c r="C63" i="4"/>
  <c r="D63" i="4" s="1"/>
  <c r="C67" i="4"/>
  <c r="D67" i="4" s="1"/>
  <c r="C66" i="4"/>
  <c r="D66" i="4" s="1"/>
  <c r="C73" i="4"/>
  <c r="F33" i="3"/>
  <c r="E34" i="3"/>
  <c r="E35" i="3" s="1"/>
  <c r="E37" i="3"/>
  <c r="F9" i="5"/>
  <c r="F18" i="5" s="1"/>
  <c r="F19" i="5" s="1"/>
  <c r="E44" i="3" s="1"/>
  <c r="G18" i="10" l="1"/>
  <c r="G20" i="10" s="1"/>
  <c r="G21" i="10"/>
  <c r="E38" i="3"/>
  <c r="E36" i="3"/>
  <c r="E39" i="3"/>
  <c r="C47" i="3"/>
  <c r="G9" i="5"/>
  <c r="G18" i="5" s="1"/>
  <c r="G19" i="5" s="1"/>
  <c r="F44" i="3" s="1"/>
  <c r="F34" i="3"/>
  <c r="F35" i="3" s="1"/>
  <c r="F37" i="3"/>
  <c r="G33" i="3"/>
  <c r="D40" i="3"/>
  <c r="D41" i="3" s="1"/>
  <c r="D45" i="3" s="1"/>
  <c r="D47" i="3" l="1"/>
  <c r="F36" i="3"/>
  <c r="F39" i="3"/>
  <c r="F38" i="3"/>
  <c r="G34" i="3"/>
  <c r="G35" i="3" s="1"/>
  <c r="H9" i="5"/>
  <c r="H18" i="5" s="1"/>
  <c r="H19" i="5" s="1"/>
  <c r="G44" i="3" s="1"/>
  <c r="C16" i="4"/>
  <c r="C28" i="4" s="1"/>
  <c r="G37" i="3"/>
  <c r="E40" i="3"/>
  <c r="E41" i="3" s="1"/>
  <c r="E45" i="3" s="1"/>
  <c r="G22" i="10"/>
  <c r="C25" i="10" s="1"/>
  <c r="C26" i="10"/>
  <c r="C27" i="10" s="1"/>
  <c r="C28" i="10" l="1"/>
  <c r="C29" i="10" s="1"/>
  <c r="C30" i="10" s="1"/>
  <c r="E47" i="3"/>
  <c r="G36" i="3"/>
  <c r="G39" i="3"/>
  <c r="G38" i="3"/>
  <c r="F40" i="3"/>
  <c r="F41" i="3" s="1"/>
  <c r="F45" i="3" s="1"/>
  <c r="F47" i="3" s="1"/>
  <c r="C19" i="1" l="1"/>
  <c r="D21" i="1"/>
  <c r="C10" i="1"/>
  <c r="C12" i="1" s="1"/>
  <c r="C11" i="1" s="1"/>
  <c r="C59" i="3"/>
  <c r="C60" i="3" s="1"/>
  <c r="C61" i="3" s="1"/>
  <c r="G40" i="3"/>
  <c r="G41" i="3" s="1"/>
  <c r="G45" i="3" s="1"/>
  <c r="G47" i="3" l="1"/>
  <c r="C50" i="3" s="1"/>
  <c r="C51" i="3"/>
  <c r="C52" i="3" s="1"/>
  <c r="I13" i="7"/>
  <c r="F8" i="7"/>
  <c r="F10" i="7"/>
  <c r="I23" i="7"/>
  <c r="G12" i="7"/>
  <c r="H19" i="7"/>
  <c r="E20" i="7"/>
  <c r="G20" i="7"/>
  <c r="F22" i="7"/>
  <c r="C23" i="7"/>
  <c r="D19" i="7"/>
  <c r="F11" i="7"/>
  <c r="G9" i="7"/>
  <c r="I19" i="7"/>
  <c r="I11" i="7"/>
  <c r="E13" i="7"/>
  <c r="C11" i="7"/>
  <c r="I10" i="7"/>
  <c r="I20" i="7"/>
  <c r="D9" i="7"/>
  <c r="C19" i="7"/>
  <c r="F12" i="7"/>
  <c r="F18" i="7"/>
  <c r="F21" i="7"/>
  <c r="G13" i="7"/>
  <c r="G18" i="7"/>
  <c r="E7" i="7"/>
  <c r="F19" i="7"/>
  <c r="E10" i="7"/>
  <c r="E11" i="7"/>
  <c r="H21" i="7"/>
  <c r="I9" i="7"/>
  <c r="D10" i="7"/>
  <c r="H18" i="7"/>
  <c r="I7" i="7"/>
  <c r="C9" i="7"/>
  <c r="F23" i="7"/>
  <c r="F9" i="7"/>
  <c r="D20" i="7"/>
  <c r="E22" i="7"/>
  <c r="F7" i="7"/>
  <c r="C13" i="7"/>
  <c r="D12" i="7"/>
  <c r="F20" i="7"/>
  <c r="F13" i="7"/>
  <c r="H23" i="7"/>
  <c r="H24" i="7"/>
  <c r="H12" i="7"/>
  <c r="I24" i="7"/>
  <c r="C12" i="7"/>
  <c r="G19" i="7"/>
  <c r="G24" i="7"/>
  <c r="C22" i="7"/>
  <c r="H7" i="7"/>
  <c r="D13" i="7"/>
  <c r="G22" i="7"/>
  <c r="G8" i="7"/>
  <c r="C8" i="7"/>
  <c r="H9" i="7"/>
  <c r="E8" i="7"/>
  <c r="I21" i="7"/>
  <c r="D7" i="7"/>
  <c r="C24" i="7"/>
  <c r="C10" i="7"/>
  <c r="I8" i="7"/>
  <c r="G23" i="7"/>
  <c r="D23" i="7"/>
  <c r="H13" i="7"/>
  <c r="I22" i="7"/>
  <c r="D8" i="7"/>
  <c r="I18" i="7"/>
  <c r="E21" i="7"/>
  <c r="E23" i="7"/>
  <c r="G7" i="7"/>
  <c r="D11" i="7"/>
  <c r="D22" i="7"/>
  <c r="H11" i="7"/>
  <c r="H10" i="7"/>
  <c r="C21" i="7"/>
  <c r="F24" i="7"/>
  <c r="E12" i="7"/>
  <c r="C20" i="7"/>
  <c r="E9" i="7"/>
  <c r="D24" i="7"/>
  <c r="E24" i="7"/>
  <c r="D21" i="7"/>
  <c r="E18" i="7"/>
  <c r="G21" i="7"/>
  <c r="H22" i="7"/>
  <c r="C7" i="7"/>
  <c r="D18" i="7"/>
  <c r="G11" i="7"/>
  <c r="H8" i="7"/>
  <c r="I12" i="7"/>
  <c r="E19" i="7"/>
  <c r="C18" i="7"/>
  <c r="H20" i="7"/>
  <c r="G10" i="7"/>
  <c r="C58" i="3" l="1"/>
  <c r="C62" i="3" s="1"/>
  <c r="C53" i="3"/>
  <c r="C17" i="4" l="1"/>
  <c r="C54" i="3"/>
  <c r="C55" i="3" s="1"/>
  <c r="C16" i="1"/>
  <c r="C63" i="3"/>
  <c r="C64" i="3" s="1"/>
  <c r="C17" i="1" s="1"/>
  <c r="D17" i="1" s="1"/>
  <c r="C23" i="1" l="1"/>
  <c r="D16" i="1"/>
  <c r="C19" i="4"/>
  <c r="C20" i="4" s="1"/>
  <c r="B79" i="4" s="1"/>
</calcChain>
</file>

<file path=xl/sharedStrings.xml><?xml version="1.0" encoding="utf-8"?>
<sst xmlns="http://schemas.openxmlformats.org/spreadsheetml/2006/main" count="550" uniqueCount="383">
  <si>
    <t>DISCLAIMER: This is a sample analysis for demonstration purposes only. It does not constitute investment advice.</t>
  </si>
  <si>
    <t>株式会社セブン銀行 (8410.T)</t>
  </si>
  <si>
    <t>Equity Research Report</t>
  </si>
  <si>
    <t>Company</t>
  </si>
  <si>
    <t>株式会社セブン銀行</t>
  </si>
  <si>
    <t>Ticker</t>
  </si>
  <si>
    <t>8410.T (TSE)</t>
  </si>
  <si>
    <t>Sector</t>
  </si>
  <si>
    <t>Banking (ATM network / fee-based financial infrastructure)</t>
  </si>
  <si>
    <t>Current Price</t>
  </si>
  <si>
    <t>Target Price (DCF Mid) - DDM / Residual Income の平均</t>
  </si>
  <si>
    <t>Recommendation</t>
  </si>
  <si>
    <t>Upside / Downside</t>
  </si>
  <si>
    <t>Valuation Summary</t>
  </si>
  <si>
    <t>Methodology</t>
  </si>
  <si>
    <t>Implied Value (JPY)</t>
  </si>
  <si>
    <t>vs Current Price</t>
  </si>
  <si>
    <t>DCF - Perpetuity Growth [参考・Target不算入 — 型D: 銀行に DCF は成立しない]</t>
  </si>
  <si>
    <t>DCF - Exit Multiple [参考・Target不算入 — 型D: 銀行に DCF は成立しない]</t>
  </si>
  <si>
    <t>DDM - 2-Stage Dividend Discount (主手法)</t>
  </si>
  <si>
    <t>Residual Income (主手法)</t>
  </si>
  <si>
    <t>Comps - EV/EBITDA Median [参考・Target不算入]（型D: 銀行に EV 倍率は使わない）</t>
  </si>
  <si>
    <t>N/A</t>
  </si>
  <si>
    <t>Comps - PER Median [参考・Target不算入]</t>
  </si>
  <si>
    <t>Note: Target Mid は DCF 2法（PGM / Exit）の平均のみ。Comps 2法は [参考] で Target 不算入（EV&lt;ネットデットで株式価値が負になる手法は INVALID として平均から除外） ■【型D: 銀行】手順書 §2 により **DCF は成立しない**（負債が資金調達ではなく原材料であり、運転資本が定義できず、自己資本規制が配当を制約するため）。**Target は DDM と Residual Income の2手法の平均のみ**で構成し、DCF の2脚（PGM / Exit）と Comps の EV 倍率は Target に算入しない。DCF Model シートは ATM 手数料フランチャイズの採算を読むための補助として残してある。</t>
  </si>
  <si>
    <t>DCF Valuation Range (PGM - Exit)</t>
  </si>
  <si>
    <t>Key Investment Thesis</t>
  </si>
  <si>
    <t>1. The reported 26% net income decline is misleading -- ordinary profit was essentially flat at 30,165 (-0.4%). The drop came from an 8,456 impairment on the credit card business and new-ATM replacement costs, both below the ordinary line. The franchise did not deteriorate; the accounting did.</t>
  </si>
  <si>
    <t>2. Cashless payment adoption is currently a TAILWIND, not a headwind. ATM transaction volume rose because consumers load cash onto cashless wallets at Seven Bank ATMs. ATM units reached 28,536 (+1.9%) with 109.2 daily transactions per unit. The bear case requires this to reverse, which it has not yet.</t>
  </si>
  <si>
    <t>3. Fee-based infrastructure economics inside a banking licence. 91.3% of ordinary income is fee income (ATM fees alone 169,240, or 76.9%); interest income is only 7.2%. This is an ATM network operator, and should be valued on franchise durability and ROE, not on net interest margin.</t>
  </si>
  <si>
    <t>Key Risks</t>
  </si>
  <si>
    <t>1. ROE sits almost exactly at the cost of equity. FY2026/3 ROE was 4.8% (6.1% on FY2027/3 guidance) against an estimated 6.2% cost of equity. When ROE equals Ke, intrinsic value collapses to book value, and the shares already trade at 1.065x book. There is little valuation cushion.</t>
  </si>
  <si>
    <t>2. Capex exceeds depreciation during the ATM replacement cycle. Depreciation is roughly 30,586 while the fourth-generation ATM rollout keeps capex elevated. 28,536 units must be refreshed on a recurring cycle regardless of demand.</t>
  </si>
  <si>
    <t>3. Payout ratio near 90% leaves almost no retained growth. Sustainable growth = ROE x (1 - payout) is well under 1%, so the dividend is the return. Any ROE shortfall hits both the dividend and the terminal value simultaneously.</t>
  </si>
  <si>
    <t>株式会社セブン銀行 - Historical Financials (JPY mn)</t>
  </si>
  <si>
    <t>FY2024/3</t>
  </si>
  <si>
    <t>FY2025/3</t>
  </si>
  <si>
    <t>FY2026/3</t>
  </si>
  <si>
    <t>Income Statement</t>
  </si>
  <si>
    <t>Revenue</t>
  </si>
  <si>
    <t>COGS</t>
  </si>
  <si>
    <t>Gross Profit</t>
  </si>
  <si>
    <t>Gross Margin</t>
  </si>
  <si>
    <t>SGA</t>
  </si>
  <si>
    <t>Operating Income</t>
  </si>
  <si>
    <t>Net Income</t>
  </si>
  <si>
    <t>Operating Margin</t>
  </si>
  <si>
    <t>Net Margin</t>
  </si>
  <si>
    <t>Revenue Growth (YoY)</t>
  </si>
  <si>
    <t>n/a</t>
  </si>
  <si>
    <t>Operating Income Growth (YoY)</t>
  </si>
  <si>
    <t>Cash Flow Statement</t>
  </si>
  <si>
    <t>Operating Cash Flow</t>
  </si>
  <si>
    <t>Capex</t>
  </si>
  <si>
    <t>Free Cash Flow</t>
  </si>
  <si>
    <t>FCF Margin</t>
  </si>
  <si>
    <t>Capex / Revenue</t>
  </si>
  <si>
    <t>Balance Sheet Highlights</t>
  </si>
  <si>
    <t>Cash &amp; Deposits</t>
  </si>
  <si>
    <t>Total Interest-bearing Debt (short + long)</t>
  </si>
  <si>
    <t>Net Debt (Cash)</t>
  </si>
  <si>
    <t>Note: OCF / Cash / Debt coverage OCF 3/3, Cash 3/3, Debt 3/3 — blank cells are years with no year-key match in the source data (verify against 決算短信 or set hist_ocf / hist_cash / hist_debt in overrides).</t>
  </si>
  <si>
    <t>⚠ 型D（銀行）: このシートは参考表示である。銀行に UFCF ベースの DCF は成立しない（負債は資金調達ではなく原材料、運転資本が定義できない、自己資本規制が配当を制約する）。**主手法は DDM シートと Residual Income シート**であり、Target はその2手法の平均である。</t>
  </si>
  <si>
    <t>DCF Valuation Model - 株式会社セブン銀行</t>
  </si>
  <si>
    <t>Assumptions</t>
  </si>
  <si>
    <t>Capex / Revenue (fallback)</t>
  </si>
  <si>
    <t>Effective Tax Rate</t>
  </si>
  <si>
    <t>Risk-Free Rate</t>
  </si>
  <si>
    <t>Beta</t>
  </si>
  <si>
    <t>Equity Risk Premium</t>
  </si>
  <si>
    <t>Size Premium</t>
  </si>
  <si>
    <t>After-tax Cost of Debt</t>
  </si>
  <si>
    <t>D/E Ratio</t>
  </si>
  <si>
    <t>Terminal Growth Rate</t>
  </si>
  <si>
    <t>Exit Multiple (EV/EBITDA)</t>
  </si>
  <si>
    <t>Fully Diluted Shares</t>
  </si>
  <si>
    <t>Net Debt (JPY mn)</t>
  </si>
  <si>
    <t>Base Year Revenue (JPY mn)</t>
  </si>
  <si>
    <t>D&amp;A / Revenue (fallback)</t>
  </si>
  <si>
    <t>Stub Fraction (yr remaining)</t>
  </si>
  <si>
    <t>LTM Revenue (JPY mn)</t>
  </si>
  <si>
    <t>WACC Calculation</t>
  </si>
  <si>
    <t>Cost of Equity (Ke)</t>
  </si>
  <si>
    <t>Weight of Equity</t>
  </si>
  <si>
    <t>Weight of Debt</t>
  </si>
  <si>
    <t>WACC</t>
  </si>
  <si>
    <t>Active Scenario</t>
  </si>
  <si>
    <t>Base</t>
  </si>
  <si>
    <t>Projected Free Cash Flow</t>
  </si>
  <si>
    <t>FY2027(E)</t>
  </si>
  <si>
    <t>FY2028(E)</t>
  </si>
  <si>
    <t>FY2029(E)</t>
  </si>
  <si>
    <t>FY2030(E)</t>
  </si>
  <si>
    <t>FY2031(E)</t>
  </si>
  <si>
    <t>COGS % of Revenue</t>
  </si>
  <si>
    <t>SGA % of Revenue</t>
  </si>
  <si>
    <t>SGA Expense</t>
  </si>
  <si>
    <t>Implied Operating Margin</t>
  </si>
  <si>
    <t>Operating Income (EBIT)</t>
  </si>
  <si>
    <t>Less: Tax</t>
  </si>
  <si>
    <t>NOPAT</t>
  </si>
  <si>
    <t>Plus: D&amp;A</t>
  </si>
  <si>
    <t>Less: Capex</t>
  </si>
  <si>
    <t>Change in NWC</t>
  </si>
  <si>
    <t>Unlevered Free Cash Flow</t>
  </si>
  <si>
    <t>Discount Factor</t>
  </si>
  <si>
    <t>PV of FCF</t>
  </si>
  <si>
    <t>Valuation - Perpetuity Growth Method</t>
  </si>
  <si>
    <t>Sum of PV of FCFs</t>
  </si>
  <si>
    <t>Terminal Value (PGM)</t>
  </si>
  <si>
    <t>PV of Terminal Value</t>
  </si>
  <si>
    <t>Enterprise Value</t>
  </si>
  <si>
    <t>Equity Value</t>
  </si>
  <si>
    <t>Implied Share Price (PGM)</t>
  </si>
  <si>
    <t>Valuation - Exit Multiple Method</t>
  </si>
  <si>
    <t>Year 5 EBITDA</t>
  </si>
  <si>
    <t>Terminal Value (Exit Multiple)</t>
  </si>
  <si>
    <t>Implied Share Price (Exit Multiple)</t>
  </si>
  <si>
    <t>Scenario Input Matrix</t>
  </si>
  <si>
    <t>Year 1</t>
  </si>
  <si>
    <t>Year 2</t>
  </si>
  <si>
    <t>Year 3</t>
  </si>
  <si>
    <t>Year 4</t>
  </si>
  <si>
    <t>Year 5</t>
  </si>
  <si>
    <t>Upside</t>
  </si>
  <si>
    <t>Management</t>
  </si>
  <si>
    <t>Downside 1</t>
  </si>
  <si>
    <t>Downside 2</t>
  </si>
  <si>
    <t>Reverse DCF - 株式会社セブン銀行 (8410.T)</t>
  </si>
  <si>
    <t>What is the current share price already assuming? Every value below is a live formula off the other sheets.</t>
  </si>
  <si>
    <t>Block 0: Market-implied enterprise value (live)</t>
  </si>
  <si>
    <t>Current Share Price (JPY)</t>
  </si>
  <si>
    <t>Market Capitalisation (JPY mn)</t>
  </si>
  <si>
    <t>Enterprise Value (JPY mn)</t>
  </si>
  <si>
    <t>WACC (w)</t>
  </si>
  <si>
    <t>Terminal Growth (g)</t>
  </si>
  <si>
    <t>Effective Tax Rate (t)</t>
  </si>
  <si>
    <t>Starting Operating Profit OP0 (FY2026/3 actual)</t>
  </si>
  <si>
    <t>Cycle-peak Operating Profit (FY2024/3 actual)</t>
  </si>
  <si>
    <t>Terminal-year Revenue, active scenario (JPY mn)</t>
  </si>
  <si>
    <t>Base-case DCF Enterprise Value, PGM (JPY mn)</t>
  </si>
  <si>
    <t>Cycle-peak Operating Margin (FY2024/3 actual)</t>
  </si>
  <si>
    <t>Gap: market EV less base-case DCF EV (JPY mn)</t>
  </si>
  <si>
    <t>Gap per share (JPY) - the part of the price the base case does not explain</t>
  </si>
  <si>
    <t>Block A: Required steady-state operating profit, reached IMMEDIATELY (no ramp)</t>
  </si>
  <si>
    <t>The lowest bar the price can clear: today's EV read as a perpetuity of one steady-state profit, capex = D&amp;A, no NWC build.</t>
  </si>
  <si>
    <t>Required steady-state NOPAT (JPY mn)</t>
  </si>
  <si>
    <t>Required steady-state Operating Profit (JPY mn)</t>
  </si>
  <si>
    <t>... as a multiple of the FY2024/3 peak</t>
  </si>
  <si>
    <t>... as a multiple of FY2026/3 actual</t>
  </si>
  <si>
    <t>... implied OPM on terminal-year revenue</t>
  </si>
  <si>
    <t>... revenue needed if margins only reach the cycle peak</t>
  </si>
  <si>
    <t>Block B: Required steady-state operating profit by YEARS-TO-REACH (linear ramp) x WACC</t>
  </si>
  <si>
    <t>Operating profit ramps linearly from OP0 (C14) to OP* over N years, then grows at g for ever. Column F is the model WACC.</t>
  </si>
  <si>
    <t>OP* = ( EV/(1-t) - OP0*(A-B) ) / ( B + TVF ). A longer ramp needs a HIGHER steady state, because more years are spent below it.</t>
  </si>
  <si>
    <t>Years to steady state (N)   \   WACC</t>
  </si>
  <si>
    <t>N</t>
  </si>
  <si>
    <t>B-1  PV weight on the RAMP from OP0   (A - B)</t>
  </si>
  <si>
    <t>N = 3 years</t>
  </si>
  <si>
    <t>N = 5 years</t>
  </si>
  <si>
    <t>N = 7 years</t>
  </si>
  <si>
    <t>N = 10 years</t>
  </si>
  <si>
    <t>B-2  PV weight on the STEADY STATE OP*   (B + terminal factor)</t>
  </si>
  <si>
    <t>B-3  REQUIRED steady-state Operating Profit (JPY mn)</t>
  </si>
  <si>
    <t>B-4  ... as a multiple of the FY2024/3 peak operating profit</t>
  </si>
  <si>
    <t>Block C: Decomposing the required profit into revenue x margin (N = 5 years, model WACC)</t>
  </si>
  <si>
    <t>The revenue the company must run at, for a given steady-state operating margin, to earn the Block B-3 profit.</t>
  </si>
  <si>
    <t>Required steady-state Operating Profit (N=5, model WACC)</t>
  </si>
  <si>
    <t>Assumed steady-state OPM</t>
  </si>
  <si>
    <t>Required Revenue</t>
  </si>
  <si>
    <t>x base-year revenue</t>
  </si>
  <si>
    <t>cycle-peak OPM (FY2024/3)</t>
  </si>
  <si>
    <t>Block D: The same question expressed as multiples</t>
  </si>
  <si>
    <t>Current EV / latest-FY EBITDA (actual)</t>
  </si>
  <si>
    <t>Current EV / latest-FY Revenue (actual)</t>
  </si>
  <si>
    <t>EV / EBITDA if the Block A profit were already earned</t>
  </si>
  <si>
    <t>EV / EBITDA if the Block B-3 (N=5) profit were already earned</t>
  </si>
  <si>
    <t>Peer median EV / EBITDA (statistics rows)</t>
  </si>
  <si>
    <t>Rows 3-4 answer: what multiple would today's EV be paying IF the company already earned the profit the price requires?</t>
  </si>
  <si>
    <t>Block F: The one-line answer</t>
  </si>
  <si>
    <t>NWC Schedule - 株式会社セブン銀行</t>
  </si>
  <si>
    <t>Working Capital Drivers (% of Revenue)</t>
  </si>
  <si>
    <t>Base Year</t>
  </si>
  <si>
    <t>NWC % of Revenue</t>
  </si>
  <si>
    <t>—</t>
  </si>
  <si>
    <t>P&amp;L Reference (JPY mn)</t>
  </si>
  <si>
    <t>Working Capital Items (JPY mn)</t>
  </si>
  <si>
    <t>Net Working Capital (JPY mn)</t>
  </si>
  <si>
    <t>Net Working Capital</t>
  </si>
  <si>
    <t>Scenario Input Matrix (NWC % of Revenue)</t>
  </si>
  <si>
    <t>Comparable Company Analysis</t>
  </si>
  <si>
    <t>Peer prices as of 2026-09-07 (Mkt Cap / EV of peer rows are static CSV values; the subject row is live-linked to Executive Summary)</t>
  </si>
  <si>
    <t>Mkt Cap
(JPY mn)</t>
  </si>
  <si>
    <t>EV
(JPY mn)</t>
  </si>
  <si>
    <t>Revenue
(JPY mn)</t>
  </si>
  <si>
    <t>EBITDA
(JPY mn)</t>
  </si>
  <si>
    <t>Op Income
(JPY mn)</t>
  </si>
  <si>
    <t>Net Income
(JPY mn)</t>
  </si>
  <si>
    <t>EV/EBITDA</t>
  </si>
  <si>
    <t>EV/Revenue</t>
  </si>
  <si>
    <t>← 型D(銀行): EV 倍率は使用しない（comps は全社 Net_Debt=0 の契約であり EV は時価総額に等しくなる）。PER / PBR のみを参照すること</t>
  </si>
  <si>
    <t>PBR</t>
  </si>
  <si>
    <t>Op Margin</t>
  </si>
  <si>
    <t>ROE</t>
  </si>
  <si>
    <t>Book Value
(JPY mn)</t>
  </si>
  <si>
    <t>Note</t>
  </si>
  <si>
    <t>Seven Bank</t>
  </si>
  <si>
    <t>8410.T</t>
  </si>
  <si>
    <t>Rakuten Bank</t>
  </si>
  <si>
    <t>5838.T</t>
  </si>
  <si>
    <t>(D&amp;A n/a)</t>
  </si>
  <si>
    <t>Japan Post Bank</t>
  </si>
  <si>
    <t>7182.T</t>
  </si>
  <si>
    <t>AEON Financial Service</t>
  </si>
  <si>
    <t>8570.T</t>
  </si>
  <si>
    <t>Statistics</t>
  </si>
  <si>
    <t>25th Percentile</t>
  </si>
  <si>
    <t>Median (50th)</t>
  </si>
  <si>
    <t>75th Percentile</t>
  </si>
  <si>
    <t>Implied Valuation for 株式会社セブン銀行</t>
  </si>
  <si>
    <t>株式会社セブン銀行 Financials</t>
  </si>
  <si>
    <t>EBITDA (JPY mn)</t>
  </si>
  <si>
    <t>Net Income (JPY mn)</t>
  </si>
  <si>
    <t>Shares Outstanding</t>
  </si>
  <si>
    <t>Implied Share Price (Median Multiples)</t>
  </si>
  <si>
    <t>Via EV/EBITDA (Median)</t>
  </si>
  <si>
    <t>INVALID (n&lt;3)</t>
  </si>
  <si>
    <t>Only 0 peer(s) with D&amp;A-inclusive EBITDA — EV/EBITDA excluded from Target Price</t>
  </si>
  <si>
    <t>Via PER (Median)</t>
  </si>
  <si>
    <t>Sensitivity Analysis</t>
  </si>
  <si>
    <t>Current WACC:</t>
  </si>
  <si>
    <t>Terminal g:</t>
  </si>
  <si>
    <t>Exit Multiple:</t>
  </si>
  <si>
    <t>Table 1: WACC vs Terminal Growth Rate (PGM - Implied Share Price, JPY)</t>
  </si>
  <si>
    <t>WACC \ Terminal g</t>
  </si>
  <si>
    <t>Table 2: WACC vs Exit Multiple (Exit Multiple - Implied Share Price, JPY)</t>
  </si>
  <si>
    <t>WACC \ Exit Multiple</t>
  </si>
  <si>
    <t>All values dynamically linked to DCF Model. Headers auto-center on current WACC / Terminal g / Exit Multiple.</t>
  </si>
  <si>
    <t>Adjustments Log - 株式会社セブン銀行</t>
  </si>
  <si>
    <t>日付</t>
  </si>
  <si>
    <t>セル</t>
  </si>
  <si>
    <t>変更内容</t>
  </si>
  <si>
    <t>理由</t>
  </si>
  <si>
    <t>元の値</t>
  </si>
  <si>
    <t>状態</t>
  </si>
  <si>
    <t>2026-09-07</t>
  </si>
  <si>
    <t>-</t>
  </si>
  <si>
    <t>Generated by pipeline on 2026-09-07 13:26, template rev 1e927a2</t>
  </si>
  <si>
    <t>初期生成（手修正なし）</t>
  </si>
  <si>
    <t>generated</t>
  </si>
  <si>
    <t>DCF Model!C8</t>
  </si>
  <si>
    <t>Beta = 0.626（採用値）</t>
  </si>
  <si>
    <t>実測β(raw) = 0.442 → Blume調整 0.67×raw + 0.33×1.00 = 0.626 → 採用 0.626。クランプ域 [0.3, 2.0] の内側。置換なし。回帰βは平均回帰するため Blume 調整を既定とする（2026-09-05 バッチで85件中57件が旧下限 0.60 に張り付き、両裾の歪みが実証された）。</t>
  </si>
  <si>
    <t>実測 0.442</t>
  </si>
  <si>
    <t>確定</t>
  </si>
  <si>
    <t>Pipeline Metadata (do not edit — read by scripts/validate_output.py)</t>
  </si>
  <si>
    <t>key</t>
  </si>
  <si>
    <t>value</t>
  </si>
  <si>
    <t>annual_doc_ids</t>
  </si>
  <si>
    <t>2026-03-31=S100YC1N, 2025-03-31=S100VY5C, 2024-03-31=S100TMDS, 2023-03-31=S100QYPL, 2022-03-31=S100O9ZI</t>
  </si>
  <si>
    <t>auto_log_entries</t>
  </si>
  <si>
    <t>1</t>
  </si>
  <si>
    <t>beta_adopted_c8</t>
  </si>
  <si>
    <t>0.6264</t>
  </si>
  <si>
    <t>beta_basis</t>
  </si>
  <si>
    <t>Blume: 0.67 x 0.442 + 0.33 x 1.00 = 0.626</t>
  </si>
  <si>
    <t>beta_blume_adjusted</t>
  </si>
  <si>
    <t>beta_clamped</t>
  </si>
  <si>
    <t>no</t>
  </si>
  <si>
    <t>beta_raw</t>
  </si>
  <si>
    <t>0.4424</t>
  </si>
  <si>
    <t>capex_pct_basis</t>
  </si>
  <si>
    <t>explicit_override</t>
  </si>
  <si>
    <t>capex_pct_c5</t>
  </si>
  <si>
    <t>0.155</t>
  </si>
  <si>
    <t>capex_pct_hist3yr</t>
  </si>
  <si>
    <t>0.081029</t>
  </si>
  <si>
    <t>company_name</t>
  </si>
  <si>
    <t>comps_asof</t>
  </si>
  <si>
    <t>comps_da_missing</t>
  </si>
  <si>
    <t>Rakuten Bank, Japan Post Bank, AEON Financial Service</t>
  </si>
  <si>
    <t>comps_ebitda_excluded</t>
  </si>
  <si>
    <t>comps_ev_ebitda_invalid</t>
  </si>
  <si>
    <t>yes</t>
  </si>
  <si>
    <t>comps_ev_ebitda_rows</t>
  </si>
  <si>
    <t>comps_impl_mult_row</t>
  </si>
  <si>
    <t>27</t>
  </si>
  <si>
    <t>comps_impl_per_row</t>
  </si>
  <si>
    <t>28</t>
  </si>
  <si>
    <t>comps_peer_rows</t>
  </si>
  <si>
    <t>6,7,8</t>
  </si>
  <si>
    <t>comps_per_excluded</t>
  </si>
  <si>
    <t>comps_stale_excluded</t>
  </si>
  <si>
    <t>none</t>
  </si>
  <si>
    <t>comps_stat_median_row</t>
  </si>
  <si>
    <t>16</t>
  </si>
  <si>
    <t>comps_subject_row</t>
  </si>
  <si>
    <t>5</t>
  </si>
  <si>
    <t>core_ebitda</t>
  </si>
  <si>
    <t>60751</t>
  </si>
  <si>
    <t>core_net_income</t>
  </si>
  <si>
    <t>13476</t>
  </si>
  <si>
    <t>cost_of_debt_at_c11</t>
  </si>
  <si>
    <t>0.01</t>
  </si>
  <si>
    <t>cost_of_debt_basis</t>
  </si>
  <si>
    <t>assumption</t>
  </si>
  <si>
    <t>da_pct_basis</t>
  </si>
  <si>
    <t>da_pct_c18</t>
  </si>
  <si>
    <t>0.139</t>
  </si>
  <si>
    <t>da_pct_hist3yr</t>
  </si>
  <si>
    <t>0.130728</t>
  </si>
  <si>
    <t>disclosure_basis_date</t>
  </si>
  <si>
    <t>2026-03-31</t>
  </si>
  <si>
    <t>fs_year_coverage</t>
  </si>
  <si>
    <t>OCF 3/3, Cash 3/3, Debt 3/3</t>
  </si>
  <si>
    <t>fs_year_map</t>
  </si>
  <si>
    <t>FY2024/3&lt;-FY2024[ocf+cash+debt]; FY2025/3&lt;-FY2025[ocf+cash+debt]; FY2026/3&lt;-FY2026[ocf+cash+debt]</t>
  </si>
  <si>
    <t>fs_year_sources</t>
  </si>
  <si>
    <t>overrides: hist_capex, hist_depreciation | EDINET year-key match: hist_ocf, hist_cash, hist_debt</t>
  </si>
  <si>
    <t>fx_sensitivity</t>
  </si>
  <si>
    <t>not enabled</t>
  </si>
  <si>
    <t>generated_at</t>
  </si>
  <si>
    <t>2026-09-07 13:26:01</t>
  </si>
  <si>
    <t>guidance_note</t>
  </si>
  <si>
    <t>TDnet 決算短信 via screener guidance table: FY2027 disclosed 2026-08-07 (net_income=20,000mn)</t>
  </si>
  <si>
    <t>guidance_source</t>
  </si>
  <si>
    <t>tdnet_screener_db</t>
  </si>
  <si>
    <t>latest_operating_income</t>
  </si>
  <si>
    <t>30165</t>
  </si>
  <si>
    <t>ltm_revenue_c20</t>
  </si>
  <si>
    <t>220025.0</t>
  </si>
  <si>
    <t>ltm_revenue_source</t>
  </si>
  <si>
    <t>latest FY (no LTM)</t>
  </si>
  <si>
    <t>market_data_source</t>
  </si>
  <si>
    <t>yfinance; from overrides: beta, current_price, shares, shares_outstanding</t>
  </si>
  <si>
    <t>narrative_tokens_used</t>
  </si>
  <si>
    <t>net_debt_source</t>
  </si>
  <si>
    <t>EDINET net_debt</t>
  </si>
  <si>
    <t>reverse_dcf_sheet</t>
  </si>
  <si>
    <t>op0=30,165(FY2026/3) peak=30,526(FY2024/3) peak_opm=0.1543 N=3/5/7/10</t>
  </si>
  <si>
    <t>scenario_index_range</t>
  </si>
  <si>
    <t>B69:B73</t>
  </si>
  <si>
    <t>tax_rate_c6</t>
  </si>
  <si>
    <t>0.25</t>
  </si>
  <si>
    <t>template_rev</t>
  </si>
  <si>
    <t>1e927a2</t>
  </si>
  <si>
    <t>ticker</t>
  </si>
  <si>
    <t>DDM - 2-Stage Dividend Discount Model (PRIMARY METHOD - bank)</t>
  </si>
  <si>
    <t>Standard UFCF DCF does not apply to a bank (see 'DCF Model' sheet, used only as an auxiliary ATM-fee-franchise cross-check).</t>
  </si>
  <si>
    <t>Inputs</t>
  </si>
  <si>
    <t>Current Price (JPY)</t>
  </si>
  <si>
    <t>Guard (Ke must exceed g)</t>
  </si>
  <si>
    <t>Dividend per Share Forecast (Base scenario)</t>
  </si>
  <si>
    <t>DPS (JPY)</t>
  </si>
  <si>
    <t>FY2027(E)=11.00 は会社の配当予想(FY2026/3 実績横ばい)。2026年7月版と同一の配当経路を維持している。</t>
  </si>
  <si>
    <t>PV of DPS</t>
  </si>
  <si>
    <t>Valuation</t>
  </si>
  <si>
    <t>Sum of PV of DPS (Yr 1-5)</t>
  </si>
  <si>
    <t>Terminal Value (Yr 5)</t>
  </si>
  <si>
    <t>Implied Value per Share (JPY)</t>
  </si>
  <si>
    <t>Upside / (Downside) vs Current Price</t>
  </si>
  <si>
    <t>Sensitivity: Ke (rows) x Terminal g (cols)</t>
  </si>
  <si>
    <t>Ke \ g</t>
  </si>
  <si>
    <t>Residual Income Model (PRIMARY METHOD - bank)</t>
  </si>
  <si>
    <t>Value = Book Value + PV(Residual Income). When ROE approaches Ke, value converges to book value.</t>
  </si>
  <si>
    <t>Beginning Book Value (JPY mn)</t>
  </si>
  <si>
    <t>BPS_0 (JPY)</t>
  </si>
  <si>
    <t>ROE Forecast (Base scenario)</t>
  </si>
  <si>
    <t>FY2027(E)=6.1% = 会社の純利益予想 17,000 ÷ 期首自己資本 280,498。2026年7月版と同一の ROE 経路。</t>
  </si>
  <si>
    <t>Book Value Rollforward (JPY mn)</t>
  </si>
  <si>
    <t>Net Income_t = ROE_t x BV_(t-1)</t>
  </si>
  <si>
    <t>Dividends_t (from DDM)</t>
  </si>
  <si>
    <t>Ending Book Value</t>
  </si>
  <si>
    <t>Residual Income_t = (ROE_t - Ke) x BV_(t-1)</t>
  </si>
  <si>
    <t>PV of Residual Income</t>
  </si>
  <si>
    <t>Sum of PV of Residual Income</t>
  </si>
  <si>
    <t>Terminal Residual Income</t>
  </si>
  <si>
    <t>PV of Terminal Residual Income</t>
  </si>
  <si>
    <t>Equity Value (JPY mn)</t>
  </si>
  <si>
    <t>Note: ROE sits close to Ke, so Residual Income per year is small and the implied value sits close to BPS_0 -- the theoretical price is structurally anchored to book value, not to growth assumptions. Whether ROE durably exceeds Ke is the entire valuation question for this stock.</t>
  </si>
  <si>
    <t>Justified P/B = (ROE - g) / (Ke - g)</t>
  </si>
  <si>
    <t>ROE \ Ke</t>
  </si>
  <si>
    <t>Implied Share Price at each (ROE, Ke) node = BPS_0 x Justified P/B (JPY)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</si>
</sst>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
    <numFmt numFmtId="177" formatCode="0.0%;\(0.0%\)"/>
    <numFmt numFmtId="178" formatCode="0.000"/>
    <numFmt numFmtId="179" formatCode="0.00&quot;x&quot;"/>
    <numFmt numFmtId="180" formatCode="0.00%;\(0.00%\)"/>
    <numFmt numFmtId="181" formatCode="0.0000"/>
    <numFmt numFmtId="182" formatCode="0.0&quot;円&quot;"/>
  </numFmts>
  <fonts count="13" x14ac:knownFonts="1">
    <font>
      <sz val="11"/>
      <color theme="1"/>
      <name val="ＭＳ Ｐゴシック"/>
      <family val="2"/>
      <scheme val="minor"/>
    </font>
    <font>
      <i/>
      <sz val="9"/>
      <color rgb="FF808080"/>
      <name val="Arial"/>
    </font>
    <font>
      <b/>
      <sz val="14"/>
      <name val="Arial"/>
    </font>
    <font>
      <b/>
      <sz val="11"/>
      <name val="Arial"/>
    </font>
    <font>
      <b/>
      <sz val="10"/>
      <name val="Arial"/>
    </font>
    <font>
      <sz val="10"/>
      <color rgb="FF000000"/>
      <name val="Arial"/>
    </font>
    <font>
      <b/>
      <sz val="11"/>
      <color rgb="FFFFFFFF"/>
      <name val="Arial"/>
    </font>
    <font>
      <sz val="10"/>
      <color rgb="FF006600"/>
      <name val="Arial"/>
    </font>
    <font>
      <sz val="6"/>
      <name val="ＭＳ Ｐゴシック"/>
      <family val="3"/>
      <charset val="128"/>
      <scheme val="minor"/>
    </font>
    <font>
      <i/>
      <sz val="9"/>
      <color rgb="FF808080"/>
      <name val="Arial"/>
    </font>
    <font>
      <sz val="10"/>
      <color rgb="FF000000"/>
      <name val="Arial"/>
    </font>
    <font>
      <sz val="10"/>
      <color rgb="FF0000FF"/>
      <name val="Arial"/>
    </font>
    <font>
      <b/>
      <sz val="11"/>
      <color rgb="FFFFFFFF"/>
      <name val="Arial"/>
    </font>
  </fonts>
  <fills count="8">
    <fill>
      <patternFill patternType="none"/>
    </fill>
    <fill>
      <patternFill patternType="gray125"/>
    </fill>
    <fill>
      <patternFill patternType="solid">
        <fgColor rgb="FFDCE6F1"/>
        <bgColor rgb="FFDCE6F1"/>
      </patternFill>
    </fill>
    <fill>
      <patternFill patternType="solid">
        <fgColor rgb="FF000080"/>
        <bgColor rgb="FF000080"/>
      </patternFill>
    </fill>
    <fill>
      <patternFill patternType="solid">
        <fgColor rgb="FFF2F2F2"/>
        <bgColor rgb="FFF2F2F2"/>
      </patternFill>
    </fill>
    <fill>
      <patternFill patternType="solid">
        <fgColor rgb="FFE2EFDA"/>
        <bgColor rgb="FFE2EFDA"/>
      </patternFill>
    </fill>
    <fill>
      <patternFill patternType="solid">
        <fgColor rgb="FF000080"/>
        <bgColor rgb="FF000080"/>
      </patternFill>
    </fill>
    <fill>
      <patternFill patternType="solid">
        <fgColor rgb="FFE2EFDA"/>
        <bgColor rgb="FFE2EFDA"/>
      </patternFill>
    </fill>
  </fills>
  <borders count="11">
    <border>
      <left/>
      <right/>
      <top/>
      <bottom/>
      <diagonal/>
    </border>
    <border>
      <left/>
      <right/>
      <top/>
      <bottom style="thin">
        <color auto="1"/>
      </bottom>
      <diagonal/>
    </border>
    <border>
      <left style="thin">
        <color rgb="FFB0B0B0"/>
      </left>
      <right style="thin">
        <color rgb="FFB0B0B0"/>
      </right>
      <top style="thin">
        <color rgb="FFB0B0B0"/>
      </top>
      <bottom style="thin">
        <color rgb="FFB0B0B0"/>
      </bottom>
      <diagonal/>
    </border>
    <border>
      <left/>
      <right/>
      <top style="thin">
        <color auto="1"/>
      </top>
      <bottom style="thin">
        <color auto="1"/>
      </bottom>
      <diagonal/>
    </border>
    <border>
      <left/>
      <right/>
      <top style="thin">
        <color auto="1"/>
      </top>
      <bottom style="double">
        <color auto="1"/>
      </bottom>
      <diagonal/>
    </border>
    <border>
      <left style="hair">
        <color rgb="FFB0B0B0"/>
      </left>
      <right style="hair">
        <color rgb="FFB0B0B0"/>
      </right>
      <top style="hair">
        <color rgb="FFB0B0B0"/>
      </top>
      <bottom style="hair">
        <color rgb="FFB0B0B0"/>
      </bottom>
      <diagonal/>
    </border>
    <border>
      <left style="thin">
        <color auto="1"/>
      </left>
      <right style="thin">
        <color auto="1"/>
      </right>
      <top style="thin">
        <color auto="1"/>
      </top>
      <bottom style="thin">
        <color auto="1"/>
      </bottom>
      <diagonal/>
    </border>
    <border>
      <left style="thin">
        <color rgb="FFB0B0B0"/>
      </left>
      <right style="thin">
        <color rgb="FFB0B0B0"/>
      </right>
      <top style="thin">
        <color rgb="FFB0B0B0"/>
      </top>
      <bottom style="thin">
        <color rgb="FFB0B0B0"/>
      </bottom>
      <diagonal/>
    </border>
    <border>
      <left/>
      <right/>
      <top/>
      <bottom style="thin">
        <color auto="1"/>
      </bottom>
      <diagonal/>
    </border>
    <border>
      <left/>
      <right/>
      <top style="thin">
        <color auto="1"/>
      </top>
      <bottom style="double">
        <color auto="1"/>
      </bottom>
      <diagonal/>
    </border>
    <border>
      <left style="thin">
        <color auto="1"/>
      </left>
      <right style="thin">
        <color auto="1"/>
      </right>
      <top style="thin">
        <color auto="1"/>
      </top>
      <bottom style="thin">
        <color auto="1"/>
      </bottom>
      <diagonal/>
    </border>
  </borders>
  <cellStyleXfs count="1">
    <xf numFmtId="0" fontId="0" fillId="0" borderId="0"/>
  </cellStyleXfs>
  <cellXfs count="72">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176" fontId="5" fillId="0" borderId="0" xfId="0" applyNumberFormat="1" applyFont="1"/>
    <xf numFmtId="0" fontId="5" fillId="0" borderId="0" xfId="0" applyFont="1"/>
    <xf numFmtId="177" fontId="5" fillId="0" borderId="0" xfId="0" applyNumberFormat="1" applyFont="1"/>
    <xf numFmtId="0" fontId="3" fillId="2" borderId="0" xfId="0" applyFont="1" applyFill="1"/>
    <xf numFmtId="0" fontId="0" fillId="2" borderId="0" xfId="0" applyFill="1"/>
    <xf numFmtId="0" fontId="6" fillId="3" borderId="1" xfId="0" applyFont="1" applyFill="1" applyBorder="1" applyAlignment="1">
      <alignment horizontal="center" wrapText="1"/>
    </xf>
    <xf numFmtId="176" fontId="7" fillId="0" borderId="0" xfId="0" applyNumberFormat="1" applyFont="1"/>
    <xf numFmtId="2" fontId="5" fillId="0" borderId="0" xfId="0" applyNumberFormat="1" applyFont="1"/>
    <xf numFmtId="178" fontId="5" fillId="0" borderId="0" xfId="0" applyNumberFormat="1" applyFont="1"/>
    <xf numFmtId="179" fontId="5" fillId="0" borderId="0" xfId="0" applyNumberFormat="1" applyFont="1"/>
    <xf numFmtId="3" fontId="5" fillId="0" borderId="0" xfId="0" applyNumberFormat="1" applyFont="1"/>
    <xf numFmtId="180" fontId="5" fillId="0" borderId="0" xfId="0" applyNumberFormat="1" applyFont="1"/>
    <xf numFmtId="0" fontId="5" fillId="0" borderId="2" xfId="0" applyFont="1" applyBorder="1"/>
    <xf numFmtId="177" fontId="5" fillId="2" borderId="0" xfId="0" applyNumberFormat="1" applyFont="1" applyFill="1"/>
    <xf numFmtId="176" fontId="5" fillId="0" borderId="3" xfId="0" applyNumberFormat="1" applyFont="1" applyBorder="1"/>
    <xf numFmtId="176" fontId="5" fillId="4" borderId="3" xfId="0" applyNumberFormat="1" applyFont="1" applyFill="1" applyBorder="1"/>
    <xf numFmtId="181" fontId="5" fillId="0" borderId="0" xfId="0" applyNumberFormat="1" applyFont="1"/>
    <xf numFmtId="0" fontId="3" fillId="5" borderId="0" xfId="0" applyFont="1" applyFill="1"/>
    <xf numFmtId="0" fontId="0" fillId="5" borderId="0" xfId="0" applyFill="1"/>
    <xf numFmtId="176" fontId="5" fillId="0" borderId="4" xfId="0" applyNumberFormat="1" applyFont="1" applyBorder="1"/>
    <xf numFmtId="0" fontId="6" fillId="3" borderId="0" xfId="0" applyFont="1" applyFill="1" applyAlignment="1">
      <alignment horizontal="center"/>
    </xf>
    <xf numFmtId="177" fontId="5" fillId="0" borderId="2" xfId="0" applyNumberFormat="1" applyFont="1" applyBorder="1"/>
    <xf numFmtId="176" fontId="5" fillId="0" borderId="2" xfId="0" applyNumberFormat="1" applyFont="1" applyBorder="1"/>
    <xf numFmtId="0" fontId="6" fillId="3" borderId="0" xfId="0" applyFont="1" applyFill="1"/>
    <xf numFmtId="180" fontId="6" fillId="3" borderId="0" xfId="0" applyNumberFormat="1" applyFont="1" applyFill="1" applyAlignment="1">
      <alignment horizontal="center"/>
    </xf>
    <xf numFmtId="3" fontId="5" fillId="0" borderId="2" xfId="0" applyNumberFormat="1" applyFont="1" applyBorder="1"/>
    <xf numFmtId="177" fontId="4" fillId="0" borderId="2" xfId="0" applyNumberFormat="1" applyFont="1" applyBorder="1"/>
    <xf numFmtId="0" fontId="6" fillId="2" borderId="1" xfId="0" applyFont="1" applyFill="1" applyBorder="1" applyAlignment="1">
      <alignment horizontal="center" wrapText="1"/>
    </xf>
    <xf numFmtId="0" fontId="4" fillId="0" borderId="5" xfId="0" applyFont="1" applyBorder="1"/>
    <xf numFmtId="177" fontId="5" fillId="0" borderId="5" xfId="0" applyNumberFormat="1" applyFont="1" applyBorder="1"/>
    <xf numFmtId="0" fontId="1" fillId="0" borderId="5" xfId="0" applyFont="1" applyBorder="1"/>
    <xf numFmtId="176" fontId="5" fillId="0" borderId="5" xfId="0" applyNumberFormat="1" applyFont="1" applyBorder="1"/>
    <xf numFmtId="0" fontId="5" fillId="0" borderId="5" xfId="0" applyFont="1" applyBorder="1"/>
    <xf numFmtId="176" fontId="5" fillId="0" borderId="6" xfId="0" applyNumberFormat="1" applyFont="1" applyBorder="1"/>
    <xf numFmtId="179" fontId="5" fillId="0" borderId="6" xfId="0" applyNumberFormat="1" applyFont="1" applyBorder="1"/>
    <xf numFmtId="177" fontId="5" fillId="0" borderId="6" xfId="0" applyNumberFormat="1" applyFont="1" applyBorder="1"/>
    <xf numFmtId="0" fontId="0" fillId="0" borderId="6" xfId="0" applyBorder="1"/>
    <xf numFmtId="0" fontId="5" fillId="0" borderId="6" xfId="0" applyFont="1" applyBorder="1" applyAlignment="1">
      <alignment horizontal="right"/>
    </xf>
    <xf numFmtId="0" fontId="5" fillId="0" borderId="4" xfId="0" applyFont="1" applyBorder="1" applyAlignment="1">
      <alignment horizontal="right"/>
    </xf>
    <xf numFmtId="0" fontId="6" fillId="3" borderId="6" xfId="0" applyFont="1" applyFill="1" applyBorder="1" applyAlignment="1">
      <alignment horizontal="center" wrapText="1"/>
    </xf>
    <xf numFmtId="177" fontId="6" fillId="3" borderId="6" xfId="0" applyNumberFormat="1" applyFont="1" applyFill="1" applyBorder="1" applyAlignment="1">
      <alignment horizontal="center"/>
    </xf>
    <xf numFmtId="179" fontId="6" fillId="3" borderId="6" xfId="0" applyNumberFormat="1" applyFont="1" applyFill="1" applyBorder="1" applyAlignment="1">
      <alignment horizontal="center"/>
    </xf>
    <xf numFmtId="0" fontId="9" fillId="0" borderId="0" xfId="0" applyFont="1"/>
    <xf numFmtId="180" fontId="10" fillId="0" borderId="0" xfId="0" applyNumberFormat="1" applyFont="1"/>
    <xf numFmtId="2" fontId="10" fillId="0" borderId="0" xfId="0" applyNumberFormat="1" applyFont="1"/>
    <xf numFmtId="3" fontId="10" fillId="0" borderId="0" xfId="0" applyNumberFormat="1" applyFont="1"/>
    <xf numFmtId="176" fontId="10" fillId="0" borderId="0" xfId="0" applyNumberFormat="1" applyFont="1"/>
    <xf numFmtId="180" fontId="11" fillId="0" borderId="7" xfId="0" applyNumberFormat="1" applyFont="1" applyBorder="1"/>
    <xf numFmtId="0" fontId="10" fillId="0" borderId="0" xfId="0" applyFont="1"/>
    <xf numFmtId="0" fontId="12" fillId="6" borderId="8" xfId="0" applyFont="1" applyFill="1" applyBorder="1" applyAlignment="1">
      <alignment horizontal="center" wrapText="1"/>
    </xf>
    <xf numFmtId="2" fontId="11" fillId="0" borderId="7" xfId="0" applyNumberFormat="1" applyFont="1" applyBorder="1"/>
    <xf numFmtId="181" fontId="10" fillId="0" borderId="0" xfId="0" applyNumberFormat="1" applyFont="1"/>
    <xf numFmtId="0" fontId="4" fillId="7" borderId="9" xfId="0" applyFont="1" applyFill="1" applyBorder="1"/>
    <xf numFmtId="176" fontId="4" fillId="7" borderId="9" xfId="0" applyNumberFormat="1" applyFont="1" applyFill="1" applyBorder="1"/>
    <xf numFmtId="177" fontId="10" fillId="0" borderId="0" xfId="0" applyNumberFormat="1" applyFont="1"/>
    <xf numFmtId="180" fontId="4" fillId="0" borderId="0" xfId="0" applyNumberFormat="1" applyFont="1" applyAlignment="1">
      <alignment horizontal="center"/>
    </xf>
    <xf numFmtId="180" fontId="4" fillId="0" borderId="0" xfId="0" applyNumberFormat="1" applyFont="1"/>
    <xf numFmtId="176" fontId="10" fillId="0" borderId="10" xfId="0" applyNumberFormat="1" applyFont="1" applyBorder="1"/>
    <xf numFmtId="176" fontId="11" fillId="0" borderId="7" xfId="0" applyNumberFormat="1" applyFont="1" applyBorder="1"/>
    <xf numFmtId="182" fontId="10" fillId="0" borderId="0" xfId="0" applyNumberFormat="1" applyFont="1"/>
    <xf numFmtId="177" fontId="11" fillId="0" borderId="7" xfId="0" applyNumberFormat="1" applyFont="1" applyBorder="1"/>
    <xf numFmtId="0" fontId="4" fillId="0" borderId="0" xfId="0" applyFont="1" applyAlignment="1">
      <alignment horizontal="center"/>
    </xf>
    <xf numFmtId="177" fontId="4" fillId="0" borderId="0" xfId="0" applyNumberFormat="1" applyFont="1"/>
    <xf numFmtId="179" fontId="10" fillId="0" borderId="10" xfId="0" applyNumberFormat="1" applyFont="1" applyBorder="1"/>
    <xf numFmtId="0" fontId="2" fillId="0" borderId="0" xfId="0" applyFont="1"/>
    <xf numFmtId="0" fontId="0" fillId="0" borderId="0" xfId="0"/>
    <xf numFmtId="0" fontId="1" fillId="0" borderId="0" xfId="0" applyFont="1"/>
  </cellXfs>
  <cellStyles count="1">
    <cellStyle name="標準" xfId="0" builtinId="0"/>
  </cellStyles>
  <dxfs count="1">
    <dxf>
      <fill>
        <patternFill patternType="solid">
          <fgColor rgb="FFFFC7CE"/>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3366"/>
  </sheetPr>
  <dimension ref="B1:E33"/>
  <sheetViews>
    <sheetView tabSelected="1" workbookViewId="0"/>
  </sheetViews>
  <sheetFormatPr defaultRowHeight="13" x14ac:dyDescent="0.2"/>
  <cols>
    <col min="1" max="1" width="3" customWidth="1"/>
    <col min="2" max="2" width="30" customWidth="1"/>
    <col min="3" max="5" width="22" customWidth="1"/>
  </cols>
  <sheetData>
    <row r="1" spans="2:5" ht="14" customHeight="1" x14ac:dyDescent="0.3">
      <c r="B1" s="71" t="s">
        <v>0</v>
      </c>
      <c r="C1" s="70"/>
      <c r="D1" s="70"/>
      <c r="E1" s="70"/>
    </row>
    <row r="3" spans="2:5" ht="18" customHeight="1" x14ac:dyDescent="0.4">
      <c r="B3" s="69" t="s">
        <v>1</v>
      </c>
      <c r="C3" s="70"/>
      <c r="D3" s="70"/>
    </row>
    <row r="4" spans="2:5" ht="14" customHeight="1" x14ac:dyDescent="0.3">
      <c r="B4" s="3" t="s">
        <v>2</v>
      </c>
    </row>
    <row r="6" spans="2:5" ht="14" customHeight="1" x14ac:dyDescent="0.3">
      <c r="B6" s="4" t="s">
        <v>3</v>
      </c>
      <c r="C6" t="s">
        <v>4</v>
      </c>
    </row>
    <row r="7" spans="2:5" ht="14" customHeight="1" x14ac:dyDescent="0.3">
      <c r="B7" s="4" t="s">
        <v>5</v>
      </c>
      <c r="C7" t="s">
        <v>6</v>
      </c>
    </row>
    <row r="8" spans="2:5" ht="14" customHeight="1" x14ac:dyDescent="0.3">
      <c r="B8" s="4" t="s">
        <v>7</v>
      </c>
      <c r="C8" t="s">
        <v>8</v>
      </c>
    </row>
    <row r="9" spans="2:5" ht="14" customHeight="1" x14ac:dyDescent="0.3">
      <c r="B9" s="4" t="s">
        <v>9</v>
      </c>
      <c r="C9" s="5">
        <v>340</v>
      </c>
    </row>
    <row r="10" spans="2:5" ht="14" customHeight="1" x14ac:dyDescent="0.3">
      <c r="B10" s="4" t="s">
        <v>10</v>
      </c>
      <c r="C10" s="5">
        <f>IF(AND(ISNUMBER(C18),ISNUMBER(C19)),ROUND(AVERAGE(C18:C19),0),"N/A")</f>
        <v>187</v>
      </c>
    </row>
    <row r="11" spans="2:5" ht="14" customHeight="1" x14ac:dyDescent="0.3">
      <c r="B11" s="4" t="s">
        <v>11</v>
      </c>
      <c r="C11" s="6" t="str">
        <f>IF(NOT(ISNUMBER(C12)),"N/A",IF(C12&gt;0.15,"BUY",IF(C12&gt;0.05,"HOLD","SELL")))</f>
        <v>SELL</v>
      </c>
    </row>
    <row r="12" spans="2:5" ht="14" customHeight="1" x14ac:dyDescent="0.3">
      <c r="B12" s="4" t="s">
        <v>12</v>
      </c>
      <c r="C12" s="7">
        <f>IF(ISNUMBER(C10),(C10-C9)/C9,"N/A")</f>
        <v>-0.45</v>
      </c>
    </row>
    <row r="14" spans="2:5" ht="14" customHeight="1" x14ac:dyDescent="0.3">
      <c r="B14" s="8" t="s">
        <v>13</v>
      </c>
      <c r="C14" s="9"/>
      <c r="D14" s="9"/>
    </row>
    <row r="15" spans="2:5" ht="14" customHeight="1" x14ac:dyDescent="0.3">
      <c r="B15" s="10" t="s">
        <v>14</v>
      </c>
      <c r="C15" s="10" t="s">
        <v>15</v>
      </c>
      <c r="D15" s="10" t="s">
        <v>16</v>
      </c>
    </row>
    <row r="16" spans="2:5" ht="13.5" customHeight="1" x14ac:dyDescent="0.25">
      <c r="B16" t="s">
        <v>17</v>
      </c>
      <c r="C16" s="11">
        <f>IF('DCF Model'!C53&lt;'DCF Model'!C16,"INVALID (EV &lt; net debt)",'DCF Model'!C55)</f>
        <v>327</v>
      </c>
      <c r="D16" s="7">
        <f>IF(ISNUMBER(C16),(C16-C9)/C9,"N/A")</f>
        <v>-3.8235294117647062E-2</v>
      </c>
    </row>
    <row r="17" spans="2:4" ht="13.5" customHeight="1" x14ac:dyDescent="0.25">
      <c r="B17" t="s">
        <v>18</v>
      </c>
      <c r="C17" s="11">
        <f>IF('DCF Model'!C62&lt;'DCF Model'!C16,"INVALID (EV &lt; net debt)",'DCF Model'!C64)</f>
        <v>378</v>
      </c>
      <c r="D17" s="7">
        <f>IF(ISNUMBER(C17),(C17-C9)/C9,"N/A")</f>
        <v>0.11176470588235295</v>
      </c>
    </row>
    <row r="18" spans="2:4" ht="13.5" customHeight="1" x14ac:dyDescent="0.2">
      <c r="B18" t="s">
        <v>19</v>
      </c>
      <c r="C18">
        <f>DDM!C26</f>
        <v>174</v>
      </c>
    </row>
    <row r="19" spans="2:4" ht="13.5" customHeight="1" x14ac:dyDescent="0.2">
      <c r="B19" t="s">
        <v>20</v>
      </c>
      <c r="C19">
        <f>'Residual Income'!C29</f>
        <v>200</v>
      </c>
    </row>
    <row r="20" spans="2:4" ht="14" customHeight="1" x14ac:dyDescent="0.2">
      <c r="B20" t="s">
        <v>21</v>
      </c>
      <c r="C20" t="s">
        <v>22</v>
      </c>
    </row>
    <row r="21" spans="2:4" ht="14" customHeight="1" x14ac:dyDescent="0.25">
      <c r="B21" t="s">
        <v>23</v>
      </c>
      <c r="C21" s="11">
        <f>'Comps Analysis'!C28</f>
        <v>186</v>
      </c>
      <c r="D21" s="7">
        <f>IF(ISNUMBER(C19),(C19-C9)/C9,"N/A")</f>
        <v>-0.41176470588235292</v>
      </c>
    </row>
    <row r="22" spans="2:4" ht="14" x14ac:dyDescent="0.3">
      <c r="B22" s="1" t="s">
        <v>24</v>
      </c>
    </row>
    <row r="23" spans="2:4" ht="14" customHeight="1" x14ac:dyDescent="0.3">
      <c r="B23" s="4" t="s">
        <v>25</v>
      </c>
      <c r="C23" s="6" t="str">
        <f>IF(COUNT(C16:C17)=0,"N/A",MIN(C16:C17)&amp;" - "&amp;MAX(C16:C17))</f>
        <v>327 - 378</v>
      </c>
    </row>
    <row r="25" spans="2:4" ht="14" x14ac:dyDescent="0.3">
      <c r="B25" s="8" t="s">
        <v>26</v>
      </c>
      <c r="C25" s="9"/>
      <c r="D25" s="9"/>
    </row>
    <row r="26" spans="2:4" x14ac:dyDescent="0.2">
      <c r="B26" t="s">
        <v>27</v>
      </c>
    </row>
    <row r="27" spans="2:4" x14ac:dyDescent="0.2">
      <c r="B27" t="s">
        <v>28</v>
      </c>
    </row>
    <row r="28" spans="2:4" ht="14" customHeight="1" x14ac:dyDescent="0.2">
      <c r="B28" t="s">
        <v>29</v>
      </c>
    </row>
    <row r="30" spans="2:4" ht="14" x14ac:dyDescent="0.3">
      <c r="B30" s="8" t="s">
        <v>30</v>
      </c>
      <c r="C30" s="9"/>
      <c r="D30" s="9"/>
    </row>
    <row r="31" spans="2:4" x14ac:dyDescent="0.2">
      <c r="B31" t="s">
        <v>31</v>
      </c>
    </row>
    <row r="32" spans="2:4" x14ac:dyDescent="0.2">
      <c r="B32" t="s">
        <v>32</v>
      </c>
    </row>
    <row r="33" spans="2:2" x14ac:dyDescent="0.2">
      <c r="B33" t="s">
        <v>33</v>
      </c>
    </row>
  </sheetData>
  <mergeCells count="2">
    <mergeCell ref="B3:D3"/>
    <mergeCell ref="B1:E1"/>
  </mergeCells>
  <phoneticPr fontId="8"/>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3366"/>
  </sheetPr>
  <dimension ref="B2:E30"/>
  <sheetViews>
    <sheetView workbookViewId="0"/>
  </sheetViews>
  <sheetFormatPr defaultRowHeight="13" x14ac:dyDescent="0.2"/>
  <cols>
    <col min="1" max="1" width="3" customWidth="1"/>
    <col min="2" max="2" width="32" customWidth="1"/>
    <col min="3" max="5" width="18" customWidth="1"/>
  </cols>
  <sheetData>
    <row r="2" spans="2:5" ht="18" customHeight="1" x14ac:dyDescent="0.4">
      <c r="B2" s="2" t="s">
        <v>34</v>
      </c>
    </row>
    <row r="4" spans="2:5" ht="14" customHeight="1" x14ac:dyDescent="0.3">
      <c r="C4" s="10" t="s">
        <v>35</v>
      </c>
      <c r="D4" s="10" t="s">
        <v>36</v>
      </c>
      <c r="E4" s="10" t="s">
        <v>37</v>
      </c>
    </row>
    <row r="5" spans="2:5" ht="14" customHeight="1" x14ac:dyDescent="0.3">
      <c r="B5" s="3" t="s">
        <v>38</v>
      </c>
    </row>
    <row r="6" spans="2:5" ht="14" customHeight="1" x14ac:dyDescent="0.3">
      <c r="B6" s="4" t="s">
        <v>39</v>
      </c>
      <c r="C6" s="5">
        <v>197877</v>
      </c>
      <c r="D6" s="5">
        <v>214408</v>
      </c>
      <c r="E6" s="5">
        <v>220025</v>
      </c>
    </row>
    <row r="7" spans="2:5" ht="14" customHeight="1" x14ac:dyDescent="0.3">
      <c r="B7" s="4" t="s">
        <v>40</v>
      </c>
      <c r="C7" s="5">
        <v>54594</v>
      </c>
      <c r="D7" s="5">
        <v>57759</v>
      </c>
      <c r="E7" s="5">
        <v>58729</v>
      </c>
    </row>
    <row r="8" spans="2:5" ht="14" customHeight="1" x14ac:dyDescent="0.3">
      <c r="B8" s="4" t="s">
        <v>41</v>
      </c>
      <c r="C8" s="5">
        <f>C6-C7</f>
        <v>143283</v>
      </c>
      <c r="D8" s="5">
        <f>D6-D7</f>
        <v>156649</v>
      </c>
      <c r="E8" s="5">
        <f>E6-E7</f>
        <v>161296</v>
      </c>
    </row>
    <row r="9" spans="2:5" ht="13.5" customHeight="1" x14ac:dyDescent="0.25">
      <c r="B9" t="s">
        <v>42</v>
      </c>
      <c r="C9" s="7">
        <f>C8/C6</f>
        <v>0.72410133567822432</v>
      </c>
      <c r="D9" s="7">
        <f>D8/D6</f>
        <v>0.73061173090556319</v>
      </c>
      <c r="E9" s="7">
        <f>E8/E6</f>
        <v>0.73308033178047949</v>
      </c>
    </row>
    <row r="10" spans="2:5" ht="14" customHeight="1" x14ac:dyDescent="0.3">
      <c r="B10" s="4" t="s">
        <v>43</v>
      </c>
      <c r="C10" s="5">
        <v>112757</v>
      </c>
      <c r="D10" s="5">
        <v>126357</v>
      </c>
      <c r="E10" s="5">
        <v>131129</v>
      </c>
    </row>
    <row r="11" spans="2:5" ht="14" customHeight="1" x14ac:dyDescent="0.3">
      <c r="B11" s="4" t="s">
        <v>44</v>
      </c>
      <c r="C11" s="5">
        <v>30526</v>
      </c>
      <c r="D11" s="5">
        <v>30289</v>
      </c>
      <c r="E11" s="5">
        <v>30165</v>
      </c>
    </row>
    <row r="12" spans="2:5" ht="14" customHeight="1" x14ac:dyDescent="0.3">
      <c r="B12" s="4" t="s">
        <v>45</v>
      </c>
      <c r="C12" s="5">
        <v>31970</v>
      </c>
      <c r="D12" s="5">
        <v>18221</v>
      </c>
      <c r="E12" s="5">
        <v>13476</v>
      </c>
    </row>
    <row r="13" spans="2:5" ht="13.5" customHeight="1" x14ac:dyDescent="0.25">
      <c r="B13" t="s">
        <v>46</v>
      </c>
      <c r="C13" s="7">
        <f>C11/C6</f>
        <v>0.15426755004371404</v>
      </c>
      <c r="D13" s="7">
        <f>D11/D6</f>
        <v>0.14126804969963808</v>
      </c>
      <c r="E13" s="7">
        <f>E11/E6</f>
        <v>0.13709805703897285</v>
      </c>
    </row>
    <row r="14" spans="2:5" ht="13.5" customHeight="1" x14ac:dyDescent="0.25">
      <c r="B14" t="s">
        <v>47</v>
      </c>
      <c r="C14" s="7">
        <f>C12/C6</f>
        <v>0.16156501260884287</v>
      </c>
      <c r="D14" s="7">
        <f>D12/D6</f>
        <v>8.4982836461326067E-2</v>
      </c>
      <c r="E14" s="7">
        <f>E12/E6</f>
        <v>6.1247585501647543E-2</v>
      </c>
    </row>
    <row r="15" spans="2:5" ht="13.5" customHeight="1" x14ac:dyDescent="0.25">
      <c r="B15" t="s">
        <v>48</v>
      </c>
      <c r="C15" t="s">
        <v>49</v>
      </c>
      <c r="D15" s="7">
        <f>(D6-C6)/C6</f>
        <v>8.3541796166305332E-2</v>
      </c>
      <c r="E15" s="7">
        <f>(E6-D6)/D6</f>
        <v>2.6197716503115556E-2</v>
      </c>
    </row>
    <row r="16" spans="2:5" ht="13.5" customHeight="1" x14ac:dyDescent="0.25">
      <c r="B16" t="s">
        <v>50</v>
      </c>
      <c r="C16" t="s">
        <v>49</v>
      </c>
      <c r="D16" s="7">
        <f>(D11-C11)/C11</f>
        <v>-7.7638734193802008E-3</v>
      </c>
      <c r="E16" s="7">
        <f>(E11-D11)/D11</f>
        <v>-4.0938954736042784E-3</v>
      </c>
    </row>
    <row r="18" spans="2:5" ht="14" customHeight="1" x14ac:dyDescent="0.3">
      <c r="B18" s="3" t="s">
        <v>51</v>
      </c>
    </row>
    <row r="19" spans="2:5" ht="14" customHeight="1" x14ac:dyDescent="0.3">
      <c r="B19" s="4" t="s">
        <v>52</v>
      </c>
      <c r="C19" s="5">
        <v>100751</v>
      </c>
      <c r="D19" s="5">
        <v>-38869</v>
      </c>
      <c r="E19" s="5">
        <v>83930</v>
      </c>
    </row>
    <row r="20" spans="2:5" ht="14" customHeight="1" x14ac:dyDescent="0.3">
      <c r="B20" s="4" t="s">
        <v>53</v>
      </c>
      <c r="C20" s="5">
        <v>17739</v>
      </c>
      <c r="D20" s="5">
        <v>23206</v>
      </c>
      <c r="E20" s="5">
        <v>9947</v>
      </c>
    </row>
    <row r="21" spans="2:5" ht="14" customHeight="1" x14ac:dyDescent="0.3">
      <c r="B21" s="4" t="s">
        <v>54</v>
      </c>
      <c r="C21" s="5">
        <f>C19-C20</f>
        <v>83012</v>
      </c>
      <c r="D21" s="5">
        <f>D19-D20</f>
        <v>-62075</v>
      </c>
      <c r="E21" s="5">
        <f>E19-E20</f>
        <v>73983</v>
      </c>
    </row>
    <row r="22" spans="2:5" ht="13.5" customHeight="1" x14ac:dyDescent="0.25">
      <c r="B22" t="s">
        <v>55</v>
      </c>
      <c r="C22" s="7">
        <f>C21/C6</f>
        <v>0.41951313189506612</v>
      </c>
      <c r="D22" s="7">
        <f>D21/D6</f>
        <v>-0.28951811499570912</v>
      </c>
      <c r="E22" s="7">
        <f>E21/E6</f>
        <v>0.33624815361890692</v>
      </c>
    </row>
    <row r="23" spans="2:5" ht="13.5" customHeight="1" x14ac:dyDescent="0.25">
      <c r="B23" t="s">
        <v>56</v>
      </c>
      <c r="C23" s="7">
        <f>C20/C6</f>
        <v>8.9646598644612566E-2</v>
      </c>
      <c r="D23" s="7">
        <f>D20/D6</f>
        <v>0.10823290175739711</v>
      </c>
      <c r="E23" s="7">
        <f>E20/E6</f>
        <v>4.5208499034200662E-2</v>
      </c>
    </row>
    <row r="25" spans="2:5" ht="14" customHeight="1" x14ac:dyDescent="0.3">
      <c r="B25" s="3" t="s">
        <v>57</v>
      </c>
    </row>
    <row r="26" spans="2:5" ht="14" customHeight="1" x14ac:dyDescent="0.3">
      <c r="B26" s="4" t="s">
        <v>58</v>
      </c>
      <c r="C26" s="5">
        <v>988721</v>
      </c>
      <c r="D26" s="5">
        <v>892626</v>
      </c>
      <c r="E26" s="5">
        <v>892764</v>
      </c>
    </row>
    <row r="27" spans="2:5" ht="14" customHeight="1" x14ac:dyDescent="0.3">
      <c r="B27" s="4" t="s">
        <v>59</v>
      </c>
      <c r="C27" s="5">
        <v>65000</v>
      </c>
      <c r="D27" s="5">
        <v>50000</v>
      </c>
      <c r="E27" s="5">
        <v>100000</v>
      </c>
    </row>
    <row r="28" spans="2:5" ht="14" customHeight="1" x14ac:dyDescent="0.3">
      <c r="B28" s="4" t="s">
        <v>60</v>
      </c>
      <c r="C28" s="5">
        <f>C27-C26</f>
        <v>-923721</v>
      </c>
      <c r="D28" s="5">
        <f>D27-D26</f>
        <v>-842626</v>
      </c>
      <c r="E28" s="5">
        <f>E27-E26</f>
        <v>-792764</v>
      </c>
    </row>
    <row r="30" spans="2:5" ht="14" customHeight="1" x14ac:dyDescent="0.3">
      <c r="B30" s="1" t="s">
        <v>61</v>
      </c>
    </row>
  </sheetData>
  <phoneticPr fontId="8"/>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6600"/>
  </sheetPr>
  <dimension ref="B1:G87"/>
  <sheetViews>
    <sheetView workbookViewId="0"/>
  </sheetViews>
  <sheetFormatPr defaultRowHeight="13" x14ac:dyDescent="0.2"/>
  <cols>
    <col min="1" max="1" width="3" customWidth="1"/>
    <col min="2" max="2" width="32" customWidth="1"/>
    <col min="3" max="7" width="16" customWidth="1"/>
  </cols>
  <sheetData>
    <row r="1" spans="2:7" x14ac:dyDescent="0.2">
      <c r="B1" t="s">
        <v>62</v>
      </c>
    </row>
    <row r="2" spans="2:7" ht="18" customHeight="1" x14ac:dyDescent="0.4">
      <c r="B2" s="2" t="s">
        <v>63</v>
      </c>
    </row>
    <row r="4" spans="2:7" ht="14" customHeight="1" x14ac:dyDescent="0.3">
      <c r="B4" s="8" t="s">
        <v>64</v>
      </c>
      <c r="C4" s="9"/>
      <c r="D4" s="9"/>
      <c r="E4" s="9"/>
      <c r="F4" s="9"/>
      <c r="G4" s="9"/>
    </row>
    <row r="5" spans="2:7" ht="14" customHeight="1" x14ac:dyDescent="0.3">
      <c r="B5" s="4" t="s">
        <v>65</v>
      </c>
      <c r="C5" s="7">
        <v>0.155</v>
      </c>
    </row>
    <row r="6" spans="2:7" ht="14" customHeight="1" x14ac:dyDescent="0.3">
      <c r="B6" s="4" t="s">
        <v>66</v>
      </c>
      <c r="C6" s="7">
        <v>0.25</v>
      </c>
    </row>
    <row r="7" spans="2:7" ht="14" customHeight="1" x14ac:dyDescent="0.3">
      <c r="B7" s="4" t="s">
        <v>67</v>
      </c>
      <c r="C7" s="7">
        <v>2.9700000000000001E-2</v>
      </c>
    </row>
    <row r="8" spans="2:7" ht="14" customHeight="1" x14ac:dyDescent="0.3">
      <c r="B8" s="4" t="s">
        <v>68</v>
      </c>
      <c r="C8" s="12">
        <v>0.62639999999999996</v>
      </c>
    </row>
    <row r="9" spans="2:7" ht="14" customHeight="1" x14ac:dyDescent="0.3">
      <c r="B9" s="4" t="s">
        <v>69</v>
      </c>
      <c r="C9" s="7">
        <v>6.5000000000000002E-2</v>
      </c>
    </row>
    <row r="10" spans="2:7" ht="14" customHeight="1" x14ac:dyDescent="0.3">
      <c r="B10" s="4" t="s">
        <v>70</v>
      </c>
      <c r="C10" s="7">
        <v>0.01</v>
      </c>
    </row>
    <row r="11" spans="2:7" ht="14" customHeight="1" x14ac:dyDescent="0.3">
      <c r="B11" s="4" t="s">
        <v>71</v>
      </c>
      <c r="C11" s="7">
        <v>0.01</v>
      </c>
    </row>
    <row r="12" spans="2:7" ht="14" customHeight="1" x14ac:dyDescent="0.3">
      <c r="B12" s="4" t="s">
        <v>72</v>
      </c>
      <c r="C12" s="13">
        <v>0</v>
      </c>
    </row>
    <row r="13" spans="2:7" ht="14" customHeight="1" x14ac:dyDescent="0.3">
      <c r="B13" s="4" t="s">
        <v>73</v>
      </c>
      <c r="C13" s="7">
        <v>0.01</v>
      </c>
    </row>
    <row r="14" spans="2:7" ht="14" customHeight="1" x14ac:dyDescent="0.3">
      <c r="B14" s="4" t="s">
        <v>74</v>
      </c>
      <c r="C14" s="14">
        <v>7</v>
      </c>
    </row>
    <row r="15" spans="2:7" ht="14" customHeight="1" x14ac:dyDescent="0.3">
      <c r="B15" s="4" t="s">
        <v>75</v>
      </c>
      <c r="C15" s="15">
        <v>1167997856</v>
      </c>
    </row>
    <row r="16" spans="2:7" ht="14" customHeight="1" x14ac:dyDescent="0.3">
      <c r="B16" s="4" t="s">
        <v>76</v>
      </c>
      <c r="C16" s="5">
        <v>0</v>
      </c>
    </row>
    <row r="17" spans="2:7" ht="14" customHeight="1" x14ac:dyDescent="0.3">
      <c r="B17" s="4" t="s">
        <v>77</v>
      </c>
      <c r="C17" s="5">
        <v>220025</v>
      </c>
    </row>
    <row r="18" spans="2:7" ht="14" customHeight="1" x14ac:dyDescent="0.3">
      <c r="B18" s="4" t="s">
        <v>78</v>
      </c>
      <c r="C18" s="7">
        <v>0.13900000000000001</v>
      </c>
    </row>
    <row r="19" spans="2:7" ht="14" customHeight="1" x14ac:dyDescent="0.3">
      <c r="B19" s="4" t="s">
        <v>79</v>
      </c>
      <c r="C19" s="12">
        <v>1</v>
      </c>
    </row>
    <row r="20" spans="2:7" ht="14" customHeight="1" x14ac:dyDescent="0.3">
      <c r="B20" s="4" t="s">
        <v>80</v>
      </c>
      <c r="C20" s="5">
        <v>220025</v>
      </c>
    </row>
    <row r="22" spans="2:7" ht="14" customHeight="1" x14ac:dyDescent="0.3">
      <c r="B22" s="8" t="s">
        <v>81</v>
      </c>
      <c r="C22" s="9"/>
      <c r="D22" s="9"/>
      <c r="E22" s="9"/>
      <c r="F22" s="9"/>
      <c r="G22" s="9"/>
    </row>
    <row r="23" spans="2:7" ht="14" customHeight="1" x14ac:dyDescent="0.3">
      <c r="B23" s="4" t="s">
        <v>82</v>
      </c>
      <c r="C23" s="16">
        <f>C7+C8*C9+C10</f>
        <v>8.0415999999999987E-2</v>
      </c>
    </row>
    <row r="24" spans="2:7" ht="14" customHeight="1" x14ac:dyDescent="0.3">
      <c r="B24" s="4" t="s">
        <v>83</v>
      </c>
      <c r="C24" s="16">
        <f>1/(1+C12)</f>
        <v>1</v>
      </c>
    </row>
    <row r="25" spans="2:7" ht="14" customHeight="1" x14ac:dyDescent="0.3">
      <c r="B25" s="4" t="s">
        <v>84</v>
      </c>
      <c r="C25" s="16">
        <f>C12/(1+C12)</f>
        <v>0</v>
      </c>
    </row>
    <row r="26" spans="2:7" ht="14" customHeight="1" x14ac:dyDescent="0.3">
      <c r="B26" s="4" t="s">
        <v>85</v>
      </c>
      <c r="C26" s="16">
        <f>C23*C24+C11*C25</f>
        <v>8.0415999999999987E-2</v>
      </c>
    </row>
    <row r="27" spans="2:7" ht="14" customHeight="1" x14ac:dyDescent="0.3">
      <c r="B27" s="4" t="s">
        <v>86</v>
      </c>
      <c r="C27" s="17" t="s">
        <v>87</v>
      </c>
      <c r="D27" s="6">
        <f>MATCH(C27,B69:B73,0)</f>
        <v>1</v>
      </c>
    </row>
    <row r="28" spans="2:7" ht="14" customHeight="1" x14ac:dyDescent="0.3">
      <c r="B28" s="8" t="s">
        <v>88</v>
      </c>
      <c r="C28" s="9"/>
      <c r="D28" s="9"/>
      <c r="E28" s="9"/>
      <c r="F28" s="9"/>
      <c r="G28" s="9"/>
    </row>
    <row r="29" spans="2:7" ht="14" customHeight="1" x14ac:dyDescent="0.3">
      <c r="C29" s="10" t="s">
        <v>89</v>
      </c>
      <c r="D29" s="10" t="s">
        <v>90</v>
      </c>
      <c r="E29" s="10" t="s">
        <v>91</v>
      </c>
      <c r="F29" s="10" t="s">
        <v>92</v>
      </c>
      <c r="G29" s="10" t="s">
        <v>93</v>
      </c>
    </row>
    <row r="30" spans="2:7" ht="14" customHeight="1" x14ac:dyDescent="0.3">
      <c r="B30" s="4" t="s">
        <v>48</v>
      </c>
      <c r="C30" s="18">
        <f>CHOOSE($D$27,C69,C70,C71,C72,C73)</f>
        <v>0.05</v>
      </c>
      <c r="D30" s="18">
        <f>CHOOSE($D$27,D69,D70,D71,D72,D73)</f>
        <v>3.5000000000000003E-2</v>
      </c>
      <c r="E30" s="18">
        <f>CHOOSE($D$27,E69,E70,E71,E72,E73)</f>
        <v>0.03</v>
      </c>
      <c r="F30" s="18">
        <f>CHOOSE($D$27,F69,F70,F71,F72,F73)</f>
        <v>2.5000000000000001E-2</v>
      </c>
      <c r="G30" s="18">
        <f>CHOOSE($D$27,G69,G70,G71,G72,G73)</f>
        <v>0.02</v>
      </c>
    </row>
    <row r="31" spans="2:7" ht="14" customHeight="1" x14ac:dyDescent="0.3">
      <c r="B31" s="4" t="s">
        <v>94</v>
      </c>
      <c r="C31" s="18">
        <f>CHOOSE($D$27,C76,C77,C78,C79,C80)</f>
        <v>0.26500000000000001</v>
      </c>
      <c r="D31" s="18">
        <f>CHOOSE($D$27,D76,D77,D78,D79,D80)</f>
        <v>0.26500000000000001</v>
      </c>
      <c r="E31" s="18">
        <f>CHOOSE($D$27,E76,E77,E78,E79,E80)</f>
        <v>0.26500000000000001</v>
      </c>
      <c r="F31" s="18">
        <f>CHOOSE($D$27,F76,F77,F78,F79,F80)</f>
        <v>0.26500000000000001</v>
      </c>
      <c r="G31" s="18">
        <f>CHOOSE($D$27,G76,G77,G78,G79,G80)</f>
        <v>0.26500000000000001</v>
      </c>
    </row>
    <row r="32" spans="2:7" ht="14" customHeight="1" x14ac:dyDescent="0.3">
      <c r="B32" s="4" t="s">
        <v>95</v>
      </c>
      <c r="C32" s="18">
        <f>CHOOSE($D$27,C83,C84,C85,C86,C87)</f>
        <v>0.61</v>
      </c>
      <c r="D32" s="18">
        <f>CHOOSE($D$27,D83,D84,D85,D86,D87)</f>
        <v>0.6</v>
      </c>
      <c r="E32" s="18">
        <f>CHOOSE($D$27,E83,E84,E85,E86,E87)</f>
        <v>0.59</v>
      </c>
      <c r="F32" s="18">
        <f>CHOOSE($D$27,F83,F84,F85,F86,F87)</f>
        <v>0.58499999999999996</v>
      </c>
      <c r="G32" s="18">
        <f>CHOOSE($D$27,G83,G84,G85,G86,G87)</f>
        <v>0.58499999999999996</v>
      </c>
    </row>
    <row r="33" spans="2:7" ht="14" customHeight="1" x14ac:dyDescent="0.3">
      <c r="B33" s="4" t="s">
        <v>39</v>
      </c>
      <c r="C33" s="5">
        <f>C17*(1+C30)</f>
        <v>231026.25</v>
      </c>
      <c r="D33" s="5">
        <f>C33*(1+D30)</f>
        <v>239112.16874999998</v>
      </c>
      <c r="E33" s="5">
        <f>D33*(1+E30)</f>
        <v>246285.53381249998</v>
      </c>
      <c r="F33" s="5">
        <f>E33*(1+F30)</f>
        <v>252442.67215781246</v>
      </c>
      <c r="G33" s="5">
        <f>F33*(1+G30)</f>
        <v>257491.52560096871</v>
      </c>
    </row>
    <row r="34" spans="2:7" ht="14" customHeight="1" x14ac:dyDescent="0.3">
      <c r="B34" s="4" t="s">
        <v>40</v>
      </c>
      <c r="C34" s="5">
        <f>C33*C31</f>
        <v>61221.956250000003</v>
      </c>
      <c r="D34" s="5">
        <f>D33*D31</f>
        <v>63364.724718749996</v>
      </c>
      <c r="E34" s="5">
        <f>E33*E31</f>
        <v>65265.666460312495</v>
      </c>
      <c r="F34" s="5">
        <f>F33*F31</f>
        <v>66897.308121820301</v>
      </c>
      <c r="G34" s="5">
        <f>G33*G31</f>
        <v>68235.25428425672</v>
      </c>
    </row>
    <row r="35" spans="2:7" ht="14" customHeight="1" x14ac:dyDescent="0.3">
      <c r="B35" s="4" t="s">
        <v>41</v>
      </c>
      <c r="C35" s="19">
        <f>C33-C34</f>
        <v>169804.29375000001</v>
      </c>
      <c r="D35" s="19">
        <f>D33-D34</f>
        <v>175747.44403124999</v>
      </c>
      <c r="E35" s="19">
        <f>E33-E34</f>
        <v>181019.86735218749</v>
      </c>
      <c r="F35" s="19">
        <f>F33-F34</f>
        <v>185545.36403599216</v>
      </c>
      <c r="G35" s="19">
        <f>G33-G34</f>
        <v>189256.27131671199</v>
      </c>
    </row>
    <row r="36" spans="2:7" ht="14" customHeight="1" x14ac:dyDescent="0.3">
      <c r="B36" s="4" t="s">
        <v>42</v>
      </c>
      <c r="C36" s="7">
        <f>C35/C33</f>
        <v>0.7350000000000001</v>
      </c>
      <c r="D36" s="7">
        <f>D35/D33</f>
        <v>0.73499999999999999</v>
      </c>
      <c r="E36" s="7">
        <f>E35/E33</f>
        <v>0.73499999999999999</v>
      </c>
      <c r="F36" s="7">
        <f>F35/F33</f>
        <v>0.73499999999999999</v>
      </c>
      <c r="G36" s="7">
        <f>G35/G33</f>
        <v>0.73499999999999999</v>
      </c>
    </row>
    <row r="37" spans="2:7" ht="14" customHeight="1" x14ac:dyDescent="0.3">
      <c r="B37" s="4" t="s">
        <v>96</v>
      </c>
      <c r="C37" s="5">
        <f>C33*C32</f>
        <v>140926.01249999998</v>
      </c>
      <c r="D37" s="5">
        <f>D33*D32</f>
        <v>143467.30124999999</v>
      </c>
      <c r="E37" s="5">
        <f>E33*E32</f>
        <v>145308.46494937499</v>
      </c>
      <c r="F37" s="5">
        <f>F33*F32</f>
        <v>147678.96321232029</v>
      </c>
      <c r="G37" s="5">
        <f>G33*G32</f>
        <v>150632.54247656668</v>
      </c>
    </row>
    <row r="38" spans="2:7" ht="14" customHeight="1" x14ac:dyDescent="0.3">
      <c r="B38" s="4" t="s">
        <v>97</v>
      </c>
      <c r="C38" s="7">
        <f>(C35-C37)/C33</f>
        <v>0.12500000000000014</v>
      </c>
      <c r="D38" s="7">
        <f>(D35-D37)/D33</f>
        <v>0.13500000000000004</v>
      </c>
      <c r="E38" s="7">
        <f>(E35-E37)/E33</f>
        <v>0.14500000000000002</v>
      </c>
      <c r="F38" s="7">
        <f>(F35-F37)/F33</f>
        <v>0.15</v>
      </c>
      <c r="G38" s="7">
        <f>(G35-G37)/G33</f>
        <v>0.15000000000000002</v>
      </c>
    </row>
    <row r="39" spans="2:7" ht="14" customHeight="1" x14ac:dyDescent="0.3">
      <c r="B39" s="4" t="s">
        <v>98</v>
      </c>
      <c r="C39" s="19">
        <f>C35-C37</f>
        <v>28878.281250000029</v>
      </c>
      <c r="D39" s="19">
        <f>D35-D37</f>
        <v>32280.142781250004</v>
      </c>
      <c r="E39" s="19">
        <f>E35-E37</f>
        <v>35711.402402812499</v>
      </c>
      <c r="F39" s="19">
        <f>F35-F37</f>
        <v>37866.400823671866</v>
      </c>
      <c r="G39" s="19">
        <f>G35-G37</f>
        <v>38623.728840145312</v>
      </c>
    </row>
    <row r="40" spans="2:7" ht="14" customHeight="1" x14ac:dyDescent="0.3">
      <c r="B40" s="4" t="s">
        <v>99</v>
      </c>
      <c r="C40" s="5">
        <f>MAX(0,C39*C6)</f>
        <v>7219.5703125000073</v>
      </c>
      <c r="D40" s="5">
        <f>MAX(0,D39*C6)</f>
        <v>8070.035695312501</v>
      </c>
      <c r="E40" s="5">
        <f>MAX(0,E39*C6)</f>
        <v>8927.8506007031247</v>
      </c>
      <c r="F40" s="5">
        <f>MAX(0,F39*C6)</f>
        <v>9466.6002059179664</v>
      </c>
      <c r="G40" s="5">
        <f>MAX(0,G39*C6)</f>
        <v>9655.9322100363279</v>
      </c>
    </row>
    <row r="41" spans="2:7" ht="14" customHeight="1" x14ac:dyDescent="0.3">
      <c r="B41" s="4" t="s">
        <v>100</v>
      </c>
      <c r="C41" s="19">
        <f>C39-C40</f>
        <v>21658.710937500022</v>
      </c>
      <c r="D41" s="19">
        <f>D39-D40</f>
        <v>24210.107085937503</v>
      </c>
      <c r="E41" s="19">
        <f>E39-E40</f>
        <v>26783.551802109374</v>
      </c>
      <c r="F41" s="19">
        <f>F39-F40</f>
        <v>28399.800617753899</v>
      </c>
      <c r="G41" s="19">
        <f>G39-G40</f>
        <v>28967.796630108984</v>
      </c>
    </row>
    <row r="42" spans="2:7" ht="14" customHeight="1" x14ac:dyDescent="0.3">
      <c r="B42" s="4" t="s">
        <v>101</v>
      </c>
      <c r="C42" s="5">
        <v>32000</v>
      </c>
      <c r="D42" s="5">
        <v>33000</v>
      </c>
      <c r="E42" s="5">
        <v>33500</v>
      </c>
      <c r="F42" s="5">
        <v>34000</v>
      </c>
      <c r="G42" s="5">
        <v>34500</v>
      </c>
    </row>
    <row r="43" spans="2:7" ht="14" customHeight="1" x14ac:dyDescent="0.3">
      <c r="B43" s="4" t="s">
        <v>102</v>
      </c>
      <c r="C43" s="5">
        <v>38000</v>
      </c>
      <c r="D43" s="5">
        <v>36000</v>
      </c>
      <c r="E43" s="5">
        <v>34000</v>
      </c>
      <c r="F43" s="5">
        <v>34000</v>
      </c>
      <c r="G43" s="5">
        <v>34000</v>
      </c>
    </row>
    <row r="44" spans="2:7" ht="14" customHeight="1" x14ac:dyDescent="0.3">
      <c r="B44" s="4" t="s">
        <v>103</v>
      </c>
      <c r="C44" s="5">
        <f>'NWC Schedule'!D19</f>
        <v>0</v>
      </c>
      <c r="D44" s="5">
        <f>'NWC Schedule'!E19</f>
        <v>0</v>
      </c>
      <c r="E44" s="5">
        <f>'NWC Schedule'!F19</f>
        <v>0</v>
      </c>
      <c r="F44" s="5">
        <f>'NWC Schedule'!G19</f>
        <v>0</v>
      </c>
      <c r="G44" s="5">
        <f>'NWC Schedule'!H19</f>
        <v>0</v>
      </c>
    </row>
    <row r="45" spans="2:7" ht="14" customHeight="1" x14ac:dyDescent="0.3">
      <c r="B45" s="4" t="s">
        <v>104</v>
      </c>
      <c r="C45" s="20">
        <f>C41+C42-C43-C44</f>
        <v>15658.710937500022</v>
      </c>
      <c r="D45" s="20">
        <f>D41+D42-D43-D44</f>
        <v>21210.107085937503</v>
      </c>
      <c r="E45" s="20">
        <f>E41+E42-E43-E44</f>
        <v>26283.551802109374</v>
      </c>
      <c r="F45" s="20">
        <f>F41+F42-F43-F44</f>
        <v>28399.800617753899</v>
      </c>
      <c r="G45" s="20">
        <f>G41+G42-G43-G44</f>
        <v>29467.796630108984</v>
      </c>
    </row>
    <row r="46" spans="2:7" ht="14" customHeight="1" x14ac:dyDescent="0.3">
      <c r="B46" s="4" t="s">
        <v>105</v>
      </c>
      <c r="C46" s="21">
        <f>1/(1+C26)^(C19+0)</f>
        <v>0.92556941030121731</v>
      </c>
      <c r="D46" s="21">
        <f>1/(1+C26)^(C19+1)</f>
        <v>0.85667873328534305</v>
      </c>
      <c r="E46" s="21">
        <f>1/(1+C26)^(C19+2)</f>
        <v>0.79291562998450871</v>
      </c>
      <c r="F46" s="21">
        <f>1/(1+C26)^(C19+3)</f>
        <v>0.73389845206338</v>
      </c>
      <c r="G46" s="21">
        <f>1/(1+C26)^(C19+4)</f>
        <v>0.67927395749727881</v>
      </c>
    </row>
    <row r="47" spans="2:7" ht="14" customHeight="1" x14ac:dyDescent="0.3">
      <c r="B47" s="4" t="s">
        <v>106</v>
      </c>
      <c r="C47" s="19">
        <f>C45*C46</f>
        <v>14493.223848499118</v>
      </c>
      <c r="D47" s="19">
        <f>D45*D46</f>
        <v>18170.247671227418</v>
      </c>
      <c r="E47" s="19">
        <f>E45*E46</f>
        <v>20840.639035400025</v>
      </c>
      <c r="F47" s="19">
        <f>F45*F46</f>
        <v>20842.569712278211</v>
      </c>
      <c r="G47" s="19">
        <f>G45*G46</f>
        <v>20016.706835659104</v>
      </c>
    </row>
    <row r="49" spans="2:7" ht="14" customHeight="1" x14ac:dyDescent="0.3">
      <c r="B49" s="22" t="s">
        <v>107</v>
      </c>
      <c r="C49" s="23"/>
      <c r="D49" s="23"/>
      <c r="E49" s="23"/>
      <c r="F49" s="23"/>
      <c r="G49" s="23"/>
    </row>
    <row r="50" spans="2:7" ht="14" customHeight="1" x14ac:dyDescent="0.3">
      <c r="B50" s="4" t="s">
        <v>108</v>
      </c>
      <c r="C50" s="5">
        <f>SUM(C47:G47)</f>
        <v>94363.387103063884</v>
      </c>
    </row>
    <row r="51" spans="2:7" ht="14" customHeight="1" x14ac:dyDescent="0.3">
      <c r="B51" s="4" t="s">
        <v>109</v>
      </c>
      <c r="C51" s="5">
        <f>G45*(1+C13)/(C26-C13)</f>
        <v>422666.36270748236</v>
      </c>
    </row>
    <row r="52" spans="2:7" ht="14" customHeight="1" x14ac:dyDescent="0.3">
      <c r="B52" s="4" t="s">
        <v>110</v>
      </c>
      <c r="C52" s="5">
        <f>C51*G46</f>
        <v>287106.25289729179</v>
      </c>
    </row>
    <row r="53" spans="2:7" ht="14" customHeight="1" x14ac:dyDescent="0.3">
      <c r="B53" s="4" t="s">
        <v>111</v>
      </c>
      <c r="C53" s="5">
        <f>C50+C52</f>
        <v>381469.64000035566</v>
      </c>
    </row>
    <row r="54" spans="2:7" ht="14" customHeight="1" x14ac:dyDescent="0.3">
      <c r="B54" s="4" t="s">
        <v>112</v>
      </c>
      <c r="C54" s="5">
        <f>C53-C16</f>
        <v>381469.64000035566</v>
      </c>
    </row>
    <row r="55" spans="2:7" ht="14" customHeight="1" x14ac:dyDescent="0.3">
      <c r="B55" s="4" t="s">
        <v>113</v>
      </c>
      <c r="C55" s="24">
        <f>ROUND(C54*1000000/C15,0)</f>
        <v>327</v>
      </c>
    </row>
    <row r="57" spans="2:7" ht="14" customHeight="1" x14ac:dyDescent="0.3">
      <c r="B57" s="22" t="s">
        <v>114</v>
      </c>
      <c r="C57" s="23"/>
      <c r="D57" s="23"/>
      <c r="E57" s="23"/>
      <c r="F57" s="23"/>
      <c r="G57" s="23"/>
    </row>
    <row r="58" spans="2:7" ht="14" customHeight="1" x14ac:dyDescent="0.3">
      <c r="B58" s="4" t="s">
        <v>108</v>
      </c>
      <c r="C58" s="5">
        <f>C50</f>
        <v>94363.387103063884</v>
      </c>
    </row>
    <row r="59" spans="2:7" ht="14" customHeight="1" x14ac:dyDescent="0.3">
      <c r="B59" s="4" t="s">
        <v>115</v>
      </c>
      <c r="C59" s="5">
        <f>G39+G42</f>
        <v>73123.728840145312</v>
      </c>
    </row>
    <row r="60" spans="2:7" ht="14" customHeight="1" x14ac:dyDescent="0.3">
      <c r="B60" s="4" t="s">
        <v>116</v>
      </c>
      <c r="C60" s="5">
        <f>C59*C14</f>
        <v>511866.10188101721</v>
      </c>
    </row>
    <row r="61" spans="2:7" ht="14" customHeight="1" x14ac:dyDescent="0.3">
      <c r="B61" s="4" t="s">
        <v>110</v>
      </c>
      <c r="C61" s="5">
        <f>C60*G46</f>
        <v>347697.3127334239</v>
      </c>
    </row>
    <row r="62" spans="2:7" ht="14" customHeight="1" x14ac:dyDescent="0.3">
      <c r="B62" s="4" t="s">
        <v>111</v>
      </c>
      <c r="C62" s="5">
        <f>C58+C61</f>
        <v>442060.69983648777</v>
      </c>
    </row>
    <row r="63" spans="2:7" ht="14" customHeight="1" x14ac:dyDescent="0.3">
      <c r="B63" s="4" t="s">
        <v>112</v>
      </c>
      <c r="C63" s="5">
        <f>C62-C16</f>
        <v>442060.69983648777</v>
      </c>
    </row>
    <row r="64" spans="2:7" ht="14" customHeight="1" x14ac:dyDescent="0.3">
      <c r="B64" s="4" t="s">
        <v>117</v>
      </c>
      <c r="C64" s="24">
        <f>ROUND(C63*1000000/C15,0)</f>
        <v>378</v>
      </c>
    </row>
    <row r="66" spans="2:7" ht="14" customHeight="1" x14ac:dyDescent="0.3">
      <c r="B66" s="22" t="s">
        <v>118</v>
      </c>
      <c r="C66" s="23"/>
      <c r="D66" s="23"/>
      <c r="E66" s="23"/>
      <c r="F66" s="23"/>
      <c r="G66" s="23"/>
    </row>
    <row r="67" spans="2:7" ht="14" customHeight="1" x14ac:dyDescent="0.3">
      <c r="C67" s="25" t="s">
        <v>119</v>
      </c>
      <c r="D67" s="25" t="s">
        <v>120</v>
      </c>
      <c r="E67" s="25" t="s">
        <v>121</v>
      </c>
      <c r="F67" s="25" t="s">
        <v>122</v>
      </c>
      <c r="G67" s="25" t="s">
        <v>123</v>
      </c>
    </row>
    <row r="68" spans="2:7" ht="14" customHeight="1" x14ac:dyDescent="0.3">
      <c r="B68" s="3" t="s">
        <v>48</v>
      </c>
    </row>
    <row r="69" spans="2:7" ht="14" customHeight="1" x14ac:dyDescent="0.3">
      <c r="B69" s="4" t="s">
        <v>87</v>
      </c>
      <c r="C69" s="26">
        <v>0.05</v>
      </c>
      <c r="D69" s="26">
        <v>3.5000000000000003E-2</v>
      </c>
      <c r="E69" s="26">
        <v>0.03</v>
      </c>
      <c r="F69" s="26">
        <v>2.5000000000000001E-2</v>
      </c>
      <c r="G69" s="26">
        <v>0.02</v>
      </c>
    </row>
    <row r="70" spans="2:7" ht="14" customHeight="1" x14ac:dyDescent="0.3">
      <c r="B70" s="4" t="s">
        <v>124</v>
      </c>
      <c r="C70" s="26">
        <v>0.09</v>
      </c>
      <c r="D70" s="26">
        <v>7.0000000000000007E-2</v>
      </c>
      <c r="E70" s="26">
        <v>0.06</v>
      </c>
      <c r="F70" s="26">
        <v>0.05</v>
      </c>
      <c r="G70" s="26">
        <v>4.4999999999999998E-2</v>
      </c>
    </row>
    <row r="71" spans="2:7" ht="14" customHeight="1" x14ac:dyDescent="0.3">
      <c r="B71" s="4" t="s">
        <v>125</v>
      </c>
      <c r="C71" s="26">
        <v>7.0000000000000007E-2</v>
      </c>
      <c r="D71" s="26">
        <v>0.04</v>
      </c>
      <c r="E71" s="26">
        <v>0.03</v>
      </c>
      <c r="F71" s="26">
        <v>2.5000000000000001E-2</v>
      </c>
      <c r="G71" s="26">
        <v>0.02</v>
      </c>
    </row>
    <row r="72" spans="2:7" ht="14" customHeight="1" x14ac:dyDescent="0.3">
      <c r="B72" s="4" t="s">
        <v>126</v>
      </c>
      <c r="C72" s="26">
        <v>0.02</v>
      </c>
      <c r="D72" s="26">
        <v>0</v>
      </c>
      <c r="E72" s="26">
        <v>-0.01</v>
      </c>
      <c r="F72" s="26">
        <v>-0.01</v>
      </c>
      <c r="G72" s="26">
        <v>-0.01</v>
      </c>
    </row>
    <row r="73" spans="2:7" ht="14" customHeight="1" x14ac:dyDescent="0.3">
      <c r="B73" s="4" t="s">
        <v>127</v>
      </c>
      <c r="C73" s="26">
        <v>-0.02</v>
      </c>
      <c r="D73" s="26">
        <v>-0.04</v>
      </c>
      <c r="E73" s="26">
        <v>-0.04</v>
      </c>
      <c r="F73" s="26">
        <v>-0.03</v>
      </c>
      <c r="G73" s="26">
        <v>-0.03</v>
      </c>
    </row>
    <row r="75" spans="2:7" ht="14" customHeight="1" x14ac:dyDescent="0.3">
      <c r="B75" s="3" t="s">
        <v>94</v>
      </c>
    </row>
    <row r="76" spans="2:7" ht="14" customHeight="1" x14ac:dyDescent="0.3">
      <c r="B76" s="4" t="s">
        <v>87</v>
      </c>
      <c r="C76" s="26">
        <v>0.26500000000000001</v>
      </c>
      <c r="D76" s="26">
        <v>0.26500000000000001</v>
      </c>
      <c r="E76" s="26">
        <v>0.26500000000000001</v>
      </c>
      <c r="F76" s="26">
        <v>0.26500000000000001</v>
      </c>
      <c r="G76" s="26">
        <v>0.26500000000000001</v>
      </c>
    </row>
    <row r="77" spans="2:7" ht="14" customHeight="1" x14ac:dyDescent="0.3">
      <c r="B77" s="4" t="s">
        <v>124</v>
      </c>
      <c r="C77" s="26">
        <v>0.26</v>
      </c>
      <c r="D77" s="26">
        <v>0.26</v>
      </c>
      <c r="E77" s="26">
        <v>0.26</v>
      </c>
      <c r="F77" s="26">
        <v>0.26</v>
      </c>
      <c r="G77" s="26">
        <v>0.26</v>
      </c>
    </row>
    <row r="78" spans="2:7" ht="14" customHeight="1" x14ac:dyDescent="0.3">
      <c r="B78" s="4" t="s">
        <v>125</v>
      </c>
      <c r="C78" s="26">
        <v>0.26500000000000001</v>
      </c>
      <c r="D78" s="26">
        <v>0.26500000000000001</v>
      </c>
      <c r="E78" s="26">
        <v>0.26500000000000001</v>
      </c>
      <c r="F78" s="26">
        <v>0.26500000000000001</v>
      </c>
      <c r="G78" s="26">
        <v>0.26500000000000001</v>
      </c>
    </row>
    <row r="79" spans="2:7" ht="14" customHeight="1" x14ac:dyDescent="0.3">
      <c r="B79" s="4" t="s">
        <v>126</v>
      </c>
      <c r="C79" s="26">
        <v>0.27500000000000002</v>
      </c>
      <c r="D79" s="26">
        <v>0.27500000000000002</v>
      </c>
      <c r="E79" s="26">
        <v>0.27500000000000002</v>
      </c>
      <c r="F79" s="26">
        <v>0.27500000000000002</v>
      </c>
      <c r="G79" s="26">
        <v>0.27500000000000002</v>
      </c>
    </row>
    <row r="80" spans="2:7" ht="14" customHeight="1" x14ac:dyDescent="0.3">
      <c r="B80" s="4" t="s">
        <v>127</v>
      </c>
      <c r="C80" s="26">
        <v>0.28499999999999998</v>
      </c>
      <c r="D80" s="26">
        <v>0.28499999999999998</v>
      </c>
      <c r="E80" s="26">
        <v>0.28499999999999998</v>
      </c>
      <c r="F80" s="26">
        <v>0.28499999999999998</v>
      </c>
      <c r="G80" s="26">
        <v>0.28499999999999998</v>
      </c>
    </row>
    <row r="82" spans="2:7" ht="14" customHeight="1" x14ac:dyDescent="0.3">
      <c r="B82" s="3" t="s">
        <v>95</v>
      </c>
    </row>
    <row r="83" spans="2:7" ht="14" customHeight="1" x14ac:dyDescent="0.3">
      <c r="B83" s="4" t="s">
        <v>87</v>
      </c>
      <c r="C83" s="26">
        <v>0.61</v>
      </c>
      <c r="D83" s="26">
        <v>0.6</v>
      </c>
      <c r="E83" s="26">
        <v>0.59</v>
      </c>
      <c r="F83" s="26">
        <v>0.58499999999999996</v>
      </c>
      <c r="G83" s="26">
        <v>0.58499999999999996</v>
      </c>
    </row>
    <row r="84" spans="2:7" ht="14" customHeight="1" x14ac:dyDescent="0.3">
      <c r="B84" s="4" t="s">
        <v>124</v>
      </c>
      <c r="C84" s="26">
        <v>0.60499999999999998</v>
      </c>
      <c r="D84" s="26">
        <v>0.59</v>
      </c>
      <c r="E84" s="26">
        <v>0.57499999999999996</v>
      </c>
      <c r="F84" s="26">
        <v>0.56999999999999995</v>
      </c>
      <c r="G84" s="26">
        <v>0.56499999999999995</v>
      </c>
    </row>
    <row r="85" spans="2:7" ht="14" customHeight="1" x14ac:dyDescent="0.3">
      <c r="B85" s="4" t="s">
        <v>125</v>
      </c>
      <c r="C85" s="26">
        <v>0.61</v>
      </c>
      <c r="D85" s="26">
        <v>0.60499999999999998</v>
      </c>
      <c r="E85" s="26">
        <v>0.6</v>
      </c>
      <c r="F85" s="26">
        <v>0.59499999999999997</v>
      </c>
      <c r="G85" s="26">
        <v>0.59499999999999997</v>
      </c>
    </row>
    <row r="86" spans="2:7" ht="14" customHeight="1" x14ac:dyDescent="0.3">
      <c r="B86" s="4" t="s">
        <v>126</v>
      </c>
      <c r="C86" s="26">
        <v>0.61499999999999999</v>
      </c>
      <c r="D86" s="26">
        <v>0.625</v>
      </c>
      <c r="E86" s="26">
        <v>0.625</v>
      </c>
      <c r="F86" s="26">
        <v>0.62</v>
      </c>
      <c r="G86" s="26">
        <v>0.62</v>
      </c>
    </row>
    <row r="87" spans="2:7" ht="14" customHeight="1" x14ac:dyDescent="0.3">
      <c r="B87" s="4" t="s">
        <v>127</v>
      </c>
      <c r="C87" s="26">
        <v>0.625</v>
      </c>
      <c r="D87" s="26">
        <v>0.65</v>
      </c>
      <c r="E87" s="26">
        <v>0.65500000000000003</v>
      </c>
      <c r="F87" s="26">
        <v>0.65</v>
      </c>
      <c r="G87" s="26">
        <v>0.65</v>
      </c>
    </row>
  </sheetData>
  <phoneticPr fontId="8"/>
  <dataValidations count="1">
    <dataValidation type="list" sqref="C27" xr:uid="{00000000-0002-0000-0200-000000000000}">
      <formula1>"Base,Upside,Management,Downside 1,Downside 2"</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B2:I79"/>
  <sheetViews>
    <sheetView workbookViewId="0"/>
  </sheetViews>
  <sheetFormatPr defaultRowHeight="13" x14ac:dyDescent="0.2"/>
  <cols>
    <col min="1" max="1" width="3" customWidth="1"/>
    <col min="2" max="2" width="52" customWidth="1"/>
    <col min="3" max="9" width="15" customWidth="1"/>
  </cols>
  <sheetData>
    <row r="2" spans="2:9" ht="18" customHeight="1" x14ac:dyDescent="0.4">
      <c r="B2" s="2" t="s">
        <v>128</v>
      </c>
    </row>
    <row r="3" spans="2:9" ht="14" customHeight="1" x14ac:dyDescent="0.3">
      <c r="B3" s="1" t="s">
        <v>129</v>
      </c>
    </row>
    <row r="5" spans="2:9" ht="14" customHeight="1" x14ac:dyDescent="0.3">
      <c r="B5" s="8" t="s">
        <v>130</v>
      </c>
      <c r="C5" s="9"/>
      <c r="D5" s="9"/>
      <c r="E5" s="9"/>
      <c r="F5" s="9"/>
      <c r="G5" s="9"/>
      <c r="H5" s="9"/>
      <c r="I5" s="9"/>
    </row>
    <row r="6" spans="2:9" ht="14" customHeight="1" x14ac:dyDescent="0.3">
      <c r="B6" s="4" t="s">
        <v>131</v>
      </c>
      <c r="C6" s="15">
        <f>'Executive Summary'!C9</f>
        <v>340</v>
      </c>
    </row>
    <row r="7" spans="2:9" ht="14" customHeight="1" x14ac:dyDescent="0.3">
      <c r="B7" s="4" t="s">
        <v>75</v>
      </c>
      <c r="C7" s="15">
        <f>'DCF Model'!C15</f>
        <v>1167997856</v>
      </c>
    </row>
    <row r="8" spans="2:9" ht="14" customHeight="1" x14ac:dyDescent="0.3">
      <c r="B8" s="4" t="s">
        <v>132</v>
      </c>
      <c r="C8" s="5">
        <f>C6*C7/1000000</f>
        <v>397119.27104000002</v>
      </c>
    </row>
    <row r="9" spans="2:9" ht="14" customHeight="1" x14ac:dyDescent="0.3">
      <c r="B9" s="4" t="s">
        <v>76</v>
      </c>
      <c r="C9" s="5">
        <f>'DCF Model'!C16</f>
        <v>0</v>
      </c>
    </row>
    <row r="10" spans="2:9" ht="14" customHeight="1" x14ac:dyDescent="0.3">
      <c r="B10" s="4" t="s">
        <v>133</v>
      </c>
      <c r="C10" s="5">
        <f>C8+C9</f>
        <v>397119.27104000002</v>
      </c>
    </row>
    <row r="11" spans="2:9" ht="14" customHeight="1" x14ac:dyDescent="0.3">
      <c r="B11" s="4" t="s">
        <v>134</v>
      </c>
      <c r="C11" s="16">
        <f>'DCF Model'!C26</f>
        <v>8.0415999999999987E-2</v>
      </c>
    </row>
    <row r="12" spans="2:9" ht="14" customHeight="1" x14ac:dyDescent="0.3">
      <c r="B12" s="4" t="s">
        <v>135</v>
      </c>
      <c r="C12" s="16">
        <f>'DCF Model'!C13</f>
        <v>0.01</v>
      </c>
    </row>
    <row r="13" spans="2:9" ht="14" customHeight="1" x14ac:dyDescent="0.3">
      <c r="B13" s="4" t="s">
        <v>136</v>
      </c>
      <c r="C13" s="16">
        <f>'DCF Model'!C6</f>
        <v>0.25</v>
      </c>
    </row>
    <row r="14" spans="2:9" ht="14" customHeight="1" x14ac:dyDescent="0.3">
      <c r="B14" s="4" t="s">
        <v>137</v>
      </c>
      <c r="C14" s="27">
        <v>30165</v>
      </c>
    </row>
    <row r="15" spans="2:9" ht="14" customHeight="1" x14ac:dyDescent="0.3">
      <c r="B15" s="4" t="s">
        <v>138</v>
      </c>
      <c r="C15" s="27">
        <v>30526</v>
      </c>
    </row>
    <row r="16" spans="2:9" ht="14" customHeight="1" x14ac:dyDescent="0.3">
      <c r="B16" s="4" t="s">
        <v>139</v>
      </c>
      <c r="C16" s="5">
        <f>'DCF Model'!G33</f>
        <v>257491.52560096871</v>
      </c>
    </row>
    <row r="17" spans="2:9" ht="14" customHeight="1" x14ac:dyDescent="0.3">
      <c r="B17" s="4" t="s">
        <v>140</v>
      </c>
      <c r="C17" s="5">
        <f>'DCF Model'!C53</f>
        <v>381469.64000035566</v>
      </c>
    </row>
    <row r="18" spans="2:9" ht="14" customHeight="1" x14ac:dyDescent="0.3">
      <c r="B18" s="4" t="s">
        <v>141</v>
      </c>
      <c r="C18" s="26">
        <v>0.15426755004371401</v>
      </c>
    </row>
    <row r="19" spans="2:9" ht="14" customHeight="1" x14ac:dyDescent="0.3">
      <c r="B19" s="4" t="s">
        <v>142</v>
      </c>
      <c r="C19" s="5">
        <f>C10-C17</f>
        <v>15649.631039644359</v>
      </c>
    </row>
    <row r="20" spans="2:9" ht="14" customHeight="1" x14ac:dyDescent="0.3">
      <c r="B20" s="4" t="s">
        <v>143</v>
      </c>
      <c r="C20" s="15">
        <f>IFERROR(ROUND(C19*1000000/C7,0),"N/A")</f>
        <v>13</v>
      </c>
    </row>
    <row r="22" spans="2:9" ht="14" customHeight="1" x14ac:dyDescent="0.3">
      <c r="B22" s="8" t="s">
        <v>144</v>
      </c>
      <c r="C22" s="9"/>
      <c r="D22" s="9"/>
      <c r="E22" s="9"/>
      <c r="F22" s="9"/>
      <c r="G22" s="9"/>
      <c r="H22" s="9"/>
      <c r="I22" s="9"/>
    </row>
    <row r="23" spans="2:9" ht="14" customHeight="1" x14ac:dyDescent="0.3">
      <c r="B23" s="1" t="s">
        <v>145</v>
      </c>
    </row>
    <row r="24" spans="2:9" ht="14" customHeight="1" x14ac:dyDescent="0.3">
      <c r="B24" s="4" t="s">
        <v>146</v>
      </c>
      <c r="C24" s="5">
        <f>C10*(C11-C12)</f>
        <v>27963.55058955264</v>
      </c>
    </row>
    <row r="25" spans="2:9" ht="14" customHeight="1" x14ac:dyDescent="0.3">
      <c r="B25" s="4" t="s">
        <v>147</v>
      </c>
      <c r="C25" s="5">
        <f>IFERROR(C24/(1-C13),"N/A")</f>
        <v>37284.734119403518</v>
      </c>
    </row>
    <row r="26" spans="2:9" ht="13.5" customHeight="1" x14ac:dyDescent="0.25">
      <c r="B26" s="6" t="s">
        <v>148</v>
      </c>
      <c r="C26" s="14">
        <f>IFERROR(C25/C15,"N/A")</f>
        <v>1.2214090977987131</v>
      </c>
    </row>
    <row r="27" spans="2:9" ht="13.5" customHeight="1" x14ac:dyDescent="0.25">
      <c r="B27" s="6" t="s">
        <v>149</v>
      </c>
      <c r="C27" s="14">
        <f>IFERROR(C25/C14,"N/A")</f>
        <v>1.2360263258545838</v>
      </c>
    </row>
    <row r="28" spans="2:9" ht="13.5" customHeight="1" x14ac:dyDescent="0.25">
      <c r="B28" s="6" t="s">
        <v>150</v>
      </c>
      <c r="C28" s="7">
        <f>IFERROR(C25/C16,"N/A")</f>
        <v>0.14479984936352114</v>
      </c>
    </row>
    <row r="29" spans="2:9" ht="13.5" customHeight="1" x14ac:dyDescent="0.25">
      <c r="B29" s="6" t="s">
        <v>151</v>
      </c>
      <c r="C29" s="5">
        <f>IFERROR(C25/C18,"N/A")</f>
        <v>241688.76804511598</v>
      </c>
    </row>
    <row r="32" spans="2:9" ht="14" customHeight="1" x14ac:dyDescent="0.3">
      <c r="B32" s="8" t="s">
        <v>152</v>
      </c>
      <c r="C32" s="9"/>
      <c r="D32" s="9"/>
      <c r="E32" s="9"/>
      <c r="F32" s="9"/>
      <c r="G32" s="9"/>
      <c r="H32" s="9"/>
      <c r="I32" s="9"/>
    </row>
    <row r="33" spans="2:9" ht="14" customHeight="1" x14ac:dyDescent="0.3">
      <c r="B33" s="1" t="s">
        <v>153</v>
      </c>
    </row>
    <row r="34" spans="2:9" ht="14" customHeight="1" x14ac:dyDescent="0.3">
      <c r="B34" s="1" t="s">
        <v>154</v>
      </c>
    </row>
    <row r="36" spans="2:9" ht="14" customHeight="1" x14ac:dyDescent="0.3">
      <c r="B36" s="28" t="s">
        <v>155</v>
      </c>
      <c r="C36" s="28" t="s">
        <v>156</v>
      </c>
      <c r="D36" s="29">
        <f>'DCF Model'!C26-0.02</f>
        <v>6.0415999999999984E-2</v>
      </c>
      <c r="E36" s="29">
        <f>'DCF Model'!C26-0.01</f>
        <v>7.0415999999999992E-2</v>
      </c>
      <c r="F36" s="29">
        <f>'DCF Model'!C26</f>
        <v>8.0415999999999987E-2</v>
      </c>
      <c r="G36" s="29">
        <f>'DCF Model'!C26+0.01</f>
        <v>9.0415999999999982E-2</v>
      </c>
      <c r="H36" s="29">
        <f>'DCF Model'!C26+0.02</f>
        <v>0.10041599999999999</v>
      </c>
    </row>
    <row r="37" spans="2:9" ht="14" customHeight="1" x14ac:dyDescent="0.3">
      <c r="B37" s="3" t="s">
        <v>157</v>
      </c>
    </row>
    <row r="38" spans="2:9" ht="14" customHeight="1" x14ac:dyDescent="0.3">
      <c r="B38" s="4" t="s">
        <v>158</v>
      </c>
      <c r="C38" s="30">
        <v>3</v>
      </c>
      <c r="D38" s="13">
        <f t="shared" ref="D38:H41" si="0">IFERROR((1-(1+D$36)^(-$C38))/D$36-(1+D$36)/(D$36^2*$C38)*(1-($C38+1)/(1+D$36)^$C38+$C38/(1+D$36)^($C38+1)),"N/A")</f>
        <v>0.92511685135528898</v>
      </c>
      <c r="E38" s="13">
        <f t="shared" si="0"/>
        <v>0.91373080806955476</v>
      </c>
      <c r="F38" s="13">
        <f t="shared" si="0"/>
        <v>0.90260585129590609</v>
      </c>
      <c r="G38" s="13">
        <f t="shared" si="0"/>
        <v>0.89173342631415631</v>
      </c>
      <c r="H38" s="13">
        <f t="shared" si="0"/>
        <v>0.88110533877139829</v>
      </c>
    </row>
    <row r="39" spans="2:9" ht="14" customHeight="1" x14ac:dyDescent="0.3">
      <c r="B39" s="4" t="s">
        <v>159</v>
      </c>
      <c r="C39" s="30">
        <v>5</v>
      </c>
      <c r="D39" s="13">
        <f t="shared" si="0"/>
        <v>1.7816227783303442</v>
      </c>
      <c r="E39" s="13">
        <f t="shared" si="0"/>
        <v>1.7495095630056889</v>
      </c>
      <c r="F39" s="13">
        <f t="shared" si="0"/>
        <v>1.7184087106186454</v>
      </c>
      <c r="G39" s="13">
        <f t="shared" si="0"/>
        <v>1.6882766596120056</v>
      </c>
      <c r="H39" s="13">
        <f t="shared" si="0"/>
        <v>1.6590721762766165</v>
      </c>
    </row>
    <row r="40" spans="2:9" ht="14" customHeight="1" x14ac:dyDescent="0.3">
      <c r="B40" s="4" t="s">
        <v>160</v>
      </c>
      <c r="C40" s="30">
        <v>7</v>
      </c>
      <c r="D40" s="13">
        <f t="shared" si="0"/>
        <v>2.575231238430101</v>
      </c>
      <c r="E40" s="13">
        <f t="shared" si="0"/>
        <v>2.5148009600055325</v>
      </c>
      <c r="F40" s="13">
        <f t="shared" si="0"/>
        <v>2.4567758736614951</v>
      </c>
      <c r="G40" s="13">
        <f t="shared" si="0"/>
        <v>2.4010285661344923</v>
      </c>
      <c r="H40" s="13">
        <f t="shared" si="0"/>
        <v>2.347439834611202</v>
      </c>
    </row>
    <row r="41" spans="2:9" ht="14" customHeight="1" x14ac:dyDescent="0.3">
      <c r="B41" s="4" t="s">
        <v>161</v>
      </c>
      <c r="C41" s="30">
        <v>10</v>
      </c>
      <c r="D41" s="13">
        <f t="shared" si="0"/>
        <v>3.6589732894006088</v>
      </c>
      <c r="E41" s="13">
        <f t="shared" si="0"/>
        <v>3.5450490988899488</v>
      </c>
      <c r="F41" s="13">
        <f t="shared" si="0"/>
        <v>3.4370075896050629</v>
      </c>
      <c r="G41" s="13">
        <f t="shared" si="0"/>
        <v>3.3344528199315873</v>
      </c>
      <c r="H41" s="13">
        <f t="shared" si="0"/>
        <v>3.2370206693910273</v>
      </c>
    </row>
    <row r="42" spans="2:9" ht="14" customHeight="1" x14ac:dyDescent="0.3">
      <c r="B42" s="3" t="s">
        <v>162</v>
      </c>
    </row>
    <row r="43" spans="2:9" ht="14" customHeight="1" x14ac:dyDescent="0.3">
      <c r="B43" s="4" t="s">
        <v>158</v>
      </c>
      <c r="C43" s="30">
        <v>3</v>
      </c>
      <c r="D43" s="13">
        <f t="shared" ref="D43:H46" si="1">IFERROR((1+D$36)/(D$36^2*$C43)*(1-($C43+1)/(1+D$36)^$C43+$C43/(1+D$36)^($C43+1))+(1+$C$12)/((D$36-$C$12)*(1+D$36)^$C43),"N/A")</f>
        <v>18.546415118470655</v>
      </c>
      <c r="E43" s="13">
        <f t="shared" si="1"/>
        <v>15.339086956387394</v>
      </c>
      <c r="F43" s="13">
        <f t="shared" si="1"/>
        <v>13.045609306681465</v>
      </c>
      <c r="G43" s="13">
        <f t="shared" si="1"/>
        <v>11.32497480443854</v>
      </c>
      <c r="H43" s="13">
        <f t="shared" si="1"/>
        <v>9.9870409208612116</v>
      </c>
    </row>
    <row r="44" spans="2:9" ht="14" customHeight="1" x14ac:dyDescent="0.3">
      <c r="B44" s="4" t="s">
        <v>159</v>
      </c>
      <c r="C44" s="30">
        <v>5</v>
      </c>
      <c r="D44" s="13">
        <f t="shared" si="1"/>
        <v>17.366701683919349</v>
      </c>
      <c r="E44" s="13">
        <f t="shared" si="1"/>
        <v>14.242275283217673</v>
      </c>
      <c r="F44" s="13">
        <f t="shared" si="1"/>
        <v>12.012978726095392</v>
      </c>
      <c r="G44" s="13">
        <f t="shared" si="1"/>
        <v>10.344557118775059</v>
      </c>
      <c r="H44" s="13">
        <f t="shared" si="1"/>
        <v>9.0506458999781358</v>
      </c>
    </row>
    <row r="45" spans="2:9" ht="14" customHeight="1" x14ac:dyDescent="0.3">
      <c r="B45" s="4" t="s">
        <v>160</v>
      </c>
      <c r="C45" s="30">
        <v>7</v>
      </c>
      <c r="D45" s="13">
        <f t="shared" si="1"/>
        <v>16.285665340732663</v>
      </c>
      <c r="E45" s="13">
        <f t="shared" si="1"/>
        <v>13.249164805817802</v>
      </c>
      <c r="F45" s="13">
        <f t="shared" si="1"/>
        <v>11.088859865459522</v>
      </c>
      <c r="G45" s="13">
        <f t="shared" si="1"/>
        <v>9.4771598281961555</v>
      </c>
      <c r="H45" s="13">
        <f t="shared" si="1"/>
        <v>8.2314448350298157</v>
      </c>
    </row>
    <row r="46" spans="2:9" ht="14" customHeight="1" x14ac:dyDescent="0.3">
      <c r="B46" s="4" t="s">
        <v>161</v>
      </c>
      <c r="C46" s="30">
        <v>10</v>
      </c>
      <c r="D46" s="13">
        <f t="shared" si="1"/>
        <v>14.829325128269238</v>
      </c>
      <c r="E46" s="13">
        <f t="shared" si="1"/>
        <v>11.930368302704723</v>
      </c>
      <c r="F46" s="13">
        <f t="shared" si="1"/>
        <v>9.8787024795918263</v>
      </c>
      <c r="G46" s="13">
        <f t="shared" si="1"/>
        <v>8.3566134929500979</v>
      </c>
      <c r="H46" s="13">
        <f t="shared" si="1"/>
        <v>7.1870731497754594</v>
      </c>
    </row>
    <row r="47" spans="2:9" ht="14" customHeight="1" x14ac:dyDescent="0.3">
      <c r="B47" s="22" t="s">
        <v>163</v>
      </c>
      <c r="C47" s="23"/>
      <c r="D47" s="23"/>
      <c r="E47" s="23"/>
      <c r="F47" s="23"/>
      <c r="G47" s="23"/>
      <c r="H47" s="23"/>
      <c r="I47" s="23"/>
    </row>
    <row r="48" spans="2:9" ht="14" customHeight="1" x14ac:dyDescent="0.3">
      <c r="B48" s="4" t="s">
        <v>158</v>
      </c>
      <c r="C48" s="30">
        <v>3</v>
      </c>
      <c r="D48" s="5">
        <f t="shared" ref="D48:H51" si="2">IFERROR(($C$10/(1-$C$13)-$C$14*D38)/D43,"N/A")</f>
        <v>27044.914521836465</v>
      </c>
      <c r="E48" s="5">
        <f t="shared" si="2"/>
        <v>32722.265216199099</v>
      </c>
      <c r="F48" s="5">
        <f t="shared" si="2"/>
        <v>38500.712697649506</v>
      </c>
      <c r="G48" s="5">
        <f t="shared" si="2"/>
        <v>44379.191235367813</v>
      </c>
      <c r="H48" s="5">
        <f t="shared" si="2"/>
        <v>50356.639451844734</v>
      </c>
    </row>
    <row r="49" spans="2:9" ht="14" customHeight="1" x14ac:dyDescent="0.3">
      <c r="B49" s="4" t="s">
        <v>159</v>
      </c>
      <c r="C49" s="30">
        <v>5</v>
      </c>
      <c r="D49" s="5">
        <f t="shared" si="2"/>
        <v>27394.361861979298</v>
      </c>
      <c r="E49" s="5">
        <f t="shared" si="2"/>
        <v>33472.067906196091</v>
      </c>
      <c r="F49" s="5">
        <f t="shared" si="2"/>
        <v>39761.708858541293</v>
      </c>
      <c r="G49" s="5">
        <f t="shared" si="2"/>
        <v>46262.540817807327</v>
      </c>
      <c r="H49" s="5">
        <f t="shared" si="2"/>
        <v>52973.727454130174</v>
      </c>
    </row>
    <row r="50" spans="2:9" ht="14" customHeight="1" x14ac:dyDescent="0.3">
      <c r="B50" s="4" t="s">
        <v>160</v>
      </c>
      <c r="C50" s="30">
        <v>7</v>
      </c>
      <c r="D50" s="5">
        <f t="shared" si="2"/>
        <v>27742.834058451586</v>
      </c>
      <c r="E50" s="5">
        <f t="shared" si="2"/>
        <v>34238.640478598783</v>
      </c>
      <c r="F50" s="5">
        <f t="shared" si="2"/>
        <v>41066.775365800568</v>
      </c>
      <c r="G50" s="5">
        <f t="shared" si="2"/>
        <v>48228.091851882979</v>
      </c>
      <c r="H50" s="5">
        <f t="shared" si="2"/>
        <v>55723.126130135613</v>
      </c>
    </row>
    <row r="51" spans="2:9" ht="14" customHeight="1" x14ac:dyDescent="0.3">
      <c r="B51" s="4" t="s">
        <v>161</v>
      </c>
      <c r="C51" s="30">
        <v>10</v>
      </c>
      <c r="D51" s="5">
        <f t="shared" si="2"/>
        <v>28262.879698613338</v>
      </c>
      <c r="E51" s="5">
        <f t="shared" si="2"/>
        <v>35418.517232435654</v>
      </c>
      <c r="F51" s="5">
        <f t="shared" si="2"/>
        <v>43104.347795260655</v>
      </c>
      <c r="G51" s="5">
        <f t="shared" si="2"/>
        <v>51325.646738989555</v>
      </c>
      <c r="H51" s="5">
        <f t="shared" si="2"/>
        <v>60086.717345847275</v>
      </c>
    </row>
    <row r="52" spans="2:9" ht="14" customHeight="1" x14ac:dyDescent="0.3">
      <c r="B52" s="22" t="s">
        <v>164</v>
      </c>
      <c r="C52" s="23"/>
      <c r="D52" s="23"/>
      <c r="E52" s="23"/>
      <c r="F52" s="23"/>
      <c r="G52" s="23"/>
      <c r="H52" s="23"/>
      <c r="I52" s="23"/>
    </row>
    <row r="53" spans="2:9" ht="14" customHeight="1" x14ac:dyDescent="0.3">
      <c r="B53" s="4" t="s">
        <v>158</v>
      </c>
      <c r="C53" s="30">
        <v>3</v>
      </c>
      <c r="D53" s="14">
        <f t="shared" ref="D53:H56" si="3">IFERROR(D48/$C$15,"N/A")</f>
        <v>0.88596326154217597</v>
      </c>
      <c r="E53" s="14">
        <f t="shared" si="3"/>
        <v>1.0719473634344199</v>
      </c>
      <c r="F53" s="14">
        <f t="shared" si="3"/>
        <v>1.2612432908880793</v>
      </c>
      <c r="G53" s="14">
        <f t="shared" si="3"/>
        <v>1.4538161316703078</v>
      </c>
      <c r="H53" s="14">
        <f t="shared" si="3"/>
        <v>1.6496311161581843</v>
      </c>
    </row>
    <row r="54" spans="2:9" ht="14" customHeight="1" x14ac:dyDescent="0.3">
      <c r="B54" s="4" t="s">
        <v>159</v>
      </c>
      <c r="C54" s="30">
        <v>5</v>
      </c>
      <c r="D54" s="14">
        <f t="shared" si="3"/>
        <v>0.89741079283166147</v>
      </c>
      <c r="E54" s="14">
        <f t="shared" si="3"/>
        <v>1.0965101194455904</v>
      </c>
      <c r="F54" s="14">
        <f t="shared" si="3"/>
        <v>1.3025522131475231</v>
      </c>
      <c r="G54" s="14">
        <f t="shared" si="3"/>
        <v>1.5155127045078729</v>
      </c>
      <c r="H54" s="14">
        <f t="shared" si="3"/>
        <v>1.7353641962304323</v>
      </c>
    </row>
    <row r="55" spans="2:9" ht="14" customHeight="1" x14ac:dyDescent="0.3">
      <c r="B55" s="4" t="s">
        <v>160</v>
      </c>
      <c r="C55" s="30">
        <v>7</v>
      </c>
      <c r="D55" s="14">
        <f t="shared" si="3"/>
        <v>0.9088263794290633</v>
      </c>
      <c r="E55" s="14">
        <f t="shared" si="3"/>
        <v>1.1216222393565742</v>
      </c>
      <c r="F55" s="14">
        <f t="shared" si="3"/>
        <v>1.3453048341020954</v>
      </c>
      <c r="G55" s="14">
        <f t="shared" si="3"/>
        <v>1.5799021113766289</v>
      </c>
      <c r="H55" s="14">
        <f t="shared" si="3"/>
        <v>1.8254316363144734</v>
      </c>
    </row>
    <row r="56" spans="2:9" ht="14" customHeight="1" x14ac:dyDescent="0.3">
      <c r="B56" s="4" t="s">
        <v>161</v>
      </c>
      <c r="C56" s="30">
        <v>10</v>
      </c>
      <c r="D56" s="14">
        <f t="shared" si="3"/>
        <v>0.92586253353250803</v>
      </c>
      <c r="E56" s="14">
        <f t="shared" si="3"/>
        <v>1.1602737742395222</v>
      </c>
      <c r="F56" s="14">
        <f t="shared" si="3"/>
        <v>1.4120535869508175</v>
      </c>
      <c r="G56" s="14">
        <f t="shared" si="3"/>
        <v>1.681374786706072</v>
      </c>
      <c r="H56" s="14">
        <f t="shared" si="3"/>
        <v>1.9683783445537337</v>
      </c>
    </row>
    <row r="58" spans="2:9" ht="14" customHeight="1" x14ac:dyDescent="0.3">
      <c r="B58" s="8" t="s">
        <v>165</v>
      </c>
      <c r="C58" s="9"/>
      <c r="D58" s="9"/>
      <c r="E58" s="9"/>
      <c r="F58" s="9"/>
      <c r="G58" s="9"/>
      <c r="H58" s="9"/>
      <c r="I58" s="9"/>
    </row>
    <row r="59" spans="2:9" ht="14" customHeight="1" x14ac:dyDescent="0.3">
      <c r="B59" s="1" t="s">
        <v>166</v>
      </c>
    </row>
    <row r="60" spans="2:9" ht="14" customHeight="1" x14ac:dyDescent="0.3">
      <c r="B60" s="4" t="s">
        <v>167</v>
      </c>
      <c r="C60" s="5">
        <f>F49</f>
        <v>39761.708858541293</v>
      </c>
    </row>
    <row r="62" spans="2:9" ht="14" customHeight="1" x14ac:dyDescent="0.3">
      <c r="B62" s="28" t="s">
        <v>168</v>
      </c>
      <c r="C62" s="28" t="s">
        <v>169</v>
      </c>
      <c r="D62" s="28" t="s">
        <v>170</v>
      </c>
    </row>
    <row r="63" spans="2:9" ht="14" customHeight="1" x14ac:dyDescent="0.3">
      <c r="B63" s="31">
        <v>7.7100000000000002E-2</v>
      </c>
      <c r="C63" s="5">
        <f>IFERROR($C$60/B63,"N/A")</f>
        <v>515716.06820416724</v>
      </c>
      <c r="D63" s="14">
        <f>IFERROR(C63/'DCF Model'!C17,"N/A")</f>
        <v>2.3438975943832165</v>
      </c>
    </row>
    <row r="64" spans="2:9" ht="14" customHeight="1" x14ac:dyDescent="0.3">
      <c r="B64" s="31">
        <v>0.1157</v>
      </c>
      <c r="C64" s="5">
        <f>IFERROR($C$60/B64,"N/A")</f>
        <v>343662.13360882708</v>
      </c>
      <c r="D64" s="14">
        <f>IFERROR(C64/'DCF Model'!C17,"N/A")</f>
        <v>1.5619231160496629</v>
      </c>
    </row>
    <row r="65" spans="2:9" ht="14" customHeight="1" x14ac:dyDescent="0.3">
      <c r="B65" s="4" t="s">
        <v>171</v>
      </c>
      <c r="C65" s="5">
        <f>IFERROR($C$60/$C$18,"N/A")</f>
        <v>257745.12428099249</v>
      </c>
      <c r="D65" s="14">
        <f>IFERROR(C65/'DCF Model'!C17,"N/A")</f>
        <v>1.1714356290466652</v>
      </c>
    </row>
    <row r="66" spans="2:9" ht="14" customHeight="1" x14ac:dyDescent="0.3">
      <c r="B66" s="31">
        <v>0.1928</v>
      </c>
      <c r="C66" s="5">
        <f>IFERROR($C$60/B66,"N/A")</f>
        <v>206232.92976421834</v>
      </c>
      <c r="D66" s="14">
        <f>IFERROR(C66/'DCF Model'!C17,"N/A")</f>
        <v>0.937315894849305</v>
      </c>
    </row>
    <row r="67" spans="2:9" ht="14" customHeight="1" x14ac:dyDescent="0.3">
      <c r="B67" s="31">
        <v>0.23139999999999999</v>
      </c>
      <c r="C67" s="5">
        <f>IFERROR($C$60/B67,"N/A")</f>
        <v>171831.06680441354</v>
      </c>
      <c r="D67" s="14">
        <f>IFERROR(C67/'DCF Model'!C17,"N/A")</f>
        <v>0.78096155802483147</v>
      </c>
    </row>
    <row r="69" spans="2:9" ht="14" customHeight="1" x14ac:dyDescent="0.3">
      <c r="B69" s="8" t="s">
        <v>172</v>
      </c>
      <c r="C69" s="9"/>
      <c r="D69" s="9"/>
      <c r="E69" s="9"/>
      <c r="F69" s="9"/>
      <c r="G69" s="9"/>
      <c r="H69" s="9"/>
      <c r="I69" s="9"/>
    </row>
    <row r="70" spans="2:9" ht="13.5" customHeight="1" x14ac:dyDescent="0.25">
      <c r="B70" s="6" t="s">
        <v>173</v>
      </c>
      <c r="C70" s="14">
        <f>IFERROR(C10/'Comps Analysis'!G5,"N/A")</f>
        <v>6.5368351309443469</v>
      </c>
    </row>
    <row r="71" spans="2:9" ht="13.5" customHeight="1" x14ac:dyDescent="0.25">
      <c r="B71" s="6" t="s">
        <v>174</v>
      </c>
      <c r="C71" s="14">
        <f>IFERROR(C10/'Comps Analysis'!F5,"N/A")</f>
        <v>1.8048824953528009</v>
      </c>
    </row>
    <row r="72" spans="2:9" ht="14" customHeight="1" x14ac:dyDescent="0.3">
      <c r="B72" s="4" t="s">
        <v>175</v>
      </c>
      <c r="C72" s="14">
        <f>IFERROR(C10/(C25+'DCF Model'!G42),"N/A")</f>
        <v>5.5320852812444707</v>
      </c>
    </row>
    <row r="73" spans="2:9" ht="14" customHeight="1" x14ac:dyDescent="0.3">
      <c r="B73" s="4" t="s">
        <v>176</v>
      </c>
      <c r="C73" s="14">
        <f>IFERROR(C10/(C60+'DCF Model'!G42),"N/A")</f>
        <v>5.3475644062602914</v>
      </c>
    </row>
    <row r="74" spans="2:9" ht="14" customHeight="1" x14ac:dyDescent="0.3">
      <c r="B74" s="4" t="s">
        <v>177</v>
      </c>
      <c r="C74" s="14" t="str">
        <f>IFERROR('Comps Analysis'!D16,"N/A")</f>
        <v>N/A</v>
      </c>
    </row>
    <row r="75" spans="2:9" ht="14" customHeight="1" x14ac:dyDescent="0.3">
      <c r="B75" s="1" t="s">
        <v>178</v>
      </c>
    </row>
    <row r="77" spans="2:9" ht="14" customHeight="1" x14ac:dyDescent="0.3">
      <c r="B77" s="22" t="s">
        <v>179</v>
      </c>
      <c r="C77" s="23"/>
      <c r="D77" s="23"/>
      <c r="E77" s="23"/>
      <c r="F77" s="23"/>
      <c r="G77" s="23"/>
      <c r="H77" s="23"/>
      <c r="I77" s="23"/>
    </row>
    <row r="78" spans="2:9" ht="14" customHeight="1" x14ac:dyDescent="0.3">
      <c r="B78" s="4" t="str">
        <f>"At "&amp;TEXT(C6,"#,##0")&amp;" yen the market is paying for a steady-state operating profit of "&amp;TEXT(F49,"#,##0")&amp;" mn JPY - "&amp;TEXT(F54,"0.00")&amp;"x the FY2024/3 cycle peak of "&amp;TEXT(C15,"#,##0")&amp;" mn - reached in 5 years and sustained for ever, against "&amp;TEXT(C14,"#,##0")&amp;" mn actually earned in FY2026/3."</f>
        <v>At 340 yen the market is paying for a steady-state operating profit of 39,762 mn JPY - 1.30x the FY2024/3 cycle peak of 30,526 mn - reached in 5 years and sustained for ever, against 30,165 mn actually earned in FY2026/3.</v>
      </c>
    </row>
    <row r="79" spans="2:9" ht="14" customHeight="1" x14ac:dyDescent="0.3">
      <c r="B79" s="4" t="str">
        <f>"Even with no ramp at all (Block A) the price needs "&amp;TEXT(C25,"#,##0")&amp;" mn, or "&amp;TEXT(C26,"0.00")&amp;"x the peak. The base case supports an EV of only "&amp;TEXT(C17,"#,##0")&amp;" mn, leaving "&amp;TEXT(C20,"#,##0")&amp;" yen per share of the current price unexplained by mid-cycle economics."</f>
        <v>Even with no ramp at all (Block A) the price needs 37,285 mn, or 1.22x the peak. The base case supports an EV of only 381,470 mn, leaving 13 yen per share of the current price unexplained by mid-cycle economics.</v>
      </c>
    </row>
  </sheetData>
  <phoneticPr fontId="8"/>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C6600"/>
  </sheetPr>
  <dimension ref="B2:H29"/>
  <sheetViews>
    <sheetView workbookViewId="0"/>
  </sheetViews>
  <sheetFormatPr defaultRowHeight="13" x14ac:dyDescent="0.2"/>
  <cols>
    <col min="1" max="1" width="3" customWidth="1"/>
    <col min="2" max="2" width="28" customWidth="1"/>
    <col min="3" max="8" width="16" customWidth="1"/>
  </cols>
  <sheetData>
    <row r="2" spans="2:8" ht="18" customHeight="1" x14ac:dyDescent="0.4">
      <c r="B2" s="2" t="s">
        <v>180</v>
      </c>
    </row>
    <row r="4" spans="2:8" ht="14" customHeight="1" x14ac:dyDescent="0.3">
      <c r="B4" s="8" t="s">
        <v>181</v>
      </c>
      <c r="C4" s="32" t="s">
        <v>182</v>
      </c>
      <c r="D4" s="32" t="s">
        <v>89</v>
      </c>
      <c r="E4" s="32" t="s">
        <v>90</v>
      </c>
      <c r="F4" s="32" t="s">
        <v>91</v>
      </c>
      <c r="G4" s="32" t="s">
        <v>92</v>
      </c>
      <c r="H4" s="32" t="s">
        <v>93</v>
      </c>
    </row>
    <row r="5" spans="2:8" ht="14" customHeight="1" x14ac:dyDescent="0.3">
      <c r="B5" s="33" t="s">
        <v>183</v>
      </c>
      <c r="C5" s="34">
        <f>C18/C9</f>
        <v>0</v>
      </c>
      <c r="D5" s="34">
        <f>CHOOSE('DCF Model'!$D$27,D25,D26,D27,D28,D29)</f>
        <v>0</v>
      </c>
      <c r="E5" s="34">
        <f>CHOOSE('DCF Model'!$D$27,E25,E26,E27,E28,E29)</f>
        <v>0</v>
      </c>
      <c r="F5" s="34">
        <f>CHOOSE('DCF Model'!$D$27,F25,F26,F27,F28,F29)</f>
        <v>0</v>
      </c>
      <c r="G5" s="34">
        <f>CHOOSE('DCF Model'!$D$27,G25,G26,G27,G28,G29)</f>
        <v>0</v>
      </c>
      <c r="H5" s="34">
        <f>CHOOSE('DCF Model'!$D$27,H25,H26,H27,H28,H29)</f>
        <v>0</v>
      </c>
    </row>
    <row r="6" spans="2:8" ht="14" customHeight="1" x14ac:dyDescent="0.3">
      <c r="B6" s="35" t="s">
        <v>184</v>
      </c>
      <c r="C6" s="35" t="s">
        <v>184</v>
      </c>
      <c r="D6" s="35" t="s">
        <v>184</v>
      </c>
      <c r="E6" s="35" t="s">
        <v>184</v>
      </c>
      <c r="F6" s="35" t="s">
        <v>184</v>
      </c>
      <c r="G6" s="35" t="s">
        <v>184</v>
      </c>
      <c r="H6" s="35" t="s">
        <v>184</v>
      </c>
    </row>
    <row r="7" spans="2:8" ht="14" customHeight="1" x14ac:dyDescent="0.3">
      <c r="B7" s="35" t="s">
        <v>184</v>
      </c>
      <c r="C7" s="35" t="s">
        <v>184</v>
      </c>
      <c r="D7" s="35" t="s">
        <v>184</v>
      </c>
      <c r="E7" s="35" t="s">
        <v>184</v>
      </c>
      <c r="F7" s="35" t="s">
        <v>184</v>
      </c>
      <c r="G7" s="35" t="s">
        <v>184</v>
      </c>
      <c r="H7" s="35" t="s">
        <v>184</v>
      </c>
    </row>
    <row r="8" spans="2:8" ht="14" customHeight="1" x14ac:dyDescent="0.3">
      <c r="B8" s="8" t="s">
        <v>185</v>
      </c>
      <c r="C8" s="9"/>
      <c r="D8" s="9"/>
      <c r="E8" s="9"/>
      <c r="F8" s="9"/>
      <c r="G8" s="9"/>
      <c r="H8" s="9"/>
    </row>
    <row r="9" spans="2:8" ht="14" customHeight="1" x14ac:dyDescent="0.3">
      <c r="B9" s="33" t="s">
        <v>39</v>
      </c>
      <c r="C9" s="36">
        <v>220025</v>
      </c>
      <c r="D9" s="36">
        <f>'DCF Model'!C33</f>
        <v>231026.25</v>
      </c>
      <c r="E9" s="36">
        <f>'DCF Model'!D33</f>
        <v>239112.16874999998</v>
      </c>
      <c r="F9" s="36">
        <f>'DCF Model'!E33</f>
        <v>246285.53381249998</v>
      </c>
      <c r="G9" s="36">
        <f>'DCF Model'!F33</f>
        <v>252442.67215781246</v>
      </c>
      <c r="H9" s="36">
        <f>'DCF Model'!G33</f>
        <v>257491.52560096871</v>
      </c>
    </row>
    <row r="10" spans="2:8" ht="14" customHeight="1" x14ac:dyDescent="0.3">
      <c r="B10" s="35" t="s">
        <v>184</v>
      </c>
      <c r="C10" s="35" t="s">
        <v>184</v>
      </c>
      <c r="D10" s="35" t="s">
        <v>184</v>
      </c>
      <c r="E10" s="35" t="s">
        <v>184</v>
      </c>
      <c r="F10" s="35" t="s">
        <v>184</v>
      </c>
      <c r="G10" s="35" t="s">
        <v>184</v>
      </c>
      <c r="H10" s="35" t="s">
        <v>184</v>
      </c>
    </row>
    <row r="11" spans="2:8" ht="14" customHeight="1" x14ac:dyDescent="0.3">
      <c r="B11" s="8" t="s">
        <v>186</v>
      </c>
      <c r="C11" s="9"/>
      <c r="D11" s="9"/>
      <c r="E11" s="9"/>
      <c r="F11" s="9"/>
      <c r="G11" s="9"/>
      <c r="H11" s="9"/>
    </row>
    <row r="12" spans="2:8" ht="14" customHeight="1" x14ac:dyDescent="0.3">
      <c r="B12" s="35" t="s">
        <v>184</v>
      </c>
      <c r="C12" s="35" t="s">
        <v>184</v>
      </c>
      <c r="D12" s="35" t="s">
        <v>184</v>
      </c>
      <c r="E12" s="35" t="s">
        <v>184</v>
      </c>
      <c r="F12" s="35" t="s">
        <v>184</v>
      </c>
      <c r="G12" s="35" t="s">
        <v>184</v>
      </c>
      <c r="H12" s="35" t="s">
        <v>184</v>
      </c>
    </row>
    <row r="13" spans="2:8" ht="14" customHeight="1" x14ac:dyDescent="0.3">
      <c r="B13" s="35" t="s">
        <v>184</v>
      </c>
      <c r="C13" s="35" t="s">
        <v>184</v>
      </c>
      <c r="D13" s="35" t="s">
        <v>184</v>
      </c>
      <c r="E13" s="35" t="s">
        <v>184</v>
      </c>
      <c r="F13" s="35" t="s">
        <v>184</v>
      </c>
      <c r="G13" s="35" t="s">
        <v>184</v>
      </c>
      <c r="H13" s="35" t="s">
        <v>184</v>
      </c>
    </row>
    <row r="14" spans="2:8" ht="14" customHeight="1" x14ac:dyDescent="0.3">
      <c r="B14" s="35" t="s">
        <v>184</v>
      </c>
      <c r="C14" s="35" t="s">
        <v>184</v>
      </c>
      <c r="D14" s="35" t="s">
        <v>184</v>
      </c>
      <c r="E14" s="35" t="s">
        <v>184</v>
      </c>
      <c r="F14" s="35" t="s">
        <v>184</v>
      </c>
      <c r="G14" s="35" t="s">
        <v>184</v>
      </c>
      <c r="H14" s="35" t="s">
        <v>184</v>
      </c>
    </row>
    <row r="15" spans="2:8" ht="14" customHeight="1" x14ac:dyDescent="0.3">
      <c r="B15" s="35" t="s">
        <v>184</v>
      </c>
      <c r="C15" s="35" t="s">
        <v>184</v>
      </c>
      <c r="D15" s="35" t="s">
        <v>184</v>
      </c>
      <c r="E15" s="35" t="s">
        <v>184</v>
      </c>
      <c r="F15" s="35" t="s">
        <v>184</v>
      </c>
      <c r="G15" s="35" t="s">
        <v>184</v>
      </c>
      <c r="H15" s="35" t="s">
        <v>184</v>
      </c>
    </row>
    <row r="16" spans="2:8" ht="14" customHeight="1" x14ac:dyDescent="0.3">
      <c r="B16" s="35" t="s">
        <v>184</v>
      </c>
      <c r="C16" s="35" t="s">
        <v>184</v>
      </c>
      <c r="D16" s="35" t="s">
        <v>184</v>
      </c>
      <c r="E16" s="35" t="s">
        <v>184</v>
      </c>
      <c r="F16" s="35" t="s">
        <v>184</v>
      </c>
      <c r="G16" s="35" t="s">
        <v>184</v>
      </c>
      <c r="H16" s="35" t="s">
        <v>184</v>
      </c>
    </row>
    <row r="17" spans="2:8" ht="14" customHeight="1" x14ac:dyDescent="0.3">
      <c r="B17" s="22" t="s">
        <v>187</v>
      </c>
      <c r="C17" s="23"/>
      <c r="D17" s="23"/>
      <c r="E17" s="23"/>
      <c r="F17" s="23"/>
      <c r="G17" s="23"/>
      <c r="H17" s="23"/>
    </row>
    <row r="18" spans="2:8" ht="14" customHeight="1" x14ac:dyDescent="0.3">
      <c r="B18" s="33" t="s">
        <v>188</v>
      </c>
      <c r="C18" s="20">
        <v>0</v>
      </c>
      <c r="D18" s="20">
        <f>D9*D5</f>
        <v>0</v>
      </c>
      <c r="E18" s="20">
        <f>E9*E5</f>
        <v>0</v>
      </c>
      <c r="F18" s="20">
        <f>F9*F5</f>
        <v>0</v>
      </c>
      <c r="G18" s="20">
        <f>G9*G5</f>
        <v>0</v>
      </c>
      <c r="H18" s="20">
        <f>H9*H5</f>
        <v>0</v>
      </c>
    </row>
    <row r="19" spans="2:8" ht="14" customHeight="1" x14ac:dyDescent="0.3">
      <c r="B19" s="33" t="s">
        <v>103</v>
      </c>
      <c r="C19" s="37" t="s">
        <v>49</v>
      </c>
      <c r="D19" s="24">
        <f>D18-C18</f>
        <v>0</v>
      </c>
      <c r="E19" s="24">
        <f>E18-D18</f>
        <v>0</v>
      </c>
      <c r="F19" s="24">
        <f>F18-E18</f>
        <v>0</v>
      </c>
      <c r="G19" s="24">
        <f>G18-F18</f>
        <v>0</v>
      </c>
      <c r="H19" s="24">
        <f>H18-G18</f>
        <v>0</v>
      </c>
    </row>
    <row r="22" spans="2:8" ht="14" customHeight="1" x14ac:dyDescent="0.3">
      <c r="B22" s="22" t="s">
        <v>189</v>
      </c>
      <c r="C22" s="23"/>
      <c r="D22" s="23"/>
      <c r="E22" s="23"/>
      <c r="F22" s="23"/>
      <c r="G22" s="23"/>
      <c r="H22" s="23"/>
    </row>
    <row r="23" spans="2:8" ht="14" customHeight="1" x14ac:dyDescent="0.3">
      <c r="D23" s="25" t="s">
        <v>89</v>
      </c>
      <c r="E23" s="25" t="s">
        <v>90</v>
      </c>
      <c r="F23" s="25" t="s">
        <v>91</v>
      </c>
      <c r="G23" s="25" t="s">
        <v>92</v>
      </c>
      <c r="H23" s="25" t="s">
        <v>93</v>
      </c>
    </row>
    <row r="24" spans="2:8" ht="14" customHeight="1" x14ac:dyDescent="0.3">
      <c r="B24" s="3" t="s">
        <v>183</v>
      </c>
    </row>
    <row r="25" spans="2:8" ht="14" customHeight="1" x14ac:dyDescent="0.3">
      <c r="B25" s="4" t="s">
        <v>87</v>
      </c>
      <c r="D25" s="26">
        <v>0</v>
      </c>
      <c r="E25" s="26">
        <v>0</v>
      </c>
      <c r="F25" s="26">
        <v>0</v>
      </c>
      <c r="G25" s="26">
        <v>0</v>
      </c>
      <c r="H25" s="26">
        <v>0</v>
      </c>
    </row>
    <row r="26" spans="2:8" ht="14" customHeight="1" x14ac:dyDescent="0.3">
      <c r="B26" s="4" t="s">
        <v>124</v>
      </c>
      <c r="D26" s="26">
        <v>0</v>
      </c>
      <c r="E26" s="26">
        <v>0</v>
      </c>
      <c r="F26" s="26">
        <v>0</v>
      </c>
      <c r="G26" s="26">
        <v>0</v>
      </c>
      <c r="H26" s="26">
        <v>0</v>
      </c>
    </row>
    <row r="27" spans="2:8" ht="14" customHeight="1" x14ac:dyDescent="0.3">
      <c r="B27" s="4" t="s">
        <v>125</v>
      </c>
      <c r="D27" s="26">
        <v>0</v>
      </c>
      <c r="E27" s="26">
        <v>0</v>
      </c>
      <c r="F27" s="26">
        <v>0</v>
      </c>
      <c r="G27" s="26">
        <v>0</v>
      </c>
      <c r="H27" s="26">
        <v>0</v>
      </c>
    </row>
    <row r="28" spans="2:8" ht="14" customHeight="1" x14ac:dyDescent="0.3">
      <c r="B28" s="4" t="s">
        <v>126</v>
      </c>
      <c r="D28" s="26">
        <v>0</v>
      </c>
      <c r="E28" s="26">
        <v>0</v>
      </c>
      <c r="F28" s="26">
        <v>0</v>
      </c>
      <c r="G28" s="26">
        <v>0</v>
      </c>
      <c r="H28" s="26">
        <v>0</v>
      </c>
    </row>
    <row r="29" spans="2:8" ht="14" customHeight="1" x14ac:dyDescent="0.3">
      <c r="B29" s="4" t="s">
        <v>127</v>
      </c>
      <c r="D29" s="26">
        <v>0</v>
      </c>
      <c r="E29" s="26">
        <v>0</v>
      </c>
      <c r="F29" s="26">
        <v>0</v>
      </c>
      <c r="G29" s="26">
        <v>0</v>
      </c>
      <c r="H29" s="26">
        <v>0</v>
      </c>
    </row>
  </sheetData>
  <phoneticPr fontId="8"/>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6600"/>
  </sheetPr>
  <dimension ref="B2:Q28"/>
  <sheetViews>
    <sheetView workbookViewId="0"/>
  </sheetViews>
  <sheetFormatPr defaultRowHeight="13" x14ac:dyDescent="0.2"/>
  <cols>
    <col min="1" max="1" width="3" customWidth="1"/>
    <col min="2" max="2" width="16" customWidth="1"/>
    <col min="3" max="3" width="10" customWidth="1"/>
    <col min="4" max="16" width="12" customWidth="1"/>
    <col min="17" max="17" width="26" customWidth="1"/>
  </cols>
  <sheetData>
    <row r="2" spans="2:17" ht="18" customHeight="1" x14ac:dyDescent="0.4">
      <c r="B2" s="2" t="s">
        <v>190</v>
      </c>
    </row>
    <row r="3" spans="2:17" ht="14" customHeight="1" x14ac:dyDescent="0.3">
      <c r="B3" s="1" t="s">
        <v>191</v>
      </c>
    </row>
    <row r="4" spans="2:17" ht="28" customHeight="1" x14ac:dyDescent="0.3">
      <c r="B4" s="10" t="s">
        <v>3</v>
      </c>
      <c r="C4" s="10" t="s">
        <v>5</v>
      </c>
      <c r="D4" s="10" t="s">
        <v>192</v>
      </c>
      <c r="E4" s="10" t="s">
        <v>193</v>
      </c>
      <c r="F4" s="10" t="s">
        <v>194</v>
      </c>
      <c r="G4" s="10" t="s">
        <v>195</v>
      </c>
      <c r="H4" s="10" t="s">
        <v>196</v>
      </c>
      <c r="I4" s="10" t="s">
        <v>197</v>
      </c>
      <c r="J4" s="10" t="s">
        <v>198</v>
      </c>
      <c r="K4" s="10" t="s">
        <v>199</v>
      </c>
      <c r="L4" s="10" t="s">
        <v>200</v>
      </c>
      <c r="M4" s="10" t="s">
        <v>201</v>
      </c>
      <c r="N4" s="10" t="s">
        <v>202</v>
      </c>
      <c r="O4" s="10" t="s">
        <v>203</v>
      </c>
      <c r="P4" s="10" t="s">
        <v>204</v>
      </c>
      <c r="Q4" s="10" t="s">
        <v>205</v>
      </c>
    </row>
    <row r="5" spans="2:17" ht="14" customHeight="1" x14ac:dyDescent="0.3">
      <c r="B5" s="4" t="s">
        <v>206</v>
      </c>
      <c r="C5" t="s">
        <v>207</v>
      </c>
      <c r="D5" s="38">
        <f>'Executive Summary'!C9*C23/1000000</f>
        <v>397119.27104000002</v>
      </c>
      <c r="E5" s="38">
        <f>D5+C24</f>
        <v>397119.27104000002</v>
      </c>
      <c r="F5" s="38">
        <v>220025</v>
      </c>
      <c r="G5" s="38">
        <v>60751</v>
      </c>
      <c r="H5" s="38">
        <v>30165</v>
      </c>
      <c r="I5" s="38">
        <v>13476</v>
      </c>
      <c r="J5" s="39" t="s">
        <v>22</v>
      </c>
      <c r="K5" s="39" t="s">
        <v>22</v>
      </c>
      <c r="L5" s="39">
        <f>IFERROR(D5/I5,"")</f>
        <v>29.468630976550905</v>
      </c>
      <c r="M5" s="39">
        <f>IFERROR(D5/P5,"")</f>
        <v>1.4158004037206187</v>
      </c>
      <c r="N5" s="40">
        <f>IFERROR(H5/F5,"")</f>
        <v>0.13709805703897285</v>
      </c>
      <c r="O5" s="40">
        <f>IFERROR(I5/P5,"")</f>
        <v>4.8044322277720139E-2</v>
      </c>
      <c r="P5" s="38">
        <v>280491</v>
      </c>
    </row>
    <row r="6" spans="2:17" ht="14" customHeight="1" x14ac:dyDescent="0.3">
      <c r="B6" s="4" t="s">
        <v>208</v>
      </c>
      <c r="C6" t="s">
        <v>209</v>
      </c>
      <c r="D6" s="38">
        <v>950497</v>
      </c>
      <c r="E6" s="38">
        <v>950497</v>
      </c>
      <c r="F6" s="38">
        <v>255579</v>
      </c>
      <c r="G6" s="41"/>
      <c r="H6" s="38">
        <v>103091</v>
      </c>
      <c r="I6" s="38">
        <v>73072</v>
      </c>
      <c r="J6" s="42"/>
      <c r="K6" s="39"/>
      <c r="L6" s="39">
        <f>IFERROR(D6/I6,"")</f>
        <v>13.007677359316839</v>
      </c>
      <c r="M6" s="39">
        <f>IFERROR(D6/P6,"")</f>
        <v>2.4483652184216558</v>
      </c>
      <c r="N6" s="40">
        <f>IFERROR(H6/F6,"")</f>
        <v>0.40336256108678725</v>
      </c>
      <c r="O6" s="40">
        <f>IFERROR(I6/P6,"")</f>
        <v>0.18822462694833045</v>
      </c>
      <c r="P6" s="38">
        <v>388217</v>
      </c>
      <c r="Q6" s="1" t="s">
        <v>210</v>
      </c>
    </row>
    <row r="7" spans="2:17" ht="14" customHeight="1" x14ac:dyDescent="0.3">
      <c r="B7" s="4" t="s">
        <v>211</v>
      </c>
      <c r="C7" t="s">
        <v>212</v>
      </c>
      <c r="D7" s="38">
        <v>11500000</v>
      </c>
      <c r="E7" s="38">
        <v>11500000</v>
      </c>
      <c r="F7" s="38">
        <v>2852200</v>
      </c>
      <c r="G7" s="41"/>
      <c r="H7" s="38">
        <v>759100</v>
      </c>
      <c r="I7" s="38">
        <v>525500</v>
      </c>
      <c r="J7" s="42"/>
      <c r="K7" s="39"/>
      <c r="L7" s="39">
        <f>IFERROR(D7/I7,"")</f>
        <v>21.883920076117985</v>
      </c>
      <c r="M7" s="39">
        <f>IFERROR(D7/P7,"")</f>
        <v>1.2419006479481642</v>
      </c>
      <c r="N7" s="40">
        <f>IFERROR(H7/F7,"")</f>
        <v>0.26614543159666221</v>
      </c>
      <c r="O7" s="40">
        <f>IFERROR(I7/P7,"")</f>
        <v>5.6749460043196545E-2</v>
      </c>
      <c r="P7" s="38">
        <v>9260000</v>
      </c>
      <c r="Q7" s="1" t="s">
        <v>210</v>
      </c>
    </row>
    <row r="8" spans="2:17" ht="14" customHeight="1" x14ac:dyDescent="0.3">
      <c r="B8" s="4" t="s">
        <v>213</v>
      </c>
      <c r="C8" t="s">
        <v>214</v>
      </c>
      <c r="D8" s="38">
        <v>340000</v>
      </c>
      <c r="E8" s="38">
        <v>340000</v>
      </c>
      <c r="F8" s="38">
        <v>569370</v>
      </c>
      <c r="G8" s="41"/>
      <c r="H8" s="38">
        <v>60693</v>
      </c>
      <c r="I8" s="38">
        <v>21092</v>
      </c>
      <c r="J8" s="42"/>
      <c r="K8" s="39"/>
      <c r="L8" s="39">
        <f>IFERROR(D8/I8,"")</f>
        <v>16.119855869523992</v>
      </c>
      <c r="M8" s="39">
        <f>IFERROR(D8/P8,"")</f>
        <v>0.73289129928693986</v>
      </c>
      <c r="N8" s="40">
        <f>IFERROR(H8/F8,"")</f>
        <v>0.10659676484535539</v>
      </c>
      <c r="O8" s="40">
        <f>IFERROR(I8/P8,"")</f>
        <v>4.5465127307529808E-2</v>
      </c>
      <c r="P8" s="38">
        <v>463916</v>
      </c>
      <c r="Q8" s="1" t="s">
        <v>210</v>
      </c>
    </row>
    <row r="14" spans="2:17" ht="14" customHeight="1" x14ac:dyDescent="0.3">
      <c r="B14" s="3" t="s">
        <v>215</v>
      </c>
    </row>
    <row r="15" spans="2:17" ht="14" customHeight="1" x14ac:dyDescent="0.3">
      <c r="B15" s="4" t="s">
        <v>216</v>
      </c>
      <c r="D15" s="42" t="s">
        <v>22</v>
      </c>
      <c r="E15" s="39" t="s">
        <v>22</v>
      </c>
      <c r="F15" s="39">
        <f>PERCENTILE(L6:L8,0.25)</f>
        <v>14.563766614420416</v>
      </c>
      <c r="G15" s="39">
        <f>PERCENTILE(M6:M8,0.25)</f>
        <v>0.98739597361755205</v>
      </c>
      <c r="H15" s="40">
        <f>PERCENTILE(N6:N8,0.25)</f>
        <v>0.18637109822100878</v>
      </c>
      <c r="I15" s="40">
        <f>PERCENTILE(O6:O8,0.25)</f>
        <v>5.110729367536318E-2</v>
      </c>
    </row>
    <row r="16" spans="2:17" ht="14" customHeight="1" x14ac:dyDescent="0.3">
      <c r="B16" s="4" t="s">
        <v>217</v>
      </c>
      <c r="D16" s="42" t="s">
        <v>22</v>
      </c>
      <c r="E16" s="39" t="s">
        <v>22</v>
      </c>
      <c r="F16" s="39">
        <f>MEDIAN(L6:L8)</f>
        <v>16.119855869523992</v>
      </c>
      <c r="G16" s="39">
        <f>MEDIAN(M6:M8)</f>
        <v>1.2419006479481642</v>
      </c>
      <c r="H16" s="40">
        <f>MEDIAN(N6:N8)</f>
        <v>0.26614543159666221</v>
      </c>
      <c r="I16" s="40">
        <f>MEDIAN(O6:O8)</f>
        <v>5.6749460043196545E-2</v>
      </c>
    </row>
    <row r="17" spans="2:9" ht="14" customHeight="1" x14ac:dyDescent="0.3">
      <c r="B17" s="4" t="s">
        <v>218</v>
      </c>
      <c r="D17" s="42" t="s">
        <v>22</v>
      </c>
      <c r="E17" s="39" t="s">
        <v>22</v>
      </c>
      <c r="F17" s="39">
        <f>PERCENTILE(L6:L8,0.75)</f>
        <v>19.001887972820988</v>
      </c>
      <c r="G17" s="39">
        <f>PERCENTILE(M6:M8,0.75)</f>
        <v>1.84513293318491</v>
      </c>
      <c r="H17" s="40">
        <f>PERCENTILE(N6:N8,0.75)</f>
        <v>0.33475399634172476</v>
      </c>
      <c r="I17" s="40">
        <f>PERCENTILE(O6:O8,0.75)</f>
        <v>0.12248704349576349</v>
      </c>
    </row>
    <row r="19" spans="2:9" ht="14" customHeight="1" x14ac:dyDescent="0.3">
      <c r="B19" s="22" t="s">
        <v>219</v>
      </c>
      <c r="C19" s="23"/>
      <c r="D19" s="23"/>
      <c r="E19" s="23"/>
      <c r="F19" s="23"/>
      <c r="G19" s="23"/>
      <c r="H19" s="23"/>
      <c r="I19" s="23"/>
    </row>
    <row r="20" spans="2:9" ht="14" customHeight="1" x14ac:dyDescent="0.3">
      <c r="B20" s="3" t="s">
        <v>220</v>
      </c>
    </row>
    <row r="21" spans="2:9" ht="14" customHeight="1" x14ac:dyDescent="0.3">
      <c r="B21" s="4" t="s">
        <v>221</v>
      </c>
      <c r="C21" s="5">
        <v>60751</v>
      </c>
    </row>
    <row r="22" spans="2:9" ht="14" customHeight="1" x14ac:dyDescent="0.3">
      <c r="B22" s="4" t="s">
        <v>222</v>
      </c>
      <c r="C22" s="5">
        <v>13476</v>
      </c>
    </row>
    <row r="23" spans="2:9" ht="14" customHeight="1" x14ac:dyDescent="0.3">
      <c r="B23" s="4" t="s">
        <v>223</v>
      </c>
      <c r="C23" s="15">
        <v>1167997856</v>
      </c>
    </row>
    <row r="24" spans="2:9" ht="14" customHeight="1" x14ac:dyDescent="0.3">
      <c r="B24" s="4" t="s">
        <v>76</v>
      </c>
      <c r="C24" s="5">
        <v>0</v>
      </c>
    </row>
    <row r="26" spans="2:9" ht="14" customHeight="1" x14ac:dyDescent="0.3">
      <c r="B26" s="3" t="s">
        <v>224</v>
      </c>
    </row>
    <row r="27" spans="2:9" ht="14" customHeight="1" x14ac:dyDescent="0.3">
      <c r="B27" s="4" t="s">
        <v>225</v>
      </c>
      <c r="C27" s="43" t="s">
        <v>226</v>
      </c>
      <c r="D27" s="1" t="s">
        <v>227</v>
      </c>
    </row>
    <row r="28" spans="2:9" ht="14" customHeight="1" x14ac:dyDescent="0.3">
      <c r="B28" s="4" t="s">
        <v>228</v>
      </c>
      <c r="C28" s="24">
        <f>ROUND(C22*F16*1000000/C23,0)</f>
        <v>186</v>
      </c>
    </row>
  </sheetData>
  <phoneticPr fontId="8"/>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96600"/>
  </sheetPr>
  <dimension ref="B2:I26"/>
  <sheetViews>
    <sheetView workbookViewId="0"/>
  </sheetViews>
  <sheetFormatPr defaultRowHeight="13" x14ac:dyDescent="0.2"/>
  <cols>
    <col min="1" max="1" width="3" customWidth="1"/>
    <col min="2" max="2" width="24" customWidth="1"/>
    <col min="3" max="9" width="14" customWidth="1"/>
  </cols>
  <sheetData>
    <row r="2" spans="2:9" ht="18" customHeight="1" x14ac:dyDescent="0.4">
      <c r="B2" s="2" t="s">
        <v>229</v>
      </c>
    </row>
    <row r="3" spans="2:9" ht="14" customHeight="1" x14ac:dyDescent="0.3">
      <c r="B3" s="4" t="s">
        <v>230</v>
      </c>
      <c r="C3" s="16">
        <f>'DCF Model'!C26</f>
        <v>8.0415999999999987E-2</v>
      </c>
      <c r="E3" s="4" t="s">
        <v>231</v>
      </c>
      <c r="F3" s="16">
        <f>'DCF Model'!C13</f>
        <v>0.01</v>
      </c>
      <c r="H3" s="4" t="s">
        <v>232</v>
      </c>
      <c r="I3" s="14">
        <f>'DCF Model'!C14</f>
        <v>7</v>
      </c>
    </row>
    <row r="5" spans="2:9" ht="14" customHeight="1" x14ac:dyDescent="0.3">
      <c r="B5" s="3" t="s">
        <v>233</v>
      </c>
    </row>
    <row r="6" spans="2:9" ht="14" customHeight="1" x14ac:dyDescent="0.3">
      <c r="B6" s="44" t="s">
        <v>234</v>
      </c>
      <c r="C6" s="45">
        <f>$F$3-0.0075</f>
        <v>2.5000000000000005E-3</v>
      </c>
      <c r="D6" s="45">
        <f>$F$3-0.005</f>
        <v>5.0000000000000001E-3</v>
      </c>
      <c r="E6" s="45">
        <f>$F$3-0.0025</f>
        <v>7.4999999999999997E-3</v>
      </c>
      <c r="F6" s="45">
        <f>$F$3</f>
        <v>0.01</v>
      </c>
      <c r="G6" s="45">
        <f>$F$3+0.0025</f>
        <v>1.2500000000000001E-2</v>
      </c>
      <c r="H6" s="45">
        <f>$F$3+0.005</f>
        <v>1.4999999999999999E-2</v>
      </c>
      <c r="I6" s="45">
        <f>$F$3+0.0075</f>
        <v>1.7500000000000002E-2</v>
      </c>
    </row>
    <row r="7" spans="2:9" ht="13.5" customHeight="1" x14ac:dyDescent="0.25">
      <c r="B7" s="40">
        <f>$C$3-0.015</f>
        <v>6.5415999999999988E-2</v>
      </c>
      <c r="C7" s="38">
        <f>IFERROR(ROUND(('DCF Model'!C45/(1+$B7)^('DCF Model'!C19+0)+'DCF Model'!D45/(1+$B7)^('DCF Model'!C19+1)+'DCF Model'!E45/(1+$B7)^('DCF Model'!C19+2)+'DCF Model'!F45/(1+$B7)^('DCF Model'!C19+3)+'DCF Model'!G45/(1+$B7)^('DCF Model'!C19+4)+'DCF Model'!G45*(1+C$6)/($B7-C$6)/(1+$B7)^('DCF Model'!C19+4)-'DCF Model'!C16)*1000000/'DCF Model'!C15,0),"")</f>
        <v>377</v>
      </c>
      <c r="D7" s="38">
        <f>IFERROR(ROUND(('DCF Model'!C45/(1+$B7)^('DCF Model'!C19+0)+'DCF Model'!D45/(1+$B7)^('DCF Model'!C19+1)+'DCF Model'!E45/(1+$B7)^('DCF Model'!C19+2)+'DCF Model'!F45/(1+$B7)^('DCF Model'!C19+3)+'DCF Model'!G45/(1+$B7)^('DCF Model'!C19+4)+'DCF Model'!G45*(1+D$6)/($B7-D$6)/(1+$B7)^('DCF Model'!C19+4)-'DCF Model'!C16)*1000000/'DCF Model'!C15,0),"")</f>
        <v>390</v>
      </c>
      <c r="E7" s="38">
        <f>IFERROR(ROUND(('DCF Model'!C45/(1+$B7)^('DCF Model'!C19+0)+'DCF Model'!D45/(1+$B7)^('DCF Model'!C19+1)+'DCF Model'!E45/(1+$B7)^('DCF Model'!C19+2)+'DCF Model'!F45/(1+$B7)^('DCF Model'!C19+3)+'DCF Model'!G45/(1+$B7)^('DCF Model'!C19+4)+'DCF Model'!G45*(1+E$6)/($B7-E$6)/(1+$B7)^('DCF Model'!C19+4)-'DCF Model'!C16)*1000000/'DCF Model'!C15,0),"")</f>
        <v>404</v>
      </c>
      <c r="F7" s="38">
        <f>IFERROR(ROUND(('DCF Model'!C45/(1+$B7)^('DCF Model'!C19+0)+'DCF Model'!D45/(1+$B7)^('DCF Model'!C19+1)+'DCF Model'!E45/(1+$B7)^('DCF Model'!C19+2)+'DCF Model'!F45/(1+$B7)^('DCF Model'!C19+3)+'DCF Model'!G45/(1+$B7)^('DCF Model'!C19+4)+'DCF Model'!G45*(1+F$6)/($B7-F$6)/(1+$B7)^('DCF Model'!C19+4)-'DCF Model'!C16)*1000000/'DCF Model'!C15,0),"")</f>
        <v>419</v>
      </c>
      <c r="G7" s="38">
        <f>IFERROR(ROUND(('DCF Model'!C45/(1+$B7)^('DCF Model'!C19+0)+'DCF Model'!D45/(1+$B7)^('DCF Model'!C19+1)+'DCF Model'!E45/(1+$B7)^('DCF Model'!C19+2)+'DCF Model'!F45/(1+$B7)^('DCF Model'!C19+3)+'DCF Model'!G45/(1+$B7)^('DCF Model'!C19+4)+'DCF Model'!G45*(1+G$6)/($B7-G$6)/(1+$B7)^('DCF Model'!C19+4)-'DCF Model'!C16)*1000000/'DCF Model'!C15,0),"")</f>
        <v>436</v>
      </c>
      <c r="H7" s="38">
        <f>IFERROR(ROUND(('DCF Model'!C45/(1+$B7)^('DCF Model'!C19+0)+'DCF Model'!D45/(1+$B7)^('DCF Model'!C19+1)+'DCF Model'!E45/(1+$B7)^('DCF Model'!C19+2)+'DCF Model'!F45/(1+$B7)^('DCF Model'!C19+3)+'DCF Model'!G45/(1+$B7)^('DCF Model'!C19+4)+'DCF Model'!G45*(1+H$6)/($B7-H$6)/(1+$B7)^('DCF Model'!C19+4)-'DCF Model'!C16)*1000000/'DCF Model'!C15,0),"")</f>
        <v>454</v>
      </c>
      <c r="I7" s="38">
        <f>IFERROR(ROUND(('DCF Model'!C45/(1+$B7)^('DCF Model'!C19+0)+'DCF Model'!D45/(1+$B7)^('DCF Model'!C19+1)+'DCF Model'!E45/(1+$B7)^('DCF Model'!C19+2)+'DCF Model'!F45/(1+$B7)^('DCF Model'!C19+3)+'DCF Model'!G45/(1+$B7)^('DCF Model'!C19+4)+'DCF Model'!G45*(1+I$6)/($B7-I$6)/(1+$B7)^('DCF Model'!C19+4)-'DCF Model'!C16)*1000000/'DCF Model'!C15,0),"")</f>
        <v>475</v>
      </c>
    </row>
    <row r="8" spans="2:9" ht="13.5" customHeight="1" x14ac:dyDescent="0.25">
      <c r="B8" s="40">
        <f>$C$3-0.01</f>
        <v>7.0415999999999992E-2</v>
      </c>
      <c r="C8" s="38">
        <f>IFERROR(ROUND(('DCF Model'!C45/(1+$B8)^('DCF Model'!C19+0)+'DCF Model'!D45/(1+$B8)^('DCF Model'!C19+1)+'DCF Model'!E45/(1+$B8)^('DCF Model'!C19+2)+'DCF Model'!F45/(1+$B8)^('DCF Model'!C19+3)+'DCF Model'!G45/(1+$B8)^('DCF Model'!C19+4)+'DCF Model'!G45*(1+C$6)/($B8-C$6)/(1+$B8)^('DCF Model'!C19+4)-'DCF Model'!C16)*1000000/'DCF Model'!C15,0),"")</f>
        <v>348</v>
      </c>
      <c r="D8" s="38">
        <f>IFERROR(ROUND(('DCF Model'!C45/(1+$B8)^('DCF Model'!C19+0)+'DCF Model'!D45/(1+$B8)^('DCF Model'!C19+1)+'DCF Model'!E45/(1+$B8)^('DCF Model'!C19+2)+'DCF Model'!F45/(1+$B8)^('DCF Model'!C19+3)+'DCF Model'!G45/(1+$B8)^('DCF Model'!C19+4)+'DCF Model'!G45*(1+D$6)/($B8-D$6)/(1+$B8)^('DCF Model'!C19+4)-'DCF Model'!C16)*1000000/'DCF Model'!C15,0),"")</f>
        <v>359</v>
      </c>
      <c r="E8" s="38">
        <f>IFERROR(ROUND(('DCF Model'!C45/(1+$B8)^('DCF Model'!C19+0)+'DCF Model'!D45/(1+$B8)^('DCF Model'!C19+1)+'DCF Model'!E45/(1+$B8)^('DCF Model'!C19+2)+'DCF Model'!F45/(1+$B8)^('DCF Model'!C19+3)+'DCF Model'!G45/(1+$B8)^('DCF Model'!C19+4)+'DCF Model'!G45*(1+E$6)/($B8-E$6)/(1+$B8)^('DCF Model'!C19+4)-'DCF Model'!C16)*1000000/'DCF Model'!C15,0),"")</f>
        <v>371</v>
      </c>
      <c r="F8" s="38">
        <f>IFERROR(ROUND(('DCF Model'!C45/(1+$B8)^('DCF Model'!C19+0)+'DCF Model'!D45/(1+$B8)^('DCF Model'!C19+1)+'DCF Model'!E45/(1+$B8)^('DCF Model'!C19+2)+'DCF Model'!F45/(1+$B8)^('DCF Model'!C19+3)+'DCF Model'!G45/(1+$B8)^('DCF Model'!C19+4)+'DCF Model'!G45*(1+F$6)/($B8-F$6)/(1+$B8)^('DCF Model'!C19+4)-'DCF Model'!C16)*1000000/'DCF Model'!C15,0),"")</f>
        <v>383</v>
      </c>
      <c r="G8" s="38">
        <f>IFERROR(ROUND(('DCF Model'!C45/(1+$B8)^('DCF Model'!C19+0)+'DCF Model'!D45/(1+$B8)^('DCF Model'!C19+1)+'DCF Model'!E45/(1+$B8)^('DCF Model'!C19+2)+'DCF Model'!F45/(1+$B8)^('DCF Model'!C19+3)+'DCF Model'!G45/(1+$B8)^('DCF Model'!C19+4)+'DCF Model'!G45*(1+G$6)/($B8-G$6)/(1+$B8)^('DCF Model'!C19+4)-'DCF Model'!C16)*1000000/'DCF Model'!C15,0),"")</f>
        <v>397</v>
      </c>
      <c r="H8" s="38">
        <f>IFERROR(ROUND(('DCF Model'!C45/(1+$B8)^('DCF Model'!C19+0)+'DCF Model'!D45/(1+$B8)^('DCF Model'!C19+1)+'DCF Model'!E45/(1+$B8)^('DCF Model'!C19+2)+'DCF Model'!F45/(1+$B8)^('DCF Model'!C19+3)+'DCF Model'!G45/(1+$B8)^('DCF Model'!C19+4)+'DCF Model'!G45*(1+H$6)/($B8-H$6)/(1+$B8)^('DCF Model'!C19+4)-'DCF Model'!C16)*1000000/'DCF Model'!C15,0),"")</f>
        <v>412</v>
      </c>
      <c r="I8" s="38">
        <f>IFERROR(ROUND(('DCF Model'!C45/(1+$B8)^('DCF Model'!C19+0)+'DCF Model'!D45/(1+$B8)^('DCF Model'!C19+1)+'DCF Model'!E45/(1+$B8)^('DCF Model'!C19+2)+'DCF Model'!F45/(1+$B8)^('DCF Model'!C19+3)+'DCF Model'!G45/(1+$B8)^('DCF Model'!C19+4)+'DCF Model'!G45*(1+I$6)/($B8-I$6)/(1+$B8)^('DCF Model'!C19+4)-'DCF Model'!C16)*1000000/'DCF Model'!C15,0),"")</f>
        <v>428</v>
      </c>
    </row>
    <row r="9" spans="2:9" ht="13.5" customHeight="1" x14ac:dyDescent="0.25">
      <c r="B9" s="40">
        <f>$C$3-0.005</f>
        <v>7.5415999999999983E-2</v>
      </c>
      <c r="C9" s="38">
        <f>IFERROR(ROUND(('DCF Model'!C45/(1+$B9)^('DCF Model'!C19+0)+'DCF Model'!D45/(1+$B9)^('DCF Model'!C19+1)+'DCF Model'!E45/(1+$B9)^('DCF Model'!C19+2)+'DCF Model'!F45/(1+$B9)^('DCF Model'!C19+3)+'DCF Model'!G45/(1+$B9)^('DCF Model'!C19+4)+'DCF Model'!G45*(1+C$6)/($B9-C$6)/(1+$B9)^('DCF Model'!C19+4)-'DCF Model'!C16)*1000000/'DCF Model'!C15,0),"")</f>
        <v>323</v>
      </c>
      <c r="D9" s="38">
        <f>IFERROR(ROUND(('DCF Model'!C45/(1+$B9)^('DCF Model'!C19+0)+'DCF Model'!D45/(1+$B9)^('DCF Model'!C19+1)+'DCF Model'!E45/(1+$B9)^('DCF Model'!C19+2)+'DCF Model'!F45/(1+$B9)^('DCF Model'!C19+3)+'DCF Model'!G45/(1+$B9)^('DCF Model'!C19+4)+'DCF Model'!G45*(1+D$6)/($B9-D$6)/(1+$B9)^('DCF Model'!C19+4)-'DCF Model'!C16)*1000000/'DCF Model'!C15,0),"")</f>
        <v>332</v>
      </c>
      <c r="E9" s="38">
        <f>IFERROR(ROUND(('DCF Model'!C45/(1+$B9)^('DCF Model'!C19+0)+'DCF Model'!D45/(1+$B9)^('DCF Model'!C19+1)+'DCF Model'!E45/(1+$B9)^('DCF Model'!C19+2)+'DCF Model'!F45/(1+$B9)^('DCF Model'!C19+3)+'DCF Model'!G45/(1+$B9)^('DCF Model'!C19+4)+'DCF Model'!G45*(1+E$6)/($B9-E$6)/(1+$B9)^('DCF Model'!C19+4)-'DCF Model'!C16)*1000000/'DCF Model'!C15,0),"")</f>
        <v>342</v>
      </c>
      <c r="F9" s="38">
        <f>IFERROR(ROUND(('DCF Model'!C45/(1+$B9)^('DCF Model'!C19+0)+'DCF Model'!D45/(1+$B9)^('DCF Model'!C19+1)+'DCF Model'!E45/(1+$B9)^('DCF Model'!C19+2)+'DCF Model'!F45/(1+$B9)^('DCF Model'!C19+3)+'DCF Model'!G45/(1+$B9)^('DCF Model'!C19+4)+'DCF Model'!G45*(1+F$6)/($B9-F$6)/(1+$B9)^('DCF Model'!C19+4)-'DCF Model'!C16)*1000000/'DCF Model'!C15,0),"")</f>
        <v>353</v>
      </c>
      <c r="G9" s="38">
        <f>IFERROR(ROUND(('DCF Model'!C45/(1+$B9)^('DCF Model'!C19+0)+'DCF Model'!D45/(1+$B9)^('DCF Model'!C19+1)+'DCF Model'!E45/(1+$B9)^('DCF Model'!C19+2)+'DCF Model'!F45/(1+$B9)^('DCF Model'!C19+3)+'DCF Model'!G45/(1+$B9)^('DCF Model'!C19+4)+'DCF Model'!G45*(1+G$6)/($B9-G$6)/(1+$B9)^('DCF Model'!C19+4)-'DCF Model'!C16)*1000000/'DCF Model'!C15,0),"")</f>
        <v>364</v>
      </c>
      <c r="H9" s="38">
        <f>IFERROR(ROUND(('DCF Model'!C45/(1+$B9)^('DCF Model'!C19+0)+'DCF Model'!D45/(1+$B9)^('DCF Model'!C19+1)+'DCF Model'!E45/(1+$B9)^('DCF Model'!C19+2)+'DCF Model'!F45/(1+$B9)^('DCF Model'!C19+3)+'DCF Model'!G45/(1+$B9)^('DCF Model'!C19+4)+'DCF Model'!G45*(1+H$6)/($B9-H$6)/(1+$B9)^('DCF Model'!C19+4)-'DCF Model'!C16)*1000000/'DCF Model'!C15,0),"")</f>
        <v>377</v>
      </c>
      <c r="I9" s="38">
        <f>IFERROR(ROUND(('DCF Model'!C45/(1+$B9)^('DCF Model'!C19+0)+'DCF Model'!D45/(1+$B9)^('DCF Model'!C19+1)+'DCF Model'!E45/(1+$B9)^('DCF Model'!C19+2)+'DCF Model'!F45/(1+$B9)^('DCF Model'!C19+3)+'DCF Model'!G45/(1+$B9)^('DCF Model'!C19+4)+'DCF Model'!G45*(1+I$6)/($B9-I$6)/(1+$B9)^('DCF Model'!C19+4)-'DCF Model'!C16)*1000000/'DCF Model'!C15,0),"")</f>
        <v>390</v>
      </c>
    </row>
    <row r="10" spans="2:9" ht="13.5" customHeight="1" x14ac:dyDescent="0.25">
      <c r="B10" s="40">
        <f>$C$3</f>
        <v>8.0415999999999987E-2</v>
      </c>
      <c r="C10" s="38">
        <f>IFERROR(ROUND(('DCF Model'!C45/(1+$B10)^('DCF Model'!C19+0)+'DCF Model'!D45/(1+$B10)^('DCF Model'!C19+1)+'DCF Model'!E45/(1+$B10)^('DCF Model'!C19+2)+'DCF Model'!F45/(1+$B10)^('DCF Model'!C19+3)+'DCF Model'!G45/(1+$B10)^('DCF Model'!C19+4)+'DCF Model'!G45*(1+C$6)/($B10-C$6)/(1+$B10)^('DCF Model'!C19+4)-'DCF Model'!C16)*1000000/'DCF Model'!C15,0),"")</f>
        <v>301</v>
      </c>
      <c r="D10" s="38">
        <f>IFERROR(ROUND(('DCF Model'!C45/(1+$B10)^('DCF Model'!C19+0)+'DCF Model'!D45/(1+$B10)^('DCF Model'!C19+1)+'DCF Model'!E45/(1+$B10)^('DCF Model'!C19+2)+'DCF Model'!F45/(1+$B10)^('DCF Model'!C19+3)+'DCF Model'!G45/(1+$B10)^('DCF Model'!C19+4)+'DCF Model'!G45*(1+D$6)/($B10-D$6)/(1+$B10)^('DCF Model'!C19+4)-'DCF Model'!C16)*1000000/'DCF Model'!C15,0),"")</f>
        <v>309</v>
      </c>
      <c r="E10" s="38">
        <f>IFERROR(ROUND(('DCF Model'!C45/(1+$B10)^('DCF Model'!C19+0)+'DCF Model'!D45/(1+$B10)^('DCF Model'!C19+1)+'DCF Model'!E45/(1+$B10)^('DCF Model'!C19+2)+'DCF Model'!F45/(1+$B10)^('DCF Model'!C19+3)+'DCF Model'!G45/(1+$B10)^('DCF Model'!C19+4)+'DCF Model'!G45*(1+E$6)/($B10-E$6)/(1+$B10)^('DCF Model'!C19+4)-'DCF Model'!C16)*1000000/'DCF Model'!C15,0),"")</f>
        <v>318</v>
      </c>
      <c r="F10" s="38">
        <f>IFERROR(ROUND(('DCF Model'!C45/(1+$B10)^('DCF Model'!C19+0)+'DCF Model'!D45/(1+$B10)^('DCF Model'!C19+1)+'DCF Model'!E45/(1+$B10)^('DCF Model'!C19+2)+'DCF Model'!F45/(1+$B10)^('DCF Model'!C19+3)+'DCF Model'!G45/(1+$B10)^('DCF Model'!C19+4)+'DCF Model'!G45*(1+F$6)/($B10-F$6)/(1+$B10)^('DCF Model'!C19+4)-'DCF Model'!C16)*1000000/'DCF Model'!C15,0),"")</f>
        <v>327</v>
      </c>
      <c r="G10" s="38">
        <f>IFERROR(ROUND(('DCF Model'!C45/(1+$B10)^('DCF Model'!C19+0)+'DCF Model'!D45/(1+$B10)^('DCF Model'!C19+1)+'DCF Model'!E45/(1+$B10)^('DCF Model'!C19+2)+'DCF Model'!F45/(1+$B10)^('DCF Model'!C19+3)+'DCF Model'!G45/(1+$B10)^('DCF Model'!C19+4)+'DCF Model'!G45*(1+G$6)/($B10-G$6)/(1+$B10)^('DCF Model'!C19+4)-'DCF Model'!C16)*1000000/'DCF Model'!C15,0),"")</f>
        <v>336</v>
      </c>
      <c r="H10" s="38">
        <f>IFERROR(ROUND(('DCF Model'!C45/(1+$B10)^('DCF Model'!C19+0)+'DCF Model'!D45/(1+$B10)^('DCF Model'!C19+1)+'DCF Model'!E45/(1+$B10)^('DCF Model'!C19+2)+'DCF Model'!F45/(1+$B10)^('DCF Model'!C19+3)+'DCF Model'!G45/(1+$B10)^('DCF Model'!C19+4)+'DCF Model'!G45*(1+H$6)/($B10-H$6)/(1+$B10)^('DCF Model'!C19+4)-'DCF Model'!C16)*1000000/'DCF Model'!C15,0),"")</f>
        <v>347</v>
      </c>
      <c r="I10" s="38">
        <f>IFERROR(ROUND(('DCF Model'!C45/(1+$B10)^('DCF Model'!C19+0)+'DCF Model'!D45/(1+$B10)^('DCF Model'!C19+1)+'DCF Model'!E45/(1+$B10)^('DCF Model'!C19+2)+'DCF Model'!F45/(1+$B10)^('DCF Model'!C19+3)+'DCF Model'!G45/(1+$B10)^('DCF Model'!C19+4)+'DCF Model'!G45*(1+I$6)/($B10-I$6)/(1+$B10)^('DCF Model'!C19+4)-'DCF Model'!C16)*1000000/'DCF Model'!C15,0),"")</f>
        <v>358</v>
      </c>
    </row>
    <row r="11" spans="2:9" ht="13.5" customHeight="1" x14ac:dyDescent="0.25">
      <c r="B11" s="40">
        <f>$C$3+0.005</f>
        <v>8.5415999999999992E-2</v>
      </c>
      <c r="C11" s="38">
        <f>IFERROR(ROUND(('DCF Model'!C45/(1+$B11)^('DCF Model'!C19+0)+'DCF Model'!D45/(1+$B11)^('DCF Model'!C19+1)+'DCF Model'!E45/(1+$B11)^('DCF Model'!C19+2)+'DCF Model'!F45/(1+$B11)^('DCF Model'!C19+3)+'DCF Model'!G45/(1+$B11)^('DCF Model'!C19+4)+'DCF Model'!G45*(1+C$6)/($B11-C$6)/(1+$B11)^('DCF Model'!C19+4)-'DCF Model'!C16)*1000000/'DCF Model'!C15,0),"")</f>
        <v>282</v>
      </c>
      <c r="D11" s="38">
        <f>IFERROR(ROUND(('DCF Model'!C45/(1+$B11)^('DCF Model'!C19+0)+'DCF Model'!D45/(1+$B11)^('DCF Model'!C19+1)+'DCF Model'!E45/(1+$B11)^('DCF Model'!C19+2)+'DCF Model'!F45/(1+$B11)^('DCF Model'!C19+3)+'DCF Model'!G45/(1+$B11)^('DCF Model'!C19+4)+'DCF Model'!G45*(1+D$6)/($B11-D$6)/(1+$B11)^('DCF Model'!C19+4)-'DCF Model'!C16)*1000000/'DCF Model'!C15,0),"")</f>
        <v>289</v>
      </c>
      <c r="E11" s="38">
        <f>IFERROR(ROUND(('DCF Model'!C45/(1+$B11)^('DCF Model'!C19+0)+'DCF Model'!D45/(1+$B11)^('DCF Model'!C19+1)+'DCF Model'!E45/(1+$B11)^('DCF Model'!C19+2)+'DCF Model'!F45/(1+$B11)^('DCF Model'!C19+3)+'DCF Model'!G45/(1+$B11)^('DCF Model'!C19+4)+'DCF Model'!G45*(1+E$6)/($B11-E$6)/(1+$B11)^('DCF Model'!C19+4)-'DCF Model'!C16)*1000000/'DCF Model'!C15,0),"")</f>
        <v>296</v>
      </c>
      <c r="F11" s="38">
        <f>IFERROR(ROUND(('DCF Model'!C45/(1+$B11)^('DCF Model'!C19+0)+'DCF Model'!D45/(1+$B11)^('DCF Model'!C19+1)+'DCF Model'!E45/(1+$B11)^('DCF Model'!C19+2)+'DCF Model'!F45/(1+$B11)^('DCF Model'!C19+3)+'DCF Model'!G45/(1+$B11)^('DCF Model'!C19+4)+'DCF Model'!G45*(1+F$6)/($B11-F$6)/(1+$B11)^('DCF Model'!C19+4)-'DCF Model'!C16)*1000000/'DCF Model'!C15,0),"")</f>
        <v>304</v>
      </c>
      <c r="G11" s="38">
        <f>IFERROR(ROUND(('DCF Model'!C45/(1+$B11)^('DCF Model'!C19+0)+'DCF Model'!D45/(1+$B11)^('DCF Model'!C19+1)+'DCF Model'!E45/(1+$B11)^('DCF Model'!C19+2)+'DCF Model'!F45/(1+$B11)^('DCF Model'!C19+3)+'DCF Model'!G45/(1+$B11)^('DCF Model'!C19+4)+'DCF Model'!G45*(1+G$6)/($B11-G$6)/(1+$B11)^('DCF Model'!C19+4)-'DCF Model'!C16)*1000000/'DCF Model'!C15,0),"")</f>
        <v>312</v>
      </c>
      <c r="H11" s="38">
        <f>IFERROR(ROUND(('DCF Model'!C45/(1+$B11)^('DCF Model'!C19+0)+'DCF Model'!D45/(1+$B11)^('DCF Model'!C19+1)+'DCF Model'!E45/(1+$B11)^('DCF Model'!C19+2)+'DCF Model'!F45/(1+$B11)^('DCF Model'!C19+3)+'DCF Model'!G45/(1+$B11)^('DCF Model'!C19+4)+'DCF Model'!G45*(1+H$6)/($B11-H$6)/(1+$B11)^('DCF Model'!C19+4)-'DCF Model'!C16)*1000000/'DCF Model'!C15,0),"")</f>
        <v>321</v>
      </c>
      <c r="I11" s="38">
        <f>IFERROR(ROUND(('DCF Model'!C45/(1+$B11)^('DCF Model'!C19+0)+'DCF Model'!D45/(1+$B11)^('DCF Model'!C19+1)+'DCF Model'!E45/(1+$B11)^('DCF Model'!C19+2)+'DCF Model'!F45/(1+$B11)^('DCF Model'!C19+3)+'DCF Model'!G45/(1+$B11)^('DCF Model'!C19+4)+'DCF Model'!G45*(1+I$6)/($B11-I$6)/(1+$B11)^('DCF Model'!C19+4)-'DCF Model'!C16)*1000000/'DCF Model'!C15,0),"")</f>
        <v>331</v>
      </c>
    </row>
    <row r="12" spans="2:9" ht="13.5" customHeight="1" x14ac:dyDescent="0.25">
      <c r="B12" s="40">
        <f>$C$3+0.01</f>
        <v>9.0415999999999982E-2</v>
      </c>
      <c r="C12" s="38">
        <f>IFERROR(ROUND(('DCF Model'!C45/(1+$B12)^('DCF Model'!C19+0)+'DCF Model'!D45/(1+$B12)^('DCF Model'!C19+1)+'DCF Model'!E45/(1+$B12)^('DCF Model'!C19+2)+'DCF Model'!F45/(1+$B12)^('DCF Model'!C19+3)+'DCF Model'!G45/(1+$B12)^('DCF Model'!C19+4)+'DCF Model'!G45*(1+C$6)/($B12-C$6)/(1+$B12)^('DCF Model'!C19+4)-'DCF Model'!C16)*1000000/'DCF Model'!C15,0),"")</f>
        <v>265</v>
      </c>
      <c r="D12" s="38">
        <f>IFERROR(ROUND(('DCF Model'!C45/(1+$B12)^('DCF Model'!C19+0)+'DCF Model'!D45/(1+$B12)^('DCF Model'!C19+1)+'DCF Model'!E45/(1+$B12)^('DCF Model'!C19+2)+'DCF Model'!F45/(1+$B12)^('DCF Model'!C19+3)+'DCF Model'!G45/(1+$B12)^('DCF Model'!C19+4)+'DCF Model'!G45*(1+D$6)/($B12-D$6)/(1+$B12)^('DCF Model'!C19+4)-'DCF Model'!C16)*1000000/'DCF Model'!C15,0),"")</f>
        <v>271</v>
      </c>
      <c r="E12" s="38">
        <f>IFERROR(ROUND(('DCF Model'!C45/(1+$B12)^('DCF Model'!C19+0)+'DCF Model'!D45/(1+$B12)^('DCF Model'!C19+1)+'DCF Model'!E45/(1+$B12)^('DCF Model'!C19+2)+'DCF Model'!F45/(1+$B12)^('DCF Model'!C19+3)+'DCF Model'!G45/(1+$B12)^('DCF Model'!C19+4)+'DCF Model'!G45*(1+E$6)/($B12-E$6)/(1+$B12)^('DCF Model'!C19+4)-'DCF Model'!C16)*1000000/'DCF Model'!C15,0),"")</f>
        <v>277</v>
      </c>
      <c r="F12" s="38">
        <f>IFERROR(ROUND(('DCF Model'!C45/(1+$B12)^('DCF Model'!C19+0)+'DCF Model'!D45/(1+$B12)^('DCF Model'!C19+1)+'DCF Model'!E45/(1+$B12)^('DCF Model'!C19+2)+'DCF Model'!F45/(1+$B12)^('DCF Model'!C19+3)+'DCF Model'!G45/(1+$B12)^('DCF Model'!C19+4)+'DCF Model'!G45*(1+F$6)/($B12-F$6)/(1+$B12)^('DCF Model'!C19+4)-'DCF Model'!C16)*1000000/'DCF Model'!C15,0),"")</f>
        <v>284</v>
      </c>
      <c r="G12" s="38">
        <f>IFERROR(ROUND(('DCF Model'!C45/(1+$B12)^('DCF Model'!C19+0)+'DCF Model'!D45/(1+$B12)^('DCF Model'!C19+1)+'DCF Model'!E45/(1+$B12)^('DCF Model'!C19+2)+'DCF Model'!F45/(1+$B12)^('DCF Model'!C19+3)+'DCF Model'!G45/(1+$B12)^('DCF Model'!C19+4)+'DCF Model'!G45*(1+G$6)/($B12-G$6)/(1+$B12)^('DCF Model'!C19+4)-'DCF Model'!C16)*1000000/'DCF Model'!C15,0),"")</f>
        <v>291</v>
      </c>
      <c r="H12" s="38">
        <f>IFERROR(ROUND(('DCF Model'!C45/(1+$B12)^('DCF Model'!C19+0)+'DCF Model'!D45/(1+$B12)^('DCF Model'!C19+1)+'DCF Model'!E45/(1+$B12)^('DCF Model'!C19+2)+'DCF Model'!F45/(1+$B12)^('DCF Model'!C19+3)+'DCF Model'!G45/(1+$B12)^('DCF Model'!C19+4)+'DCF Model'!G45*(1+H$6)/($B12-H$6)/(1+$B12)^('DCF Model'!C19+4)-'DCF Model'!C16)*1000000/'DCF Model'!C15,0),"")</f>
        <v>299</v>
      </c>
      <c r="I12" s="38">
        <f>IFERROR(ROUND(('DCF Model'!C45/(1+$B12)^('DCF Model'!C19+0)+'DCF Model'!D45/(1+$B12)^('DCF Model'!C19+1)+'DCF Model'!E45/(1+$B12)^('DCF Model'!C19+2)+'DCF Model'!F45/(1+$B12)^('DCF Model'!C19+3)+'DCF Model'!G45/(1+$B12)^('DCF Model'!C19+4)+'DCF Model'!G45*(1+I$6)/($B12-I$6)/(1+$B12)^('DCF Model'!C19+4)-'DCF Model'!C16)*1000000/'DCF Model'!C15,0),"")</f>
        <v>307</v>
      </c>
    </row>
    <row r="13" spans="2:9" ht="13.5" customHeight="1" x14ac:dyDescent="0.25">
      <c r="B13" s="40">
        <f>$C$3+0.015</f>
        <v>9.5415999999999987E-2</v>
      </c>
      <c r="C13" s="38">
        <f>IFERROR(ROUND(('DCF Model'!C45/(1+$B13)^('DCF Model'!C19+0)+'DCF Model'!D45/(1+$B13)^('DCF Model'!C19+1)+'DCF Model'!E45/(1+$B13)^('DCF Model'!C19+2)+'DCF Model'!F45/(1+$B13)^('DCF Model'!C19+3)+'DCF Model'!G45/(1+$B13)^('DCF Model'!C19+4)+'DCF Model'!G45*(1+C$6)/($B13-C$6)/(1+$B13)^('DCF Model'!C19+4)-'DCF Model'!C16)*1000000/'DCF Model'!C15,0),"")</f>
        <v>250</v>
      </c>
      <c r="D13" s="38">
        <f>IFERROR(ROUND(('DCF Model'!C45/(1+$B13)^('DCF Model'!C19+0)+'DCF Model'!D45/(1+$B13)^('DCF Model'!C19+1)+'DCF Model'!E45/(1+$B13)^('DCF Model'!C19+2)+'DCF Model'!F45/(1+$B13)^('DCF Model'!C19+3)+'DCF Model'!G45/(1+$B13)^('DCF Model'!C19+4)+'DCF Model'!G45*(1+D$6)/($B13-D$6)/(1+$B13)^('DCF Model'!C19+4)-'DCF Model'!C16)*1000000/'DCF Model'!C15,0),"")</f>
        <v>255</v>
      </c>
      <c r="E13" s="38">
        <f>IFERROR(ROUND(('DCF Model'!C45/(1+$B13)^('DCF Model'!C19+0)+'DCF Model'!D45/(1+$B13)^('DCF Model'!C19+1)+'DCF Model'!E45/(1+$B13)^('DCF Model'!C19+2)+'DCF Model'!F45/(1+$B13)^('DCF Model'!C19+3)+'DCF Model'!G45/(1+$B13)^('DCF Model'!C19+4)+'DCF Model'!G45*(1+E$6)/($B13-E$6)/(1+$B13)^('DCF Model'!C19+4)-'DCF Model'!C16)*1000000/'DCF Model'!C15,0),"")</f>
        <v>261</v>
      </c>
      <c r="F13" s="38">
        <f>IFERROR(ROUND(('DCF Model'!C45/(1+$B13)^('DCF Model'!C19+0)+'DCF Model'!D45/(1+$B13)^('DCF Model'!C19+1)+'DCF Model'!E45/(1+$B13)^('DCF Model'!C19+2)+'DCF Model'!F45/(1+$B13)^('DCF Model'!C19+3)+'DCF Model'!G45/(1+$B13)^('DCF Model'!C19+4)+'DCF Model'!G45*(1+F$6)/($B13-F$6)/(1+$B13)^('DCF Model'!C19+4)-'DCF Model'!C16)*1000000/'DCF Model'!C15,0),"")</f>
        <v>267</v>
      </c>
      <c r="G13" s="38">
        <f>IFERROR(ROUND(('DCF Model'!C45/(1+$B13)^('DCF Model'!C19+0)+'DCF Model'!D45/(1+$B13)^('DCF Model'!C19+1)+'DCF Model'!E45/(1+$B13)^('DCF Model'!C19+2)+'DCF Model'!F45/(1+$B13)^('DCF Model'!C19+3)+'DCF Model'!G45/(1+$B13)^('DCF Model'!C19+4)+'DCF Model'!G45*(1+G$6)/($B13-G$6)/(1+$B13)^('DCF Model'!C19+4)-'DCF Model'!C16)*1000000/'DCF Model'!C15,0),"")</f>
        <v>273</v>
      </c>
      <c r="H13" s="38">
        <f>IFERROR(ROUND(('DCF Model'!C45/(1+$B13)^('DCF Model'!C19+0)+'DCF Model'!D45/(1+$B13)^('DCF Model'!C19+1)+'DCF Model'!E45/(1+$B13)^('DCF Model'!C19+2)+'DCF Model'!F45/(1+$B13)^('DCF Model'!C19+3)+'DCF Model'!G45/(1+$B13)^('DCF Model'!C19+4)+'DCF Model'!G45*(1+H$6)/($B13-H$6)/(1+$B13)^('DCF Model'!C19+4)-'DCF Model'!C16)*1000000/'DCF Model'!C15,0),"")</f>
        <v>279</v>
      </c>
      <c r="I13" s="38">
        <f>IFERROR(ROUND(('DCF Model'!C45/(1+$B13)^('DCF Model'!C19+0)+'DCF Model'!D45/(1+$B13)^('DCF Model'!C19+1)+'DCF Model'!E45/(1+$B13)^('DCF Model'!C19+2)+'DCF Model'!F45/(1+$B13)^('DCF Model'!C19+3)+'DCF Model'!G45/(1+$B13)^('DCF Model'!C19+4)+'DCF Model'!G45*(1+I$6)/($B13-I$6)/(1+$B13)^('DCF Model'!C19+4)-'DCF Model'!C16)*1000000/'DCF Model'!C15,0),"")</f>
        <v>286</v>
      </c>
    </row>
    <row r="16" spans="2:9" ht="14" customHeight="1" x14ac:dyDescent="0.3">
      <c r="B16" s="3" t="s">
        <v>235</v>
      </c>
    </row>
    <row r="17" spans="2:9" ht="14" customHeight="1" x14ac:dyDescent="0.3">
      <c r="B17" s="44" t="s">
        <v>236</v>
      </c>
      <c r="C17" s="46">
        <f>$I$3-3</f>
        <v>4</v>
      </c>
      <c r="D17" s="46">
        <f>$I$3-2</f>
        <v>5</v>
      </c>
      <c r="E17" s="46">
        <f>$I$3-1</f>
        <v>6</v>
      </c>
      <c r="F17" s="46">
        <f>$I$3</f>
        <v>7</v>
      </c>
      <c r="G17" s="46">
        <f>$I$3+1</f>
        <v>8</v>
      </c>
      <c r="H17" s="46">
        <f>$I$3+2</f>
        <v>9</v>
      </c>
      <c r="I17" s="46">
        <f>$I$3+3</f>
        <v>10</v>
      </c>
    </row>
    <row r="18" spans="2:9" ht="13.5" customHeight="1" x14ac:dyDescent="0.25">
      <c r="B18" s="40">
        <f>$C$3-0.015</f>
        <v>6.5415999999999988E-2</v>
      </c>
      <c r="C18" s="38">
        <f>IFERROR(ROUND(('DCF Model'!C45/(1+$B18)^('DCF Model'!C19+0)+'DCF Model'!D45/(1+$B18)^('DCF Model'!C19+1)+'DCF Model'!E45/(1+$B18)^('DCF Model'!C19+2)+'DCF Model'!F45/(1+$B18)^('DCF Model'!C19+3)+'DCF Model'!G45/(1+$B18)^('DCF Model'!C19+4)+('DCF Model'!G39+'DCF Model'!G42)*C$17/(1+$B18)^('DCF Model'!C19+4)-'DCF Model'!C16)*1000000/'DCF Model'!C15,0),"")</f>
        <v>267</v>
      </c>
      <c r="D18" s="38">
        <f>IFERROR(ROUND(('DCF Model'!C45/(1+$B18)^('DCF Model'!C19+0)+'DCF Model'!D45/(1+$B18)^('DCF Model'!C19+1)+'DCF Model'!E45/(1+$B18)^('DCF Model'!C19+2)+'DCF Model'!F45/(1+$B18)^('DCF Model'!C19+3)+'DCF Model'!G45/(1+$B18)^('DCF Model'!C19+4)+('DCF Model'!G39+'DCF Model'!G42)*D$17/(1+$B18)^('DCF Model'!C19+4)-'DCF Model'!C16)*1000000/'DCF Model'!C15,0),"")</f>
        <v>312</v>
      </c>
      <c r="E18" s="38">
        <f>IFERROR(ROUND(('DCF Model'!C45/(1+$B18)^('DCF Model'!C19+0)+'DCF Model'!D45/(1+$B18)^('DCF Model'!C19+1)+'DCF Model'!E45/(1+$B18)^('DCF Model'!C19+2)+'DCF Model'!F45/(1+$B18)^('DCF Model'!C19+3)+'DCF Model'!G45/(1+$B18)^('DCF Model'!C19+4)+('DCF Model'!G39+'DCF Model'!G42)*E$17/(1+$B18)^('DCF Model'!C19+4)-'DCF Model'!C16)*1000000/'DCF Model'!C15,0),"")</f>
        <v>358</v>
      </c>
      <c r="F18" s="38">
        <f>IFERROR(ROUND(('DCF Model'!C45/(1+$B18)^('DCF Model'!C19+0)+'DCF Model'!D45/(1+$B18)^('DCF Model'!C19+1)+'DCF Model'!E45/(1+$B18)^('DCF Model'!C19+2)+'DCF Model'!F45/(1+$B18)^('DCF Model'!C19+3)+'DCF Model'!G45/(1+$B18)^('DCF Model'!C19+4)+('DCF Model'!G39+'DCF Model'!G42)*F$17/(1+$B18)^('DCF Model'!C19+4)-'DCF Model'!C16)*1000000/'DCF Model'!C15,0),"")</f>
        <v>404</v>
      </c>
      <c r="G18" s="38">
        <f>IFERROR(ROUND(('DCF Model'!C45/(1+$B18)^('DCF Model'!C19+0)+'DCF Model'!D45/(1+$B18)^('DCF Model'!C19+1)+'DCF Model'!E45/(1+$B18)^('DCF Model'!C19+2)+'DCF Model'!F45/(1+$B18)^('DCF Model'!C19+3)+'DCF Model'!G45/(1+$B18)^('DCF Model'!C19+4)+('DCF Model'!G39+'DCF Model'!G42)*G$17/(1+$B18)^('DCF Model'!C19+4)-'DCF Model'!C16)*1000000/'DCF Model'!C15,0),"")</f>
        <v>449</v>
      </c>
      <c r="H18" s="38">
        <f>IFERROR(ROUND(('DCF Model'!C45/(1+$B18)^('DCF Model'!C19+0)+'DCF Model'!D45/(1+$B18)^('DCF Model'!C19+1)+'DCF Model'!E45/(1+$B18)^('DCF Model'!C19+2)+'DCF Model'!F45/(1+$B18)^('DCF Model'!C19+3)+'DCF Model'!G45/(1+$B18)^('DCF Model'!C19+4)+('DCF Model'!G39+'DCF Model'!G42)*H$17/(1+$B18)^('DCF Model'!C19+4)-'DCF Model'!C16)*1000000/'DCF Model'!C15,0),"")</f>
        <v>495</v>
      </c>
      <c r="I18" s="38">
        <f>IFERROR(ROUND(('DCF Model'!C45/(1+$B18)^('DCF Model'!C19+0)+'DCF Model'!D45/(1+$B18)^('DCF Model'!C19+1)+'DCF Model'!E45/(1+$B18)^('DCF Model'!C19+2)+'DCF Model'!F45/(1+$B18)^('DCF Model'!C19+3)+'DCF Model'!G45/(1+$B18)^('DCF Model'!C19+4)+('DCF Model'!G39+'DCF Model'!G42)*I$17/(1+$B18)^('DCF Model'!C19+4)-'DCF Model'!C16)*1000000/'DCF Model'!C15,0),"")</f>
        <v>540</v>
      </c>
    </row>
    <row r="19" spans="2:9" ht="13.5" customHeight="1" x14ac:dyDescent="0.25">
      <c r="B19" s="40">
        <f>$C$3-0.01</f>
        <v>7.0415999999999992E-2</v>
      </c>
      <c r="C19" s="38">
        <f>IFERROR(ROUND(('DCF Model'!C45/(1+$B19)^('DCF Model'!C19+0)+'DCF Model'!D45/(1+$B19)^('DCF Model'!C19+1)+'DCF Model'!E45/(1+$B19)^('DCF Model'!C19+2)+'DCF Model'!F45/(1+$B19)^('DCF Model'!C19+3)+'DCF Model'!G45/(1+$B19)^('DCF Model'!C19+4)+('DCF Model'!G39+'DCF Model'!G42)*C$17/(1+$B19)^('DCF Model'!C19+4)-'DCF Model'!C16)*1000000/'DCF Model'!C15,0),"")</f>
        <v>261</v>
      </c>
      <c r="D19" s="38">
        <f>IFERROR(ROUND(('DCF Model'!C45/(1+$B19)^('DCF Model'!C19+0)+'DCF Model'!D45/(1+$B19)^('DCF Model'!C19+1)+'DCF Model'!E45/(1+$B19)^('DCF Model'!C19+2)+'DCF Model'!F45/(1+$B19)^('DCF Model'!C19+3)+'DCF Model'!G45/(1+$B19)^('DCF Model'!C19+4)+('DCF Model'!G39+'DCF Model'!G42)*D$17/(1+$B19)^('DCF Model'!C19+4)-'DCF Model'!C16)*1000000/'DCF Model'!C15,0),"")</f>
        <v>306</v>
      </c>
      <c r="E19" s="38">
        <f>IFERROR(ROUND(('DCF Model'!C45/(1+$B19)^('DCF Model'!C19+0)+'DCF Model'!D45/(1+$B19)^('DCF Model'!C19+1)+'DCF Model'!E45/(1+$B19)^('DCF Model'!C19+2)+'DCF Model'!F45/(1+$B19)^('DCF Model'!C19+3)+'DCF Model'!G45/(1+$B19)^('DCF Model'!C19+4)+('DCF Model'!G39+'DCF Model'!G42)*E$17/(1+$B19)^('DCF Model'!C19+4)-'DCF Model'!C16)*1000000/'DCF Model'!C15,0),"")</f>
        <v>350</v>
      </c>
      <c r="F19" s="38">
        <f>IFERROR(ROUND(('DCF Model'!C45/(1+$B19)^('DCF Model'!C19+0)+'DCF Model'!D45/(1+$B19)^('DCF Model'!C19+1)+'DCF Model'!E45/(1+$B19)^('DCF Model'!C19+2)+'DCF Model'!F45/(1+$B19)^('DCF Model'!C19+3)+'DCF Model'!G45/(1+$B19)^('DCF Model'!C19+4)+('DCF Model'!G39+'DCF Model'!G42)*F$17/(1+$B19)^('DCF Model'!C19+4)-'DCF Model'!C16)*1000000/'DCF Model'!C15,0),"")</f>
        <v>395</v>
      </c>
      <c r="G19" s="38">
        <f>IFERROR(ROUND(('DCF Model'!C45/(1+$B19)^('DCF Model'!C19+0)+'DCF Model'!D45/(1+$B19)^('DCF Model'!C19+1)+'DCF Model'!E45/(1+$B19)^('DCF Model'!C19+2)+'DCF Model'!F45/(1+$B19)^('DCF Model'!C19+3)+'DCF Model'!G45/(1+$B19)^('DCF Model'!C19+4)+('DCF Model'!G39+'DCF Model'!G42)*G$17/(1+$B19)^('DCF Model'!C19+4)-'DCF Model'!C16)*1000000/'DCF Model'!C15,0),"")</f>
        <v>440</v>
      </c>
      <c r="H19" s="38">
        <f>IFERROR(ROUND(('DCF Model'!C45/(1+$B19)^('DCF Model'!C19+0)+'DCF Model'!D45/(1+$B19)^('DCF Model'!C19+1)+'DCF Model'!E45/(1+$B19)^('DCF Model'!C19+2)+'DCF Model'!F45/(1+$B19)^('DCF Model'!C19+3)+'DCF Model'!G45/(1+$B19)^('DCF Model'!C19+4)+('DCF Model'!G39+'DCF Model'!G42)*H$17/(1+$B19)^('DCF Model'!C19+4)-'DCF Model'!C16)*1000000/'DCF Model'!C15,0),"")</f>
        <v>484</v>
      </c>
      <c r="I19" s="38">
        <f>IFERROR(ROUND(('DCF Model'!C45/(1+$B19)^('DCF Model'!C19+0)+'DCF Model'!D45/(1+$B19)^('DCF Model'!C19+1)+'DCF Model'!E45/(1+$B19)^('DCF Model'!C19+2)+'DCF Model'!F45/(1+$B19)^('DCF Model'!C19+3)+'DCF Model'!G45/(1+$B19)^('DCF Model'!C19+4)+('DCF Model'!G39+'DCF Model'!G42)*I$17/(1+$B19)^('DCF Model'!C19+4)-'DCF Model'!C16)*1000000/'DCF Model'!C15,0),"")</f>
        <v>529</v>
      </c>
    </row>
    <row r="20" spans="2:9" ht="13.5" customHeight="1" x14ac:dyDescent="0.25">
      <c r="B20" s="40">
        <f>$C$3-0.005</f>
        <v>7.5415999999999983E-2</v>
      </c>
      <c r="C20" s="38">
        <f>IFERROR(ROUND(('DCF Model'!C45/(1+$B20)^('DCF Model'!C19+0)+'DCF Model'!D45/(1+$B20)^('DCF Model'!C19+1)+'DCF Model'!E45/(1+$B20)^('DCF Model'!C19+2)+'DCF Model'!F45/(1+$B20)^('DCF Model'!C19+3)+'DCF Model'!G45/(1+$B20)^('DCF Model'!C19+4)+('DCF Model'!G39+'DCF Model'!G42)*C$17/(1+$B20)^('DCF Model'!C19+4)-'DCF Model'!C16)*1000000/'DCF Model'!C15,0),"")</f>
        <v>256</v>
      </c>
      <c r="D20" s="38">
        <f>IFERROR(ROUND(('DCF Model'!C45/(1+$B20)^('DCF Model'!C19+0)+'DCF Model'!D45/(1+$B20)^('DCF Model'!C19+1)+'DCF Model'!E45/(1+$B20)^('DCF Model'!C19+2)+'DCF Model'!F45/(1+$B20)^('DCF Model'!C19+3)+'DCF Model'!G45/(1+$B20)^('DCF Model'!C19+4)+('DCF Model'!G39+'DCF Model'!G42)*D$17/(1+$B20)^('DCF Model'!C19+4)-'DCF Model'!C16)*1000000/'DCF Model'!C15,0),"")</f>
        <v>300</v>
      </c>
      <c r="E20" s="38">
        <f>IFERROR(ROUND(('DCF Model'!C45/(1+$B20)^('DCF Model'!C19+0)+'DCF Model'!D45/(1+$B20)^('DCF Model'!C19+1)+'DCF Model'!E45/(1+$B20)^('DCF Model'!C19+2)+'DCF Model'!F45/(1+$B20)^('DCF Model'!C19+3)+'DCF Model'!G45/(1+$B20)^('DCF Model'!C19+4)+('DCF Model'!G39+'DCF Model'!G42)*E$17/(1+$B20)^('DCF Model'!C19+4)-'DCF Model'!C16)*1000000/'DCF Model'!C15,0),"")</f>
        <v>343</v>
      </c>
      <c r="F20" s="38">
        <f>IFERROR(ROUND(('DCF Model'!C45/(1+$B20)^('DCF Model'!C19+0)+'DCF Model'!D45/(1+$B20)^('DCF Model'!C19+1)+'DCF Model'!E45/(1+$B20)^('DCF Model'!C19+2)+'DCF Model'!F45/(1+$B20)^('DCF Model'!C19+3)+'DCF Model'!G45/(1+$B20)^('DCF Model'!C19+4)+('DCF Model'!G39+'DCF Model'!G42)*F$17/(1+$B20)^('DCF Model'!C19+4)-'DCF Model'!C16)*1000000/'DCF Model'!C15,0),"")</f>
        <v>387</v>
      </c>
      <c r="G20" s="38">
        <f>IFERROR(ROUND(('DCF Model'!C45/(1+$B20)^('DCF Model'!C19+0)+'DCF Model'!D45/(1+$B20)^('DCF Model'!C19+1)+'DCF Model'!E45/(1+$B20)^('DCF Model'!C19+2)+'DCF Model'!F45/(1+$B20)^('DCF Model'!C19+3)+'DCF Model'!G45/(1+$B20)^('DCF Model'!C19+4)+('DCF Model'!G39+'DCF Model'!G42)*G$17/(1+$B20)^('DCF Model'!C19+4)-'DCF Model'!C16)*1000000/'DCF Model'!C15,0),"")</f>
        <v>430</v>
      </c>
      <c r="H20" s="38">
        <f>IFERROR(ROUND(('DCF Model'!C45/(1+$B20)^('DCF Model'!C19+0)+'DCF Model'!D45/(1+$B20)^('DCF Model'!C19+1)+'DCF Model'!E45/(1+$B20)^('DCF Model'!C19+2)+'DCF Model'!F45/(1+$B20)^('DCF Model'!C19+3)+'DCF Model'!G45/(1+$B20)^('DCF Model'!C19+4)+('DCF Model'!G39+'DCF Model'!G42)*H$17/(1+$B20)^('DCF Model'!C19+4)-'DCF Model'!C16)*1000000/'DCF Model'!C15,0),"")</f>
        <v>474</v>
      </c>
      <c r="I20" s="38">
        <f>IFERROR(ROUND(('DCF Model'!C45/(1+$B20)^('DCF Model'!C19+0)+'DCF Model'!D45/(1+$B20)^('DCF Model'!C19+1)+'DCF Model'!E45/(1+$B20)^('DCF Model'!C19+2)+'DCF Model'!F45/(1+$B20)^('DCF Model'!C19+3)+'DCF Model'!G45/(1+$B20)^('DCF Model'!C19+4)+('DCF Model'!G39+'DCF Model'!G42)*I$17/(1+$B20)^('DCF Model'!C19+4)-'DCF Model'!C16)*1000000/'DCF Model'!C15,0),"")</f>
        <v>517</v>
      </c>
    </row>
    <row r="21" spans="2:9" ht="13.5" customHeight="1" x14ac:dyDescent="0.25">
      <c r="B21" s="40">
        <f>$C$3</f>
        <v>8.0415999999999987E-2</v>
      </c>
      <c r="C21" s="38">
        <f>IFERROR(ROUND(('DCF Model'!C45/(1+$B21)^('DCF Model'!C19+0)+'DCF Model'!D45/(1+$B21)^('DCF Model'!C19+1)+'DCF Model'!E45/(1+$B21)^('DCF Model'!C19+2)+'DCF Model'!F45/(1+$B21)^('DCF Model'!C19+3)+'DCF Model'!G45/(1+$B21)^('DCF Model'!C19+4)+('DCF Model'!G39+'DCF Model'!G42)*C$17/(1+$B21)^('DCF Model'!C19+4)-'DCF Model'!C16)*1000000/'DCF Model'!C15,0),"")</f>
        <v>251</v>
      </c>
      <c r="D21" s="38">
        <f>IFERROR(ROUND(('DCF Model'!C45/(1+$B21)^('DCF Model'!C19+0)+'DCF Model'!D45/(1+$B21)^('DCF Model'!C19+1)+'DCF Model'!E45/(1+$B21)^('DCF Model'!C19+2)+'DCF Model'!F45/(1+$B21)^('DCF Model'!C19+3)+'DCF Model'!G45/(1+$B21)^('DCF Model'!C19+4)+('DCF Model'!G39+'DCF Model'!G42)*D$17/(1+$B21)^('DCF Model'!C19+4)-'DCF Model'!C16)*1000000/'DCF Model'!C15,0),"")</f>
        <v>293</v>
      </c>
      <c r="E21" s="38">
        <f>IFERROR(ROUND(('DCF Model'!C45/(1+$B21)^('DCF Model'!C19+0)+'DCF Model'!D45/(1+$B21)^('DCF Model'!C19+1)+'DCF Model'!E45/(1+$B21)^('DCF Model'!C19+2)+'DCF Model'!F45/(1+$B21)^('DCF Model'!C19+3)+'DCF Model'!G45/(1+$B21)^('DCF Model'!C19+4)+('DCF Model'!G39+'DCF Model'!G42)*E$17/(1+$B21)^('DCF Model'!C19+4)-'DCF Model'!C16)*1000000/'DCF Model'!C15,0),"")</f>
        <v>336</v>
      </c>
      <c r="F21" s="38">
        <f>IFERROR(ROUND(('DCF Model'!C45/(1+$B21)^('DCF Model'!C19+0)+'DCF Model'!D45/(1+$B21)^('DCF Model'!C19+1)+'DCF Model'!E45/(1+$B21)^('DCF Model'!C19+2)+'DCF Model'!F45/(1+$B21)^('DCF Model'!C19+3)+'DCF Model'!G45/(1+$B21)^('DCF Model'!C19+4)+('DCF Model'!G39+'DCF Model'!G42)*F$17/(1+$B21)^('DCF Model'!C19+4)-'DCF Model'!C16)*1000000/'DCF Model'!C15,0),"")</f>
        <v>378</v>
      </c>
      <c r="G21" s="38">
        <f>IFERROR(ROUND(('DCF Model'!C45/(1+$B21)^('DCF Model'!C19+0)+'DCF Model'!D45/(1+$B21)^('DCF Model'!C19+1)+'DCF Model'!E45/(1+$B21)^('DCF Model'!C19+2)+'DCF Model'!F45/(1+$B21)^('DCF Model'!C19+3)+'DCF Model'!G45/(1+$B21)^('DCF Model'!C19+4)+('DCF Model'!G39+'DCF Model'!G42)*G$17/(1+$B21)^('DCF Model'!C19+4)-'DCF Model'!C16)*1000000/'DCF Model'!C15,0),"")</f>
        <v>421</v>
      </c>
      <c r="H21" s="38">
        <f>IFERROR(ROUND(('DCF Model'!C45/(1+$B21)^('DCF Model'!C19+0)+'DCF Model'!D45/(1+$B21)^('DCF Model'!C19+1)+'DCF Model'!E45/(1+$B21)^('DCF Model'!C19+2)+'DCF Model'!F45/(1+$B21)^('DCF Model'!C19+3)+'DCF Model'!G45/(1+$B21)^('DCF Model'!C19+4)+('DCF Model'!G39+'DCF Model'!G42)*H$17/(1+$B21)^('DCF Model'!C19+4)-'DCF Model'!C16)*1000000/'DCF Model'!C15,0),"")</f>
        <v>464</v>
      </c>
      <c r="I21" s="38">
        <f>IFERROR(ROUND(('DCF Model'!C45/(1+$B21)^('DCF Model'!C19+0)+'DCF Model'!D45/(1+$B21)^('DCF Model'!C19+1)+'DCF Model'!E45/(1+$B21)^('DCF Model'!C19+2)+'DCF Model'!F45/(1+$B21)^('DCF Model'!C19+3)+'DCF Model'!G45/(1+$B21)^('DCF Model'!C19+4)+('DCF Model'!G39+'DCF Model'!G42)*I$17/(1+$B21)^('DCF Model'!C19+4)-'DCF Model'!C16)*1000000/'DCF Model'!C15,0),"")</f>
        <v>506</v>
      </c>
    </row>
    <row r="22" spans="2:9" ht="13.5" customHeight="1" x14ac:dyDescent="0.25">
      <c r="B22" s="40">
        <f>$C$3+0.005</f>
        <v>8.5415999999999992E-2</v>
      </c>
      <c r="C22" s="38">
        <f>IFERROR(ROUND(('DCF Model'!C45/(1+$B22)^('DCF Model'!C19+0)+'DCF Model'!D45/(1+$B22)^('DCF Model'!C19+1)+'DCF Model'!E45/(1+$B22)^('DCF Model'!C19+2)+'DCF Model'!F45/(1+$B22)^('DCF Model'!C19+3)+'DCF Model'!G45/(1+$B22)^('DCF Model'!C19+4)+('DCF Model'!G39+'DCF Model'!G42)*C$17/(1+$B22)^('DCF Model'!C19+4)-'DCF Model'!C16)*1000000/'DCF Model'!C15,0),"")</f>
        <v>246</v>
      </c>
      <c r="D22" s="38">
        <f>IFERROR(ROUND(('DCF Model'!C45/(1+$B22)^('DCF Model'!C19+0)+'DCF Model'!D45/(1+$B22)^('DCF Model'!C19+1)+'DCF Model'!E45/(1+$B22)^('DCF Model'!C19+2)+'DCF Model'!F45/(1+$B22)^('DCF Model'!C19+3)+'DCF Model'!G45/(1+$B22)^('DCF Model'!C19+4)+('DCF Model'!G39+'DCF Model'!G42)*D$17/(1+$B22)^('DCF Model'!C19+4)-'DCF Model'!C16)*1000000/'DCF Model'!C15,0),"")</f>
        <v>287</v>
      </c>
      <c r="E22" s="38">
        <f>IFERROR(ROUND(('DCF Model'!C45/(1+$B22)^('DCF Model'!C19+0)+'DCF Model'!D45/(1+$B22)^('DCF Model'!C19+1)+'DCF Model'!E45/(1+$B22)^('DCF Model'!C19+2)+'DCF Model'!F45/(1+$B22)^('DCF Model'!C19+3)+'DCF Model'!G45/(1+$B22)^('DCF Model'!C19+4)+('DCF Model'!G39+'DCF Model'!G42)*E$17/(1+$B22)^('DCF Model'!C19+4)-'DCF Model'!C16)*1000000/'DCF Model'!C15,0),"")</f>
        <v>329</v>
      </c>
      <c r="F22" s="38">
        <f>IFERROR(ROUND(('DCF Model'!C45/(1+$B22)^('DCF Model'!C19+0)+'DCF Model'!D45/(1+$B22)^('DCF Model'!C19+1)+'DCF Model'!E45/(1+$B22)^('DCF Model'!C19+2)+'DCF Model'!F45/(1+$B22)^('DCF Model'!C19+3)+'DCF Model'!G45/(1+$B22)^('DCF Model'!C19+4)+('DCF Model'!G39+'DCF Model'!G42)*F$17/(1+$B22)^('DCF Model'!C19+4)-'DCF Model'!C16)*1000000/'DCF Model'!C15,0),"")</f>
        <v>371</v>
      </c>
      <c r="G22" s="38">
        <f>IFERROR(ROUND(('DCF Model'!C45/(1+$B22)^('DCF Model'!C19+0)+'DCF Model'!D45/(1+$B22)^('DCF Model'!C19+1)+'DCF Model'!E45/(1+$B22)^('DCF Model'!C19+2)+'DCF Model'!F45/(1+$B22)^('DCF Model'!C19+3)+'DCF Model'!G45/(1+$B22)^('DCF Model'!C19+4)+('DCF Model'!G39+'DCF Model'!G42)*G$17/(1+$B22)^('DCF Model'!C19+4)-'DCF Model'!C16)*1000000/'DCF Model'!C15,0),"")</f>
        <v>412</v>
      </c>
      <c r="H22" s="38">
        <f>IFERROR(ROUND(('DCF Model'!C45/(1+$B22)^('DCF Model'!C19+0)+'DCF Model'!D45/(1+$B22)^('DCF Model'!C19+1)+'DCF Model'!E45/(1+$B22)^('DCF Model'!C19+2)+'DCF Model'!F45/(1+$B22)^('DCF Model'!C19+3)+'DCF Model'!G45/(1+$B22)^('DCF Model'!C19+4)+('DCF Model'!G39+'DCF Model'!G42)*H$17/(1+$B22)^('DCF Model'!C19+4)-'DCF Model'!C16)*1000000/'DCF Model'!C15,0),"")</f>
        <v>454</v>
      </c>
      <c r="I22" s="38">
        <f>IFERROR(ROUND(('DCF Model'!C45/(1+$B22)^('DCF Model'!C19+0)+'DCF Model'!D45/(1+$B22)^('DCF Model'!C19+1)+'DCF Model'!E45/(1+$B22)^('DCF Model'!C19+2)+'DCF Model'!F45/(1+$B22)^('DCF Model'!C19+3)+'DCF Model'!G45/(1+$B22)^('DCF Model'!C19+4)+('DCF Model'!G39+'DCF Model'!G42)*I$17/(1+$B22)^('DCF Model'!C19+4)-'DCF Model'!C16)*1000000/'DCF Model'!C15,0),"")</f>
        <v>495</v>
      </c>
    </row>
    <row r="23" spans="2:9" ht="13.5" customHeight="1" x14ac:dyDescent="0.25">
      <c r="B23" s="40">
        <f>$C$3+0.01</f>
        <v>9.0415999999999982E-2</v>
      </c>
      <c r="C23" s="38">
        <f>IFERROR(ROUND(('DCF Model'!C45/(1+$B23)^('DCF Model'!C19+0)+'DCF Model'!D45/(1+$B23)^('DCF Model'!C19+1)+'DCF Model'!E45/(1+$B23)^('DCF Model'!C19+2)+'DCF Model'!F45/(1+$B23)^('DCF Model'!C19+3)+'DCF Model'!G45/(1+$B23)^('DCF Model'!C19+4)+('DCF Model'!G39+'DCF Model'!G42)*C$17/(1+$B23)^('DCF Model'!C19+4)-'DCF Model'!C16)*1000000/'DCF Model'!C15,0),"")</f>
        <v>241</v>
      </c>
      <c r="D23" s="38">
        <f>IFERROR(ROUND(('DCF Model'!C45/(1+$B23)^('DCF Model'!C19+0)+'DCF Model'!D45/(1+$B23)^('DCF Model'!C19+1)+'DCF Model'!E45/(1+$B23)^('DCF Model'!C19+2)+'DCF Model'!F45/(1+$B23)^('DCF Model'!C19+3)+'DCF Model'!G45/(1+$B23)^('DCF Model'!C19+4)+('DCF Model'!G39+'DCF Model'!G42)*D$17/(1+$B23)^('DCF Model'!C19+4)-'DCF Model'!C16)*1000000/'DCF Model'!C15,0),"")</f>
        <v>282</v>
      </c>
      <c r="E23" s="38">
        <f>IFERROR(ROUND(('DCF Model'!C45/(1+$B23)^('DCF Model'!C19+0)+'DCF Model'!D45/(1+$B23)^('DCF Model'!C19+1)+'DCF Model'!E45/(1+$B23)^('DCF Model'!C19+2)+'DCF Model'!F45/(1+$B23)^('DCF Model'!C19+3)+'DCF Model'!G45/(1+$B23)^('DCF Model'!C19+4)+('DCF Model'!G39+'DCF Model'!G42)*E$17/(1+$B23)^('DCF Model'!C19+4)-'DCF Model'!C16)*1000000/'DCF Model'!C15,0),"")</f>
        <v>322</v>
      </c>
      <c r="F23" s="38">
        <f>IFERROR(ROUND(('DCF Model'!C45/(1+$B23)^('DCF Model'!C19+0)+'DCF Model'!D45/(1+$B23)^('DCF Model'!C19+1)+'DCF Model'!E45/(1+$B23)^('DCF Model'!C19+2)+'DCF Model'!F45/(1+$B23)^('DCF Model'!C19+3)+'DCF Model'!G45/(1+$B23)^('DCF Model'!C19+4)+('DCF Model'!G39+'DCF Model'!G42)*F$17/(1+$B23)^('DCF Model'!C19+4)-'DCF Model'!C16)*1000000/'DCF Model'!C15,0),"")</f>
        <v>363</v>
      </c>
      <c r="G23" s="38">
        <f>IFERROR(ROUND(('DCF Model'!C45/(1+$B23)^('DCF Model'!C19+0)+'DCF Model'!D45/(1+$B23)^('DCF Model'!C19+1)+'DCF Model'!E45/(1+$B23)^('DCF Model'!C19+2)+'DCF Model'!F45/(1+$B23)^('DCF Model'!C19+3)+'DCF Model'!G45/(1+$B23)^('DCF Model'!C19+4)+('DCF Model'!G39+'DCF Model'!G42)*G$17/(1+$B23)^('DCF Model'!C19+4)-'DCF Model'!C16)*1000000/'DCF Model'!C15,0),"")</f>
        <v>403</v>
      </c>
      <c r="H23" s="38">
        <f>IFERROR(ROUND(('DCF Model'!C45/(1+$B23)^('DCF Model'!C19+0)+'DCF Model'!D45/(1+$B23)^('DCF Model'!C19+1)+'DCF Model'!E45/(1+$B23)^('DCF Model'!C19+2)+'DCF Model'!F45/(1+$B23)^('DCF Model'!C19+3)+'DCF Model'!G45/(1+$B23)^('DCF Model'!C19+4)+('DCF Model'!G39+'DCF Model'!G42)*H$17/(1+$B23)^('DCF Model'!C19+4)-'DCF Model'!C16)*1000000/'DCF Model'!C15,0),"")</f>
        <v>444</v>
      </c>
      <c r="I23" s="38">
        <f>IFERROR(ROUND(('DCF Model'!C45/(1+$B23)^('DCF Model'!C19+0)+'DCF Model'!D45/(1+$B23)^('DCF Model'!C19+1)+'DCF Model'!E45/(1+$B23)^('DCF Model'!C19+2)+'DCF Model'!F45/(1+$B23)^('DCF Model'!C19+3)+'DCF Model'!G45/(1+$B23)^('DCF Model'!C19+4)+('DCF Model'!G39+'DCF Model'!G42)*I$17/(1+$B23)^('DCF Model'!C19+4)-'DCF Model'!C16)*1000000/'DCF Model'!C15,0),"")</f>
        <v>485</v>
      </c>
    </row>
    <row r="24" spans="2:9" ht="13.5" customHeight="1" x14ac:dyDescent="0.25">
      <c r="B24" s="40">
        <f>$C$3+0.015</f>
        <v>9.5415999999999987E-2</v>
      </c>
      <c r="C24" s="38">
        <f>IFERROR(ROUND(('DCF Model'!C45/(1+$B24)^('DCF Model'!C19+0)+'DCF Model'!D45/(1+$B24)^('DCF Model'!C19+1)+'DCF Model'!E45/(1+$B24)^('DCF Model'!C19+2)+'DCF Model'!F45/(1+$B24)^('DCF Model'!C19+3)+'DCF Model'!G45/(1+$B24)^('DCF Model'!C19+4)+('DCF Model'!G39+'DCF Model'!G42)*C$17/(1+$B24)^('DCF Model'!C19+4)-'DCF Model'!C16)*1000000/'DCF Model'!C15,0),"")</f>
        <v>236</v>
      </c>
      <c r="D24" s="38">
        <f>IFERROR(ROUND(('DCF Model'!C45/(1+$B24)^('DCF Model'!C19+0)+'DCF Model'!D45/(1+$B24)^('DCF Model'!C19+1)+'DCF Model'!E45/(1+$B24)^('DCF Model'!C19+2)+'DCF Model'!F45/(1+$B24)^('DCF Model'!C19+3)+'DCF Model'!G45/(1+$B24)^('DCF Model'!C19+4)+('DCF Model'!G39+'DCF Model'!G42)*D$17/(1+$B24)^('DCF Model'!C19+4)-'DCF Model'!C16)*1000000/'DCF Model'!C15,0),"")</f>
        <v>276</v>
      </c>
      <c r="E24" s="38">
        <f>IFERROR(ROUND(('DCF Model'!C45/(1+$B24)^('DCF Model'!C19+0)+'DCF Model'!D45/(1+$B24)^('DCF Model'!C19+1)+'DCF Model'!E45/(1+$B24)^('DCF Model'!C19+2)+'DCF Model'!F45/(1+$B24)^('DCF Model'!C19+3)+'DCF Model'!G45/(1+$B24)^('DCF Model'!C19+4)+('DCF Model'!G39+'DCF Model'!G42)*E$17/(1+$B24)^('DCF Model'!C19+4)-'DCF Model'!C16)*1000000/'DCF Model'!C15,0),"")</f>
        <v>316</v>
      </c>
      <c r="F24" s="38">
        <f>IFERROR(ROUND(('DCF Model'!C45/(1+$B24)^('DCF Model'!C19+0)+'DCF Model'!D45/(1+$B24)^('DCF Model'!C19+1)+'DCF Model'!E45/(1+$B24)^('DCF Model'!C19+2)+'DCF Model'!F45/(1+$B24)^('DCF Model'!C19+3)+'DCF Model'!G45/(1+$B24)^('DCF Model'!C19+4)+('DCF Model'!G39+'DCF Model'!G42)*F$17/(1+$B24)^('DCF Model'!C19+4)-'DCF Model'!C16)*1000000/'DCF Model'!C15,0),"")</f>
        <v>355</v>
      </c>
      <c r="G24" s="38">
        <f>IFERROR(ROUND(('DCF Model'!C45/(1+$B24)^('DCF Model'!C19+0)+'DCF Model'!D45/(1+$B24)^('DCF Model'!C19+1)+'DCF Model'!E45/(1+$B24)^('DCF Model'!C19+2)+'DCF Model'!F45/(1+$B24)^('DCF Model'!C19+3)+'DCF Model'!G45/(1+$B24)^('DCF Model'!C19+4)+('DCF Model'!G39+'DCF Model'!G42)*G$17/(1+$B24)^('DCF Model'!C19+4)-'DCF Model'!C16)*1000000/'DCF Model'!C15,0),"")</f>
        <v>395</v>
      </c>
      <c r="H24" s="38">
        <f>IFERROR(ROUND(('DCF Model'!C45/(1+$B24)^('DCF Model'!C19+0)+'DCF Model'!D45/(1+$B24)^('DCF Model'!C19+1)+'DCF Model'!E45/(1+$B24)^('DCF Model'!C19+2)+'DCF Model'!F45/(1+$B24)^('DCF Model'!C19+3)+'DCF Model'!G45/(1+$B24)^('DCF Model'!C19+4)+('DCF Model'!G39+'DCF Model'!G42)*H$17/(1+$B24)^('DCF Model'!C19+4)-'DCF Model'!C16)*1000000/'DCF Model'!C15,0),"")</f>
        <v>435</v>
      </c>
      <c r="I24" s="38">
        <f>IFERROR(ROUND(('DCF Model'!C45/(1+$B24)^('DCF Model'!C19+0)+'DCF Model'!D45/(1+$B24)^('DCF Model'!C19+1)+'DCF Model'!E45/(1+$B24)^('DCF Model'!C19+2)+'DCF Model'!F45/(1+$B24)^('DCF Model'!C19+3)+'DCF Model'!G45/(1+$B24)^('DCF Model'!C19+4)+('DCF Model'!G39+'DCF Model'!G42)*I$17/(1+$B24)^('DCF Model'!C19+4)-'DCF Model'!C16)*1000000/'DCF Model'!C15,0),"")</f>
        <v>474</v>
      </c>
    </row>
    <row r="26" spans="2:9" ht="14" customHeight="1" x14ac:dyDescent="0.3">
      <c r="B26" s="71" t="s">
        <v>237</v>
      </c>
      <c r="C26" s="70"/>
      <c r="D26" s="70"/>
      <c r="E26" s="70"/>
      <c r="F26" s="70"/>
      <c r="G26" s="70"/>
      <c r="H26" s="70"/>
      <c r="I26" s="70"/>
    </row>
  </sheetData>
  <mergeCells count="1">
    <mergeCell ref="B26:I26"/>
  </mergeCells>
  <phoneticPr fontId="8"/>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08080"/>
  </sheetPr>
  <dimension ref="B2:G62"/>
  <sheetViews>
    <sheetView workbookViewId="0"/>
  </sheetViews>
  <sheetFormatPr defaultRowHeight="13" x14ac:dyDescent="0.2"/>
  <cols>
    <col min="1" max="1" width="3" customWidth="1"/>
    <col min="2" max="2" width="14" customWidth="1"/>
    <col min="3" max="3" width="16" customWidth="1"/>
    <col min="4" max="5" width="46" customWidth="1"/>
    <col min="6" max="6" width="20" customWidth="1"/>
    <col min="7" max="7" width="12" customWidth="1"/>
  </cols>
  <sheetData>
    <row r="2" spans="2:7" ht="18" customHeight="1" x14ac:dyDescent="0.4">
      <c r="B2" s="2" t="s">
        <v>238</v>
      </c>
    </row>
    <row r="4" spans="2:7" ht="14" customHeight="1" x14ac:dyDescent="0.3">
      <c r="B4" s="10" t="s">
        <v>239</v>
      </c>
      <c r="C4" s="10" t="s">
        <v>240</v>
      </c>
      <c r="D4" s="10" t="s">
        <v>241</v>
      </c>
      <c r="E4" s="10" t="s">
        <v>242</v>
      </c>
      <c r="F4" s="10" t="s">
        <v>243</v>
      </c>
      <c r="G4" s="10" t="s">
        <v>244</v>
      </c>
    </row>
    <row r="5" spans="2:7" x14ac:dyDescent="0.2">
      <c r="B5" t="s">
        <v>245</v>
      </c>
      <c r="C5" t="s">
        <v>246</v>
      </c>
      <c r="D5" t="s">
        <v>247</v>
      </c>
      <c r="E5" t="s">
        <v>248</v>
      </c>
      <c r="F5" t="s">
        <v>246</v>
      </c>
      <c r="G5" t="s">
        <v>249</v>
      </c>
    </row>
    <row r="6" spans="2:7" ht="30" customHeight="1" x14ac:dyDescent="0.3">
      <c r="B6" t="s">
        <v>245</v>
      </c>
      <c r="C6" s="4" t="s">
        <v>250</v>
      </c>
      <c r="D6" t="s">
        <v>251</v>
      </c>
      <c r="E6" t="s">
        <v>252</v>
      </c>
      <c r="F6" t="s">
        <v>253</v>
      </c>
      <c r="G6" t="s">
        <v>254</v>
      </c>
    </row>
    <row r="12" spans="2:7" ht="14" customHeight="1" x14ac:dyDescent="0.3">
      <c r="B12" s="8" t="s">
        <v>255</v>
      </c>
    </row>
    <row r="13" spans="2:7" ht="14" customHeight="1" x14ac:dyDescent="0.3">
      <c r="B13" s="10" t="s">
        <v>256</v>
      </c>
      <c r="C13" s="10" t="s">
        <v>257</v>
      </c>
    </row>
    <row r="14" spans="2:7" ht="14" customHeight="1" x14ac:dyDescent="0.3">
      <c r="B14" s="4" t="s">
        <v>258</v>
      </c>
      <c r="C14" t="s">
        <v>259</v>
      </c>
    </row>
    <row r="15" spans="2:7" ht="14" customHeight="1" x14ac:dyDescent="0.3">
      <c r="B15" s="4" t="s">
        <v>260</v>
      </c>
      <c r="C15" t="s">
        <v>261</v>
      </c>
    </row>
    <row r="16" spans="2:7" ht="14" customHeight="1" x14ac:dyDescent="0.3">
      <c r="B16" s="4" t="s">
        <v>262</v>
      </c>
      <c r="C16" t="s">
        <v>263</v>
      </c>
    </row>
    <row r="17" spans="2:3" ht="14" customHeight="1" x14ac:dyDescent="0.3">
      <c r="B17" s="4" t="s">
        <v>264</v>
      </c>
      <c r="C17" t="s">
        <v>265</v>
      </c>
    </row>
    <row r="18" spans="2:3" ht="14" customHeight="1" x14ac:dyDescent="0.3">
      <c r="B18" s="4" t="s">
        <v>266</v>
      </c>
      <c r="C18" t="s">
        <v>263</v>
      </c>
    </row>
    <row r="19" spans="2:3" ht="14" customHeight="1" x14ac:dyDescent="0.3">
      <c r="B19" s="4" t="s">
        <v>267</v>
      </c>
      <c r="C19" t="s">
        <v>268</v>
      </c>
    </row>
    <row r="20" spans="2:3" ht="14" customHeight="1" x14ac:dyDescent="0.3">
      <c r="B20" s="4" t="s">
        <v>269</v>
      </c>
      <c r="C20" t="s">
        <v>270</v>
      </c>
    </row>
    <row r="21" spans="2:3" ht="14" customHeight="1" x14ac:dyDescent="0.3">
      <c r="B21" s="4" t="s">
        <v>271</v>
      </c>
      <c r="C21" t="s">
        <v>272</v>
      </c>
    </row>
    <row r="22" spans="2:3" ht="14" customHeight="1" x14ac:dyDescent="0.3">
      <c r="B22" s="4" t="s">
        <v>273</v>
      </c>
      <c r="C22" t="s">
        <v>274</v>
      </c>
    </row>
    <row r="23" spans="2:3" ht="14" customHeight="1" x14ac:dyDescent="0.3">
      <c r="B23" s="4" t="s">
        <v>275</v>
      </c>
      <c r="C23" t="s">
        <v>276</v>
      </c>
    </row>
    <row r="24" spans="2:3" ht="14" customHeight="1" x14ac:dyDescent="0.3">
      <c r="B24" s="4" t="s">
        <v>277</v>
      </c>
      <c r="C24" t="s">
        <v>4</v>
      </c>
    </row>
    <row r="25" spans="2:3" ht="14" customHeight="1" x14ac:dyDescent="0.3">
      <c r="B25" s="4" t="s">
        <v>278</v>
      </c>
      <c r="C25" t="s">
        <v>245</v>
      </c>
    </row>
    <row r="26" spans="2:3" ht="14" customHeight="1" x14ac:dyDescent="0.3">
      <c r="B26" s="4" t="s">
        <v>279</v>
      </c>
      <c r="C26" t="s">
        <v>280</v>
      </c>
    </row>
    <row r="27" spans="2:3" ht="14" customHeight="1" x14ac:dyDescent="0.3">
      <c r="B27" s="4" t="s">
        <v>281</v>
      </c>
      <c r="C27" t="s">
        <v>268</v>
      </c>
    </row>
    <row r="28" spans="2:3" ht="14" customHeight="1" x14ac:dyDescent="0.3">
      <c r="B28" s="4" t="s">
        <v>282</v>
      </c>
      <c r="C28" t="s">
        <v>283</v>
      </c>
    </row>
    <row r="29" spans="2:3" ht="14" customHeight="1" x14ac:dyDescent="0.3">
      <c r="B29" s="4" t="s">
        <v>284</v>
      </c>
    </row>
    <row r="30" spans="2:3" ht="14" customHeight="1" x14ac:dyDescent="0.3">
      <c r="B30" s="4" t="s">
        <v>285</v>
      </c>
      <c r="C30" t="s">
        <v>286</v>
      </c>
    </row>
    <row r="31" spans="2:3" ht="14" customHeight="1" x14ac:dyDescent="0.3">
      <c r="B31" s="4" t="s">
        <v>287</v>
      </c>
      <c r="C31" t="s">
        <v>288</v>
      </c>
    </row>
    <row r="32" spans="2:3" ht="14" customHeight="1" x14ac:dyDescent="0.3">
      <c r="B32" s="4" t="s">
        <v>289</v>
      </c>
      <c r="C32" t="s">
        <v>290</v>
      </c>
    </row>
    <row r="33" spans="2:3" ht="14" customHeight="1" x14ac:dyDescent="0.3">
      <c r="B33" s="4" t="s">
        <v>291</v>
      </c>
      <c r="C33" t="s">
        <v>268</v>
      </c>
    </row>
    <row r="34" spans="2:3" ht="14" customHeight="1" x14ac:dyDescent="0.3">
      <c r="B34" s="4" t="s">
        <v>292</v>
      </c>
      <c r="C34" t="s">
        <v>293</v>
      </c>
    </row>
    <row r="35" spans="2:3" ht="14" customHeight="1" x14ac:dyDescent="0.3">
      <c r="B35" s="4" t="s">
        <v>294</v>
      </c>
      <c r="C35" t="s">
        <v>295</v>
      </c>
    </row>
    <row r="36" spans="2:3" ht="14" customHeight="1" x14ac:dyDescent="0.3">
      <c r="B36" s="4" t="s">
        <v>296</v>
      </c>
      <c r="C36" t="s">
        <v>297</v>
      </c>
    </row>
    <row r="37" spans="2:3" ht="14" customHeight="1" x14ac:dyDescent="0.3">
      <c r="B37" s="4" t="s">
        <v>298</v>
      </c>
      <c r="C37" t="s">
        <v>299</v>
      </c>
    </row>
    <row r="38" spans="2:3" ht="14" customHeight="1" x14ac:dyDescent="0.3">
      <c r="B38" s="4" t="s">
        <v>300</v>
      </c>
      <c r="C38" t="s">
        <v>301</v>
      </c>
    </row>
    <row r="39" spans="2:3" ht="14" customHeight="1" x14ac:dyDescent="0.3">
      <c r="B39" s="4" t="s">
        <v>302</v>
      </c>
      <c r="C39" t="s">
        <v>303</v>
      </c>
    </row>
    <row r="40" spans="2:3" ht="14" customHeight="1" x14ac:dyDescent="0.3">
      <c r="B40" s="4" t="s">
        <v>304</v>
      </c>
      <c r="C40" t="s">
        <v>305</v>
      </c>
    </row>
    <row r="41" spans="2:3" ht="14" customHeight="1" x14ac:dyDescent="0.3">
      <c r="B41" s="4" t="s">
        <v>306</v>
      </c>
      <c r="C41" t="s">
        <v>272</v>
      </c>
    </row>
    <row r="42" spans="2:3" ht="14" customHeight="1" x14ac:dyDescent="0.3">
      <c r="B42" s="4" t="s">
        <v>307</v>
      </c>
      <c r="C42" t="s">
        <v>308</v>
      </c>
    </row>
    <row r="43" spans="2:3" ht="14" customHeight="1" x14ac:dyDescent="0.3">
      <c r="B43" s="4" t="s">
        <v>309</v>
      </c>
      <c r="C43" t="s">
        <v>310</v>
      </c>
    </row>
    <row r="44" spans="2:3" ht="14" customHeight="1" x14ac:dyDescent="0.3">
      <c r="B44" s="4" t="s">
        <v>311</v>
      </c>
      <c r="C44" t="s">
        <v>312</v>
      </c>
    </row>
    <row r="45" spans="2:3" ht="14" customHeight="1" x14ac:dyDescent="0.3">
      <c r="B45" s="4" t="s">
        <v>313</v>
      </c>
      <c r="C45" t="s">
        <v>314</v>
      </c>
    </row>
    <row r="46" spans="2:3" ht="14" customHeight="1" x14ac:dyDescent="0.3">
      <c r="B46" s="4" t="s">
        <v>315</v>
      </c>
      <c r="C46" t="s">
        <v>316</v>
      </c>
    </row>
    <row r="47" spans="2:3" ht="14" customHeight="1" x14ac:dyDescent="0.3">
      <c r="B47" s="4" t="s">
        <v>317</v>
      </c>
      <c r="C47" t="s">
        <v>318</v>
      </c>
    </row>
    <row r="48" spans="2:3" ht="14" customHeight="1" x14ac:dyDescent="0.3">
      <c r="B48" s="4" t="s">
        <v>319</v>
      </c>
      <c r="C48" t="s">
        <v>320</v>
      </c>
    </row>
    <row r="49" spans="2:3" ht="14" customHeight="1" x14ac:dyDescent="0.3">
      <c r="B49" s="4" t="s">
        <v>321</v>
      </c>
      <c r="C49" t="s">
        <v>322</v>
      </c>
    </row>
    <row r="50" spans="2:3" ht="14" customHeight="1" x14ac:dyDescent="0.3">
      <c r="B50" s="4" t="s">
        <v>323</v>
      </c>
      <c r="C50" t="s">
        <v>324</v>
      </c>
    </row>
    <row r="51" spans="2:3" ht="14" customHeight="1" x14ac:dyDescent="0.3">
      <c r="B51" s="4" t="s">
        <v>325</v>
      </c>
      <c r="C51" t="s">
        <v>326</v>
      </c>
    </row>
    <row r="52" spans="2:3" ht="14" customHeight="1" x14ac:dyDescent="0.3">
      <c r="B52" s="4" t="s">
        <v>327</v>
      </c>
      <c r="C52" t="s">
        <v>328</v>
      </c>
    </row>
    <row r="53" spans="2:3" ht="14" customHeight="1" x14ac:dyDescent="0.3">
      <c r="B53" s="4" t="s">
        <v>329</v>
      </c>
      <c r="C53" t="s">
        <v>330</v>
      </c>
    </row>
    <row r="54" spans="2:3" ht="14" customHeight="1" x14ac:dyDescent="0.3">
      <c r="B54" s="4" t="s">
        <v>331</v>
      </c>
      <c r="C54" t="s">
        <v>332</v>
      </c>
    </row>
    <row r="55" spans="2:3" ht="14" customHeight="1" x14ac:dyDescent="0.3">
      <c r="B55" s="4" t="s">
        <v>333</v>
      </c>
      <c r="C55" t="s">
        <v>334</v>
      </c>
    </row>
    <row r="56" spans="2:3" ht="14" customHeight="1" x14ac:dyDescent="0.3">
      <c r="B56" s="4" t="s">
        <v>335</v>
      </c>
      <c r="C56" t="s">
        <v>293</v>
      </c>
    </row>
    <row r="57" spans="2:3" ht="14" customHeight="1" x14ac:dyDescent="0.3">
      <c r="B57" s="4" t="s">
        <v>336</v>
      </c>
      <c r="C57" t="s">
        <v>337</v>
      </c>
    </row>
    <row r="58" spans="2:3" ht="14" customHeight="1" x14ac:dyDescent="0.3">
      <c r="B58" s="4" t="s">
        <v>338</v>
      </c>
      <c r="C58" t="s">
        <v>339</v>
      </c>
    </row>
    <row r="59" spans="2:3" ht="14" customHeight="1" x14ac:dyDescent="0.3">
      <c r="B59" s="4" t="s">
        <v>340</v>
      </c>
      <c r="C59" t="s">
        <v>341</v>
      </c>
    </row>
    <row r="60" spans="2:3" ht="14" customHeight="1" x14ac:dyDescent="0.3">
      <c r="B60" s="4" t="s">
        <v>342</v>
      </c>
      <c r="C60" t="s">
        <v>343</v>
      </c>
    </row>
    <row r="61" spans="2:3" ht="14" customHeight="1" x14ac:dyDescent="0.3">
      <c r="B61" s="4" t="s">
        <v>344</v>
      </c>
      <c r="C61" t="s">
        <v>345</v>
      </c>
    </row>
    <row r="62" spans="2:3" ht="14" customHeight="1" x14ac:dyDescent="0.3">
      <c r="B62" s="4" t="s">
        <v>346</v>
      </c>
      <c r="C62" t="s">
        <v>207</v>
      </c>
    </row>
  </sheetData>
  <phoneticPr fontId="8"/>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4E78"/>
  </sheetPr>
  <dimension ref="B2:K39"/>
  <sheetViews>
    <sheetView workbookViewId="0">
      <pane xSplit="2" ySplit="5" topLeftCell="C6" activePane="bottomRight" state="frozen"/>
      <selection pane="topRight"/>
      <selection pane="bottomLeft"/>
      <selection pane="bottomRight"/>
    </sheetView>
  </sheetViews>
  <sheetFormatPr defaultRowHeight="13" x14ac:dyDescent="0.2"/>
  <cols>
    <col min="1" max="1" width="3" customWidth="1"/>
    <col min="2" max="2" width="28" customWidth="1"/>
    <col min="3" max="11" width="13" customWidth="1"/>
  </cols>
  <sheetData>
    <row r="2" spans="2:3" ht="18" x14ac:dyDescent="0.4">
      <c r="B2" s="2" t="s">
        <v>347</v>
      </c>
    </row>
    <row r="3" spans="2:3" ht="14" x14ac:dyDescent="0.3">
      <c r="B3" s="47" t="s">
        <v>348</v>
      </c>
    </row>
    <row r="5" spans="2:3" ht="14" x14ac:dyDescent="0.3">
      <c r="B5" s="3" t="s">
        <v>349</v>
      </c>
    </row>
    <row r="6" spans="2:3" ht="14" x14ac:dyDescent="0.3">
      <c r="B6" s="4" t="s">
        <v>67</v>
      </c>
      <c r="C6" s="48">
        <f>'DCF Model'!C7</f>
        <v>2.9700000000000001E-2</v>
      </c>
    </row>
    <row r="7" spans="2:3" ht="14" x14ac:dyDescent="0.3">
      <c r="B7" s="4" t="s">
        <v>68</v>
      </c>
      <c r="C7" s="49">
        <f>'DCF Model'!C8</f>
        <v>0.62639999999999996</v>
      </c>
    </row>
    <row r="8" spans="2:3" ht="14" x14ac:dyDescent="0.3">
      <c r="B8" s="4" t="s">
        <v>69</v>
      </c>
      <c r="C8" s="48">
        <f>'DCF Model'!C9</f>
        <v>6.5000000000000002E-2</v>
      </c>
    </row>
    <row r="9" spans="2:3" ht="14" x14ac:dyDescent="0.3">
      <c r="B9" s="4" t="s">
        <v>82</v>
      </c>
      <c r="C9" s="48">
        <f>'DCF Model'!C23</f>
        <v>8.0415999999999987E-2</v>
      </c>
    </row>
    <row r="10" spans="2:3" ht="14" x14ac:dyDescent="0.3">
      <c r="B10" s="4" t="s">
        <v>223</v>
      </c>
      <c r="C10" s="50">
        <f>'DCF Model'!C15</f>
        <v>1167997856</v>
      </c>
    </row>
    <row r="11" spans="2:3" ht="14" x14ac:dyDescent="0.3">
      <c r="B11" s="4" t="s">
        <v>350</v>
      </c>
      <c r="C11" s="51">
        <f>'Executive Summary'!C9</f>
        <v>340</v>
      </c>
    </row>
    <row r="12" spans="2:3" ht="14" x14ac:dyDescent="0.3">
      <c r="B12" s="4" t="s">
        <v>135</v>
      </c>
      <c r="C12" s="52">
        <v>0.01</v>
      </c>
    </row>
    <row r="14" spans="2:3" ht="14" x14ac:dyDescent="0.3">
      <c r="B14" s="4" t="s">
        <v>351</v>
      </c>
      <c r="C14" s="53" t="str">
        <f>IF($C$9&lt;=$C$12,"ERROR: Ke &lt;= g, model invalid","OK")</f>
        <v>OK</v>
      </c>
    </row>
    <row r="16" spans="2:3" ht="14" x14ac:dyDescent="0.3">
      <c r="B16" s="3" t="s">
        <v>352</v>
      </c>
    </row>
    <row r="17" spans="2:11" ht="14" x14ac:dyDescent="0.3">
      <c r="C17" s="54" t="s">
        <v>89</v>
      </c>
      <c r="D17" s="54" t="s">
        <v>90</v>
      </c>
      <c r="E17" s="54" t="s">
        <v>91</v>
      </c>
      <c r="F17" s="54" t="s">
        <v>92</v>
      </c>
      <c r="G17" s="54" t="s">
        <v>93</v>
      </c>
    </row>
    <row r="18" spans="2:11" ht="14" x14ac:dyDescent="0.3">
      <c r="B18" s="4" t="s">
        <v>353</v>
      </c>
      <c r="C18" s="55">
        <v>11</v>
      </c>
      <c r="D18" s="55">
        <v>11.5</v>
      </c>
      <c r="E18" s="55">
        <v>12</v>
      </c>
      <c r="F18" s="55">
        <v>12.5</v>
      </c>
      <c r="G18" s="55">
        <v>13</v>
      </c>
      <c r="H18" s="47" t="s">
        <v>354</v>
      </c>
    </row>
    <row r="19" spans="2:11" ht="14" x14ac:dyDescent="0.3">
      <c r="B19" s="4" t="s">
        <v>105</v>
      </c>
      <c r="C19" s="56">
        <f>1/(1+$C$9)^1</f>
        <v>0.92556941030121731</v>
      </c>
      <c r="D19" s="56">
        <f>1/(1+$C$9)^2</f>
        <v>0.85667873328534305</v>
      </c>
      <c r="E19" s="56">
        <f>1/(1+$C$9)^3</f>
        <v>0.79291562998450871</v>
      </c>
      <c r="F19" s="56">
        <f>1/(1+$C$9)^4</f>
        <v>0.73389845206338</v>
      </c>
      <c r="G19" s="56">
        <f>1/(1+$C$9)^5</f>
        <v>0.67927395749727881</v>
      </c>
    </row>
    <row r="20" spans="2:11" ht="14" x14ac:dyDescent="0.3">
      <c r="B20" s="4" t="s">
        <v>355</v>
      </c>
      <c r="C20" s="49">
        <f>C18*C19</f>
        <v>10.18126351331339</v>
      </c>
      <c r="D20" s="49">
        <f>D18*D19</f>
        <v>9.851805432781445</v>
      </c>
      <c r="E20" s="49">
        <f>E18*E19</f>
        <v>9.514987559814104</v>
      </c>
      <c r="F20" s="49">
        <f>F18*F19</f>
        <v>9.1737306507922494</v>
      </c>
      <c r="G20" s="49">
        <f>G18*G19</f>
        <v>8.8305614474646248</v>
      </c>
    </row>
    <row r="22" spans="2:11" ht="14" x14ac:dyDescent="0.3">
      <c r="B22" s="3" t="s">
        <v>356</v>
      </c>
    </row>
    <row r="23" spans="2:11" ht="14" x14ac:dyDescent="0.3">
      <c r="B23" s="4" t="s">
        <v>357</v>
      </c>
      <c r="C23" s="49">
        <f>SUM(C20:G20)</f>
        <v>47.552348604165815</v>
      </c>
    </row>
    <row r="24" spans="2:11" ht="14" x14ac:dyDescent="0.3">
      <c r="B24" s="4" t="s">
        <v>358</v>
      </c>
      <c r="C24" s="49">
        <f>G18*(1+$C$12)/($C$9-$C$12)</f>
        <v>186.46330379459218</v>
      </c>
    </row>
    <row r="25" spans="2:11" ht="14" x14ac:dyDescent="0.3">
      <c r="B25" s="4" t="s">
        <v>110</v>
      </c>
      <c r="C25" s="49">
        <f>C24*G19</f>
        <v>126.65966629656999</v>
      </c>
    </row>
    <row r="26" spans="2:11" ht="14" x14ac:dyDescent="0.3">
      <c r="B26" s="57" t="s">
        <v>359</v>
      </c>
      <c r="C26" s="58">
        <f>ROUND(C23+C25,0)</f>
        <v>174</v>
      </c>
    </row>
    <row r="27" spans="2:11" ht="14" x14ac:dyDescent="0.3">
      <c r="B27" s="4" t="s">
        <v>360</v>
      </c>
      <c r="C27" s="59">
        <f>C26/$C$11-1</f>
        <v>-0.4882352941176471</v>
      </c>
    </row>
    <row r="29" spans="2:11" ht="14" x14ac:dyDescent="0.3">
      <c r="B29" s="3" t="s">
        <v>361</v>
      </c>
    </row>
    <row r="30" spans="2:11" ht="14" x14ac:dyDescent="0.3">
      <c r="B30" s="4" t="s">
        <v>362</v>
      </c>
      <c r="C30" s="60">
        <v>0</v>
      </c>
      <c r="D30" s="60">
        <v>2.5000000000000001E-3</v>
      </c>
      <c r="E30" s="60">
        <v>5.0000000000000001E-3</v>
      </c>
      <c r="F30" s="60">
        <v>7.4999999999999997E-3</v>
      </c>
      <c r="G30" s="60">
        <v>0.01</v>
      </c>
      <c r="H30" s="60">
        <v>1.2500000000000001E-2</v>
      </c>
      <c r="I30" s="60">
        <v>1.4999999999999999E-2</v>
      </c>
      <c r="J30" s="60">
        <v>1.7500000000000002E-2</v>
      </c>
      <c r="K30" s="60">
        <v>0.02</v>
      </c>
    </row>
    <row r="31" spans="2:11" ht="14" x14ac:dyDescent="0.3">
      <c r="B31" s="61">
        <v>7.0000000000000007E-2</v>
      </c>
      <c r="C31" s="62">
        <f>IF($B31&lt;=C$30,"",ROUND(SUMPRODUCT($C$18:$G$18,1/(1+$B31)^{1,2,3,4,5})+G18*(1+C$30)/($B31-C$30)/(1+$B31)^5,0))</f>
        <v>181</v>
      </c>
      <c r="D31" s="62">
        <f>IF($B31&lt;=D$30,"",ROUND(SUMPRODUCT($C$18:$G$18,1/(1+$B31)^{1,2,3,4,5})+G18*(1+D$30)/($B31-D$30)/(1+$B31)^5,0))</f>
        <v>187</v>
      </c>
      <c r="E31" s="62">
        <f>IF($B31&lt;=E$30,"",ROUND(SUMPRODUCT($C$18:$G$18,1/(1+$B31)^{1,2,3,4,5})+G18*(1+E$30)/($B31-E$30)/(1+$B31)^5,0))</f>
        <v>192</v>
      </c>
      <c r="F31" s="62">
        <f>IF($B31&lt;=F$30,"",ROUND(SUMPRODUCT($C$18:$G$18,1/(1+$B31)^{1,2,3,4,5})+G18*(1+F$30)/($B31-F$30)/(1+$B31)^5,0))</f>
        <v>198</v>
      </c>
      <c r="G31" s="62">
        <f>IF($B31&lt;=G$30,"",ROUND(SUMPRODUCT($C$18:$G$18,1/(1+$B31)^{1,2,3,4,5})+G18*(1+G$30)/($B31-G$30)/(1+$B31)^5,0))</f>
        <v>205</v>
      </c>
      <c r="H31" s="62">
        <f>IF($B31&lt;=H$30,"",ROUND(SUMPRODUCT($C$18:$G$18,1/(1+$B31)^{1,2,3,4,5})+G18*(1+H$30)/($B31-H$30)/(1+$B31)^5,0))</f>
        <v>212</v>
      </c>
      <c r="I31" s="62">
        <f>IF($B31&lt;=I$30,"",ROUND(SUMPRODUCT($C$18:$G$18,1/(1+$B31)^{1,2,3,4,5})+G18*(1+I$30)/($B31-I$30)/(1+$B31)^5,0))</f>
        <v>220</v>
      </c>
      <c r="J31" s="62">
        <f>IF($B31&lt;=J$30,"",ROUND(SUMPRODUCT($C$18:$G$18,1/(1+$B31)^{1,2,3,4,5})+G18*(1+J$30)/($B31-J$30)/(1+$B31)^5,0))</f>
        <v>229</v>
      </c>
      <c r="K31" s="62">
        <f>IF($B31&lt;=K$30,"",ROUND(SUMPRODUCT($C$18:$G$18,1/(1+$B31)^{1,2,3,4,5})+G18*(1+K$30)/($B31-K$30)/(1+$B31)^5,0))</f>
        <v>238</v>
      </c>
    </row>
    <row r="32" spans="2:11" ht="14" x14ac:dyDescent="0.3">
      <c r="B32" s="61">
        <v>7.2499999999999995E-2</v>
      </c>
      <c r="C32" s="62">
        <f>IF($B32&lt;=C$30,"",ROUND(SUMPRODUCT($C$18:$G$18,1/(1+$B32)^{1,2,3,4,5})+G18*(1+C$30)/($B32-C$30)/(1+$B32)^5,0))</f>
        <v>175</v>
      </c>
      <c r="D32" s="62">
        <f>IF($B32&lt;=D$30,"",ROUND(SUMPRODUCT($C$18:$G$18,1/(1+$B32)^{1,2,3,4,5})+G18*(1+D$30)/($B32-D$30)/(1+$B32)^5,0))</f>
        <v>180</v>
      </c>
      <c r="E32" s="62">
        <f>IF($B32&lt;=E$30,"",ROUND(SUMPRODUCT($C$18:$G$18,1/(1+$B32)^{1,2,3,4,5})+G18*(1+E$30)/($B32-E$30)/(1+$B32)^5,0))</f>
        <v>185</v>
      </c>
      <c r="F32" s="62">
        <f>IF($B32&lt;=F$30,"",ROUND(SUMPRODUCT($C$18:$G$18,1/(1+$B32)^{1,2,3,4,5})+G18*(1+F$30)/($B32-F$30)/(1+$B32)^5,0))</f>
        <v>191</v>
      </c>
      <c r="G32" s="62">
        <f>IF($B32&lt;=G$30,"",ROUND(SUMPRODUCT($C$18:$G$18,1/(1+$B32)^{1,2,3,4,5})+G18*(1+G$30)/($B32-G$30)/(1+$B32)^5,0))</f>
        <v>197</v>
      </c>
      <c r="H32" s="62">
        <f>IF($B32&lt;=H$30,"",ROUND(SUMPRODUCT($C$18:$G$18,1/(1+$B32)^{1,2,3,4,5})+G18*(1+H$30)/($B32-H$30)/(1+$B32)^5,0))</f>
        <v>203</v>
      </c>
      <c r="I32" s="62">
        <f>IF($B32&lt;=I$30,"",ROUND(SUMPRODUCT($C$18:$G$18,1/(1+$B32)^{1,2,3,4,5})+G18*(1+I$30)/($B32-I$30)/(1+$B32)^5,0))</f>
        <v>210</v>
      </c>
      <c r="J32" s="62">
        <f>IF($B32&lt;=J$30,"",ROUND(SUMPRODUCT($C$18:$G$18,1/(1+$B32)^{1,2,3,4,5})+G18*(1+J$30)/($B32-J$30)/(1+$B32)^5,0))</f>
        <v>218</v>
      </c>
      <c r="K32" s="62">
        <f>IF($B32&lt;=K$30,"",ROUND(SUMPRODUCT($C$18:$G$18,1/(1+$B32)^{1,2,3,4,5})+G18*(1+K$30)/($B32-K$30)/(1+$B32)^5,0))</f>
        <v>227</v>
      </c>
    </row>
    <row r="33" spans="2:11" ht="14" x14ac:dyDescent="0.3">
      <c r="B33" s="61">
        <v>7.4999999999999997E-2</v>
      </c>
      <c r="C33" s="62">
        <f>IF($B33&lt;=C$30,"",ROUND(SUMPRODUCT($C$18:$G$18,1/(1+$B33)^{1,2,3,4,5})+G18*(1+C$30)/($B33-C$30)/(1+$B33)^5,0))</f>
        <v>169</v>
      </c>
      <c r="D33" s="62">
        <f>IF($B33&lt;=D$30,"",ROUND(SUMPRODUCT($C$18:$G$18,1/(1+$B33)^{1,2,3,4,5})+G18*(1+D$30)/($B33-D$30)/(1+$B33)^5,0))</f>
        <v>173</v>
      </c>
      <c r="E33" s="62">
        <f>IF($B33&lt;=E$30,"",ROUND(SUMPRODUCT($C$18:$G$18,1/(1+$B33)^{1,2,3,4,5})+G18*(1+E$30)/($B33-E$30)/(1+$B33)^5,0))</f>
        <v>178</v>
      </c>
      <c r="F33" s="62">
        <f>IF($B33&lt;=F$30,"",ROUND(SUMPRODUCT($C$18:$G$18,1/(1+$B33)^{1,2,3,4,5})+G18*(1+F$30)/($B33-F$30)/(1+$B33)^5,0))</f>
        <v>183</v>
      </c>
      <c r="G33" s="62">
        <f>IF($B33&lt;=G$30,"",ROUND(SUMPRODUCT($C$18:$G$18,1/(1+$B33)^{1,2,3,4,5})+G18*(1+G$30)/($B33-G$30)/(1+$B33)^5,0))</f>
        <v>189</v>
      </c>
      <c r="H33" s="62">
        <f>IF($B33&lt;=H$30,"",ROUND(SUMPRODUCT($C$18:$G$18,1/(1+$B33)^{1,2,3,4,5})+G18*(1+H$30)/($B33-H$30)/(1+$B33)^5,0))</f>
        <v>195</v>
      </c>
      <c r="I33" s="62">
        <f>IF($B33&lt;=I$30,"",ROUND(SUMPRODUCT($C$18:$G$18,1/(1+$B33)^{1,2,3,4,5})+G18*(1+I$30)/($B33-I$30)/(1+$B33)^5,0))</f>
        <v>201</v>
      </c>
      <c r="J33" s="62">
        <f>IF($B33&lt;=J$30,"",ROUND(SUMPRODUCT($C$18:$G$18,1/(1+$B33)^{1,2,3,4,5})+G18*(1+J$30)/($B33-J$30)/(1+$B33)^5,0))</f>
        <v>208</v>
      </c>
      <c r="K33" s="62">
        <f>IF($B33&lt;=K$30,"",ROUND(SUMPRODUCT($C$18:$G$18,1/(1+$B33)^{1,2,3,4,5})+G18*(1+K$30)/($B33-K$30)/(1+$B33)^5,0))</f>
        <v>216</v>
      </c>
    </row>
    <row r="34" spans="2:11" ht="14" x14ac:dyDescent="0.3">
      <c r="B34" s="61">
        <v>7.7499999999999999E-2</v>
      </c>
      <c r="C34" s="62">
        <f>IF($B34&lt;=C$30,"",ROUND(SUMPRODUCT($C$18:$G$18,1/(1+$B34)^{1,2,3,4,5})+G18*(1+C$30)/($B34-C$30)/(1+$B34)^5,0))</f>
        <v>163</v>
      </c>
      <c r="D34" s="62">
        <f>IF($B34&lt;=D$30,"",ROUND(SUMPRODUCT($C$18:$G$18,1/(1+$B34)^{1,2,3,4,5})+G18*(1+D$30)/($B34-D$30)/(1+$B34)^5,0))</f>
        <v>168</v>
      </c>
      <c r="E34" s="62">
        <f>IF($B34&lt;=E$30,"",ROUND(SUMPRODUCT($C$18:$G$18,1/(1+$B34)^{1,2,3,4,5})+G18*(1+E$30)/($B34-E$30)/(1+$B34)^5,0))</f>
        <v>172</v>
      </c>
      <c r="F34" s="62">
        <f>IF($B34&lt;=F$30,"",ROUND(SUMPRODUCT($C$18:$G$18,1/(1+$B34)^{1,2,3,4,5})+G18*(1+F$30)/($B34-F$30)/(1+$B34)^5,0))</f>
        <v>177</v>
      </c>
      <c r="G34" s="62">
        <f>IF($B34&lt;=G$30,"",ROUND(SUMPRODUCT($C$18:$G$18,1/(1+$B34)^{1,2,3,4,5})+G18*(1+G$30)/($B34-G$30)/(1+$B34)^5,0))</f>
        <v>182</v>
      </c>
      <c r="H34" s="62">
        <f>IF($B34&lt;=H$30,"",ROUND(SUMPRODUCT($C$18:$G$18,1/(1+$B34)^{1,2,3,4,5})+G18*(1+H$30)/($B34-H$30)/(1+$B34)^5,0))</f>
        <v>187</v>
      </c>
      <c r="I34" s="62">
        <f>IF($B34&lt;=I$30,"",ROUND(SUMPRODUCT($C$18:$G$18,1/(1+$B34)^{1,2,3,4,5})+G18*(1+I$30)/($B34-I$30)/(1+$B34)^5,0))</f>
        <v>193</v>
      </c>
      <c r="J34" s="62">
        <f>IF($B34&lt;=J$30,"",ROUND(SUMPRODUCT($C$18:$G$18,1/(1+$B34)^{1,2,3,4,5})+G18*(1+J$30)/($B34-J$30)/(1+$B34)^5,0))</f>
        <v>200</v>
      </c>
      <c r="K34" s="62">
        <f>IF($B34&lt;=K$30,"",ROUND(SUMPRODUCT($C$18:$G$18,1/(1+$B34)^{1,2,3,4,5})+G18*(1+K$30)/($B34-K$30)/(1+$B34)^5,0))</f>
        <v>207</v>
      </c>
    </row>
    <row r="35" spans="2:11" ht="14" x14ac:dyDescent="0.3">
      <c r="B35" s="61">
        <v>0.08</v>
      </c>
      <c r="C35" s="62">
        <f>IF($B35&lt;=C$30,"",ROUND(SUMPRODUCT($C$18:$G$18,1/(1+$B35)^{1,2,3,4,5})+G18*(1+C$30)/($B35-C$30)/(1+$B35)^5,0))</f>
        <v>158</v>
      </c>
      <c r="D35" s="62">
        <f>IF($B35&lt;=D$30,"",ROUND(SUMPRODUCT($C$18:$G$18,1/(1+$B35)^{1,2,3,4,5})+G18*(1+D$30)/($B35-D$30)/(1+$B35)^5,0))</f>
        <v>162</v>
      </c>
      <c r="E35" s="62">
        <f>IF($B35&lt;=E$30,"",ROUND(SUMPRODUCT($C$18:$G$18,1/(1+$B35)^{1,2,3,4,5})+G18*(1+E$30)/($B35-E$30)/(1+$B35)^5,0))</f>
        <v>166</v>
      </c>
      <c r="F35" s="62">
        <f>IF($B35&lt;=F$30,"",ROUND(SUMPRODUCT($C$18:$G$18,1/(1+$B35)^{1,2,3,4,5})+G18*(1+F$30)/($B35-F$30)/(1+$B35)^5,0))</f>
        <v>171</v>
      </c>
      <c r="G35" s="62">
        <f>IF($B35&lt;=G$30,"",ROUND(SUMPRODUCT($C$18:$G$18,1/(1+$B35)^{1,2,3,4,5})+G18*(1+G$30)/($B35-G$30)/(1+$B35)^5,0))</f>
        <v>175</v>
      </c>
      <c r="H35" s="62">
        <f>IF($B35&lt;=H$30,"",ROUND(SUMPRODUCT($C$18:$G$18,1/(1+$B35)^{1,2,3,4,5})+G18*(1+H$30)/($B35-H$30)/(1+$B35)^5,0))</f>
        <v>180</v>
      </c>
      <c r="I35" s="62">
        <f>IF($B35&lt;=I$30,"",ROUND(SUMPRODUCT($C$18:$G$18,1/(1+$B35)^{1,2,3,4,5})+G18*(1+I$30)/($B35-I$30)/(1+$B35)^5,0))</f>
        <v>186</v>
      </c>
      <c r="J35" s="62">
        <f>IF($B35&lt;=J$30,"",ROUND(SUMPRODUCT($C$18:$G$18,1/(1+$B35)^{1,2,3,4,5})+G18*(1+J$30)/($B35-J$30)/(1+$B35)^5,0))</f>
        <v>192</v>
      </c>
      <c r="K35" s="62">
        <f>IF($B35&lt;=K$30,"",ROUND(SUMPRODUCT($C$18:$G$18,1/(1+$B35)^{1,2,3,4,5})+G18*(1+K$30)/($B35-K$30)/(1+$B35)^5,0))</f>
        <v>198</v>
      </c>
    </row>
    <row r="36" spans="2:11" ht="14" x14ac:dyDescent="0.3">
      <c r="B36" s="61">
        <v>8.2500000000000004E-2</v>
      </c>
      <c r="C36" s="62">
        <f>IF($B36&lt;=C$30,"",ROUND(SUMPRODUCT($C$18:$G$18,1/(1+$B36)^{1,2,3,4,5})+G18*(1+C$30)/($B36-C$30)/(1+$B36)^5,0))</f>
        <v>153</v>
      </c>
      <c r="D36" s="62">
        <f>IF($B36&lt;=D$30,"",ROUND(SUMPRODUCT($C$18:$G$18,1/(1+$B36)^{1,2,3,4,5})+G18*(1+D$30)/($B36-D$30)/(1+$B36)^5,0))</f>
        <v>157</v>
      </c>
      <c r="E36" s="62">
        <f>IF($B36&lt;=E$30,"",ROUND(SUMPRODUCT($C$18:$G$18,1/(1+$B36)^{1,2,3,4,5})+G18*(1+E$30)/($B36-E$30)/(1+$B36)^5,0))</f>
        <v>161</v>
      </c>
      <c r="F36" s="62">
        <f>IF($B36&lt;=F$30,"",ROUND(SUMPRODUCT($C$18:$G$18,1/(1+$B36)^{1,2,3,4,5})+G18*(1+F$30)/($B36-F$30)/(1+$B36)^5,0))</f>
        <v>165</v>
      </c>
      <c r="G36" s="62">
        <f>IF($B36&lt;=G$30,"",ROUND(SUMPRODUCT($C$18:$G$18,1/(1+$B36)^{1,2,3,4,5})+G18*(1+G$30)/($B36-G$30)/(1+$B36)^5,0))</f>
        <v>169</v>
      </c>
      <c r="H36" s="62">
        <f>IF($B36&lt;=H$30,"",ROUND(SUMPRODUCT($C$18:$G$18,1/(1+$B36)^{1,2,3,4,5})+G18*(1+H$30)/($B36-H$30)/(1+$B36)^5,0))</f>
        <v>174</v>
      </c>
      <c r="I36" s="62">
        <f>IF($B36&lt;=I$30,"",ROUND(SUMPRODUCT($C$18:$G$18,1/(1+$B36)^{1,2,3,4,5})+G18*(1+I$30)/($B36-I$30)/(1+$B36)^5,0))</f>
        <v>179</v>
      </c>
      <c r="J36" s="62">
        <f>IF($B36&lt;=J$30,"",ROUND(SUMPRODUCT($C$18:$G$18,1/(1+$B36)^{1,2,3,4,5})+G18*(1+J$30)/($B36-J$30)/(1+$B36)^5,0))</f>
        <v>184</v>
      </c>
      <c r="K36" s="62">
        <f>IF($B36&lt;=K$30,"",ROUND(SUMPRODUCT($C$18:$G$18,1/(1+$B36)^{1,2,3,4,5})+G18*(1+K$30)/($B36-K$30)/(1+$B36)^5,0))</f>
        <v>190</v>
      </c>
    </row>
    <row r="37" spans="2:11" ht="14" x14ac:dyDescent="0.3">
      <c r="B37" s="61">
        <v>8.5000000000000006E-2</v>
      </c>
      <c r="C37" s="62">
        <f>IF($B37&lt;=C$30,"",ROUND(SUMPRODUCT($C$18:$G$18,1/(1+$B37)^{1,2,3,4,5})+G18*(1+C$30)/($B37-C$30)/(1+$B37)^5,0))</f>
        <v>149</v>
      </c>
      <c r="D37" s="62">
        <f>IF($B37&lt;=D$30,"",ROUND(SUMPRODUCT($C$18:$G$18,1/(1+$B37)^{1,2,3,4,5})+G18*(1+D$30)/($B37-D$30)/(1+$B37)^5,0))</f>
        <v>152</v>
      </c>
      <c r="E37" s="62">
        <f>IF($B37&lt;=E$30,"",ROUND(SUMPRODUCT($C$18:$G$18,1/(1+$B37)^{1,2,3,4,5})+G18*(1+E$30)/($B37-E$30)/(1+$B37)^5,0))</f>
        <v>156</v>
      </c>
      <c r="F37" s="62">
        <f>IF($B37&lt;=F$30,"",ROUND(SUMPRODUCT($C$18:$G$18,1/(1+$B37)^{1,2,3,4,5})+G18*(1+F$30)/($B37-F$30)/(1+$B37)^5,0))</f>
        <v>159</v>
      </c>
      <c r="G37" s="62">
        <f>IF($B37&lt;=G$30,"",ROUND(SUMPRODUCT($C$18:$G$18,1/(1+$B37)^{1,2,3,4,5})+G18*(1+G$30)/($B37-G$30)/(1+$B37)^5,0))</f>
        <v>163</v>
      </c>
      <c r="H37" s="62">
        <f>IF($B37&lt;=H$30,"",ROUND(SUMPRODUCT($C$18:$G$18,1/(1+$B37)^{1,2,3,4,5})+G18*(1+H$30)/($B37-H$30)/(1+$B37)^5,0))</f>
        <v>168</v>
      </c>
      <c r="I37" s="62">
        <f>IF($B37&lt;=I$30,"",ROUND(SUMPRODUCT($C$18:$G$18,1/(1+$B37)^{1,2,3,4,5})+G18*(1+I$30)/($B37-I$30)/(1+$B37)^5,0))</f>
        <v>172</v>
      </c>
      <c r="J37" s="62">
        <f>IF($B37&lt;=J$30,"",ROUND(SUMPRODUCT($C$18:$G$18,1/(1+$B37)^{1,2,3,4,5})+G18*(1+J$30)/($B37-J$30)/(1+$B37)^5,0))</f>
        <v>177</v>
      </c>
      <c r="K37" s="62">
        <f>IF($B37&lt;=K$30,"",ROUND(SUMPRODUCT($C$18:$G$18,1/(1+$B37)^{1,2,3,4,5})+G18*(1+K$30)/($B37-K$30)/(1+$B37)^5,0))</f>
        <v>183</v>
      </c>
    </row>
    <row r="38" spans="2:11" ht="14" x14ac:dyDescent="0.3">
      <c r="B38" s="61">
        <v>8.7499999999999994E-2</v>
      </c>
      <c r="C38" s="62">
        <f>IF($B38&lt;=C$30,"",ROUND(SUMPRODUCT($C$18:$G$18,1/(1+$B38)^{1,2,3,4,5})+G18*(1+C$30)/($B38-C$30)/(1+$B38)^5,0))</f>
        <v>144</v>
      </c>
      <c r="D38" s="62">
        <f>IF($B38&lt;=D$30,"",ROUND(SUMPRODUCT($C$18:$G$18,1/(1+$B38)^{1,2,3,4,5})+G18*(1+D$30)/($B38-D$30)/(1+$B38)^5,0))</f>
        <v>147</v>
      </c>
      <c r="E38" s="62">
        <f>IF($B38&lt;=E$30,"",ROUND(SUMPRODUCT($C$18:$G$18,1/(1+$B38)^{1,2,3,4,5})+G18*(1+E$30)/($B38-E$30)/(1+$B38)^5,0))</f>
        <v>151</v>
      </c>
      <c r="F38" s="62">
        <f>IF($B38&lt;=F$30,"",ROUND(SUMPRODUCT($C$18:$G$18,1/(1+$B38)^{1,2,3,4,5})+G18*(1+F$30)/($B38-F$30)/(1+$B38)^5,0))</f>
        <v>154</v>
      </c>
      <c r="G38" s="62">
        <f>IF($B38&lt;=G$30,"",ROUND(SUMPRODUCT($C$18:$G$18,1/(1+$B38)^{1,2,3,4,5})+G18*(1+G$30)/($B38-G$30)/(1+$B38)^5,0))</f>
        <v>158</v>
      </c>
      <c r="H38" s="62">
        <f>IF($B38&lt;=H$30,"",ROUND(SUMPRODUCT($C$18:$G$18,1/(1+$B38)^{1,2,3,4,5})+G18*(1+H$30)/($B38-H$30)/(1+$B38)^5,0))</f>
        <v>162</v>
      </c>
      <c r="I38" s="62">
        <f>IF($B38&lt;=I$30,"",ROUND(SUMPRODUCT($C$18:$G$18,1/(1+$B38)^{1,2,3,4,5})+G18*(1+I$30)/($B38-I$30)/(1+$B38)^5,0))</f>
        <v>166</v>
      </c>
      <c r="J38" s="62">
        <f>IF($B38&lt;=J$30,"",ROUND(SUMPRODUCT($C$18:$G$18,1/(1+$B38)^{1,2,3,4,5})+G18*(1+J$30)/($B38-J$30)/(1+$B38)^5,0))</f>
        <v>171</v>
      </c>
      <c r="K38" s="62">
        <f>IF($B38&lt;=K$30,"",ROUND(SUMPRODUCT($C$18:$G$18,1/(1+$B38)^{1,2,3,4,5})+G18*(1+K$30)/($B38-K$30)/(1+$B38)^5,0))</f>
        <v>176</v>
      </c>
    </row>
    <row r="39" spans="2:11" ht="14" x14ac:dyDescent="0.3">
      <c r="B39" s="61">
        <v>0.09</v>
      </c>
      <c r="C39" s="62">
        <f>IF($B39&lt;=C$30,"",ROUND(SUMPRODUCT($C$18:$G$18,1/(1+$B39)^{1,2,3,4,5})+G18*(1+C$30)/($B39-C$30)/(1+$B39)^5,0))</f>
        <v>140</v>
      </c>
      <c r="D39" s="62">
        <f>IF($B39&lt;=D$30,"",ROUND(SUMPRODUCT($C$18:$G$18,1/(1+$B39)^{1,2,3,4,5})+G18*(1+D$30)/($B39-D$30)/(1+$B39)^5,0))</f>
        <v>143</v>
      </c>
      <c r="E39" s="62">
        <f>IF($B39&lt;=E$30,"",ROUND(SUMPRODUCT($C$18:$G$18,1/(1+$B39)^{1,2,3,4,5})+G18*(1+E$30)/($B39-E$30)/(1+$B39)^5,0))</f>
        <v>146</v>
      </c>
      <c r="F39" s="62">
        <f>IF($B39&lt;=F$30,"",ROUND(SUMPRODUCT($C$18:$G$18,1/(1+$B39)^{1,2,3,4,5})+G18*(1+F$30)/($B39-F$30)/(1+$B39)^5,0))</f>
        <v>150</v>
      </c>
      <c r="G39" s="62">
        <f>IF($B39&lt;=G$30,"",ROUND(SUMPRODUCT($C$18:$G$18,1/(1+$B39)^{1,2,3,4,5})+G18*(1+G$30)/($B39-G$30)/(1+$B39)^5,0))</f>
        <v>153</v>
      </c>
      <c r="H39" s="62">
        <f>IF($B39&lt;=H$30,"",ROUND(SUMPRODUCT($C$18:$G$18,1/(1+$B39)^{1,2,3,4,5})+G18*(1+H$30)/($B39-H$30)/(1+$B39)^5,0))</f>
        <v>157</v>
      </c>
      <c r="I39" s="62">
        <f>IF($B39&lt;=I$30,"",ROUND(SUMPRODUCT($C$18:$G$18,1/(1+$B39)^{1,2,3,4,5})+G18*(1+I$30)/($B39-I$30)/(1+$B39)^5,0))</f>
        <v>161</v>
      </c>
      <c r="J39" s="62">
        <f>IF($B39&lt;=J$30,"",ROUND(SUMPRODUCT($C$18:$G$18,1/(1+$B39)^{1,2,3,4,5})+G18*(1+J$30)/($B39-J$30)/(1+$B39)^5,0))</f>
        <v>165</v>
      </c>
      <c r="K39" s="62">
        <f>IF($B39&lt;=K$30,"",ROUND(SUMPRODUCT($C$18:$G$18,1/(1+$B39)^{1,2,3,4,5})+G18*(1+K$30)/($B39-K$30)/(1+$B39)^5,0))</f>
        <v>169</v>
      </c>
    </row>
  </sheetData>
  <phoneticPr fontId="8"/>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4E78"/>
  </sheetPr>
  <dimension ref="B2:H56"/>
  <sheetViews>
    <sheetView workbookViewId="0">
      <pane xSplit="2" ySplit="5" topLeftCell="C6" activePane="bottomRight" state="frozen"/>
      <selection pane="topRight"/>
      <selection pane="bottomLeft"/>
      <selection pane="bottomRight"/>
    </sheetView>
  </sheetViews>
  <sheetFormatPr defaultRowHeight="13" x14ac:dyDescent="0.2"/>
  <cols>
    <col min="1" max="1" width="3" customWidth="1"/>
    <col min="2" max="2" width="30" customWidth="1"/>
    <col min="3" max="11" width="13" customWidth="1"/>
  </cols>
  <sheetData>
    <row r="2" spans="2:8" ht="18" x14ac:dyDescent="0.4">
      <c r="B2" s="2" t="s">
        <v>363</v>
      </c>
    </row>
    <row r="3" spans="2:8" ht="14" x14ac:dyDescent="0.3">
      <c r="B3" s="47" t="s">
        <v>364</v>
      </c>
    </row>
    <row r="5" spans="2:8" ht="14" x14ac:dyDescent="0.3">
      <c r="B5" s="3" t="s">
        <v>349</v>
      </c>
    </row>
    <row r="6" spans="2:8" ht="14" x14ac:dyDescent="0.3">
      <c r="B6" s="4" t="s">
        <v>365</v>
      </c>
      <c r="C6" s="63">
        <v>280498</v>
      </c>
    </row>
    <row r="7" spans="2:8" ht="14" x14ac:dyDescent="0.3">
      <c r="B7" s="4" t="s">
        <v>223</v>
      </c>
      <c r="C7" s="50">
        <f>DDM!C$10</f>
        <v>1167997856</v>
      </c>
    </row>
    <row r="8" spans="2:8" ht="14" x14ac:dyDescent="0.3">
      <c r="B8" s="4" t="s">
        <v>366</v>
      </c>
      <c r="C8" s="64">
        <f>C6/C7*1000000</f>
        <v>240.15283808877126</v>
      </c>
    </row>
    <row r="9" spans="2:8" ht="14" x14ac:dyDescent="0.3">
      <c r="B9" s="4" t="s">
        <v>82</v>
      </c>
      <c r="C9" s="48">
        <f>DDM!C$9</f>
        <v>8.0415999999999987E-2</v>
      </c>
    </row>
    <row r="10" spans="2:8" ht="14" x14ac:dyDescent="0.3">
      <c r="B10" s="4" t="s">
        <v>135</v>
      </c>
      <c r="C10" s="48">
        <f>DDM!C$12</f>
        <v>0.01</v>
      </c>
    </row>
    <row r="12" spans="2:8" ht="14" x14ac:dyDescent="0.3">
      <c r="B12" s="3" t="s">
        <v>367</v>
      </c>
    </row>
    <row r="13" spans="2:8" ht="14" x14ac:dyDescent="0.3">
      <c r="C13" s="54" t="s">
        <v>89</v>
      </c>
      <c r="D13" s="54" t="s">
        <v>90</v>
      </c>
      <c r="E13" s="54" t="s">
        <v>91</v>
      </c>
      <c r="F13" s="54" t="s">
        <v>92</v>
      </c>
      <c r="G13" s="54" t="s">
        <v>93</v>
      </c>
    </row>
    <row r="14" spans="2:8" ht="14" x14ac:dyDescent="0.3">
      <c r="B14" s="4" t="s">
        <v>203</v>
      </c>
      <c r="C14" s="65">
        <v>6.0999999999999999E-2</v>
      </c>
      <c r="D14" s="65">
        <v>6.5000000000000002E-2</v>
      </c>
      <c r="E14" s="65">
        <v>6.8000000000000005E-2</v>
      </c>
      <c r="F14" s="65">
        <v>7.0000000000000007E-2</v>
      </c>
      <c r="G14" s="65">
        <v>7.0000000000000007E-2</v>
      </c>
      <c r="H14" s="47" t="s">
        <v>368</v>
      </c>
    </row>
    <row r="16" spans="2:8" ht="14" x14ac:dyDescent="0.3">
      <c r="B16" s="3" t="s">
        <v>369</v>
      </c>
    </row>
    <row r="17" spans="2:7" ht="14" x14ac:dyDescent="0.3">
      <c r="B17" s="4"/>
      <c r="C17" s="66" t="s">
        <v>89</v>
      </c>
      <c r="D17" s="66" t="s">
        <v>90</v>
      </c>
      <c r="E17" s="66" t="s">
        <v>91</v>
      </c>
      <c r="F17" s="66" t="s">
        <v>92</v>
      </c>
      <c r="G17" s="66" t="s">
        <v>93</v>
      </c>
    </row>
    <row r="18" spans="2:7" ht="14" x14ac:dyDescent="0.3">
      <c r="B18" s="4" t="s">
        <v>370</v>
      </c>
      <c r="C18" s="51">
        <f>C14*$C$6</f>
        <v>17110.378000000001</v>
      </c>
      <c r="D18" s="51">
        <f>D14*C20</f>
        <v>18509.426102960002</v>
      </c>
      <c r="E18" s="51">
        <f>E14*D20</f>
        <v>19708.973959321287</v>
      </c>
      <c r="F18" s="51">
        <f>F14*E20</f>
        <v>20687.159642119695</v>
      </c>
      <c r="G18" s="51">
        <f>G14*F20</f>
        <v>21113.262693068074</v>
      </c>
    </row>
    <row r="19" spans="2:7" ht="14" x14ac:dyDescent="0.3">
      <c r="B19" s="4" t="s">
        <v>371</v>
      </c>
      <c r="C19" s="51">
        <f>DDM!C18*C7/1000000</f>
        <v>12847.976416</v>
      </c>
      <c r="D19" s="51">
        <f>DDM!D18*C7/1000000</f>
        <v>13431.975344</v>
      </c>
      <c r="E19" s="51">
        <f>DDM!E18*C7/1000000</f>
        <v>14015.974271999999</v>
      </c>
      <c r="F19" s="51">
        <f>DDM!F18*C7/1000000</f>
        <v>14599.9732</v>
      </c>
      <c r="G19" s="51">
        <f>DDM!G18*C7/1000000</f>
        <v>15183.972127999999</v>
      </c>
    </row>
    <row r="20" spans="2:7" ht="14" x14ac:dyDescent="0.3">
      <c r="B20" s="4" t="s">
        <v>372</v>
      </c>
      <c r="C20" s="62">
        <f>$C$6+C18-C19</f>
        <v>284760.40158400004</v>
      </c>
      <c r="D20" s="62">
        <f>C20+D18-D19</f>
        <v>289837.85234296008</v>
      </c>
      <c r="E20" s="62">
        <f>D20+E18-E19</f>
        <v>295530.85203028133</v>
      </c>
      <c r="F20" s="62">
        <f>E20+F18-F19</f>
        <v>301618.03847240104</v>
      </c>
      <c r="G20" s="62">
        <f>F20+G18-G19</f>
        <v>307547.32903746911</v>
      </c>
    </row>
    <row r="21" spans="2:7" ht="14" x14ac:dyDescent="0.3">
      <c r="B21" s="4" t="s">
        <v>373</v>
      </c>
      <c r="C21" s="51">
        <f>(C14-$C$9)*$C$6</f>
        <v>-5446.1491679999972</v>
      </c>
      <c r="D21" s="51">
        <f>(D14-$C$9)*C20</f>
        <v>-4389.8663508189402</v>
      </c>
      <c r="E21" s="51">
        <f>(E14-$C$9)*D20</f>
        <v>-3598.6267746901872</v>
      </c>
      <c r="F21" s="51">
        <f>(F14-$C$9)*E20</f>
        <v>-3078.2493547474046</v>
      </c>
      <c r="G21" s="51">
        <f>(G14-$C$9)*F20</f>
        <v>-3141.6534887285234</v>
      </c>
    </row>
    <row r="22" spans="2:7" ht="14" x14ac:dyDescent="0.3">
      <c r="B22" s="4" t="s">
        <v>374</v>
      </c>
      <c r="C22" s="51">
        <f>C21/(1+$C$9)^1</f>
        <v>-5040.7890738382221</v>
      </c>
      <c r="D22" s="51">
        <f>D21/(1+$C$9)^2</f>
        <v>-3760.7051447115214</v>
      </c>
      <c r="E22" s="51">
        <f>E21/(1+$C$9)^3</f>
        <v>-2853.4074161325907</v>
      </c>
      <c r="F22" s="51">
        <f>F21/(1+$C$9)^4</f>
        <v>-2259.1224365142184</v>
      </c>
      <c r="G22" s="51">
        <f>G21/(1+$C$9)^5</f>
        <v>-2134.0433983737566</v>
      </c>
    </row>
    <row r="24" spans="2:7" ht="14" x14ac:dyDescent="0.3">
      <c r="B24" s="3" t="s">
        <v>356</v>
      </c>
    </row>
    <row r="25" spans="2:7" ht="14" x14ac:dyDescent="0.3">
      <c r="B25" s="4" t="s">
        <v>375</v>
      </c>
      <c r="C25" s="51">
        <f>SUM(C22:G22)</f>
        <v>-16048.067469570309</v>
      </c>
    </row>
    <row r="26" spans="2:7" ht="14" x14ac:dyDescent="0.3">
      <c r="B26" s="4" t="s">
        <v>376</v>
      </c>
      <c r="C26" s="51">
        <f>G21*(1+$C$10)/($C$9-$C$10)</f>
        <v>-45061.776068163614</v>
      </c>
    </row>
    <row r="27" spans="2:7" ht="14" x14ac:dyDescent="0.3">
      <c r="B27" s="4" t="s">
        <v>377</v>
      </c>
      <c r="C27" s="51">
        <f>C26/(1+$C$9)^5</f>
        <v>-30609.290961677667</v>
      </c>
    </row>
    <row r="28" spans="2:7" ht="14" x14ac:dyDescent="0.3">
      <c r="B28" s="57" t="s">
        <v>378</v>
      </c>
      <c r="C28" s="58">
        <f>C6+C25+C27</f>
        <v>233840.64156875201</v>
      </c>
    </row>
    <row r="29" spans="2:7" ht="14" x14ac:dyDescent="0.3">
      <c r="B29" s="57" t="s">
        <v>359</v>
      </c>
      <c r="C29" s="58">
        <f>ROUND(C28/C7*1000000,0)</f>
        <v>200</v>
      </c>
    </row>
    <row r="30" spans="2:7" ht="14" x14ac:dyDescent="0.3">
      <c r="B30" s="4" t="s">
        <v>360</v>
      </c>
      <c r="C30" s="59">
        <f>C29/DDM!C$11-1</f>
        <v>-0.41176470588235292</v>
      </c>
    </row>
    <row r="32" spans="2:7" ht="14" x14ac:dyDescent="0.3">
      <c r="B32" s="47" t="s">
        <v>379</v>
      </c>
    </row>
    <row r="34" spans="2:7" ht="14" x14ac:dyDescent="0.3">
      <c r="B34" s="3" t="s">
        <v>380</v>
      </c>
    </row>
    <row r="35" spans="2:7" ht="14" x14ac:dyDescent="0.3">
      <c r="B35" s="4" t="s">
        <v>381</v>
      </c>
      <c r="C35" s="60">
        <v>7.0000000000000007E-2</v>
      </c>
      <c r="D35" s="60">
        <v>7.4999999999999997E-2</v>
      </c>
      <c r="E35" s="60">
        <v>0.08</v>
      </c>
      <c r="F35" s="60">
        <v>8.5000000000000006E-2</v>
      </c>
      <c r="G35" s="60">
        <v>0.09</v>
      </c>
    </row>
    <row r="36" spans="2:7" ht="14" x14ac:dyDescent="0.3">
      <c r="B36" s="67">
        <v>4.4999999999999998E-2</v>
      </c>
      <c r="C36" s="68">
        <f t="shared" ref="C36:G44" si="0">IF(C$35&lt;=$C$10,"",ROUND(($B36-$C$10)/(C$35-$C$10),2))</f>
        <v>0.57999999999999996</v>
      </c>
      <c r="D36" s="68">
        <f t="shared" si="0"/>
        <v>0.54</v>
      </c>
      <c r="E36" s="68">
        <f t="shared" si="0"/>
        <v>0.5</v>
      </c>
      <c r="F36" s="68">
        <f t="shared" si="0"/>
        <v>0.47</v>
      </c>
      <c r="G36" s="68">
        <f t="shared" si="0"/>
        <v>0.44</v>
      </c>
    </row>
    <row r="37" spans="2:7" ht="14" x14ac:dyDescent="0.3">
      <c r="B37" s="67">
        <v>0.05</v>
      </c>
      <c r="C37" s="68">
        <f t="shared" si="0"/>
        <v>0.67</v>
      </c>
      <c r="D37" s="68">
        <f t="shared" si="0"/>
        <v>0.62</v>
      </c>
      <c r="E37" s="68">
        <f t="shared" si="0"/>
        <v>0.56999999999999995</v>
      </c>
      <c r="F37" s="68">
        <f t="shared" si="0"/>
        <v>0.53</v>
      </c>
      <c r="G37" s="68">
        <f t="shared" si="0"/>
        <v>0.5</v>
      </c>
    </row>
    <row r="38" spans="2:7" ht="14" x14ac:dyDescent="0.3">
      <c r="B38" s="67">
        <v>5.5E-2</v>
      </c>
      <c r="C38" s="68">
        <f t="shared" si="0"/>
        <v>0.75</v>
      </c>
      <c r="D38" s="68">
        <f t="shared" si="0"/>
        <v>0.69</v>
      </c>
      <c r="E38" s="68">
        <f t="shared" si="0"/>
        <v>0.64</v>
      </c>
      <c r="F38" s="68">
        <f t="shared" si="0"/>
        <v>0.6</v>
      </c>
      <c r="G38" s="68">
        <f t="shared" si="0"/>
        <v>0.56000000000000005</v>
      </c>
    </row>
    <row r="39" spans="2:7" ht="14" x14ac:dyDescent="0.3">
      <c r="B39" s="67">
        <v>0.06</v>
      </c>
      <c r="C39" s="68">
        <f t="shared" si="0"/>
        <v>0.83</v>
      </c>
      <c r="D39" s="68">
        <f t="shared" si="0"/>
        <v>0.77</v>
      </c>
      <c r="E39" s="68">
        <f t="shared" si="0"/>
        <v>0.71</v>
      </c>
      <c r="F39" s="68">
        <f t="shared" si="0"/>
        <v>0.67</v>
      </c>
      <c r="G39" s="68">
        <f t="shared" si="0"/>
        <v>0.63</v>
      </c>
    </row>
    <row r="40" spans="2:7" ht="14" x14ac:dyDescent="0.3">
      <c r="B40" s="67">
        <v>6.5000000000000002E-2</v>
      </c>
      <c r="C40" s="68">
        <f t="shared" si="0"/>
        <v>0.92</v>
      </c>
      <c r="D40" s="68">
        <f t="shared" si="0"/>
        <v>0.85</v>
      </c>
      <c r="E40" s="68">
        <f t="shared" si="0"/>
        <v>0.79</v>
      </c>
      <c r="F40" s="68">
        <f t="shared" si="0"/>
        <v>0.73</v>
      </c>
      <c r="G40" s="68">
        <f t="shared" si="0"/>
        <v>0.69</v>
      </c>
    </row>
    <row r="41" spans="2:7" ht="14" x14ac:dyDescent="0.3">
      <c r="B41" s="67">
        <v>7.0000000000000007E-2</v>
      </c>
      <c r="C41" s="68">
        <f t="shared" si="0"/>
        <v>1</v>
      </c>
      <c r="D41" s="68">
        <f t="shared" si="0"/>
        <v>0.92</v>
      </c>
      <c r="E41" s="68">
        <f t="shared" si="0"/>
        <v>0.86</v>
      </c>
      <c r="F41" s="68">
        <f t="shared" si="0"/>
        <v>0.8</v>
      </c>
      <c r="G41" s="68">
        <f t="shared" si="0"/>
        <v>0.75</v>
      </c>
    </row>
    <row r="42" spans="2:7" ht="14" x14ac:dyDescent="0.3">
      <c r="B42" s="67">
        <v>7.4999999999999997E-2</v>
      </c>
      <c r="C42" s="68">
        <f t="shared" si="0"/>
        <v>1.08</v>
      </c>
      <c r="D42" s="68">
        <f t="shared" si="0"/>
        <v>1</v>
      </c>
      <c r="E42" s="68">
        <f t="shared" si="0"/>
        <v>0.93</v>
      </c>
      <c r="F42" s="68">
        <f t="shared" si="0"/>
        <v>0.87</v>
      </c>
      <c r="G42" s="68">
        <f t="shared" si="0"/>
        <v>0.81</v>
      </c>
    </row>
    <row r="43" spans="2:7" ht="14" x14ac:dyDescent="0.3">
      <c r="B43" s="67">
        <v>0.08</v>
      </c>
      <c r="C43" s="68">
        <f t="shared" si="0"/>
        <v>1.17</v>
      </c>
      <c r="D43" s="68">
        <f t="shared" si="0"/>
        <v>1.08</v>
      </c>
      <c r="E43" s="68">
        <f t="shared" si="0"/>
        <v>1</v>
      </c>
      <c r="F43" s="68">
        <f t="shared" si="0"/>
        <v>0.93</v>
      </c>
      <c r="G43" s="68">
        <f t="shared" si="0"/>
        <v>0.88</v>
      </c>
    </row>
    <row r="44" spans="2:7" ht="14" x14ac:dyDescent="0.3">
      <c r="B44" s="67">
        <v>8.5000000000000006E-2</v>
      </c>
      <c r="C44" s="68">
        <f t="shared" si="0"/>
        <v>1.25</v>
      </c>
      <c r="D44" s="68">
        <f t="shared" si="0"/>
        <v>1.1499999999999999</v>
      </c>
      <c r="E44" s="68">
        <f t="shared" si="0"/>
        <v>1.07</v>
      </c>
      <c r="F44" s="68">
        <f t="shared" si="0"/>
        <v>1</v>
      </c>
      <c r="G44" s="68">
        <f t="shared" si="0"/>
        <v>0.94</v>
      </c>
    </row>
    <row r="46" spans="2:7" ht="14" x14ac:dyDescent="0.3">
      <c r="B46" s="4" t="s">
        <v>382</v>
      </c>
    </row>
    <row r="47" spans="2:7" ht="14" x14ac:dyDescent="0.3">
      <c r="B47" s="4" t="s">
        <v>381</v>
      </c>
      <c r="C47" s="60">
        <v>7.0000000000000007E-2</v>
      </c>
      <c r="D47" s="60">
        <v>7.4999999999999997E-2</v>
      </c>
      <c r="E47" s="60">
        <v>0.08</v>
      </c>
      <c r="F47" s="60">
        <v>8.5000000000000006E-2</v>
      </c>
      <c r="G47" s="60">
        <v>0.09</v>
      </c>
    </row>
    <row r="48" spans="2:7" ht="14" x14ac:dyDescent="0.3">
      <c r="B48" s="67">
        <v>4.4999999999999998E-2</v>
      </c>
      <c r="C48" s="62">
        <f t="shared" ref="C48:G56" si="1">IF(C36="","",ROUND(C36*$C$8,0))</f>
        <v>139</v>
      </c>
      <c r="D48" s="62">
        <f t="shared" si="1"/>
        <v>130</v>
      </c>
      <c r="E48" s="62">
        <f t="shared" si="1"/>
        <v>120</v>
      </c>
      <c r="F48" s="62">
        <f t="shared" si="1"/>
        <v>113</v>
      </c>
      <c r="G48" s="62">
        <f t="shared" si="1"/>
        <v>106</v>
      </c>
    </row>
    <row r="49" spans="2:7" ht="14" x14ac:dyDescent="0.3">
      <c r="B49" s="67">
        <v>0.05</v>
      </c>
      <c r="C49" s="62">
        <f t="shared" si="1"/>
        <v>161</v>
      </c>
      <c r="D49" s="62">
        <f t="shared" si="1"/>
        <v>149</v>
      </c>
      <c r="E49" s="62">
        <f t="shared" si="1"/>
        <v>137</v>
      </c>
      <c r="F49" s="62">
        <f t="shared" si="1"/>
        <v>127</v>
      </c>
      <c r="G49" s="62">
        <f t="shared" si="1"/>
        <v>120</v>
      </c>
    </row>
    <row r="50" spans="2:7" ht="14" x14ac:dyDescent="0.3">
      <c r="B50" s="67">
        <v>5.5E-2</v>
      </c>
      <c r="C50" s="62">
        <f t="shared" si="1"/>
        <v>180</v>
      </c>
      <c r="D50" s="62">
        <f t="shared" si="1"/>
        <v>166</v>
      </c>
      <c r="E50" s="62">
        <f t="shared" si="1"/>
        <v>154</v>
      </c>
      <c r="F50" s="62">
        <f t="shared" si="1"/>
        <v>144</v>
      </c>
      <c r="G50" s="62">
        <f t="shared" si="1"/>
        <v>134</v>
      </c>
    </row>
    <row r="51" spans="2:7" ht="14" x14ac:dyDescent="0.3">
      <c r="B51" s="67">
        <v>0.06</v>
      </c>
      <c r="C51" s="62">
        <f t="shared" si="1"/>
        <v>199</v>
      </c>
      <c r="D51" s="62">
        <f t="shared" si="1"/>
        <v>185</v>
      </c>
      <c r="E51" s="62">
        <f t="shared" si="1"/>
        <v>171</v>
      </c>
      <c r="F51" s="62">
        <f t="shared" si="1"/>
        <v>161</v>
      </c>
      <c r="G51" s="62">
        <f t="shared" si="1"/>
        <v>151</v>
      </c>
    </row>
    <row r="52" spans="2:7" ht="14" x14ac:dyDescent="0.3">
      <c r="B52" s="67">
        <v>6.5000000000000002E-2</v>
      </c>
      <c r="C52" s="62">
        <f t="shared" si="1"/>
        <v>221</v>
      </c>
      <c r="D52" s="62">
        <f t="shared" si="1"/>
        <v>204</v>
      </c>
      <c r="E52" s="62">
        <f t="shared" si="1"/>
        <v>190</v>
      </c>
      <c r="F52" s="62">
        <f t="shared" si="1"/>
        <v>175</v>
      </c>
      <c r="G52" s="62">
        <f t="shared" si="1"/>
        <v>166</v>
      </c>
    </row>
    <row r="53" spans="2:7" ht="14" x14ac:dyDescent="0.3">
      <c r="B53" s="67">
        <v>7.0000000000000007E-2</v>
      </c>
      <c r="C53" s="62">
        <f t="shared" si="1"/>
        <v>240</v>
      </c>
      <c r="D53" s="62">
        <f t="shared" si="1"/>
        <v>221</v>
      </c>
      <c r="E53" s="62">
        <f t="shared" si="1"/>
        <v>207</v>
      </c>
      <c r="F53" s="62">
        <f t="shared" si="1"/>
        <v>192</v>
      </c>
      <c r="G53" s="62">
        <f t="shared" si="1"/>
        <v>180</v>
      </c>
    </row>
    <row r="54" spans="2:7" ht="14" x14ac:dyDescent="0.3">
      <c r="B54" s="67">
        <v>7.4999999999999997E-2</v>
      </c>
      <c r="C54" s="62">
        <f t="shared" si="1"/>
        <v>259</v>
      </c>
      <c r="D54" s="62">
        <f t="shared" si="1"/>
        <v>240</v>
      </c>
      <c r="E54" s="62">
        <f t="shared" si="1"/>
        <v>223</v>
      </c>
      <c r="F54" s="62">
        <f t="shared" si="1"/>
        <v>209</v>
      </c>
      <c r="G54" s="62">
        <f t="shared" si="1"/>
        <v>195</v>
      </c>
    </row>
    <row r="55" spans="2:7" ht="14" x14ac:dyDescent="0.3">
      <c r="B55" s="67">
        <v>0.08</v>
      </c>
      <c r="C55" s="62">
        <f t="shared" si="1"/>
        <v>281</v>
      </c>
      <c r="D55" s="62">
        <f t="shared" si="1"/>
        <v>259</v>
      </c>
      <c r="E55" s="62">
        <f t="shared" si="1"/>
        <v>240</v>
      </c>
      <c r="F55" s="62">
        <f t="shared" si="1"/>
        <v>223</v>
      </c>
      <c r="G55" s="62">
        <f t="shared" si="1"/>
        <v>211</v>
      </c>
    </row>
    <row r="56" spans="2:7" ht="14" x14ac:dyDescent="0.3">
      <c r="B56" s="67">
        <v>8.5000000000000006E-2</v>
      </c>
      <c r="C56" s="62">
        <f t="shared" si="1"/>
        <v>300</v>
      </c>
      <c r="D56" s="62">
        <f t="shared" si="1"/>
        <v>276</v>
      </c>
      <c r="E56" s="62">
        <f t="shared" si="1"/>
        <v>257</v>
      </c>
      <c r="F56" s="62">
        <f t="shared" si="1"/>
        <v>240</v>
      </c>
      <c r="G56" s="62">
        <f t="shared" si="1"/>
        <v>226</v>
      </c>
    </row>
  </sheetData>
  <phoneticPr fontId="8"/>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expression" priority="1" id="{00000000-000E-0000-0900-000001000000}">
            <xm:f>ABS(C36-(DDM!C$11*C7/1000000/C6))&lt;0.05</xm:f>
            <x14:dxf>
              <fill>
                <patternFill patternType="solid">
                  <fgColor rgb="FFFFC7CE"/>
                  <bgColor rgb="FFFFC7CE"/>
                </patternFill>
              </fill>
            </x14:dxf>
          </x14:cfRule>
          <xm:sqref>C36:G44</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Executive Summary</vt:lpstr>
      <vt:lpstr>Financial Statements</vt:lpstr>
      <vt:lpstr>DCF Model</vt:lpstr>
      <vt:lpstr>Reverse DCF</vt:lpstr>
      <vt:lpstr>NWC Schedule</vt:lpstr>
      <vt:lpstr>Comps Analysis</vt:lpstr>
      <vt:lpstr>Sensitivity Analysis</vt:lpstr>
      <vt:lpstr>Adjustments Log</vt:lpstr>
      <vt:lpstr>DDM</vt:lpstr>
      <vt:lpstr>Residual Income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良亮 佐藤</cp:lastModifiedBy>
  <dcterms:created xsi:type="dcterms:W3CDTF">2026-09-07T04:26:01Z</dcterms:created>
  <dcterms:modified xsi:type="dcterms:W3CDTF">2026-09-07T04:26:08Z</dcterms:modified>
</cp:coreProperties>
</file>