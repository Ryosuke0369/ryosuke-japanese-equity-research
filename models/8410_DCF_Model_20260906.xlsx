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D6A03940-746C-4258-8888-CFA06EC48F13}"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DDM" sheetId="9" r:id="rId9"/>
    <sheet name="Residual Income" sheetId="10" r:id="rId10"/>
  </sheets>
  <calcPr calcId="181029"/>
</workbook>
</file>

<file path=xl/calcChain.xml><?xml version="1.0" encoding="utf-8"?>
<calcChain xmlns="http://schemas.openxmlformats.org/spreadsheetml/2006/main">
  <c r="G43" i="10" l="1"/>
  <c r="G42" i="10"/>
  <c r="F40" i="10"/>
  <c r="F39" i="10"/>
  <c r="E37" i="10"/>
  <c r="E36" i="10"/>
  <c r="C18" i="10"/>
  <c r="C10" i="10"/>
  <c r="D44" i="10" s="1"/>
  <c r="K39" i="9"/>
  <c r="J39" i="9"/>
  <c r="I39" i="9"/>
  <c r="H39" i="9"/>
  <c r="G39" i="9"/>
  <c r="F39" i="9"/>
  <c r="E39" i="9"/>
  <c r="D39" i="9"/>
  <c r="C39" i="9"/>
  <c r="K38" i="9"/>
  <c r="J38" i="9"/>
  <c r="I38" i="9"/>
  <c r="H38" i="9"/>
  <c r="G38" i="9"/>
  <c r="F38" i="9"/>
  <c r="E38" i="9"/>
  <c r="D38" i="9"/>
  <c r="C38" i="9"/>
  <c r="K37" i="9"/>
  <c r="J37" i="9"/>
  <c r="I37" i="9"/>
  <c r="H37" i="9"/>
  <c r="G37" i="9"/>
  <c r="F37" i="9"/>
  <c r="E37" i="9"/>
  <c r="D37" i="9"/>
  <c r="C37" i="9"/>
  <c r="K36" i="9"/>
  <c r="J36" i="9"/>
  <c r="I36" i="9"/>
  <c r="H36" i="9"/>
  <c r="G36" i="9"/>
  <c r="F36" i="9"/>
  <c r="E36" i="9"/>
  <c r="D36" i="9"/>
  <c r="C36" i="9"/>
  <c r="K35" i="9"/>
  <c r="J35" i="9"/>
  <c r="I35" i="9"/>
  <c r="H35" i="9"/>
  <c r="G35" i="9"/>
  <c r="F35" i="9"/>
  <c r="E35" i="9"/>
  <c r="D35" i="9"/>
  <c r="C35" i="9"/>
  <c r="K34" i="9"/>
  <c r="J34" i="9"/>
  <c r="I34" i="9"/>
  <c r="H34" i="9"/>
  <c r="G34" i="9"/>
  <c r="F34" i="9"/>
  <c r="E34" i="9"/>
  <c r="D34" i="9"/>
  <c r="C34" i="9"/>
  <c r="K33" i="9"/>
  <c r="J33" i="9"/>
  <c r="I33" i="9"/>
  <c r="H33" i="9"/>
  <c r="G33" i="9"/>
  <c r="F33" i="9"/>
  <c r="E33" i="9"/>
  <c r="D33" i="9"/>
  <c r="C33" i="9"/>
  <c r="K32" i="9"/>
  <c r="J32" i="9"/>
  <c r="I32" i="9"/>
  <c r="H32" i="9"/>
  <c r="G32" i="9"/>
  <c r="F32" i="9"/>
  <c r="E32" i="9"/>
  <c r="D32" i="9"/>
  <c r="C32" i="9"/>
  <c r="K31" i="9"/>
  <c r="J31" i="9"/>
  <c r="I31" i="9"/>
  <c r="H31" i="9"/>
  <c r="G31" i="9"/>
  <c r="F31" i="9"/>
  <c r="E31" i="9"/>
  <c r="D31" i="9"/>
  <c r="C31" i="9"/>
  <c r="C11" i="9"/>
  <c r="C10" i="9"/>
  <c r="C7" i="10" s="1"/>
  <c r="C8" i="9"/>
  <c r="C7" i="9"/>
  <c r="C6" i="9"/>
  <c r="D6" i="7"/>
  <c r="C6" i="7"/>
  <c r="I3" i="7"/>
  <c r="F17" i="7" s="1"/>
  <c r="F3" i="7"/>
  <c r="I6" i="7" s="1"/>
  <c r="O8" i="6"/>
  <c r="N8" i="6"/>
  <c r="M8" i="6"/>
  <c r="L8" i="6"/>
  <c r="O7" i="6"/>
  <c r="I16" i="6" s="1"/>
  <c r="N7" i="6"/>
  <c r="M7" i="6"/>
  <c r="G15" i="6" s="1"/>
  <c r="L7" i="6"/>
  <c r="F15" i="6" s="1"/>
  <c r="O6" i="6"/>
  <c r="N6" i="6"/>
  <c r="H17" i="6" s="1"/>
  <c r="M6" i="6"/>
  <c r="L6" i="6"/>
  <c r="O5" i="6"/>
  <c r="N5" i="6"/>
  <c r="D5" i="6"/>
  <c r="E5" i="6" s="1"/>
  <c r="C5" i="5"/>
  <c r="C74" i="4"/>
  <c r="C13" i="4"/>
  <c r="C12" i="4"/>
  <c r="C9" i="4"/>
  <c r="C7" i="4"/>
  <c r="C6" i="4"/>
  <c r="C8" i="4" s="1"/>
  <c r="D27" i="3"/>
  <c r="F31" i="3" s="1"/>
  <c r="C25" i="3"/>
  <c r="C24" i="3"/>
  <c r="C23" i="3"/>
  <c r="C9" i="9" s="1"/>
  <c r="E28" i="2"/>
  <c r="D28" i="2"/>
  <c r="C28" i="2"/>
  <c r="E23" i="2"/>
  <c r="D23" i="2"/>
  <c r="C23" i="2"/>
  <c r="E21" i="2"/>
  <c r="E22" i="2" s="1"/>
  <c r="D21" i="2"/>
  <c r="D22" i="2" s="1"/>
  <c r="C21" i="2"/>
  <c r="C22" i="2" s="1"/>
  <c r="E16" i="2"/>
  <c r="D16" i="2"/>
  <c r="E15" i="2"/>
  <c r="D15" i="2"/>
  <c r="E14" i="2"/>
  <c r="D14" i="2"/>
  <c r="C14" i="2"/>
  <c r="E13" i="2"/>
  <c r="D13" i="2"/>
  <c r="C13" i="2"/>
  <c r="E9" i="2"/>
  <c r="E8" i="2"/>
  <c r="D8" i="2"/>
  <c r="D9" i="2" s="1"/>
  <c r="C8" i="2"/>
  <c r="C9" i="2" s="1"/>
  <c r="C20" i="1"/>
  <c r="C10" i="4" l="1"/>
  <c r="L5" i="6"/>
  <c r="H16" i="6"/>
  <c r="M5" i="6"/>
  <c r="C39" i="10"/>
  <c r="H15" i="6"/>
  <c r="D41" i="10"/>
  <c r="E17" i="7"/>
  <c r="D42" i="10"/>
  <c r="C38" i="10"/>
  <c r="E44" i="10"/>
  <c r="C70" i="4"/>
  <c r="C71" i="4"/>
  <c r="C24" i="9"/>
  <c r="C9" i="10"/>
  <c r="C19" i="9"/>
  <c r="C20" i="9" s="1"/>
  <c r="C14" i="9"/>
  <c r="G19" i="9"/>
  <c r="G20" i="9" s="1"/>
  <c r="F19" i="9"/>
  <c r="F20" i="9" s="1"/>
  <c r="E19" i="9"/>
  <c r="E20" i="9" s="1"/>
  <c r="D19" i="9"/>
  <c r="D20" i="9" s="1"/>
  <c r="D31" i="3"/>
  <c r="F16" i="6"/>
  <c r="C28" i="6" s="1"/>
  <c r="C21" i="1" s="1"/>
  <c r="E6" i="7"/>
  <c r="F19" i="10"/>
  <c r="E19" i="10"/>
  <c r="D19" i="10"/>
  <c r="C19" i="10"/>
  <c r="C8" i="10"/>
  <c r="C51" i="10" s="1"/>
  <c r="G19" i="10"/>
  <c r="C26" i="3"/>
  <c r="G16" i="6"/>
  <c r="F17" i="6"/>
  <c r="G5" i="5"/>
  <c r="C32" i="3"/>
  <c r="E30" i="3"/>
  <c r="F5" i="5"/>
  <c r="G31" i="3"/>
  <c r="D30" i="3"/>
  <c r="G17" i="6"/>
  <c r="F52" i="10"/>
  <c r="E31" i="3"/>
  <c r="D32" i="3"/>
  <c r="C30" i="3"/>
  <c r="C33" i="3" s="1"/>
  <c r="E32" i="3"/>
  <c r="I15" i="6"/>
  <c r="I17" i="6"/>
  <c r="F30" i="3"/>
  <c r="F32" i="3"/>
  <c r="D5" i="5"/>
  <c r="H6" i="7"/>
  <c r="G6" i="7"/>
  <c r="F6" i="7"/>
  <c r="C20" i="10"/>
  <c r="G30" i="3"/>
  <c r="G32" i="3"/>
  <c r="E5" i="5"/>
  <c r="I17" i="7"/>
  <c r="H17" i="7"/>
  <c r="G17" i="7"/>
  <c r="C17" i="7"/>
  <c r="C31" i="3"/>
  <c r="H5" i="5"/>
  <c r="D17" i="7"/>
  <c r="E49" i="10"/>
  <c r="G55" i="10"/>
  <c r="F36" i="10"/>
  <c r="D38" i="10"/>
  <c r="G39" i="10"/>
  <c r="E41" i="10"/>
  <c r="C43" i="10"/>
  <c r="C55" i="10" s="1"/>
  <c r="F44" i="10"/>
  <c r="G36" i="10"/>
  <c r="G48" i="10" s="1"/>
  <c r="E38" i="10"/>
  <c r="E50" i="10" s="1"/>
  <c r="C40" i="10"/>
  <c r="F41" i="10"/>
  <c r="D43" i="10"/>
  <c r="D55" i="10" s="1"/>
  <c r="G44" i="10"/>
  <c r="C37" i="10"/>
  <c r="C49" i="10" s="1"/>
  <c r="F38" i="10"/>
  <c r="D40" i="10"/>
  <c r="D52" i="10" s="1"/>
  <c r="G41" i="10"/>
  <c r="G53" i="10" s="1"/>
  <c r="E43" i="10"/>
  <c r="D37" i="10"/>
  <c r="D49" i="10" s="1"/>
  <c r="G38" i="10"/>
  <c r="G50" i="10" s="1"/>
  <c r="E40" i="10"/>
  <c r="C42" i="10"/>
  <c r="C54" i="10" s="1"/>
  <c r="F43" i="10"/>
  <c r="C36" i="10"/>
  <c r="C48" i="10" s="1"/>
  <c r="F37" i="10"/>
  <c r="F49" i="10" s="1"/>
  <c r="D39" i="10"/>
  <c r="D51" i="10" s="1"/>
  <c r="G40" i="10"/>
  <c r="G52" i="10" s="1"/>
  <c r="E42" i="10"/>
  <c r="E54" i="10" s="1"/>
  <c r="C44" i="10"/>
  <c r="C56" i="10" s="1"/>
  <c r="D36" i="10"/>
  <c r="D48" i="10" s="1"/>
  <c r="G37" i="10"/>
  <c r="E39" i="10"/>
  <c r="E51" i="10" s="1"/>
  <c r="C41" i="10"/>
  <c r="C53" i="10" s="1"/>
  <c r="F42" i="10"/>
  <c r="F54" i="10" s="1"/>
  <c r="C25" i="9" l="1"/>
  <c r="F53" i="10"/>
  <c r="D50" i="10"/>
  <c r="E52" i="10"/>
  <c r="G56" i="10"/>
  <c r="E53" i="10"/>
  <c r="D54" i="10"/>
  <c r="D56" i="10"/>
  <c r="C35" i="3"/>
  <c r="C37" i="3"/>
  <c r="D9" i="5"/>
  <c r="D18" i="5" s="1"/>
  <c r="D19" i="5" s="1"/>
  <c r="C44" i="3" s="1"/>
  <c r="D33" i="3"/>
  <c r="C34" i="3"/>
  <c r="G51" i="10"/>
  <c r="D18" i="10"/>
  <c r="D20" i="10" s="1"/>
  <c r="C3" i="7"/>
  <c r="G36" i="4"/>
  <c r="C11" i="4"/>
  <c r="C24" i="4" s="1"/>
  <c r="C25" i="4" s="1"/>
  <c r="G46" i="3"/>
  <c r="F36" i="4"/>
  <c r="F46" i="3"/>
  <c r="D36" i="4"/>
  <c r="D46" i="3"/>
  <c r="E36" i="4"/>
  <c r="C46" i="3"/>
  <c r="E46" i="3"/>
  <c r="H36" i="4"/>
  <c r="C23" i="9"/>
  <c r="E55" i="10"/>
  <c r="C52" i="10"/>
  <c r="F48" i="10"/>
  <c r="D21" i="10"/>
  <c r="D22" i="10" s="1"/>
  <c r="C21" i="10"/>
  <c r="C22" i="10" s="1"/>
  <c r="E56" i="10"/>
  <c r="G54" i="10"/>
  <c r="D53" i="10"/>
  <c r="F51" i="10"/>
  <c r="C50" i="10"/>
  <c r="E48" i="10"/>
  <c r="G49" i="10"/>
  <c r="F55" i="10"/>
  <c r="F50" i="10"/>
  <c r="F56" i="10"/>
  <c r="C26" i="9" l="1"/>
  <c r="C18" i="1" s="1"/>
  <c r="E18" i="10"/>
  <c r="E20" i="10" s="1"/>
  <c r="E21" i="10"/>
  <c r="E22" i="10" s="1"/>
  <c r="C29" i="4"/>
  <c r="C27" i="4"/>
  <c r="C26" i="4"/>
  <c r="C72" i="4"/>
  <c r="G46" i="4"/>
  <c r="G40" i="4"/>
  <c r="G39" i="4"/>
  <c r="G38" i="4"/>
  <c r="G45" i="4"/>
  <c r="G43" i="4"/>
  <c r="G44" i="4"/>
  <c r="G41" i="4"/>
  <c r="G51" i="4" s="1"/>
  <c r="G56" i="4" s="1"/>
  <c r="B19" i="7"/>
  <c r="B11" i="7"/>
  <c r="B22" i="7"/>
  <c r="B9" i="7"/>
  <c r="B24" i="7"/>
  <c r="B20" i="7"/>
  <c r="B12" i="7"/>
  <c r="B23" i="7"/>
  <c r="B7" i="7"/>
  <c r="B8" i="7"/>
  <c r="B18" i="7"/>
  <c r="B10" i="7"/>
  <c r="B21" i="7"/>
  <c r="B13" i="7"/>
  <c r="C39" i="3"/>
  <c r="C38" i="3"/>
  <c r="C36" i="3"/>
  <c r="D45" i="4"/>
  <c r="D39" i="4"/>
  <c r="D46" i="4"/>
  <c r="D44" i="4"/>
  <c r="D41" i="4"/>
  <c r="D51" i="4" s="1"/>
  <c r="D56" i="4" s="1"/>
  <c r="D43" i="4"/>
  <c r="D40" i="4"/>
  <c r="D38" i="4"/>
  <c r="D48" i="4" s="1"/>
  <c r="D53" i="4" s="1"/>
  <c r="C27" i="9"/>
  <c r="F43" i="4"/>
  <c r="F46" i="4"/>
  <c r="F44" i="4"/>
  <c r="F41" i="4"/>
  <c r="F39" i="4"/>
  <c r="F40" i="4"/>
  <c r="F38" i="4"/>
  <c r="F45" i="4"/>
  <c r="E39" i="4"/>
  <c r="E49" i="4" s="1"/>
  <c r="E54" i="4" s="1"/>
  <c r="E43" i="4"/>
  <c r="E46" i="4"/>
  <c r="E44" i="4"/>
  <c r="E41" i="4"/>
  <c r="E38" i="4"/>
  <c r="E45" i="4"/>
  <c r="E40" i="4"/>
  <c r="H40" i="4"/>
  <c r="H50" i="4" s="1"/>
  <c r="H55" i="4" s="1"/>
  <c r="H44" i="4"/>
  <c r="H46" i="4"/>
  <c r="H38" i="4"/>
  <c r="H45" i="4"/>
  <c r="H43" i="4"/>
  <c r="H39" i="4"/>
  <c r="H41" i="4"/>
  <c r="D35" i="3"/>
  <c r="E33" i="3"/>
  <c r="D37" i="3"/>
  <c r="D34" i="3"/>
  <c r="E9" i="5"/>
  <c r="E18" i="5" s="1"/>
  <c r="E19" i="5" s="1"/>
  <c r="D44" i="3" s="1"/>
  <c r="H48" i="4" l="1"/>
  <c r="H53" i="4" s="1"/>
  <c r="E50" i="4"/>
  <c r="E55" i="4" s="1"/>
  <c r="D49" i="4"/>
  <c r="D54" i="4" s="1"/>
  <c r="G49" i="4"/>
  <c r="G54" i="4" s="1"/>
  <c r="F18" i="10"/>
  <c r="F20" i="10" s="1"/>
  <c r="F21" i="10"/>
  <c r="F22" i="10" s="1"/>
  <c r="F33" i="3"/>
  <c r="E37" i="3"/>
  <c r="E34" i="3"/>
  <c r="E35" i="3" s="1"/>
  <c r="F9" i="5"/>
  <c r="F18" i="5" s="1"/>
  <c r="F19" i="5" s="1"/>
  <c r="E44" i="3" s="1"/>
  <c r="G48" i="4"/>
  <c r="G53" i="4" s="1"/>
  <c r="D20" i="1"/>
  <c r="F48" i="4"/>
  <c r="F53" i="4" s="1"/>
  <c r="G50" i="4"/>
  <c r="G55" i="4" s="1"/>
  <c r="D38" i="3"/>
  <c r="D39" i="3"/>
  <c r="D36" i="3"/>
  <c r="H49" i="4"/>
  <c r="H54" i="4" s="1"/>
  <c r="E48" i="4"/>
  <c r="E53" i="4" s="1"/>
  <c r="F50" i="4"/>
  <c r="F55" i="4" s="1"/>
  <c r="E51" i="4"/>
  <c r="E56" i="4" s="1"/>
  <c r="F49" i="4"/>
  <c r="D50" i="4"/>
  <c r="D55" i="4" s="1"/>
  <c r="H51" i="4"/>
  <c r="H56" i="4" s="1"/>
  <c r="F51" i="4"/>
  <c r="F56" i="4" s="1"/>
  <c r="C40" i="3"/>
  <c r="C41" i="3" s="1"/>
  <c r="C45" i="3" s="1"/>
  <c r="G18" i="10" l="1"/>
  <c r="G20" i="10" s="1"/>
  <c r="G21" i="10"/>
  <c r="E38" i="3"/>
  <c r="E39" i="3"/>
  <c r="E36" i="3"/>
  <c r="D40" i="3"/>
  <c r="D41" i="3" s="1"/>
  <c r="D45" i="3" s="1"/>
  <c r="F34" i="3"/>
  <c r="F35" i="3" s="1"/>
  <c r="F37" i="3"/>
  <c r="G9" i="5"/>
  <c r="G18" i="5" s="1"/>
  <c r="G19" i="5" s="1"/>
  <c r="F44" i="3" s="1"/>
  <c r="G33" i="3"/>
  <c r="C47" i="3"/>
  <c r="C60" i="4"/>
  <c r="F54" i="4"/>
  <c r="B78" i="4" s="1"/>
  <c r="D47" i="3" l="1"/>
  <c r="C16" i="4"/>
  <c r="C28" i="4" s="1"/>
  <c r="G34" i="3"/>
  <c r="H9" i="5"/>
  <c r="H18" i="5" s="1"/>
  <c r="H19" i="5" s="1"/>
  <c r="G44" i="3" s="1"/>
  <c r="G37" i="3"/>
  <c r="G35" i="3"/>
  <c r="E40" i="3"/>
  <c r="E41" i="3" s="1"/>
  <c r="E45" i="3" s="1"/>
  <c r="G22" i="10"/>
  <c r="C25" i="10" s="1"/>
  <c r="C28" i="10" s="1"/>
  <c r="C29" i="10" s="1"/>
  <c r="C26" i="10"/>
  <c r="C27" i="10" s="1"/>
  <c r="C65" i="4"/>
  <c r="D65" i="4" s="1"/>
  <c r="C63" i="4"/>
  <c r="D63" i="4" s="1"/>
  <c r="C67" i="4"/>
  <c r="D67" i="4" s="1"/>
  <c r="C66" i="4"/>
  <c r="D66" i="4" s="1"/>
  <c r="C64" i="4"/>
  <c r="D64" i="4" s="1"/>
  <c r="C73" i="4"/>
  <c r="F36" i="3"/>
  <c r="F39" i="3"/>
  <c r="F38" i="3"/>
  <c r="E47" i="3" l="1"/>
  <c r="G36" i="3"/>
  <c r="G39" i="3"/>
  <c r="G38" i="3"/>
  <c r="C30" i="10"/>
  <c r="C19" i="1"/>
  <c r="F40" i="3"/>
  <c r="F41" i="3" s="1"/>
  <c r="F45" i="3" s="1"/>
  <c r="F47" i="3" l="1"/>
  <c r="C59" i="3"/>
  <c r="C60" i="3" s="1"/>
  <c r="C61" i="3" s="1"/>
  <c r="G40" i="3"/>
  <c r="G41" i="3" s="1"/>
  <c r="G45" i="3" s="1"/>
  <c r="D21" i="1"/>
  <c r="C10" i="1"/>
  <c r="C12" i="1" s="1"/>
  <c r="C11" i="1" s="1"/>
  <c r="D23" i="7" l="1"/>
  <c r="C24" i="7"/>
  <c r="C8" i="7"/>
  <c r="I11" i="7"/>
  <c r="C12" i="7"/>
  <c r="E11" i="7"/>
  <c r="D12" i="7"/>
  <c r="I8" i="7"/>
  <c r="I10" i="7"/>
  <c r="H8" i="7"/>
  <c r="E22" i="7"/>
  <c r="E23" i="7"/>
  <c r="D10" i="7"/>
  <c r="E7" i="7"/>
  <c r="I23" i="7"/>
  <c r="H9" i="7"/>
  <c r="E13" i="7"/>
  <c r="H11" i="7"/>
  <c r="C18" i="7"/>
  <c r="H12" i="7"/>
  <c r="I24" i="7"/>
  <c r="G7" i="7"/>
  <c r="H10" i="7"/>
  <c r="E20" i="7"/>
  <c r="H18" i="7"/>
  <c r="D7" i="7"/>
  <c r="F11" i="7"/>
  <c r="G8" i="7"/>
  <c r="C9" i="7"/>
  <c r="H13" i="7"/>
  <c r="E24" i="7"/>
  <c r="F23" i="7"/>
  <c r="G11" i="7"/>
  <c r="E18" i="7"/>
  <c r="F8" i="7"/>
  <c r="D22" i="7"/>
  <c r="E9" i="7"/>
  <c r="D13" i="7"/>
  <c r="F18" i="7"/>
  <c r="F12" i="7"/>
  <c r="G18" i="7"/>
  <c r="C20" i="7"/>
  <c r="G10" i="7"/>
  <c r="H22" i="7"/>
  <c r="F10" i="7"/>
  <c r="H20" i="7"/>
  <c r="F19" i="7"/>
  <c r="D9" i="7"/>
  <c r="F7" i="7"/>
  <c r="F13" i="7"/>
  <c r="F21" i="7"/>
  <c r="H7" i="7"/>
  <c r="G24" i="7"/>
  <c r="D18" i="7"/>
  <c r="I20" i="7"/>
  <c r="I12" i="7"/>
  <c r="G23" i="7"/>
  <c r="I21" i="7"/>
  <c r="F24" i="7"/>
  <c r="C51" i="3"/>
  <c r="C52" i="3" s="1"/>
  <c r="G47" i="3"/>
  <c r="C50" i="3" s="1"/>
  <c r="G21" i="7"/>
  <c r="F22" i="7"/>
  <c r="D21" i="7"/>
  <c r="D8" i="7"/>
  <c r="I22" i="7"/>
  <c r="E19" i="7"/>
  <c r="D19" i="7"/>
  <c r="G20" i="7"/>
  <c r="G9" i="7"/>
  <c r="G13" i="7"/>
  <c r="C10" i="7"/>
  <c r="C23" i="7"/>
  <c r="F9" i="7"/>
  <c r="H21" i="7"/>
  <c r="H24" i="7"/>
  <c r="E21" i="7"/>
  <c r="C21" i="7"/>
  <c r="H23" i="7"/>
  <c r="G19" i="7"/>
  <c r="I13" i="7"/>
  <c r="C11" i="7"/>
  <c r="E10" i="7"/>
  <c r="I19" i="7"/>
  <c r="D24" i="7"/>
  <c r="G22" i="7"/>
  <c r="G12" i="7"/>
  <c r="E8" i="7"/>
  <c r="C7" i="7"/>
  <c r="E12" i="7"/>
  <c r="I18" i="7"/>
  <c r="C22" i="7"/>
  <c r="I9" i="7"/>
  <c r="F20" i="7"/>
  <c r="C19" i="7"/>
  <c r="D11" i="7"/>
  <c r="H19" i="7"/>
  <c r="D20" i="7"/>
  <c r="I7" i="7"/>
  <c r="C13" i="7"/>
  <c r="C58" i="3" l="1"/>
  <c r="C62" i="3" s="1"/>
  <c r="C53" i="3"/>
  <c r="C54" i="3" l="1"/>
  <c r="C55" i="3" s="1"/>
  <c r="C16" i="1" s="1"/>
  <c r="C17" i="4"/>
  <c r="C63" i="3"/>
  <c r="C64" i="3" s="1"/>
  <c r="C17" i="1"/>
  <c r="D17" i="1" s="1"/>
  <c r="C23" i="1" l="1"/>
  <c r="D16" i="1"/>
  <c r="C19" i="4"/>
  <c r="C20" i="4" s="1"/>
  <c r="B79" i="4" s="1"/>
</calcChain>
</file>

<file path=xl/sharedStrings.xml><?xml version="1.0" encoding="utf-8"?>
<sst xmlns="http://schemas.openxmlformats.org/spreadsheetml/2006/main" count="549" uniqueCount="383">
  <si>
    <t>DISCLAIMER: This is a sample analysis for demonstration purposes only. It does not constitute investment advice.</t>
  </si>
  <si>
    <t>株式会社セブン銀行 (8410.T)</t>
  </si>
  <si>
    <t>Equity Research Report</t>
  </si>
  <si>
    <t>Company</t>
  </si>
  <si>
    <t>株式会社セブン銀行</t>
  </si>
  <si>
    <t>Ticker</t>
  </si>
  <si>
    <t>8410.T (TSE)</t>
  </si>
  <si>
    <t>Sector</t>
  </si>
  <si>
    <t>Banking (ATM network / fee-based financial infrastructure)</t>
  </si>
  <si>
    <t>Current Price</t>
  </si>
  <si>
    <t>Target Price (DCF Mid) - DDM / Residual Income の平均</t>
  </si>
  <si>
    <t>Recommendation</t>
  </si>
  <si>
    <t>Upside / Downside</t>
  </si>
  <si>
    <t>Valuation Summary</t>
  </si>
  <si>
    <t>Methodology</t>
  </si>
  <si>
    <t>Implied Value (JPY)</t>
  </si>
  <si>
    <t>vs Current Price</t>
  </si>
  <si>
    <t>DCF - Perpetuity Growth [参考・Target不算入 — 型D: 銀行に DCF は成立しない]</t>
  </si>
  <si>
    <t>DCF - Exit Multiple [参考・Target不算入 — 型D: 銀行に DCF は成立しない]</t>
  </si>
  <si>
    <t>DDM - 2-Stage Dividend Discount (主手法)</t>
  </si>
  <si>
    <t>Residual Income (主手法)</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</si>
  <si>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</si>
  <si>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</si>
  <si>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■【型D: 銀行】手順書 §2 により **DCF は成立しない**（負債が資金調達ではなく原材料であり、運転資本が定義できず、自己資本規制が配当を制約するため）。**Target は DDM と Residual Income の2手法の平均のみ**で構成し、DCF の2脚（PGM / Exit）と Comps の EV 倍率は Target に算入しない。DCF Model シートは ATM 手数料フランチャイズの採算を読むための補助として残してある。</t>
  </si>
  <si>
    <t>DCF Valuation Range (PGM - Exit)</t>
  </si>
  <si>
    <t>Key Investment Thesis</t>
  </si>
  <si>
    <t>1. The reported 26% net income decline is misleading -- ordinary profit was essentially flat at 30,165 (-0.4%). The drop came from an 8,456 impairment on the credit card business and new-ATM replacement costs, both below the ordinary line. The franchise did not deteriorate; the accounting did.</t>
  </si>
  <si>
    <t>2. Cashless payment adoption is currently a TAILWIND, not a headwind. ATM transaction volume rose because consumers load cash onto cashless wallets at Seven Bank ATMs. ATM units reached 28,536 (+1.9%) with 109.2 daily transactions per unit. The bear case requires this to reverse, which it has not yet.</t>
  </si>
  <si>
    <t>3. Fee-based infrastructure economics inside a banking licence. 91.3% of ordinary income is fee income (ATM fees alone 169,240, or 76.9%); interest income is only 7.2%. This is an ATM network operator, and should be valued on franchise durability and ROE, not on net interest margin.</t>
  </si>
  <si>
    <t>Key Risks</t>
  </si>
  <si>
    <t>1. ROE sits almost exactly at the cost of equity. FY2026/3 ROE was 4.8% (6.1% on FY2027/3 guidance) against an estimated 6.2% cost of equity. When ROE equals Ke, intrinsic value collapses to book value, and the shares already trade at 1.065x book. There is little valuation cushion.</t>
  </si>
  <si>
    <t>2. Capex exceeds depreciation during the ATM replacement cycle. Depreciation is roughly 30,586 while the fourth-generation ATM rollout keeps capex elevated. 28,536 units must be refreshed on a recurring cycle regardless of demand.</t>
  </si>
  <si>
    <t>3. Payout ratio near 90% leaves almost no retained growth. Sustainable growth = ROE x (1 - payout) is well under 1%, so the dividend is the return. Any ROE shortfall hits both the dividend and the terminal value simultaneously.</t>
  </si>
  <si>
    <t>株式会社セブン銀行 - Historical Financials (JPY mn)</t>
  </si>
  <si>
    <t>FY2024/3</t>
  </si>
  <si>
    <t>FY2025/3</t>
  </si>
  <si>
    <t>FY2026/3</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</si>
  <si>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</si>
  <si>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</si>
  <si>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</si>
  <si>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</si>
  <si>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</si>
  <si>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</si>
  <si>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</si>
  <si>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</si>
  <si>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</si>
  <si>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</si>
  <si>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</si>
  <si>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</si>
  <si>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</si>
  <si>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</si>
  <si>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</si>
  <si>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</si>
  <si>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</si>
  <si>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</si>
  <si>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</si>
  <si>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</si>
  <si>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</si>
  <si>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</si>
  <si>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</si>
  <si>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3/3, Cash 3/3, Debt 3/3 — blank cells are years with no year-key match in the source data (verify against 決算短信 or set hist_ocf / hist_cash / hist_debt in overrides).</t>
  </si>
  <si>
    <t>⚠ 型D（銀行）: このシートは参考表示である。銀行に UFCF ベースの DCF は成立しない（負債は資金調達ではなく原材料、運転資本が定義できない、自己資本規制が配当を制約する）。**主手法は DDM シートと Residual Income シート**であり、Target はその2手法の平均である。</t>
  </si>
  <si>
    <t>DCF Valuation Model - 株式会社セブン銀行</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</si>
  <si>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</si>
  <si>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</si>
  <si>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</si>
  <si>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</si>
  <si>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</si>
  <si>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</si>
  <si>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</si>
  <si>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</si>
  <si>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</si>
  <si>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</si>
  <si>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</si>
  <si>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</si>
  <si>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</si>
  <si>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</si>
  <si>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 (fallback)</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</si>
  <si>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</si>
  <si>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</si>
  <si>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</si>
  <si>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</si>
  <si>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</si>
  <si>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</si>
  <si>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</si>
  <si>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</si>
  <si>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</si>
  <si>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</si>
  <si>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</si>
  <si>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</si>
  <si>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</si>
  <si>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</si>
  <si>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</si>
  <si>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</si>
  <si>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</si>
  <si>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</si>
  <si>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</si>
  <si>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</si>
  <si>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</si>
  <si>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</si>
  <si>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</si>
  <si>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</si>
  <si>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</si>
  <si>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</si>
  <si>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</si>
  <si>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</si>
  <si>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</si>
  <si>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</si>
  <si>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</si>
  <si>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</si>
  <si>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</si>
  <si>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</si>
  <si>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</si>
  <si>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</si>
  <si>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</si>
  <si>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</si>
  <si>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</si>
  <si>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</si>
  <si>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</si>
  <si>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</si>
  <si>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</si>
  <si>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</si>
  <si>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</si>
  <si>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</si>
  <si>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</si>
  <si>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</si>
  <si>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</si>
  <si>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株式会社セブン銀行 (8410.T)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</si>
  <si>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</si>
  <si>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</si>
  <si>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</si>
  <si>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</si>
  <si>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</si>
  <si>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</si>
  <si>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</si>
  <si>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</si>
  <si>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(FY2026/3 actual)</t>
  </si>
  <si>
    <t>Cycle-peak Operating Profit (FY2024/3 actual)</t>
  </si>
  <si>
    <t>Terminal-year Revenue, active scenario (JPY mn)</t>
  </si>
  <si>
    <t>Base-case DCF Enterprise Value, PGM (JPY mn)</t>
  </si>
  <si>
    <t>Cycle-peak Operating Margin (FY2024/3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</si>
  <si>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</si>
  <si>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</si>
  <si>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</si>
  <si>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</si>
  <si>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</si>
  <si>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</si>
  <si>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FY2024/3 peak</t>
  </si>
  <si>
    <t>... as a multiple of FY2026/3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</si>
  <si>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</si>
  <si>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</si>
  <si>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</si>
  <si>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</si>
  <si>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</si>
  <si>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</si>
  <si>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</si>
  <si>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</si>
  <si>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</si>
  <si>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</si>
  <si>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</si>
  <si>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</si>
  <si>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</si>
  <si>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</si>
  <si>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FY2024/3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</si>
  <si>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</si>
  <si>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</si>
  <si>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</si>
  <si>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</si>
  <si>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</si>
  <si>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</si>
  <si>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(FY2024/3)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</si>
  <si>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</si>
  <si>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</si>
  <si>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</si>
  <si>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</si>
  <si>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</si>
  <si>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</si>
  <si>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</si>
  <si>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</si>
  <si>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株式会社セブン銀行</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</si>
  <si>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</si>
  <si>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</si>
  <si>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</si>
  <si>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</si>
  <si>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</si>
  <si>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</si>
  <si>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</si>
  <si>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</si>
  <si>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</si>
  <si>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</si>
  <si>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</si>
  <si>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</si>
  <si>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</si>
  <si>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</si>
  <si>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</si>
  <si>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</si>
  <si>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</si>
  <si>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</si>
  <si>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</si>
  <si>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 型D(銀行): EV 倍率は使用しない（comps は全社 Net_Debt=0 の契約であり EV は時価総額に等しくなる）。PER / PBR のみを参照すること</t>
  </si>
  <si>
    <t>PBR</t>
  </si>
  <si>
    <t>Op Margin</t>
  </si>
  <si>
    <t>ROE</t>
  </si>
  <si>
    <t>Book Value
(JPY mn)</t>
  </si>
  <si>
    <t>Note</t>
  </si>
  <si>
    <t>Seven Bank</t>
  </si>
  <si>
    <t>8410.T</t>
  </si>
  <si>
    <t>N/A</t>
  </si>
  <si>
    <t>Rakuten Bank</t>
  </si>
  <si>
    <t>5838.T</t>
  </si>
  <si>
    <t>(D&amp;A n/a)</t>
  </si>
  <si>
    <t>Japan Post Bank</t>
  </si>
  <si>
    <t>7182.T</t>
  </si>
  <si>
    <t>AEON Financial Service</t>
  </si>
  <si>
    <t>8570.T</t>
  </si>
  <si>
    <t>Statistics</t>
  </si>
  <si>
    <t>25th Percentile</t>
  </si>
  <si>
    <t>Median (50th)</t>
  </si>
  <si>
    <t>75th Percentile</t>
  </si>
  <si>
    <t>Implied Valuation for 株式会社セブン銀行</t>
  </si>
  <si>
    <t>株式会社セブン銀行 Financials</t>
  </si>
  <si>
    <t>EBITDA (JPY mn)</t>
  </si>
  <si>
    <t>Net Income (JPY mn)</t>
  </si>
  <si>
    <t>Shares Outstanding</t>
  </si>
  <si>
    <t>Implied Share Price (Median Multiples)</t>
  </si>
  <si>
    <t>Via EV/EBITDA (Median)</t>
  </si>
  <si>
    <t>INVALID (n&lt;3)</t>
  </si>
  <si>
    <t>Only 0 peer(s) with D&amp;A-inclusive EBITDA — EV/EBITDA excluded from Target Price</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</si>
  <si>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</si>
  <si>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</si>
  <si>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</si>
  <si>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</si>
  <si>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</si>
  <si>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</si>
  <si>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</si>
  <si>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</si>
  <si>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</si>
  <si>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</si>
  <si>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株式会社セブン銀行</t>
  </si>
  <si>
    <t>日付</t>
  </si>
  <si>
    <t>セル</t>
  </si>
  <si>
    <t>変更内容</t>
  </si>
  <si>
    <t>理由</t>
  </si>
  <si>
    <t>元の値</t>
  </si>
  <si>
    <t>状態</t>
  </si>
  <si>
    <t>2026-09-06</t>
  </si>
  <si>
    <t>-</t>
  </si>
  <si>
    <t>Generated by pipeline on 2026-09-06 23:13, template rev 041abe3</t>
  </si>
  <si>
    <t>初期生成（手修正なし）</t>
  </si>
  <si>
    <t>generated</t>
  </si>
  <si>
    <t>DCF Model!C8</t>
  </si>
  <si>
    <t>Beta = 0.626（採用値）</t>
  </si>
  <si>
    <t>実測β(raw) = 0.442 → Blume調整 0.67×raw + 0.33×1.00 = 0.626 → 採用 0.626。クランプ域 [0.3, 2.0] の内側。置換なし。回帰βは平均回帰するため Blume 調整を既定とする（2026-09-05 バッチで85件中57件が旧下限 0.60 に張り付き、両裾の歪みが実証された）。</t>
  </si>
  <si>
    <t>実測 0.442</t>
  </si>
  <si>
    <t>確定</t>
  </si>
  <si>
    <t>Pipeline Metadata (do not edit — read by scripts/validate_output.py)</t>
  </si>
  <si>
    <t>key</t>
  </si>
  <si>
    <t>value</t>
  </si>
  <si>
    <t>annual_doc_ids</t>
  </si>
  <si>
    <t>2026-03-31=S100YC1N, 2025-03-31=S100VY5C, 2024-03-31=S100TMDS, 2023-03-31=S100QYPL, 2022-03-31=S100O9ZI</t>
  </si>
  <si>
    <t>auto_log_entries</t>
  </si>
  <si>
    <t>1</t>
  </si>
  <si>
    <t>beta_adopted_c8</t>
  </si>
  <si>
    <t>0.6264</t>
  </si>
  <si>
    <t>beta_basis</t>
  </si>
  <si>
    <t>Blume: 0.67 x 0.442 + 0.33 x 1.00 = 0.626</t>
  </si>
  <si>
    <t>beta_blume_adjusted</t>
  </si>
  <si>
    <t>beta_clamped</t>
  </si>
  <si>
    <t>no</t>
  </si>
  <si>
    <t>beta_raw</t>
  </si>
  <si>
    <t>0.4424</t>
  </si>
  <si>
    <t>capex_pct_basis</t>
  </si>
  <si>
    <t>explicit_override</t>
  </si>
  <si>
    <t>capex_pct_c5</t>
  </si>
  <si>
    <t>0.155</t>
  </si>
  <si>
    <t>capex_pct_hist3yr</t>
  </si>
  <si>
    <t>0.081029</t>
  </si>
  <si>
    <t>company_name</t>
  </si>
  <si>
    <t>comps_asof</t>
  </si>
  <si>
    <t>comps_da_missing</t>
  </si>
  <si>
    <t>Rakuten Bank, Japan Post Bank, AEON Financial Service</t>
  </si>
  <si>
    <t>comps_ebitda_excluded</t>
  </si>
  <si>
    <t>comps_ev_ebitda_invalid</t>
  </si>
  <si>
    <t>yes</t>
  </si>
  <si>
    <t>comps_ev_ebitda_rows</t>
  </si>
  <si>
    <t>comps_impl_mult_row</t>
  </si>
  <si>
    <t>27</t>
  </si>
  <si>
    <t>comps_impl_per_row</t>
  </si>
  <si>
    <t>28</t>
  </si>
  <si>
    <t>comps_peer_rows</t>
  </si>
  <si>
    <t>6,7,8</t>
  </si>
  <si>
    <t>comps_per_excluded</t>
  </si>
  <si>
    <t>comps_stale_excluded</t>
  </si>
  <si>
    <t>none</t>
  </si>
  <si>
    <t>comps_stat_median_row</t>
  </si>
  <si>
    <t>16</t>
  </si>
  <si>
    <t>comps_subject_row</t>
  </si>
  <si>
    <t>5</t>
  </si>
  <si>
    <t>core_ebitda</t>
  </si>
  <si>
    <t>60751</t>
  </si>
  <si>
    <t>core_net_income</t>
  </si>
  <si>
    <t>13476</t>
  </si>
  <si>
    <t>cost_of_debt_at_c11</t>
  </si>
  <si>
    <t>0.01</t>
  </si>
  <si>
    <t>cost_of_debt_basis</t>
  </si>
  <si>
    <t>assumption</t>
  </si>
  <si>
    <t>da_pct_basis</t>
  </si>
  <si>
    <t>da_pct_c18</t>
  </si>
  <si>
    <t>0.139</t>
  </si>
  <si>
    <t>da_pct_hist3yr</t>
  </si>
  <si>
    <t>0.130728</t>
  </si>
  <si>
    <t>disclosure_basis_date</t>
  </si>
  <si>
    <t>2026-03-31</t>
  </si>
  <si>
    <t>fs_year_coverage</t>
  </si>
  <si>
    <t>OCF 3/3, Cash 3/3, Debt 3/3</t>
  </si>
  <si>
    <t>fs_year_map</t>
  </si>
  <si>
    <t>FY2024/3&lt;-FY2024[ocf+cash+debt]; FY2025/3&lt;-FY2025[ocf+cash+debt]; FY2026/3&lt;-FY2026[ocf+cash+debt]</t>
  </si>
  <si>
    <t>fs_year_sources</t>
  </si>
  <si>
    <t>overrides: hist_capex, hist_depreciation | EDINET year-key match: hist_ocf, hist_cash, hist_debt</t>
  </si>
  <si>
    <t>fx_sensitivity</t>
  </si>
  <si>
    <t>not enabled</t>
  </si>
  <si>
    <t>generated_at</t>
  </si>
  <si>
    <t>2026-09-06 23:13:59</t>
  </si>
  <si>
    <t>guidance_note</t>
  </si>
  <si>
    <t>TDnet 決算短信 via screener guidance table: FY2027 disclosed 2026-08-07 (net_income=20,000mn)</t>
  </si>
  <si>
    <t>guidance_source</t>
  </si>
  <si>
    <t>tdnet_screener_db</t>
  </si>
  <si>
    <t>latest_operating_income</t>
  </si>
  <si>
    <t>30165</t>
  </si>
  <si>
    <t>ltm_revenue_c20</t>
  </si>
  <si>
    <t>220025.0</t>
  </si>
  <si>
    <t>ltm_revenue_source</t>
  </si>
  <si>
    <t>latest FY (no LTM)</t>
  </si>
  <si>
    <t>market_data_source</t>
  </si>
  <si>
    <t>yfinance; from overrides: beta, current_price, shares, shares_outstanding</t>
  </si>
  <si>
    <t>narrative_tokens_used</t>
  </si>
  <si>
    <t>net_debt_source</t>
  </si>
  <si>
    <t>EDINET net_debt</t>
  </si>
  <si>
    <t>reverse_dcf_sheet</t>
  </si>
  <si>
    <t>op0=30,165(FY2026/3) peak=30,526(FY2024/3) peak_opm=0.1543 N=3/5/7/10</t>
  </si>
  <si>
    <t>scenario_index_range</t>
  </si>
  <si>
    <t>B69:B73</t>
  </si>
  <si>
    <t>tax_rate_c6</t>
  </si>
  <si>
    <t>0.25</t>
  </si>
  <si>
    <t>template_rev</t>
  </si>
  <si>
    <t>041abe3</t>
  </si>
  <si>
    <t>ticker</t>
  </si>
  <si>
    <t>DDM - 2-Stage Dividend Discount Model (PRIMARY METHOD - bank)</t>
  </si>
  <si>
    <t>Standard UFCF DCF does not apply to a bank (see 'DCF Model' sheet, used only as an auxiliary ATM-fee-franchise cross-check).</t>
  </si>
  <si>
    <t>Inputs</t>
  </si>
  <si>
    <t>Current Price (JPY)</t>
  </si>
  <si>
    <t>Guard (Ke must exceed g)</t>
  </si>
  <si>
    <t>Dividend per Share Forecast (Base scenario)</t>
  </si>
  <si>
    <t>DPS (JPY)</t>
  </si>
  <si>
    <t>FY2027(E)=11.00 は会社の配当予想(FY2026/3 実績横ばい)。2026年7月版と同一の配当経路を維持している。</t>
  </si>
  <si>
    <t>PV of DPS</t>
  </si>
  <si>
    <t>Valuation</t>
  </si>
  <si>
    <t>Sum of PV of DPS (Yr 1-5)</t>
  </si>
  <si>
    <t>Terminal Value (Yr 5)</t>
  </si>
  <si>
    <t>Implied Value per Share (JPY)</t>
  </si>
  <si>
    <t>Upside / (Downside) vs Current Price</t>
  </si>
  <si>
    <t>Sensitivity: Ke (rows) x Terminal g (cols)</t>
  </si>
  <si>
    <t>Ke \ g</t>
  </si>
  <si>
    <t>Residual Income Model (PRIMARY METHOD - bank)</t>
  </si>
  <si>
    <t>Value = Book Value + PV(Residual Income). When ROE approaches Ke, value converges to book value.</t>
  </si>
  <si>
    <t>Beginning Book Value (JPY mn)</t>
  </si>
  <si>
    <t>BPS_0 (JPY)</t>
  </si>
  <si>
    <t>ROE Forecast (Base scenario)</t>
  </si>
  <si>
    <t>FY2027(E)=6.1% = 会社の純利益予想 17,000 ÷ 期首自己資本 280,498。2026年7月版と同一の ROE 経路。</t>
  </si>
  <si>
    <t>Book Value Rollforward (JPY mn)</t>
  </si>
  <si>
    <t>Net Income_t = ROE_t x BV_(t-1)</t>
  </si>
  <si>
    <t>Dividends_t (from DDM)</t>
  </si>
  <si>
    <t>Ending Book Value</t>
  </si>
  <si>
    <t>Residual Income_t = (ROE_t - Ke) x BV_(t-1)</t>
  </si>
  <si>
    <t>PV of Residual Income</t>
  </si>
  <si>
    <t>Sum of PV of Residual Income</t>
  </si>
  <si>
    <t>Terminal Residual Income</t>
  </si>
  <si>
    <t>PV of Terminal Residual Income</t>
  </si>
  <si>
    <t>Equity Value (JPY mn)</t>
  </si>
  <si>
    <t>Note: ROE sits close to Ke, so Residual Income per year is small and the implied value sits close to BPS_0 -- the theoretical price is structurally anchored to book value, not to growth assumptions. Whether ROE durably exceeds Ke is the entire valuation question for this stock.</t>
  </si>
  <si>
    <t>Justified P/B = (ROE - g) / (Ke - g)</t>
  </si>
  <si>
    <t>ROE \ Ke</t>
  </si>
  <si>
    <t>Implied Share Price at each (ROE, Ke) node = BPS_0 x Justified P/B (JPY)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</si>
</sst>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
    <numFmt numFmtId="177" formatCode="0.0%;\(0.0%\)"/>
    <numFmt numFmtId="178" formatCode="0.000"/>
    <numFmt numFmtId="179" formatCode="0.00&quot;x&quot;"/>
    <numFmt numFmtId="180" formatCode="0.00%;\(0.00%\)"/>
    <numFmt numFmtId="181" formatCode="0.0000"/>
    <numFmt numFmtId="182" formatCode="0.0&quot;円&quot;"/>
  </numFmts>
  <fonts count="13"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i/>
      <sz val="9"/>
      <color rgb="FF808080"/>
      <name val="Arial"/>
    </font>
    <font>
      <sz val="10"/>
      <color rgb="FF000000"/>
      <name val="Arial"/>
    </font>
    <font>
      <sz val="10"/>
      <color rgb="FF0000FF"/>
      <name val="Arial"/>
    </font>
    <font>
      <b/>
      <sz val="11"/>
      <color rgb="FFFFFFFF"/>
      <name val="Arial"/>
    </font>
  </fonts>
  <fills count="8">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000080"/>
        <bgColor rgb="FF000080"/>
      </patternFill>
    </fill>
    <fill>
      <patternFill patternType="solid">
        <fgColor rgb="FFE2EFDA"/>
        <bgColor rgb="FFE2EFDA"/>
      </patternFill>
    </fill>
  </fills>
  <borders count="11">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right/>
      <top/>
      <bottom style="thin">
        <color auto="1"/>
      </bottom>
      <diagonal/>
    </border>
    <border>
      <left/>
      <right/>
      <top style="thin">
        <color auto="1"/>
      </top>
      <bottom style="double">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7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0" fillId="0" borderId="6" xfId="0" applyBorder="1"/>
    <xf numFmtId="0" fontId="5" fillId="0" borderId="6" xfId="0" applyFont="1" applyBorder="1" applyAlignment="1">
      <alignment horizontal="right"/>
    </xf>
    <xf numFmtId="0" fontId="5" fillId="0" borderId="4"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180" fontId="10" fillId="0" borderId="0" xfId="0" applyNumberFormat="1" applyFont="1"/>
    <xf numFmtId="2" fontId="10" fillId="0" borderId="0" xfId="0" applyNumberFormat="1" applyFont="1"/>
    <xf numFmtId="3" fontId="10" fillId="0" borderId="0" xfId="0" applyNumberFormat="1" applyFont="1"/>
    <xf numFmtId="176" fontId="10" fillId="0" borderId="0" xfId="0" applyNumberFormat="1" applyFont="1"/>
    <xf numFmtId="180" fontId="11" fillId="0" borderId="7" xfId="0" applyNumberFormat="1" applyFont="1" applyBorder="1"/>
    <xf numFmtId="0" fontId="10" fillId="0" borderId="0" xfId="0" applyFont="1"/>
    <xf numFmtId="0" fontId="12" fillId="6" borderId="8" xfId="0" applyFont="1" applyFill="1" applyBorder="1" applyAlignment="1">
      <alignment horizontal="center" wrapText="1"/>
    </xf>
    <xf numFmtId="2" fontId="11" fillId="0" borderId="7" xfId="0" applyNumberFormat="1" applyFont="1" applyBorder="1"/>
    <xf numFmtId="181" fontId="10" fillId="0" borderId="0" xfId="0" applyNumberFormat="1" applyFont="1"/>
    <xf numFmtId="0" fontId="4" fillId="7" borderId="9" xfId="0" applyFont="1" applyFill="1" applyBorder="1"/>
    <xf numFmtId="176" fontId="4" fillId="7" borderId="9" xfId="0" applyNumberFormat="1" applyFont="1" applyFill="1" applyBorder="1"/>
    <xf numFmtId="177" fontId="10" fillId="0" borderId="0" xfId="0" applyNumberFormat="1" applyFont="1"/>
    <xf numFmtId="180" fontId="4" fillId="0" borderId="0" xfId="0" applyNumberFormat="1" applyFont="1" applyAlignment="1">
      <alignment horizontal="center"/>
    </xf>
    <xf numFmtId="180" fontId="4" fillId="0" borderId="0" xfId="0" applyNumberFormat="1" applyFont="1"/>
    <xf numFmtId="176" fontId="10" fillId="0" borderId="10" xfId="0" applyNumberFormat="1" applyFont="1" applyBorder="1"/>
    <xf numFmtId="176" fontId="11" fillId="0" borderId="7" xfId="0" applyNumberFormat="1" applyFont="1" applyBorder="1"/>
    <xf numFmtId="182" fontId="10" fillId="0" borderId="0" xfId="0" applyNumberFormat="1" applyFont="1"/>
    <xf numFmtId="177" fontId="11" fillId="0" borderId="7" xfId="0" applyNumberFormat="1" applyFont="1" applyBorder="1"/>
    <xf numFmtId="0" fontId="4" fillId="0" borderId="0" xfId="0" applyFont="1" applyAlignment="1">
      <alignment horizontal="center"/>
    </xf>
    <xf numFmtId="177" fontId="4" fillId="0" borderId="0" xfId="0" applyNumberFormat="1" applyFont="1"/>
    <xf numFmtId="179" fontId="10" fillId="0" borderId="10" xfId="0" applyNumberFormat="1" applyFont="1" applyBorder="1"/>
    <xf numFmtId="0" fontId="2" fillId="0" borderId="0" xfId="0" applyFont="1"/>
    <xf numFmtId="0" fontId="0" fillId="0" borderId="0" xfId="0"/>
    <xf numFmtId="0" fontId="1" fillId="0" borderId="0" xfId="0" applyFont="1"/>
    <xf numFmtId="176" fontId="7" fillId="0" borderId="0" xfId="0" applyNumberFormat="1" applyFont="1"/>
    <xf numFmtId="177" fontId="5" fillId="0" borderId="0" xfId="0" applyNumberFormat="1" applyFont="1"/>
  </cellXfs>
  <cellStyles count="1">
    <cellStyle name="標準" xfId="0" builtinId="0"/>
  </cellStyles>
  <dxfs count="1">
    <dxf>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3"/>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71" t="s">
        <v>0</v>
      </c>
      <c r="C1" s="70"/>
      <c r="D1" s="70"/>
      <c r="E1" s="70"/>
    </row>
    <row r="3" spans="2:5" ht="18" customHeight="1" x14ac:dyDescent="0.4">
      <c r="B3" s="69" t="s">
        <v>1</v>
      </c>
      <c r="C3" s="70"/>
      <c r="D3" s="70"/>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340</v>
      </c>
    </row>
    <row r="10" spans="2:5" ht="14" customHeight="1" x14ac:dyDescent="0.3">
      <c r="B10" s="4" t="s">
        <v>10</v>
      </c>
      <c r="C10" s="5">
        <f>IF(AND(ISNUMBER(C18),ISNUMBER(C19)),ROUND(AVERAGE(C18:C19),0),"N/A")</f>
        <v>187</v>
      </c>
    </row>
    <row r="11" spans="2:5" ht="14" customHeight="1" x14ac:dyDescent="0.3">
      <c r="B11" s="4" t="s">
        <v>11</v>
      </c>
      <c r="C11" s="6" t="str">
        <f>IF(NOT(ISNUMBER(C12)),"N/A",IF(C12&gt;0.15,"BUY",IF(C12&gt;0.05,"HOLD","SELL")))</f>
        <v>SELL</v>
      </c>
    </row>
    <row r="12" spans="2:5" ht="14" customHeight="1" x14ac:dyDescent="0.3">
      <c r="B12" s="4" t="s">
        <v>12</v>
      </c>
      <c r="C12" s="7">
        <f>IF(ISNUMBER(C10),(C10-C9)/C9,"N/A")</f>
        <v>-0.45</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327</v>
      </c>
      <c r="D16" s="7">
        <f>IF(ISNUMBER(C16),(C16-C9)/C9,"N/A")</f>
        <v>-3.8235294117647062E-2</v>
      </c>
    </row>
    <row r="17" spans="2:5" ht="13.5" customHeight="1" x14ac:dyDescent="0.25">
      <c r="B17" t="s">
        <v>18</v>
      </c>
      <c r="C17" s="11">
        <f>IF('DCF Model'!C62&lt;'DCF Model'!C16,"INVALID (EV &lt; net debt)",'DCF Model'!C64)</f>
        <v>378</v>
      </c>
      <c r="D17" s="7">
        <f>IF(ISNUMBER(C17),(C17-C9)/C9,"N/A")</f>
        <v>0.11176470588235295</v>
      </c>
    </row>
    <row r="18" spans="2:5" ht="13.5" customHeight="1" x14ac:dyDescent="0.2">
      <c r="B18" t="s">
        <v>19</v>
      </c>
      <c r="C18">
        <f>DDM!C26</f>
        <v>174</v>
      </c>
    </row>
    <row r="19" spans="2:5" ht="13.5" customHeight="1" x14ac:dyDescent="0.2">
      <c r="B19" t="s">
        <v>20</v>
      </c>
      <c r="C19">
        <f>'Residual Income'!C29</f>
        <v>200</v>
      </c>
    </row>
    <row r="20" spans="2:5" ht="14" customHeight="1" x14ac:dyDescent="0.25">
      <c r="B20" s="70" t="s">
        <v>21</v>
      </c>
      <c r="C20" s="72" t="str">
        <f>'Comps Analysis'!C27</f>
        <v>INVALID (n&lt;3)</v>
      </c>
      <c r="D20" s="73">
        <f>IF(ISNUMBER(C18),(C18-C9)/C9,"N/A")</f>
        <v>-0.48823529411764705</v>
      </c>
      <c r="E20" s="70"/>
    </row>
    <row r="21" spans="2:5" ht="14" customHeight="1" x14ac:dyDescent="0.25">
      <c r="B21" t="s">
        <v>22</v>
      </c>
      <c r="C21" s="11">
        <f>'Comps Analysis'!C28</f>
        <v>186</v>
      </c>
      <c r="D21" s="7">
        <f>IF(ISNUMBER(C19),(C19-C9)/C9,"N/A")</f>
        <v>-0.41176470588235292</v>
      </c>
    </row>
    <row r="22" spans="2:5" ht="14" x14ac:dyDescent="0.3">
      <c r="B22" s="1" t="s">
        <v>23</v>
      </c>
    </row>
    <row r="23" spans="2:5" ht="14" customHeight="1" x14ac:dyDescent="0.3">
      <c r="B23" s="4" t="s">
        <v>24</v>
      </c>
      <c r="C23" s="6" t="str">
        <f>IF(COUNT(C16:C17)=0,"N/A",MIN(C16:C17)&amp;" - "&amp;MAX(C16:C17))</f>
        <v>327 - 378</v>
      </c>
    </row>
    <row r="25" spans="2:5" ht="14" x14ac:dyDescent="0.3">
      <c r="B25" s="8" t="s">
        <v>25</v>
      </c>
      <c r="C25" s="9"/>
      <c r="D25" s="9"/>
    </row>
    <row r="26" spans="2:5" x14ac:dyDescent="0.2">
      <c r="B26" t="s">
        <v>26</v>
      </c>
    </row>
    <row r="27" spans="2:5" x14ac:dyDescent="0.2">
      <c r="B27" t="s">
        <v>27</v>
      </c>
    </row>
    <row r="28" spans="2:5" ht="14" customHeight="1" x14ac:dyDescent="0.2">
      <c r="B28" t="s">
        <v>28</v>
      </c>
    </row>
    <row r="30" spans="2:5" ht="14" x14ac:dyDescent="0.3">
      <c r="B30" s="8" t="s">
        <v>29</v>
      </c>
      <c r="C30" s="9"/>
      <c r="D30" s="9"/>
    </row>
    <row r="31" spans="2:5" x14ac:dyDescent="0.2">
      <c r="B31" t="s">
        <v>30</v>
      </c>
    </row>
    <row r="32" spans="2:5" x14ac:dyDescent="0.2">
      <c r="B32" t="s">
        <v>31</v>
      </c>
    </row>
    <row r="33" spans="2:2" x14ac:dyDescent="0.2">
      <c r="B33" t="s">
        <v>32</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E30"/>
  <sheetViews>
    <sheetView workbookViewId="0"/>
  </sheetViews>
  <sheetFormatPr defaultRowHeight="13" x14ac:dyDescent="0.2"/>
  <cols>
    <col min="1" max="1" width="3" customWidth="1"/>
    <col min="2" max="2" width="32" customWidth="1"/>
    <col min="3" max="5" width="18" customWidth="1"/>
  </cols>
  <sheetData>
    <row r="2" spans="2:5" ht="18" customHeight="1" x14ac:dyDescent="0.4">
      <c r="B2" s="2" t="s">
        <v>33</v>
      </c>
    </row>
    <row r="4" spans="2:5" ht="14" customHeight="1" x14ac:dyDescent="0.3">
      <c r="C4" s="10" t="s">
        <v>34</v>
      </c>
      <c r="D4" s="10" t="s">
        <v>35</v>
      </c>
      <c r="E4" s="10" t="s">
        <v>36</v>
      </c>
    </row>
    <row r="5" spans="2:5" ht="14" customHeight="1" x14ac:dyDescent="0.3">
      <c r="B5" s="3" t="s">
        <v>37</v>
      </c>
    </row>
    <row r="6" spans="2:5" ht="14" customHeight="1" x14ac:dyDescent="0.3">
      <c r="B6" s="4" t="s">
        <v>38</v>
      </c>
      <c r="C6" s="5">
        <v>197877</v>
      </c>
      <c r="D6" s="5">
        <v>214408</v>
      </c>
      <c r="E6" s="5">
        <v>220025</v>
      </c>
    </row>
    <row r="7" spans="2:5" ht="14" customHeight="1" x14ac:dyDescent="0.3">
      <c r="B7" s="4" t="s">
        <v>39</v>
      </c>
      <c r="C7" s="5">
        <v>54594</v>
      </c>
      <c r="D7" s="5">
        <v>57759</v>
      </c>
      <c r="E7" s="5">
        <v>58729</v>
      </c>
    </row>
    <row r="8" spans="2:5" ht="14" customHeight="1" x14ac:dyDescent="0.3">
      <c r="B8" s="4" t="s">
        <v>40</v>
      </c>
      <c r="C8" s="5">
        <f>C6-C7</f>
        <v>143283</v>
      </c>
      <c r="D8" s="5">
        <f>D6-D7</f>
        <v>156649</v>
      </c>
      <c r="E8" s="5">
        <f>E6-E7</f>
        <v>161296</v>
      </c>
    </row>
    <row r="9" spans="2:5" ht="13.5" customHeight="1" x14ac:dyDescent="0.25">
      <c r="B9" t="s">
        <v>41</v>
      </c>
      <c r="C9" s="7">
        <f>C8/C6</f>
        <v>0.72410133567822432</v>
      </c>
      <c r="D9" s="7">
        <f>D8/D6</f>
        <v>0.73061173090556319</v>
      </c>
      <c r="E9" s="7">
        <f>E8/E6</f>
        <v>0.73308033178047949</v>
      </c>
    </row>
    <row r="10" spans="2:5" ht="14" customHeight="1" x14ac:dyDescent="0.3">
      <c r="B10" s="4" t="s">
        <v>42</v>
      </c>
      <c r="C10" s="5">
        <v>112757</v>
      </c>
      <c r="D10" s="5">
        <v>126357</v>
      </c>
      <c r="E10" s="5">
        <v>131129</v>
      </c>
    </row>
    <row r="11" spans="2:5" ht="14" customHeight="1" x14ac:dyDescent="0.3">
      <c r="B11" s="4" t="s">
        <v>43</v>
      </c>
      <c r="C11" s="5">
        <v>30526</v>
      </c>
      <c r="D11" s="5">
        <v>30289</v>
      </c>
      <c r="E11" s="5">
        <v>30165</v>
      </c>
    </row>
    <row r="12" spans="2:5" ht="14" customHeight="1" x14ac:dyDescent="0.3">
      <c r="B12" s="4" t="s">
        <v>44</v>
      </c>
      <c r="C12" s="5">
        <v>31970</v>
      </c>
      <c r="D12" s="5">
        <v>18221</v>
      </c>
      <c r="E12" s="5">
        <v>13476</v>
      </c>
    </row>
    <row r="13" spans="2:5" ht="13.5" customHeight="1" x14ac:dyDescent="0.25">
      <c r="B13" t="s">
        <v>45</v>
      </c>
      <c r="C13" s="7">
        <f>C11/C6</f>
        <v>0.15426755004371404</v>
      </c>
      <c r="D13" s="7">
        <f>D11/D6</f>
        <v>0.14126804969963808</v>
      </c>
      <c r="E13" s="7">
        <f>E11/E6</f>
        <v>0.13709805703897285</v>
      </c>
    </row>
    <row r="14" spans="2:5" ht="13.5" customHeight="1" x14ac:dyDescent="0.25">
      <c r="B14" t="s">
        <v>46</v>
      </c>
      <c r="C14" s="7">
        <f>C12/C6</f>
        <v>0.16156501260884287</v>
      </c>
      <c r="D14" s="7">
        <f>D12/D6</f>
        <v>8.4982836461326067E-2</v>
      </c>
      <c r="E14" s="7">
        <f>E12/E6</f>
        <v>6.1247585501647543E-2</v>
      </c>
    </row>
    <row r="15" spans="2:5" ht="13.5" customHeight="1" x14ac:dyDescent="0.25">
      <c r="B15" t="s">
        <v>47</v>
      </c>
      <c r="C15" t="s">
        <v>48</v>
      </c>
      <c r="D15" s="7">
        <f>(D6-C6)/C6</f>
        <v>8.3541796166305332E-2</v>
      </c>
      <c r="E15" s="7">
        <f>(E6-D6)/D6</f>
        <v>2.6197716503115556E-2</v>
      </c>
    </row>
    <row r="16" spans="2:5" ht="13.5" customHeight="1" x14ac:dyDescent="0.25">
      <c r="B16" t="s">
        <v>49</v>
      </c>
      <c r="C16" t="s">
        <v>48</v>
      </c>
      <c r="D16" s="7">
        <f>(D11-C11)/C11</f>
        <v>-7.7638734193802008E-3</v>
      </c>
      <c r="E16" s="7">
        <f>(E11-D11)/D11</f>
        <v>-4.0938954736042784E-3</v>
      </c>
    </row>
    <row r="18" spans="2:5" ht="14" customHeight="1" x14ac:dyDescent="0.3">
      <c r="B18" s="3" t="s">
        <v>50</v>
      </c>
    </row>
    <row r="19" spans="2:5" ht="14" customHeight="1" x14ac:dyDescent="0.3">
      <c r="B19" s="4" t="s">
        <v>51</v>
      </c>
      <c r="C19" s="5">
        <v>100751</v>
      </c>
      <c r="D19" s="5">
        <v>-38869</v>
      </c>
      <c r="E19" s="5">
        <v>83930</v>
      </c>
    </row>
    <row r="20" spans="2:5" ht="14" customHeight="1" x14ac:dyDescent="0.3">
      <c r="B20" s="4" t="s">
        <v>52</v>
      </c>
      <c r="C20" s="5">
        <v>17739</v>
      </c>
      <c r="D20" s="5">
        <v>23206</v>
      </c>
      <c r="E20" s="5">
        <v>9947</v>
      </c>
    </row>
    <row r="21" spans="2:5" ht="14" customHeight="1" x14ac:dyDescent="0.3">
      <c r="B21" s="4" t="s">
        <v>53</v>
      </c>
      <c r="C21" s="5">
        <f>C19-C20</f>
        <v>83012</v>
      </c>
      <c r="D21" s="5">
        <f>D19-D20</f>
        <v>-62075</v>
      </c>
      <c r="E21" s="5">
        <f>E19-E20</f>
        <v>73983</v>
      </c>
    </row>
    <row r="22" spans="2:5" ht="13.5" customHeight="1" x14ac:dyDescent="0.25">
      <c r="B22" t="s">
        <v>54</v>
      </c>
      <c r="C22" s="7">
        <f>C21/C6</f>
        <v>0.41951313189506612</v>
      </c>
      <c r="D22" s="7">
        <f>D21/D6</f>
        <v>-0.28951811499570912</v>
      </c>
      <c r="E22" s="7">
        <f>E21/E6</f>
        <v>0.33624815361890692</v>
      </c>
    </row>
    <row r="23" spans="2:5" ht="13.5" customHeight="1" x14ac:dyDescent="0.25">
      <c r="B23" t="s">
        <v>55</v>
      </c>
      <c r="C23" s="7">
        <f>C20/C6</f>
        <v>8.9646598644612566E-2</v>
      </c>
      <c r="D23" s="7">
        <f>D20/D6</f>
        <v>0.10823290175739711</v>
      </c>
      <c r="E23" s="7">
        <f>E20/E6</f>
        <v>4.5208499034200662E-2</v>
      </c>
    </row>
    <row r="25" spans="2:5" ht="14" customHeight="1" x14ac:dyDescent="0.3">
      <c r="B25" s="3" t="s">
        <v>56</v>
      </c>
    </row>
    <row r="26" spans="2:5" ht="14" customHeight="1" x14ac:dyDescent="0.3">
      <c r="B26" s="4" t="s">
        <v>57</v>
      </c>
      <c r="C26" s="5">
        <v>988721</v>
      </c>
      <c r="D26" s="5">
        <v>892626</v>
      </c>
      <c r="E26" s="5">
        <v>892764</v>
      </c>
    </row>
    <row r="27" spans="2:5" ht="14" customHeight="1" x14ac:dyDescent="0.3">
      <c r="B27" s="4" t="s">
        <v>58</v>
      </c>
      <c r="C27" s="5">
        <v>65000</v>
      </c>
      <c r="D27" s="5">
        <v>50000</v>
      </c>
      <c r="E27" s="5">
        <v>100000</v>
      </c>
    </row>
    <row r="28" spans="2:5" ht="14" customHeight="1" x14ac:dyDescent="0.3">
      <c r="B28" s="4" t="s">
        <v>59</v>
      </c>
      <c r="C28" s="5">
        <f>C27-C26</f>
        <v>-923721</v>
      </c>
      <c r="D28" s="5">
        <f>D27-D26</f>
        <v>-842626</v>
      </c>
      <c r="E28" s="5">
        <f>E27-E26</f>
        <v>-792764</v>
      </c>
    </row>
    <row r="30" spans="2:5" ht="14" customHeight="1" x14ac:dyDescent="0.3">
      <c r="B30" s="1" t="s">
        <v>60</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1:G87"/>
  <sheetViews>
    <sheetView workbookViewId="0"/>
  </sheetViews>
  <sheetFormatPr defaultRowHeight="13" x14ac:dyDescent="0.2"/>
  <cols>
    <col min="1" max="1" width="3" customWidth="1"/>
    <col min="2" max="2" width="32" customWidth="1"/>
    <col min="3" max="7" width="16" customWidth="1"/>
  </cols>
  <sheetData>
    <row r="1" spans="2:7" x14ac:dyDescent="0.2">
      <c r="B1" t="s">
        <v>61</v>
      </c>
    </row>
    <row r="2" spans="2:7" ht="18" customHeight="1" x14ac:dyDescent="0.4">
      <c r="B2" s="2" t="s">
        <v>62</v>
      </c>
    </row>
    <row r="4" spans="2:7" ht="14" customHeight="1" x14ac:dyDescent="0.3">
      <c r="B4" s="8" t="s">
        <v>63</v>
      </c>
      <c r="C4" s="9"/>
      <c r="D4" s="9"/>
      <c r="E4" s="9"/>
      <c r="F4" s="9"/>
      <c r="G4" s="9"/>
    </row>
    <row r="5" spans="2:7" ht="14" customHeight="1" x14ac:dyDescent="0.3">
      <c r="B5" s="4" t="s">
        <v>64</v>
      </c>
      <c r="C5" s="7">
        <v>0.155</v>
      </c>
    </row>
    <row r="6" spans="2:7" ht="14" customHeight="1" x14ac:dyDescent="0.3">
      <c r="B6" s="4" t="s">
        <v>65</v>
      </c>
      <c r="C6" s="7">
        <v>0.25</v>
      </c>
    </row>
    <row r="7" spans="2:7" ht="14" customHeight="1" x14ac:dyDescent="0.3">
      <c r="B7" s="4" t="s">
        <v>66</v>
      </c>
      <c r="C7" s="7">
        <v>2.9700000000000001E-2</v>
      </c>
    </row>
    <row r="8" spans="2:7" ht="14" customHeight="1" x14ac:dyDescent="0.3">
      <c r="B8" s="4" t="s">
        <v>67</v>
      </c>
      <c r="C8" s="12">
        <v>0.62639999999999996</v>
      </c>
    </row>
    <row r="9" spans="2:7" ht="14" customHeight="1" x14ac:dyDescent="0.3">
      <c r="B9" s="4" t="s">
        <v>68</v>
      </c>
      <c r="C9" s="7">
        <v>6.5000000000000002E-2</v>
      </c>
    </row>
    <row r="10" spans="2:7" ht="14" customHeight="1" x14ac:dyDescent="0.3">
      <c r="B10" s="4" t="s">
        <v>69</v>
      </c>
      <c r="C10" s="7">
        <v>0.01</v>
      </c>
    </row>
    <row r="11" spans="2:7" ht="14" customHeight="1" x14ac:dyDescent="0.3">
      <c r="B11" s="4" t="s">
        <v>70</v>
      </c>
      <c r="C11" s="7">
        <v>0.01</v>
      </c>
    </row>
    <row r="12" spans="2:7" ht="14" customHeight="1" x14ac:dyDescent="0.3">
      <c r="B12" s="4" t="s">
        <v>71</v>
      </c>
      <c r="C12" s="13">
        <v>0</v>
      </c>
    </row>
    <row r="13" spans="2:7" ht="14" customHeight="1" x14ac:dyDescent="0.3">
      <c r="B13" s="4" t="s">
        <v>72</v>
      </c>
      <c r="C13" s="7">
        <v>0.01</v>
      </c>
    </row>
    <row r="14" spans="2:7" ht="14" customHeight="1" x14ac:dyDescent="0.3">
      <c r="B14" s="4" t="s">
        <v>73</v>
      </c>
      <c r="C14" s="14">
        <v>7</v>
      </c>
    </row>
    <row r="15" spans="2:7" ht="14" customHeight="1" x14ac:dyDescent="0.3">
      <c r="B15" s="4" t="s">
        <v>74</v>
      </c>
      <c r="C15" s="15">
        <v>1167997856</v>
      </c>
    </row>
    <row r="16" spans="2:7" ht="14" customHeight="1" x14ac:dyDescent="0.3">
      <c r="B16" s="4" t="s">
        <v>75</v>
      </c>
      <c r="C16" s="5">
        <v>0</v>
      </c>
    </row>
    <row r="17" spans="2:7" ht="14" customHeight="1" x14ac:dyDescent="0.3">
      <c r="B17" s="4" t="s">
        <v>76</v>
      </c>
      <c r="C17" s="5">
        <v>220025</v>
      </c>
    </row>
    <row r="18" spans="2:7" ht="14" customHeight="1" x14ac:dyDescent="0.3">
      <c r="B18" s="4" t="s">
        <v>77</v>
      </c>
      <c r="C18" s="7">
        <v>0.13900000000000001</v>
      </c>
    </row>
    <row r="19" spans="2:7" ht="14" customHeight="1" x14ac:dyDescent="0.3">
      <c r="B19" s="4" t="s">
        <v>78</v>
      </c>
      <c r="C19" s="12">
        <v>1</v>
      </c>
    </row>
    <row r="20" spans="2:7" ht="14" customHeight="1" x14ac:dyDescent="0.3">
      <c r="B20" s="4" t="s">
        <v>79</v>
      </c>
      <c r="C20" s="5">
        <v>220025</v>
      </c>
    </row>
    <row r="22" spans="2:7" ht="14" customHeight="1" x14ac:dyDescent="0.3">
      <c r="B22" s="8" t="s">
        <v>80</v>
      </c>
      <c r="C22" s="9"/>
      <c r="D22" s="9"/>
      <c r="E22" s="9"/>
      <c r="F22" s="9"/>
      <c r="G22" s="9"/>
    </row>
    <row r="23" spans="2:7" ht="14" customHeight="1" x14ac:dyDescent="0.3">
      <c r="B23" s="4" t="s">
        <v>81</v>
      </c>
      <c r="C23" s="16">
        <f>C7+C8*C9+C10</f>
        <v>8.0415999999999987E-2</v>
      </c>
    </row>
    <row r="24" spans="2:7" ht="14" customHeight="1" x14ac:dyDescent="0.3">
      <c r="B24" s="4" t="s">
        <v>82</v>
      </c>
      <c r="C24" s="16">
        <f>1/(1+C12)</f>
        <v>1</v>
      </c>
    </row>
    <row r="25" spans="2:7" ht="14" customHeight="1" x14ac:dyDescent="0.3">
      <c r="B25" s="4" t="s">
        <v>83</v>
      </c>
      <c r="C25" s="16">
        <f>C12/(1+C12)</f>
        <v>0</v>
      </c>
    </row>
    <row r="26" spans="2:7" ht="14" customHeight="1" x14ac:dyDescent="0.3">
      <c r="B26" s="4" t="s">
        <v>84</v>
      </c>
      <c r="C26" s="16">
        <f>C23*C24+C11*C25</f>
        <v>8.0415999999999987E-2</v>
      </c>
    </row>
    <row r="27" spans="2:7" ht="14" customHeight="1" x14ac:dyDescent="0.3">
      <c r="B27" s="4" t="s">
        <v>85</v>
      </c>
      <c r="C27" s="17" t="s">
        <v>86</v>
      </c>
      <c r="D27" s="6">
        <f>MATCH(C27,B69:B73,0)</f>
        <v>1</v>
      </c>
    </row>
    <row r="28" spans="2:7" ht="14" customHeight="1" x14ac:dyDescent="0.3">
      <c r="B28" s="8" t="s">
        <v>87</v>
      </c>
      <c r="C28" s="9"/>
      <c r="D28" s="9"/>
      <c r="E28" s="9"/>
      <c r="F28" s="9"/>
      <c r="G28" s="9"/>
    </row>
    <row r="29" spans="2:7" ht="14" customHeight="1" x14ac:dyDescent="0.3">
      <c r="C29" s="10" t="s">
        <v>88</v>
      </c>
      <c r="D29" s="10" t="s">
        <v>89</v>
      </c>
      <c r="E29" s="10" t="s">
        <v>90</v>
      </c>
      <c r="F29" s="10" t="s">
        <v>91</v>
      </c>
      <c r="G29" s="10" t="s">
        <v>92</v>
      </c>
    </row>
    <row r="30" spans="2:7" ht="14" customHeight="1" x14ac:dyDescent="0.3">
      <c r="B30" s="4" t="s">
        <v>47</v>
      </c>
      <c r="C30" s="18">
        <f>CHOOSE($D$27,C69,C70,C71,C72,C73)</f>
        <v>0.05</v>
      </c>
      <c r="D30" s="18">
        <f>CHOOSE($D$27,D69,D70,D71,D72,D73)</f>
        <v>3.5000000000000003E-2</v>
      </c>
      <c r="E30" s="18">
        <f>CHOOSE($D$27,E69,E70,E71,E72,E73)</f>
        <v>0.03</v>
      </c>
      <c r="F30" s="18">
        <f>CHOOSE($D$27,F69,F70,F71,F72,F73)</f>
        <v>2.5000000000000001E-2</v>
      </c>
      <c r="G30" s="18">
        <f>CHOOSE($D$27,G69,G70,G71,G72,G73)</f>
        <v>0.02</v>
      </c>
    </row>
    <row r="31" spans="2:7" ht="14" customHeight="1" x14ac:dyDescent="0.3">
      <c r="B31" s="4" t="s">
        <v>93</v>
      </c>
      <c r="C31" s="18">
        <f>CHOOSE($D$27,C76,C77,C78,C79,C80)</f>
        <v>0.26500000000000001</v>
      </c>
      <c r="D31" s="18">
        <f>CHOOSE($D$27,D76,D77,D78,D79,D80)</f>
        <v>0.26500000000000001</v>
      </c>
      <c r="E31" s="18">
        <f>CHOOSE($D$27,E76,E77,E78,E79,E80)</f>
        <v>0.26500000000000001</v>
      </c>
      <c r="F31" s="18">
        <f>CHOOSE($D$27,F76,F77,F78,F79,F80)</f>
        <v>0.26500000000000001</v>
      </c>
      <c r="G31" s="18">
        <f>CHOOSE($D$27,G76,G77,G78,G79,G80)</f>
        <v>0.26500000000000001</v>
      </c>
    </row>
    <row r="32" spans="2:7" ht="14" customHeight="1" x14ac:dyDescent="0.3">
      <c r="B32" s="4" t="s">
        <v>94</v>
      </c>
      <c r="C32" s="18">
        <f>CHOOSE($D$27,C83,C84,C85,C86,C87)</f>
        <v>0.61</v>
      </c>
      <c r="D32" s="18">
        <f>CHOOSE($D$27,D83,D84,D85,D86,D87)</f>
        <v>0.6</v>
      </c>
      <c r="E32" s="18">
        <f>CHOOSE($D$27,E83,E84,E85,E86,E87)</f>
        <v>0.59</v>
      </c>
      <c r="F32" s="18">
        <f>CHOOSE($D$27,F83,F84,F85,F86,F87)</f>
        <v>0.58499999999999996</v>
      </c>
      <c r="G32" s="18">
        <f>CHOOSE($D$27,G83,G84,G85,G86,G87)</f>
        <v>0.58499999999999996</v>
      </c>
    </row>
    <row r="33" spans="2:7" ht="14" customHeight="1" x14ac:dyDescent="0.3">
      <c r="B33" s="4" t="s">
        <v>38</v>
      </c>
      <c r="C33" s="5">
        <f>C17*(1+C30)</f>
        <v>231026.25</v>
      </c>
      <c r="D33" s="5">
        <f>C33*(1+D30)</f>
        <v>239112.16874999998</v>
      </c>
      <c r="E33" s="5">
        <f>D33*(1+E30)</f>
        <v>246285.53381249998</v>
      </c>
      <c r="F33" s="5">
        <f>E33*(1+F30)</f>
        <v>252442.67215781246</v>
      </c>
      <c r="G33" s="5">
        <f>F33*(1+G30)</f>
        <v>257491.52560096871</v>
      </c>
    </row>
    <row r="34" spans="2:7" ht="14" customHeight="1" x14ac:dyDescent="0.3">
      <c r="B34" s="4" t="s">
        <v>39</v>
      </c>
      <c r="C34" s="5">
        <f>C33*C31</f>
        <v>61221.956250000003</v>
      </c>
      <c r="D34" s="5">
        <f>D33*D31</f>
        <v>63364.724718749996</v>
      </c>
      <c r="E34" s="5">
        <f>E33*E31</f>
        <v>65265.666460312495</v>
      </c>
      <c r="F34" s="5">
        <f>F33*F31</f>
        <v>66897.308121820301</v>
      </c>
      <c r="G34" s="5">
        <f>G33*G31</f>
        <v>68235.25428425672</v>
      </c>
    </row>
    <row r="35" spans="2:7" ht="14" customHeight="1" x14ac:dyDescent="0.3">
      <c r="B35" s="4" t="s">
        <v>40</v>
      </c>
      <c r="C35" s="19">
        <f>C33-C34</f>
        <v>169804.29375000001</v>
      </c>
      <c r="D35" s="19">
        <f>D33-D34</f>
        <v>175747.44403124999</v>
      </c>
      <c r="E35" s="19">
        <f>E33-E34</f>
        <v>181019.86735218749</v>
      </c>
      <c r="F35" s="19">
        <f>F33-F34</f>
        <v>185545.36403599216</v>
      </c>
      <c r="G35" s="19">
        <f>G33-G34</f>
        <v>189256.27131671199</v>
      </c>
    </row>
    <row r="36" spans="2:7" ht="14" customHeight="1" x14ac:dyDescent="0.3">
      <c r="B36" s="4" t="s">
        <v>41</v>
      </c>
      <c r="C36" s="7">
        <f>C35/C33</f>
        <v>0.7350000000000001</v>
      </c>
      <c r="D36" s="7">
        <f>D35/D33</f>
        <v>0.73499999999999999</v>
      </c>
      <c r="E36" s="7">
        <f>E35/E33</f>
        <v>0.73499999999999999</v>
      </c>
      <c r="F36" s="7">
        <f>F35/F33</f>
        <v>0.73499999999999999</v>
      </c>
      <c r="G36" s="7">
        <f>G35/G33</f>
        <v>0.73499999999999999</v>
      </c>
    </row>
    <row r="37" spans="2:7" ht="14" customHeight="1" x14ac:dyDescent="0.3">
      <c r="B37" s="4" t="s">
        <v>95</v>
      </c>
      <c r="C37" s="5">
        <f>C33*C32</f>
        <v>140926.01249999998</v>
      </c>
      <c r="D37" s="5">
        <f>D33*D32</f>
        <v>143467.30124999999</v>
      </c>
      <c r="E37" s="5">
        <f>E33*E32</f>
        <v>145308.46494937499</v>
      </c>
      <c r="F37" s="5">
        <f>F33*F32</f>
        <v>147678.96321232029</v>
      </c>
      <c r="G37" s="5">
        <f>G33*G32</f>
        <v>150632.54247656668</v>
      </c>
    </row>
    <row r="38" spans="2:7" ht="14" customHeight="1" x14ac:dyDescent="0.3">
      <c r="B38" s="4" t="s">
        <v>96</v>
      </c>
      <c r="C38" s="7">
        <f>(C35-C37)/C33</f>
        <v>0.12500000000000014</v>
      </c>
      <c r="D38" s="7">
        <f>(D35-D37)/D33</f>
        <v>0.13500000000000004</v>
      </c>
      <c r="E38" s="7">
        <f>(E35-E37)/E33</f>
        <v>0.14500000000000002</v>
      </c>
      <c r="F38" s="7">
        <f>(F35-F37)/F33</f>
        <v>0.15</v>
      </c>
      <c r="G38" s="7">
        <f>(G35-G37)/G33</f>
        <v>0.15000000000000002</v>
      </c>
    </row>
    <row r="39" spans="2:7" ht="14" customHeight="1" x14ac:dyDescent="0.3">
      <c r="B39" s="4" t="s">
        <v>97</v>
      </c>
      <c r="C39" s="19">
        <f>C35-C37</f>
        <v>28878.281250000029</v>
      </c>
      <c r="D39" s="19">
        <f>D35-D37</f>
        <v>32280.142781250004</v>
      </c>
      <c r="E39" s="19">
        <f>E35-E37</f>
        <v>35711.402402812499</v>
      </c>
      <c r="F39" s="19">
        <f>F35-F37</f>
        <v>37866.400823671866</v>
      </c>
      <c r="G39" s="19">
        <f>G35-G37</f>
        <v>38623.728840145312</v>
      </c>
    </row>
    <row r="40" spans="2:7" ht="14" customHeight="1" x14ac:dyDescent="0.3">
      <c r="B40" s="4" t="s">
        <v>98</v>
      </c>
      <c r="C40" s="5">
        <f>MAX(0,C39*C6)</f>
        <v>7219.5703125000073</v>
      </c>
      <c r="D40" s="5">
        <f>MAX(0,D39*C6)</f>
        <v>8070.035695312501</v>
      </c>
      <c r="E40" s="5">
        <f>MAX(0,E39*C6)</f>
        <v>8927.8506007031247</v>
      </c>
      <c r="F40" s="5">
        <f>MAX(0,F39*C6)</f>
        <v>9466.6002059179664</v>
      </c>
      <c r="G40" s="5">
        <f>MAX(0,G39*C6)</f>
        <v>9655.9322100363279</v>
      </c>
    </row>
    <row r="41" spans="2:7" ht="14" customHeight="1" x14ac:dyDescent="0.3">
      <c r="B41" s="4" t="s">
        <v>99</v>
      </c>
      <c r="C41" s="19">
        <f>C39-C40</f>
        <v>21658.710937500022</v>
      </c>
      <c r="D41" s="19">
        <f>D39-D40</f>
        <v>24210.107085937503</v>
      </c>
      <c r="E41" s="19">
        <f>E39-E40</f>
        <v>26783.551802109374</v>
      </c>
      <c r="F41" s="19">
        <f>F39-F40</f>
        <v>28399.800617753899</v>
      </c>
      <c r="G41" s="19">
        <f>G39-G40</f>
        <v>28967.796630108984</v>
      </c>
    </row>
    <row r="42" spans="2:7" ht="14" customHeight="1" x14ac:dyDescent="0.3">
      <c r="B42" s="4" t="s">
        <v>100</v>
      </c>
      <c r="C42" s="5">
        <v>32000</v>
      </c>
      <c r="D42" s="5">
        <v>33000</v>
      </c>
      <c r="E42" s="5">
        <v>33500</v>
      </c>
      <c r="F42" s="5">
        <v>34000</v>
      </c>
      <c r="G42" s="5">
        <v>34500</v>
      </c>
    </row>
    <row r="43" spans="2:7" ht="14" customHeight="1" x14ac:dyDescent="0.3">
      <c r="B43" s="4" t="s">
        <v>101</v>
      </c>
      <c r="C43" s="5">
        <v>38000</v>
      </c>
      <c r="D43" s="5">
        <v>36000</v>
      </c>
      <c r="E43" s="5">
        <v>34000</v>
      </c>
      <c r="F43" s="5">
        <v>34000</v>
      </c>
      <c r="G43" s="5">
        <v>34000</v>
      </c>
    </row>
    <row r="44" spans="2:7" ht="14" customHeight="1" x14ac:dyDescent="0.3">
      <c r="B44" s="4" t="s">
        <v>102</v>
      </c>
      <c r="C44" s="5">
        <f>'NWC Schedule'!D19</f>
        <v>0</v>
      </c>
      <c r="D44" s="5">
        <f>'NWC Schedule'!E19</f>
        <v>0</v>
      </c>
      <c r="E44" s="5">
        <f>'NWC Schedule'!F19</f>
        <v>0</v>
      </c>
      <c r="F44" s="5">
        <f>'NWC Schedule'!G19</f>
        <v>0</v>
      </c>
      <c r="G44" s="5">
        <f>'NWC Schedule'!H19</f>
        <v>0</v>
      </c>
    </row>
    <row r="45" spans="2:7" ht="14" customHeight="1" x14ac:dyDescent="0.3">
      <c r="B45" s="4" t="s">
        <v>103</v>
      </c>
      <c r="C45" s="20">
        <f>C41+C42-C43-C44</f>
        <v>15658.710937500022</v>
      </c>
      <c r="D45" s="20">
        <f>D41+D42-D43-D44</f>
        <v>21210.107085937503</v>
      </c>
      <c r="E45" s="20">
        <f>E41+E42-E43-E44</f>
        <v>26283.551802109374</v>
      </c>
      <c r="F45" s="20">
        <f>F41+F42-F43-F44</f>
        <v>28399.800617753899</v>
      </c>
      <c r="G45" s="20">
        <f>G41+G42-G43-G44</f>
        <v>29467.796630108984</v>
      </c>
    </row>
    <row r="46" spans="2:7" ht="14" customHeight="1" x14ac:dyDescent="0.3">
      <c r="B46" s="4" t="s">
        <v>104</v>
      </c>
      <c r="C46" s="21">
        <f>1/(1+C26)^(C19+0)</f>
        <v>0.92556941030121731</v>
      </c>
      <c r="D46" s="21">
        <f>1/(1+C26)^(C19+1)</f>
        <v>0.85667873328534305</v>
      </c>
      <c r="E46" s="21">
        <f>1/(1+C26)^(C19+2)</f>
        <v>0.79291562998450871</v>
      </c>
      <c r="F46" s="21">
        <f>1/(1+C26)^(C19+3)</f>
        <v>0.73389845206338</v>
      </c>
      <c r="G46" s="21">
        <f>1/(1+C26)^(C19+4)</f>
        <v>0.67927395749727881</v>
      </c>
    </row>
    <row r="47" spans="2:7" ht="14" customHeight="1" x14ac:dyDescent="0.3">
      <c r="B47" s="4" t="s">
        <v>105</v>
      </c>
      <c r="C47" s="19">
        <f>C45*C46</f>
        <v>14493.223848499118</v>
      </c>
      <c r="D47" s="19">
        <f>D45*D46</f>
        <v>18170.247671227418</v>
      </c>
      <c r="E47" s="19">
        <f>E45*E46</f>
        <v>20840.639035400025</v>
      </c>
      <c r="F47" s="19">
        <f>F45*F46</f>
        <v>20842.569712278211</v>
      </c>
      <c r="G47" s="19">
        <f>G45*G46</f>
        <v>20016.706835659104</v>
      </c>
    </row>
    <row r="49" spans="2:7" ht="14" customHeight="1" x14ac:dyDescent="0.3">
      <c r="B49" s="22" t="s">
        <v>106</v>
      </c>
      <c r="C49" s="23"/>
      <c r="D49" s="23"/>
      <c r="E49" s="23"/>
      <c r="F49" s="23"/>
      <c r="G49" s="23"/>
    </row>
    <row r="50" spans="2:7" ht="14" customHeight="1" x14ac:dyDescent="0.3">
      <c r="B50" s="4" t="s">
        <v>107</v>
      </c>
      <c r="C50" s="5">
        <f>SUM(C47:G47)</f>
        <v>94363.387103063884</v>
      </c>
    </row>
    <row r="51" spans="2:7" ht="14" customHeight="1" x14ac:dyDescent="0.3">
      <c r="B51" s="4" t="s">
        <v>108</v>
      </c>
      <c r="C51" s="5">
        <f>G45*(1+C13)/(C26-C13)</f>
        <v>422666.36270748236</v>
      </c>
    </row>
    <row r="52" spans="2:7" ht="14" customHeight="1" x14ac:dyDescent="0.3">
      <c r="B52" s="4" t="s">
        <v>109</v>
      </c>
      <c r="C52" s="5">
        <f>C51*G46</f>
        <v>287106.25289729179</v>
      </c>
    </row>
    <row r="53" spans="2:7" ht="14" customHeight="1" x14ac:dyDescent="0.3">
      <c r="B53" s="4" t="s">
        <v>110</v>
      </c>
      <c r="C53" s="5">
        <f>C50+C52</f>
        <v>381469.64000035566</v>
      </c>
    </row>
    <row r="54" spans="2:7" ht="14" customHeight="1" x14ac:dyDescent="0.3">
      <c r="B54" s="4" t="s">
        <v>111</v>
      </c>
      <c r="C54" s="5">
        <f>C53-C16</f>
        <v>381469.64000035566</v>
      </c>
    </row>
    <row r="55" spans="2:7" ht="14" customHeight="1" x14ac:dyDescent="0.3">
      <c r="B55" s="4" t="s">
        <v>112</v>
      </c>
      <c r="C55" s="24">
        <f>ROUND(C54*1000000/C15,0)</f>
        <v>327</v>
      </c>
    </row>
    <row r="57" spans="2:7" ht="14" customHeight="1" x14ac:dyDescent="0.3">
      <c r="B57" s="22" t="s">
        <v>113</v>
      </c>
      <c r="C57" s="23"/>
      <c r="D57" s="23"/>
      <c r="E57" s="23"/>
      <c r="F57" s="23"/>
      <c r="G57" s="23"/>
    </row>
    <row r="58" spans="2:7" ht="14" customHeight="1" x14ac:dyDescent="0.3">
      <c r="B58" s="4" t="s">
        <v>107</v>
      </c>
      <c r="C58" s="5">
        <f>C50</f>
        <v>94363.387103063884</v>
      </c>
    </row>
    <row r="59" spans="2:7" ht="14" customHeight="1" x14ac:dyDescent="0.3">
      <c r="B59" s="4" t="s">
        <v>114</v>
      </c>
      <c r="C59" s="5">
        <f>G39+G42</f>
        <v>73123.728840145312</v>
      </c>
    </row>
    <row r="60" spans="2:7" ht="14" customHeight="1" x14ac:dyDescent="0.3">
      <c r="B60" s="4" t="s">
        <v>115</v>
      </c>
      <c r="C60" s="5">
        <f>C59*C14</f>
        <v>511866.10188101721</v>
      </c>
    </row>
    <row r="61" spans="2:7" ht="14" customHeight="1" x14ac:dyDescent="0.3">
      <c r="B61" s="4" t="s">
        <v>109</v>
      </c>
      <c r="C61" s="5">
        <f>C60*G46</f>
        <v>347697.3127334239</v>
      </c>
    </row>
    <row r="62" spans="2:7" ht="14" customHeight="1" x14ac:dyDescent="0.3">
      <c r="B62" s="4" t="s">
        <v>110</v>
      </c>
      <c r="C62" s="5">
        <f>C58+C61</f>
        <v>442060.69983648777</v>
      </c>
    </row>
    <row r="63" spans="2:7" ht="14" customHeight="1" x14ac:dyDescent="0.3">
      <c r="B63" s="4" t="s">
        <v>111</v>
      </c>
      <c r="C63" s="5">
        <f>C62-C16</f>
        <v>442060.69983648777</v>
      </c>
    </row>
    <row r="64" spans="2:7" ht="14" customHeight="1" x14ac:dyDescent="0.3">
      <c r="B64" s="4" t="s">
        <v>116</v>
      </c>
      <c r="C64" s="24">
        <f>ROUND(C63*1000000/C15,0)</f>
        <v>378</v>
      </c>
    </row>
    <row r="66" spans="2:7" ht="14" customHeight="1" x14ac:dyDescent="0.3">
      <c r="B66" s="22" t="s">
        <v>117</v>
      </c>
      <c r="C66" s="23"/>
      <c r="D66" s="23"/>
      <c r="E66" s="23"/>
      <c r="F66" s="23"/>
      <c r="G66" s="23"/>
    </row>
    <row r="67" spans="2:7" ht="14" customHeight="1" x14ac:dyDescent="0.3">
      <c r="C67" s="25" t="s">
        <v>118</v>
      </c>
      <c r="D67" s="25" t="s">
        <v>119</v>
      </c>
      <c r="E67" s="25" t="s">
        <v>120</v>
      </c>
      <c r="F67" s="25" t="s">
        <v>121</v>
      </c>
      <c r="G67" s="25" t="s">
        <v>122</v>
      </c>
    </row>
    <row r="68" spans="2:7" ht="14" customHeight="1" x14ac:dyDescent="0.3">
      <c r="B68" s="3" t="s">
        <v>47</v>
      </c>
    </row>
    <row r="69" spans="2:7" ht="14" customHeight="1" x14ac:dyDescent="0.3">
      <c r="B69" s="4" t="s">
        <v>86</v>
      </c>
      <c r="C69" s="26">
        <v>0.05</v>
      </c>
      <c r="D69" s="26">
        <v>3.5000000000000003E-2</v>
      </c>
      <c r="E69" s="26">
        <v>0.03</v>
      </c>
      <c r="F69" s="26">
        <v>2.5000000000000001E-2</v>
      </c>
      <c r="G69" s="26">
        <v>0.02</v>
      </c>
    </row>
    <row r="70" spans="2:7" ht="14" customHeight="1" x14ac:dyDescent="0.3">
      <c r="B70" s="4" t="s">
        <v>123</v>
      </c>
      <c r="C70" s="26">
        <v>0.09</v>
      </c>
      <c r="D70" s="26">
        <v>7.0000000000000007E-2</v>
      </c>
      <c r="E70" s="26">
        <v>0.06</v>
      </c>
      <c r="F70" s="26">
        <v>0.05</v>
      </c>
      <c r="G70" s="26">
        <v>4.4999999999999998E-2</v>
      </c>
    </row>
    <row r="71" spans="2:7" ht="14" customHeight="1" x14ac:dyDescent="0.3">
      <c r="B71" s="4" t="s">
        <v>124</v>
      </c>
      <c r="C71" s="26">
        <v>7.0000000000000007E-2</v>
      </c>
      <c r="D71" s="26">
        <v>0.04</v>
      </c>
      <c r="E71" s="26">
        <v>0.03</v>
      </c>
      <c r="F71" s="26">
        <v>2.5000000000000001E-2</v>
      </c>
      <c r="G71" s="26">
        <v>0.02</v>
      </c>
    </row>
    <row r="72" spans="2:7" ht="14" customHeight="1" x14ac:dyDescent="0.3">
      <c r="B72" s="4" t="s">
        <v>125</v>
      </c>
      <c r="C72" s="26">
        <v>0.02</v>
      </c>
      <c r="D72" s="26">
        <v>0</v>
      </c>
      <c r="E72" s="26">
        <v>-0.01</v>
      </c>
      <c r="F72" s="26">
        <v>-0.01</v>
      </c>
      <c r="G72" s="26">
        <v>-0.01</v>
      </c>
    </row>
    <row r="73" spans="2:7" ht="14" customHeight="1" x14ac:dyDescent="0.3">
      <c r="B73" s="4" t="s">
        <v>126</v>
      </c>
      <c r="C73" s="26">
        <v>-0.02</v>
      </c>
      <c r="D73" s="26">
        <v>-0.04</v>
      </c>
      <c r="E73" s="26">
        <v>-0.04</v>
      </c>
      <c r="F73" s="26">
        <v>-0.03</v>
      </c>
      <c r="G73" s="26">
        <v>-0.03</v>
      </c>
    </row>
    <row r="75" spans="2:7" ht="14" customHeight="1" x14ac:dyDescent="0.3">
      <c r="B75" s="3" t="s">
        <v>93</v>
      </c>
    </row>
    <row r="76" spans="2:7" ht="14" customHeight="1" x14ac:dyDescent="0.3">
      <c r="B76" s="4" t="s">
        <v>86</v>
      </c>
      <c r="C76" s="26">
        <v>0.26500000000000001</v>
      </c>
      <c r="D76" s="26">
        <v>0.26500000000000001</v>
      </c>
      <c r="E76" s="26">
        <v>0.26500000000000001</v>
      </c>
      <c r="F76" s="26">
        <v>0.26500000000000001</v>
      </c>
      <c r="G76" s="26">
        <v>0.26500000000000001</v>
      </c>
    </row>
    <row r="77" spans="2:7" ht="14" customHeight="1" x14ac:dyDescent="0.3">
      <c r="B77" s="4" t="s">
        <v>123</v>
      </c>
      <c r="C77" s="26">
        <v>0.26</v>
      </c>
      <c r="D77" s="26">
        <v>0.26</v>
      </c>
      <c r="E77" s="26">
        <v>0.26</v>
      </c>
      <c r="F77" s="26">
        <v>0.26</v>
      </c>
      <c r="G77" s="26">
        <v>0.26</v>
      </c>
    </row>
    <row r="78" spans="2:7" ht="14" customHeight="1" x14ac:dyDescent="0.3">
      <c r="B78" s="4" t="s">
        <v>124</v>
      </c>
      <c r="C78" s="26">
        <v>0.26500000000000001</v>
      </c>
      <c r="D78" s="26">
        <v>0.26500000000000001</v>
      </c>
      <c r="E78" s="26">
        <v>0.26500000000000001</v>
      </c>
      <c r="F78" s="26">
        <v>0.26500000000000001</v>
      </c>
      <c r="G78" s="26">
        <v>0.26500000000000001</v>
      </c>
    </row>
    <row r="79" spans="2:7" ht="14" customHeight="1" x14ac:dyDescent="0.3">
      <c r="B79" s="4" t="s">
        <v>125</v>
      </c>
      <c r="C79" s="26">
        <v>0.27500000000000002</v>
      </c>
      <c r="D79" s="26">
        <v>0.27500000000000002</v>
      </c>
      <c r="E79" s="26">
        <v>0.27500000000000002</v>
      </c>
      <c r="F79" s="26">
        <v>0.27500000000000002</v>
      </c>
      <c r="G79" s="26">
        <v>0.27500000000000002</v>
      </c>
    </row>
    <row r="80" spans="2:7" ht="14" customHeight="1" x14ac:dyDescent="0.3">
      <c r="B80" s="4" t="s">
        <v>126</v>
      </c>
      <c r="C80" s="26">
        <v>0.28499999999999998</v>
      </c>
      <c r="D80" s="26">
        <v>0.28499999999999998</v>
      </c>
      <c r="E80" s="26">
        <v>0.28499999999999998</v>
      </c>
      <c r="F80" s="26">
        <v>0.28499999999999998</v>
      </c>
      <c r="G80" s="26">
        <v>0.28499999999999998</v>
      </c>
    </row>
    <row r="82" spans="2:7" ht="14" customHeight="1" x14ac:dyDescent="0.3">
      <c r="B82" s="3" t="s">
        <v>94</v>
      </c>
    </row>
    <row r="83" spans="2:7" ht="14" customHeight="1" x14ac:dyDescent="0.3">
      <c r="B83" s="4" t="s">
        <v>86</v>
      </c>
      <c r="C83" s="26">
        <v>0.61</v>
      </c>
      <c r="D83" s="26">
        <v>0.6</v>
      </c>
      <c r="E83" s="26">
        <v>0.59</v>
      </c>
      <c r="F83" s="26">
        <v>0.58499999999999996</v>
      </c>
      <c r="G83" s="26">
        <v>0.58499999999999996</v>
      </c>
    </row>
    <row r="84" spans="2:7" ht="14" customHeight="1" x14ac:dyDescent="0.3">
      <c r="B84" s="4" t="s">
        <v>123</v>
      </c>
      <c r="C84" s="26">
        <v>0.60499999999999998</v>
      </c>
      <c r="D84" s="26">
        <v>0.59</v>
      </c>
      <c r="E84" s="26">
        <v>0.57499999999999996</v>
      </c>
      <c r="F84" s="26">
        <v>0.56999999999999995</v>
      </c>
      <c r="G84" s="26">
        <v>0.56499999999999995</v>
      </c>
    </row>
    <row r="85" spans="2:7" ht="14" customHeight="1" x14ac:dyDescent="0.3">
      <c r="B85" s="4" t="s">
        <v>124</v>
      </c>
      <c r="C85" s="26">
        <v>0.61</v>
      </c>
      <c r="D85" s="26">
        <v>0.60499999999999998</v>
      </c>
      <c r="E85" s="26">
        <v>0.6</v>
      </c>
      <c r="F85" s="26">
        <v>0.59499999999999997</v>
      </c>
      <c r="G85" s="26">
        <v>0.59499999999999997</v>
      </c>
    </row>
    <row r="86" spans="2:7" ht="14" customHeight="1" x14ac:dyDescent="0.3">
      <c r="B86" s="4" t="s">
        <v>125</v>
      </c>
      <c r="C86" s="26">
        <v>0.61499999999999999</v>
      </c>
      <c r="D86" s="26">
        <v>0.625</v>
      </c>
      <c r="E86" s="26">
        <v>0.625</v>
      </c>
      <c r="F86" s="26">
        <v>0.62</v>
      </c>
      <c r="G86" s="26">
        <v>0.62</v>
      </c>
    </row>
    <row r="87" spans="2:7" ht="14" customHeight="1" x14ac:dyDescent="0.3">
      <c r="B87" s="4" t="s">
        <v>126</v>
      </c>
      <c r="C87" s="26">
        <v>0.625</v>
      </c>
      <c r="D87" s="26">
        <v>0.65</v>
      </c>
      <c r="E87" s="26">
        <v>0.65500000000000003</v>
      </c>
      <c r="F87" s="26">
        <v>0.65</v>
      </c>
      <c r="G87" s="26">
        <v>0.65</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127</v>
      </c>
    </row>
    <row r="3" spans="2:9" ht="14" customHeight="1" x14ac:dyDescent="0.3">
      <c r="B3" s="1" t="s">
        <v>128</v>
      </c>
    </row>
    <row r="5" spans="2:9" ht="14" customHeight="1" x14ac:dyDescent="0.3">
      <c r="B5" s="8" t="s">
        <v>129</v>
      </c>
      <c r="C5" s="9"/>
      <c r="D5" s="9"/>
      <c r="E5" s="9"/>
      <c r="F5" s="9"/>
      <c r="G5" s="9"/>
      <c r="H5" s="9"/>
      <c r="I5" s="9"/>
    </row>
    <row r="6" spans="2:9" ht="14" customHeight="1" x14ac:dyDescent="0.3">
      <c r="B6" s="4" t="s">
        <v>130</v>
      </c>
      <c r="C6" s="15">
        <f>'Executive Summary'!C9</f>
        <v>340</v>
      </c>
    </row>
    <row r="7" spans="2:9" ht="14" customHeight="1" x14ac:dyDescent="0.3">
      <c r="B7" s="4" t="s">
        <v>74</v>
      </c>
      <c r="C7" s="15">
        <f>'DCF Model'!C15</f>
        <v>1167997856</v>
      </c>
    </row>
    <row r="8" spans="2:9" ht="14" customHeight="1" x14ac:dyDescent="0.3">
      <c r="B8" s="4" t="s">
        <v>131</v>
      </c>
      <c r="C8" s="5">
        <f>C6*C7/1000000</f>
        <v>397119.27104000002</v>
      </c>
    </row>
    <row r="9" spans="2:9" ht="14" customHeight="1" x14ac:dyDescent="0.3">
      <c r="B9" s="4" t="s">
        <v>75</v>
      </c>
      <c r="C9" s="5">
        <f>'DCF Model'!C16</f>
        <v>0</v>
      </c>
    </row>
    <row r="10" spans="2:9" ht="14" customHeight="1" x14ac:dyDescent="0.3">
      <c r="B10" s="4" t="s">
        <v>132</v>
      </c>
      <c r="C10" s="5">
        <f>C8+C9</f>
        <v>397119.27104000002</v>
      </c>
    </row>
    <row r="11" spans="2:9" ht="14" customHeight="1" x14ac:dyDescent="0.3">
      <c r="B11" s="4" t="s">
        <v>133</v>
      </c>
      <c r="C11" s="16">
        <f>'DCF Model'!C26</f>
        <v>8.0415999999999987E-2</v>
      </c>
    </row>
    <row r="12" spans="2:9" ht="14" customHeight="1" x14ac:dyDescent="0.3">
      <c r="B12" s="4" t="s">
        <v>134</v>
      </c>
      <c r="C12" s="16">
        <f>'DCF Model'!C13</f>
        <v>0.01</v>
      </c>
    </row>
    <row r="13" spans="2:9" ht="14" customHeight="1" x14ac:dyDescent="0.3">
      <c r="B13" s="4" t="s">
        <v>135</v>
      </c>
      <c r="C13" s="16">
        <f>'DCF Model'!C6</f>
        <v>0.25</v>
      </c>
    </row>
    <row r="14" spans="2:9" ht="14" customHeight="1" x14ac:dyDescent="0.3">
      <c r="B14" s="4" t="s">
        <v>136</v>
      </c>
      <c r="C14" s="27">
        <v>30165</v>
      </c>
    </row>
    <row r="15" spans="2:9" ht="14" customHeight="1" x14ac:dyDescent="0.3">
      <c r="B15" s="4" t="s">
        <v>137</v>
      </c>
      <c r="C15" s="27">
        <v>30526</v>
      </c>
    </row>
    <row r="16" spans="2:9" ht="14" customHeight="1" x14ac:dyDescent="0.3">
      <c r="B16" s="4" t="s">
        <v>138</v>
      </c>
      <c r="C16" s="5">
        <f>'DCF Model'!G33</f>
        <v>257491.52560096871</v>
      </c>
    </row>
    <row r="17" spans="2:9" ht="14" customHeight="1" x14ac:dyDescent="0.3">
      <c r="B17" s="4" t="s">
        <v>139</v>
      </c>
      <c r="C17" s="5">
        <f>'DCF Model'!C53</f>
        <v>381469.64000035566</v>
      </c>
    </row>
    <row r="18" spans="2:9" ht="14" customHeight="1" x14ac:dyDescent="0.3">
      <c r="B18" s="4" t="s">
        <v>140</v>
      </c>
      <c r="C18" s="26">
        <v>0.15426755004371401</v>
      </c>
    </row>
    <row r="19" spans="2:9" ht="14" customHeight="1" x14ac:dyDescent="0.3">
      <c r="B19" s="4" t="s">
        <v>141</v>
      </c>
      <c r="C19" s="5">
        <f>C10-C17</f>
        <v>15649.631039644359</v>
      </c>
    </row>
    <row r="20" spans="2:9" ht="14" customHeight="1" x14ac:dyDescent="0.3">
      <c r="B20" s="4" t="s">
        <v>142</v>
      </c>
      <c r="C20" s="15">
        <f>IFERROR(ROUND(C19*1000000/C7,0),"N/A")</f>
        <v>13</v>
      </c>
    </row>
    <row r="22" spans="2:9" ht="14" customHeight="1" x14ac:dyDescent="0.3">
      <c r="B22" s="8" t="s">
        <v>143</v>
      </c>
      <c r="C22" s="9"/>
      <c r="D22" s="9"/>
      <c r="E22" s="9"/>
      <c r="F22" s="9"/>
      <c r="G22" s="9"/>
      <c r="H22" s="9"/>
      <c r="I22" s="9"/>
    </row>
    <row r="23" spans="2:9" ht="14" customHeight="1" x14ac:dyDescent="0.3">
      <c r="B23" s="1" t="s">
        <v>144</v>
      </c>
    </row>
    <row r="24" spans="2:9" ht="14" customHeight="1" x14ac:dyDescent="0.3">
      <c r="B24" s="4" t="s">
        <v>145</v>
      </c>
      <c r="C24" s="5">
        <f>C10*(C11-C12)</f>
        <v>27963.55058955264</v>
      </c>
    </row>
    <row r="25" spans="2:9" ht="14" customHeight="1" x14ac:dyDescent="0.3">
      <c r="B25" s="4" t="s">
        <v>146</v>
      </c>
      <c r="C25" s="5">
        <f>IFERROR(C24/(1-C13),"N/A")</f>
        <v>37284.734119403518</v>
      </c>
    </row>
    <row r="26" spans="2:9" ht="13.5" customHeight="1" x14ac:dyDescent="0.25">
      <c r="B26" s="6" t="s">
        <v>147</v>
      </c>
      <c r="C26" s="14">
        <f>IFERROR(C25/C15,"N/A")</f>
        <v>1.2214090977987131</v>
      </c>
    </row>
    <row r="27" spans="2:9" ht="13.5" customHeight="1" x14ac:dyDescent="0.25">
      <c r="B27" s="6" t="s">
        <v>148</v>
      </c>
      <c r="C27" s="14">
        <f>IFERROR(C25/C14,"N/A")</f>
        <v>1.2360263258545838</v>
      </c>
    </row>
    <row r="28" spans="2:9" ht="13.5" customHeight="1" x14ac:dyDescent="0.25">
      <c r="B28" s="6" t="s">
        <v>149</v>
      </c>
      <c r="C28" s="7">
        <f>IFERROR(C25/C16,"N/A")</f>
        <v>0.14479984936352114</v>
      </c>
    </row>
    <row r="29" spans="2:9" ht="13.5" customHeight="1" x14ac:dyDescent="0.25">
      <c r="B29" s="6" t="s">
        <v>150</v>
      </c>
      <c r="C29" s="5">
        <f>IFERROR(C25/C18,"N/A")</f>
        <v>241688.76804511598</v>
      </c>
    </row>
    <row r="32" spans="2:9" ht="14" customHeight="1" x14ac:dyDescent="0.3">
      <c r="B32" s="8" t="s">
        <v>151</v>
      </c>
      <c r="C32" s="9"/>
      <c r="D32" s="9"/>
      <c r="E32" s="9"/>
      <c r="F32" s="9"/>
      <c r="G32" s="9"/>
      <c r="H32" s="9"/>
      <c r="I32" s="9"/>
    </row>
    <row r="33" spans="2:9" ht="14" customHeight="1" x14ac:dyDescent="0.3">
      <c r="B33" s="1" t="s">
        <v>152</v>
      </c>
    </row>
    <row r="34" spans="2:9" ht="14" customHeight="1" x14ac:dyDescent="0.3">
      <c r="B34" s="1" t="s">
        <v>153</v>
      </c>
    </row>
    <row r="36" spans="2:9" ht="14" customHeight="1" x14ac:dyDescent="0.3">
      <c r="B36" s="28" t="s">
        <v>154</v>
      </c>
      <c r="C36" s="28" t="s">
        <v>155</v>
      </c>
      <c r="D36" s="29">
        <f>'DCF Model'!C26-0.02</f>
        <v>6.0415999999999984E-2</v>
      </c>
      <c r="E36" s="29">
        <f>'DCF Model'!C26-0.01</f>
        <v>7.0415999999999992E-2</v>
      </c>
      <c r="F36" s="29">
        <f>'DCF Model'!C26</f>
        <v>8.0415999999999987E-2</v>
      </c>
      <c r="G36" s="29">
        <f>'DCF Model'!C26+0.01</f>
        <v>9.0415999999999982E-2</v>
      </c>
      <c r="H36" s="29">
        <f>'DCF Model'!C26+0.02</f>
        <v>0.10041599999999999</v>
      </c>
    </row>
    <row r="37" spans="2:9" ht="14" customHeight="1" x14ac:dyDescent="0.3">
      <c r="B37" s="3" t="s">
        <v>156</v>
      </c>
    </row>
    <row r="38" spans="2:9" ht="14" customHeight="1" x14ac:dyDescent="0.3">
      <c r="B38" s="4" t="s">
        <v>157</v>
      </c>
      <c r="C38" s="30">
        <v>3</v>
      </c>
      <c r="D38" s="13">
        <f t="shared" ref="D38:H41" si="0">IFERROR((1-(1+D$36)^(-$C38))/D$36-(1+D$36)/(D$36^2*$C38)*(1-($C38+1)/(1+D$36)^$C38+$C38/(1+D$36)^($C38+1)),"N/A")</f>
        <v>0.92511685135528898</v>
      </c>
      <c r="E38" s="13">
        <f t="shared" si="0"/>
        <v>0.91373080806955476</v>
      </c>
      <c r="F38" s="13">
        <f t="shared" si="0"/>
        <v>0.90260585129590609</v>
      </c>
      <c r="G38" s="13">
        <f t="shared" si="0"/>
        <v>0.89173342631415631</v>
      </c>
      <c r="H38" s="13">
        <f t="shared" si="0"/>
        <v>0.88110533877139829</v>
      </c>
    </row>
    <row r="39" spans="2:9" ht="14" customHeight="1" x14ac:dyDescent="0.3">
      <c r="B39" s="4" t="s">
        <v>158</v>
      </c>
      <c r="C39" s="30">
        <v>5</v>
      </c>
      <c r="D39" s="13">
        <f t="shared" si="0"/>
        <v>1.7816227783303442</v>
      </c>
      <c r="E39" s="13">
        <f t="shared" si="0"/>
        <v>1.7495095630056889</v>
      </c>
      <c r="F39" s="13">
        <f t="shared" si="0"/>
        <v>1.7184087106186454</v>
      </c>
      <c r="G39" s="13">
        <f t="shared" si="0"/>
        <v>1.6882766596120056</v>
      </c>
      <c r="H39" s="13">
        <f t="shared" si="0"/>
        <v>1.6590721762766165</v>
      </c>
    </row>
    <row r="40" spans="2:9" ht="14" customHeight="1" x14ac:dyDescent="0.3">
      <c r="B40" s="4" t="s">
        <v>159</v>
      </c>
      <c r="C40" s="30">
        <v>7</v>
      </c>
      <c r="D40" s="13">
        <f t="shared" si="0"/>
        <v>2.575231238430101</v>
      </c>
      <c r="E40" s="13">
        <f t="shared" si="0"/>
        <v>2.5148009600055325</v>
      </c>
      <c r="F40" s="13">
        <f t="shared" si="0"/>
        <v>2.4567758736614951</v>
      </c>
      <c r="G40" s="13">
        <f t="shared" si="0"/>
        <v>2.4010285661344923</v>
      </c>
      <c r="H40" s="13">
        <f t="shared" si="0"/>
        <v>2.347439834611202</v>
      </c>
    </row>
    <row r="41" spans="2:9" ht="14" customHeight="1" x14ac:dyDescent="0.3">
      <c r="B41" s="4" t="s">
        <v>160</v>
      </c>
      <c r="C41" s="30">
        <v>10</v>
      </c>
      <c r="D41" s="13">
        <f t="shared" si="0"/>
        <v>3.6589732894006088</v>
      </c>
      <c r="E41" s="13">
        <f t="shared" si="0"/>
        <v>3.5450490988899488</v>
      </c>
      <c r="F41" s="13">
        <f t="shared" si="0"/>
        <v>3.4370075896050629</v>
      </c>
      <c r="G41" s="13">
        <f t="shared" si="0"/>
        <v>3.3344528199315873</v>
      </c>
      <c r="H41" s="13">
        <f t="shared" si="0"/>
        <v>3.2370206693910273</v>
      </c>
    </row>
    <row r="42" spans="2:9" ht="14" customHeight="1" x14ac:dyDescent="0.3">
      <c r="B42" s="3" t="s">
        <v>161</v>
      </c>
    </row>
    <row r="43" spans="2:9" ht="14" customHeight="1" x14ac:dyDescent="0.3">
      <c r="B43" s="4" t="s">
        <v>157</v>
      </c>
      <c r="C43" s="30">
        <v>3</v>
      </c>
      <c r="D43" s="13">
        <f t="shared" ref="D43:H46" si="1">IFERROR((1+D$36)/(D$36^2*$C43)*(1-($C43+1)/(1+D$36)^$C43+$C43/(1+D$36)^($C43+1))+(1+$C$12)/((D$36-$C$12)*(1+D$36)^$C43),"N/A")</f>
        <v>18.546415118470655</v>
      </c>
      <c r="E43" s="13">
        <f t="shared" si="1"/>
        <v>15.339086956387394</v>
      </c>
      <c r="F43" s="13">
        <f t="shared" si="1"/>
        <v>13.045609306681465</v>
      </c>
      <c r="G43" s="13">
        <f t="shared" si="1"/>
        <v>11.32497480443854</v>
      </c>
      <c r="H43" s="13">
        <f t="shared" si="1"/>
        <v>9.9870409208612116</v>
      </c>
    </row>
    <row r="44" spans="2:9" ht="14" customHeight="1" x14ac:dyDescent="0.3">
      <c r="B44" s="4" t="s">
        <v>158</v>
      </c>
      <c r="C44" s="30">
        <v>5</v>
      </c>
      <c r="D44" s="13">
        <f t="shared" si="1"/>
        <v>17.366701683919349</v>
      </c>
      <c r="E44" s="13">
        <f t="shared" si="1"/>
        <v>14.242275283217673</v>
      </c>
      <c r="F44" s="13">
        <f t="shared" si="1"/>
        <v>12.012978726095392</v>
      </c>
      <c r="G44" s="13">
        <f t="shared" si="1"/>
        <v>10.344557118775059</v>
      </c>
      <c r="H44" s="13">
        <f t="shared" si="1"/>
        <v>9.0506458999781358</v>
      </c>
    </row>
    <row r="45" spans="2:9" ht="14" customHeight="1" x14ac:dyDescent="0.3">
      <c r="B45" s="4" t="s">
        <v>159</v>
      </c>
      <c r="C45" s="30">
        <v>7</v>
      </c>
      <c r="D45" s="13">
        <f t="shared" si="1"/>
        <v>16.285665340732663</v>
      </c>
      <c r="E45" s="13">
        <f t="shared" si="1"/>
        <v>13.249164805817802</v>
      </c>
      <c r="F45" s="13">
        <f t="shared" si="1"/>
        <v>11.088859865459522</v>
      </c>
      <c r="G45" s="13">
        <f t="shared" si="1"/>
        <v>9.4771598281961555</v>
      </c>
      <c r="H45" s="13">
        <f t="shared" si="1"/>
        <v>8.2314448350298157</v>
      </c>
    </row>
    <row r="46" spans="2:9" ht="14" customHeight="1" x14ac:dyDescent="0.3">
      <c r="B46" s="4" t="s">
        <v>160</v>
      </c>
      <c r="C46" s="30">
        <v>10</v>
      </c>
      <c r="D46" s="13">
        <f t="shared" si="1"/>
        <v>14.829325128269238</v>
      </c>
      <c r="E46" s="13">
        <f t="shared" si="1"/>
        <v>11.930368302704723</v>
      </c>
      <c r="F46" s="13">
        <f t="shared" si="1"/>
        <v>9.8787024795918263</v>
      </c>
      <c r="G46" s="13">
        <f t="shared" si="1"/>
        <v>8.3566134929500979</v>
      </c>
      <c r="H46" s="13">
        <f t="shared" si="1"/>
        <v>7.1870731497754594</v>
      </c>
    </row>
    <row r="47" spans="2:9" ht="14" customHeight="1" x14ac:dyDescent="0.3">
      <c r="B47" s="22" t="s">
        <v>162</v>
      </c>
      <c r="C47" s="23"/>
      <c r="D47" s="23"/>
      <c r="E47" s="23"/>
      <c r="F47" s="23"/>
      <c r="G47" s="23"/>
      <c r="H47" s="23"/>
      <c r="I47" s="23"/>
    </row>
    <row r="48" spans="2:9" ht="14" customHeight="1" x14ac:dyDescent="0.3">
      <c r="B48" s="4" t="s">
        <v>157</v>
      </c>
      <c r="C48" s="30">
        <v>3</v>
      </c>
      <c r="D48" s="5">
        <f t="shared" ref="D48:H51" si="2">IFERROR(($C$10/(1-$C$13)-$C$14*D38)/D43,"N/A")</f>
        <v>27044.914521836465</v>
      </c>
      <c r="E48" s="5">
        <f t="shared" si="2"/>
        <v>32722.265216199099</v>
      </c>
      <c r="F48" s="5">
        <f t="shared" si="2"/>
        <v>38500.712697649506</v>
      </c>
      <c r="G48" s="5">
        <f t="shared" si="2"/>
        <v>44379.191235367813</v>
      </c>
      <c r="H48" s="5">
        <f t="shared" si="2"/>
        <v>50356.639451844734</v>
      </c>
    </row>
    <row r="49" spans="2:9" ht="14" customHeight="1" x14ac:dyDescent="0.3">
      <c r="B49" s="4" t="s">
        <v>158</v>
      </c>
      <c r="C49" s="30">
        <v>5</v>
      </c>
      <c r="D49" s="5">
        <f t="shared" si="2"/>
        <v>27394.361861979298</v>
      </c>
      <c r="E49" s="5">
        <f t="shared" si="2"/>
        <v>33472.067906196091</v>
      </c>
      <c r="F49" s="5">
        <f t="shared" si="2"/>
        <v>39761.708858541293</v>
      </c>
      <c r="G49" s="5">
        <f t="shared" si="2"/>
        <v>46262.540817807327</v>
      </c>
      <c r="H49" s="5">
        <f t="shared" si="2"/>
        <v>52973.727454130174</v>
      </c>
    </row>
    <row r="50" spans="2:9" ht="14" customHeight="1" x14ac:dyDescent="0.3">
      <c r="B50" s="4" t="s">
        <v>159</v>
      </c>
      <c r="C50" s="30">
        <v>7</v>
      </c>
      <c r="D50" s="5">
        <f t="shared" si="2"/>
        <v>27742.834058451586</v>
      </c>
      <c r="E50" s="5">
        <f t="shared" si="2"/>
        <v>34238.640478598783</v>
      </c>
      <c r="F50" s="5">
        <f t="shared" si="2"/>
        <v>41066.775365800568</v>
      </c>
      <c r="G50" s="5">
        <f t="shared" si="2"/>
        <v>48228.091851882979</v>
      </c>
      <c r="H50" s="5">
        <f t="shared" si="2"/>
        <v>55723.126130135613</v>
      </c>
    </row>
    <row r="51" spans="2:9" ht="14" customHeight="1" x14ac:dyDescent="0.3">
      <c r="B51" s="4" t="s">
        <v>160</v>
      </c>
      <c r="C51" s="30">
        <v>10</v>
      </c>
      <c r="D51" s="5">
        <f t="shared" si="2"/>
        <v>28262.879698613338</v>
      </c>
      <c r="E51" s="5">
        <f t="shared" si="2"/>
        <v>35418.517232435654</v>
      </c>
      <c r="F51" s="5">
        <f t="shared" si="2"/>
        <v>43104.347795260655</v>
      </c>
      <c r="G51" s="5">
        <f t="shared" si="2"/>
        <v>51325.646738989555</v>
      </c>
      <c r="H51" s="5">
        <f t="shared" si="2"/>
        <v>60086.717345847275</v>
      </c>
    </row>
    <row r="52" spans="2:9" ht="14" customHeight="1" x14ac:dyDescent="0.3">
      <c r="B52" s="22" t="s">
        <v>163</v>
      </c>
      <c r="C52" s="23"/>
      <c r="D52" s="23"/>
      <c r="E52" s="23"/>
      <c r="F52" s="23"/>
      <c r="G52" s="23"/>
      <c r="H52" s="23"/>
      <c r="I52" s="23"/>
    </row>
    <row r="53" spans="2:9" ht="14" customHeight="1" x14ac:dyDescent="0.3">
      <c r="B53" s="4" t="s">
        <v>157</v>
      </c>
      <c r="C53" s="30">
        <v>3</v>
      </c>
      <c r="D53" s="14">
        <f t="shared" ref="D53:H56" si="3">IFERROR(D48/$C$15,"N/A")</f>
        <v>0.88596326154217597</v>
      </c>
      <c r="E53" s="14">
        <f t="shared" si="3"/>
        <v>1.0719473634344199</v>
      </c>
      <c r="F53" s="14">
        <f t="shared" si="3"/>
        <v>1.2612432908880793</v>
      </c>
      <c r="G53" s="14">
        <f t="shared" si="3"/>
        <v>1.4538161316703078</v>
      </c>
      <c r="H53" s="14">
        <f t="shared" si="3"/>
        <v>1.6496311161581843</v>
      </c>
    </row>
    <row r="54" spans="2:9" ht="14" customHeight="1" x14ac:dyDescent="0.3">
      <c r="B54" s="4" t="s">
        <v>158</v>
      </c>
      <c r="C54" s="30">
        <v>5</v>
      </c>
      <c r="D54" s="14">
        <f t="shared" si="3"/>
        <v>0.89741079283166147</v>
      </c>
      <c r="E54" s="14">
        <f t="shared" si="3"/>
        <v>1.0965101194455904</v>
      </c>
      <c r="F54" s="14">
        <f t="shared" si="3"/>
        <v>1.3025522131475231</v>
      </c>
      <c r="G54" s="14">
        <f t="shared" si="3"/>
        <v>1.5155127045078729</v>
      </c>
      <c r="H54" s="14">
        <f t="shared" si="3"/>
        <v>1.7353641962304323</v>
      </c>
    </row>
    <row r="55" spans="2:9" ht="14" customHeight="1" x14ac:dyDescent="0.3">
      <c r="B55" s="4" t="s">
        <v>159</v>
      </c>
      <c r="C55" s="30">
        <v>7</v>
      </c>
      <c r="D55" s="14">
        <f t="shared" si="3"/>
        <v>0.9088263794290633</v>
      </c>
      <c r="E55" s="14">
        <f t="shared" si="3"/>
        <v>1.1216222393565742</v>
      </c>
      <c r="F55" s="14">
        <f t="shared" si="3"/>
        <v>1.3453048341020954</v>
      </c>
      <c r="G55" s="14">
        <f t="shared" si="3"/>
        <v>1.5799021113766289</v>
      </c>
      <c r="H55" s="14">
        <f t="shared" si="3"/>
        <v>1.8254316363144734</v>
      </c>
    </row>
    <row r="56" spans="2:9" ht="14" customHeight="1" x14ac:dyDescent="0.3">
      <c r="B56" s="4" t="s">
        <v>160</v>
      </c>
      <c r="C56" s="30">
        <v>10</v>
      </c>
      <c r="D56" s="14">
        <f t="shared" si="3"/>
        <v>0.92586253353250803</v>
      </c>
      <c r="E56" s="14">
        <f t="shared" si="3"/>
        <v>1.1602737742395222</v>
      </c>
      <c r="F56" s="14">
        <f t="shared" si="3"/>
        <v>1.4120535869508175</v>
      </c>
      <c r="G56" s="14">
        <f t="shared" si="3"/>
        <v>1.681374786706072</v>
      </c>
      <c r="H56" s="14">
        <f t="shared" si="3"/>
        <v>1.9683783445537337</v>
      </c>
    </row>
    <row r="58" spans="2:9" ht="14" customHeight="1" x14ac:dyDescent="0.3">
      <c r="B58" s="8" t="s">
        <v>164</v>
      </c>
      <c r="C58" s="9"/>
      <c r="D58" s="9"/>
      <c r="E58" s="9"/>
      <c r="F58" s="9"/>
      <c r="G58" s="9"/>
      <c r="H58" s="9"/>
      <c r="I58" s="9"/>
    </row>
    <row r="59" spans="2:9" ht="14" customHeight="1" x14ac:dyDescent="0.3">
      <c r="B59" s="1" t="s">
        <v>165</v>
      </c>
    </row>
    <row r="60" spans="2:9" ht="14" customHeight="1" x14ac:dyDescent="0.3">
      <c r="B60" s="4" t="s">
        <v>166</v>
      </c>
      <c r="C60" s="5">
        <f>F49</f>
        <v>39761.708858541293</v>
      </c>
    </row>
    <row r="62" spans="2:9" ht="14" customHeight="1" x14ac:dyDescent="0.3">
      <c r="B62" s="28" t="s">
        <v>167</v>
      </c>
      <c r="C62" s="28" t="s">
        <v>168</v>
      </c>
      <c r="D62" s="28" t="s">
        <v>169</v>
      </c>
    </row>
    <row r="63" spans="2:9" ht="14" customHeight="1" x14ac:dyDescent="0.3">
      <c r="B63" s="31">
        <v>7.7100000000000002E-2</v>
      </c>
      <c r="C63" s="5">
        <f>IFERROR($C$60/B63,"N/A")</f>
        <v>515716.06820416724</v>
      </c>
      <c r="D63" s="14">
        <f>IFERROR(C63/'DCF Model'!C17,"N/A")</f>
        <v>2.3438975943832165</v>
      </c>
    </row>
    <row r="64" spans="2:9" ht="14" customHeight="1" x14ac:dyDescent="0.3">
      <c r="B64" s="31">
        <v>0.1157</v>
      </c>
      <c r="C64" s="5">
        <f>IFERROR($C$60/B64,"N/A")</f>
        <v>343662.13360882708</v>
      </c>
      <c r="D64" s="14">
        <f>IFERROR(C64/'DCF Model'!C17,"N/A")</f>
        <v>1.5619231160496629</v>
      </c>
    </row>
    <row r="65" spans="2:9" ht="14" customHeight="1" x14ac:dyDescent="0.3">
      <c r="B65" s="4" t="s">
        <v>170</v>
      </c>
      <c r="C65" s="5">
        <f>IFERROR($C$60/$C$18,"N/A")</f>
        <v>257745.12428099249</v>
      </c>
      <c r="D65" s="14">
        <f>IFERROR(C65/'DCF Model'!C17,"N/A")</f>
        <v>1.1714356290466652</v>
      </c>
    </row>
    <row r="66" spans="2:9" ht="14" customHeight="1" x14ac:dyDescent="0.3">
      <c r="B66" s="31">
        <v>0.1928</v>
      </c>
      <c r="C66" s="5">
        <f>IFERROR($C$60/B66,"N/A")</f>
        <v>206232.92976421834</v>
      </c>
      <c r="D66" s="14">
        <f>IFERROR(C66/'DCF Model'!C17,"N/A")</f>
        <v>0.937315894849305</v>
      </c>
    </row>
    <row r="67" spans="2:9" ht="14" customHeight="1" x14ac:dyDescent="0.3">
      <c r="B67" s="31">
        <v>0.23139999999999999</v>
      </c>
      <c r="C67" s="5">
        <f>IFERROR($C$60/B67,"N/A")</f>
        <v>171831.06680441354</v>
      </c>
      <c r="D67" s="14">
        <f>IFERROR(C67/'DCF Model'!C17,"N/A")</f>
        <v>0.78096155802483147</v>
      </c>
    </row>
    <row r="69" spans="2:9" ht="14" customHeight="1" x14ac:dyDescent="0.3">
      <c r="B69" s="8" t="s">
        <v>171</v>
      </c>
      <c r="C69" s="9"/>
      <c r="D69" s="9"/>
      <c r="E69" s="9"/>
      <c r="F69" s="9"/>
      <c r="G69" s="9"/>
      <c r="H69" s="9"/>
      <c r="I69" s="9"/>
    </row>
    <row r="70" spans="2:9" ht="13.5" customHeight="1" x14ac:dyDescent="0.25">
      <c r="B70" s="6" t="s">
        <v>172</v>
      </c>
      <c r="C70" s="14">
        <f>IFERROR(C10/'Comps Analysis'!G5,"N/A")</f>
        <v>6.5368351309443469</v>
      </c>
    </row>
    <row r="71" spans="2:9" ht="13.5" customHeight="1" x14ac:dyDescent="0.25">
      <c r="B71" s="6" t="s">
        <v>173</v>
      </c>
      <c r="C71" s="14">
        <f>IFERROR(C10/'Comps Analysis'!F5,"N/A")</f>
        <v>1.8048824953528009</v>
      </c>
    </row>
    <row r="72" spans="2:9" ht="14" customHeight="1" x14ac:dyDescent="0.3">
      <c r="B72" s="4" t="s">
        <v>174</v>
      </c>
      <c r="C72" s="14">
        <f>IFERROR(C10/(C25+'DCF Model'!G42),"N/A")</f>
        <v>5.5320852812444707</v>
      </c>
    </row>
    <row r="73" spans="2:9" ht="14" customHeight="1" x14ac:dyDescent="0.3">
      <c r="B73" s="4" t="s">
        <v>175</v>
      </c>
      <c r="C73" s="14">
        <f>IFERROR(C10/(C60+'DCF Model'!G42),"N/A")</f>
        <v>5.3475644062602914</v>
      </c>
    </row>
    <row r="74" spans="2:9" ht="14" customHeight="1" x14ac:dyDescent="0.3">
      <c r="B74" s="4" t="s">
        <v>176</v>
      </c>
      <c r="C74" s="14" t="str">
        <f>IFERROR('Comps Analysis'!D16,"N/A")</f>
        <v>N/A</v>
      </c>
    </row>
    <row r="75" spans="2:9" ht="14" customHeight="1" x14ac:dyDescent="0.3">
      <c r="B75" s="1" t="s">
        <v>177</v>
      </c>
    </row>
    <row r="77" spans="2:9" ht="14" customHeight="1" x14ac:dyDescent="0.3">
      <c r="B77" s="22" t="s">
        <v>178</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FY2024/3 cycle peak of "&amp;TEXT(C15,"#,##0")&amp;" mn - reached in 5 years and sustained for ever, against "&amp;TEXT(C14,"#,##0")&amp;" mn actually earned in FY2026/3."</f>
        <v>At 340 yen the market is paying for a steady-state operating profit of 39,762 mn JPY - 1.30x the FY2024/3 cycle peak of 30,526 mn - reached in 5 years and sustained for ever, against 30,165 mn actually earned in FY2026/3.</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37,285 mn, or 1.22x the peak. The base case supports an EV of only 381,470 mn, leaving 13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179</v>
      </c>
    </row>
    <row r="4" spans="2:8" ht="14" customHeight="1" x14ac:dyDescent="0.3">
      <c r="B4" s="8" t="s">
        <v>180</v>
      </c>
      <c r="C4" s="32" t="s">
        <v>181</v>
      </c>
      <c r="D4" s="32" t="s">
        <v>88</v>
      </c>
      <c r="E4" s="32" t="s">
        <v>89</v>
      </c>
      <c r="F4" s="32" t="s">
        <v>90</v>
      </c>
      <c r="G4" s="32" t="s">
        <v>91</v>
      </c>
      <c r="H4" s="32" t="s">
        <v>92</v>
      </c>
    </row>
    <row r="5" spans="2:8" ht="14" customHeight="1" x14ac:dyDescent="0.3">
      <c r="B5" s="33" t="s">
        <v>182</v>
      </c>
      <c r="C5" s="34">
        <f>C18/C9</f>
        <v>0</v>
      </c>
      <c r="D5" s="34">
        <f>CHOOSE('DCF Model'!$D$27,D25,D26,D27,D28,D29)</f>
        <v>0</v>
      </c>
      <c r="E5" s="34">
        <f>CHOOSE('DCF Model'!$D$27,E25,E26,E27,E28,E29)</f>
        <v>0</v>
      </c>
      <c r="F5" s="34">
        <f>CHOOSE('DCF Model'!$D$27,F25,F26,F27,F28,F29)</f>
        <v>0</v>
      </c>
      <c r="G5" s="34">
        <f>CHOOSE('DCF Model'!$D$27,G25,G26,G27,G28,G29)</f>
        <v>0</v>
      </c>
      <c r="H5" s="34">
        <f>CHOOSE('DCF Model'!$D$27,H25,H26,H27,H28,H29)</f>
        <v>0</v>
      </c>
    </row>
    <row r="6" spans="2:8" ht="14" customHeight="1" x14ac:dyDescent="0.3">
      <c r="B6" s="35" t="s">
        <v>183</v>
      </c>
      <c r="C6" s="35" t="s">
        <v>183</v>
      </c>
      <c r="D6" s="35" t="s">
        <v>183</v>
      </c>
      <c r="E6" s="35" t="s">
        <v>183</v>
      </c>
      <c r="F6" s="35" t="s">
        <v>183</v>
      </c>
      <c r="G6" s="35" t="s">
        <v>183</v>
      </c>
      <c r="H6" s="35" t="s">
        <v>183</v>
      </c>
    </row>
    <row r="7" spans="2:8" ht="14" customHeight="1" x14ac:dyDescent="0.3">
      <c r="B7" s="35" t="s">
        <v>183</v>
      </c>
      <c r="C7" s="35" t="s">
        <v>183</v>
      </c>
      <c r="D7" s="35" t="s">
        <v>183</v>
      </c>
      <c r="E7" s="35" t="s">
        <v>183</v>
      </c>
      <c r="F7" s="35" t="s">
        <v>183</v>
      </c>
      <c r="G7" s="35" t="s">
        <v>183</v>
      </c>
      <c r="H7" s="35" t="s">
        <v>183</v>
      </c>
    </row>
    <row r="8" spans="2:8" ht="14" customHeight="1" x14ac:dyDescent="0.3">
      <c r="B8" s="8" t="s">
        <v>184</v>
      </c>
      <c r="C8" s="9"/>
      <c r="D8" s="9"/>
      <c r="E8" s="9"/>
      <c r="F8" s="9"/>
      <c r="G8" s="9"/>
      <c r="H8" s="9"/>
    </row>
    <row r="9" spans="2:8" ht="14" customHeight="1" x14ac:dyDescent="0.3">
      <c r="B9" s="33" t="s">
        <v>38</v>
      </c>
      <c r="C9" s="36">
        <v>220025</v>
      </c>
      <c r="D9" s="36">
        <f>'DCF Model'!C33</f>
        <v>231026.25</v>
      </c>
      <c r="E9" s="36">
        <f>'DCF Model'!D33</f>
        <v>239112.16874999998</v>
      </c>
      <c r="F9" s="36">
        <f>'DCF Model'!E33</f>
        <v>246285.53381249998</v>
      </c>
      <c r="G9" s="36">
        <f>'DCF Model'!F33</f>
        <v>252442.67215781246</v>
      </c>
      <c r="H9" s="36">
        <f>'DCF Model'!G33</f>
        <v>257491.52560096871</v>
      </c>
    </row>
    <row r="10" spans="2:8" ht="14" customHeight="1" x14ac:dyDescent="0.3">
      <c r="B10" s="35" t="s">
        <v>183</v>
      </c>
      <c r="C10" s="35" t="s">
        <v>183</v>
      </c>
      <c r="D10" s="35" t="s">
        <v>183</v>
      </c>
      <c r="E10" s="35" t="s">
        <v>183</v>
      </c>
      <c r="F10" s="35" t="s">
        <v>183</v>
      </c>
      <c r="G10" s="35" t="s">
        <v>183</v>
      </c>
      <c r="H10" s="35" t="s">
        <v>183</v>
      </c>
    </row>
    <row r="11" spans="2:8" ht="14" customHeight="1" x14ac:dyDescent="0.3">
      <c r="B11" s="8" t="s">
        <v>185</v>
      </c>
      <c r="C11" s="9"/>
      <c r="D11" s="9"/>
      <c r="E11" s="9"/>
      <c r="F11" s="9"/>
      <c r="G11" s="9"/>
      <c r="H11" s="9"/>
    </row>
    <row r="12" spans="2:8" ht="14" customHeight="1" x14ac:dyDescent="0.3">
      <c r="B12" s="35" t="s">
        <v>183</v>
      </c>
      <c r="C12" s="35" t="s">
        <v>183</v>
      </c>
      <c r="D12" s="35" t="s">
        <v>183</v>
      </c>
      <c r="E12" s="35" t="s">
        <v>183</v>
      </c>
      <c r="F12" s="35" t="s">
        <v>183</v>
      </c>
      <c r="G12" s="35" t="s">
        <v>183</v>
      </c>
      <c r="H12" s="35" t="s">
        <v>183</v>
      </c>
    </row>
    <row r="13" spans="2:8" ht="14" customHeight="1" x14ac:dyDescent="0.3">
      <c r="B13" s="35" t="s">
        <v>183</v>
      </c>
      <c r="C13" s="35" t="s">
        <v>183</v>
      </c>
      <c r="D13" s="35" t="s">
        <v>183</v>
      </c>
      <c r="E13" s="35" t="s">
        <v>183</v>
      </c>
      <c r="F13" s="35" t="s">
        <v>183</v>
      </c>
      <c r="G13" s="35" t="s">
        <v>183</v>
      </c>
      <c r="H13" s="35" t="s">
        <v>183</v>
      </c>
    </row>
    <row r="14" spans="2:8" ht="14" customHeight="1" x14ac:dyDescent="0.3">
      <c r="B14" s="35" t="s">
        <v>183</v>
      </c>
      <c r="C14" s="35" t="s">
        <v>183</v>
      </c>
      <c r="D14" s="35" t="s">
        <v>183</v>
      </c>
      <c r="E14" s="35" t="s">
        <v>183</v>
      </c>
      <c r="F14" s="35" t="s">
        <v>183</v>
      </c>
      <c r="G14" s="35" t="s">
        <v>183</v>
      </c>
      <c r="H14" s="35" t="s">
        <v>183</v>
      </c>
    </row>
    <row r="15" spans="2:8" ht="14" customHeight="1" x14ac:dyDescent="0.3">
      <c r="B15" s="35" t="s">
        <v>183</v>
      </c>
      <c r="C15" s="35" t="s">
        <v>183</v>
      </c>
      <c r="D15" s="35" t="s">
        <v>183</v>
      </c>
      <c r="E15" s="35" t="s">
        <v>183</v>
      </c>
      <c r="F15" s="35" t="s">
        <v>183</v>
      </c>
      <c r="G15" s="35" t="s">
        <v>183</v>
      </c>
      <c r="H15" s="35" t="s">
        <v>183</v>
      </c>
    </row>
    <row r="16" spans="2:8" ht="14" customHeight="1" x14ac:dyDescent="0.3">
      <c r="B16" s="35" t="s">
        <v>183</v>
      </c>
      <c r="C16" s="35" t="s">
        <v>183</v>
      </c>
      <c r="D16" s="35" t="s">
        <v>183</v>
      </c>
      <c r="E16" s="35" t="s">
        <v>183</v>
      </c>
      <c r="F16" s="35" t="s">
        <v>183</v>
      </c>
      <c r="G16" s="35" t="s">
        <v>183</v>
      </c>
      <c r="H16" s="35" t="s">
        <v>183</v>
      </c>
    </row>
    <row r="17" spans="2:8" ht="14" customHeight="1" x14ac:dyDescent="0.3">
      <c r="B17" s="22" t="s">
        <v>186</v>
      </c>
      <c r="C17" s="23"/>
      <c r="D17" s="23"/>
      <c r="E17" s="23"/>
      <c r="F17" s="23"/>
      <c r="G17" s="23"/>
      <c r="H17" s="23"/>
    </row>
    <row r="18" spans="2:8" ht="14" customHeight="1" x14ac:dyDescent="0.3">
      <c r="B18" s="33" t="s">
        <v>187</v>
      </c>
      <c r="C18" s="20">
        <v>0</v>
      </c>
      <c r="D18" s="20">
        <f>D9*D5</f>
        <v>0</v>
      </c>
      <c r="E18" s="20">
        <f>E9*E5</f>
        <v>0</v>
      </c>
      <c r="F18" s="20">
        <f>F9*F5</f>
        <v>0</v>
      </c>
      <c r="G18" s="20">
        <f>G9*G5</f>
        <v>0</v>
      </c>
      <c r="H18" s="20">
        <f>H9*H5</f>
        <v>0</v>
      </c>
    </row>
    <row r="19" spans="2:8" ht="14" customHeight="1" x14ac:dyDescent="0.3">
      <c r="B19" s="33" t="s">
        <v>102</v>
      </c>
      <c r="C19" s="37" t="s">
        <v>48</v>
      </c>
      <c r="D19" s="24">
        <f>D18-C18</f>
        <v>0</v>
      </c>
      <c r="E19" s="24">
        <f>E18-D18</f>
        <v>0</v>
      </c>
      <c r="F19" s="24">
        <f>F18-E18</f>
        <v>0</v>
      </c>
      <c r="G19" s="24">
        <f>G18-F18</f>
        <v>0</v>
      </c>
      <c r="H19" s="24">
        <f>H18-G18</f>
        <v>0</v>
      </c>
    </row>
    <row r="22" spans="2:8" ht="14" customHeight="1" x14ac:dyDescent="0.3">
      <c r="B22" s="22" t="s">
        <v>188</v>
      </c>
      <c r="C22" s="23"/>
      <c r="D22" s="23"/>
      <c r="E22" s="23"/>
      <c r="F22" s="23"/>
      <c r="G22" s="23"/>
      <c r="H22" s="23"/>
    </row>
    <row r="23" spans="2:8" ht="14" customHeight="1" x14ac:dyDescent="0.3">
      <c r="D23" s="25" t="s">
        <v>88</v>
      </c>
      <c r="E23" s="25" t="s">
        <v>89</v>
      </c>
      <c r="F23" s="25" t="s">
        <v>90</v>
      </c>
      <c r="G23" s="25" t="s">
        <v>91</v>
      </c>
      <c r="H23" s="25" t="s">
        <v>92</v>
      </c>
    </row>
    <row r="24" spans="2:8" ht="14" customHeight="1" x14ac:dyDescent="0.3">
      <c r="B24" s="3" t="s">
        <v>182</v>
      </c>
    </row>
    <row r="25" spans="2:8" ht="14" customHeight="1" x14ac:dyDescent="0.3">
      <c r="B25" s="4" t="s">
        <v>86</v>
      </c>
      <c r="D25" s="26">
        <v>0</v>
      </c>
      <c r="E25" s="26">
        <v>0</v>
      </c>
      <c r="F25" s="26">
        <v>0</v>
      </c>
      <c r="G25" s="26">
        <v>0</v>
      </c>
      <c r="H25" s="26">
        <v>0</v>
      </c>
    </row>
    <row r="26" spans="2:8" ht="14" customHeight="1" x14ac:dyDescent="0.3">
      <c r="B26" s="4" t="s">
        <v>123</v>
      </c>
      <c r="D26" s="26">
        <v>0</v>
      </c>
      <c r="E26" s="26">
        <v>0</v>
      </c>
      <c r="F26" s="26">
        <v>0</v>
      </c>
      <c r="G26" s="26">
        <v>0</v>
      </c>
      <c r="H26" s="26">
        <v>0</v>
      </c>
    </row>
    <row r="27" spans="2:8" ht="14" customHeight="1" x14ac:dyDescent="0.3">
      <c r="B27" s="4" t="s">
        <v>124</v>
      </c>
      <c r="D27" s="26">
        <v>0</v>
      </c>
      <c r="E27" s="26">
        <v>0</v>
      </c>
      <c r="F27" s="26">
        <v>0</v>
      </c>
      <c r="G27" s="26">
        <v>0</v>
      </c>
      <c r="H27" s="26">
        <v>0</v>
      </c>
    </row>
    <row r="28" spans="2:8" ht="14" customHeight="1" x14ac:dyDescent="0.3">
      <c r="B28" s="4" t="s">
        <v>125</v>
      </c>
      <c r="D28" s="26">
        <v>0</v>
      </c>
      <c r="E28" s="26">
        <v>0</v>
      </c>
      <c r="F28" s="26">
        <v>0</v>
      </c>
      <c r="G28" s="26">
        <v>0</v>
      </c>
      <c r="H28" s="26">
        <v>0</v>
      </c>
    </row>
    <row r="29" spans="2:8" ht="14" customHeight="1" x14ac:dyDescent="0.3">
      <c r="B29" s="4" t="s">
        <v>126</v>
      </c>
      <c r="D29" s="26">
        <v>0</v>
      </c>
      <c r="E29" s="26">
        <v>0</v>
      </c>
      <c r="F29" s="26">
        <v>0</v>
      </c>
      <c r="G29" s="26">
        <v>0</v>
      </c>
      <c r="H29" s="26">
        <v>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8">
        <f>'Executive Summary'!C9*C23/1000000</f>
        <v>397119.27104000002</v>
      </c>
      <c r="E5" s="38">
        <f>D5+C24</f>
        <v>397119.27104000002</v>
      </c>
      <c r="F5" s="38">
        <v>220025</v>
      </c>
      <c r="G5" s="38">
        <v>60751</v>
      </c>
      <c r="H5" s="38">
        <v>30165</v>
      </c>
      <c r="I5" s="38">
        <v>13476</v>
      </c>
      <c r="J5" s="39" t="s">
        <v>207</v>
      </c>
      <c r="K5" s="39" t="s">
        <v>207</v>
      </c>
      <c r="L5" s="39">
        <f>IFERROR(D5/I5,"")</f>
        <v>29.468630976550905</v>
      </c>
      <c r="M5" s="39">
        <f>IFERROR(D5/P5,"")</f>
        <v>1.4158004037206187</v>
      </c>
      <c r="N5" s="40">
        <f>IFERROR(H5/F5,"")</f>
        <v>0.13709805703897285</v>
      </c>
      <c r="O5" s="40">
        <f>IFERROR(I5/P5,"")</f>
        <v>4.8044322277720139E-2</v>
      </c>
      <c r="P5" s="38">
        <v>280491</v>
      </c>
    </row>
    <row r="6" spans="2:17" ht="14" customHeight="1" x14ac:dyDescent="0.3">
      <c r="B6" s="4" t="s">
        <v>208</v>
      </c>
      <c r="C6" t="s">
        <v>209</v>
      </c>
      <c r="D6" s="38">
        <v>950497</v>
      </c>
      <c r="E6" s="38">
        <v>950497</v>
      </c>
      <c r="F6" s="38">
        <v>255579</v>
      </c>
      <c r="G6" s="41"/>
      <c r="H6" s="38">
        <v>103091</v>
      </c>
      <c r="I6" s="38">
        <v>73072</v>
      </c>
      <c r="J6" s="42"/>
      <c r="K6" s="39"/>
      <c r="L6" s="39">
        <f>IFERROR(D6/I6,"")</f>
        <v>13.007677359316839</v>
      </c>
      <c r="M6" s="39">
        <f>IFERROR(D6/P6,"")</f>
        <v>2.4483652184216558</v>
      </c>
      <c r="N6" s="40">
        <f>IFERROR(H6/F6,"")</f>
        <v>0.40336256108678725</v>
      </c>
      <c r="O6" s="40">
        <f>IFERROR(I6/P6,"")</f>
        <v>0.18822462694833045</v>
      </c>
      <c r="P6" s="38">
        <v>388217</v>
      </c>
      <c r="Q6" s="1" t="s">
        <v>210</v>
      </c>
    </row>
    <row r="7" spans="2:17" ht="14" customHeight="1" x14ac:dyDescent="0.3">
      <c r="B7" s="4" t="s">
        <v>211</v>
      </c>
      <c r="C7" t="s">
        <v>212</v>
      </c>
      <c r="D7" s="38">
        <v>11500000</v>
      </c>
      <c r="E7" s="38">
        <v>11500000</v>
      </c>
      <c r="F7" s="38">
        <v>2852200</v>
      </c>
      <c r="G7" s="41"/>
      <c r="H7" s="38">
        <v>759100</v>
      </c>
      <c r="I7" s="38">
        <v>525500</v>
      </c>
      <c r="J7" s="42"/>
      <c r="K7" s="39"/>
      <c r="L7" s="39">
        <f>IFERROR(D7/I7,"")</f>
        <v>21.883920076117985</v>
      </c>
      <c r="M7" s="39">
        <f>IFERROR(D7/P7,"")</f>
        <v>1.2419006479481642</v>
      </c>
      <c r="N7" s="40">
        <f>IFERROR(H7/F7,"")</f>
        <v>0.26614543159666221</v>
      </c>
      <c r="O7" s="40">
        <f>IFERROR(I7/P7,"")</f>
        <v>5.6749460043196545E-2</v>
      </c>
      <c r="P7" s="38">
        <v>9260000</v>
      </c>
      <c r="Q7" s="1" t="s">
        <v>210</v>
      </c>
    </row>
    <row r="8" spans="2:17" ht="14" customHeight="1" x14ac:dyDescent="0.3">
      <c r="B8" s="4" t="s">
        <v>213</v>
      </c>
      <c r="C8" t="s">
        <v>214</v>
      </c>
      <c r="D8" s="38">
        <v>340000</v>
      </c>
      <c r="E8" s="38">
        <v>340000</v>
      </c>
      <c r="F8" s="38">
        <v>569370</v>
      </c>
      <c r="G8" s="41"/>
      <c r="H8" s="38">
        <v>60693</v>
      </c>
      <c r="I8" s="38">
        <v>21092</v>
      </c>
      <c r="J8" s="42"/>
      <c r="K8" s="39"/>
      <c r="L8" s="39">
        <f>IFERROR(D8/I8,"")</f>
        <v>16.119855869523992</v>
      </c>
      <c r="M8" s="39">
        <f>IFERROR(D8/P8,"")</f>
        <v>0.73289129928693986</v>
      </c>
      <c r="N8" s="40">
        <f>IFERROR(H8/F8,"")</f>
        <v>0.10659676484535539</v>
      </c>
      <c r="O8" s="40">
        <f>IFERROR(I8/P8,"")</f>
        <v>4.5465127307529808E-2</v>
      </c>
      <c r="P8" s="38">
        <v>463916</v>
      </c>
      <c r="Q8" s="1" t="s">
        <v>210</v>
      </c>
    </row>
    <row r="14" spans="2:17" ht="14" customHeight="1" x14ac:dyDescent="0.3">
      <c r="B14" s="3" t="s">
        <v>215</v>
      </c>
    </row>
    <row r="15" spans="2:17" ht="14" customHeight="1" x14ac:dyDescent="0.3">
      <c r="B15" s="4" t="s">
        <v>216</v>
      </c>
      <c r="D15" s="42" t="s">
        <v>207</v>
      </c>
      <c r="E15" s="39" t="s">
        <v>207</v>
      </c>
      <c r="F15" s="39">
        <f>PERCENTILE(L6:L8,0.25)</f>
        <v>14.563766614420416</v>
      </c>
      <c r="G15" s="39">
        <f>PERCENTILE(M6:M8,0.25)</f>
        <v>0.98739597361755205</v>
      </c>
      <c r="H15" s="40">
        <f>PERCENTILE(N6:N8,0.25)</f>
        <v>0.18637109822100878</v>
      </c>
      <c r="I15" s="40">
        <f>PERCENTILE(O6:O8,0.25)</f>
        <v>5.110729367536318E-2</v>
      </c>
    </row>
    <row r="16" spans="2:17" ht="14" customHeight="1" x14ac:dyDescent="0.3">
      <c r="B16" s="4" t="s">
        <v>217</v>
      </c>
      <c r="D16" s="42" t="s">
        <v>207</v>
      </c>
      <c r="E16" s="39" t="s">
        <v>207</v>
      </c>
      <c r="F16" s="39">
        <f>MEDIAN(L6:L8)</f>
        <v>16.119855869523992</v>
      </c>
      <c r="G16" s="39">
        <f>MEDIAN(M6:M8)</f>
        <v>1.2419006479481642</v>
      </c>
      <c r="H16" s="40">
        <f>MEDIAN(N6:N8)</f>
        <v>0.26614543159666221</v>
      </c>
      <c r="I16" s="40">
        <f>MEDIAN(O6:O8)</f>
        <v>5.6749460043196545E-2</v>
      </c>
    </row>
    <row r="17" spans="2:9" ht="14" customHeight="1" x14ac:dyDescent="0.3">
      <c r="B17" s="4" t="s">
        <v>218</v>
      </c>
      <c r="D17" s="42" t="s">
        <v>207</v>
      </c>
      <c r="E17" s="39" t="s">
        <v>207</v>
      </c>
      <c r="F17" s="39">
        <f>PERCENTILE(L6:L8,0.75)</f>
        <v>19.001887972820988</v>
      </c>
      <c r="G17" s="39">
        <f>PERCENTILE(M6:M8,0.75)</f>
        <v>1.84513293318491</v>
      </c>
      <c r="H17" s="40">
        <f>PERCENTILE(N6:N8,0.75)</f>
        <v>0.33475399634172476</v>
      </c>
      <c r="I17" s="40">
        <f>PERCENTILE(O6:O8,0.75)</f>
        <v>0.12248704349576349</v>
      </c>
    </row>
    <row r="19" spans="2:9" ht="14" customHeight="1" x14ac:dyDescent="0.3">
      <c r="B19" s="22" t="s">
        <v>219</v>
      </c>
      <c r="C19" s="23"/>
      <c r="D19" s="23"/>
      <c r="E19" s="23"/>
      <c r="F19" s="23"/>
      <c r="G19" s="23"/>
      <c r="H19" s="23"/>
      <c r="I19" s="23"/>
    </row>
    <row r="20" spans="2:9" ht="14" customHeight="1" x14ac:dyDescent="0.3">
      <c r="B20" s="3" t="s">
        <v>220</v>
      </c>
    </row>
    <row r="21" spans="2:9" ht="14" customHeight="1" x14ac:dyDescent="0.3">
      <c r="B21" s="4" t="s">
        <v>221</v>
      </c>
      <c r="C21" s="5">
        <v>60751</v>
      </c>
    </row>
    <row r="22" spans="2:9" ht="14" customHeight="1" x14ac:dyDescent="0.3">
      <c r="B22" s="4" t="s">
        <v>222</v>
      </c>
      <c r="C22" s="5">
        <v>13476</v>
      </c>
    </row>
    <row r="23" spans="2:9" ht="14" customHeight="1" x14ac:dyDescent="0.3">
      <c r="B23" s="4" t="s">
        <v>223</v>
      </c>
      <c r="C23" s="15">
        <v>1167997856</v>
      </c>
    </row>
    <row r="24" spans="2:9" ht="14" customHeight="1" x14ac:dyDescent="0.3">
      <c r="B24" s="4" t="s">
        <v>75</v>
      </c>
      <c r="C24" s="5">
        <v>0</v>
      </c>
    </row>
    <row r="26" spans="2:9" ht="14" customHeight="1" x14ac:dyDescent="0.3">
      <c r="B26" s="3" t="s">
        <v>224</v>
      </c>
    </row>
    <row r="27" spans="2:9" ht="14" customHeight="1" x14ac:dyDescent="0.3">
      <c r="B27" s="4" t="s">
        <v>225</v>
      </c>
      <c r="C27" s="43" t="s">
        <v>226</v>
      </c>
      <c r="D27" s="1" t="s">
        <v>227</v>
      </c>
    </row>
    <row r="28" spans="2:9" ht="14" customHeight="1" x14ac:dyDescent="0.3">
      <c r="B28" s="4" t="s">
        <v>228</v>
      </c>
      <c r="C28" s="24">
        <f>ROUND(C22*F16*1000000/C23,0)</f>
        <v>186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8.0415999999999987E-2</v>
      </c>
      <c r="E3" s="4" t="s">
        <v>231</v>
      </c>
      <c r="F3" s="16">
        <f>'DCF Model'!C13</f>
        <v>0.01</v>
      </c>
      <c r="H3" s="4" t="s">
        <v>232</v>
      </c>
      <c r="I3" s="14">
        <f>'DCF Model'!C14</f>
        <v>7</v>
      </c>
    </row>
    <row r="5" spans="2:9" ht="14" customHeight="1" x14ac:dyDescent="0.3">
      <c r="B5" s="3" t="s">
        <v>233</v>
      </c>
    </row>
    <row r="6" spans="2:9" ht="14" customHeight="1" x14ac:dyDescent="0.3">
      <c r="B6" s="44" t="s">
        <v>234</v>
      </c>
      <c r="C6" s="45">
        <f>$F$3-0.0075</f>
        <v>2.5000000000000005E-3</v>
      </c>
      <c r="D6" s="45">
        <f>$F$3-0.005</f>
        <v>5.0000000000000001E-3</v>
      </c>
      <c r="E6" s="45">
        <f>$F$3-0.0025</f>
        <v>7.4999999999999997E-3</v>
      </c>
      <c r="F6" s="45">
        <f>$F$3</f>
        <v>0.01</v>
      </c>
      <c r="G6" s="45">
        <f>$F$3+0.0025</f>
        <v>1.2500000000000001E-2</v>
      </c>
      <c r="H6" s="45">
        <f>$F$3+0.005</f>
        <v>1.4999999999999999E-2</v>
      </c>
      <c r="I6" s="45">
        <f>$F$3+0.0075</f>
        <v>1.7500000000000002E-2</v>
      </c>
    </row>
    <row r="7" spans="2:9" ht="13.5" customHeight="1" x14ac:dyDescent="0.25">
      <c r="B7" s="40">
        <f>$C$3-0.015</f>
        <v>6.5415999999999988E-2</v>
      </c>
      <c r="C7" s="38">
        <f>IFERROR(ROUND(('DCF Model'!C45/(1+$B7)^('DCF Model'!C19+0)+'DCF Model'!D45/(1+$B7)^('DCF Model'!C19+1)+'DCF Model'!E45/(1+$B7)^('DCF Model'!C19+2)+'DCF Model'!F45/(1+$B7)^('DCF Model'!C19+3)+'DCF Model'!G45/(1+$B7)^('DCF Model'!C19+4)+'DCF Model'!G45*(1+C$6)/($B7-C$6)/(1+$B7)^('DCF Model'!C19+4)-'DCF Model'!C16)*1000000/'DCF Model'!C15,0),"")</f>
        <v>377</v>
      </c>
      <c r="D7" s="38">
        <f>IFERROR(ROUND(('DCF Model'!C45/(1+$B7)^('DCF Model'!C19+0)+'DCF Model'!D45/(1+$B7)^('DCF Model'!C19+1)+'DCF Model'!E45/(1+$B7)^('DCF Model'!C19+2)+'DCF Model'!F45/(1+$B7)^('DCF Model'!C19+3)+'DCF Model'!G45/(1+$B7)^('DCF Model'!C19+4)+'DCF Model'!G45*(1+D$6)/($B7-D$6)/(1+$B7)^('DCF Model'!C19+4)-'DCF Model'!C16)*1000000/'DCF Model'!C15,0),"")</f>
        <v>390</v>
      </c>
      <c r="E7" s="38">
        <f>IFERROR(ROUND(('DCF Model'!C45/(1+$B7)^('DCF Model'!C19+0)+'DCF Model'!D45/(1+$B7)^('DCF Model'!C19+1)+'DCF Model'!E45/(1+$B7)^('DCF Model'!C19+2)+'DCF Model'!F45/(1+$B7)^('DCF Model'!C19+3)+'DCF Model'!G45/(1+$B7)^('DCF Model'!C19+4)+'DCF Model'!G45*(1+E$6)/($B7-E$6)/(1+$B7)^('DCF Model'!C19+4)-'DCF Model'!C16)*1000000/'DCF Model'!C15,0),"")</f>
        <v>404</v>
      </c>
      <c r="F7" s="38">
        <f>IFERROR(ROUND(('DCF Model'!C45/(1+$B7)^('DCF Model'!C19+0)+'DCF Model'!D45/(1+$B7)^('DCF Model'!C19+1)+'DCF Model'!E45/(1+$B7)^('DCF Model'!C19+2)+'DCF Model'!F45/(1+$B7)^('DCF Model'!C19+3)+'DCF Model'!G45/(1+$B7)^('DCF Model'!C19+4)+'DCF Model'!G45*(1+F$6)/($B7-F$6)/(1+$B7)^('DCF Model'!C19+4)-'DCF Model'!C16)*1000000/'DCF Model'!C15,0),"")</f>
        <v>419</v>
      </c>
      <c r="G7" s="38">
        <f>IFERROR(ROUND(('DCF Model'!C45/(1+$B7)^('DCF Model'!C19+0)+'DCF Model'!D45/(1+$B7)^('DCF Model'!C19+1)+'DCF Model'!E45/(1+$B7)^('DCF Model'!C19+2)+'DCF Model'!F45/(1+$B7)^('DCF Model'!C19+3)+'DCF Model'!G45/(1+$B7)^('DCF Model'!C19+4)+'DCF Model'!G45*(1+G$6)/($B7-G$6)/(1+$B7)^('DCF Model'!C19+4)-'DCF Model'!C16)*1000000/'DCF Model'!C15,0),"")</f>
        <v>436</v>
      </c>
      <c r="H7" s="38">
        <f>IFERROR(ROUND(('DCF Model'!C45/(1+$B7)^('DCF Model'!C19+0)+'DCF Model'!D45/(1+$B7)^('DCF Model'!C19+1)+'DCF Model'!E45/(1+$B7)^('DCF Model'!C19+2)+'DCF Model'!F45/(1+$B7)^('DCF Model'!C19+3)+'DCF Model'!G45/(1+$B7)^('DCF Model'!C19+4)+'DCF Model'!G45*(1+H$6)/($B7-H$6)/(1+$B7)^('DCF Model'!C19+4)-'DCF Model'!C16)*1000000/'DCF Model'!C15,0),"")</f>
        <v>454</v>
      </c>
      <c r="I7" s="38">
        <f>IFERROR(ROUND(('DCF Model'!C45/(1+$B7)^('DCF Model'!C19+0)+'DCF Model'!D45/(1+$B7)^('DCF Model'!C19+1)+'DCF Model'!E45/(1+$B7)^('DCF Model'!C19+2)+'DCF Model'!F45/(1+$B7)^('DCF Model'!C19+3)+'DCF Model'!G45/(1+$B7)^('DCF Model'!C19+4)+'DCF Model'!G45*(1+I$6)/($B7-I$6)/(1+$B7)^('DCF Model'!C19+4)-'DCF Model'!C16)*1000000/'DCF Model'!C15,0),"")</f>
        <v>475</v>
      </c>
    </row>
    <row r="8" spans="2:9" ht="13.5" customHeight="1" x14ac:dyDescent="0.25">
      <c r="B8" s="40">
        <f>$C$3-0.01</f>
        <v>7.0415999999999992E-2</v>
      </c>
      <c r="C8" s="38">
        <f>IFERROR(ROUND(('DCF Model'!C45/(1+$B8)^('DCF Model'!C19+0)+'DCF Model'!D45/(1+$B8)^('DCF Model'!C19+1)+'DCF Model'!E45/(1+$B8)^('DCF Model'!C19+2)+'DCF Model'!F45/(1+$B8)^('DCF Model'!C19+3)+'DCF Model'!G45/(1+$B8)^('DCF Model'!C19+4)+'DCF Model'!G45*(1+C$6)/($B8-C$6)/(1+$B8)^('DCF Model'!C19+4)-'DCF Model'!C16)*1000000/'DCF Model'!C15,0),"")</f>
        <v>348</v>
      </c>
      <c r="D8" s="38">
        <f>IFERROR(ROUND(('DCF Model'!C45/(1+$B8)^('DCF Model'!C19+0)+'DCF Model'!D45/(1+$B8)^('DCF Model'!C19+1)+'DCF Model'!E45/(1+$B8)^('DCF Model'!C19+2)+'DCF Model'!F45/(1+$B8)^('DCF Model'!C19+3)+'DCF Model'!G45/(1+$B8)^('DCF Model'!C19+4)+'DCF Model'!G45*(1+D$6)/($B8-D$6)/(1+$B8)^('DCF Model'!C19+4)-'DCF Model'!C16)*1000000/'DCF Model'!C15,0),"")</f>
        <v>359</v>
      </c>
      <c r="E8" s="38">
        <f>IFERROR(ROUND(('DCF Model'!C45/(1+$B8)^('DCF Model'!C19+0)+'DCF Model'!D45/(1+$B8)^('DCF Model'!C19+1)+'DCF Model'!E45/(1+$B8)^('DCF Model'!C19+2)+'DCF Model'!F45/(1+$B8)^('DCF Model'!C19+3)+'DCF Model'!G45/(1+$B8)^('DCF Model'!C19+4)+'DCF Model'!G45*(1+E$6)/($B8-E$6)/(1+$B8)^('DCF Model'!C19+4)-'DCF Model'!C16)*1000000/'DCF Model'!C15,0),"")</f>
        <v>371</v>
      </c>
      <c r="F8" s="38">
        <f>IFERROR(ROUND(('DCF Model'!C45/(1+$B8)^('DCF Model'!C19+0)+'DCF Model'!D45/(1+$B8)^('DCF Model'!C19+1)+'DCF Model'!E45/(1+$B8)^('DCF Model'!C19+2)+'DCF Model'!F45/(1+$B8)^('DCF Model'!C19+3)+'DCF Model'!G45/(1+$B8)^('DCF Model'!C19+4)+'DCF Model'!G45*(1+F$6)/($B8-F$6)/(1+$B8)^('DCF Model'!C19+4)-'DCF Model'!C16)*1000000/'DCF Model'!C15,0),"")</f>
        <v>383</v>
      </c>
      <c r="G8" s="38">
        <f>IFERROR(ROUND(('DCF Model'!C45/(1+$B8)^('DCF Model'!C19+0)+'DCF Model'!D45/(1+$B8)^('DCF Model'!C19+1)+'DCF Model'!E45/(1+$B8)^('DCF Model'!C19+2)+'DCF Model'!F45/(1+$B8)^('DCF Model'!C19+3)+'DCF Model'!G45/(1+$B8)^('DCF Model'!C19+4)+'DCF Model'!G45*(1+G$6)/($B8-G$6)/(1+$B8)^('DCF Model'!C19+4)-'DCF Model'!C16)*1000000/'DCF Model'!C15,0),"")</f>
        <v>397</v>
      </c>
      <c r="H8" s="38">
        <f>IFERROR(ROUND(('DCF Model'!C45/(1+$B8)^('DCF Model'!C19+0)+'DCF Model'!D45/(1+$B8)^('DCF Model'!C19+1)+'DCF Model'!E45/(1+$B8)^('DCF Model'!C19+2)+'DCF Model'!F45/(1+$B8)^('DCF Model'!C19+3)+'DCF Model'!G45/(1+$B8)^('DCF Model'!C19+4)+'DCF Model'!G45*(1+H$6)/($B8-H$6)/(1+$B8)^('DCF Model'!C19+4)-'DCF Model'!C16)*1000000/'DCF Model'!C15,0),"")</f>
        <v>412</v>
      </c>
      <c r="I8" s="38">
        <f>IFERROR(ROUND(('DCF Model'!C45/(1+$B8)^('DCF Model'!C19+0)+'DCF Model'!D45/(1+$B8)^('DCF Model'!C19+1)+'DCF Model'!E45/(1+$B8)^('DCF Model'!C19+2)+'DCF Model'!F45/(1+$B8)^('DCF Model'!C19+3)+'DCF Model'!G45/(1+$B8)^('DCF Model'!C19+4)+'DCF Model'!G45*(1+I$6)/($B8-I$6)/(1+$B8)^('DCF Model'!C19+4)-'DCF Model'!C16)*1000000/'DCF Model'!C15,0),"")</f>
        <v>428</v>
      </c>
    </row>
    <row r="9" spans="2:9" ht="13.5" customHeight="1" x14ac:dyDescent="0.25">
      <c r="B9" s="40">
        <f>$C$3-0.005</f>
        <v>7.5415999999999983E-2</v>
      </c>
      <c r="C9" s="38">
        <f>IFERROR(ROUND(('DCF Model'!C45/(1+$B9)^('DCF Model'!C19+0)+'DCF Model'!D45/(1+$B9)^('DCF Model'!C19+1)+'DCF Model'!E45/(1+$B9)^('DCF Model'!C19+2)+'DCF Model'!F45/(1+$B9)^('DCF Model'!C19+3)+'DCF Model'!G45/(1+$B9)^('DCF Model'!C19+4)+'DCF Model'!G45*(1+C$6)/($B9-C$6)/(1+$B9)^('DCF Model'!C19+4)-'DCF Model'!C16)*1000000/'DCF Model'!C15,0),"")</f>
        <v>323</v>
      </c>
      <c r="D9" s="38">
        <f>IFERROR(ROUND(('DCF Model'!C45/(1+$B9)^('DCF Model'!C19+0)+'DCF Model'!D45/(1+$B9)^('DCF Model'!C19+1)+'DCF Model'!E45/(1+$B9)^('DCF Model'!C19+2)+'DCF Model'!F45/(1+$B9)^('DCF Model'!C19+3)+'DCF Model'!G45/(1+$B9)^('DCF Model'!C19+4)+'DCF Model'!G45*(1+D$6)/($B9-D$6)/(1+$B9)^('DCF Model'!C19+4)-'DCF Model'!C16)*1000000/'DCF Model'!C15,0),"")</f>
        <v>332</v>
      </c>
      <c r="E9" s="38">
        <f>IFERROR(ROUND(('DCF Model'!C45/(1+$B9)^('DCF Model'!C19+0)+'DCF Model'!D45/(1+$B9)^('DCF Model'!C19+1)+'DCF Model'!E45/(1+$B9)^('DCF Model'!C19+2)+'DCF Model'!F45/(1+$B9)^('DCF Model'!C19+3)+'DCF Model'!G45/(1+$B9)^('DCF Model'!C19+4)+'DCF Model'!G45*(1+E$6)/($B9-E$6)/(1+$B9)^('DCF Model'!C19+4)-'DCF Model'!C16)*1000000/'DCF Model'!C15,0),"")</f>
        <v>342</v>
      </c>
      <c r="F9" s="38">
        <f>IFERROR(ROUND(('DCF Model'!C45/(1+$B9)^('DCF Model'!C19+0)+'DCF Model'!D45/(1+$B9)^('DCF Model'!C19+1)+'DCF Model'!E45/(1+$B9)^('DCF Model'!C19+2)+'DCF Model'!F45/(1+$B9)^('DCF Model'!C19+3)+'DCF Model'!G45/(1+$B9)^('DCF Model'!C19+4)+'DCF Model'!G45*(1+F$6)/($B9-F$6)/(1+$B9)^('DCF Model'!C19+4)-'DCF Model'!C16)*1000000/'DCF Model'!C15,0),"")</f>
        <v>353</v>
      </c>
      <c r="G9" s="38">
        <f>IFERROR(ROUND(('DCF Model'!C45/(1+$B9)^('DCF Model'!C19+0)+'DCF Model'!D45/(1+$B9)^('DCF Model'!C19+1)+'DCF Model'!E45/(1+$B9)^('DCF Model'!C19+2)+'DCF Model'!F45/(1+$B9)^('DCF Model'!C19+3)+'DCF Model'!G45/(1+$B9)^('DCF Model'!C19+4)+'DCF Model'!G45*(1+G$6)/($B9-G$6)/(1+$B9)^('DCF Model'!C19+4)-'DCF Model'!C16)*1000000/'DCF Model'!C15,0),"")</f>
        <v>364</v>
      </c>
      <c r="H9" s="38">
        <f>IFERROR(ROUND(('DCF Model'!C45/(1+$B9)^('DCF Model'!C19+0)+'DCF Model'!D45/(1+$B9)^('DCF Model'!C19+1)+'DCF Model'!E45/(1+$B9)^('DCF Model'!C19+2)+'DCF Model'!F45/(1+$B9)^('DCF Model'!C19+3)+'DCF Model'!G45/(1+$B9)^('DCF Model'!C19+4)+'DCF Model'!G45*(1+H$6)/($B9-H$6)/(1+$B9)^('DCF Model'!C19+4)-'DCF Model'!C16)*1000000/'DCF Model'!C15,0),"")</f>
        <v>377</v>
      </c>
      <c r="I9" s="38">
        <f>IFERROR(ROUND(('DCF Model'!C45/(1+$B9)^('DCF Model'!C19+0)+'DCF Model'!D45/(1+$B9)^('DCF Model'!C19+1)+'DCF Model'!E45/(1+$B9)^('DCF Model'!C19+2)+'DCF Model'!F45/(1+$B9)^('DCF Model'!C19+3)+'DCF Model'!G45/(1+$B9)^('DCF Model'!C19+4)+'DCF Model'!G45*(1+I$6)/($B9-I$6)/(1+$B9)^('DCF Model'!C19+4)-'DCF Model'!C16)*1000000/'DCF Model'!C15,0),"")</f>
        <v>390</v>
      </c>
    </row>
    <row r="10" spans="2:9" ht="13.5" customHeight="1" x14ac:dyDescent="0.25">
      <c r="B10" s="40">
        <f>$C$3</f>
        <v>8.0415999999999987E-2</v>
      </c>
      <c r="C10" s="38">
        <f>IFERROR(ROUND(('DCF Model'!C45/(1+$B10)^('DCF Model'!C19+0)+'DCF Model'!D45/(1+$B10)^('DCF Model'!C19+1)+'DCF Model'!E45/(1+$B10)^('DCF Model'!C19+2)+'DCF Model'!F45/(1+$B10)^('DCF Model'!C19+3)+'DCF Model'!G45/(1+$B10)^('DCF Model'!C19+4)+'DCF Model'!G45*(1+C$6)/($B10-C$6)/(1+$B10)^('DCF Model'!C19+4)-'DCF Model'!C16)*1000000/'DCF Model'!C15,0),"")</f>
        <v>301</v>
      </c>
      <c r="D10" s="38">
        <f>IFERROR(ROUND(('DCF Model'!C45/(1+$B10)^('DCF Model'!C19+0)+'DCF Model'!D45/(1+$B10)^('DCF Model'!C19+1)+'DCF Model'!E45/(1+$B10)^('DCF Model'!C19+2)+'DCF Model'!F45/(1+$B10)^('DCF Model'!C19+3)+'DCF Model'!G45/(1+$B10)^('DCF Model'!C19+4)+'DCF Model'!G45*(1+D$6)/($B10-D$6)/(1+$B10)^('DCF Model'!C19+4)-'DCF Model'!C16)*1000000/'DCF Model'!C15,0),"")</f>
        <v>309</v>
      </c>
      <c r="E10" s="38">
        <f>IFERROR(ROUND(('DCF Model'!C45/(1+$B10)^('DCF Model'!C19+0)+'DCF Model'!D45/(1+$B10)^('DCF Model'!C19+1)+'DCF Model'!E45/(1+$B10)^('DCF Model'!C19+2)+'DCF Model'!F45/(1+$B10)^('DCF Model'!C19+3)+'DCF Model'!G45/(1+$B10)^('DCF Model'!C19+4)+'DCF Model'!G45*(1+E$6)/($B10-E$6)/(1+$B10)^('DCF Model'!C19+4)-'DCF Model'!C16)*1000000/'DCF Model'!C15,0),"")</f>
        <v>318</v>
      </c>
      <c r="F10" s="38">
        <f>IFERROR(ROUND(('DCF Model'!C45/(1+$B10)^('DCF Model'!C19+0)+'DCF Model'!D45/(1+$B10)^('DCF Model'!C19+1)+'DCF Model'!E45/(1+$B10)^('DCF Model'!C19+2)+'DCF Model'!F45/(1+$B10)^('DCF Model'!C19+3)+'DCF Model'!G45/(1+$B10)^('DCF Model'!C19+4)+'DCF Model'!G45*(1+F$6)/($B10-F$6)/(1+$B10)^('DCF Model'!C19+4)-'DCF Model'!C16)*1000000/'DCF Model'!C15,0),"")</f>
        <v>327</v>
      </c>
      <c r="G10" s="38">
        <f>IFERROR(ROUND(('DCF Model'!C45/(1+$B10)^('DCF Model'!C19+0)+'DCF Model'!D45/(1+$B10)^('DCF Model'!C19+1)+'DCF Model'!E45/(1+$B10)^('DCF Model'!C19+2)+'DCF Model'!F45/(1+$B10)^('DCF Model'!C19+3)+'DCF Model'!G45/(1+$B10)^('DCF Model'!C19+4)+'DCF Model'!G45*(1+G$6)/($B10-G$6)/(1+$B10)^('DCF Model'!C19+4)-'DCF Model'!C16)*1000000/'DCF Model'!C15,0),"")</f>
        <v>336</v>
      </c>
      <c r="H10" s="38">
        <f>IFERROR(ROUND(('DCF Model'!C45/(1+$B10)^('DCF Model'!C19+0)+'DCF Model'!D45/(1+$B10)^('DCF Model'!C19+1)+'DCF Model'!E45/(1+$B10)^('DCF Model'!C19+2)+'DCF Model'!F45/(1+$B10)^('DCF Model'!C19+3)+'DCF Model'!G45/(1+$B10)^('DCF Model'!C19+4)+'DCF Model'!G45*(1+H$6)/($B10-H$6)/(1+$B10)^('DCF Model'!C19+4)-'DCF Model'!C16)*1000000/'DCF Model'!C15,0),"")</f>
        <v>347</v>
      </c>
      <c r="I10" s="38">
        <f>IFERROR(ROUND(('DCF Model'!C45/(1+$B10)^('DCF Model'!C19+0)+'DCF Model'!D45/(1+$B10)^('DCF Model'!C19+1)+'DCF Model'!E45/(1+$B10)^('DCF Model'!C19+2)+'DCF Model'!F45/(1+$B10)^('DCF Model'!C19+3)+'DCF Model'!G45/(1+$B10)^('DCF Model'!C19+4)+'DCF Model'!G45*(1+I$6)/($B10-I$6)/(1+$B10)^('DCF Model'!C19+4)-'DCF Model'!C16)*1000000/'DCF Model'!C15,0),"")</f>
        <v>358</v>
      </c>
    </row>
    <row r="11" spans="2:9" ht="13.5" customHeight="1" x14ac:dyDescent="0.25">
      <c r="B11" s="40">
        <f>$C$3+0.005</f>
        <v>8.5415999999999992E-2</v>
      </c>
      <c r="C11" s="38">
        <f>IFERROR(ROUND(('DCF Model'!C45/(1+$B11)^('DCF Model'!C19+0)+'DCF Model'!D45/(1+$B11)^('DCF Model'!C19+1)+'DCF Model'!E45/(1+$B11)^('DCF Model'!C19+2)+'DCF Model'!F45/(1+$B11)^('DCF Model'!C19+3)+'DCF Model'!G45/(1+$B11)^('DCF Model'!C19+4)+'DCF Model'!G45*(1+C$6)/($B11-C$6)/(1+$B11)^('DCF Model'!C19+4)-'DCF Model'!C16)*1000000/'DCF Model'!C15,0),"")</f>
        <v>282</v>
      </c>
      <c r="D11" s="38">
        <f>IFERROR(ROUND(('DCF Model'!C45/(1+$B11)^('DCF Model'!C19+0)+'DCF Model'!D45/(1+$B11)^('DCF Model'!C19+1)+'DCF Model'!E45/(1+$B11)^('DCF Model'!C19+2)+'DCF Model'!F45/(1+$B11)^('DCF Model'!C19+3)+'DCF Model'!G45/(1+$B11)^('DCF Model'!C19+4)+'DCF Model'!G45*(1+D$6)/($B11-D$6)/(1+$B11)^('DCF Model'!C19+4)-'DCF Model'!C16)*1000000/'DCF Model'!C15,0),"")</f>
        <v>289</v>
      </c>
      <c r="E11" s="38">
        <f>IFERROR(ROUND(('DCF Model'!C45/(1+$B11)^('DCF Model'!C19+0)+'DCF Model'!D45/(1+$B11)^('DCF Model'!C19+1)+'DCF Model'!E45/(1+$B11)^('DCF Model'!C19+2)+'DCF Model'!F45/(1+$B11)^('DCF Model'!C19+3)+'DCF Model'!G45/(1+$B11)^('DCF Model'!C19+4)+'DCF Model'!G45*(1+E$6)/($B11-E$6)/(1+$B11)^('DCF Model'!C19+4)-'DCF Model'!C16)*1000000/'DCF Model'!C15,0),"")</f>
        <v>296</v>
      </c>
      <c r="F11" s="38">
        <f>IFERROR(ROUND(('DCF Model'!C45/(1+$B11)^('DCF Model'!C19+0)+'DCF Model'!D45/(1+$B11)^('DCF Model'!C19+1)+'DCF Model'!E45/(1+$B11)^('DCF Model'!C19+2)+'DCF Model'!F45/(1+$B11)^('DCF Model'!C19+3)+'DCF Model'!G45/(1+$B11)^('DCF Model'!C19+4)+'DCF Model'!G45*(1+F$6)/($B11-F$6)/(1+$B11)^('DCF Model'!C19+4)-'DCF Model'!C16)*1000000/'DCF Model'!C15,0),"")</f>
        <v>304</v>
      </c>
      <c r="G11" s="38">
        <f>IFERROR(ROUND(('DCF Model'!C45/(1+$B11)^('DCF Model'!C19+0)+'DCF Model'!D45/(1+$B11)^('DCF Model'!C19+1)+'DCF Model'!E45/(1+$B11)^('DCF Model'!C19+2)+'DCF Model'!F45/(1+$B11)^('DCF Model'!C19+3)+'DCF Model'!G45/(1+$B11)^('DCF Model'!C19+4)+'DCF Model'!G45*(1+G$6)/($B11-G$6)/(1+$B11)^('DCF Model'!C19+4)-'DCF Model'!C16)*1000000/'DCF Model'!C15,0),"")</f>
        <v>312</v>
      </c>
      <c r="H11" s="38">
        <f>IFERROR(ROUND(('DCF Model'!C45/(1+$B11)^('DCF Model'!C19+0)+'DCF Model'!D45/(1+$B11)^('DCF Model'!C19+1)+'DCF Model'!E45/(1+$B11)^('DCF Model'!C19+2)+'DCF Model'!F45/(1+$B11)^('DCF Model'!C19+3)+'DCF Model'!G45/(1+$B11)^('DCF Model'!C19+4)+'DCF Model'!G45*(1+H$6)/($B11-H$6)/(1+$B11)^('DCF Model'!C19+4)-'DCF Model'!C16)*1000000/'DCF Model'!C15,0),"")</f>
        <v>321</v>
      </c>
      <c r="I11" s="38">
        <f>IFERROR(ROUND(('DCF Model'!C45/(1+$B11)^('DCF Model'!C19+0)+'DCF Model'!D45/(1+$B11)^('DCF Model'!C19+1)+'DCF Model'!E45/(1+$B11)^('DCF Model'!C19+2)+'DCF Model'!F45/(1+$B11)^('DCF Model'!C19+3)+'DCF Model'!G45/(1+$B11)^('DCF Model'!C19+4)+'DCF Model'!G45*(1+I$6)/($B11-I$6)/(1+$B11)^('DCF Model'!C19+4)-'DCF Model'!C16)*1000000/'DCF Model'!C15,0),"")</f>
        <v>331</v>
      </c>
    </row>
    <row r="12" spans="2:9" ht="13.5" customHeight="1" x14ac:dyDescent="0.25">
      <c r="B12" s="40">
        <f>$C$3+0.01</f>
        <v>9.0415999999999982E-2</v>
      </c>
      <c r="C12" s="38">
        <f>IFERROR(ROUND(('DCF Model'!C45/(1+$B12)^('DCF Model'!C19+0)+'DCF Model'!D45/(1+$B12)^('DCF Model'!C19+1)+'DCF Model'!E45/(1+$B12)^('DCF Model'!C19+2)+'DCF Model'!F45/(1+$B12)^('DCF Model'!C19+3)+'DCF Model'!G45/(1+$B12)^('DCF Model'!C19+4)+'DCF Model'!G45*(1+C$6)/($B12-C$6)/(1+$B12)^('DCF Model'!C19+4)-'DCF Model'!C16)*1000000/'DCF Model'!C15,0),"")</f>
        <v>265</v>
      </c>
      <c r="D12" s="38">
        <f>IFERROR(ROUND(('DCF Model'!C45/(1+$B12)^('DCF Model'!C19+0)+'DCF Model'!D45/(1+$B12)^('DCF Model'!C19+1)+'DCF Model'!E45/(1+$B12)^('DCF Model'!C19+2)+'DCF Model'!F45/(1+$B12)^('DCF Model'!C19+3)+'DCF Model'!G45/(1+$B12)^('DCF Model'!C19+4)+'DCF Model'!G45*(1+D$6)/($B12-D$6)/(1+$B12)^('DCF Model'!C19+4)-'DCF Model'!C16)*1000000/'DCF Model'!C15,0),"")</f>
        <v>271</v>
      </c>
      <c r="E12" s="38">
        <f>IFERROR(ROUND(('DCF Model'!C45/(1+$B12)^('DCF Model'!C19+0)+'DCF Model'!D45/(1+$B12)^('DCF Model'!C19+1)+'DCF Model'!E45/(1+$B12)^('DCF Model'!C19+2)+'DCF Model'!F45/(1+$B12)^('DCF Model'!C19+3)+'DCF Model'!G45/(1+$B12)^('DCF Model'!C19+4)+'DCF Model'!G45*(1+E$6)/($B12-E$6)/(1+$B12)^('DCF Model'!C19+4)-'DCF Model'!C16)*1000000/'DCF Model'!C15,0),"")</f>
        <v>277</v>
      </c>
      <c r="F12" s="38">
        <f>IFERROR(ROUND(('DCF Model'!C45/(1+$B12)^('DCF Model'!C19+0)+'DCF Model'!D45/(1+$B12)^('DCF Model'!C19+1)+'DCF Model'!E45/(1+$B12)^('DCF Model'!C19+2)+'DCF Model'!F45/(1+$B12)^('DCF Model'!C19+3)+'DCF Model'!G45/(1+$B12)^('DCF Model'!C19+4)+'DCF Model'!G45*(1+F$6)/($B12-F$6)/(1+$B12)^('DCF Model'!C19+4)-'DCF Model'!C16)*1000000/'DCF Model'!C15,0),"")</f>
        <v>284</v>
      </c>
      <c r="G12" s="38">
        <f>IFERROR(ROUND(('DCF Model'!C45/(1+$B12)^('DCF Model'!C19+0)+'DCF Model'!D45/(1+$B12)^('DCF Model'!C19+1)+'DCF Model'!E45/(1+$B12)^('DCF Model'!C19+2)+'DCF Model'!F45/(1+$B12)^('DCF Model'!C19+3)+'DCF Model'!G45/(1+$B12)^('DCF Model'!C19+4)+'DCF Model'!G45*(1+G$6)/($B12-G$6)/(1+$B12)^('DCF Model'!C19+4)-'DCF Model'!C16)*1000000/'DCF Model'!C15,0),"")</f>
        <v>291</v>
      </c>
      <c r="H12" s="38">
        <f>IFERROR(ROUND(('DCF Model'!C45/(1+$B12)^('DCF Model'!C19+0)+'DCF Model'!D45/(1+$B12)^('DCF Model'!C19+1)+'DCF Model'!E45/(1+$B12)^('DCF Model'!C19+2)+'DCF Model'!F45/(1+$B12)^('DCF Model'!C19+3)+'DCF Model'!G45/(1+$B12)^('DCF Model'!C19+4)+'DCF Model'!G45*(1+H$6)/($B12-H$6)/(1+$B12)^('DCF Model'!C19+4)-'DCF Model'!C16)*1000000/'DCF Model'!C15,0),"")</f>
        <v>299</v>
      </c>
      <c r="I12" s="38">
        <f>IFERROR(ROUND(('DCF Model'!C45/(1+$B12)^('DCF Model'!C19+0)+'DCF Model'!D45/(1+$B12)^('DCF Model'!C19+1)+'DCF Model'!E45/(1+$B12)^('DCF Model'!C19+2)+'DCF Model'!F45/(1+$B12)^('DCF Model'!C19+3)+'DCF Model'!G45/(1+$B12)^('DCF Model'!C19+4)+'DCF Model'!G45*(1+I$6)/($B12-I$6)/(1+$B12)^('DCF Model'!C19+4)-'DCF Model'!C16)*1000000/'DCF Model'!C15,0),"")</f>
        <v>307</v>
      </c>
    </row>
    <row r="13" spans="2:9" ht="13.5" customHeight="1" x14ac:dyDescent="0.25">
      <c r="B13" s="40">
        <f>$C$3+0.015</f>
        <v>9.5415999999999987E-2</v>
      </c>
      <c r="C13" s="38">
        <f>IFERROR(ROUND(('DCF Model'!C45/(1+$B13)^('DCF Model'!C19+0)+'DCF Model'!D45/(1+$B13)^('DCF Model'!C19+1)+'DCF Model'!E45/(1+$B13)^('DCF Model'!C19+2)+'DCF Model'!F45/(1+$B13)^('DCF Model'!C19+3)+'DCF Model'!G45/(1+$B13)^('DCF Model'!C19+4)+'DCF Model'!G45*(1+C$6)/($B13-C$6)/(1+$B13)^('DCF Model'!C19+4)-'DCF Model'!C16)*1000000/'DCF Model'!C15,0),"")</f>
        <v>250</v>
      </c>
      <c r="D13" s="38">
        <f>IFERROR(ROUND(('DCF Model'!C45/(1+$B13)^('DCF Model'!C19+0)+'DCF Model'!D45/(1+$B13)^('DCF Model'!C19+1)+'DCF Model'!E45/(1+$B13)^('DCF Model'!C19+2)+'DCF Model'!F45/(1+$B13)^('DCF Model'!C19+3)+'DCF Model'!G45/(1+$B13)^('DCF Model'!C19+4)+'DCF Model'!G45*(1+D$6)/($B13-D$6)/(1+$B13)^('DCF Model'!C19+4)-'DCF Model'!C16)*1000000/'DCF Model'!C15,0),"")</f>
        <v>255</v>
      </c>
      <c r="E13" s="38">
        <f>IFERROR(ROUND(('DCF Model'!C45/(1+$B13)^('DCF Model'!C19+0)+'DCF Model'!D45/(1+$B13)^('DCF Model'!C19+1)+'DCF Model'!E45/(1+$B13)^('DCF Model'!C19+2)+'DCF Model'!F45/(1+$B13)^('DCF Model'!C19+3)+'DCF Model'!G45/(1+$B13)^('DCF Model'!C19+4)+'DCF Model'!G45*(1+E$6)/($B13-E$6)/(1+$B13)^('DCF Model'!C19+4)-'DCF Model'!C16)*1000000/'DCF Model'!C15,0),"")</f>
        <v>261</v>
      </c>
      <c r="F13" s="38">
        <f>IFERROR(ROUND(('DCF Model'!C45/(1+$B13)^('DCF Model'!C19+0)+'DCF Model'!D45/(1+$B13)^('DCF Model'!C19+1)+'DCF Model'!E45/(1+$B13)^('DCF Model'!C19+2)+'DCF Model'!F45/(1+$B13)^('DCF Model'!C19+3)+'DCF Model'!G45/(1+$B13)^('DCF Model'!C19+4)+'DCF Model'!G45*(1+F$6)/($B13-F$6)/(1+$B13)^('DCF Model'!C19+4)-'DCF Model'!C16)*1000000/'DCF Model'!C15,0),"")</f>
        <v>267</v>
      </c>
      <c r="G13" s="38">
        <f>IFERROR(ROUND(('DCF Model'!C45/(1+$B13)^('DCF Model'!C19+0)+'DCF Model'!D45/(1+$B13)^('DCF Model'!C19+1)+'DCF Model'!E45/(1+$B13)^('DCF Model'!C19+2)+'DCF Model'!F45/(1+$B13)^('DCF Model'!C19+3)+'DCF Model'!G45/(1+$B13)^('DCF Model'!C19+4)+'DCF Model'!G45*(1+G$6)/($B13-G$6)/(1+$B13)^('DCF Model'!C19+4)-'DCF Model'!C16)*1000000/'DCF Model'!C15,0),"")</f>
        <v>273</v>
      </c>
      <c r="H13" s="38">
        <f>IFERROR(ROUND(('DCF Model'!C45/(1+$B13)^('DCF Model'!C19+0)+'DCF Model'!D45/(1+$B13)^('DCF Model'!C19+1)+'DCF Model'!E45/(1+$B13)^('DCF Model'!C19+2)+'DCF Model'!F45/(1+$B13)^('DCF Model'!C19+3)+'DCF Model'!G45/(1+$B13)^('DCF Model'!C19+4)+'DCF Model'!G45*(1+H$6)/($B13-H$6)/(1+$B13)^('DCF Model'!C19+4)-'DCF Model'!C16)*1000000/'DCF Model'!C15,0),"")</f>
        <v>279</v>
      </c>
      <c r="I13" s="38">
        <f>IFERROR(ROUND(('DCF Model'!C45/(1+$B13)^('DCF Model'!C19+0)+'DCF Model'!D45/(1+$B13)^('DCF Model'!C19+1)+'DCF Model'!E45/(1+$B13)^('DCF Model'!C19+2)+'DCF Model'!F45/(1+$B13)^('DCF Model'!C19+3)+'DCF Model'!G45/(1+$B13)^('DCF Model'!C19+4)+'DCF Model'!G45*(1+I$6)/($B13-I$6)/(1+$B13)^('DCF Model'!C19+4)-'DCF Model'!C16)*1000000/'DCF Model'!C15,0),"")</f>
        <v>286</v>
      </c>
    </row>
    <row r="16" spans="2:9" ht="14" customHeight="1" x14ac:dyDescent="0.3">
      <c r="B16" s="3" t="s">
        <v>235</v>
      </c>
    </row>
    <row r="17" spans="2:9" ht="14" customHeight="1" x14ac:dyDescent="0.3">
      <c r="B17" s="44" t="s">
        <v>236</v>
      </c>
      <c r="C17" s="46">
        <f>$I$3-3</f>
        <v>4</v>
      </c>
      <c r="D17" s="46">
        <f>$I$3-2</f>
        <v>5</v>
      </c>
      <c r="E17" s="46">
        <f>$I$3-1</f>
        <v>6</v>
      </c>
      <c r="F17" s="46">
        <f>$I$3</f>
        <v>7</v>
      </c>
      <c r="G17" s="46">
        <f>$I$3+1</f>
        <v>8</v>
      </c>
      <c r="H17" s="46">
        <f>$I$3+2</f>
        <v>9</v>
      </c>
      <c r="I17" s="46">
        <f>$I$3+3</f>
        <v>10</v>
      </c>
    </row>
    <row r="18" spans="2:9" ht="13.5" customHeight="1" x14ac:dyDescent="0.25">
      <c r="B18" s="40">
        <f>$C$3-0.015</f>
        <v>6.5415999999999988E-2</v>
      </c>
      <c r="C18" s="38">
        <f>IFERROR(ROUND(('DCF Model'!C45/(1+$B18)^('DCF Model'!C19+0)+'DCF Model'!D45/(1+$B18)^('DCF Model'!C19+1)+'DCF Model'!E45/(1+$B18)^('DCF Model'!C19+2)+'DCF Model'!F45/(1+$B18)^('DCF Model'!C19+3)+'DCF Model'!G45/(1+$B18)^('DCF Model'!C19+4)+('DCF Model'!G39+'DCF Model'!G42)*C$17/(1+$B18)^('DCF Model'!C19+4)-'DCF Model'!C16)*1000000/'DCF Model'!C15,0),"")</f>
        <v>267</v>
      </c>
      <c r="D18" s="38">
        <f>IFERROR(ROUND(('DCF Model'!C45/(1+$B18)^('DCF Model'!C19+0)+'DCF Model'!D45/(1+$B18)^('DCF Model'!C19+1)+'DCF Model'!E45/(1+$B18)^('DCF Model'!C19+2)+'DCF Model'!F45/(1+$B18)^('DCF Model'!C19+3)+'DCF Model'!G45/(1+$B18)^('DCF Model'!C19+4)+('DCF Model'!G39+'DCF Model'!G42)*D$17/(1+$B18)^('DCF Model'!C19+4)-'DCF Model'!C16)*1000000/'DCF Model'!C15,0),"")</f>
        <v>312</v>
      </c>
      <c r="E18" s="38">
        <f>IFERROR(ROUND(('DCF Model'!C45/(1+$B18)^('DCF Model'!C19+0)+'DCF Model'!D45/(1+$B18)^('DCF Model'!C19+1)+'DCF Model'!E45/(1+$B18)^('DCF Model'!C19+2)+'DCF Model'!F45/(1+$B18)^('DCF Model'!C19+3)+'DCF Model'!G45/(1+$B18)^('DCF Model'!C19+4)+('DCF Model'!G39+'DCF Model'!G42)*E$17/(1+$B18)^('DCF Model'!C19+4)-'DCF Model'!C16)*1000000/'DCF Model'!C15,0),"")</f>
        <v>358</v>
      </c>
      <c r="F18" s="38">
        <f>IFERROR(ROUND(('DCF Model'!C45/(1+$B18)^('DCF Model'!C19+0)+'DCF Model'!D45/(1+$B18)^('DCF Model'!C19+1)+'DCF Model'!E45/(1+$B18)^('DCF Model'!C19+2)+'DCF Model'!F45/(1+$B18)^('DCF Model'!C19+3)+'DCF Model'!G45/(1+$B18)^('DCF Model'!C19+4)+('DCF Model'!G39+'DCF Model'!G42)*F$17/(1+$B18)^('DCF Model'!C19+4)-'DCF Model'!C16)*1000000/'DCF Model'!C15,0),"")</f>
        <v>404</v>
      </c>
      <c r="G18" s="38">
        <f>IFERROR(ROUND(('DCF Model'!C45/(1+$B18)^('DCF Model'!C19+0)+'DCF Model'!D45/(1+$B18)^('DCF Model'!C19+1)+'DCF Model'!E45/(1+$B18)^('DCF Model'!C19+2)+'DCF Model'!F45/(1+$B18)^('DCF Model'!C19+3)+'DCF Model'!G45/(1+$B18)^('DCF Model'!C19+4)+('DCF Model'!G39+'DCF Model'!G42)*G$17/(1+$B18)^('DCF Model'!C19+4)-'DCF Model'!C16)*1000000/'DCF Model'!C15,0),"")</f>
        <v>449</v>
      </c>
      <c r="H18" s="38">
        <f>IFERROR(ROUND(('DCF Model'!C45/(1+$B18)^('DCF Model'!C19+0)+'DCF Model'!D45/(1+$B18)^('DCF Model'!C19+1)+'DCF Model'!E45/(1+$B18)^('DCF Model'!C19+2)+'DCF Model'!F45/(1+$B18)^('DCF Model'!C19+3)+'DCF Model'!G45/(1+$B18)^('DCF Model'!C19+4)+('DCF Model'!G39+'DCF Model'!G42)*H$17/(1+$B18)^('DCF Model'!C19+4)-'DCF Model'!C16)*1000000/'DCF Model'!C15,0),"")</f>
        <v>495</v>
      </c>
      <c r="I18" s="38">
        <f>IFERROR(ROUND(('DCF Model'!C45/(1+$B18)^('DCF Model'!C19+0)+'DCF Model'!D45/(1+$B18)^('DCF Model'!C19+1)+'DCF Model'!E45/(1+$B18)^('DCF Model'!C19+2)+'DCF Model'!F45/(1+$B18)^('DCF Model'!C19+3)+'DCF Model'!G45/(1+$B18)^('DCF Model'!C19+4)+('DCF Model'!G39+'DCF Model'!G42)*I$17/(1+$B18)^('DCF Model'!C19+4)-'DCF Model'!C16)*1000000/'DCF Model'!C15,0),"")</f>
        <v>540</v>
      </c>
    </row>
    <row r="19" spans="2:9" ht="13.5" customHeight="1" x14ac:dyDescent="0.25">
      <c r="B19" s="40">
        <f>$C$3-0.01</f>
        <v>7.0415999999999992E-2</v>
      </c>
      <c r="C19" s="38">
        <f>IFERROR(ROUND(('DCF Model'!C45/(1+$B19)^('DCF Model'!C19+0)+'DCF Model'!D45/(1+$B19)^('DCF Model'!C19+1)+'DCF Model'!E45/(1+$B19)^('DCF Model'!C19+2)+'DCF Model'!F45/(1+$B19)^('DCF Model'!C19+3)+'DCF Model'!G45/(1+$B19)^('DCF Model'!C19+4)+('DCF Model'!G39+'DCF Model'!G42)*C$17/(1+$B19)^('DCF Model'!C19+4)-'DCF Model'!C16)*1000000/'DCF Model'!C15,0),"")</f>
        <v>261</v>
      </c>
      <c r="D19" s="38">
        <f>IFERROR(ROUND(('DCF Model'!C45/(1+$B19)^('DCF Model'!C19+0)+'DCF Model'!D45/(1+$B19)^('DCF Model'!C19+1)+'DCF Model'!E45/(1+$B19)^('DCF Model'!C19+2)+'DCF Model'!F45/(1+$B19)^('DCF Model'!C19+3)+'DCF Model'!G45/(1+$B19)^('DCF Model'!C19+4)+('DCF Model'!G39+'DCF Model'!G42)*D$17/(1+$B19)^('DCF Model'!C19+4)-'DCF Model'!C16)*1000000/'DCF Model'!C15,0),"")</f>
        <v>306</v>
      </c>
      <c r="E19" s="38">
        <f>IFERROR(ROUND(('DCF Model'!C45/(1+$B19)^('DCF Model'!C19+0)+'DCF Model'!D45/(1+$B19)^('DCF Model'!C19+1)+'DCF Model'!E45/(1+$B19)^('DCF Model'!C19+2)+'DCF Model'!F45/(1+$B19)^('DCF Model'!C19+3)+'DCF Model'!G45/(1+$B19)^('DCF Model'!C19+4)+('DCF Model'!G39+'DCF Model'!G42)*E$17/(1+$B19)^('DCF Model'!C19+4)-'DCF Model'!C16)*1000000/'DCF Model'!C15,0),"")</f>
        <v>350</v>
      </c>
      <c r="F19" s="38">
        <f>IFERROR(ROUND(('DCF Model'!C45/(1+$B19)^('DCF Model'!C19+0)+'DCF Model'!D45/(1+$B19)^('DCF Model'!C19+1)+'DCF Model'!E45/(1+$B19)^('DCF Model'!C19+2)+'DCF Model'!F45/(1+$B19)^('DCF Model'!C19+3)+'DCF Model'!G45/(1+$B19)^('DCF Model'!C19+4)+('DCF Model'!G39+'DCF Model'!G42)*F$17/(1+$B19)^('DCF Model'!C19+4)-'DCF Model'!C16)*1000000/'DCF Model'!C15,0),"")</f>
        <v>395</v>
      </c>
      <c r="G19" s="38">
        <f>IFERROR(ROUND(('DCF Model'!C45/(1+$B19)^('DCF Model'!C19+0)+'DCF Model'!D45/(1+$B19)^('DCF Model'!C19+1)+'DCF Model'!E45/(1+$B19)^('DCF Model'!C19+2)+'DCF Model'!F45/(1+$B19)^('DCF Model'!C19+3)+'DCF Model'!G45/(1+$B19)^('DCF Model'!C19+4)+('DCF Model'!G39+'DCF Model'!G42)*G$17/(1+$B19)^('DCF Model'!C19+4)-'DCF Model'!C16)*1000000/'DCF Model'!C15,0),"")</f>
        <v>440</v>
      </c>
      <c r="H19" s="38">
        <f>IFERROR(ROUND(('DCF Model'!C45/(1+$B19)^('DCF Model'!C19+0)+'DCF Model'!D45/(1+$B19)^('DCF Model'!C19+1)+'DCF Model'!E45/(1+$B19)^('DCF Model'!C19+2)+'DCF Model'!F45/(1+$B19)^('DCF Model'!C19+3)+'DCF Model'!G45/(1+$B19)^('DCF Model'!C19+4)+('DCF Model'!G39+'DCF Model'!G42)*H$17/(1+$B19)^('DCF Model'!C19+4)-'DCF Model'!C16)*1000000/'DCF Model'!C15,0),"")</f>
        <v>484</v>
      </c>
      <c r="I19" s="38">
        <f>IFERROR(ROUND(('DCF Model'!C45/(1+$B19)^('DCF Model'!C19+0)+'DCF Model'!D45/(1+$B19)^('DCF Model'!C19+1)+'DCF Model'!E45/(1+$B19)^('DCF Model'!C19+2)+'DCF Model'!F45/(1+$B19)^('DCF Model'!C19+3)+'DCF Model'!G45/(1+$B19)^('DCF Model'!C19+4)+('DCF Model'!G39+'DCF Model'!G42)*I$17/(1+$B19)^('DCF Model'!C19+4)-'DCF Model'!C16)*1000000/'DCF Model'!C15,0),"")</f>
        <v>529</v>
      </c>
    </row>
    <row r="20" spans="2:9" ht="13.5" customHeight="1" x14ac:dyDescent="0.25">
      <c r="B20" s="40">
        <f>$C$3-0.005</f>
        <v>7.5415999999999983E-2</v>
      </c>
      <c r="C20" s="38">
        <f>IFERROR(ROUND(('DCF Model'!C45/(1+$B20)^('DCF Model'!C19+0)+'DCF Model'!D45/(1+$B20)^('DCF Model'!C19+1)+'DCF Model'!E45/(1+$B20)^('DCF Model'!C19+2)+'DCF Model'!F45/(1+$B20)^('DCF Model'!C19+3)+'DCF Model'!G45/(1+$B20)^('DCF Model'!C19+4)+('DCF Model'!G39+'DCF Model'!G42)*C$17/(1+$B20)^('DCF Model'!C19+4)-'DCF Model'!C16)*1000000/'DCF Model'!C15,0),"")</f>
        <v>256</v>
      </c>
      <c r="D20" s="38">
        <f>IFERROR(ROUND(('DCF Model'!C45/(1+$B20)^('DCF Model'!C19+0)+'DCF Model'!D45/(1+$B20)^('DCF Model'!C19+1)+'DCF Model'!E45/(1+$B20)^('DCF Model'!C19+2)+'DCF Model'!F45/(1+$B20)^('DCF Model'!C19+3)+'DCF Model'!G45/(1+$B20)^('DCF Model'!C19+4)+('DCF Model'!G39+'DCF Model'!G42)*D$17/(1+$B20)^('DCF Model'!C19+4)-'DCF Model'!C16)*1000000/'DCF Model'!C15,0),"")</f>
        <v>300</v>
      </c>
      <c r="E20" s="38">
        <f>IFERROR(ROUND(('DCF Model'!C45/(1+$B20)^('DCF Model'!C19+0)+'DCF Model'!D45/(1+$B20)^('DCF Model'!C19+1)+'DCF Model'!E45/(1+$B20)^('DCF Model'!C19+2)+'DCF Model'!F45/(1+$B20)^('DCF Model'!C19+3)+'DCF Model'!G45/(1+$B20)^('DCF Model'!C19+4)+('DCF Model'!G39+'DCF Model'!G42)*E$17/(1+$B20)^('DCF Model'!C19+4)-'DCF Model'!C16)*1000000/'DCF Model'!C15,0),"")</f>
        <v>343</v>
      </c>
      <c r="F20" s="38">
        <f>IFERROR(ROUND(('DCF Model'!C45/(1+$B20)^('DCF Model'!C19+0)+'DCF Model'!D45/(1+$B20)^('DCF Model'!C19+1)+'DCF Model'!E45/(1+$B20)^('DCF Model'!C19+2)+'DCF Model'!F45/(1+$B20)^('DCF Model'!C19+3)+'DCF Model'!G45/(1+$B20)^('DCF Model'!C19+4)+('DCF Model'!G39+'DCF Model'!G42)*F$17/(1+$B20)^('DCF Model'!C19+4)-'DCF Model'!C16)*1000000/'DCF Model'!C15,0),"")</f>
        <v>387</v>
      </c>
      <c r="G20" s="38">
        <f>IFERROR(ROUND(('DCF Model'!C45/(1+$B20)^('DCF Model'!C19+0)+'DCF Model'!D45/(1+$B20)^('DCF Model'!C19+1)+'DCF Model'!E45/(1+$B20)^('DCF Model'!C19+2)+'DCF Model'!F45/(1+$B20)^('DCF Model'!C19+3)+'DCF Model'!G45/(1+$B20)^('DCF Model'!C19+4)+('DCF Model'!G39+'DCF Model'!G42)*G$17/(1+$B20)^('DCF Model'!C19+4)-'DCF Model'!C16)*1000000/'DCF Model'!C15,0),"")</f>
        <v>430</v>
      </c>
      <c r="H20" s="38">
        <f>IFERROR(ROUND(('DCF Model'!C45/(1+$B20)^('DCF Model'!C19+0)+'DCF Model'!D45/(1+$B20)^('DCF Model'!C19+1)+'DCF Model'!E45/(1+$B20)^('DCF Model'!C19+2)+'DCF Model'!F45/(1+$B20)^('DCF Model'!C19+3)+'DCF Model'!G45/(1+$B20)^('DCF Model'!C19+4)+('DCF Model'!G39+'DCF Model'!G42)*H$17/(1+$B20)^('DCF Model'!C19+4)-'DCF Model'!C16)*1000000/'DCF Model'!C15,0),"")</f>
        <v>474</v>
      </c>
      <c r="I20" s="38">
        <f>IFERROR(ROUND(('DCF Model'!C45/(1+$B20)^('DCF Model'!C19+0)+'DCF Model'!D45/(1+$B20)^('DCF Model'!C19+1)+'DCF Model'!E45/(1+$B20)^('DCF Model'!C19+2)+'DCF Model'!F45/(1+$B20)^('DCF Model'!C19+3)+'DCF Model'!G45/(1+$B20)^('DCF Model'!C19+4)+('DCF Model'!G39+'DCF Model'!G42)*I$17/(1+$B20)^('DCF Model'!C19+4)-'DCF Model'!C16)*1000000/'DCF Model'!C15,0),"")</f>
        <v>517</v>
      </c>
    </row>
    <row r="21" spans="2:9" ht="13.5" customHeight="1" x14ac:dyDescent="0.25">
      <c r="B21" s="40">
        <f>$C$3</f>
        <v>8.0415999999999987E-2</v>
      </c>
      <c r="C21" s="38">
        <f>IFERROR(ROUND(('DCF Model'!C45/(1+$B21)^('DCF Model'!C19+0)+'DCF Model'!D45/(1+$B21)^('DCF Model'!C19+1)+'DCF Model'!E45/(1+$B21)^('DCF Model'!C19+2)+'DCF Model'!F45/(1+$B21)^('DCF Model'!C19+3)+'DCF Model'!G45/(1+$B21)^('DCF Model'!C19+4)+('DCF Model'!G39+'DCF Model'!G42)*C$17/(1+$B21)^('DCF Model'!C19+4)-'DCF Model'!C16)*1000000/'DCF Model'!C15,0),"")</f>
        <v>251</v>
      </c>
      <c r="D21" s="38">
        <f>IFERROR(ROUND(('DCF Model'!C45/(1+$B21)^('DCF Model'!C19+0)+'DCF Model'!D45/(1+$B21)^('DCF Model'!C19+1)+'DCF Model'!E45/(1+$B21)^('DCF Model'!C19+2)+'DCF Model'!F45/(1+$B21)^('DCF Model'!C19+3)+'DCF Model'!G45/(1+$B21)^('DCF Model'!C19+4)+('DCF Model'!G39+'DCF Model'!G42)*D$17/(1+$B21)^('DCF Model'!C19+4)-'DCF Model'!C16)*1000000/'DCF Model'!C15,0),"")</f>
        <v>293</v>
      </c>
      <c r="E21" s="38">
        <f>IFERROR(ROUND(('DCF Model'!C45/(1+$B21)^('DCF Model'!C19+0)+'DCF Model'!D45/(1+$B21)^('DCF Model'!C19+1)+'DCF Model'!E45/(1+$B21)^('DCF Model'!C19+2)+'DCF Model'!F45/(1+$B21)^('DCF Model'!C19+3)+'DCF Model'!G45/(1+$B21)^('DCF Model'!C19+4)+('DCF Model'!G39+'DCF Model'!G42)*E$17/(1+$B21)^('DCF Model'!C19+4)-'DCF Model'!C16)*1000000/'DCF Model'!C15,0),"")</f>
        <v>336</v>
      </c>
      <c r="F21" s="38">
        <f>IFERROR(ROUND(('DCF Model'!C45/(1+$B21)^('DCF Model'!C19+0)+'DCF Model'!D45/(1+$B21)^('DCF Model'!C19+1)+'DCF Model'!E45/(1+$B21)^('DCF Model'!C19+2)+'DCF Model'!F45/(1+$B21)^('DCF Model'!C19+3)+'DCF Model'!G45/(1+$B21)^('DCF Model'!C19+4)+('DCF Model'!G39+'DCF Model'!G42)*F$17/(1+$B21)^('DCF Model'!C19+4)-'DCF Model'!C16)*1000000/'DCF Model'!C15,0),"")</f>
        <v>378</v>
      </c>
      <c r="G21" s="38">
        <f>IFERROR(ROUND(('DCF Model'!C45/(1+$B21)^('DCF Model'!C19+0)+'DCF Model'!D45/(1+$B21)^('DCF Model'!C19+1)+'DCF Model'!E45/(1+$B21)^('DCF Model'!C19+2)+'DCF Model'!F45/(1+$B21)^('DCF Model'!C19+3)+'DCF Model'!G45/(1+$B21)^('DCF Model'!C19+4)+('DCF Model'!G39+'DCF Model'!G42)*G$17/(1+$B21)^('DCF Model'!C19+4)-'DCF Model'!C16)*1000000/'DCF Model'!C15,0),"")</f>
        <v>421</v>
      </c>
      <c r="H21" s="38">
        <f>IFERROR(ROUND(('DCF Model'!C45/(1+$B21)^('DCF Model'!C19+0)+'DCF Model'!D45/(1+$B21)^('DCF Model'!C19+1)+'DCF Model'!E45/(1+$B21)^('DCF Model'!C19+2)+'DCF Model'!F45/(1+$B21)^('DCF Model'!C19+3)+'DCF Model'!G45/(1+$B21)^('DCF Model'!C19+4)+('DCF Model'!G39+'DCF Model'!G42)*H$17/(1+$B21)^('DCF Model'!C19+4)-'DCF Model'!C16)*1000000/'DCF Model'!C15,0),"")</f>
        <v>464</v>
      </c>
      <c r="I21" s="38">
        <f>IFERROR(ROUND(('DCF Model'!C45/(1+$B21)^('DCF Model'!C19+0)+'DCF Model'!D45/(1+$B21)^('DCF Model'!C19+1)+'DCF Model'!E45/(1+$B21)^('DCF Model'!C19+2)+'DCF Model'!F45/(1+$B21)^('DCF Model'!C19+3)+'DCF Model'!G45/(1+$B21)^('DCF Model'!C19+4)+('DCF Model'!G39+'DCF Model'!G42)*I$17/(1+$B21)^('DCF Model'!C19+4)-'DCF Model'!C16)*1000000/'DCF Model'!C15,0),"")</f>
        <v>506</v>
      </c>
    </row>
    <row r="22" spans="2:9" ht="13.5" customHeight="1" x14ac:dyDescent="0.25">
      <c r="B22" s="40">
        <f>$C$3+0.005</f>
        <v>8.5415999999999992E-2</v>
      </c>
      <c r="C22" s="38">
        <f>IFERROR(ROUND(('DCF Model'!C45/(1+$B22)^('DCF Model'!C19+0)+'DCF Model'!D45/(1+$B22)^('DCF Model'!C19+1)+'DCF Model'!E45/(1+$B22)^('DCF Model'!C19+2)+'DCF Model'!F45/(1+$B22)^('DCF Model'!C19+3)+'DCF Model'!G45/(1+$B22)^('DCF Model'!C19+4)+('DCF Model'!G39+'DCF Model'!G42)*C$17/(1+$B22)^('DCF Model'!C19+4)-'DCF Model'!C16)*1000000/'DCF Model'!C15,0),"")</f>
        <v>246</v>
      </c>
      <c r="D22" s="38">
        <f>IFERROR(ROUND(('DCF Model'!C45/(1+$B22)^('DCF Model'!C19+0)+'DCF Model'!D45/(1+$B22)^('DCF Model'!C19+1)+'DCF Model'!E45/(1+$B22)^('DCF Model'!C19+2)+'DCF Model'!F45/(1+$B22)^('DCF Model'!C19+3)+'DCF Model'!G45/(1+$B22)^('DCF Model'!C19+4)+('DCF Model'!G39+'DCF Model'!G42)*D$17/(1+$B22)^('DCF Model'!C19+4)-'DCF Model'!C16)*1000000/'DCF Model'!C15,0),"")</f>
        <v>287</v>
      </c>
      <c r="E22" s="38">
        <f>IFERROR(ROUND(('DCF Model'!C45/(1+$B22)^('DCF Model'!C19+0)+'DCF Model'!D45/(1+$B22)^('DCF Model'!C19+1)+'DCF Model'!E45/(1+$B22)^('DCF Model'!C19+2)+'DCF Model'!F45/(1+$B22)^('DCF Model'!C19+3)+'DCF Model'!G45/(1+$B22)^('DCF Model'!C19+4)+('DCF Model'!G39+'DCF Model'!G42)*E$17/(1+$B22)^('DCF Model'!C19+4)-'DCF Model'!C16)*1000000/'DCF Model'!C15,0),"")</f>
        <v>329</v>
      </c>
      <c r="F22" s="38">
        <f>IFERROR(ROUND(('DCF Model'!C45/(1+$B22)^('DCF Model'!C19+0)+'DCF Model'!D45/(1+$B22)^('DCF Model'!C19+1)+'DCF Model'!E45/(1+$B22)^('DCF Model'!C19+2)+'DCF Model'!F45/(1+$B22)^('DCF Model'!C19+3)+'DCF Model'!G45/(1+$B22)^('DCF Model'!C19+4)+('DCF Model'!G39+'DCF Model'!G42)*F$17/(1+$B22)^('DCF Model'!C19+4)-'DCF Model'!C16)*1000000/'DCF Model'!C15,0),"")</f>
        <v>371</v>
      </c>
      <c r="G22" s="38">
        <f>IFERROR(ROUND(('DCF Model'!C45/(1+$B22)^('DCF Model'!C19+0)+'DCF Model'!D45/(1+$B22)^('DCF Model'!C19+1)+'DCF Model'!E45/(1+$B22)^('DCF Model'!C19+2)+'DCF Model'!F45/(1+$B22)^('DCF Model'!C19+3)+'DCF Model'!G45/(1+$B22)^('DCF Model'!C19+4)+('DCF Model'!G39+'DCF Model'!G42)*G$17/(1+$B22)^('DCF Model'!C19+4)-'DCF Model'!C16)*1000000/'DCF Model'!C15,0),"")</f>
        <v>412</v>
      </c>
      <c r="H22" s="38">
        <f>IFERROR(ROUND(('DCF Model'!C45/(1+$B22)^('DCF Model'!C19+0)+'DCF Model'!D45/(1+$B22)^('DCF Model'!C19+1)+'DCF Model'!E45/(1+$B22)^('DCF Model'!C19+2)+'DCF Model'!F45/(1+$B22)^('DCF Model'!C19+3)+'DCF Model'!G45/(1+$B22)^('DCF Model'!C19+4)+('DCF Model'!G39+'DCF Model'!G42)*H$17/(1+$B22)^('DCF Model'!C19+4)-'DCF Model'!C16)*1000000/'DCF Model'!C15,0),"")</f>
        <v>454</v>
      </c>
      <c r="I22" s="38">
        <f>IFERROR(ROUND(('DCF Model'!C45/(1+$B22)^('DCF Model'!C19+0)+'DCF Model'!D45/(1+$B22)^('DCF Model'!C19+1)+'DCF Model'!E45/(1+$B22)^('DCF Model'!C19+2)+'DCF Model'!F45/(1+$B22)^('DCF Model'!C19+3)+'DCF Model'!G45/(1+$B22)^('DCF Model'!C19+4)+('DCF Model'!G39+'DCF Model'!G42)*I$17/(1+$B22)^('DCF Model'!C19+4)-'DCF Model'!C16)*1000000/'DCF Model'!C15,0),"")</f>
        <v>495</v>
      </c>
    </row>
    <row r="23" spans="2:9" ht="13.5" customHeight="1" x14ac:dyDescent="0.25">
      <c r="B23" s="40">
        <f>$C$3+0.01</f>
        <v>9.0415999999999982E-2</v>
      </c>
      <c r="C23" s="38">
        <f>IFERROR(ROUND(('DCF Model'!C45/(1+$B23)^('DCF Model'!C19+0)+'DCF Model'!D45/(1+$B23)^('DCF Model'!C19+1)+'DCF Model'!E45/(1+$B23)^('DCF Model'!C19+2)+'DCF Model'!F45/(1+$B23)^('DCF Model'!C19+3)+'DCF Model'!G45/(1+$B23)^('DCF Model'!C19+4)+('DCF Model'!G39+'DCF Model'!G42)*C$17/(1+$B23)^('DCF Model'!C19+4)-'DCF Model'!C16)*1000000/'DCF Model'!C15,0),"")</f>
        <v>241</v>
      </c>
      <c r="D23" s="38">
        <f>IFERROR(ROUND(('DCF Model'!C45/(1+$B23)^('DCF Model'!C19+0)+'DCF Model'!D45/(1+$B23)^('DCF Model'!C19+1)+'DCF Model'!E45/(1+$B23)^('DCF Model'!C19+2)+'DCF Model'!F45/(1+$B23)^('DCF Model'!C19+3)+'DCF Model'!G45/(1+$B23)^('DCF Model'!C19+4)+('DCF Model'!G39+'DCF Model'!G42)*D$17/(1+$B23)^('DCF Model'!C19+4)-'DCF Model'!C16)*1000000/'DCF Model'!C15,0),"")</f>
        <v>282</v>
      </c>
      <c r="E23" s="38">
        <f>IFERROR(ROUND(('DCF Model'!C45/(1+$B23)^('DCF Model'!C19+0)+'DCF Model'!D45/(1+$B23)^('DCF Model'!C19+1)+'DCF Model'!E45/(1+$B23)^('DCF Model'!C19+2)+'DCF Model'!F45/(1+$B23)^('DCF Model'!C19+3)+'DCF Model'!G45/(1+$B23)^('DCF Model'!C19+4)+('DCF Model'!G39+'DCF Model'!G42)*E$17/(1+$B23)^('DCF Model'!C19+4)-'DCF Model'!C16)*1000000/'DCF Model'!C15,0),"")</f>
        <v>322</v>
      </c>
      <c r="F23" s="38">
        <f>IFERROR(ROUND(('DCF Model'!C45/(1+$B23)^('DCF Model'!C19+0)+'DCF Model'!D45/(1+$B23)^('DCF Model'!C19+1)+'DCF Model'!E45/(1+$B23)^('DCF Model'!C19+2)+'DCF Model'!F45/(1+$B23)^('DCF Model'!C19+3)+'DCF Model'!G45/(1+$B23)^('DCF Model'!C19+4)+('DCF Model'!G39+'DCF Model'!G42)*F$17/(1+$B23)^('DCF Model'!C19+4)-'DCF Model'!C16)*1000000/'DCF Model'!C15,0),"")</f>
        <v>363</v>
      </c>
      <c r="G23" s="38">
        <f>IFERROR(ROUND(('DCF Model'!C45/(1+$B23)^('DCF Model'!C19+0)+'DCF Model'!D45/(1+$B23)^('DCF Model'!C19+1)+'DCF Model'!E45/(1+$B23)^('DCF Model'!C19+2)+'DCF Model'!F45/(1+$B23)^('DCF Model'!C19+3)+'DCF Model'!G45/(1+$B23)^('DCF Model'!C19+4)+('DCF Model'!G39+'DCF Model'!G42)*G$17/(1+$B23)^('DCF Model'!C19+4)-'DCF Model'!C16)*1000000/'DCF Model'!C15,0),"")</f>
        <v>403</v>
      </c>
      <c r="H23" s="38">
        <f>IFERROR(ROUND(('DCF Model'!C45/(1+$B23)^('DCF Model'!C19+0)+'DCF Model'!D45/(1+$B23)^('DCF Model'!C19+1)+'DCF Model'!E45/(1+$B23)^('DCF Model'!C19+2)+'DCF Model'!F45/(1+$B23)^('DCF Model'!C19+3)+'DCF Model'!G45/(1+$B23)^('DCF Model'!C19+4)+('DCF Model'!G39+'DCF Model'!G42)*H$17/(1+$B23)^('DCF Model'!C19+4)-'DCF Model'!C16)*1000000/'DCF Model'!C15,0),"")</f>
        <v>444</v>
      </c>
      <c r="I23" s="38">
        <f>IFERROR(ROUND(('DCF Model'!C45/(1+$B23)^('DCF Model'!C19+0)+'DCF Model'!D45/(1+$B23)^('DCF Model'!C19+1)+'DCF Model'!E45/(1+$B23)^('DCF Model'!C19+2)+'DCF Model'!F45/(1+$B23)^('DCF Model'!C19+3)+'DCF Model'!G45/(1+$B23)^('DCF Model'!C19+4)+('DCF Model'!G39+'DCF Model'!G42)*I$17/(1+$B23)^('DCF Model'!C19+4)-'DCF Model'!C16)*1000000/'DCF Model'!C15,0),"")</f>
        <v>485</v>
      </c>
    </row>
    <row r="24" spans="2:9" ht="13.5" customHeight="1" x14ac:dyDescent="0.25">
      <c r="B24" s="40">
        <f>$C$3+0.015</f>
        <v>9.5415999999999987E-2</v>
      </c>
      <c r="C24" s="38">
        <f>IFERROR(ROUND(('DCF Model'!C45/(1+$B24)^('DCF Model'!C19+0)+'DCF Model'!D45/(1+$B24)^('DCF Model'!C19+1)+'DCF Model'!E45/(1+$B24)^('DCF Model'!C19+2)+'DCF Model'!F45/(1+$B24)^('DCF Model'!C19+3)+'DCF Model'!G45/(1+$B24)^('DCF Model'!C19+4)+('DCF Model'!G39+'DCF Model'!G42)*C$17/(1+$B24)^('DCF Model'!C19+4)-'DCF Model'!C16)*1000000/'DCF Model'!C15,0),"")</f>
        <v>236</v>
      </c>
      <c r="D24" s="38">
        <f>IFERROR(ROUND(('DCF Model'!C45/(1+$B24)^('DCF Model'!C19+0)+'DCF Model'!D45/(1+$B24)^('DCF Model'!C19+1)+'DCF Model'!E45/(1+$B24)^('DCF Model'!C19+2)+'DCF Model'!F45/(1+$B24)^('DCF Model'!C19+3)+'DCF Model'!G45/(1+$B24)^('DCF Model'!C19+4)+('DCF Model'!G39+'DCF Model'!G42)*D$17/(1+$B24)^('DCF Model'!C19+4)-'DCF Model'!C16)*1000000/'DCF Model'!C15,0),"")</f>
        <v>276</v>
      </c>
      <c r="E24" s="38">
        <f>IFERROR(ROUND(('DCF Model'!C45/(1+$B24)^('DCF Model'!C19+0)+'DCF Model'!D45/(1+$B24)^('DCF Model'!C19+1)+'DCF Model'!E45/(1+$B24)^('DCF Model'!C19+2)+'DCF Model'!F45/(1+$B24)^('DCF Model'!C19+3)+'DCF Model'!G45/(1+$B24)^('DCF Model'!C19+4)+('DCF Model'!G39+'DCF Model'!G42)*E$17/(1+$B24)^('DCF Model'!C19+4)-'DCF Model'!C16)*1000000/'DCF Model'!C15,0),"")</f>
        <v>316</v>
      </c>
      <c r="F24" s="38">
        <f>IFERROR(ROUND(('DCF Model'!C45/(1+$B24)^('DCF Model'!C19+0)+'DCF Model'!D45/(1+$B24)^('DCF Model'!C19+1)+'DCF Model'!E45/(1+$B24)^('DCF Model'!C19+2)+'DCF Model'!F45/(1+$B24)^('DCF Model'!C19+3)+'DCF Model'!G45/(1+$B24)^('DCF Model'!C19+4)+('DCF Model'!G39+'DCF Model'!G42)*F$17/(1+$B24)^('DCF Model'!C19+4)-'DCF Model'!C16)*1000000/'DCF Model'!C15,0),"")</f>
        <v>355</v>
      </c>
      <c r="G24" s="38">
        <f>IFERROR(ROUND(('DCF Model'!C45/(1+$B24)^('DCF Model'!C19+0)+'DCF Model'!D45/(1+$B24)^('DCF Model'!C19+1)+'DCF Model'!E45/(1+$B24)^('DCF Model'!C19+2)+'DCF Model'!F45/(1+$B24)^('DCF Model'!C19+3)+'DCF Model'!G45/(1+$B24)^('DCF Model'!C19+4)+('DCF Model'!G39+'DCF Model'!G42)*G$17/(1+$B24)^('DCF Model'!C19+4)-'DCF Model'!C16)*1000000/'DCF Model'!C15,0),"")</f>
        <v>395</v>
      </c>
      <c r="H24" s="38">
        <f>IFERROR(ROUND(('DCF Model'!C45/(1+$B24)^('DCF Model'!C19+0)+'DCF Model'!D45/(1+$B24)^('DCF Model'!C19+1)+'DCF Model'!E45/(1+$B24)^('DCF Model'!C19+2)+'DCF Model'!F45/(1+$B24)^('DCF Model'!C19+3)+'DCF Model'!G45/(1+$B24)^('DCF Model'!C19+4)+('DCF Model'!G39+'DCF Model'!G42)*H$17/(1+$B24)^('DCF Model'!C19+4)-'DCF Model'!C16)*1000000/'DCF Model'!C15,0),"")</f>
        <v>435</v>
      </c>
      <c r="I24" s="38">
        <f>IFERROR(ROUND(('DCF Model'!C45/(1+$B24)^('DCF Model'!C19+0)+'DCF Model'!D45/(1+$B24)^('DCF Model'!C19+1)+'DCF Model'!E45/(1+$B24)^('DCF Model'!C19+2)+'DCF Model'!F45/(1+$B24)^('DCF Model'!C19+3)+'DCF Model'!G45/(1+$B24)^('DCF Model'!C19+4)+('DCF Model'!G39+'DCF Model'!G42)*I$17/(1+$B24)^('DCF Model'!C19+4)-'DCF Model'!C16)*1000000/'DCF Model'!C15,0),"")</f>
        <v>474</v>
      </c>
    </row>
    <row r="26" spans="2:9" ht="14" customHeight="1" x14ac:dyDescent="0.3">
      <c r="B26" s="71" t="s">
        <v>237</v>
      </c>
      <c r="C26" s="70"/>
      <c r="D26" s="70"/>
      <c r="E26" s="70"/>
      <c r="F26" s="70"/>
      <c r="G26" s="70"/>
      <c r="H26" s="70"/>
      <c r="I26" s="70"/>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t="s">
        <v>245</v>
      </c>
      <c r="C6" s="4" t="s">
        <v>250</v>
      </c>
      <c r="D6" t="s">
        <v>251</v>
      </c>
      <c r="E6" t="s">
        <v>252</v>
      </c>
      <c r="F6" t="s">
        <v>253</v>
      </c>
      <c r="G6" t="s">
        <v>254</v>
      </c>
    </row>
    <row r="12" spans="2:7" ht="14" customHeight="1" x14ac:dyDescent="0.3">
      <c r="B12" s="8" t="s">
        <v>255</v>
      </c>
    </row>
    <row r="13" spans="2:7" ht="14" customHeight="1" x14ac:dyDescent="0.3">
      <c r="B13" s="10" t="s">
        <v>256</v>
      </c>
      <c r="C13" s="10" t="s">
        <v>257</v>
      </c>
    </row>
    <row r="14" spans="2:7" ht="14" customHeight="1" x14ac:dyDescent="0.3">
      <c r="B14" s="4" t="s">
        <v>258</v>
      </c>
      <c r="C14" t="s">
        <v>259</v>
      </c>
    </row>
    <row r="15" spans="2:7" ht="14" customHeight="1" x14ac:dyDescent="0.3">
      <c r="B15" s="4" t="s">
        <v>260</v>
      </c>
      <c r="C15" t="s">
        <v>261</v>
      </c>
    </row>
    <row r="16" spans="2:7" ht="14" customHeight="1" x14ac:dyDescent="0.3">
      <c r="B16" s="4" t="s">
        <v>262</v>
      </c>
      <c r="C16" t="s">
        <v>263</v>
      </c>
    </row>
    <row r="17" spans="2:3" ht="14" customHeight="1" x14ac:dyDescent="0.3">
      <c r="B17" s="4" t="s">
        <v>264</v>
      </c>
      <c r="C17" t="s">
        <v>265</v>
      </c>
    </row>
    <row r="18" spans="2:3" ht="14" customHeight="1" x14ac:dyDescent="0.3">
      <c r="B18" s="4" t="s">
        <v>266</v>
      </c>
      <c r="C18" t="s">
        <v>263</v>
      </c>
    </row>
    <row r="19" spans="2:3" ht="14" customHeight="1" x14ac:dyDescent="0.3">
      <c r="B19" s="4" t="s">
        <v>267</v>
      </c>
      <c r="C19" t="s">
        <v>268</v>
      </c>
    </row>
    <row r="20" spans="2:3" ht="14" customHeight="1" x14ac:dyDescent="0.3">
      <c r="B20" s="4" t="s">
        <v>269</v>
      </c>
      <c r="C20" t="s">
        <v>270</v>
      </c>
    </row>
    <row r="21" spans="2:3" ht="14" customHeight="1" x14ac:dyDescent="0.3">
      <c r="B21" s="4" t="s">
        <v>271</v>
      </c>
      <c r="C21" t="s">
        <v>272</v>
      </c>
    </row>
    <row r="22" spans="2:3" ht="14" customHeight="1" x14ac:dyDescent="0.3">
      <c r="B22" s="4" t="s">
        <v>273</v>
      </c>
      <c r="C22" t="s">
        <v>274</v>
      </c>
    </row>
    <row r="23" spans="2:3" ht="14" customHeight="1" x14ac:dyDescent="0.3">
      <c r="B23" s="4" t="s">
        <v>275</v>
      </c>
      <c r="C23" t="s">
        <v>276</v>
      </c>
    </row>
    <row r="24" spans="2:3" ht="14" customHeight="1" x14ac:dyDescent="0.3">
      <c r="B24" s="4" t="s">
        <v>277</v>
      </c>
      <c r="C24" t="s">
        <v>4</v>
      </c>
    </row>
    <row r="25" spans="2:3" ht="14" customHeight="1" x14ac:dyDescent="0.3">
      <c r="B25" s="4" t="s">
        <v>278</v>
      </c>
      <c r="C25" t="s">
        <v>245</v>
      </c>
    </row>
    <row r="26" spans="2:3" ht="14" customHeight="1" x14ac:dyDescent="0.3">
      <c r="B26" s="4" t="s">
        <v>279</v>
      </c>
      <c r="C26" t="s">
        <v>280</v>
      </c>
    </row>
    <row r="27" spans="2:3" ht="14" customHeight="1" x14ac:dyDescent="0.3">
      <c r="B27" s="4" t="s">
        <v>281</v>
      </c>
      <c r="C27" t="s">
        <v>268</v>
      </c>
    </row>
    <row r="28" spans="2:3" ht="14" customHeight="1" x14ac:dyDescent="0.3">
      <c r="B28" s="4" t="s">
        <v>282</v>
      </c>
      <c r="C28" t="s">
        <v>283</v>
      </c>
    </row>
    <row r="29" spans="2:3" ht="14" customHeight="1" x14ac:dyDescent="0.3">
      <c r="B29" s="4" t="s">
        <v>284</v>
      </c>
    </row>
    <row r="30" spans="2:3" ht="14" customHeight="1" x14ac:dyDescent="0.3">
      <c r="B30" s="4" t="s">
        <v>285</v>
      </c>
      <c r="C30" t="s">
        <v>286</v>
      </c>
    </row>
    <row r="31" spans="2:3" ht="14" customHeight="1" x14ac:dyDescent="0.3">
      <c r="B31" s="4" t="s">
        <v>287</v>
      </c>
      <c r="C31" t="s">
        <v>288</v>
      </c>
    </row>
    <row r="32" spans="2:3" ht="14" customHeight="1" x14ac:dyDescent="0.3">
      <c r="B32" s="4" t="s">
        <v>289</v>
      </c>
      <c r="C32" t="s">
        <v>290</v>
      </c>
    </row>
    <row r="33" spans="2:3" ht="14" customHeight="1" x14ac:dyDescent="0.3">
      <c r="B33" s="4" t="s">
        <v>291</v>
      </c>
      <c r="C33" t="s">
        <v>268</v>
      </c>
    </row>
    <row r="34" spans="2:3" ht="14" customHeight="1" x14ac:dyDescent="0.3">
      <c r="B34" s="4" t="s">
        <v>292</v>
      </c>
      <c r="C34" t="s">
        <v>293</v>
      </c>
    </row>
    <row r="35" spans="2:3" ht="14" customHeight="1" x14ac:dyDescent="0.3">
      <c r="B35" s="4" t="s">
        <v>294</v>
      </c>
      <c r="C35" t="s">
        <v>295</v>
      </c>
    </row>
    <row r="36" spans="2:3" ht="14" customHeight="1" x14ac:dyDescent="0.3">
      <c r="B36" s="4" t="s">
        <v>296</v>
      </c>
      <c r="C36" t="s">
        <v>297</v>
      </c>
    </row>
    <row r="37" spans="2:3" ht="14" customHeight="1" x14ac:dyDescent="0.3">
      <c r="B37" s="4" t="s">
        <v>298</v>
      </c>
      <c r="C37" t="s">
        <v>299</v>
      </c>
    </row>
    <row r="38" spans="2:3" ht="14" customHeight="1" x14ac:dyDescent="0.3">
      <c r="B38" s="4" t="s">
        <v>300</v>
      </c>
      <c r="C38" t="s">
        <v>301</v>
      </c>
    </row>
    <row r="39" spans="2:3" ht="14" customHeight="1" x14ac:dyDescent="0.3">
      <c r="B39" s="4" t="s">
        <v>302</v>
      </c>
      <c r="C39" t="s">
        <v>303</v>
      </c>
    </row>
    <row r="40" spans="2:3" ht="14" customHeight="1" x14ac:dyDescent="0.3">
      <c r="B40" s="4" t="s">
        <v>304</v>
      </c>
      <c r="C40" t="s">
        <v>305</v>
      </c>
    </row>
    <row r="41" spans="2:3" ht="14" customHeight="1" x14ac:dyDescent="0.3">
      <c r="B41" s="4" t="s">
        <v>306</v>
      </c>
      <c r="C41" t="s">
        <v>272</v>
      </c>
    </row>
    <row r="42" spans="2:3" ht="14" customHeight="1" x14ac:dyDescent="0.3">
      <c r="B42" s="4" t="s">
        <v>307</v>
      </c>
      <c r="C42" t="s">
        <v>308</v>
      </c>
    </row>
    <row r="43" spans="2:3" ht="14" customHeight="1" x14ac:dyDescent="0.3">
      <c r="B43" s="4" t="s">
        <v>309</v>
      </c>
      <c r="C43" t="s">
        <v>310</v>
      </c>
    </row>
    <row r="44" spans="2:3" ht="14" customHeight="1" x14ac:dyDescent="0.3">
      <c r="B44" s="4" t="s">
        <v>311</v>
      </c>
      <c r="C44" t="s">
        <v>312</v>
      </c>
    </row>
    <row r="45" spans="2:3" ht="14" customHeight="1" x14ac:dyDescent="0.3">
      <c r="B45" s="4" t="s">
        <v>313</v>
      </c>
      <c r="C45" t="s">
        <v>314</v>
      </c>
    </row>
    <row r="46" spans="2:3" ht="14" customHeight="1" x14ac:dyDescent="0.3">
      <c r="B46" s="4" t="s">
        <v>315</v>
      </c>
      <c r="C46" t="s">
        <v>316</v>
      </c>
    </row>
    <row r="47" spans="2:3" ht="14" customHeight="1" x14ac:dyDescent="0.3">
      <c r="B47" s="4" t="s">
        <v>317</v>
      </c>
      <c r="C47" t="s">
        <v>318</v>
      </c>
    </row>
    <row r="48" spans="2:3" ht="14" customHeight="1" x14ac:dyDescent="0.3">
      <c r="B48" s="4" t="s">
        <v>319</v>
      </c>
      <c r="C48" t="s">
        <v>320</v>
      </c>
    </row>
    <row r="49" spans="2:3" ht="14" customHeight="1" x14ac:dyDescent="0.3">
      <c r="B49" s="4" t="s">
        <v>321</v>
      </c>
      <c r="C49" t="s">
        <v>322</v>
      </c>
    </row>
    <row r="50" spans="2:3" ht="14" customHeight="1" x14ac:dyDescent="0.3">
      <c r="B50" s="4" t="s">
        <v>323</v>
      </c>
      <c r="C50" t="s">
        <v>324</v>
      </c>
    </row>
    <row r="51" spans="2:3" ht="14" customHeight="1" x14ac:dyDescent="0.3">
      <c r="B51" s="4" t="s">
        <v>325</v>
      </c>
      <c r="C51" t="s">
        <v>326</v>
      </c>
    </row>
    <row r="52" spans="2:3" ht="14" customHeight="1" x14ac:dyDescent="0.3">
      <c r="B52" s="4" t="s">
        <v>327</v>
      </c>
      <c r="C52" t="s">
        <v>328</v>
      </c>
    </row>
    <row r="53" spans="2:3" ht="14" customHeight="1" x14ac:dyDescent="0.3">
      <c r="B53" s="4" t="s">
        <v>329</v>
      </c>
      <c r="C53" t="s">
        <v>330</v>
      </c>
    </row>
    <row r="54" spans="2:3" ht="14" customHeight="1" x14ac:dyDescent="0.3">
      <c r="B54" s="4" t="s">
        <v>331</v>
      </c>
      <c r="C54" t="s">
        <v>332</v>
      </c>
    </row>
    <row r="55" spans="2:3" ht="14" customHeight="1" x14ac:dyDescent="0.3">
      <c r="B55" s="4" t="s">
        <v>333</v>
      </c>
      <c r="C55" t="s">
        <v>334</v>
      </c>
    </row>
    <row r="56" spans="2:3" ht="14" customHeight="1" x14ac:dyDescent="0.3">
      <c r="B56" s="4" t="s">
        <v>335</v>
      </c>
      <c r="C56" t="s">
        <v>293</v>
      </c>
    </row>
    <row r="57" spans="2:3" ht="14" customHeight="1" x14ac:dyDescent="0.3">
      <c r="B57" s="4" t="s">
        <v>336</v>
      </c>
      <c r="C57" t="s">
        <v>337</v>
      </c>
    </row>
    <row r="58" spans="2:3" ht="14" customHeight="1" x14ac:dyDescent="0.3">
      <c r="B58" s="4" t="s">
        <v>338</v>
      </c>
      <c r="C58" t="s">
        <v>339</v>
      </c>
    </row>
    <row r="59" spans="2:3" ht="14" customHeight="1" x14ac:dyDescent="0.3">
      <c r="B59" s="4" t="s">
        <v>340</v>
      </c>
      <c r="C59" t="s">
        <v>341</v>
      </c>
    </row>
    <row r="60" spans="2:3" ht="14" customHeight="1" x14ac:dyDescent="0.3">
      <c r="B60" s="4" t="s">
        <v>342</v>
      </c>
      <c r="C60" t="s">
        <v>343</v>
      </c>
    </row>
    <row r="61" spans="2:3" ht="14" customHeight="1" x14ac:dyDescent="0.3">
      <c r="B61" s="4" t="s">
        <v>344</v>
      </c>
      <c r="C61" t="s">
        <v>345</v>
      </c>
    </row>
    <row r="62" spans="2:3" ht="14" customHeight="1" x14ac:dyDescent="0.3">
      <c r="B62" s="4" t="s">
        <v>346</v>
      </c>
      <c r="C62" t="s">
        <v>206</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8"/>
  </sheetPr>
  <dimension ref="B2:K39"/>
  <sheetViews>
    <sheetView workbookViewId="0">
      <pane xSplit="2" ySplit="5" topLeftCell="C6" activePane="bottomRight" state="frozen"/>
      <selection pane="topRight"/>
      <selection pane="bottomLeft"/>
      <selection pane="bottomRight"/>
    </sheetView>
  </sheetViews>
  <sheetFormatPr defaultRowHeight="13" x14ac:dyDescent="0.2"/>
  <cols>
    <col min="1" max="1" width="3" customWidth="1"/>
    <col min="2" max="2" width="28" customWidth="1"/>
    <col min="3" max="11" width="13" customWidth="1"/>
  </cols>
  <sheetData>
    <row r="2" spans="2:3" ht="18" x14ac:dyDescent="0.4">
      <c r="B2" s="2" t="s">
        <v>347</v>
      </c>
    </row>
    <row r="3" spans="2:3" ht="14" x14ac:dyDescent="0.3">
      <c r="B3" s="47" t="s">
        <v>348</v>
      </c>
    </row>
    <row r="5" spans="2:3" ht="14" x14ac:dyDescent="0.3">
      <c r="B5" s="3" t="s">
        <v>349</v>
      </c>
    </row>
    <row r="6" spans="2:3" ht="14" x14ac:dyDescent="0.3">
      <c r="B6" s="4" t="s">
        <v>66</v>
      </c>
      <c r="C6" s="48">
        <f>'DCF Model'!C7</f>
        <v>2.9700000000000001E-2</v>
      </c>
    </row>
    <row r="7" spans="2:3" ht="14" x14ac:dyDescent="0.3">
      <c r="B7" s="4" t="s">
        <v>67</v>
      </c>
      <c r="C7" s="49">
        <f>'DCF Model'!C8</f>
        <v>0.62639999999999996</v>
      </c>
    </row>
    <row r="8" spans="2:3" ht="14" x14ac:dyDescent="0.3">
      <c r="B8" s="4" t="s">
        <v>68</v>
      </c>
      <c r="C8" s="48">
        <f>'DCF Model'!C9</f>
        <v>6.5000000000000002E-2</v>
      </c>
    </row>
    <row r="9" spans="2:3" ht="14" x14ac:dyDescent="0.3">
      <c r="B9" s="4" t="s">
        <v>81</v>
      </c>
      <c r="C9" s="48">
        <f>'DCF Model'!C23</f>
        <v>8.0415999999999987E-2</v>
      </c>
    </row>
    <row r="10" spans="2:3" ht="14" x14ac:dyDescent="0.3">
      <c r="B10" s="4" t="s">
        <v>223</v>
      </c>
      <c r="C10" s="50">
        <f>'DCF Model'!C15</f>
        <v>1167997856</v>
      </c>
    </row>
    <row r="11" spans="2:3" ht="14" x14ac:dyDescent="0.3">
      <c r="B11" s="4" t="s">
        <v>350</v>
      </c>
      <c r="C11" s="51">
        <f>'Executive Summary'!C9</f>
        <v>340</v>
      </c>
    </row>
    <row r="12" spans="2:3" ht="14" x14ac:dyDescent="0.3">
      <c r="B12" s="4" t="s">
        <v>134</v>
      </c>
      <c r="C12" s="52">
        <v>0.01</v>
      </c>
    </row>
    <row r="14" spans="2:3" ht="14" x14ac:dyDescent="0.3">
      <c r="B14" s="4" t="s">
        <v>351</v>
      </c>
      <c r="C14" s="53" t="str">
        <f>IF($C$9&lt;=$C$12,"ERROR: Ke &lt;= g, model invalid","OK")</f>
        <v>OK</v>
      </c>
    </row>
    <row r="16" spans="2:3" ht="14" x14ac:dyDescent="0.3">
      <c r="B16" s="3" t="s">
        <v>352</v>
      </c>
    </row>
    <row r="17" spans="2:11" ht="14" x14ac:dyDescent="0.3">
      <c r="C17" s="54" t="s">
        <v>88</v>
      </c>
      <c r="D17" s="54" t="s">
        <v>89</v>
      </c>
      <c r="E17" s="54" t="s">
        <v>90</v>
      </c>
      <c r="F17" s="54" t="s">
        <v>91</v>
      </c>
      <c r="G17" s="54" t="s">
        <v>92</v>
      </c>
    </row>
    <row r="18" spans="2:11" ht="14" x14ac:dyDescent="0.3">
      <c r="B18" s="4" t="s">
        <v>353</v>
      </c>
      <c r="C18" s="55">
        <v>11</v>
      </c>
      <c r="D18" s="55">
        <v>11.5</v>
      </c>
      <c r="E18" s="55">
        <v>12</v>
      </c>
      <c r="F18" s="55">
        <v>12.5</v>
      </c>
      <c r="G18" s="55">
        <v>13</v>
      </c>
      <c r="H18" s="47" t="s">
        <v>354</v>
      </c>
    </row>
    <row r="19" spans="2:11" ht="14" x14ac:dyDescent="0.3">
      <c r="B19" s="4" t="s">
        <v>104</v>
      </c>
      <c r="C19" s="56">
        <f>1/(1+$C$9)^1</f>
        <v>0.92556941030121731</v>
      </c>
      <c r="D19" s="56">
        <f>1/(1+$C$9)^2</f>
        <v>0.85667873328534305</v>
      </c>
      <c r="E19" s="56">
        <f>1/(1+$C$9)^3</f>
        <v>0.79291562998450871</v>
      </c>
      <c r="F19" s="56">
        <f>1/(1+$C$9)^4</f>
        <v>0.73389845206338</v>
      </c>
      <c r="G19" s="56">
        <f>1/(1+$C$9)^5</f>
        <v>0.67927395749727881</v>
      </c>
    </row>
    <row r="20" spans="2:11" ht="14" x14ac:dyDescent="0.3">
      <c r="B20" s="4" t="s">
        <v>355</v>
      </c>
      <c r="C20" s="49">
        <f>C18*C19</f>
        <v>10.18126351331339</v>
      </c>
      <c r="D20" s="49">
        <f>D18*D19</f>
        <v>9.851805432781445</v>
      </c>
      <c r="E20" s="49">
        <f>E18*E19</f>
        <v>9.514987559814104</v>
      </c>
      <c r="F20" s="49">
        <f>F18*F19</f>
        <v>9.1737306507922494</v>
      </c>
      <c r="G20" s="49">
        <f>G18*G19</f>
        <v>8.8305614474646248</v>
      </c>
    </row>
    <row r="22" spans="2:11" ht="14" x14ac:dyDescent="0.3">
      <c r="B22" s="3" t="s">
        <v>356</v>
      </c>
    </row>
    <row r="23" spans="2:11" ht="14" x14ac:dyDescent="0.3">
      <c r="B23" s="4" t="s">
        <v>357</v>
      </c>
      <c r="C23" s="49">
        <f>SUM(C20:G20)</f>
        <v>47.552348604165815</v>
      </c>
    </row>
    <row r="24" spans="2:11" ht="14" x14ac:dyDescent="0.3">
      <c r="B24" s="4" t="s">
        <v>358</v>
      </c>
      <c r="C24" s="49">
        <f>G18*(1+$C$12)/($C$9-$C$12)</f>
        <v>186.46330379459218</v>
      </c>
    </row>
    <row r="25" spans="2:11" ht="14" x14ac:dyDescent="0.3">
      <c r="B25" s="4" t="s">
        <v>109</v>
      </c>
      <c r="C25" s="49">
        <f>C24*G19</f>
        <v>126.65966629656999</v>
      </c>
    </row>
    <row r="26" spans="2:11" ht="14" x14ac:dyDescent="0.3">
      <c r="B26" s="57" t="s">
        <v>359</v>
      </c>
      <c r="C26" s="58">
        <f>ROUND(C23+C25,0)</f>
        <v>174</v>
      </c>
    </row>
    <row r="27" spans="2:11" ht="14" x14ac:dyDescent="0.3">
      <c r="B27" s="4" t="s">
        <v>360</v>
      </c>
      <c r="C27" s="59">
        <f>C26/$C$11-1</f>
        <v>-0.4882352941176471</v>
      </c>
    </row>
    <row r="29" spans="2:11" ht="14" x14ac:dyDescent="0.3">
      <c r="B29" s="3" t="s">
        <v>361</v>
      </c>
    </row>
    <row r="30" spans="2:11" ht="14" x14ac:dyDescent="0.3">
      <c r="B30" s="4" t="s">
        <v>362</v>
      </c>
      <c r="C30" s="60">
        <v>0</v>
      </c>
      <c r="D30" s="60">
        <v>2.5000000000000001E-3</v>
      </c>
      <c r="E30" s="60">
        <v>5.0000000000000001E-3</v>
      </c>
      <c r="F30" s="60">
        <v>7.4999999999999997E-3</v>
      </c>
      <c r="G30" s="60">
        <v>0.01</v>
      </c>
      <c r="H30" s="60">
        <v>1.2500000000000001E-2</v>
      </c>
      <c r="I30" s="60">
        <v>1.4999999999999999E-2</v>
      </c>
      <c r="J30" s="60">
        <v>1.7500000000000002E-2</v>
      </c>
      <c r="K30" s="60">
        <v>0.02</v>
      </c>
    </row>
    <row r="31" spans="2:11" ht="14" x14ac:dyDescent="0.3">
      <c r="B31" s="61">
        <v>7.0000000000000007E-2</v>
      </c>
      <c r="C31" s="62">
        <f>IF($B31&lt;=C$30,"",ROUND(SUMPRODUCT($C$18:$G$18,1/(1+$B31)^{1,2,3,4,5})+G18*(1+C$30)/($B31-C$30)/(1+$B31)^5,0))</f>
        <v>181</v>
      </c>
      <c r="D31" s="62">
        <f>IF($B31&lt;=D$30,"",ROUND(SUMPRODUCT($C$18:$G$18,1/(1+$B31)^{1,2,3,4,5})+G18*(1+D$30)/($B31-D$30)/(1+$B31)^5,0))</f>
        <v>187</v>
      </c>
      <c r="E31" s="62">
        <f>IF($B31&lt;=E$30,"",ROUND(SUMPRODUCT($C$18:$G$18,1/(1+$B31)^{1,2,3,4,5})+G18*(1+E$30)/($B31-E$30)/(1+$B31)^5,0))</f>
        <v>192</v>
      </c>
      <c r="F31" s="62">
        <f>IF($B31&lt;=F$30,"",ROUND(SUMPRODUCT($C$18:$G$18,1/(1+$B31)^{1,2,3,4,5})+G18*(1+F$30)/($B31-F$30)/(1+$B31)^5,0))</f>
        <v>198</v>
      </c>
      <c r="G31" s="62">
        <f>IF($B31&lt;=G$30,"",ROUND(SUMPRODUCT($C$18:$G$18,1/(1+$B31)^{1,2,3,4,5})+G18*(1+G$30)/($B31-G$30)/(1+$B31)^5,0))</f>
        <v>205</v>
      </c>
      <c r="H31" s="62">
        <f>IF($B31&lt;=H$30,"",ROUND(SUMPRODUCT($C$18:$G$18,1/(1+$B31)^{1,2,3,4,5})+G18*(1+H$30)/($B31-H$30)/(1+$B31)^5,0))</f>
        <v>212</v>
      </c>
      <c r="I31" s="62">
        <f>IF($B31&lt;=I$30,"",ROUND(SUMPRODUCT($C$18:$G$18,1/(1+$B31)^{1,2,3,4,5})+G18*(1+I$30)/($B31-I$30)/(1+$B31)^5,0))</f>
        <v>220</v>
      </c>
      <c r="J31" s="62">
        <f>IF($B31&lt;=J$30,"",ROUND(SUMPRODUCT($C$18:$G$18,1/(1+$B31)^{1,2,3,4,5})+G18*(1+J$30)/($B31-J$30)/(1+$B31)^5,0))</f>
        <v>229</v>
      </c>
      <c r="K31" s="62">
        <f>IF($B31&lt;=K$30,"",ROUND(SUMPRODUCT($C$18:$G$18,1/(1+$B31)^{1,2,3,4,5})+G18*(1+K$30)/($B31-K$30)/(1+$B31)^5,0))</f>
        <v>238</v>
      </c>
    </row>
    <row r="32" spans="2:11" ht="14" x14ac:dyDescent="0.3">
      <c r="B32" s="61">
        <v>7.2499999999999995E-2</v>
      </c>
      <c r="C32" s="62">
        <f>IF($B32&lt;=C$30,"",ROUND(SUMPRODUCT($C$18:$G$18,1/(1+$B32)^{1,2,3,4,5})+G18*(1+C$30)/($B32-C$30)/(1+$B32)^5,0))</f>
        <v>175</v>
      </c>
      <c r="D32" s="62">
        <f>IF($B32&lt;=D$30,"",ROUND(SUMPRODUCT($C$18:$G$18,1/(1+$B32)^{1,2,3,4,5})+G18*(1+D$30)/($B32-D$30)/(1+$B32)^5,0))</f>
        <v>180</v>
      </c>
      <c r="E32" s="62">
        <f>IF($B32&lt;=E$30,"",ROUND(SUMPRODUCT($C$18:$G$18,1/(1+$B32)^{1,2,3,4,5})+G18*(1+E$30)/($B32-E$30)/(1+$B32)^5,0))</f>
        <v>185</v>
      </c>
      <c r="F32" s="62">
        <f>IF($B32&lt;=F$30,"",ROUND(SUMPRODUCT($C$18:$G$18,1/(1+$B32)^{1,2,3,4,5})+G18*(1+F$30)/($B32-F$30)/(1+$B32)^5,0))</f>
        <v>191</v>
      </c>
      <c r="G32" s="62">
        <f>IF($B32&lt;=G$30,"",ROUND(SUMPRODUCT($C$18:$G$18,1/(1+$B32)^{1,2,3,4,5})+G18*(1+G$30)/($B32-G$30)/(1+$B32)^5,0))</f>
        <v>197</v>
      </c>
      <c r="H32" s="62">
        <f>IF($B32&lt;=H$30,"",ROUND(SUMPRODUCT($C$18:$G$18,1/(1+$B32)^{1,2,3,4,5})+G18*(1+H$30)/($B32-H$30)/(1+$B32)^5,0))</f>
        <v>203</v>
      </c>
      <c r="I32" s="62">
        <f>IF($B32&lt;=I$30,"",ROUND(SUMPRODUCT($C$18:$G$18,1/(1+$B32)^{1,2,3,4,5})+G18*(1+I$30)/($B32-I$30)/(1+$B32)^5,0))</f>
        <v>210</v>
      </c>
      <c r="J32" s="62">
        <f>IF($B32&lt;=J$30,"",ROUND(SUMPRODUCT($C$18:$G$18,1/(1+$B32)^{1,2,3,4,5})+G18*(1+J$30)/($B32-J$30)/(1+$B32)^5,0))</f>
        <v>218</v>
      </c>
      <c r="K32" s="62">
        <f>IF($B32&lt;=K$30,"",ROUND(SUMPRODUCT($C$18:$G$18,1/(1+$B32)^{1,2,3,4,5})+G18*(1+K$30)/($B32-K$30)/(1+$B32)^5,0))</f>
        <v>227</v>
      </c>
    </row>
    <row r="33" spans="2:11" ht="14" x14ac:dyDescent="0.3">
      <c r="B33" s="61">
        <v>7.4999999999999997E-2</v>
      </c>
      <c r="C33" s="62">
        <f>IF($B33&lt;=C$30,"",ROUND(SUMPRODUCT($C$18:$G$18,1/(1+$B33)^{1,2,3,4,5})+G18*(1+C$30)/($B33-C$30)/(1+$B33)^5,0))</f>
        <v>169</v>
      </c>
      <c r="D33" s="62">
        <f>IF($B33&lt;=D$30,"",ROUND(SUMPRODUCT($C$18:$G$18,1/(1+$B33)^{1,2,3,4,5})+G18*(1+D$30)/($B33-D$30)/(1+$B33)^5,0))</f>
        <v>173</v>
      </c>
      <c r="E33" s="62">
        <f>IF($B33&lt;=E$30,"",ROUND(SUMPRODUCT($C$18:$G$18,1/(1+$B33)^{1,2,3,4,5})+G18*(1+E$30)/($B33-E$30)/(1+$B33)^5,0))</f>
        <v>178</v>
      </c>
      <c r="F33" s="62">
        <f>IF($B33&lt;=F$30,"",ROUND(SUMPRODUCT($C$18:$G$18,1/(1+$B33)^{1,2,3,4,5})+G18*(1+F$30)/($B33-F$30)/(1+$B33)^5,0))</f>
        <v>183</v>
      </c>
      <c r="G33" s="62">
        <f>IF($B33&lt;=G$30,"",ROUND(SUMPRODUCT($C$18:$G$18,1/(1+$B33)^{1,2,3,4,5})+G18*(1+G$30)/($B33-G$30)/(1+$B33)^5,0))</f>
        <v>189</v>
      </c>
      <c r="H33" s="62">
        <f>IF($B33&lt;=H$30,"",ROUND(SUMPRODUCT($C$18:$G$18,1/(1+$B33)^{1,2,3,4,5})+G18*(1+H$30)/($B33-H$30)/(1+$B33)^5,0))</f>
        <v>195</v>
      </c>
      <c r="I33" s="62">
        <f>IF($B33&lt;=I$30,"",ROUND(SUMPRODUCT($C$18:$G$18,1/(1+$B33)^{1,2,3,4,5})+G18*(1+I$30)/($B33-I$30)/(1+$B33)^5,0))</f>
        <v>201</v>
      </c>
      <c r="J33" s="62">
        <f>IF($B33&lt;=J$30,"",ROUND(SUMPRODUCT($C$18:$G$18,1/(1+$B33)^{1,2,3,4,5})+G18*(1+J$30)/($B33-J$30)/(1+$B33)^5,0))</f>
        <v>208</v>
      </c>
      <c r="K33" s="62">
        <f>IF($B33&lt;=K$30,"",ROUND(SUMPRODUCT($C$18:$G$18,1/(1+$B33)^{1,2,3,4,5})+G18*(1+K$30)/($B33-K$30)/(1+$B33)^5,0))</f>
        <v>216</v>
      </c>
    </row>
    <row r="34" spans="2:11" ht="14" x14ac:dyDescent="0.3">
      <c r="B34" s="61">
        <v>7.7499999999999999E-2</v>
      </c>
      <c r="C34" s="62">
        <f>IF($B34&lt;=C$30,"",ROUND(SUMPRODUCT($C$18:$G$18,1/(1+$B34)^{1,2,3,4,5})+G18*(1+C$30)/($B34-C$30)/(1+$B34)^5,0))</f>
        <v>163</v>
      </c>
      <c r="D34" s="62">
        <f>IF($B34&lt;=D$30,"",ROUND(SUMPRODUCT($C$18:$G$18,1/(1+$B34)^{1,2,3,4,5})+G18*(1+D$30)/($B34-D$30)/(1+$B34)^5,0))</f>
        <v>168</v>
      </c>
      <c r="E34" s="62">
        <f>IF($B34&lt;=E$30,"",ROUND(SUMPRODUCT($C$18:$G$18,1/(1+$B34)^{1,2,3,4,5})+G18*(1+E$30)/($B34-E$30)/(1+$B34)^5,0))</f>
        <v>172</v>
      </c>
      <c r="F34" s="62">
        <f>IF($B34&lt;=F$30,"",ROUND(SUMPRODUCT($C$18:$G$18,1/(1+$B34)^{1,2,3,4,5})+G18*(1+F$30)/($B34-F$30)/(1+$B34)^5,0))</f>
        <v>177</v>
      </c>
      <c r="G34" s="62">
        <f>IF($B34&lt;=G$30,"",ROUND(SUMPRODUCT($C$18:$G$18,1/(1+$B34)^{1,2,3,4,5})+G18*(1+G$30)/($B34-G$30)/(1+$B34)^5,0))</f>
        <v>182</v>
      </c>
      <c r="H34" s="62">
        <f>IF($B34&lt;=H$30,"",ROUND(SUMPRODUCT($C$18:$G$18,1/(1+$B34)^{1,2,3,4,5})+G18*(1+H$30)/($B34-H$30)/(1+$B34)^5,0))</f>
        <v>187</v>
      </c>
      <c r="I34" s="62">
        <f>IF($B34&lt;=I$30,"",ROUND(SUMPRODUCT($C$18:$G$18,1/(1+$B34)^{1,2,3,4,5})+G18*(1+I$30)/($B34-I$30)/(1+$B34)^5,0))</f>
        <v>193</v>
      </c>
      <c r="J34" s="62">
        <f>IF($B34&lt;=J$30,"",ROUND(SUMPRODUCT($C$18:$G$18,1/(1+$B34)^{1,2,3,4,5})+G18*(1+J$30)/($B34-J$30)/(1+$B34)^5,0))</f>
        <v>200</v>
      </c>
      <c r="K34" s="62">
        <f>IF($B34&lt;=K$30,"",ROUND(SUMPRODUCT($C$18:$G$18,1/(1+$B34)^{1,2,3,4,5})+G18*(1+K$30)/($B34-K$30)/(1+$B34)^5,0))</f>
        <v>207</v>
      </c>
    </row>
    <row r="35" spans="2:11" ht="14" x14ac:dyDescent="0.3">
      <c r="B35" s="61">
        <v>0.08</v>
      </c>
      <c r="C35" s="62">
        <f>IF($B35&lt;=C$30,"",ROUND(SUMPRODUCT($C$18:$G$18,1/(1+$B35)^{1,2,3,4,5})+G18*(1+C$30)/($B35-C$30)/(1+$B35)^5,0))</f>
        <v>158</v>
      </c>
      <c r="D35" s="62">
        <f>IF($B35&lt;=D$30,"",ROUND(SUMPRODUCT($C$18:$G$18,1/(1+$B35)^{1,2,3,4,5})+G18*(1+D$30)/($B35-D$30)/(1+$B35)^5,0))</f>
        <v>162</v>
      </c>
      <c r="E35" s="62">
        <f>IF($B35&lt;=E$30,"",ROUND(SUMPRODUCT($C$18:$G$18,1/(1+$B35)^{1,2,3,4,5})+G18*(1+E$30)/($B35-E$30)/(1+$B35)^5,0))</f>
        <v>166</v>
      </c>
      <c r="F35" s="62">
        <f>IF($B35&lt;=F$30,"",ROUND(SUMPRODUCT($C$18:$G$18,1/(1+$B35)^{1,2,3,4,5})+G18*(1+F$30)/($B35-F$30)/(1+$B35)^5,0))</f>
        <v>171</v>
      </c>
      <c r="G35" s="62">
        <f>IF($B35&lt;=G$30,"",ROUND(SUMPRODUCT($C$18:$G$18,1/(1+$B35)^{1,2,3,4,5})+G18*(1+G$30)/($B35-G$30)/(1+$B35)^5,0))</f>
        <v>175</v>
      </c>
      <c r="H35" s="62">
        <f>IF($B35&lt;=H$30,"",ROUND(SUMPRODUCT($C$18:$G$18,1/(1+$B35)^{1,2,3,4,5})+G18*(1+H$30)/($B35-H$30)/(1+$B35)^5,0))</f>
        <v>180</v>
      </c>
      <c r="I35" s="62">
        <f>IF($B35&lt;=I$30,"",ROUND(SUMPRODUCT($C$18:$G$18,1/(1+$B35)^{1,2,3,4,5})+G18*(1+I$30)/($B35-I$30)/(1+$B35)^5,0))</f>
        <v>186</v>
      </c>
      <c r="J35" s="62">
        <f>IF($B35&lt;=J$30,"",ROUND(SUMPRODUCT($C$18:$G$18,1/(1+$B35)^{1,2,3,4,5})+G18*(1+J$30)/($B35-J$30)/(1+$B35)^5,0))</f>
        <v>192</v>
      </c>
      <c r="K35" s="62">
        <f>IF($B35&lt;=K$30,"",ROUND(SUMPRODUCT($C$18:$G$18,1/(1+$B35)^{1,2,3,4,5})+G18*(1+K$30)/($B35-K$30)/(1+$B35)^5,0))</f>
        <v>198</v>
      </c>
    </row>
    <row r="36" spans="2:11" ht="14" x14ac:dyDescent="0.3">
      <c r="B36" s="61">
        <v>8.2500000000000004E-2</v>
      </c>
      <c r="C36" s="62">
        <f>IF($B36&lt;=C$30,"",ROUND(SUMPRODUCT($C$18:$G$18,1/(1+$B36)^{1,2,3,4,5})+G18*(1+C$30)/($B36-C$30)/(1+$B36)^5,0))</f>
        <v>153</v>
      </c>
      <c r="D36" s="62">
        <f>IF($B36&lt;=D$30,"",ROUND(SUMPRODUCT($C$18:$G$18,1/(1+$B36)^{1,2,3,4,5})+G18*(1+D$30)/($B36-D$30)/(1+$B36)^5,0))</f>
        <v>157</v>
      </c>
      <c r="E36" s="62">
        <f>IF($B36&lt;=E$30,"",ROUND(SUMPRODUCT($C$18:$G$18,1/(1+$B36)^{1,2,3,4,5})+G18*(1+E$30)/($B36-E$30)/(1+$B36)^5,0))</f>
        <v>161</v>
      </c>
      <c r="F36" s="62">
        <f>IF($B36&lt;=F$30,"",ROUND(SUMPRODUCT($C$18:$G$18,1/(1+$B36)^{1,2,3,4,5})+G18*(1+F$30)/($B36-F$30)/(1+$B36)^5,0))</f>
        <v>165</v>
      </c>
      <c r="G36" s="62">
        <f>IF($B36&lt;=G$30,"",ROUND(SUMPRODUCT($C$18:$G$18,1/(1+$B36)^{1,2,3,4,5})+G18*(1+G$30)/($B36-G$30)/(1+$B36)^5,0))</f>
        <v>169</v>
      </c>
      <c r="H36" s="62">
        <f>IF($B36&lt;=H$30,"",ROUND(SUMPRODUCT($C$18:$G$18,1/(1+$B36)^{1,2,3,4,5})+G18*(1+H$30)/($B36-H$30)/(1+$B36)^5,0))</f>
        <v>174</v>
      </c>
      <c r="I36" s="62">
        <f>IF($B36&lt;=I$30,"",ROUND(SUMPRODUCT($C$18:$G$18,1/(1+$B36)^{1,2,3,4,5})+G18*(1+I$30)/($B36-I$30)/(1+$B36)^5,0))</f>
        <v>179</v>
      </c>
      <c r="J36" s="62">
        <f>IF($B36&lt;=J$30,"",ROUND(SUMPRODUCT($C$18:$G$18,1/(1+$B36)^{1,2,3,4,5})+G18*(1+J$30)/($B36-J$30)/(1+$B36)^5,0))</f>
        <v>184</v>
      </c>
      <c r="K36" s="62">
        <f>IF($B36&lt;=K$30,"",ROUND(SUMPRODUCT($C$18:$G$18,1/(1+$B36)^{1,2,3,4,5})+G18*(1+K$30)/($B36-K$30)/(1+$B36)^5,0))</f>
        <v>190</v>
      </c>
    </row>
    <row r="37" spans="2:11" ht="14" x14ac:dyDescent="0.3">
      <c r="B37" s="61">
        <v>8.5000000000000006E-2</v>
      </c>
      <c r="C37" s="62">
        <f>IF($B37&lt;=C$30,"",ROUND(SUMPRODUCT($C$18:$G$18,1/(1+$B37)^{1,2,3,4,5})+G18*(1+C$30)/($B37-C$30)/(1+$B37)^5,0))</f>
        <v>149</v>
      </c>
      <c r="D37" s="62">
        <f>IF($B37&lt;=D$30,"",ROUND(SUMPRODUCT($C$18:$G$18,1/(1+$B37)^{1,2,3,4,5})+G18*(1+D$30)/($B37-D$30)/(1+$B37)^5,0))</f>
        <v>152</v>
      </c>
      <c r="E37" s="62">
        <f>IF($B37&lt;=E$30,"",ROUND(SUMPRODUCT($C$18:$G$18,1/(1+$B37)^{1,2,3,4,5})+G18*(1+E$30)/($B37-E$30)/(1+$B37)^5,0))</f>
        <v>156</v>
      </c>
      <c r="F37" s="62">
        <f>IF($B37&lt;=F$30,"",ROUND(SUMPRODUCT($C$18:$G$18,1/(1+$B37)^{1,2,3,4,5})+G18*(1+F$30)/($B37-F$30)/(1+$B37)^5,0))</f>
        <v>159</v>
      </c>
      <c r="G37" s="62">
        <f>IF($B37&lt;=G$30,"",ROUND(SUMPRODUCT($C$18:$G$18,1/(1+$B37)^{1,2,3,4,5})+G18*(1+G$30)/($B37-G$30)/(1+$B37)^5,0))</f>
        <v>163</v>
      </c>
      <c r="H37" s="62">
        <f>IF($B37&lt;=H$30,"",ROUND(SUMPRODUCT($C$18:$G$18,1/(1+$B37)^{1,2,3,4,5})+G18*(1+H$30)/($B37-H$30)/(1+$B37)^5,0))</f>
        <v>168</v>
      </c>
      <c r="I37" s="62">
        <f>IF($B37&lt;=I$30,"",ROUND(SUMPRODUCT($C$18:$G$18,1/(1+$B37)^{1,2,3,4,5})+G18*(1+I$30)/($B37-I$30)/(1+$B37)^5,0))</f>
        <v>172</v>
      </c>
      <c r="J37" s="62">
        <f>IF($B37&lt;=J$30,"",ROUND(SUMPRODUCT($C$18:$G$18,1/(1+$B37)^{1,2,3,4,5})+G18*(1+J$30)/($B37-J$30)/(1+$B37)^5,0))</f>
        <v>177</v>
      </c>
      <c r="K37" s="62">
        <f>IF($B37&lt;=K$30,"",ROUND(SUMPRODUCT($C$18:$G$18,1/(1+$B37)^{1,2,3,4,5})+G18*(1+K$30)/($B37-K$30)/(1+$B37)^5,0))</f>
        <v>183</v>
      </c>
    </row>
    <row r="38" spans="2:11" ht="14" x14ac:dyDescent="0.3">
      <c r="B38" s="61">
        <v>8.7499999999999994E-2</v>
      </c>
      <c r="C38" s="62">
        <f>IF($B38&lt;=C$30,"",ROUND(SUMPRODUCT($C$18:$G$18,1/(1+$B38)^{1,2,3,4,5})+G18*(1+C$30)/($B38-C$30)/(1+$B38)^5,0))</f>
        <v>144</v>
      </c>
      <c r="D38" s="62">
        <f>IF($B38&lt;=D$30,"",ROUND(SUMPRODUCT($C$18:$G$18,1/(1+$B38)^{1,2,3,4,5})+G18*(1+D$30)/($B38-D$30)/(1+$B38)^5,0))</f>
        <v>147</v>
      </c>
      <c r="E38" s="62">
        <f>IF($B38&lt;=E$30,"",ROUND(SUMPRODUCT($C$18:$G$18,1/(1+$B38)^{1,2,3,4,5})+G18*(1+E$30)/($B38-E$30)/(1+$B38)^5,0))</f>
        <v>151</v>
      </c>
      <c r="F38" s="62">
        <f>IF($B38&lt;=F$30,"",ROUND(SUMPRODUCT($C$18:$G$18,1/(1+$B38)^{1,2,3,4,5})+G18*(1+F$30)/($B38-F$30)/(1+$B38)^5,0))</f>
        <v>154</v>
      </c>
      <c r="G38" s="62">
        <f>IF($B38&lt;=G$30,"",ROUND(SUMPRODUCT($C$18:$G$18,1/(1+$B38)^{1,2,3,4,5})+G18*(1+G$30)/($B38-G$30)/(1+$B38)^5,0))</f>
        <v>158</v>
      </c>
      <c r="H38" s="62">
        <f>IF($B38&lt;=H$30,"",ROUND(SUMPRODUCT($C$18:$G$18,1/(1+$B38)^{1,2,3,4,5})+G18*(1+H$30)/($B38-H$30)/(1+$B38)^5,0))</f>
        <v>162</v>
      </c>
      <c r="I38" s="62">
        <f>IF($B38&lt;=I$30,"",ROUND(SUMPRODUCT($C$18:$G$18,1/(1+$B38)^{1,2,3,4,5})+G18*(1+I$30)/($B38-I$30)/(1+$B38)^5,0))</f>
        <v>166</v>
      </c>
      <c r="J38" s="62">
        <f>IF($B38&lt;=J$30,"",ROUND(SUMPRODUCT($C$18:$G$18,1/(1+$B38)^{1,2,3,4,5})+G18*(1+J$30)/($B38-J$30)/(1+$B38)^5,0))</f>
        <v>171</v>
      </c>
      <c r="K38" s="62">
        <f>IF($B38&lt;=K$30,"",ROUND(SUMPRODUCT($C$18:$G$18,1/(1+$B38)^{1,2,3,4,5})+G18*(1+K$30)/($B38-K$30)/(1+$B38)^5,0))</f>
        <v>176</v>
      </c>
    </row>
    <row r="39" spans="2:11" ht="14" x14ac:dyDescent="0.3">
      <c r="B39" s="61">
        <v>0.09</v>
      </c>
      <c r="C39" s="62">
        <f>IF($B39&lt;=C$30,"",ROUND(SUMPRODUCT($C$18:$G$18,1/(1+$B39)^{1,2,3,4,5})+G18*(1+C$30)/($B39-C$30)/(1+$B39)^5,0))</f>
        <v>140</v>
      </c>
      <c r="D39" s="62">
        <f>IF($B39&lt;=D$30,"",ROUND(SUMPRODUCT($C$18:$G$18,1/(1+$B39)^{1,2,3,4,5})+G18*(1+D$30)/($B39-D$30)/(1+$B39)^5,0))</f>
        <v>143</v>
      </c>
      <c r="E39" s="62">
        <f>IF($B39&lt;=E$30,"",ROUND(SUMPRODUCT($C$18:$G$18,1/(1+$B39)^{1,2,3,4,5})+G18*(1+E$30)/($B39-E$30)/(1+$B39)^5,0))</f>
        <v>146</v>
      </c>
      <c r="F39" s="62">
        <f>IF($B39&lt;=F$30,"",ROUND(SUMPRODUCT($C$18:$G$18,1/(1+$B39)^{1,2,3,4,5})+G18*(1+F$30)/($B39-F$30)/(1+$B39)^5,0))</f>
        <v>150</v>
      </c>
      <c r="G39" s="62">
        <f>IF($B39&lt;=G$30,"",ROUND(SUMPRODUCT($C$18:$G$18,1/(1+$B39)^{1,2,3,4,5})+G18*(1+G$30)/($B39-G$30)/(1+$B39)^5,0))</f>
        <v>153</v>
      </c>
      <c r="H39" s="62">
        <f>IF($B39&lt;=H$30,"",ROUND(SUMPRODUCT($C$18:$G$18,1/(1+$B39)^{1,2,3,4,5})+G18*(1+H$30)/($B39-H$30)/(1+$B39)^5,0))</f>
        <v>157</v>
      </c>
      <c r="I39" s="62">
        <f>IF($B39&lt;=I$30,"",ROUND(SUMPRODUCT($C$18:$G$18,1/(1+$B39)^{1,2,3,4,5})+G18*(1+I$30)/($B39-I$30)/(1+$B39)^5,0))</f>
        <v>161</v>
      </c>
      <c r="J39" s="62">
        <f>IF($B39&lt;=J$30,"",ROUND(SUMPRODUCT($C$18:$G$18,1/(1+$B39)^{1,2,3,4,5})+G18*(1+J$30)/($B39-J$30)/(1+$B39)^5,0))</f>
        <v>165</v>
      </c>
      <c r="K39" s="62">
        <f>IF($B39&lt;=K$30,"",ROUND(SUMPRODUCT($C$18:$G$18,1/(1+$B39)^{1,2,3,4,5})+G18*(1+K$30)/($B39-K$30)/(1+$B39)^5,0))</f>
        <v>169</v>
      </c>
    </row>
  </sheetData>
  <phoneticPr fontId="8"/>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8"/>
  </sheetPr>
  <dimension ref="B2:H56"/>
  <sheetViews>
    <sheetView workbookViewId="0">
      <pane xSplit="2" ySplit="5" topLeftCell="C6" activePane="bottomRight" state="frozen"/>
      <selection pane="topRight"/>
      <selection pane="bottomLeft"/>
      <selection pane="bottomRight"/>
    </sheetView>
  </sheetViews>
  <sheetFormatPr defaultRowHeight="13" x14ac:dyDescent="0.2"/>
  <cols>
    <col min="1" max="1" width="3" customWidth="1"/>
    <col min="2" max="2" width="30" customWidth="1"/>
    <col min="3" max="11" width="13" customWidth="1"/>
  </cols>
  <sheetData>
    <row r="2" spans="2:8" ht="18" x14ac:dyDescent="0.4">
      <c r="B2" s="2" t="s">
        <v>363</v>
      </c>
    </row>
    <row r="3" spans="2:8" ht="14" x14ac:dyDescent="0.3">
      <c r="B3" s="47" t="s">
        <v>364</v>
      </c>
    </row>
    <row r="5" spans="2:8" ht="14" x14ac:dyDescent="0.3">
      <c r="B5" s="3" t="s">
        <v>349</v>
      </c>
    </row>
    <row r="6" spans="2:8" ht="14" x14ac:dyDescent="0.3">
      <c r="B6" s="4" t="s">
        <v>365</v>
      </c>
      <c r="C6" s="63">
        <v>280498</v>
      </c>
    </row>
    <row r="7" spans="2:8" ht="14" x14ac:dyDescent="0.3">
      <c r="B7" s="4" t="s">
        <v>223</v>
      </c>
      <c r="C7" s="50">
        <f>DDM!C$10</f>
        <v>1167997856</v>
      </c>
    </row>
    <row r="8" spans="2:8" ht="14" x14ac:dyDescent="0.3">
      <c r="B8" s="4" t="s">
        <v>366</v>
      </c>
      <c r="C8" s="64">
        <f>C6/C7*1000000</f>
        <v>240.15283808877126</v>
      </c>
    </row>
    <row r="9" spans="2:8" ht="14" x14ac:dyDescent="0.3">
      <c r="B9" s="4" t="s">
        <v>81</v>
      </c>
      <c r="C9" s="48">
        <f>DDM!C$9</f>
        <v>8.0415999999999987E-2</v>
      </c>
    </row>
    <row r="10" spans="2:8" ht="14" x14ac:dyDescent="0.3">
      <c r="B10" s="4" t="s">
        <v>134</v>
      </c>
      <c r="C10" s="48">
        <f>DDM!C$12</f>
        <v>0.01</v>
      </c>
    </row>
    <row r="12" spans="2:8" ht="14" x14ac:dyDescent="0.3">
      <c r="B12" s="3" t="s">
        <v>367</v>
      </c>
    </row>
    <row r="13" spans="2:8" ht="14" x14ac:dyDescent="0.3">
      <c r="C13" s="54" t="s">
        <v>88</v>
      </c>
      <c r="D13" s="54" t="s">
        <v>89</v>
      </c>
      <c r="E13" s="54" t="s">
        <v>90</v>
      </c>
      <c r="F13" s="54" t="s">
        <v>91</v>
      </c>
      <c r="G13" s="54" t="s">
        <v>92</v>
      </c>
    </row>
    <row r="14" spans="2:8" ht="14" x14ac:dyDescent="0.3">
      <c r="B14" s="4" t="s">
        <v>202</v>
      </c>
      <c r="C14" s="65">
        <v>6.0999999999999999E-2</v>
      </c>
      <c r="D14" s="65">
        <v>6.5000000000000002E-2</v>
      </c>
      <c r="E14" s="65">
        <v>6.8000000000000005E-2</v>
      </c>
      <c r="F14" s="65">
        <v>7.0000000000000007E-2</v>
      </c>
      <c r="G14" s="65">
        <v>7.0000000000000007E-2</v>
      </c>
      <c r="H14" s="47" t="s">
        <v>368</v>
      </c>
    </row>
    <row r="16" spans="2:8" ht="14" x14ac:dyDescent="0.3">
      <c r="B16" s="3" t="s">
        <v>369</v>
      </c>
    </row>
    <row r="17" spans="2:7" ht="14" x14ac:dyDescent="0.3">
      <c r="B17" s="4"/>
      <c r="C17" s="66" t="s">
        <v>88</v>
      </c>
      <c r="D17" s="66" t="s">
        <v>89</v>
      </c>
      <c r="E17" s="66" t="s">
        <v>90</v>
      </c>
      <c r="F17" s="66" t="s">
        <v>91</v>
      </c>
      <c r="G17" s="66" t="s">
        <v>92</v>
      </c>
    </row>
    <row r="18" spans="2:7" ht="14" x14ac:dyDescent="0.3">
      <c r="B18" s="4" t="s">
        <v>370</v>
      </c>
      <c r="C18" s="51">
        <f>C14*$C$6</f>
        <v>17110.378000000001</v>
      </c>
      <c r="D18" s="51">
        <f>D14*C20</f>
        <v>18509.426102960002</v>
      </c>
      <c r="E18" s="51">
        <f>E14*D20</f>
        <v>19708.973959321287</v>
      </c>
      <c r="F18" s="51">
        <f>F14*E20</f>
        <v>20687.159642119695</v>
      </c>
      <c r="G18" s="51">
        <f>G14*F20</f>
        <v>21113.262693068074</v>
      </c>
    </row>
    <row r="19" spans="2:7" ht="14" x14ac:dyDescent="0.3">
      <c r="B19" s="4" t="s">
        <v>371</v>
      </c>
      <c r="C19" s="51">
        <f>DDM!C18*C7/1000000</f>
        <v>12847.976416</v>
      </c>
      <c r="D19" s="51">
        <f>DDM!D18*C7/1000000</f>
        <v>13431.975344</v>
      </c>
      <c r="E19" s="51">
        <f>DDM!E18*C7/1000000</f>
        <v>14015.974271999999</v>
      </c>
      <c r="F19" s="51">
        <f>DDM!F18*C7/1000000</f>
        <v>14599.9732</v>
      </c>
      <c r="G19" s="51">
        <f>DDM!G18*C7/1000000</f>
        <v>15183.972127999999</v>
      </c>
    </row>
    <row r="20" spans="2:7" ht="14" x14ac:dyDescent="0.3">
      <c r="B20" s="4" t="s">
        <v>372</v>
      </c>
      <c r="C20" s="62">
        <f>$C$6+C18-C19</f>
        <v>284760.40158400004</v>
      </c>
      <c r="D20" s="62">
        <f>C20+D18-D19</f>
        <v>289837.85234296008</v>
      </c>
      <c r="E20" s="62">
        <f>D20+E18-E19</f>
        <v>295530.85203028133</v>
      </c>
      <c r="F20" s="62">
        <f>E20+F18-F19</f>
        <v>301618.03847240104</v>
      </c>
      <c r="G20" s="62">
        <f>F20+G18-G19</f>
        <v>307547.32903746911</v>
      </c>
    </row>
    <row r="21" spans="2:7" ht="14" x14ac:dyDescent="0.3">
      <c r="B21" s="4" t="s">
        <v>373</v>
      </c>
      <c r="C21" s="51">
        <f>(C14-$C$9)*$C$6</f>
        <v>-5446.1491679999972</v>
      </c>
      <c r="D21" s="51">
        <f>(D14-$C$9)*C20</f>
        <v>-4389.8663508189402</v>
      </c>
      <c r="E21" s="51">
        <f>(E14-$C$9)*D20</f>
        <v>-3598.6267746901872</v>
      </c>
      <c r="F21" s="51">
        <f>(F14-$C$9)*E20</f>
        <v>-3078.2493547474046</v>
      </c>
      <c r="G21" s="51">
        <f>(G14-$C$9)*F20</f>
        <v>-3141.6534887285234</v>
      </c>
    </row>
    <row r="22" spans="2:7" ht="14" x14ac:dyDescent="0.3">
      <c r="B22" s="4" t="s">
        <v>374</v>
      </c>
      <c r="C22" s="51">
        <f>C21/(1+$C$9)^1</f>
        <v>-5040.7890738382221</v>
      </c>
      <c r="D22" s="51">
        <f>D21/(1+$C$9)^2</f>
        <v>-3760.7051447115214</v>
      </c>
      <c r="E22" s="51">
        <f>E21/(1+$C$9)^3</f>
        <v>-2853.4074161325907</v>
      </c>
      <c r="F22" s="51">
        <f>F21/(1+$C$9)^4</f>
        <v>-2259.1224365142184</v>
      </c>
      <c r="G22" s="51">
        <f>G21/(1+$C$9)^5</f>
        <v>-2134.0433983737566</v>
      </c>
    </row>
    <row r="24" spans="2:7" ht="14" x14ac:dyDescent="0.3">
      <c r="B24" s="3" t="s">
        <v>356</v>
      </c>
    </row>
    <row r="25" spans="2:7" ht="14" x14ac:dyDescent="0.3">
      <c r="B25" s="4" t="s">
        <v>375</v>
      </c>
      <c r="C25" s="51">
        <f>SUM(C22:G22)</f>
        <v>-16048.067469570309</v>
      </c>
    </row>
    <row r="26" spans="2:7" ht="14" x14ac:dyDescent="0.3">
      <c r="B26" s="4" t="s">
        <v>376</v>
      </c>
      <c r="C26" s="51">
        <f>G21*(1+$C$10)/($C$9-$C$10)</f>
        <v>-45061.776068163614</v>
      </c>
    </row>
    <row r="27" spans="2:7" ht="14" x14ac:dyDescent="0.3">
      <c r="B27" s="4" t="s">
        <v>377</v>
      </c>
      <c r="C27" s="51">
        <f>C26/(1+$C$9)^5</f>
        <v>-30609.290961677667</v>
      </c>
    </row>
    <row r="28" spans="2:7" ht="14" x14ac:dyDescent="0.3">
      <c r="B28" s="57" t="s">
        <v>378</v>
      </c>
      <c r="C28" s="58">
        <f>C6+C25+C27</f>
        <v>233840.64156875201</v>
      </c>
    </row>
    <row r="29" spans="2:7" ht="14" x14ac:dyDescent="0.3">
      <c r="B29" s="57" t="s">
        <v>359</v>
      </c>
      <c r="C29" s="58">
        <f>ROUND(C28/C7*1000000,0)</f>
        <v>200</v>
      </c>
    </row>
    <row r="30" spans="2:7" ht="14" x14ac:dyDescent="0.3">
      <c r="B30" s="4" t="s">
        <v>360</v>
      </c>
      <c r="C30" s="59">
        <f>C29/DDM!C$11-1</f>
        <v>-0.41176470588235292</v>
      </c>
    </row>
    <row r="32" spans="2:7" ht="14" x14ac:dyDescent="0.3">
      <c r="B32" s="47" t="s">
        <v>379</v>
      </c>
    </row>
    <row r="34" spans="2:7" ht="14" x14ac:dyDescent="0.3">
      <c r="B34" s="3" t="s">
        <v>380</v>
      </c>
    </row>
    <row r="35" spans="2:7" ht="14" x14ac:dyDescent="0.3">
      <c r="B35" s="4" t="s">
        <v>381</v>
      </c>
      <c r="C35" s="60">
        <v>7.0000000000000007E-2</v>
      </c>
      <c r="D35" s="60">
        <v>7.4999999999999997E-2</v>
      </c>
      <c r="E35" s="60">
        <v>0.08</v>
      </c>
      <c r="F35" s="60">
        <v>8.5000000000000006E-2</v>
      </c>
      <c r="G35" s="60">
        <v>0.09</v>
      </c>
    </row>
    <row r="36" spans="2:7" ht="14" x14ac:dyDescent="0.3">
      <c r="B36" s="67">
        <v>4.4999999999999998E-2</v>
      </c>
      <c r="C36" s="68">
        <f t="shared" ref="C36:G44" si="0">IF(C$35&lt;=$C$10,"",ROUND(($B36-$C$10)/(C$35-$C$10),2))</f>
        <v>0.57999999999999996</v>
      </c>
      <c r="D36" s="68">
        <f t="shared" si="0"/>
        <v>0.54</v>
      </c>
      <c r="E36" s="68">
        <f t="shared" si="0"/>
        <v>0.5</v>
      </c>
      <c r="F36" s="68">
        <f t="shared" si="0"/>
        <v>0.47</v>
      </c>
      <c r="G36" s="68">
        <f t="shared" si="0"/>
        <v>0.44</v>
      </c>
    </row>
    <row r="37" spans="2:7" ht="14" x14ac:dyDescent="0.3">
      <c r="B37" s="67">
        <v>0.05</v>
      </c>
      <c r="C37" s="68">
        <f t="shared" si="0"/>
        <v>0.67</v>
      </c>
      <c r="D37" s="68">
        <f t="shared" si="0"/>
        <v>0.62</v>
      </c>
      <c r="E37" s="68">
        <f t="shared" si="0"/>
        <v>0.56999999999999995</v>
      </c>
      <c r="F37" s="68">
        <f t="shared" si="0"/>
        <v>0.53</v>
      </c>
      <c r="G37" s="68">
        <f t="shared" si="0"/>
        <v>0.5</v>
      </c>
    </row>
    <row r="38" spans="2:7" ht="14" x14ac:dyDescent="0.3">
      <c r="B38" s="67">
        <v>5.5E-2</v>
      </c>
      <c r="C38" s="68">
        <f t="shared" si="0"/>
        <v>0.75</v>
      </c>
      <c r="D38" s="68">
        <f t="shared" si="0"/>
        <v>0.69</v>
      </c>
      <c r="E38" s="68">
        <f t="shared" si="0"/>
        <v>0.64</v>
      </c>
      <c r="F38" s="68">
        <f t="shared" si="0"/>
        <v>0.6</v>
      </c>
      <c r="G38" s="68">
        <f t="shared" si="0"/>
        <v>0.56000000000000005</v>
      </c>
    </row>
    <row r="39" spans="2:7" ht="14" x14ac:dyDescent="0.3">
      <c r="B39" s="67">
        <v>0.06</v>
      </c>
      <c r="C39" s="68">
        <f t="shared" si="0"/>
        <v>0.83</v>
      </c>
      <c r="D39" s="68">
        <f t="shared" si="0"/>
        <v>0.77</v>
      </c>
      <c r="E39" s="68">
        <f t="shared" si="0"/>
        <v>0.71</v>
      </c>
      <c r="F39" s="68">
        <f t="shared" si="0"/>
        <v>0.67</v>
      </c>
      <c r="G39" s="68">
        <f t="shared" si="0"/>
        <v>0.63</v>
      </c>
    </row>
    <row r="40" spans="2:7" ht="14" x14ac:dyDescent="0.3">
      <c r="B40" s="67">
        <v>6.5000000000000002E-2</v>
      </c>
      <c r="C40" s="68">
        <f t="shared" si="0"/>
        <v>0.92</v>
      </c>
      <c r="D40" s="68">
        <f t="shared" si="0"/>
        <v>0.85</v>
      </c>
      <c r="E40" s="68">
        <f t="shared" si="0"/>
        <v>0.79</v>
      </c>
      <c r="F40" s="68">
        <f t="shared" si="0"/>
        <v>0.73</v>
      </c>
      <c r="G40" s="68">
        <f t="shared" si="0"/>
        <v>0.69</v>
      </c>
    </row>
    <row r="41" spans="2:7" ht="14" x14ac:dyDescent="0.3">
      <c r="B41" s="67">
        <v>7.0000000000000007E-2</v>
      </c>
      <c r="C41" s="68">
        <f t="shared" si="0"/>
        <v>1</v>
      </c>
      <c r="D41" s="68">
        <f t="shared" si="0"/>
        <v>0.92</v>
      </c>
      <c r="E41" s="68">
        <f t="shared" si="0"/>
        <v>0.86</v>
      </c>
      <c r="F41" s="68">
        <f t="shared" si="0"/>
        <v>0.8</v>
      </c>
      <c r="G41" s="68">
        <f t="shared" si="0"/>
        <v>0.75</v>
      </c>
    </row>
    <row r="42" spans="2:7" ht="14" x14ac:dyDescent="0.3">
      <c r="B42" s="67">
        <v>7.4999999999999997E-2</v>
      </c>
      <c r="C42" s="68">
        <f t="shared" si="0"/>
        <v>1.08</v>
      </c>
      <c r="D42" s="68">
        <f t="shared" si="0"/>
        <v>1</v>
      </c>
      <c r="E42" s="68">
        <f t="shared" si="0"/>
        <v>0.93</v>
      </c>
      <c r="F42" s="68">
        <f t="shared" si="0"/>
        <v>0.87</v>
      </c>
      <c r="G42" s="68">
        <f t="shared" si="0"/>
        <v>0.81</v>
      </c>
    </row>
    <row r="43" spans="2:7" ht="14" x14ac:dyDescent="0.3">
      <c r="B43" s="67">
        <v>0.08</v>
      </c>
      <c r="C43" s="68">
        <f t="shared" si="0"/>
        <v>1.17</v>
      </c>
      <c r="D43" s="68">
        <f t="shared" si="0"/>
        <v>1.08</v>
      </c>
      <c r="E43" s="68">
        <f t="shared" si="0"/>
        <v>1</v>
      </c>
      <c r="F43" s="68">
        <f t="shared" si="0"/>
        <v>0.93</v>
      </c>
      <c r="G43" s="68">
        <f t="shared" si="0"/>
        <v>0.88</v>
      </c>
    </row>
    <row r="44" spans="2:7" ht="14" x14ac:dyDescent="0.3">
      <c r="B44" s="67">
        <v>8.5000000000000006E-2</v>
      </c>
      <c r="C44" s="68">
        <f t="shared" si="0"/>
        <v>1.25</v>
      </c>
      <c r="D44" s="68">
        <f t="shared" si="0"/>
        <v>1.1499999999999999</v>
      </c>
      <c r="E44" s="68">
        <f t="shared" si="0"/>
        <v>1.07</v>
      </c>
      <c r="F44" s="68">
        <f t="shared" si="0"/>
        <v>1</v>
      </c>
      <c r="G44" s="68">
        <f t="shared" si="0"/>
        <v>0.94</v>
      </c>
    </row>
    <row r="46" spans="2:7" ht="14" x14ac:dyDescent="0.3">
      <c r="B46" s="4" t="s">
        <v>382</v>
      </c>
    </row>
    <row r="47" spans="2:7" ht="14" x14ac:dyDescent="0.3">
      <c r="B47" s="4" t="s">
        <v>381</v>
      </c>
      <c r="C47" s="60">
        <v>7.0000000000000007E-2</v>
      </c>
      <c r="D47" s="60">
        <v>7.4999999999999997E-2</v>
      </c>
      <c r="E47" s="60">
        <v>0.08</v>
      </c>
      <c r="F47" s="60">
        <v>8.5000000000000006E-2</v>
      </c>
      <c r="G47" s="60">
        <v>0.09</v>
      </c>
    </row>
    <row r="48" spans="2:7" ht="14" x14ac:dyDescent="0.3">
      <c r="B48" s="67">
        <v>4.4999999999999998E-2</v>
      </c>
      <c r="C48" s="62">
        <f t="shared" ref="C48:G56" si="1">IF(C36="","",ROUND(C36*$C$8,0))</f>
        <v>139</v>
      </c>
      <c r="D48" s="62">
        <f t="shared" si="1"/>
        <v>130</v>
      </c>
      <c r="E48" s="62">
        <f t="shared" si="1"/>
        <v>120</v>
      </c>
      <c r="F48" s="62">
        <f t="shared" si="1"/>
        <v>113</v>
      </c>
      <c r="G48" s="62">
        <f t="shared" si="1"/>
        <v>106</v>
      </c>
    </row>
    <row r="49" spans="2:7" ht="14" x14ac:dyDescent="0.3">
      <c r="B49" s="67">
        <v>0.05</v>
      </c>
      <c r="C49" s="62">
        <f t="shared" si="1"/>
        <v>161</v>
      </c>
      <c r="D49" s="62">
        <f t="shared" si="1"/>
        <v>149</v>
      </c>
      <c r="E49" s="62">
        <f t="shared" si="1"/>
        <v>137</v>
      </c>
      <c r="F49" s="62">
        <f t="shared" si="1"/>
        <v>127</v>
      </c>
      <c r="G49" s="62">
        <f t="shared" si="1"/>
        <v>120</v>
      </c>
    </row>
    <row r="50" spans="2:7" ht="14" x14ac:dyDescent="0.3">
      <c r="B50" s="67">
        <v>5.5E-2</v>
      </c>
      <c r="C50" s="62">
        <f t="shared" si="1"/>
        <v>180</v>
      </c>
      <c r="D50" s="62">
        <f t="shared" si="1"/>
        <v>166</v>
      </c>
      <c r="E50" s="62">
        <f t="shared" si="1"/>
        <v>154</v>
      </c>
      <c r="F50" s="62">
        <f t="shared" si="1"/>
        <v>144</v>
      </c>
      <c r="G50" s="62">
        <f t="shared" si="1"/>
        <v>134</v>
      </c>
    </row>
    <row r="51" spans="2:7" ht="14" x14ac:dyDescent="0.3">
      <c r="B51" s="67">
        <v>0.06</v>
      </c>
      <c r="C51" s="62">
        <f t="shared" si="1"/>
        <v>199</v>
      </c>
      <c r="D51" s="62">
        <f t="shared" si="1"/>
        <v>185</v>
      </c>
      <c r="E51" s="62">
        <f t="shared" si="1"/>
        <v>171</v>
      </c>
      <c r="F51" s="62">
        <f t="shared" si="1"/>
        <v>161</v>
      </c>
      <c r="G51" s="62">
        <f t="shared" si="1"/>
        <v>151</v>
      </c>
    </row>
    <row r="52" spans="2:7" ht="14" x14ac:dyDescent="0.3">
      <c r="B52" s="67">
        <v>6.5000000000000002E-2</v>
      </c>
      <c r="C52" s="62">
        <f t="shared" si="1"/>
        <v>221</v>
      </c>
      <c r="D52" s="62">
        <f t="shared" si="1"/>
        <v>204</v>
      </c>
      <c r="E52" s="62">
        <f t="shared" si="1"/>
        <v>190</v>
      </c>
      <c r="F52" s="62">
        <f t="shared" si="1"/>
        <v>175</v>
      </c>
      <c r="G52" s="62">
        <f t="shared" si="1"/>
        <v>166</v>
      </c>
    </row>
    <row r="53" spans="2:7" ht="14" x14ac:dyDescent="0.3">
      <c r="B53" s="67">
        <v>7.0000000000000007E-2</v>
      </c>
      <c r="C53" s="62">
        <f t="shared" si="1"/>
        <v>240</v>
      </c>
      <c r="D53" s="62">
        <f t="shared" si="1"/>
        <v>221</v>
      </c>
      <c r="E53" s="62">
        <f t="shared" si="1"/>
        <v>207</v>
      </c>
      <c r="F53" s="62">
        <f t="shared" si="1"/>
        <v>192</v>
      </c>
      <c r="G53" s="62">
        <f t="shared" si="1"/>
        <v>180</v>
      </c>
    </row>
    <row r="54" spans="2:7" ht="14" x14ac:dyDescent="0.3">
      <c r="B54" s="67">
        <v>7.4999999999999997E-2</v>
      </c>
      <c r="C54" s="62">
        <f t="shared" si="1"/>
        <v>259</v>
      </c>
      <c r="D54" s="62">
        <f t="shared" si="1"/>
        <v>240</v>
      </c>
      <c r="E54" s="62">
        <f t="shared" si="1"/>
        <v>223</v>
      </c>
      <c r="F54" s="62">
        <f t="shared" si="1"/>
        <v>209</v>
      </c>
      <c r="G54" s="62">
        <f t="shared" si="1"/>
        <v>195</v>
      </c>
    </row>
    <row r="55" spans="2:7" ht="14" x14ac:dyDescent="0.3">
      <c r="B55" s="67">
        <v>0.08</v>
      </c>
      <c r="C55" s="62">
        <f t="shared" si="1"/>
        <v>281</v>
      </c>
      <c r="D55" s="62">
        <f t="shared" si="1"/>
        <v>259</v>
      </c>
      <c r="E55" s="62">
        <f t="shared" si="1"/>
        <v>240</v>
      </c>
      <c r="F55" s="62">
        <f t="shared" si="1"/>
        <v>223</v>
      </c>
      <c r="G55" s="62">
        <f t="shared" si="1"/>
        <v>211</v>
      </c>
    </row>
    <row r="56" spans="2:7" ht="14" x14ac:dyDescent="0.3">
      <c r="B56" s="67">
        <v>8.5000000000000006E-2</v>
      </c>
      <c r="C56" s="62">
        <f t="shared" si="1"/>
        <v>300</v>
      </c>
      <c r="D56" s="62">
        <f t="shared" si="1"/>
        <v>276</v>
      </c>
      <c r="E56" s="62">
        <f t="shared" si="1"/>
        <v>257</v>
      </c>
      <c r="F56" s="62">
        <f t="shared" si="1"/>
        <v>240</v>
      </c>
      <c r="G56" s="62">
        <f t="shared" si="1"/>
        <v>226</v>
      </c>
    </row>
  </sheetData>
  <phoneticPr fontId="8"/>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1" id="{00000000-000E-0000-0900-000001000000}">
            <xm:f>ABS(C36-(DDM!C$11*C7/1000000/C6))&lt;0.05</xm:f>
            <x14:dxf>
              <fill>
                <patternFill patternType="solid">
                  <fgColor rgb="FFFFC7CE"/>
                  <bgColor rgb="FFFFC7CE"/>
                </patternFill>
              </fill>
            </x14:dxf>
          </x14:cfRule>
          <xm:sqref>C36:G44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Executive Summary</vt:lpstr>
      <vt:lpstr>Financial Statements</vt:lpstr>
      <vt:lpstr>DCF Model</vt:lpstr>
      <vt:lpstr>Reverse DCF</vt:lpstr>
      <vt:lpstr>NWC Schedule</vt:lpstr>
      <vt:lpstr>Comps Analysis</vt:lpstr>
      <vt:lpstr>Sensitivity Analysis</vt:lpstr>
      <vt:lpstr>Adjustments Log</vt:lpstr>
      <vt:lpstr>DDM</vt:lpstr>
      <vt:lpstr>Residual Income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2026-09-06T14:13:59Z</dcterms:created>
  <dcterms:modified xsi:type="dcterms:W3CDTF">2026-09-06T14:14:04Z</dcterms:modified>
</cp:coreProperties>
</file>