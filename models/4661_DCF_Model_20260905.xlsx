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ryosuke0923\ryosuke-japanese-equity-research\models\"/>
    </mc:Choice>
  </mc:AlternateContent>
  <xr:revisionPtr revIDLastSave="0" documentId="13_ncr:1_{CC19281F-F3F6-47C9-BCAE-BAA07E4F0991}" xr6:coauthVersionLast="47" xr6:coauthVersionMax="47" xr10:uidLastSave="{00000000-0000-0000-0000-000000000000}"/>
  <bookViews>
    <workbookView xWindow="9720" yWindow="5480" windowWidth="4820" windowHeight="4600" xr2:uid="{00000000-000D-0000-FFFF-FFFF00000000}"/>
  </bookViews>
  <sheets>
    <sheet name="Executive Summary" sheetId="1" r:id="rId1"/>
    <sheet name="Financial Statements" sheetId="2" r:id="rId2"/>
    <sheet name="DCF Model" sheetId="3" r:id="rId3"/>
    <sheet name="Reverse DCF" sheetId="4" r:id="rId4"/>
    <sheet name="NWC Schedule" sheetId="5" r:id="rId5"/>
    <sheet name="Comps Analysis" sheetId="6" r:id="rId6"/>
    <sheet name="Sensitivity Analysis" sheetId="7" r:id="rId7"/>
    <sheet name="Adjustments Log" sheetId="8" r:id="rId8"/>
  </sheets>
  <calcPr calcId="181029"/>
</workbook>
</file>

<file path=xl/calcChain.xml><?xml version="1.0" encoding="utf-8"?>
<calcChain xmlns="http://schemas.openxmlformats.org/spreadsheetml/2006/main">
  <c r="I3" i="7" l="1"/>
  <c r="I17" i="7" s="1"/>
  <c r="F3" i="7"/>
  <c r="H6" i="7" s="1"/>
  <c r="O8" i="6"/>
  <c r="N8" i="6"/>
  <c r="M8" i="6"/>
  <c r="L8" i="6"/>
  <c r="K8" i="6"/>
  <c r="J8" i="6"/>
  <c r="O7" i="6"/>
  <c r="N7" i="6"/>
  <c r="M7" i="6"/>
  <c r="L7" i="6"/>
  <c r="K7" i="6"/>
  <c r="J7" i="6"/>
  <c r="O6" i="6"/>
  <c r="I17" i="6" s="1"/>
  <c r="N6" i="6"/>
  <c r="M6" i="6"/>
  <c r="L6" i="6"/>
  <c r="K6" i="6"/>
  <c r="J6" i="6"/>
  <c r="D15" i="6" s="1"/>
  <c r="O5" i="6"/>
  <c r="N5" i="6"/>
  <c r="M5" i="6"/>
  <c r="D5" i="6"/>
  <c r="L5" i="6" s="1"/>
  <c r="C16" i="5"/>
  <c r="C14" i="5"/>
  <c r="C18" i="5" s="1"/>
  <c r="C7" i="5"/>
  <c r="C6" i="5"/>
  <c r="C5" i="5"/>
  <c r="C13" i="4"/>
  <c r="C12" i="4"/>
  <c r="C9" i="4"/>
  <c r="C7" i="4"/>
  <c r="C6" i="4"/>
  <c r="D27" i="3"/>
  <c r="C30" i="3" s="1"/>
  <c r="C33" i="3" s="1"/>
  <c r="C25" i="3"/>
  <c r="C26" i="3" s="1"/>
  <c r="C24" i="3"/>
  <c r="C23" i="3"/>
  <c r="F28" i="2"/>
  <c r="E28" i="2"/>
  <c r="D28" i="2"/>
  <c r="C28" i="2"/>
  <c r="F23" i="2"/>
  <c r="E23" i="2"/>
  <c r="D23" i="2"/>
  <c r="C23" i="2"/>
  <c r="C22" i="2"/>
  <c r="F21" i="2"/>
  <c r="F22" i="2" s="1"/>
  <c r="E21" i="2"/>
  <c r="E22" i="2" s="1"/>
  <c r="D21" i="2"/>
  <c r="D22" i="2" s="1"/>
  <c r="C21" i="2"/>
  <c r="F16" i="2"/>
  <c r="E16" i="2"/>
  <c r="D16" i="2"/>
  <c r="F15" i="2"/>
  <c r="E15" i="2"/>
  <c r="D15" i="2"/>
  <c r="F14" i="2"/>
  <c r="E14" i="2"/>
  <c r="D14" i="2"/>
  <c r="C14" i="2"/>
  <c r="F13" i="2"/>
  <c r="E13" i="2"/>
  <c r="D13" i="2"/>
  <c r="C13" i="2"/>
  <c r="F8" i="2"/>
  <c r="F9" i="2" s="1"/>
  <c r="E8" i="2"/>
  <c r="E9" i="2" s="1"/>
  <c r="D8" i="2"/>
  <c r="D9" i="2" s="1"/>
  <c r="C8" i="2"/>
  <c r="C9" i="2" s="1"/>
  <c r="E5" i="6" l="1"/>
  <c r="D17" i="6"/>
  <c r="I16" i="6"/>
  <c r="H15" i="6"/>
  <c r="C3" i="7"/>
  <c r="C46" i="3"/>
  <c r="E36" i="4"/>
  <c r="D36" i="4"/>
  <c r="D46" i="3"/>
  <c r="G46" i="3"/>
  <c r="F46" i="3"/>
  <c r="E46" i="3"/>
  <c r="C11" i="4"/>
  <c r="H36" i="4"/>
  <c r="G36" i="4"/>
  <c r="F36" i="4"/>
  <c r="D9" i="5"/>
  <c r="C42" i="3"/>
  <c r="D31" i="3"/>
  <c r="F5" i="5"/>
  <c r="E31" i="3"/>
  <c r="G5" i="5"/>
  <c r="F31" i="3"/>
  <c r="F32" i="3"/>
  <c r="C31" i="3"/>
  <c r="C34" i="3" s="1"/>
  <c r="H5" i="5"/>
  <c r="G32" i="3"/>
  <c r="G7" i="5"/>
  <c r="E6" i="5"/>
  <c r="D32" i="3"/>
  <c r="F30" i="3"/>
  <c r="F7" i="5"/>
  <c r="D6" i="5"/>
  <c r="E7" i="5"/>
  <c r="G31" i="3"/>
  <c r="D30" i="3"/>
  <c r="D33" i="3" s="1"/>
  <c r="G6" i="5"/>
  <c r="E5" i="5"/>
  <c r="H7" i="5"/>
  <c r="F6" i="5"/>
  <c r="D5" i="5"/>
  <c r="E32" i="3"/>
  <c r="G30" i="3"/>
  <c r="C32" i="3"/>
  <c r="C37" i="3" s="1"/>
  <c r="H6" i="5"/>
  <c r="E15" i="6"/>
  <c r="E16" i="6"/>
  <c r="E17" i="6"/>
  <c r="F15" i="6"/>
  <c r="F16" i="6"/>
  <c r="C28" i="6" s="1"/>
  <c r="C19" i="1" s="1"/>
  <c r="D19" i="1" s="1"/>
  <c r="F17" i="6"/>
  <c r="E30" i="3"/>
  <c r="D7" i="5"/>
  <c r="G15" i="6"/>
  <c r="G16" i="6"/>
  <c r="G17" i="6"/>
  <c r="C8" i="4"/>
  <c r="C10" i="4" s="1"/>
  <c r="I15" i="6"/>
  <c r="I6" i="7"/>
  <c r="D16" i="6"/>
  <c r="C17" i="7"/>
  <c r="C6" i="7"/>
  <c r="D17" i="7"/>
  <c r="H17" i="6"/>
  <c r="D6" i="7"/>
  <c r="E17" i="7"/>
  <c r="E6" i="7"/>
  <c r="F17" i="7"/>
  <c r="H16" i="6"/>
  <c r="F6" i="7"/>
  <c r="G17" i="7"/>
  <c r="G6" i="7"/>
  <c r="H17" i="7"/>
  <c r="D12" i="5" l="1"/>
  <c r="J5" i="6"/>
  <c r="K5" i="6"/>
  <c r="E33" i="3"/>
  <c r="D37" i="3"/>
  <c r="D42" i="3"/>
  <c r="E9" i="5"/>
  <c r="E12" i="5" s="1"/>
  <c r="D34" i="3"/>
  <c r="E10" i="5" s="1"/>
  <c r="D10" i="5"/>
  <c r="C35" i="3"/>
  <c r="C27" i="6"/>
  <c r="C18" i="1" s="1"/>
  <c r="D18" i="1" s="1"/>
  <c r="C74" i="4"/>
  <c r="F38" i="4"/>
  <c r="F41" i="4"/>
  <c r="F45" i="4"/>
  <c r="F40" i="4"/>
  <c r="F50" i="4" s="1"/>
  <c r="F55" i="4" s="1"/>
  <c r="F44" i="4"/>
  <c r="F39" i="4"/>
  <c r="F49" i="4" s="1"/>
  <c r="F43" i="4"/>
  <c r="F46" i="4"/>
  <c r="D40" i="4"/>
  <c r="D44" i="4"/>
  <c r="D38" i="4"/>
  <c r="D43" i="4"/>
  <c r="D46" i="4"/>
  <c r="D45" i="4"/>
  <c r="D39" i="4"/>
  <c r="D41" i="4"/>
  <c r="G41" i="4"/>
  <c r="G51" i="4" s="1"/>
  <c r="G56" i="4" s="1"/>
  <c r="G45" i="4"/>
  <c r="G39" i="4"/>
  <c r="G44" i="4"/>
  <c r="G38" i="4"/>
  <c r="G40" i="4"/>
  <c r="G43" i="4"/>
  <c r="G46" i="4"/>
  <c r="E44" i="4"/>
  <c r="E38" i="4"/>
  <c r="E48" i="4" s="1"/>
  <c r="E53" i="4" s="1"/>
  <c r="E41" i="4"/>
  <c r="E46" i="4"/>
  <c r="E40" i="4"/>
  <c r="E45" i="4"/>
  <c r="E39" i="4"/>
  <c r="E43" i="4"/>
  <c r="F48" i="4"/>
  <c r="F53" i="4" s="1"/>
  <c r="F51" i="4"/>
  <c r="F56" i="4" s="1"/>
  <c r="H49" i="4"/>
  <c r="H54" i="4" s="1"/>
  <c r="C71" i="4"/>
  <c r="C70" i="4"/>
  <c r="C24" i="4"/>
  <c r="C25" i="4" s="1"/>
  <c r="E49" i="4"/>
  <c r="E54" i="4" s="1"/>
  <c r="D49" i="4"/>
  <c r="D54" i="4" s="1"/>
  <c r="H45" i="4"/>
  <c r="H39" i="4"/>
  <c r="H43" i="4"/>
  <c r="H38" i="4"/>
  <c r="H48" i="4" s="1"/>
  <c r="H53" i="4" s="1"/>
  <c r="H41" i="4"/>
  <c r="H51" i="4" s="1"/>
  <c r="H56" i="4" s="1"/>
  <c r="H44" i="4"/>
  <c r="H46" i="4"/>
  <c r="H40" i="4"/>
  <c r="H50" i="4" s="1"/>
  <c r="H55" i="4" s="1"/>
  <c r="B13" i="7"/>
  <c r="B12" i="7"/>
  <c r="B11" i="7"/>
  <c r="B10" i="7"/>
  <c r="B9" i="7"/>
  <c r="B8" i="7"/>
  <c r="B7" i="7"/>
  <c r="B24" i="7"/>
  <c r="B23" i="7"/>
  <c r="B22" i="7"/>
  <c r="B21" i="7"/>
  <c r="B20" i="7"/>
  <c r="B19" i="7"/>
  <c r="B18" i="7"/>
  <c r="E51" i="4" l="1"/>
  <c r="E56" i="4" s="1"/>
  <c r="G49" i="4"/>
  <c r="G54" i="4" s="1"/>
  <c r="D48" i="4"/>
  <c r="D53" i="4" s="1"/>
  <c r="G50" i="4"/>
  <c r="G55" i="4" s="1"/>
  <c r="D50" i="4"/>
  <c r="D55" i="4" s="1"/>
  <c r="E50" i="4"/>
  <c r="E55" i="4" s="1"/>
  <c r="G48" i="4"/>
  <c r="G53" i="4" s="1"/>
  <c r="D51" i="4"/>
  <c r="D56" i="4" s="1"/>
  <c r="C60" i="4"/>
  <c r="F54" i="4"/>
  <c r="B78" i="4"/>
  <c r="C36" i="3"/>
  <c r="C39" i="3"/>
  <c r="C38" i="3"/>
  <c r="D13" i="5"/>
  <c r="D14" i="5" s="1"/>
  <c r="D15" i="5"/>
  <c r="D16" i="5" s="1"/>
  <c r="C29" i="4"/>
  <c r="C27" i="4"/>
  <c r="C26" i="4"/>
  <c r="E13" i="5"/>
  <c r="E15" i="5"/>
  <c r="E16" i="5" s="1"/>
  <c r="E14" i="5"/>
  <c r="D35" i="3"/>
  <c r="F33" i="3"/>
  <c r="E42" i="3"/>
  <c r="F9" i="5"/>
  <c r="F12" i="5" s="1"/>
  <c r="E37" i="3"/>
  <c r="E34" i="3"/>
  <c r="F10" i="5" s="1"/>
  <c r="E18" i="5" l="1"/>
  <c r="D38" i="3"/>
  <c r="D36" i="3"/>
  <c r="D39" i="3"/>
  <c r="C67" i="4"/>
  <c r="D67" i="4" s="1"/>
  <c r="C63" i="4"/>
  <c r="D63" i="4" s="1"/>
  <c r="C64" i="4"/>
  <c r="D64" i="4" s="1"/>
  <c r="C66" i="4"/>
  <c r="D66" i="4" s="1"/>
  <c r="C65" i="4"/>
  <c r="D65" i="4" s="1"/>
  <c r="C40" i="3"/>
  <c r="C41" i="3" s="1"/>
  <c r="F15" i="5"/>
  <c r="F16" i="5" s="1"/>
  <c r="F13" i="5"/>
  <c r="F14" i="5" s="1"/>
  <c r="F18" i="5" s="1"/>
  <c r="F19" i="5" s="1"/>
  <c r="E44" i="3" s="1"/>
  <c r="D18" i="5"/>
  <c r="D19" i="5" s="1"/>
  <c r="C44" i="3" s="1"/>
  <c r="G33" i="3"/>
  <c r="F42" i="3"/>
  <c r="G9" i="5"/>
  <c r="G12" i="5" s="1"/>
  <c r="F37" i="3"/>
  <c r="F34" i="3"/>
  <c r="G10" i="5" s="1"/>
  <c r="E35" i="3"/>
  <c r="E19" i="5" l="1"/>
  <c r="D44" i="3" s="1"/>
  <c r="C45" i="3"/>
  <c r="C47" i="3" s="1"/>
  <c r="G15" i="5"/>
  <c r="G16" i="5" s="1"/>
  <c r="G13" i="5"/>
  <c r="G14" i="5" s="1"/>
  <c r="G18" i="5" s="1"/>
  <c r="G19" i="5" s="1"/>
  <c r="F44" i="3" s="1"/>
  <c r="E38" i="3"/>
  <c r="E39" i="3"/>
  <c r="E36" i="3"/>
  <c r="D40" i="3"/>
  <c r="D41" i="3" s="1"/>
  <c r="D45" i="3" s="1"/>
  <c r="D47" i="3" s="1"/>
  <c r="F35" i="3"/>
  <c r="C16" i="4"/>
  <c r="C28" i="4" s="1"/>
  <c r="H9" i="5"/>
  <c r="H12" i="5" s="1"/>
  <c r="G34" i="3"/>
  <c r="H10" i="5" s="1"/>
  <c r="G37" i="3"/>
  <c r="G42" i="3"/>
  <c r="G35" i="3" l="1"/>
  <c r="E40" i="3"/>
  <c r="E41" i="3" s="1"/>
  <c r="E45" i="3" s="1"/>
  <c r="F38" i="3"/>
  <c r="F36" i="3"/>
  <c r="F39" i="3"/>
  <c r="H15" i="5"/>
  <c r="H16" i="5" s="1"/>
  <c r="H13" i="5"/>
  <c r="H14" i="5" s="1"/>
  <c r="C72" i="4"/>
  <c r="C73" i="4"/>
  <c r="E47" i="3" l="1"/>
  <c r="H18" i="5"/>
  <c r="H19" i="5" s="1"/>
  <c r="G44" i="3" s="1"/>
  <c r="F40" i="3"/>
  <c r="F41" i="3" s="1"/>
  <c r="F45" i="3" s="1"/>
  <c r="G39" i="3"/>
  <c r="G38" i="3"/>
  <c r="G36" i="3"/>
  <c r="F47" i="3" l="1"/>
  <c r="C59" i="3"/>
  <c r="C60" i="3" s="1"/>
  <c r="C61" i="3" s="1"/>
  <c r="G40" i="3"/>
  <c r="G41" i="3" s="1"/>
  <c r="G45" i="3" s="1"/>
  <c r="G47" i="3" l="1"/>
  <c r="C50" i="3" s="1"/>
  <c r="C51" i="3"/>
  <c r="C52" i="3" s="1"/>
  <c r="E13" i="7"/>
  <c r="H22" i="7"/>
  <c r="G12" i="7"/>
  <c r="H21" i="7"/>
  <c r="F20" i="7"/>
  <c r="E23" i="7"/>
  <c r="I11" i="7"/>
  <c r="G7" i="7"/>
  <c r="C24" i="7"/>
  <c r="H11" i="7"/>
  <c r="E9" i="7"/>
  <c r="C8" i="7"/>
  <c r="F22" i="7"/>
  <c r="G8" i="7"/>
  <c r="H24" i="7"/>
  <c r="E12" i="7"/>
  <c r="G21" i="7"/>
  <c r="I8" i="7"/>
  <c r="C9" i="7"/>
  <c r="I21" i="7"/>
  <c r="E7" i="7"/>
  <c r="I19" i="7"/>
  <c r="H18" i="7"/>
  <c r="D12" i="7"/>
  <c r="G11" i="7"/>
  <c r="G9" i="7"/>
  <c r="I13" i="7"/>
  <c r="C7" i="7"/>
  <c r="I24" i="7"/>
  <c r="H7" i="7"/>
  <c r="H9" i="7"/>
  <c r="G24" i="7"/>
  <c r="D10" i="7"/>
  <c r="I18" i="7"/>
  <c r="E24" i="7"/>
  <c r="C12" i="7"/>
  <c r="F12" i="7"/>
  <c r="I9" i="7"/>
  <c r="G13" i="7"/>
  <c r="G19" i="7"/>
  <c r="H10" i="7"/>
  <c r="E22" i="7"/>
  <c r="D24" i="7"/>
  <c r="F23" i="7"/>
  <c r="G22" i="7"/>
  <c r="D18" i="7"/>
  <c r="C23" i="7"/>
  <c r="E18" i="7"/>
  <c r="H23" i="7"/>
  <c r="C10" i="7"/>
  <c r="D21" i="7"/>
  <c r="D19" i="7"/>
  <c r="I23" i="7"/>
  <c r="D8" i="7"/>
  <c r="F10" i="7"/>
  <c r="D20" i="7"/>
  <c r="E10" i="7"/>
  <c r="F24" i="7"/>
  <c r="G18" i="7"/>
  <c r="C21" i="7"/>
  <c r="I10" i="7"/>
  <c r="F8" i="7"/>
  <c r="E8" i="7"/>
  <c r="F19" i="7"/>
  <c r="H13" i="7"/>
  <c r="E21" i="7"/>
  <c r="C11" i="7"/>
  <c r="D22" i="7"/>
  <c r="I22" i="7"/>
  <c r="F18" i="7"/>
  <c r="D11" i="7"/>
  <c r="F9" i="7"/>
  <c r="E11" i="7"/>
  <c r="H8" i="7"/>
  <c r="C22" i="7"/>
  <c r="C20" i="7"/>
  <c r="F13" i="7"/>
  <c r="D23" i="7"/>
  <c r="G20" i="7"/>
  <c r="F7" i="7"/>
  <c r="G10" i="7"/>
  <c r="C18" i="7"/>
  <c r="I12" i="7"/>
  <c r="E20" i="7"/>
  <c r="H12" i="7"/>
  <c r="I20" i="7"/>
  <c r="E19" i="7"/>
  <c r="D13" i="7"/>
  <c r="D7" i="7"/>
  <c r="C13" i="7"/>
  <c r="H19" i="7"/>
  <c r="C19" i="7"/>
  <c r="D9" i="7"/>
  <c r="G23" i="7"/>
  <c r="F21" i="7"/>
  <c r="F11" i="7"/>
  <c r="H20" i="7"/>
  <c r="I7" i="7"/>
  <c r="C58" i="3" l="1"/>
  <c r="C62" i="3" s="1"/>
  <c r="C53" i="3"/>
  <c r="C17" i="4" l="1"/>
  <c r="C54" i="3"/>
  <c r="C55" i="3" s="1"/>
  <c r="C16" i="1" s="1"/>
  <c r="C63" i="3"/>
  <c r="C64" i="3" s="1"/>
  <c r="C17" i="1" s="1"/>
  <c r="D17" i="1" s="1"/>
  <c r="C10" i="1" l="1"/>
  <c r="C12" i="1" s="1"/>
  <c r="C11" i="1" s="1"/>
  <c r="C21" i="1"/>
  <c r="D16" i="1"/>
  <c r="C19" i="4"/>
  <c r="C20" i="4" s="1"/>
  <c r="B79" i="4" s="1"/>
</calcChain>
</file>

<file path=xl/sharedStrings.xml><?xml version="1.0" encoding="utf-8"?>
<sst xmlns="http://schemas.openxmlformats.org/spreadsheetml/2006/main" count="509" uniqueCount="394">
  <si>
    <t>DISCLAIMER: This is a sample analysis for demonstration purposes only. It does not constitute investment advice.</t>
  </si>
  <si>
    <t>オリエンタルランド (4661.T)</t>
  </si>
  <si>
    <t>Equity Research Report</t>
  </si>
  <si>
    <t>Company</t>
  </si>
  <si>
    <t>オリエンタルランド</t>
  </si>
  <si>
    <t>Ticker</t>
  </si>
  <si>
    <t>4661.T (TSE Prime)</t>
  </si>
  <si>
    <t>Sector</t>
  </si>
  <si>
    <t>サービス業</t>
  </si>
  <si>
    <t>Current Price</t>
  </si>
  <si>
    <t>Target Price (DCF Mid)</t>
  </si>
  <si>
    <t>Recommendation</t>
  </si>
  <si>
    <t>Upside / Downside</t>
  </si>
  <si>
    <t>Valuation Summary</t>
  </si>
  <si>
    <t>Methodology</t>
  </si>
  <si>
    <t>Implied Value (JPY)</t>
  </si>
  <si>
    <t>vs Current Price</t>
  </si>
  <si>
    <t>DCF - Perpetuity Growth</t>
  </si>
  <si>
    <t>DCF - Exit Multiple</t>
  </si>
  <si>
    <t>Comps - EV/EBITDA Median [参考・Target不算入]</t>
  </si>
  <si>
    <t>Comps - PER Median [参考・Target不算入]</t>
  </si>
  <si>
    <t>Note: Target Mid は DCF 2法（PGM / Exit）の平均のみ。Comps 2法は [参考] で Target 不算入（EV&lt;ネットデットで株式価値が負になる手法は INVALID として平均から除外）</t>
  </si>
  <si>
    <t>DCF Valuation Range (PGM - Exit)</t>
  </si>
  <si>
    <t>Key Investment Thesis</t>
  </si>
  <si>
    <t>1. [Edit] Describe key competitive advantage</t>
  </si>
  <si>
    <t>2. [Edit] Describe growth driver</t>
  </si>
  <si>
    <t>3. [Edit] Describe margin expansion opportunity</t>
  </si>
  <si>
    <t>Key Risks</t>
  </si>
  <si>
    <t>1. [Edit] Describe primary risk factor</t>
  </si>
  <si>
    <t>2. [Edit] Describe secondary risk factor</t>
  </si>
  <si>
    <t>3. [Edit] Describe tertiary risk factor</t>
  </si>
  <si>
    <t>オリエンタルランド - Historical Financials (JPY mn)</t>
  </si>
  <si>
    <t>FY2023</t>
  </si>
  <si>
    <t>FY2024</t>
  </si>
  <si>
    <t>FY2025</t>
  </si>
  <si>
    <t>FY2026</t>
  </si>
  <si>
    <t>Income Statement</t>
  </si>
  <si>
    <t>Revenue</t>
  </si>
  <si>
    <t>COGS</t>
  </si>
  <si>
    <t>Gross Profit</t>
  </si>
  <si>
    <t>Gross Margin</t>
  </si>
  <si>
    <t>SGA</t>
  </si>
  <si>
    <t>Operating Income</t>
  </si>
  <si>
    <t>Net Income</t>
  </si>
  <si>
    <t>Operating Margin</t>
  </si>
  <si>
    <t>Net Margin</t>
  </si>
  <si>
    <t>Revenue Growth (YoY)</t>
  </si>
  <si>
    <t>n/a</t>
  </si>
  <si>
    <t>Operating Income Growth (YoY)</t>
  </si>
  <si>
    <t>Cash Flow Statement</t>
  </si>
  <si>
    <t>Operating Cash Flow</t>
  </si>
  <si>
    <t>Capex</t>
  </si>
  <si>
    <t>Free Cash Flow</t>
  </si>
  <si>
    <t>FCF Margin</t>
  </si>
  <si>
    <t>Capex / Revenue</t>
  </si>
  <si>
    <t>Balance Sheet Highlights</t>
  </si>
  <si>
    <t>Cash &amp; Deposits</t>
  </si>
  <si>
    <t>Total Interest-bearing Debt (short + long)</t>
  </si>
  <si>
    <t>Net Debt (Cash)</t>
  </si>
  <si>
    <t>Note: OCF / Cash / Debt coverage OCF 4/4, Cash 4/4, Debt 4/4 — blank cells are years with no year-key match in the source data (verify against 決算短信 or set hist_ocf / hist_cash / hist_debt in overrides).</t>
  </si>
  <si>
    <t>DCF Valuation Model - オリエンタルランド</t>
  </si>
  <si>
    <t>Assumptions</t>
  </si>
  <si>
    <t>Capex / Revenue (hist 3yr avg, fallback)</t>
  </si>
  <si>
    <t>Effective Tax Rate</t>
  </si>
  <si>
    <t>Risk-Free Rate</t>
  </si>
  <si>
    <t>Beta</t>
  </si>
  <si>
    <t>Equity Risk Premium</t>
  </si>
  <si>
    <t>Size Premium</t>
  </si>
  <si>
    <t>After-tax Cost of Debt</t>
  </si>
  <si>
    <t>D/E Ratio</t>
  </si>
  <si>
    <t>Terminal Growth Rate</t>
  </si>
  <si>
    <t>Exit Multiple (EV/EBITDA)</t>
  </si>
  <si>
    <t>Fully Diluted Shares</t>
  </si>
  <si>
    <t>Net Debt (JPY mn)</t>
  </si>
  <si>
    <t>Base Year Revenue (JPY mn)</t>
  </si>
  <si>
    <t>D&amp;A / Revenue</t>
  </si>
  <si>
    <t>Stub Fraction (yr remaining)</t>
  </si>
  <si>
    <t>LTM Revenue (JPY mn)</t>
  </si>
  <si>
    <t>WACC Calculation</t>
  </si>
  <si>
    <t>Cost of Equity (Ke)</t>
  </si>
  <si>
    <t>Weight of Equity</t>
  </si>
  <si>
    <t>Weight of Debt</t>
  </si>
  <si>
    <t>WACC</t>
  </si>
  <si>
    <t>Active Scenario</t>
  </si>
  <si>
    <t>Base</t>
  </si>
  <si>
    <t>Projected Free Cash Flow</t>
  </si>
  <si>
    <t>FY2027(E)</t>
  </si>
  <si>
    <t>FY2028(E)</t>
  </si>
  <si>
    <t>FY2029(E)</t>
  </si>
  <si>
    <t>FY2030(E)</t>
  </si>
  <si>
    <t>FY2031(E)</t>
  </si>
  <si>
    <t>COGS % of Revenue</t>
  </si>
  <si>
    <t>SGA % of Revenue</t>
  </si>
  <si>
    <t>SGA Expense</t>
  </si>
  <si>
    <t>Implied Operating Margin</t>
  </si>
  <si>
    <t>Operating Income (EBIT)</t>
  </si>
  <si>
    <t>Less: Tax</t>
  </si>
  <si>
    <t>NOPAT</t>
  </si>
  <si>
    <t>Plus: D&amp;A</t>
  </si>
  <si>
    <t>Less: Capex</t>
  </si>
  <si>
    <t>Change in NWC</t>
  </si>
  <si>
    <t>Unlevered Free Cash Flow</t>
  </si>
  <si>
    <t>Discount Factor</t>
  </si>
  <si>
    <t>PV of FCF</t>
  </si>
  <si>
    <t>Valuation - Perpetuity Growth Method</t>
  </si>
  <si>
    <t>Sum of PV of FCFs</t>
  </si>
  <si>
    <t>Terminal Value (PGM)</t>
  </si>
  <si>
    <t>PV of Terminal Value</t>
  </si>
  <si>
    <t>Enterprise Value</t>
  </si>
  <si>
    <t>Equity Value</t>
  </si>
  <si>
    <t>Implied Share Price (PGM)</t>
  </si>
  <si>
    <t>Valuation - Exit Multiple Method</t>
  </si>
  <si>
    <t>Year 5 EBITDA</t>
  </si>
  <si>
    <t>Terminal Value (Exit Multiple)</t>
  </si>
  <si>
    <t>Implied Share Price (Exit Multiple)</t>
  </si>
  <si>
    <t>Scenario Input Matrix</t>
  </si>
  <si>
    <t>Year 1</t>
  </si>
  <si>
    <t>Year 2</t>
  </si>
  <si>
    <t>Year 3</t>
  </si>
  <si>
    <t>Year 4</t>
  </si>
  <si>
    <t>Year 5</t>
  </si>
  <si>
    <t>Upside</t>
  </si>
  <si>
    <t>Management</t>
  </si>
  <si>
    <t>Downside 1</t>
  </si>
  <si>
    <t>Downside 2</t>
  </si>
  <si>
    <t>Reverse DCF - オリエンタルランド (4661.T)</t>
  </si>
  <si>
    <t>What is the current share price already assuming? Every value below is a live formula off the other sheets.</t>
  </si>
  <si>
    <t>Block 0: Market-implied enterprise value (live)</t>
  </si>
  <si>
    <t>Current Share Price (JPY)</t>
  </si>
  <si>
    <t>Market Capitalisation (JPY mn)</t>
  </si>
  <si>
    <t>Enterprise Value (JPY mn)</t>
  </si>
  <si>
    <t>WACC (w)</t>
  </si>
  <si>
    <t>Terminal Growth (g)</t>
  </si>
  <si>
    <t>Effective Tax Rate (t)</t>
  </si>
  <si>
    <t>Starting Operating Profit OP0 (FY2026 actual)</t>
  </si>
  <si>
    <t>Cycle-peak Operating Profit (FY2025 actual)</t>
  </si>
  <si>
    <t>Terminal-year Revenue, active scenario (JPY mn)</t>
  </si>
  <si>
    <t>Base-case DCF Enterprise Value, PGM (JPY mn)</t>
  </si>
  <si>
    <t>Cycle-peak Operating Margin (FY2025 actual)</t>
  </si>
  <si>
    <t>Gap: market EV less base-case DCF EV (JPY mn)</t>
  </si>
  <si>
    <t>Gap per share (JPY) - the part of the price the base case does not explain</t>
  </si>
  <si>
    <t>Block A: Required steady-state operating profit, reached IMMEDIATELY (no ramp)</t>
  </si>
  <si>
    <t>The lowest bar the price can clear: today's EV read as a perpetuity of one steady-state profit, capex = D&amp;A, no NWC build.</t>
  </si>
  <si>
    <t>Required steady-state NOPAT (JPY mn)</t>
  </si>
  <si>
    <t>Required steady-state Operating Profit (JPY mn)</t>
  </si>
  <si>
    <t>... as a multiple of the FY2025 peak</t>
  </si>
  <si>
    <t>... as a multiple of FY2026 actual</t>
  </si>
  <si>
    <t>... implied OPM on terminal-year revenue</t>
  </si>
  <si>
    <t>... revenue needed if margins only reach the cycle peak</t>
  </si>
  <si>
    <t>Block B: Required steady-state operating profit by YEARS-TO-REACH (linear ramp) x WACC</t>
  </si>
  <si>
    <t>Operating profit ramps linearly from OP0 (C14) to OP* over N years, then grows at g for ever. Column F is the model WACC.</t>
  </si>
  <si>
    <t>OP* = ( EV/(1-t) - OP0*(A-B) ) / ( B + TVF ). A longer ramp needs a HIGHER steady state, because more years are spent below it.</t>
  </si>
  <si>
    <t>Years to steady state (N)   \   WACC</t>
  </si>
  <si>
    <t>N</t>
  </si>
  <si>
    <t>B-1  PV weight on the RAMP from OP0   (A - B)</t>
  </si>
  <si>
    <t>N = 3 years</t>
  </si>
  <si>
    <t>N = 5 years</t>
  </si>
  <si>
    <t>N = 7 years</t>
  </si>
  <si>
    <t>N = 10 years</t>
  </si>
  <si>
    <t>B-2  PV weight on the STEADY STATE OP*   (B + terminal factor)</t>
  </si>
  <si>
    <t>B-3  REQUIRED steady-state Operating Profit (JPY mn)</t>
  </si>
  <si>
    <t>B-4  ... as a multiple of the FY2025 peak operating profit</t>
  </si>
  <si>
    <t>Block C: Decomposing the required profit into revenue x margin (N = 5 years, model WACC)</t>
  </si>
  <si>
    <t>The revenue the company must run at, for a given steady-state operating margin, to earn the Block B-3 profit.</t>
  </si>
  <si>
    <t>Required steady-state Operating Profit (N=5, model WACC)</t>
  </si>
  <si>
    <t>Assumed steady-state OPM</t>
  </si>
  <si>
    <t>Required Revenue</t>
  </si>
  <si>
    <t>x base-year revenue</t>
  </si>
  <si>
    <t>cycle-peak OPM (FY2025)</t>
  </si>
  <si>
    <t>Block D: The same question expressed as multiples</t>
  </si>
  <si>
    <t>Current EV / latest-FY EBITDA (actual)</t>
  </si>
  <si>
    <t>Current EV / latest-FY Revenue (actual)</t>
  </si>
  <si>
    <t>EV / EBITDA if the Block A profit were already earned</t>
  </si>
  <si>
    <t>EV / EBITDA if the Block B-3 (N=5) profit were already earned</t>
  </si>
  <si>
    <t>Peer median EV / EBITDA (statistics rows)</t>
  </si>
  <si>
    <t>Rows 3-4 answer: what multiple would today's EV be paying IF the company already earned the profit the price requires?</t>
  </si>
  <si>
    <t>Block F: The one-line answer</t>
  </si>
  <si>
    <t>NWC Schedule - オリエンタルランド</t>
  </si>
  <si>
    <t>Working Capital Drivers (Days)</t>
  </si>
  <si>
    <t>Base Year</t>
  </si>
  <si>
    <t>DSO (Days Sales Outstanding)</t>
  </si>
  <si>
    <t>DIH (Days Inventory Held)</t>
  </si>
  <si>
    <t>DPO (Days Payable Outstanding)</t>
  </si>
  <si>
    <t>P&amp;L Reference (JPY mn)</t>
  </si>
  <si>
    <t>Working Capital Items (JPY mn)</t>
  </si>
  <si>
    <t>Accounts Receivable</t>
  </si>
  <si>
    <t>Inventory</t>
  </si>
  <si>
    <t>Current Assets (AR + Inv)</t>
  </si>
  <si>
    <t>Accounts Payable</t>
  </si>
  <si>
    <t>Current Liabilities (AP)</t>
  </si>
  <si>
    <t>Net Working Capital (JPY mn)</t>
  </si>
  <si>
    <t>Net Working Capital</t>
  </si>
  <si>
    <t>Scenario Input Matrix (Working Capital Days)</t>
  </si>
  <si>
    <t>DSO (Days)</t>
  </si>
  <si>
    <t>DIH (Days)</t>
  </si>
  <si>
    <t>DPO (Days)</t>
  </si>
  <si>
    <t>Comparable Company Analysis</t>
  </si>
  <si>
    <t>Peer prices as of 2026-09-06 (Mkt Cap / EV of peer rows are static CSV values; the subject row is live-linked to Executive Summary)</t>
  </si>
  <si>
    <t>Mkt Cap
(JPY mn)</t>
  </si>
  <si>
    <t>EV
(JPY mn)</t>
  </si>
  <si>
    <t>Revenue
(JPY mn)</t>
  </si>
  <si>
    <t>EBITDA
(JPY mn)</t>
  </si>
  <si>
    <t>Op Income
(JPY mn)</t>
  </si>
  <si>
    <t>Net Income
(JPY mn)</t>
  </si>
  <si>
    <t>EV/EBITDA</t>
  </si>
  <si>
    <t>EV/Revenue</t>
  </si>
  <si>
    <t>PER</t>
  </si>
  <si>
    <t>PBR</t>
  </si>
  <si>
    <t>Op Margin</t>
  </si>
  <si>
    <t>ROE</t>
  </si>
  <si>
    <t>Book Value
(JPY mn)</t>
  </si>
  <si>
    <t>Note</t>
  </si>
  <si>
    <t>Oriental Land Co., Ltd.</t>
  </si>
  <si>
    <t>4661.T</t>
  </si>
  <si>
    <t>Toho Co., Ltd.</t>
  </si>
  <si>
    <t>9602.T</t>
  </si>
  <si>
    <t>Resorttrust, Inc.</t>
  </si>
  <si>
    <t>4681.T</t>
  </si>
  <si>
    <t>Kyoritsu Maintenance Co., Ltd.</t>
  </si>
  <si>
    <t>9616.T</t>
  </si>
  <si>
    <t>Statistics</t>
  </si>
  <si>
    <t>25th Percentile</t>
  </si>
  <si>
    <t>Median (50th)</t>
  </si>
  <si>
    <t>75th Percentile</t>
  </si>
  <si>
    <t>Implied Valuation for オリエンタルランド</t>
  </si>
  <si>
    <t>オリエンタルランド Financials</t>
  </si>
  <si>
    <t>EBITDA (JPY mn)</t>
  </si>
  <si>
    <t>Net Income (JPY mn)</t>
  </si>
  <si>
    <t>Shares Outstanding</t>
  </si>
  <si>
    <t>Implied Share Price (Median Multiples)</t>
  </si>
  <si>
    <t>Via EV/EBITDA (Median)</t>
  </si>
  <si>
    <t>Via PER (Median)</t>
  </si>
  <si>
    <t>Sensitivity Analysis</t>
  </si>
  <si>
    <t>Current WACC:</t>
  </si>
  <si>
    <t>Terminal g:</t>
  </si>
  <si>
    <t>Exit Multiple:</t>
  </si>
  <si>
    <t>Table 1: WACC vs Terminal Growth Rate (PGM - Implied Share Price, JPY)</t>
  </si>
  <si>
    <t>WACC \ Terminal g</t>
  </si>
  <si>
    <t>Table 2: WACC vs Exit Multiple (Exit Multiple - Implied Share Price, JPY)</t>
  </si>
  <si>
    <t>WACC \ Exit Multiple</t>
  </si>
  <si>
    <t>All values dynamically linked to DCF Model. Headers auto-center on current WACC / Terminal g / Exit Multiple.</t>
  </si>
  <si>
    <t>Adjustments Log - オリエンタルランド</t>
  </si>
  <si>
    <t>日付</t>
  </si>
  <si>
    <t>セル</t>
  </si>
  <si>
    <t>変更内容</t>
  </si>
  <si>
    <t>理由</t>
  </si>
  <si>
    <t>元の値</t>
  </si>
  <si>
    <t>状態</t>
  </si>
  <si>
    <t>2026-09-06</t>
  </si>
  <si>
    <t>-</t>
  </si>
  <si>
    <t>Generated by pipeline on 2026-09-06 13:22, template rev c9b5dd9</t>
  </si>
  <si>
    <t>初期生成（手修正なし）</t>
  </si>
  <si>
    <t>generated</t>
  </si>
  <si>
    <t>2026-09-05</t>
  </si>
  <si>
    <t>DCF Model!C7</t>
  </si>
  <si>
    <t>Risk-Free Rate = 2.97%</t>
  </si>
  <si>
    <t>財務省 国債金利情報 jgbcm.csv 10年物 R8.9.3(2026-09-03) 2.966% を四捨五入。バッチ全銘柄共通の一次ソース。yfinance は日本国債利回りを返さないため使用しない。</t>
  </si>
  <si>
    <t>テンプレ既定 2.2%</t>
  </si>
  <si>
    <t>確定</t>
  </si>
  <si>
    <t>DCF Model!C9</t>
  </si>
  <si>
    <t>Equity Risk Premium = 6.5%</t>
  </si>
  <si>
    <t>バッチ共通の固定前提(v2 §1-3)。銘柄固有の調整はしていない。</t>
  </si>
  <si>
    <t>テンプレ既定 6.5%(同値)</t>
  </si>
  <si>
    <t>設計判断</t>
  </si>
  <si>
    <t>DCF Model!C10</t>
  </si>
  <si>
    <t>Size Premium = 1.0%</t>
  </si>
  <si>
    <t>時価総額バンドによる機械決定(&gt;3,000億円 -&gt; 1.0%)。当社時価総額 5,142,151百万円。■テンプレートの自動規則(&gt;=1兆円 -&gt; 0.0%、&gt;=1,000億円 -&gt; 1.5%)とは異なる値であり、明示指定で上書きしている。</t>
  </si>
  <si>
    <t>テンプレ自動値</t>
  </si>
  <si>
    <t>DCF Model!C8</t>
  </si>
  <si>
    <t>Beta = 0.60</t>
  </si>
  <si>
    <t>yfinance実測 **0.308** はクランプ下限 0.60 を下回るため、追補1 §A の規則 max(0.6, min(1.75, 実測)) により **0.60 を明示指定**した。テンプレの無言の 1.0 置換は起きていない。実測ベースより WACC は保守的に出る。</t>
  </si>
  <si>
    <t>yfinance実測 0.308</t>
  </si>
  <si>
    <t>設計判断(クランプ下限を採用)</t>
  </si>
  <si>
    <t>DCF Model!C6</t>
  </si>
  <si>
    <t>Effective Tax Rate = 25%</t>
  </si>
  <si>
    <t>バッチ共通の既定値(v2 §1-3)。当社の実績税負担率を個別に検証したものではない。</t>
  </si>
  <si>
    <t>テンプレ既定 30%</t>
  </si>
  <si>
    <t>推定</t>
  </si>
  <si>
    <t>DCF Model!C11</t>
  </si>
  <si>
    <t>After-tax Cost of Debt = 0.62%(実績ベース)</t>
  </si>
  <si>
    <t>支払利息 2,455百万円 ÷ 平均有利子負債 ((266,667 + 326,706)/2) から算出（validate チェック17 PASS）。■出所は yfinance の Interest Expense で EDINET 有報の支払利息と未突合。</t>
  </si>
  <si>
    <t>テンプレ既定(推定値)</t>
  </si>
  <si>
    <t>推定(出所が二次ソース・要確認)</t>
  </si>
  <si>
    <t>DCF Model!C13</t>
  </si>
  <si>
    <t>Terminal Growth = 1.0%</t>
  </si>
  <si>
    <t>バッチ共通の固定前提(v2 §1-3)。</t>
  </si>
  <si>
    <t>テンプレ既定 2.0%</t>
  </si>
  <si>
    <t>DCF Model!C14</t>
  </si>
  <si>
    <t>Exit Multiple (EV/EBITDA) = 11.4x</t>
  </si>
  <si>
    <t>Peer 3社の実測EV/EBITDA中央値。 自社の現在倍率 21.28x は算式に入れていない(市場価格への循環参照回避)。■マージン品質調整式はバッチ全体で棄却済み(EV/EBITDA が既に資本集約度を織り込むため、営業利益率による上方調整は資本集約型で逆方向に働く)。</t>
  </si>
  <si>
    <t>テンプレ既定 10.0x</t>
  </si>
  <si>
    <t>全体(型判定・プレスクリーン)</t>
  </si>
  <si>
    <t>型A（通常の事業会社）として処理</t>
  </si>
  <si>
    <t>追補1 §B に従い、型判定の前に batch/prescreen.py で EDINET有報XBRL の金融事業専用科目(ForFinancialBusiness / Banking / Deposits / CallLoan / InstallmentReceivable 系)を機械チェックした。検出結果: **CLEAN**（金融事業専用科目は1件も検出されず）。銀行・captive finance なし。プレスクリーン CLEAN。赤字年なし。</t>
  </si>
  <si>
    <t>DCF Model シナリオ5本</t>
  </si>
  <si>
    <t>実績OPM分布からの導出（追補7 §Y の単調性判定: **非単調**）</t>
  </si>
  <si>
    <t>p25 23.68 / med 24.62 / p75 25.69。**適用ルール: 型A規則（中央値へ収束）** により Base 到達OPM = **24.62%**。直近 23.90% ≤ 中央値 24.62% のため中央値へ収束。**Peer は n=3**（9602 東宝 / 4681 リゾートトラスト / 9616 共立メンテナンス）で、テーマパーク専業の上場企業が国内に存在しないため。■自社倍率 21.28x が Peer中央値 11.40x のほぼ2倍で、**Peer 群が当社のフランチャイズを捕捉できていない**。 Upside / Downside 1 / Downside 2 は本バッチ共通の機械規則による。COGS% は直近実績に固定し SGA% = 100% − COGS% − 目標OPM で逆算。他銘柄からの流用なし。</t>
  </si>
  <si>
    <t>テンプレ自動生成シナリオ</t>
  </si>
  <si>
    <t>DCF Model Management シナリオ</t>
  </si>
  <si>
    <t>Management = Base と同一</t>
  </si>
  <si>
    <t>EDINET XBRL・TDnet短信のいずれからも会社業績予想を取得できなかった(生成ログ Step 3: 'No guidance data found')。v2 §7-2 に従い Management=Base で続行。■本バッチではここまで生成した全銘柄で同じ結果になっており、銘柄固有ではなくパイプラインの構造的な取得失敗である。</t>
  </si>
  <si>
    <t>フォールバック使用(会社予想未取得)</t>
  </si>
  <si>
    <t>DCF Model NWC(dso/dih/dpo)</t>
  </si>
  <si>
    <t>Base: DSO 17 / DIH 23 / DPO 23 日</t>
  </si>
  <si>
    <t>実績4期の平均。Downside では運転資本の悪化を織り込み DSO/DIH を延ばし DPO を縮めた。</t>
  </si>
  <si>
    <t>Comps Analysis</t>
  </si>
  <si>
    <t>Peer 3社 = 9602 東宝 / 4681 リゾートトラスト / 9616 共立メンテナンス</t>
  </si>
  <si>
    <t>**Peer は n=3**。テーマパーク専業の上場企業が国内に存在しないため、レジャー・宿泊で代替した。自社倍率 **21.28x** は Peer中央値 11.40x のほぼ2倍で、**Peer 群が当社のフランチャイズを捕捉できていない**。</t>
  </si>
  <si>
    <t>Executive Summary!C10 / Target</t>
  </si>
  <si>
    <t>Target Price = 1,393円 = PGM 1,183円 と Exit 1,602円 の2本平均。Comps 2本(EV/EBITDA —円 / PER —円)は [参考・Target不算入]</t>
  </si>
  <si>
    <t>メモ§2 の規約どおり。validate チェック14 PASS(C10 が C16:C17 のみを平均)。</t>
  </si>
  <si>
    <t>全体(納品状態)</t>
  </si>
  <si>
    <t>本ファイルは DRAFT。_FINAL は付けない</t>
  </si>
  <si>
    <t>バッチモードでの機械生成物であり人間の検証を経ていない。FINAL化は手順書v2 §6 に従い検証後に行う。</t>
  </si>
  <si>
    <t>DRAFT</t>
  </si>
  <si>
    <t>全体(未解決)</t>
  </si>
  <si>
    <t>自社倍率 21.28x が Peer中央値 11.40x のほぼ2倍</t>
  </si>
  <si>
    <t>**テーマパーク専業の上場企業が国内になく、Peer 群（映画・宿泊）が当社のフランチャイズを捕捉できていない**。Target −55.6% はこのギャップを反映しており、**Peer 選定の限界を含めて読むこと**。</t>
  </si>
  <si>
    <t>未解決</t>
  </si>
  <si>
    <t>Peer が3社しかなく中央値の頑健性が低い</t>
  </si>
  <si>
    <t>FINAL化時は海外テーマパーク（Disney 等）を一次ソースで加えることを推奨。</t>
  </si>
  <si>
    <t>capex/D&amp;A = 1.26倍（176,300 / 139,700 相当）</t>
  </si>
  <si>
    <t>新規エリア開発の投資計画は一次ソースで確認していない。</t>
  </si>
  <si>
    <t>Pipeline Metadata (do not edit — read by scripts/validate_output.py)</t>
  </si>
  <si>
    <t>key</t>
  </si>
  <si>
    <t>value</t>
  </si>
  <si>
    <t>auto_log_entries</t>
  </si>
  <si>
    <t>1</t>
  </si>
  <si>
    <t>capex_pct_basis</t>
  </si>
  <si>
    <t>hist_3yr_avg</t>
  </si>
  <si>
    <t>capex_pct_c5</t>
  </si>
  <si>
    <t>0.1116</t>
  </si>
  <si>
    <t>capex_pct_hist3yr</t>
  </si>
  <si>
    <t>0.111576</t>
  </si>
  <si>
    <t>company_name</t>
  </si>
  <si>
    <t>comps_asof</t>
  </si>
  <si>
    <t>comps_da_missing</t>
  </si>
  <si>
    <t>none</t>
  </si>
  <si>
    <t>comps_ev_ebitda_invalid</t>
  </si>
  <si>
    <t>no</t>
  </si>
  <si>
    <t>comps_ev_ebitda_rows</t>
  </si>
  <si>
    <t>6,7,8</t>
  </si>
  <si>
    <t>comps_impl_mult_row</t>
  </si>
  <si>
    <t>27</t>
  </si>
  <si>
    <t>comps_impl_per_row</t>
  </si>
  <si>
    <t>28</t>
  </si>
  <si>
    <t>comps_peer_rows</t>
  </si>
  <si>
    <t>comps_stale_excluded</t>
  </si>
  <si>
    <t>comps_stat_median_row</t>
  </si>
  <si>
    <t>16</t>
  </si>
  <si>
    <t>comps_subject_row</t>
  </si>
  <si>
    <t>5</t>
  </si>
  <si>
    <t>cost_of_debt_actual</t>
  </si>
  <si>
    <t>interest 2,455 (expense 2,455 + fees 0) / avg debt 296,686 (debt_beginning/debt_ending) = 0.008275 pre-tax -&gt; 0.006200 after-tax</t>
  </si>
  <si>
    <t>cost_of_debt_at_c11</t>
  </si>
  <si>
    <t>0.0062</t>
  </si>
  <si>
    <t>cost_of_debt_avg_debt</t>
  </si>
  <si>
    <t>296686.5</t>
  </si>
  <si>
    <t>cost_of_debt_basis</t>
  </si>
  <si>
    <t>actual</t>
  </si>
  <si>
    <t>cost_of_debt_interest</t>
  </si>
  <si>
    <t>2455.0</t>
  </si>
  <si>
    <t>cost_of_debt_pretax</t>
  </si>
  <si>
    <t>0.008274727700788543</t>
  </si>
  <si>
    <t>da_pct_basis</t>
  </si>
  <si>
    <t>assumption</t>
  </si>
  <si>
    <t>da_pct_c18</t>
  </si>
  <si>
    <t>0.0945</t>
  </si>
  <si>
    <t>da_pct_hist3yr</t>
  </si>
  <si>
    <t>0.088753</t>
  </si>
  <si>
    <t>fs_year_coverage</t>
  </si>
  <si>
    <t>OCF 4/4, Cash 4/4, Debt 4/4</t>
  </si>
  <si>
    <t>fs_year_map</t>
  </si>
  <si>
    <t>FY2023&lt;-FY2023[ocf+cash+debt]; FY2024&lt;-FY2024[ocf+cash+debt]; FY2025&lt;-FY2025[ocf+cash+debt]; FY2026&lt;-FY2026[ocf+cash+debt]</t>
  </si>
  <si>
    <t>fs_year_sources</t>
  </si>
  <si>
    <t>overrides: none | EDINET year-key match: hist_ocf, hist_cash, hist_debt, hist_capex, hist_depreciation</t>
  </si>
  <si>
    <t>fx_sensitivity</t>
  </si>
  <si>
    <t>not enabled</t>
  </si>
  <si>
    <t>generated_at</t>
  </si>
  <si>
    <t>2026-09-06 13:22:53</t>
  </si>
  <si>
    <t>ltm_revenue_c20</t>
  </si>
  <si>
    <t>704539.0</t>
  </si>
  <si>
    <t>ltm_revenue_source</t>
  </si>
  <si>
    <t>latest FY (no LTM)</t>
  </si>
  <si>
    <t>narrative_tokens_used</t>
  </si>
  <si>
    <t>reverse_dcf_sheet</t>
  </si>
  <si>
    <t>op0=168,413(FY2026) peak=172,111(FY2025) peak_opm=0.2533 N=3/5/7/10</t>
  </si>
  <si>
    <t>scenario_index_range</t>
  </si>
  <si>
    <t>B69:B73</t>
  </si>
  <si>
    <t>tax_rate_c6</t>
  </si>
  <si>
    <t>0.25</t>
  </si>
  <si>
    <t>template_rev</t>
  </si>
  <si>
    <t>c9b5dd9</t>
  </si>
  <si>
    <t>ticker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</si>
</sst>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76" formatCode="#,##0;\(#,##0\)"/>
    <numFmt numFmtId="177" formatCode="0.0%;\(0.0%\)"/>
    <numFmt numFmtId="178" formatCode="0.000"/>
    <numFmt numFmtId="179" formatCode="0.00&quot;x&quot;"/>
    <numFmt numFmtId="180" formatCode="0.00%;\(0.00%\)"/>
    <numFmt numFmtId="181" formatCode="0.0000"/>
  </numFmts>
  <fonts count="10" x14ac:knownFonts="1">
    <font>
      <sz val="11"/>
      <color theme="1"/>
      <name val="ＭＳ Ｐゴシック"/>
      <family val="2"/>
      <scheme val="minor"/>
    </font>
    <font>
      <i/>
      <sz val="9"/>
      <color rgb="FF808080"/>
      <name val="Arial"/>
    </font>
    <font>
      <b/>
      <sz val="14"/>
      <name val="Arial"/>
    </font>
    <font>
      <b/>
      <sz val="11"/>
      <name val="Arial"/>
    </font>
    <font>
      <b/>
      <sz val="10"/>
      <name val="Arial"/>
    </font>
    <font>
      <sz val="10"/>
      <color rgb="FF000000"/>
      <name val="Arial"/>
    </font>
    <font>
      <b/>
      <sz val="11"/>
      <color rgb="FFFFFFFF"/>
      <name val="Arial"/>
    </font>
    <font>
      <sz val="10"/>
      <color rgb="FF006600"/>
      <name val="Arial"/>
    </font>
    <font>
      <sz val="6"/>
      <name val="ＭＳ Ｐゴシック"/>
      <family val="3"/>
      <charset val="128"/>
      <scheme val="minor"/>
    </font>
    <font>
      <sz val="10"/>
      <name val="Arial"/>
    </font>
  </fonts>
  <fills count="6">
    <fill>
      <patternFill patternType="none"/>
    </fill>
    <fill>
      <patternFill patternType="gray125"/>
    </fill>
    <fill>
      <patternFill patternType="solid">
        <fgColor rgb="FFDCE6F1"/>
        <bgColor rgb="FFDCE6F1"/>
      </patternFill>
    </fill>
    <fill>
      <patternFill patternType="solid">
        <fgColor rgb="FF000080"/>
        <bgColor rgb="FF000080"/>
      </patternFill>
    </fill>
    <fill>
      <patternFill patternType="solid">
        <fgColor rgb="FFF2F2F2"/>
        <bgColor rgb="FFF2F2F2"/>
      </patternFill>
    </fill>
    <fill>
      <patternFill patternType="solid">
        <fgColor rgb="FFE2EFDA"/>
        <bgColor rgb="FFE2EFDA"/>
      </patternFill>
    </fill>
  </fills>
  <borders count="7">
    <border>
      <left/>
      <right/>
      <top/>
      <bottom/>
      <diagonal/>
    </border>
    <border>
      <left/>
      <right/>
      <top/>
      <bottom style="thin">
        <color auto="1"/>
      </bottom>
      <diagonal/>
    </border>
    <border>
      <left style="thin">
        <color rgb="FFB0B0B0"/>
      </left>
      <right style="thin">
        <color rgb="FFB0B0B0"/>
      </right>
      <top style="thin">
        <color rgb="FFB0B0B0"/>
      </top>
      <bottom style="thin">
        <color rgb="FFB0B0B0"/>
      </bottom>
      <diagonal/>
    </border>
    <border>
      <left/>
      <right/>
      <top style="thin">
        <color auto="1"/>
      </top>
      <bottom style="thin">
        <color auto="1"/>
      </bottom>
      <diagonal/>
    </border>
    <border>
      <left/>
      <right/>
      <top style="thin">
        <color auto="1"/>
      </top>
      <bottom style="double">
        <color auto="1"/>
      </bottom>
      <diagonal/>
    </border>
    <border>
      <left style="hair">
        <color rgb="FFB0B0B0"/>
      </left>
      <right style="hair">
        <color rgb="FFB0B0B0"/>
      </right>
      <top style="hair">
        <color rgb="FFB0B0B0"/>
      </top>
      <bottom style="hair">
        <color rgb="FFB0B0B0"/>
      </bottom>
      <diagonal/>
    </border>
    <border>
      <left style="thin">
        <color auto="1"/>
      </left>
      <right style="thin">
        <color auto="1"/>
      </right>
      <top style="thin">
        <color auto="1"/>
      </top>
      <bottom style="thin">
        <color auto="1"/>
      </bottom>
      <diagonal/>
    </border>
  </borders>
  <cellStyleXfs count="1">
    <xf numFmtId="0" fontId="0" fillId="0" borderId="0"/>
  </cellStyleXfs>
  <cellXfs count="47">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176" fontId="5" fillId="0" borderId="0" xfId="0" applyNumberFormat="1" applyFont="1"/>
    <xf numFmtId="0" fontId="5" fillId="0" borderId="0" xfId="0" applyFont="1"/>
    <xf numFmtId="177" fontId="5" fillId="0" borderId="0" xfId="0" applyNumberFormat="1" applyFont="1"/>
    <xf numFmtId="0" fontId="3" fillId="2" borderId="0" xfId="0" applyFont="1" applyFill="1"/>
    <xf numFmtId="0" fontId="0" fillId="2" borderId="0" xfId="0" applyFill="1"/>
    <xf numFmtId="0" fontId="6" fillId="3" borderId="1" xfId="0" applyFont="1" applyFill="1" applyBorder="1" applyAlignment="1">
      <alignment horizontal="center" wrapText="1"/>
    </xf>
    <xf numFmtId="176" fontId="7" fillId="0" borderId="0" xfId="0" applyNumberFormat="1" applyFont="1"/>
    <xf numFmtId="2" fontId="5" fillId="0" borderId="0" xfId="0" applyNumberFormat="1" applyFont="1"/>
    <xf numFmtId="178" fontId="5" fillId="0" borderId="0" xfId="0" applyNumberFormat="1" applyFont="1"/>
    <xf numFmtId="179" fontId="5" fillId="0" borderId="0" xfId="0" applyNumberFormat="1" applyFont="1"/>
    <xf numFmtId="3" fontId="5" fillId="0" borderId="0" xfId="0" applyNumberFormat="1" applyFont="1"/>
    <xf numFmtId="180" fontId="5" fillId="0" borderId="0" xfId="0" applyNumberFormat="1" applyFont="1"/>
    <xf numFmtId="0" fontId="5" fillId="0" borderId="2" xfId="0" applyFont="1" applyBorder="1"/>
    <xf numFmtId="177" fontId="5" fillId="2" borderId="0" xfId="0" applyNumberFormat="1" applyFont="1" applyFill="1"/>
    <xf numFmtId="176" fontId="5" fillId="0" borderId="3" xfId="0" applyNumberFormat="1" applyFont="1" applyBorder="1"/>
    <xf numFmtId="176" fontId="5" fillId="4" borderId="3" xfId="0" applyNumberFormat="1" applyFont="1" applyFill="1" applyBorder="1"/>
    <xf numFmtId="181" fontId="5" fillId="0" borderId="0" xfId="0" applyNumberFormat="1" applyFont="1"/>
    <xf numFmtId="0" fontId="3" fillId="5" borderId="0" xfId="0" applyFont="1" applyFill="1"/>
    <xf numFmtId="0" fontId="0" fillId="5" borderId="0" xfId="0" applyFill="1"/>
    <xf numFmtId="176" fontId="5" fillId="0" borderId="4" xfId="0" applyNumberFormat="1" applyFont="1" applyBorder="1"/>
    <xf numFmtId="0" fontId="6" fillId="3" borderId="0" xfId="0" applyFont="1" applyFill="1" applyAlignment="1">
      <alignment horizontal="center"/>
    </xf>
    <xf numFmtId="177" fontId="5" fillId="0" borderId="2" xfId="0" applyNumberFormat="1" applyFont="1" applyBorder="1"/>
    <xf numFmtId="176" fontId="5" fillId="0" borderId="2" xfId="0" applyNumberFormat="1" applyFont="1" applyBorder="1"/>
    <xf numFmtId="0" fontId="6" fillId="3" borderId="0" xfId="0" applyFont="1" applyFill="1"/>
    <xf numFmtId="180" fontId="6" fillId="3" borderId="0" xfId="0" applyNumberFormat="1" applyFont="1" applyFill="1" applyAlignment="1">
      <alignment horizontal="center"/>
    </xf>
    <xf numFmtId="3" fontId="5" fillId="0" borderId="2" xfId="0" applyNumberFormat="1" applyFont="1" applyBorder="1"/>
    <xf numFmtId="177" fontId="4" fillId="0" borderId="2" xfId="0" applyNumberFormat="1" applyFont="1" applyBorder="1"/>
    <xf numFmtId="0" fontId="6" fillId="2" borderId="1" xfId="0" applyFont="1" applyFill="1" applyBorder="1" applyAlignment="1">
      <alignment horizontal="center" wrapText="1"/>
    </xf>
    <xf numFmtId="0" fontId="4" fillId="0" borderId="5" xfId="0" applyFont="1" applyBorder="1"/>
    <xf numFmtId="3" fontId="5" fillId="0" borderId="5" xfId="0" applyNumberFormat="1" applyFont="1" applyBorder="1"/>
    <xf numFmtId="176" fontId="5" fillId="0" borderId="5" xfId="0" applyNumberFormat="1" applyFont="1" applyBorder="1"/>
    <xf numFmtId="0" fontId="5" fillId="0" borderId="5" xfId="0" applyFont="1" applyBorder="1"/>
    <xf numFmtId="176" fontId="5" fillId="0" borderId="6" xfId="0" applyNumberFormat="1" applyFont="1" applyBorder="1"/>
    <xf numFmtId="179" fontId="5" fillId="0" borderId="6" xfId="0" applyNumberFormat="1" applyFont="1" applyBorder="1"/>
    <xf numFmtId="177" fontId="5" fillId="0" borderId="6" xfId="0" applyNumberFormat="1" applyFont="1" applyBorder="1"/>
    <xf numFmtId="0" fontId="6" fillId="3" borderId="6" xfId="0" applyFont="1" applyFill="1" applyBorder="1" applyAlignment="1">
      <alignment horizontal="center" wrapText="1"/>
    </xf>
    <xf numFmtId="177" fontId="6" fillId="3" borderId="6" xfId="0" applyNumberFormat="1" applyFont="1" applyFill="1" applyBorder="1" applyAlignment="1">
      <alignment horizontal="center"/>
    </xf>
    <xf numFmtId="179" fontId="6" fillId="3" borderId="6" xfId="0" applyNumberFormat="1" applyFont="1" applyFill="1" applyBorder="1" applyAlignment="1">
      <alignment horizontal="center"/>
    </xf>
    <xf numFmtId="0" fontId="9" fillId="0" borderId="0" xfId="0" applyFont="1"/>
    <xf numFmtId="0" fontId="2" fillId="0" borderId="0" xfId="0" applyFont="1"/>
    <xf numFmtId="0" fontId="0" fillId="0" borderId="0" xfId="0"/>
    <xf numFmtId="0" fontId="1" fillId="0" borderId="0" xfId="0" applyFont="1"/>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3366"/>
  </sheetPr>
  <dimension ref="B1:E31"/>
  <sheetViews>
    <sheetView tabSelected="1" workbookViewId="0"/>
  </sheetViews>
  <sheetFormatPr defaultRowHeight="13" x14ac:dyDescent="0.2"/>
  <cols>
    <col min="1" max="1" width="3" customWidth="1"/>
    <col min="2" max="2" width="30" customWidth="1"/>
    <col min="3" max="5" width="22" customWidth="1"/>
  </cols>
  <sheetData>
    <row r="1" spans="2:5" ht="14" customHeight="1" x14ac:dyDescent="0.3">
      <c r="B1" s="46" t="s">
        <v>0</v>
      </c>
      <c r="C1" s="45"/>
      <c r="D1" s="45"/>
      <c r="E1" s="45"/>
    </row>
    <row r="3" spans="2:5" ht="18" customHeight="1" x14ac:dyDescent="0.4">
      <c r="B3" s="44" t="s">
        <v>1</v>
      </c>
      <c r="C3" s="45"/>
      <c r="D3" s="45"/>
    </row>
    <row r="4" spans="2:5" ht="14" customHeight="1" x14ac:dyDescent="0.3">
      <c r="B4" s="3" t="s">
        <v>2</v>
      </c>
    </row>
    <row r="6" spans="2:5" ht="14" customHeight="1" x14ac:dyDescent="0.3">
      <c r="B6" s="4" t="s">
        <v>3</v>
      </c>
      <c r="C6" t="s">
        <v>4</v>
      </c>
    </row>
    <row r="7" spans="2:5" ht="14" customHeight="1" x14ac:dyDescent="0.3">
      <c r="B7" s="4" t="s">
        <v>5</v>
      </c>
      <c r="C7" t="s">
        <v>6</v>
      </c>
    </row>
    <row r="8" spans="2:5" ht="14" customHeight="1" x14ac:dyDescent="0.3">
      <c r="B8" s="4" t="s">
        <v>7</v>
      </c>
      <c r="C8" t="s">
        <v>8</v>
      </c>
    </row>
    <row r="9" spans="2:5" ht="14" customHeight="1" x14ac:dyDescent="0.3">
      <c r="B9" s="4" t="s">
        <v>9</v>
      </c>
      <c r="C9" s="5">
        <v>3136</v>
      </c>
    </row>
    <row r="10" spans="2:5" ht="14" customHeight="1" x14ac:dyDescent="0.3">
      <c r="B10" s="4" t="s">
        <v>10</v>
      </c>
      <c r="C10" s="5">
        <f>IF(COUNT(C16:C17)=0,"N/A",ROUND(AVERAGE(C16:C17),0))</f>
        <v>1393</v>
      </c>
    </row>
    <row r="11" spans="2:5" ht="14" customHeight="1" x14ac:dyDescent="0.3">
      <c r="B11" s="4" t="s">
        <v>11</v>
      </c>
      <c r="C11" s="6" t="str">
        <f>IF(NOT(ISNUMBER(C12)),"N/A",IF(C12&gt;0.15,"BUY",IF(C12&gt;0.05,"HOLD","SELL")))</f>
        <v>SELL</v>
      </c>
    </row>
    <row r="12" spans="2:5" ht="14" customHeight="1" x14ac:dyDescent="0.3">
      <c r="B12" s="4" t="s">
        <v>12</v>
      </c>
      <c r="C12" s="7">
        <f>IF(ISNUMBER(C10),(C10-C9)/C9,"N/A")</f>
        <v>-0.5558035714285714</v>
      </c>
    </row>
    <row r="14" spans="2:5" ht="14" customHeight="1" x14ac:dyDescent="0.3">
      <c r="B14" s="8" t="s">
        <v>13</v>
      </c>
      <c r="C14" s="9"/>
      <c r="D14" s="9"/>
    </row>
    <row r="15" spans="2:5" ht="14" customHeight="1" x14ac:dyDescent="0.3">
      <c r="B15" s="10" t="s">
        <v>14</v>
      </c>
      <c r="C15" s="10" t="s">
        <v>15</v>
      </c>
      <c r="D15" s="10" t="s">
        <v>16</v>
      </c>
    </row>
    <row r="16" spans="2:5" ht="13.5" customHeight="1" x14ac:dyDescent="0.25">
      <c r="B16" t="s">
        <v>17</v>
      </c>
      <c r="C16" s="11">
        <f>IF('DCF Model'!C53&lt;'DCF Model'!C16,"INVALID (EV &lt; net debt)",'DCF Model'!C55)</f>
        <v>1183</v>
      </c>
      <c r="D16" s="7">
        <f>IF(ISNUMBER(C16),(C16-C9)/C9,"N/A")</f>
        <v>-0.6227678571428571</v>
      </c>
    </row>
    <row r="17" spans="2:5" ht="13.5" customHeight="1" x14ac:dyDescent="0.25">
      <c r="B17" t="s">
        <v>18</v>
      </c>
      <c r="C17" s="11">
        <f>IF('DCF Model'!C62&lt;'DCF Model'!C16,"INVALID (EV &lt; net debt)",'DCF Model'!C64)</f>
        <v>1602</v>
      </c>
      <c r="D17" s="7">
        <f>IF(ISNUMBER(C17),(C17-C9)/C9,"N/A")</f>
        <v>-0.48915816326530615</v>
      </c>
    </row>
    <row r="18" spans="2:5" ht="13.5" customHeight="1" x14ac:dyDescent="0.25">
      <c r="B18" t="s">
        <v>19</v>
      </c>
      <c r="C18" s="11">
        <f>'Comps Analysis'!C27</f>
        <v>1720</v>
      </c>
      <c r="D18" s="7">
        <f>IF(ISNUMBER(C18),(C18-C9)/C9,"N/A")</f>
        <v>-0.45153061224489793</v>
      </c>
    </row>
    <row r="19" spans="2:5" ht="13.5" customHeight="1" x14ac:dyDescent="0.25">
      <c r="B19" t="s">
        <v>20</v>
      </c>
      <c r="C19" s="11">
        <f>'Comps Analysis'!C28</f>
        <v>1364</v>
      </c>
      <c r="D19" s="7">
        <f>IF(ISNUMBER(C19),(C19-C9)/C9,"N/A")</f>
        <v>-0.56505102040816324</v>
      </c>
    </row>
    <row r="20" spans="2:5" ht="14" customHeight="1" x14ac:dyDescent="0.3">
      <c r="B20" s="46" t="s">
        <v>21</v>
      </c>
      <c r="C20" s="45"/>
      <c r="D20" s="45"/>
      <c r="E20" s="45"/>
    </row>
    <row r="21" spans="2:5" ht="14" customHeight="1" x14ac:dyDescent="0.3">
      <c r="B21" s="4" t="s">
        <v>22</v>
      </c>
      <c r="C21" s="6" t="str">
        <f>IF(COUNT(C16:C17)=0,"N/A",MIN(C16:C17)&amp;" - "&amp;MAX(C16:C17))</f>
        <v>1183 - 1602</v>
      </c>
    </row>
    <row r="23" spans="2:5" ht="14" customHeight="1" x14ac:dyDescent="0.3">
      <c r="B23" s="8" t="s">
        <v>23</v>
      </c>
      <c r="C23" s="9"/>
      <c r="D23" s="9"/>
    </row>
    <row r="24" spans="2:5" x14ac:dyDescent="0.2">
      <c r="B24" t="s">
        <v>24</v>
      </c>
    </row>
    <row r="25" spans="2:5" x14ac:dyDescent="0.2">
      <c r="B25" t="s">
        <v>25</v>
      </c>
    </row>
    <row r="26" spans="2:5" x14ac:dyDescent="0.2">
      <c r="B26" t="s">
        <v>26</v>
      </c>
    </row>
    <row r="28" spans="2:5" ht="14" customHeight="1" x14ac:dyDescent="0.3">
      <c r="B28" s="8" t="s">
        <v>27</v>
      </c>
      <c r="C28" s="9"/>
      <c r="D28" s="9"/>
    </row>
    <row r="29" spans="2:5" x14ac:dyDescent="0.2">
      <c r="B29" t="s">
        <v>28</v>
      </c>
    </row>
    <row r="30" spans="2:5" x14ac:dyDescent="0.2">
      <c r="B30" t="s">
        <v>29</v>
      </c>
    </row>
    <row r="31" spans="2:5" x14ac:dyDescent="0.2">
      <c r="B31" t="s">
        <v>30</v>
      </c>
    </row>
  </sheetData>
  <mergeCells count="3">
    <mergeCell ref="B3:D3"/>
    <mergeCell ref="B1:E1"/>
    <mergeCell ref="B20:E20"/>
  </mergeCells>
  <phoneticPr fontId="8"/>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3366"/>
  </sheetPr>
  <dimension ref="B2:F30"/>
  <sheetViews>
    <sheetView workbookViewId="0"/>
  </sheetViews>
  <sheetFormatPr defaultRowHeight="13" x14ac:dyDescent="0.2"/>
  <cols>
    <col min="1" max="1" width="3" customWidth="1"/>
    <col min="2" max="2" width="32" customWidth="1"/>
    <col min="3" max="6" width="18" customWidth="1"/>
  </cols>
  <sheetData>
    <row r="2" spans="2:6" ht="18" customHeight="1" x14ac:dyDescent="0.4">
      <c r="B2" s="2" t="s">
        <v>31</v>
      </c>
    </row>
    <row r="4" spans="2:6" ht="14" customHeight="1" x14ac:dyDescent="0.3">
      <c r="C4" s="10" t="s">
        <v>32</v>
      </c>
      <c r="D4" s="10" t="s">
        <v>33</v>
      </c>
      <c r="E4" s="10" t="s">
        <v>34</v>
      </c>
      <c r="F4" s="10" t="s">
        <v>35</v>
      </c>
    </row>
    <row r="5" spans="2:6" ht="14" customHeight="1" x14ac:dyDescent="0.3">
      <c r="B5" s="3" t="s">
        <v>36</v>
      </c>
    </row>
    <row r="6" spans="2:6" ht="14" customHeight="1" x14ac:dyDescent="0.3">
      <c r="B6" s="4" t="s">
        <v>37</v>
      </c>
      <c r="C6" s="5">
        <v>483123</v>
      </c>
      <c r="D6" s="5">
        <v>618493</v>
      </c>
      <c r="E6" s="5">
        <v>679374</v>
      </c>
      <c r="F6" s="5">
        <v>704539</v>
      </c>
    </row>
    <row r="7" spans="2:6" ht="14" customHeight="1" x14ac:dyDescent="0.3">
      <c r="B7" s="4" t="s">
        <v>38</v>
      </c>
      <c r="C7" s="5">
        <v>296895</v>
      </c>
      <c r="D7" s="5">
        <v>368976</v>
      </c>
      <c r="E7" s="5">
        <v>406180</v>
      </c>
      <c r="F7" s="5">
        <v>431580</v>
      </c>
    </row>
    <row r="8" spans="2:6" ht="14" customHeight="1" x14ac:dyDescent="0.3">
      <c r="B8" s="4" t="s">
        <v>39</v>
      </c>
      <c r="C8" s="5">
        <f>C6-C7</f>
        <v>186228</v>
      </c>
      <c r="D8" s="5">
        <f>D6-D7</f>
        <v>249517</v>
      </c>
      <c r="E8" s="5">
        <f>E6-E7</f>
        <v>273194</v>
      </c>
      <c r="F8" s="5">
        <f>F6-F7</f>
        <v>272959</v>
      </c>
    </row>
    <row r="9" spans="2:6" ht="13.5" customHeight="1" x14ac:dyDescent="0.25">
      <c r="B9" t="s">
        <v>40</v>
      </c>
      <c r="C9" s="7">
        <f>C8/C6</f>
        <v>0.38546705497357814</v>
      </c>
      <c r="D9" s="7">
        <f>D8/D6</f>
        <v>0.4034273629612623</v>
      </c>
      <c r="E9" s="7">
        <f>E8/E6</f>
        <v>0.40212607488658675</v>
      </c>
      <c r="F9" s="7">
        <f>F8/F6</f>
        <v>0.38742922677098074</v>
      </c>
    </row>
    <row r="10" spans="2:6" ht="14" customHeight="1" x14ac:dyDescent="0.3">
      <c r="B10" s="4" t="s">
        <v>41</v>
      </c>
      <c r="C10" s="5">
        <v>75028</v>
      </c>
      <c r="D10" s="5">
        <v>84079</v>
      </c>
      <c r="E10" s="5">
        <v>101083</v>
      </c>
      <c r="F10" s="5">
        <v>104546</v>
      </c>
    </row>
    <row r="11" spans="2:6" ht="14" customHeight="1" x14ac:dyDescent="0.3">
      <c r="B11" s="4" t="s">
        <v>42</v>
      </c>
      <c r="C11" s="5">
        <v>111200</v>
      </c>
      <c r="D11" s="5">
        <v>165438</v>
      </c>
      <c r="E11" s="5">
        <v>172111</v>
      </c>
      <c r="F11" s="5">
        <v>168413</v>
      </c>
    </row>
    <row r="12" spans="2:6" ht="14" customHeight="1" x14ac:dyDescent="0.3">
      <c r="B12" s="4" t="s">
        <v>43</v>
      </c>
      <c r="C12" s="5">
        <v>80734</v>
      </c>
      <c r="D12" s="5">
        <v>120225</v>
      </c>
      <c r="E12" s="5">
        <v>124160</v>
      </c>
      <c r="F12" s="5">
        <v>121881</v>
      </c>
    </row>
    <row r="13" spans="2:6" ht="13.5" customHeight="1" x14ac:dyDescent="0.25">
      <c r="B13" t="s">
        <v>44</v>
      </c>
      <c r="C13" s="7">
        <f>C11/C6</f>
        <v>0.23016912877258999</v>
      </c>
      <c r="D13" s="7">
        <f>D11/D6</f>
        <v>0.26748564656350193</v>
      </c>
      <c r="E13" s="7">
        <f>E11/E6</f>
        <v>0.25333763140773713</v>
      </c>
      <c r="F13" s="7">
        <f>F11/F6</f>
        <v>0.23903999636641832</v>
      </c>
    </row>
    <row r="14" spans="2:6" ht="13.5" customHeight="1" x14ac:dyDescent="0.25">
      <c r="B14" t="s">
        <v>45</v>
      </c>
      <c r="C14" s="7">
        <f>C12/C6</f>
        <v>0.16710858311444499</v>
      </c>
      <c r="D14" s="7">
        <f>D12/D6</f>
        <v>0.19438376828840423</v>
      </c>
      <c r="E14" s="7">
        <f>E12/E6</f>
        <v>0.18275647875838641</v>
      </c>
      <c r="F14" s="7">
        <f>F12/F6</f>
        <v>0.17299397194477523</v>
      </c>
    </row>
    <row r="15" spans="2:6" ht="13.5" customHeight="1" x14ac:dyDescent="0.25">
      <c r="B15" t="s">
        <v>46</v>
      </c>
      <c r="C15" t="s">
        <v>47</v>
      </c>
      <c r="D15" s="7">
        <f>(D6-C6)/C6</f>
        <v>0.28019779642037329</v>
      </c>
      <c r="E15" s="7">
        <f>(E6-D6)/D6</f>
        <v>9.8434420438064774E-2</v>
      </c>
      <c r="F15" s="7">
        <f>(F6-E6)/E6</f>
        <v>3.7041452866903947E-2</v>
      </c>
    </row>
    <row r="16" spans="2:6" ht="13.5" customHeight="1" x14ac:dyDescent="0.25">
      <c r="B16" t="s">
        <v>48</v>
      </c>
      <c r="C16" t="s">
        <v>47</v>
      </c>
      <c r="D16" s="7">
        <f>(D11-C11)/C11</f>
        <v>0.48775179856115108</v>
      </c>
      <c r="E16" s="7">
        <f>(E11-D11)/D11</f>
        <v>4.0335352216540332E-2</v>
      </c>
      <c r="F16" s="7">
        <f>(F11-E11)/E11</f>
        <v>-2.1486133948440251E-2</v>
      </c>
    </row>
    <row r="18" spans="2:6" ht="14" customHeight="1" x14ac:dyDescent="0.3">
      <c r="B18" s="3" t="s">
        <v>49</v>
      </c>
    </row>
    <row r="19" spans="2:6" ht="14" customHeight="1" x14ac:dyDescent="0.3">
      <c r="B19" s="4" t="s">
        <v>50</v>
      </c>
      <c r="C19" s="5">
        <v>167729</v>
      </c>
      <c r="D19" s="5">
        <v>197674</v>
      </c>
      <c r="E19" s="5">
        <v>195388</v>
      </c>
      <c r="F19" s="5">
        <v>181281</v>
      </c>
    </row>
    <row r="20" spans="2:6" ht="14" customHeight="1" x14ac:dyDescent="0.3">
      <c r="B20" s="4" t="s">
        <v>51</v>
      </c>
      <c r="C20" s="5">
        <v>88517</v>
      </c>
      <c r="D20" s="5">
        <v>48327</v>
      </c>
      <c r="E20" s="5">
        <v>100047</v>
      </c>
      <c r="F20" s="5">
        <v>77025</v>
      </c>
    </row>
    <row r="21" spans="2:6" ht="14" customHeight="1" x14ac:dyDescent="0.3">
      <c r="B21" s="4" t="s">
        <v>52</v>
      </c>
      <c r="C21" s="5">
        <f>C19-C20</f>
        <v>79212</v>
      </c>
      <c r="D21" s="5">
        <f>D19-D20</f>
        <v>149347</v>
      </c>
      <c r="E21" s="5">
        <f>E19-E20</f>
        <v>95341</v>
      </c>
      <c r="F21" s="5">
        <f>F19-F20</f>
        <v>104256</v>
      </c>
    </row>
    <row r="22" spans="2:6" ht="13.5" customHeight="1" x14ac:dyDescent="0.25">
      <c r="B22" t="s">
        <v>53</v>
      </c>
      <c r="C22" s="7">
        <f>C21/C6</f>
        <v>0.16395824665768344</v>
      </c>
      <c r="D22" s="7">
        <f>D21/D6</f>
        <v>0.241469183968129</v>
      </c>
      <c r="E22" s="7">
        <f>E21/E6</f>
        <v>0.14033654511358987</v>
      </c>
      <c r="F22" s="7">
        <f>F21/F6</f>
        <v>0.14797761373039675</v>
      </c>
    </row>
    <row r="23" spans="2:6" ht="13.5" customHeight="1" x14ac:dyDescent="0.25">
      <c r="B23" t="s">
        <v>54</v>
      </c>
      <c r="C23" s="7">
        <f>C20/C6</f>
        <v>0.18321835226226033</v>
      </c>
      <c r="D23" s="7">
        <f>D20/D6</f>
        <v>7.81366967774898E-2</v>
      </c>
      <c r="E23" s="7">
        <f>E20/E6</f>
        <v>0.1472635102314778</v>
      </c>
      <c r="F23" s="7">
        <f>F20/F6</f>
        <v>0.10932680802624127</v>
      </c>
    </row>
    <row r="25" spans="2:6" ht="14" customHeight="1" x14ac:dyDescent="0.3">
      <c r="B25" s="3" t="s">
        <v>55</v>
      </c>
    </row>
    <row r="26" spans="2:6" ht="14" customHeight="1" x14ac:dyDescent="0.3">
      <c r="B26" s="4" t="s">
        <v>56</v>
      </c>
      <c r="C26" s="5">
        <v>142232</v>
      </c>
      <c r="D26" s="5">
        <v>273016</v>
      </c>
      <c r="E26" s="5">
        <v>323416</v>
      </c>
      <c r="F26" s="5">
        <v>468214</v>
      </c>
    </row>
    <row r="27" spans="2:6" ht="14" customHeight="1" x14ac:dyDescent="0.3">
      <c r="B27" s="4" t="s">
        <v>57</v>
      </c>
      <c r="C27" s="5">
        <v>210964</v>
      </c>
      <c r="D27" s="5">
        <v>148953</v>
      </c>
      <c r="E27" s="5">
        <v>216667</v>
      </c>
      <c r="F27" s="5">
        <v>306706</v>
      </c>
    </row>
    <row r="28" spans="2:6" ht="14" customHeight="1" x14ac:dyDescent="0.3">
      <c r="B28" s="4" t="s">
        <v>58</v>
      </c>
      <c r="C28" s="5">
        <f>C27-C26</f>
        <v>68732</v>
      </c>
      <c r="D28" s="5">
        <f>D27-D26</f>
        <v>-124063</v>
      </c>
      <c r="E28" s="5">
        <f>E27-E26</f>
        <v>-106749</v>
      </c>
      <c r="F28" s="5">
        <f>F27-F26</f>
        <v>-161508</v>
      </c>
    </row>
    <row r="30" spans="2:6" ht="14" customHeight="1" x14ac:dyDescent="0.3">
      <c r="B30" s="1" t="s">
        <v>59</v>
      </c>
    </row>
  </sheetData>
  <phoneticPr fontId="8"/>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6600"/>
  </sheetPr>
  <dimension ref="B2:G87"/>
  <sheetViews>
    <sheetView workbookViewId="0"/>
  </sheetViews>
  <sheetFormatPr defaultRowHeight="13" x14ac:dyDescent="0.2"/>
  <cols>
    <col min="1" max="1" width="3" customWidth="1"/>
    <col min="2" max="2" width="32" customWidth="1"/>
    <col min="3" max="7" width="16" customWidth="1"/>
  </cols>
  <sheetData>
    <row r="2" spans="2:7" ht="18" customHeight="1" x14ac:dyDescent="0.4">
      <c r="B2" s="2" t="s">
        <v>60</v>
      </c>
    </row>
    <row r="4" spans="2:7" ht="14" customHeight="1" x14ac:dyDescent="0.3">
      <c r="B4" s="8" t="s">
        <v>61</v>
      </c>
      <c r="C4" s="9"/>
      <c r="D4" s="9"/>
      <c r="E4" s="9"/>
      <c r="F4" s="9"/>
      <c r="G4" s="9"/>
    </row>
    <row r="5" spans="2:7" ht="14" customHeight="1" x14ac:dyDescent="0.3">
      <c r="B5" s="4" t="s">
        <v>62</v>
      </c>
      <c r="C5" s="7">
        <v>0.1116</v>
      </c>
    </row>
    <row r="6" spans="2:7" ht="14" customHeight="1" x14ac:dyDescent="0.3">
      <c r="B6" s="4" t="s">
        <v>63</v>
      </c>
      <c r="C6" s="7">
        <v>0.25</v>
      </c>
    </row>
    <row r="7" spans="2:7" ht="14" customHeight="1" x14ac:dyDescent="0.3">
      <c r="B7" s="4" t="s">
        <v>64</v>
      </c>
      <c r="C7" s="7">
        <v>2.9700000000000001E-2</v>
      </c>
    </row>
    <row r="8" spans="2:7" ht="14" customHeight="1" x14ac:dyDescent="0.3">
      <c r="B8" s="4" t="s">
        <v>65</v>
      </c>
      <c r="C8" s="12">
        <v>0.6</v>
      </c>
    </row>
    <row r="9" spans="2:7" ht="14" customHeight="1" x14ac:dyDescent="0.3">
      <c r="B9" s="4" t="s">
        <v>66</v>
      </c>
      <c r="C9" s="7">
        <v>6.5000000000000002E-2</v>
      </c>
    </row>
    <row r="10" spans="2:7" ht="14" customHeight="1" x14ac:dyDescent="0.3">
      <c r="B10" s="4" t="s">
        <v>67</v>
      </c>
      <c r="C10" s="7">
        <v>0.01</v>
      </c>
    </row>
    <row r="11" spans="2:7" ht="14" customHeight="1" x14ac:dyDescent="0.3">
      <c r="B11" s="4" t="s">
        <v>68</v>
      </c>
      <c r="C11" s="7">
        <v>6.1999999999999998E-3</v>
      </c>
    </row>
    <row r="12" spans="2:7" ht="14" customHeight="1" x14ac:dyDescent="0.3">
      <c r="B12" s="4" t="s">
        <v>69</v>
      </c>
      <c r="C12" s="13">
        <v>0</v>
      </c>
    </row>
    <row r="13" spans="2:7" ht="14" customHeight="1" x14ac:dyDescent="0.3">
      <c r="B13" s="4" t="s">
        <v>70</v>
      </c>
      <c r="C13" s="7">
        <v>0.01</v>
      </c>
    </row>
    <row r="14" spans="2:7" ht="14" customHeight="1" x14ac:dyDescent="0.3">
      <c r="B14" s="4" t="s">
        <v>71</v>
      </c>
      <c r="C14" s="14">
        <v>11.4</v>
      </c>
    </row>
    <row r="15" spans="2:7" ht="14" customHeight="1" x14ac:dyDescent="0.3">
      <c r="B15" s="4" t="s">
        <v>72</v>
      </c>
      <c r="C15" s="15">
        <v>1639716594</v>
      </c>
    </row>
    <row r="16" spans="2:7" ht="14" customHeight="1" x14ac:dyDescent="0.3">
      <c r="B16" s="4" t="s">
        <v>73</v>
      </c>
      <c r="C16" s="5">
        <v>-141508</v>
      </c>
    </row>
    <row r="17" spans="2:7" ht="14" customHeight="1" x14ac:dyDescent="0.3">
      <c r="B17" s="4" t="s">
        <v>74</v>
      </c>
      <c r="C17" s="5">
        <v>704539</v>
      </c>
    </row>
    <row r="18" spans="2:7" ht="14" customHeight="1" x14ac:dyDescent="0.3">
      <c r="B18" s="4" t="s">
        <v>75</v>
      </c>
      <c r="C18" s="7">
        <v>9.4500000000000001E-2</v>
      </c>
    </row>
    <row r="19" spans="2:7" ht="14" customHeight="1" x14ac:dyDescent="0.3">
      <c r="B19" s="4" t="s">
        <v>76</v>
      </c>
      <c r="C19" s="12">
        <v>1</v>
      </c>
    </row>
    <row r="20" spans="2:7" ht="14" customHeight="1" x14ac:dyDescent="0.3">
      <c r="B20" s="4" t="s">
        <v>77</v>
      </c>
      <c r="C20" s="5">
        <v>704539</v>
      </c>
    </row>
    <row r="22" spans="2:7" ht="14" customHeight="1" x14ac:dyDescent="0.3">
      <c r="B22" s="8" t="s">
        <v>78</v>
      </c>
      <c r="C22" s="9"/>
      <c r="D22" s="9"/>
      <c r="E22" s="9"/>
      <c r="F22" s="9"/>
      <c r="G22" s="9"/>
    </row>
    <row r="23" spans="2:7" ht="14" customHeight="1" x14ac:dyDescent="0.3">
      <c r="B23" s="4" t="s">
        <v>79</v>
      </c>
      <c r="C23" s="16">
        <f>C7+C8*C9+C10</f>
        <v>7.8699999999999992E-2</v>
      </c>
    </row>
    <row r="24" spans="2:7" ht="14" customHeight="1" x14ac:dyDescent="0.3">
      <c r="B24" s="4" t="s">
        <v>80</v>
      </c>
      <c r="C24" s="16">
        <f>1/(1+C12)</f>
        <v>1</v>
      </c>
    </row>
    <row r="25" spans="2:7" ht="14" customHeight="1" x14ac:dyDescent="0.3">
      <c r="B25" s="4" t="s">
        <v>81</v>
      </c>
      <c r="C25" s="16">
        <f>C12/(1+C12)</f>
        <v>0</v>
      </c>
    </row>
    <row r="26" spans="2:7" ht="14" customHeight="1" x14ac:dyDescent="0.3">
      <c r="B26" s="4" t="s">
        <v>82</v>
      </c>
      <c r="C26" s="16">
        <f>C23*C24+C11*C25</f>
        <v>7.8699999999999992E-2</v>
      </c>
    </row>
    <row r="27" spans="2:7" ht="14" customHeight="1" x14ac:dyDescent="0.3">
      <c r="B27" s="4" t="s">
        <v>83</v>
      </c>
      <c r="C27" s="17" t="s">
        <v>84</v>
      </c>
      <c r="D27" s="6">
        <f>MATCH(C27,B69:B73,0)</f>
        <v>1</v>
      </c>
    </row>
    <row r="28" spans="2:7" ht="14" customHeight="1" x14ac:dyDescent="0.3">
      <c r="B28" s="8" t="s">
        <v>85</v>
      </c>
      <c r="C28" s="9"/>
      <c r="D28" s="9"/>
      <c r="E28" s="9"/>
      <c r="F28" s="9"/>
      <c r="G28" s="9"/>
    </row>
    <row r="29" spans="2:7" ht="14" customHeight="1" x14ac:dyDescent="0.3">
      <c r="C29" s="10" t="s">
        <v>86</v>
      </c>
      <c r="D29" s="10" t="s">
        <v>87</v>
      </c>
      <c r="E29" s="10" t="s">
        <v>88</v>
      </c>
      <c r="F29" s="10" t="s">
        <v>89</v>
      </c>
      <c r="G29" s="10" t="s">
        <v>90</v>
      </c>
    </row>
    <row r="30" spans="2:7" ht="14" customHeight="1" x14ac:dyDescent="0.3">
      <c r="B30" s="4" t="s">
        <v>46</v>
      </c>
      <c r="C30" s="18">
        <f>CHOOSE($D$27,C69,C70,C71,C72,C73)</f>
        <v>0.03</v>
      </c>
      <c r="D30" s="18">
        <f>CHOOSE($D$27,D69,D70,D71,D72,D73)</f>
        <v>0.03</v>
      </c>
      <c r="E30" s="18">
        <f>CHOOSE($D$27,E69,E70,E71,E72,E73)</f>
        <v>2.5000000000000001E-2</v>
      </c>
      <c r="F30" s="18">
        <f>CHOOSE($D$27,F69,F70,F71,F72,F73)</f>
        <v>2.5000000000000001E-2</v>
      </c>
      <c r="G30" s="18">
        <f>CHOOSE($D$27,G69,G70,G71,G72,G73)</f>
        <v>0.02</v>
      </c>
    </row>
    <row r="31" spans="2:7" ht="14" customHeight="1" x14ac:dyDescent="0.3">
      <c r="B31" s="4" t="s">
        <v>91</v>
      </c>
      <c r="C31" s="18">
        <f>CHOOSE($D$27,C76,C77,C78,C79,C80)</f>
        <v>0.59</v>
      </c>
      <c r="D31" s="18">
        <f>CHOOSE($D$27,D76,D77,D78,D79,D80)</f>
        <v>0.59</v>
      </c>
      <c r="E31" s="18">
        <f>CHOOSE($D$27,E76,E77,E78,E79,E80)</f>
        <v>0.59</v>
      </c>
      <c r="F31" s="18">
        <f>CHOOSE($D$27,F76,F77,F78,F79,F80)</f>
        <v>0.59</v>
      </c>
      <c r="G31" s="18">
        <f>CHOOSE($D$27,G76,G77,G78,G79,G80)</f>
        <v>0.59</v>
      </c>
    </row>
    <row r="32" spans="2:7" ht="14" customHeight="1" x14ac:dyDescent="0.3">
      <c r="B32" s="4" t="s">
        <v>92</v>
      </c>
      <c r="C32" s="18">
        <f>CHOOSE($D$27,C83,C84,C85,C86,C87)</f>
        <v>0.16950000000000001</v>
      </c>
      <c r="D32" s="18">
        <f>CHOOSE($D$27,D83,D84,D85,D86,D87)</f>
        <v>0.1678</v>
      </c>
      <c r="E32" s="18">
        <f>CHOOSE($D$27,E83,E84,E85,E86,E87)</f>
        <v>0.16619999999999999</v>
      </c>
      <c r="F32" s="18">
        <f>CHOOSE($D$27,F83,F84,F85,F86,F87)</f>
        <v>0.1648</v>
      </c>
      <c r="G32" s="18">
        <f>CHOOSE($D$27,G83,G84,G85,G86,G87)</f>
        <v>0.1638</v>
      </c>
    </row>
    <row r="33" spans="2:7" ht="14" customHeight="1" x14ac:dyDescent="0.3">
      <c r="B33" s="4" t="s">
        <v>37</v>
      </c>
      <c r="C33" s="5">
        <f>C17*(1+C30)</f>
        <v>725675.17</v>
      </c>
      <c r="D33" s="5">
        <f>C33*(1+D30)</f>
        <v>747445.42510000011</v>
      </c>
      <c r="E33" s="5">
        <f>D33*(1+E30)</f>
        <v>766131.56072750001</v>
      </c>
      <c r="F33" s="5">
        <f>E33*(1+F30)</f>
        <v>785284.84974568745</v>
      </c>
      <c r="G33" s="5">
        <f>F33*(1+G30)</f>
        <v>800990.54674060119</v>
      </c>
    </row>
    <row r="34" spans="2:7" ht="14" customHeight="1" x14ac:dyDescent="0.3">
      <c r="B34" s="4" t="s">
        <v>38</v>
      </c>
      <c r="C34" s="5">
        <f>C33*C31</f>
        <v>428148.35029999999</v>
      </c>
      <c r="D34" s="5">
        <f>D33*D31</f>
        <v>440992.80080900004</v>
      </c>
      <c r="E34" s="5">
        <f>E33*E31</f>
        <v>452017.62082922499</v>
      </c>
      <c r="F34" s="5">
        <f>F33*F31</f>
        <v>463318.06134995556</v>
      </c>
      <c r="G34" s="5">
        <f>G33*G31</f>
        <v>472584.4225769547</v>
      </c>
    </row>
    <row r="35" spans="2:7" ht="14" customHeight="1" x14ac:dyDescent="0.3">
      <c r="B35" s="4" t="s">
        <v>39</v>
      </c>
      <c r="C35" s="19">
        <f>C33-C34</f>
        <v>297526.81970000005</v>
      </c>
      <c r="D35" s="19">
        <f>D33-D34</f>
        <v>306452.62429100007</v>
      </c>
      <c r="E35" s="19">
        <f>E33-E34</f>
        <v>314113.93989827501</v>
      </c>
      <c r="F35" s="19">
        <f>F33-F34</f>
        <v>321966.78839573188</v>
      </c>
      <c r="G35" s="19">
        <f>G33-G34</f>
        <v>328406.12416364648</v>
      </c>
    </row>
    <row r="36" spans="2:7" ht="14" customHeight="1" x14ac:dyDescent="0.3">
      <c r="B36" s="4" t="s">
        <v>40</v>
      </c>
      <c r="C36" s="7">
        <f>C35/C33</f>
        <v>0.41000000000000003</v>
      </c>
      <c r="D36" s="7">
        <f>D35/D33</f>
        <v>0.41000000000000003</v>
      </c>
      <c r="E36" s="7">
        <f>E35/E33</f>
        <v>0.41000000000000003</v>
      </c>
      <c r="F36" s="7">
        <f>F35/F33</f>
        <v>0.41000000000000003</v>
      </c>
      <c r="G36" s="7">
        <f>G35/G33</f>
        <v>0.41</v>
      </c>
    </row>
    <row r="37" spans="2:7" ht="14" customHeight="1" x14ac:dyDescent="0.3">
      <c r="B37" s="4" t="s">
        <v>93</v>
      </c>
      <c r="C37" s="5">
        <f>C33*C32</f>
        <v>123001.94131500002</v>
      </c>
      <c r="D37" s="5">
        <f>D33*D32</f>
        <v>125421.34233178002</v>
      </c>
      <c r="E37" s="5">
        <f>E33*E32</f>
        <v>127331.06539291049</v>
      </c>
      <c r="F37" s="5">
        <f>F33*F32</f>
        <v>129414.9432380893</v>
      </c>
      <c r="G37" s="5">
        <f>G33*G32</f>
        <v>131202.25155611048</v>
      </c>
    </row>
    <row r="38" spans="2:7" ht="14" customHeight="1" x14ac:dyDescent="0.3">
      <c r="B38" s="4" t="s">
        <v>94</v>
      </c>
      <c r="C38" s="7">
        <f>(C35-C37)/C33</f>
        <v>0.24050000000000005</v>
      </c>
      <c r="D38" s="7">
        <f>(D35-D37)/D33</f>
        <v>0.24220000000000005</v>
      </c>
      <c r="E38" s="7">
        <f>(E35-E37)/E33</f>
        <v>0.24380000000000002</v>
      </c>
      <c r="F38" s="7">
        <f>(F35-F37)/F33</f>
        <v>0.24520000000000003</v>
      </c>
      <c r="G38" s="7">
        <f>(G35-G37)/G33</f>
        <v>0.24619999999999997</v>
      </c>
    </row>
    <row r="39" spans="2:7" ht="14" customHeight="1" x14ac:dyDescent="0.3">
      <c r="B39" s="4" t="s">
        <v>95</v>
      </c>
      <c r="C39" s="19">
        <f>C35-C37</f>
        <v>174524.87838500005</v>
      </c>
      <c r="D39" s="19">
        <f>D35-D37</f>
        <v>181031.28195922007</v>
      </c>
      <c r="E39" s="19">
        <f>E35-E37</f>
        <v>186782.87450536451</v>
      </c>
      <c r="F39" s="19">
        <f>F35-F37</f>
        <v>192551.84515764259</v>
      </c>
      <c r="G39" s="19">
        <f>G35-G37</f>
        <v>197203.872607536</v>
      </c>
    </row>
    <row r="40" spans="2:7" ht="14" customHeight="1" x14ac:dyDescent="0.3">
      <c r="B40" s="4" t="s">
        <v>96</v>
      </c>
      <c r="C40" s="5">
        <f>MAX(0,C39*C6)</f>
        <v>43631.219596250012</v>
      </c>
      <c r="D40" s="5">
        <f>MAX(0,D39*C6)</f>
        <v>45257.820489805017</v>
      </c>
      <c r="E40" s="5">
        <f>MAX(0,E39*C6)</f>
        <v>46695.718626341128</v>
      </c>
      <c r="F40" s="5">
        <f>MAX(0,F39*C6)</f>
        <v>48137.961289410647</v>
      </c>
      <c r="G40" s="5">
        <f>MAX(0,G39*C6)</f>
        <v>49300.968151884001</v>
      </c>
    </row>
    <row r="41" spans="2:7" ht="14" customHeight="1" x14ac:dyDescent="0.3">
      <c r="B41" s="4" t="s">
        <v>97</v>
      </c>
      <c r="C41" s="19">
        <f>C39-C40</f>
        <v>130893.65878875004</v>
      </c>
      <c r="D41" s="19">
        <f>D39-D40</f>
        <v>135773.46146941505</v>
      </c>
      <c r="E41" s="19">
        <f>E39-E40</f>
        <v>140087.15587902337</v>
      </c>
      <c r="F41" s="19">
        <f>F39-F40</f>
        <v>144413.88386823193</v>
      </c>
      <c r="G41" s="19">
        <f>G39-G40</f>
        <v>147902.90445565199</v>
      </c>
    </row>
    <row r="42" spans="2:7" ht="14" customHeight="1" x14ac:dyDescent="0.3">
      <c r="B42" s="4" t="s">
        <v>98</v>
      </c>
      <c r="C42" s="5">
        <f>C33*C18</f>
        <v>68576.303565000009</v>
      </c>
      <c r="D42" s="5">
        <f>D33*C18</f>
        <v>70633.592671950013</v>
      </c>
      <c r="E42" s="5">
        <f>E33*C18</f>
        <v>72399.432488748746</v>
      </c>
      <c r="F42" s="5">
        <f>F33*C18</f>
        <v>74209.41830096746</v>
      </c>
      <c r="G42" s="5">
        <f>G33*C18</f>
        <v>75693.606666986816</v>
      </c>
    </row>
    <row r="43" spans="2:7" ht="14" customHeight="1" x14ac:dyDescent="0.3">
      <c r="B43" s="4" t="s">
        <v>99</v>
      </c>
      <c r="C43" s="5">
        <v>156900</v>
      </c>
      <c r="D43" s="5">
        <v>137600</v>
      </c>
      <c r="E43" s="5">
        <v>118200</v>
      </c>
      <c r="F43" s="5">
        <v>98900</v>
      </c>
      <c r="G43" s="5">
        <v>79500</v>
      </c>
    </row>
    <row r="44" spans="2:7" ht="14" customHeight="1" x14ac:dyDescent="0.3">
      <c r="B44" s="4" t="s">
        <v>100</v>
      </c>
      <c r="C44" s="5">
        <f>'NWC Schedule'!D19</f>
        <v>2534.5695616438315</v>
      </c>
      <c r="D44" s="5">
        <f>'NWC Schedule'!E19</f>
        <v>1013.957086849332</v>
      </c>
      <c r="E44" s="5">
        <f>'NWC Schedule'!F19</f>
        <v>870.31316621231963</v>
      </c>
      <c r="F44" s="5">
        <f>'NWC Schedule'!G19</f>
        <v>892.07099536762689</v>
      </c>
      <c r="G44" s="5">
        <f>'NWC Schedule'!H19</f>
        <v>731.49821620147122</v>
      </c>
    </row>
    <row r="45" spans="2:7" ht="14" customHeight="1" x14ac:dyDescent="0.3">
      <c r="B45" s="4" t="s">
        <v>101</v>
      </c>
      <c r="C45" s="20">
        <f>C41+C42-C43-C44</f>
        <v>40035.392792106213</v>
      </c>
      <c r="D45" s="20">
        <f>D41+D42-D43-D44</f>
        <v>67793.097054515718</v>
      </c>
      <c r="E45" s="20">
        <f>E41+E42-E43-E44</f>
        <v>93416.275201559794</v>
      </c>
      <c r="F45" s="20">
        <f>F41+F42-F43-F44</f>
        <v>118831.23117383177</v>
      </c>
      <c r="G45" s="20">
        <f>G41+G42-G43-G44</f>
        <v>143365.01290643736</v>
      </c>
    </row>
    <row r="46" spans="2:7" ht="14" customHeight="1" x14ac:dyDescent="0.3">
      <c r="B46" s="4" t="s">
        <v>102</v>
      </c>
      <c r="C46" s="21">
        <f>1/(1+C26)^(C19+0)</f>
        <v>0.92704180958561233</v>
      </c>
      <c r="D46" s="21">
        <f>1/(1+C26)^(C19+1)</f>
        <v>0.85940651671976676</v>
      </c>
      <c r="E46" s="21">
        <f>1/(1+C26)^(C19+2)</f>
        <v>0.79670577242956031</v>
      </c>
      <c r="F46" s="21">
        <f>1/(1+C26)^(C19+3)</f>
        <v>0.73857956098040267</v>
      </c>
      <c r="G46" s="21">
        <f>1/(1+C26)^(C19+4)</f>
        <v>0.68469413273421964</v>
      </c>
    </row>
    <row r="47" spans="2:7" ht="14" customHeight="1" x14ac:dyDescent="0.3">
      <c r="B47" s="4" t="s">
        <v>103</v>
      </c>
      <c r="C47" s="19">
        <f>C45*C46</f>
        <v>37114.482981464927</v>
      </c>
      <c r="D47" s="19">
        <f>D45*D46</f>
        <v>58261.829397266432</v>
      </c>
      <c r="E47" s="19">
        <f>E45*E46</f>
        <v>74425.285691951081</v>
      </c>
      <c r="F47" s="19">
        <f>F45*F46</f>
        <v>87766.3185511294</v>
      </c>
      <c r="G47" s="19">
        <f>G45*G46</f>
        <v>98161.183176403341</v>
      </c>
    </row>
    <row r="49" spans="2:7" ht="14" customHeight="1" x14ac:dyDescent="0.3">
      <c r="B49" s="22" t="s">
        <v>104</v>
      </c>
      <c r="C49" s="23"/>
      <c r="D49" s="23"/>
      <c r="E49" s="23"/>
      <c r="F49" s="23"/>
      <c r="G49" s="23"/>
    </row>
    <row r="50" spans="2:7" ht="14" customHeight="1" x14ac:dyDescent="0.3">
      <c r="B50" s="4" t="s">
        <v>105</v>
      </c>
      <c r="C50" s="5">
        <f>SUM(C47:G47)</f>
        <v>355729.0997982152</v>
      </c>
    </row>
    <row r="51" spans="2:7" ht="14" customHeight="1" x14ac:dyDescent="0.3">
      <c r="B51" s="4" t="s">
        <v>106</v>
      </c>
      <c r="C51" s="5">
        <f>G45*(1+C13)/(C26-C13)</f>
        <v>2107695.2406914369</v>
      </c>
    </row>
    <row r="52" spans="2:7" ht="14" customHeight="1" x14ac:dyDescent="0.3">
      <c r="B52" s="4" t="s">
        <v>107</v>
      </c>
      <c r="C52" s="5">
        <f>C51*G46</f>
        <v>1443126.5648932657</v>
      </c>
    </row>
    <row r="53" spans="2:7" ht="14" customHeight="1" x14ac:dyDescent="0.3">
      <c r="B53" s="4" t="s">
        <v>108</v>
      </c>
      <c r="C53" s="5">
        <f>C50+C52</f>
        <v>1798855.6646914808</v>
      </c>
    </row>
    <row r="54" spans="2:7" ht="14" customHeight="1" x14ac:dyDescent="0.3">
      <c r="B54" s="4" t="s">
        <v>109</v>
      </c>
      <c r="C54" s="5">
        <f>C53-C16</f>
        <v>1940363.6646914808</v>
      </c>
    </row>
    <row r="55" spans="2:7" ht="14" customHeight="1" x14ac:dyDescent="0.3">
      <c r="B55" s="4" t="s">
        <v>110</v>
      </c>
      <c r="C55" s="24">
        <f>ROUND(C54*1000000/C15,0)</f>
        <v>1183</v>
      </c>
    </row>
    <row r="57" spans="2:7" ht="14" customHeight="1" x14ac:dyDescent="0.3">
      <c r="B57" s="22" t="s">
        <v>111</v>
      </c>
      <c r="C57" s="23"/>
      <c r="D57" s="23"/>
      <c r="E57" s="23"/>
      <c r="F57" s="23"/>
      <c r="G57" s="23"/>
    </row>
    <row r="58" spans="2:7" ht="14" customHeight="1" x14ac:dyDescent="0.3">
      <c r="B58" s="4" t="s">
        <v>105</v>
      </c>
      <c r="C58" s="5">
        <f>C50</f>
        <v>355729.0997982152</v>
      </c>
    </row>
    <row r="59" spans="2:7" ht="14" customHeight="1" x14ac:dyDescent="0.3">
      <c r="B59" s="4" t="s">
        <v>112</v>
      </c>
      <c r="C59" s="5">
        <f>G39+G42</f>
        <v>272897.4792745228</v>
      </c>
    </row>
    <row r="60" spans="2:7" ht="14" customHeight="1" x14ac:dyDescent="0.3">
      <c r="B60" s="4" t="s">
        <v>113</v>
      </c>
      <c r="C60" s="5">
        <f>C59*C14</f>
        <v>3111031.2637295602</v>
      </c>
    </row>
    <row r="61" spans="2:7" ht="14" customHeight="1" x14ac:dyDescent="0.3">
      <c r="B61" s="4" t="s">
        <v>107</v>
      </c>
      <c r="C61" s="5">
        <f>C60*G46</f>
        <v>2130104.8530283547</v>
      </c>
    </row>
    <row r="62" spans="2:7" ht="14" customHeight="1" x14ac:dyDescent="0.3">
      <c r="B62" s="4" t="s">
        <v>108</v>
      </c>
      <c r="C62" s="5">
        <f>C58+C61</f>
        <v>2485833.9528265698</v>
      </c>
    </row>
    <row r="63" spans="2:7" ht="14" customHeight="1" x14ac:dyDescent="0.3">
      <c r="B63" s="4" t="s">
        <v>109</v>
      </c>
      <c r="C63" s="5">
        <f>C62-C16</f>
        <v>2627341.9528265698</v>
      </c>
    </row>
    <row r="64" spans="2:7" ht="14" customHeight="1" x14ac:dyDescent="0.3">
      <c r="B64" s="4" t="s">
        <v>114</v>
      </c>
      <c r="C64" s="24">
        <f>ROUND(C63*1000000/C15,0)</f>
        <v>1602</v>
      </c>
    </row>
    <row r="66" spans="2:7" ht="14" customHeight="1" x14ac:dyDescent="0.3">
      <c r="B66" s="22" t="s">
        <v>115</v>
      </c>
      <c r="C66" s="23"/>
      <c r="D66" s="23"/>
      <c r="E66" s="23"/>
      <c r="F66" s="23"/>
      <c r="G66" s="23"/>
    </row>
    <row r="67" spans="2:7" ht="14" customHeight="1" x14ac:dyDescent="0.3">
      <c r="C67" s="25" t="s">
        <v>116</v>
      </c>
      <c r="D67" s="25" t="s">
        <v>117</v>
      </c>
      <c r="E67" s="25" t="s">
        <v>118</v>
      </c>
      <c r="F67" s="25" t="s">
        <v>119</v>
      </c>
      <c r="G67" s="25" t="s">
        <v>120</v>
      </c>
    </row>
    <row r="68" spans="2:7" ht="14" customHeight="1" x14ac:dyDescent="0.3">
      <c r="B68" s="3" t="s">
        <v>46</v>
      </c>
    </row>
    <row r="69" spans="2:7" ht="14" customHeight="1" x14ac:dyDescent="0.3">
      <c r="B69" s="4" t="s">
        <v>84</v>
      </c>
      <c r="C69" s="26">
        <v>0.03</v>
      </c>
      <c r="D69" s="26">
        <v>0.03</v>
      </c>
      <c r="E69" s="26">
        <v>2.5000000000000001E-2</v>
      </c>
      <c r="F69" s="26">
        <v>2.5000000000000001E-2</v>
      </c>
      <c r="G69" s="26">
        <v>0.02</v>
      </c>
    </row>
    <row r="70" spans="2:7" ht="14" customHeight="1" x14ac:dyDescent="0.3">
      <c r="B70" s="4" t="s">
        <v>121</v>
      </c>
      <c r="C70" s="26">
        <v>0.05</v>
      </c>
      <c r="D70" s="26">
        <v>4.4999999999999998E-2</v>
      </c>
      <c r="E70" s="26">
        <v>0.04</v>
      </c>
      <c r="F70" s="26">
        <v>3.5000000000000003E-2</v>
      </c>
      <c r="G70" s="26">
        <v>0.03</v>
      </c>
    </row>
    <row r="71" spans="2:7" ht="14" customHeight="1" x14ac:dyDescent="0.3">
      <c r="B71" s="4" t="s">
        <v>122</v>
      </c>
      <c r="C71" s="26">
        <v>0.03</v>
      </c>
      <c r="D71" s="26">
        <v>0.03</v>
      </c>
      <c r="E71" s="26">
        <v>2.5000000000000001E-2</v>
      </c>
      <c r="F71" s="26">
        <v>2.5000000000000001E-2</v>
      </c>
      <c r="G71" s="26">
        <v>0.02</v>
      </c>
    </row>
    <row r="72" spans="2:7" ht="14" customHeight="1" x14ac:dyDescent="0.3">
      <c r="B72" s="4" t="s">
        <v>123</v>
      </c>
      <c r="C72" s="26">
        <v>0.01</v>
      </c>
      <c r="D72" s="26">
        <v>1.4999999999999999E-2</v>
      </c>
      <c r="E72" s="26">
        <v>0.02</v>
      </c>
      <c r="F72" s="26">
        <v>0.02</v>
      </c>
      <c r="G72" s="26">
        <v>0.02</v>
      </c>
    </row>
    <row r="73" spans="2:7" ht="14" customHeight="1" x14ac:dyDescent="0.3">
      <c r="B73" s="4" t="s">
        <v>124</v>
      </c>
      <c r="C73" s="26">
        <v>-0.08</v>
      </c>
      <c r="D73" s="26">
        <v>-0.01</v>
      </c>
      <c r="E73" s="26">
        <v>1.4999999999999999E-2</v>
      </c>
      <c r="F73" s="26">
        <v>0.02</v>
      </c>
      <c r="G73" s="26">
        <v>0.02</v>
      </c>
    </row>
    <row r="75" spans="2:7" ht="14" customHeight="1" x14ac:dyDescent="0.3">
      <c r="B75" s="3" t="s">
        <v>91</v>
      </c>
    </row>
    <row r="76" spans="2:7" ht="14" customHeight="1" x14ac:dyDescent="0.3">
      <c r="B76" s="4" t="s">
        <v>84</v>
      </c>
      <c r="C76" s="26">
        <v>0.59</v>
      </c>
      <c r="D76" s="26">
        <v>0.59</v>
      </c>
      <c r="E76" s="26">
        <v>0.59</v>
      </c>
      <c r="F76" s="26">
        <v>0.59</v>
      </c>
      <c r="G76" s="26">
        <v>0.59</v>
      </c>
    </row>
    <row r="77" spans="2:7" ht="14" customHeight="1" x14ac:dyDescent="0.3">
      <c r="B77" s="4" t="s">
        <v>121</v>
      </c>
      <c r="C77" s="26">
        <v>0.57999999999999996</v>
      </c>
      <c r="D77" s="26">
        <v>0.57999999999999996</v>
      </c>
      <c r="E77" s="26">
        <v>0.57999999999999996</v>
      </c>
      <c r="F77" s="26">
        <v>0.57999999999999996</v>
      </c>
      <c r="G77" s="26">
        <v>0.57999999999999996</v>
      </c>
    </row>
    <row r="78" spans="2:7" ht="14" customHeight="1" x14ac:dyDescent="0.3">
      <c r="B78" s="4" t="s">
        <v>122</v>
      </c>
      <c r="C78" s="26">
        <v>0.59</v>
      </c>
      <c r="D78" s="26">
        <v>0.59</v>
      </c>
      <c r="E78" s="26">
        <v>0.59</v>
      </c>
      <c r="F78" s="26">
        <v>0.59</v>
      </c>
      <c r="G78" s="26">
        <v>0.59</v>
      </c>
    </row>
    <row r="79" spans="2:7" ht="14" customHeight="1" x14ac:dyDescent="0.3">
      <c r="B79" s="4" t="s">
        <v>123</v>
      </c>
      <c r="C79" s="26">
        <v>0.59799999999999998</v>
      </c>
      <c r="D79" s="26">
        <v>0.59799999999999998</v>
      </c>
      <c r="E79" s="26">
        <v>0.59799999999999998</v>
      </c>
      <c r="F79" s="26">
        <v>0.59799999999999998</v>
      </c>
      <c r="G79" s="26">
        <v>0.59799999999999998</v>
      </c>
    </row>
    <row r="80" spans="2:7" ht="14" customHeight="1" x14ac:dyDescent="0.3">
      <c r="B80" s="4" t="s">
        <v>124</v>
      </c>
      <c r="C80" s="26">
        <v>0.61499999999999999</v>
      </c>
      <c r="D80" s="26">
        <v>0.61499999999999999</v>
      </c>
      <c r="E80" s="26">
        <v>0.61499999999999999</v>
      </c>
      <c r="F80" s="26">
        <v>0.61499999999999999</v>
      </c>
      <c r="G80" s="26">
        <v>0.61499999999999999</v>
      </c>
    </row>
    <row r="82" spans="2:7" ht="14" customHeight="1" x14ac:dyDescent="0.3">
      <c r="B82" s="3" t="s">
        <v>92</v>
      </c>
    </row>
    <row r="83" spans="2:7" ht="14" customHeight="1" x14ac:dyDescent="0.3">
      <c r="B83" s="4" t="s">
        <v>84</v>
      </c>
      <c r="C83" s="26">
        <v>0.16950000000000001</v>
      </c>
      <c r="D83" s="26">
        <v>0.1678</v>
      </c>
      <c r="E83" s="26">
        <v>0.16619999999999999</v>
      </c>
      <c r="F83" s="26">
        <v>0.1648</v>
      </c>
      <c r="G83" s="26">
        <v>0.1638</v>
      </c>
    </row>
    <row r="84" spans="2:7" ht="14" customHeight="1" x14ac:dyDescent="0.3">
      <c r="B84" s="4" t="s">
        <v>121</v>
      </c>
      <c r="C84" s="26">
        <v>0.17</v>
      </c>
      <c r="D84" s="26">
        <v>0.16550000000000001</v>
      </c>
      <c r="E84" s="26">
        <v>0.16200000000000001</v>
      </c>
      <c r="F84" s="26">
        <v>0.1595</v>
      </c>
      <c r="G84" s="26">
        <v>0.1575</v>
      </c>
    </row>
    <row r="85" spans="2:7" ht="14" customHeight="1" x14ac:dyDescent="0.3">
      <c r="B85" s="4" t="s">
        <v>122</v>
      </c>
      <c r="C85" s="26">
        <v>0.16950000000000001</v>
      </c>
      <c r="D85" s="26">
        <v>0.1678</v>
      </c>
      <c r="E85" s="26">
        <v>0.16619999999999999</v>
      </c>
      <c r="F85" s="26">
        <v>0.1648</v>
      </c>
      <c r="G85" s="26">
        <v>0.1638</v>
      </c>
    </row>
    <row r="86" spans="2:7" ht="14" customHeight="1" x14ac:dyDescent="0.3">
      <c r="B86" s="4" t="s">
        <v>123</v>
      </c>
      <c r="C86" s="26">
        <v>0.16500000000000001</v>
      </c>
      <c r="D86" s="26">
        <v>0.16520000000000001</v>
      </c>
      <c r="E86" s="26">
        <v>0.16520000000000001</v>
      </c>
      <c r="F86" s="26">
        <v>0.16520000000000001</v>
      </c>
      <c r="G86" s="26">
        <v>0.16520000000000001</v>
      </c>
    </row>
    <row r="87" spans="2:7" ht="14" customHeight="1" x14ac:dyDescent="0.3">
      <c r="B87" s="4" t="s">
        <v>124</v>
      </c>
      <c r="C87" s="26">
        <v>0.17499999999999999</v>
      </c>
      <c r="D87" s="26">
        <v>0.19</v>
      </c>
      <c r="E87" s="26">
        <v>0.19500000000000001</v>
      </c>
      <c r="F87" s="26">
        <v>0.19500000000000001</v>
      </c>
      <c r="G87" s="26">
        <v>0.192</v>
      </c>
    </row>
  </sheetData>
  <phoneticPr fontId="8"/>
  <dataValidations count="1">
    <dataValidation type="list" sqref="C27" xr:uid="{00000000-0002-0000-0200-000000000000}">
      <formula1>"Base,Upside,Management,Downside 1,Downside 2"</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C00000"/>
  </sheetPr>
  <dimension ref="B2:I79"/>
  <sheetViews>
    <sheetView workbookViewId="0"/>
  </sheetViews>
  <sheetFormatPr defaultRowHeight="13" x14ac:dyDescent="0.2"/>
  <cols>
    <col min="1" max="1" width="3" customWidth="1"/>
    <col min="2" max="2" width="52" customWidth="1"/>
    <col min="3" max="9" width="15" customWidth="1"/>
  </cols>
  <sheetData>
    <row r="2" spans="2:9" ht="18" customHeight="1" x14ac:dyDescent="0.4">
      <c r="B2" s="2" t="s">
        <v>125</v>
      </c>
    </row>
    <row r="3" spans="2:9" ht="14" customHeight="1" x14ac:dyDescent="0.3">
      <c r="B3" s="1" t="s">
        <v>126</v>
      </c>
    </row>
    <row r="5" spans="2:9" ht="14" customHeight="1" x14ac:dyDescent="0.3">
      <c r="B5" s="8" t="s">
        <v>127</v>
      </c>
      <c r="C5" s="9"/>
      <c r="D5" s="9"/>
      <c r="E5" s="9"/>
      <c r="F5" s="9"/>
      <c r="G5" s="9"/>
      <c r="H5" s="9"/>
      <c r="I5" s="9"/>
    </row>
    <row r="6" spans="2:9" ht="14" customHeight="1" x14ac:dyDescent="0.3">
      <c r="B6" s="4" t="s">
        <v>128</v>
      </c>
      <c r="C6" s="15">
        <f>'Executive Summary'!C9</f>
        <v>3136</v>
      </c>
    </row>
    <row r="7" spans="2:9" ht="14" customHeight="1" x14ac:dyDescent="0.3">
      <c r="B7" s="4" t="s">
        <v>72</v>
      </c>
      <c r="C7" s="15">
        <f>'DCF Model'!C15</f>
        <v>1639716594</v>
      </c>
    </row>
    <row r="8" spans="2:9" ht="14" customHeight="1" x14ac:dyDescent="0.3">
      <c r="B8" s="4" t="s">
        <v>129</v>
      </c>
      <c r="C8" s="5">
        <f>C6*C7/1000000</f>
        <v>5142151.2387840003</v>
      </c>
    </row>
    <row r="9" spans="2:9" ht="14" customHeight="1" x14ac:dyDescent="0.3">
      <c r="B9" s="4" t="s">
        <v>73</v>
      </c>
      <c r="C9" s="5">
        <f>'DCF Model'!C16</f>
        <v>-141508</v>
      </c>
    </row>
    <row r="10" spans="2:9" ht="14" customHeight="1" x14ac:dyDescent="0.3">
      <c r="B10" s="4" t="s">
        <v>130</v>
      </c>
      <c r="C10" s="5">
        <f>C8+C9</f>
        <v>5000643.2387840003</v>
      </c>
    </row>
    <row r="11" spans="2:9" ht="14" customHeight="1" x14ac:dyDescent="0.3">
      <c r="B11" s="4" t="s">
        <v>131</v>
      </c>
      <c r="C11" s="16">
        <f>'DCF Model'!C26</f>
        <v>7.8699999999999992E-2</v>
      </c>
    </row>
    <row r="12" spans="2:9" ht="14" customHeight="1" x14ac:dyDescent="0.3">
      <c r="B12" s="4" t="s">
        <v>132</v>
      </c>
      <c r="C12" s="16">
        <f>'DCF Model'!C13</f>
        <v>0.01</v>
      </c>
    </row>
    <row r="13" spans="2:9" ht="14" customHeight="1" x14ac:dyDescent="0.3">
      <c r="B13" s="4" t="s">
        <v>133</v>
      </c>
      <c r="C13" s="16">
        <f>'DCF Model'!C6</f>
        <v>0.25</v>
      </c>
    </row>
    <row r="14" spans="2:9" ht="14" customHeight="1" x14ac:dyDescent="0.3">
      <c r="B14" s="4" t="s">
        <v>134</v>
      </c>
      <c r="C14" s="27">
        <v>168413</v>
      </c>
    </row>
    <row r="15" spans="2:9" ht="14" customHeight="1" x14ac:dyDescent="0.3">
      <c r="B15" s="4" t="s">
        <v>135</v>
      </c>
      <c r="C15" s="27">
        <v>172111</v>
      </c>
    </row>
    <row r="16" spans="2:9" ht="14" customHeight="1" x14ac:dyDescent="0.3">
      <c r="B16" s="4" t="s">
        <v>136</v>
      </c>
      <c r="C16" s="5">
        <f>'DCF Model'!G33</f>
        <v>800990.54674060119</v>
      </c>
    </row>
    <row r="17" spans="2:9" ht="14" customHeight="1" x14ac:dyDescent="0.3">
      <c r="B17" s="4" t="s">
        <v>137</v>
      </c>
      <c r="C17" s="5">
        <f>'DCF Model'!C53</f>
        <v>1798855.6646914808</v>
      </c>
    </row>
    <row r="18" spans="2:9" ht="14" customHeight="1" x14ac:dyDescent="0.3">
      <c r="B18" s="4" t="s">
        <v>138</v>
      </c>
      <c r="C18" s="26">
        <v>0.25333763140773707</v>
      </c>
    </row>
    <row r="19" spans="2:9" ht="14" customHeight="1" x14ac:dyDescent="0.3">
      <c r="B19" s="4" t="s">
        <v>139</v>
      </c>
      <c r="C19" s="5">
        <f>C10-C17</f>
        <v>3201787.5740925195</v>
      </c>
    </row>
    <row r="20" spans="2:9" ht="14" customHeight="1" x14ac:dyDescent="0.3">
      <c r="B20" s="4" t="s">
        <v>140</v>
      </c>
      <c r="C20" s="15">
        <f>IFERROR(ROUND(C19*1000000/C7,0),"N/A")</f>
        <v>1953</v>
      </c>
    </row>
    <row r="22" spans="2:9" ht="14" customHeight="1" x14ac:dyDescent="0.3">
      <c r="B22" s="8" t="s">
        <v>141</v>
      </c>
      <c r="C22" s="9"/>
      <c r="D22" s="9"/>
      <c r="E22" s="9"/>
      <c r="F22" s="9"/>
      <c r="G22" s="9"/>
      <c r="H22" s="9"/>
      <c r="I22" s="9"/>
    </row>
    <row r="23" spans="2:9" ht="14" customHeight="1" x14ac:dyDescent="0.3">
      <c r="B23" s="1" t="s">
        <v>142</v>
      </c>
    </row>
    <row r="24" spans="2:9" ht="14" customHeight="1" x14ac:dyDescent="0.3">
      <c r="B24" s="4" t="s">
        <v>143</v>
      </c>
      <c r="C24" s="5">
        <f>C10*(C11-C12)</f>
        <v>343544.19050446083</v>
      </c>
    </row>
    <row r="25" spans="2:9" ht="14" customHeight="1" x14ac:dyDescent="0.3">
      <c r="B25" s="4" t="s">
        <v>144</v>
      </c>
      <c r="C25" s="5">
        <f>IFERROR(C24/(1-C13),"N/A")</f>
        <v>458058.92067261442</v>
      </c>
    </row>
    <row r="26" spans="2:9" ht="13.5" customHeight="1" x14ac:dyDescent="0.25">
      <c r="B26" s="6" t="s">
        <v>145</v>
      </c>
      <c r="C26" s="14">
        <f>IFERROR(C25/C15,"N/A")</f>
        <v>2.6614157181854408</v>
      </c>
    </row>
    <row r="27" spans="2:9" ht="13.5" customHeight="1" x14ac:dyDescent="0.25">
      <c r="B27" s="6" t="s">
        <v>146</v>
      </c>
      <c r="C27" s="14">
        <f>IFERROR(C25/C14,"N/A")</f>
        <v>2.7198548845553159</v>
      </c>
    </row>
    <row r="28" spans="2:9" ht="13.5" customHeight="1" x14ac:dyDescent="0.25">
      <c r="B28" s="6" t="s">
        <v>147</v>
      </c>
      <c r="C28" s="7">
        <f>IFERROR(C25/C16,"N/A")</f>
        <v>0.57186557636235835</v>
      </c>
    </row>
    <row r="29" spans="2:9" ht="13.5" customHeight="1" x14ac:dyDescent="0.25">
      <c r="B29" s="6" t="s">
        <v>148</v>
      </c>
      <c r="C29" s="5">
        <f>IFERROR(C25/C18,"N/A")</f>
        <v>1808096.642126516</v>
      </c>
    </row>
    <row r="32" spans="2:9" ht="14" customHeight="1" x14ac:dyDescent="0.3">
      <c r="B32" s="8" t="s">
        <v>149</v>
      </c>
      <c r="C32" s="9"/>
      <c r="D32" s="9"/>
      <c r="E32" s="9"/>
      <c r="F32" s="9"/>
      <c r="G32" s="9"/>
      <c r="H32" s="9"/>
      <c r="I32" s="9"/>
    </row>
    <row r="33" spans="2:9" ht="14" customHeight="1" x14ac:dyDescent="0.3">
      <c r="B33" s="1" t="s">
        <v>150</v>
      </c>
    </row>
    <row r="34" spans="2:9" ht="14" customHeight="1" x14ac:dyDescent="0.3">
      <c r="B34" s="1" t="s">
        <v>151</v>
      </c>
    </row>
    <row r="36" spans="2:9" ht="14" customHeight="1" x14ac:dyDescent="0.3">
      <c r="B36" s="28" t="s">
        <v>152</v>
      </c>
      <c r="C36" s="28" t="s">
        <v>153</v>
      </c>
      <c r="D36" s="29">
        <f>'DCF Model'!C26-0.02</f>
        <v>5.8699999999999988E-2</v>
      </c>
      <c r="E36" s="29">
        <f>'DCF Model'!C26-0.01</f>
        <v>6.8699999999999997E-2</v>
      </c>
      <c r="F36" s="29">
        <f>'DCF Model'!C26</f>
        <v>7.8699999999999992E-2</v>
      </c>
      <c r="G36" s="29">
        <f>'DCF Model'!C26+0.01</f>
        <v>8.8699999999999987E-2</v>
      </c>
      <c r="H36" s="29">
        <f>'DCF Model'!C26+0.02</f>
        <v>9.8699999999999996E-2</v>
      </c>
    </row>
    <row r="37" spans="2:9" ht="14" customHeight="1" x14ac:dyDescent="0.3">
      <c r="B37" s="3" t="s">
        <v>154</v>
      </c>
    </row>
    <row r="38" spans="2:9" ht="14" customHeight="1" x14ac:dyDescent="0.3">
      <c r="B38" s="4" t="s">
        <v>155</v>
      </c>
      <c r="C38" s="30">
        <v>3</v>
      </c>
      <c r="D38" s="13">
        <f t="shared" ref="D38:H41" si="0">IFERROR((1-(1+D$36)^(-$C38))/D$36-(1+D$36)/(D$36^2*$C38)*(1-($C38+1)/(1+D$36)^$C38+$C38/(1+D$36)^($C38+1)),"N/A")</f>
        <v>0.92709758587143232</v>
      </c>
      <c r="E38" s="13">
        <f t="shared" si="0"/>
        <v>0.91566585284944635</v>
      </c>
      <c r="F38" s="13">
        <f t="shared" si="0"/>
        <v>0.90449671196365755</v>
      </c>
      <c r="G38" s="13">
        <f t="shared" si="0"/>
        <v>0.89358154471701523</v>
      </c>
      <c r="H38" s="13">
        <f t="shared" si="0"/>
        <v>0.88291209625937972</v>
      </c>
    </row>
    <row r="39" spans="2:9" ht="14" customHeight="1" x14ac:dyDescent="0.3">
      <c r="B39" s="4" t="s">
        <v>156</v>
      </c>
      <c r="C39" s="30">
        <v>5</v>
      </c>
      <c r="D39" s="13">
        <f t="shared" si="0"/>
        <v>1.7872384837584874</v>
      </c>
      <c r="E39" s="13">
        <f t="shared" si="0"/>
        <v>1.7549469895836154</v>
      </c>
      <c r="F39" s="13">
        <f t="shared" si="0"/>
        <v>1.7236755788682676</v>
      </c>
      <c r="G39" s="13">
        <f t="shared" si="0"/>
        <v>1.6933802749910432</v>
      </c>
      <c r="H39" s="13">
        <f t="shared" si="0"/>
        <v>1.6640194555418164</v>
      </c>
    </row>
    <row r="40" spans="2:9" ht="14" customHeight="1" x14ac:dyDescent="0.3">
      <c r="B40" s="4" t="s">
        <v>157</v>
      </c>
      <c r="C40" s="30">
        <v>7</v>
      </c>
      <c r="D40" s="13">
        <f t="shared" si="0"/>
        <v>2.5858526289316472</v>
      </c>
      <c r="E40" s="13">
        <f t="shared" si="0"/>
        <v>2.5249961759284361</v>
      </c>
      <c r="F40" s="13">
        <f t="shared" si="0"/>
        <v>2.4665676524375546</v>
      </c>
      <c r="G40" s="13">
        <f t="shared" si="0"/>
        <v>2.4104381704157212</v>
      </c>
      <c r="H40" s="13">
        <f t="shared" si="0"/>
        <v>2.3564871633383597</v>
      </c>
    </row>
    <row r="41" spans="2:9" ht="14" customHeight="1" x14ac:dyDescent="0.3">
      <c r="B41" s="4" t="s">
        <v>158</v>
      </c>
      <c r="C41" s="30">
        <v>10</v>
      </c>
      <c r="D41" s="13">
        <f t="shared" si="0"/>
        <v>3.6791448281785812</v>
      </c>
      <c r="E41" s="13">
        <f t="shared" si="0"/>
        <v>3.564168868174971</v>
      </c>
      <c r="F41" s="13">
        <f t="shared" si="0"/>
        <v>3.4551469634530938</v>
      </c>
      <c r="G41" s="13">
        <f t="shared" si="0"/>
        <v>3.3516773942026385</v>
      </c>
      <c r="H41" s="13">
        <f t="shared" si="0"/>
        <v>3.2533907960108661</v>
      </c>
    </row>
    <row r="42" spans="2:9" ht="14" customHeight="1" x14ac:dyDescent="0.3">
      <c r="B42" s="3" t="s">
        <v>159</v>
      </c>
    </row>
    <row r="43" spans="2:9" ht="14" customHeight="1" x14ac:dyDescent="0.3">
      <c r="B43" s="4" t="s">
        <v>155</v>
      </c>
      <c r="C43" s="30">
        <v>3</v>
      </c>
      <c r="D43" s="13">
        <f t="shared" ref="D43:H46" si="1">IFERROR((1+D$36)/(D$36^2*$C43)*(1-($C43+1)/(1+D$36)^$C43+$C43/(1+D$36)^($C43+1))+(1+$C$12)/((D$36-$C$12)*(1+D$36)^$C43),"N/A")</f>
        <v>19.229629700549918</v>
      </c>
      <c r="E43" s="13">
        <f t="shared" si="1"/>
        <v>15.81154347121738</v>
      </c>
      <c r="F43" s="13">
        <f t="shared" si="1"/>
        <v>13.39150789847224</v>
      </c>
      <c r="G43" s="13">
        <f t="shared" si="1"/>
        <v>11.588982883370557</v>
      </c>
      <c r="H43" s="13">
        <f t="shared" si="1"/>
        <v>10.195039456356449</v>
      </c>
    </row>
    <row r="44" spans="2:9" ht="14" customHeight="1" x14ac:dyDescent="0.3">
      <c r="B44" s="4" t="s">
        <v>156</v>
      </c>
      <c r="C44" s="30">
        <v>5</v>
      </c>
      <c r="D44" s="13">
        <f t="shared" si="1"/>
        <v>18.032998578866387</v>
      </c>
      <c r="E44" s="13">
        <f t="shared" si="1"/>
        <v>14.702092923690998</v>
      </c>
      <c r="F44" s="13">
        <f t="shared" si="1"/>
        <v>12.348852272701555</v>
      </c>
      <c r="G44" s="13">
        <f t="shared" si="1"/>
        <v>10.600268283072305</v>
      </c>
      <c r="H44" s="13">
        <f t="shared" si="1"/>
        <v>9.2515604318662881</v>
      </c>
    </row>
    <row r="45" spans="2:9" ht="14" customHeight="1" x14ac:dyDescent="0.3">
      <c r="B45" s="4" t="s">
        <v>157</v>
      </c>
      <c r="C45" s="30">
        <v>7</v>
      </c>
      <c r="D45" s="13">
        <f t="shared" si="1"/>
        <v>16.934173417316408</v>
      </c>
      <c r="E45" s="13">
        <f t="shared" si="1"/>
        <v>13.695492863424885</v>
      </c>
      <c r="F45" s="13">
        <f t="shared" si="1"/>
        <v>11.413902816227345</v>
      </c>
      <c r="G45" s="13">
        <f t="shared" si="1"/>
        <v>9.7238237177686653</v>
      </c>
      <c r="H45" s="13">
        <f t="shared" si="1"/>
        <v>8.424583522247941</v>
      </c>
    </row>
    <row r="46" spans="2:9" ht="14" customHeight="1" x14ac:dyDescent="0.3">
      <c r="B46" s="4" t="s">
        <v>158</v>
      </c>
      <c r="C46" s="30">
        <v>10</v>
      </c>
      <c r="D46" s="13">
        <f t="shared" si="1"/>
        <v>15.450148398544387</v>
      </c>
      <c r="E46" s="13">
        <f t="shared" si="1"/>
        <v>12.355521764267314</v>
      </c>
      <c r="F46" s="13">
        <f t="shared" si="1"/>
        <v>10.186658081705215</v>
      </c>
      <c r="G46" s="13">
        <f t="shared" si="1"/>
        <v>8.5889754455251577</v>
      </c>
      <c r="H46" s="13">
        <f t="shared" si="1"/>
        <v>7.3679278867019544</v>
      </c>
    </row>
    <row r="47" spans="2:9" ht="14" customHeight="1" x14ac:dyDescent="0.3">
      <c r="B47" s="22" t="s">
        <v>160</v>
      </c>
      <c r="C47" s="23"/>
      <c r="D47" s="23"/>
      <c r="E47" s="23"/>
      <c r="F47" s="23"/>
      <c r="G47" s="23"/>
      <c r="H47" s="23"/>
      <c r="I47" s="23"/>
    </row>
    <row r="48" spans="2:9" ht="14" customHeight="1" x14ac:dyDescent="0.3">
      <c r="B48" s="4" t="s">
        <v>155</v>
      </c>
      <c r="C48" s="30">
        <v>3</v>
      </c>
      <c r="D48" s="5">
        <f t="shared" ref="D48:H51" si="2">IFERROR(($C$10/(1-$C$13)-$C$14*D38)/D43,"N/A")</f>
        <v>338612.29436275066</v>
      </c>
      <c r="E48" s="5">
        <f t="shared" si="2"/>
        <v>411934.12249469996</v>
      </c>
      <c r="F48" s="5">
        <f t="shared" si="2"/>
        <v>486516.93020843551</v>
      </c>
      <c r="G48" s="5">
        <f t="shared" si="2"/>
        <v>562347.32894806191</v>
      </c>
      <c r="H48" s="5">
        <f t="shared" si="2"/>
        <v>639411.9877041718</v>
      </c>
    </row>
    <row r="49" spans="2:9" ht="14" customHeight="1" x14ac:dyDescent="0.3">
      <c r="B49" s="4" t="s">
        <v>156</v>
      </c>
      <c r="C49" s="30">
        <v>5</v>
      </c>
      <c r="D49" s="5">
        <f t="shared" si="2"/>
        <v>353048.88955487678</v>
      </c>
      <c r="E49" s="5">
        <f t="shared" si="2"/>
        <v>433405.53376275516</v>
      </c>
      <c r="F49" s="5">
        <f t="shared" si="2"/>
        <v>516423.29200198461</v>
      </c>
      <c r="G49" s="5">
        <f t="shared" si="2"/>
        <v>602092.03160627838</v>
      </c>
      <c r="H49" s="5">
        <f t="shared" si="2"/>
        <v>690400.48506974045</v>
      </c>
    </row>
    <row r="50" spans="2:9" ht="14" customHeight="1" x14ac:dyDescent="0.3">
      <c r="B50" s="4" t="s">
        <v>157</v>
      </c>
      <c r="C50" s="30">
        <v>7</v>
      </c>
      <c r="D50" s="5">
        <f t="shared" si="2"/>
        <v>368015.19424678269</v>
      </c>
      <c r="E50" s="5">
        <f t="shared" si="2"/>
        <v>455790.98172309221</v>
      </c>
      <c r="F50" s="5">
        <f t="shared" si="2"/>
        <v>547763.75451873918</v>
      </c>
      <c r="G50" s="5">
        <f t="shared" si="2"/>
        <v>643941.66086561827</v>
      </c>
      <c r="H50" s="5">
        <f t="shared" si="2"/>
        <v>744328.93082246475</v>
      </c>
    </row>
    <row r="51" spans="2:9" ht="14" customHeight="1" x14ac:dyDescent="0.3">
      <c r="B51" s="4" t="s">
        <v>158</v>
      </c>
      <c r="C51" s="30">
        <v>10</v>
      </c>
      <c r="D51" s="5">
        <f t="shared" si="2"/>
        <v>391446.62849972514</v>
      </c>
      <c r="E51" s="5">
        <f t="shared" si="2"/>
        <v>491057.52573958633</v>
      </c>
      <c r="F51" s="5">
        <f t="shared" si="2"/>
        <v>597412.08588832163</v>
      </c>
      <c r="G51" s="5">
        <f t="shared" si="2"/>
        <v>710568.83467614301</v>
      </c>
      <c r="H51" s="5">
        <f t="shared" si="2"/>
        <v>830574.22770045069</v>
      </c>
    </row>
    <row r="52" spans="2:9" ht="14" customHeight="1" x14ac:dyDescent="0.3">
      <c r="B52" s="22" t="s">
        <v>161</v>
      </c>
      <c r="C52" s="23"/>
      <c r="D52" s="23"/>
      <c r="E52" s="23"/>
      <c r="F52" s="23"/>
      <c r="G52" s="23"/>
      <c r="H52" s="23"/>
      <c r="I52" s="23"/>
    </row>
    <row r="53" spans="2:9" ht="14" customHeight="1" x14ac:dyDescent="0.3">
      <c r="B53" s="4" t="s">
        <v>155</v>
      </c>
      <c r="C53" s="30">
        <v>3</v>
      </c>
      <c r="D53" s="14">
        <f t="shared" ref="D53:H56" si="3">IFERROR(D48/$C$15,"N/A")</f>
        <v>1.9674064665404922</v>
      </c>
      <c r="E53" s="14">
        <f t="shared" si="3"/>
        <v>2.3934212368454078</v>
      </c>
      <c r="F53" s="14">
        <f t="shared" si="3"/>
        <v>2.8267625556090867</v>
      </c>
      <c r="G53" s="14">
        <f t="shared" si="3"/>
        <v>3.2673526325921172</v>
      </c>
      <c r="H53" s="14">
        <f t="shared" si="3"/>
        <v>3.7151140119119161</v>
      </c>
    </row>
    <row r="54" spans="2:9" ht="14" customHeight="1" x14ac:dyDescent="0.3">
      <c r="B54" s="4" t="s">
        <v>156</v>
      </c>
      <c r="C54" s="30">
        <v>5</v>
      </c>
      <c r="D54" s="14">
        <f t="shared" si="3"/>
        <v>2.0512860279405545</v>
      </c>
      <c r="E54" s="14">
        <f t="shared" si="3"/>
        <v>2.5181745139053002</v>
      </c>
      <c r="F54" s="14">
        <f t="shared" si="3"/>
        <v>3.0005246149402689</v>
      </c>
      <c r="G54" s="14">
        <f t="shared" si="3"/>
        <v>3.4982774581884852</v>
      </c>
      <c r="H54" s="14">
        <f t="shared" si="3"/>
        <v>4.0113675771434743</v>
      </c>
    </row>
    <row r="55" spans="2:9" ht="14" customHeight="1" x14ac:dyDescent="0.3">
      <c r="B55" s="4" t="s">
        <v>157</v>
      </c>
      <c r="C55" s="30">
        <v>7</v>
      </c>
      <c r="D55" s="14">
        <f t="shared" si="3"/>
        <v>2.1382433095315387</v>
      </c>
      <c r="E55" s="14">
        <f t="shared" si="3"/>
        <v>2.6482385305012008</v>
      </c>
      <c r="F55" s="14">
        <f t="shared" si="3"/>
        <v>3.1826190918578079</v>
      </c>
      <c r="G55" s="14">
        <f t="shared" si="3"/>
        <v>3.7414323364899293</v>
      </c>
      <c r="H55" s="14">
        <f t="shared" si="3"/>
        <v>4.3247028419012423</v>
      </c>
    </row>
    <row r="56" spans="2:9" ht="14" customHeight="1" x14ac:dyDescent="0.3">
      <c r="B56" s="4" t="s">
        <v>158</v>
      </c>
      <c r="C56" s="30">
        <v>10</v>
      </c>
      <c r="D56" s="14">
        <f t="shared" si="3"/>
        <v>2.2743847197432188</v>
      </c>
      <c r="E56" s="14">
        <f t="shared" si="3"/>
        <v>2.8531443413819355</v>
      </c>
      <c r="F56" s="14">
        <f t="shared" si="3"/>
        <v>3.4710860194195701</v>
      </c>
      <c r="G56" s="14">
        <f t="shared" si="3"/>
        <v>4.1285498002808829</v>
      </c>
      <c r="H56" s="14">
        <f t="shared" si="3"/>
        <v>4.8258056004581382</v>
      </c>
    </row>
    <row r="58" spans="2:9" ht="14" customHeight="1" x14ac:dyDescent="0.3">
      <c r="B58" s="8" t="s">
        <v>162</v>
      </c>
      <c r="C58" s="9"/>
      <c r="D58" s="9"/>
      <c r="E58" s="9"/>
      <c r="F58" s="9"/>
      <c r="G58" s="9"/>
      <c r="H58" s="9"/>
      <c r="I58" s="9"/>
    </row>
    <row r="59" spans="2:9" ht="14" customHeight="1" x14ac:dyDescent="0.3">
      <c r="B59" s="1" t="s">
        <v>163</v>
      </c>
    </row>
    <row r="60" spans="2:9" ht="14" customHeight="1" x14ac:dyDescent="0.3">
      <c r="B60" s="4" t="s">
        <v>164</v>
      </c>
      <c r="C60" s="5">
        <f>F49</f>
        <v>516423.29200198461</v>
      </c>
    </row>
    <row r="62" spans="2:9" ht="14" customHeight="1" x14ac:dyDescent="0.3">
      <c r="B62" s="28" t="s">
        <v>165</v>
      </c>
      <c r="C62" s="28" t="s">
        <v>166</v>
      </c>
      <c r="D62" s="28" t="s">
        <v>167</v>
      </c>
    </row>
    <row r="63" spans="2:9" ht="14" customHeight="1" x14ac:dyDescent="0.3">
      <c r="B63" s="31">
        <v>0.12670000000000001</v>
      </c>
      <c r="C63" s="5">
        <f>IFERROR($C$60/B63,"N/A")</f>
        <v>4075953.3701814096</v>
      </c>
      <c r="D63" s="14">
        <f>IFERROR(C63/'DCF Model'!C17,"N/A")</f>
        <v>5.7852771389254674</v>
      </c>
    </row>
    <row r="64" spans="2:9" ht="14" customHeight="1" x14ac:dyDescent="0.3">
      <c r="B64" s="31">
        <v>0.19</v>
      </c>
      <c r="C64" s="5">
        <f>IFERROR($C$60/B64,"N/A")</f>
        <v>2718017.3263262347</v>
      </c>
      <c r="D64" s="14">
        <f>IFERROR(C64/'DCF Model'!C17,"N/A")</f>
        <v>3.8578663868518772</v>
      </c>
    </row>
    <row r="65" spans="2:9" ht="14" customHeight="1" x14ac:dyDescent="0.3">
      <c r="B65" s="4" t="s">
        <v>168</v>
      </c>
      <c r="C65" s="5">
        <f>IFERROR($C$60/$C$18,"N/A")</f>
        <v>2038478.4097504306</v>
      </c>
      <c r="D65" s="14">
        <f>IFERROR(C65/'DCF Model'!C17,"N/A")</f>
        <v>2.8933507013102617</v>
      </c>
    </row>
    <row r="66" spans="2:9" ht="14" customHeight="1" x14ac:dyDescent="0.3">
      <c r="B66" s="31">
        <v>0.31669999999999998</v>
      </c>
      <c r="C66" s="5">
        <f>IFERROR($C$60/B66,"N/A")</f>
        <v>1630638.7496115714</v>
      </c>
      <c r="D66" s="14">
        <f>IFERROR(C66/'DCF Model'!C17,"N/A")</f>
        <v>2.3144762030371226</v>
      </c>
    </row>
    <row r="67" spans="2:9" ht="14" customHeight="1" x14ac:dyDescent="0.3">
      <c r="B67" s="31">
        <v>0.38</v>
      </c>
      <c r="C67" s="5">
        <f>IFERROR($C$60/B67,"N/A")</f>
        <v>1359008.6631631174</v>
      </c>
      <c r="D67" s="14">
        <f>IFERROR(C67/'DCF Model'!C17,"N/A")</f>
        <v>1.9289331934259386</v>
      </c>
    </row>
    <row r="69" spans="2:9" ht="14" customHeight="1" x14ac:dyDescent="0.3">
      <c r="B69" s="8" t="s">
        <v>169</v>
      </c>
      <c r="C69" s="9"/>
      <c r="D69" s="9"/>
      <c r="E69" s="9"/>
      <c r="F69" s="9"/>
      <c r="G69" s="9"/>
      <c r="H69" s="9"/>
      <c r="I69" s="9"/>
    </row>
    <row r="70" spans="2:9" ht="13.5" customHeight="1" x14ac:dyDescent="0.25">
      <c r="B70" s="6" t="s">
        <v>170</v>
      </c>
      <c r="C70" s="14">
        <f>IFERROR(C10/'Comps Analysis'!G5,"N/A")</f>
        <v>21.283136725644585</v>
      </c>
    </row>
    <row r="71" spans="2:9" ht="13.5" customHeight="1" x14ac:dyDescent="0.25">
      <c r="B71" s="6" t="s">
        <v>171</v>
      </c>
      <c r="C71" s="14">
        <f>IFERROR(C10/'Comps Analysis'!F5,"N/A")</f>
        <v>7.0977522021974657</v>
      </c>
    </row>
    <row r="72" spans="2:9" ht="14" customHeight="1" x14ac:dyDescent="0.3">
      <c r="B72" s="4" t="s">
        <v>172</v>
      </c>
      <c r="C72" s="14">
        <f>IFERROR(C10/(C25+'DCF Model'!G42),"N/A")</f>
        <v>9.368842267986734</v>
      </c>
    </row>
    <row r="73" spans="2:9" ht="14" customHeight="1" x14ac:dyDescent="0.3">
      <c r="B73" s="4" t="s">
        <v>173</v>
      </c>
      <c r="C73" s="14">
        <f>IFERROR(C10/(C60+'DCF Model'!G42),"N/A")</f>
        <v>8.4453648426941079</v>
      </c>
    </row>
    <row r="74" spans="2:9" ht="14" customHeight="1" x14ac:dyDescent="0.3">
      <c r="B74" s="4" t="s">
        <v>174</v>
      </c>
      <c r="C74" s="14">
        <f>IFERROR('Comps Analysis'!D16,"N/A")</f>
        <v>11.401038746421932</v>
      </c>
    </row>
    <row r="75" spans="2:9" ht="14" customHeight="1" x14ac:dyDescent="0.3">
      <c r="B75" s="1" t="s">
        <v>175</v>
      </c>
    </row>
    <row r="77" spans="2:9" ht="14" customHeight="1" x14ac:dyDescent="0.3">
      <c r="B77" s="22" t="s">
        <v>176</v>
      </c>
      <c r="C77" s="23"/>
      <c r="D77" s="23"/>
      <c r="E77" s="23"/>
      <c r="F77" s="23"/>
      <c r="G77" s="23"/>
      <c r="H77" s="23"/>
      <c r="I77" s="23"/>
    </row>
    <row r="78" spans="2:9" ht="14" customHeight="1" x14ac:dyDescent="0.3">
      <c r="B78" s="4" t="str">
        <f>"At "&amp;TEXT(C6,"#,##0")&amp;" yen the market is paying for a steady-state operating profit of "&amp;TEXT(F49,"#,##0")&amp;" mn JPY - "&amp;TEXT(F54,"0.00")&amp;"x the FY2025 cycle peak of "&amp;TEXT(C15,"#,##0")&amp;" mn - reached in 5 years and sustained for ever, against "&amp;TEXT(C14,"#,##0")&amp;" mn actually earned in FY2026."</f>
        <v>At 3,136 yen the market is paying for a steady-state operating profit of 516,423 mn JPY - 3.00x the FY2025 cycle peak of 172,111 mn - reached in 5 years and sustained for ever, against 168,413 mn actually earned in FY2026.</v>
      </c>
    </row>
    <row r="79" spans="2:9" ht="14" customHeight="1" x14ac:dyDescent="0.3">
      <c r="B79" s="4" t="str">
        <f>"Even with no ramp at all (Block A) the price needs "&amp;TEXT(C25,"#,##0")&amp;" mn, or "&amp;TEXT(C26,"0.00")&amp;"x the peak. The base case supports an EV of only "&amp;TEXT(C17,"#,##0")&amp;" mn, leaving "&amp;TEXT(C20,"#,##0")&amp;" yen per share of the current price unexplained by mid-cycle economics."</f>
        <v>Even with no ramp at all (Block A) the price needs 458,059 mn, or 2.66x the peak. The base case supports an EV of only 1,798,856 mn, leaving 1,953 yen per share of the current price unexplained by mid-cycle economics.</v>
      </c>
    </row>
  </sheetData>
  <phoneticPr fontId="8"/>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CC6600"/>
  </sheetPr>
  <dimension ref="B2:H43"/>
  <sheetViews>
    <sheetView workbookViewId="0"/>
  </sheetViews>
  <sheetFormatPr defaultRowHeight="13" x14ac:dyDescent="0.2"/>
  <cols>
    <col min="1" max="1" width="3" customWidth="1"/>
    <col min="2" max="2" width="28" customWidth="1"/>
    <col min="3" max="8" width="16" customWidth="1"/>
  </cols>
  <sheetData>
    <row r="2" spans="2:8" ht="18" customHeight="1" x14ac:dyDescent="0.4">
      <c r="B2" s="2" t="s">
        <v>177</v>
      </c>
    </row>
    <row r="4" spans="2:8" ht="14" customHeight="1" x14ac:dyDescent="0.3">
      <c r="B4" s="8" t="s">
        <v>178</v>
      </c>
      <c r="C4" s="32" t="s">
        <v>179</v>
      </c>
      <c r="D4" s="32" t="s">
        <v>86</v>
      </c>
      <c r="E4" s="32" t="s">
        <v>87</v>
      </c>
      <c r="F4" s="32" t="s">
        <v>88</v>
      </c>
      <c r="G4" s="32" t="s">
        <v>89</v>
      </c>
      <c r="H4" s="32" t="s">
        <v>90</v>
      </c>
    </row>
    <row r="5" spans="2:8" ht="14" customHeight="1" x14ac:dyDescent="0.3">
      <c r="B5" s="33" t="s">
        <v>180</v>
      </c>
      <c r="C5" s="34">
        <f>C12/C9*365</f>
        <v>17.667197983362168</v>
      </c>
      <c r="D5" s="34">
        <f>CHOOSE('DCF Model'!$D$27,D25,D26,D27,D28,D29)</f>
        <v>17</v>
      </c>
      <c r="E5" s="34">
        <f>CHOOSE('DCF Model'!$D$27,E25,E26,E27,E28,E29)</f>
        <v>17</v>
      </c>
      <c r="F5" s="34">
        <f>CHOOSE('DCF Model'!$D$27,F25,F26,F27,F28,F29)</f>
        <v>17</v>
      </c>
      <c r="G5" s="34">
        <f>CHOOSE('DCF Model'!$D$27,G25,G26,G27,G28,G29)</f>
        <v>17</v>
      </c>
      <c r="H5" s="34">
        <f>CHOOSE('DCF Model'!$D$27,H25,H26,H27,H28,H29)</f>
        <v>17</v>
      </c>
    </row>
    <row r="6" spans="2:8" ht="14" customHeight="1" x14ac:dyDescent="0.3">
      <c r="B6" s="33" t="s">
        <v>181</v>
      </c>
      <c r="C6" s="34">
        <f>C13/C10*365</f>
        <v>21.400342925992863</v>
      </c>
      <c r="D6" s="34">
        <f>CHOOSE('DCF Model'!$D$27,D32,D33,D34,D35,D36)</f>
        <v>23</v>
      </c>
      <c r="E6" s="34">
        <f>CHOOSE('DCF Model'!$D$27,E32,E33,E34,E35,E36)</f>
        <v>23</v>
      </c>
      <c r="F6" s="34">
        <f>CHOOSE('DCF Model'!$D$27,F32,F33,F34,F35,F36)</f>
        <v>23</v>
      </c>
      <c r="G6" s="34">
        <f>CHOOSE('DCF Model'!$D$27,G32,G33,G34,G35,G36)</f>
        <v>23</v>
      </c>
      <c r="H6" s="34">
        <f>CHOOSE('DCF Model'!$D$27,H32,H33,H34,H35,H36)</f>
        <v>23</v>
      </c>
    </row>
    <row r="7" spans="2:8" ht="14" customHeight="1" x14ac:dyDescent="0.3">
      <c r="B7" s="33" t="s">
        <v>182</v>
      </c>
      <c r="C7" s="34">
        <f>C15/C10*365</f>
        <v>23.800523657259376</v>
      </c>
      <c r="D7" s="34">
        <f>CHOOSE('DCF Model'!$D$27,D39,D40,D41,D42,D43)</f>
        <v>23</v>
      </c>
      <c r="E7" s="34">
        <f>CHOOSE('DCF Model'!$D$27,E39,E40,E41,E42,E43)</f>
        <v>23</v>
      </c>
      <c r="F7" s="34">
        <f>CHOOSE('DCF Model'!$D$27,F39,F40,F41,F42,F43)</f>
        <v>23</v>
      </c>
      <c r="G7" s="34">
        <f>CHOOSE('DCF Model'!$D$27,G39,G40,G41,G42,G43)</f>
        <v>23</v>
      </c>
      <c r="H7" s="34">
        <f>CHOOSE('DCF Model'!$D$27,H39,H40,H41,H42,H43)</f>
        <v>23</v>
      </c>
    </row>
    <row r="8" spans="2:8" ht="14" customHeight="1" x14ac:dyDescent="0.3">
      <c r="B8" s="8" t="s">
        <v>183</v>
      </c>
      <c r="C8" s="9"/>
      <c r="D8" s="9"/>
      <c r="E8" s="9"/>
      <c r="F8" s="9"/>
      <c r="G8" s="9"/>
      <c r="H8" s="9"/>
    </row>
    <row r="9" spans="2:8" ht="14" customHeight="1" x14ac:dyDescent="0.3">
      <c r="B9" s="33" t="s">
        <v>37</v>
      </c>
      <c r="C9" s="35">
        <v>704539</v>
      </c>
      <c r="D9" s="35">
        <f>'DCF Model'!C33</f>
        <v>725675.17</v>
      </c>
      <c r="E9" s="35">
        <f>'DCF Model'!D33</f>
        <v>747445.42510000011</v>
      </c>
      <c r="F9" s="35">
        <f>'DCF Model'!E33</f>
        <v>766131.56072750001</v>
      </c>
      <c r="G9" s="35">
        <f>'DCF Model'!F33</f>
        <v>785284.84974568745</v>
      </c>
      <c r="H9" s="35">
        <f>'DCF Model'!G33</f>
        <v>800990.54674060119</v>
      </c>
    </row>
    <row r="10" spans="2:8" ht="14" customHeight="1" x14ac:dyDescent="0.3">
      <c r="B10" s="33" t="s">
        <v>38</v>
      </c>
      <c r="C10" s="35">
        <v>431580</v>
      </c>
      <c r="D10" s="35">
        <f>'DCF Model'!C34</f>
        <v>428148.35029999999</v>
      </c>
      <c r="E10" s="35">
        <f>'DCF Model'!D34</f>
        <v>440992.80080900004</v>
      </c>
      <c r="F10" s="35">
        <f>'DCF Model'!E34</f>
        <v>452017.62082922499</v>
      </c>
      <c r="G10" s="35">
        <f>'DCF Model'!F34</f>
        <v>463318.06134995556</v>
      </c>
      <c r="H10" s="35">
        <f>'DCF Model'!G34</f>
        <v>472584.4225769547</v>
      </c>
    </row>
    <row r="11" spans="2:8" ht="14" customHeight="1" x14ac:dyDescent="0.3">
      <c r="B11" s="8" t="s">
        <v>184</v>
      </c>
      <c r="C11" s="9"/>
      <c r="D11" s="9"/>
      <c r="E11" s="9"/>
      <c r="F11" s="9"/>
      <c r="G11" s="9"/>
      <c r="H11" s="9"/>
    </row>
    <row r="12" spans="2:8" ht="14" customHeight="1" x14ac:dyDescent="0.3">
      <c r="B12" s="33" t="s">
        <v>185</v>
      </c>
      <c r="C12" s="35">
        <v>34102</v>
      </c>
      <c r="D12" s="35">
        <f t="shared" ref="D12:H13" si="0">D9*D5/365</f>
        <v>33798.569561643839</v>
      </c>
      <c r="E12" s="35">
        <f t="shared" si="0"/>
        <v>34812.526648493156</v>
      </c>
      <c r="F12" s="35">
        <f t="shared" si="0"/>
        <v>35682.839814705476</v>
      </c>
      <c r="G12" s="35">
        <f t="shared" si="0"/>
        <v>36574.91081007311</v>
      </c>
      <c r="H12" s="35">
        <f t="shared" si="0"/>
        <v>37306.409026274574</v>
      </c>
    </row>
    <row r="13" spans="2:8" ht="14" customHeight="1" x14ac:dyDescent="0.3">
      <c r="B13" s="33" t="s">
        <v>186</v>
      </c>
      <c r="C13" s="35">
        <v>25304</v>
      </c>
      <c r="D13" s="35">
        <f t="shared" si="0"/>
        <v>26979.211114794522</v>
      </c>
      <c r="E13" s="35">
        <f t="shared" si="0"/>
        <v>27788.587448238355</v>
      </c>
      <c r="F13" s="35">
        <f t="shared" si="0"/>
        <v>28483.302134444315</v>
      </c>
      <c r="G13" s="35">
        <f t="shared" si="0"/>
        <v>29195.384687805421</v>
      </c>
      <c r="H13" s="35">
        <f t="shared" si="0"/>
        <v>29779.292381561529</v>
      </c>
    </row>
    <row r="14" spans="2:8" ht="14" customHeight="1" x14ac:dyDescent="0.3">
      <c r="B14" s="33" t="s">
        <v>187</v>
      </c>
      <c r="C14" s="35">
        <f t="shared" ref="C14:H14" si="1">C12+C13</f>
        <v>59406</v>
      </c>
      <c r="D14" s="35">
        <f t="shared" si="1"/>
        <v>60777.780676438357</v>
      </c>
      <c r="E14" s="35">
        <f t="shared" si="1"/>
        <v>62601.114096731515</v>
      </c>
      <c r="F14" s="35">
        <f t="shared" si="1"/>
        <v>64166.141949149795</v>
      </c>
      <c r="G14" s="35">
        <f t="shared" si="1"/>
        <v>65770.295497878527</v>
      </c>
      <c r="H14" s="35">
        <f t="shared" si="1"/>
        <v>67085.70140783611</v>
      </c>
    </row>
    <row r="15" spans="2:8" ht="14" customHeight="1" x14ac:dyDescent="0.3">
      <c r="B15" s="33" t="s">
        <v>188</v>
      </c>
      <c r="C15" s="35">
        <v>28142</v>
      </c>
      <c r="D15" s="35">
        <f>D10*D7/365</f>
        <v>26979.211114794522</v>
      </c>
      <c r="E15" s="35">
        <f>E10*E7/365</f>
        <v>27788.587448238355</v>
      </c>
      <c r="F15" s="35">
        <f>F10*F7/365</f>
        <v>28483.302134444315</v>
      </c>
      <c r="G15" s="35">
        <f>G10*G7/365</f>
        <v>29195.384687805421</v>
      </c>
      <c r="H15" s="35">
        <f>H10*H7/365</f>
        <v>29779.292381561529</v>
      </c>
    </row>
    <row r="16" spans="2:8" ht="14" customHeight="1" x14ac:dyDescent="0.3">
      <c r="B16" s="33" t="s">
        <v>189</v>
      </c>
      <c r="C16" s="35">
        <f t="shared" ref="C16:H16" si="2">C15</f>
        <v>28142</v>
      </c>
      <c r="D16" s="35">
        <f t="shared" si="2"/>
        <v>26979.211114794522</v>
      </c>
      <c r="E16" s="35">
        <f t="shared" si="2"/>
        <v>27788.587448238355</v>
      </c>
      <c r="F16" s="35">
        <f t="shared" si="2"/>
        <v>28483.302134444315</v>
      </c>
      <c r="G16" s="35">
        <f t="shared" si="2"/>
        <v>29195.384687805421</v>
      </c>
      <c r="H16" s="35">
        <f t="shared" si="2"/>
        <v>29779.292381561529</v>
      </c>
    </row>
    <row r="17" spans="2:8" ht="14" customHeight="1" x14ac:dyDescent="0.3">
      <c r="B17" s="22" t="s">
        <v>190</v>
      </c>
      <c r="C17" s="23"/>
      <c r="D17" s="23"/>
      <c r="E17" s="23"/>
      <c r="F17" s="23"/>
      <c r="G17" s="23"/>
      <c r="H17" s="23"/>
    </row>
    <row r="18" spans="2:8" ht="14" customHeight="1" x14ac:dyDescent="0.3">
      <c r="B18" s="33" t="s">
        <v>191</v>
      </c>
      <c r="C18" s="20">
        <f t="shared" ref="C18:H18" si="3">C14-C16</f>
        <v>31264</v>
      </c>
      <c r="D18" s="20">
        <f t="shared" si="3"/>
        <v>33798.569561643832</v>
      </c>
      <c r="E18" s="20">
        <f t="shared" si="3"/>
        <v>34812.526648493164</v>
      </c>
      <c r="F18" s="20">
        <f t="shared" si="3"/>
        <v>35682.839814705483</v>
      </c>
      <c r="G18" s="20">
        <f t="shared" si="3"/>
        <v>36574.91081007311</v>
      </c>
      <c r="H18" s="20">
        <f t="shared" si="3"/>
        <v>37306.409026274581</v>
      </c>
    </row>
    <row r="19" spans="2:8" ht="14" customHeight="1" x14ac:dyDescent="0.3">
      <c r="B19" s="33" t="s">
        <v>100</v>
      </c>
      <c r="C19" s="36" t="s">
        <v>47</v>
      </c>
      <c r="D19" s="24">
        <f>D18-C18</f>
        <v>2534.5695616438315</v>
      </c>
      <c r="E19" s="24">
        <f>E18-D18</f>
        <v>1013.957086849332</v>
      </c>
      <c r="F19" s="24">
        <f>F18-E18</f>
        <v>870.31316621231963</v>
      </c>
      <c r="G19" s="24">
        <f>G18-F18</f>
        <v>892.07099536762689</v>
      </c>
      <c r="H19" s="24">
        <f>H18-G18</f>
        <v>731.49821620147122</v>
      </c>
    </row>
    <row r="22" spans="2:8" ht="14" customHeight="1" x14ac:dyDescent="0.3">
      <c r="B22" s="22" t="s">
        <v>192</v>
      </c>
      <c r="C22" s="23"/>
      <c r="D22" s="23"/>
      <c r="E22" s="23"/>
      <c r="F22" s="23"/>
      <c r="G22" s="23"/>
      <c r="H22" s="23"/>
    </row>
    <row r="23" spans="2:8" ht="14" customHeight="1" x14ac:dyDescent="0.3">
      <c r="D23" s="25" t="s">
        <v>86</v>
      </c>
      <c r="E23" s="25" t="s">
        <v>87</v>
      </c>
      <c r="F23" s="25" t="s">
        <v>88</v>
      </c>
      <c r="G23" s="25" t="s">
        <v>89</v>
      </c>
      <c r="H23" s="25" t="s">
        <v>90</v>
      </c>
    </row>
    <row r="24" spans="2:8" ht="14" customHeight="1" x14ac:dyDescent="0.3">
      <c r="B24" s="3" t="s">
        <v>193</v>
      </c>
    </row>
    <row r="25" spans="2:8" ht="14" customHeight="1" x14ac:dyDescent="0.3">
      <c r="B25" s="4" t="s">
        <v>84</v>
      </c>
      <c r="D25" s="30">
        <v>17</v>
      </c>
      <c r="E25" s="30">
        <v>17</v>
      </c>
      <c r="F25" s="30">
        <v>17</v>
      </c>
      <c r="G25" s="30">
        <v>17</v>
      </c>
      <c r="H25" s="30">
        <v>17</v>
      </c>
    </row>
    <row r="26" spans="2:8" ht="14" customHeight="1" x14ac:dyDescent="0.3">
      <c r="B26" s="4" t="s">
        <v>121</v>
      </c>
      <c r="D26" s="30">
        <v>14</v>
      </c>
      <c r="E26" s="30">
        <v>14</v>
      </c>
      <c r="F26" s="30">
        <v>14</v>
      </c>
      <c r="G26" s="30">
        <v>14</v>
      </c>
      <c r="H26" s="30">
        <v>14</v>
      </c>
    </row>
    <row r="27" spans="2:8" ht="14" customHeight="1" x14ac:dyDescent="0.3">
      <c r="B27" s="4" t="s">
        <v>122</v>
      </c>
      <c r="D27" s="30">
        <v>17</v>
      </c>
      <c r="E27" s="30">
        <v>17</v>
      </c>
      <c r="F27" s="30">
        <v>17</v>
      </c>
      <c r="G27" s="30">
        <v>17</v>
      </c>
      <c r="H27" s="30">
        <v>17</v>
      </c>
    </row>
    <row r="28" spans="2:8" ht="14" customHeight="1" x14ac:dyDescent="0.3">
      <c r="B28" s="4" t="s">
        <v>123</v>
      </c>
      <c r="D28" s="30">
        <v>21</v>
      </c>
      <c r="E28" s="30">
        <v>21</v>
      </c>
      <c r="F28" s="30">
        <v>21</v>
      </c>
      <c r="G28" s="30">
        <v>21</v>
      </c>
      <c r="H28" s="30">
        <v>21</v>
      </c>
    </row>
    <row r="29" spans="2:8" ht="14" customHeight="1" x14ac:dyDescent="0.3">
      <c r="B29" s="4" t="s">
        <v>124</v>
      </c>
      <c r="D29" s="30">
        <v>25</v>
      </c>
      <c r="E29" s="30">
        <v>25</v>
      </c>
      <c r="F29" s="30">
        <v>25</v>
      </c>
      <c r="G29" s="30">
        <v>25</v>
      </c>
      <c r="H29" s="30">
        <v>25</v>
      </c>
    </row>
    <row r="31" spans="2:8" ht="14" customHeight="1" x14ac:dyDescent="0.3">
      <c r="B31" s="3" t="s">
        <v>194</v>
      </c>
    </row>
    <row r="32" spans="2:8" ht="14" customHeight="1" x14ac:dyDescent="0.3">
      <c r="B32" s="4" t="s">
        <v>84</v>
      </c>
      <c r="D32" s="30">
        <v>23</v>
      </c>
      <c r="E32" s="30">
        <v>23</v>
      </c>
      <c r="F32" s="30">
        <v>23</v>
      </c>
      <c r="G32" s="30">
        <v>23</v>
      </c>
      <c r="H32" s="30">
        <v>23</v>
      </c>
    </row>
    <row r="33" spans="2:8" ht="14" customHeight="1" x14ac:dyDescent="0.3">
      <c r="B33" s="4" t="s">
        <v>121</v>
      </c>
      <c r="D33" s="30">
        <v>17</v>
      </c>
      <c r="E33" s="30">
        <v>17</v>
      </c>
      <c r="F33" s="30">
        <v>17</v>
      </c>
      <c r="G33" s="30">
        <v>17</v>
      </c>
      <c r="H33" s="30">
        <v>17</v>
      </c>
    </row>
    <row r="34" spans="2:8" ht="14" customHeight="1" x14ac:dyDescent="0.3">
      <c r="B34" s="4" t="s">
        <v>122</v>
      </c>
      <c r="D34" s="30">
        <v>23</v>
      </c>
      <c r="E34" s="30">
        <v>23</v>
      </c>
      <c r="F34" s="30">
        <v>23</v>
      </c>
      <c r="G34" s="30">
        <v>23</v>
      </c>
      <c r="H34" s="30">
        <v>23</v>
      </c>
    </row>
    <row r="35" spans="2:8" ht="14" customHeight="1" x14ac:dyDescent="0.3">
      <c r="B35" s="4" t="s">
        <v>123</v>
      </c>
      <c r="D35" s="30">
        <v>30</v>
      </c>
      <c r="E35" s="30">
        <v>30</v>
      </c>
      <c r="F35" s="30">
        <v>30</v>
      </c>
      <c r="G35" s="30">
        <v>30</v>
      </c>
      <c r="H35" s="30">
        <v>30</v>
      </c>
    </row>
    <row r="36" spans="2:8" ht="14" customHeight="1" x14ac:dyDescent="0.3">
      <c r="B36" s="4" t="s">
        <v>124</v>
      </c>
      <c r="D36" s="30">
        <v>37</v>
      </c>
      <c r="E36" s="30">
        <v>37</v>
      </c>
      <c r="F36" s="30">
        <v>37</v>
      </c>
      <c r="G36" s="30">
        <v>37</v>
      </c>
      <c r="H36" s="30">
        <v>37</v>
      </c>
    </row>
    <row r="38" spans="2:8" ht="14" customHeight="1" x14ac:dyDescent="0.3">
      <c r="B38" s="3" t="s">
        <v>195</v>
      </c>
    </row>
    <row r="39" spans="2:8" ht="14" customHeight="1" x14ac:dyDescent="0.3">
      <c r="B39" s="4" t="s">
        <v>84</v>
      </c>
      <c r="D39" s="30">
        <v>23</v>
      </c>
      <c r="E39" s="30">
        <v>23</v>
      </c>
      <c r="F39" s="30">
        <v>23</v>
      </c>
      <c r="G39" s="30">
        <v>23</v>
      </c>
      <c r="H39" s="30">
        <v>23</v>
      </c>
    </row>
    <row r="40" spans="2:8" ht="14" customHeight="1" x14ac:dyDescent="0.3">
      <c r="B40" s="4" t="s">
        <v>121</v>
      </c>
      <c r="D40" s="30">
        <v>25</v>
      </c>
      <c r="E40" s="30">
        <v>25</v>
      </c>
      <c r="F40" s="30">
        <v>25</v>
      </c>
      <c r="G40" s="30">
        <v>25</v>
      </c>
      <c r="H40" s="30">
        <v>25</v>
      </c>
    </row>
    <row r="41" spans="2:8" ht="14" customHeight="1" x14ac:dyDescent="0.3">
      <c r="B41" s="4" t="s">
        <v>122</v>
      </c>
      <c r="D41" s="30">
        <v>23</v>
      </c>
      <c r="E41" s="30">
        <v>23</v>
      </c>
      <c r="F41" s="30">
        <v>23</v>
      </c>
      <c r="G41" s="30">
        <v>23</v>
      </c>
      <c r="H41" s="30">
        <v>23</v>
      </c>
    </row>
    <row r="42" spans="2:8" ht="14" customHeight="1" x14ac:dyDescent="0.3">
      <c r="B42" s="4" t="s">
        <v>123</v>
      </c>
      <c r="D42" s="30">
        <v>20</v>
      </c>
      <c r="E42" s="30">
        <v>20</v>
      </c>
      <c r="F42" s="30">
        <v>20</v>
      </c>
      <c r="G42" s="30">
        <v>20</v>
      </c>
      <c r="H42" s="30">
        <v>20</v>
      </c>
    </row>
    <row r="43" spans="2:8" ht="14" customHeight="1" x14ac:dyDescent="0.3">
      <c r="B43" s="4" t="s">
        <v>124</v>
      </c>
      <c r="D43" s="30">
        <v>17</v>
      </c>
      <c r="E43" s="30">
        <v>17</v>
      </c>
      <c r="F43" s="30">
        <v>17</v>
      </c>
      <c r="G43" s="30">
        <v>17</v>
      </c>
      <c r="H43" s="30">
        <v>17</v>
      </c>
    </row>
  </sheetData>
  <phoneticPr fontId="8"/>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6600"/>
  </sheetPr>
  <dimension ref="B2:Q28"/>
  <sheetViews>
    <sheetView workbookViewId="0"/>
  </sheetViews>
  <sheetFormatPr defaultRowHeight="13" x14ac:dyDescent="0.2"/>
  <cols>
    <col min="1" max="1" width="3" customWidth="1"/>
    <col min="2" max="2" width="16" customWidth="1"/>
    <col min="3" max="3" width="10" customWidth="1"/>
    <col min="4" max="16" width="12" customWidth="1"/>
    <col min="17" max="17" width="26" customWidth="1"/>
  </cols>
  <sheetData>
    <row r="2" spans="2:17" ht="18" customHeight="1" x14ac:dyDescent="0.4">
      <c r="B2" s="2" t="s">
        <v>196</v>
      </c>
    </row>
    <row r="3" spans="2:17" ht="14" customHeight="1" x14ac:dyDescent="0.3">
      <c r="B3" s="1" t="s">
        <v>197</v>
      </c>
    </row>
    <row r="4" spans="2:17" ht="28" customHeight="1" x14ac:dyDescent="0.3">
      <c r="B4" s="10" t="s">
        <v>3</v>
      </c>
      <c r="C4" s="10" t="s">
        <v>5</v>
      </c>
      <c r="D4" s="10" t="s">
        <v>198</v>
      </c>
      <c r="E4" s="10" t="s">
        <v>199</v>
      </c>
      <c r="F4" s="10" t="s">
        <v>200</v>
      </c>
      <c r="G4" s="10" t="s">
        <v>201</v>
      </c>
      <c r="H4" s="10" t="s">
        <v>202</v>
      </c>
      <c r="I4" s="10" t="s">
        <v>203</v>
      </c>
      <c r="J4" s="10" t="s">
        <v>204</v>
      </c>
      <c r="K4" s="10" t="s">
        <v>205</v>
      </c>
      <c r="L4" s="10" t="s">
        <v>206</v>
      </c>
      <c r="M4" s="10" t="s">
        <v>207</v>
      </c>
      <c r="N4" s="10" t="s">
        <v>208</v>
      </c>
      <c r="O4" s="10" t="s">
        <v>209</v>
      </c>
      <c r="P4" s="10" t="s">
        <v>210</v>
      </c>
      <c r="Q4" s="10" t="s">
        <v>211</v>
      </c>
    </row>
    <row r="5" spans="2:17" ht="14" customHeight="1" x14ac:dyDescent="0.3">
      <c r="B5" s="4" t="s">
        <v>212</v>
      </c>
      <c r="C5" t="s">
        <v>213</v>
      </c>
      <c r="D5" s="37">
        <f>'Executive Summary'!C9*C23/1000000</f>
        <v>5142151.2387840003</v>
      </c>
      <c r="E5" s="37">
        <f>D5+C24</f>
        <v>5000643.2387840003</v>
      </c>
      <c r="F5" s="37">
        <v>704539</v>
      </c>
      <c r="G5" s="37">
        <v>234958</v>
      </c>
      <c r="H5" s="37">
        <v>168413</v>
      </c>
      <c r="I5" s="37">
        <v>121881</v>
      </c>
      <c r="J5" s="38">
        <f>IFERROR(E5/G5,"")</f>
        <v>21.283136725644585</v>
      </c>
      <c r="K5" s="38">
        <f>IFERROR(E5/F5,"")</f>
        <v>7.0977522021974657</v>
      </c>
      <c r="L5" s="38">
        <f>IFERROR(D5/I5,"")</f>
        <v>42.189933121520177</v>
      </c>
      <c r="M5" s="38">
        <f>IFERROR(D5/P5,"")</f>
        <v>4.6746022012201607</v>
      </c>
      <c r="N5" s="39">
        <f>IFERROR(H5/F5,"")</f>
        <v>0.23903999636641832</v>
      </c>
      <c r="O5" s="39">
        <f>IFERROR(I5/P5,"")</f>
        <v>0.11079899529008136</v>
      </c>
      <c r="P5" s="37">
        <v>1100019</v>
      </c>
    </row>
    <row r="6" spans="2:17" ht="14" customHeight="1" x14ac:dyDescent="0.3">
      <c r="B6" s="4" t="s">
        <v>214</v>
      </c>
      <c r="C6" t="s">
        <v>215</v>
      </c>
      <c r="D6" s="37">
        <v>1331794</v>
      </c>
      <c r="E6" s="37">
        <v>1282444</v>
      </c>
      <c r="F6" s="37">
        <v>360663</v>
      </c>
      <c r="G6" s="37">
        <v>82816</v>
      </c>
      <c r="H6" s="37">
        <v>67893</v>
      </c>
      <c r="I6" s="37">
        <v>51768</v>
      </c>
      <c r="J6" s="38">
        <f>IFERROR(E6/G6,"")</f>
        <v>15.485461746522411</v>
      </c>
      <c r="K6" s="38">
        <f>IFERROR(E6/F6,"")</f>
        <v>3.555795853747127</v>
      </c>
      <c r="L6" s="38">
        <f>IFERROR(D6/I6,"")</f>
        <v>25.72620151444908</v>
      </c>
      <c r="M6" s="38">
        <f>IFERROR(D6/P6,"")</f>
        <v>2.5841712491704922</v>
      </c>
      <c r="N6" s="39">
        <f>IFERROR(H6/F6,"")</f>
        <v>0.18824498215785929</v>
      </c>
      <c r="O6" s="39">
        <f>IFERROR(I6/P6,"")</f>
        <v>0.10044900129228548</v>
      </c>
      <c r="P6" s="37">
        <v>515366</v>
      </c>
    </row>
    <row r="7" spans="2:17" ht="14" customHeight="1" x14ac:dyDescent="0.3">
      <c r="B7" s="4" t="s">
        <v>216</v>
      </c>
      <c r="C7" t="s">
        <v>217</v>
      </c>
      <c r="D7" s="37">
        <v>383716</v>
      </c>
      <c r="E7" s="37">
        <v>381615</v>
      </c>
      <c r="F7" s="37">
        <v>263020</v>
      </c>
      <c r="G7" s="37">
        <v>40037</v>
      </c>
      <c r="H7" s="37">
        <v>29170</v>
      </c>
      <c r="I7" s="37">
        <v>20912</v>
      </c>
      <c r="J7" s="38">
        <f>IFERROR(E7/G7,"")</f>
        <v>9.531558308564577</v>
      </c>
      <c r="K7" s="38">
        <f>IFERROR(E7/F7,"")</f>
        <v>1.4508972701695688</v>
      </c>
      <c r="L7" s="38">
        <f>IFERROR(D7/I7,"")</f>
        <v>18.349081866870698</v>
      </c>
      <c r="M7" s="38">
        <f>IFERROR(D7/P7,"")</f>
        <v>2.3944537353667972</v>
      </c>
      <c r="N7" s="39">
        <f>IFERROR(H7/F7,"")</f>
        <v>0.11090411375560794</v>
      </c>
      <c r="O7" s="39">
        <f>IFERROR(I7/P7,"")</f>
        <v>0.13049447120784763</v>
      </c>
      <c r="P7" s="37">
        <v>160252</v>
      </c>
    </row>
    <row r="8" spans="2:17" ht="14" customHeight="1" x14ac:dyDescent="0.3">
      <c r="B8" s="4" t="s">
        <v>218</v>
      </c>
      <c r="C8" t="s">
        <v>219</v>
      </c>
      <c r="D8" s="37">
        <v>296086</v>
      </c>
      <c r="E8" s="37">
        <v>386347</v>
      </c>
      <c r="F8" s="37">
        <v>275247</v>
      </c>
      <c r="G8" s="37">
        <v>33887</v>
      </c>
      <c r="H8" s="37">
        <v>24851</v>
      </c>
      <c r="I8" s="37">
        <v>18709</v>
      </c>
      <c r="J8" s="38">
        <f>IFERROR(E8/G8,"")</f>
        <v>11.401038746421932</v>
      </c>
      <c r="K8" s="38">
        <f>IFERROR(E8/F8,"")</f>
        <v>1.4036374601721362</v>
      </c>
      <c r="L8" s="38">
        <f>IFERROR(D8/I8,"")</f>
        <v>15.825859212143888</v>
      </c>
      <c r="M8" s="38">
        <f>IFERROR(D8/P8,"")</f>
        <v>2.0345637952833817</v>
      </c>
      <c r="N8" s="39">
        <f>IFERROR(H8/F8,"")</f>
        <v>9.0286179322572088E-2</v>
      </c>
      <c r="O8" s="39">
        <f>IFERROR(I8/P8,"")</f>
        <v>0.12855945247649936</v>
      </c>
      <c r="P8" s="37">
        <v>145528</v>
      </c>
    </row>
    <row r="14" spans="2:17" ht="14" customHeight="1" x14ac:dyDescent="0.3">
      <c r="B14" s="3" t="s">
        <v>220</v>
      </c>
    </row>
    <row r="15" spans="2:17" ht="14" customHeight="1" x14ac:dyDescent="0.3">
      <c r="B15" s="4" t="s">
        <v>221</v>
      </c>
      <c r="D15" s="38">
        <f t="shared" ref="D15:I15" si="0">PERCENTILE(J6:J8,0.25)</f>
        <v>10.466298527493255</v>
      </c>
      <c r="E15" s="38">
        <f t="shared" si="0"/>
        <v>1.4272673651708525</v>
      </c>
      <c r="F15" s="38">
        <f t="shared" si="0"/>
        <v>17.087470539507294</v>
      </c>
      <c r="G15" s="38">
        <f t="shared" si="0"/>
        <v>2.2145087653250894</v>
      </c>
      <c r="H15" s="39">
        <f t="shared" si="0"/>
        <v>0.10059514653909002</v>
      </c>
      <c r="I15" s="39">
        <f t="shared" si="0"/>
        <v>0.11450422688439242</v>
      </c>
    </row>
    <row r="16" spans="2:17" ht="14" customHeight="1" x14ac:dyDescent="0.3">
      <c r="B16" s="4" t="s">
        <v>222</v>
      </c>
      <c r="D16" s="38">
        <f t="shared" ref="D16:I16" si="1">MEDIAN(J6:J8)</f>
        <v>11.401038746421932</v>
      </c>
      <c r="E16" s="38">
        <f t="shared" si="1"/>
        <v>1.4508972701695688</v>
      </c>
      <c r="F16" s="38">
        <f t="shared" si="1"/>
        <v>18.349081866870698</v>
      </c>
      <c r="G16" s="38">
        <f t="shared" si="1"/>
        <v>2.3944537353667972</v>
      </c>
      <c r="H16" s="39">
        <f t="shared" si="1"/>
        <v>0.11090411375560794</v>
      </c>
      <c r="I16" s="39">
        <f t="shared" si="1"/>
        <v>0.12855945247649936</v>
      </c>
    </row>
    <row r="17" spans="2:9" ht="14" customHeight="1" x14ac:dyDescent="0.3">
      <c r="B17" s="4" t="s">
        <v>223</v>
      </c>
      <c r="D17" s="38">
        <f t="shared" ref="D17:I17" si="2">PERCENTILE(J6:J8,0.75)</f>
        <v>13.443250246472171</v>
      </c>
      <c r="E17" s="38">
        <f t="shared" si="2"/>
        <v>2.5033465619583479</v>
      </c>
      <c r="F17" s="38">
        <f t="shared" si="2"/>
        <v>22.037641690659889</v>
      </c>
      <c r="G17" s="38">
        <f t="shared" si="2"/>
        <v>2.4893124922686445</v>
      </c>
      <c r="H17" s="39">
        <f t="shared" si="2"/>
        <v>0.14957454795673361</v>
      </c>
      <c r="I17" s="39">
        <f t="shared" si="2"/>
        <v>0.12952696184217349</v>
      </c>
    </row>
    <row r="19" spans="2:9" ht="14" customHeight="1" x14ac:dyDescent="0.3">
      <c r="B19" s="22" t="s">
        <v>224</v>
      </c>
      <c r="C19" s="23"/>
      <c r="D19" s="23"/>
      <c r="E19" s="23"/>
      <c r="F19" s="23"/>
      <c r="G19" s="23"/>
      <c r="H19" s="23"/>
      <c r="I19" s="23"/>
    </row>
    <row r="20" spans="2:9" ht="14" customHeight="1" x14ac:dyDescent="0.3">
      <c r="B20" s="3" t="s">
        <v>225</v>
      </c>
    </row>
    <row r="21" spans="2:9" ht="14" customHeight="1" x14ac:dyDescent="0.3">
      <c r="B21" s="4" t="s">
        <v>226</v>
      </c>
      <c r="C21" s="5">
        <v>234958</v>
      </c>
    </row>
    <row r="22" spans="2:9" ht="14" customHeight="1" x14ac:dyDescent="0.3">
      <c r="B22" s="4" t="s">
        <v>227</v>
      </c>
      <c r="C22" s="5">
        <v>121881</v>
      </c>
    </row>
    <row r="23" spans="2:9" ht="14" customHeight="1" x14ac:dyDescent="0.3">
      <c r="B23" s="4" t="s">
        <v>228</v>
      </c>
      <c r="C23" s="15">
        <v>1639716594</v>
      </c>
    </row>
    <row r="24" spans="2:9" ht="14" customHeight="1" x14ac:dyDescent="0.3">
      <c r="B24" s="4" t="s">
        <v>73</v>
      </c>
      <c r="C24" s="5">
        <v>-141508</v>
      </c>
    </row>
    <row r="26" spans="2:9" ht="14" customHeight="1" x14ac:dyDescent="0.3">
      <c r="B26" s="3" t="s">
        <v>229</v>
      </c>
    </row>
    <row r="27" spans="2:9" ht="14" customHeight="1" x14ac:dyDescent="0.3">
      <c r="B27" s="4" t="s">
        <v>230</v>
      </c>
      <c r="C27" s="24">
        <f>ROUND((C21*D16-C24)*1000000/C23,0)</f>
        <v>1720</v>
      </c>
    </row>
    <row r="28" spans="2:9" ht="14" customHeight="1" x14ac:dyDescent="0.3">
      <c r="B28" s="4" t="s">
        <v>231</v>
      </c>
      <c r="C28" s="24">
        <f>ROUND(C22*F16*1000000/C23,0)</f>
        <v>1364</v>
      </c>
    </row>
  </sheetData>
  <phoneticPr fontId="8"/>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996600"/>
  </sheetPr>
  <dimension ref="B2:I26"/>
  <sheetViews>
    <sheetView workbookViewId="0"/>
  </sheetViews>
  <sheetFormatPr defaultRowHeight="13" x14ac:dyDescent="0.2"/>
  <cols>
    <col min="1" max="1" width="3" customWidth="1"/>
    <col min="2" max="2" width="24" customWidth="1"/>
    <col min="3" max="9" width="14" customWidth="1"/>
  </cols>
  <sheetData>
    <row r="2" spans="2:9" ht="18" customHeight="1" x14ac:dyDescent="0.4">
      <c r="B2" s="2" t="s">
        <v>232</v>
      </c>
    </row>
    <row r="3" spans="2:9" ht="14" customHeight="1" x14ac:dyDescent="0.3">
      <c r="B3" s="4" t="s">
        <v>233</v>
      </c>
      <c r="C3" s="16">
        <f>'DCF Model'!C26</f>
        <v>7.8699999999999992E-2</v>
      </c>
      <c r="E3" s="4" t="s">
        <v>234</v>
      </c>
      <c r="F3" s="16">
        <f>'DCF Model'!C13</f>
        <v>0.01</v>
      </c>
      <c r="H3" s="4" t="s">
        <v>235</v>
      </c>
      <c r="I3" s="14">
        <f>'DCF Model'!C14</f>
        <v>11.4</v>
      </c>
    </row>
    <row r="5" spans="2:9" ht="14" customHeight="1" x14ac:dyDescent="0.3">
      <c r="B5" s="3" t="s">
        <v>236</v>
      </c>
    </row>
    <row r="6" spans="2:9" ht="14" customHeight="1" x14ac:dyDescent="0.3">
      <c r="B6" s="40" t="s">
        <v>237</v>
      </c>
      <c r="C6" s="41">
        <f>$F$3-0.0075</f>
        <v>2.5000000000000005E-3</v>
      </c>
      <c r="D6" s="41">
        <f>$F$3-0.005</f>
        <v>5.0000000000000001E-3</v>
      </c>
      <c r="E6" s="41">
        <f>$F$3-0.0025</f>
        <v>7.4999999999999997E-3</v>
      </c>
      <c r="F6" s="41">
        <f>$F$3</f>
        <v>0.01</v>
      </c>
      <c r="G6" s="41">
        <f>$F$3+0.0025</f>
        <v>1.2500000000000001E-2</v>
      </c>
      <c r="H6" s="41">
        <f>$F$3+0.005</f>
        <v>1.4999999999999999E-2</v>
      </c>
      <c r="I6" s="41">
        <f>$F$3+0.0075</f>
        <v>1.7500000000000002E-2</v>
      </c>
    </row>
    <row r="7" spans="2:9" ht="13.5" customHeight="1" x14ac:dyDescent="0.25">
      <c r="B7" s="39">
        <f>$C$3-0.015</f>
        <v>6.3699999999999993E-2</v>
      </c>
      <c r="C7" s="37">
        <f>IFERROR(ROUND(('DCF Model'!C45/(1+$B7)^('DCF Model'!C19+0)+'DCF Model'!D45/(1+$B7)^('DCF Model'!C19+1)+'DCF Model'!E45/(1+$B7)^('DCF Model'!C19+2)+'DCF Model'!F45/(1+$B7)^('DCF Model'!C19+3)+'DCF Model'!G45/(1+$B7)^('DCF Model'!C19+4)+'DCF Model'!G45*(1+C$6)/($B7-C$6)/(1+$B7)^('DCF Model'!C19+4)-'DCF Model'!C16)*1000000/'DCF Model'!C15,0),"")</f>
        <v>1366</v>
      </c>
      <c r="D7" s="37">
        <f>IFERROR(ROUND(('DCF Model'!C45/(1+$B7)^('DCF Model'!C19+0)+'DCF Model'!D45/(1+$B7)^('DCF Model'!C19+1)+'DCF Model'!E45/(1+$B7)^('DCF Model'!C19+2)+'DCF Model'!F45/(1+$B7)^('DCF Model'!C19+3)+'DCF Model'!G45/(1+$B7)^('DCF Model'!C19+4)+'DCF Model'!G45*(1+D$6)/($B7-D$6)/(1+$B7)^('DCF Model'!C19+4)-'DCF Model'!C16)*1000000/'DCF Model'!C15,0),"")</f>
        <v>1413</v>
      </c>
      <c r="E7" s="37">
        <f>IFERROR(ROUND(('DCF Model'!C45/(1+$B7)^('DCF Model'!C19+0)+'DCF Model'!D45/(1+$B7)^('DCF Model'!C19+1)+'DCF Model'!E45/(1+$B7)^('DCF Model'!C19+2)+'DCF Model'!F45/(1+$B7)^('DCF Model'!C19+3)+'DCF Model'!G45/(1+$B7)^('DCF Model'!C19+4)+'DCF Model'!G45*(1+E$6)/($B7-E$6)/(1+$B7)^('DCF Model'!C19+4)-'DCF Model'!C16)*1000000/'DCF Model'!C15,0),"")</f>
        <v>1465</v>
      </c>
      <c r="F7" s="37">
        <f>IFERROR(ROUND(('DCF Model'!C45/(1+$B7)^('DCF Model'!C19+0)+'DCF Model'!D45/(1+$B7)^('DCF Model'!C19+1)+'DCF Model'!E45/(1+$B7)^('DCF Model'!C19+2)+'DCF Model'!F45/(1+$B7)^('DCF Model'!C19+3)+'DCF Model'!G45/(1+$B7)^('DCF Model'!C19+4)+'DCF Model'!G45*(1+F$6)/($B7-F$6)/(1+$B7)^('DCF Model'!C19+4)-'DCF Model'!C16)*1000000/'DCF Model'!C15,0),"")</f>
        <v>1522</v>
      </c>
      <c r="G7" s="37">
        <f>IFERROR(ROUND(('DCF Model'!C45/(1+$B7)^('DCF Model'!C19+0)+'DCF Model'!D45/(1+$B7)^('DCF Model'!C19+1)+'DCF Model'!E45/(1+$B7)^('DCF Model'!C19+2)+'DCF Model'!F45/(1+$B7)^('DCF Model'!C19+3)+'DCF Model'!G45/(1+$B7)^('DCF Model'!C19+4)+'DCF Model'!G45*(1+G$6)/($B7-G$6)/(1+$B7)^('DCF Model'!C19+4)-'DCF Model'!C16)*1000000/'DCF Model'!C15,0),"")</f>
        <v>1584</v>
      </c>
      <c r="H7" s="37">
        <f>IFERROR(ROUND(('DCF Model'!C45/(1+$B7)^('DCF Model'!C19+0)+'DCF Model'!D45/(1+$B7)^('DCF Model'!C19+1)+'DCF Model'!E45/(1+$B7)^('DCF Model'!C19+2)+'DCF Model'!F45/(1+$B7)^('DCF Model'!C19+3)+'DCF Model'!G45/(1+$B7)^('DCF Model'!C19+4)+'DCF Model'!G45*(1+H$6)/($B7-H$6)/(1+$B7)^('DCF Model'!C19+4)-'DCF Model'!C16)*1000000/'DCF Model'!C15,0),"")</f>
        <v>1652</v>
      </c>
      <c r="I7" s="37">
        <f>IFERROR(ROUND(('DCF Model'!C45/(1+$B7)^('DCF Model'!C19+0)+'DCF Model'!D45/(1+$B7)^('DCF Model'!C19+1)+'DCF Model'!E45/(1+$B7)^('DCF Model'!C19+2)+'DCF Model'!F45/(1+$B7)^('DCF Model'!C19+3)+'DCF Model'!G45/(1+$B7)^('DCF Model'!C19+4)+'DCF Model'!G45*(1+I$6)/($B7-I$6)/(1+$B7)^('DCF Model'!C19+4)-'DCF Model'!C16)*1000000/'DCF Model'!C15,0),"")</f>
        <v>1728</v>
      </c>
    </row>
    <row r="8" spans="2:9" ht="13.5" customHeight="1" x14ac:dyDescent="0.25">
      <c r="B8" s="39">
        <f>$C$3-0.01</f>
        <v>6.8699999999999997E-2</v>
      </c>
      <c r="C8" s="37">
        <f>IFERROR(ROUND(('DCF Model'!C45/(1+$B8)^('DCF Model'!C19+0)+'DCF Model'!D45/(1+$B8)^('DCF Model'!C19+1)+'DCF Model'!E45/(1+$B8)^('DCF Model'!C19+2)+'DCF Model'!F45/(1+$B8)^('DCF Model'!C19+3)+'DCF Model'!G45/(1+$B8)^('DCF Model'!C19+4)+'DCF Model'!G45*(1+C$6)/($B8-C$6)/(1+$B8)^('DCF Model'!C19+4)-'DCF Model'!C16)*1000000/'DCF Model'!C15,0),"")</f>
        <v>1260</v>
      </c>
      <c r="D8" s="37">
        <f>IFERROR(ROUND(('DCF Model'!C45/(1+$B8)^('DCF Model'!C19+0)+'DCF Model'!D45/(1+$B8)^('DCF Model'!C19+1)+'DCF Model'!E45/(1+$B8)^('DCF Model'!C19+2)+'DCF Model'!F45/(1+$B8)^('DCF Model'!C19+3)+'DCF Model'!G45/(1+$B8)^('DCF Model'!C19+4)+'DCF Model'!G45*(1+D$6)/($B8-D$6)/(1+$B8)^('DCF Model'!C19+4)-'DCF Model'!C16)*1000000/'DCF Model'!C15,0),"")</f>
        <v>1300</v>
      </c>
      <c r="E8" s="37">
        <f>IFERROR(ROUND(('DCF Model'!C45/(1+$B8)^('DCF Model'!C19+0)+'DCF Model'!D45/(1+$B8)^('DCF Model'!C19+1)+'DCF Model'!E45/(1+$B8)^('DCF Model'!C19+2)+'DCF Model'!F45/(1+$B8)^('DCF Model'!C19+3)+'DCF Model'!G45/(1+$B8)^('DCF Model'!C19+4)+'DCF Model'!G45*(1+E$6)/($B8-E$6)/(1+$B8)^('DCF Model'!C19+4)-'DCF Model'!C16)*1000000/'DCF Model'!C15,0),"")</f>
        <v>1343</v>
      </c>
      <c r="F8" s="37">
        <f>IFERROR(ROUND(('DCF Model'!C45/(1+$B8)^('DCF Model'!C19+0)+'DCF Model'!D45/(1+$B8)^('DCF Model'!C19+1)+'DCF Model'!E45/(1+$B8)^('DCF Model'!C19+2)+'DCF Model'!F45/(1+$B8)^('DCF Model'!C19+3)+'DCF Model'!G45/(1+$B8)^('DCF Model'!C19+4)+'DCF Model'!G45*(1+F$6)/($B8-F$6)/(1+$B8)^('DCF Model'!C19+4)-'DCF Model'!C16)*1000000/'DCF Model'!C15,0),"")</f>
        <v>1389</v>
      </c>
      <c r="G8" s="37">
        <f>IFERROR(ROUND(('DCF Model'!C45/(1+$B8)^('DCF Model'!C19+0)+'DCF Model'!D45/(1+$B8)^('DCF Model'!C19+1)+'DCF Model'!E45/(1+$B8)^('DCF Model'!C19+2)+'DCF Model'!F45/(1+$B8)^('DCF Model'!C19+3)+'DCF Model'!G45/(1+$B8)^('DCF Model'!C19+4)+'DCF Model'!G45*(1+G$6)/($B8-G$6)/(1+$B8)^('DCF Model'!C19+4)-'DCF Model'!C16)*1000000/'DCF Model'!C15,0),"")</f>
        <v>1440</v>
      </c>
      <c r="H8" s="37">
        <f>IFERROR(ROUND(('DCF Model'!C45/(1+$B8)^('DCF Model'!C19+0)+'DCF Model'!D45/(1+$B8)^('DCF Model'!C19+1)+'DCF Model'!E45/(1+$B8)^('DCF Model'!C19+2)+'DCF Model'!F45/(1+$B8)^('DCF Model'!C19+3)+'DCF Model'!G45/(1+$B8)^('DCF Model'!C19+4)+'DCF Model'!G45*(1+H$6)/($B8-H$6)/(1+$B8)^('DCF Model'!C19+4)-'DCF Model'!C16)*1000000/'DCF Model'!C15,0),"")</f>
        <v>1496</v>
      </c>
      <c r="I8" s="37">
        <f>IFERROR(ROUND(('DCF Model'!C45/(1+$B8)^('DCF Model'!C19+0)+'DCF Model'!D45/(1+$B8)^('DCF Model'!C19+1)+'DCF Model'!E45/(1+$B8)^('DCF Model'!C19+2)+'DCF Model'!F45/(1+$B8)^('DCF Model'!C19+3)+'DCF Model'!G45/(1+$B8)^('DCF Model'!C19+4)+'DCF Model'!G45*(1+I$6)/($B8-I$6)/(1+$B8)^('DCF Model'!C19+4)-'DCF Model'!C16)*1000000/'DCF Model'!C15,0),"")</f>
        <v>1557</v>
      </c>
    </row>
    <row r="9" spans="2:9" ht="13.5" customHeight="1" x14ac:dyDescent="0.25">
      <c r="B9" s="39">
        <f>$C$3-0.005</f>
        <v>7.3699999999999988E-2</v>
      </c>
      <c r="C9" s="37">
        <f>IFERROR(ROUND(('DCF Model'!C45/(1+$B9)^('DCF Model'!C19+0)+'DCF Model'!D45/(1+$B9)^('DCF Model'!C19+1)+'DCF Model'!E45/(1+$B9)^('DCF Model'!C19+2)+'DCF Model'!F45/(1+$B9)^('DCF Model'!C19+3)+'DCF Model'!G45/(1+$B9)^('DCF Model'!C19+4)+'DCF Model'!G45*(1+C$6)/($B9-C$6)/(1+$B9)^('DCF Model'!C19+4)-'DCF Model'!C16)*1000000/'DCF Model'!C15,0),"")</f>
        <v>1169</v>
      </c>
      <c r="D9" s="37">
        <f>IFERROR(ROUND(('DCF Model'!C45/(1+$B9)^('DCF Model'!C19+0)+'DCF Model'!D45/(1+$B9)^('DCF Model'!C19+1)+'DCF Model'!E45/(1+$B9)^('DCF Model'!C19+2)+'DCF Model'!F45/(1+$B9)^('DCF Model'!C19+3)+'DCF Model'!G45/(1+$B9)^('DCF Model'!C19+4)+'DCF Model'!G45*(1+D$6)/($B9-D$6)/(1+$B9)^('DCF Model'!C19+4)-'DCF Model'!C16)*1000000/'DCF Model'!C15,0),"")</f>
        <v>1203</v>
      </c>
      <c r="E9" s="37">
        <f>IFERROR(ROUND(('DCF Model'!C45/(1+$B9)^('DCF Model'!C19+0)+'DCF Model'!D45/(1+$B9)^('DCF Model'!C19+1)+'DCF Model'!E45/(1+$B9)^('DCF Model'!C19+2)+'DCF Model'!F45/(1+$B9)^('DCF Model'!C19+3)+'DCF Model'!G45/(1+$B9)^('DCF Model'!C19+4)+'DCF Model'!G45*(1+E$6)/($B9-E$6)/(1+$B9)^('DCF Model'!C19+4)-'DCF Model'!C16)*1000000/'DCF Model'!C15,0),"")</f>
        <v>1239</v>
      </c>
      <c r="F9" s="37">
        <f>IFERROR(ROUND(('DCF Model'!C45/(1+$B9)^('DCF Model'!C19+0)+'DCF Model'!D45/(1+$B9)^('DCF Model'!C19+1)+'DCF Model'!E45/(1+$B9)^('DCF Model'!C19+2)+'DCF Model'!F45/(1+$B9)^('DCF Model'!C19+3)+'DCF Model'!G45/(1+$B9)^('DCF Model'!C19+4)+'DCF Model'!G45*(1+F$6)/($B9-F$6)/(1+$B9)^('DCF Model'!C19+4)-'DCF Model'!C16)*1000000/'DCF Model'!C15,0),"")</f>
        <v>1278</v>
      </c>
      <c r="G9" s="37">
        <f>IFERROR(ROUND(('DCF Model'!C45/(1+$B9)^('DCF Model'!C19+0)+'DCF Model'!D45/(1+$B9)^('DCF Model'!C19+1)+'DCF Model'!E45/(1+$B9)^('DCF Model'!C19+2)+'DCF Model'!F45/(1+$B9)^('DCF Model'!C19+3)+'DCF Model'!G45/(1+$B9)^('DCF Model'!C19+4)+'DCF Model'!G45*(1+G$6)/($B9-G$6)/(1+$B9)^('DCF Model'!C19+4)-'DCF Model'!C16)*1000000/'DCF Model'!C15,0),"")</f>
        <v>1320</v>
      </c>
      <c r="H9" s="37">
        <f>IFERROR(ROUND(('DCF Model'!C45/(1+$B9)^('DCF Model'!C19+0)+'DCF Model'!D45/(1+$B9)^('DCF Model'!C19+1)+'DCF Model'!E45/(1+$B9)^('DCF Model'!C19+2)+'DCF Model'!F45/(1+$B9)^('DCF Model'!C19+3)+'DCF Model'!G45/(1+$B9)^('DCF Model'!C19+4)+'DCF Model'!G45*(1+H$6)/($B9-H$6)/(1+$B9)^('DCF Model'!C19+4)-'DCF Model'!C16)*1000000/'DCF Model'!C15,0),"")</f>
        <v>1366</v>
      </c>
      <c r="I9" s="37">
        <f>IFERROR(ROUND(('DCF Model'!C45/(1+$B9)^('DCF Model'!C19+0)+'DCF Model'!D45/(1+$B9)^('DCF Model'!C19+1)+'DCF Model'!E45/(1+$B9)^('DCF Model'!C19+2)+'DCF Model'!F45/(1+$B9)^('DCF Model'!C19+3)+'DCF Model'!G45/(1+$B9)^('DCF Model'!C19+4)+'DCF Model'!G45*(1+I$6)/($B9-I$6)/(1+$B9)^('DCF Model'!C19+4)-'DCF Model'!C16)*1000000/'DCF Model'!C15,0),"")</f>
        <v>1416</v>
      </c>
    </row>
    <row r="10" spans="2:9" ht="13.5" customHeight="1" x14ac:dyDescent="0.25">
      <c r="B10" s="39">
        <f>$C$3</f>
        <v>7.8699999999999992E-2</v>
      </c>
      <c r="C10" s="37">
        <f>IFERROR(ROUND(('DCF Model'!C45/(1+$B10)^('DCF Model'!C19+0)+'DCF Model'!D45/(1+$B10)^('DCF Model'!C19+1)+'DCF Model'!E45/(1+$B10)^('DCF Model'!C19+2)+'DCF Model'!F45/(1+$B10)^('DCF Model'!C19+3)+'DCF Model'!G45/(1+$B10)^('DCF Model'!C19+4)+'DCF Model'!G45*(1+C$6)/($B10-C$6)/(1+$B10)^('DCF Model'!C19+4)-'DCF Model'!C16)*1000000/'DCF Model'!C15,0),"")</f>
        <v>1091</v>
      </c>
      <c r="D10" s="37">
        <f>IFERROR(ROUND(('DCF Model'!C45/(1+$B10)^('DCF Model'!C19+0)+'DCF Model'!D45/(1+$B10)^('DCF Model'!C19+1)+'DCF Model'!E45/(1+$B10)^('DCF Model'!C19+2)+'DCF Model'!F45/(1+$B10)^('DCF Model'!C19+3)+'DCF Model'!G45/(1+$B10)^('DCF Model'!C19+4)+'DCF Model'!G45*(1+D$6)/($B10-D$6)/(1+$B10)^('DCF Model'!C19+4)-'DCF Model'!C16)*1000000/'DCF Model'!C15,0),"")</f>
        <v>1120</v>
      </c>
      <c r="E10" s="37">
        <f>IFERROR(ROUND(('DCF Model'!C45/(1+$B10)^('DCF Model'!C19+0)+'DCF Model'!D45/(1+$B10)^('DCF Model'!C19+1)+'DCF Model'!E45/(1+$B10)^('DCF Model'!C19+2)+'DCF Model'!F45/(1+$B10)^('DCF Model'!C19+3)+'DCF Model'!G45/(1+$B10)^('DCF Model'!C19+4)+'DCF Model'!G45*(1+E$6)/($B10-E$6)/(1+$B10)^('DCF Model'!C19+4)-'DCF Model'!C16)*1000000/'DCF Model'!C15,0),"")</f>
        <v>1150</v>
      </c>
      <c r="F10" s="37">
        <f>IFERROR(ROUND(('DCF Model'!C45/(1+$B10)^('DCF Model'!C19+0)+'DCF Model'!D45/(1+$B10)^('DCF Model'!C19+1)+'DCF Model'!E45/(1+$B10)^('DCF Model'!C19+2)+'DCF Model'!F45/(1+$B10)^('DCF Model'!C19+3)+'DCF Model'!G45/(1+$B10)^('DCF Model'!C19+4)+'DCF Model'!G45*(1+F$6)/($B10-F$6)/(1+$B10)^('DCF Model'!C19+4)-'DCF Model'!C16)*1000000/'DCF Model'!C15,0),"")</f>
        <v>1183</v>
      </c>
      <c r="G10" s="37">
        <f>IFERROR(ROUND(('DCF Model'!C45/(1+$B10)^('DCF Model'!C19+0)+'DCF Model'!D45/(1+$B10)^('DCF Model'!C19+1)+'DCF Model'!E45/(1+$B10)^('DCF Model'!C19+2)+'DCF Model'!F45/(1+$B10)^('DCF Model'!C19+3)+'DCF Model'!G45/(1+$B10)^('DCF Model'!C19+4)+'DCF Model'!G45*(1+G$6)/($B10-G$6)/(1+$B10)^('DCF Model'!C19+4)-'DCF Model'!C16)*1000000/'DCF Model'!C15,0),"")</f>
        <v>1219</v>
      </c>
      <c r="H10" s="37">
        <f>IFERROR(ROUND(('DCF Model'!C45/(1+$B10)^('DCF Model'!C19+0)+'DCF Model'!D45/(1+$B10)^('DCF Model'!C19+1)+'DCF Model'!E45/(1+$B10)^('DCF Model'!C19+2)+'DCF Model'!F45/(1+$B10)^('DCF Model'!C19+3)+'DCF Model'!G45/(1+$B10)^('DCF Model'!C19+4)+'DCF Model'!G45*(1+H$6)/($B10-H$6)/(1+$B10)^('DCF Model'!C19+4)-'DCF Model'!C16)*1000000/'DCF Model'!C15,0),"")</f>
        <v>1257</v>
      </c>
      <c r="I10" s="37">
        <f>IFERROR(ROUND(('DCF Model'!C45/(1+$B10)^('DCF Model'!C19+0)+'DCF Model'!D45/(1+$B10)^('DCF Model'!C19+1)+'DCF Model'!E45/(1+$B10)^('DCF Model'!C19+2)+'DCF Model'!F45/(1+$B10)^('DCF Model'!C19+3)+'DCF Model'!G45/(1+$B10)^('DCF Model'!C19+4)+'DCF Model'!G45*(1+I$6)/($B10-I$6)/(1+$B10)^('DCF Model'!C19+4)-'DCF Model'!C16)*1000000/'DCF Model'!C15,0),"")</f>
        <v>1299</v>
      </c>
    </row>
    <row r="11" spans="2:9" ht="13.5" customHeight="1" x14ac:dyDescent="0.25">
      <c r="B11" s="39">
        <f>$C$3+0.005</f>
        <v>8.3699999999999997E-2</v>
      </c>
      <c r="C11" s="37">
        <f>IFERROR(ROUND(('DCF Model'!C45/(1+$B11)^('DCF Model'!C19+0)+'DCF Model'!D45/(1+$B11)^('DCF Model'!C19+1)+'DCF Model'!E45/(1+$B11)^('DCF Model'!C19+2)+'DCF Model'!F45/(1+$B11)^('DCF Model'!C19+3)+'DCF Model'!G45/(1+$B11)^('DCF Model'!C19+4)+'DCF Model'!G45*(1+C$6)/($B11-C$6)/(1+$B11)^('DCF Model'!C19+4)-'DCF Model'!C16)*1000000/'DCF Model'!C15,0),"")</f>
        <v>1022</v>
      </c>
      <c r="D11" s="37">
        <f>IFERROR(ROUND(('DCF Model'!C45/(1+$B11)^('DCF Model'!C19+0)+'DCF Model'!D45/(1+$B11)^('DCF Model'!C19+1)+'DCF Model'!E45/(1+$B11)^('DCF Model'!C19+2)+'DCF Model'!F45/(1+$B11)^('DCF Model'!C19+3)+'DCF Model'!G45/(1+$B11)^('DCF Model'!C19+4)+'DCF Model'!G45*(1+D$6)/($B11-D$6)/(1+$B11)^('DCF Model'!C19+4)-'DCF Model'!C16)*1000000/'DCF Model'!C15,0),"")</f>
        <v>1047</v>
      </c>
      <c r="E11" s="37">
        <f>IFERROR(ROUND(('DCF Model'!C45/(1+$B11)^('DCF Model'!C19+0)+'DCF Model'!D45/(1+$B11)^('DCF Model'!C19+1)+'DCF Model'!E45/(1+$B11)^('DCF Model'!C19+2)+'DCF Model'!F45/(1+$B11)^('DCF Model'!C19+3)+'DCF Model'!G45/(1+$B11)^('DCF Model'!C19+4)+'DCF Model'!G45*(1+E$6)/($B11-E$6)/(1+$B11)^('DCF Model'!C19+4)-'DCF Model'!C16)*1000000/'DCF Model'!C15,0),"")</f>
        <v>1073</v>
      </c>
      <c r="F11" s="37">
        <f>IFERROR(ROUND(('DCF Model'!C45/(1+$B11)^('DCF Model'!C19+0)+'DCF Model'!D45/(1+$B11)^('DCF Model'!C19+1)+'DCF Model'!E45/(1+$B11)^('DCF Model'!C19+2)+'DCF Model'!F45/(1+$B11)^('DCF Model'!C19+3)+'DCF Model'!G45/(1+$B11)^('DCF Model'!C19+4)+'DCF Model'!G45*(1+F$6)/($B11-F$6)/(1+$B11)^('DCF Model'!C19+4)-'DCF Model'!C16)*1000000/'DCF Model'!C15,0),"")</f>
        <v>1101</v>
      </c>
      <c r="G11" s="37">
        <f>IFERROR(ROUND(('DCF Model'!C45/(1+$B11)^('DCF Model'!C19+0)+'DCF Model'!D45/(1+$B11)^('DCF Model'!C19+1)+'DCF Model'!E45/(1+$B11)^('DCF Model'!C19+2)+'DCF Model'!F45/(1+$B11)^('DCF Model'!C19+3)+'DCF Model'!G45/(1+$B11)^('DCF Model'!C19+4)+'DCF Model'!G45*(1+G$6)/($B11-G$6)/(1+$B11)^('DCF Model'!C19+4)-'DCF Model'!C16)*1000000/'DCF Model'!C15,0),"")</f>
        <v>1132</v>
      </c>
      <c r="H11" s="37">
        <f>IFERROR(ROUND(('DCF Model'!C45/(1+$B11)^('DCF Model'!C19+0)+'DCF Model'!D45/(1+$B11)^('DCF Model'!C19+1)+'DCF Model'!E45/(1+$B11)^('DCF Model'!C19+2)+'DCF Model'!F45/(1+$B11)^('DCF Model'!C19+3)+'DCF Model'!G45/(1+$B11)^('DCF Model'!C19+4)+'DCF Model'!G45*(1+H$6)/($B11-H$6)/(1+$B11)^('DCF Model'!C19+4)-'DCF Model'!C16)*1000000/'DCF Model'!C15,0),"")</f>
        <v>1164</v>
      </c>
      <c r="I11" s="37">
        <f>IFERROR(ROUND(('DCF Model'!C45/(1+$B11)^('DCF Model'!C19+0)+'DCF Model'!D45/(1+$B11)^('DCF Model'!C19+1)+'DCF Model'!E45/(1+$B11)^('DCF Model'!C19+2)+'DCF Model'!F45/(1+$B11)^('DCF Model'!C19+3)+'DCF Model'!G45/(1+$B11)^('DCF Model'!C19+4)+'DCF Model'!G45*(1+I$6)/($B11-I$6)/(1+$B11)^('DCF Model'!C19+4)-'DCF Model'!C16)*1000000/'DCF Model'!C15,0),"")</f>
        <v>1199</v>
      </c>
    </row>
    <row r="12" spans="2:9" ht="13.5" customHeight="1" x14ac:dyDescent="0.25">
      <c r="B12" s="39">
        <f>$C$3+0.01</f>
        <v>8.8699999999999987E-2</v>
      </c>
      <c r="C12" s="37">
        <f>IFERROR(ROUND(('DCF Model'!C45/(1+$B12)^('DCF Model'!C19+0)+'DCF Model'!D45/(1+$B12)^('DCF Model'!C19+1)+'DCF Model'!E45/(1+$B12)^('DCF Model'!C19+2)+'DCF Model'!F45/(1+$B12)^('DCF Model'!C19+3)+'DCF Model'!G45/(1+$B12)^('DCF Model'!C19+4)+'DCF Model'!G45*(1+C$6)/($B12-C$6)/(1+$B12)^('DCF Model'!C19+4)-'DCF Model'!C16)*1000000/'DCF Model'!C15,0),"")</f>
        <v>961</v>
      </c>
      <c r="D12" s="37">
        <f>IFERROR(ROUND(('DCF Model'!C45/(1+$B12)^('DCF Model'!C19+0)+'DCF Model'!D45/(1+$B12)^('DCF Model'!C19+1)+'DCF Model'!E45/(1+$B12)^('DCF Model'!C19+2)+'DCF Model'!F45/(1+$B12)^('DCF Model'!C19+3)+'DCF Model'!G45/(1+$B12)^('DCF Model'!C19+4)+'DCF Model'!G45*(1+D$6)/($B12-D$6)/(1+$B12)^('DCF Model'!C19+4)-'DCF Model'!C16)*1000000/'DCF Model'!C15,0),"")</f>
        <v>983</v>
      </c>
      <c r="E12" s="37">
        <f>IFERROR(ROUND(('DCF Model'!C45/(1+$B12)^('DCF Model'!C19+0)+'DCF Model'!D45/(1+$B12)^('DCF Model'!C19+1)+'DCF Model'!E45/(1+$B12)^('DCF Model'!C19+2)+'DCF Model'!F45/(1+$B12)^('DCF Model'!C19+3)+'DCF Model'!G45/(1+$B12)^('DCF Model'!C19+4)+'DCF Model'!G45*(1+E$6)/($B12-E$6)/(1+$B12)^('DCF Model'!C19+4)-'DCF Model'!C16)*1000000/'DCF Model'!C15,0),"")</f>
        <v>1006</v>
      </c>
      <c r="F12" s="37">
        <f>IFERROR(ROUND(('DCF Model'!C45/(1+$B12)^('DCF Model'!C19+0)+'DCF Model'!D45/(1+$B12)^('DCF Model'!C19+1)+'DCF Model'!E45/(1+$B12)^('DCF Model'!C19+2)+'DCF Model'!F45/(1+$B12)^('DCF Model'!C19+3)+'DCF Model'!G45/(1+$B12)^('DCF Model'!C19+4)+'DCF Model'!G45*(1+F$6)/($B12-F$6)/(1+$B12)^('DCF Model'!C19+4)-'DCF Model'!C16)*1000000/'DCF Model'!C15,0),"")</f>
        <v>1030</v>
      </c>
      <c r="G12" s="37">
        <f>IFERROR(ROUND(('DCF Model'!C45/(1+$B12)^('DCF Model'!C19+0)+'DCF Model'!D45/(1+$B12)^('DCF Model'!C19+1)+'DCF Model'!E45/(1+$B12)^('DCF Model'!C19+2)+'DCF Model'!F45/(1+$B12)^('DCF Model'!C19+3)+'DCF Model'!G45/(1+$B12)^('DCF Model'!C19+4)+'DCF Model'!G45*(1+G$6)/($B12-G$6)/(1+$B12)^('DCF Model'!C19+4)-'DCF Model'!C16)*1000000/'DCF Model'!C15,0),"")</f>
        <v>1056</v>
      </c>
      <c r="H12" s="37">
        <f>IFERROR(ROUND(('DCF Model'!C45/(1+$B12)^('DCF Model'!C19+0)+'DCF Model'!D45/(1+$B12)^('DCF Model'!C19+1)+'DCF Model'!E45/(1+$B12)^('DCF Model'!C19+2)+'DCF Model'!F45/(1+$B12)^('DCF Model'!C19+3)+'DCF Model'!G45/(1+$B12)^('DCF Model'!C19+4)+'DCF Model'!G45*(1+H$6)/($B12-H$6)/(1+$B12)^('DCF Model'!C19+4)-'DCF Model'!C16)*1000000/'DCF Model'!C15,0),"")</f>
        <v>1084</v>
      </c>
      <c r="I12" s="37">
        <f>IFERROR(ROUND(('DCF Model'!C45/(1+$B12)^('DCF Model'!C19+0)+'DCF Model'!D45/(1+$B12)^('DCF Model'!C19+1)+'DCF Model'!E45/(1+$B12)^('DCF Model'!C19+2)+'DCF Model'!F45/(1+$B12)^('DCF Model'!C19+3)+'DCF Model'!G45/(1+$B12)^('DCF Model'!C19+4)+'DCF Model'!G45*(1+I$6)/($B12-I$6)/(1+$B12)^('DCF Model'!C19+4)-'DCF Model'!C16)*1000000/'DCF Model'!C15,0),"")</f>
        <v>1113</v>
      </c>
    </row>
    <row r="13" spans="2:9" ht="13.5" customHeight="1" x14ac:dyDescent="0.25">
      <c r="B13" s="39">
        <f>$C$3+0.015</f>
        <v>9.3699999999999992E-2</v>
      </c>
      <c r="C13" s="37">
        <f>IFERROR(ROUND(('DCF Model'!C45/(1+$B13)^('DCF Model'!C19+0)+'DCF Model'!D45/(1+$B13)^('DCF Model'!C19+1)+'DCF Model'!E45/(1+$B13)^('DCF Model'!C19+2)+'DCF Model'!F45/(1+$B13)^('DCF Model'!C19+3)+'DCF Model'!G45/(1+$B13)^('DCF Model'!C19+4)+'DCF Model'!G45*(1+C$6)/($B13-C$6)/(1+$B13)^('DCF Model'!C19+4)-'DCF Model'!C16)*1000000/'DCF Model'!C15,0),"")</f>
        <v>907</v>
      </c>
      <c r="D13" s="37">
        <f>IFERROR(ROUND(('DCF Model'!C45/(1+$B13)^('DCF Model'!C19+0)+'DCF Model'!D45/(1+$B13)^('DCF Model'!C19+1)+'DCF Model'!E45/(1+$B13)^('DCF Model'!C19+2)+'DCF Model'!F45/(1+$B13)^('DCF Model'!C19+3)+'DCF Model'!G45/(1+$B13)^('DCF Model'!C19+4)+'DCF Model'!G45*(1+D$6)/($B13-D$6)/(1+$B13)^('DCF Model'!C19+4)-'DCF Model'!C16)*1000000/'DCF Model'!C15,0),"")</f>
        <v>926</v>
      </c>
      <c r="E13" s="37">
        <f>IFERROR(ROUND(('DCF Model'!C45/(1+$B13)^('DCF Model'!C19+0)+'DCF Model'!D45/(1+$B13)^('DCF Model'!C19+1)+'DCF Model'!E45/(1+$B13)^('DCF Model'!C19+2)+'DCF Model'!F45/(1+$B13)^('DCF Model'!C19+3)+'DCF Model'!G45/(1+$B13)^('DCF Model'!C19+4)+'DCF Model'!G45*(1+E$6)/($B13-E$6)/(1+$B13)^('DCF Model'!C19+4)-'DCF Model'!C16)*1000000/'DCF Model'!C15,0),"")</f>
        <v>946</v>
      </c>
      <c r="F13" s="37">
        <f>IFERROR(ROUND(('DCF Model'!C45/(1+$B13)^('DCF Model'!C19+0)+'DCF Model'!D45/(1+$B13)^('DCF Model'!C19+1)+'DCF Model'!E45/(1+$B13)^('DCF Model'!C19+2)+'DCF Model'!F45/(1+$B13)^('DCF Model'!C19+3)+'DCF Model'!G45/(1+$B13)^('DCF Model'!C19+4)+'DCF Model'!G45*(1+F$6)/($B13-F$6)/(1+$B13)^('DCF Model'!C19+4)-'DCF Model'!C16)*1000000/'DCF Model'!C15,0),"")</f>
        <v>967</v>
      </c>
      <c r="G13" s="37">
        <f>IFERROR(ROUND(('DCF Model'!C45/(1+$B13)^('DCF Model'!C19+0)+'DCF Model'!D45/(1+$B13)^('DCF Model'!C19+1)+'DCF Model'!E45/(1+$B13)^('DCF Model'!C19+2)+'DCF Model'!F45/(1+$B13)^('DCF Model'!C19+3)+'DCF Model'!G45/(1+$B13)^('DCF Model'!C19+4)+'DCF Model'!G45*(1+G$6)/($B13-G$6)/(1+$B13)^('DCF Model'!C19+4)-'DCF Model'!C16)*1000000/'DCF Model'!C15,0),"")</f>
        <v>990</v>
      </c>
      <c r="H13" s="37">
        <f>IFERROR(ROUND(('DCF Model'!C45/(1+$B13)^('DCF Model'!C19+0)+'DCF Model'!D45/(1+$B13)^('DCF Model'!C19+1)+'DCF Model'!E45/(1+$B13)^('DCF Model'!C19+2)+'DCF Model'!F45/(1+$B13)^('DCF Model'!C19+3)+'DCF Model'!G45/(1+$B13)^('DCF Model'!C19+4)+'DCF Model'!G45*(1+H$6)/($B13-H$6)/(1+$B13)^('DCF Model'!C19+4)-'DCF Model'!C16)*1000000/'DCF Model'!C15,0),"")</f>
        <v>1014</v>
      </c>
      <c r="I13" s="37">
        <f>IFERROR(ROUND(('DCF Model'!C45/(1+$B13)^('DCF Model'!C19+0)+'DCF Model'!D45/(1+$B13)^('DCF Model'!C19+1)+'DCF Model'!E45/(1+$B13)^('DCF Model'!C19+2)+'DCF Model'!F45/(1+$B13)^('DCF Model'!C19+3)+'DCF Model'!G45/(1+$B13)^('DCF Model'!C19+4)+'DCF Model'!G45*(1+I$6)/($B13-I$6)/(1+$B13)^('DCF Model'!C19+4)-'DCF Model'!C16)*1000000/'DCF Model'!C15,0),"")</f>
        <v>1039</v>
      </c>
    </row>
    <row r="16" spans="2:9" ht="14" customHeight="1" x14ac:dyDescent="0.3">
      <c r="B16" s="3" t="s">
        <v>238</v>
      </c>
    </row>
    <row r="17" spans="2:9" ht="14" customHeight="1" x14ac:dyDescent="0.3">
      <c r="B17" s="40" t="s">
        <v>239</v>
      </c>
      <c r="C17" s="42">
        <f>$I$3-3</f>
        <v>8.4</v>
      </c>
      <c r="D17" s="42">
        <f>$I$3-2</f>
        <v>9.4</v>
      </c>
      <c r="E17" s="42">
        <f>$I$3-1</f>
        <v>10.4</v>
      </c>
      <c r="F17" s="42">
        <f>$I$3</f>
        <v>11.4</v>
      </c>
      <c r="G17" s="42">
        <f>$I$3+1</f>
        <v>12.4</v>
      </c>
      <c r="H17" s="42">
        <f>$I$3+2</f>
        <v>13.4</v>
      </c>
      <c r="I17" s="42">
        <f>$I$3+3</f>
        <v>14.4</v>
      </c>
    </row>
    <row r="18" spans="2:9" ht="13.5" customHeight="1" x14ac:dyDescent="0.25">
      <c r="B18" s="39">
        <f>$C$3-0.015</f>
        <v>6.3699999999999993E-2</v>
      </c>
      <c r="C18" s="37">
        <f>IFERROR(ROUND(('DCF Model'!C45/(1+$B18)^('DCF Model'!C19+0)+'DCF Model'!D45/(1+$B18)^('DCF Model'!C19+1)+'DCF Model'!E45/(1+$B18)^('DCF Model'!C19+2)+'DCF Model'!F45/(1+$B18)^('DCF Model'!C19+3)+'DCF Model'!G45/(1+$B18)^('DCF Model'!C19+4)+('DCF Model'!G39+'DCF Model'!G42)*C$17/(1+$B18)^('DCF Model'!C19+4)-'DCF Model'!C16)*1000000/'DCF Model'!C15,0),"")</f>
        <v>1341</v>
      </c>
      <c r="D18" s="37">
        <f>IFERROR(ROUND(('DCF Model'!C45/(1+$B18)^('DCF Model'!C19+0)+'DCF Model'!D45/(1+$B18)^('DCF Model'!C19+1)+'DCF Model'!E45/(1+$B18)^('DCF Model'!C19+2)+'DCF Model'!F45/(1+$B18)^('DCF Model'!C19+3)+'DCF Model'!G45/(1+$B18)^('DCF Model'!C19+4)+('DCF Model'!G39+'DCF Model'!G42)*D$17/(1+$B18)^('DCF Model'!C19+4)-'DCF Model'!C16)*1000000/'DCF Model'!C15,0),"")</f>
        <v>1463</v>
      </c>
      <c r="E18" s="37">
        <f>IFERROR(ROUND(('DCF Model'!C45/(1+$B18)^('DCF Model'!C19+0)+'DCF Model'!D45/(1+$B18)^('DCF Model'!C19+1)+'DCF Model'!E45/(1+$B18)^('DCF Model'!C19+2)+'DCF Model'!F45/(1+$B18)^('DCF Model'!C19+3)+'DCF Model'!G45/(1+$B18)^('DCF Model'!C19+4)+('DCF Model'!G39+'DCF Model'!G42)*E$17/(1+$B18)^('DCF Model'!C19+4)-'DCF Model'!C16)*1000000/'DCF Model'!C15,0),"")</f>
        <v>1585</v>
      </c>
      <c r="F18" s="37">
        <f>IFERROR(ROUND(('DCF Model'!C45/(1+$B18)^('DCF Model'!C19+0)+'DCF Model'!D45/(1+$B18)^('DCF Model'!C19+1)+'DCF Model'!E45/(1+$B18)^('DCF Model'!C19+2)+'DCF Model'!F45/(1+$B18)^('DCF Model'!C19+3)+'DCF Model'!G45/(1+$B18)^('DCF Model'!C19+4)+('DCF Model'!G39+'DCF Model'!G42)*F$17/(1+$B18)^('DCF Model'!C19+4)-'DCF Model'!C16)*1000000/'DCF Model'!C15,0),"")</f>
        <v>1707</v>
      </c>
      <c r="G18" s="37">
        <f>IFERROR(ROUND(('DCF Model'!C45/(1+$B18)^('DCF Model'!C19+0)+'DCF Model'!D45/(1+$B18)^('DCF Model'!C19+1)+'DCF Model'!E45/(1+$B18)^('DCF Model'!C19+2)+'DCF Model'!F45/(1+$B18)^('DCF Model'!C19+3)+'DCF Model'!G45/(1+$B18)^('DCF Model'!C19+4)+('DCF Model'!G39+'DCF Model'!G42)*G$17/(1+$B18)^('DCF Model'!C19+4)-'DCF Model'!C16)*1000000/'DCF Model'!C15,0),"")</f>
        <v>1829</v>
      </c>
      <c r="H18" s="37">
        <f>IFERROR(ROUND(('DCF Model'!C45/(1+$B18)^('DCF Model'!C19+0)+'DCF Model'!D45/(1+$B18)^('DCF Model'!C19+1)+'DCF Model'!E45/(1+$B18)^('DCF Model'!C19+2)+'DCF Model'!F45/(1+$B18)^('DCF Model'!C19+3)+'DCF Model'!G45/(1+$B18)^('DCF Model'!C19+4)+('DCF Model'!G39+'DCF Model'!G42)*H$17/(1+$B18)^('DCF Model'!C19+4)-'DCF Model'!C16)*1000000/'DCF Model'!C15,0),"")</f>
        <v>1952</v>
      </c>
      <c r="I18" s="37">
        <f>IFERROR(ROUND(('DCF Model'!C45/(1+$B18)^('DCF Model'!C19+0)+'DCF Model'!D45/(1+$B18)^('DCF Model'!C19+1)+'DCF Model'!E45/(1+$B18)^('DCF Model'!C19+2)+'DCF Model'!F45/(1+$B18)^('DCF Model'!C19+3)+'DCF Model'!G45/(1+$B18)^('DCF Model'!C19+4)+('DCF Model'!G39+'DCF Model'!G42)*I$17/(1+$B18)^('DCF Model'!C19+4)-'DCF Model'!C16)*1000000/'DCF Model'!C15,0),"")</f>
        <v>2074</v>
      </c>
    </row>
    <row r="19" spans="2:9" ht="13.5" customHeight="1" x14ac:dyDescent="0.25">
      <c r="B19" s="39">
        <f>$C$3-0.01</f>
        <v>6.8699999999999997E-2</v>
      </c>
      <c r="C19" s="37">
        <f>IFERROR(ROUND(('DCF Model'!C45/(1+$B19)^('DCF Model'!C19+0)+'DCF Model'!D45/(1+$B19)^('DCF Model'!C19+1)+'DCF Model'!E45/(1+$B19)^('DCF Model'!C19+2)+'DCF Model'!F45/(1+$B19)^('DCF Model'!C19+3)+'DCF Model'!G45/(1+$B19)^('DCF Model'!C19+4)+('DCF Model'!G39+'DCF Model'!G42)*C$17/(1+$B19)^('DCF Model'!C19+4)-'DCF Model'!C16)*1000000/'DCF Model'!C15,0),"")</f>
        <v>1313</v>
      </c>
      <c r="D19" s="37">
        <f>IFERROR(ROUND(('DCF Model'!C45/(1+$B19)^('DCF Model'!C19+0)+'DCF Model'!D45/(1+$B19)^('DCF Model'!C19+1)+'DCF Model'!E45/(1+$B19)^('DCF Model'!C19+2)+'DCF Model'!F45/(1+$B19)^('DCF Model'!C19+3)+'DCF Model'!G45/(1+$B19)^('DCF Model'!C19+4)+('DCF Model'!G39+'DCF Model'!G42)*D$17/(1+$B19)^('DCF Model'!C19+4)-'DCF Model'!C16)*1000000/'DCF Model'!C15,0),"")</f>
        <v>1433</v>
      </c>
      <c r="E19" s="37">
        <f>IFERROR(ROUND(('DCF Model'!C45/(1+$B19)^('DCF Model'!C19+0)+'DCF Model'!D45/(1+$B19)^('DCF Model'!C19+1)+'DCF Model'!E45/(1+$B19)^('DCF Model'!C19+2)+'DCF Model'!F45/(1+$B19)^('DCF Model'!C19+3)+'DCF Model'!G45/(1+$B19)^('DCF Model'!C19+4)+('DCF Model'!G39+'DCF Model'!G42)*E$17/(1+$B19)^('DCF Model'!C19+4)-'DCF Model'!C16)*1000000/'DCF Model'!C15,0),"")</f>
        <v>1552</v>
      </c>
      <c r="F19" s="37">
        <f>IFERROR(ROUND(('DCF Model'!C45/(1+$B19)^('DCF Model'!C19+0)+'DCF Model'!D45/(1+$B19)^('DCF Model'!C19+1)+'DCF Model'!E45/(1+$B19)^('DCF Model'!C19+2)+'DCF Model'!F45/(1+$B19)^('DCF Model'!C19+3)+'DCF Model'!G45/(1+$B19)^('DCF Model'!C19+4)+('DCF Model'!G39+'DCF Model'!G42)*F$17/(1+$B19)^('DCF Model'!C19+4)-'DCF Model'!C16)*1000000/'DCF Model'!C15,0),"")</f>
        <v>1671</v>
      </c>
      <c r="G19" s="37">
        <f>IFERROR(ROUND(('DCF Model'!C45/(1+$B19)^('DCF Model'!C19+0)+'DCF Model'!D45/(1+$B19)^('DCF Model'!C19+1)+'DCF Model'!E45/(1+$B19)^('DCF Model'!C19+2)+'DCF Model'!F45/(1+$B19)^('DCF Model'!C19+3)+'DCF Model'!G45/(1+$B19)^('DCF Model'!C19+4)+('DCF Model'!G39+'DCF Model'!G42)*G$17/(1+$B19)^('DCF Model'!C19+4)-'DCF Model'!C16)*1000000/'DCF Model'!C15,0),"")</f>
        <v>1791</v>
      </c>
      <c r="H19" s="37">
        <f>IFERROR(ROUND(('DCF Model'!C45/(1+$B19)^('DCF Model'!C19+0)+'DCF Model'!D45/(1+$B19)^('DCF Model'!C19+1)+'DCF Model'!E45/(1+$B19)^('DCF Model'!C19+2)+'DCF Model'!F45/(1+$B19)^('DCF Model'!C19+3)+'DCF Model'!G45/(1+$B19)^('DCF Model'!C19+4)+('DCF Model'!G39+'DCF Model'!G42)*H$17/(1+$B19)^('DCF Model'!C19+4)-'DCF Model'!C16)*1000000/'DCF Model'!C15,0),"")</f>
        <v>1910</v>
      </c>
      <c r="I19" s="37">
        <f>IFERROR(ROUND(('DCF Model'!C45/(1+$B19)^('DCF Model'!C19+0)+'DCF Model'!D45/(1+$B19)^('DCF Model'!C19+1)+'DCF Model'!E45/(1+$B19)^('DCF Model'!C19+2)+'DCF Model'!F45/(1+$B19)^('DCF Model'!C19+3)+'DCF Model'!G45/(1+$B19)^('DCF Model'!C19+4)+('DCF Model'!G39+'DCF Model'!G42)*I$17/(1+$B19)^('DCF Model'!C19+4)-'DCF Model'!C16)*1000000/'DCF Model'!C15,0),"")</f>
        <v>2029</v>
      </c>
    </row>
    <row r="20" spans="2:9" ht="13.5" customHeight="1" x14ac:dyDescent="0.25">
      <c r="B20" s="39">
        <f>$C$3-0.005</f>
        <v>7.3699999999999988E-2</v>
      </c>
      <c r="C20" s="37">
        <f>IFERROR(ROUND(('DCF Model'!C45/(1+$B20)^('DCF Model'!C19+0)+'DCF Model'!D45/(1+$B20)^('DCF Model'!C19+1)+'DCF Model'!E45/(1+$B20)^('DCF Model'!C19+2)+'DCF Model'!F45/(1+$B20)^('DCF Model'!C19+3)+'DCF Model'!G45/(1+$B20)^('DCF Model'!C19+4)+('DCF Model'!G39+'DCF Model'!G42)*C$17/(1+$B20)^('DCF Model'!C19+4)-'DCF Model'!C16)*1000000/'DCF Model'!C15,0),"")</f>
        <v>1286</v>
      </c>
      <c r="D20" s="37">
        <f>IFERROR(ROUND(('DCF Model'!C45/(1+$B20)^('DCF Model'!C19+0)+'DCF Model'!D45/(1+$B20)^('DCF Model'!C19+1)+'DCF Model'!E45/(1+$B20)^('DCF Model'!C19+2)+'DCF Model'!F45/(1+$B20)^('DCF Model'!C19+3)+'DCF Model'!G45/(1+$B20)^('DCF Model'!C19+4)+('DCF Model'!G39+'DCF Model'!G42)*D$17/(1+$B20)^('DCF Model'!C19+4)-'DCF Model'!C16)*1000000/'DCF Model'!C15,0),"")</f>
        <v>1403</v>
      </c>
      <c r="E20" s="37">
        <f>IFERROR(ROUND(('DCF Model'!C45/(1+$B20)^('DCF Model'!C19+0)+'DCF Model'!D45/(1+$B20)^('DCF Model'!C19+1)+'DCF Model'!E45/(1+$B20)^('DCF Model'!C19+2)+'DCF Model'!F45/(1+$B20)^('DCF Model'!C19+3)+'DCF Model'!G45/(1+$B20)^('DCF Model'!C19+4)+('DCF Model'!G39+'DCF Model'!G42)*E$17/(1+$B20)^('DCF Model'!C19+4)-'DCF Model'!C16)*1000000/'DCF Model'!C15,0),"")</f>
        <v>1520</v>
      </c>
      <c r="F20" s="37">
        <f>IFERROR(ROUND(('DCF Model'!C45/(1+$B20)^('DCF Model'!C19+0)+'DCF Model'!D45/(1+$B20)^('DCF Model'!C19+1)+'DCF Model'!E45/(1+$B20)^('DCF Model'!C19+2)+'DCF Model'!F45/(1+$B20)^('DCF Model'!C19+3)+'DCF Model'!G45/(1+$B20)^('DCF Model'!C19+4)+('DCF Model'!G39+'DCF Model'!G42)*F$17/(1+$B20)^('DCF Model'!C19+4)-'DCF Model'!C16)*1000000/'DCF Model'!C15,0),"")</f>
        <v>1636</v>
      </c>
      <c r="G20" s="37">
        <f>IFERROR(ROUND(('DCF Model'!C45/(1+$B20)^('DCF Model'!C19+0)+'DCF Model'!D45/(1+$B20)^('DCF Model'!C19+1)+'DCF Model'!E45/(1+$B20)^('DCF Model'!C19+2)+'DCF Model'!F45/(1+$B20)^('DCF Model'!C19+3)+'DCF Model'!G45/(1+$B20)^('DCF Model'!C19+4)+('DCF Model'!G39+'DCF Model'!G42)*G$17/(1+$B20)^('DCF Model'!C19+4)-'DCF Model'!C16)*1000000/'DCF Model'!C15,0),"")</f>
        <v>1753</v>
      </c>
      <c r="H20" s="37">
        <f>IFERROR(ROUND(('DCF Model'!C45/(1+$B20)^('DCF Model'!C19+0)+'DCF Model'!D45/(1+$B20)^('DCF Model'!C19+1)+'DCF Model'!E45/(1+$B20)^('DCF Model'!C19+2)+'DCF Model'!F45/(1+$B20)^('DCF Model'!C19+3)+'DCF Model'!G45/(1+$B20)^('DCF Model'!C19+4)+('DCF Model'!G39+'DCF Model'!G42)*H$17/(1+$B20)^('DCF Model'!C19+4)-'DCF Model'!C16)*1000000/'DCF Model'!C15,0),"")</f>
        <v>1870</v>
      </c>
      <c r="I20" s="37">
        <f>IFERROR(ROUND(('DCF Model'!C45/(1+$B20)^('DCF Model'!C19+0)+'DCF Model'!D45/(1+$B20)^('DCF Model'!C19+1)+'DCF Model'!E45/(1+$B20)^('DCF Model'!C19+2)+'DCF Model'!F45/(1+$B20)^('DCF Model'!C19+3)+'DCF Model'!G45/(1+$B20)^('DCF Model'!C19+4)+('DCF Model'!G39+'DCF Model'!G42)*I$17/(1+$B20)^('DCF Model'!C19+4)-'DCF Model'!C16)*1000000/'DCF Model'!C15,0),"")</f>
        <v>1986</v>
      </c>
    </row>
    <row r="21" spans="2:9" ht="13.5" customHeight="1" x14ac:dyDescent="0.25">
      <c r="B21" s="39">
        <f>$C$3</f>
        <v>7.8699999999999992E-2</v>
      </c>
      <c r="C21" s="37">
        <f>IFERROR(ROUND(('DCF Model'!C45/(1+$B21)^('DCF Model'!C19+0)+'DCF Model'!D45/(1+$B21)^('DCF Model'!C19+1)+'DCF Model'!E45/(1+$B21)^('DCF Model'!C19+2)+'DCF Model'!F45/(1+$B21)^('DCF Model'!C19+3)+'DCF Model'!G45/(1+$B21)^('DCF Model'!C19+4)+('DCF Model'!G39+'DCF Model'!G42)*C$17/(1+$B21)^('DCF Model'!C19+4)-'DCF Model'!C16)*1000000/'DCF Model'!C15,0),"")</f>
        <v>1260</v>
      </c>
      <c r="D21" s="37">
        <f>IFERROR(ROUND(('DCF Model'!C45/(1+$B21)^('DCF Model'!C19+0)+'DCF Model'!D45/(1+$B21)^('DCF Model'!C19+1)+'DCF Model'!E45/(1+$B21)^('DCF Model'!C19+2)+'DCF Model'!F45/(1+$B21)^('DCF Model'!C19+3)+'DCF Model'!G45/(1+$B21)^('DCF Model'!C19+4)+('DCF Model'!G39+'DCF Model'!G42)*D$17/(1+$B21)^('DCF Model'!C19+4)-'DCF Model'!C16)*1000000/'DCF Model'!C15,0),"")</f>
        <v>1374</v>
      </c>
      <c r="E21" s="37">
        <f>IFERROR(ROUND(('DCF Model'!C45/(1+$B21)^('DCF Model'!C19+0)+'DCF Model'!D45/(1+$B21)^('DCF Model'!C19+1)+'DCF Model'!E45/(1+$B21)^('DCF Model'!C19+2)+'DCF Model'!F45/(1+$B21)^('DCF Model'!C19+3)+'DCF Model'!G45/(1+$B21)^('DCF Model'!C19+4)+('DCF Model'!G39+'DCF Model'!G42)*E$17/(1+$B21)^('DCF Model'!C19+4)-'DCF Model'!C16)*1000000/'DCF Model'!C15,0),"")</f>
        <v>1488</v>
      </c>
      <c r="F21" s="37">
        <f>IFERROR(ROUND(('DCF Model'!C45/(1+$B21)^('DCF Model'!C19+0)+'DCF Model'!D45/(1+$B21)^('DCF Model'!C19+1)+'DCF Model'!E45/(1+$B21)^('DCF Model'!C19+2)+'DCF Model'!F45/(1+$B21)^('DCF Model'!C19+3)+'DCF Model'!G45/(1+$B21)^('DCF Model'!C19+4)+('DCF Model'!G39+'DCF Model'!G42)*F$17/(1+$B21)^('DCF Model'!C19+4)-'DCF Model'!C16)*1000000/'DCF Model'!C15,0),"")</f>
        <v>1602</v>
      </c>
      <c r="G21" s="37">
        <f>IFERROR(ROUND(('DCF Model'!C45/(1+$B21)^('DCF Model'!C19+0)+'DCF Model'!D45/(1+$B21)^('DCF Model'!C19+1)+'DCF Model'!E45/(1+$B21)^('DCF Model'!C19+2)+'DCF Model'!F45/(1+$B21)^('DCF Model'!C19+3)+'DCF Model'!G45/(1+$B21)^('DCF Model'!C19+4)+('DCF Model'!G39+'DCF Model'!G42)*G$17/(1+$B21)^('DCF Model'!C19+4)-'DCF Model'!C16)*1000000/'DCF Model'!C15,0),"")</f>
        <v>1716</v>
      </c>
      <c r="H21" s="37">
        <f>IFERROR(ROUND(('DCF Model'!C45/(1+$B21)^('DCF Model'!C19+0)+'DCF Model'!D45/(1+$B21)^('DCF Model'!C19+1)+'DCF Model'!E45/(1+$B21)^('DCF Model'!C19+2)+'DCF Model'!F45/(1+$B21)^('DCF Model'!C19+3)+'DCF Model'!G45/(1+$B21)^('DCF Model'!C19+4)+('DCF Model'!G39+'DCF Model'!G42)*H$17/(1+$B21)^('DCF Model'!C19+4)-'DCF Model'!C16)*1000000/'DCF Model'!C15,0),"")</f>
        <v>1830</v>
      </c>
      <c r="I21" s="37">
        <f>IFERROR(ROUND(('DCF Model'!C45/(1+$B21)^('DCF Model'!C19+0)+'DCF Model'!D45/(1+$B21)^('DCF Model'!C19+1)+'DCF Model'!E45/(1+$B21)^('DCF Model'!C19+2)+'DCF Model'!F45/(1+$B21)^('DCF Model'!C19+3)+'DCF Model'!G45/(1+$B21)^('DCF Model'!C19+4)+('DCF Model'!G39+'DCF Model'!G42)*I$17/(1+$B21)^('DCF Model'!C19+4)-'DCF Model'!C16)*1000000/'DCF Model'!C15,0),"")</f>
        <v>1944</v>
      </c>
    </row>
    <row r="22" spans="2:9" ht="13.5" customHeight="1" x14ac:dyDescent="0.25">
      <c r="B22" s="39">
        <f>$C$3+0.005</f>
        <v>8.3699999999999997E-2</v>
      </c>
      <c r="C22" s="37">
        <f>IFERROR(ROUND(('DCF Model'!C45/(1+$B22)^('DCF Model'!C19+0)+'DCF Model'!D45/(1+$B22)^('DCF Model'!C19+1)+'DCF Model'!E45/(1+$B22)^('DCF Model'!C19+2)+'DCF Model'!F45/(1+$B22)^('DCF Model'!C19+3)+'DCF Model'!G45/(1+$B22)^('DCF Model'!C19+4)+('DCF Model'!G39+'DCF Model'!G42)*C$17/(1+$B22)^('DCF Model'!C19+4)-'DCF Model'!C16)*1000000/'DCF Model'!C15,0),"")</f>
        <v>1235</v>
      </c>
      <c r="D22" s="37">
        <f>IFERROR(ROUND(('DCF Model'!C45/(1+$B22)^('DCF Model'!C19+0)+'DCF Model'!D45/(1+$B22)^('DCF Model'!C19+1)+'DCF Model'!E45/(1+$B22)^('DCF Model'!C19+2)+'DCF Model'!F45/(1+$B22)^('DCF Model'!C19+3)+'DCF Model'!G45/(1+$B22)^('DCF Model'!C19+4)+('DCF Model'!G39+'DCF Model'!G42)*D$17/(1+$B22)^('DCF Model'!C19+4)-'DCF Model'!C16)*1000000/'DCF Model'!C15,0),"")</f>
        <v>1347</v>
      </c>
      <c r="E22" s="37">
        <f>IFERROR(ROUND(('DCF Model'!C45/(1+$B22)^('DCF Model'!C19+0)+'DCF Model'!D45/(1+$B22)^('DCF Model'!C19+1)+'DCF Model'!E45/(1+$B22)^('DCF Model'!C19+2)+'DCF Model'!F45/(1+$B22)^('DCF Model'!C19+3)+'DCF Model'!G45/(1+$B22)^('DCF Model'!C19+4)+('DCF Model'!G39+'DCF Model'!G42)*E$17/(1+$B22)^('DCF Model'!C19+4)-'DCF Model'!C16)*1000000/'DCF Model'!C15,0),"")</f>
        <v>1458</v>
      </c>
      <c r="F22" s="37">
        <f>IFERROR(ROUND(('DCF Model'!C45/(1+$B22)^('DCF Model'!C19+0)+'DCF Model'!D45/(1+$B22)^('DCF Model'!C19+1)+'DCF Model'!E45/(1+$B22)^('DCF Model'!C19+2)+'DCF Model'!F45/(1+$B22)^('DCF Model'!C19+3)+'DCF Model'!G45/(1+$B22)^('DCF Model'!C19+4)+('DCF Model'!G39+'DCF Model'!G42)*F$17/(1+$B22)^('DCF Model'!C19+4)-'DCF Model'!C16)*1000000/'DCF Model'!C15,0),"")</f>
        <v>1569</v>
      </c>
      <c r="G22" s="37">
        <f>IFERROR(ROUND(('DCF Model'!C45/(1+$B22)^('DCF Model'!C19+0)+'DCF Model'!D45/(1+$B22)^('DCF Model'!C19+1)+'DCF Model'!E45/(1+$B22)^('DCF Model'!C19+2)+'DCF Model'!F45/(1+$B22)^('DCF Model'!C19+3)+'DCF Model'!G45/(1+$B22)^('DCF Model'!C19+4)+('DCF Model'!G39+'DCF Model'!G42)*G$17/(1+$B22)^('DCF Model'!C19+4)-'DCF Model'!C16)*1000000/'DCF Model'!C15,0),"")</f>
        <v>1681</v>
      </c>
      <c r="H22" s="37">
        <f>IFERROR(ROUND(('DCF Model'!C45/(1+$B22)^('DCF Model'!C19+0)+'DCF Model'!D45/(1+$B22)^('DCF Model'!C19+1)+'DCF Model'!E45/(1+$B22)^('DCF Model'!C19+2)+'DCF Model'!F45/(1+$B22)^('DCF Model'!C19+3)+'DCF Model'!G45/(1+$B22)^('DCF Model'!C19+4)+('DCF Model'!G39+'DCF Model'!G42)*H$17/(1+$B22)^('DCF Model'!C19+4)-'DCF Model'!C16)*1000000/'DCF Model'!C15,0),"")</f>
        <v>1792</v>
      </c>
      <c r="I22" s="37">
        <f>IFERROR(ROUND(('DCF Model'!C45/(1+$B22)^('DCF Model'!C19+0)+'DCF Model'!D45/(1+$B22)^('DCF Model'!C19+1)+'DCF Model'!E45/(1+$B22)^('DCF Model'!C19+2)+'DCF Model'!F45/(1+$B22)^('DCF Model'!C19+3)+'DCF Model'!G45/(1+$B22)^('DCF Model'!C19+4)+('DCF Model'!G39+'DCF Model'!G42)*I$17/(1+$B22)^('DCF Model'!C19+4)-'DCF Model'!C16)*1000000/'DCF Model'!C15,0),"")</f>
        <v>1903</v>
      </c>
    </row>
    <row r="23" spans="2:9" ht="13.5" customHeight="1" x14ac:dyDescent="0.25">
      <c r="B23" s="39">
        <f>$C$3+0.01</f>
        <v>8.8699999999999987E-2</v>
      </c>
      <c r="C23" s="37">
        <f>IFERROR(ROUND(('DCF Model'!C45/(1+$B23)^('DCF Model'!C19+0)+'DCF Model'!D45/(1+$B23)^('DCF Model'!C19+1)+'DCF Model'!E45/(1+$B23)^('DCF Model'!C19+2)+'DCF Model'!F45/(1+$B23)^('DCF Model'!C19+3)+'DCF Model'!G45/(1+$B23)^('DCF Model'!C19+4)+('DCF Model'!G39+'DCF Model'!G42)*C$17/(1+$B23)^('DCF Model'!C19+4)-'DCF Model'!C16)*1000000/'DCF Model'!C15,0),"")</f>
        <v>1211</v>
      </c>
      <c r="D23" s="37">
        <f>IFERROR(ROUND(('DCF Model'!C45/(1+$B23)^('DCF Model'!C19+0)+'DCF Model'!D45/(1+$B23)^('DCF Model'!C19+1)+'DCF Model'!E45/(1+$B23)^('DCF Model'!C19+2)+'DCF Model'!F45/(1+$B23)^('DCF Model'!C19+3)+'DCF Model'!G45/(1+$B23)^('DCF Model'!C19+4)+('DCF Model'!G39+'DCF Model'!G42)*D$17/(1+$B23)^('DCF Model'!C19+4)-'DCF Model'!C16)*1000000/'DCF Model'!C15,0),"")</f>
        <v>1319</v>
      </c>
      <c r="E23" s="37">
        <f>IFERROR(ROUND(('DCF Model'!C45/(1+$B23)^('DCF Model'!C19+0)+'DCF Model'!D45/(1+$B23)^('DCF Model'!C19+1)+'DCF Model'!E45/(1+$B23)^('DCF Model'!C19+2)+'DCF Model'!F45/(1+$B23)^('DCF Model'!C19+3)+'DCF Model'!G45/(1+$B23)^('DCF Model'!C19+4)+('DCF Model'!G39+'DCF Model'!G42)*E$17/(1+$B23)^('DCF Model'!C19+4)-'DCF Model'!C16)*1000000/'DCF Model'!C15,0),"")</f>
        <v>1428</v>
      </c>
      <c r="F23" s="37">
        <f>IFERROR(ROUND(('DCF Model'!C45/(1+$B23)^('DCF Model'!C19+0)+'DCF Model'!D45/(1+$B23)^('DCF Model'!C19+1)+'DCF Model'!E45/(1+$B23)^('DCF Model'!C19+2)+'DCF Model'!F45/(1+$B23)^('DCF Model'!C19+3)+'DCF Model'!G45/(1+$B23)^('DCF Model'!C19+4)+('DCF Model'!G39+'DCF Model'!G42)*F$17/(1+$B23)^('DCF Model'!C19+4)-'DCF Model'!C16)*1000000/'DCF Model'!C15,0),"")</f>
        <v>1537</v>
      </c>
      <c r="G23" s="37">
        <f>IFERROR(ROUND(('DCF Model'!C45/(1+$B23)^('DCF Model'!C19+0)+'DCF Model'!D45/(1+$B23)^('DCF Model'!C19+1)+'DCF Model'!E45/(1+$B23)^('DCF Model'!C19+2)+'DCF Model'!F45/(1+$B23)^('DCF Model'!C19+3)+'DCF Model'!G45/(1+$B23)^('DCF Model'!C19+4)+('DCF Model'!G39+'DCF Model'!G42)*G$17/(1+$B23)^('DCF Model'!C19+4)-'DCF Model'!C16)*1000000/'DCF Model'!C15,0),"")</f>
        <v>1646</v>
      </c>
      <c r="H23" s="37">
        <f>IFERROR(ROUND(('DCF Model'!C45/(1+$B23)^('DCF Model'!C19+0)+'DCF Model'!D45/(1+$B23)^('DCF Model'!C19+1)+'DCF Model'!E45/(1+$B23)^('DCF Model'!C19+2)+'DCF Model'!F45/(1+$B23)^('DCF Model'!C19+3)+'DCF Model'!G45/(1+$B23)^('DCF Model'!C19+4)+('DCF Model'!G39+'DCF Model'!G42)*H$17/(1+$B23)^('DCF Model'!C19+4)-'DCF Model'!C16)*1000000/'DCF Model'!C15,0),"")</f>
        <v>1755</v>
      </c>
      <c r="I23" s="37">
        <f>IFERROR(ROUND(('DCF Model'!C45/(1+$B23)^('DCF Model'!C19+0)+'DCF Model'!D45/(1+$B23)^('DCF Model'!C19+1)+'DCF Model'!E45/(1+$B23)^('DCF Model'!C19+2)+'DCF Model'!F45/(1+$B23)^('DCF Model'!C19+3)+'DCF Model'!G45/(1+$B23)^('DCF Model'!C19+4)+('DCF Model'!G39+'DCF Model'!G42)*I$17/(1+$B23)^('DCF Model'!C19+4)-'DCF Model'!C16)*1000000/'DCF Model'!C15,0),"")</f>
        <v>1863</v>
      </c>
    </row>
    <row r="24" spans="2:9" ht="13.5" customHeight="1" x14ac:dyDescent="0.25">
      <c r="B24" s="39">
        <f>$C$3+0.015</f>
        <v>9.3699999999999992E-2</v>
      </c>
      <c r="C24" s="37">
        <f>IFERROR(ROUND(('DCF Model'!C45/(1+$B24)^('DCF Model'!C19+0)+'DCF Model'!D45/(1+$B24)^('DCF Model'!C19+1)+'DCF Model'!E45/(1+$B24)^('DCF Model'!C19+2)+'DCF Model'!F45/(1+$B24)^('DCF Model'!C19+3)+'DCF Model'!G45/(1+$B24)^('DCF Model'!C19+4)+('DCF Model'!G39+'DCF Model'!G42)*C$17/(1+$B24)^('DCF Model'!C19+4)-'DCF Model'!C16)*1000000/'DCF Model'!C15,0),"")</f>
        <v>1187</v>
      </c>
      <c r="D24" s="37">
        <f>IFERROR(ROUND(('DCF Model'!C45/(1+$B24)^('DCF Model'!C19+0)+'DCF Model'!D45/(1+$B24)^('DCF Model'!C19+1)+'DCF Model'!E45/(1+$B24)^('DCF Model'!C19+2)+'DCF Model'!F45/(1+$B24)^('DCF Model'!C19+3)+'DCF Model'!G45/(1+$B24)^('DCF Model'!C19+4)+('DCF Model'!G39+'DCF Model'!G42)*D$17/(1+$B24)^('DCF Model'!C19+4)-'DCF Model'!C16)*1000000/'DCF Model'!C15,0),"")</f>
        <v>1293</v>
      </c>
      <c r="E24" s="37">
        <f>IFERROR(ROUND(('DCF Model'!C45/(1+$B24)^('DCF Model'!C19+0)+'DCF Model'!D45/(1+$B24)^('DCF Model'!C19+1)+'DCF Model'!E45/(1+$B24)^('DCF Model'!C19+2)+'DCF Model'!F45/(1+$B24)^('DCF Model'!C19+3)+'DCF Model'!G45/(1+$B24)^('DCF Model'!C19+4)+('DCF Model'!G39+'DCF Model'!G42)*E$17/(1+$B24)^('DCF Model'!C19+4)-'DCF Model'!C16)*1000000/'DCF Model'!C15,0),"")</f>
        <v>1399</v>
      </c>
      <c r="F24" s="37">
        <f>IFERROR(ROUND(('DCF Model'!C45/(1+$B24)^('DCF Model'!C19+0)+'DCF Model'!D45/(1+$B24)^('DCF Model'!C19+1)+'DCF Model'!E45/(1+$B24)^('DCF Model'!C19+2)+'DCF Model'!F45/(1+$B24)^('DCF Model'!C19+3)+'DCF Model'!G45/(1+$B24)^('DCF Model'!C19+4)+('DCF Model'!G39+'DCF Model'!G42)*F$17/(1+$B24)^('DCF Model'!C19+4)-'DCF Model'!C16)*1000000/'DCF Model'!C15,0),"")</f>
        <v>1506</v>
      </c>
      <c r="G24" s="37">
        <f>IFERROR(ROUND(('DCF Model'!C45/(1+$B24)^('DCF Model'!C19+0)+'DCF Model'!D45/(1+$B24)^('DCF Model'!C19+1)+'DCF Model'!E45/(1+$B24)^('DCF Model'!C19+2)+'DCF Model'!F45/(1+$B24)^('DCF Model'!C19+3)+'DCF Model'!G45/(1+$B24)^('DCF Model'!C19+4)+('DCF Model'!G39+'DCF Model'!G42)*G$17/(1+$B24)^('DCF Model'!C19+4)-'DCF Model'!C16)*1000000/'DCF Model'!C15,0),"")</f>
        <v>1612</v>
      </c>
      <c r="H24" s="37">
        <f>IFERROR(ROUND(('DCF Model'!C45/(1+$B24)^('DCF Model'!C19+0)+'DCF Model'!D45/(1+$B24)^('DCF Model'!C19+1)+'DCF Model'!E45/(1+$B24)^('DCF Model'!C19+2)+'DCF Model'!F45/(1+$B24)^('DCF Model'!C19+3)+'DCF Model'!G45/(1+$B24)^('DCF Model'!C19+4)+('DCF Model'!G39+'DCF Model'!G42)*H$17/(1+$B24)^('DCF Model'!C19+4)-'DCF Model'!C16)*1000000/'DCF Model'!C15,0),"")</f>
        <v>1718</v>
      </c>
      <c r="I24" s="37">
        <f>IFERROR(ROUND(('DCF Model'!C45/(1+$B24)^('DCF Model'!C19+0)+'DCF Model'!D45/(1+$B24)^('DCF Model'!C19+1)+'DCF Model'!E45/(1+$B24)^('DCF Model'!C19+2)+'DCF Model'!F45/(1+$B24)^('DCF Model'!C19+3)+'DCF Model'!G45/(1+$B24)^('DCF Model'!C19+4)+('DCF Model'!G39+'DCF Model'!G42)*I$17/(1+$B24)^('DCF Model'!C19+4)-'DCF Model'!C16)*1000000/'DCF Model'!C15,0),"")</f>
        <v>1825</v>
      </c>
    </row>
    <row r="26" spans="2:9" ht="14" customHeight="1" x14ac:dyDescent="0.3">
      <c r="B26" s="46" t="s">
        <v>240</v>
      </c>
      <c r="C26" s="45"/>
      <c r="D26" s="45"/>
      <c r="E26" s="45"/>
      <c r="F26" s="45"/>
      <c r="G26" s="45"/>
      <c r="H26" s="45"/>
      <c r="I26" s="45"/>
    </row>
  </sheetData>
  <mergeCells count="1">
    <mergeCell ref="B26:I26"/>
  </mergeCells>
  <phoneticPr fontId="8"/>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808080"/>
  </sheetPr>
  <dimension ref="B2:G63"/>
  <sheetViews>
    <sheetView workbookViewId="0"/>
  </sheetViews>
  <sheetFormatPr defaultRowHeight="13" x14ac:dyDescent="0.2"/>
  <cols>
    <col min="1" max="1" width="3" customWidth="1"/>
    <col min="2" max="2" width="14" customWidth="1"/>
    <col min="3" max="3" width="16" customWidth="1"/>
    <col min="4" max="5" width="46" customWidth="1"/>
    <col min="6" max="6" width="20" customWidth="1"/>
    <col min="7" max="7" width="12" customWidth="1"/>
  </cols>
  <sheetData>
    <row r="2" spans="2:7" ht="18" customHeight="1" x14ac:dyDescent="0.4">
      <c r="B2" s="2" t="s">
        <v>241</v>
      </c>
    </row>
    <row r="4" spans="2:7" ht="14" customHeight="1" x14ac:dyDescent="0.3">
      <c r="B4" s="10" t="s">
        <v>242</v>
      </c>
      <c r="C4" s="10" t="s">
        <v>243</v>
      </c>
      <c r="D4" s="10" t="s">
        <v>244</v>
      </c>
      <c r="E4" s="10" t="s">
        <v>245</v>
      </c>
      <c r="F4" s="10" t="s">
        <v>246</v>
      </c>
      <c r="G4" s="10" t="s">
        <v>247</v>
      </c>
    </row>
    <row r="5" spans="2:7" x14ac:dyDescent="0.2">
      <c r="B5" t="s">
        <v>248</v>
      </c>
      <c r="C5" t="s">
        <v>249</v>
      </c>
      <c r="D5" t="s">
        <v>250</v>
      </c>
      <c r="E5" t="s">
        <v>251</v>
      </c>
      <c r="F5" t="s">
        <v>249</v>
      </c>
      <c r="G5" t="s">
        <v>252</v>
      </c>
    </row>
    <row r="6" spans="2:7" ht="30" customHeight="1" x14ac:dyDescent="0.3">
      <c r="B6" s="43" t="s">
        <v>253</v>
      </c>
      <c r="C6" s="4" t="s">
        <v>254</v>
      </c>
      <c r="D6" s="43" t="s">
        <v>255</v>
      </c>
      <c r="E6" s="43" t="s">
        <v>256</v>
      </c>
      <c r="F6" s="43" t="s">
        <v>257</v>
      </c>
      <c r="G6" s="43" t="s">
        <v>258</v>
      </c>
    </row>
    <row r="7" spans="2:7" ht="30" customHeight="1" x14ac:dyDescent="0.3">
      <c r="B7" s="43" t="s">
        <v>253</v>
      </c>
      <c r="C7" s="4" t="s">
        <v>259</v>
      </c>
      <c r="D7" s="43" t="s">
        <v>260</v>
      </c>
      <c r="E7" s="43" t="s">
        <v>261</v>
      </c>
      <c r="F7" s="43" t="s">
        <v>262</v>
      </c>
      <c r="G7" s="43" t="s">
        <v>263</v>
      </c>
    </row>
    <row r="8" spans="2:7" ht="30" customHeight="1" x14ac:dyDescent="0.3">
      <c r="B8" s="43" t="s">
        <v>253</v>
      </c>
      <c r="C8" s="4" t="s">
        <v>264</v>
      </c>
      <c r="D8" s="43" t="s">
        <v>265</v>
      </c>
      <c r="E8" s="43" t="s">
        <v>266</v>
      </c>
      <c r="F8" s="43" t="s">
        <v>267</v>
      </c>
      <c r="G8" s="43" t="s">
        <v>263</v>
      </c>
    </row>
    <row r="9" spans="2:7" ht="30" customHeight="1" x14ac:dyDescent="0.3">
      <c r="B9" s="43" t="s">
        <v>253</v>
      </c>
      <c r="C9" s="4" t="s">
        <v>268</v>
      </c>
      <c r="D9" s="43" t="s">
        <v>269</v>
      </c>
      <c r="E9" s="43" t="s">
        <v>270</v>
      </c>
      <c r="F9" s="43" t="s">
        <v>271</v>
      </c>
      <c r="G9" s="43" t="s">
        <v>272</v>
      </c>
    </row>
    <row r="10" spans="2:7" ht="30" customHeight="1" x14ac:dyDescent="0.3">
      <c r="B10" s="43" t="s">
        <v>253</v>
      </c>
      <c r="C10" s="4" t="s">
        <v>273</v>
      </c>
      <c r="D10" s="43" t="s">
        <v>274</v>
      </c>
      <c r="E10" s="43" t="s">
        <v>275</v>
      </c>
      <c r="F10" s="43" t="s">
        <v>276</v>
      </c>
      <c r="G10" s="43" t="s">
        <v>277</v>
      </c>
    </row>
    <row r="11" spans="2:7" ht="30" customHeight="1" x14ac:dyDescent="0.3">
      <c r="B11" s="43" t="s">
        <v>253</v>
      </c>
      <c r="C11" s="4" t="s">
        <v>278</v>
      </c>
      <c r="D11" s="43" t="s">
        <v>279</v>
      </c>
      <c r="E11" s="43" t="s">
        <v>280</v>
      </c>
      <c r="F11" s="43" t="s">
        <v>281</v>
      </c>
      <c r="G11" s="43" t="s">
        <v>282</v>
      </c>
    </row>
    <row r="12" spans="2:7" ht="30" customHeight="1" x14ac:dyDescent="0.3">
      <c r="B12" s="43" t="s">
        <v>253</v>
      </c>
      <c r="C12" s="4" t="s">
        <v>283</v>
      </c>
      <c r="D12" s="43" t="s">
        <v>284</v>
      </c>
      <c r="E12" s="43" t="s">
        <v>285</v>
      </c>
      <c r="F12" s="43" t="s">
        <v>286</v>
      </c>
      <c r="G12" s="43" t="s">
        <v>263</v>
      </c>
    </row>
    <row r="13" spans="2:7" ht="30" customHeight="1" x14ac:dyDescent="0.3">
      <c r="B13" s="43" t="s">
        <v>253</v>
      </c>
      <c r="C13" s="4" t="s">
        <v>287</v>
      </c>
      <c r="D13" s="43" t="s">
        <v>288</v>
      </c>
      <c r="E13" s="43" t="s">
        <v>289</v>
      </c>
      <c r="F13" s="43" t="s">
        <v>290</v>
      </c>
      <c r="G13" s="43" t="s">
        <v>263</v>
      </c>
    </row>
    <row r="14" spans="2:7" ht="30" customHeight="1" x14ac:dyDescent="0.3">
      <c r="B14" s="43" t="s">
        <v>253</v>
      </c>
      <c r="C14" s="4" t="s">
        <v>291</v>
      </c>
      <c r="D14" s="43" t="s">
        <v>292</v>
      </c>
      <c r="E14" s="43" t="s">
        <v>293</v>
      </c>
      <c r="F14" s="43" t="s">
        <v>249</v>
      </c>
      <c r="G14" s="43" t="s">
        <v>263</v>
      </c>
    </row>
    <row r="15" spans="2:7" ht="30" customHeight="1" x14ac:dyDescent="0.3">
      <c r="B15" s="43" t="s">
        <v>253</v>
      </c>
      <c r="C15" s="4" t="s">
        <v>294</v>
      </c>
      <c r="D15" s="43" t="s">
        <v>295</v>
      </c>
      <c r="E15" s="43" t="s">
        <v>296</v>
      </c>
      <c r="F15" s="43" t="s">
        <v>297</v>
      </c>
      <c r="G15" s="43" t="s">
        <v>263</v>
      </c>
    </row>
    <row r="16" spans="2:7" ht="30" customHeight="1" x14ac:dyDescent="0.3">
      <c r="B16" s="43" t="s">
        <v>253</v>
      </c>
      <c r="C16" s="4" t="s">
        <v>298</v>
      </c>
      <c r="D16" s="43" t="s">
        <v>299</v>
      </c>
      <c r="E16" s="43" t="s">
        <v>300</v>
      </c>
      <c r="F16" s="43" t="s">
        <v>249</v>
      </c>
      <c r="G16" s="43" t="s">
        <v>301</v>
      </c>
    </row>
    <row r="17" spans="2:7" ht="30" customHeight="1" x14ac:dyDescent="0.3">
      <c r="B17" s="43" t="s">
        <v>253</v>
      </c>
      <c r="C17" s="4" t="s">
        <v>302</v>
      </c>
      <c r="D17" s="43" t="s">
        <v>303</v>
      </c>
      <c r="E17" s="43" t="s">
        <v>304</v>
      </c>
      <c r="F17" s="43" t="s">
        <v>267</v>
      </c>
      <c r="G17" s="43" t="s">
        <v>263</v>
      </c>
    </row>
    <row r="18" spans="2:7" ht="30" customHeight="1" x14ac:dyDescent="0.3">
      <c r="B18" s="43" t="s">
        <v>253</v>
      </c>
      <c r="C18" s="4" t="s">
        <v>305</v>
      </c>
      <c r="D18" s="43" t="s">
        <v>306</v>
      </c>
      <c r="E18" s="43" t="s">
        <v>307</v>
      </c>
      <c r="F18" s="43" t="s">
        <v>249</v>
      </c>
      <c r="G18" s="43" t="s">
        <v>263</v>
      </c>
    </row>
    <row r="19" spans="2:7" ht="30" customHeight="1" x14ac:dyDescent="0.3">
      <c r="B19" s="43" t="s">
        <v>253</v>
      </c>
      <c r="C19" s="4" t="s">
        <v>308</v>
      </c>
      <c r="D19" s="43" t="s">
        <v>309</v>
      </c>
      <c r="E19" s="43" t="s">
        <v>310</v>
      </c>
      <c r="F19" s="43" t="s">
        <v>249</v>
      </c>
      <c r="G19" s="43" t="s">
        <v>258</v>
      </c>
    </row>
    <row r="20" spans="2:7" ht="30" customHeight="1" x14ac:dyDescent="0.3">
      <c r="B20" s="43" t="s">
        <v>253</v>
      </c>
      <c r="C20" s="4" t="s">
        <v>311</v>
      </c>
      <c r="D20" s="43" t="s">
        <v>312</v>
      </c>
      <c r="E20" s="43" t="s">
        <v>313</v>
      </c>
      <c r="F20" s="43" t="s">
        <v>249</v>
      </c>
      <c r="G20" s="43" t="s">
        <v>314</v>
      </c>
    </row>
    <row r="21" spans="2:7" ht="30" customHeight="1" x14ac:dyDescent="0.3">
      <c r="B21" s="43" t="s">
        <v>253</v>
      </c>
      <c r="C21" s="4" t="s">
        <v>315</v>
      </c>
      <c r="D21" s="43" t="s">
        <v>316</v>
      </c>
      <c r="E21" s="43" t="s">
        <v>317</v>
      </c>
      <c r="F21" s="43" t="s">
        <v>249</v>
      </c>
      <c r="G21" s="43" t="s">
        <v>318</v>
      </c>
    </row>
    <row r="22" spans="2:7" ht="30" customHeight="1" x14ac:dyDescent="0.3">
      <c r="B22" s="43" t="s">
        <v>253</v>
      </c>
      <c r="C22" s="4" t="s">
        <v>315</v>
      </c>
      <c r="D22" s="43" t="s">
        <v>319</v>
      </c>
      <c r="E22" s="43" t="s">
        <v>320</v>
      </c>
      <c r="F22" s="43" t="s">
        <v>249</v>
      </c>
      <c r="G22" s="43" t="s">
        <v>318</v>
      </c>
    </row>
    <row r="23" spans="2:7" ht="30" customHeight="1" x14ac:dyDescent="0.3">
      <c r="B23" s="43" t="s">
        <v>253</v>
      </c>
      <c r="C23" s="4" t="s">
        <v>315</v>
      </c>
      <c r="D23" s="43" t="s">
        <v>321</v>
      </c>
      <c r="E23" s="43" t="s">
        <v>322</v>
      </c>
      <c r="F23" s="43" t="s">
        <v>249</v>
      </c>
      <c r="G23" s="43" t="s">
        <v>318</v>
      </c>
    </row>
    <row r="24" spans="2:7" ht="14" customHeight="1" x14ac:dyDescent="0.2"/>
    <row r="25" spans="2:7" ht="14" customHeight="1" x14ac:dyDescent="0.3">
      <c r="B25" s="8" t="s">
        <v>323</v>
      </c>
    </row>
    <row r="26" spans="2:7" ht="14" customHeight="1" x14ac:dyDescent="0.3">
      <c r="B26" s="10" t="s">
        <v>324</v>
      </c>
      <c r="C26" s="10" t="s">
        <v>325</v>
      </c>
    </row>
    <row r="27" spans="2:7" ht="14" customHeight="1" x14ac:dyDescent="0.3">
      <c r="B27" s="4" t="s">
        <v>326</v>
      </c>
      <c r="C27" t="s">
        <v>327</v>
      </c>
    </row>
    <row r="28" spans="2:7" ht="14" customHeight="1" x14ac:dyDescent="0.3">
      <c r="B28" s="4" t="s">
        <v>328</v>
      </c>
      <c r="C28" t="s">
        <v>329</v>
      </c>
    </row>
    <row r="29" spans="2:7" ht="14" customHeight="1" x14ac:dyDescent="0.3">
      <c r="B29" s="4" t="s">
        <v>330</v>
      </c>
      <c r="C29" t="s">
        <v>331</v>
      </c>
    </row>
    <row r="30" spans="2:7" ht="14" customHeight="1" x14ac:dyDescent="0.3">
      <c r="B30" s="4" t="s">
        <v>332</v>
      </c>
      <c r="C30" t="s">
        <v>333</v>
      </c>
    </row>
    <row r="31" spans="2:7" ht="14" customHeight="1" x14ac:dyDescent="0.3">
      <c r="B31" s="4" t="s">
        <v>334</v>
      </c>
      <c r="C31" t="s">
        <v>4</v>
      </c>
    </row>
    <row r="32" spans="2:7" ht="14" customHeight="1" x14ac:dyDescent="0.3">
      <c r="B32" s="4" t="s">
        <v>335</v>
      </c>
      <c r="C32" t="s">
        <v>248</v>
      </c>
    </row>
    <row r="33" spans="2:3" ht="14" customHeight="1" x14ac:dyDescent="0.3">
      <c r="B33" s="4" t="s">
        <v>336</v>
      </c>
      <c r="C33" t="s">
        <v>337</v>
      </c>
    </row>
    <row r="34" spans="2:3" ht="14" customHeight="1" x14ac:dyDescent="0.3">
      <c r="B34" s="4" t="s">
        <v>338</v>
      </c>
      <c r="C34" t="s">
        <v>339</v>
      </c>
    </row>
    <row r="35" spans="2:3" ht="14" customHeight="1" x14ac:dyDescent="0.3">
      <c r="B35" s="4" t="s">
        <v>340</v>
      </c>
      <c r="C35" t="s">
        <v>341</v>
      </c>
    </row>
    <row r="36" spans="2:3" ht="14" customHeight="1" x14ac:dyDescent="0.3">
      <c r="B36" s="4" t="s">
        <v>342</v>
      </c>
      <c r="C36" t="s">
        <v>343</v>
      </c>
    </row>
    <row r="37" spans="2:3" ht="14" customHeight="1" x14ac:dyDescent="0.3">
      <c r="B37" s="4" t="s">
        <v>344</v>
      </c>
      <c r="C37" t="s">
        <v>345</v>
      </c>
    </row>
    <row r="38" spans="2:3" ht="14" customHeight="1" x14ac:dyDescent="0.3">
      <c r="B38" s="4" t="s">
        <v>346</v>
      </c>
      <c r="C38" t="s">
        <v>341</v>
      </c>
    </row>
    <row r="39" spans="2:3" ht="14" customHeight="1" x14ac:dyDescent="0.3">
      <c r="B39" s="4" t="s">
        <v>347</v>
      </c>
      <c r="C39" t="s">
        <v>337</v>
      </c>
    </row>
    <row r="40" spans="2:3" ht="14" customHeight="1" x14ac:dyDescent="0.3">
      <c r="B40" s="4" t="s">
        <v>348</v>
      </c>
      <c r="C40" t="s">
        <v>349</v>
      </c>
    </row>
    <row r="41" spans="2:3" ht="14" customHeight="1" x14ac:dyDescent="0.3">
      <c r="B41" s="4" t="s">
        <v>350</v>
      </c>
      <c r="C41" t="s">
        <v>351</v>
      </c>
    </row>
    <row r="42" spans="2:3" ht="14" customHeight="1" x14ac:dyDescent="0.3">
      <c r="B42" s="4" t="s">
        <v>352</v>
      </c>
      <c r="C42" t="s">
        <v>353</v>
      </c>
    </row>
    <row r="43" spans="2:3" ht="14" customHeight="1" x14ac:dyDescent="0.3">
      <c r="B43" s="4" t="s">
        <v>354</v>
      </c>
      <c r="C43" t="s">
        <v>355</v>
      </c>
    </row>
    <row r="44" spans="2:3" ht="14" customHeight="1" x14ac:dyDescent="0.3">
      <c r="B44" s="4" t="s">
        <v>356</v>
      </c>
      <c r="C44" t="s">
        <v>357</v>
      </c>
    </row>
    <row r="45" spans="2:3" ht="14" customHeight="1" x14ac:dyDescent="0.3">
      <c r="B45" s="4" t="s">
        <v>358</v>
      </c>
      <c r="C45" t="s">
        <v>359</v>
      </c>
    </row>
    <row r="46" spans="2:3" ht="14" customHeight="1" x14ac:dyDescent="0.3">
      <c r="B46" s="4" t="s">
        <v>360</v>
      </c>
      <c r="C46" t="s">
        <v>361</v>
      </c>
    </row>
    <row r="47" spans="2:3" ht="14" customHeight="1" x14ac:dyDescent="0.3">
      <c r="B47" s="4" t="s">
        <v>362</v>
      </c>
      <c r="C47" t="s">
        <v>363</v>
      </c>
    </row>
    <row r="48" spans="2:3" ht="14" customHeight="1" x14ac:dyDescent="0.3">
      <c r="B48" s="4" t="s">
        <v>364</v>
      </c>
      <c r="C48" t="s">
        <v>365</v>
      </c>
    </row>
    <row r="49" spans="2:3" ht="14" customHeight="1" x14ac:dyDescent="0.3">
      <c r="B49" s="4" t="s">
        <v>366</v>
      </c>
      <c r="C49" t="s">
        <v>367</v>
      </c>
    </row>
    <row r="50" spans="2:3" ht="14" customHeight="1" x14ac:dyDescent="0.3">
      <c r="B50" s="4" t="s">
        <v>368</v>
      </c>
      <c r="C50" t="s">
        <v>369</v>
      </c>
    </row>
    <row r="51" spans="2:3" ht="14" x14ac:dyDescent="0.3">
      <c r="B51" s="4" t="s">
        <v>370</v>
      </c>
      <c r="C51" t="s">
        <v>371</v>
      </c>
    </row>
    <row r="52" spans="2:3" ht="14" x14ac:dyDescent="0.3">
      <c r="B52" s="4" t="s">
        <v>372</v>
      </c>
      <c r="C52" t="s">
        <v>373</v>
      </c>
    </row>
    <row r="53" spans="2:3" ht="14" x14ac:dyDescent="0.3">
      <c r="B53" s="4" t="s">
        <v>374</v>
      </c>
      <c r="C53" t="s">
        <v>375</v>
      </c>
    </row>
    <row r="54" spans="2:3" ht="14" x14ac:dyDescent="0.3">
      <c r="B54" s="4" t="s">
        <v>376</v>
      </c>
      <c r="C54" t="s">
        <v>377</v>
      </c>
    </row>
    <row r="55" spans="2:3" ht="14" x14ac:dyDescent="0.3">
      <c r="B55" s="4" t="s">
        <v>378</v>
      </c>
      <c r="C55" t="s">
        <v>379</v>
      </c>
    </row>
    <row r="56" spans="2:3" ht="14" x14ac:dyDescent="0.3">
      <c r="B56" s="4" t="s">
        <v>380</v>
      </c>
      <c r="C56" t="s">
        <v>381</v>
      </c>
    </row>
    <row r="57" spans="2:3" ht="14" x14ac:dyDescent="0.3">
      <c r="B57" s="4" t="s">
        <v>382</v>
      </c>
      <c r="C57" t="s">
        <v>383</v>
      </c>
    </row>
    <row r="58" spans="2:3" ht="14" x14ac:dyDescent="0.3">
      <c r="B58" s="4" t="s">
        <v>384</v>
      </c>
      <c r="C58" t="s">
        <v>337</v>
      </c>
    </row>
    <row r="59" spans="2:3" ht="14" x14ac:dyDescent="0.3">
      <c r="B59" s="4" t="s">
        <v>385</v>
      </c>
      <c r="C59" t="s">
        <v>386</v>
      </c>
    </row>
    <row r="60" spans="2:3" ht="14" x14ac:dyDescent="0.3">
      <c r="B60" s="4" t="s">
        <v>387</v>
      </c>
      <c r="C60" t="s">
        <v>388</v>
      </c>
    </row>
    <row r="61" spans="2:3" ht="14" x14ac:dyDescent="0.3">
      <c r="B61" s="4" t="s">
        <v>389</v>
      </c>
      <c r="C61" t="s">
        <v>390</v>
      </c>
    </row>
    <row r="62" spans="2:3" ht="14" x14ac:dyDescent="0.3">
      <c r="B62" s="4" t="s">
        <v>391</v>
      </c>
      <c r="C62" t="s">
        <v>392</v>
      </c>
    </row>
    <row r="63" spans="2:3" ht="14" x14ac:dyDescent="0.3">
      <c r="B63" s="4" t="s">
        <v>393</v>
      </c>
      <c r="C63" t="s">
        <v>213</v>
      </c>
    </row>
  </sheetData>
  <phoneticPr fontId="8"/>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8</vt:i4>
      </vt:variant>
    </vt:vector>
  </HeadingPairs>
  <TitlesOfParts>
    <vt:vector size="8" baseType="lpstr">
      <vt:lpstr>Executive Summary</vt:lpstr>
      <vt:lpstr>Financial Statements</vt:lpstr>
      <vt:lpstr>DCF Model</vt:lpstr>
      <vt:lpstr>Reverse DCF</vt:lpstr>
      <vt:lpstr>NWC Schedule</vt:lpstr>
      <vt:lpstr>Comps Analysis</vt:lpstr>
      <vt:lpstr>Sensitivity Analysis</vt:lpstr>
      <vt:lpstr>Adjustments 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良亮 佐藤</cp:lastModifiedBy>
  <dcterms:created xsi:type="dcterms:W3CDTF">2026-09-06T04:22:53Z</dcterms:created>
  <dcterms:modified xsi:type="dcterms:W3CDTF">2026-09-06T04:42:54Z</dcterms:modified>
</cp:coreProperties>
</file>