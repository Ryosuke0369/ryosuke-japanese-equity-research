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ryosuke0923\ryosuke-japanese-equity-research\models\"/>
    </mc:Choice>
  </mc:AlternateContent>
  <xr:revisionPtr revIDLastSave="0" documentId="13_ncr:1_{4DCBE56B-C5C5-4863-9E28-C62C8CE43AB9}" xr6:coauthVersionLast="47" xr6:coauthVersionMax="47" xr10:uidLastSave="{00000000-0000-0000-0000-000000000000}"/>
  <bookViews>
    <workbookView xWindow="9720" yWindow="5480" windowWidth="4820" windowHeight="4600" xr2:uid="{00000000-000D-0000-FFFF-FFFF00000000}"/>
  </bookViews>
  <sheets>
    <sheet name="Executive Summary" sheetId="1" r:id="rId1"/>
    <sheet name="Financial Statements" sheetId="2" r:id="rId2"/>
    <sheet name="DCF Model" sheetId="3" r:id="rId3"/>
    <sheet name="Reverse DCF" sheetId="4" r:id="rId4"/>
    <sheet name="NWC Schedule" sheetId="5" r:id="rId5"/>
    <sheet name="Comps Analysis" sheetId="6" r:id="rId6"/>
    <sheet name="Sensitivity Analysis" sheetId="7" r:id="rId7"/>
    <sheet name="Adjustments Log" sheetId="8" r:id="rId8"/>
  </sheets>
  <calcPr calcId="181029"/>
</workbook>
</file>

<file path=xl/calcChain.xml><?xml version="1.0" encoding="utf-8"?>
<calcChain xmlns="http://schemas.openxmlformats.org/spreadsheetml/2006/main">
  <c r="I3" i="7" l="1"/>
  <c r="I17" i="7" s="1"/>
  <c r="F3" i="7"/>
  <c r="H6" i="7" s="1"/>
  <c r="O10" i="6"/>
  <c r="N10" i="6"/>
  <c r="M10" i="6"/>
  <c r="L10" i="6"/>
  <c r="K10" i="6"/>
  <c r="J10" i="6"/>
  <c r="O9" i="6"/>
  <c r="N9" i="6"/>
  <c r="M9" i="6"/>
  <c r="L9" i="6"/>
  <c r="K9" i="6"/>
  <c r="J9" i="6"/>
  <c r="O8" i="6"/>
  <c r="N8" i="6"/>
  <c r="M8" i="6"/>
  <c r="K8" i="6"/>
  <c r="J8" i="6"/>
  <c r="O7" i="6"/>
  <c r="N7" i="6"/>
  <c r="M7" i="6"/>
  <c r="L7" i="6"/>
  <c r="F16" i="6" s="1"/>
  <c r="C28" i="6" s="1"/>
  <c r="C19" i="1" s="1"/>
  <c r="D19" i="1" s="1"/>
  <c r="K7" i="6"/>
  <c r="J7" i="6"/>
  <c r="O6" i="6"/>
  <c r="N6" i="6"/>
  <c r="M6" i="6"/>
  <c r="L6" i="6"/>
  <c r="K6" i="6"/>
  <c r="E15" i="6" s="1"/>
  <c r="J6" i="6"/>
  <c r="D17" i="6" s="1"/>
  <c r="O5" i="6"/>
  <c r="N5" i="6"/>
  <c r="D5" i="6"/>
  <c r="E5" i="6" s="1"/>
  <c r="C16" i="5"/>
  <c r="C14" i="5"/>
  <c r="C18" i="5" s="1"/>
  <c r="C7" i="5"/>
  <c r="C6" i="5"/>
  <c r="C5" i="5"/>
  <c r="C13" i="4"/>
  <c r="C12" i="4"/>
  <c r="C9" i="4"/>
  <c r="C7" i="4"/>
  <c r="C6" i="4"/>
  <c r="C8" i="4" s="1"/>
  <c r="C10" i="4" s="1"/>
  <c r="D27" i="3"/>
  <c r="H6" i="5" s="1"/>
  <c r="C26" i="3"/>
  <c r="C3" i="7" s="1"/>
  <c r="C25" i="3"/>
  <c r="C24" i="3"/>
  <c r="C23" i="3"/>
  <c r="F28" i="2"/>
  <c r="E28" i="2"/>
  <c r="D28" i="2"/>
  <c r="C28" i="2"/>
  <c r="F16" i="2"/>
  <c r="E16" i="2"/>
  <c r="D16" i="2"/>
  <c r="F15" i="2"/>
  <c r="E15" i="2"/>
  <c r="D15" i="2"/>
  <c r="F14" i="2"/>
  <c r="E14" i="2"/>
  <c r="D14" i="2"/>
  <c r="C14" i="2"/>
  <c r="F13" i="2"/>
  <c r="E13" i="2"/>
  <c r="D13" i="2"/>
  <c r="C13" i="2"/>
  <c r="E9" i="2"/>
  <c r="D9" i="2"/>
  <c r="F8" i="2"/>
  <c r="F9" i="2" s="1"/>
  <c r="E8" i="2"/>
  <c r="D8" i="2"/>
  <c r="C8" i="2"/>
  <c r="C9" i="2" s="1"/>
  <c r="G16" i="6" l="1"/>
  <c r="H15" i="6"/>
  <c r="L5" i="6"/>
  <c r="B31" i="1" s="1"/>
  <c r="E16" i="6"/>
  <c r="F15" i="6"/>
  <c r="G15" i="6"/>
  <c r="I16" i="6"/>
  <c r="B13" i="7"/>
  <c r="B12" i="7"/>
  <c r="B11" i="7"/>
  <c r="B10" i="7"/>
  <c r="B9" i="7"/>
  <c r="B8" i="7"/>
  <c r="B7" i="7"/>
  <c r="B24" i="7"/>
  <c r="B23" i="7"/>
  <c r="B22" i="7"/>
  <c r="B21" i="7"/>
  <c r="B20" i="7"/>
  <c r="B19" i="7"/>
  <c r="B18" i="7"/>
  <c r="C71" i="4"/>
  <c r="C70" i="4"/>
  <c r="K5" i="6"/>
  <c r="J5" i="6"/>
  <c r="D31" i="3"/>
  <c r="E7" i="5"/>
  <c r="C32" i="3"/>
  <c r="G6" i="5"/>
  <c r="G30" i="3"/>
  <c r="E32" i="3"/>
  <c r="G46" i="3"/>
  <c r="C11" i="4"/>
  <c r="C24" i="4" s="1"/>
  <c r="C25" i="4" s="1"/>
  <c r="G36" i="4"/>
  <c r="G5" i="5"/>
  <c r="I15" i="6"/>
  <c r="E17" i="6"/>
  <c r="I6" i="7"/>
  <c r="B25" i="1"/>
  <c r="C31" i="3"/>
  <c r="F32" i="3"/>
  <c r="H36" i="4"/>
  <c r="H5" i="5"/>
  <c r="D7" i="5"/>
  <c r="D16" i="6"/>
  <c r="F17" i="6"/>
  <c r="C17" i="7"/>
  <c r="G17" i="6"/>
  <c r="C6" i="7"/>
  <c r="D17" i="7"/>
  <c r="E31" i="3"/>
  <c r="H17" i="6"/>
  <c r="D6" i="7"/>
  <c r="E17" i="7"/>
  <c r="C30" i="3"/>
  <c r="C33" i="3" s="1"/>
  <c r="F31" i="3"/>
  <c r="C46" i="3"/>
  <c r="E6" i="5"/>
  <c r="G7" i="5"/>
  <c r="I17" i="6"/>
  <c r="E6" i="7"/>
  <c r="F17" i="7"/>
  <c r="D6" i="5"/>
  <c r="F7" i="5"/>
  <c r="M5" i="6"/>
  <c r="D15" i="6"/>
  <c r="D30" i="3"/>
  <c r="G31" i="3"/>
  <c r="D46" i="3"/>
  <c r="D36" i="4"/>
  <c r="D5" i="5"/>
  <c r="F6" i="5"/>
  <c r="H7" i="5"/>
  <c r="H16" i="6"/>
  <c r="F6" i="7"/>
  <c r="G17" i="7"/>
  <c r="E5" i="5"/>
  <c r="G6" i="7"/>
  <c r="H17" i="7"/>
  <c r="G32" i="3"/>
  <c r="E30" i="3"/>
  <c r="E46" i="3"/>
  <c r="E36" i="4"/>
  <c r="F30" i="3"/>
  <c r="D32" i="3"/>
  <c r="F46" i="3"/>
  <c r="F36" i="4"/>
  <c r="F5" i="5"/>
  <c r="B24" i="1" l="1"/>
  <c r="C29" i="4"/>
  <c r="C26" i="4"/>
  <c r="C27" i="4"/>
  <c r="C37" i="3"/>
  <c r="D9" i="5"/>
  <c r="D12" i="5" s="1"/>
  <c r="C43" i="3"/>
  <c r="D33" i="3"/>
  <c r="C42" i="3"/>
  <c r="C34" i="3"/>
  <c r="D10" i="5" s="1"/>
  <c r="D39" i="4"/>
  <c r="D46" i="4"/>
  <c r="D44" i="4"/>
  <c r="D40" i="4"/>
  <c r="D38" i="4"/>
  <c r="D41" i="4"/>
  <c r="D45" i="4"/>
  <c r="D43" i="4"/>
  <c r="C27" i="6"/>
  <c r="C18" i="1" s="1"/>
  <c r="D18" i="1" s="1"/>
  <c r="C74" i="4"/>
  <c r="F46" i="4"/>
  <c r="F40" i="4"/>
  <c r="F44" i="4"/>
  <c r="F38" i="4"/>
  <c r="F41" i="4"/>
  <c r="F39" i="4"/>
  <c r="F45" i="4"/>
  <c r="F43" i="4"/>
  <c r="E43" i="4"/>
  <c r="E46" i="4"/>
  <c r="E40" i="4"/>
  <c r="E44" i="4"/>
  <c r="E38" i="4"/>
  <c r="E41" i="4"/>
  <c r="E51" i="4" s="1"/>
  <c r="E56" i="4" s="1"/>
  <c r="E45" i="4"/>
  <c r="E39" i="4"/>
  <c r="G40" i="4"/>
  <c r="G44" i="4"/>
  <c r="G38" i="4"/>
  <c r="G41" i="4"/>
  <c r="G51" i="4" s="1"/>
  <c r="G56" i="4" s="1"/>
  <c r="G45" i="4"/>
  <c r="G43" i="4"/>
  <c r="G46" i="4"/>
  <c r="G39" i="4"/>
  <c r="G49" i="4" s="1"/>
  <c r="G54" i="4" s="1"/>
  <c r="H44" i="4"/>
  <c r="H43" i="4"/>
  <c r="H41" i="4"/>
  <c r="H39" i="4"/>
  <c r="H49" i="4" s="1"/>
  <c r="H54" i="4" s="1"/>
  <c r="H45" i="4"/>
  <c r="H46" i="4"/>
  <c r="H40" i="4"/>
  <c r="H38" i="4"/>
  <c r="H48" i="4" s="1"/>
  <c r="H53" i="4" s="1"/>
  <c r="F48" i="4" l="1"/>
  <c r="F53" i="4" s="1"/>
  <c r="D51" i="4"/>
  <c r="D56" i="4" s="1"/>
  <c r="H51" i="4"/>
  <c r="H56" i="4" s="1"/>
  <c r="G48" i="4"/>
  <c r="G53" i="4" s="1"/>
  <c r="D48" i="4"/>
  <c r="D53" i="4" s="1"/>
  <c r="C35" i="3"/>
  <c r="C39" i="3" s="1"/>
  <c r="G50" i="4"/>
  <c r="G55" i="4" s="1"/>
  <c r="H50" i="4"/>
  <c r="H55" i="4" s="1"/>
  <c r="E49" i="4"/>
  <c r="E54" i="4" s="1"/>
  <c r="D49" i="4"/>
  <c r="D54" i="4" s="1"/>
  <c r="E9" i="5"/>
  <c r="E12" i="5" s="1"/>
  <c r="D43" i="3"/>
  <c r="E33" i="3"/>
  <c r="D42" i="3"/>
  <c r="D34" i="3"/>
  <c r="E10" i="5" s="1"/>
  <c r="D37" i="3"/>
  <c r="F49" i="4"/>
  <c r="D13" i="5"/>
  <c r="D14" i="5" s="1"/>
  <c r="D18" i="5" s="1"/>
  <c r="D19" i="5" s="1"/>
  <c r="C44" i="3" s="1"/>
  <c r="D15" i="5"/>
  <c r="D16" i="5" s="1"/>
  <c r="E48" i="4"/>
  <c r="E53" i="4" s="1"/>
  <c r="F51" i="4"/>
  <c r="F56" i="4" s="1"/>
  <c r="E50" i="4"/>
  <c r="E55" i="4" s="1"/>
  <c r="C38" i="3"/>
  <c r="C36" i="3"/>
  <c r="F50" i="4"/>
  <c r="F55" i="4" s="1"/>
  <c r="D50" i="4"/>
  <c r="D55" i="4" s="1"/>
  <c r="E13" i="5" l="1"/>
  <c r="E15" i="5"/>
  <c r="E16" i="5" s="1"/>
  <c r="E43" i="3"/>
  <c r="F33" i="3"/>
  <c r="E42" i="3"/>
  <c r="E37" i="3"/>
  <c r="E34" i="3"/>
  <c r="F10" i="5" s="1"/>
  <c r="F9" i="5"/>
  <c r="F12" i="5" s="1"/>
  <c r="F54" i="4"/>
  <c r="B78" i="4"/>
  <c r="C60" i="4"/>
  <c r="D35" i="3"/>
  <c r="E14" i="5"/>
  <c r="E18" i="5" s="1"/>
  <c r="E19" i="5" s="1"/>
  <c r="D44" i="3" s="1"/>
  <c r="C40" i="3"/>
  <c r="C41" i="3" s="1"/>
  <c r="C45" i="3" s="1"/>
  <c r="C47" i="3" l="1"/>
  <c r="D38" i="3"/>
  <c r="D36" i="3"/>
  <c r="D39" i="3"/>
  <c r="C65" i="4"/>
  <c r="D65" i="4" s="1"/>
  <c r="C64" i="4"/>
  <c r="D64" i="4" s="1"/>
  <c r="C67" i="4"/>
  <c r="D67" i="4" s="1"/>
  <c r="C63" i="4"/>
  <c r="D63" i="4" s="1"/>
  <c r="C66" i="4"/>
  <c r="D66" i="4" s="1"/>
  <c r="E35" i="3"/>
  <c r="F13" i="5"/>
  <c r="F14" i="5" s="1"/>
  <c r="F15" i="5"/>
  <c r="F16" i="5" s="1"/>
  <c r="G33" i="3"/>
  <c r="F42" i="3"/>
  <c r="F37" i="3"/>
  <c r="F34" i="3"/>
  <c r="G10" i="5" s="1"/>
  <c r="G9" i="5"/>
  <c r="G12" i="5" s="1"/>
  <c r="F43" i="3"/>
  <c r="F35" i="3" l="1"/>
  <c r="F38" i="3" s="1"/>
  <c r="F18" i="5"/>
  <c r="F19" i="5" s="1"/>
  <c r="E44" i="3" s="1"/>
  <c r="H9" i="5"/>
  <c r="H12" i="5" s="1"/>
  <c r="G37" i="3"/>
  <c r="G42" i="3"/>
  <c r="G34" i="3"/>
  <c r="H10" i="5" s="1"/>
  <c r="C16" i="4"/>
  <c r="C28" i="4" s="1"/>
  <c r="G43" i="3"/>
  <c r="G35" i="3"/>
  <c r="D40" i="3"/>
  <c r="D41" i="3" s="1"/>
  <c r="D45" i="3" s="1"/>
  <c r="E36" i="3"/>
  <c r="E39" i="3"/>
  <c r="E38" i="3"/>
  <c r="G14" i="5"/>
  <c r="G18" i="5" s="1"/>
  <c r="G19" i="5" s="1"/>
  <c r="F44" i="3" s="1"/>
  <c r="G15" i="5"/>
  <c r="G16" i="5" s="1"/>
  <c r="G13" i="5"/>
  <c r="F39" i="3" l="1"/>
  <c r="F40" i="3" s="1"/>
  <c r="F41" i="3" s="1"/>
  <c r="F45" i="3" s="1"/>
  <c r="F47" i="3" s="1"/>
  <c r="F36" i="3"/>
  <c r="D47" i="3"/>
  <c r="E40" i="3"/>
  <c r="E41" i="3" s="1"/>
  <c r="E45" i="3" s="1"/>
  <c r="H15" i="5"/>
  <c r="H16" i="5" s="1"/>
  <c r="H13" i="5"/>
  <c r="H14" i="5"/>
  <c r="H18" i="5" s="1"/>
  <c r="H19" i="5" s="1"/>
  <c r="G44" i="3" s="1"/>
  <c r="G36" i="3"/>
  <c r="G39" i="3"/>
  <c r="G38" i="3"/>
  <c r="C72" i="4"/>
  <c r="C73" i="4"/>
  <c r="E47" i="3" l="1"/>
  <c r="C59" i="3"/>
  <c r="C60" i="3" s="1"/>
  <c r="C61" i="3" s="1"/>
  <c r="G40" i="3"/>
  <c r="G41" i="3" s="1"/>
  <c r="G45" i="3" s="1"/>
  <c r="C51" i="3" l="1"/>
  <c r="C52" i="3" s="1"/>
  <c r="G47" i="3"/>
  <c r="C50" i="3" s="1"/>
  <c r="C20" i="7"/>
  <c r="F11" i="7"/>
  <c r="I7" i="7"/>
  <c r="E13" i="7"/>
  <c r="C7" i="7"/>
  <c r="F8" i="7"/>
  <c r="G20" i="7"/>
  <c r="C12" i="7"/>
  <c r="F13" i="7"/>
  <c r="F23" i="7"/>
  <c r="E11" i="7"/>
  <c r="C21" i="7"/>
  <c r="I10" i="7"/>
  <c r="H19" i="7"/>
  <c r="F24" i="7"/>
  <c r="E8" i="7"/>
  <c r="E23" i="7"/>
  <c r="G13" i="7"/>
  <c r="C22" i="7"/>
  <c r="E20" i="7"/>
  <c r="C19" i="7"/>
  <c r="G9" i="7"/>
  <c r="E24" i="7"/>
  <c r="H8" i="7"/>
  <c r="H18" i="7"/>
  <c r="G24" i="7"/>
  <c r="E21" i="7"/>
  <c r="C24" i="7"/>
  <c r="D22" i="7"/>
  <c r="F12" i="7"/>
  <c r="I21" i="7"/>
  <c r="G11" i="7"/>
  <c r="G21" i="7"/>
  <c r="H23" i="7"/>
  <c r="I19" i="7"/>
  <c r="I8" i="7"/>
  <c r="I20" i="7"/>
  <c r="F20" i="7"/>
  <c r="D18" i="7"/>
  <c r="C9" i="7"/>
  <c r="I13" i="7"/>
  <c r="C11" i="7"/>
  <c r="C13" i="7"/>
  <c r="G8" i="7"/>
  <c r="E10" i="7"/>
  <c r="D20" i="7"/>
  <c r="D9" i="7"/>
  <c r="H22" i="7"/>
  <c r="G10" i="7"/>
  <c r="I23" i="7"/>
  <c r="D23" i="7"/>
  <c r="F21" i="7"/>
  <c r="H11" i="7"/>
  <c r="I22" i="7"/>
  <c r="E19" i="7"/>
  <c r="I24" i="7"/>
  <c r="I11" i="7"/>
  <c r="H7" i="7"/>
  <c r="D10" i="7"/>
  <c r="G18" i="7"/>
  <c r="I12" i="7"/>
  <c r="E9" i="7"/>
  <c r="F22" i="7"/>
  <c r="G19" i="7"/>
  <c r="G12" i="7"/>
  <c r="H9" i="7"/>
  <c r="H21" i="7"/>
  <c r="D12" i="7"/>
  <c r="C8" i="7"/>
  <c r="F7" i="7"/>
  <c r="E12" i="7"/>
  <c r="D7" i="7"/>
  <c r="D21" i="7"/>
  <c r="D11" i="7"/>
  <c r="I18" i="7"/>
  <c r="H24" i="7"/>
  <c r="G7" i="7"/>
  <c r="G22" i="7"/>
  <c r="H12" i="7"/>
  <c r="C23" i="7"/>
  <c r="F18" i="7"/>
  <c r="F10" i="7"/>
  <c r="E18" i="7"/>
  <c r="F9" i="7"/>
  <c r="H13" i="7"/>
  <c r="G23" i="7"/>
  <c r="D19" i="7"/>
  <c r="C10" i="7"/>
  <c r="E7" i="7"/>
  <c r="E22" i="7"/>
  <c r="D24" i="7"/>
  <c r="F19" i="7"/>
  <c r="D8" i="7"/>
  <c r="H10" i="7"/>
  <c r="H20" i="7"/>
  <c r="I9" i="7"/>
  <c r="D13" i="7"/>
  <c r="C18" i="7"/>
  <c r="C58" i="3" l="1"/>
  <c r="C62" i="3" s="1"/>
  <c r="C53" i="3"/>
  <c r="C17" i="4" l="1"/>
  <c r="C54" i="3"/>
  <c r="C55" i="3" s="1"/>
  <c r="C16" i="1" s="1"/>
  <c r="C63" i="3"/>
  <c r="C64" i="3" s="1"/>
  <c r="C17" i="1" s="1"/>
  <c r="D17" i="1" s="1"/>
  <c r="C10" i="1" l="1"/>
  <c r="C21" i="1"/>
  <c r="D16" i="1"/>
  <c r="C19" i="4"/>
  <c r="C20" i="4" s="1"/>
  <c r="B79" i="4" s="1"/>
  <c r="C12" i="1" l="1"/>
  <c r="C11" i="1" s="1"/>
  <c r="B29" i="1"/>
  <c r="B26" i="1"/>
</calcChain>
</file>

<file path=xl/sharedStrings.xml><?xml version="1.0" encoding="utf-8"?>
<sst xmlns="http://schemas.openxmlformats.org/spreadsheetml/2006/main" count="525" uniqueCount="397">
  <si>
    <t>DISCLAIMER: This is a sample analysis for demonstration purposes only. It does not constitute investment advice.</t>
  </si>
  <si>
    <t>大塚ホールディングス (4578.T)</t>
  </si>
  <si>
    <t>Equity Research Report</t>
  </si>
  <si>
    <t>Company</t>
  </si>
  <si>
    <t>大塚ホールディングス</t>
  </si>
  <si>
    <t>Ticker</t>
  </si>
  <si>
    <t>4578.T (TSE Prime)</t>
  </si>
  <si>
    <t>Sector</t>
  </si>
  <si>
    <t>医薬品</t>
  </si>
  <si>
    <t>Current Price</t>
  </si>
  <si>
    <t>Target Price (DCF Mid)</t>
  </si>
  <si>
    <t>Recommendation</t>
  </si>
  <si>
    <t>Upside / Downside</t>
  </si>
  <si>
    <t>Valuation Summary</t>
  </si>
  <si>
    <t>Methodology</t>
  </si>
  <si>
    <t>Implied Value (JPY)</t>
  </si>
  <si>
    <t>vs Current Price</t>
  </si>
  <si>
    <t>DCF - Perpetuity Growth</t>
  </si>
  <si>
    <t>DCF - Exit Multiple</t>
  </si>
  <si>
    <t>Comps - EV/EBITDA Median [参考・Target不算入]</t>
  </si>
  <si>
    <t>Comps - PER Median [参考・Target不算入]</t>
  </si>
  <si>
    <t>Note: Target Mid は DCF 2法（PGM / Exit）の平均のみ。Comps 2法は [参考] で Target 不算入（EV&lt;ネットデットで株式価値が負になる手法は INVALID として平均から除外）</t>
  </si>
  <si>
    <t>DCF Valuation Range (PGM - Exit)</t>
  </si>
  <si>
    <t>Key Investment Thesis</t>
  </si>
  <si>
    <t>Key Risks</t>
  </si>
  <si>
    <t>Rexulti and Jynarque carry finite exclusivity, and the terminal growth assumed here does not price a patent cliff on either.</t>
  </si>
  <si>
    <t>大塚ホールディングス - Historical Financials (JPY mn)</t>
  </si>
  <si>
    <t>FY2022</t>
  </si>
  <si>
    <t>FY2023</t>
  </si>
  <si>
    <t>FY2024</t>
  </si>
  <si>
    <t>FY2025</t>
  </si>
  <si>
    <t>Income Statement</t>
  </si>
  <si>
    <t>Revenue</t>
  </si>
  <si>
    <t>COGS</t>
  </si>
  <si>
    <t>Gross Profit</t>
  </si>
  <si>
    <t>Gross Margin</t>
  </si>
  <si>
    <t>SGA</t>
  </si>
  <si>
    <t>Operating Income</t>
  </si>
  <si>
    <t>Net Income</t>
  </si>
  <si>
    <t>Operating Margin</t>
  </si>
  <si>
    <t>Net Margin</t>
  </si>
  <si>
    <t>Revenue Growth (YoY)</t>
  </si>
  <si>
    <t>n/a</t>
  </si>
  <si>
    <t>Operating Income Growth (YoY)</t>
  </si>
  <si>
    <t>Cash Flow Statement</t>
  </si>
  <si>
    <t>Operating Cash Flow</t>
  </si>
  <si>
    <t>Capex</t>
  </si>
  <si>
    <t>Free Cash Flow</t>
  </si>
  <si>
    <t>FCF Margin</t>
  </si>
  <si>
    <t>Capex / Revenue</t>
  </si>
  <si>
    <t>Balance Sheet Highlights</t>
  </si>
  <si>
    <t>Cash &amp; Deposits</t>
  </si>
  <si>
    <t>Total Interest-bearing Debt (short + long)</t>
  </si>
  <si>
    <t>Net Debt (Cash)</t>
  </si>
  <si>
    <t>Note: OCF / Cash / Debt coverage OCF 4/4, Cash 4/4, Debt 4/4 — blank cells are years with no year-key match in the source data (verify against 決算短信 or set hist_ocf / hist_cash / hist_debt in overrides).</t>
  </si>
  <si>
    <t>DCF Valuation Model - 大塚ホールディングス</t>
  </si>
  <si>
    <t>Assumptions</t>
  </si>
  <si>
    <t>Effective Tax Rate</t>
  </si>
  <si>
    <t>Risk-Free Rate</t>
  </si>
  <si>
    <t>Beta</t>
  </si>
  <si>
    <t>Equity Risk Premium</t>
  </si>
  <si>
    <t>Size Premium</t>
  </si>
  <si>
    <t>After-tax Cost of Debt</t>
  </si>
  <si>
    <t>D/E Ratio</t>
  </si>
  <si>
    <t>Terminal Growth Rate</t>
  </si>
  <si>
    <t>Exit Multiple (EV/EBITDA)</t>
  </si>
  <si>
    <t>Fully Diluted Shares</t>
  </si>
  <si>
    <t>Net Debt (JPY mn)</t>
  </si>
  <si>
    <t>Base Year Revenue (JPY mn)</t>
  </si>
  <si>
    <t>D&amp;A / Revenue</t>
  </si>
  <si>
    <t>Stub Fraction (yr remaining)</t>
  </si>
  <si>
    <t>LTM Revenue (JPY mn)</t>
  </si>
  <si>
    <t>WACC Calculation</t>
  </si>
  <si>
    <t>Cost of Equity (Ke)</t>
  </si>
  <si>
    <t>Weight of Equity</t>
  </si>
  <si>
    <t>Weight of Debt</t>
  </si>
  <si>
    <t>WACC</t>
  </si>
  <si>
    <t>Active Scenario</t>
  </si>
  <si>
    <t>Base</t>
  </si>
  <si>
    <t>Projected Free Cash Flow</t>
  </si>
  <si>
    <t>FY2026(E)</t>
  </si>
  <si>
    <t>FY2027(E)</t>
  </si>
  <si>
    <t>FY2028(E)</t>
  </si>
  <si>
    <t>FY2029(E)</t>
  </si>
  <si>
    <t>FY2030(E)</t>
  </si>
  <si>
    <t>COGS % of Revenue</t>
  </si>
  <si>
    <t>SGA % of Revenue</t>
  </si>
  <si>
    <t>SGA Expense</t>
  </si>
  <si>
    <t>Implied Operating Margin</t>
  </si>
  <si>
    <t>Operating Income (EBIT)</t>
  </si>
  <si>
    <t>Less: Tax</t>
  </si>
  <si>
    <t>NOPAT</t>
  </si>
  <si>
    <t>Plus: D&amp;A</t>
  </si>
  <si>
    <t>Less: Capex</t>
  </si>
  <si>
    <t>Change in NWC</t>
  </si>
  <si>
    <t>Unlevered Free Cash Flow</t>
  </si>
  <si>
    <t>Discount Factor</t>
  </si>
  <si>
    <t>PV of FCF</t>
  </si>
  <si>
    <t>Valuation - Perpetuity Growth Method</t>
  </si>
  <si>
    <t>Sum of PV of FCFs</t>
  </si>
  <si>
    <t>Terminal Value (PGM)</t>
  </si>
  <si>
    <t>PV of Terminal Value</t>
  </si>
  <si>
    <t>Enterprise Value</t>
  </si>
  <si>
    <t>Equity Value</t>
  </si>
  <si>
    <t>Implied Share Price (PGM)</t>
  </si>
  <si>
    <t>Valuation - Exit Multiple Method</t>
  </si>
  <si>
    <t>Year 5 EBITDA</t>
  </si>
  <si>
    <t>Terminal Value (Exit Multiple)</t>
  </si>
  <si>
    <t>Implied Share Price (Exit Multiple)</t>
  </si>
  <si>
    <t>Scenario Input Matrix</t>
  </si>
  <si>
    <t>Year 1</t>
  </si>
  <si>
    <t>Year 2</t>
  </si>
  <si>
    <t>Year 3</t>
  </si>
  <si>
    <t>Year 4</t>
  </si>
  <si>
    <t>Year 5</t>
  </si>
  <si>
    <t>Upside</t>
  </si>
  <si>
    <t>Management</t>
  </si>
  <si>
    <t>Downside 1</t>
  </si>
  <si>
    <t>Downside 2</t>
  </si>
  <si>
    <t>Reverse DCF - 大塚ホールディングス (4578.T)</t>
  </si>
  <si>
    <t>What is the current share price already assuming? Every value below is a live formula off the other sheets.</t>
  </si>
  <si>
    <t>Block 0: Market-implied enterprise value (live)</t>
  </si>
  <si>
    <t>Current Share Price (JPY)</t>
  </si>
  <si>
    <t>Market Capitalisation (JPY mn)</t>
  </si>
  <si>
    <t>Enterprise Value (JPY mn)</t>
  </si>
  <si>
    <t>WACC (w)</t>
  </si>
  <si>
    <t>Terminal Growth (g)</t>
  </si>
  <si>
    <t>Effective Tax Rate (t)</t>
  </si>
  <si>
    <t>Starting Operating Profit OP0 (FY2025 actual)</t>
  </si>
  <si>
    <t>Cycle-peak Operating Profit (FY2025 actual)</t>
  </si>
  <si>
    <t>Terminal-year Revenue, active scenario (JPY mn)</t>
  </si>
  <si>
    <t>Base-case DCF Enterprise Value, PGM (JPY mn)</t>
  </si>
  <si>
    <t>Cycle-peak Operating Margin (FY2025 actual)</t>
  </si>
  <si>
    <t>Gap: market EV less base-case DCF EV (JPY mn)</t>
  </si>
  <si>
    <t>Gap per share (JPY) - the part of the price the base case does not explain</t>
  </si>
  <si>
    <t>Block A: Required steady-state operating profit, reached IMMEDIATELY (no ramp)</t>
  </si>
  <si>
    <t>The lowest bar the price can clear: today's EV read as a perpetuity of one steady-state profit, capex = D&amp;A, no NWC build.</t>
  </si>
  <si>
    <t>Required steady-state NOPAT (JPY mn)</t>
  </si>
  <si>
    <t>Required steady-state Operating Profit (JPY mn)</t>
  </si>
  <si>
    <t>... as a multiple of the FY2025 peak</t>
  </si>
  <si>
    <t>... as a multiple of FY2025 actual</t>
  </si>
  <si>
    <t>... implied OPM on terminal-year revenue</t>
  </si>
  <si>
    <t>... revenue needed if margins only reach the cycle peak</t>
  </si>
  <si>
    <t>Block B: Required steady-state operating profit by YEARS-TO-REACH (linear ramp) x WACC</t>
  </si>
  <si>
    <t>Operating profit ramps linearly from OP0 (C14) to OP* over N years, then grows at g for ever. Column F is the model WACC.</t>
  </si>
  <si>
    <t>OP* = ( EV/(1-t) - OP0*(A-B) ) / ( B + TVF ). A longer ramp needs a HIGHER steady state, because more years are spent below it.</t>
  </si>
  <si>
    <t>Years to steady state (N)   \   WACC</t>
  </si>
  <si>
    <t>N</t>
  </si>
  <si>
    <t>B-1  PV weight on the RAMP from OP0   (A - B)</t>
  </si>
  <si>
    <t>N = 3 years</t>
  </si>
  <si>
    <t>N = 5 years</t>
  </si>
  <si>
    <t>N = 7 years</t>
  </si>
  <si>
    <t>N = 10 years</t>
  </si>
  <si>
    <t>B-2  PV weight on the STEADY STATE OP*   (B + terminal factor)</t>
  </si>
  <si>
    <t>B-3  REQUIRED steady-state Operating Profit (JPY mn)</t>
  </si>
  <si>
    <t>B-4  ... as a multiple of the FY2025 peak operating profit</t>
  </si>
  <si>
    <t>Block C: Decomposing the required profit into revenue x margin (N = 5 years, model WACC)</t>
  </si>
  <si>
    <t>The revenue the company must run at, for a given steady-state operating margin, to earn the Block B-3 profit.</t>
  </si>
  <si>
    <t>Required steady-state Operating Profit (N=5, model WACC)</t>
  </si>
  <si>
    <t>Assumed steady-state OPM</t>
  </si>
  <si>
    <t>Required Revenue</t>
  </si>
  <si>
    <t>x base-year revenue</t>
  </si>
  <si>
    <t>cycle-peak OPM (FY2025)</t>
  </si>
  <si>
    <t>Block D: The same question expressed as multiples</t>
  </si>
  <si>
    <t>Current EV / latest-FY EBITDA (actual)</t>
  </si>
  <si>
    <t>Current EV / latest-FY Revenue (actual)</t>
  </si>
  <si>
    <t>EV / EBITDA if the Block A profit were already earned</t>
  </si>
  <si>
    <t>EV / EBITDA if the Block B-3 (N=5) profit were already earned</t>
  </si>
  <si>
    <t>Peer median EV / EBITDA (statistics rows)</t>
  </si>
  <si>
    <t>Rows 3-4 answer: what multiple would today's EV be paying IF the company already earned the profit the price requires?</t>
  </si>
  <si>
    <t>Block F: The one-line answer</t>
  </si>
  <si>
    <t>NWC Schedule - 大塚ホールディングス</t>
  </si>
  <si>
    <t>Working Capital Drivers (Days)</t>
  </si>
  <si>
    <t>Base Year</t>
  </si>
  <si>
    <t>DSO (Days Sales Outstanding)</t>
  </si>
  <si>
    <t>DIH (Days Inventory Held)</t>
  </si>
  <si>
    <t>DPO (Days Payable Outstanding)</t>
  </si>
  <si>
    <t>P&amp;L Reference (JPY mn)</t>
  </si>
  <si>
    <t>Working Capital Items (JPY mn)</t>
  </si>
  <si>
    <t>Accounts Receivable</t>
  </si>
  <si>
    <t>Inventory</t>
  </si>
  <si>
    <t>Current Assets (AR + Inv)</t>
  </si>
  <si>
    <t>Accounts Payable</t>
  </si>
  <si>
    <t>Current Liabilities (AP)</t>
  </si>
  <si>
    <t>Net Working Capital (JPY mn)</t>
  </si>
  <si>
    <t>Net Working Capital</t>
  </si>
  <si>
    <t>Scenario Input Matrix (Working Capital Days)</t>
  </si>
  <si>
    <t>DSO (Days)</t>
  </si>
  <si>
    <t>DIH (Days)</t>
  </si>
  <si>
    <t>DPO (Days)</t>
  </si>
  <si>
    <t>Comparable Company Analysis</t>
  </si>
  <si>
    <t>Peer prices as of 2026-09-06 (Mkt Cap / EV of peer rows are static CSV values; the subject row is live-linked to Executive Summary)</t>
  </si>
  <si>
    <t>Mkt Cap
(JPY mn)</t>
  </si>
  <si>
    <t>EV
(JPY mn)</t>
  </si>
  <si>
    <t>Revenue
(JPY mn)</t>
  </si>
  <si>
    <t>EBITDA
(JPY mn)</t>
  </si>
  <si>
    <t>Op Income
(JPY mn)</t>
  </si>
  <si>
    <t>Net Income
(JPY mn)</t>
  </si>
  <si>
    <t>EV/EBITDA</t>
  </si>
  <si>
    <t>EV/Revenue</t>
  </si>
  <si>
    <t>PER</t>
  </si>
  <si>
    <t>PBR</t>
  </si>
  <si>
    <t>Op Margin</t>
  </si>
  <si>
    <t>ROE</t>
  </si>
  <si>
    <t>Book Value
(JPY mn)</t>
  </si>
  <si>
    <t>Note</t>
  </si>
  <si>
    <t>Otsuka Holdings Co., Ltd.</t>
  </si>
  <si>
    <t>4578.T</t>
  </si>
  <si>
    <t>Daiichi Sankyo Company, Limited</t>
  </si>
  <si>
    <t>4568.T</t>
  </si>
  <si>
    <t>Astellas Pharma Inc.</t>
  </si>
  <si>
    <t>4503.T</t>
  </si>
  <si>
    <t>Takeda Pharmaceutical Company Limited</t>
  </si>
  <si>
    <t>4502.T</t>
  </si>
  <si>
    <t>N/A</t>
  </si>
  <si>
    <t>Shionogi &amp; Co., Ltd.</t>
  </si>
  <si>
    <t>4507.T</t>
  </si>
  <si>
    <t>Kyowa Kirin Co., Ltd.</t>
  </si>
  <si>
    <t>4151.T</t>
  </si>
  <si>
    <t>Statistics</t>
  </si>
  <si>
    <t>25th Percentile</t>
  </si>
  <si>
    <t>Median (50th)</t>
  </si>
  <si>
    <t>75th Percentile</t>
  </si>
  <si>
    <t>Implied Valuation for 大塚ホールディングス</t>
  </si>
  <si>
    <t>大塚ホールディングス Financials</t>
  </si>
  <si>
    <t>EBITDA (JPY mn)</t>
  </si>
  <si>
    <t>Net Income (JPY mn)</t>
  </si>
  <si>
    <t>Shares Outstanding</t>
  </si>
  <si>
    <t>Implied Share Price (Median Multiples)</t>
  </si>
  <si>
    <t>Via EV/EBITDA (Median)</t>
  </si>
  <si>
    <t>Via PER (Median)</t>
  </si>
  <si>
    <t>Sensitivity Analysis</t>
  </si>
  <si>
    <t>Current WACC:</t>
  </si>
  <si>
    <t>Terminal g:</t>
  </si>
  <si>
    <t>Exit Multiple:</t>
  </si>
  <si>
    <t>Table 1: WACC vs Terminal Growth Rate (PGM - Implied Share Price, JPY)</t>
  </si>
  <si>
    <t>WACC \ Terminal g</t>
  </si>
  <si>
    <t>Table 2: WACC vs Exit Multiple (Exit Multiple - Implied Share Price, JPY)</t>
  </si>
  <si>
    <t>WACC \ Exit Multiple</t>
  </si>
  <si>
    <t>All values dynamically linked to DCF Model. Headers auto-center on current WACC / Terminal g / Exit Multiple.</t>
  </si>
  <si>
    <t>Adjustments Log - 大塚ホールディングス</t>
  </si>
  <si>
    <t>日付</t>
  </si>
  <si>
    <t>セル</t>
  </si>
  <si>
    <t>変更内容</t>
  </si>
  <si>
    <t>理由</t>
  </si>
  <si>
    <t>元の値</t>
  </si>
  <si>
    <t>状態</t>
  </si>
  <si>
    <t>2026-09-06</t>
  </si>
  <si>
    <t>-</t>
  </si>
  <si>
    <t>Generated by pipeline on 2026-09-06 10:49, template rev c9b5dd9</t>
  </si>
  <si>
    <t>初期生成（手修正なし）</t>
  </si>
  <si>
    <t>generated</t>
  </si>
  <si>
    <t>2026-09-05</t>
  </si>
  <si>
    <t>DCF Model!C7</t>
  </si>
  <si>
    <t>Risk-Free Rate = 2.97%</t>
  </si>
  <si>
    <t>財務省 国債金利情報 jgbcm.csv 10年物 R8.9.3(2026-09-03) 2.966% を四捨五入。バッチ全銘柄共通の一次ソース。yfinance は日本国債利回りを返さないため使用しない。</t>
  </si>
  <si>
    <t>テンプレ既定 2.2%</t>
  </si>
  <si>
    <t>確定</t>
  </si>
  <si>
    <t>DCF Model!C9</t>
  </si>
  <si>
    <t>Equity Risk Premium = 6.5%</t>
  </si>
  <si>
    <t>バッチ共通の固定前提(v2 §1-3)。銘柄固有の調整はしていない。</t>
  </si>
  <si>
    <t>テンプレ既定 6.5%(同値)</t>
  </si>
  <si>
    <t>設計判断</t>
  </si>
  <si>
    <t>DCF Model!C10</t>
  </si>
  <si>
    <t>Size Premium = 1.0%</t>
  </si>
  <si>
    <t>時価総額バンドによる機械決定(&gt;3,000億円 -&gt; 1.0%)。当社時価総額 6,320,483百万円。■テンプレートの自動規則(&gt;=1兆円 -&gt; 0.0%、&gt;=1,000億円 -&gt; 1.5%)とは異なる値であり、明示指定で上書きしている。</t>
  </si>
  <si>
    <t>テンプレ自動値</t>
  </si>
  <si>
    <t>DCF Model!C8</t>
  </si>
  <si>
    <t>Beta = 0.60</t>
  </si>
  <si>
    <t>yfinance実測 **−0.049** はテンプレのクランプ域 [0.6, 1.75] の下限を大きく下回り、そのまま渡すと【無言で 1.0 に置換】される。追補1 §A に従い max(0.6, min(1.75, 実測)) = 0.60 を明示指定した。**0.60 は実測値ではなくテンプレが受け付ける最小値**であることに注意。</t>
  </si>
  <si>
    <t>yfinance実測 -0.049</t>
  </si>
  <si>
    <t>DCF Model!C6</t>
  </si>
  <si>
    <t>Effective Tax Rate = 25%</t>
  </si>
  <si>
    <t>バッチ共通の既定値(v2 §1-3)。当社の実績税負担率を個別に検証したものではない。</t>
  </si>
  <si>
    <t>テンプレ既定 30%</t>
  </si>
  <si>
    <t>推定</t>
  </si>
  <si>
    <t>DCF Model!C11</t>
  </si>
  <si>
    <t>After-tax Cost of Debt = 1.0%(テンプレ既定値のまま)</t>
  </si>
  <si>
    <t>net_debt がネットキャッシュ（−374,892百万円）で D/E = 0 のため、負債コストは WACC に一切寄与しない（WACC = Ke = 7.87%）。実績Kd の算出は結果に影響しないため interest_expense を指定していない。</t>
  </si>
  <si>
    <t>テンプレ既定</t>
  </si>
  <si>
    <t>DCF Model!C13</t>
  </si>
  <si>
    <t>Terminal Growth = 1.0%</t>
  </si>
  <si>
    <t>バッチ共通の固定前提(v2 §1-3)。</t>
  </si>
  <si>
    <t>テンプレ既定 2.0%</t>
  </si>
  <si>
    <t>DCF Model!C14</t>
  </si>
  <si>
    <t>Exit Multiple (EV/EBITDA) = 11.4x</t>
  </si>
  <si>
    <t>Peer 5社の実測EV/EBITDA中央値 11.36x（4568 16.10 / 4503 7.84 / 4502 11.53 / 4507 12.64 / 4151 8.10）。 自社の現在倍率 10.22x は算式に入れていない(市場価格への循環参照回避)。■マージン品質調整式はバッチ全体で棄却済み(EV/EBITDA が既に資本集約度を織り込むため、営業利益率による上方調整は資本集約型で逆方向に働く)。</t>
  </si>
  <si>
    <t>テンプレ既定 10.0x</t>
  </si>
  <si>
    <t>全体(型判定・プレスクリーン)</t>
  </si>
  <si>
    <t>型A(通常の事業会社)として処理</t>
  </si>
  <si>
    <t>追補1 §B に従い、型判定の前に batch/prescreen.py で EDINET有報XBRL の金融事業専用科目(ForFinancialBusiness / Banking / Deposits / CallLoan / InstallmentReceivable 系)を機械チェックした。検出結果: **CLEAN**（金融事業専用科目は1件も検出されず。docID は batch/prescreen_results.json 参照）。銀行・captive finance なし（Debt/Revenue 0.09）。NonOp/OP −0.9% で利益の主柱は営業利益。OPMレンジ8.4pt・赤字年なしで型Bにも該当しない（レンジは4期連続の単調上昇によるもので市況サイクルではない）。</t>
  </si>
  <si>
    <t>Financial Statements / hist_* 系列</t>
  </si>
  <si>
    <t>hist_years を FY2022-FY2025 の4期に置換し P/L 5系列を yfinance連結財務諸表から供給（予防的）</t>
  </si>
  <si>
    <t>【追補2 §F-2 の予防的 EDINET 補完（生成前適用・必須）】根本原因は scripts/generate_dcf.py:66 の _val(data_dict, key, default=0) が欠損値を None ではなく 0 に落とすことで、hist_* 全系列・net_debt・core_ebitda に波及する。バッチ中はパイプラインを変更しない方針（追補2 §F-1）のため、回避策を**発生を待たず生成前に適用**した: hist_years を直近4期（P/L 4項目がすべて揃う年）に置換し、hist_revenue / hist_operating_income / hist_net_income / hist_cogs / hist_sga を yfinance連結財務諸表から供給（配列長は全て4で hist_years と一致、契約遵守）。■hist_ocf / hist_cash / hist_debt / hist_capex / hist_depreciation は【供給していない】 — Step 4.6 の align_hist_series_to_years() が最終 hist_years に会計年度キーで再マッピングするため EDINET を一次ソースのまま使える。■hist_sga = 売上 − COGS − 営業利益 で逆算。■**結果として初回生成で合格した（リトライ0回）**。</t>
  </si>
  <si>
    <t>EDINET自動抽出値</t>
  </si>
  <si>
    <t>Comps Analysis / core_ebitda</t>
  </si>
  <si>
    <t>core_ebitda = 588,273百万円 を明示指定（営業利益 472,106 + D&amp;A 116,167）</t>
  </si>
  <si>
    <t>【追補2 §G】core_ebitda を明示指定（= 直近営業利益 + 直近CF計算書D&amp;A）。Comps の『自社 Financials』EBITDA と Via EV/EBITDA 参考株価は comps CSV ではなく config の core_ebitda を使うが、EDINET 由来の D&amp;A は銘柄により信頼できず、破綻しても validate は FAIL 0 のまま通る（4502 で参考株価が −2,761円 の負値、4151 で N/A になった実例）。Peer と同一定義（EBITDA = 営業利益 + CF計算書の減価償却費）に揃えるため予防的に明示指定した。生成後に batch/check_core_ebitda.py で comps CSV 自社行との一致を確認済み（追補2 §G の品質ゲート）。</t>
  </si>
  <si>
    <t>EDINET由来の自動計算値</t>
  </si>
  <si>
    <t>DCF Model!C5 / C18</t>
  </si>
  <si>
    <t>capex_method / da_method とも revenue_pct(capex 4.94% / D&amp;A 4.70%)</t>
  </si>
  <si>
    <t>実績は capex 5.6-6.2% / D&amp;A 4.6-5.4% で近接しており direct 方式の必要がない。ターミナル比率 1.051x でレンジ[0.90,1.15]内（validate チェック9 PASS）。</t>
  </si>
  <si>
    <t>DCF Model シナリオ(単調上昇への扱い)</t>
  </si>
  <si>
    <t>単調系列の特則（(直近+中央値)/2）を**適用していない**</t>
  </si>
  <si>
    <t>2267 ヤクルトで確立した単調系列の特則は『4期連続の単調【低下】に対し、中央値への機械的な回復仮定を避ける』ための規則である。当社は4期連続の単調【上昇】であり、同じ式を適用すると (19.12 + 16.15)/2 = 17.64% と**根拠なくマージンを引き下げる**ことになる。したがって通常の型A規則（直近 &gt; 中央値 なら (直近 + p75)/2）を適用し 18.65% とした。■留保: 上昇が構造的（製品ミックス改善）か循環的かは本モデルでは判定していない。循環的であれば Base は楽観的であり、Downside 1（p25 13.51%）が現実的なシナリオになる。</t>
  </si>
  <si>
    <t>単調系列の特則を機械適用した場合の 17.64%</t>
  </si>
  <si>
    <t>DCF Model シナリオ5本</t>
  </si>
  <si>
    <t>**追補8 §AE の rework wave により Base を再設計**</t>
  </si>
  <si>
    <t>【追補8 §AE の rework wave（第8セッション）】追補7 §Y の単調性判定と、追補8 §AE-2 が確定した方向別の定義に従って **Base を再設計**した。■実績OPM: 0.11% → 0.14% → 0.18% → 0.19%。**判定: 単調増加**。■**適用ルール: 単調増加 → 直近水準の維持** により Base 到達OPM = **19.12%**（旧: 18.65%、差 +0.47pt）。■**平均回帰（§4-4 の中央値収束）は使わない**: トレンドに平均回帰を当てるのは統計的な誤りであり、その理由は符号で変わらない（追補8 §AE-2）。**単調増加では『さらなる上積みの外挿はしない』という保守側のガード**を置き、直近水準の維持とした。■Upside / Downside 1 / Downside 2 は本 rework の対象外で、従前の設計を維持している。■COGS% は据え置き、SGA% = 100% − COGS% − 目標OPM で逆算した。</t>
  </si>
  <si>
    <t>rework 前の Base 設計</t>
  </si>
  <si>
    <t>設計判断(追補8 §AE)</t>
  </si>
  <si>
    <t>DCF Model Management シナリオ</t>
  </si>
  <si>
    <t>Management = Base と同一</t>
  </si>
  <si>
    <t>EDINET XBRL・TDnet短信のいずれからも会社業績予想を取得できなかった(生成ログ Step 3: 'No guidance data found')。v2 §7-2 に従い Management=Base で続行。■本バッチではここまで生成した全銘柄で同じ結果になっており、銘柄固有ではなくパイプラインの構造的な取得失敗である。</t>
  </si>
  <si>
    <t>フォールバック使用(会社予想未取得)</t>
  </si>
  <si>
    <t>DCF Model NWC(dso/dih/dpo)</t>
  </si>
  <si>
    <t>Base: DSO 85 / DIH 163 / DPO 122 日</t>
  </si>
  <si>
    <t>実績4期平均。DPO 122日が DSO 85日を上回り、運転資本の資金拘束は医薬品Peerより小さい。</t>
  </si>
  <si>
    <t>Comps Analysis</t>
  </si>
  <si>
    <t>Peer 5社 = 4568 第一三共 / 4503 アステラス製薬 / 4502 武田薬品工業 / 4507 塩野義製薬 / 4151 協和キリン</t>
  </si>
  <si>
    <t>■選定理由: TSE33業種『医薬品』。■時価総額バンド: v2 §5 の 0.3〜3倍は 1.90〜18.96兆円で、4568(5.08兆) / 4503(4.22兆) / 4502(9.19兆) / 4507(2.48兆) がバンド内、4151(1.26兆)のみ僅かにバンド外だが統計安定のため採用した。■**除外: 4519 中外製薬**（減価償却費が取得できず EBITDA を算出できない。v2 §5 に従い除外。4519 自体もキュー送り）。■海外Peer は v2 §5 により不使用。■D&amp;A取得状況: 採用6社すべてで減価償却費を取得でき統一。**D&amp;A欠損による除外はゼロ**（validate チェック12 PASS）。</t>
  </si>
  <si>
    <t>Executive Summary!C10 / Target</t>
  </si>
  <si>
    <t>Target Price = 12,811円 = PGM 11,344円 と Exit 14,277円 の2本平均。Comps 2本(EV/EBITDA 13,438円 / PER 11,494円)は [参考・Target不算入]</t>
  </si>
  <si>
    <t>メモ§2 の規約どおり。validate チェック14 PASS(C10 が C16:C17 のみを平均)。EV&lt;net_debt による INVALID 化は発生していない（ネットキャッシュのため、チェック10・15 とも PASS）。**PGM / Exit / Comps 4法がいずれも 11,300〜14,300円 のレンジに収まり、本バッチで最も手法間の整合が取れている銘柄**。 ■**追補8 §AE の rework 後の値に更新**: Target 13,070円 / HOLD / 8.6%（rework 前 12,811円）。</t>
  </si>
  <si>
    <t>全体(納品状態)</t>
  </si>
  <si>
    <t>本ファイルは DRAFT。_FINAL は付けない</t>
  </si>
  <si>
    <t>バッチモードでの機械生成物であり人間の検証を経ていない。FINAL化は手順書v2 §6 に従い検証後に行う。</t>
  </si>
  <si>
    <t>DRAFT</t>
  </si>
  <si>
    <t>全体(未解決)</t>
  </si>
  <si>
    <t>**4期連続のマージン上昇が構造的か循環的かを判定していない**</t>
  </si>
  <si>
    <t>Base は直近水準の横ばい（18.65%）を置いている。製品ミックス改善による構造的な上昇なら妥当だが、循環的なら Downside 1（p25 13.51%）が現実的なシナリオになり Target は大きく下振れる。医薬品とニュートラシューティカルズのセグメント別利益構成の確認が必要。</t>
  </si>
  <si>
    <t>未解決</t>
  </si>
  <si>
    <t>Rexulti / Jynarque の独占期間</t>
  </si>
  <si>
    <t>収益が少数の主力製品に依存しており、独占期間は有限。terminal_growth 1.0% は特許切れの断崖を表現していない。</t>
  </si>
  <si>
    <t>純利益が1期だけ営業利益と逆行している（FY2023/12）</t>
  </si>
  <si>
    <t>営業利益 291,668 に対し純利益 121,616。一過性要因の内訳確認が必要。</t>
  </si>
  <si>
    <t>Pipeline Metadata (do not edit — read by scripts/validate_output.py)</t>
  </si>
  <si>
    <t>key</t>
  </si>
  <si>
    <t>value</t>
  </si>
  <si>
    <t>auto_log_entries</t>
  </si>
  <si>
    <t>0</t>
  </si>
  <si>
    <t>capex_pct_basis</t>
  </si>
  <si>
    <t>assumption</t>
  </si>
  <si>
    <t>capex_pct_c5</t>
  </si>
  <si>
    <t>0.0494</t>
  </si>
  <si>
    <t>capex_pct_hist3yr</t>
  </si>
  <si>
    <t>company_name</t>
  </si>
  <si>
    <t>comps_asof</t>
  </si>
  <si>
    <t>comps_da_missing</t>
  </si>
  <si>
    <t>none</t>
  </si>
  <si>
    <t>comps_ev_ebitda_invalid</t>
  </si>
  <si>
    <t>no</t>
  </si>
  <si>
    <t>comps_ev_ebitda_rows</t>
  </si>
  <si>
    <t>6,7,8,9,10</t>
  </si>
  <si>
    <t>comps_impl_mult_row</t>
  </si>
  <si>
    <t>27</t>
  </si>
  <si>
    <t>comps_impl_per_row</t>
  </si>
  <si>
    <t>28</t>
  </si>
  <si>
    <t>comps_peer_rows</t>
  </si>
  <si>
    <t>comps_stale_excluded</t>
  </si>
  <si>
    <t>comps_stat_median_row</t>
  </si>
  <si>
    <t>16</t>
  </si>
  <si>
    <t>comps_subject_row</t>
  </si>
  <si>
    <t>5</t>
  </si>
  <si>
    <t>cost_of_debt_at_c11</t>
  </si>
  <si>
    <t>0.01</t>
  </si>
  <si>
    <t>cost_of_debt_basis</t>
  </si>
  <si>
    <t>da_pct_basis</t>
  </si>
  <si>
    <t>da_pct_c18</t>
  </si>
  <si>
    <t>0.047</t>
  </si>
  <si>
    <t>da_pct_hist3yr</t>
  </si>
  <si>
    <t>0.047279</t>
  </si>
  <si>
    <t>fs_year_coverage</t>
  </si>
  <si>
    <t>OCF 4/4, Cash 4/4, Debt 4/4</t>
  </si>
  <si>
    <t>fs_year_map</t>
  </si>
  <si>
    <t>FY2022&lt;-FY2022[ocf+cash+debt]; FY2023&lt;-FY2023[ocf+cash+debt]; FY2024&lt;-FY2024[ocf+cash+debt]; FY2025&lt;-FY2025[ocf+cash+debt]</t>
  </si>
  <si>
    <t>fs_year_sources</t>
  </si>
  <si>
    <t>overrides: none | EDINET year-key match: hist_ocf, hist_cash, hist_debt, hist_capex, hist_depreciation</t>
  </si>
  <si>
    <t>fx_sensitivity</t>
  </si>
  <si>
    <t>not enabled</t>
  </si>
  <si>
    <t>generated_at</t>
  </si>
  <si>
    <t>2026-09-06 10:49:12</t>
  </si>
  <si>
    <t>ltm_revenue_c20</t>
  </si>
  <si>
    <t>2620516.0</t>
  </si>
  <si>
    <t>ltm_revenue_source</t>
  </si>
  <si>
    <t>LTM row</t>
  </si>
  <si>
    <t>narrative_tokens_used</t>
  </si>
  <si>
    <t>pb,per,price,target_price,upside_pct,wacc</t>
  </si>
  <si>
    <t>reverse_dcf_sheet</t>
  </si>
  <si>
    <t>op0=472,106(FY2025) peak=472,106(FY2025) peak_opm=0.1912 N=3/5/7/10</t>
  </si>
  <si>
    <t>scenario_index_range</t>
  </si>
  <si>
    <t>B69:B73</t>
  </si>
  <si>
    <t>tax_rate_c6</t>
  </si>
  <si>
    <t>0.25</t>
  </si>
  <si>
    <t>template_rev</t>
  </si>
  <si>
    <t>c9b5dd9</t>
  </si>
  <si>
    <t>ticker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</si>
</sst>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76" formatCode="#,##0;\(#,##0\)"/>
    <numFmt numFmtId="177" formatCode="0.0%;\(0.0%\)"/>
    <numFmt numFmtId="178" formatCode="0.000"/>
    <numFmt numFmtId="179" formatCode="0.00&quot;x&quot;"/>
    <numFmt numFmtId="180" formatCode="0.00%;\(0.00%\)"/>
    <numFmt numFmtId="181" formatCode="0.0000"/>
  </numFmts>
  <fonts count="10" x14ac:knownFonts="1">
    <font>
      <sz val="11"/>
      <color theme="1"/>
      <name val="ＭＳ Ｐゴシック"/>
      <family val="2"/>
      <scheme val="minor"/>
    </font>
    <font>
      <i/>
      <sz val="9"/>
      <color rgb="FF808080"/>
      <name val="Arial"/>
    </font>
    <font>
      <b/>
      <sz val="14"/>
      <name val="Arial"/>
    </font>
    <font>
      <b/>
      <sz val="11"/>
      <name val="Arial"/>
    </font>
    <font>
      <b/>
      <sz val="10"/>
      <name val="Arial"/>
    </font>
    <font>
      <sz val="10"/>
      <color rgb="FF000000"/>
      <name val="Arial"/>
    </font>
    <font>
      <b/>
      <sz val="11"/>
      <color rgb="FFFFFFFF"/>
      <name val="Arial"/>
    </font>
    <font>
      <sz val="10"/>
      <color rgb="FF006600"/>
      <name val="Arial"/>
    </font>
    <font>
      <sz val="6"/>
      <name val="ＭＳ Ｐゴシック"/>
      <family val="3"/>
      <charset val="128"/>
      <scheme val="minor"/>
    </font>
    <font>
      <sz val="10"/>
      <name val="Arial"/>
    </font>
  </fonts>
  <fills count="6">
    <fill>
      <patternFill patternType="none"/>
    </fill>
    <fill>
      <patternFill patternType="gray125"/>
    </fill>
    <fill>
      <patternFill patternType="solid">
        <fgColor rgb="FFDCE6F1"/>
        <bgColor rgb="FFDCE6F1"/>
      </patternFill>
    </fill>
    <fill>
      <patternFill patternType="solid">
        <fgColor rgb="FF000080"/>
        <bgColor rgb="FF000080"/>
      </patternFill>
    </fill>
    <fill>
      <patternFill patternType="solid">
        <fgColor rgb="FFF2F2F2"/>
        <bgColor rgb="FFF2F2F2"/>
      </patternFill>
    </fill>
    <fill>
      <patternFill patternType="solid">
        <fgColor rgb="FFE2EFDA"/>
        <bgColor rgb="FFE2EFDA"/>
      </patternFill>
    </fill>
  </fills>
  <borders count="7">
    <border>
      <left/>
      <right/>
      <top/>
      <bottom/>
      <diagonal/>
    </border>
    <border>
      <left/>
      <right/>
      <top/>
      <bottom style="thin">
        <color auto="1"/>
      </bottom>
      <diagonal/>
    </border>
    <border>
      <left style="thin">
        <color rgb="FFB0B0B0"/>
      </left>
      <right style="thin">
        <color rgb="FFB0B0B0"/>
      </right>
      <top style="thin">
        <color rgb="FFB0B0B0"/>
      </top>
      <bottom style="thin">
        <color rgb="FFB0B0B0"/>
      </bottom>
      <diagonal/>
    </border>
    <border>
      <left/>
      <right/>
      <top style="thin">
        <color auto="1"/>
      </top>
      <bottom style="thin">
        <color auto="1"/>
      </bottom>
      <diagonal/>
    </border>
    <border>
      <left/>
      <right/>
      <top style="thin">
        <color auto="1"/>
      </top>
      <bottom style="double">
        <color auto="1"/>
      </bottom>
      <diagonal/>
    </border>
    <border>
      <left style="hair">
        <color rgb="FFB0B0B0"/>
      </left>
      <right style="hair">
        <color rgb="FFB0B0B0"/>
      </right>
      <top style="hair">
        <color rgb="FFB0B0B0"/>
      </top>
      <bottom style="hair">
        <color rgb="FFB0B0B0"/>
      </bottom>
      <diagonal/>
    </border>
    <border>
      <left style="thin">
        <color auto="1"/>
      </left>
      <right style="thin">
        <color auto="1"/>
      </right>
      <top style="thin">
        <color auto="1"/>
      </top>
      <bottom style="thin">
        <color auto="1"/>
      </bottom>
      <diagonal/>
    </border>
  </borders>
  <cellStyleXfs count="1">
    <xf numFmtId="0" fontId="0" fillId="0" borderId="0"/>
  </cellStyleXfs>
  <cellXfs count="48">
    <xf numFmtId="0" fontId="0" fillId="0" borderId="0" xfId="0"/>
    <xf numFmtId="0" fontId="1" fillId="0" borderId="0" xfId="0" applyFont="1"/>
    <xf numFmtId="0" fontId="2" fillId="0" borderId="0" xfId="0" applyFont="1"/>
    <xf numFmtId="0" fontId="3" fillId="0" borderId="0" xfId="0" applyFont="1"/>
    <xf numFmtId="0" fontId="4" fillId="0" borderId="0" xfId="0" applyFont="1"/>
    <xf numFmtId="176" fontId="5" fillId="0" borderId="0" xfId="0" applyNumberFormat="1" applyFont="1"/>
    <xf numFmtId="0" fontId="5" fillId="0" borderId="0" xfId="0" applyFont="1"/>
    <xf numFmtId="177" fontId="5" fillId="0" borderId="0" xfId="0" applyNumberFormat="1" applyFont="1"/>
    <xf numFmtId="0" fontId="3" fillId="2" borderId="0" xfId="0" applyFont="1" applyFill="1"/>
    <xf numFmtId="0" fontId="0" fillId="2" borderId="0" xfId="0" applyFill="1"/>
    <xf numFmtId="0" fontId="6" fillId="3" borderId="1" xfId="0" applyFont="1" applyFill="1" applyBorder="1" applyAlignment="1">
      <alignment horizontal="center" wrapText="1"/>
    </xf>
    <xf numFmtId="176" fontId="7" fillId="0" borderId="0" xfId="0" applyNumberFormat="1" applyFont="1"/>
    <xf numFmtId="2" fontId="5" fillId="0" borderId="0" xfId="0" applyNumberFormat="1" applyFont="1"/>
    <xf numFmtId="178" fontId="5" fillId="0" borderId="0" xfId="0" applyNumberFormat="1" applyFont="1"/>
    <xf numFmtId="179" fontId="5" fillId="0" borderId="0" xfId="0" applyNumberFormat="1" applyFont="1"/>
    <xf numFmtId="3" fontId="5" fillId="0" borderId="0" xfId="0" applyNumberFormat="1" applyFont="1"/>
    <xf numFmtId="180" fontId="5" fillId="0" borderId="0" xfId="0" applyNumberFormat="1" applyFont="1"/>
    <xf numFmtId="0" fontId="5" fillId="0" borderId="2" xfId="0" applyFont="1" applyBorder="1"/>
    <xf numFmtId="177" fontId="5" fillId="2" borderId="0" xfId="0" applyNumberFormat="1" applyFont="1" applyFill="1"/>
    <xf numFmtId="176" fontId="5" fillId="0" borderId="3" xfId="0" applyNumberFormat="1" applyFont="1" applyBorder="1"/>
    <xf numFmtId="176" fontId="5" fillId="4" borderId="3" xfId="0" applyNumberFormat="1" applyFont="1" applyFill="1" applyBorder="1"/>
    <xf numFmtId="181" fontId="5" fillId="0" borderId="0" xfId="0" applyNumberFormat="1" applyFont="1"/>
    <xf numFmtId="0" fontId="3" fillId="5" borderId="0" xfId="0" applyFont="1" applyFill="1"/>
    <xf numFmtId="0" fontId="0" fillId="5" borderId="0" xfId="0" applyFill="1"/>
    <xf numFmtId="176" fontId="5" fillId="0" borderId="4" xfId="0" applyNumberFormat="1" applyFont="1" applyBorder="1"/>
    <xf numFmtId="0" fontId="6" fillId="3" borderId="0" xfId="0" applyFont="1" applyFill="1" applyAlignment="1">
      <alignment horizontal="center"/>
    </xf>
    <xf numFmtId="177" fontId="5" fillId="0" borderId="2" xfId="0" applyNumberFormat="1" applyFont="1" applyBorder="1"/>
    <xf numFmtId="176" fontId="5" fillId="0" borderId="2" xfId="0" applyNumberFormat="1" applyFont="1" applyBorder="1"/>
    <xf numFmtId="0" fontId="6" fillId="3" borderId="0" xfId="0" applyFont="1" applyFill="1"/>
    <xf numFmtId="180" fontId="6" fillId="3" borderId="0" xfId="0" applyNumberFormat="1" applyFont="1" applyFill="1" applyAlignment="1">
      <alignment horizontal="center"/>
    </xf>
    <xf numFmtId="3" fontId="5" fillId="0" borderId="2" xfId="0" applyNumberFormat="1" applyFont="1" applyBorder="1"/>
    <xf numFmtId="177" fontId="4" fillId="0" borderId="2" xfId="0" applyNumberFormat="1" applyFont="1" applyBorder="1"/>
    <xf numFmtId="0" fontId="6" fillId="2" borderId="1" xfId="0" applyFont="1" applyFill="1" applyBorder="1" applyAlignment="1">
      <alignment horizontal="center" wrapText="1"/>
    </xf>
    <xf numFmtId="0" fontId="4" fillId="0" borderId="5" xfId="0" applyFont="1" applyBorder="1"/>
    <xf numFmtId="3" fontId="5" fillId="0" borderId="5" xfId="0" applyNumberFormat="1" applyFont="1" applyBorder="1"/>
    <xf numFmtId="176" fontId="5" fillId="0" borderId="5" xfId="0" applyNumberFormat="1" applyFont="1" applyBorder="1"/>
    <xf numFmtId="0" fontId="5" fillId="0" borderId="5" xfId="0" applyFont="1" applyBorder="1"/>
    <xf numFmtId="176" fontId="5" fillId="0" borderId="6" xfId="0" applyNumberFormat="1" applyFont="1" applyBorder="1"/>
    <xf numFmtId="179" fontId="5" fillId="0" borderId="6" xfId="0" applyNumberFormat="1" applyFont="1" applyBorder="1"/>
    <xf numFmtId="177" fontId="5" fillId="0" borderId="6" xfId="0" applyNumberFormat="1" applyFont="1" applyBorder="1"/>
    <xf numFmtId="0" fontId="5" fillId="0" borderId="6" xfId="0" applyFont="1" applyBorder="1" applyAlignment="1">
      <alignment horizontal="right"/>
    </xf>
    <xf numFmtId="0" fontId="6" fillId="3" borderId="6" xfId="0" applyFont="1" applyFill="1" applyBorder="1" applyAlignment="1">
      <alignment horizontal="center" wrapText="1"/>
    </xf>
    <xf numFmtId="177" fontId="6" fillId="3" borderId="6" xfId="0" applyNumberFormat="1" applyFont="1" applyFill="1" applyBorder="1" applyAlignment="1">
      <alignment horizontal="center"/>
    </xf>
    <xf numFmtId="179" fontId="6" fillId="3" borderId="6" xfId="0" applyNumberFormat="1" applyFont="1" applyFill="1" applyBorder="1" applyAlignment="1">
      <alignment horizontal="center"/>
    </xf>
    <xf numFmtId="0" fontId="9" fillId="0" borderId="0" xfId="0" applyFont="1"/>
    <xf numFmtId="0" fontId="2" fillId="0" borderId="0" xfId="0" applyFont="1"/>
    <xf numFmtId="0" fontId="0" fillId="0" borderId="0" xfId="0"/>
    <xf numFmtId="0" fontId="1" fillId="0" borderId="0" xfId="0" applyFont="1"/>
  </cellXfs>
  <cellStyles count="1">
    <cellStyle name="標準"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003366"/>
  </sheetPr>
  <dimension ref="B1:E31"/>
  <sheetViews>
    <sheetView tabSelected="1" workbookViewId="0"/>
  </sheetViews>
  <sheetFormatPr defaultRowHeight="13" x14ac:dyDescent="0.2"/>
  <cols>
    <col min="1" max="1" width="3" customWidth="1"/>
    <col min="2" max="2" width="30" customWidth="1"/>
    <col min="3" max="5" width="22" customWidth="1"/>
  </cols>
  <sheetData>
    <row r="1" spans="2:5" ht="14" customHeight="1" x14ac:dyDescent="0.3">
      <c r="B1" s="47" t="s">
        <v>0</v>
      </c>
      <c r="C1" s="46"/>
      <c r="D1" s="46"/>
      <c r="E1" s="46"/>
    </row>
    <row r="3" spans="2:5" ht="18" customHeight="1" x14ac:dyDescent="0.4">
      <c r="B3" s="45" t="s">
        <v>1</v>
      </c>
      <c r="C3" s="46"/>
      <c r="D3" s="46"/>
    </row>
    <row r="4" spans="2:5" ht="14" customHeight="1" x14ac:dyDescent="0.3">
      <c r="B4" s="3" t="s">
        <v>2</v>
      </c>
    </row>
    <row r="6" spans="2:5" ht="14" customHeight="1" x14ac:dyDescent="0.3">
      <c r="B6" s="4" t="s">
        <v>3</v>
      </c>
      <c r="C6" t="s">
        <v>4</v>
      </c>
    </row>
    <row r="7" spans="2:5" ht="14" customHeight="1" x14ac:dyDescent="0.3">
      <c r="B7" s="4" t="s">
        <v>5</v>
      </c>
      <c r="C7" t="s">
        <v>6</v>
      </c>
    </row>
    <row r="8" spans="2:5" ht="14" customHeight="1" x14ac:dyDescent="0.3">
      <c r="B8" s="4" t="s">
        <v>7</v>
      </c>
      <c r="C8" t="s">
        <v>8</v>
      </c>
    </row>
    <row r="9" spans="2:5" ht="14" customHeight="1" x14ac:dyDescent="0.3">
      <c r="B9" s="4" t="s">
        <v>9</v>
      </c>
      <c r="C9" s="5">
        <v>12030</v>
      </c>
    </row>
    <row r="10" spans="2:5" ht="14" customHeight="1" x14ac:dyDescent="0.3">
      <c r="B10" s="4" t="s">
        <v>10</v>
      </c>
      <c r="C10" s="5">
        <f>IF(COUNT(C16:C17)=0,"N/A",ROUND(AVERAGE(C16:C17),0))</f>
        <v>13070</v>
      </c>
    </row>
    <row r="11" spans="2:5" ht="14" customHeight="1" x14ac:dyDescent="0.3">
      <c r="B11" s="4" t="s">
        <v>11</v>
      </c>
      <c r="C11" s="6" t="str">
        <f>IF(NOT(ISNUMBER(C12)),"N/A",IF(C12&gt;0.15,"BUY",IF(C12&gt;0.05,"HOLD","SELL")))</f>
        <v>HOLD</v>
      </c>
    </row>
    <row r="12" spans="2:5" ht="14" customHeight="1" x14ac:dyDescent="0.3">
      <c r="B12" s="4" t="s">
        <v>12</v>
      </c>
      <c r="C12" s="7">
        <f>IF(ISNUMBER(C10),(C10-C9)/C9,"N/A")</f>
        <v>8.645054031587697E-2</v>
      </c>
    </row>
    <row r="14" spans="2:5" ht="14" customHeight="1" x14ac:dyDescent="0.3">
      <c r="B14" s="8" t="s">
        <v>13</v>
      </c>
      <c r="C14" s="9"/>
      <c r="D14" s="9"/>
    </row>
    <row r="15" spans="2:5" ht="14" customHeight="1" x14ac:dyDescent="0.3">
      <c r="B15" s="10" t="s">
        <v>14</v>
      </c>
      <c r="C15" s="10" t="s">
        <v>15</v>
      </c>
      <c r="D15" s="10" t="s">
        <v>16</v>
      </c>
    </row>
    <row r="16" spans="2:5" ht="13.5" customHeight="1" x14ac:dyDescent="0.25">
      <c r="B16" t="s">
        <v>17</v>
      </c>
      <c r="C16" s="11">
        <f>IF('DCF Model'!C53&lt;'DCF Model'!C16,"INVALID (EV &lt; net debt)",'DCF Model'!C55)</f>
        <v>11600</v>
      </c>
      <c r="D16" s="7">
        <f>IF(ISNUMBER(C16),(C16-C9)/C9,"N/A")</f>
        <v>-3.5743973399833748E-2</v>
      </c>
    </row>
    <row r="17" spans="2:5" ht="13.5" customHeight="1" x14ac:dyDescent="0.25">
      <c r="B17" t="s">
        <v>18</v>
      </c>
      <c r="C17" s="11">
        <f>IF('DCF Model'!C62&lt;'DCF Model'!C16,"INVALID (EV &lt; net debt)",'DCF Model'!C64)</f>
        <v>14540</v>
      </c>
      <c r="D17" s="7">
        <f>IF(ISNUMBER(C17),(C17-C9)/C9,"N/A")</f>
        <v>0.2086450540315877</v>
      </c>
    </row>
    <row r="18" spans="2:5" ht="13.5" customHeight="1" x14ac:dyDescent="0.25">
      <c r="B18" t="s">
        <v>19</v>
      </c>
      <c r="C18" s="11">
        <f>'Comps Analysis'!C27</f>
        <v>13438</v>
      </c>
      <c r="D18" s="7">
        <f>IF(ISNUMBER(C18),(C18-C9)/C9,"N/A")</f>
        <v>0.11704073150457191</v>
      </c>
    </row>
    <row r="19" spans="2:5" ht="13.5" customHeight="1" x14ac:dyDescent="0.25">
      <c r="B19" t="s">
        <v>20</v>
      </c>
      <c r="C19" s="11">
        <f>'Comps Analysis'!C28</f>
        <v>11494</v>
      </c>
      <c r="D19" s="7">
        <f>IF(ISNUMBER(C19),(C19-C9)/C9,"N/A")</f>
        <v>-4.4555278470490442E-2</v>
      </c>
    </row>
    <row r="20" spans="2:5" ht="14" customHeight="1" x14ac:dyDescent="0.3">
      <c r="B20" s="47" t="s">
        <v>21</v>
      </c>
      <c r="C20" s="46"/>
      <c r="D20" s="46"/>
      <c r="E20" s="46"/>
    </row>
    <row r="21" spans="2:5" ht="14" customHeight="1" x14ac:dyDescent="0.3">
      <c r="B21" s="4" t="s">
        <v>22</v>
      </c>
      <c r="C21" s="6" t="str">
        <f>IF(COUNT(C16:C17)=0,"N/A",MIN(C16:C17)&amp;" - "&amp;MAX(C16:C17))</f>
        <v>11600 - 14540</v>
      </c>
    </row>
    <row r="23" spans="2:5" ht="14" customHeight="1" x14ac:dyDescent="0.3">
      <c r="B23" s="8" t="s">
        <v>23</v>
      </c>
      <c r="C23" s="9"/>
      <c r="D23" s="9"/>
    </row>
    <row r="24" spans="2:5" x14ac:dyDescent="0.2">
      <c r="B24" t="str">
        <f>"Otsuka pairs a pharmaceutical business built on Rexulti and Jynarque with a nutraceutical arm, and the operating margin has risen in each of the last four years; the shares trade at "&amp;TEXT('Comps Analysis'!L5,"0.0""x""")&amp;" earnings and "&amp;TEXT('Comps Analysis'!M5,"0.00""x""")&amp;" book."</f>
        <v>Otsuka pairs a pharmaceutical business built on Rexulti and Jynarque with a nutraceutical arm, and the operating margin has risen in each of the last four years; the shares trade at 17.4x earnings and 2.08x book.</v>
      </c>
    </row>
    <row r="25" spans="2:5" x14ac:dyDescent="0.2">
      <c r="B25" t="str">
        <f>"The balance sheet holds net cash, so enterprise value sits below market capitalisation and the "&amp;TEXT('DCF Model'!C26,"0.00%")&amp;" discount rate is the cost of equity with no leverage assumed."</f>
        <v>The balance sheet holds net cash, so enterprise value sits below market capitalisation and the 7.87% discount rate is the cost of equity with no leverage assumed.</v>
      </c>
    </row>
    <row r="26" spans="2:5" x14ac:dyDescent="0.2">
      <c r="B26" t="str">
        <f>"At "&amp;TEXT(C9,"#,##0")&amp;" the stock changes hands slightly below the Japanese pharmaceutical peer median on EV/EBITDA; holding the current margin supports "&amp;TEXT(C10,"#,##0")&amp;", or "&amp;TEXT(C12,"+0.0%;-0.0%")&amp;" from here."</f>
        <v>At 12,030 the stock changes hands slightly below the Japanese pharmaceutical peer median on EV/EBITDA; holding the current margin supports 13,070, or +8.6% from here.</v>
      </c>
    </row>
    <row r="28" spans="2:5" ht="14" customHeight="1" x14ac:dyDescent="0.3">
      <c r="B28" s="8" t="s">
        <v>24</v>
      </c>
      <c r="C28" s="9"/>
      <c r="D28" s="9"/>
    </row>
    <row r="29" spans="2:5" x14ac:dyDescent="0.2">
      <c r="B29" t="str">
        <f>"The margin has risen for four consecutive years and the base case assumes it holds rather than mean-reverting; treating an upswing as a plateau is the main way "&amp;TEXT(C10,"#,##0")&amp;" could prove optimistic."</f>
        <v>The margin has risen for four consecutive years and the base case assumes it holds rather than mean-reverting; treating an upswing as a plateau is the main way 13,070 could prove optimistic.</v>
      </c>
    </row>
    <row r="30" spans="2:5" x14ac:dyDescent="0.2">
      <c r="B30" t="s">
        <v>25</v>
      </c>
    </row>
    <row r="31" spans="2:5" x14ac:dyDescent="0.2">
      <c r="B31" t="str">
        <f>"Reported net income fell in one of the four observed years while operating income rose, so the "&amp;TEXT('Comps Analysis'!L5,"0.0""x""")&amp;" the market pays at "&amp;TEXT(C9,"#,##0")&amp;" is measured against an earnings base that has not been steady."</f>
        <v>Reported net income fell in one of the four observed years while operating income rose, so the 17.4x the market pays at 12,030 is measured against an earnings base that has not been steady.</v>
      </c>
    </row>
  </sheetData>
  <mergeCells count="3">
    <mergeCell ref="B3:D3"/>
    <mergeCell ref="B1:E1"/>
    <mergeCell ref="B20:E20"/>
  </mergeCells>
  <phoneticPr fontId="8"/>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003366"/>
  </sheetPr>
  <dimension ref="B2:F30"/>
  <sheetViews>
    <sheetView workbookViewId="0"/>
  </sheetViews>
  <sheetFormatPr defaultRowHeight="13" x14ac:dyDescent="0.2"/>
  <cols>
    <col min="1" max="1" width="3" customWidth="1"/>
    <col min="2" max="2" width="32" customWidth="1"/>
    <col min="3" max="6" width="18" customWidth="1"/>
  </cols>
  <sheetData>
    <row r="2" spans="2:6" ht="18" customHeight="1" x14ac:dyDescent="0.4">
      <c r="B2" s="2" t="s">
        <v>26</v>
      </c>
    </row>
    <row r="4" spans="2:6" ht="14" customHeight="1" x14ac:dyDescent="0.3">
      <c r="C4" s="10" t="s">
        <v>27</v>
      </c>
      <c r="D4" s="10" t="s">
        <v>28</v>
      </c>
      <c r="E4" s="10" t="s">
        <v>29</v>
      </c>
      <c r="F4" s="10" t="s">
        <v>30</v>
      </c>
    </row>
    <row r="5" spans="2:6" ht="14" customHeight="1" x14ac:dyDescent="0.3">
      <c r="B5" s="3" t="s">
        <v>31</v>
      </c>
    </row>
    <row r="6" spans="2:6" ht="14" customHeight="1" x14ac:dyDescent="0.3">
      <c r="B6" s="4" t="s">
        <v>32</v>
      </c>
      <c r="C6" s="5">
        <v>1737998</v>
      </c>
      <c r="D6" s="5">
        <v>2018568</v>
      </c>
      <c r="E6" s="5">
        <v>2329861</v>
      </c>
      <c r="F6" s="5">
        <v>2468892</v>
      </c>
    </row>
    <row r="7" spans="2:6" ht="14" customHeight="1" x14ac:dyDescent="0.3">
      <c r="B7" s="4" t="s">
        <v>33</v>
      </c>
      <c r="C7" s="5">
        <v>569501</v>
      </c>
      <c r="D7" s="5">
        <v>611219</v>
      </c>
      <c r="E7" s="5">
        <v>660432</v>
      </c>
      <c r="F7" s="5">
        <v>699115</v>
      </c>
    </row>
    <row r="8" spans="2:6" ht="14" customHeight="1" x14ac:dyDescent="0.3">
      <c r="B8" s="4" t="s">
        <v>34</v>
      </c>
      <c r="C8" s="5">
        <f>C6-C7</f>
        <v>1168497</v>
      </c>
      <c r="D8" s="5">
        <f>D6-D7</f>
        <v>1407349</v>
      </c>
      <c r="E8" s="5">
        <f>E6-E7</f>
        <v>1669429</v>
      </c>
      <c r="F8" s="5">
        <f>F6-F7</f>
        <v>1769777</v>
      </c>
    </row>
    <row r="9" spans="2:6" ht="13.5" customHeight="1" x14ac:dyDescent="0.25">
      <c r="B9" t="s">
        <v>35</v>
      </c>
      <c r="C9" s="7">
        <f>C8/C6</f>
        <v>0.67232355848510761</v>
      </c>
      <c r="D9" s="7">
        <f>D8/D6</f>
        <v>0.6972016796065329</v>
      </c>
      <c r="E9" s="7">
        <f>E8/E6</f>
        <v>0.71653587917905837</v>
      </c>
      <c r="F9" s="7">
        <f>F8/F6</f>
        <v>0.71683046484009827</v>
      </c>
    </row>
    <row r="10" spans="2:6" ht="14" customHeight="1" x14ac:dyDescent="0.3">
      <c r="B10" s="4" t="s">
        <v>36</v>
      </c>
      <c r="C10" s="5">
        <v>982433</v>
      </c>
      <c r="D10" s="5">
        <v>1115681</v>
      </c>
      <c r="E10" s="5">
        <v>1253437</v>
      </c>
      <c r="F10" s="5">
        <v>1297671</v>
      </c>
    </row>
    <row r="11" spans="2:6" ht="14" customHeight="1" x14ac:dyDescent="0.3">
      <c r="B11" s="4" t="s">
        <v>37</v>
      </c>
      <c r="C11" s="5">
        <v>186064</v>
      </c>
      <c r="D11" s="5">
        <v>291668</v>
      </c>
      <c r="E11" s="5">
        <v>415992</v>
      </c>
      <c r="F11" s="5">
        <v>472106</v>
      </c>
    </row>
    <row r="12" spans="2:6" ht="14" customHeight="1" x14ac:dyDescent="0.3">
      <c r="B12" s="4" t="s">
        <v>38</v>
      </c>
      <c r="C12" s="5">
        <v>133906</v>
      </c>
      <c r="D12" s="5">
        <v>121616</v>
      </c>
      <c r="E12" s="5">
        <v>343120</v>
      </c>
      <c r="F12" s="5">
        <v>363150</v>
      </c>
    </row>
    <row r="13" spans="2:6" ht="13.5" customHeight="1" x14ac:dyDescent="0.25">
      <c r="B13" t="s">
        <v>39</v>
      </c>
      <c r="C13" s="7">
        <f>C11/C6</f>
        <v>0.10705650984638647</v>
      </c>
      <c r="D13" s="7">
        <f>D11/D6</f>
        <v>0.14449253133904827</v>
      </c>
      <c r="E13" s="7">
        <f>E11/E6</f>
        <v>0.17854799063120075</v>
      </c>
      <c r="F13" s="7">
        <f>F11/F6</f>
        <v>0.191221811241642</v>
      </c>
    </row>
    <row r="14" spans="2:6" ht="13.5" customHeight="1" x14ac:dyDescent="0.25">
      <c r="B14" t="s">
        <v>40</v>
      </c>
      <c r="C14" s="7">
        <f>C12/C6</f>
        <v>7.704611858011344E-2</v>
      </c>
      <c r="D14" s="7">
        <f>D12/D6</f>
        <v>6.0248651519294864E-2</v>
      </c>
      <c r="E14" s="7">
        <f>E12/E6</f>
        <v>0.14727058824539319</v>
      </c>
      <c r="F14" s="7">
        <f>F12/F6</f>
        <v>0.14709027369362451</v>
      </c>
    </row>
    <row r="15" spans="2:6" ht="13.5" customHeight="1" x14ac:dyDescent="0.25">
      <c r="B15" t="s">
        <v>41</v>
      </c>
      <c r="C15" t="s">
        <v>42</v>
      </c>
      <c r="D15" s="7">
        <f>(D6-C6)/C6</f>
        <v>0.16143286701135445</v>
      </c>
      <c r="E15" s="7">
        <f>(E6-D6)/D6</f>
        <v>0.15421477007462717</v>
      </c>
      <c r="F15" s="7">
        <f>(F6-E6)/E6</f>
        <v>5.9673517003804091E-2</v>
      </c>
    </row>
    <row r="16" spans="2:6" ht="13.5" customHeight="1" x14ac:dyDescent="0.25">
      <c r="B16" t="s">
        <v>43</v>
      </c>
      <c r="C16" t="s">
        <v>42</v>
      </c>
      <c r="D16" s="7">
        <f>(D11-C11)/C11</f>
        <v>0.56756814859403215</v>
      </c>
      <c r="E16" s="7">
        <f>(E11-D11)/D11</f>
        <v>0.42625176570621393</v>
      </c>
      <c r="F16" s="7">
        <f>(F11-E11)/E11</f>
        <v>0.13489201715417604</v>
      </c>
    </row>
    <row r="18" spans="2:6" ht="14" customHeight="1" x14ac:dyDescent="0.3">
      <c r="B18" s="3" t="s">
        <v>44</v>
      </c>
    </row>
    <row r="19" spans="2:6" ht="14" customHeight="1" x14ac:dyDescent="0.3">
      <c r="B19" s="4" t="s">
        <v>45</v>
      </c>
      <c r="C19" s="5">
        <v>211848</v>
      </c>
      <c r="D19" s="5">
        <v>283232</v>
      </c>
      <c r="E19" s="5">
        <v>354638</v>
      </c>
      <c r="F19" s="5">
        <v>403579</v>
      </c>
    </row>
    <row r="20" spans="2:6" ht="14" customHeight="1" x14ac:dyDescent="0.3">
      <c r="B20" s="4" t="s">
        <v>46</v>
      </c>
      <c r="C20" s="5"/>
      <c r="D20" s="5"/>
      <c r="E20" s="5"/>
      <c r="F20" s="5"/>
    </row>
    <row r="21" spans="2:6" ht="14" customHeight="1" x14ac:dyDescent="0.3">
      <c r="B21" s="4" t="s">
        <v>47</v>
      </c>
    </row>
    <row r="22" spans="2:6" x14ac:dyDescent="0.2">
      <c r="B22" t="s">
        <v>48</v>
      </c>
    </row>
    <row r="23" spans="2:6" x14ac:dyDescent="0.2">
      <c r="B23" t="s">
        <v>49</v>
      </c>
    </row>
    <row r="25" spans="2:6" ht="14" customHeight="1" x14ac:dyDescent="0.3">
      <c r="B25" s="3" t="s">
        <v>50</v>
      </c>
    </row>
    <row r="26" spans="2:6" ht="14" customHeight="1" x14ac:dyDescent="0.3">
      <c r="B26" s="4" t="s">
        <v>51</v>
      </c>
      <c r="C26" s="5">
        <v>471634</v>
      </c>
      <c r="D26" s="5">
        <v>513341</v>
      </c>
      <c r="E26" s="5">
        <v>426173</v>
      </c>
      <c r="F26" s="5">
        <v>534645</v>
      </c>
    </row>
    <row r="27" spans="2:6" ht="14" customHeight="1" x14ac:dyDescent="0.3">
      <c r="B27" s="4" t="s">
        <v>52</v>
      </c>
      <c r="C27" s="5">
        <v>120215</v>
      </c>
      <c r="D27" s="5">
        <v>138625</v>
      </c>
      <c r="E27" s="5">
        <v>94625</v>
      </c>
      <c r="F27" s="5">
        <v>127006</v>
      </c>
    </row>
    <row r="28" spans="2:6" ht="14" customHeight="1" x14ac:dyDescent="0.3">
      <c r="B28" s="4" t="s">
        <v>53</v>
      </c>
      <c r="C28" s="5">
        <f>C27-C26</f>
        <v>-351419</v>
      </c>
      <c r="D28" s="5">
        <f>D27-D26</f>
        <v>-374716</v>
      </c>
      <c r="E28" s="5">
        <f>E27-E26</f>
        <v>-331548</v>
      </c>
      <c r="F28" s="5">
        <f>F27-F26</f>
        <v>-407639</v>
      </c>
    </row>
    <row r="30" spans="2:6" ht="14" customHeight="1" x14ac:dyDescent="0.3">
      <c r="B30" s="1" t="s">
        <v>54</v>
      </c>
    </row>
  </sheetData>
  <phoneticPr fontId="8"/>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006600"/>
  </sheetPr>
  <dimension ref="B2:G87"/>
  <sheetViews>
    <sheetView workbookViewId="0"/>
  </sheetViews>
  <sheetFormatPr defaultRowHeight="13" x14ac:dyDescent="0.2"/>
  <cols>
    <col min="1" max="1" width="3" customWidth="1"/>
    <col min="2" max="2" width="32" customWidth="1"/>
    <col min="3" max="7" width="16" customWidth="1"/>
  </cols>
  <sheetData>
    <row r="2" spans="2:7" ht="18" customHeight="1" x14ac:dyDescent="0.4">
      <c r="B2" s="2" t="s">
        <v>55</v>
      </c>
    </row>
    <row r="4" spans="2:7" ht="14" customHeight="1" x14ac:dyDescent="0.3">
      <c r="B4" s="8" t="s">
        <v>56</v>
      </c>
      <c r="C4" s="9"/>
      <c r="D4" s="9"/>
      <c r="E4" s="9"/>
      <c r="F4" s="9"/>
      <c r="G4" s="9"/>
    </row>
    <row r="5" spans="2:7" ht="14" customHeight="1" x14ac:dyDescent="0.3">
      <c r="B5" s="4" t="s">
        <v>49</v>
      </c>
      <c r="C5" s="7">
        <v>4.9399999999999999E-2</v>
      </c>
    </row>
    <row r="6" spans="2:7" ht="14" customHeight="1" x14ac:dyDescent="0.3">
      <c r="B6" s="4" t="s">
        <v>57</v>
      </c>
      <c r="C6" s="7">
        <v>0.25</v>
      </c>
    </row>
    <row r="7" spans="2:7" ht="14" customHeight="1" x14ac:dyDescent="0.3">
      <c r="B7" s="4" t="s">
        <v>58</v>
      </c>
      <c r="C7" s="7">
        <v>2.9700000000000001E-2</v>
      </c>
    </row>
    <row r="8" spans="2:7" ht="14" customHeight="1" x14ac:dyDescent="0.3">
      <c r="B8" s="4" t="s">
        <v>59</v>
      </c>
      <c r="C8" s="12">
        <v>0.6</v>
      </c>
    </row>
    <row r="9" spans="2:7" ht="14" customHeight="1" x14ac:dyDescent="0.3">
      <c r="B9" s="4" t="s">
        <v>60</v>
      </c>
      <c r="C9" s="7">
        <v>6.5000000000000002E-2</v>
      </c>
    </row>
    <row r="10" spans="2:7" ht="14" customHeight="1" x14ac:dyDescent="0.3">
      <c r="B10" s="4" t="s">
        <v>61</v>
      </c>
      <c r="C10" s="7">
        <v>0.01</v>
      </c>
    </row>
    <row r="11" spans="2:7" ht="14" customHeight="1" x14ac:dyDescent="0.3">
      <c r="B11" s="4" t="s">
        <v>62</v>
      </c>
      <c r="C11" s="7">
        <v>0.01</v>
      </c>
    </row>
    <row r="12" spans="2:7" ht="14" customHeight="1" x14ac:dyDescent="0.3">
      <c r="B12" s="4" t="s">
        <v>63</v>
      </c>
      <c r="C12" s="13">
        <v>0</v>
      </c>
    </row>
    <row r="13" spans="2:7" ht="14" customHeight="1" x14ac:dyDescent="0.3">
      <c r="B13" s="4" t="s">
        <v>64</v>
      </c>
      <c r="C13" s="7">
        <v>0.01</v>
      </c>
    </row>
    <row r="14" spans="2:7" ht="14" customHeight="1" x14ac:dyDescent="0.3">
      <c r="B14" s="4" t="s">
        <v>65</v>
      </c>
      <c r="C14" s="14">
        <v>11.4</v>
      </c>
    </row>
    <row r="15" spans="2:7" ht="14" customHeight="1" x14ac:dyDescent="0.3">
      <c r="B15" s="4" t="s">
        <v>66</v>
      </c>
      <c r="C15" s="15">
        <v>525393423</v>
      </c>
    </row>
    <row r="16" spans="2:7" ht="14" customHeight="1" x14ac:dyDescent="0.3">
      <c r="B16" s="4" t="s">
        <v>67</v>
      </c>
      <c r="C16" s="5">
        <v>-374892</v>
      </c>
    </row>
    <row r="17" spans="2:7" ht="14" customHeight="1" x14ac:dyDescent="0.3">
      <c r="B17" s="4" t="s">
        <v>68</v>
      </c>
      <c r="C17" s="5">
        <v>2468892</v>
      </c>
    </row>
    <row r="18" spans="2:7" ht="14" customHeight="1" x14ac:dyDescent="0.3">
      <c r="B18" s="4" t="s">
        <v>69</v>
      </c>
      <c r="C18" s="7">
        <v>4.7E-2</v>
      </c>
    </row>
    <row r="19" spans="2:7" ht="14" customHeight="1" x14ac:dyDescent="0.3">
      <c r="B19" s="4" t="s">
        <v>70</v>
      </c>
      <c r="C19" s="12">
        <v>0.5</v>
      </c>
    </row>
    <row r="20" spans="2:7" ht="14" customHeight="1" x14ac:dyDescent="0.3">
      <c r="B20" s="4" t="s">
        <v>71</v>
      </c>
      <c r="C20" s="5">
        <v>2620516</v>
      </c>
    </row>
    <row r="22" spans="2:7" ht="14" customHeight="1" x14ac:dyDescent="0.3">
      <c r="B22" s="8" t="s">
        <v>72</v>
      </c>
      <c r="C22" s="9"/>
      <c r="D22" s="9"/>
      <c r="E22" s="9"/>
      <c r="F22" s="9"/>
      <c r="G22" s="9"/>
    </row>
    <row r="23" spans="2:7" ht="14" customHeight="1" x14ac:dyDescent="0.3">
      <c r="B23" s="4" t="s">
        <v>73</v>
      </c>
      <c r="C23" s="16">
        <f>C7+C8*C9+C10</f>
        <v>7.8699999999999992E-2</v>
      </c>
    </row>
    <row r="24" spans="2:7" ht="14" customHeight="1" x14ac:dyDescent="0.3">
      <c r="B24" s="4" t="s">
        <v>74</v>
      </c>
      <c r="C24" s="16">
        <f>1/(1+C12)</f>
        <v>1</v>
      </c>
    </row>
    <row r="25" spans="2:7" ht="14" customHeight="1" x14ac:dyDescent="0.3">
      <c r="B25" s="4" t="s">
        <v>75</v>
      </c>
      <c r="C25" s="16">
        <f>C12/(1+C12)</f>
        <v>0</v>
      </c>
    </row>
    <row r="26" spans="2:7" ht="14" customHeight="1" x14ac:dyDescent="0.3">
      <c r="B26" s="4" t="s">
        <v>76</v>
      </c>
      <c r="C26" s="16">
        <f>C23*C24+C11*C25</f>
        <v>7.8699999999999992E-2</v>
      </c>
    </row>
    <row r="27" spans="2:7" ht="14" customHeight="1" x14ac:dyDescent="0.3">
      <c r="B27" s="4" t="s">
        <v>77</v>
      </c>
      <c r="C27" s="17" t="s">
        <v>78</v>
      </c>
      <c r="D27" s="6">
        <f>MATCH(C27,B69:B73,0)</f>
        <v>1</v>
      </c>
    </row>
    <row r="28" spans="2:7" ht="14" customHeight="1" x14ac:dyDescent="0.3">
      <c r="B28" s="8" t="s">
        <v>79</v>
      </c>
      <c r="C28" s="9"/>
      <c r="D28" s="9"/>
      <c r="E28" s="9"/>
      <c r="F28" s="9"/>
      <c r="G28" s="9"/>
    </row>
    <row r="29" spans="2:7" ht="14" customHeight="1" x14ac:dyDescent="0.3">
      <c r="C29" s="10" t="s">
        <v>80</v>
      </c>
      <c r="D29" s="10" t="s">
        <v>81</v>
      </c>
      <c r="E29" s="10" t="s">
        <v>82</v>
      </c>
      <c r="F29" s="10" t="s">
        <v>83</v>
      </c>
      <c r="G29" s="10" t="s">
        <v>84</v>
      </c>
    </row>
    <row r="30" spans="2:7" ht="14" customHeight="1" x14ac:dyDescent="0.3">
      <c r="B30" s="4" t="s">
        <v>41</v>
      </c>
      <c r="C30" s="18">
        <f>CHOOSE($D$27,C69,C70,C71,C72,C73)</f>
        <v>0.05</v>
      </c>
      <c r="D30" s="18">
        <f>CHOOSE($D$27,D69,D70,D71,D72,D73)</f>
        <v>0.04</v>
      </c>
      <c r="E30" s="18">
        <f>CHOOSE($D$27,E69,E70,E71,E72,E73)</f>
        <v>3.5000000000000003E-2</v>
      </c>
      <c r="F30" s="18">
        <f>CHOOSE($D$27,F69,F70,F71,F72,F73)</f>
        <v>0.03</v>
      </c>
      <c r="G30" s="18">
        <f>CHOOSE($D$27,G69,G70,G71,G72,G73)</f>
        <v>2.5000000000000001E-2</v>
      </c>
    </row>
    <row r="31" spans="2:7" ht="14" customHeight="1" x14ac:dyDescent="0.3">
      <c r="B31" s="4" t="s">
        <v>85</v>
      </c>
      <c r="C31" s="18">
        <f>CHOOSE($D$27,C76,C77,C78,C79,C80)</f>
        <v>0.28299999999999997</v>
      </c>
      <c r="D31" s="18">
        <f>CHOOSE($D$27,D76,D77,D78,D79,D80)</f>
        <v>0.28299999999999997</v>
      </c>
      <c r="E31" s="18">
        <f>CHOOSE($D$27,E76,E77,E78,E79,E80)</f>
        <v>0.28299999999999997</v>
      </c>
      <c r="F31" s="18">
        <f>CHOOSE($D$27,F76,F77,F78,F79,F80)</f>
        <v>0.28299999999999997</v>
      </c>
      <c r="G31" s="18">
        <f>CHOOSE($D$27,G76,G77,G78,G79,G80)</f>
        <v>0.28299999999999997</v>
      </c>
    </row>
    <row r="32" spans="2:7" ht="14" customHeight="1" x14ac:dyDescent="0.3">
      <c r="B32" s="4" t="s">
        <v>86</v>
      </c>
      <c r="C32" s="18">
        <f>CHOOSE($D$27,C83,C84,C85,C86,C87)</f>
        <v>0.52577799999999997</v>
      </c>
      <c r="D32" s="18">
        <f>CHOOSE($D$27,D83,D84,D85,D86,D87)</f>
        <v>0.52577799999999997</v>
      </c>
      <c r="E32" s="18">
        <f>CHOOSE($D$27,E83,E84,E85,E86,E87)</f>
        <v>0.52577799999999997</v>
      </c>
      <c r="F32" s="18">
        <f>CHOOSE($D$27,F83,F84,F85,F86,F87)</f>
        <v>0.52577799999999997</v>
      </c>
      <c r="G32" s="18">
        <f>CHOOSE($D$27,G83,G84,G85,G86,G87)</f>
        <v>0.52577799999999997</v>
      </c>
    </row>
    <row r="33" spans="2:7" ht="14" customHeight="1" x14ac:dyDescent="0.3">
      <c r="B33" s="4" t="s">
        <v>32</v>
      </c>
      <c r="C33" s="5">
        <f>C17*(1+C30)</f>
        <v>2592336.6</v>
      </c>
      <c r="D33" s="5">
        <f>C33*(1+D30)</f>
        <v>2696030.0640000002</v>
      </c>
      <c r="E33" s="5">
        <f>D33*(1+E30)</f>
        <v>2790391.1162399999</v>
      </c>
      <c r="F33" s="5">
        <f>E33*(1+F30)</f>
        <v>2874102.8497271999</v>
      </c>
      <c r="G33" s="5">
        <f>F33*(1+G30)</f>
        <v>2945955.4209703798</v>
      </c>
    </row>
    <row r="34" spans="2:7" ht="14" customHeight="1" x14ac:dyDescent="0.3">
      <c r="B34" s="4" t="s">
        <v>33</v>
      </c>
      <c r="C34" s="5">
        <f>C33*C31</f>
        <v>733631.2577999999</v>
      </c>
      <c r="D34" s="5">
        <f>D33*D31</f>
        <v>762976.50811199995</v>
      </c>
      <c r="E34" s="5">
        <f>E33*E31</f>
        <v>789680.68589591992</v>
      </c>
      <c r="F34" s="5">
        <f>F33*F31</f>
        <v>813371.10647279746</v>
      </c>
      <c r="G34" s="5">
        <f>G33*G31</f>
        <v>833705.3841346174</v>
      </c>
    </row>
    <row r="35" spans="2:7" ht="14" customHeight="1" x14ac:dyDescent="0.3">
      <c r="B35" s="4" t="s">
        <v>34</v>
      </c>
      <c r="C35" s="19">
        <f>C33-C34</f>
        <v>1858705.3422000003</v>
      </c>
      <c r="D35" s="19">
        <f>D33-D34</f>
        <v>1933053.5558880004</v>
      </c>
      <c r="E35" s="19">
        <f>E33-E34</f>
        <v>2000710.4303440801</v>
      </c>
      <c r="F35" s="19">
        <f>F33-F34</f>
        <v>2060731.7432544024</v>
      </c>
      <c r="G35" s="19">
        <f>G33-G34</f>
        <v>2112250.0368357627</v>
      </c>
    </row>
    <row r="36" spans="2:7" ht="14" customHeight="1" x14ac:dyDescent="0.3">
      <c r="B36" s="4" t="s">
        <v>35</v>
      </c>
      <c r="C36" s="7">
        <f>C35/C33</f>
        <v>0.71700000000000008</v>
      </c>
      <c r="D36" s="7">
        <f>D35/D33</f>
        <v>0.71700000000000008</v>
      </c>
      <c r="E36" s="7">
        <f>E35/E33</f>
        <v>0.71700000000000008</v>
      </c>
      <c r="F36" s="7">
        <f>F35/F33</f>
        <v>0.71700000000000008</v>
      </c>
      <c r="G36" s="7">
        <f>G35/G33</f>
        <v>0.71700000000000008</v>
      </c>
    </row>
    <row r="37" spans="2:7" ht="14" customHeight="1" x14ac:dyDescent="0.3">
      <c r="B37" s="4" t="s">
        <v>87</v>
      </c>
      <c r="C37" s="5">
        <f>C33*C32</f>
        <v>1362993.5528748001</v>
      </c>
      <c r="D37" s="5">
        <f>D33*D32</f>
        <v>1417513.2949897919</v>
      </c>
      <c r="E37" s="5">
        <f>E33*E32</f>
        <v>1467126.2603144345</v>
      </c>
      <c r="F37" s="5">
        <f>F33*F32</f>
        <v>1511140.0481238677</v>
      </c>
      <c r="G37" s="5">
        <f>G33*G32</f>
        <v>1548918.5493269642</v>
      </c>
    </row>
    <row r="38" spans="2:7" ht="14" customHeight="1" x14ac:dyDescent="0.3">
      <c r="B38" s="4" t="s">
        <v>88</v>
      </c>
      <c r="C38" s="7">
        <f>(C35-C37)/C33</f>
        <v>0.19122200000000009</v>
      </c>
      <c r="D38" s="7">
        <f>(D35-D37)/D33</f>
        <v>0.19122200000000017</v>
      </c>
      <c r="E38" s="7">
        <f>(E35-E37)/E33</f>
        <v>0.19122200000000011</v>
      </c>
      <c r="F38" s="7">
        <f>(F35-F37)/F33</f>
        <v>0.19122200000000003</v>
      </c>
      <c r="G38" s="7">
        <f>(G35-G37)/G33</f>
        <v>0.19122200000000017</v>
      </c>
    </row>
    <row r="39" spans="2:7" ht="14" customHeight="1" x14ac:dyDescent="0.3">
      <c r="B39" s="4" t="s">
        <v>89</v>
      </c>
      <c r="C39" s="19">
        <f>C35-C37</f>
        <v>495711.78932520025</v>
      </c>
      <c r="D39" s="19">
        <f>D35-D37</f>
        <v>515540.26089820848</v>
      </c>
      <c r="E39" s="19">
        <f>E35-E37</f>
        <v>533584.17002964555</v>
      </c>
      <c r="F39" s="19">
        <f>F35-F37</f>
        <v>549591.6951305347</v>
      </c>
      <c r="G39" s="19">
        <f>G35-G37</f>
        <v>563331.48750879848</v>
      </c>
    </row>
    <row r="40" spans="2:7" ht="14" customHeight="1" x14ac:dyDescent="0.3">
      <c r="B40" s="4" t="s">
        <v>90</v>
      </c>
      <c r="C40" s="5">
        <f>MAX(0,C39*C6)</f>
        <v>123927.94733130006</v>
      </c>
      <c r="D40" s="5">
        <f>MAX(0,D39*C6)</f>
        <v>128885.06522455212</v>
      </c>
      <c r="E40" s="5">
        <f>MAX(0,E39*C6)</f>
        <v>133396.04250741139</v>
      </c>
      <c r="F40" s="5">
        <f>MAX(0,F39*C6)</f>
        <v>137397.92378263368</v>
      </c>
      <c r="G40" s="5">
        <f>MAX(0,G39*C6)</f>
        <v>140832.87187719962</v>
      </c>
    </row>
    <row r="41" spans="2:7" ht="14" customHeight="1" x14ac:dyDescent="0.3">
      <c r="B41" s="4" t="s">
        <v>91</v>
      </c>
      <c r="C41" s="19">
        <f>C39-C40</f>
        <v>371783.84199390019</v>
      </c>
      <c r="D41" s="19">
        <f>D39-D40</f>
        <v>386655.19567365636</v>
      </c>
      <c r="E41" s="19">
        <f>E39-E40</f>
        <v>400188.12752223416</v>
      </c>
      <c r="F41" s="19">
        <f>F39-F40</f>
        <v>412193.77134790103</v>
      </c>
      <c r="G41" s="19">
        <f>G39-G40</f>
        <v>422498.61563159886</v>
      </c>
    </row>
    <row r="42" spans="2:7" ht="14" customHeight="1" x14ac:dyDescent="0.3">
      <c r="B42" s="4" t="s">
        <v>92</v>
      </c>
      <c r="C42" s="5">
        <f>C33*C18</f>
        <v>121839.8202</v>
      </c>
      <c r="D42" s="5">
        <f>D33*C18</f>
        <v>126713.41300800002</v>
      </c>
      <c r="E42" s="5">
        <f>E33*C18</f>
        <v>131148.38246328</v>
      </c>
      <c r="F42" s="5">
        <f>F33*C18</f>
        <v>135082.83393717839</v>
      </c>
      <c r="G42" s="5">
        <f>G33*C18</f>
        <v>138459.90478560785</v>
      </c>
    </row>
    <row r="43" spans="2:7" ht="14" customHeight="1" x14ac:dyDescent="0.3">
      <c r="B43" s="4" t="s">
        <v>93</v>
      </c>
      <c r="C43" s="5">
        <f>C33*C5</f>
        <v>128061.42804</v>
      </c>
      <c r="D43" s="5">
        <f>D33*C5</f>
        <v>133183.88516160002</v>
      </c>
      <c r="E43" s="5">
        <f>E33*C5</f>
        <v>137845.321142256</v>
      </c>
      <c r="F43" s="5">
        <f>F33*C5</f>
        <v>141980.68077652366</v>
      </c>
      <c r="G43" s="5">
        <f>G33*C5</f>
        <v>145530.19779593675</v>
      </c>
    </row>
    <row r="44" spans="2:7" ht="14" customHeight="1" x14ac:dyDescent="0.3">
      <c r="B44" s="4" t="s">
        <v>94</v>
      </c>
      <c r="C44" s="5">
        <f>'NWC Schedule'!D19</f>
        <v>-28648.280630684923</v>
      </c>
      <c r="D44" s="5">
        <f>'NWC Schedule'!E19</f>
        <v>27444.108774772729</v>
      </c>
      <c r="E44" s="5">
        <f>'NWC Schedule'!F19</f>
        <v>24974.138985043042</v>
      </c>
      <c r="F44" s="5">
        <f>'NWC Schedule'!G19</f>
        <v>22155.629013873753</v>
      </c>
      <c r="G44" s="5">
        <f>'NWC Schedule'!H19</f>
        <v>19016.914903575205</v>
      </c>
    </row>
    <row r="45" spans="2:7" ht="14" customHeight="1" x14ac:dyDescent="0.3">
      <c r="B45" s="4" t="s">
        <v>95</v>
      </c>
      <c r="C45" s="20">
        <f>C41+C42-C43-C44</f>
        <v>394210.5147845851</v>
      </c>
      <c r="D45" s="20">
        <f>D41+D42-D43-D44</f>
        <v>352740.61474528362</v>
      </c>
      <c r="E45" s="20">
        <f>E41+E42-E43-E44</f>
        <v>368517.04985821515</v>
      </c>
      <c r="F45" s="20">
        <f>F41+F42-F43-F44</f>
        <v>383140.29549468204</v>
      </c>
      <c r="G45" s="20">
        <f>G41+G42-G43-G44</f>
        <v>396411.40771769476</v>
      </c>
    </row>
    <row r="46" spans="2:7" ht="14" customHeight="1" x14ac:dyDescent="0.3">
      <c r="B46" s="4" t="s">
        <v>96</v>
      </c>
      <c r="C46" s="21">
        <f>1/(1+C26)^(C19+0)</f>
        <v>0.96283010421652915</v>
      </c>
      <c r="D46" s="21">
        <f>1/(1+C26)^(C19+1)</f>
        <v>0.89258376213639479</v>
      </c>
      <c r="E46" s="21">
        <f>1/(1+C26)^(C19+2)</f>
        <v>0.82746246605765716</v>
      </c>
      <c r="F46" s="21">
        <f>1/(1+C26)^(C19+3)</f>
        <v>0.76709230189826383</v>
      </c>
      <c r="G46" s="21">
        <f>1/(1+C26)^(C19+4)</f>
        <v>0.71112663567095935</v>
      </c>
    </row>
    <row r="47" spans="2:7" ht="14" customHeight="1" x14ac:dyDescent="0.3">
      <c r="B47" s="4" t="s">
        <v>97</v>
      </c>
      <c r="C47" s="19">
        <f>C45*C46</f>
        <v>379557.75103329367</v>
      </c>
      <c r="D47" s="19">
        <f>D45*D46</f>
        <v>314850.54496764991</v>
      </c>
      <c r="E47" s="19">
        <f>E45*E46</f>
        <v>304934.02685997129</v>
      </c>
      <c r="F47" s="19">
        <f>F45*F46</f>
        <v>293903.97122099664</v>
      </c>
      <c r="G47" s="19">
        <f>G45*G46</f>
        <v>281898.71071187325</v>
      </c>
    </row>
    <row r="49" spans="2:7" ht="14" customHeight="1" x14ac:dyDescent="0.3">
      <c r="B49" s="22" t="s">
        <v>98</v>
      </c>
      <c r="C49" s="23"/>
      <c r="D49" s="23"/>
      <c r="E49" s="23"/>
      <c r="F49" s="23"/>
      <c r="G49" s="23"/>
    </row>
    <row r="50" spans="2:7" ht="14" customHeight="1" x14ac:dyDescent="0.3">
      <c r="B50" s="4" t="s">
        <v>99</v>
      </c>
      <c r="C50" s="5">
        <f>SUM(C47:G47)</f>
        <v>1575145.0047937846</v>
      </c>
    </row>
    <row r="51" spans="2:7" ht="14" customHeight="1" x14ac:dyDescent="0.3">
      <c r="B51" s="4" t="s">
        <v>100</v>
      </c>
      <c r="C51" s="5">
        <f>G45*(1+C13)/(C26-C13)</f>
        <v>5827882.4133169102</v>
      </c>
    </row>
    <row r="52" spans="2:7" ht="14" customHeight="1" x14ac:dyDescent="0.3">
      <c r="B52" s="4" t="s">
        <v>101</v>
      </c>
      <c r="C52" s="5">
        <f>C51*G46</f>
        <v>4144362.4136680057</v>
      </c>
    </row>
    <row r="53" spans="2:7" ht="14" customHeight="1" x14ac:dyDescent="0.3">
      <c r="B53" s="4" t="s">
        <v>102</v>
      </c>
      <c r="C53" s="5">
        <f>C50+C52</f>
        <v>5719507.4184617903</v>
      </c>
    </row>
    <row r="54" spans="2:7" ht="14" customHeight="1" x14ac:dyDescent="0.3">
      <c r="B54" s="4" t="s">
        <v>103</v>
      </c>
      <c r="C54" s="5">
        <f>C53-C16</f>
        <v>6094399.4184617903</v>
      </c>
    </row>
    <row r="55" spans="2:7" ht="14" customHeight="1" x14ac:dyDescent="0.3">
      <c r="B55" s="4" t="s">
        <v>104</v>
      </c>
      <c r="C55" s="24">
        <f>ROUND(C54*1000000/C15,0)</f>
        <v>11600</v>
      </c>
    </row>
    <row r="57" spans="2:7" ht="14" customHeight="1" x14ac:dyDescent="0.3">
      <c r="B57" s="22" t="s">
        <v>105</v>
      </c>
      <c r="C57" s="23"/>
      <c r="D57" s="23"/>
      <c r="E57" s="23"/>
      <c r="F57" s="23"/>
      <c r="G57" s="23"/>
    </row>
    <row r="58" spans="2:7" ht="14" customHeight="1" x14ac:dyDescent="0.3">
      <c r="B58" s="4" t="s">
        <v>99</v>
      </c>
      <c r="C58" s="5">
        <f>C50</f>
        <v>1575145.0047937846</v>
      </c>
    </row>
    <row r="59" spans="2:7" ht="14" customHeight="1" x14ac:dyDescent="0.3">
      <c r="B59" s="4" t="s">
        <v>106</v>
      </c>
      <c r="C59" s="5">
        <f>G39+G42</f>
        <v>701791.39229440631</v>
      </c>
    </row>
    <row r="60" spans="2:7" ht="14" customHeight="1" x14ac:dyDescent="0.3">
      <c r="B60" s="4" t="s">
        <v>107</v>
      </c>
      <c r="C60" s="5">
        <f>C59*C14</f>
        <v>8000421.8721562326</v>
      </c>
    </row>
    <row r="61" spans="2:7" ht="14" customHeight="1" x14ac:dyDescent="0.3">
      <c r="B61" s="4" t="s">
        <v>101</v>
      </c>
      <c r="C61" s="5">
        <f>C60*G46</f>
        <v>5689313.08989482</v>
      </c>
    </row>
    <row r="62" spans="2:7" ht="14" customHeight="1" x14ac:dyDescent="0.3">
      <c r="B62" s="4" t="s">
        <v>102</v>
      </c>
      <c r="C62" s="5">
        <f>C58+C61</f>
        <v>7264458.0946886046</v>
      </c>
    </row>
    <row r="63" spans="2:7" ht="14" customHeight="1" x14ac:dyDescent="0.3">
      <c r="B63" s="4" t="s">
        <v>103</v>
      </c>
      <c r="C63" s="5">
        <f>C62-C16</f>
        <v>7639350.0946886046</v>
      </c>
    </row>
    <row r="64" spans="2:7" ht="14" customHeight="1" x14ac:dyDescent="0.3">
      <c r="B64" s="4" t="s">
        <v>108</v>
      </c>
      <c r="C64" s="24">
        <f>ROUND(C63*1000000/C15,0)</f>
        <v>14540</v>
      </c>
    </row>
    <row r="66" spans="2:7" ht="14" customHeight="1" x14ac:dyDescent="0.3">
      <c r="B66" s="22" t="s">
        <v>109</v>
      </c>
      <c r="C66" s="23"/>
      <c r="D66" s="23"/>
      <c r="E66" s="23"/>
      <c r="F66" s="23"/>
      <c r="G66" s="23"/>
    </row>
    <row r="67" spans="2:7" ht="14" customHeight="1" x14ac:dyDescent="0.3">
      <c r="C67" s="25" t="s">
        <v>110</v>
      </c>
      <c r="D67" s="25" t="s">
        <v>111</v>
      </c>
      <c r="E67" s="25" t="s">
        <v>112</v>
      </c>
      <c r="F67" s="25" t="s">
        <v>113</v>
      </c>
      <c r="G67" s="25" t="s">
        <v>114</v>
      </c>
    </row>
    <row r="68" spans="2:7" ht="14" customHeight="1" x14ac:dyDescent="0.3">
      <c r="B68" s="3" t="s">
        <v>41</v>
      </c>
    </row>
    <row r="69" spans="2:7" ht="14" customHeight="1" x14ac:dyDescent="0.3">
      <c r="B69" s="4" t="s">
        <v>78</v>
      </c>
      <c r="C69" s="26">
        <v>0.05</v>
      </c>
      <c r="D69" s="26">
        <v>0.04</v>
      </c>
      <c r="E69" s="26">
        <v>3.5000000000000003E-2</v>
      </c>
      <c r="F69" s="26">
        <v>0.03</v>
      </c>
      <c r="G69" s="26">
        <v>2.5000000000000001E-2</v>
      </c>
    </row>
    <row r="70" spans="2:7" ht="14" customHeight="1" x14ac:dyDescent="0.3">
      <c r="B70" s="4" t="s">
        <v>115</v>
      </c>
      <c r="C70" s="26">
        <v>6.5000000000000002E-2</v>
      </c>
      <c r="D70" s="26">
        <v>5.5E-2</v>
      </c>
      <c r="E70" s="26">
        <v>4.4999999999999998E-2</v>
      </c>
      <c r="F70" s="26">
        <v>0.04</v>
      </c>
      <c r="G70" s="26">
        <v>3.5000000000000003E-2</v>
      </c>
    </row>
    <row r="71" spans="2:7" ht="14" customHeight="1" x14ac:dyDescent="0.3">
      <c r="B71" s="4" t="s">
        <v>116</v>
      </c>
      <c r="C71" s="26">
        <v>0.05</v>
      </c>
      <c r="D71" s="26">
        <v>0.04</v>
      </c>
      <c r="E71" s="26">
        <v>3.5000000000000003E-2</v>
      </c>
      <c r="F71" s="26">
        <v>0.03</v>
      </c>
      <c r="G71" s="26">
        <v>2.5000000000000001E-2</v>
      </c>
    </row>
    <row r="72" spans="2:7" ht="14" customHeight="1" x14ac:dyDescent="0.3">
      <c r="B72" s="4" t="s">
        <v>117</v>
      </c>
      <c r="C72" s="26">
        <v>0.01</v>
      </c>
      <c r="D72" s="26">
        <v>0.01</v>
      </c>
      <c r="E72" s="26">
        <v>0.01</v>
      </c>
      <c r="F72" s="26">
        <v>0.01</v>
      </c>
      <c r="G72" s="26">
        <v>0.01</v>
      </c>
    </row>
    <row r="73" spans="2:7" ht="14" customHeight="1" x14ac:dyDescent="0.3">
      <c r="B73" s="4" t="s">
        <v>118</v>
      </c>
      <c r="C73" s="26">
        <v>-0.05</v>
      </c>
      <c r="D73" s="26">
        <v>-0.01</v>
      </c>
      <c r="E73" s="26">
        <v>5.0000000000000001E-3</v>
      </c>
      <c r="F73" s="26">
        <v>0.01</v>
      </c>
      <c r="G73" s="26">
        <v>1.4999999999999999E-2</v>
      </c>
    </row>
    <row r="75" spans="2:7" ht="14" customHeight="1" x14ac:dyDescent="0.3">
      <c r="B75" s="3" t="s">
        <v>85</v>
      </c>
    </row>
    <row r="76" spans="2:7" ht="14" customHeight="1" x14ac:dyDescent="0.3">
      <c r="B76" s="4" t="s">
        <v>78</v>
      </c>
      <c r="C76" s="26">
        <v>0.28299999999999997</v>
      </c>
      <c r="D76" s="26">
        <v>0.28299999999999997</v>
      </c>
      <c r="E76" s="26">
        <v>0.28299999999999997</v>
      </c>
      <c r="F76" s="26">
        <v>0.28299999999999997</v>
      </c>
      <c r="G76" s="26">
        <v>0.28299999999999997</v>
      </c>
    </row>
    <row r="77" spans="2:7" ht="14" customHeight="1" x14ac:dyDescent="0.3">
      <c r="B77" s="4" t="s">
        <v>115</v>
      </c>
      <c r="C77" s="26">
        <v>0.27900000000000003</v>
      </c>
      <c r="D77" s="26">
        <v>0.27900000000000003</v>
      </c>
      <c r="E77" s="26">
        <v>0.27900000000000003</v>
      </c>
      <c r="F77" s="26">
        <v>0.27900000000000003</v>
      </c>
      <c r="G77" s="26">
        <v>0.27900000000000003</v>
      </c>
    </row>
    <row r="78" spans="2:7" ht="14" customHeight="1" x14ac:dyDescent="0.3">
      <c r="B78" s="4" t="s">
        <v>116</v>
      </c>
      <c r="C78" s="26">
        <v>0.28299999999999997</v>
      </c>
      <c r="D78" s="26">
        <v>0.28299999999999997</v>
      </c>
      <c r="E78" s="26">
        <v>0.28299999999999997</v>
      </c>
      <c r="F78" s="26">
        <v>0.28299999999999997</v>
      </c>
      <c r="G78" s="26">
        <v>0.28299999999999997</v>
      </c>
    </row>
    <row r="79" spans="2:7" ht="14" customHeight="1" x14ac:dyDescent="0.3">
      <c r="B79" s="4" t="s">
        <v>117</v>
      </c>
      <c r="C79" s="26">
        <v>0.28799999999999998</v>
      </c>
      <c r="D79" s="26">
        <v>0.28799999999999998</v>
      </c>
      <c r="E79" s="26">
        <v>0.28799999999999998</v>
      </c>
      <c r="F79" s="26">
        <v>0.28799999999999998</v>
      </c>
      <c r="G79" s="26">
        <v>0.28799999999999998</v>
      </c>
    </row>
    <row r="80" spans="2:7" ht="14" customHeight="1" x14ac:dyDescent="0.3">
      <c r="B80" s="4" t="s">
        <v>118</v>
      </c>
      <c r="C80" s="26">
        <v>0.3</v>
      </c>
      <c r="D80" s="26">
        <v>0.3</v>
      </c>
      <c r="E80" s="26">
        <v>0.3</v>
      </c>
      <c r="F80" s="26">
        <v>0.3</v>
      </c>
      <c r="G80" s="26">
        <v>0.3</v>
      </c>
    </row>
    <row r="82" spans="2:7" ht="14" customHeight="1" x14ac:dyDescent="0.3">
      <c r="B82" s="3" t="s">
        <v>86</v>
      </c>
    </row>
    <row r="83" spans="2:7" ht="14" customHeight="1" x14ac:dyDescent="0.3">
      <c r="B83" s="4" t="s">
        <v>78</v>
      </c>
      <c r="C83" s="26">
        <v>0.52577799999999997</v>
      </c>
      <c r="D83" s="26">
        <v>0.52577799999999997</v>
      </c>
      <c r="E83" s="26">
        <v>0.52577799999999997</v>
      </c>
      <c r="F83" s="26">
        <v>0.52577799999999997</v>
      </c>
      <c r="G83" s="26">
        <v>0.52577799999999997</v>
      </c>
    </row>
    <row r="84" spans="2:7" ht="14" customHeight="1" x14ac:dyDescent="0.3">
      <c r="B84" s="4" t="s">
        <v>115</v>
      </c>
      <c r="C84" s="26">
        <v>0.52600000000000002</v>
      </c>
      <c r="D84" s="26">
        <v>0.52300000000000002</v>
      </c>
      <c r="E84" s="26">
        <v>0.52</v>
      </c>
      <c r="F84" s="26">
        <v>0.51849999999999996</v>
      </c>
      <c r="G84" s="26">
        <v>0.51980000000000004</v>
      </c>
    </row>
    <row r="85" spans="2:7" ht="14" customHeight="1" x14ac:dyDescent="0.3">
      <c r="B85" s="4" t="s">
        <v>116</v>
      </c>
      <c r="C85" s="26">
        <v>0.52577799999999997</v>
      </c>
      <c r="D85" s="26">
        <v>0.52577799999999997</v>
      </c>
      <c r="E85" s="26">
        <v>0.52577799999999997</v>
      </c>
      <c r="F85" s="26">
        <v>0.52577799999999997</v>
      </c>
      <c r="G85" s="26">
        <v>0.52577799999999997</v>
      </c>
    </row>
    <row r="86" spans="2:7" ht="14" customHeight="1" x14ac:dyDescent="0.3">
      <c r="B86" s="4" t="s">
        <v>117</v>
      </c>
      <c r="C86" s="26">
        <v>0.53500000000000003</v>
      </c>
      <c r="D86" s="26">
        <v>0.55000000000000004</v>
      </c>
      <c r="E86" s="26">
        <v>0.56499999999999995</v>
      </c>
      <c r="F86" s="26">
        <v>0.57499999999999996</v>
      </c>
      <c r="G86" s="26">
        <v>0.57689999999999997</v>
      </c>
    </row>
    <row r="87" spans="2:7" ht="14" customHeight="1" x14ac:dyDescent="0.3">
      <c r="B87" s="4" t="s">
        <v>118</v>
      </c>
      <c r="C87" s="26">
        <v>0.57499999999999996</v>
      </c>
      <c r="D87" s="26">
        <v>0.59299999999999997</v>
      </c>
      <c r="E87" s="26">
        <v>0.59</v>
      </c>
      <c r="F87" s="26">
        <v>0.58499999999999996</v>
      </c>
      <c r="G87" s="26">
        <v>0.57999999999999996</v>
      </c>
    </row>
  </sheetData>
  <phoneticPr fontId="8"/>
  <dataValidations count="1">
    <dataValidation type="list" sqref="C27" xr:uid="{00000000-0002-0000-0200-000000000000}">
      <formula1>"Base,Upside,Management,Downside 1,Downside 2"</formula1>
    </dataValidation>
  </dataValidation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C00000"/>
  </sheetPr>
  <dimension ref="B2:I79"/>
  <sheetViews>
    <sheetView workbookViewId="0"/>
  </sheetViews>
  <sheetFormatPr defaultRowHeight="13" x14ac:dyDescent="0.2"/>
  <cols>
    <col min="1" max="1" width="3" customWidth="1"/>
    <col min="2" max="2" width="52" customWidth="1"/>
    <col min="3" max="9" width="15" customWidth="1"/>
  </cols>
  <sheetData>
    <row r="2" spans="2:9" ht="18" customHeight="1" x14ac:dyDescent="0.4">
      <c r="B2" s="2" t="s">
        <v>119</v>
      </c>
    </row>
    <row r="3" spans="2:9" ht="14" customHeight="1" x14ac:dyDescent="0.3">
      <c r="B3" s="1" t="s">
        <v>120</v>
      </c>
    </row>
    <row r="5" spans="2:9" ht="14" customHeight="1" x14ac:dyDescent="0.3">
      <c r="B5" s="8" t="s">
        <v>121</v>
      </c>
      <c r="C5" s="9"/>
      <c r="D5" s="9"/>
      <c r="E5" s="9"/>
      <c r="F5" s="9"/>
      <c r="G5" s="9"/>
      <c r="H5" s="9"/>
      <c r="I5" s="9"/>
    </row>
    <row r="6" spans="2:9" ht="14" customHeight="1" x14ac:dyDescent="0.3">
      <c r="B6" s="4" t="s">
        <v>122</v>
      </c>
      <c r="C6" s="15">
        <f>'Executive Summary'!C9</f>
        <v>12030</v>
      </c>
    </row>
    <row r="7" spans="2:9" ht="14" customHeight="1" x14ac:dyDescent="0.3">
      <c r="B7" s="4" t="s">
        <v>66</v>
      </c>
      <c r="C7" s="15">
        <f>'DCF Model'!C15</f>
        <v>525393423</v>
      </c>
    </row>
    <row r="8" spans="2:9" ht="14" customHeight="1" x14ac:dyDescent="0.3">
      <c r="B8" s="4" t="s">
        <v>123</v>
      </c>
      <c r="C8" s="5">
        <f>C6*C7/1000000</f>
        <v>6320482.8786899997</v>
      </c>
    </row>
    <row r="9" spans="2:9" ht="14" customHeight="1" x14ac:dyDescent="0.3">
      <c r="B9" s="4" t="s">
        <v>67</v>
      </c>
      <c r="C9" s="5">
        <f>'DCF Model'!C16</f>
        <v>-374892</v>
      </c>
    </row>
    <row r="10" spans="2:9" ht="14" customHeight="1" x14ac:dyDescent="0.3">
      <c r="B10" s="4" t="s">
        <v>124</v>
      </c>
      <c r="C10" s="5">
        <f>C8+C9</f>
        <v>5945590.8786899997</v>
      </c>
    </row>
    <row r="11" spans="2:9" ht="14" customHeight="1" x14ac:dyDescent="0.3">
      <c r="B11" s="4" t="s">
        <v>125</v>
      </c>
      <c r="C11" s="16">
        <f>'DCF Model'!C26</f>
        <v>7.8699999999999992E-2</v>
      </c>
    </row>
    <row r="12" spans="2:9" ht="14" customHeight="1" x14ac:dyDescent="0.3">
      <c r="B12" s="4" t="s">
        <v>126</v>
      </c>
      <c r="C12" s="16">
        <f>'DCF Model'!C13</f>
        <v>0.01</v>
      </c>
    </row>
    <row r="13" spans="2:9" ht="14" customHeight="1" x14ac:dyDescent="0.3">
      <c r="B13" s="4" t="s">
        <v>127</v>
      </c>
      <c r="C13" s="16">
        <f>'DCF Model'!C6</f>
        <v>0.25</v>
      </c>
    </row>
    <row r="14" spans="2:9" ht="14" customHeight="1" x14ac:dyDescent="0.3">
      <c r="B14" s="4" t="s">
        <v>128</v>
      </c>
      <c r="C14" s="27">
        <v>472106</v>
      </c>
    </row>
    <row r="15" spans="2:9" ht="14" customHeight="1" x14ac:dyDescent="0.3">
      <c r="B15" s="4" t="s">
        <v>129</v>
      </c>
      <c r="C15" s="27">
        <v>472106</v>
      </c>
    </row>
    <row r="16" spans="2:9" ht="14" customHeight="1" x14ac:dyDescent="0.3">
      <c r="B16" s="4" t="s">
        <v>130</v>
      </c>
      <c r="C16" s="5">
        <f>'DCF Model'!G33</f>
        <v>2945955.4209703798</v>
      </c>
    </row>
    <row r="17" spans="2:9" ht="14" customHeight="1" x14ac:dyDescent="0.3">
      <c r="B17" s="4" t="s">
        <v>131</v>
      </c>
      <c r="C17" s="5">
        <f>'DCF Model'!C53</f>
        <v>5719507.4184617903</v>
      </c>
    </row>
    <row r="18" spans="2:9" ht="14" customHeight="1" x14ac:dyDescent="0.3">
      <c r="B18" s="4" t="s">
        <v>132</v>
      </c>
      <c r="C18" s="26">
        <v>0.191221811241642</v>
      </c>
    </row>
    <row r="19" spans="2:9" ht="14" customHeight="1" x14ac:dyDescent="0.3">
      <c r="B19" s="4" t="s">
        <v>133</v>
      </c>
      <c r="C19" s="5">
        <f>C10-C17</f>
        <v>226083.46022820938</v>
      </c>
    </row>
    <row r="20" spans="2:9" ht="14" customHeight="1" x14ac:dyDescent="0.3">
      <c r="B20" s="4" t="s">
        <v>134</v>
      </c>
      <c r="C20" s="15">
        <f>IFERROR(ROUND(C19*1000000/C7,0),"N/A")</f>
        <v>430</v>
      </c>
    </row>
    <row r="22" spans="2:9" ht="14" customHeight="1" x14ac:dyDescent="0.3">
      <c r="B22" s="8" t="s">
        <v>135</v>
      </c>
      <c r="C22" s="9"/>
      <c r="D22" s="9"/>
      <c r="E22" s="9"/>
      <c r="F22" s="9"/>
      <c r="G22" s="9"/>
      <c r="H22" s="9"/>
      <c r="I22" s="9"/>
    </row>
    <row r="23" spans="2:9" ht="14" customHeight="1" x14ac:dyDescent="0.3">
      <c r="B23" s="1" t="s">
        <v>136</v>
      </c>
    </row>
    <row r="24" spans="2:9" ht="14" customHeight="1" x14ac:dyDescent="0.3">
      <c r="B24" s="4" t="s">
        <v>137</v>
      </c>
      <c r="C24" s="5">
        <f>C10*(C11-C12)</f>
        <v>408462.09336600296</v>
      </c>
    </row>
    <row r="25" spans="2:9" ht="14" customHeight="1" x14ac:dyDescent="0.3">
      <c r="B25" s="4" t="s">
        <v>138</v>
      </c>
      <c r="C25" s="5">
        <f>IFERROR(C24/(1-C13),"N/A")</f>
        <v>544616.1244880039</v>
      </c>
    </row>
    <row r="26" spans="2:9" ht="13.5" customHeight="1" x14ac:dyDescent="0.25">
      <c r="B26" s="6" t="s">
        <v>139</v>
      </c>
      <c r="C26" s="14">
        <f>IFERROR(C25/C15,"N/A")</f>
        <v>1.1535886527347754</v>
      </c>
    </row>
    <row r="27" spans="2:9" ht="13.5" customHeight="1" x14ac:dyDescent="0.25">
      <c r="B27" s="6" t="s">
        <v>140</v>
      </c>
      <c r="C27" s="14">
        <f>IFERROR(C25/C14,"N/A")</f>
        <v>1.1535886527347754</v>
      </c>
    </row>
    <row r="28" spans="2:9" ht="13.5" customHeight="1" x14ac:dyDescent="0.25">
      <c r="B28" s="6" t="s">
        <v>141</v>
      </c>
      <c r="C28" s="7">
        <f>IFERROR(C25/C16,"N/A")</f>
        <v>0.18486909904040932</v>
      </c>
    </row>
    <row r="29" spans="2:9" ht="13.5" customHeight="1" x14ac:dyDescent="0.25">
      <c r="B29" s="6" t="s">
        <v>142</v>
      </c>
      <c r="C29" s="5">
        <f>IFERROR(C25/C18,"N/A")</f>
        <v>2848085.796027665</v>
      </c>
    </row>
    <row r="32" spans="2:9" ht="14" customHeight="1" x14ac:dyDescent="0.3">
      <c r="B32" s="8" t="s">
        <v>143</v>
      </c>
      <c r="C32" s="9"/>
      <c r="D32" s="9"/>
      <c r="E32" s="9"/>
      <c r="F32" s="9"/>
      <c r="G32" s="9"/>
      <c r="H32" s="9"/>
      <c r="I32" s="9"/>
    </row>
    <row r="33" spans="2:9" ht="14" customHeight="1" x14ac:dyDescent="0.3">
      <c r="B33" s="1" t="s">
        <v>144</v>
      </c>
    </row>
    <row r="34" spans="2:9" ht="14" customHeight="1" x14ac:dyDescent="0.3">
      <c r="B34" s="1" t="s">
        <v>145</v>
      </c>
    </row>
    <row r="36" spans="2:9" ht="14" customHeight="1" x14ac:dyDescent="0.3">
      <c r="B36" s="28" t="s">
        <v>146</v>
      </c>
      <c r="C36" s="28" t="s">
        <v>147</v>
      </c>
      <c r="D36" s="29">
        <f>'DCF Model'!C26-0.02</f>
        <v>5.8699999999999988E-2</v>
      </c>
      <c r="E36" s="29">
        <f>'DCF Model'!C26-0.01</f>
        <v>6.8699999999999997E-2</v>
      </c>
      <c r="F36" s="29">
        <f>'DCF Model'!C26</f>
        <v>7.8699999999999992E-2</v>
      </c>
      <c r="G36" s="29">
        <f>'DCF Model'!C26+0.01</f>
        <v>8.8699999999999987E-2</v>
      </c>
      <c r="H36" s="29">
        <f>'DCF Model'!C26+0.02</f>
        <v>9.8699999999999996E-2</v>
      </c>
    </row>
    <row r="37" spans="2:9" ht="14" customHeight="1" x14ac:dyDescent="0.3">
      <c r="B37" s="3" t="s">
        <v>148</v>
      </c>
    </row>
    <row r="38" spans="2:9" ht="14" customHeight="1" x14ac:dyDescent="0.3">
      <c r="B38" s="4" t="s">
        <v>149</v>
      </c>
      <c r="C38" s="30">
        <v>3</v>
      </c>
      <c r="D38" s="13">
        <f t="shared" ref="D38:H41" si="0">IFERROR((1-(1+D$36)^(-$C38))/D$36-(1+D$36)/(D$36^2*$C38)*(1-($C38+1)/(1+D$36)^$C38+$C38/(1+D$36)^($C38+1)),"N/A")</f>
        <v>0.92709758587143232</v>
      </c>
      <c r="E38" s="13">
        <f t="shared" si="0"/>
        <v>0.91566585284944635</v>
      </c>
      <c r="F38" s="13">
        <f t="shared" si="0"/>
        <v>0.90449671196365755</v>
      </c>
      <c r="G38" s="13">
        <f t="shared" si="0"/>
        <v>0.89358154471701523</v>
      </c>
      <c r="H38" s="13">
        <f t="shared" si="0"/>
        <v>0.88291209625937972</v>
      </c>
    </row>
    <row r="39" spans="2:9" ht="14" customHeight="1" x14ac:dyDescent="0.3">
      <c r="B39" s="4" t="s">
        <v>150</v>
      </c>
      <c r="C39" s="30">
        <v>5</v>
      </c>
      <c r="D39" s="13">
        <f t="shared" si="0"/>
        <v>1.7872384837584874</v>
      </c>
      <c r="E39" s="13">
        <f t="shared" si="0"/>
        <v>1.7549469895836154</v>
      </c>
      <c r="F39" s="13">
        <f t="shared" si="0"/>
        <v>1.7236755788682676</v>
      </c>
      <c r="G39" s="13">
        <f t="shared" si="0"/>
        <v>1.6933802749910432</v>
      </c>
      <c r="H39" s="13">
        <f t="shared" si="0"/>
        <v>1.6640194555418164</v>
      </c>
    </row>
    <row r="40" spans="2:9" ht="14" customHeight="1" x14ac:dyDescent="0.3">
      <c r="B40" s="4" t="s">
        <v>151</v>
      </c>
      <c r="C40" s="30">
        <v>7</v>
      </c>
      <c r="D40" s="13">
        <f t="shared" si="0"/>
        <v>2.5858526289316472</v>
      </c>
      <c r="E40" s="13">
        <f t="shared" si="0"/>
        <v>2.5249961759284361</v>
      </c>
      <c r="F40" s="13">
        <f t="shared" si="0"/>
        <v>2.4665676524375546</v>
      </c>
      <c r="G40" s="13">
        <f t="shared" si="0"/>
        <v>2.4104381704157212</v>
      </c>
      <c r="H40" s="13">
        <f t="shared" si="0"/>
        <v>2.3564871633383597</v>
      </c>
    </row>
    <row r="41" spans="2:9" ht="14" customHeight="1" x14ac:dyDescent="0.3">
      <c r="B41" s="4" t="s">
        <v>152</v>
      </c>
      <c r="C41" s="30">
        <v>10</v>
      </c>
      <c r="D41" s="13">
        <f t="shared" si="0"/>
        <v>3.6791448281785812</v>
      </c>
      <c r="E41" s="13">
        <f t="shared" si="0"/>
        <v>3.564168868174971</v>
      </c>
      <c r="F41" s="13">
        <f t="shared" si="0"/>
        <v>3.4551469634530938</v>
      </c>
      <c r="G41" s="13">
        <f t="shared" si="0"/>
        <v>3.3516773942026385</v>
      </c>
      <c r="H41" s="13">
        <f t="shared" si="0"/>
        <v>3.2533907960108661</v>
      </c>
    </row>
    <row r="42" spans="2:9" ht="14" customHeight="1" x14ac:dyDescent="0.3">
      <c r="B42" s="3" t="s">
        <v>153</v>
      </c>
    </row>
    <row r="43" spans="2:9" ht="14" customHeight="1" x14ac:dyDescent="0.3">
      <c r="B43" s="4" t="s">
        <v>149</v>
      </c>
      <c r="C43" s="30">
        <v>3</v>
      </c>
      <c r="D43" s="13">
        <f t="shared" ref="D43:H46" si="1">IFERROR((1+D$36)/(D$36^2*$C43)*(1-($C43+1)/(1+D$36)^$C43+$C43/(1+D$36)^($C43+1))+(1+$C$12)/((D$36-$C$12)*(1+D$36)^$C43),"N/A")</f>
        <v>19.229629700549918</v>
      </c>
      <c r="E43" s="13">
        <f t="shared" si="1"/>
        <v>15.81154347121738</v>
      </c>
      <c r="F43" s="13">
        <f t="shared" si="1"/>
        <v>13.39150789847224</v>
      </c>
      <c r="G43" s="13">
        <f t="shared" si="1"/>
        <v>11.588982883370557</v>
      </c>
      <c r="H43" s="13">
        <f t="shared" si="1"/>
        <v>10.195039456356449</v>
      </c>
    </row>
    <row r="44" spans="2:9" ht="14" customHeight="1" x14ac:dyDescent="0.3">
      <c r="B44" s="4" t="s">
        <v>150</v>
      </c>
      <c r="C44" s="30">
        <v>5</v>
      </c>
      <c r="D44" s="13">
        <f t="shared" si="1"/>
        <v>18.032998578866387</v>
      </c>
      <c r="E44" s="13">
        <f t="shared" si="1"/>
        <v>14.702092923690998</v>
      </c>
      <c r="F44" s="13">
        <f t="shared" si="1"/>
        <v>12.348852272701555</v>
      </c>
      <c r="G44" s="13">
        <f t="shared" si="1"/>
        <v>10.600268283072305</v>
      </c>
      <c r="H44" s="13">
        <f t="shared" si="1"/>
        <v>9.2515604318662881</v>
      </c>
    </row>
    <row r="45" spans="2:9" ht="14" customHeight="1" x14ac:dyDescent="0.3">
      <c r="B45" s="4" t="s">
        <v>151</v>
      </c>
      <c r="C45" s="30">
        <v>7</v>
      </c>
      <c r="D45" s="13">
        <f t="shared" si="1"/>
        <v>16.934173417316408</v>
      </c>
      <c r="E45" s="13">
        <f t="shared" si="1"/>
        <v>13.695492863424885</v>
      </c>
      <c r="F45" s="13">
        <f t="shared" si="1"/>
        <v>11.413902816227345</v>
      </c>
      <c r="G45" s="13">
        <f t="shared" si="1"/>
        <v>9.7238237177686653</v>
      </c>
      <c r="H45" s="13">
        <f t="shared" si="1"/>
        <v>8.424583522247941</v>
      </c>
    </row>
    <row r="46" spans="2:9" ht="14" customHeight="1" x14ac:dyDescent="0.3">
      <c r="B46" s="4" t="s">
        <v>152</v>
      </c>
      <c r="C46" s="30">
        <v>10</v>
      </c>
      <c r="D46" s="13">
        <f t="shared" si="1"/>
        <v>15.450148398544387</v>
      </c>
      <c r="E46" s="13">
        <f t="shared" si="1"/>
        <v>12.355521764267314</v>
      </c>
      <c r="F46" s="13">
        <f t="shared" si="1"/>
        <v>10.186658081705215</v>
      </c>
      <c r="G46" s="13">
        <f t="shared" si="1"/>
        <v>8.5889754455251577</v>
      </c>
      <c r="H46" s="13">
        <f t="shared" si="1"/>
        <v>7.3679278867019544</v>
      </c>
    </row>
    <row r="47" spans="2:9" ht="14" customHeight="1" x14ac:dyDescent="0.3">
      <c r="B47" s="22" t="s">
        <v>154</v>
      </c>
      <c r="C47" s="23"/>
      <c r="D47" s="23"/>
      <c r="E47" s="23"/>
      <c r="F47" s="23"/>
      <c r="G47" s="23"/>
      <c r="H47" s="23"/>
      <c r="I47" s="23"/>
    </row>
    <row r="48" spans="2:9" ht="14" customHeight="1" x14ac:dyDescent="0.3">
      <c r="B48" s="4" t="s">
        <v>149</v>
      </c>
      <c r="C48" s="30">
        <v>3</v>
      </c>
      <c r="D48" s="5">
        <f t="shared" ref="D48:H51" si="2">IFERROR(($C$10/(1-$C$13)-$C$14*D38)/D43,"N/A")</f>
        <v>389490.92045336642</v>
      </c>
      <c r="E48" s="5">
        <f t="shared" si="2"/>
        <v>474031.08845373098</v>
      </c>
      <c r="F48" s="5">
        <f t="shared" si="2"/>
        <v>560088.9934939564</v>
      </c>
      <c r="G48" s="5">
        <f t="shared" si="2"/>
        <v>647648.66526292521</v>
      </c>
      <c r="H48" s="5">
        <f t="shared" si="2"/>
        <v>736694.19710981206</v>
      </c>
    </row>
    <row r="49" spans="2:9" ht="14" customHeight="1" x14ac:dyDescent="0.3">
      <c r="B49" s="4" t="s">
        <v>150</v>
      </c>
      <c r="C49" s="30">
        <v>5</v>
      </c>
      <c r="D49" s="5">
        <f t="shared" si="2"/>
        <v>392818.11409935902</v>
      </c>
      <c r="E49" s="5">
        <f t="shared" si="2"/>
        <v>482851.89995067933</v>
      </c>
      <c r="F49" s="5">
        <f t="shared" si="2"/>
        <v>576061.38327595009</v>
      </c>
      <c r="G49" s="5">
        <f t="shared" si="2"/>
        <v>672435.76544169779</v>
      </c>
      <c r="H49" s="5">
        <f t="shared" si="2"/>
        <v>771962.84761242918</v>
      </c>
    </row>
    <row r="50" spans="2:9" ht="14" customHeight="1" x14ac:dyDescent="0.3">
      <c r="B50" s="4" t="s">
        <v>151</v>
      </c>
      <c r="C50" s="30">
        <v>7</v>
      </c>
      <c r="D50" s="5">
        <f t="shared" si="2"/>
        <v>396042.82998705772</v>
      </c>
      <c r="E50" s="5">
        <f t="shared" si="2"/>
        <v>491796.00379878434</v>
      </c>
      <c r="F50" s="5">
        <f t="shared" si="2"/>
        <v>592520.65009553765</v>
      </c>
      <c r="G50" s="5">
        <f t="shared" si="2"/>
        <v>698230.69392250373</v>
      </c>
      <c r="H50" s="5">
        <f t="shared" si="2"/>
        <v>808935.27355837065</v>
      </c>
    </row>
    <row r="51" spans="2:9" ht="14" customHeight="1" x14ac:dyDescent="0.3">
      <c r="B51" s="4" t="s">
        <v>152</v>
      </c>
      <c r="C51" s="30">
        <v>10</v>
      </c>
      <c r="D51" s="5">
        <f t="shared" si="2"/>
        <v>400676.29106081283</v>
      </c>
      <c r="E51" s="5">
        <f t="shared" si="2"/>
        <v>505424.95221056364</v>
      </c>
      <c r="F51" s="5">
        <f t="shared" si="2"/>
        <v>618088.76297711558</v>
      </c>
      <c r="G51" s="5">
        <f t="shared" si="2"/>
        <v>738750.21966192254</v>
      </c>
      <c r="H51" s="5">
        <f t="shared" si="2"/>
        <v>867477.16428037314</v>
      </c>
    </row>
    <row r="52" spans="2:9" ht="14" customHeight="1" x14ac:dyDescent="0.3">
      <c r="B52" s="22" t="s">
        <v>155</v>
      </c>
      <c r="C52" s="23"/>
      <c r="D52" s="23"/>
      <c r="E52" s="23"/>
      <c r="F52" s="23"/>
      <c r="G52" s="23"/>
      <c r="H52" s="23"/>
      <c r="I52" s="23"/>
    </row>
    <row r="53" spans="2:9" ht="14" customHeight="1" x14ac:dyDescent="0.3">
      <c r="B53" s="4" t="s">
        <v>149</v>
      </c>
      <c r="C53" s="30">
        <v>3</v>
      </c>
      <c r="D53" s="14">
        <f t="shared" ref="D53:H56" si="3">IFERROR(D48/$C$15,"N/A")</f>
        <v>0.82500735100457612</v>
      </c>
      <c r="E53" s="14">
        <f t="shared" si="3"/>
        <v>1.004077661486469</v>
      </c>
      <c r="F53" s="14">
        <f t="shared" si="3"/>
        <v>1.1863627945714657</v>
      </c>
      <c r="G53" s="14">
        <f t="shared" si="3"/>
        <v>1.3718289224515792</v>
      </c>
      <c r="H53" s="14">
        <f t="shared" si="3"/>
        <v>1.5604423521620401</v>
      </c>
    </row>
    <row r="54" spans="2:9" ht="14" customHeight="1" x14ac:dyDescent="0.3">
      <c r="B54" s="4" t="s">
        <v>150</v>
      </c>
      <c r="C54" s="30">
        <v>5</v>
      </c>
      <c r="D54" s="14">
        <f t="shared" si="3"/>
        <v>0.83205490737113919</v>
      </c>
      <c r="E54" s="14">
        <f t="shared" si="3"/>
        <v>1.0227616254626701</v>
      </c>
      <c r="F54" s="14">
        <f t="shared" si="3"/>
        <v>1.2201950055198412</v>
      </c>
      <c r="G54" s="14">
        <f t="shared" si="3"/>
        <v>1.4243321742187089</v>
      </c>
      <c r="H54" s="14">
        <f t="shared" si="3"/>
        <v>1.6351472923716901</v>
      </c>
    </row>
    <row r="55" spans="2:9" ht="14" customHeight="1" x14ac:dyDescent="0.3">
      <c r="B55" s="4" t="s">
        <v>151</v>
      </c>
      <c r="C55" s="30">
        <v>7</v>
      </c>
      <c r="D55" s="14">
        <f t="shared" si="3"/>
        <v>0.838885398590693</v>
      </c>
      <c r="E55" s="14">
        <f t="shared" si="3"/>
        <v>1.0417067433982714</v>
      </c>
      <c r="F55" s="14">
        <f t="shared" si="3"/>
        <v>1.2550585040129498</v>
      </c>
      <c r="G55" s="14">
        <f t="shared" si="3"/>
        <v>1.4789701760250955</v>
      </c>
      <c r="H55" s="14">
        <f t="shared" si="3"/>
        <v>1.71346111584765</v>
      </c>
    </row>
    <row r="56" spans="2:9" ht="14" customHeight="1" x14ac:dyDescent="0.3">
      <c r="B56" s="4" t="s">
        <v>152</v>
      </c>
      <c r="C56" s="30">
        <v>10</v>
      </c>
      <c r="D56" s="14">
        <f t="shared" si="3"/>
        <v>0.84869984931522335</v>
      </c>
      <c r="E56" s="14">
        <f t="shared" si="3"/>
        <v>1.0705751509418724</v>
      </c>
      <c r="F56" s="14">
        <f t="shared" si="3"/>
        <v>1.3092160721895414</v>
      </c>
      <c r="G56" s="14">
        <f t="shared" si="3"/>
        <v>1.5647973541152254</v>
      </c>
      <c r="H56" s="14">
        <f t="shared" si="3"/>
        <v>1.8374626975305823</v>
      </c>
    </row>
    <row r="58" spans="2:9" ht="14" customHeight="1" x14ac:dyDescent="0.3">
      <c r="B58" s="8" t="s">
        <v>156</v>
      </c>
      <c r="C58" s="9"/>
      <c r="D58" s="9"/>
      <c r="E58" s="9"/>
      <c r="F58" s="9"/>
      <c r="G58" s="9"/>
      <c r="H58" s="9"/>
      <c r="I58" s="9"/>
    </row>
    <row r="59" spans="2:9" ht="14" customHeight="1" x14ac:dyDescent="0.3">
      <c r="B59" s="1" t="s">
        <v>157</v>
      </c>
    </row>
    <row r="60" spans="2:9" ht="14" customHeight="1" x14ac:dyDescent="0.3">
      <c r="B60" s="4" t="s">
        <v>158</v>
      </c>
      <c r="C60" s="5">
        <f>F49</f>
        <v>576061.38327595009</v>
      </c>
    </row>
    <row r="62" spans="2:9" ht="14" customHeight="1" x14ac:dyDescent="0.3">
      <c r="B62" s="28" t="s">
        <v>159</v>
      </c>
      <c r="C62" s="28" t="s">
        <v>160</v>
      </c>
      <c r="D62" s="28" t="s">
        <v>161</v>
      </c>
    </row>
    <row r="63" spans="2:9" ht="14" customHeight="1" x14ac:dyDescent="0.3">
      <c r="B63" s="31">
        <v>9.5600000000000004E-2</v>
      </c>
      <c r="C63" s="5">
        <f>IFERROR($C$60/B63,"N/A")</f>
        <v>6025746.6869869251</v>
      </c>
      <c r="D63" s="14">
        <f>IFERROR(C63/'DCF Model'!C17,"N/A")</f>
        <v>2.4406683998275036</v>
      </c>
    </row>
    <row r="64" spans="2:9" ht="14" customHeight="1" x14ac:dyDescent="0.3">
      <c r="B64" s="31">
        <v>0.1434</v>
      </c>
      <c r="C64" s="5">
        <f>IFERROR($C$60/B64,"N/A")</f>
        <v>4017164.4579912839</v>
      </c>
      <c r="D64" s="14">
        <f>IFERROR(C64/'DCF Model'!C17,"N/A")</f>
        <v>1.6271122665516693</v>
      </c>
    </row>
    <row r="65" spans="2:9" ht="14" customHeight="1" x14ac:dyDescent="0.3">
      <c r="B65" s="4" t="s">
        <v>162</v>
      </c>
      <c r="C65" s="5">
        <f>IFERROR($C$60/$C$18,"N/A")</f>
        <v>3012529.6875678916</v>
      </c>
      <c r="D65" s="14">
        <f>IFERROR(C65/'DCF Model'!C17,"N/A")</f>
        <v>1.2201950055198412</v>
      </c>
    </row>
    <row r="66" spans="2:9" ht="14" customHeight="1" x14ac:dyDescent="0.3">
      <c r="B66" s="31">
        <v>0.23899999999999999</v>
      </c>
      <c r="C66" s="5">
        <f>IFERROR($C$60/B66,"N/A")</f>
        <v>2410298.6747947703</v>
      </c>
      <c r="D66" s="14">
        <f>IFERROR(C66/'DCF Model'!C17,"N/A")</f>
        <v>0.97626735993100155</v>
      </c>
    </row>
    <row r="67" spans="2:9" ht="14" customHeight="1" x14ac:dyDescent="0.3">
      <c r="B67" s="31">
        <v>0.2868</v>
      </c>
      <c r="C67" s="5">
        <f>IFERROR($C$60/B67,"N/A")</f>
        <v>2008582.2289956419</v>
      </c>
      <c r="D67" s="14">
        <f>IFERROR(C67/'DCF Model'!C17,"N/A")</f>
        <v>0.81355613327583465</v>
      </c>
    </row>
    <row r="69" spans="2:9" ht="14" customHeight="1" x14ac:dyDescent="0.3">
      <c r="B69" s="8" t="s">
        <v>163</v>
      </c>
      <c r="C69" s="9"/>
      <c r="D69" s="9"/>
      <c r="E69" s="9"/>
      <c r="F69" s="9"/>
      <c r="G69" s="9"/>
      <c r="H69" s="9"/>
      <c r="I69" s="9"/>
    </row>
    <row r="70" spans="2:9" ht="13.5" customHeight="1" x14ac:dyDescent="0.25">
      <c r="B70" s="6" t="s">
        <v>164</v>
      </c>
      <c r="C70" s="14">
        <f>IFERROR(C10/'Comps Analysis'!G5,"N/A")</f>
        <v>10.106856644262102</v>
      </c>
    </row>
    <row r="71" spans="2:9" ht="13.5" customHeight="1" x14ac:dyDescent="0.25">
      <c r="B71" s="6" t="s">
        <v>165</v>
      </c>
      <c r="C71" s="14">
        <f>IFERROR(C10/'Comps Analysis'!F5,"N/A")</f>
        <v>2.4082020917439886</v>
      </c>
    </row>
    <row r="72" spans="2:9" ht="14" customHeight="1" x14ac:dyDescent="0.3">
      <c r="B72" s="4" t="s">
        <v>166</v>
      </c>
      <c r="C72" s="14">
        <f>IFERROR(C10/(C25+'DCF Model'!G42),"N/A")</f>
        <v>8.7041421802088212</v>
      </c>
    </row>
    <row r="73" spans="2:9" ht="14" customHeight="1" x14ac:dyDescent="0.3">
      <c r="B73" s="4" t="s">
        <v>167</v>
      </c>
      <c r="C73" s="14">
        <f>IFERROR(C10/(C60+'DCF Model'!G42),"N/A")</f>
        <v>8.3210829096778021</v>
      </c>
    </row>
    <row r="74" spans="2:9" ht="14" customHeight="1" x14ac:dyDescent="0.3">
      <c r="B74" s="4" t="s">
        <v>168</v>
      </c>
      <c r="C74" s="14">
        <f>IFERROR('Comps Analysis'!D16,"N/A")</f>
        <v>11.363988704243837</v>
      </c>
    </row>
    <row r="75" spans="2:9" ht="14" customHeight="1" x14ac:dyDescent="0.3">
      <c r="B75" s="1" t="s">
        <v>169</v>
      </c>
    </row>
    <row r="77" spans="2:9" ht="14" customHeight="1" x14ac:dyDescent="0.3">
      <c r="B77" s="22" t="s">
        <v>170</v>
      </c>
      <c r="C77" s="23"/>
      <c r="D77" s="23"/>
      <c r="E77" s="23"/>
      <c r="F77" s="23"/>
      <c r="G77" s="23"/>
      <c r="H77" s="23"/>
      <c r="I77" s="23"/>
    </row>
    <row r="78" spans="2:9" ht="14" customHeight="1" x14ac:dyDescent="0.3">
      <c r="B78" s="4" t="str">
        <f>"At "&amp;TEXT(C6,"#,##0")&amp;" yen the market is paying for a steady-state operating profit of "&amp;TEXT(F49,"#,##0")&amp;" mn JPY - "&amp;TEXT(F54,"0.00")&amp;"x the FY2025 cycle peak of "&amp;TEXT(C15,"#,##0")&amp;" mn - reached in 5 years and sustained for ever, against "&amp;TEXT(C14,"#,##0")&amp;" mn actually earned in FY2025."</f>
        <v>At 12,030 yen the market is paying for a steady-state operating profit of 576,061 mn JPY - 1.22x the FY2025 cycle peak of 472,106 mn - reached in 5 years and sustained for ever, against 472,106 mn actually earned in FY2025.</v>
      </c>
    </row>
    <row r="79" spans="2:9" ht="14" customHeight="1" x14ac:dyDescent="0.3">
      <c r="B79" s="4" t="str">
        <f>"Even with no ramp at all (Block A) the price needs "&amp;TEXT(C25,"#,##0")&amp;" mn, or "&amp;TEXT(C26,"0.00")&amp;"x the peak. The base case supports an EV of only "&amp;TEXT(C17,"#,##0")&amp;" mn, leaving "&amp;TEXT(C20,"#,##0")&amp;" yen per share of the current price unexplained by mid-cycle economics."</f>
        <v>Even with no ramp at all (Block A) the price needs 544,616 mn, or 1.15x the peak. The base case supports an EV of only 5,719,507 mn, leaving 430 yen per share of the current price unexplained by mid-cycle economics.</v>
      </c>
    </row>
  </sheetData>
  <phoneticPr fontId="8"/>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CC6600"/>
  </sheetPr>
  <dimension ref="B2:H43"/>
  <sheetViews>
    <sheetView workbookViewId="0"/>
  </sheetViews>
  <sheetFormatPr defaultRowHeight="13" x14ac:dyDescent="0.2"/>
  <cols>
    <col min="1" max="1" width="3" customWidth="1"/>
    <col min="2" max="2" width="28" customWidth="1"/>
    <col min="3" max="8" width="16" customWidth="1"/>
  </cols>
  <sheetData>
    <row r="2" spans="2:8" ht="18" customHeight="1" x14ac:dyDescent="0.4">
      <c r="B2" s="2" t="s">
        <v>171</v>
      </c>
    </row>
    <row r="4" spans="2:8" ht="14" customHeight="1" x14ac:dyDescent="0.3">
      <c r="B4" s="8" t="s">
        <v>172</v>
      </c>
      <c r="C4" s="32" t="s">
        <v>173</v>
      </c>
      <c r="D4" s="32" t="s">
        <v>80</v>
      </c>
      <c r="E4" s="32" t="s">
        <v>81</v>
      </c>
      <c r="F4" s="32" t="s">
        <v>82</v>
      </c>
      <c r="G4" s="32" t="s">
        <v>83</v>
      </c>
      <c r="H4" s="32" t="s">
        <v>84</v>
      </c>
    </row>
    <row r="5" spans="2:8" ht="14" customHeight="1" x14ac:dyDescent="0.3">
      <c r="B5" s="33" t="s">
        <v>174</v>
      </c>
      <c r="C5" s="34">
        <f>C12/C9*365</f>
        <v>83.675733891964498</v>
      </c>
      <c r="D5" s="34">
        <f>CHOOSE('DCF Model'!$D$27,D25,D26,D27,D28,D29)</f>
        <v>85</v>
      </c>
      <c r="E5" s="34">
        <f>CHOOSE('DCF Model'!$D$27,E25,E26,E27,E28,E29)</f>
        <v>85</v>
      </c>
      <c r="F5" s="34">
        <f>CHOOSE('DCF Model'!$D$27,F25,F26,F27,F28,F29)</f>
        <v>85</v>
      </c>
      <c r="G5" s="34">
        <f>CHOOSE('DCF Model'!$D$27,G25,G26,G27,G28,G29)</f>
        <v>85</v>
      </c>
      <c r="H5" s="34">
        <f>CHOOSE('DCF Model'!$D$27,H25,H26,H27,H28,H29)</f>
        <v>85</v>
      </c>
    </row>
    <row r="6" spans="2:8" ht="14" customHeight="1" x14ac:dyDescent="0.3">
      <c r="B6" s="33" t="s">
        <v>175</v>
      </c>
      <c r="C6" s="34">
        <f>C13/C10*365</f>
        <v>195.42978622973331</v>
      </c>
      <c r="D6" s="34">
        <f>CHOOSE('DCF Model'!$D$27,D32,D33,D34,D35,D36)</f>
        <v>163</v>
      </c>
      <c r="E6" s="34">
        <f>CHOOSE('DCF Model'!$D$27,E32,E33,E34,E35,E36)</f>
        <v>163</v>
      </c>
      <c r="F6" s="34">
        <f>CHOOSE('DCF Model'!$D$27,F32,F33,F34,F35,F36)</f>
        <v>163</v>
      </c>
      <c r="G6" s="34">
        <f>CHOOSE('DCF Model'!$D$27,G32,G33,G34,G35,G36)</f>
        <v>163</v>
      </c>
      <c r="H6" s="34">
        <f>CHOOSE('DCF Model'!$D$27,H32,H33,H34,H35,H36)</f>
        <v>163</v>
      </c>
    </row>
    <row r="7" spans="2:8" ht="14" customHeight="1" x14ac:dyDescent="0.3">
      <c r="B7" s="33" t="s">
        <v>176</v>
      </c>
      <c r="C7" s="34">
        <f>C15/C10*365</f>
        <v>117.7633579597062</v>
      </c>
      <c r="D7" s="34">
        <f>CHOOSE('DCF Model'!$D$27,D39,D40,D41,D42,D43)</f>
        <v>122</v>
      </c>
      <c r="E7" s="34">
        <f>CHOOSE('DCF Model'!$D$27,E39,E40,E41,E42,E43)</f>
        <v>122</v>
      </c>
      <c r="F7" s="34">
        <f>CHOOSE('DCF Model'!$D$27,F39,F40,F41,F42,F43)</f>
        <v>122</v>
      </c>
      <c r="G7" s="34">
        <f>CHOOSE('DCF Model'!$D$27,G39,G40,G41,G42,G43)</f>
        <v>122</v>
      </c>
      <c r="H7" s="34">
        <f>CHOOSE('DCF Model'!$D$27,H39,H40,H41,H42,H43)</f>
        <v>122</v>
      </c>
    </row>
    <row r="8" spans="2:8" ht="14" customHeight="1" x14ac:dyDescent="0.3">
      <c r="B8" s="8" t="s">
        <v>177</v>
      </c>
      <c r="C8" s="9"/>
      <c r="D8" s="9"/>
      <c r="E8" s="9"/>
      <c r="F8" s="9"/>
      <c r="G8" s="9"/>
      <c r="H8" s="9"/>
    </row>
    <row r="9" spans="2:8" ht="14" customHeight="1" x14ac:dyDescent="0.3">
      <c r="B9" s="33" t="s">
        <v>32</v>
      </c>
      <c r="C9" s="35">
        <v>2468892</v>
      </c>
      <c r="D9" s="35">
        <f>'DCF Model'!C33</f>
        <v>2592336.6</v>
      </c>
      <c r="E9" s="35">
        <f>'DCF Model'!D33</f>
        <v>2696030.0640000002</v>
      </c>
      <c r="F9" s="35">
        <f>'DCF Model'!E33</f>
        <v>2790391.1162399999</v>
      </c>
      <c r="G9" s="35">
        <f>'DCF Model'!F33</f>
        <v>2874102.8497271999</v>
      </c>
      <c r="H9" s="35">
        <f>'DCF Model'!G33</f>
        <v>2945955.4209703798</v>
      </c>
    </row>
    <row r="10" spans="2:8" ht="14" customHeight="1" x14ac:dyDescent="0.3">
      <c r="B10" s="33" t="s">
        <v>33</v>
      </c>
      <c r="C10" s="35">
        <v>699115</v>
      </c>
      <c r="D10" s="35">
        <f>'DCF Model'!C34</f>
        <v>733631.2577999999</v>
      </c>
      <c r="E10" s="35">
        <f>'DCF Model'!D34</f>
        <v>762976.50811199995</v>
      </c>
      <c r="F10" s="35">
        <f>'DCF Model'!E34</f>
        <v>789680.68589591992</v>
      </c>
      <c r="G10" s="35">
        <f>'DCF Model'!F34</f>
        <v>813371.10647279746</v>
      </c>
      <c r="H10" s="35">
        <f>'DCF Model'!G34</f>
        <v>833705.3841346174</v>
      </c>
    </row>
    <row r="11" spans="2:8" ht="14" customHeight="1" x14ac:dyDescent="0.3">
      <c r="B11" s="8" t="s">
        <v>178</v>
      </c>
      <c r="C11" s="9"/>
      <c r="D11" s="9"/>
      <c r="E11" s="9"/>
      <c r="F11" s="9"/>
      <c r="G11" s="9"/>
      <c r="H11" s="9"/>
    </row>
    <row r="12" spans="2:8" ht="14" customHeight="1" x14ac:dyDescent="0.3">
      <c r="B12" s="33" t="s">
        <v>179</v>
      </c>
      <c r="C12" s="35">
        <v>565990</v>
      </c>
      <c r="D12" s="35">
        <f t="shared" ref="D12:H13" si="0">D9*D5/365</f>
        <v>603694.82465753425</v>
      </c>
      <c r="E12" s="35">
        <f t="shared" si="0"/>
        <v>627842.61764383572</v>
      </c>
      <c r="F12" s="35">
        <f t="shared" si="0"/>
        <v>649817.10926136991</v>
      </c>
      <c r="G12" s="35">
        <f t="shared" si="0"/>
        <v>669311.62253921095</v>
      </c>
      <c r="H12" s="35">
        <f t="shared" si="0"/>
        <v>686044.41310269118</v>
      </c>
    </row>
    <row r="13" spans="2:8" ht="14" customHeight="1" x14ac:dyDescent="0.3">
      <c r="B13" s="33" t="s">
        <v>180</v>
      </c>
      <c r="C13" s="35">
        <v>374323</v>
      </c>
      <c r="D13" s="35">
        <f t="shared" si="0"/>
        <v>327621.6301956164</v>
      </c>
      <c r="E13" s="35">
        <f t="shared" si="0"/>
        <v>340726.49540344108</v>
      </c>
      <c r="F13" s="35">
        <f t="shared" si="0"/>
        <v>352651.9227425615</v>
      </c>
      <c r="G13" s="35">
        <f t="shared" si="0"/>
        <v>363231.48042483832</v>
      </c>
      <c r="H13" s="35">
        <f t="shared" si="0"/>
        <v>372312.26743545925</v>
      </c>
    </row>
    <row r="14" spans="2:8" ht="14" customHeight="1" x14ac:dyDescent="0.3">
      <c r="B14" s="33" t="s">
        <v>181</v>
      </c>
      <c r="C14" s="35">
        <f t="shared" ref="C14:H14" si="1">C12+C13</f>
        <v>940313</v>
      </c>
      <c r="D14" s="35">
        <f t="shared" si="1"/>
        <v>931316.45485315064</v>
      </c>
      <c r="E14" s="35">
        <f t="shared" si="1"/>
        <v>968569.11304727686</v>
      </c>
      <c r="F14" s="35">
        <f t="shared" si="1"/>
        <v>1002469.0320039315</v>
      </c>
      <c r="G14" s="35">
        <f t="shared" si="1"/>
        <v>1032543.1029640492</v>
      </c>
      <c r="H14" s="35">
        <f t="shared" si="1"/>
        <v>1058356.6805381505</v>
      </c>
    </row>
    <row r="15" spans="2:8" ht="14" customHeight="1" x14ac:dyDescent="0.3">
      <c r="B15" s="33" t="s">
        <v>182</v>
      </c>
      <c r="C15" s="35">
        <v>225562</v>
      </c>
      <c r="D15" s="35">
        <f>D10*D7/365</f>
        <v>245213.73548383557</v>
      </c>
      <c r="E15" s="35">
        <f>E10*E7/365</f>
        <v>255022.28490318902</v>
      </c>
      <c r="F15" s="35">
        <f>F10*F7/365</f>
        <v>263948.06487480062</v>
      </c>
      <c r="G15" s="35">
        <f>G10*G7/365</f>
        <v>271866.5068210446</v>
      </c>
      <c r="H15" s="35">
        <f>H10*H7/365</f>
        <v>278663.16949157073</v>
      </c>
    </row>
    <row r="16" spans="2:8" ht="14" customHeight="1" x14ac:dyDescent="0.3">
      <c r="B16" s="33" t="s">
        <v>183</v>
      </c>
      <c r="C16" s="35">
        <f t="shared" ref="C16:H16" si="2">C15</f>
        <v>225562</v>
      </c>
      <c r="D16" s="35">
        <f t="shared" si="2"/>
        <v>245213.73548383557</v>
      </c>
      <c r="E16" s="35">
        <f t="shared" si="2"/>
        <v>255022.28490318902</v>
      </c>
      <c r="F16" s="35">
        <f t="shared" si="2"/>
        <v>263948.06487480062</v>
      </c>
      <c r="G16" s="35">
        <f t="shared" si="2"/>
        <v>271866.5068210446</v>
      </c>
      <c r="H16" s="35">
        <f t="shared" si="2"/>
        <v>278663.16949157073</v>
      </c>
    </row>
    <row r="17" spans="2:8" ht="14" customHeight="1" x14ac:dyDescent="0.3">
      <c r="B17" s="22" t="s">
        <v>184</v>
      </c>
      <c r="C17" s="23"/>
      <c r="D17" s="23"/>
      <c r="E17" s="23"/>
      <c r="F17" s="23"/>
      <c r="G17" s="23"/>
      <c r="H17" s="23"/>
    </row>
    <row r="18" spans="2:8" ht="14" customHeight="1" x14ac:dyDescent="0.3">
      <c r="B18" s="33" t="s">
        <v>185</v>
      </c>
      <c r="C18" s="20">
        <f t="shared" ref="C18:H18" si="3">C14-C16</f>
        <v>714751</v>
      </c>
      <c r="D18" s="20">
        <f t="shared" si="3"/>
        <v>686102.71936931508</v>
      </c>
      <c r="E18" s="20">
        <f t="shared" si="3"/>
        <v>713546.82814408781</v>
      </c>
      <c r="F18" s="20">
        <f t="shared" si="3"/>
        <v>738520.96712913085</v>
      </c>
      <c r="G18" s="20">
        <f t="shared" si="3"/>
        <v>760676.5961430046</v>
      </c>
      <c r="H18" s="20">
        <f t="shared" si="3"/>
        <v>779693.51104657981</v>
      </c>
    </row>
    <row r="19" spans="2:8" ht="14" customHeight="1" x14ac:dyDescent="0.3">
      <c r="B19" s="33" t="s">
        <v>94</v>
      </c>
      <c r="C19" s="36" t="s">
        <v>42</v>
      </c>
      <c r="D19" s="24">
        <f>D18-C18</f>
        <v>-28648.280630684923</v>
      </c>
      <c r="E19" s="24">
        <f>E18-D18</f>
        <v>27444.108774772729</v>
      </c>
      <c r="F19" s="24">
        <f>F18-E18</f>
        <v>24974.138985043042</v>
      </c>
      <c r="G19" s="24">
        <f>G18-F18</f>
        <v>22155.629013873753</v>
      </c>
      <c r="H19" s="24">
        <f>H18-G18</f>
        <v>19016.914903575205</v>
      </c>
    </row>
    <row r="22" spans="2:8" ht="14" customHeight="1" x14ac:dyDescent="0.3">
      <c r="B22" s="22" t="s">
        <v>186</v>
      </c>
      <c r="C22" s="23"/>
      <c r="D22" s="23"/>
      <c r="E22" s="23"/>
      <c r="F22" s="23"/>
      <c r="G22" s="23"/>
      <c r="H22" s="23"/>
    </row>
    <row r="23" spans="2:8" ht="14" customHeight="1" x14ac:dyDescent="0.3">
      <c r="D23" s="25" t="s">
        <v>80</v>
      </c>
      <c r="E23" s="25" t="s">
        <v>81</v>
      </c>
      <c r="F23" s="25" t="s">
        <v>82</v>
      </c>
      <c r="G23" s="25" t="s">
        <v>83</v>
      </c>
      <c r="H23" s="25" t="s">
        <v>84</v>
      </c>
    </row>
    <row r="24" spans="2:8" ht="14" customHeight="1" x14ac:dyDescent="0.3">
      <c r="B24" s="3" t="s">
        <v>187</v>
      </c>
    </row>
    <row r="25" spans="2:8" ht="14" customHeight="1" x14ac:dyDescent="0.3">
      <c r="B25" s="4" t="s">
        <v>78</v>
      </c>
      <c r="D25" s="30">
        <v>85</v>
      </c>
      <c r="E25" s="30">
        <v>85</v>
      </c>
      <c r="F25" s="30">
        <v>85</v>
      </c>
      <c r="G25" s="30">
        <v>85</v>
      </c>
      <c r="H25" s="30">
        <v>85</v>
      </c>
    </row>
    <row r="26" spans="2:8" ht="14" customHeight="1" x14ac:dyDescent="0.3">
      <c r="B26" s="4" t="s">
        <v>115</v>
      </c>
      <c r="D26" s="30">
        <v>81</v>
      </c>
      <c r="E26" s="30">
        <v>81</v>
      </c>
      <c r="F26" s="30">
        <v>81</v>
      </c>
      <c r="G26" s="30">
        <v>81</v>
      </c>
      <c r="H26" s="30">
        <v>81</v>
      </c>
    </row>
    <row r="27" spans="2:8" ht="14" customHeight="1" x14ac:dyDescent="0.3">
      <c r="B27" s="4" t="s">
        <v>116</v>
      </c>
      <c r="D27" s="30">
        <v>85</v>
      </c>
      <c r="E27" s="30">
        <v>85</v>
      </c>
      <c r="F27" s="30">
        <v>85</v>
      </c>
      <c r="G27" s="30">
        <v>85</v>
      </c>
      <c r="H27" s="30">
        <v>85</v>
      </c>
    </row>
    <row r="28" spans="2:8" ht="14" customHeight="1" x14ac:dyDescent="0.3">
      <c r="B28" s="4" t="s">
        <v>117</v>
      </c>
      <c r="D28" s="30">
        <v>89</v>
      </c>
      <c r="E28" s="30">
        <v>89</v>
      </c>
      <c r="F28" s="30">
        <v>89</v>
      </c>
      <c r="G28" s="30">
        <v>89</v>
      </c>
      <c r="H28" s="30">
        <v>89</v>
      </c>
    </row>
    <row r="29" spans="2:8" ht="14" customHeight="1" x14ac:dyDescent="0.3">
      <c r="B29" s="4" t="s">
        <v>118</v>
      </c>
      <c r="D29" s="30">
        <v>94</v>
      </c>
      <c r="E29" s="30">
        <v>94</v>
      </c>
      <c r="F29" s="30">
        <v>94</v>
      </c>
      <c r="G29" s="30">
        <v>94</v>
      </c>
      <c r="H29" s="30">
        <v>94</v>
      </c>
    </row>
    <row r="31" spans="2:8" ht="14" customHeight="1" x14ac:dyDescent="0.3">
      <c r="B31" s="3" t="s">
        <v>188</v>
      </c>
    </row>
    <row r="32" spans="2:8" ht="14" customHeight="1" x14ac:dyDescent="0.3">
      <c r="B32" s="4" t="s">
        <v>78</v>
      </c>
      <c r="D32" s="30">
        <v>163</v>
      </c>
      <c r="E32" s="30">
        <v>163</v>
      </c>
      <c r="F32" s="30">
        <v>163</v>
      </c>
      <c r="G32" s="30">
        <v>163</v>
      </c>
      <c r="H32" s="30">
        <v>163</v>
      </c>
    </row>
    <row r="33" spans="2:8" ht="14" customHeight="1" x14ac:dyDescent="0.3">
      <c r="B33" s="4" t="s">
        <v>115</v>
      </c>
      <c r="D33" s="30">
        <v>156</v>
      </c>
      <c r="E33" s="30">
        <v>156</v>
      </c>
      <c r="F33" s="30">
        <v>156</v>
      </c>
      <c r="G33" s="30">
        <v>156</v>
      </c>
      <c r="H33" s="30">
        <v>156</v>
      </c>
    </row>
    <row r="34" spans="2:8" ht="14" customHeight="1" x14ac:dyDescent="0.3">
      <c r="B34" s="4" t="s">
        <v>116</v>
      </c>
      <c r="D34" s="30">
        <v>163</v>
      </c>
      <c r="E34" s="30">
        <v>163</v>
      </c>
      <c r="F34" s="30">
        <v>163</v>
      </c>
      <c r="G34" s="30">
        <v>163</v>
      </c>
      <c r="H34" s="30">
        <v>163</v>
      </c>
    </row>
    <row r="35" spans="2:8" ht="14" customHeight="1" x14ac:dyDescent="0.3">
      <c r="B35" s="4" t="s">
        <v>117</v>
      </c>
      <c r="D35" s="30">
        <v>171</v>
      </c>
      <c r="E35" s="30">
        <v>171</v>
      </c>
      <c r="F35" s="30">
        <v>171</v>
      </c>
      <c r="G35" s="30">
        <v>171</v>
      </c>
      <c r="H35" s="30">
        <v>171</v>
      </c>
    </row>
    <row r="36" spans="2:8" ht="14" customHeight="1" x14ac:dyDescent="0.3">
      <c r="B36" s="4" t="s">
        <v>118</v>
      </c>
      <c r="D36" s="30">
        <v>180</v>
      </c>
      <c r="E36" s="30">
        <v>180</v>
      </c>
      <c r="F36" s="30">
        <v>180</v>
      </c>
      <c r="G36" s="30">
        <v>180</v>
      </c>
      <c r="H36" s="30">
        <v>180</v>
      </c>
    </row>
    <row r="38" spans="2:8" ht="14" customHeight="1" x14ac:dyDescent="0.3">
      <c r="B38" s="3" t="s">
        <v>189</v>
      </c>
    </row>
    <row r="39" spans="2:8" ht="14" customHeight="1" x14ac:dyDescent="0.3">
      <c r="B39" s="4" t="s">
        <v>78</v>
      </c>
      <c r="D39" s="30">
        <v>122</v>
      </c>
      <c r="E39" s="30">
        <v>122</v>
      </c>
      <c r="F39" s="30">
        <v>122</v>
      </c>
      <c r="G39" s="30">
        <v>122</v>
      </c>
      <c r="H39" s="30">
        <v>122</v>
      </c>
    </row>
    <row r="40" spans="2:8" ht="14" customHeight="1" x14ac:dyDescent="0.3">
      <c r="B40" s="4" t="s">
        <v>115</v>
      </c>
      <c r="D40" s="30">
        <v>126</v>
      </c>
      <c r="E40" s="30">
        <v>126</v>
      </c>
      <c r="F40" s="30">
        <v>126</v>
      </c>
      <c r="G40" s="30">
        <v>126</v>
      </c>
      <c r="H40" s="30">
        <v>126</v>
      </c>
    </row>
    <row r="41" spans="2:8" ht="14" customHeight="1" x14ac:dyDescent="0.3">
      <c r="B41" s="4" t="s">
        <v>116</v>
      </c>
      <c r="D41" s="30">
        <v>122</v>
      </c>
      <c r="E41" s="30">
        <v>122</v>
      </c>
      <c r="F41" s="30">
        <v>122</v>
      </c>
      <c r="G41" s="30">
        <v>122</v>
      </c>
      <c r="H41" s="30">
        <v>122</v>
      </c>
    </row>
    <row r="42" spans="2:8" ht="14" customHeight="1" x14ac:dyDescent="0.3">
      <c r="B42" s="4" t="s">
        <v>117</v>
      </c>
      <c r="D42" s="30">
        <v>117</v>
      </c>
      <c r="E42" s="30">
        <v>117</v>
      </c>
      <c r="F42" s="30">
        <v>117</v>
      </c>
      <c r="G42" s="30">
        <v>117</v>
      </c>
      <c r="H42" s="30">
        <v>117</v>
      </c>
    </row>
    <row r="43" spans="2:8" ht="14" customHeight="1" x14ac:dyDescent="0.3">
      <c r="B43" s="4" t="s">
        <v>118</v>
      </c>
      <c r="D43" s="30">
        <v>112</v>
      </c>
      <c r="E43" s="30">
        <v>112</v>
      </c>
      <c r="F43" s="30">
        <v>112</v>
      </c>
      <c r="G43" s="30">
        <v>112</v>
      </c>
      <c r="H43" s="30">
        <v>112</v>
      </c>
    </row>
  </sheetData>
  <phoneticPr fontId="8"/>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006600"/>
  </sheetPr>
  <dimension ref="B2:Q28"/>
  <sheetViews>
    <sheetView workbookViewId="0"/>
  </sheetViews>
  <sheetFormatPr defaultRowHeight="13" x14ac:dyDescent="0.2"/>
  <cols>
    <col min="1" max="1" width="3" customWidth="1"/>
    <col min="2" max="2" width="16" customWidth="1"/>
    <col min="3" max="3" width="10" customWidth="1"/>
    <col min="4" max="16" width="12" customWidth="1"/>
    <col min="17" max="17" width="26" customWidth="1"/>
  </cols>
  <sheetData>
    <row r="2" spans="2:17" ht="18" customHeight="1" x14ac:dyDescent="0.4">
      <c r="B2" s="2" t="s">
        <v>190</v>
      </c>
    </row>
    <row r="3" spans="2:17" ht="14" customHeight="1" x14ac:dyDescent="0.3">
      <c r="B3" s="1" t="s">
        <v>191</v>
      </c>
    </row>
    <row r="4" spans="2:17" ht="28" customHeight="1" x14ac:dyDescent="0.3">
      <c r="B4" s="10" t="s">
        <v>3</v>
      </c>
      <c r="C4" s="10" t="s">
        <v>5</v>
      </c>
      <c r="D4" s="10" t="s">
        <v>192</v>
      </c>
      <c r="E4" s="10" t="s">
        <v>193</v>
      </c>
      <c r="F4" s="10" t="s">
        <v>194</v>
      </c>
      <c r="G4" s="10" t="s">
        <v>195</v>
      </c>
      <c r="H4" s="10" t="s">
        <v>196</v>
      </c>
      <c r="I4" s="10" t="s">
        <v>197</v>
      </c>
      <c r="J4" s="10" t="s">
        <v>198</v>
      </c>
      <c r="K4" s="10" t="s">
        <v>199</v>
      </c>
      <c r="L4" s="10" t="s">
        <v>200</v>
      </c>
      <c r="M4" s="10" t="s">
        <v>201</v>
      </c>
      <c r="N4" s="10" t="s">
        <v>202</v>
      </c>
      <c r="O4" s="10" t="s">
        <v>203</v>
      </c>
      <c r="P4" s="10" t="s">
        <v>204</v>
      </c>
      <c r="Q4" s="10" t="s">
        <v>205</v>
      </c>
    </row>
    <row r="5" spans="2:17" ht="14" customHeight="1" x14ac:dyDescent="0.3">
      <c r="B5" s="4" t="s">
        <v>206</v>
      </c>
      <c r="C5" t="s">
        <v>207</v>
      </c>
      <c r="D5" s="37">
        <f>'Executive Summary'!C9*C23/1000000</f>
        <v>6320482.8786899997</v>
      </c>
      <c r="E5" s="37">
        <f>D5+C24</f>
        <v>5945590.8786899997</v>
      </c>
      <c r="F5" s="37">
        <v>2468892</v>
      </c>
      <c r="G5" s="37">
        <v>588273</v>
      </c>
      <c r="H5" s="37">
        <v>472106</v>
      </c>
      <c r="I5" s="37">
        <v>363150</v>
      </c>
      <c r="J5" s="38">
        <f t="shared" ref="J5:J10" si="0">IFERROR(E5/G5,"")</f>
        <v>10.106856644262102</v>
      </c>
      <c r="K5" s="38">
        <f t="shared" ref="K5:K10" si="1">IFERROR(E5/F5,"")</f>
        <v>2.4082020917439886</v>
      </c>
      <c r="L5" s="38">
        <f>IFERROR(D5/I5,"")</f>
        <v>17.404606577695166</v>
      </c>
      <c r="M5" s="38">
        <f t="shared" ref="M5:M10" si="2">IFERROR(D5/P5,"")</f>
        <v>2.0835996572509661</v>
      </c>
      <c r="N5" s="39">
        <f t="shared" ref="N5:N10" si="3">IFERROR(H5/F5,"")</f>
        <v>0.191221811241642</v>
      </c>
      <c r="O5" s="39">
        <f t="shared" ref="O5:O10" si="4">IFERROR(I5/P5,"")</f>
        <v>0.119715412580552</v>
      </c>
      <c r="P5" s="37">
        <v>3033444</v>
      </c>
    </row>
    <row r="6" spans="2:17" ht="14" customHeight="1" x14ac:dyDescent="0.3">
      <c r="B6" s="4" t="s">
        <v>208</v>
      </c>
      <c r="C6" t="s">
        <v>209</v>
      </c>
      <c r="D6" s="37">
        <v>5084111</v>
      </c>
      <c r="E6" s="37">
        <v>4934785</v>
      </c>
      <c r="F6" s="37">
        <v>2123045</v>
      </c>
      <c r="G6" s="37">
        <v>306549</v>
      </c>
      <c r="H6" s="37">
        <v>229089</v>
      </c>
      <c r="I6" s="37">
        <v>259874</v>
      </c>
      <c r="J6" s="38">
        <f t="shared" si="0"/>
        <v>16.097866898929698</v>
      </c>
      <c r="K6" s="38">
        <f t="shared" si="1"/>
        <v>2.3243902036932802</v>
      </c>
      <c r="L6" s="38">
        <f>IFERROR(D6/I6,"")</f>
        <v>19.563753973079262</v>
      </c>
      <c r="M6" s="38">
        <f t="shared" si="2"/>
        <v>3.0550265326025627</v>
      </c>
      <c r="N6" s="39">
        <f t="shared" si="3"/>
        <v>0.10790586162799187</v>
      </c>
      <c r="O6" s="39">
        <f t="shared" si="4"/>
        <v>0.1561574806556266</v>
      </c>
      <c r="P6" s="37">
        <v>1664179</v>
      </c>
    </row>
    <row r="7" spans="2:17" ht="14" customHeight="1" x14ac:dyDescent="0.3">
      <c r="B7" s="4" t="s">
        <v>210</v>
      </c>
      <c r="C7" t="s">
        <v>211</v>
      </c>
      <c r="D7" s="37">
        <v>4223444</v>
      </c>
      <c r="E7" s="37">
        <v>4507791</v>
      </c>
      <c r="F7" s="37">
        <v>2139245</v>
      </c>
      <c r="G7" s="37">
        <v>574653</v>
      </c>
      <c r="H7" s="37">
        <v>380059</v>
      </c>
      <c r="I7" s="37">
        <v>291535</v>
      </c>
      <c r="J7" s="38">
        <f t="shared" si="0"/>
        <v>7.8443704287630966</v>
      </c>
      <c r="K7" s="38">
        <f t="shared" si="1"/>
        <v>2.1071878162622792</v>
      </c>
      <c r="L7" s="38">
        <f>IFERROR(D7/I7,"")</f>
        <v>14.486919237827362</v>
      </c>
      <c r="M7" s="38">
        <f t="shared" si="2"/>
        <v>2.3090991796807514</v>
      </c>
      <c r="N7" s="39">
        <f t="shared" si="3"/>
        <v>0.17766034278448706</v>
      </c>
      <c r="O7" s="39">
        <f t="shared" si="4"/>
        <v>0.15939201025235042</v>
      </c>
      <c r="P7" s="37">
        <v>1829044</v>
      </c>
    </row>
    <row r="8" spans="2:17" ht="14" customHeight="1" x14ac:dyDescent="0.3">
      <c r="B8" s="4" t="s">
        <v>212</v>
      </c>
      <c r="C8" t="s">
        <v>213</v>
      </c>
      <c r="D8" s="37">
        <v>9186111</v>
      </c>
      <c r="E8" s="37">
        <v>13472895</v>
      </c>
      <c r="F8" s="37">
        <v>4505720</v>
      </c>
      <c r="G8" s="37">
        <v>1185578</v>
      </c>
      <c r="H8" s="37">
        <v>464451</v>
      </c>
      <c r="I8" s="37">
        <v>-152390</v>
      </c>
      <c r="J8" s="38">
        <f t="shared" si="0"/>
        <v>11.363988704243837</v>
      </c>
      <c r="K8" s="38">
        <f t="shared" si="1"/>
        <v>2.9901758209564733</v>
      </c>
      <c r="L8" s="40" t="s">
        <v>214</v>
      </c>
      <c r="M8" s="38">
        <f t="shared" si="2"/>
        <v>1.2364471297369479</v>
      </c>
      <c r="N8" s="39">
        <f t="shared" si="3"/>
        <v>0.10308030681001039</v>
      </c>
      <c r="O8" s="39">
        <f t="shared" si="4"/>
        <v>-2.0511637416597023E-2</v>
      </c>
      <c r="P8" s="37">
        <v>7429441</v>
      </c>
    </row>
    <row r="9" spans="2:17" ht="14" customHeight="1" x14ac:dyDescent="0.3">
      <c r="B9" s="4" t="s">
        <v>215</v>
      </c>
      <c r="C9" t="s">
        <v>216</v>
      </c>
      <c r="D9" s="37">
        <v>2476073</v>
      </c>
      <c r="E9" s="37">
        <v>2449070</v>
      </c>
      <c r="F9" s="37">
        <v>499677</v>
      </c>
      <c r="G9" s="37">
        <v>193693</v>
      </c>
      <c r="H9" s="37">
        <v>166725</v>
      </c>
      <c r="I9" s="37">
        <v>205159</v>
      </c>
      <c r="J9" s="38">
        <f t="shared" si="0"/>
        <v>12.644081097406721</v>
      </c>
      <c r="K9" s="38">
        <f t="shared" si="1"/>
        <v>4.9013062438335169</v>
      </c>
      <c r="L9" s="38">
        <f>IFERROR(D9/I9,"")</f>
        <v>12.069044009768033</v>
      </c>
      <c r="M9" s="38">
        <f t="shared" si="2"/>
        <v>1.4692920487890269</v>
      </c>
      <c r="N9" s="39">
        <f t="shared" si="3"/>
        <v>0.3336655479439718</v>
      </c>
      <c r="O9" s="39">
        <f t="shared" si="4"/>
        <v>0.12174054942544422</v>
      </c>
      <c r="P9" s="37">
        <v>1685215</v>
      </c>
    </row>
    <row r="10" spans="2:17" ht="14" customHeight="1" x14ac:dyDescent="0.3">
      <c r="B10" s="4" t="s">
        <v>217</v>
      </c>
      <c r="C10" t="s">
        <v>218</v>
      </c>
      <c r="D10" s="37">
        <v>1258440</v>
      </c>
      <c r="E10" s="37">
        <v>1039671</v>
      </c>
      <c r="F10" s="37">
        <v>496826</v>
      </c>
      <c r="G10" s="37">
        <v>128419</v>
      </c>
      <c r="H10" s="37">
        <v>102275</v>
      </c>
      <c r="I10" s="37">
        <v>67040</v>
      </c>
      <c r="J10" s="38">
        <f t="shared" si="0"/>
        <v>8.0959281726224308</v>
      </c>
      <c r="K10" s="38">
        <f t="shared" si="1"/>
        <v>2.0926259897831434</v>
      </c>
      <c r="L10" s="38">
        <f>IFERROR(D10/I10,"")</f>
        <v>18.771479713603817</v>
      </c>
      <c r="M10" s="38">
        <f t="shared" si="2"/>
        <v>1.4087035950799927</v>
      </c>
      <c r="N10" s="39">
        <f t="shared" si="3"/>
        <v>0.20585677883202569</v>
      </c>
      <c r="O10" s="39">
        <f t="shared" si="4"/>
        <v>7.5044888126698697E-2</v>
      </c>
      <c r="P10" s="37">
        <v>893332</v>
      </c>
    </row>
    <row r="14" spans="2:17" ht="14" customHeight="1" x14ac:dyDescent="0.3">
      <c r="B14" s="3" t="s">
        <v>219</v>
      </c>
    </row>
    <row r="15" spans="2:17" ht="14" customHeight="1" x14ac:dyDescent="0.3">
      <c r="B15" s="4" t="s">
        <v>220</v>
      </c>
      <c r="D15" s="38">
        <f t="shared" ref="D15:I15" si="5">PERCENTILE(J6:J10,0.25)</f>
        <v>8.0959281726224308</v>
      </c>
      <c r="E15" s="38">
        <f t="shared" si="5"/>
        <v>2.1071878162622792</v>
      </c>
      <c r="F15" s="38">
        <f t="shared" si="5"/>
        <v>13.882450430812529</v>
      </c>
      <c r="G15" s="38">
        <f t="shared" si="5"/>
        <v>1.4087035950799927</v>
      </c>
      <c r="H15" s="39">
        <f t="shared" si="5"/>
        <v>0.10790586162799187</v>
      </c>
      <c r="I15" s="39">
        <f t="shared" si="5"/>
        <v>7.5044888126698697E-2</v>
      </c>
    </row>
    <row r="16" spans="2:17" ht="14" customHeight="1" x14ac:dyDescent="0.3">
      <c r="B16" s="4" t="s">
        <v>221</v>
      </c>
      <c r="D16" s="38">
        <f t="shared" ref="D16:I16" si="6">MEDIAN(J6:J10)</f>
        <v>11.363988704243837</v>
      </c>
      <c r="E16" s="38">
        <f t="shared" si="6"/>
        <v>2.3243902036932802</v>
      </c>
      <c r="F16" s="38">
        <f t="shared" si="6"/>
        <v>16.629199475715588</v>
      </c>
      <c r="G16" s="38">
        <f t="shared" si="6"/>
        <v>1.4692920487890269</v>
      </c>
      <c r="H16" s="39">
        <f t="shared" si="6"/>
        <v>0.17766034278448706</v>
      </c>
      <c r="I16" s="39">
        <f t="shared" si="6"/>
        <v>0.12174054942544422</v>
      </c>
    </row>
    <row r="17" spans="2:9" ht="14" customHeight="1" x14ac:dyDescent="0.3">
      <c r="B17" s="4" t="s">
        <v>222</v>
      </c>
      <c r="D17" s="38">
        <f t="shared" ref="D17:I17" si="7">PERCENTILE(J6:J10,0.75)</f>
        <v>12.644081097406721</v>
      </c>
      <c r="E17" s="38">
        <f t="shared" si="7"/>
        <v>2.9901758209564733</v>
      </c>
      <c r="F17" s="38">
        <f t="shared" si="7"/>
        <v>18.969548278472679</v>
      </c>
      <c r="G17" s="38">
        <f t="shared" si="7"/>
        <v>2.3090991796807514</v>
      </c>
      <c r="H17" s="39">
        <f t="shared" si="7"/>
        <v>0.20585677883202569</v>
      </c>
      <c r="I17" s="39">
        <f t="shared" si="7"/>
        <v>0.1561574806556266</v>
      </c>
    </row>
    <row r="19" spans="2:9" ht="14" customHeight="1" x14ac:dyDescent="0.3">
      <c r="B19" s="22" t="s">
        <v>223</v>
      </c>
      <c r="C19" s="23"/>
      <c r="D19" s="23"/>
      <c r="E19" s="23"/>
      <c r="F19" s="23"/>
      <c r="G19" s="23"/>
      <c r="H19" s="23"/>
      <c r="I19" s="23"/>
    </row>
    <row r="20" spans="2:9" ht="14" customHeight="1" x14ac:dyDescent="0.3">
      <c r="B20" s="3" t="s">
        <v>224</v>
      </c>
    </row>
    <row r="21" spans="2:9" ht="14" customHeight="1" x14ac:dyDescent="0.3">
      <c r="B21" s="4" t="s">
        <v>225</v>
      </c>
      <c r="C21" s="5">
        <v>588273</v>
      </c>
    </row>
    <row r="22" spans="2:9" ht="14" customHeight="1" x14ac:dyDescent="0.3">
      <c r="B22" s="4" t="s">
        <v>226</v>
      </c>
      <c r="C22" s="5">
        <v>363150</v>
      </c>
    </row>
    <row r="23" spans="2:9" ht="14" customHeight="1" x14ac:dyDescent="0.3">
      <c r="B23" s="4" t="s">
        <v>227</v>
      </c>
      <c r="C23" s="15">
        <v>525393423</v>
      </c>
    </row>
    <row r="24" spans="2:9" ht="14" customHeight="1" x14ac:dyDescent="0.3">
      <c r="B24" s="4" t="s">
        <v>67</v>
      </c>
      <c r="C24" s="5">
        <v>-374892</v>
      </c>
    </row>
    <row r="26" spans="2:9" ht="14" customHeight="1" x14ac:dyDescent="0.3">
      <c r="B26" s="3" t="s">
        <v>228</v>
      </c>
    </row>
    <row r="27" spans="2:9" ht="14" customHeight="1" x14ac:dyDescent="0.3">
      <c r="B27" s="4" t="s">
        <v>229</v>
      </c>
      <c r="C27" s="24">
        <f>ROUND((C21*D16-C24)*1000000/C23,0)</f>
        <v>13438</v>
      </c>
    </row>
    <row r="28" spans="2:9" ht="14" customHeight="1" x14ac:dyDescent="0.3">
      <c r="B28" s="4" t="s">
        <v>230</v>
      </c>
      <c r="C28" s="24">
        <f>ROUND(C22*F16*1000000/C23,0)</f>
        <v>11494</v>
      </c>
    </row>
  </sheetData>
  <phoneticPr fontId="8"/>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996600"/>
  </sheetPr>
  <dimension ref="B2:I26"/>
  <sheetViews>
    <sheetView workbookViewId="0"/>
  </sheetViews>
  <sheetFormatPr defaultRowHeight="13" x14ac:dyDescent="0.2"/>
  <cols>
    <col min="1" max="1" width="3" customWidth="1"/>
    <col min="2" max="2" width="24" customWidth="1"/>
    <col min="3" max="9" width="14" customWidth="1"/>
  </cols>
  <sheetData>
    <row r="2" spans="2:9" ht="18" customHeight="1" x14ac:dyDescent="0.4">
      <c r="B2" s="2" t="s">
        <v>231</v>
      </c>
    </row>
    <row r="3" spans="2:9" ht="14" customHeight="1" x14ac:dyDescent="0.3">
      <c r="B3" s="4" t="s">
        <v>232</v>
      </c>
      <c r="C3" s="16">
        <f>'DCF Model'!C26</f>
        <v>7.8699999999999992E-2</v>
      </c>
      <c r="E3" s="4" t="s">
        <v>233</v>
      </c>
      <c r="F3" s="16">
        <f>'DCF Model'!C13</f>
        <v>0.01</v>
      </c>
      <c r="H3" s="4" t="s">
        <v>234</v>
      </c>
      <c r="I3" s="14">
        <f>'DCF Model'!C14</f>
        <v>11.4</v>
      </c>
    </row>
    <row r="5" spans="2:9" ht="14" customHeight="1" x14ac:dyDescent="0.3">
      <c r="B5" s="3" t="s">
        <v>235</v>
      </c>
    </row>
    <row r="6" spans="2:9" ht="14" customHeight="1" x14ac:dyDescent="0.3">
      <c r="B6" s="41" t="s">
        <v>236</v>
      </c>
      <c r="C6" s="42">
        <f>$F$3-0.0075</f>
        <v>2.5000000000000005E-3</v>
      </c>
      <c r="D6" s="42">
        <f>$F$3-0.005</f>
        <v>5.0000000000000001E-3</v>
      </c>
      <c r="E6" s="42">
        <f>$F$3-0.0025</f>
        <v>7.4999999999999997E-3</v>
      </c>
      <c r="F6" s="42">
        <f>$F$3</f>
        <v>0.01</v>
      </c>
      <c r="G6" s="42">
        <f>$F$3+0.0025</f>
        <v>1.2500000000000001E-2</v>
      </c>
      <c r="H6" s="42">
        <f>$F$3+0.005</f>
        <v>1.4999999999999999E-2</v>
      </c>
      <c r="I6" s="42">
        <f>$F$3+0.0075</f>
        <v>1.7500000000000002E-2</v>
      </c>
    </row>
    <row r="7" spans="2:9" ht="13.5" customHeight="1" x14ac:dyDescent="0.25">
      <c r="B7" s="39">
        <f>$C$3-0.015</f>
        <v>6.3699999999999993E-2</v>
      </c>
      <c r="C7" s="37">
        <f>IFERROR(ROUND(('DCF Model'!C45/(1+$B7)^('DCF Model'!C19+0)+'DCF Model'!D45/(1+$B7)^('DCF Model'!C19+1)+'DCF Model'!E45/(1+$B7)^('DCF Model'!C19+2)+'DCF Model'!F45/(1+$B7)^('DCF Model'!C19+3)+'DCF Model'!G45/(1+$B7)^('DCF Model'!C19+4)+'DCF Model'!G45*(1+C$6)/($B7-C$6)/(1+$B7)^('DCF Model'!C19+4)-'DCF Model'!C16)*1000000/'DCF Model'!C15,0),"")</f>
        <v>13174</v>
      </c>
      <c r="D7" s="37">
        <f>IFERROR(ROUND(('DCF Model'!C45/(1+$B7)^('DCF Model'!C19+0)+'DCF Model'!D45/(1+$B7)^('DCF Model'!C19+1)+'DCF Model'!E45/(1+$B7)^('DCF Model'!C19+2)+'DCF Model'!F45/(1+$B7)^('DCF Model'!C19+3)+'DCF Model'!G45/(1+$B7)^('DCF Model'!C19+4)+'DCF Model'!G45*(1+D$6)/($B7-D$6)/(1+$B7)^('DCF Model'!C19+4)-'DCF Model'!C16)*1000000/'DCF Model'!C15,0),"")</f>
        <v>13597</v>
      </c>
      <c r="E7" s="37">
        <f>IFERROR(ROUND(('DCF Model'!C45/(1+$B7)^('DCF Model'!C19+0)+'DCF Model'!D45/(1+$B7)^('DCF Model'!C19+1)+'DCF Model'!E45/(1+$B7)^('DCF Model'!C19+2)+'DCF Model'!F45/(1+$B7)^('DCF Model'!C19+3)+'DCF Model'!G45/(1+$B7)^('DCF Model'!C19+4)+'DCF Model'!G45*(1+E$6)/($B7-E$6)/(1+$B7)^('DCF Model'!C19+4)-'DCF Model'!C16)*1000000/'DCF Model'!C15,0),"")</f>
        <v>14057</v>
      </c>
      <c r="F7" s="37">
        <f>IFERROR(ROUND(('DCF Model'!C45/(1+$B7)^('DCF Model'!C19+0)+'DCF Model'!D45/(1+$B7)^('DCF Model'!C19+1)+'DCF Model'!E45/(1+$B7)^('DCF Model'!C19+2)+'DCF Model'!F45/(1+$B7)^('DCF Model'!C19+3)+'DCF Model'!G45/(1+$B7)^('DCF Model'!C19+4)+'DCF Model'!G45*(1+F$6)/($B7-F$6)/(1+$B7)^('DCF Model'!C19+4)-'DCF Model'!C16)*1000000/'DCF Model'!C15,0),"")</f>
        <v>14561</v>
      </c>
      <c r="G7" s="37">
        <f>IFERROR(ROUND(('DCF Model'!C45/(1+$B7)^('DCF Model'!C19+0)+'DCF Model'!D45/(1+$B7)^('DCF Model'!C19+1)+'DCF Model'!E45/(1+$B7)^('DCF Model'!C19+2)+'DCF Model'!F45/(1+$B7)^('DCF Model'!C19+3)+'DCF Model'!G45/(1+$B7)^('DCF Model'!C19+4)+'DCF Model'!G45*(1+G$6)/($B7-G$6)/(1+$B7)^('DCF Model'!C19+4)-'DCF Model'!C16)*1000000/'DCF Model'!C15,0),"")</f>
        <v>15114</v>
      </c>
      <c r="H7" s="37">
        <f>IFERROR(ROUND(('DCF Model'!C45/(1+$B7)^('DCF Model'!C19+0)+'DCF Model'!D45/(1+$B7)^('DCF Model'!C19+1)+'DCF Model'!E45/(1+$B7)^('DCF Model'!C19+2)+'DCF Model'!F45/(1+$B7)^('DCF Model'!C19+3)+'DCF Model'!G45/(1+$B7)^('DCF Model'!C19+4)+'DCF Model'!G45*(1+H$6)/($B7-H$6)/(1+$B7)^('DCF Model'!C19+4)-'DCF Model'!C16)*1000000/'DCF Model'!C15,0),"")</f>
        <v>15723</v>
      </c>
      <c r="I7" s="37">
        <f>IFERROR(ROUND(('DCF Model'!C45/(1+$B7)^('DCF Model'!C19+0)+'DCF Model'!D45/(1+$B7)^('DCF Model'!C19+1)+'DCF Model'!E45/(1+$B7)^('DCF Model'!C19+2)+'DCF Model'!F45/(1+$B7)^('DCF Model'!C19+3)+'DCF Model'!G45/(1+$B7)^('DCF Model'!C19+4)+'DCF Model'!G45*(1+I$6)/($B7-I$6)/(1+$B7)^('DCF Model'!C19+4)-'DCF Model'!C16)*1000000/'DCF Model'!C15,0),"")</f>
        <v>16398</v>
      </c>
    </row>
    <row r="8" spans="2:9" ht="13.5" customHeight="1" x14ac:dyDescent="0.25">
      <c r="B8" s="39">
        <f>$C$3-0.01</f>
        <v>6.8699999999999997E-2</v>
      </c>
      <c r="C8" s="37">
        <f>IFERROR(ROUND(('DCF Model'!C45/(1+$B8)^('DCF Model'!C19+0)+'DCF Model'!D45/(1+$B8)^('DCF Model'!C19+1)+'DCF Model'!E45/(1+$B8)^('DCF Model'!C19+2)+'DCF Model'!F45/(1+$B8)^('DCF Model'!C19+3)+'DCF Model'!G45/(1+$B8)^('DCF Model'!C19+4)+'DCF Model'!G45*(1+C$6)/($B8-C$6)/(1+$B8)^('DCF Model'!C19+4)-'DCF Model'!C16)*1000000/'DCF Model'!C15,0),"")</f>
        <v>12252</v>
      </c>
      <c r="D8" s="37">
        <f>IFERROR(ROUND(('DCF Model'!C45/(1+$B8)^('DCF Model'!C19+0)+'DCF Model'!D45/(1+$B8)^('DCF Model'!C19+1)+'DCF Model'!E45/(1+$B8)^('DCF Model'!C19+2)+'DCF Model'!F45/(1+$B8)^('DCF Model'!C19+3)+'DCF Model'!G45/(1+$B8)^('DCF Model'!C19+4)+'DCF Model'!G45*(1+D$6)/($B8-D$6)/(1+$B8)^('DCF Model'!C19+4)-'DCF Model'!C16)*1000000/'DCF Model'!C15,0),"")</f>
        <v>12606</v>
      </c>
      <c r="E8" s="37">
        <f>IFERROR(ROUND(('DCF Model'!C45/(1+$B8)^('DCF Model'!C19+0)+'DCF Model'!D45/(1+$B8)^('DCF Model'!C19+1)+'DCF Model'!E45/(1+$B8)^('DCF Model'!C19+2)+'DCF Model'!F45/(1+$B8)^('DCF Model'!C19+3)+'DCF Model'!G45/(1+$B8)^('DCF Model'!C19+4)+'DCF Model'!G45*(1+E$6)/($B8-E$6)/(1+$B8)^('DCF Model'!C19+4)-'DCF Model'!C16)*1000000/'DCF Model'!C15,0),"")</f>
        <v>12989</v>
      </c>
      <c r="F8" s="37">
        <f>IFERROR(ROUND(('DCF Model'!C45/(1+$B8)^('DCF Model'!C19+0)+'DCF Model'!D45/(1+$B8)^('DCF Model'!C19+1)+'DCF Model'!E45/(1+$B8)^('DCF Model'!C19+2)+'DCF Model'!F45/(1+$B8)^('DCF Model'!C19+3)+'DCF Model'!G45/(1+$B8)^('DCF Model'!C19+4)+'DCF Model'!G45*(1+F$6)/($B8-F$6)/(1+$B8)^('DCF Model'!C19+4)-'DCF Model'!C16)*1000000/'DCF Model'!C15,0),"")</f>
        <v>13406</v>
      </c>
      <c r="G8" s="37">
        <f>IFERROR(ROUND(('DCF Model'!C45/(1+$B8)^('DCF Model'!C19+0)+'DCF Model'!D45/(1+$B8)^('DCF Model'!C19+1)+'DCF Model'!E45/(1+$B8)^('DCF Model'!C19+2)+'DCF Model'!F45/(1+$B8)^('DCF Model'!C19+3)+'DCF Model'!G45/(1+$B8)^('DCF Model'!C19+4)+'DCF Model'!G45*(1+G$6)/($B8-G$6)/(1+$B8)^('DCF Model'!C19+4)-'DCF Model'!C16)*1000000/'DCF Model'!C15,0),"")</f>
        <v>13859</v>
      </c>
      <c r="H8" s="37">
        <f>IFERROR(ROUND(('DCF Model'!C45/(1+$B8)^('DCF Model'!C19+0)+'DCF Model'!D45/(1+$B8)^('DCF Model'!C19+1)+'DCF Model'!E45/(1+$B8)^('DCF Model'!C19+2)+'DCF Model'!F45/(1+$B8)^('DCF Model'!C19+3)+'DCF Model'!G45/(1+$B8)^('DCF Model'!C19+4)+'DCF Model'!G45*(1+H$6)/($B8-H$6)/(1+$B8)^('DCF Model'!C19+4)-'DCF Model'!C16)*1000000/'DCF Model'!C15,0),"")</f>
        <v>14354</v>
      </c>
      <c r="I8" s="37">
        <f>IFERROR(ROUND(('DCF Model'!C45/(1+$B8)^('DCF Model'!C19+0)+'DCF Model'!D45/(1+$B8)^('DCF Model'!C19+1)+'DCF Model'!E45/(1+$B8)^('DCF Model'!C19+2)+'DCF Model'!F45/(1+$B8)^('DCF Model'!C19+3)+'DCF Model'!G45/(1+$B8)^('DCF Model'!C19+4)+'DCF Model'!G45*(1+I$6)/($B8-I$6)/(1+$B8)^('DCF Model'!C19+4)-'DCF Model'!C16)*1000000/'DCF Model'!C15,0),"")</f>
        <v>14898</v>
      </c>
    </row>
    <row r="9" spans="2:9" ht="13.5" customHeight="1" x14ac:dyDescent="0.25">
      <c r="B9" s="39">
        <f>$C$3-0.005</f>
        <v>7.3699999999999988E-2</v>
      </c>
      <c r="C9" s="37">
        <f>IFERROR(ROUND(('DCF Model'!C45/(1+$B9)^('DCF Model'!C19+0)+'DCF Model'!D45/(1+$B9)^('DCF Model'!C19+1)+'DCF Model'!E45/(1+$B9)^('DCF Model'!C19+2)+'DCF Model'!F45/(1+$B9)^('DCF Model'!C19+3)+'DCF Model'!G45/(1+$B9)^('DCF Model'!C19+4)+'DCF Model'!G45*(1+C$6)/($B9-C$6)/(1+$B9)^('DCF Model'!C19+4)-'DCF Model'!C16)*1000000/'DCF Model'!C15,0),"")</f>
        <v>11459</v>
      </c>
      <c r="D9" s="37">
        <f>IFERROR(ROUND(('DCF Model'!C45/(1+$B9)^('DCF Model'!C19+0)+'DCF Model'!D45/(1+$B9)^('DCF Model'!C19+1)+'DCF Model'!E45/(1+$B9)^('DCF Model'!C19+2)+'DCF Model'!F45/(1+$B9)^('DCF Model'!C19+3)+'DCF Model'!G45/(1+$B9)^('DCF Model'!C19+4)+'DCF Model'!G45*(1+D$6)/($B9-D$6)/(1+$B9)^('DCF Model'!C19+4)-'DCF Model'!C16)*1000000/'DCF Model'!C15,0),"")</f>
        <v>11760</v>
      </c>
      <c r="E9" s="37">
        <f>IFERROR(ROUND(('DCF Model'!C45/(1+$B9)^('DCF Model'!C19+0)+'DCF Model'!D45/(1+$B9)^('DCF Model'!C19+1)+'DCF Model'!E45/(1+$B9)^('DCF Model'!C19+2)+'DCF Model'!F45/(1+$B9)^('DCF Model'!C19+3)+'DCF Model'!G45/(1+$B9)^('DCF Model'!C19+4)+'DCF Model'!G45*(1+E$6)/($B9-E$6)/(1+$B9)^('DCF Model'!C19+4)-'DCF Model'!C16)*1000000/'DCF Model'!C15,0),"")</f>
        <v>12083</v>
      </c>
      <c r="F9" s="37">
        <f>IFERROR(ROUND(('DCF Model'!C45/(1+$B9)^('DCF Model'!C19+0)+'DCF Model'!D45/(1+$B9)^('DCF Model'!C19+1)+'DCF Model'!E45/(1+$B9)^('DCF Model'!C19+2)+'DCF Model'!F45/(1+$B9)^('DCF Model'!C19+3)+'DCF Model'!G45/(1+$B9)^('DCF Model'!C19+4)+'DCF Model'!G45*(1+F$6)/($B9-F$6)/(1+$B9)^('DCF Model'!C19+4)-'DCF Model'!C16)*1000000/'DCF Model'!C15,0),"")</f>
        <v>12432</v>
      </c>
      <c r="G9" s="37">
        <f>IFERROR(ROUND(('DCF Model'!C45/(1+$B9)^('DCF Model'!C19+0)+'DCF Model'!D45/(1+$B9)^('DCF Model'!C19+1)+'DCF Model'!E45/(1+$B9)^('DCF Model'!C19+2)+'DCF Model'!F45/(1+$B9)^('DCF Model'!C19+3)+'DCF Model'!G45/(1+$B9)^('DCF Model'!C19+4)+'DCF Model'!G45*(1+G$6)/($B9-G$6)/(1+$B9)^('DCF Model'!C19+4)-'DCF Model'!C16)*1000000/'DCF Model'!C15,0),"")</f>
        <v>12809</v>
      </c>
      <c r="H9" s="37">
        <f>IFERROR(ROUND(('DCF Model'!C45/(1+$B9)^('DCF Model'!C19+0)+'DCF Model'!D45/(1+$B9)^('DCF Model'!C19+1)+'DCF Model'!E45/(1+$B9)^('DCF Model'!C19+2)+'DCF Model'!F45/(1+$B9)^('DCF Model'!C19+3)+'DCF Model'!G45/(1+$B9)^('DCF Model'!C19+4)+'DCF Model'!G45*(1+H$6)/($B9-H$6)/(1+$B9)^('DCF Model'!C19+4)-'DCF Model'!C16)*1000000/'DCF Model'!C15,0),"")</f>
        <v>13218</v>
      </c>
      <c r="I9" s="37">
        <f>IFERROR(ROUND(('DCF Model'!C45/(1+$B9)^('DCF Model'!C19+0)+'DCF Model'!D45/(1+$B9)^('DCF Model'!C19+1)+'DCF Model'!E45/(1+$B9)^('DCF Model'!C19+2)+'DCF Model'!F45/(1+$B9)^('DCF Model'!C19+3)+'DCF Model'!G45/(1+$B9)^('DCF Model'!C19+4)+'DCF Model'!G45*(1+I$6)/($B9-I$6)/(1+$B9)^('DCF Model'!C19+4)-'DCF Model'!C16)*1000000/'DCF Model'!C15,0),"")</f>
        <v>13664</v>
      </c>
    </row>
    <row r="10" spans="2:9" ht="13.5" customHeight="1" x14ac:dyDescent="0.25">
      <c r="B10" s="39">
        <f>$C$3</f>
        <v>7.8699999999999992E-2</v>
      </c>
      <c r="C10" s="37">
        <f>IFERROR(ROUND(('DCF Model'!C45/(1+$B10)^('DCF Model'!C19+0)+'DCF Model'!D45/(1+$B10)^('DCF Model'!C19+1)+'DCF Model'!E45/(1+$B10)^('DCF Model'!C19+2)+'DCF Model'!F45/(1+$B10)^('DCF Model'!C19+3)+'DCF Model'!G45/(1+$B10)^('DCF Model'!C19+4)+'DCF Model'!G45*(1+C$6)/($B10-C$6)/(1+$B10)^('DCF Model'!C19+4)-'DCF Model'!C16)*1000000/'DCF Model'!C15,0),"")</f>
        <v>10770</v>
      </c>
      <c r="D10" s="37">
        <f>IFERROR(ROUND(('DCF Model'!C45/(1+$B10)^('DCF Model'!C19+0)+'DCF Model'!D45/(1+$B10)^('DCF Model'!C19+1)+'DCF Model'!E45/(1+$B10)^('DCF Model'!C19+2)+'DCF Model'!F45/(1+$B10)^('DCF Model'!C19+3)+'DCF Model'!G45/(1+$B10)^('DCF Model'!C19+4)+'DCF Model'!G45*(1+D$6)/($B10-D$6)/(1+$B10)^('DCF Model'!C19+4)-'DCF Model'!C16)*1000000/'DCF Model'!C15,0),"")</f>
        <v>11028</v>
      </c>
      <c r="E10" s="37">
        <f>IFERROR(ROUND(('DCF Model'!C45/(1+$B10)^('DCF Model'!C19+0)+'DCF Model'!D45/(1+$B10)^('DCF Model'!C19+1)+'DCF Model'!E45/(1+$B10)^('DCF Model'!C19+2)+'DCF Model'!F45/(1+$B10)^('DCF Model'!C19+3)+'DCF Model'!G45/(1+$B10)^('DCF Model'!C19+4)+'DCF Model'!G45*(1+E$6)/($B10-E$6)/(1+$B10)^('DCF Model'!C19+4)-'DCF Model'!C16)*1000000/'DCF Model'!C15,0),"")</f>
        <v>11304</v>
      </c>
      <c r="F10" s="37">
        <f>IFERROR(ROUND(('DCF Model'!C45/(1+$B10)^('DCF Model'!C19+0)+'DCF Model'!D45/(1+$B10)^('DCF Model'!C19+1)+'DCF Model'!E45/(1+$B10)^('DCF Model'!C19+2)+'DCF Model'!F45/(1+$B10)^('DCF Model'!C19+3)+'DCF Model'!G45/(1+$B10)^('DCF Model'!C19+4)+'DCF Model'!G45*(1+F$6)/($B10-F$6)/(1+$B10)^('DCF Model'!C19+4)-'DCF Model'!C16)*1000000/'DCF Model'!C15,0),"")</f>
        <v>11600</v>
      </c>
      <c r="G10" s="37">
        <f>IFERROR(ROUND(('DCF Model'!C45/(1+$B10)^('DCF Model'!C19+0)+'DCF Model'!D45/(1+$B10)^('DCF Model'!C19+1)+'DCF Model'!E45/(1+$B10)^('DCF Model'!C19+2)+'DCF Model'!F45/(1+$B10)^('DCF Model'!C19+3)+'DCF Model'!G45/(1+$B10)^('DCF Model'!C19+4)+'DCF Model'!G45*(1+G$6)/($B10-G$6)/(1+$B10)^('DCF Model'!C19+4)-'DCF Model'!C16)*1000000/'DCF Model'!C15,0),"")</f>
        <v>11918</v>
      </c>
      <c r="H10" s="37">
        <f>IFERROR(ROUND(('DCF Model'!C45/(1+$B10)^('DCF Model'!C19+0)+'DCF Model'!D45/(1+$B10)^('DCF Model'!C19+1)+'DCF Model'!E45/(1+$B10)^('DCF Model'!C19+2)+'DCF Model'!F45/(1+$B10)^('DCF Model'!C19+3)+'DCF Model'!G45/(1+$B10)^('DCF Model'!C19+4)+'DCF Model'!G45*(1+H$6)/($B10-H$6)/(1+$B10)^('DCF Model'!C19+4)-'DCF Model'!C16)*1000000/'DCF Model'!C15,0),"")</f>
        <v>12261</v>
      </c>
      <c r="I10" s="37">
        <f>IFERROR(ROUND(('DCF Model'!C45/(1+$B10)^('DCF Model'!C19+0)+'DCF Model'!D45/(1+$B10)^('DCF Model'!C19+1)+'DCF Model'!E45/(1+$B10)^('DCF Model'!C19+2)+'DCF Model'!F45/(1+$B10)^('DCF Model'!C19+3)+'DCF Model'!G45/(1+$B10)^('DCF Model'!C19+4)+'DCF Model'!G45*(1+I$6)/($B10-I$6)/(1+$B10)^('DCF Model'!C19+4)-'DCF Model'!C16)*1000000/'DCF Model'!C15,0),"")</f>
        <v>12632</v>
      </c>
    </row>
    <row r="11" spans="2:9" ht="13.5" customHeight="1" x14ac:dyDescent="0.25">
      <c r="B11" s="39">
        <f>$C$3+0.005</f>
        <v>8.3699999999999997E-2</v>
      </c>
      <c r="C11" s="37">
        <f>IFERROR(ROUND(('DCF Model'!C45/(1+$B11)^('DCF Model'!C19+0)+'DCF Model'!D45/(1+$B11)^('DCF Model'!C19+1)+'DCF Model'!E45/(1+$B11)^('DCF Model'!C19+2)+'DCF Model'!F45/(1+$B11)^('DCF Model'!C19+3)+'DCF Model'!G45/(1+$B11)^('DCF Model'!C19+4)+'DCF Model'!G45*(1+C$6)/($B11-C$6)/(1+$B11)^('DCF Model'!C19+4)-'DCF Model'!C16)*1000000/'DCF Model'!C15,0),"")</f>
        <v>10167</v>
      </c>
      <c r="D11" s="37">
        <f>IFERROR(ROUND(('DCF Model'!C45/(1+$B11)^('DCF Model'!C19+0)+'DCF Model'!D45/(1+$B11)^('DCF Model'!C19+1)+'DCF Model'!E45/(1+$B11)^('DCF Model'!C19+2)+'DCF Model'!F45/(1+$B11)^('DCF Model'!C19+3)+'DCF Model'!G45/(1+$B11)^('DCF Model'!C19+4)+'DCF Model'!G45*(1+D$6)/($B11-D$6)/(1+$B11)^('DCF Model'!C19+4)-'DCF Model'!C16)*1000000/'DCF Model'!C15,0),"")</f>
        <v>10390</v>
      </c>
      <c r="E11" s="37">
        <f>IFERROR(ROUND(('DCF Model'!C45/(1+$B11)^('DCF Model'!C19+0)+'DCF Model'!D45/(1+$B11)^('DCF Model'!C19+1)+'DCF Model'!E45/(1+$B11)^('DCF Model'!C19+2)+'DCF Model'!F45/(1+$B11)^('DCF Model'!C19+3)+'DCF Model'!G45/(1+$B11)^('DCF Model'!C19+4)+'DCF Model'!G45*(1+E$6)/($B11-E$6)/(1+$B11)^('DCF Model'!C19+4)-'DCF Model'!C16)*1000000/'DCF Model'!C15,0),"")</f>
        <v>10627</v>
      </c>
      <c r="F11" s="37">
        <f>IFERROR(ROUND(('DCF Model'!C45/(1+$B11)^('DCF Model'!C19+0)+'DCF Model'!D45/(1+$B11)^('DCF Model'!C19+1)+'DCF Model'!E45/(1+$B11)^('DCF Model'!C19+2)+'DCF Model'!F45/(1+$B11)^('DCF Model'!C19+3)+'DCF Model'!G45/(1+$B11)^('DCF Model'!C19+4)+'DCF Model'!G45*(1+F$6)/($B11-F$6)/(1+$B11)^('DCF Model'!C19+4)-'DCF Model'!C16)*1000000/'DCF Model'!C15,0),"")</f>
        <v>10881</v>
      </c>
      <c r="G11" s="37">
        <f>IFERROR(ROUND(('DCF Model'!C45/(1+$B11)^('DCF Model'!C19+0)+'DCF Model'!D45/(1+$B11)^('DCF Model'!C19+1)+'DCF Model'!E45/(1+$B11)^('DCF Model'!C19+2)+'DCF Model'!F45/(1+$B11)^('DCF Model'!C19+3)+'DCF Model'!G45/(1+$B11)^('DCF Model'!C19+4)+'DCF Model'!G45*(1+G$6)/($B11-G$6)/(1+$B11)^('DCF Model'!C19+4)-'DCF Model'!C16)*1000000/'DCF Model'!C15,0),"")</f>
        <v>11152</v>
      </c>
      <c r="H11" s="37">
        <f>IFERROR(ROUND(('DCF Model'!C45/(1+$B11)^('DCF Model'!C19+0)+'DCF Model'!D45/(1+$B11)^('DCF Model'!C19+1)+'DCF Model'!E45/(1+$B11)^('DCF Model'!C19+2)+'DCF Model'!F45/(1+$B11)^('DCF Model'!C19+3)+'DCF Model'!G45/(1+$B11)^('DCF Model'!C19+4)+'DCF Model'!G45*(1+H$6)/($B11-H$6)/(1+$B11)^('DCF Model'!C19+4)-'DCF Model'!C16)*1000000/'DCF Model'!C15,0),"")</f>
        <v>11443</v>
      </c>
      <c r="I11" s="37">
        <f>IFERROR(ROUND(('DCF Model'!C45/(1+$B11)^('DCF Model'!C19+0)+'DCF Model'!D45/(1+$B11)^('DCF Model'!C19+1)+'DCF Model'!E45/(1+$B11)^('DCF Model'!C19+2)+'DCF Model'!F45/(1+$B11)^('DCF Model'!C19+3)+'DCF Model'!G45/(1+$B11)^('DCF Model'!C19+4)+'DCF Model'!G45*(1+I$6)/($B11-I$6)/(1+$B11)^('DCF Model'!C19+4)-'DCF Model'!C16)*1000000/'DCF Model'!C15,0),"")</f>
        <v>11756</v>
      </c>
    </row>
    <row r="12" spans="2:9" ht="13.5" customHeight="1" x14ac:dyDescent="0.25">
      <c r="B12" s="39">
        <f>$C$3+0.01</f>
        <v>8.8699999999999987E-2</v>
      </c>
      <c r="C12" s="37">
        <f>IFERROR(ROUND(('DCF Model'!C45/(1+$B12)^('DCF Model'!C19+0)+'DCF Model'!D45/(1+$B12)^('DCF Model'!C19+1)+'DCF Model'!E45/(1+$B12)^('DCF Model'!C19+2)+'DCF Model'!F45/(1+$B12)^('DCF Model'!C19+3)+'DCF Model'!G45/(1+$B12)^('DCF Model'!C19+4)+'DCF Model'!G45*(1+C$6)/($B12-C$6)/(1+$B12)^('DCF Model'!C19+4)-'DCF Model'!C16)*1000000/'DCF Model'!C15,0),"")</f>
        <v>9633</v>
      </c>
      <c r="D12" s="37">
        <f>IFERROR(ROUND(('DCF Model'!C45/(1+$B12)^('DCF Model'!C19+0)+'DCF Model'!D45/(1+$B12)^('DCF Model'!C19+1)+'DCF Model'!E45/(1+$B12)^('DCF Model'!C19+2)+'DCF Model'!F45/(1+$B12)^('DCF Model'!C19+3)+'DCF Model'!G45/(1+$B12)^('DCF Model'!C19+4)+'DCF Model'!G45*(1+D$6)/($B12-D$6)/(1+$B12)^('DCF Model'!C19+4)-'DCF Model'!C16)*1000000/'DCF Model'!C15,0),"")</f>
        <v>9828</v>
      </c>
      <c r="E12" s="37">
        <f>IFERROR(ROUND(('DCF Model'!C45/(1+$B12)^('DCF Model'!C19+0)+'DCF Model'!D45/(1+$B12)^('DCF Model'!C19+1)+'DCF Model'!E45/(1+$B12)^('DCF Model'!C19+2)+'DCF Model'!F45/(1+$B12)^('DCF Model'!C19+3)+'DCF Model'!G45/(1+$B12)^('DCF Model'!C19+4)+'DCF Model'!G45*(1+E$6)/($B12-E$6)/(1+$B12)^('DCF Model'!C19+4)-'DCF Model'!C16)*1000000/'DCF Model'!C15,0),"")</f>
        <v>10034</v>
      </c>
      <c r="F12" s="37">
        <f>IFERROR(ROUND(('DCF Model'!C45/(1+$B12)^('DCF Model'!C19+0)+'DCF Model'!D45/(1+$B12)^('DCF Model'!C19+1)+'DCF Model'!E45/(1+$B12)^('DCF Model'!C19+2)+'DCF Model'!F45/(1+$B12)^('DCF Model'!C19+3)+'DCF Model'!G45/(1+$B12)^('DCF Model'!C19+4)+'DCF Model'!G45*(1+F$6)/($B12-F$6)/(1+$B12)^('DCF Model'!C19+4)-'DCF Model'!C16)*1000000/'DCF Model'!C15,0),"")</f>
        <v>10253</v>
      </c>
      <c r="G12" s="37">
        <f>IFERROR(ROUND(('DCF Model'!C45/(1+$B12)^('DCF Model'!C19+0)+'DCF Model'!D45/(1+$B12)^('DCF Model'!C19+1)+'DCF Model'!E45/(1+$B12)^('DCF Model'!C19+2)+'DCF Model'!F45/(1+$B12)^('DCF Model'!C19+3)+'DCF Model'!G45/(1+$B12)^('DCF Model'!C19+4)+'DCF Model'!G45*(1+G$6)/($B12-G$6)/(1+$B12)^('DCF Model'!C19+4)-'DCF Model'!C16)*1000000/'DCF Model'!C15,0),"")</f>
        <v>10487</v>
      </c>
      <c r="H12" s="37">
        <f>IFERROR(ROUND(('DCF Model'!C45/(1+$B12)^('DCF Model'!C19+0)+'DCF Model'!D45/(1+$B12)^('DCF Model'!C19+1)+'DCF Model'!E45/(1+$B12)^('DCF Model'!C19+2)+'DCF Model'!F45/(1+$B12)^('DCF Model'!C19+3)+'DCF Model'!G45/(1+$B12)^('DCF Model'!C19+4)+'DCF Model'!G45*(1+H$6)/($B12-H$6)/(1+$B12)^('DCF Model'!C19+4)-'DCF Model'!C16)*1000000/'DCF Model'!C15,0),"")</f>
        <v>10736</v>
      </c>
      <c r="I12" s="37">
        <f>IFERROR(ROUND(('DCF Model'!C45/(1+$B12)^('DCF Model'!C19+0)+'DCF Model'!D45/(1+$B12)^('DCF Model'!C19+1)+'DCF Model'!E45/(1+$B12)^('DCF Model'!C19+2)+'DCF Model'!F45/(1+$B12)^('DCF Model'!C19+3)+'DCF Model'!G45/(1+$B12)^('DCF Model'!C19+4)+'DCF Model'!G45*(1+I$6)/($B12-I$6)/(1+$B12)^('DCF Model'!C19+4)-'DCF Model'!C16)*1000000/'DCF Model'!C15,0),"")</f>
        <v>11003</v>
      </c>
    </row>
    <row r="13" spans="2:9" ht="13.5" customHeight="1" x14ac:dyDescent="0.25">
      <c r="B13" s="39">
        <f>$C$3+0.015</f>
        <v>9.3699999999999992E-2</v>
      </c>
      <c r="C13" s="37">
        <f>IFERROR(ROUND(('DCF Model'!C45/(1+$B13)^('DCF Model'!C19+0)+'DCF Model'!D45/(1+$B13)^('DCF Model'!C19+1)+'DCF Model'!E45/(1+$B13)^('DCF Model'!C19+2)+'DCF Model'!F45/(1+$B13)^('DCF Model'!C19+3)+'DCF Model'!G45/(1+$B13)^('DCF Model'!C19+4)+'DCF Model'!G45*(1+C$6)/($B13-C$6)/(1+$B13)^('DCF Model'!C19+4)-'DCF Model'!C16)*1000000/'DCF Model'!C15,0),"")</f>
        <v>9158</v>
      </c>
      <c r="D13" s="37">
        <f>IFERROR(ROUND(('DCF Model'!C45/(1+$B13)^('DCF Model'!C19+0)+'DCF Model'!D45/(1+$B13)^('DCF Model'!C19+1)+'DCF Model'!E45/(1+$B13)^('DCF Model'!C19+2)+'DCF Model'!F45/(1+$B13)^('DCF Model'!C19+3)+'DCF Model'!G45/(1+$B13)^('DCF Model'!C19+4)+'DCF Model'!G45*(1+D$6)/($B13-D$6)/(1+$B13)^('DCF Model'!C19+4)-'DCF Model'!C16)*1000000/'DCF Model'!C15,0),"")</f>
        <v>9329</v>
      </c>
      <c r="E13" s="37">
        <f>IFERROR(ROUND(('DCF Model'!C45/(1+$B13)^('DCF Model'!C19+0)+'DCF Model'!D45/(1+$B13)^('DCF Model'!C19+1)+'DCF Model'!E45/(1+$B13)^('DCF Model'!C19+2)+'DCF Model'!F45/(1+$B13)^('DCF Model'!C19+3)+'DCF Model'!G45/(1+$B13)^('DCF Model'!C19+4)+'DCF Model'!G45*(1+E$6)/($B13-E$6)/(1+$B13)^('DCF Model'!C19+4)-'DCF Model'!C16)*1000000/'DCF Model'!C15,0),"")</f>
        <v>9509</v>
      </c>
      <c r="F13" s="37">
        <f>IFERROR(ROUND(('DCF Model'!C45/(1+$B13)^('DCF Model'!C19+0)+'DCF Model'!D45/(1+$B13)^('DCF Model'!C19+1)+'DCF Model'!E45/(1+$B13)^('DCF Model'!C19+2)+'DCF Model'!F45/(1+$B13)^('DCF Model'!C19+3)+'DCF Model'!G45/(1+$B13)^('DCF Model'!C19+4)+'DCF Model'!G45*(1+F$6)/($B13-F$6)/(1+$B13)^('DCF Model'!C19+4)-'DCF Model'!C16)*1000000/'DCF Model'!C15,0),"")</f>
        <v>9700</v>
      </c>
      <c r="G13" s="37">
        <f>IFERROR(ROUND(('DCF Model'!C45/(1+$B13)^('DCF Model'!C19+0)+'DCF Model'!D45/(1+$B13)^('DCF Model'!C19+1)+'DCF Model'!E45/(1+$B13)^('DCF Model'!C19+2)+'DCF Model'!F45/(1+$B13)^('DCF Model'!C19+3)+'DCF Model'!G45/(1+$B13)^('DCF Model'!C19+4)+'DCF Model'!G45*(1+G$6)/($B13-G$6)/(1+$B13)^('DCF Model'!C19+4)-'DCF Model'!C16)*1000000/'DCF Model'!C15,0),"")</f>
        <v>9903</v>
      </c>
      <c r="H13" s="37">
        <f>IFERROR(ROUND(('DCF Model'!C45/(1+$B13)^('DCF Model'!C19+0)+'DCF Model'!D45/(1+$B13)^('DCF Model'!C19+1)+'DCF Model'!E45/(1+$B13)^('DCF Model'!C19+2)+'DCF Model'!F45/(1+$B13)^('DCF Model'!C19+3)+'DCF Model'!G45/(1+$B13)^('DCF Model'!C19+4)+'DCF Model'!G45*(1+H$6)/($B13-H$6)/(1+$B13)^('DCF Model'!C19+4)-'DCF Model'!C16)*1000000/'DCF Model'!C15,0),"")</f>
        <v>10119</v>
      </c>
      <c r="I13" s="37">
        <f>IFERROR(ROUND(('DCF Model'!C45/(1+$B13)^('DCF Model'!C19+0)+'DCF Model'!D45/(1+$B13)^('DCF Model'!C19+1)+'DCF Model'!E45/(1+$B13)^('DCF Model'!C19+2)+'DCF Model'!F45/(1+$B13)^('DCF Model'!C19+3)+'DCF Model'!G45/(1+$B13)^('DCF Model'!C19+4)+'DCF Model'!G45*(1+I$6)/($B13-I$6)/(1+$B13)^('DCF Model'!C19+4)-'DCF Model'!C16)*1000000/'DCF Model'!C15,0),"")</f>
        <v>10349</v>
      </c>
    </row>
    <row r="16" spans="2:9" ht="14" customHeight="1" x14ac:dyDescent="0.3">
      <c r="B16" s="3" t="s">
        <v>237</v>
      </c>
    </row>
    <row r="17" spans="2:9" ht="14" customHeight="1" x14ac:dyDescent="0.3">
      <c r="B17" s="41" t="s">
        <v>238</v>
      </c>
      <c r="C17" s="43">
        <f>$I$3-3</f>
        <v>8.4</v>
      </c>
      <c r="D17" s="43">
        <f>$I$3-2</f>
        <v>9.4</v>
      </c>
      <c r="E17" s="43">
        <f>$I$3-1</f>
        <v>10.4</v>
      </c>
      <c r="F17" s="43">
        <f>$I$3</f>
        <v>11.4</v>
      </c>
      <c r="G17" s="43">
        <f>$I$3+1</f>
        <v>12.4</v>
      </c>
      <c r="H17" s="43">
        <f>$I$3+2</f>
        <v>13.4</v>
      </c>
      <c r="I17" s="43">
        <f>$I$3+3</f>
        <v>14.4</v>
      </c>
    </row>
    <row r="18" spans="2:9" ht="13.5" customHeight="1" x14ac:dyDescent="0.25">
      <c r="B18" s="39">
        <f>$C$3-0.015</f>
        <v>6.3699999999999993E-2</v>
      </c>
      <c r="C18" s="37">
        <f>IFERROR(ROUND(('DCF Model'!C45/(1+$B18)^('DCF Model'!C19+0)+'DCF Model'!D45/(1+$B18)^('DCF Model'!C19+1)+'DCF Model'!E45/(1+$B18)^('DCF Model'!C19+2)+'DCF Model'!F45/(1+$B18)^('DCF Model'!C19+3)+'DCF Model'!G45/(1+$B18)^('DCF Model'!C19+4)+('DCF Model'!G39+'DCF Model'!G42)*C$17/(1+$B18)^('DCF Model'!C19+4)-'DCF Model'!C16)*1000000/'DCF Model'!C15,0),"")</f>
        <v>12311</v>
      </c>
      <c r="D18" s="37">
        <f>IFERROR(ROUND(('DCF Model'!C45/(1+$B18)^('DCF Model'!C19+0)+'DCF Model'!D45/(1+$B18)^('DCF Model'!C19+1)+'DCF Model'!E45/(1+$B18)^('DCF Model'!C19+2)+'DCF Model'!F45/(1+$B18)^('DCF Model'!C19+3)+'DCF Model'!G45/(1+$B18)^('DCF Model'!C19+4)+('DCF Model'!G39+'DCF Model'!G42)*D$17/(1+$B18)^('DCF Model'!C19+4)-'DCF Model'!C16)*1000000/'DCF Model'!C15,0),"")</f>
        <v>13323</v>
      </c>
      <c r="E18" s="37">
        <f>IFERROR(ROUND(('DCF Model'!C45/(1+$B18)^('DCF Model'!C19+0)+'DCF Model'!D45/(1+$B18)^('DCF Model'!C19+1)+'DCF Model'!E45/(1+$B18)^('DCF Model'!C19+2)+'DCF Model'!F45/(1+$B18)^('DCF Model'!C19+3)+'DCF Model'!G45/(1+$B18)^('DCF Model'!C19+4)+('DCF Model'!G39+'DCF Model'!G42)*E$17/(1+$B18)^('DCF Model'!C19+4)-'DCF Model'!C16)*1000000/'DCF Model'!C15,0),"")</f>
        <v>14334</v>
      </c>
      <c r="F18" s="37">
        <f>IFERROR(ROUND(('DCF Model'!C45/(1+$B18)^('DCF Model'!C19+0)+'DCF Model'!D45/(1+$B18)^('DCF Model'!C19+1)+'DCF Model'!E45/(1+$B18)^('DCF Model'!C19+2)+'DCF Model'!F45/(1+$B18)^('DCF Model'!C19+3)+'DCF Model'!G45/(1+$B18)^('DCF Model'!C19+4)+('DCF Model'!G39+'DCF Model'!G42)*F$17/(1+$B18)^('DCF Model'!C19+4)-'DCF Model'!C16)*1000000/'DCF Model'!C15,0),"")</f>
        <v>15346</v>
      </c>
      <c r="G18" s="37">
        <f>IFERROR(ROUND(('DCF Model'!C45/(1+$B18)^('DCF Model'!C19+0)+'DCF Model'!D45/(1+$B18)^('DCF Model'!C19+1)+'DCF Model'!E45/(1+$B18)^('DCF Model'!C19+2)+'DCF Model'!F45/(1+$B18)^('DCF Model'!C19+3)+'DCF Model'!G45/(1+$B18)^('DCF Model'!C19+4)+('DCF Model'!G39+'DCF Model'!G42)*G$17/(1+$B18)^('DCF Model'!C19+4)-'DCF Model'!C16)*1000000/'DCF Model'!C15,0),"")</f>
        <v>16358</v>
      </c>
      <c r="H18" s="37">
        <f>IFERROR(ROUND(('DCF Model'!C45/(1+$B18)^('DCF Model'!C19+0)+'DCF Model'!D45/(1+$B18)^('DCF Model'!C19+1)+'DCF Model'!E45/(1+$B18)^('DCF Model'!C19+2)+'DCF Model'!F45/(1+$B18)^('DCF Model'!C19+3)+'DCF Model'!G45/(1+$B18)^('DCF Model'!C19+4)+('DCF Model'!G39+'DCF Model'!G42)*H$17/(1+$B18)^('DCF Model'!C19+4)-'DCF Model'!C16)*1000000/'DCF Model'!C15,0),"")</f>
        <v>17369</v>
      </c>
      <c r="I18" s="37">
        <f>IFERROR(ROUND(('DCF Model'!C45/(1+$B18)^('DCF Model'!C19+0)+'DCF Model'!D45/(1+$B18)^('DCF Model'!C19+1)+'DCF Model'!E45/(1+$B18)^('DCF Model'!C19+2)+'DCF Model'!F45/(1+$B18)^('DCF Model'!C19+3)+'DCF Model'!G45/(1+$B18)^('DCF Model'!C19+4)+('DCF Model'!G39+'DCF Model'!G42)*I$17/(1+$B18)^('DCF Model'!C19+4)-'DCF Model'!C16)*1000000/'DCF Model'!C15,0),"")</f>
        <v>18381</v>
      </c>
    </row>
    <row r="19" spans="2:9" ht="13.5" customHeight="1" x14ac:dyDescent="0.25">
      <c r="B19" s="39">
        <f>$C$3-0.01</f>
        <v>6.8699999999999997E-2</v>
      </c>
      <c r="C19" s="37">
        <f>IFERROR(ROUND(('DCF Model'!C45/(1+$B19)^('DCF Model'!C19+0)+'DCF Model'!D45/(1+$B19)^('DCF Model'!C19+1)+'DCF Model'!E45/(1+$B19)^('DCF Model'!C19+2)+'DCF Model'!F45/(1+$B19)^('DCF Model'!C19+3)+'DCF Model'!G45/(1+$B19)^('DCF Model'!C19+4)+('DCF Model'!G39+'DCF Model'!G42)*C$17/(1+$B19)^('DCF Model'!C19+4)-'DCF Model'!C16)*1000000/'DCF Model'!C15,0),"")</f>
        <v>12099</v>
      </c>
      <c r="D19" s="37">
        <f>IFERROR(ROUND(('DCF Model'!C45/(1+$B19)^('DCF Model'!C19+0)+'DCF Model'!D45/(1+$B19)^('DCF Model'!C19+1)+'DCF Model'!E45/(1+$B19)^('DCF Model'!C19+2)+'DCF Model'!F45/(1+$B19)^('DCF Model'!C19+3)+'DCF Model'!G45/(1+$B19)^('DCF Model'!C19+4)+('DCF Model'!G39+'DCF Model'!G42)*D$17/(1+$B19)^('DCF Model'!C19+4)-'DCF Model'!C16)*1000000/'DCF Model'!C15,0),"")</f>
        <v>13090</v>
      </c>
      <c r="E19" s="37">
        <f>IFERROR(ROUND(('DCF Model'!C45/(1+$B19)^('DCF Model'!C19+0)+'DCF Model'!D45/(1+$B19)^('DCF Model'!C19+1)+'DCF Model'!E45/(1+$B19)^('DCF Model'!C19+2)+'DCF Model'!F45/(1+$B19)^('DCF Model'!C19+3)+'DCF Model'!G45/(1+$B19)^('DCF Model'!C19+4)+('DCF Model'!G39+'DCF Model'!G42)*E$17/(1+$B19)^('DCF Model'!C19+4)-'DCF Model'!C16)*1000000/'DCF Model'!C15,0),"")</f>
        <v>14080</v>
      </c>
      <c r="F19" s="37">
        <f>IFERROR(ROUND(('DCF Model'!C45/(1+$B19)^('DCF Model'!C19+0)+'DCF Model'!D45/(1+$B19)^('DCF Model'!C19+1)+'DCF Model'!E45/(1+$B19)^('DCF Model'!C19+2)+'DCF Model'!F45/(1+$B19)^('DCF Model'!C19+3)+'DCF Model'!G45/(1+$B19)^('DCF Model'!C19+4)+('DCF Model'!G39+'DCF Model'!G42)*F$17/(1+$B19)^('DCF Model'!C19+4)-'DCF Model'!C16)*1000000/'DCF Model'!C15,0),"")</f>
        <v>15071</v>
      </c>
      <c r="G19" s="37">
        <f>IFERROR(ROUND(('DCF Model'!C45/(1+$B19)^('DCF Model'!C19+0)+'DCF Model'!D45/(1+$B19)^('DCF Model'!C19+1)+'DCF Model'!E45/(1+$B19)^('DCF Model'!C19+2)+'DCF Model'!F45/(1+$B19)^('DCF Model'!C19+3)+'DCF Model'!G45/(1+$B19)^('DCF Model'!C19+4)+('DCF Model'!G39+'DCF Model'!G42)*G$17/(1+$B19)^('DCF Model'!C19+4)-'DCF Model'!C16)*1000000/'DCF Model'!C15,0),"")</f>
        <v>16061</v>
      </c>
      <c r="H19" s="37">
        <f>IFERROR(ROUND(('DCF Model'!C45/(1+$B19)^('DCF Model'!C19+0)+'DCF Model'!D45/(1+$B19)^('DCF Model'!C19+1)+'DCF Model'!E45/(1+$B19)^('DCF Model'!C19+2)+'DCF Model'!F45/(1+$B19)^('DCF Model'!C19+3)+'DCF Model'!G45/(1+$B19)^('DCF Model'!C19+4)+('DCF Model'!G39+'DCF Model'!G42)*H$17/(1+$B19)^('DCF Model'!C19+4)-'DCF Model'!C16)*1000000/'DCF Model'!C15,0),"")</f>
        <v>17052</v>
      </c>
      <c r="I19" s="37">
        <f>IFERROR(ROUND(('DCF Model'!C45/(1+$B19)^('DCF Model'!C19+0)+'DCF Model'!D45/(1+$B19)^('DCF Model'!C19+1)+'DCF Model'!E45/(1+$B19)^('DCF Model'!C19+2)+'DCF Model'!F45/(1+$B19)^('DCF Model'!C19+3)+'DCF Model'!G45/(1+$B19)^('DCF Model'!C19+4)+('DCF Model'!G39+'DCF Model'!G42)*I$17/(1+$B19)^('DCF Model'!C19+4)-'DCF Model'!C16)*1000000/'DCF Model'!C15,0),"")</f>
        <v>18042</v>
      </c>
    </row>
    <row r="20" spans="2:9" ht="13.5" customHeight="1" x14ac:dyDescent="0.25">
      <c r="B20" s="39">
        <f>$C$3-0.005</f>
        <v>7.3699999999999988E-2</v>
      </c>
      <c r="C20" s="37">
        <f>IFERROR(ROUND(('DCF Model'!C45/(1+$B20)^('DCF Model'!C19+0)+'DCF Model'!D45/(1+$B20)^('DCF Model'!C19+1)+'DCF Model'!E45/(1+$B20)^('DCF Model'!C19+2)+'DCF Model'!F45/(1+$B20)^('DCF Model'!C19+3)+'DCF Model'!G45/(1+$B20)^('DCF Model'!C19+4)+('DCF Model'!G39+'DCF Model'!G42)*C$17/(1+$B20)^('DCF Model'!C19+4)-'DCF Model'!C16)*1000000/'DCF Model'!C15,0),"")</f>
        <v>11892</v>
      </c>
      <c r="D20" s="37">
        <f>IFERROR(ROUND(('DCF Model'!C45/(1+$B20)^('DCF Model'!C19+0)+'DCF Model'!D45/(1+$B20)^('DCF Model'!C19+1)+'DCF Model'!E45/(1+$B20)^('DCF Model'!C19+2)+'DCF Model'!F45/(1+$B20)^('DCF Model'!C19+3)+'DCF Model'!G45/(1+$B20)^('DCF Model'!C19+4)+('DCF Model'!G39+'DCF Model'!G42)*D$17/(1+$B20)^('DCF Model'!C19+4)-'DCF Model'!C16)*1000000/'DCF Model'!C15,0),"")</f>
        <v>12862</v>
      </c>
      <c r="E20" s="37">
        <f>IFERROR(ROUND(('DCF Model'!C45/(1+$B20)^('DCF Model'!C19+0)+'DCF Model'!D45/(1+$B20)^('DCF Model'!C19+1)+'DCF Model'!E45/(1+$B20)^('DCF Model'!C19+2)+'DCF Model'!F45/(1+$B20)^('DCF Model'!C19+3)+'DCF Model'!G45/(1+$B20)^('DCF Model'!C19+4)+('DCF Model'!G39+'DCF Model'!G42)*E$17/(1+$B20)^('DCF Model'!C19+4)-'DCF Model'!C16)*1000000/'DCF Model'!C15,0),"")</f>
        <v>13832</v>
      </c>
      <c r="F20" s="37">
        <f>IFERROR(ROUND(('DCF Model'!C45/(1+$B20)^('DCF Model'!C19+0)+'DCF Model'!D45/(1+$B20)^('DCF Model'!C19+1)+'DCF Model'!E45/(1+$B20)^('DCF Model'!C19+2)+'DCF Model'!F45/(1+$B20)^('DCF Model'!C19+3)+'DCF Model'!G45/(1+$B20)^('DCF Model'!C19+4)+('DCF Model'!G39+'DCF Model'!G42)*F$17/(1+$B20)^('DCF Model'!C19+4)-'DCF Model'!C16)*1000000/'DCF Model'!C15,0),"")</f>
        <v>14802</v>
      </c>
      <c r="G20" s="37">
        <f>IFERROR(ROUND(('DCF Model'!C45/(1+$B20)^('DCF Model'!C19+0)+'DCF Model'!D45/(1+$B20)^('DCF Model'!C19+1)+'DCF Model'!E45/(1+$B20)^('DCF Model'!C19+2)+'DCF Model'!F45/(1+$B20)^('DCF Model'!C19+3)+'DCF Model'!G45/(1+$B20)^('DCF Model'!C19+4)+('DCF Model'!G39+'DCF Model'!G42)*G$17/(1+$B20)^('DCF Model'!C19+4)-'DCF Model'!C16)*1000000/'DCF Model'!C15,0),"")</f>
        <v>15772</v>
      </c>
      <c r="H20" s="37">
        <f>IFERROR(ROUND(('DCF Model'!C45/(1+$B20)^('DCF Model'!C19+0)+'DCF Model'!D45/(1+$B20)^('DCF Model'!C19+1)+'DCF Model'!E45/(1+$B20)^('DCF Model'!C19+2)+'DCF Model'!F45/(1+$B20)^('DCF Model'!C19+3)+'DCF Model'!G45/(1+$B20)^('DCF Model'!C19+4)+('DCF Model'!G39+'DCF Model'!G42)*H$17/(1+$B20)^('DCF Model'!C19+4)-'DCF Model'!C16)*1000000/'DCF Model'!C15,0),"")</f>
        <v>16742</v>
      </c>
      <c r="I20" s="37">
        <f>IFERROR(ROUND(('DCF Model'!C45/(1+$B20)^('DCF Model'!C19+0)+'DCF Model'!D45/(1+$B20)^('DCF Model'!C19+1)+'DCF Model'!E45/(1+$B20)^('DCF Model'!C19+2)+'DCF Model'!F45/(1+$B20)^('DCF Model'!C19+3)+'DCF Model'!G45/(1+$B20)^('DCF Model'!C19+4)+('DCF Model'!G39+'DCF Model'!G42)*I$17/(1+$B20)^('DCF Model'!C19+4)-'DCF Model'!C16)*1000000/'DCF Model'!C15,0),"")</f>
        <v>17712</v>
      </c>
    </row>
    <row r="21" spans="2:9" ht="13.5" customHeight="1" x14ac:dyDescent="0.25">
      <c r="B21" s="39">
        <f>$C$3</f>
        <v>7.8699999999999992E-2</v>
      </c>
      <c r="C21" s="37">
        <f>IFERROR(ROUND(('DCF Model'!C45/(1+$B21)^('DCF Model'!C19+0)+'DCF Model'!D45/(1+$B21)^('DCF Model'!C19+1)+'DCF Model'!E45/(1+$B21)^('DCF Model'!C19+2)+'DCF Model'!F45/(1+$B21)^('DCF Model'!C19+3)+'DCF Model'!G45/(1+$B21)^('DCF Model'!C19+4)+('DCF Model'!G39+'DCF Model'!G42)*C$17/(1+$B21)^('DCF Model'!C19+4)-'DCF Model'!C16)*1000000/'DCF Model'!C15,0),"")</f>
        <v>11691</v>
      </c>
      <c r="D21" s="37">
        <f>IFERROR(ROUND(('DCF Model'!C45/(1+$B21)^('DCF Model'!C19+0)+'DCF Model'!D45/(1+$B21)^('DCF Model'!C19+1)+'DCF Model'!E45/(1+$B21)^('DCF Model'!C19+2)+'DCF Model'!F45/(1+$B21)^('DCF Model'!C19+3)+'DCF Model'!G45/(1+$B21)^('DCF Model'!C19+4)+('DCF Model'!G39+'DCF Model'!G42)*D$17/(1+$B21)^('DCF Model'!C19+4)-'DCF Model'!C16)*1000000/'DCF Model'!C15,0),"")</f>
        <v>12640</v>
      </c>
      <c r="E21" s="37">
        <f>IFERROR(ROUND(('DCF Model'!C45/(1+$B21)^('DCF Model'!C19+0)+'DCF Model'!D45/(1+$B21)^('DCF Model'!C19+1)+'DCF Model'!E45/(1+$B21)^('DCF Model'!C19+2)+'DCF Model'!F45/(1+$B21)^('DCF Model'!C19+3)+'DCF Model'!G45/(1+$B21)^('DCF Model'!C19+4)+('DCF Model'!G39+'DCF Model'!G42)*E$17/(1+$B21)^('DCF Model'!C19+4)-'DCF Model'!C16)*1000000/'DCF Model'!C15,0),"")</f>
        <v>13590</v>
      </c>
      <c r="F21" s="37">
        <f>IFERROR(ROUND(('DCF Model'!C45/(1+$B21)^('DCF Model'!C19+0)+'DCF Model'!D45/(1+$B21)^('DCF Model'!C19+1)+'DCF Model'!E45/(1+$B21)^('DCF Model'!C19+2)+'DCF Model'!F45/(1+$B21)^('DCF Model'!C19+3)+'DCF Model'!G45/(1+$B21)^('DCF Model'!C19+4)+('DCF Model'!G39+'DCF Model'!G42)*F$17/(1+$B21)^('DCF Model'!C19+4)-'DCF Model'!C16)*1000000/'DCF Model'!C15,0),"")</f>
        <v>14540</v>
      </c>
      <c r="G21" s="37">
        <f>IFERROR(ROUND(('DCF Model'!C45/(1+$B21)^('DCF Model'!C19+0)+'DCF Model'!D45/(1+$B21)^('DCF Model'!C19+1)+'DCF Model'!E45/(1+$B21)^('DCF Model'!C19+2)+'DCF Model'!F45/(1+$B21)^('DCF Model'!C19+3)+'DCF Model'!G45/(1+$B21)^('DCF Model'!C19+4)+('DCF Model'!G39+'DCF Model'!G42)*G$17/(1+$B21)^('DCF Model'!C19+4)-'DCF Model'!C16)*1000000/'DCF Model'!C15,0),"")</f>
        <v>15490</v>
      </c>
      <c r="H21" s="37">
        <f>IFERROR(ROUND(('DCF Model'!C45/(1+$B21)^('DCF Model'!C19+0)+'DCF Model'!D45/(1+$B21)^('DCF Model'!C19+1)+'DCF Model'!E45/(1+$B21)^('DCF Model'!C19+2)+'DCF Model'!F45/(1+$B21)^('DCF Model'!C19+3)+'DCF Model'!G45/(1+$B21)^('DCF Model'!C19+4)+('DCF Model'!G39+'DCF Model'!G42)*H$17/(1+$B21)^('DCF Model'!C19+4)-'DCF Model'!C16)*1000000/'DCF Model'!C15,0),"")</f>
        <v>16440</v>
      </c>
      <c r="I21" s="37">
        <f>IFERROR(ROUND(('DCF Model'!C45/(1+$B21)^('DCF Model'!C19+0)+'DCF Model'!D45/(1+$B21)^('DCF Model'!C19+1)+'DCF Model'!E45/(1+$B21)^('DCF Model'!C19+2)+'DCF Model'!F45/(1+$B21)^('DCF Model'!C19+3)+'DCF Model'!G45/(1+$B21)^('DCF Model'!C19+4)+('DCF Model'!G39+'DCF Model'!G42)*I$17/(1+$B21)^('DCF Model'!C19+4)-'DCF Model'!C16)*1000000/'DCF Model'!C15,0),"")</f>
        <v>17390</v>
      </c>
    </row>
    <row r="22" spans="2:9" ht="13.5" customHeight="1" x14ac:dyDescent="0.25">
      <c r="B22" s="39">
        <f>$C$3+0.005</f>
        <v>8.3699999999999997E-2</v>
      </c>
      <c r="C22" s="37">
        <f>IFERROR(ROUND(('DCF Model'!C45/(1+$B22)^('DCF Model'!C19+0)+'DCF Model'!D45/(1+$B22)^('DCF Model'!C19+1)+'DCF Model'!E45/(1+$B22)^('DCF Model'!C19+2)+'DCF Model'!F45/(1+$B22)^('DCF Model'!C19+3)+'DCF Model'!G45/(1+$B22)^('DCF Model'!C19+4)+('DCF Model'!G39+'DCF Model'!G42)*C$17/(1+$B22)^('DCF Model'!C19+4)-'DCF Model'!C16)*1000000/'DCF Model'!C15,0),"")</f>
        <v>11494</v>
      </c>
      <c r="D22" s="37">
        <f>IFERROR(ROUND(('DCF Model'!C45/(1+$B22)^('DCF Model'!C19+0)+'DCF Model'!D45/(1+$B22)^('DCF Model'!C19+1)+'DCF Model'!E45/(1+$B22)^('DCF Model'!C19+2)+'DCF Model'!F45/(1+$B22)^('DCF Model'!C19+3)+'DCF Model'!G45/(1+$B22)^('DCF Model'!C19+4)+('DCF Model'!G39+'DCF Model'!G42)*D$17/(1+$B22)^('DCF Model'!C19+4)-'DCF Model'!C16)*1000000/'DCF Model'!C15,0),"")</f>
        <v>12424</v>
      </c>
      <c r="E22" s="37">
        <f>IFERROR(ROUND(('DCF Model'!C45/(1+$B22)^('DCF Model'!C19+0)+'DCF Model'!D45/(1+$B22)^('DCF Model'!C19+1)+'DCF Model'!E45/(1+$B22)^('DCF Model'!C19+2)+'DCF Model'!F45/(1+$B22)^('DCF Model'!C19+3)+'DCF Model'!G45/(1+$B22)^('DCF Model'!C19+4)+('DCF Model'!G39+'DCF Model'!G42)*E$17/(1+$B22)^('DCF Model'!C19+4)-'DCF Model'!C16)*1000000/'DCF Model'!C15,0),"")</f>
        <v>13354</v>
      </c>
      <c r="F22" s="37">
        <f>IFERROR(ROUND(('DCF Model'!C45/(1+$B22)^('DCF Model'!C19+0)+'DCF Model'!D45/(1+$B22)^('DCF Model'!C19+1)+'DCF Model'!E45/(1+$B22)^('DCF Model'!C19+2)+'DCF Model'!F45/(1+$B22)^('DCF Model'!C19+3)+'DCF Model'!G45/(1+$B22)^('DCF Model'!C19+4)+('DCF Model'!G39+'DCF Model'!G42)*F$17/(1+$B22)^('DCF Model'!C19+4)-'DCF Model'!C16)*1000000/'DCF Model'!C15,0),"")</f>
        <v>14285</v>
      </c>
      <c r="G22" s="37">
        <f>IFERROR(ROUND(('DCF Model'!C45/(1+$B22)^('DCF Model'!C19+0)+'DCF Model'!D45/(1+$B22)^('DCF Model'!C19+1)+'DCF Model'!E45/(1+$B22)^('DCF Model'!C19+2)+'DCF Model'!F45/(1+$B22)^('DCF Model'!C19+3)+'DCF Model'!G45/(1+$B22)^('DCF Model'!C19+4)+('DCF Model'!G39+'DCF Model'!G42)*G$17/(1+$B22)^('DCF Model'!C19+4)-'DCF Model'!C16)*1000000/'DCF Model'!C15,0),"")</f>
        <v>15215</v>
      </c>
      <c r="H22" s="37">
        <f>IFERROR(ROUND(('DCF Model'!C45/(1+$B22)^('DCF Model'!C19+0)+'DCF Model'!D45/(1+$B22)^('DCF Model'!C19+1)+'DCF Model'!E45/(1+$B22)^('DCF Model'!C19+2)+'DCF Model'!F45/(1+$B22)^('DCF Model'!C19+3)+'DCF Model'!G45/(1+$B22)^('DCF Model'!C19+4)+('DCF Model'!G39+'DCF Model'!G42)*H$17/(1+$B22)^('DCF Model'!C19+4)-'DCF Model'!C16)*1000000/'DCF Model'!C15,0),"")</f>
        <v>16145</v>
      </c>
      <c r="I22" s="37">
        <f>IFERROR(ROUND(('DCF Model'!C45/(1+$B22)^('DCF Model'!C19+0)+'DCF Model'!D45/(1+$B22)^('DCF Model'!C19+1)+'DCF Model'!E45/(1+$B22)^('DCF Model'!C19+2)+'DCF Model'!F45/(1+$B22)^('DCF Model'!C19+3)+'DCF Model'!G45/(1+$B22)^('DCF Model'!C19+4)+('DCF Model'!G39+'DCF Model'!G42)*I$17/(1+$B22)^('DCF Model'!C19+4)-'DCF Model'!C16)*1000000/'DCF Model'!C15,0),"")</f>
        <v>17076</v>
      </c>
    </row>
    <row r="23" spans="2:9" ht="13.5" customHeight="1" x14ac:dyDescent="0.25">
      <c r="B23" s="39">
        <f>$C$3+0.01</f>
        <v>8.8699999999999987E-2</v>
      </c>
      <c r="C23" s="37">
        <f>IFERROR(ROUND(('DCF Model'!C45/(1+$B23)^('DCF Model'!C19+0)+'DCF Model'!D45/(1+$B23)^('DCF Model'!C19+1)+'DCF Model'!E45/(1+$B23)^('DCF Model'!C19+2)+'DCF Model'!F45/(1+$B23)^('DCF Model'!C19+3)+'DCF Model'!G45/(1+$B23)^('DCF Model'!C19+4)+('DCF Model'!G39+'DCF Model'!G42)*C$17/(1+$B23)^('DCF Model'!C19+4)-'DCF Model'!C16)*1000000/'DCF Model'!C15,0),"")</f>
        <v>11302</v>
      </c>
      <c r="D23" s="37">
        <f>IFERROR(ROUND(('DCF Model'!C45/(1+$B23)^('DCF Model'!C19+0)+'DCF Model'!D45/(1+$B23)^('DCF Model'!C19+1)+'DCF Model'!E45/(1+$B23)^('DCF Model'!C19+2)+'DCF Model'!F45/(1+$B23)^('DCF Model'!C19+3)+'DCF Model'!G45/(1+$B23)^('DCF Model'!C19+4)+('DCF Model'!G39+'DCF Model'!G42)*D$17/(1+$B23)^('DCF Model'!C19+4)-'DCF Model'!C16)*1000000/'DCF Model'!C15,0),"")</f>
        <v>12213</v>
      </c>
      <c r="E23" s="37">
        <f>IFERROR(ROUND(('DCF Model'!C45/(1+$B23)^('DCF Model'!C19+0)+'DCF Model'!D45/(1+$B23)^('DCF Model'!C19+1)+'DCF Model'!E45/(1+$B23)^('DCF Model'!C19+2)+'DCF Model'!F45/(1+$B23)^('DCF Model'!C19+3)+'DCF Model'!G45/(1+$B23)^('DCF Model'!C19+4)+('DCF Model'!G39+'DCF Model'!G42)*E$17/(1+$B23)^('DCF Model'!C19+4)-'DCF Model'!C16)*1000000/'DCF Model'!C15,0),"")</f>
        <v>13124</v>
      </c>
      <c r="F23" s="37">
        <f>IFERROR(ROUND(('DCF Model'!C45/(1+$B23)^('DCF Model'!C19+0)+'DCF Model'!D45/(1+$B23)^('DCF Model'!C19+1)+'DCF Model'!E45/(1+$B23)^('DCF Model'!C19+2)+'DCF Model'!F45/(1+$B23)^('DCF Model'!C19+3)+'DCF Model'!G45/(1+$B23)^('DCF Model'!C19+4)+('DCF Model'!G39+'DCF Model'!G42)*F$17/(1+$B23)^('DCF Model'!C19+4)-'DCF Model'!C16)*1000000/'DCF Model'!C15,0),"")</f>
        <v>14035</v>
      </c>
      <c r="G23" s="37">
        <f>IFERROR(ROUND(('DCF Model'!C45/(1+$B23)^('DCF Model'!C19+0)+'DCF Model'!D45/(1+$B23)^('DCF Model'!C19+1)+'DCF Model'!E45/(1+$B23)^('DCF Model'!C19+2)+'DCF Model'!F45/(1+$B23)^('DCF Model'!C19+3)+'DCF Model'!G45/(1+$B23)^('DCF Model'!C19+4)+('DCF Model'!G39+'DCF Model'!G42)*G$17/(1+$B23)^('DCF Model'!C19+4)-'DCF Model'!C16)*1000000/'DCF Model'!C15,0),"")</f>
        <v>14947</v>
      </c>
      <c r="H23" s="37">
        <f>IFERROR(ROUND(('DCF Model'!C45/(1+$B23)^('DCF Model'!C19+0)+'DCF Model'!D45/(1+$B23)^('DCF Model'!C19+1)+'DCF Model'!E45/(1+$B23)^('DCF Model'!C19+2)+'DCF Model'!F45/(1+$B23)^('DCF Model'!C19+3)+'DCF Model'!G45/(1+$B23)^('DCF Model'!C19+4)+('DCF Model'!G39+'DCF Model'!G42)*H$17/(1+$B23)^('DCF Model'!C19+4)-'DCF Model'!C16)*1000000/'DCF Model'!C15,0),"")</f>
        <v>15858</v>
      </c>
      <c r="I23" s="37">
        <f>IFERROR(ROUND(('DCF Model'!C45/(1+$B23)^('DCF Model'!C19+0)+'DCF Model'!D45/(1+$B23)^('DCF Model'!C19+1)+'DCF Model'!E45/(1+$B23)^('DCF Model'!C19+2)+'DCF Model'!F45/(1+$B23)^('DCF Model'!C19+3)+'DCF Model'!G45/(1+$B23)^('DCF Model'!C19+4)+('DCF Model'!G39+'DCF Model'!G42)*I$17/(1+$B23)^('DCF Model'!C19+4)-'DCF Model'!C16)*1000000/'DCF Model'!C15,0),"")</f>
        <v>16769</v>
      </c>
    </row>
    <row r="24" spans="2:9" ht="13.5" customHeight="1" x14ac:dyDescent="0.25">
      <c r="B24" s="39">
        <f>$C$3+0.015</f>
        <v>9.3699999999999992E-2</v>
      </c>
      <c r="C24" s="37">
        <f>IFERROR(ROUND(('DCF Model'!C45/(1+$B24)^('DCF Model'!C19+0)+'DCF Model'!D45/(1+$B24)^('DCF Model'!C19+1)+'DCF Model'!E45/(1+$B24)^('DCF Model'!C19+2)+'DCF Model'!F45/(1+$B24)^('DCF Model'!C19+3)+'DCF Model'!G45/(1+$B24)^('DCF Model'!C19+4)+('DCF Model'!G39+'DCF Model'!G42)*C$17/(1+$B24)^('DCF Model'!C19+4)-'DCF Model'!C16)*1000000/'DCF Model'!C15,0),"")</f>
        <v>11114</v>
      </c>
      <c r="D24" s="37">
        <f>IFERROR(ROUND(('DCF Model'!C45/(1+$B24)^('DCF Model'!C19+0)+'DCF Model'!D45/(1+$B24)^('DCF Model'!C19+1)+'DCF Model'!E45/(1+$B24)^('DCF Model'!C19+2)+'DCF Model'!F45/(1+$B24)^('DCF Model'!C19+3)+'DCF Model'!G45/(1+$B24)^('DCF Model'!C19+4)+('DCF Model'!G39+'DCF Model'!G42)*D$17/(1+$B24)^('DCF Model'!C19+4)-'DCF Model'!C16)*1000000/'DCF Model'!C15,0),"")</f>
        <v>12007</v>
      </c>
      <c r="E24" s="37">
        <f>IFERROR(ROUND(('DCF Model'!C45/(1+$B24)^('DCF Model'!C19+0)+'DCF Model'!D45/(1+$B24)^('DCF Model'!C19+1)+'DCF Model'!E45/(1+$B24)^('DCF Model'!C19+2)+'DCF Model'!F45/(1+$B24)^('DCF Model'!C19+3)+'DCF Model'!G45/(1+$B24)^('DCF Model'!C19+4)+('DCF Model'!G39+'DCF Model'!G42)*E$17/(1+$B24)^('DCF Model'!C19+4)-'DCF Model'!C16)*1000000/'DCF Model'!C15,0),"")</f>
        <v>12899</v>
      </c>
      <c r="F24" s="37">
        <f>IFERROR(ROUND(('DCF Model'!C45/(1+$B24)^('DCF Model'!C19+0)+'DCF Model'!D45/(1+$B24)^('DCF Model'!C19+1)+'DCF Model'!E45/(1+$B24)^('DCF Model'!C19+2)+'DCF Model'!F45/(1+$B24)^('DCF Model'!C19+3)+'DCF Model'!G45/(1+$B24)^('DCF Model'!C19+4)+('DCF Model'!G39+'DCF Model'!G42)*F$17/(1+$B24)^('DCF Model'!C19+4)-'DCF Model'!C16)*1000000/'DCF Model'!C15,0),"")</f>
        <v>13792</v>
      </c>
      <c r="G24" s="37">
        <f>IFERROR(ROUND(('DCF Model'!C45/(1+$B24)^('DCF Model'!C19+0)+'DCF Model'!D45/(1+$B24)^('DCF Model'!C19+1)+'DCF Model'!E45/(1+$B24)^('DCF Model'!C19+2)+'DCF Model'!F45/(1+$B24)^('DCF Model'!C19+3)+'DCF Model'!G45/(1+$B24)^('DCF Model'!C19+4)+('DCF Model'!G39+'DCF Model'!G42)*G$17/(1+$B24)^('DCF Model'!C19+4)-'DCF Model'!C16)*1000000/'DCF Model'!C15,0),"")</f>
        <v>14685</v>
      </c>
      <c r="H24" s="37">
        <f>IFERROR(ROUND(('DCF Model'!C45/(1+$B24)^('DCF Model'!C19+0)+'DCF Model'!D45/(1+$B24)^('DCF Model'!C19+1)+'DCF Model'!E45/(1+$B24)^('DCF Model'!C19+2)+'DCF Model'!F45/(1+$B24)^('DCF Model'!C19+3)+'DCF Model'!G45/(1+$B24)^('DCF Model'!C19+4)+('DCF Model'!G39+'DCF Model'!G42)*H$17/(1+$B24)^('DCF Model'!C19+4)-'DCF Model'!C16)*1000000/'DCF Model'!C15,0),"")</f>
        <v>15577</v>
      </c>
      <c r="I24" s="37">
        <f>IFERROR(ROUND(('DCF Model'!C45/(1+$B24)^('DCF Model'!C19+0)+'DCF Model'!D45/(1+$B24)^('DCF Model'!C19+1)+'DCF Model'!E45/(1+$B24)^('DCF Model'!C19+2)+'DCF Model'!F45/(1+$B24)^('DCF Model'!C19+3)+'DCF Model'!G45/(1+$B24)^('DCF Model'!C19+4)+('DCF Model'!G39+'DCF Model'!G42)*I$17/(1+$B24)^('DCF Model'!C19+4)-'DCF Model'!C16)*1000000/'DCF Model'!C15,0),"")</f>
        <v>16470</v>
      </c>
    </row>
    <row r="26" spans="2:9" ht="14" customHeight="1" x14ac:dyDescent="0.3">
      <c r="B26" s="47" t="s">
        <v>239</v>
      </c>
      <c r="C26" s="46"/>
      <c r="D26" s="46"/>
      <c r="E26" s="46"/>
      <c r="F26" s="46"/>
      <c r="G26" s="46"/>
      <c r="H26" s="46"/>
      <c r="I26" s="46"/>
    </row>
  </sheetData>
  <mergeCells count="1">
    <mergeCell ref="B26:I26"/>
  </mergeCells>
  <phoneticPr fontId="8"/>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808080"/>
  </sheetPr>
  <dimension ref="B2:G63"/>
  <sheetViews>
    <sheetView workbookViewId="0"/>
  </sheetViews>
  <sheetFormatPr defaultRowHeight="13" x14ac:dyDescent="0.2"/>
  <cols>
    <col min="1" max="1" width="3" customWidth="1"/>
    <col min="2" max="2" width="14" customWidth="1"/>
    <col min="3" max="3" width="16" customWidth="1"/>
    <col min="4" max="5" width="46" customWidth="1"/>
    <col min="6" max="6" width="20" customWidth="1"/>
    <col min="7" max="7" width="12" customWidth="1"/>
  </cols>
  <sheetData>
    <row r="2" spans="2:7" ht="18" customHeight="1" x14ac:dyDescent="0.4">
      <c r="B2" s="2" t="s">
        <v>240</v>
      </c>
    </row>
    <row r="4" spans="2:7" ht="14" customHeight="1" x14ac:dyDescent="0.3">
      <c r="B4" s="10" t="s">
        <v>241</v>
      </c>
      <c r="C4" s="10" t="s">
        <v>242</v>
      </c>
      <c r="D4" s="10" t="s">
        <v>243</v>
      </c>
      <c r="E4" s="10" t="s">
        <v>244</v>
      </c>
      <c r="F4" s="10" t="s">
        <v>245</v>
      </c>
      <c r="G4" s="10" t="s">
        <v>246</v>
      </c>
    </row>
    <row r="5" spans="2:7" x14ac:dyDescent="0.2">
      <c r="B5" t="s">
        <v>247</v>
      </c>
      <c r="C5" t="s">
        <v>248</v>
      </c>
      <c r="D5" t="s">
        <v>249</v>
      </c>
      <c r="E5" t="s">
        <v>250</v>
      </c>
      <c r="F5" t="s">
        <v>248</v>
      </c>
      <c r="G5" t="s">
        <v>251</v>
      </c>
    </row>
    <row r="6" spans="2:7" ht="30" customHeight="1" x14ac:dyDescent="0.3">
      <c r="B6" s="44" t="s">
        <v>252</v>
      </c>
      <c r="C6" s="4" t="s">
        <v>253</v>
      </c>
      <c r="D6" s="44" t="s">
        <v>254</v>
      </c>
      <c r="E6" s="44" t="s">
        <v>255</v>
      </c>
      <c r="F6" s="44" t="s">
        <v>256</v>
      </c>
      <c r="G6" s="44" t="s">
        <v>257</v>
      </c>
    </row>
    <row r="7" spans="2:7" ht="30" customHeight="1" x14ac:dyDescent="0.3">
      <c r="B7" s="44" t="s">
        <v>252</v>
      </c>
      <c r="C7" s="4" t="s">
        <v>258</v>
      </c>
      <c r="D7" s="44" t="s">
        <v>259</v>
      </c>
      <c r="E7" s="44" t="s">
        <v>260</v>
      </c>
      <c r="F7" s="44" t="s">
        <v>261</v>
      </c>
      <c r="G7" s="44" t="s">
        <v>262</v>
      </c>
    </row>
    <row r="8" spans="2:7" ht="30" customHeight="1" x14ac:dyDescent="0.3">
      <c r="B8" s="44" t="s">
        <v>252</v>
      </c>
      <c r="C8" s="4" t="s">
        <v>263</v>
      </c>
      <c r="D8" s="44" t="s">
        <v>264</v>
      </c>
      <c r="E8" s="44" t="s">
        <v>265</v>
      </c>
      <c r="F8" s="44" t="s">
        <v>266</v>
      </c>
      <c r="G8" s="44" t="s">
        <v>262</v>
      </c>
    </row>
    <row r="9" spans="2:7" ht="30" customHeight="1" x14ac:dyDescent="0.3">
      <c r="B9" s="44" t="s">
        <v>252</v>
      </c>
      <c r="C9" s="4" t="s">
        <v>267</v>
      </c>
      <c r="D9" s="44" t="s">
        <v>268</v>
      </c>
      <c r="E9" s="44" t="s">
        <v>269</v>
      </c>
      <c r="F9" s="44" t="s">
        <v>270</v>
      </c>
      <c r="G9" s="44" t="s">
        <v>262</v>
      </c>
    </row>
    <row r="10" spans="2:7" ht="30" customHeight="1" x14ac:dyDescent="0.3">
      <c r="B10" s="44" t="s">
        <v>252</v>
      </c>
      <c r="C10" s="4" t="s">
        <v>271</v>
      </c>
      <c r="D10" s="44" t="s">
        <v>272</v>
      </c>
      <c r="E10" s="44" t="s">
        <v>273</v>
      </c>
      <c r="F10" s="44" t="s">
        <v>274</v>
      </c>
      <c r="G10" s="44" t="s">
        <v>275</v>
      </c>
    </row>
    <row r="11" spans="2:7" ht="30" customHeight="1" x14ac:dyDescent="0.3">
      <c r="B11" s="44" t="s">
        <v>252</v>
      </c>
      <c r="C11" s="4" t="s">
        <v>276</v>
      </c>
      <c r="D11" s="44" t="s">
        <v>277</v>
      </c>
      <c r="E11" s="44" t="s">
        <v>278</v>
      </c>
      <c r="F11" s="44" t="s">
        <v>279</v>
      </c>
      <c r="G11" s="44" t="s">
        <v>262</v>
      </c>
    </row>
    <row r="12" spans="2:7" ht="30" customHeight="1" x14ac:dyDescent="0.3">
      <c r="B12" s="44" t="s">
        <v>252</v>
      </c>
      <c r="C12" s="4" t="s">
        <v>280</v>
      </c>
      <c r="D12" s="44" t="s">
        <v>281</v>
      </c>
      <c r="E12" s="44" t="s">
        <v>282</v>
      </c>
      <c r="F12" s="44" t="s">
        <v>283</v>
      </c>
      <c r="G12" s="44" t="s">
        <v>262</v>
      </c>
    </row>
    <row r="13" spans="2:7" ht="30" customHeight="1" x14ac:dyDescent="0.3">
      <c r="B13" s="44" t="s">
        <v>252</v>
      </c>
      <c r="C13" s="4" t="s">
        <v>284</v>
      </c>
      <c r="D13" s="44" t="s">
        <v>285</v>
      </c>
      <c r="E13" s="44" t="s">
        <v>286</v>
      </c>
      <c r="F13" s="44" t="s">
        <v>287</v>
      </c>
      <c r="G13" s="44" t="s">
        <v>262</v>
      </c>
    </row>
    <row r="14" spans="2:7" ht="30" customHeight="1" x14ac:dyDescent="0.3">
      <c r="B14" s="44" t="s">
        <v>252</v>
      </c>
      <c r="C14" s="4" t="s">
        <v>288</v>
      </c>
      <c r="D14" s="44" t="s">
        <v>289</v>
      </c>
      <c r="E14" s="44" t="s">
        <v>290</v>
      </c>
      <c r="F14" s="44" t="s">
        <v>248</v>
      </c>
      <c r="G14" s="44" t="s">
        <v>262</v>
      </c>
    </row>
    <row r="15" spans="2:7" ht="30" customHeight="1" x14ac:dyDescent="0.3">
      <c r="B15" s="44" t="s">
        <v>252</v>
      </c>
      <c r="C15" s="4" t="s">
        <v>291</v>
      </c>
      <c r="D15" s="44" t="s">
        <v>292</v>
      </c>
      <c r="E15" s="44" t="s">
        <v>293</v>
      </c>
      <c r="F15" s="44" t="s">
        <v>294</v>
      </c>
      <c r="G15" s="44" t="s">
        <v>262</v>
      </c>
    </row>
    <row r="16" spans="2:7" ht="30" customHeight="1" x14ac:dyDescent="0.3">
      <c r="B16" s="44" t="s">
        <v>252</v>
      </c>
      <c r="C16" s="4" t="s">
        <v>295</v>
      </c>
      <c r="D16" s="44" t="s">
        <v>296</v>
      </c>
      <c r="E16" s="44" t="s">
        <v>297</v>
      </c>
      <c r="F16" s="44" t="s">
        <v>298</v>
      </c>
      <c r="G16" s="44" t="s">
        <v>262</v>
      </c>
    </row>
    <row r="17" spans="2:7" ht="30" customHeight="1" x14ac:dyDescent="0.3">
      <c r="B17" s="44" t="s">
        <v>252</v>
      </c>
      <c r="C17" s="4" t="s">
        <v>299</v>
      </c>
      <c r="D17" s="44" t="s">
        <v>300</v>
      </c>
      <c r="E17" s="44" t="s">
        <v>301</v>
      </c>
      <c r="F17" s="44" t="s">
        <v>266</v>
      </c>
      <c r="G17" s="44" t="s">
        <v>262</v>
      </c>
    </row>
    <row r="18" spans="2:7" ht="30" customHeight="1" x14ac:dyDescent="0.3">
      <c r="B18" s="44" t="s">
        <v>252</v>
      </c>
      <c r="C18" s="4" t="s">
        <v>302</v>
      </c>
      <c r="D18" s="44" t="s">
        <v>303</v>
      </c>
      <c r="E18" s="44" t="s">
        <v>304</v>
      </c>
      <c r="F18" s="44" t="s">
        <v>305</v>
      </c>
      <c r="G18" s="44" t="s">
        <v>262</v>
      </c>
    </row>
    <row r="19" spans="2:7" ht="30" customHeight="1" x14ac:dyDescent="0.3">
      <c r="B19" s="44" t="s">
        <v>252</v>
      </c>
      <c r="C19" s="4" t="s">
        <v>306</v>
      </c>
      <c r="D19" s="44" t="s">
        <v>307</v>
      </c>
      <c r="E19" s="44" t="s">
        <v>308</v>
      </c>
      <c r="F19" s="44" t="s">
        <v>309</v>
      </c>
      <c r="G19" s="44" t="s">
        <v>310</v>
      </c>
    </row>
    <row r="20" spans="2:7" ht="30" customHeight="1" x14ac:dyDescent="0.3">
      <c r="B20" s="44" t="s">
        <v>252</v>
      </c>
      <c r="C20" s="4" t="s">
        <v>311</v>
      </c>
      <c r="D20" s="44" t="s">
        <v>312</v>
      </c>
      <c r="E20" s="44" t="s">
        <v>313</v>
      </c>
      <c r="F20" s="44" t="s">
        <v>248</v>
      </c>
      <c r="G20" s="44" t="s">
        <v>314</v>
      </c>
    </row>
    <row r="21" spans="2:7" ht="30" customHeight="1" x14ac:dyDescent="0.3">
      <c r="B21" s="44" t="s">
        <v>252</v>
      </c>
      <c r="C21" s="4" t="s">
        <v>315</v>
      </c>
      <c r="D21" s="44" t="s">
        <v>316</v>
      </c>
      <c r="E21" s="44" t="s">
        <v>317</v>
      </c>
      <c r="F21" s="44" t="s">
        <v>266</v>
      </c>
      <c r="G21" s="44" t="s">
        <v>262</v>
      </c>
    </row>
    <row r="22" spans="2:7" ht="30" customHeight="1" x14ac:dyDescent="0.3">
      <c r="B22" s="44" t="s">
        <v>252</v>
      </c>
      <c r="C22" s="4" t="s">
        <v>318</v>
      </c>
      <c r="D22" s="44" t="s">
        <v>319</v>
      </c>
      <c r="E22" s="44" t="s">
        <v>320</v>
      </c>
      <c r="F22" s="44" t="s">
        <v>248</v>
      </c>
      <c r="G22" s="44" t="s">
        <v>262</v>
      </c>
    </row>
    <row r="23" spans="2:7" ht="30" customHeight="1" x14ac:dyDescent="0.3">
      <c r="B23" s="44" t="s">
        <v>252</v>
      </c>
      <c r="C23" s="4" t="s">
        <v>321</v>
      </c>
      <c r="D23" s="44" t="s">
        <v>322</v>
      </c>
      <c r="E23" s="44" t="s">
        <v>323</v>
      </c>
      <c r="F23" s="44" t="s">
        <v>248</v>
      </c>
      <c r="G23" s="44" t="s">
        <v>257</v>
      </c>
    </row>
    <row r="24" spans="2:7" ht="30" customHeight="1" x14ac:dyDescent="0.3">
      <c r="B24" s="44" t="s">
        <v>252</v>
      </c>
      <c r="C24" s="4" t="s">
        <v>324</v>
      </c>
      <c r="D24" s="44" t="s">
        <v>325</v>
      </c>
      <c r="E24" s="44" t="s">
        <v>326</v>
      </c>
      <c r="F24" s="44" t="s">
        <v>248</v>
      </c>
      <c r="G24" s="44" t="s">
        <v>327</v>
      </c>
    </row>
    <row r="25" spans="2:7" ht="30" customHeight="1" x14ac:dyDescent="0.3">
      <c r="B25" s="44" t="s">
        <v>252</v>
      </c>
      <c r="C25" s="4" t="s">
        <v>328</v>
      </c>
      <c r="D25" s="44" t="s">
        <v>329</v>
      </c>
      <c r="E25" s="44" t="s">
        <v>330</v>
      </c>
      <c r="F25" s="44" t="s">
        <v>248</v>
      </c>
      <c r="G25" s="44" t="s">
        <v>331</v>
      </c>
    </row>
    <row r="26" spans="2:7" ht="30" customHeight="1" x14ac:dyDescent="0.3">
      <c r="B26" s="44" t="s">
        <v>252</v>
      </c>
      <c r="C26" s="4" t="s">
        <v>328</v>
      </c>
      <c r="D26" s="44" t="s">
        <v>332</v>
      </c>
      <c r="E26" s="44" t="s">
        <v>333</v>
      </c>
      <c r="F26" s="44" t="s">
        <v>248</v>
      </c>
      <c r="G26" s="44" t="s">
        <v>331</v>
      </c>
    </row>
    <row r="27" spans="2:7" ht="30" customHeight="1" x14ac:dyDescent="0.3">
      <c r="B27" s="44" t="s">
        <v>252</v>
      </c>
      <c r="C27" s="4" t="s">
        <v>328</v>
      </c>
      <c r="D27" s="44" t="s">
        <v>334</v>
      </c>
      <c r="E27" s="44" t="s">
        <v>335</v>
      </c>
      <c r="F27" s="44" t="s">
        <v>248</v>
      </c>
      <c r="G27" s="44" t="s">
        <v>331</v>
      </c>
    </row>
    <row r="28" spans="2:7" ht="14" customHeight="1" x14ac:dyDescent="0.2"/>
    <row r="29" spans="2:7" ht="14" customHeight="1" x14ac:dyDescent="0.3">
      <c r="B29" s="8" t="s">
        <v>336</v>
      </c>
    </row>
    <row r="30" spans="2:7" ht="14" customHeight="1" x14ac:dyDescent="0.3">
      <c r="B30" s="10" t="s">
        <v>337</v>
      </c>
      <c r="C30" s="10" t="s">
        <v>338</v>
      </c>
    </row>
    <row r="31" spans="2:7" ht="14" customHeight="1" x14ac:dyDescent="0.3">
      <c r="B31" s="4" t="s">
        <v>339</v>
      </c>
      <c r="C31" t="s">
        <v>340</v>
      </c>
    </row>
    <row r="32" spans="2:7" ht="14" customHeight="1" x14ac:dyDescent="0.3">
      <c r="B32" s="4" t="s">
        <v>341</v>
      </c>
      <c r="C32" t="s">
        <v>342</v>
      </c>
    </row>
    <row r="33" spans="2:3" ht="14" customHeight="1" x14ac:dyDescent="0.3">
      <c r="B33" s="4" t="s">
        <v>343</v>
      </c>
      <c r="C33" t="s">
        <v>344</v>
      </c>
    </row>
    <row r="34" spans="2:3" ht="14" customHeight="1" x14ac:dyDescent="0.3">
      <c r="B34" s="4" t="s">
        <v>345</v>
      </c>
      <c r="C34" t="s">
        <v>42</v>
      </c>
    </row>
    <row r="35" spans="2:3" ht="14" customHeight="1" x14ac:dyDescent="0.3">
      <c r="B35" s="4" t="s">
        <v>346</v>
      </c>
      <c r="C35" t="s">
        <v>4</v>
      </c>
    </row>
    <row r="36" spans="2:3" ht="14" customHeight="1" x14ac:dyDescent="0.3">
      <c r="B36" s="4" t="s">
        <v>347</v>
      </c>
      <c r="C36" t="s">
        <v>247</v>
      </c>
    </row>
    <row r="37" spans="2:3" ht="14" customHeight="1" x14ac:dyDescent="0.3">
      <c r="B37" s="4" t="s">
        <v>348</v>
      </c>
      <c r="C37" t="s">
        <v>349</v>
      </c>
    </row>
    <row r="38" spans="2:3" ht="14" customHeight="1" x14ac:dyDescent="0.3">
      <c r="B38" s="4" t="s">
        <v>350</v>
      </c>
      <c r="C38" t="s">
        <v>351</v>
      </c>
    </row>
    <row r="39" spans="2:3" ht="14" customHeight="1" x14ac:dyDescent="0.3">
      <c r="B39" s="4" t="s">
        <v>352</v>
      </c>
      <c r="C39" t="s">
        <v>353</v>
      </c>
    </row>
    <row r="40" spans="2:3" ht="14" customHeight="1" x14ac:dyDescent="0.3">
      <c r="B40" s="4" t="s">
        <v>354</v>
      </c>
      <c r="C40" t="s">
        <v>355</v>
      </c>
    </row>
    <row r="41" spans="2:3" ht="14" customHeight="1" x14ac:dyDescent="0.3">
      <c r="B41" s="4" t="s">
        <v>356</v>
      </c>
      <c r="C41" t="s">
        <v>357</v>
      </c>
    </row>
    <row r="42" spans="2:3" ht="14" customHeight="1" x14ac:dyDescent="0.3">
      <c r="B42" s="4" t="s">
        <v>358</v>
      </c>
      <c r="C42" t="s">
        <v>353</v>
      </c>
    </row>
    <row r="43" spans="2:3" ht="14" customHeight="1" x14ac:dyDescent="0.3">
      <c r="B43" s="4" t="s">
        <v>359</v>
      </c>
      <c r="C43" t="s">
        <v>349</v>
      </c>
    </row>
    <row r="44" spans="2:3" ht="14" customHeight="1" x14ac:dyDescent="0.3">
      <c r="B44" s="4" t="s">
        <v>360</v>
      </c>
      <c r="C44" t="s">
        <v>361</v>
      </c>
    </row>
    <row r="45" spans="2:3" ht="14" customHeight="1" x14ac:dyDescent="0.3">
      <c r="B45" s="4" t="s">
        <v>362</v>
      </c>
      <c r="C45" t="s">
        <v>363</v>
      </c>
    </row>
    <row r="46" spans="2:3" ht="14" customHeight="1" x14ac:dyDescent="0.3">
      <c r="B46" s="4" t="s">
        <v>364</v>
      </c>
      <c r="C46" t="s">
        <v>365</v>
      </c>
    </row>
    <row r="47" spans="2:3" ht="14" x14ac:dyDescent="0.3">
      <c r="B47" s="4" t="s">
        <v>366</v>
      </c>
      <c r="C47" t="s">
        <v>342</v>
      </c>
    </row>
    <row r="48" spans="2:3" ht="14" x14ac:dyDescent="0.3">
      <c r="B48" s="4" t="s">
        <v>367</v>
      </c>
      <c r="C48" t="s">
        <v>342</v>
      </c>
    </row>
    <row r="49" spans="2:3" ht="14" x14ac:dyDescent="0.3">
      <c r="B49" s="4" t="s">
        <v>368</v>
      </c>
      <c r="C49" t="s">
        <v>369</v>
      </c>
    </row>
    <row r="50" spans="2:3" ht="14" x14ac:dyDescent="0.3">
      <c r="B50" s="4" t="s">
        <v>370</v>
      </c>
      <c r="C50" t="s">
        <v>371</v>
      </c>
    </row>
    <row r="51" spans="2:3" ht="14" x14ac:dyDescent="0.3">
      <c r="B51" s="4" t="s">
        <v>372</v>
      </c>
      <c r="C51" t="s">
        <v>373</v>
      </c>
    </row>
    <row r="52" spans="2:3" ht="14" x14ac:dyDescent="0.3">
      <c r="B52" s="4" t="s">
        <v>374</v>
      </c>
      <c r="C52" t="s">
        <v>375</v>
      </c>
    </row>
    <row r="53" spans="2:3" ht="14" x14ac:dyDescent="0.3">
      <c r="B53" s="4" t="s">
        <v>376</v>
      </c>
      <c r="C53" t="s">
        <v>377</v>
      </c>
    </row>
    <row r="54" spans="2:3" ht="14" x14ac:dyDescent="0.3">
      <c r="B54" s="4" t="s">
        <v>378</v>
      </c>
      <c r="C54" t="s">
        <v>379</v>
      </c>
    </row>
    <row r="55" spans="2:3" ht="14" x14ac:dyDescent="0.3">
      <c r="B55" s="4" t="s">
        <v>380</v>
      </c>
      <c r="C55" t="s">
        <v>381</v>
      </c>
    </row>
    <row r="56" spans="2:3" ht="14" x14ac:dyDescent="0.3">
      <c r="B56" s="4" t="s">
        <v>382</v>
      </c>
      <c r="C56" t="s">
        <v>383</v>
      </c>
    </row>
    <row r="57" spans="2:3" ht="14" x14ac:dyDescent="0.3">
      <c r="B57" s="4" t="s">
        <v>384</v>
      </c>
      <c r="C57" t="s">
        <v>385</v>
      </c>
    </row>
    <row r="58" spans="2:3" ht="14" x14ac:dyDescent="0.3">
      <c r="B58" s="4" t="s">
        <v>386</v>
      </c>
      <c r="C58" t="s">
        <v>387</v>
      </c>
    </row>
    <row r="59" spans="2:3" ht="14" x14ac:dyDescent="0.3">
      <c r="B59" s="4" t="s">
        <v>388</v>
      </c>
      <c r="C59" t="s">
        <v>389</v>
      </c>
    </row>
    <row r="60" spans="2:3" ht="14" x14ac:dyDescent="0.3">
      <c r="B60" s="4" t="s">
        <v>390</v>
      </c>
      <c r="C60" t="s">
        <v>391</v>
      </c>
    </row>
    <row r="61" spans="2:3" ht="14" x14ac:dyDescent="0.3">
      <c r="B61" s="4" t="s">
        <v>392</v>
      </c>
      <c r="C61" t="s">
        <v>393</v>
      </c>
    </row>
    <row r="62" spans="2:3" ht="14" x14ac:dyDescent="0.3">
      <c r="B62" s="4" t="s">
        <v>394</v>
      </c>
      <c r="C62" t="s">
        <v>395</v>
      </c>
    </row>
    <row r="63" spans="2:3" ht="14" x14ac:dyDescent="0.3">
      <c r="B63" s="4" t="s">
        <v>396</v>
      </c>
      <c r="C63" t="s">
        <v>207</v>
      </c>
    </row>
  </sheetData>
  <phoneticPr fontId="8"/>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8</vt:i4>
      </vt:variant>
    </vt:vector>
  </HeadingPairs>
  <TitlesOfParts>
    <vt:vector size="8" baseType="lpstr">
      <vt:lpstr>Executive Summary</vt:lpstr>
      <vt:lpstr>Financial Statements</vt:lpstr>
      <vt:lpstr>DCF Model</vt:lpstr>
      <vt:lpstr>Reverse DCF</vt:lpstr>
      <vt:lpstr>NWC Schedule</vt:lpstr>
      <vt:lpstr>Comps Analysis</vt:lpstr>
      <vt:lpstr>Sensitivity Analysis</vt:lpstr>
      <vt:lpstr>Adjustments Log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良亮 佐藤</cp:lastModifiedBy>
  <dcterms:created xsi:type="dcterms:W3CDTF">2026-09-06T01:49:12Z</dcterms:created>
  <dcterms:modified xsi:type="dcterms:W3CDTF">2026-09-06T02:33:07Z</dcterms:modified>
</cp:coreProperties>
</file>