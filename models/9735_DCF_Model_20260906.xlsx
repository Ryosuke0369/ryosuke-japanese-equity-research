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4E045150-C007-4968-8498-FAAF2A7312FD}" xr6:coauthVersionLast="47" xr6:coauthVersionMax="47" xr10:uidLastSave="{00000000-0000-0000-0000-000000000000}"/>
  <bookViews>
    <workbookView xWindow="-110" yWindow="-110" windowWidth="19420" windowHeight="103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I16" i="6"/>
  <c r="O10" i="6"/>
  <c r="N10" i="6"/>
  <c r="M10" i="6"/>
  <c r="L10" i="6"/>
  <c r="K10" i="6"/>
  <c r="J10" i="6"/>
  <c r="O9" i="6"/>
  <c r="N9" i="6"/>
  <c r="M9" i="6"/>
  <c r="L9" i="6"/>
  <c r="K9" i="6"/>
  <c r="J9" i="6"/>
  <c r="O8" i="6"/>
  <c r="N8" i="6"/>
  <c r="M8" i="6"/>
  <c r="L8" i="6"/>
  <c r="K8" i="6"/>
  <c r="J8" i="6"/>
  <c r="O7" i="6"/>
  <c r="N7" i="6"/>
  <c r="M7" i="6"/>
  <c r="L7" i="6"/>
  <c r="K7" i="6"/>
  <c r="J7" i="6"/>
  <c r="O6" i="6"/>
  <c r="N6" i="6"/>
  <c r="M6" i="6"/>
  <c r="L6" i="6"/>
  <c r="F15" i="6" s="1"/>
  <c r="K6" i="6"/>
  <c r="J6" i="6"/>
  <c r="D17" i="6" s="1"/>
  <c r="O5" i="6"/>
  <c r="N5" i="6"/>
  <c r="D5" i="6"/>
  <c r="M5" i="6" s="1"/>
  <c r="C16" i="5"/>
  <c r="C14" i="5"/>
  <c r="C18" i="5" s="1"/>
  <c r="C7" i="5"/>
  <c r="C6" i="5"/>
  <c r="C5" i="5"/>
  <c r="C13" i="4"/>
  <c r="C12" i="4"/>
  <c r="C9" i="4"/>
  <c r="C7" i="4"/>
  <c r="C6" i="4"/>
  <c r="C8" i="4" s="1"/>
  <c r="C10" i="4" s="1"/>
  <c r="D27" i="3"/>
  <c r="G5" i="5" s="1"/>
  <c r="C25" i="3"/>
  <c r="C24" i="3"/>
  <c r="C23" i="3"/>
  <c r="F28" i="2"/>
  <c r="E28" i="2"/>
  <c r="D28" i="2"/>
  <c r="C28" i="2"/>
  <c r="F23" i="2"/>
  <c r="E23" i="2"/>
  <c r="D23" i="2"/>
  <c r="C23" i="2"/>
  <c r="F21" i="2"/>
  <c r="F22" i="2" s="1"/>
  <c r="E21" i="2"/>
  <c r="E22" i="2" s="1"/>
  <c r="D21" i="2"/>
  <c r="D22" i="2" s="1"/>
  <c r="C21" i="2"/>
  <c r="C22" i="2" s="1"/>
  <c r="F16" i="2"/>
  <c r="E16" i="2"/>
  <c r="D16" i="2"/>
  <c r="F15" i="2"/>
  <c r="E15" i="2"/>
  <c r="D15" i="2"/>
  <c r="F14" i="2"/>
  <c r="E14" i="2"/>
  <c r="D14" i="2"/>
  <c r="C14" i="2"/>
  <c r="F13" i="2"/>
  <c r="E13" i="2"/>
  <c r="D13" i="2"/>
  <c r="C13" i="2"/>
  <c r="F9" i="2"/>
  <c r="F8" i="2"/>
  <c r="E8" i="2"/>
  <c r="E9" i="2" s="1"/>
  <c r="D8" i="2"/>
  <c r="D9" i="2" s="1"/>
  <c r="C8" i="2"/>
  <c r="C9" i="2" s="1"/>
  <c r="G16" i="6" l="1"/>
  <c r="H15" i="6"/>
  <c r="E5" i="6"/>
  <c r="J5" i="6" s="1"/>
  <c r="I17" i="6"/>
  <c r="G15" i="6"/>
  <c r="C26" i="3"/>
  <c r="G36" i="4" s="1"/>
  <c r="E15" i="6"/>
  <c r="C71" i="4"/>
  <c r="C70" i="4"/>
  <c r="C30" i="3"/>
  <c r="C33" i="3" s="1"/>
  <c r="F31" i="3"/>
  <c r="H5" i="5"/>
  <c r="D7" i="5"/>
  <c r="K5" i="6"/>
  <c r="I15" i="6"/>
  <c r="E17" i="6"/>
  <c r="I6" i="7"/>
  <c r="C31" i="3"/>
  <c r="D30" i="3"/>
  <c r="G31" i="3"/>
  <c r="E7" i="5"/>
  <c r="L5" i="6"/>
  <c r="D16" i="6"/>
  <c r="F17" i="6"/>
  <c r="C17" i="7"/>
  <c r="D31" i="3"/>
  <c r="F5" i="5"/>
  <c r="E30" i="3"/>
  <c r="C32" i="3"/>
  <c r="D6" i="5"/>
  <c r="F7" i="5"/>
  <c r="E16" i="6"/>
  <c r="G17" i="6"/>
  <c r="C6" i="7"/>
  <c r="D17" i="7"/>
  <c r="G32" i="3"/>
  <c r="H6" i="5"/>
  <c r="F30" i="3"/>
  <c r="D32" i="3"/>
  <c r="E6" i="5"/>
  <c r="G7" i="5"/>
  <c r="D15" i="6"/>
  <c r="F16" i="6"/>
  <c r="C28" i="6" s="1"/>
  <c r="C19" i="1" s="1"/>
  <c r="D19" i="1" s="1"/>
  <c r="H17" i="6"/>
  <c r="D6" i="7"/>
  <c r="E17" i="7"/>
  <c r="F32" i="3"/>
  <c r="G30" i="3"/>
  <c r="E32" i="3"/>
  <c r="D5" i="5"/>
  <c r="F6" i="5"/>
  <c r="H7" i="5"/>
  <c r="E6" i="7"/>
  <c r="F17" i="7"/>
  <c r="E5" i="5"/>
  <c r="G6" i="5"/>
  <c r="H16" i="6"/>
  <c r="F6" i="7"/>
  <c r="G17" i="7"/>
  <c r="G6" i="7"/>
  <c r="H17" i="7"/>
  <c r="E31" i="3"/>
  <c r="C46" i="3" l="1"/>
  <c r="C3" i="7"/>
  <c r="E46" i="3"/>
  <c r="D36" i="4"/>
  <c r="D41" i="4" s="1"/>
  <c r="E36" i="4"/>
  <c r="E43" i="4" s="1"/>
  <c r="H36" i="4"/>
  <c r="H46" i="4" s="1"/>
  <c r="G46" i="3"/>
  <c r="F46" i="3"/>
  <c r="C11" i="4"/>
  <c r="C24" i="4" s="1"/>
  <c r="C25" i="4" s="1"/>
  <c r="D46" i="3"/>
  <c r="F36" i="4"/>
  <c r="F41" i="4" s="1"/>
  <c r="F51" i="4" s="1"/>
  <c r="F56" i="4" s="1"/>
  <c r="D9" i="5"/>
  <c r="D12" i="5" s="1"/>
  <c r="C42" i="3"/>
  <c r="C34" i="3"/>
  <c r="D10" i="5" s="1"/>
  <c r="C37" i="3"/>
  <c r="D33" i="3"/>
  <c r="D46" i="4"/>
  <c r="D40" i="4"/>
  <c r="D39" i="4"/>
  <c r="D44" i="4"/>
  <c r="D38" i="4"/>
  <c r="H44" i="4"/>
  <c r="H43" i="4"/>
  <c r="C29" i="4"/>
  <c r="C27" i="4"/>
  <c r="C26" i="4"/>
  <c r="B13" i="7"/>
  <c r="B12" i="7"/>
  <c r="B11" i="7"/>
  <c r="B10" i="7"/>
  <c r="B9" i="7"/>
  <c r="B8" i="7"/>
  <c r="B7" i="7"/>
  <c r="B24" i="7"/>
  <c r="B23" i="7"/>
  <c r="B22" i="7"/>
  <c r="B21" i="7"/>
  <c r="B20" i="7"/>
  <c r="B19" i="7"/>
  <c r="B18" i="7"/>
  <c r="C27" i="6"/>
  <c r="C18" i="1" s="1"/>
  <c r="D18" i="1" s="1"/>
  <c r="C74" i="4"/>
  <c r="E39" i="4"/>
  <c r="E46" i="4"/>
  <c r="E40" i="4"/>
  <c r="E44" i="4"/>
  <c r="E41" i="4"/>
  <c r="E45" i="4"/>
  <c r="F43" i="4"/>
  <c r="F40" i="4"/>
  <c r="F50" i="4" s="1"/>
  <c r="F55" i="4" s="1"/>
  <c r="F44" i="4"/>
  <c r="F38" i="4"/>
  <c r="F46" i="4"/>
  <c r="F45" i="4"/>
  <c r="F39" i="4"/>
  <c r="G46" i="4"/>
  <c r="G44" i="4"/>
  <c r="G38" i="4"/>
  <c r="G48" i="4" s="1"/>
  <c r="G53" i="4" s="1"/>
  <c r="G41" i="4"/>
  <c r="G45" i="4"/>
  <c r="G40" i="4"/>
  <c r="G39" i="4"/>
  <c r="G43" i="4"/>
  <c r="C35" i="3" l="1"/>
  <c r="H39" i="4"/>
  <c r="H49" i="4" s="1"/>
  <c r="H54" i="4" s="1"/>
  <c r="E49" i="4"/>
  <c r="E54" i="4" s="1"/>
  <c r="H45" i="4"/>
  <c r="H38" i="4"/>
  <c r="H48" i="4" s="1"/>
  <c r="H53" i="4" s="1"/>
  <c r="D43" i="4"/>
  <c r="D48" i="4" s="1"/>
  <c r="D53" i="4" s="1"/>
  <c r="E38" i="4"/>
  <c r="E48" i="4" s="1"/>
  <c r="E53" i="4" s="1"/>
  <c r="H40" i="4"/>
  <c r="D45" i="4"/>
  <c r="H41" i="4"/>
  <c r="H51" i="4" s="1"/>
  <c r="H56" i="4" s="1"/>
  <c r="G51" i="4"/>
  <c r="G56" i="4" s="1"/>
  <c r="F48" i="4"/>
  <c r="F53" i="4" s="1"/>
  <c r="E50" i="4"/>
  <c r="E55" i="4" s="1"/>
  <c r="D51" i="4"/>
  <c r="D56" i="4" s="1"/>
  <c r="D37" i="3"/>
  <c r="D42" i="3"/>
  <c r="E9" i="5"/>
  <c r="E12" i="5" s="1"/>
  <c r="E33" i="3"/>
  <c r="D34" i="3"/>
  <c r="E10" i="5" s="1"/>
  <c r="C36" i="3"/>
  <c r="C39" i="3"/>
  <c r="C38" i="3"/>
  <c r="F49" i="4"/>
  <c r="E51" i="4"/>
  <c r="E56" i="4" s="1"/>
  <c r="D49" i="4"/>
  <c r="D54" i="4" s="1"/>
  <c r="D15" i="5"/>
  <c r="D16" i="5" s="1"/>
  <c r="D13" i="5"/>
  <c r="D14" i="5" s="1"/>
  <c r="D18" i="5" s="1"/>
  <c r="D19" i="5" s="1"/>
  <c r="C44" i="3" s="1"/>
  <c r="G49" i="4"/>
  <c r="G54" i="4" s="1"/>
  <c r="G50" i="4"/>
  <c r="G55" i="4" s="1"/>
  <c r="D50" i="4"/>
  <c r="D55" i="4" s="1"/>
  <c r="H50" i="4" l="1"/>
  <c r="H55" i="4" s="1"/>
  <c r="C40" i="3"/>
  <c r="C41" i="3" s="1"/>
  <c r="C45" i="3" s="1"/>
  <c r="E13" i="5"/>
  <c r="E15" i="5"/>
  <c r="E16" i="5" s="1"/>
  <c r="F54" i="4"/>
  <c r="C60" i="4"/>
  <c r="B78" i="4"/>
  <c r="F9" i="5"/>
  <c r="F12" i="5" s="1"/>
  <c r="E37" i="3"/>
  <c r="E42" i="3"/>
  <c r="F33" i="3"/>
  <c r="E34" i="3"/>
  <c r="F10" i="5" s="1"/>
  <c r="E14" i="5"/>
  <c r="E18" i="5" s="1"/>
  <c r="E19" i="5" s="1"/>
  <c r="D44" i="3" s="1"/>
  <c r="D35" i="3"/>
  <c r="E35" i="3" l="1"/>
  <c r="C47" i="3"/>
  <c r="D36" i="3"/>
  <c r="D39" i="3"/>
  <c r="D38" i="3"/>
  <c r="C64" i="4"/>
  <c r="D64" i="4" s="1"/>
  <c r="C67" i="4"/>
  <c r="D67" i="4" s="1"/>
  <c r="C63" i="4"/>
  <c r="D63" i="4" s="1"/>
  <c r="C65" i="4"/>
  <c r="D65" i="4" s="1"/>
  <c r="C66" i="4"/>
  <c r="D66" i="4" s="1"/>
  <c r="F13" i="5"/>
  <c r="F14" i="5" s="1"/>
  <c r="F18" i="5" s="1"/>
  <c r="F19" i="5" s="1"/>
  <c r="E44" i="3" s="1"/>
  <c r="F15" i="5"/>
  <c r="F16" i="5" s="1"/>
  <c r="F42" i="3"/>
  <c r="F34" i="3"/>
  <c r="G10" i="5" s="1"/>
  <c r="F35" i="3"/>
  <c r="G33" i="3"/>
  <c r="F37" i="3"/>
  <c r="G9" i="5"/>
  <c r="G12" i="5" s="1"/>
  <c r="E39" i="3"/>
  <c r="E38" i="3"/>
  <c r="E36" i="3"/>
  <c r="F38" i="3" l="1"/>
  <c r="F36" i="3"/>
  <c r="F39" i="3"/>
  <c r="G13" i="5"/>
  <c r="G15" i="5"/>
  <c r="G16" i="5" s="1"/>
  <c r="G14" i="5"/>
  <c r="E40" i="3"/>
  <c r="E41" i="3" s="1"/>
  <c r="E45" i="3" s="1"/>
  <c r="E47" i="3" s="1"/>
  <c r="D40" i="3"/>
  <c r="D41" i="3" s="1"/>
  <c r="D45" i="3" s="1"/>
  <c r="G37" i="3"/>
  <c r="C16" i="4"/>
  <c r="C28" i="4" s="1"/>
  <c r="H9" i="5"/>
  <c r="H12" i="5" s="1"/>
  <c r="G42" i="3"/>
  <c r="G34" i="3"/>
  <c r="H10" i="5" s="1"/>
  <c r="G18" i="5" l="1"/>
  <c r="G19" i="5" s="1"/>
  <c r="F44" i="3" s="1"/>
  <c r="F40" i="3"/>
  <c r="F41" i="3" s="1"/>
  <c r="F45" i="3" s="1"/>
  <c r="C72" i="4"/>
  <c r="C73" i="4"/>
  <c r="D47" i="3"/>
  <c r="H15" i="5"/>
  <c r="H16" i="5" s="1"/>
  <c r="H13" i="5"/>
  <c r="H14" i="5" s="1"/>
  <c r="H18" i="5" s="1"/>
  <c r="H19" i="5" s="1"/>
  <c r="G44" i="3" s="1"/>
  <c r="G35" i="3"/>
  <c r="F47" i="3" l="1"/>
  <c r="G38" i="3"/>
  <c r="G36" i="3"/>
  <c r="G39" i="3"/>
  <c r="C59" i="3" l="1"/>
  <c r="C60" i="3" s="1"/>
  <c r="C61" i="3" s="1"/>
  <c r="G40" i="3"/>
  <c r="G41" i="3" s="1"/>
  <c r="G45" i="3" s="1"/>
  <c r="G47" i="3" l="1"/>
  <c r="C50" i="3" s="1"/>
  <c r="C51" i="3"/>
  <c r="C52" i="3" s="1"/>
  <c r="F10" i="7"/>
  <c r="I23" i="7"/>
  <c r="F13" i="7"/>
  <c r="E18" i="7"/>
  <c r="C18" i="7"/>
  <c r="G24" i="7"/>
  <c r="D10" i="7"/>
  <c r="I12" i="7"/>
  <c r="F22" i="7"/>
  <c r="H19" i="7"/>
  <c r="G21" i="7"/>
  <c r="G11" i="7"/>
  <c r="E22" i="7"/>
  <c r="I20" i="7"/>
  <c r="C24" i="7"/>
  <c r="G18" i="7"/>
  <c r="G13" i="7"/>
  <c r="D19" i="7"/>
  <c r="G10" i="7"/>
  <c r="H10" i="7"/>
  <c r="I24" i="7"/>
  <c r="F20" i="7"/>
  <c r="G22" i="7"/>
  <c r="D13" i="7"/>
  <c r="E21" i="7"/>
  <c r="E7" i="7"/>
  <c r="I7" i="7"/>
  <c r="G20" i="7"/>
  <c r="F24" i="7"/>
  <c r="C7" i="7"/>
  <c r="F7" i="7"/>
  <c r="C10" i="7"/>
  <c r="G7" i="7"/>
  <c r="C23" i="7"/>
  <c r="H11" i="7"/>
  <c r="H13" i="7"/>
  <c r="C9" i="7"/>
  <c r="G8" i="7"/>
  <c r="E12" i="7"/>
  <c r="D20" i="7"/>
  <c r="D11" i="7"/>
  <c r="C19" i="7"/>
  <c r="H20" i="7"/>
  <c r="E24" i="7"/>
  <c r="H9" i="7"/>
  <c r="I9" i="7"/>
  <c r="I13" i="7"/>
  <c r="H7" i="7"/>
  <c r="G19" i="7"/>
  <c r="G23" i="7"/>
  <c r="I19" i="7"/>
  <c r="I11" i="7"/>
  <c r="E10" i="7"/>
  <c r="H21" i="7"/>
  <c r="F23" i="7"/>
  <c r="F9" i="7"/>
  <c r="F8" i="7"/>
  <c r="C8" i="7"/>
  <c r="D23" i="7"/>
  <c r="E19" i="7"/>
  <c r="E20" i="7"/>
  <c r="I21" i="7"/>
  <c r="I18" i="7"/>
  <c r="E9" i="7"/>
  <c r="D9" i="7"/>
  <c r="H23" i="7"/>
  <c r="D22" i="7"/>
  <c r="H18" i="7"/>
  <c r="H22" i="7"/>
  <c r="C13" i="7"/>
  <c r="C11" i="7"/>
  <c r="E13" i="7"/>
  <c r="D12" i="7"/>
  <c r="C20" i="7"/>
  <c r="F21" i="7"/>
  <c r="D18" i="7"/>
  <c r="F18" i="7"/>
  <c r="F12" i="7"/>
  <c r="I22" i="7"/>
  <c r="D8" i="7"/>
  <c r="D24" i="7"/>
  <c r="C22" i="7"/>
  <c r="F19" i="7"/>
  <c r="F11" i="7"/>
  <c r="I8" i="7"/>
  <c r="E11" i="7"/>
  <c r="C12" i="7"/>
  <c r="H12" i="7"/>
  <c r="G9" i="7"/>
  <c r="E8" i="7"/>
  <c r="H24" i="7"/>
  <c r="D7" i="7"/>
  <c r="D21" i="7"/>
  <c r="I10" i="7"/>
  <c r="C21" i="7"/>
  <c r="H8" i="7"/>
  <c r="E23" i="7"/>
  <c r="G12" i="7"/>
  <c r="C58" i="3" l="1"/>
  <c r="C62" i="3" s="1"/>
  <c r="C53" i="3"/>
  <c r="C16" i="1" l="1"/>
  <c r="C17" i="4"/>
  <c r="C54" i="3"/>
  <c r="C55" i="3" s="1"/>
  <c r="C63" i="3"/>
  <c r="C64" i="3" s="1"/>
  <c r="C17" i="1" s="1"/>
  <c r="D17" i="1" s="1"/>
  <c r="C19" i="4" l="1"/>
  <c r="C20" i="4" s="1"/>
  <c r="B79" i="4" s="1"/>
  <c r="C21" i="1"/>
  <c r="C10" i="1"/>
  <c r="C12" i="1" s="1"/>
  <c r="C11" i="1" s="1"/>
  <c r="D16" i="1"/>
</calcChain>
</file>

<file path=xl/sharedStrings.xml><?xml version="1.0" encoding="utf-8"?>
<sst xmlns="http://schemas.openxmlformats.org/spreadsheetml/2006/main" count="445" uniqueCount="361">
  <si>
    <t>DISCLAIMER: This is a sample analysis for demonstration purposes only. It does not constitute investment advice.</t>
  </si>
  <si>
    <t>セコム (9735.T)</t>
  </si>
  <si>
    <t>Equity Research Report</t>
  </si>
  <si>
    <t>Company</t>
  </si>
  <si>
    <t>セコム</t>
  </si>
  <si>
    <t>Ticker</t>
  </si>
  <si>
    <t>9735.T (TSE Prime)</t>
  </si>
  <si>
    <t>Sector</t>
  </si>
  <si>
    <t>サービス業</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</si>
  <si>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</si>
  <si>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</si>
  <si>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</si>
  <si>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</si>
  <si>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</si>
  <si>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</si>
  <si>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</si>
  <si>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</si>
  <si>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</si>
  <si>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</si>
  <si>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</si>
  <si>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</si>
  <si>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</si>
  <si>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</si>
  <si>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</si>
  <si>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1. [Edit] Describe key competitive advantage</t>
  </si>
  <si>
    <t>2. [Edit] Describe growth driver</t>
  </si>
  <si>
    <t>3. [Edit] Describe margin expansion opportunity</t>
  </si>
  <si>
    <t>Key Risks</t>
  </si>
  <si>
    <t>1. [Edit] Describe primary risk factor</t>
  </si>
  <si>
    <t>2. [Edit] Describe secondary risk factor</t>
  </si>
  <si>
    <t>3. [Edit] Describe tertiary risk factor</t>
  </si>
  <si>
    <t>セコム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</si>
  <si>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</si>
  <si>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</si>
  <si>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</si>
  <si>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</si>
  <si>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</si>
  <si>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</si>
  <si>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</si>
  <si>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</si>
  <si>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</si>
  <si>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</si>
  <si>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</si>
  <si>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</si>
  <si>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</si>
  <si>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</si>
  <si>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</si>
  <si>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</si>
  <si>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</si>
  <si>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</si>
  <si>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</si>
  <si>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</si>
  <si>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</si>
  <si>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</si>
  <si>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</si>
  <si>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</si>
  <si>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</si>
  <si>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</si>
  <si>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</si>
  <si>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4/4 — blank cells are years with no year-key match in the source data (verify against 決算短信 or set hist_ocf / hist_cash / hist_debt in overrides).</t>
  </si>
  <si>
    <t>DCF Valuation Model - セコム</t>
  </si>
  <si>
    <t>Assumptions</t>
  </si>
  <si>
    <t>Capex / Revenue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</si>
  <si>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</si>
  <si>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</si>
  <si>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</si>
  <si>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</si>
  <si>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</si>
  <si>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</si>
  <si>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</si>
  <si>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</si>
  <si>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</si>
  <si>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</si>
  <si>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</si>
  <si>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</si>
  <si>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</si>
  <si>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</si>
  <si>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</si>
  <si>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</si>
  <si>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</si>
  <si>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</si>
  <si>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</si>
  <si>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</si>
  <si>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</si>
  <si>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</si>
  <si>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</si>
  <si>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</si>
  <si>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</si>
  <si>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</si>
  <si>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</si>
  <si>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</si>
  <si>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</si>
  <si>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</si>
  <si>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</si>
  <si>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</si>
  <si>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</si>
  <si>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</si>
  <si>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</si>
  <si>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</si>
  <si>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</si>
  <si>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</si>
  <si>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</si>
  <si>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</si>
  <si>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</si>
  <si>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</si>
  <si>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</si>
  <si>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</si>
  <si>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</si>
  <si>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</si>
  <si>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</si>
  <si>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</si>
  <si>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</si>
  <si>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</si>
  <si>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</si>
  <si>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</si>
  <si>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</si>
  <si>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</si>
  <si>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</si>
  <si>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</si>
  <si>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</si>
  <si>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</si>
  <si>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</si>
  <si>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</si>
  <si>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</si>
  <si>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</si>
  <si>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セコム (9735.T)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</si>
  <si>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</si>
  <si>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</si>
  <si>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</si>
  <si>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</si>
  <si>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</si>
  <si>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</si>
  <si>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</si>
  <si>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</si>
  <si>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</si>
  <si>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(FY2026 actual)</t>
  </si>
  <si>
    <t>Terminal-year Revenue, active scenario (JPY mn)</t>
  </si>
  <si>
    <t>Base-case DCF Enterprise Value, PGM (JPY mn)</t>
  </si>
  <si>
    <t>Cycle-peak Operating Margin (FY2026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</si>
  <si>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</si>
  <si>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</si>
  <si>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</si>
  <si>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</si>
  <si>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</si>
  <si>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</si>
  <si>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FY2026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</si>
  <si>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</si>
  <si>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</si>
  <si>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</si>
  <si>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</si>
  <si>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</si>
  <si>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</si>
  <si>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</si>
  <si>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</si>
  <si>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</si>
  <si>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</si>
  <si>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</si>
  <si>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</si>
  <si>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</si>
  <si>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</si>
  <si>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</si>
  <si>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FY2026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</si>
  <si>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</si>
  <si>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</si>
  <si>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</si>
  <si>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</si>
  <si>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</si>
  <si>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</si>
  <si>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(FY2026)</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</si>
  <si>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</si>
  <si>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</si>
  <si>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</si>
  <si>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</si>
  <si>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</si>
  <si>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</si>
  <si>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</si>
  <si>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</si>
  <si>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セコム</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</si>
  <si>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</si>
  <si>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</si>
  <si>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</si>
  <si>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</si>
  <si>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</si>
  <si>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</si>
  <si>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</si>
  <si>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</si>
  <si>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</si>
  <si>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</si>
  <si>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</si>
  <si>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</si>
  <si>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</si>
  <si>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</si>
  <si>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</si>
  <si>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</si>
  <si>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</si>
  <si>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</si>
  <si>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</si>
  <si>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</si>
  <si>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</si>
  <si>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</si>
  <si>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</si>
  <si>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</si>
  <si>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</si>
  <si>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</si>
  <si>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</si>
  <si>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</si>
  <si>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</si>
  <si>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</si>
  <si>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</si>
  <si>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</si>
  <si>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</si>
  <si>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</si>
  <si>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SECOM CO., LTD.</t>
  </si>
  <si>
    <t>9735.T</t>
  </si>
  <si>
    <t>Alsok Co.,Ltd.</t>
  </si>
  <si>
    <t>2331.T</t>
  </si>
  <si>
    <t>Nomura Research Institute, Ltd.</t>
  </si>
  <si>
    <t>4307.T</t>
  </si>
  <si>
    <t>OBIC Co.,Ltd.</t>
  </si>
  <si>
    <t>4684.T</t>
  </si>
  <si>
    <t>TISI Inc.</t>
  </si>
  <si>
    <t>3626.T</t>
  </si>
  <si>
    <t>MEITEC Group Holdings Inc.</t>
  </si>
  <si>
    <t>9744.T</t>
  </si>
  <si>
    <t>Statistics</t>
  </si>
  <si>
    <t>25th Percentile</t>
  </si>
  <si>
    <t>Median (50th)</t>
  </si>
  <si>
    <t>75th Percentile</t>
  </si>
  <si>
    <t>Implied Valuation for セコム</t>
  </si>
  <si>
    <t>セコム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</si>
  <si>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</si>
  <si>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</si>
  <si>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</si>
  <si>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</si>
  <si>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</si>
  <si>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</si>
  <si>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</si>
  <si>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</si>
  <si>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</si>
  <si>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</si>
  <si>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</si>
  <si>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</si>
  <si>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</si>
  <si>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</si>
  <si>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</si>
  <si>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セコム</t>
  </si>
  <si>
    <t>日付</t>
  </si>
  <si>
    <t>セル</t>
  </si>
  <si>
    <t>変更内容</t>
  </si>
  <si>
    <t>理由</t>
  </si>
  <si>
    <t>元の値</t>
  </si>
  <si>
    <t>状態</t>
  </si>
  <si>
    <t>2026-09-06</t>
  </si>
  <si>
    <t>-</t>
  </si>
  <si>
    <t>Generated by pipeline on 2026-09-06 19:35, template rev 63983ab</t>
  </si>
  <si>
    <t>初期生成（手修正なし）</t>
  </si>
  <si>
    <t>generated</t>
  </si>
  <si>
    <t>DCF Model!C11</t>
  </si>
  <si>
    <t>After-tax Cost of Debt = 1.57% (実績ベース)</t>
  </si>
  <si>
    <t>実績Kd = 支払利息1,478 ÷ 平均有利子負債70,423(期首72,344/期末68,502、debt_beginning/debt_ending) = 税引前2.10% × (1−25.0%) = 1.57%。【マージナルコスト注記】これは既存借入の実績平均コストであり、新規調達の限界コストではない。テンプレ既定(税引前2.8% = 税引後1.00%)は10年JGB+スプレッドの推定値で、金利上昇局面での借換え・増額調達には既定値に近い水準を当てるべき。WACCは実績Kd採用で低下する（＝保守的でない方向）</t>
  </si>
  <si>
    <t>テンプレ既定/overrides 1.00%(税引後)</t>
  </si>
  <si>
    <t>確定(実績)</t>
  </si>
  <si>
    <t>DCF Model!C8</t>
  </si>
  <si>
    <t>Beta = 0.521（採用値）</t>
  </si>
  <si>
    <t>実測β(raw) = 0.285 → Blume調整 0.67×raw + 0.33×1.00 = 0.521 → 採用 0.521。クランプ域 [0.3, 2.0] の内側。置換なし。回帰βは平均回帰するため Blume 調整を既定とする（2026-09-05 バッチで85件中57件が旧下限 0.60 に張り付き、両裾の歪みが実証された）。</t>
  </si>
  <si>
    <t>実測 0.285</t>
  </si>
  <si>
    <t>確定</t>
  </si>
  <si>
    <t>Pipeline Metadata (do not edit — read by scripts/validate_output.py)</t>
  </si>
  <si>
    <t>key</t>
  </si>
  <si>
    <t>value</t>
  </si>
  <si>
    <t>auto_log_entries</t>
  </si>
  <si>
    <t>2</t>
  </si>
  <si>
    <t>beta_adopted_c8</t>
  </si>
  <si>
    <t>0.5213</t>
  </si>
  <si>
    <t>beta_basis</t>
  </si>
  <si>
    <t>Blume: 0.67 x 0.285 + 0.33 x 1.00 = 0.521</t>
  </si>
  <si>
    <t>beta_blume_adjusted</t>
  </si>
  <si>
    <t>beta_clamped</t>
  </si>
  <si>
    <t>no</t>
  </si>
  <si>
    <t>beta_raw</t>
  </si>
  <si>
    <t>0.2855</t>
  </si>
  <si>
    <t>capex_pct_basis</t>
  </si>
  <si>
    <t>explicit_override</t>
  </si>
  <si>
    <t>capex_pct_c5</t>
  </si>
  <si>
    <t>0.06741</t>
  </si>
  <si>
    <t>capex_pct_hist3yr</t>
  </si>
  <si>
    <t>0.063699</t>
  </si>
  <si>
    <t>company_name</t>
  </si>
  <si>
    <t>comps_asof</t>
  </si>
  <si>
    <t>comps_da_missing</t>
  </si>
  <si>
    <t>none</t>
  </si>
  <si>
    <t>comps_ebitda_excluded</t>
  </si>
  <si>
    <t>comps_ev_ebitda_invalid</t>
  </si>
  <si>
    <t>comps_ev_ebitda_rows</t>
  </si>
  <si>
    <t>6,7,8,9,10</t>
  </si>
  <si>
    <t>comps_impl_mult_row</t>
  </si>
  <si>
    <t>27</t>
  </si>
  <si>
    <t>comps_impl_per_row</t>
  </si>
  <si>
    <t>28</t>
  </si>
  <si>
    <t>comps_peer_rows</t>
  </si>
  <si>
    <t>comps_per_excluded</t>
  </si>
  <si>
    <t>comps_stale_excluded</t>
  </si>
  <si>
    <t>comps_stat_median_row</t>
  </si>
  <si>
    <t>16</t>
  </si>
  <si>
    <t>comps_subject_row</t>
  </si>
  <si>
    <t>5</t>
  </si>
  <si>
    <t>core_ebitda</t>
  </si>
  <si>
    <t>241049.0</t>
  </si>
  <si>
    <t>core_net_income</t>
  </si>
  <si>
    <t>112662.0</t>
  </si>
  <si>
    <t>cost_of_debt_actual</t>
  </si>
  <si>
    <t>interest 1,478 (expense 1,478 + fees 0) / avg debt 70,423 (debt_beginning/debt_ending) = 0.020987 pre-tax -&gt; 0.015700 after-tax</t>
  </si>
  <si>
    <t>cost_of_debt_at_c11</t>
  </si>
  <si>
    <t>0.0157</t>
  </si>
  <si>
    <t>cost_of_debt_avg_debt</t>
  </si>
  <si>
    <t>70423.0</t>
  </si>
  <si>
    <t>cost_of_debt_basis</t>
  </si>
  <si>
    <t>actual</t>
  </si>
  <si>
    <t>cost_of_debt_interest</t>
  </si>
  <si>
    <t>1478.0</t>
  </si>
  <si>
    <t>cost_of_debt_pretax</t>
  </si>
  <si>
    <t>0.020987461482754214</t>
  </si>
  <si>
    <t>da_pct_basis</t>
  </si>
  <si>
    <t>da_pct_c18</t>
  </si>
  <si>
    <t>0.0642</t>
  </si>
  <si>
    <t>da_pct_hist3yr</t>
  </si>
  <si>
    <t>0.058037</t>
  </si>
  <si>
    <t>fs_year_coverage</t>
  </si>
  <si>
    <t>OCF 4/4, Cash 4/4, Debt 4/4</t>
  </si>
  <si>
    <t>fs_year_map</t>
  </si>
  <si>
    <t>FY2023&lt;-FY2023[ocf+cash+debt]; FY2024&lt;-FY2024[ocf+cash+debt]; FY2025&lt;-FY2025[ocf+cash+debt]; FY2026&lt;-FY2026[ocf+cash+debt]</t>
  </si>
  <si>
    <t>fs_year_sources</t>
  </si>
  <si>
    <t>overrides: none | EDINET year-key match: hist_ocf, hist_cash, hist_debt, hist_capex, hist_depreciation</t>
  </si>
  <si>
    <t>fx_sensitivity</t>
  </si>
  <si>
    <t>not enabled</t>
  </si>
  <si>
    <t>generated_at</t>
  </si>
  <si>
    <t>2026-09-06 19:35:36</t>
  </si>
  <si>
    <t>guidance_note</t>
  </si>
  <si>
    <t>TDnet 決算短信 via screener guidance table: FY2027 disclosed 2026-08-07 (net_income=105,800mn, operating_income=165,500mn, revenue=1,313,500mn)</t>
  </si>
  <si>
    <t>guidance_source</t>
  </si>
  <si>
    <t>tdnet_screener_db</t>
  </si>
  <si>
    <t>latest_operating_income</t>
  </si>
  <si>
    <t>160340.0</t>
  </si>
  <si>
    <t>ltm_revenue_c20</t>
  </si>
  <si>
    <t>1256896.0</t>
  </si>
  <si>
    <t>ltm_revenue_source</t>
  </si>
  <si>
    <t>latest FY (no LTM)</t>
  </si>
  <si>
    <t>market_data_source</t>
  </si>
  <si>
    <t>yfinance; from overrides: beta, current_price, shares_outstanding</t>
  </si>
  <si>
    <t>narrative_tokens_used</t>
  </si>
  <si>
    <t>net_debt_source</t>
  </si>
  <si>
    <t>EDINET net_debt</t>
  </si>
  <si>
    <t>reverse_dcf_sheet</t>
  </si>
  <si>
    <t>op0=160,340(FY2026) peak=160,340(FY2026) peak_opm=0.1276 N=3/5/7/10</t>
  </si>
  <si>
    <t>scenario_index_range</t>
  </si>
  <si>
    <t>B69:B73</t>
  </si>
  <si>
    <t>tax_rate_c6</t>
  </si>
  <si>
    <t>0.25</t>
  </si>
  <si>
    <t>template_rev</t>
  </si>
  <si>
    <t>63983ab</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</si>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</sst>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9"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x14ac:dyDescent="0.3">
      <c r="B1" s="45" t="s">
        <v>0</v>
      </c>
      <c r="C1" s="44"/>
      <c r="D1" s="44"/>
      <c r="E1" s="44"/>
    </row>
    <row r="3" spans="2:5" ht="18" x14ac:dyDescent="0.4">
      <c r="B3" s="43" t="s">
        <v>1</v>
      </c>
      <c r="C3" s="44"/>
      <c r="D3" s="44"/>
    </row>
    <row r="4" spans="2:5" ht="14" x14ac:dyDescent="0.3">
      <c r="B4" s="3" t="s">
        <v>2</v>
      </c>
    </row>
    <row r="6" spans="2:5" ht="14" x14ac:dyDescent="0.3">
      <c r="B6" s="4" t="s">
        <v>3</v>
      </c>
      <c r="C6" t="s">
        <v>4</v>
      </c>
    </row>
    <row r="7" spans="2:5" ht="14" x14ac:dyDescent="0.3">
      <c r="B7" s="4" t="s">
        <v>5</v>
      </c>
      <c r="C7" t="s">
        <v>6</v>
      </c>
    </row>
    <row r="8" spans="2:5" ht="14" x14ac:dyDescent="0.3">
      <c r="B8" s="4" t="s">
        <v>7</v>
      </c>
      <c r="C8" t="s">
        <v>8</v>
      </c>
    </row>
    <row r="9" spans="2:5" ht="14" x14ac:dyDescent="0.3">
      <c r="B9" s="4" t="s">
        <v>9</v>
      </c>
      <c r="C9" s="5">
        <v>6401</v>
      </c>
    </row>
    <row r="10" spans="2:5" ht="14" x14ac:dyDescent="0.3">
      <c r="B10" s="4" t="s">
        <v>10</v>
      </c>
      <c r="C10" s="5">
        <f>IF(COUNT(C16:C17)=0,"N/A",ROUND(AVERAGE(C16:C17),0))</f>
        <v>6602</v>
      </c>
    </row>
    <row r="11" spans="2:5" ht="14" x14ac:dyDescent="0.3">
      <c r="B11" s="4" t="s">
        <v>11</v>
      </c>
      <c r="C11" s="6" t="str">
        <f>IF(NOT(ISNUMBER(C12)),"N/A",IF(C12&gt;0.15,"BUY",IF(C12&gt;0.05,"HOLD","SELL")))</f>
        <v>SELL</v>
      </c>
    </row>
    <row r="12" spans="2:5" ht="14" x14ac:dyDescent="0.3">
      <c r="B12" s="4" t="s">
        <v>12</v>
      </c>
      <c r="C12" s="7">
        <f>IF(ISNUMBER(C10),(C10-C9)/C9,"N/A")</f>
        <v>3.140134354007186E-2</v>
      </c>
    </row>
    <row r="14" spans="2:5" ht="14" x14ac:dyDescent="0.3">
      <c r="B14" s="8" t="s">
        <v>13</v>
      </c>
      <c r="C14" s="9"/>
      <c r="D14" s="9"/>
    </row>
    <row r="15" spans="2:5" ht="14" x14ac:dyDescent="0.3">
      <c r="B15" s="10" t="s">
        <v>14</v>
      </c>
      <c r="C15" s="10" t="s">
        <v>15</v>
      </c>
      <c r="D15" s="10" t="s">
        <v>16</v>
      </c>
    </row>
    <row r="16" spans="2:5" ht="13.5" x14ac:dyDescent="0.25">
      <c r="B16" t="s">
        <v>17</v>
      </c>
      <c r="C16" s="11">
        <f>IF('DCF Model'!C53&lt;'DCF Model'!C16,"INVALID (EV &lt; net debt)",'DCF Model'!C55)</f>
        <v>5930</v>
      </c>
      <c r="D16" s="7">
        <f>IF(ISNUMBER(C16),(C16-C9)/C9,"N/A")</f>
        <v>-7.3582252773004217E-2</v>
      </c>
    </row>
    <row r="17" spans="2:5" ht="13.5" x14ac:dyDescent="0.25">
      <c r="B17" t="s">
        <v>18</v>
      </c>
      <c r="C17" s="11">
        <f>IF('DCF Model'!C62&lt;'DCF Model'!C16,"INVALID (EV &lt; net debt)",'DCF Model'!C64)</f>
        <v>7274</v>
      </c>
      <c r="D17" s="7">
        <f>IF(ISNUMBER(C17),(C17-C9)/C9,"N/A")</f>
        <v>0.13638493985314795</v>
      </c>
    </row>
    <row r="18" spans="2:5" ht="13.5" x14ac:dyDescent="0.25">
      <c r="B18" t="s">
        <v>19</v>
      </c>
      <c r="C18" s="11">
        <f>'Comps Analysis'!C27</f>
        <v>7338</v>
      </c>
      <c r="D18" s="7">
        <f>IF(ISNUMBER(C18),(C18-C9)/C9,"N/A")</f>
        <v>0.14638337759725042</v>
      </c>
    </row>
    <row r="19" spans="2:5" ht="13.5" x14ac:dyDescent="0.25">
      <c r="B19" t="s">
        <v>20</v>
      </c>
      <c r="C19" s="11">
        <f>'Comps Analysis'!C28</f>
        <v>5140</v>
      </c>
      <c r="D19" s="7">
        <f>IF(ISNUMBER(C19),(C19-C9)/C9,"N/A")</f>
        <v>-0.19700046867676926</v>
      </c>
    </row>
    <row r="20" spans="2:5" ht="14" x14ac:dyDescent="0.3">
      <c r="B20" s="45" t="s">
        <v>21</v>
      </c>
      <c r="C20" s="44"/>
      <c r="D20" s="44"/>
      <c r="E20" s="44"/>
    </row>
    <row r="21" spans="2:5" ht="14" x14ac:dyDescent="0.3">
      <c r="B21" s="4" t="s">
        <v>22</v>
      </c>
      <c r="C21" s="6" t="str">
        <f>IF(COUNT(C16:C17)=0,"N/A",MIN(C16:C17)&amp;" - "&amp;MAX(C16:C17))</f>
        <v>5930 - 7274</v>
      </c>
    </row>
    <row r="23" spans="2:5" ht="14" x14ac:dyDescent="0.3">
      <c r="B23" s="8" t="s">
        <v>23</v>
      </c>
      <c r="C23" s="9"/>
      <c r="D23" s="9"/>
    </row>
    <row r="24" spans="2:5" x14ac:dyDescent="0.2">
      <c r="B24" t="s">
        <v>24</v>
      </c>
    </row>
    <row r="25" spans="2:5" x14ac:dyDescent="0.2">
      <c r="B25" t="s">
        <v>25</v>
      </c>
    </row>
    <row r="26" spans="2:5" x14ac:dyDescent="0.2">
      <c r="B26" t="s">
        <v>26</v>
      </c>
    </row>
    <row r="28" spans="2:5" ht="14" x14ac:dyDescent="0.3">
      <c r="B28" s="8" t="s">
        <v>27</v>
      </c>
      <c r="C28" s="9"/>
      <c r="D28" s="9"/>
    </row>
    <row r="29" spans="2:5" x14ac:dyDescent="0.2">
      <c r="B29" t="s">
        <v>28</v>
      </c>
    </row>
    <row r="30" spans="2:5" x14ac:dyDescent="0.2">
      <c r="B30" t="s">
        <v>29</v>
      </c>
    </row>
    <row r="31" spans="2:5" x14ac:dyDescent="0.2">
      <c r="B31" t="s">
        <v>30</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x14ac:dyDescent="0.4">
      <c r="B2" s="2" t="s">
        <v>31</v>
      </c>
    </row>
    <row r="4" spans="2:6" ht="14" x14ac:dyDescent="0.3">
      <c r="C4" s="10" t="s">
        <v>32</v>
      </c>
      <c r="D4" s="10" t="s">
        <v>33</v>
      </c>
      <c r="E4" s="10" t="s">
        <v>34</v>
      </c>
      <c r="F4" s="10" t="s">
        <v>35</v>
      </c>
    </row>
    <row r="5" spans="2:6" ht="14" x14ac:dyDescent="0.3">
      <c r="B5" s="3" t="s">
        <v>36</v>
      </c>
    </row>
    <row r="6" spans="2:6" ht="14" x14ac:dyDescent="0.3">
      <c r="B6" s="4" t="s">
        <v>37</v>
      </c>
      <c r="C6" s="5">
        <v>1101307</v>
      </c>
      <c r="D6" s="5">
        <v>1154740</v>
      </c>
      <c r="E6" s="5">
        <v>1199942</v>
      </c>
      <c r="F6" s="5">
        <v>1256896</v>
      </c>
    </row>
    <row r="7" spans="2:6" ht="14" x14ac:dyDescent="0.3">
      <c r="B7" s="4" t="s">
        <v>38</v>
      </c>
      <c r="C7" s="5">
        <v>758850</v>
      </c>
      <c r="D7" s="5">
        <v>797456</v>
      </c>
      <c r="E7" s="5">
        <v>828789</v>
      </c>
      <c r="F7" s="5">
        <v>858093</v>
      </c>
    </row>
    <row r="8" spans="2:6" ht="14" x14ac:dyDescent="0.3">
      <c r="B8" s="4" t="s">
        <v>39</v>
      </c>
      <c r="C8" s="5">
        <f>C6-C7</f>
        <v>342457</v>
      </c>
      <c r="D8" s="5">
        <f>D6-D7</f>
        <v>357284</v>
      </c>
      <c r="E8" s="5">
        <f>E6-E7</f>
        <v>371153</v>
      </c>
      <c r="F8" s="5">
        <f>F6-F7</f>
        <v>398803</v>
      </c>
    </row>
    <row r="9" spans="2:6" ht="13.5" x14ac:dyDescent="0.25">
      <c r="B9" t="s">
        <v>40</v>
      </c>
      <c r="C9" s="7">
        <f>C8/C6</f>
        <v>0.31095507428900387</v>
      </c>
      <c r="D9" s="7">
        <f>D8/D6</f>
        <v>0.30940644647279908</v>
      </c>
      <c r="E9" s="7">
        <f>E8/E6</f>
        <v>0.3093091166073027</v>
      </c>
      <c r="F9" s="7">
        <f>F8/F6</f>
        <v>0.31729196369468915</v>
      </c>
    </row>
    <row r="10" spans="2:6" ht="14" x14ac:dyDescent="0.3">
      <c r="B10" s="4" t="s">
        <v>41</v>
      </c>
      <c r="C10" s="5">
        <v>205751</v>
      </c>
      <c r="D10" s="5">
        <v>216617</v>
      </c>
      <c r="E10" s="5">
        <v>226847</v>
      </c>
      <c r="F10" s="5">
        <v>238463</v>
      </c>
    </row>
    <row r="11" spans="2:6" ht="14" x14ac:dyDescent="0.3">
      <c r="B11" s="4" t="s">
        <v>42</v>
      </c>
      <c r="C11" s="5">
        <v>136706</v>
      </c>
      <c r="D11" s="5">
        <v>140667</v>
      </c>
      <c r="E11" s="5">
        <v>144306</v>
      </c>
      <c r="F11" s="5">
        <v>160340</v>
      </c>
    </row>
    <row r="12" spans="2:6" ht="14" x14ac:dyDescent="0.3">
      <c r="B12" s="4" t="s">
        <v>43</v>
      </c>
      <c r="C12" s="5">
        <v>96085</v>
      </c>
      <c r="D12" s="5">
        <v>101951</v>
      </c>
      <c r="E12" s="5">
        <v>108109</v>
      </c>
      <c r="F12" s="5">
        <v>112662</v>
      </c>
    </row>
    <row r="13" spans="2:6" ht="13.5" x14ac:dyDescent="0.25">
      <c r="B13" t="s">
        <v>44</v>
      </c>
      <c r="C13" s="7">
        <f>C11/C6</f>
        <v>0.12413069198688467</v>
      </c>
      <c r="D13" s="7">
        <f>D11/D6</f>
        <v>0.12181703240556316</v>
      </c>
      <c r="E13" s="7">
        <f>E11/E6</f>
        <v>0.12026081260594262</v>
      </c>
      <c r="F13" s="7">
        <f>F11/F6</f>
        <v>0.12756823158001934</v>
      </c>
    </row>
    <row r="14" spans="2:6" ht="13.5" x14ac:dyDescent="0.25">
      <c r="B14" t="s">
        <v>45</v>
      </c>
      <c r="C14" s="7">
        <f>C12/C6</f>
        <v>8.7246335490467231E-2</v>
      </c>
      <c r="D14" s="7">
        <f>D12/D6</f>
        <v>8.8289138680568785E-2</v>
      </c>
      <c r="E14" s="7">
        <f>E12/E6</f>
        <v>9.0095187934083484E-2</v>
      </c>
      <c r="F14" s="7">
        <f>F12/F6</f>
        <v>8.9635101074392792E-2</v>
      </c>
    </row>
    <row r="15" spans="2:6" ht="13.5" x14ac:dyDescent="0.25">
      <c r="B15" t="s">
        <v>46</v>
      </c>
      <c r="C15" t="s">
        <v>47</v>
      </c>
      <c r="D15" s="7">
        <f>(D6-C6)/C6</f>
        <v>4.8517806569830207E-2</v>
      </c>
      <c r="E15" s="7">
        <f>(E6-D6)/D6</f>
        <v>3.9144742539446109E-2</v>
      </c>
      <c r="F15" s="7">
        <f>(F6-E6)/E6</f>
        <v>4.7463960758103309E-2</v>
      </c>
    </row>
    <row r="16" spans="2:6" ht="13.5" x14ac:dyDescent="0.25">
      <c r="B16" t="s">
        <v>48</v>
      </c>
      <c r="C16" t="s">
        <v>47</v>
      </c>
      <c r="D16" s="7">
        <f>(D11-C11)/C11</f>
        <v>2.8974587801559551E-2</v>
      </c>
      <c r="E16" s="7">
        <f>(E11-D11)/D11</f>
        <v>2.5869606944059376E-2</v>
      </c>
      <c r="F16" s="7">
        <f>(F11-E11)/E11</f>
        <v>0.1111111111111111</v>
      </c>
    </row>
    <row r="18" spans="2:6" ht="14" x14ac:dyDescent="0.3">
      <c r="B18" s="3" t="s">
        <v>49</v>
      </c>
    </row>
    <row r="19" spans="2:6" ht="14" x14ac:dyDescent="0.3">
      <c r="B19" s="4" t="s">
        <v>50</v>
      </c>
      <c r="C19" s="5">
        <v>146426</v>
      </c>
      <c r="D19" s="5">
        <v>165760</v>
      </c>
      <c r="E19" s="5">
        <v>167842</v>
      </c>
      <c r="F19" s="5">
        <v>203566</v>
      </c>
    </row>
    <row r="20" spans="2:6" ht="14" x14ac:dyDescent="0.3">
      <c r="B20" s="4" t="s">
        <v>51</v>
      </c>
      <c r="C20" s="5">
        <v>49779</v>
      </c>
      <c r="D20" s="5">
        <v>81289</v>
      </c>
      <c r="E20" s="5">
        <v>77542</v>
      </c>
      <c r="F20" s="5">
        <v>70488</v>
      </c>
    </row>
    <row r="21" spans="2:6" ht="14" x14ac:dyDescent="0.3">
      <c r="B21" s="4" t="s">
        <v>52</v>
      </c>
      <c r="C21" s="5">
        <f>C19-C20</f>
        <v>96647</v>
      </c>
      <c r="D21" s="5">
        <f>D19-D20</f>
        <v>84471</v>
      </c>
      <c r="E21" s="5">
        <f>E19-E20</f>
        <v>90300</v>
      </c>
      <c r="F21" s="5">
        <f>F19-F20</f>
        <v>133078</v>
      </c>
    </row>
    <row r="22" spans="2:6" ht="13.5" x14ac:dyDescent="0.25">
      <c r="B22" t="s">
        <v>53</v>
      </c>
      <c r="C22" s="7">
        <f>C21/C6</f>
        <v>8.7756638248916968E-2</v>
      </c>
      <c r="D22" s="7">
        <f>D21/D6</f>
        <v>7.3151531946585385E-2</v>
      </c>
      <c r="E22" s="7">
        <f>E21/E6</f>
        <v>7.5253637259134185E-2</v>
      </c>
      <c r="F22" s="7">
        <f>F21/F6</f>
        <v>0.10587829064616325</v>
      </c>
    </row>
    <row r="23" spans="2:6" ht="13.5" x14ac:dyDescent="0.25">
      <c r="B23" t="s">
        <v>54</v>
      </c>
      <c r="C23" s="7">
        <f>C20/C6</f>
        <v>4.5199930627881232E-2</v>
      </c>
      <c r="D23" s="7">
        <f>D20/D6</f>
        <v>7.0395933283682904E-2</v>
      </c>
      <c r="E23" s="7">
        <f>E20/E6</f>
        <v>6.4621456703740685E-2</v>
      </c>
      <c r="F23" s="7">
        <f>F20/F6</f>
        <v>5.6081012271500585E-2</v>
      </c>
    </row>
    <row r="25" spans="2:6" ht="14" x14ac:dyDescent="0.3">
      <c r="B25" s="3" t="s">
        <v>55</v>
      </c>
    </row>
    <row r="26" spans="2:6" ht="14" x14ac:dyDescent="0.3">
      <c r="B26" s="4" t="s">
        <v>56</v>
      </c>
      <c r="C26" s="5">
        <v>513592</v>
      </c>
      <c r="D26" s="5">
        <v>424173</v>
      </c>
      <c r="E26" s="5">
        <v>408773</v>
      </c>
      <c r="F26" s="5">
        <v>394981</v>
      </c>
    </row>
    <row r="27" spans="2:6" ht="14" x14ac:dyDescent="0.3">
      <c r="B27" s="4" t="s">
        <v>57</v>
      </c>
      <c r="C27" s="5">
        <v>44515</v>
      </c>
      <c r="D27" s="5">
        <v>40517</v>
      </c>
      <c r="E27" s="5">
        <v>44126</v>
      </c>
      <c r="F27" s="5">
        <v>40529</v>
      </c>
    </row>
    <row r="28" spans="2:6" ht="14" x14ac:dyDescent="0.3">
      <c r="B28" s="4" t="s">
        <v>58</v>
      </c>
      <c r="C28" s="5">
        <f>C27-C26</f>
        <v>-469077</v>
      </c>
      <c r="D28" s="5">
        <f>D27-D26</f>
        <v>-383656</v>
      </c>
      <c r="E28" s="5">
        <f>E27-E26</f>
        <v>-364647</v>
      </c>
      <c r="F28" s="5">
        <f>F27-F26</f>
        <v>-354452</v>
      </c>
    </row>
    <row r="30" spans="2:6" ht="14" x14ac:dyDescent="0.3">
      <c r="B30" s="1" t="s">
        <v>59</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x14ac:dyDescent="0.4">
      <c r="B2" s="2" t="s">
        <v>60</v>
      </c>
    </row>
    <row r="4" spans="2:7" ht="14" x14ac:dyDescent="0.3">
      <c r="B4" s="8" t="s">
        <v>61</v>
      </c>
      <c r="C4" s="9"/>
      <c r="D4" s="9"/>
      <c r="E4" s="9"/>
      <c r="F4" s="9"/>
      <c r="G4" s="9"/>
    </row>
    <row r="5" spans="2:7" ht="14" x14ac:dyDescent="0.3">
      <c r="B5" s="4" t="s">
        <v>62</v>
      </c>
      <c r="C5" s="7">
        <v>6.7409999999999998E-2</v>
      </c>
    </row>
    <row r="6" spans="2:7" ht="14" x14ac:dyDescent="0.3">
      <c r="B6" s="4" t="s">
        <v>63</v>
      </c>
      <c r="C6" s="7">
        <v>0.25</v>
      </c>
    </row>
    <row r="7" spans="2:7" ht="14" x14ac:dyDescent="0.3">
      <c r="B7" s="4" t="s">
        <v>64</v>
      </c>
      <c r="C7" s="7">
        <v>2.9700000000000001E-2</v>
      </c>
    </row>
    <row r="8" spans="2:7" ht="14" x14ac:dyDescent="0.3">
      <c r="B8" s="4" t="s">
        <v>65</v>
      </c>
      <c r="C8" s="12">
        <v>0.52129999999999999</v>
      </c>
    </row>
    <row r="9" spans="2:7" ht="14" x14ac:dyDescent="0.3">
      <c r="B9" s="4" t="s">
        <v>66</v>
      </c>
      <c r="C9" s="7">
        <v>6.5000000000000002E-2</v>
      </c>
    </row>
    <row r="10" spans="2:7" ht="14" x14ac:dyDescent="0.3">
      <c r="B10" s="4" t="s">
        <v>67</v>
      </c>
      <c r="C10" s="7">
        <v>0.01</v>
      </c>
    </row>
    <row r="11" spans="2:7" ht="14" x14ac:dyDescent="0.3">
      <c r="B11" s="4" t="s">
        <v>68</v>
      </c>
      <c r="C11" s="7">
        <v>1.5699999999999999E-2</v>
      </c>
    </row>
    <row r="12" spans="2:7" ht="14" x14ac:dyDescent="0.3">
      <c r="B12" s="4" t="s">
        <v>69</v>
      </c>
      <c r="C12" s="13">
        <v>0</v>
      </c>
    </row>
    <row r="13" spans="2:7" ht="14" x14ac:dyDescent="0.3">
      <c r="B13" s="4" t="s">
        <v>70</v>
      </c>
      <c r="C13" s="7">
        <v>0.01</v>
      </c>
    </row>
    <row r="14" spans="2:7" ht="14" x14ac:dyDescent="0.3">
      <c r="B14" s="4" t="s">
        <v>71</v>
      </c>
      <c r="C14" s="14">
        <v>10.199999999999999</v>
      </c>
    </row>
    <row r="15" spans="2:7" ht="14" x14ac:dyDescent="0.3">
      <c r="B15" s="4" t="s">
        <v>72</v>
      </c>
      <c r="C15" s="15">
        <v>398929240</v>
      </c>
    </row>
    <row r="16" spans="2:7" ht="14" x14ac:dyDescent="0.3">
      <c r="B16" s="4" t="s">
        <v>73</v>
      </c>
      <c r="C16" s="5">
        <v>-468720</v>
      </c>
    </row>
    <row r="17" spans="2:7" ht="14" x14ac:dyDescent="0.3">
      <c r="B17" s="4" t="s">
        <v>74</v>
      </c>
      <c r="C17" s="5">
        <v>1256896</v>
      </c>
    </row>
    <row r="18" spans="2:7" ht="14" x14ac:dyDescent="0.3">
      <c r="B18" s="4" t="s">
        <v>75</v>
      </c>
      <c r="C18" s="7">
        <v>6.4199999999999993E-2</v>
      </c>
    </row>
    <row r="19" spans="2:7" ht="14" x14ac:dyDescent="0.3">
      <c r="B19" s="4" t="s">
        <v>76</v>
      </c>
      <c r="C19" s="12">
        <v>1</v>
      </c>
    </row>
    <row r="20" spans="2:7" ht="14" x14ac:dyDescent="0.3">
      <c r="B20" s="4" t="s">
        <v>77</v>
      </c>
      <c r="C20" s="5">
        <v>1256896</v>
      </c>
    </row>
    <row r="22" spans="2:7" ht="14" x14ac:dyDescent="0.3">
      <c r="B22" s="8" t="s">
        <v>78</v>
      </c>
      <c r="C22" s="9"/>
      <c r="D22" s="9"/>
      <c r="E22" s="9"/>
      <c r="F22" s="9"/>
      <c r="G22" s="9"/>
    </row>
    <row r="23" spans="2:7" ht="14" x14ac:dyDescent="0.3">
      <c r="B23" s="4" t="s">
        <v>79</v>
      </c>
      <c r="C23" s="16">
        <f>C7+C8*C9+C10</f>
        <v>7.3584499999999997E-2</v>
      </c>
    </row>
    <row r="24" spans="2:7" ht="14" x14ac:dyDescent="0.3">
      <c r="B24" s="4" t="s">
        <v>80</v>
      </c>
      <c r="C24" s="16">
        <f>1/(1+C12)</f>
        <v>1</v>
      </c>
    </row>
    <row r="25" spans="2:7" ht="14" x14ac:dyDescent="0.3">
      <c r="B25" s="4" t="s">
        <v>81</v>
      </c>
      <c r="C25" s="16">
        <f>C12/(1+C12)</f>
        <v>0</v>
      </c>
    </row>
    <row r="26" spans="2:7" ht="14" x14ac:dyDescent="0.3">
      <c r="B26" s="4" t="s">
        <v>82</v>
      </c>
      <c r="C26" s="16">
        <f>C23*C24+C11*C25</f>
        <v>7.3584499999999997E-2</v>
      </c>
    </row>
    <row r="27" spans="2:7" ht="14" x14ac:dyDescent="0.3">
      <c r="B27" s="4" t="s">
        <v>83</v>
      </c>
      <c r="C27" s="17" t="s">
        <v>84</v>
      </c>
      <c r="D27" s="6">
        <f>MATCH(C27,B69:B73,0)</f>
        <v>1</v>
      </c>
    </row>
    <row r="28" spans="2:7" ht="14" x14ac:dyDescent="0.3">
      <c r="B28" s="8" t="s">
        <v>85</v>
      </c>
      <c r="C28" s="9"/>
      <c r="D28" s="9"/>
      <c r="E28" s="9"/>
      <c r="F28" s="9"/>
      <c r="G28" s="9"/>
    </row>
    <row r="29" spans="2:7" ht="14" x14ac:dyDescent="0.3">
      <c r="C29" s="10" t="s">
        <v>86</v>
      </c>
      <c r="D29" s="10" t="s">
        <v>87</v>
      </c>
      <c r="E29" s="10" t="s">
        <v>88</v>
      </c>
      <c r="F29" s="10" t="s">
        <v>89</v>
      </c>
      <c r="G29" s="10" t="s">
        <v>90</v>
      </c>
    </row>
    <row r="30" spans="2:7" ht="14" x14ac:dyDescent="0.3">
      <c r="B30" s="4" t="s">
        <v>46</v>
      </c>
      <c r="C30" s="18">
        <f>CHOOSE($D$27,C69,C70,C71,C72,C73)</f>
        <v>0.03</v>
      </c>
      <c r="D30" s="18">
        <f>CHOOSE($D$27,D69,D70,D71,D72,D73)</f>
        <v>0.03</v>
      </c>
      <c r="E30" s="18">
        <f>CHOOSE($D$27,E69,E70,E71,E72,E73)</f>
        <v>2.5000000000000001E-2</v>
      </c>
      <c r="F30" s="18">
        <f>CHOOSE($D$27,F69,F70,F71,F72,F73)</f>
        <v>2.5000000000000001E-2</v>
      </c>
      <c r="G30" s="18">
        <f>CHOOSE($D$27,G69,G70,G71,G72,G73)</f>
        <v>0.02</v>
      </c>
    </row>
    <row r="31" spans="2:7" ht="14" x14ac:dyDescent="0.3">
      <c r="B31" s="4" t="s">
        <v>91</v>
      </c>
      <c r="C31" s="18">
        <f>CHOOSE($D$27,C76,C77,C78,C79,C80)</f>
        <v>0.68</v>
      </c>
      <c r="D31" s="18">
        <f>CHOOSE($D$27,D76,D77,D78,D79,D80)</f>
        <v>0.68</v>
      </c>
      <c r="E31" s="18">
        <f>CHOOSE($D$27,E76,E77,E78,E79,E80)</f>
        <v>0.68</v>
      </c>
      <c r="F31" s="18">
        <f>CHOOSE($D$27,F76,F77,F78,F79,F80)</f>
        <v>0.68</v>
      </c>
      <c r="G31" s="18">
        <f>CHOOSE($D$27,G76,G77,G78,G79,G80)</f>
        <v>0.68</v>
      </c>
    </row>
    <row r="32" spans="2:7" ht="14" x14ac:dyDescent="0.3">
      <c r="B32" s="4" t="s">
        <v>92</v>
      </c>
      <c r="C32" s="18">
        <f>CHOOSE($D$27,C83,C84,C85,C86,C87)</f>
        <v>0.1928</v>
      </c>
      <c r="D32" s="18">
        <f>CHOOSE($D$27,D83,D84,D85,D86,D87)</f>
        <v>0.19320000000000001</v>
      </c>
      <c r="E32" s="18">
        <f>CHOOSE($D$27,E83,E84,E85,E86,E87)</f>
        <v>0.19339999999999999</v>
      </c>
      <c r="F32" s="18">
        <f>CHOOSE($D$27,F83,F84,F85,F86,F87)</f>
        <v>0.19359999999999999</v>
      </c>
      <c r="G32" s="18">
        <f>CHOOSE($D$27,G83,G84,G85,G86,G87)</f>
        <v>0.19370000000000001</v>
      </c>
    </row>
    <row r="33" spans="2:7" ht="14" x14ac:dyDescent="0.3">
      <c r="B33" s="4" t="s">
        <v>37</v>
      </c>
      <c r="C33" s="5">
        <f>C17*(1+C30)</f>
        <v>1294602.8800000001</v>
      </c>
      <c r="D33" s="5">
        <f>C33*(1+D30)</f>
        <v>1333440.9664000003</v>
      </c>
      <c r="E33" s="5">
        <f>D33*(1+E30)</f>
        <v>1366776.9905600001</v>
      </c>
      <c r="F33" s="5">
        <f>E33*(1+F30)</f>
        <v>1400946.4153239999</v>
      </c>
      <c r="G33" s="5">
        <f>F33*(1+G30)</f>
        <v>1428965.3436304799</v>
      </c>
    </row>
    <row r="34" spans="2:7" ht="14" x14ac:dyDescent="0.3">
      <c r="B34" s="4" t="s">
        <v>38</v>
      </c>
      <c r="C34" s="5">
        <f>C33*C31</f>
        <v>880329.95840000012</v>
      </c>
      <c r="D34" s="5">
        <f>D33*D31</f>
        <v>906739.8571520003</v>
      </c>
      <c r="E34" s="5">
        <f>E33*E31</f>
        <v>929408.35358080012</v>
      </c>
      <c r="F34" s="5">
        <f>F33*F31</f>
        <v>952643.56242032</v>
      </c>
      <c r="G34" s="5">
        <f>G33*G31</f>
        <v>971696.43366872636</v>
      </c>
    </row>
    <row r="35" spans="2:7" ht="14" x14ac:dyDescent="0.3">
      <c r="B35" s="4" t="s">
        <v>39</v>
      </c>
      <c r="C35" s="19">
        <f>C33-C34</f>
        <v>414272.9216</v>
      </c>
      <c r="D35" s="19">
        <f>D33-D34</f>
        <v>426701.10924799996</v>
      </c>
      <c r="E35" s="19">
        <f>E33-E34</f>
        <v>437368.63697919995</v>
      </c>
      <c r="F35" s="19">
        <f>F33-F34</f>
        <v>448302.85290367994</v>
      </c>
      <c r="G35" s="19">
        <f>G33-G34</f>
        <v>457268.90996175352</v>
      </c>
    </row>
    <row r="36" spans="2:7" ht="14" x14ac:dyDescent="0.3">
      <c r="B36" s="4" t="s">
        <v>40</v>
      </c>
      <c r="C36" s="7">
        <f>C35/C33</f>
        <v>0.31999999999999995</v>
      </c>
      <c r="D36" s="7">
        <f>D35/D33</f>
        <v>0.3199999999999999</v>
      </c>
      <c r="E36" s="7">
        <f>E35/E33</f>
        <v>0.31999999999999995</v>
      </c>
      <c r="F36" s="7">
        <f>F35/F33</f>
        <v>0.31999999999999995</v>
      </c>
      <c r="G36" s="7">
        <f>G35/G33</f>
        <v>0.31999999999999995</v>
      </c>
    </row>
    <row r="37" spans="2:7" ht="14" x14ac:dyDescent="0.3">
      <c r="B37" s="4" t="s">
        <v>93</v>
      </c>
      <c r="C37" s="5">
        <f>C33*C32</f>
        <v>249599.43526400003</v>
      </c>
      <c r="D37" s="5">
        <f>D33*D32</f>
        <v>257620.79470848007</v>
      </c>
      <c r="E37" s="5">
        <f>E33*E32</f>
        <v>264334.66997430398</v>
      </c>
      <c r="F37" s="5">
        <f>F33*F32</f>
        <v>271223.22600672639</v>
      </c>
      <c r="G37" s="5">
        <f>G33*G32</f>
        <v>276790.58706122398</v>
      </c>
    </row>
    <row r="38" spans="2:7" ht="14" x14ac:dyDescent="0.3">
      <c r="B38" s="4" t="s">
        <v>94</v>
      </c>
      <c r="C38" s="7">
        <f>(C35-C37)/C33</f>
        <v>0.12719999999999998</v>
      </c>
      <c r="D38" s="7">
        <f>(D35-D37)/D33</f>
        <v>0.12679999999999989</v>
      </c>
      <c r="E38" s="7">
        <f>(E35-E37)/E33</f>
        <v>0.12659999999999996</v>
      </c>
      <c r="F38" s="7">
        <f>(F35-F37)/F33</f>
        <v>0.12639999999999998</v>
      </c>
      <c r="G38" s="7">
        <f>(G35-G37)/G33</f>
        <v>0.12629999999999997</v>
      </c>
    </row>
    <row r="39" spans="2:7" ht="14" x14ac:dyDescent="0.3">
      <c r="B39" s="4" t="s">
        <v>95</v>
      </c>
      <c r="C39" s="19">
        <f>C35-C37</f>
        <v>164673.48633599997</v>
      </c>
      <c r="D39" s="19">
        <f>D35-D37</f>
        <v>169080.3145395199</v>
      </c>
      <c r="E39" s="19">
        <f>E35-E37</f>
        <v>173033.96700489597</v>
      </c>
      <c r="F39" s="19">
        <f>F35-F37</f>
        <v>177079.62689695356</v>
      </c>
      <c r="G39" s="19">
        <f>G35-G37</f>
        <v>180478.32290052954</v>
      </c>
    </row>
    <row r="40" spans="2:7" ht="14" x14ac:dyDescent="0.3">
      <c r="B40" s="4" t="s">
        <v>96</v>
      </c>
      <c r="C40" s="5">
        <f>MAX(0,C39*C6)</f>
        <v>41168.371583999993</v>
      </c>
      <c r="D40" s="5">
        <f>MAX(0,D39*C6)</f>
        <v>42270.078634879974</v>
      </c>
      <c r="E40" s="5">
        <f>MAX(0,E39*C6)</f>
        <v>43258.491751223992</v>
      </c>
      <c r="F40" s="5">
        <f>MAX(0,F39*C6)</f>
        <v>44269.90672423839</v>
      </c>
      <c r="G40" s="5">
        <f>MAX(0,G39*C6)</f>
        <v>45119.580725132386</v>
      </c>
    </row>
    <row r="41" spans="2:7" ht="14" x14ac:dyDescent="0.3">
      <c r="B41" s="4" t="s">
        <v>97</v>
      </c>
      <c r="C41" s="19">
        <f>C39-C40</f>
        <v>123505.11475199998</v>
      </c>
      <c r="D41" s="19">
        <f>D39-D40</f>
        <v>126810.23590463992</v>
      </c>
      <c r="E41" s="19">
        <f>E39-E40</f>
        <v>129775.47525367198</v>
      </c>
      <c r="F41" s="19">
        <f>F39-F40</f>
        <v>132809.72017271517</v>
      </c>
      <c r="G41" s="19">
        <f>G39-G40</f>
        <v>135358.74217539717</v>
      </c>
    </row>
    <row r="42" spans="2:7" ht="14" x14ac:dyDescent="0.3">
      <c r="B42" s="4" t="s">
        <v>98</v>
      </c>
      <c r="C42" s="5">
        <f>C33*C18</f>
        <v>83113.504895999999</v>
      </c>
      <c r="D42" s="5">
        <f>D33*C18</f>
        <v>85606.910042880001</v>
      </c>
      <c r="E42" s="5">
        <f>E33*C18</f>
        <v>87747.082793951995</v>
      </c>
      <c r="F42" s="5">
        <f>F33*C18</f>
        <v>89940.759863800791</v>
      </c>
      <c r="G42" s="5">
        <f>G33*C18</f>
        <v>91739.575061076801</v>
      </c>
    </row>
    <row r="43" spans="2:7" ht="14" x14ac:dyDescent="0.3">
      <c r="B43" s="4" t="s">
        <v>99</v>
      </c>
      <c r="C43" s="5">
        <v>90100</v>
      </c>
      <c r="D43" s="5">
        <v>91600</v>
      </c>
      <c r="E43" s="5">
        <v>93200</v>
      </c>
      <c r="F43" s="5">
        <v>94700</v>
      </c>
      <c r="G43" s="5">
        <v>96300</v>
      </c>
    </row>
    <row r="44" spans="2:7" ht="14" x14ac:dyDescent="0.3">
      <c r="B44" s="4" t="s">
        <v>100</v>
      </c>
      <c r="C44" s="5">
        <f>'NWC Schedule'!D19</f>
        <v>-139.83661589038093</v>
      </c>
      <c r="D44" s="5">
        <f>'NWC Schedule'!E19</f>
        <v>5750.1649015232979</v>
      </c>
      <c r="E44" s="5">
        <f>'NWC Schedule'!F19</f>
        <v>4935.5582071407989</v>
      </c>
      <c r="F44" s="5">
        <f>'NWC Schedule'!G19</f>
        <v>5058.947162319324</v>
      </c>
      <c r="G44" s="5">
        <f>'NWC Schedule'!H19</f>
        <v>4148.3366731018177</v>
      </c>
    </row>
    <row r="45" spans="2:7" ht="14" x14ac:dyDescent="0.3">
      <c r="B45" s="4" t="s">
        <v>101</v>
      </c>
      <c r="C45" s="20">
        <f>C41+C42-C43-C44</f>
        <v>116658.45626389037</v>
      </c>
      <c r="D45" s="20">
        <f>D41+D42-D43-D44</f>
        <v>115066.98104599662</v>
      </c>
      <c r="E45" s="20">
        <f>E41+E42-E43-E44</f>
        <v>119386.99984048316</v>
      </c>
      <c r="F45" s="20">
        <f>F41+F42-F43-F44</f>
        <v>122991.53287419665</v>
      </c>
      <c r="G45" s="20">
        <f>G41+G42-G43-G44</f>
        <v>126649.98056337214</v>
      </c>
    </row>
    <row r="46" spans="2:7" ht="14" x14ac:dyDescent="0.3">
      <c r="B46" s="4" t="s">
        <v>102</v>
      </c>
      <c r="C46" s="21">
        <f>1/(1+C26)^(C19+0)</f>
        <v>0.93145905143004581</v>
      </c>
      <c r="D46" s="21">
        <f>1/(1+C26)^(C19+1)</f>
        <v>0.86761596449096079</v>
      </c>
      <c r="E46" s="21">
        <f>1/(1+C26)^(C19+2)</f>
        <v>0.80814874329031461</v>
      </c>
      <c r="F46" s="21">
        <f>1/(1+C26)^(C19+3)</f>
        <v>0.75275746183958003</v>
      </c>
      <c r="G46" s="21">
        <f>1/(1+C26)^(C19+4)</f>
        <v>0.70116275136198425</v>
      </c>
    </row>
    <row r="47" spans="2:7" ht="14" x14ac:dyDescent="0.3">
      <c r="B47" s="4" t="s">
        <v>103</v>
      </c>
      <c r="C47" s="19">
        <f>C45*C46</f>
        <v>108662.57501285682</v>
      </c>
      <c r="D47" s="19">
        <f>D45*D46</f>
        <v>99833.949741285469</v>
      </c>
      <c r="E47" s="19">
        <f>E45*E46</f>
        <v>96482.453886287447</v>
      </c>
      <c r="F47" s="19">
        <f>F45*F46</f>
        <v>92582.794114139542</v>
      </c>
      <c r="G47" s="19">
        <f>G45*G46</f>
        <v>88802.248831755831</v>
      </c>
    </row>
    <row r="49" spans="2:7" ht="14" x14ac:dyDescent="0.3">
      <c r="B49" s="22" t="s">
        <v>104</v>
      </c>
      <c r="C49" s="23"/>
      <c r="D49" s="23"/>
      <c r="E49" s="23"/>
      <c r="F49" s="23"/>
      <c r="G49" s="23"/>
    </row>
    <row r="50" spans="2:7" ht="14" x14ac:dyDescent="0.3">
      <c r="B50" s="4" t="s">
        <v>105</v>
      </c>
      <c r="C50" s="5">
        <f>SUM(C47:G47)</f>
        <v>486364.02158632514</v>
      </c>
    </row>
    <row r="51" spans="2:7" ht="14" x14ac:dyDescent="0.3">
      <c r="B51" s="4" t="s">
        <v>106</v>
      </c>
      <c r="C51" s="5">
        <f>G45*(1+C13)/(C26-C13)</f>
        <v>2011755.700980677</v>
      </c>
    </row>
    <row r="52" spans="2:7" ht="14" x14ac:dyDescent="0.3">
      <c r="B52" s="4" t="s">
        <v>107</v>
      </c>
      <c r="C52" s="5">
        <f>C51*G46</f>
        <v>1410568.1623677688</v>
      </c>
    </row>
    <row r="53" spans="2:7" ht="14" x14ac:dyDescent="0.3">
      <c r="B53" s="4" t="s">
        <v>108</v>
      </c>
      <c r="C53" s="5">
        <f>C50+C52</f>
        <v>1896932.1839540941</v>
      </c>
    </row>
    <row r="54" spans="2:7" ht="14" x14ac:dyDescent="0.3">
      <c r="B54" s="4" t="s">
        <v>109</v>
      </c>
      <c r="C54" s="5">
        <f>C53-C16</f>
        <v>2365652.1839540941</v>
      </c>
    </row>
    <row r="55" spans="2:7" ht="14" x14ac:dyDescent="0.3">
      <c r="B55" s="4" t="s">
        <v>110</v>
      </c>
      <c r="C55" s="24">
        <f>ROUND(C54*1000000/C15,0)</f>
        <v>5930</v>
      </c>
    </row>
    <row r="57" spans="2:7" ht="14" x14ac:dyDescent="0.3">
      <c r="B57" s="22" t="s">
        <v>111</v>
      </c>
      <c r="C57" s="23"/>
      <c r="D57" s="23"/>
      <c r="E57" s="23"/>
      <c r="F57" s="23"/>
      <c r="G57" s="23"/>
    </row>
    <row r="58" spans="2:7" ht="14" x14ac:dyDescent="0.3">
      <c r="B58" s="4" t="s">
        <v>105</v>
      </c>
      <c r="C58" s="5">
        <f>C50</f>
        <v>486364.02158632514</v>
      </c>
    </row>
    <row r="59" spans="2:7" ht="14" x14ac:dyDescent="0.3">
      <c r="B59" s="4" t="s">
        <v>112</v>
      </c>
      <c r="C59" s="5">
        <f>G39+G42</f>
        <v>272217.89796160633</v>
      </c>
    </row>
    <row r="60" spans="2:7" ht="14" x14ac:dyDescent="0.3">
      <c r="B60" s="4" t="s">
        <v>113</v>
      </c>
      <c r="C60" s="5">
        <f>C59*C14</f>
        <v>2776622.5592083842</v>
      </c>
    </row>
    <row r="61" spans="2:7" ht="14" x14ac:dyDescent="0.3">
      <c r="B61" s="4" t="s">
        <v>107</v>
      </c>
      <c r="C61" s="5">
        <f>C60*G46</f>
        <v>1946864.3131083047</v>
      </c>
    </row>
    <row r="62" spans="2:7" ht="14" x14ac:dyDescent="0.3">
      <c r="B62" s="4" t="s">
        <v>108</v>
      </c>
      <c r="C62" s="5">
        <f>C58+C61</f>
        <v>2433228.33469463</v>
      </c>
    </row>
    <row r="63" spans="2:7" ht="14" x14ac:dyDescent="0.3">
      <c r="B63" s="4" t="s">
        <v>109</v>
      </c>
      <c r="C63" s="5">
        <f>C62-C16</f>
        <v>2901948.33469463</v>
      </c>
    </row>
    <row r="64" spans="2:7" ht="14" x14ac:dyDescent="0.3">
      <c r="B64" s="4" t="s">
        <v>114</v>
      </c>
      <c r="C64" s="24">
        <f>ROUND(C63*1000000/C15,0)</f>
        <v>7274</v>
      </c>
    </row>
    <row r="66" spans="2:7" ht="14" x14ac:dyDescent="0.3">
      <c r="B66" s="22" t="s">
        <v>115</v>
      </c>
      <c r="C66" s="23"/>
      <c r="D66" s="23"/>
      <c r="E66" s="23"/>
      <c r="F66" s="23"/>
      <c r="G66" s="23"/>
    </row>
    <row r="67" spans="2:7" ht="14" x14ac:dyDescent="0.3">
      <c r="C67" s="25" t="s">
        <v>116</v>
      </c>
      <c r="D67" s="25" t="s">
        <v>117</v>
      </c>
      <c r="E67" s="25" t="s">
        <v>118</v>
      </c>
      <c r="F67" s="25" t="s">
        <v>119</v>
      </c>
      <c r="G67" s="25" t="s">
        <v>120</v>
      </c>
    </row>
    <row r="68" spans="2:7" ht="14" x14ac:dyDescent="0.3">
      <c r="B68" s="3" t="s">
        <v>46</v>
      </c>
    </row>
    <row r="69" spans="2:7" ht="14" x14ac:dyDescent="0.3">
      <c r="B69" s="4" t="s">
        <v>84</v>
      </c>
      <c r="C69" s="26">
        <v>0.03</v>
      </c>
      <c r="D69" s="26">
        <v>0.03</v>
      </c>
      <c r="E69" s="26">
        <v>2.5000000000000001E-2</v>
      </c>
      <c r="F69" s="26">
        <v>2.5000000000000001E-2</v>
      </c>
      <c r="G69" s="26">
        <v>0.02</v>
      </c>
    </row>
    <row r="70" spans="2:7" ht="14" x14ac:dyDescent="0.3">
      <c r="B70" s="4" t="s">
        <v>121</v>
      </c>
      <c r="C70" s="26">
        <v>4.4999999999999998E-2</v>
      </c>
      <c r="D70" s="26">
        <v>0.04</v>
      </c>
      <c r="E70" s="26">
        <v>3.5000000000000003E-2</v>
      </c>
      <c r="F70" s="26">
        <v>0.03</v>
      </c>
      <c r="G70" s="26">
        <v>0.03</v>
      </c>
    </row>
    <row r="71" spans="2:7" ht="14" x14ac:dyDescent="0.3">
      <c r="B71" s="4" t="s">
        <v>122</v>
      </c>
      <c r="C71" s="26">
        <v>0.03</v>
      </c>
      <c r="D71" s="26">
        <v>0.03</v>
      </c>
      <c r="E71" s="26">
        <v>2.5000000000000001E-2</v>
      </c>
      <c r="F71" s="26">
        <v>2.5000000000000001E-2</v>
      </c>
      <c r="G71" s="26">
        <v>0.02</v>
      </c>
    </row>
    <row r="72" spans="2:7" ht="14" x14ac:dyDescent="0.3">
      <c r="B72" s="4" t="s">
        <v>123</v>
      </c>
      <c r="C72" s="26">
        <v>1.4999999999999999E-2</v>
      </c>
      <c r="D72" s="26">
        <v>0.02</v>
      </c>
      <c r="E72" s="26">
        <v>0.02</v>
      </c>
      <c r="F72" s="26">
        <v>0.02</v>
      </c>
      <c r="G72" s="26">
        <v>1.4999999999999999E-2</v>
      </c>
    </row>
    <row r="73" spans="2:7" ht="14" x14ac:dyDescent="0.3">
      <c r="B73" s="4" t="s">
        <v>124</v>
      </c>
      <c r="C73" s="26">
        <v>-0.05</v>
      </c>
      <c r="D73" s="26">
        <v>-0.01</v>
      </c>
      <c r="E73" s="26">
        <v>1.4999999999999999E-2</v>
      </c>
      <c r="F73" s="26">
        <v>0.02</v>
      </c>
      <c r="G73" s="26">
        <v>0.02</v>
      </c>
    </row>
    <row r="75" spans="2:7" ht="14" x14ac:dyDescent="0.3">
      <c r="B75" s="3" t="s">
        <v>91</v>
      </c>
    </row>
    <row r="76" spans="2:7" ht="14" x14ac:dyDescent="0.3">
      <c r="B76" s="4" t="s">
        <v>84</v>
      </c>
      <c r="C76" s="26">
        <v>0.68</v>
      </c>
      <c r="D76" s="26">
        <v>0.68</v>
      </c>
      <c r="E76" s="26">
        <v>0.68</v>
      </c>
      <c r="F76" s="26">
        <v>0.68</v>
      </c>
      <c r="G76" s="26">
        <v>0.68</v>
      </c>
    </row>
    <row r="77" spans="2:7" ht="14" x14ac:dyDescent="0.3">
      <c r="B77" s="4" t="s">
        <v>121</v>
      </c>
      <c r="C77" s="26">
        <v>0.67</v>
      </c>
      <c r="D77" s="26">
        <v>0.67</v>
      </c>
      <c r="E77" s="26">
        <v>0.67</v>
      </c>
      <c r="F77" s="26">
        <v>0.67</v>
      </c>
      <c r="G77" s="26">
        <v>0.67</v>
      </c>
    </row>
    <row r="78" spans="2:7" ht="14" x14ac:dyDescent="0.3">
      <c r="B78" s="4" t="s">
        <v>122</v>
      </c>
      <c r="C78" s="26">
        <v>0.68</v>
      </c>
      <c r="D78" s="26">
        <v>0.68</v>
      </c>
      <c r="E78" s="26">
        <v>0.68</v>
      </c>
      <c r="F78" s="26">
        <v>0.68</v>
      </c>
      <c r="G78" s="26">
        <v>0.68</v>
      </c>
    </row>
    <row r="79" spans="2:7" ht="14" x14ac:dyDescent="0.3">
      <c r="B79" s="4" t="s">
        <v>123</v>
      </c>
      <c r="C79" s="26">
        <v>0.68799999999999994</v>
      </c>
      <c r="D79" s="26">
        <v>0.68799999999999994</v>
      </c>
      <c r="E79" s="26">
        <v>0.68799999999999994</v>
      </c>
      <c r="F79" s="26">
        <v>0.68799999999999994</v>
      </c>
      <c r="G79" s="26">
        <v>0.68799999999999994</v>
      </c>
    </row>
    <row r="80" spans="2:7" ht="14" x14ac:dyDescent="0.3">
      <c r="B80" s="4" t="s">
        <v>124</v>
      </c>
      <c r="C80" s="26">
        <v>0.70499999999999996</v>
      </c>
      <c r="D80" s="26">
        <v>0.70499999999999996</v>
      </c>
      <c r="E80" s="26">
        <v>0.70499999999999996</v>
      </c>
      <c r="F80" s="26">
        <v>0.70499999999999996</v>
      </c>
      <c r="G80" s="26">
        <v>0.70499999999999996</v>
      </c>
    </row>
    <row r="82" spans="2:7" ht="14" x14ac:dyDescent="0.3">
      <c r="B82" s="3" t="s">
        <v>92</v>
      </c>
    </row>
    <row r="83" spans="2:7" ht="14" x14ac:dyDescent="0.3">
      <c r="B83" s="4" t="s">
        <v>84</v>
      </c>
      <c r="C83" s="26">
        <v>0.1928</v>
      </c>
      <c r="D83" s="26">
        <v>0.19320000000000001</v>
      </c>
      <c r="E83" s="26">
        <v>0.19339999999999999</v>
      </c>
      <c r="F83" s="26">
        <v>0.19359999999999999</v>
      </c>
      <c r="G83" s="26">
        <v>0.19370000000000001</v>
      </c>
    </row>
    <row r="84" spans="2:7" ht="14" x14ac:dyDescent="0.3">
      <c r="B84" s="4" t="s">
        <v>121</v>
      </c>
      <c r="C84" s="26">
        <v>0.20050000000000001</v>
      </c>
      <c r="D84" s="26">
        <v>0.19900000000000001</v>
      </c>
      <c r="E84" s="26">
        <v>0.1978</v>
      </c>
      <c r="F84" s="26">
        <v>0.19700000000000001</v>
      </c>
      <c r="G84" s="26">
        <v>0.19639999999999999</v>
      </c>
    </row>
    <row r="85" spans="2:7" ht="14" x14ac:dyDescent="0.3">
      <c r="B85" s="4" t="s">
        <v>122</v>
      </c>
      <c r="C85" s="26">
        <v>0.1928</v>
      </c>
      <c r="D85" s="26">
        <v>0.19320000000000001</v>
      </c>
      <c r="E85" s="26">
        <v>0.19339999999999999</v>
      </c>
      <c r="F85" s="26">
        <v>0.19359999999999999</v>
      </c>
      <c r="G85" s="26">
        <v>0.19370000000000001</v>
      </c>
    </row>
    <row r="86" spans="2:7" ht="14" x14ac:dyDescent="0.3">
      <c r="B86" s="4" t="s">
        <v>123</v>
      </c>
      <c r="C86" s="26">
        <v>0.1875</v>
      </c>
      <c r="D86" s="26">
        <v>0.189</v>
      </c>
      <c r="E86" s="26">
        <v>0.19</v>
      </c>
      <c r="F86" s="26">
        <v>0.19059999999999999</v>
      </c>
      <c r="G86" s="26">
        <v>0.191</v>
      </c>
    </row>
    <row r="87" spans="2:7" ht="14" x14ac:dyDescent="0.3">
      <c r="B87" s="4" t="s">
        <v>124</v>
      </c>
      <c r="C87" s="26">
        <v>0.187</v>
      </c>
      <c r="D87" s="26">
        <v>0.19500000000000001</v>
      </c>
      <c r="E87" s="26">
        <v>0.19800000000000001</v>
      </c>
      <c r="F87" s="26">
        <v>0.19800000000000001</v>
      </c>
      <c r="G87" s="26">
        <v>0.19600000000000001</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x14ac:dyDescent="0.4">
      <c r="B2" s="2" t="s">
        <v>125</v>
      </c>
    </row>
    <row r="3" spans="2:9" ht="14" x14ac:dyDescent="0.3">
      <c r="B3" s="1" t="s">
        <v>126</v>
      </c>
    </row>
    <row r="5" spans="2:9" ht="14" x14ac:dyDescent="0.3">
      <c r="B5" s="8" t="s">
        <v>127</v>
      </c>
      <c r="C5" s="9"/>
      <c r="D5" s="9"/>
      <c r="E5" s="9"/>
      <c r="F5" s="9"/>
      <c r="G5" s="9"/>
      <c r="H5" s="9"/>
      <c r="I5" s="9"/>
    </row>
    <row r="6" spans="2:9" ht="14" x14ac:dyDescent="0.3">
      <c r="B6" s="4" t="s">
        <v>128</v>
      </c>
      <c r="C6" s="15">
        <f>'Executive Summary'!C9</f>
        <v>6401</v>
      </c>
    </row>
    <row r="7" spans="2:9" ht="14" x14ac:dyDescent="0.3">
      <c r="B7" s="4" t="s">
        <v>72</v>
      </c>
      <c r="C7" s="15">
        <f>'DCF Model'!C15</f>
        <v>398929240</v>
      </c>
    </row>
    <row r="8" spans="2:9" ht="14" x14ac:dyDescent="0.3">
      <c r="B8" s="4" t="s">
        <v>129</v>
      </c>
      <c r="C8" s="5">
        <f>C6*C7/1000000</f>
        <v>2553546.0652399999</v>
      </c>
    </row>
    <row r="9" spans="2:9" ht="14" x14ac:dyDescent="0.3">
      <c r="B9" s="4" t="s">
        <v>73</v>
      </c>
      <c r="C9" s="5">
        <f>'DCF Model'!C16</f>
        <v>-468720</v>
      </c>
    </row>
    <row r="10" spans="2:9" ht="14" x14ac:dyDescent="0.3">
      <c r="B10" s="4" t="s">
        <v>130</v>
      </c>
      <c r="C10" s="5">
        <f>C8+C9</f>
        <v>2084826.0652399999</v>
      </c>
    </row>
    <row r="11" spans="2:9" ht="14" x14ac:dyDescent="0.3">
      <c r="B11" s="4" t="s">
        <v>131</v>
      </c>
      <c r="C11" s="16">
        <f>'DCF Model'!C26</f>
        <v>7.3584499999999997E-2</v>
      </c>
    </row>
    <row r="12" spans="2:9" ht="14" x14ac:dyDescent="0.3">
      <c r="B12" s="4" t="s">
        <v>132</v>
      </c>
      <c r="C12" s="16">
        <f>'DCF Model'!C13</f>
        <v>0.01</v>
      </c>
    </row>
    <row r="13" spans="2:9" ht="14" x14ac:dyDescent="0.3">
      <c r="B13" s="4" t="s">
        <v>133</v>
      </c>
      <c r="C13" s="16">
        <f>'DCF Model'!C6</f>
        <v>0.25</v>
      </c>
    </row>
    <row r="14" spans="2:9" ht="14" x14ac:dyDescent="0.3">
      <c r="B14" s="4" t="s">
        <v>134</v>
      </c>
      <c r="C14" s="27">
        <v>160340</v>
      </c>
    </row>
    <row r="15" spans="2:9" ht="14" x14ac:dyDescent="0.3">
      <c r="B15" s="4" t="s">
        <v>135</v>
      </c>
      <c r="C15" s="27">
        <v>160340</v>
      </c>
    </row>
    <row r="16" spans="2:9" ht="14" x14ac:dyDescent="0.3">
      <c r="B16" s="4" t="s">
        <v>136</v>
      </c>
      <c r="C16" s="5">
        <f>'DCF Model'!G33</f>
        <v>1428965.3436304799</v>
      </c>
    </row>
    <row r="17" spans="2:9" ht="14" x14ac:dyDescent="0.3">
      <c r="B17" s="4" t="s">
        <v>137</v>
      </c>
      <c r="C17" s="5">
        <f>'DCF Model'!C53</f>
        <v>1896932.1839540941</v>
      </c>
    </row>
    <row r="18" spans="2:9" ht="14" x14ac:dyDescent="0.3">
      <c r="B18" s="4" t="s">
        <v>138</v>
      </c>
      <c r="C18" s="26">
        <v>0.12756823158001929</v>
      </c>
    </row>
    <row r="19" spans="2:9" ht="14" x14ac:dyDescent="0.3">
      <c r="B19" s="4" t="s">
        <v>139</v>
      </c>
      <c r="C19" s="5">
        <f>C10-C17</f>
        <v>187893.88128590584</v>
      </c>
    </row>
    <row r="20" spans="2:9" ht="14" x14ac:dyDescent="0.3">
      <c r="B20" s="4" t="s">
        <v>140</v>
      </c>
      <c r="C20" s="15">
        <f>IFERROR(ROUND(C19*1000000/C7,0),"N/A")</f>
        <v>471</v>
      </c>
    </row>
    <row r="22" spans="2:9" ht="14" x14ac:dyDescent="0.3">
      <c r="B22" s="8" t="s">
        <v>141</v>
      </c>
      <c r="C22" s="9"/>
      <c r="D22" s="9"/>
      <c r="E22" s="9"/>
      <c r="F22" s="9"/>
      <c r="G22" s="9"/>
      <c r="H22" s="9"/>
      <c r="I22" s="9"/>
    </row>
    <row r="23" spans="2:9" ht="14" x14ac:dyDescent="0.3">
      <c r="B23" s="1" t="s">
        <v>142</v>
      </c>
    </row>
    <row r="24" spans="2:9" ht="14" x14ac:dyDescent="0.3">
      <c r="B24" s="4" t="s">
        <v>143</v>
      </c>
      <c r="C24" s="5">
        <f>C10*(C11-C12)</f>
        <v>132562.62294525278</v>
      </c>
    </row>
    <row r="25" spans="2:9" ht="14" x14ac:dyDescent="0.3">
      <c r="B25" s="4" t="s">
        <v>144</v>
      </c>
      <c r="C25" s="5">
        <f>IFERROR(C24/(1-C13),"N/A")</f>
        <v>176750.16392700371</v>
      </c>
    </row>
    <row r="26" spans="2:9" ht="13.5" x14ac:dyDescent="0.25">
      <c r="B26" s="6" t="s">
        <v>145</v>
      </c>
      <c r="C26" s="14">
        <f>IFERROR(C25/C15,"N/A")</f>
        <v>1.1023460392104509</v>
      </c>
    </row>
    <row r="27" spans="2:9" ht="13.5" x14ac:dyDescent="0.25">
      <c r="B27" s="6" t="s">
        <v>146</v>
      </c>
      <c r="C27" s="14">
        <f>IFERROR(C25/C14,"N/A")</f>
        <v>1.1023460392104509</v>
      </c>
    </row>
    <row r="28" spans="2:9" ht="13.5" x14ac:dyDescent="0.25">
      <c r="B28" s="6" t="s">
        <v>147</v>
      </c>
      <c r="C28" s="7">
        <f>IFERROR(C25/C16,"N/A")</f>
        <v>0.12369100812336428</v>
      </c>
    </row>
    <row r="29" spans="2:9" ht="13.5" x14ac:dyDescent="0.25">
      <c r="B29" s="6" t="s">
        <v>148</v>
      </c>
      <c r="C29" s="5">
        <f>IFERROR(C25/C18,"N/A")</f>
        <v>1385534.3272994596</v>
      </c>
    </row>
    <row r="32" spans="2:9" ht="14" x14ac:dyDescent="0.3">
      <c r="B32" s="8" t="s">
        <v>149</v>
      </c>
      <c r="C32" s="9"/>
      <c r="D32" s="9"/>
      <c r="E32" s="9"/>
      <c r="F32" s="9"/>
      <c r="G32" s="9"/>
      <c r="H32" s="9"/>
      <c r="I32" s="9"/>
    </row>
    <row r="33" spans="2:9" ht="14" x14ac:dyDescent="0.3">
      <c r="B33" s="1" t="s">
        <v>150</v>
      </c>
    </row>
    <row r="34" spans="2:9" ht="14" x14ac:dyDescent="0.3">
      <c r="B34" s="1" t="s">
        <v>151</v>
      </c>
    </row>
    <row r="36" spans="2:9" ht="14" x14ac:dyDescent="0.3">
      <c r="B36" s="28" t="s">
        <v>152</v>
      </c>
      <c r="C36" s="28" t="s">
        <v>153</v>
      </c>
      <c r="D36" s="29">
        <f>'DCF Model'!C26-0.02</f>
        <v>5.3584499999999993E-2</v>
      </c>
      <c r="E36" s="29">
        <f>'DCF Model'!C26-0.01</f>
        <v>6.3584500000000002E-2</v>
      </c>
      <c r="F36" s="29">
        <f>'DCF Model'!C26</f>
        <v>7.3584499999999997E-2</v>
      </c>
      <c r="G36" s="29">
        <f>'DCF Model'!C26+0.01</f>
        <v>8.3584499999999992E-2</v>
      </c>
      <c r="H36" s="29">
        <f>'DCF Model'!C26+0.02</f>
        <v>9.3584500000000001E-2</v>
      </c>
    </row>
    <row r="37" spans="2:9" ht="14" x14ac:dyDescent="0.3">
      <c r="B37" s="3" t="s">
        <v>154</v>
      </c>
    </row>
    <row r="38" spans="2:9" ht="14" x14ac:dyDescent="0.3">
      <c r="B38" s="4" t="s">
        <v>155</v>
      </c>
      <c r="C38" s="30">
        <v>3</v>
      </c>
      <c r="D38" s="13">
        <f t="shared" ref="D38:H41" si="0">IFERROR((1-(1+D$36)^(-$C38))/D$36-(1+D$36)/(D$36^2*$C38)*(1-($C38+1)/(1+D$36)^$C38+$C38/(1+D$36)^($C38+1)),"N/A")</f>
        <v>0.9330499093309228</v>
      </c>
      <c r="E38" s="13">
        <f t="shared" si="0"/>
        <v>0.92148039194635434</v>
      </c>
      <c r="F38" s="13">
        <f t="shared" si="0"/>
        <v>0.91017802245034019</v>
      </c>
      <c r="G38" s="13">
        <f t="shared" si="0"/>
        <v>0.89913398873489458</v>
      </c>
      <c r="H38" s="13">
        <f t="shared" si="0"/>
        <v>0.88833985232729207</v>
      </c>
    </row>
    <row r="39" spans="2:9" ht="14" x14ac:dyDescent="0.3">
      <c r="B39" s="4" t="s">
        <v>156</v>
      </c>
      <c r="C39" s="30">
        <v>5</v>
      </c>
      <c r="D39" s="13">
        <f t="shared" si="0"/>
        <v>1.8041665226494441</v>
      </c>
      <c r="E39" s="13">
        <f t="shared" si="0"/>
        <v>1.7713353953898769</v>
      </c>
      <c r="F39" s="13">
        <f t="shared" si="0"/>
        <v>1.7395478095226733</v>
      </c>
      <c r="G39" s="13">
        <f t="shared" si="0"/>
        <v>1.7087585227876856</v>
      </c>
      <c r="H39" s="13">
        <f t="shared" si="0"/>
        <v>1.6789247278001089</v>
      </c>
    </row>
    <row r="40" spans="2:9" ht="14" x14ac:dyDescent="0.3">
      <c r="B40" s="4" t="s">
        <v>157</v>
      </c>
      <c r="C40" s="30">
        <v>7</v>
      </c>
      <c r="D40" s="13">
        <f t="shared" si="0"/>
        <v>2.6179666807934496</v>
      </c>
      <c r="E40" s="13">
        <f t="shared" si="0"/>
        <v>2.5558155046070699</v>
      </c>
      <c r="F40" s="13">
        <f t="shared" si="0"/>
        <v>2.4961616262458395</v>
      </c>
      <c r="G40" s="13">
        <f t="shared" si="0"/>
        <v>2.4388716408790825</v>
      </c>
      <c r="H40" s="13">
        <f t="shared" si="0"/>
        <v>2.3838208066074835</v>
      </c>
    </row>
    <row r="41" spans="2:9" ht="14" x14ac:dyDescent="0.3">
      <c r="B41" s="4" t="s">
        <v>158</v>
      </c>
      <c r="C41" s="30">
        <v>10</v>
      </c>
      <c r="D41" s="13">
        <f t="shared" si="0"/>
        <v>3.7404027793641039</v>
      </c>
      <c r="E41" s="13">
        <f t="shared" si="0"/>
        <v>3.622214304972033</v>
      </c>
      <c r="F41" s="13">
        <f t="shared" si="0"/>
        <v>3.5101989550931063</v>
      </c>
      <c r="G41" s="13">
        <f t="shared" si="0"/>
        <v>3.4039371976514885</v>
      </c>
      <c r="H41" s="13">
        <f t="shared" si="0"/>
        <v>3.303043509515021</v>
      </c>
    </row>
    <row r="42" spans="2:9" ht="14" x14ac:dyDescent="0.3">
      <c r="B42" s="3" t="s">
        <v>159</v>
      </c>
    </row>
    <row r="43" spans="2:9" ht="14" x14ac:dyDescent="0.3">
      <c r="B43" s="4" t="s">
        <v>155</v>
      </c>
      <c r="C43" s="30">
        <v>3</v>
      </c>
      <c r="D43" s="13">
        <f t="shared" ref="D43:H46" si="1">IFERROR((1+D$36)/(D$36^2*$C43)*(1-($C43+1)/(1+D$36)^$C43+$C43/(1+D$36)^($C43+1))+(1+$C$12)/((D$36-$C$12)*(1+D$36)^$C43),"N/A")</f>
        <v>21.58642170066797</v>
      </c>
      <c r="E43" s="13">
        <f t="shared" si="1"/>
        <v>17.400193900049494</v>
      </c>
      <c r="F43" s="13">
        <f t="shared" si="1"/>
        <v>14.533982894766748</v>
      </c>
      <c r="G43" s="13">
        <f t="shared" si="1"/>
        <v>12.44952788905788</v>
      </c>
      <c r="H43" s="13">
        <f t="shared" si="1"/>
        <v>10.866160625958797</v>
      </c>
    </row>
    <row r="44" spans="2:9" ht="14" x14ac:dyDescent="0.3">
      <c r="B44" s="4" t="s">
        <v>156</v>
      </c>
      <c r="C44" s="30">
        <v>5</v>
      </c>
      <c r="D44" s="13">
        <f t="shared" si="1"/>
        <v>20.332918176077072</v>
      </c>
      <c r="E44" s="13">
        <f t="shared" si="1"/>
        <v>16.24938839175768</v>
      </c>
      <c r="F44" s="13">
        <f t="shared" si="1"/>
        <v>13.459127776343237</v>
      </c>
      <c r="G44" s="13">
        <f t="shared" si="1"/>
        <v>11.434516030105893</v>
      </c>
      <c r="H44" s="13">
        <f t="shared" si="1"/>
        <v>9.9004478419878339</v>
      </c>
    </row>
    <row r="45" spans="2:9" ht="14" x14ac:dyDescent="0.3">
      <c r="B45" s="4" t="s">
        <v>157</v>
      </c>
      <c r="C45" s="30">
        <v>7</v>
      </c>
      <c r="D45" s="13">
        <f t="shared" si="1"/>
        <v>19.174637811456975</v>
      </c>
      <c r="E45" s="13">
        <f t="shared" si="1"/>
        <v>15.19886574774554</v>
      </c>
      <c r="F45" s="13">
        <f t="shared" si="1"/>
        <v>12.489526967091436</v>
      </c>
      <c r="G45" s="13">
        <f t="shared" si="1"/>
        <v>10.529479447552506</v>
      </c>
      <c r="H45" s="13">
        <f t="shared" si="1"/>
        <v>9.0491148151802516</v>
      </c>
    </row>
    <row r="46" spans="2:9" ht="14" x14ac:dyDescent="0.3">
      <c r="B46" s="4" t="s">
        <v>158</v>
      </c>
      <c r="C46" s="30">
        <v>10</v>
      </c>
      <c r="D46" s="13">
        <f t="shared" si="1"/>
        <v>17.59843926937074</v>
      </c>
      <c r="E46" s="13">
        <f t="shared" si="1"/>
        <v>13.790128229668571</v>
      </c>
      <c r="F46" s="13">
        <f t="shared" si="1"/>
        <v>11.207690208163736</v>
      </c>
      <c r="G46" s="13">
        <f t="shared" si="1"/>
        <v>9.3494502530984676</v>
      </c>
      <c r="H46" s="13">
        <f t="shared" si="1"/>
        <v>7.9539642793886731</v>
      </c>
    </row>
    <row r="47" spans="2:9" ht="14" x14ac:dyDescent="0.3">
      <c r="B47" s="22" t="s">
        <v>160</v>
      </c>
      <c r="C47" s="23"/>
      <c r="D47" s="23"/>
      <c r="E47" s="23"/>
      <c r="F47" s="23"/>
      <c r="G47" s="23"/>
      <c r="H47" s="23"/>
      <c r="I47" s="23"/>
    </row>
    <row r="48" spans="2:9" ht="14" x14ac:dyDescent="0.3">
      <c r="B48" s="4" t="s">
        <v>155</v>
      </c>
      <c r="C48" s="30">
        <v>3</v>
      </c>
      <c r="D48" s="5">
        <f t="shared" ref="D48:H51" si="2">IFERROR(($C$10/(1-$C$13)-$C$14*D38)/D43,"N/A")</f>
        <v>121843.39308275252</v>
      </c>
      <c r="E48" s="5">
        <f t="shared" si="2"/>
        <v>151263.7121207311</v>
      </c>
      <c r="F48" s="5">
        <f t="shared" si="2"/>
        <v>181218.7451944327</v>
      </c>
      <c r="G48" s="5">
        <f t="shared" si="2"/>
        <v>211702.88276950581</v>
      </c>
      <c r="H48" s="5">
        <f t="shared" si="2"/>
        <v>242710.53648553978</v>
      </c>
    </row>
    <row r="49" spans="2:9" ht="14" x14ac:dyDescent="0.3">
      <c r="B49" s="4" t="s">
        <v>156</v>
      </c>
      <c r="C49" s="30">
        <v>5</v>
      </c>
      <c r="D49" s="5">
        <f t="shared" si="2"/>
        <v>122485.51856542005</v>
      </c>
      <c r="E49" s="5">
        <f t="shared" si="2"/>
        <v>153590.52965684517</v>
      </c>
      <c r="F49" s="5">
        <f t="shared" si="2"/>
        <v>185810.62850175769</v>
      </c>
      <c r="G49" s="5">
        <f t="shared" si="2"/>
        <v>219142.26529967823</v>
      </c>
      <c r="H49" s="5">
        <f t="shared" si="2"/>
        <v>253581.3870443177</v>
      </c>
    </row>
    <row r="50" spans="2:9" ht="14" x14ac:dyDescent="0.3">
      <c r="B50" s="4" t="s">
        <v>157</v>
      </c>
      <c r="C50" s="30">
        <v>7</v>
      </c>
      <c r="D50" s="5">
        <f t="shared" si="2"/>
        <v>123079.42046123694</v>
      </c>
      <c r="E50" s="5">
        <f t="shared" si="2"/>
        <v>155930.6245816079</v>
      </c>
      <c r="F50" s="5">
        <f t="shared" si="2"/>
        <v>190522.31026076683</v>
      </c>
      <c r="G50" s="5">
        <f t="shared" si="2"/>
        <v>226860.16151001211</v>
      </c>
      <c r="H50" s="5">
        <f t="shared" si="2"/>
        <v>264948.15325287322</v>
      </c>
    </row>
    <row r="51" spans="2:9" ht="14" x14ac:dyDescent="0.3">
      <c r="B51" s="4" t="s">
        <v>158</v>
      </c>
      <c r="C51" s="30">
        <v>10</v>
      </c>
      <c r="D51" s="5">
        <f t="shared" si="2"/>
        <v>123876.4342663994</v>
      </c>
      <c r="E51" s="5">
        <f t="shared" si="2"/>
        <v>159460.60897363393</v>
      </c>
      <c r="F51" s="5">
        <f t="shared" si="2"/>
        <v>197805.50187871946</v>
      </c>
      <c r="G51" s="5">
        <f t="shared" si="2"/>
        <v>238942.47642794522</v>
      </c>
      <c r="H51" s="5">
        <f t="shared" si="2"/>
        <v>282897.68618925341</v>
      </c>
    </row>
    <row r="52" spans="2:9" ht="14" x14ac:dyDescent="0.3">
      <c r="B52" s="22" t="s">
        <v>161</v>
      </c>
      <c r="C52" s="23"/>
      <c r="D52" s="23"/>
      <c r="E52" s="23"/>
      <c r="F52" s="23"/>
      <c r="G52" s="23"/>
      <c r="H52" s="23"/>
      <c r="I52" s="23"/>
    </row>
    <row r="53" spans="2:9" ht="14" x14ac:dyDescent="0.3">
      <c r="B53" s="4" t="s">
        <v>155</v>
      </c>
      <c r="C53" s="30">
        <v>3</v>
      </c>
      <c r="D53" s="14">
        <f t="shared" ref="D53:H56" si="3">IFERROR(D48/$C$15,"N/A")</f>
        <v>0.75990640565518597</v>
      </c>
      <c r="E53" s="14">
        <f t="shared" si="3"/>
        <v>0.94339348958919234</v>
      </c>
      <c r="F53" s="14">
        <f t="shared" si="3"/>
        <v>1.1302154496347305</v>
      </c>
      <c r="G53" s="14">
        <f t="shared" si="3"/>
        <v>1.3203373005457517</v>
      </c>
      <c r="H53" s="14">
        <f t="shared" si="3"/>
        <v>1.5137241891327167</v>
      </c>
    </row>
    <row r="54" spans="2:9" ht="14" x14ac:dyDescent="0.3">
      <c r="B54" s="4" t="s">
        <v>156</v>
      </c>
      <c r="C54" s="30">
        <v>5</v>
      </c>
      <c r="D54" s="14">
        <f t="shared" si="3"/>
        <v>0.76391117977684952</v>
      </c>
      <c r="E54" s="14">
        <f t="shared" si="3"/>
        <v>0.95790526167422463</v>
      </c>
      <c r="F54" s="14">
        <f t="shared" si="3"/>
        <v>1.1588538636756747</v>
      </c>
      <c r="G54" s="14">
        <f t="shared" si="3"/>
        <v>1.3667348465740192</v>
      </c>
      <c r="H54" s="14">
        <f t="shared" si="3"/>
        <v>1.5815229327947966</v>
      </c>
    </row>
    <row r="55" spans="2:9" ht="14" x14ac:dyDescent="0.3">
      <c r="B55" s="4" t="s">
        <v>157</v>
      </c>
      <c r="C55" s="30">
        <v>7</v>
      </c>
      <c r="D55" s="14">
        <f t="shared" si="3"/>
        <v>0.76761519559209768</v>
      </c>
      <c r="E55" s="14">
        <f t="shared" si="3"/>
        <v>0.97249984147192159</v>
      </c>
      <c r="F55" s="14">
        <f t="shared" si="3"/>
        <v>1.1882394303403194</v>
      </c>
      <c r="G55" s="14">
        <f t="shared" si="3"/>
        <v>1.4148694119372092</v>
      </c>
      <c r="H55" s="14">
        <f t="shared" si="3"/>
        <v>1.6524145768546414</v>
      </c>
    </row>
    <row r="56" spans="2:9" ht="14" x14ac:dyDescent="0.3">
      <c r="B56" s="4" t="s">
        <v>158</v>
      </c>
      <c r="C56" s="30">
        <v>10</v>
      </c>
      <c r="D56" s="14">
        <f t="shared" si="3"/>
        <v>0.77258596898091181</v>
      </c>
      <c r="E56" s="14">
        <f t="shared" si="3"/>
        <v>0.99451546073115837</v>
      </c>
      <c r="F56" s="14">
        <f t="shared" si="3"/>
        <v>1.2336628531789913</v>
      </c>
      <c r="G56" s="14">
        <f t="shared" si="3"/>
        <v>1.49022375220123</v>
      </c>
      <c r="H56" s="14">
        <f t="shared" si="3"/>
        <v>1.7643612709819971</v>
      </c>
    </row>
    <row r="58" spans="2:9" ht="14" x14ac:dyDescent="0.3">
      <c r="B58" s="8" t="s">
        <v>162</v>
      </c>
      <c r="C58" s="9"/>
      <c r="D58" s="9"/>
      <c r="E58" s="9"/>
      <c r="F58" s="9"/>
      <c r="G58" s="9"/>
      <c r="H58" s="9"/>
      <c r="I58" s="9"/>
    </row>
    <row r="59" spans="2:9" ht="14" x14ac:dyDescent="0.3">
      <c r="B59" s="1" t="s">
        <v>163</v>
      </c>
    </row>
    <row r="60" spans="2:9" ht="14" x14ac:dyDescent="0.3">
      <c r="B60" s="4" t="s">
        <v>164</v>
      </c>
      <c r="C60" s="5">
        <f>F49</f>
        <v>185810.62850175769</v>
      </c>
    </row>
    <row r="62" spans="2:9" ht="14" x14ac:dyDescent="0.3">
      <c r="B62" s="28" t="s">
        <v>165</v>
      </c>
      <c r="C62" s="28" t="s">
        <v>166</v>
      </c>
      <c r="D62" s="28" t="s">
        <v>167</v>
      </c>
    </row>
    <row r="63" spans="2:9" ht="14" x14ac:dyDescent="0.3">
      <c r="B63" s="31">
        <v>6.3799999999999996E-2</v>
      </c>
      <c r="C63" s="5">
        <f>IFERROR($C$60/B63,"N/A")</f>
        <v>2912392.2962657949</v>
      </c>
      <c r="D63" s="14">
        <f>IFERROR(C63/'DCF Model'!C17,"N/A")</f>
        <v>2.3171306904197282</v>
      </c>
    </row>
    <row r="64" spans="2:9" ht="14" x14ac:dyDescent="0.3">
      <c r="B64" s="31">
        <v>9.5699999999999993E-2</v>
      </c>
      <c r="C64" s="5">
        <f>IFERROR($C$60/B64,"N/A")</f>
        <v>1941594.8641771965</v>
      </c>
      <c r="D64" s="14">
        <f>IFERROR(C64/'DCF Model'!C17,"N/A")</f>
        <v>1.5447537936131521</v>
      </c>
    </row>
    <row r="65" spans="2:9" ht="14" x14ac:dyDescent="0.3">
      <c r="B65" s="4" t="s">
        <v>168</v>
      </c>
      <c r="C65" s="5">
        <f>IFERROR($C$60/$C$18,"N/A")</f>
        <v>1456558.7858385015</v>
      </c>
      <c r="D65" s="14">
        <f>IFERROR(C65/'DCF Model'!C17,"N/A")</f>
        <v>1.1588538636756753</v>
      </c>
    </row>
    <row r="66" spans="2:9" ht="14" x14ac:dyDescent="0.3">
      <c r="B66" s="31">
        <v>0.1595</v>
      </c>
      <c r="C66" s="5">
        <f>IFERROR($C$60/B66,"N/A")</f>
        <v>1164956.9185063178</v>
      </c>
      <c r="D66" s="14">
        <f>IFERROR(C66/'DCF Model'!C17,"N/A")</f>
        <v>0.92685227616789123</v>
      </c>
    </row>
    <row r="67" spans="2:9" ht="14" x14ac:dyDescent="0.3">
      <c r="B67" s="31">
        <v>0.19139999999999999</v>
      </c>
      <c r="C67" s="5">
        <f>IFERROR($C$60/B67,"N/A")</f>
        <v>970797.43208859826</v>
      </c>
      <c r="D67" s="14">
        <f>IFERROR(C67/'DCF Model'!C17,"N/A")</f>
        <v>0.77237689680657606</v>
      </c>
    </row>
    <row r="69" spans="2:9" ht="14" x14ac:dyDescent="0.3">
      <c r="B69" s="8" t="s">
        <v>169</v>
      </c>
      <c r="C69" s="9"/>
      <c r="D69" s="9"/>
      <c r="E69" s="9"/>
      <c r="F69" s="9"/>
      <c r="G69" s="9"/>
      <c r="H69" s="9"/>
      <c r="I69" s="9"/>
    </row>
    <row r="70" spans="2:9" ht="13.5" x14ac:dyDescent="0.25">
      <c r="B70" s="6" t="s">
        <v>170</v>
      </c>
      <c r="C70" s="14">
        <f>IFERROR(C10/'Comps Analysis'!G5,"N/A")</f>
        <v>8.6489720564698462</v>
      </c>
    </row>
    <row r="71" spans="2:9" ht="13.5" x14ac:dyDescent="0.25">
      <c r="B71" s="6" t="s">
        <v>171</v>
      </c>
      <c r="C71" s="14">
        <f>IFERROR(C10/'Comps Analysis'!F5,"N/A")</f>
        <v>1.658710080420337</v>
      </c>
    </row>
    <row r="72" spans="2:9" ht="14" x14ac:dyDescent="0.3">
      <c r="B72" s="4" t="s">
        <v>172</v>
      </c>
      <c r="C72" s="14">
        <f>IFERROR(C10/(C25+'DCF Model'!G42),"N/A")</f>
        <v>7.7650120749402447</v>
      </c>
    </row>
    <row r="73" spans="2:9" ht="14" x14ac:dyDescent="0.3">
      <c r="B73" s="4" t="s">
        <v>173</v>
      </c>
      <c r="C73" s="14">
        <f>IFERROR(C10/(C60+'DCF Model'!G42),"N/A")</f>
        <v>7.5115277830016689</v>
      </c>
    </row>
    <row r="74" spans="2:9" ht="14" x14ac:dyDescent="0.3">
      <c r="B74" s="4" t="s">
        <v>174</v>
      </c>
      <c r="C74" s="14">
        <f>IFERROR('Comps Analysis'!D16,"N/A")</f>
        <v>10.198870112493186</v>
      </c>
    </row>
    <row r="75" spans="2:9" ht="14" x14ac:dyDescent="0.3">
      <c r="B75" s="1" t="s">
        <v>175</v>
      </c>
    </row>
    <row r="77" spans="2:9" ht="14" x14ac:dyDescent="0.3">
      <c r="B77" s="22" t="s">
        <v>176</v>
      </c>
      <c r="C77" s="23"/>
      <c r="D77" s="23"/>
      <c r="E77" s="23"/>
      <c r="F77" s="23"/>
      <c r="G77" s="23"/>
      <c r="H77" s="23"/>
      <c r="I77" s="23"/>
    </row>
    <row r="78" spans="2:9" ht="14" x14ac:dyDescent="0.3">
      <c r="B78" s="4" t="str">
        <f>"At "&amp;TEXT(C6,"#,##0")&amp;" yen the market is paying for a steady-state operating profit of "&amp;TEXT(F49,"#,##0")&amp;" mn JPY - "&amp;TEXT(F54,"0.00")&amp;"x the FY2026 cycle peak of "&amp;TEXT(C15,"#,##0")&amp;" mn - reached in 5 years and sustained for ever, against "&amp;TEXT(C14,"#,##0")&amp;" mn actually earned in FY2026."</f>
        <v>At 6,401 yen the market is paying for a steady-state operating profit of 185,811 mn JPY - 1.16x the FY2026 cycle peak of 160,340 mn - reached in 5 years and sustained for ever, against 160,340 mn actually earned in FY2026.</v>
      </c>
    </row>
    <row r="79" spans="2:9" ht="14"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176,750 mn, or 1.10x the peak. The base case supports an EV of only 1,896,932 mn, leaving 471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x14ac:dyDescent="0.4">
      <c r="B2" s="2" t="s">
        <v>177</v>
      </c>
    </row>
    <row r="4" spans="2:8" ht="14" x14ac:dyDescent="0.3">
      <c r="B4" s="8" t="s">
        <v>178</v>
      </c>
      <c r="C4" s="32" t="s">
        <v>179</v>
      </c>
      <c r="D4" s="32" t="s">
        <v>86</v>
      </c>
      <c r="E4" s="32" t="s">
        <v>87</v>
      </c>
      <c r="F4" s="32" t="s">
        <v>88</v>
      </c>
      <c r="G4" s="32" t="s">
        <v>89</v>
      </c>
      <c r="H4" s="32" t="s">
        <v>90</v>
      </c>
    </row>
    <row r="5" spans="2:8" ht="14" x14ac:dyDescent="0.3">
      <c r="B5" s="33" t="s">
        <v>180</v>
      </c>
      <c r="C5" s="34">
        <f>C12/C9*365</f>
        <v>52.540245971027034</v>
      </c>
      <c r="D5" s="34">
        <f>CHOOSE('DCF Model'!$D$27,D25,D26,D27,D28,D29)</f>
        <v>52</v>
      </c>
      <c r="E5" s="34">
        <f>CHOOSE('DCF Model'!$D$27,E25,E26,E27,E28,E29)</f>
        <v>52</v>
      </c>
      <c r="F5" s="34">
        <f>CHOOSE('DCF Model'!$D$27,F25,F26,F27,F28,F29)</f>
        <v>52</v>
      </c>
      <c r="G5" s="34">
        <f>CHOOSE('DCF Model'!$D$27,G25,G26,G27,G28,G29)</f>
        <v>52</v>
      </c>
      <c r="H5" s="34">
        <f>CHOOSE('DCF Model'!$D$27,H25,H26,H27,H28,H29)</f>
        <v>52</v>
      </c>
    </row>
    <row r="6" spans="2:8" ht="14" x14ac:dyDescent="0.3">
      <c r="B6" s="33" t="s">
        <v>181</v>
      </c>
      <c r="C6" s="34">
        <f>C13/C10*365</f>
        <v>25.413241921330204</v>
      </c>
      <c r="D6" s="34">
        <f>CHOOSE('DCF Model'!$D$27,D32,D33,D34,D35,D36)</f>
        <v>23</v>
      </c>
      <c r="E6" s="34">
        <f>CHOOSE('DCF Model'!$D$27,E32,E33,E34,E35,E36)</f>
        <v>23</v>
      </c>
      <c r="F6" s="34">
        <f>CHOOSE('DCF Model'!$D$27,F32,F33,F34,F35,F36)</f>
        <v>23</v>
      </c>
      <c r="G6" s="34">
        <f>CHOOSE('DCF Model'!$D$27,G32,G33,G34,G35,G36)</f>
        <v>23</v>
      </c>
      <c r="H6" s="34">
        <f>CHOOSE('DCF Model'!$D$27,H32,H33,H34,H35,H36)</f>
        <v>23</v>
      </c>
    </row>
    <row r="7" spans="2:8" ht="14" x14ac:dyDescent="0.3">
      <c r="B7" s="33" t="s">
        <v>182</v>
      </c>
      <c r="C7" s="34">
        <f>C15/C10*365</f>
        <v>20.78232778964518</v>
      </c>
      <c r="D7" s="34">
        <f>CHOOSE('DCF Model'!$D$27,D39,D40,D41,D42,D43)</f>
        <v>20</v>
      </c>
      <c r="E7" s="34">
        <f>CHOOSE('DCF Model'!$D$27,E39,E40,E41,E42,E43)</f>
        <v>20</v>
      </c>
      <c r="F7" s="34">
        <f>CHOOSE('DCF Model'!$D$27,F39,F40,F41,F42,F43)</f>
        <v>20</v>
      </c>
      <c r="G7" s="34">
        <f>CHOOSE('DCF Model'!$D$27,G39,G40,G41,G42,G43)</f>
        <v>20</v>
      </c>
      <c r="H7" s="34">
        <f>CHOOSE('DCF Model'!$D$27,H39,H40,H41,H42,H43)</f>
        <v>20</v>
      </c>
    </row>
    <row r="8" spans="2:8" ht="14" x14ac:dyDescent="0.3">
      <c r="B8" s="8" t="s">
        <v>183</v>
      </c>
      <c r="C8" s="9"/>
      <c r="D8" s="9"/>
      <c r="E8" s="9"/>
      <c r="F8" s="9"/>
      <c r="G8" s="9"/>
      <c r="H8" s="9"/>
    </row>
    <row r="9" spans="2:8" ht="14" x14ac:dyDescent="0.3">
      <c r="B9" s="33" t="s">
        <v>37</v>
      </c>
      <c r="C9" s="35">
        <v>1256896</v>
      </c>
      <c r="D9" s="35">
        <f>'DCF Model'!C33</f>
        <v>1294602.8800000001</v>
      </c>
      <c r="E9" s="35">
        <f>'DCF Model'!D33</f>
        <v>1333440.9664000003</v>
      </c>
      <c r="F9" s="35">
        <f>'DCF Model'!E33</f>
        <v>1366776.9905600001</v>
      </c>
      <c r="G9" s="35">
        <f>'DCF Model'!F33</f>
        <v>1400946.4153239999</v>
      </c>
      <c r="H9" s="35">
        <f>'DCF Model'!G33</f>
        <v>1428965.3436304799</v>
      </c>
    </row>
    <row r="10" spans="2:8" ht="14" x14ac:dyDescent="0.3">
      <c r="B10" s="33" t="s">
        <v>38</v>
      </c>
      <c r="C10" s="35">
        <v>858093</v>
      </c>
      <c r="D10" s="35">
        <f>'DCF Model'!C34</f>
        <v>880329.95840000012</v>
      </c>
      <c r="E10" s="35">
        <f>'DCF Model'!D34</f>
        <v>906739.8571520003</v>
      </c>
      <c r="F10" s="35">
        <f>'DCF Model'!E34</f>
        <v>929408.35358080012</v>
      </c>
      <c r="G10" s="35">
        <f>'DCF Model'!F34</f>
        <v>952643.56242032</v>
      </c>
      <c r="H10" s="35">
        <f>'DCF Model'!G34</f>
        <v>971696.43366872636</v>
      </c>
    </row>
    <row r="11" spans="2:8" ht="14" x14ac:dyDescent="0.3">
      <c r="B11" s="8" t="s">
        <v>184</v>
      </c>
      <c r="C11" s="9"/>
      <c r="D11" s="9"/>
      <c r="E11" s="9"/>
      <c r="F11" s="9"/>
      <c r="G11" s="9"/>
      <c r="H11" s="9"/>
    </row>
    <row r="12" spans="2:8" ht="14" x14ac:dyDescent="0.3">
      <c r="B12" s="33" t="s">
        <v>185</v>
      </c>
      <c r="C12" s="35">
        <v>180925</v>
      </c>
      <c r="D12" s="35">
        <f t="shared" ref="D12:H13" si="0">D9*D5/365</f>
        <v>184436.57468493152</v>
      </c>
      <c r="E12" s="35">
        <f t="shared" si="0"/>
        <v>189969.67192547949</v>
      </c>
      <c r="F12" s="35">
        <f t="shared" si="0"/>
        <v>194718.91372361645</v>
      </c>
      <c r="G12" s="35">
        <f t="shared" si="0"/>
        <v>199586.88656670685</v>
      </c>
      <c r="H12" s="35">
        <f t="shared" si="0"/>
        <v>203578.62429804096</v>
      </c>
    </row>
    <row r="13" spans="2:8" ht="14" x14ac:dyDescent="0.3">
      <c r="B13" s="33" t="s">
        <v>186</v>
      </c>
      <c r="C13" s="35">
        <v>59745</v>
      </c>
      <c r="D13" s="35">
        <f t="shared" si="0"/>
        <v>55472.84669369863</v>
      </c>
      <c r="E13" s="35">
        <f t="shared" si="0"/>
        <v>57137.032094509603</v>
      </c>
      <c r="F13" s="35">
        <f t="shared" si="0"/>
        <v>58565.457896872336</v>
      </c>
      <c r="G13" s="35">
        <f t="shared" si="0"/>
        <v>60029.594344294135</v>
      </c>
      <c r="H13" s="35">
        <f t="shared" si="0"/>
        <v>61230.186231180014</v>
      </c>
    </row>
    <row r="14" spans="2:8" ht="14" x14ac:dyDescent="0.3">
      <c r="B14" s="33" t="s">
        <v>187</v>
      </c>
      <c r="C14" s="35">
        <f t="shared" ref="C14:H14" si="1">C12+C13</f>
        <v>240670</v>
      </c>
      <c r="D14" s="35">
        <f t="shared" si="1"/>
        <v>239909.42137863016</v>
      </c>
      <c r="E14" s="35">
        <f t="shared" si="1"/>
        <v>247106.70401998909</v>
      </c>
      <c r="F14" s="35">
        <f t="shared" si="1"/>
        <v>253284.37162048879</v>
      </c>
      <c r="G14" s="35">
        <f t="shared" si="1"/>
        <v>259616.48091100098</v>
      </c>
      <c r="H14" s="35">
        <f t="shared" si="1"/>
        <v>264808.81052922097</v>
      </c>
    </row>
    <row r="15" spans="2:8" ht="14" x14ac:dyDescent="0.3">
      <c r="B15" s="33" t="s">
        <v>188</v>
      </c>
      <c r="C15" s="35">
        <v>48858</v>
      </c>
      <c r="D15" s="35">
        <f>D10*D7/365</f>
        <v>48237.257994520551</v>
      </c>
      <c r="E15" s="35">
        <f>E10*E7/365</f>
        <v>49684.375734356181</v>
      </c>
      <c r="F15" s="35">
        <f>F10*F7/365</f>
        <v>50926.485127715074</v>
      </c>
      <c r="G15" s="35">
        <f>G10*G7/365</f>
        <v>52199.647255907941</v>
      </c>
      <c r="H15" s="35">
        <f>H10*H7/365</f>
        <v>53243.640201026101</v>
      </c>
    </row>
    <row r="16" spans="2:8" ht="14" x14ac:dyDescent="0.3">
      <c r="B16" s="33" t="s">
        <v>189</v>
      </c>
      <c r="C16" s="35">
        <f t="shared" ref="C16:H16" si="2">C15</f>
        <v>48858</v>
      </c>
      <c r="D16" s="35">
        <f t="shared" si="2"/>
        <v>48237.257994520551</v>
      </c>
      <c r="E16" s="35">
        <f t="shared" si="2"/>
        <v>49684.375734356181</v>
      </c>
      <c r="F16" s="35">
        <f t="shared" si="2"/>
        <v>50926.485127715074</v>
      </c>
      <c r="G16" s="35">
        <f t="shared" si="2"/>
        <v>52199.647255907941</v>
      </c>
      <c r="H16" s="35">
        <f t="shared" si="2"/>
        <v>53243.640201026101</v>
      </c>
    </row>
    <row r="17" spans="2:8" ht="14" x14ac:dyDescent="0.3">
      <c r="B17" s="22" t="s">
        <v>190</v>
      </c>
      <c r="C17" s="23"/>
      <c r="D17" s="23"/>
      <c r="E17" s="23"/>
      <c r="F17" s="23"/>
      <c r="G17" s="23"/>
      <c r="H17" s="23"/>
    </row>
    <row r="18" spans="2:8" ht="14" x14ac:dyDescent="0.3">
      <c r="B18" s="33" t="s">
        <v>191</v>
      </c>
      <c r="C18" s="20">
        <f t="shared" ref="C18:H18" si="3">C14-C16</f>
        <v>191812</v>
      </c>
      <c r="D18" s="20">
        <f t="shared" si="3"/>
        <v>191672.16338410962</v>
      </c>
      <c r="E18" s="20">
        <f t="shared" si="3"/>
        <v>197422.32828563292</v>
      </c>
      <c r="F18" s="20">
        <f t="shared" si="3"/>
        <v>202357.88649277372</v>
      </c>
      <c r="G18" s="20">
        <f t="shared" si="3"/>
        <v>207416.83365509304</v>
      </c>
      <c r="H18" s="20">
        <f t="shared" si="3"/>
        <v>211565.17032819486</v>
      </c>
    </row>
    <row r="19" spans="2:8" ht="14" x14ac:dyDescent="0.3">
      <c r="B19" s="33" t="s">
        <v>100</v>
      </c>
      <c r="C19" s="36" t="s">
        <v>47</v>
      </c>
      <c r="D19" s="24">
        <f>D18-C18</f>
        <v>-139.83661589038093</v>
      </c>
      <c r="E19" s="24">
        <f>E18-D18</f>
        <v>5750.1649015232979</v>
      </c>
      <c r="F19" s="24">
        <f>F18-E18</f>
        <v>4935.5582071407989</v>
      </c>
      <c r="G19" s="24">
        <f>G18-F18</f>
        <v>5058.947162319324</v>
      </c>
      <c r="H19" s="24">
        <f>H18-G18</f>
        <v>4148.3366731018177</v>
      </c>
    </row>
    <row r="22" spans="2:8" ht="14" x14ac:dyDescent="0.3">
      <c r="B22" s="22" t="s">
        <v>192</v>
      </c>
      <c r="C22" s="23"/>
      <c r="D22" s="23"/>
      <c r="E22" s="23"/>
      <c r="F22" s="23"/>
      <c r="G22" s="23"/>
      <c r="H22" s="23"/>
    </row>
    <row r="23" spans="2:8" ht="14" x14ac:dyDescent="0.3">
      <c r="D23" s="25" t="s">
        <v>86</v>
      </c>
      <c r="E23" s="25" t="s">
        <v>87</v>
      </c>
      <c r="F23" s="25" t="s">
        <v>88</v>
      </c>
      <c r="G23" s="25" t="s">
        <v>89</v>
      </c>
      <c r="H23" s="25" t="s">
        <v>90</v>
      </c>
    </row>
    <row r="24" spans="2:8" ht="14" x14ac:dyDescent="0.3">
      <c r="B24" s="3" t="s">
        <v>193</v>
      </c>
    </row>
    <row r="25" spans="2:8" ht="14" x14ac:dyDescent="0.3">
      <c r="B25" s="4" t="s">
        <v>84</v>
      </c>
      <c r="D25" s="30">
        <v>52</v>
      </c>
      <c r="E25" s="30">
        <v>52</v>
      </c>
      <c r="F25" s="30">
        <v>52</v>
      </c>
      <c r="G25" s="30">
        <v>52</v>
      </c>
      <c r="H25" s="30">
        <v>52</v>
      </c>
    </row>
    <row r="26" spans="2:8" ht="14" x14ac:dyDescent="0.3">
      <c r="B26" s="4" t="s">
        <v>121</v>
      </c>
      <c r="D26" s="30">
        <v>49</v>
      </c>
      <c r="E26" s="30">
        <v>49</v>
      </c>
      <c r="F26" s="30">
        <v>49</v>
      </c>
      <c r="G26" s="30">
        <v>49</v>
      </c>
      <c r="H26" s="30">
        <v>49</v>
      </c>
    </row>
    <row r="27" spans="2:8" ht="14" x14ac:dyDescent="0.3">
      <c r="B27" s="4" t="s">
        <v>122</v>
      </c>
      <c r="D27" s="30">
        <v>52</v>
      </c>
      <c r="E27" s="30">
        <v>52</v>
      </c>
      <c r="F27" s="30">
        <v>52</v>
      </c>
      <c r="G27" s="30">
        <v>52</v>
      </c>
      <c r="H27" s="30">
        <v>52</v>
      </c>
    </row>
    <row r="28" spans="2:8" ht="14" x14ac:dyDescent="0.3">
      <c r="B28" s="4" t="s">
        <v>123</v>
      </c>
      <c r="D28" s="30">
        <v>56</v>
      </c>
      <c r="E28" s="30">
        <v>56</v>
      </c>
      <c r="F28" s="30">
        <v>56</v>
      </c>
      <c r="G28" s="30">
        <v>56</v>
      </c>
      <c r="H28" s="30">
        <v>56</v>
      </c>
    </row>
    <row r="29" spans="2:8" ht="14" x14ac:dyDescent="0.3">
      <c r="B29" s="4" t="s">
        <v>124</v>
      </c>
      <c r="D29" s="30">
        <v>60</v>
      </c>
      <c r="E29" s="30">
        <v>60</v>
      </c>
      <c r="F29" s="30">
        <v>60</v>
      </c>
      <c r="G29" s="30">
        <v>60</v>
      </c>
      <c r="H29" s="30">
        <v>60</v>
      </c>
    </row>
    <row r="31" spans="2:8" ht="14" x14ac:dyDescent="0.3">
      <c r="B31" s="3" t="s">
        <v>194</v>
      </c>
    </row>
    <row r="32" spans="2:8" ht="14" x14ac:dyDescent="0.3">
      <c r="B32" s="4" t="s">
        <v>84</v>
      </c>
      <c r="D32" s="30">
        <v>23</v>
      </c>
      <c r="E32" s="30">
        <v>23</v>
      </c>
      <c r="F32" s="30">
        <v>23</v>
      </c>
      <c r="G32" s="30">
        <v>23</v>
      </c>
      <c r="H32" s="30">
        <v>23</v>
      </c>
    </row>
    <row r="33" spans="2:8" ht="14" x14ac:dyDescent="0.3">
      <c r="B33" s="4" t="s">
        <v>121</v>
      </c>
      <c r="D33" s="30">
        <v>17</v>
      </c>
      <c r="E33" s="30">
        <v>17</v>
      </c>
      <c r="F33" s="30">
        <v>17</v>
      </c>
      <c r="G33" s="30">
        <v>17</v>
      </c>
      <c r="H33" s="30">
        <v>17</v>
      </c>
    </row>
    <row r="34" spans="2:8" ht="14" x14ac:dyDescent="0.3">
      <c r="B34" s="4" t="s">
        <v>122</v>
      </c>
      <c r="D34" s="30">
        <v>23</v>
      </c>
      <c r="E34" s="30">
        <v>23</v>
      </c>
      <c r="F34" s="30">
        <v>23</v>
      </c>
      <c r="G34" s="30">
        <v>23</v>
      </c>
      <c r="H34" s="30">
        <v>23</v>
      </c>
    </row>
    <row r="35" spans="2:8" ht="14" x14ac:dyDescent="0.3">
      <c r="B35" s="4" t="s">
        <v>123</v>
      </c>
      <c r="D35" s="30">
        <v>30</v>
      </c>
      <c r="E35" s="30">
        <v>30</v>
      </c>
      <c r="F35" s="30">
        <v>30</v>
      </c>
      <c r="G35" s="30">
        <v>30</v>
      </c>
      <c r="H35" s="30">
        <v>30</v>
      </c>
    </row>
    <row r="36" spans="2:8" ht="14" x14ac:dyDescent="0.3">
      <c r="B36" s="4" t="s">
        <v>124</v>
      </c>
      <c r="D36" s="30">
        <v>37</v>
      </c>
      <c r="E36" s="30">
        <v>37</v>
      </c>
      <c r="F36" s="30">
        <v>37</v>
      </c>
      <c r="G36" s="30">
        <v>37</v>
      </c>
      <c r="H36" s="30">
        <v>37</v>
      </c>
    </row>
    <row r="38" spans="2:8" ht="14" x14ac:dyDescent="0.3">
      <c r="B38" s="3" t="s">
        <v>195</v>
      </c>
    </row>
    <row r="39" spans="2:8" ht="14" x14ac:dyDescent="0.3">
      <c r="B39" s="4" t="s">
        <v>84</v>
      </c>
      <c r="D39" s="30">
        <v>20</v>
      </c>
      <c r="E39" s="30">
        <v>20</v>
      </c>
      <c r="F39" s="30">
        <v>20</v>
      </c>
      <c r="G39" s="30">
        <v>20</v>
      </c>
      <c r="H39" s="30">
        <v>20</v>
      </c>
    </row>
    <row r="40" spans="2:8" ht="14" x14ac:dyDescent="0.3">
      <c r="B40" s="4" t="s">
        <v>121</v>
      </c>
      <c r="D40" s="30">
        <v>22</v>
      </c>
      <c r="E40" s="30">
        <v>22</v>
      </c>
      <c r="F40" s="30">
        <v>22</v>
      </c>
      <c r="G40" s="30">
        <v>22</v>
      </c>
      <c r="H40" s="30">
        <v>22</v>
      </c>
    </row>
    <row r="41" spans="2:8" ht="14" x14ac:dyDescent="0.3">
      <c r="B41" s="4" t="s">
        <v>122</v>
      </c>
      <c r="D41" s="30">
        <v>20</v>
      </c>
      <c r="E41" s="30">
        <v>20</v>
      </c>
      <c r="F41" s="30">
        <v>20</v>
      </c>
      <c r="G41" s="30">
        <v>20</v>
      </c>
      <c r="H41" s="30">
        <v>20</v>
      </c>
    </row>
    <row r="42" spans="2:8" ht="14" x14ac:dyDescent="0.3">
      <c r="B42" s="4" t="s">
        <v>123</v>
      </c>
      <c r="D42" s="30">
        <v>17</v>
      </c>
      <c r="E42" s="30">
        <v>17</v>
      </c>
      <c r="F42" s="30">
        <v>17</v>
      </c>
      <c r="G42" s="30">
        <v>17</v>
      </c>
      <c r="H42" s="30">
        <v>17</v>
      </c>
    </row>
    <row r="43" spans="2:8" ht="14" x14ac:dyDescent="0.3">
      <c r="B43" s="4" t="s">
        <v>124</v>
      </c>
      <c r="D43" s="30">
        <v>14</v>
      </c>
      <c r="E43" s="30">
        <v>14</v>
      </c>
      <c r="F43" s="30">
        <v>14</v>
      </c>
      <c r="G43" s="30">
        <v>14</v>
      </c>
      <c r="H43" s="30">
        <v>14</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x14ac:dyDescent="0.4">
      <c r="B2" s="2" t="s">
        <v>196</v>
      </c>
    </row>
    <row r="3" spans="2:17" ht="14" x14ac:dyDescent="0.3">
      <c r="B3" s="1" t="s">
        <v>197</v>
      </c>
    </row>
    <row r="4" spans="2:17" ht="28" x14ac:dyDescent="0.3">
      <c r="B4" s="10" t="s">
        <v>3</v>
      </c>
      <c r="C4" s="10" t="s">
        <v>5</v>
      </c>
      <c r="D4" s="10" t="s">
        <v>198</v>
      </c>
      <c r="E4" s="10" t="s">
        <v>199</v>
      </c>
      <c r="F4" s="10" t="s">
        <v>200</v>
      </c>
      <c r="G4" s="10" t="s">
        <v>201</v>
      </c>
      <c r="H4" s="10" t="s">
        <v>202</v>
      </c>
      <c r="I4" s="10" t="s">
        <v>203</v>
      </c>
      <c r="J4" s="10" t="s">
        <v>204</v>
      </c>
      <c r="K4" s="10" t="s">
        <v>205</v>
      </c>
      <c r="L4" s="10" t="s">
        <v>206</v>
      </c>
      <c r="M4" s="10" t="s">
        <v>207</v>
      </c>
      <c r="N4" s="10" t="s">
        <v>208</v>
      </c>
      <c r="O4" s="10" t="s">
        <v>209</v>
      </c>
      <c r="P4" s="10" t="s">
        <v>210</v>
      </c>
      <c r="Q4" s="10" t="s">
        <v>211</v>
      </c>
    </row>
    <row r="5" spans="2:17" ht="14" x14ac:dyDescent="0.3">
      <c r="B5" s="4" t="s">
        <v>212</v>
      </c>
      <c r="C5" t="s">
        <v>213</v>
      </c>
      <c r="D5" s="37">
        <f>'Executive Summary'!C9*C23/1000000</f>
        <v>2553546.0652399999</v>
      </c>
      <c r="E5" s="37">
        <f>D5+C24</f>
        <v>2084826.0652399999</v>
      </c>
      <c r="F5" s="37">
        <v>1256896</v>
      </c>
      <c r="G5" s="37">
        <v>241049</v>
      </c>
      <c r="H5" s="37">
        <v>160340</v>
      </c>
      <c r="I5" s="37">
        <v>112662</v>
      </c>
      <c r="J5" s="38">
        <f t="shared" ref="J5:J10" si="0">IFERROR(E5/G5,"")</f>
        <v>8.6489720564698462</v>
      </c>
      <c r="K5" s="38">
        <f t="shared" ref="K5:K10" si="1">IFERROR(E5/F5,"")</f>
        <v>1.658710080420337</v>
      </c>
      <c r="L5" s="38">
        <f t="shared" ref="L5:L10" si="2">IFERROR(D5/I5,"")</f>
        <v>22.665548856224813</v>
      </c>
      <c r="M5" s="38">
        <f t="shared" ref="M5:M10" si="3">IFERROR(D5/P5,"")</f>
        <v>1.9425130463927798</v>
      </c>
      <c r="N5" s="39">
        <f t="shared" ref="N5:N10" si="4">IFERROR(H5/F5,"")</f>
        <v>0.12756823158001934</v>
      </c>
      <c r="O5" s="39">
        <f t="shared" ref="O5:O10" si="5">IFERROR(I5/P5,"")</f>
        <v>8.5703331461981905E-2</v>
      </c>
      <c r="P5" s="37">
        <v>1314558</v>
      </c>
    </row>
    <row r="6" spans="2:17" ht="14" x14ac:dyDescent="0.3">
      <c r="B6" s="4" t="s">
        <v>214</v>
      </c>
      <c r="C6" t="s">
        <v>215</v>
      </c>
      <c r="D6" s="37">
        <v>588135</v>
      </c>
      <c r="E6" s="37">
        <v>516118</v>
      </c>
      <c r="F6" s="37">
        <v>597026</v>
      </c>
      <c r="G6" s="37">
        <v>71733</v>
      </c>
      <c r="H6" s="37">
        <v>46919</v>
      </c>
      <c r="I6" s="37">
        <v>33262</v>
      </c>
      <c r="J6" s="38">
        <f t="shared" si="0"/>
        <v>7.1949869655528138</v>
      </c>
      <c r="K6" s="38">
        <f t="shared" si="1"/>
        <v>0.86448161386606281</v>
      </c>
      <c r="L6" s="38">
        <f t="shared" si="2"/>
        <v>17.681889242979977</v>
      </c>
      <c r="M6" s="38">
        <f t="shared" si="3"/>
        <v>1.5330667591161344</v>
      </c>
      <c r="N6" s="39">
        <f t="shared" si="4"/>
        <v>7.8587867195063527E-2</v>
      </c>
      <c r="O6" s="39">
        <f t="shared" si="5"/>
        <v>8.6702655923760474E-2</v>
      </c>
      <c r="P6" s="37">
        <v>383633</v>
      </c>
    </row>
    <row r="7" spans="2:17" ht="14" x14ac:dyDescent="0.3">
      <c r="B7" s="4" t="s">
        <v>216</v>
      </c>
      <c r="C7" t="s">
        <v>217</v>
      </c>
      <c r="D7" s="37">
        <v>2937170</v>
      </c>
      <c r="E7" s="37">
        <v>3040678</v>
      </c>
      <c r="F7" s="37">
        <v>814708</v>
      </c>
      <c r="G7" s="37">
        <v>108445</v>
      </c>
      <c r="H7" s="37">
        <v>57170</v>
      </c>
      <c r="I7" s="37">
        <v>15257</v>
      </c>
      <c r="J7" s="38">
        <f t="shared" si="0"/>
        <v>28.038895292544609</v>
      </c>
      <c r="K7" s="38">
        <f t="shared" si="1"/>
        <v>3.7322304432999309</v>
      </c>
      <c r="L7" s="38">
        <f t="shared" si="2"/>
        <v>192.51294487776102</v>
      </c>
      <c r="M7" s="38">
        <f t="shared" si="3"/>
        <v>6.7691545384358331</v>
      </c>
      <c r="N7" s="39">
        <f t="shared" si="4"/>
        <v>7.0172380779371255E-2</v>
      </c>
      <c r="O7" s="39">
        <f t="shared" si="5"/>
        <v>3.5162074647676338E-2</v>
      </c>
      <c r="P7" s="37">
        <v>433905</v>
      </c>
    </row>
    <row r="8" spans="2:17" ht="14" x14ac:dyDescent="0.3">
      <c r="B8" s="4" t="s">
        <v>218</v>
      </c>
      <c r="C8" t="s">
        <v>219</v>
      </c>
      <c r="D8" s="37">
        <v>2188076</v>
      </c>
      <c r="E8" s="37">
        <v>1980691</v>
      </c>
      <c r="F8" s="37">
        <v>135209</v>
      </c>
      <c r="G8" s="37">
        <v>91519</v>
      </c>
      <c r="H8" s="37">
        <v>88824</v>
      </c>
      <c r="I8" s="37">
        <v>75191</v>
      </c>
      <c r="J8" s="38">
        <f t="shared" si="0"/>
        <v>21.642402124149083</v>
      </c>
      <c r="K8" s="38">
        <f t="shared" si="1"/>
        <v>14.649106198551872</v>
      </c>
      <c r="L8" s="38">
        <f t="shared" si="2"/>
        <v>29.100238060406166</v>
      </c>
      <c r="M8" s="38">
        <f t="shared" si="3"/>
        <v>4.2403751865273929</v>
      </c>
      <c r="N8" s="39">
        <f t="shared" si="4"/>
        <v>0.65693851740638565</v>
      </c>
      <c r="O8" s="39">
        <f t="shared" si="5"/>
        <v>0.14571616829131218</v>
      </c>
      <c r="P8" s="37">
        <v>516010</v>
      </c>
    </row>
    <row r="9" spans="2:17" ht="14" x14ac:dyDescent="0.3">
      <c r="B9" s="4" t="s">
        <v>220</v>
      </c>
      <c r="C9" t="s">
        <v>221</v>
      </c>
      <c r="D9" s="37">
        <v>848598</v>
      </c>
      <c r="E9" s="37">
        <v>799595</v>
      </c>
      <c r="F9" s="37">
        <v>596479</v>
      </c>
      <c r="G9" s="37">
        <v>94915</v>
      </c>
      <c r="H9" s="37">
        <v>76229</v>
      </c>
      <c r="I9" s="37">
        <v>46624</v>
      </c>
      <c r="J9" s="38">
        <f t="shared" si="0"/>
        <v>8.4243270294474009</v>
      </c>
      <c r="K9" s="38">
        <f t="shared" si="1"/>
        <v>1.3405249807621056</v>
      </c>
      <c r="L9" s="38">
        <f t="shared" si="2"/>
        <v>18.200883665065202</v>
      </c>
      <c r="M9" s="38">
        <f t="shared" si="3"/>
        <v>2.6132417700859176</v>
      </c>
      <c r="N9" s="39">
        <f t="shared" si="4"/>
        <v>0.12779829633566311</v>
      </c>
      <c r="O9" s="39">
        <f t="shared" si="5"/>
        <v>0.14357774150833</v>
      </c>
      <c r="P9" s="37">
        <v>324730</v>
      </c>
    </row>
    <row r="10" spans="2:17" ht="14" x14ac:dyDescent="0.3">
      <c r="B10" s="4" t="s">
        <v>222</v>
      </c>
      <c r="C10" t="s">
        <v>223</v>
      </c>
      <c r="D10" s="37">
        <v>258642</v>
      </c>
      <c r="E10" s="37">
        <v>205803</v>
      </c>
      <c r="F10" s="37">
        <v>137686</v>
      </c>
      <c r="G10" s="37">
        <v>20179</v>
      </c>
      <c r="H10" s="37">
        <v>19903</v>
      </c>
      <c r="I10" s="37">
        <v>15051</v>
      </c>
      <c r="J10" s="38">
        <f t="shared" si="0"/>
        <v>10.198870112493186</v>
      </c>
      <c r="K10" s="38">
        <f t="shared" si="1"/>
        <v>1.4947271327513327</v>
      </c>
      <c r="L10" s="38">
        <f t="shared" si="2"/>
        <v>17.1843731313534</v>
      </c>
      <c r="M10" s="38">
        <f t="shared" si="3"/>
        <v>5.3040625064085472</v>
      </c>
      <c r="N10" s="39">
        <f t="shared" si="4"/>
        <v>0.14455354938047441</v>
      </c>
      <c r="O10" s="39">
        <f t="shared" si="5"/>
        <v>0.30865615323093332</v>
      </c>
      <c r="P10" s="37">
        <v>48763</v>
      </c>
    </row>
    <row r="14" spans="2:17" ht="14" x14ac:dyDescent="0.3">
      <c r="B14" s="3" t="s">
        <v>224</v>
      </c>
    </row>
    <row r="15" spans="2:17" ht="14" x14ac:dyDescent="0.3">
      <c r="B15" s="4" t="s">
        <v>225</v>
      </c>
      <c r="D15" s="38">
        <f t="shared" ref="D15:I15" si="6">PERCENTILE(J6:J10,0.25)</f>
        <v>8.4243270294474009</v>
      </c>
      <c r="E15" s="38">
        <f t="shared" si="6"/>
        <v>1.3405249807621056</v>
      </c>
      <c r="F15" s="38">
        <f t="shared" si="6"/>
        <v>17.681889242979977</v>
      </c>
      <c r="G15" s="38">
        <f t="shared" si="6"/>
        <v>2.6132417700859176</v>
      </c>
      <c r="H15" s="39">
        <f t="shared" si="6"/>
        <v>7.8587867195063527E-2</v>
      </c>
      <c r="I15" s="39">
        <f t="shared" si="6"/>
        <v>8.6702655923760474E-2</v>
      </c>
    </row>
    <row r="16" spans="2:17" ht="14" x14ac:dyDescent="0.3">
      <c r="B16" s="4" t="s">
        <v>226</v>
      </c>
      <c r="D16" s="38">
        <f t="shared" ref="D16:I16" si="7">MEDIAN(J6:J10)</f>
        <v>10.198870112493186</v>
      </c>
      <c r="E16" s="38">
        <f t="shared" si="7"/>
        <v>1.4947271327513327</v>
      </c>
      <c r="F16" s="38">
        <f t="shared" si="7"/>
        <v>18.200883665065202</v>
      </c>
      <c r="G16" s="38">
        <f t="shared" si="7"/>
        <v>4.2403751865273929</v>
      </c>
      <c r="H16" s="39">
        <f t="shared" si="7"/>
        <v>0.12779829633566311</v>
      </c>
      <c r="I16" s="39">
        <f t="shared" si="7"/>
        <v>0.14357774150833</v>
      </c>
    </row>
    <row r="17" spans="2:9" ht="14" x14ac:dyDescent="0.3">
      <c r="B17" s="4" t="s">
        <v>227</v>
      </c>
      <c r="D17" s="38">
        <f t="shared" ref="D17:I17" si="8">PERCENTILE(J6:J10,0.75)</f>
        <v>21.642402124149083</v>
      </c>
      <c r="E17" s="38">
        <f t="shared" si="8"/>
        <v>3.7322304432999309</v>
      </c>
      <c r="F17" s="38">
        <f t="shared" si="8"/>
        <v>29.100238060406166</v>
      </c>
      <c r="G17" s="38">
        <f t="shared" si="8"/>
        <v>5.3040625064085472</v>
      </c>
      <c r="H17" s="39">
        <f t="shared" si="8"/>
        <v>0.14455354938047441</v>
      </c>
      <c r="I17" s="39">
        <f t="shared" si="8"/>
        <v>0.14571616829131218</v>
      </c>
    </row>
    <row r="19" spans="2:9" ht="14" x14ac:dyDescent="0.3">
      <c r="B19" s="22" t="s">
        <v>228</v>
      </c>
      <c r="C19" s="23"/>
      <c r="D19" s="23"/>
      <c r="E19" s="23"/>
      <c r="F19" s="23"/>
      <c r="G19" s="23"/>
      <c r="H19" s="23"/>
      <c r="I19" s="23"/>
    </row>
    <row r="20" spans="2:9" ht="14" x14ac:dyDescent="0.3">
      <c r="B20" s="3" t="s">
        <v>229</v>
      </c>
    </row>
    <row r="21" spans="2:9" ht="14" x14ac:dyDescent="0.3">
      <c r="B21" s="4" t="s">
        <v>230</v>
      </c>
      <c r="C21" s="5">
        <v>241049</v>
      </c>
    </row>
    <row r="22" spans="2:9" ht="14" x14ac:dyDescent="0.3">
      <c r="B22" s="4" t="s">
        <v>231</v>
      </c>
      <c r="C22" s="5">
        <v>112662</v>
      </c>
    </row>
    <row r="23" spans="2:9" ht="14" x14ac:dyDescent="0.3">
      <c r="B23" s="4" t="s">
        <v>232</v>
      </c>
      <c r="C23" s="15">
        <v>398929240</v>
      </c>
    </row>
    <row r="24" spans="2:9" ht="14" x14ac:dyDescent="0.3">
      <c r="B24" s="4" t="s">
        <v>73</v>
      </c>
      <c r="C24" s="5">
        <v>-468720</v>
      </c>
    </row>
    <row r="26" spans="2:9" ht="14" x14ac:dyDescent="0.3">
      <c r="B26" s="3" t="s">
        <v>233</v>
      </c>
    </row>
    <row r="27" spans="2:9" ht="14" x14ac:dyDescent="0.3">
      <c r="B27" s="4" t="s">
        <v>234</v>
      </c>
      <c r="C27" s="24">
        <f>ROUND((C21*D16-C24)*1000000/C23,0)</f>
        <v>7338</v>
      </c>
    </row>
    <row r="28" spans="2:9" ht="14" x14ac:dyDescent="0.3">
      <c r="B28" s="4" t="s">
        <v>235</v>
      </c>
      <c r="C28" s="24">
        <f>ROUND(C22*F16*1000000/C23,0)</f>
        <v>5140</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x14ac:dyDescent="0.4">
      <c r="B2" s="2" t="s">
        <v>236</v>
      </c>
    </row>
    <row r="3" spans="2:9" ht="14" x14ac:dyDescent="0.3">
      <c r="B3" s="4" t="s">
        <v>237</v>
      </c>
      <c r="C3" s="16">
        <f>'DCF Model'!C26</f>
        <v>7.3584499999999997E-2</v>
      </c>
      <c r="E3" s="4" t="s">
        <v>238</v>
      </c>
      <c r="F3" s="16">
        <f>'DCF Model'!C13</f>
        <v>0.01</v>
      </c>
      <c r="H3" s="4" t="s">
        <v>239</v>
      </c>
      <c r="I3" s="14">
        <f>'DCF Model'!C14</f>
        <v>10.199999999999999</v>
      </c>
    </row>
    <row r="5" spans="2:9" ht="14" x14ac:dyDescent="0.3">
      <c r="B5" s="3" t="s">
        <v>240</v>
      </c>
    </row>
    <row r="6" spans="2:9" ht="14" x14ac:dyDescent="0.3">
      <c r="B6" s="40" t="s">
        <v>241</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x14ac:dyDescent="0.25">
      <c r="B7" s="39">
        <f>$C$3-0.015</f>
        <v>5.8584499999999998E-2</v>
      </c>
      <c r="C7" s="37">
        <f>IFERROR(ROUND(('DCF Model'!C45/(1+$B7)^('DCF Model'!C19+0)+'DCF Model'!D45/(1+$B7)^('DCF Model'!C19+1)+'DCF Model'!E45/(1+$B7)^('DCF Model'!C19+2)+'DCF Model'!F45/(1+$B7)^('DCF Model'!C19+3)+'DCF Model'!G45/(1+$B7)^('DCF Model'!C19+4)+'DCF Model'!G45*(1+C$6)/($B7-C$6)/(1+$B7)^('DCF Model'!C19+4)-'DCF Model'!C16)*1000000/'DCF Model'!C15,0),"")</f>
        <v>6714</v>
      </c>
      <c r="D7" s="37">
        <f>IFERROR(ROUND(('DCF Model'!C45/(1+$B7)^('DCF Model'!C19+0)+'DCF Model'!D45/(1+$B7)^('DCF Model'!C19+1)+'DCF Model'!E45/(1+$B7)^('DCF Model'!C19+2)+'DCF Model'!F45/(1+$B7)^('DCF Model'!C19+3)+'DCF Model'!G45/(1+$B7)^('DCF Model'!C19+4)+'DCF Model'!G45*(1+D$6)/($B7-D$6)/(1+$B7)^('DCF Model'!C19+4)-'DCF Model'!C16)*1000000/'DCF Model'!C15,0),"")</f>
        <v>6924</v>
      </c>
      <c r="E7" s="37">
        <f>IFERROR(ROUND(('DCF Model'!C45/(1+$B7)^('DCF Model'!C19+0)+'DCF Model'!D45/(1+$B7)^('DCF Model'!C19+1)+'DCF Model'!E45/(1+$B7)^('DCF Model'!C19+2)+'DCF Model'!F45/(1+$B7)^('DCF Model'!C19+3)+'DCF Model'!G45/(1+$B7)^('DCF Model'!C19+4)+'DCF Model'!G45*(1+E$6)/($B7-E$6)/(1+$B7)^('DCF Model'!C19+4)-'DCF Model'!C16)*1000000/'DCF Model'!C15,0),"")</f>
        <v>7155</v>
      </c>
      <c r="F7" s="37">
        <f>IFERROR(ROUND(('DCF Model'!C45/(1+$B7)^('DCF Model'!C19+0)+'DCF Model'!D45/(1+$B7)^('DCF Model'!C19+1)+'DCF Model'!E45/(1+$B7)^('DCF Model'!C19+2)+'DCF Model'!F45/(1+$B7)^('DCF Model'!C19+3)+'DCF Model'!G45/(1+$B7)^('DCF Model'!C19+4)+'DCF Model'!G45*(1+F$6)/($B7-F$6)/(1+$B7)^('DCF Model'!C19+4)-'DCF Model'!C16)*1000000/'DCF Model'!C15,0),"")</f>
        <v>7410</v>
      </c>
      <c r="G7" s="37">
        <f>IFERROR(ROUND(('DCF Model'!C45/(1+$B7)^('DCF Model'!C19+0)+'DCF Model'!D45/(1+$B7)^('DCF Model'!C19+1)+'DCF Model'!E45/(1+$B7)^('DCF Model'!C19+2)+'DCF Model'!F45/(1+$B7)^('DCF Model'!C19+3)+'DCF Model'!G45/(1+$B7)^('DCF Model'!C19+4)+'DCF Model'!G45*(1+G$6)/($B7-G$6)/(1+$B7)^('DCF Model'!C19+4)-'DCF Model'!C16)*1000000/'DCF Model'!C15,0),"")</f>
        <v>7692</v>
      </c>
      <c r="H7" s="37">
        <f>IFERROR(ROUND(('DCF Model'!C45/(1+$B7)^('DCF Model'!C19+0)+'DCF Model'!D45/(1+$B7)^('DCF Model'!C19+1)+'DCF Model'!E45/(1+$B7)^('DCF Model'!C19+2)+'DCF Model'!F45/(1+$B7)^('DCF Model'!C19+3)+'DCF Model'!G45/(1+$B7)^('DCF Model'!C19+4)+'DCF Model'!G45*(1+H$6)/($B7-H$6)/(1+$B7)^('DCF Model'!C19+4)-'DCF Model'!C16)*1000000/'DCF Model'!C15,0),"")</f>
        <v>8007</v>
      </c>
      <c r="I7" s="37">
        <f>IFERROR(ROUND(('DCF Model'!C45/(1+$B7)^('DCF Model'!C19+0)+'DCF Model'!D45/(1+$B7)^('DCF Model'!C19+1)+'DCF Model'!E45/(1+$B7)^('DCF Model'!C19+2)+'DCF Model'!F45/(1+$B7)^('DCF Model'!C19+3)+'DCF Model'!G45/(1+$B7)^('DCF Model'!C19+4)+'DCF Model'!G45*(1+I$6)/($B7-I$6)/(1+$B7)^('DCF Model'!C19+4)-'DCF Model'!C16)*1000000/'DCF Model'!C15,0),"")</f>
        <v>8360</v>
      </c>
    </row>
    <row r="8" spans="2:9" ht="13.5" x14ac:dyDescent="0.25">
      <c r="B8" s="39">
        <f>$C$3-0.01</f>
        <v>6.3584500000000002E-2</v>
      </c>
      <c r="C8" s="37">
        <f>IFERROR(ROUND(('DCF Model'!C45/(1+$B8)^('DCF Model'!C19+0)+'DCF Model'!D45/(1+$B8)^('DCF Model'!C19+1)+'DCF Model'!E45/(1+$B8)^('DCF Model'!C19+2)+'DCF Model'!F45/(1+$B8)^('DCF Model'!C19+3)+'DCF Model'!G45/(1+$B8)^('DCF Model'!C19+4)+'DCF Model'!G45*(1+C$6)/($B8-C$6)/(1+$B8)^('DCF Model'!C19+4)-'DCF Model'!C16)*1000000/'DCF Model'!C15,0),"")</f>
        <v>6256</v>
      </c>
      <c r="D8" s="37">
        <f>IFERROR(ROUND(('DCF Model'!C45/(1+$B8)^('DCF Model'!C19+0)+'DCF Model'!D45/(1+$B8)^('DCF Model'!C19+1)+'DCF Model'!E45/(1+$B8)^('DCF Model'!C19+2)+'DCF Model'!F45/(1+$B8)^('DCF Model'!C19+3)+'DCF Model'!G45/(1+$B8)^('DCF Model'!C19+4)+'DCF Model'!G45*(1+D$6)/($B8-D$6)/(1+$B8)^('DCF Model'!C19+4)-'DCF Model'!C16)*1000000/'DCF Model'!C15,0),"")</f>
        <v>6429</v>
      </c>
      <c r="E8" s="37">
        <f>IFERROR(ROUND(('DCF Model'!C45/(1+$B8)^('DCF Model'!C19+0)+'DCF Model'!D45/(1+$B8)^('DCF Model'!C19+1)+'DCF Model'!E45/(1+$B8)^('DCF Model'!C19+2)+'DCF Model'!F45/(1+$B8)^('DCF Model'!C19+3)+'DCF Model'!G45/(1+$B8)^('DCF Model'!C19+4)+'DCF Model'!G45*(1+E$6)/($B8-E$6)/(1+$B8)^('DCF Model'!C19+4)-'DCF Model'!C16)*1000000/'DCF Model'!C15,0),"")</f>
        <v>6618</v>
      </c>
      <c r="F8" s="37">
        <f>IFERROR(ROUND(('DCF Model'!C45/(1+$B8)^('DCF Model'!C19+0)+'DCF Model'!D45/(1+$B8)^('DCF Model'!C19+1)+'DCF Model'!E45/(1+$B8)^('DCF Model'!C19+2)+'DCF Model'!F45/(1+$B8)^('DCF Model'!C19+3)+'DCF Model'!G45/(1+$B8)^('DCF Model'!C19+4)+'DCF Model'!G45*(1+F$6)/($B8-F$6)/(1+$B8)^('DCF Model'!C19+4)-'DCF Model'!C16)*1000000/'DCF Model'!C15,0),"")</f>
        <v>6825</v>
      </c>
      <c r="G8" s="37">
        <f>IFERROR(ROUND(('DCF Model'!C45/(1+$B8)^('DCF Model'!C19+0)+'DCF Model'!D45/(1+$B8)^('DCF Model'!C19+1)+'DCF Model'!E45/(1+$B8)^('DCF Model'!C19+2)+'DCF Model'!F45/(1+$B8)^('DCF Model'!C19+3)+'DCF Model'!G45/(1+$B8)^('DCF Model'!C19+4)+'DCF Model'!G45*(1+G$6)/($B8-G$6)/(1+$B8)^('DCF Model'!C19+4)-'DCF Model'!C16)*1000000/'DCF Model'!C15,0),"")</f>
        <v>7051</v>
      </c>
      <c r="H8" s="37">
        <f>IFERROR(ROUND(('DCF Model'!C45/(1+$B8)^('DCF Model'!C19+0)+'DCF Model'!D45/(1+$B8)^('DCF Model'!C19+1)+'DCF Model'!E45/(1+$B8)^('DCF Model'!C19+2)+'DCF Model'!F45/(1+$B8)^('DCF Model'!C19+3)+'DCF Model'!G45/(1+$B8)^('DCF Model'!C19+4)+'DCF Model'!G45*(1+H$6)/($B8-H$6)/(1+$B8)^('DCF Model'!C19+4)-'DCF Model'!C16)*1000000/'DCF Model'!C15,0),"")</f>
        <v>7301</v>
      </c>
      <c r="I8" s="37">
        <f>IFERROR(ROUND(('DCF Model'!C45/(1+$B8)^('DCF Model'!C19+0)+'DCF Model'!D45/(1+$B8)^('DCF Model'!C19+1)+'DCF Model'!E45/(1+$B8)^('DCF Model'!C19+2)+'DCF Model'!F45/(1+$B8)^('DCF Model'!C19+3)+'DCF Model'!G45/(1+$B8)^('DCF Model'!C19+4)+'DCF Model'!G45*(1+I$6)/($B8-I$6)/(1+$B8)^('DCF Model'!C19+4)-'DCF Model'!C16)*1000000/'DCF Model'!C15,0),"")</f>
        <v>7578</v>
      </c>
    </row>
    <row r="9" spans="2:9" ht="13.5" x14ac:dyDescent="0.25">
      <c r="B9" s="39">
        <f>$C$3-0.005</f>
        <v>6.8584499999999993E-2</v>
      </c>
      <c r="C9" s="37">
        <f>IFERROR(ROUND(('DCF Model'!C45/(1+$B9)^('DCF Model'!C19+0)+'DCF Model'!D45/(1+$B9)^('DCF Model'!C19+1)+'DCF Model'!E45/(1+$B9)^('DCF Model'!C19+2)+'DCF Model'!F45/(1+$B9)^('DCF Model'!C19+3)+'DCF Model'!G45/(1+$B9)^('DCF Model'!C19+4)+'DCF Model'!G45*(1+C$6)/($B9-C$6)/(1+$B9)^('DCF Model'!C19+4)-'DCF Model'!C16)*1000000/'DCF Model'!C15,0),"")</f>
        <v>5867</v>
      </c>
      <c r="D9" s="37">
        <f>IFERROR(ROUND(('DCF Model'!C45/(1+$B9)^('DCF Model'!C19+0)+'DCF Model'!D45/(1+$B9)^('DCF Model'!C19+1)+'DCF Model'!E45/(1+$B9)^('DCF Model'!C19+2)+'DCF Model'!F45/(1+$B9)^('DCF Model'!C19+3)+'DCF Model'!G45/(1+$B9)^('DCF Model'!C19+4)+'DCF Model'!G45*(1+D$6)/($B9-D$6)/(1+$B9)^('DCF Model'!C19+4)-'DCF Model'!C16)*1000000/'DCF Model'!C15,0),"")</f>
        <v>6012</v>
      </c>
      <c r="E9" s="37">
        <f>IFERROR(ROUND(('DCF Model'!C45/(1+$B9)^('DCF Model'!C19+0)+'DCF Model'!D45/(1+$B9)^('DCF Model'!C19+1)+'DCF Model'!E45/(1+$B9)^('DCF Model'!C19+2)+'DCF Model'!F45/(1+$B9)^('DCF Model'!C19+3)+'DCF Model'!G45/(1+$B9)^('DCF Model'!C19+4)+'DCF Model'!G45*(1+E$6)/($B9-E$6)/(1+$B9)^('DCF Model'!C19+4)-'DCF Model'!C16)*1000000/'DCF Model'!C15,0),"")</f>
        <v>6169</v>
      </c>
      <c r="F9" s="37">
        <f>IFERROR(ROUND(('DCF Model'!C45/(1+$B9)^('DCF Model'!C19+0)+'DCF Model'!D45/(1+$B9)^('DCF Model'!C19+1)+'DCF Model'!E45/(1+$B9)^('DCF Model'!C19+2)+'DCF Model'!F45/(1+$B9)^('DCF Model'!C19+3)+'DCF Model'!G45/(1+$B9)^('DCF Model'!C19+4)+'DCF Model'!G45*(1+F$6)/($B9-F$6)/(1+$B9)^('DCF Model'!C19+4)-'DCF Model'!C16)*1000000/'DCF Model'!C15,0),"")</f>
        <v>6339</v>
      </c>
      <c r="G9" s="37">
        <f>IFERROR(ROUND(('DCF Model'!C45/(1+$B9)^('DCF Model'!C19+0)+'DCF Model'!D45/(1+$B9)^('DCF Model'!C19+1)+'DCF Model'!E45/(1+$B9)^('DCF Model'!C19+2)+'DCF Model'!F45/(1+$B9)^('DCF Model'!C19+3)+'DCF Model'!G45/(1+$B9)^('DCF Model'!C19+4)+'DCF Model'!G45*(1+G$6)/($B9-G$6)/(1+$B9)^('DCF Model'!C19+4)-'DCF Model'!C16)*1000000/'DCF Model'!C15,0),"")</f>
        <v>6524</v>
      </c>
      <c r="H9" s="37">
        <f>IFERROR(ROUND(('DCF Model'!C45/(1+$B9)^('DCF Model'!C19+0)+'DCF Model'!D45/(1+$B9)^('DCF Model'!C19+1)+'DCF Model'!E45/(1+$B9)^('DCF Model'!C19+2)+'DCF Model'!F45/(1+$B9)^('DCF Model'!C19+3)+'DCF Model'!G45/(1+$B9)^('DCF Model'!C19+4)+'DCF Model'!G45*(1+H$6)/($B9-H$6)/(1+$B9)^('DCF Model'!C19+4)-'DCF Model'!C16)*1000000/'DCF Model'!C15,0),"")</f>
        <v>6727</v>
      </c>
      <c r="I9" s="37">
        <f>IFERROR(ROUND(('DCF Model'!C45/(1+$B9)^('DCF Model'!C19+0)+'DCF Model'!D45/(1+$B9)^('DCF Model'!C19+1)+'DCF Model'!E45/(1+$B9)^('DCF Model'!C19+2)+'DCF Model'!F45/(1+$B9)^('DCF Model'!C19+3)+'DCF Model'!G45/(1+$B9)^('DCF Model'!C19+4)+'DCF Model'!G45*(1+I$6)/($B9-I$6)/(1+$B9)^('DCF Model'!C19+4)-'DCF Model'!C16)*1000000/'DCF Model'!C15,0),"")</f>
        <v>6949</v>
      </c>
    </row>
    <row r="10" spans="2:9" ht="13.5" x14ac:dyDescent="0.25">
      <c r="B10" s="39">
        <f>$C$3</f>
        <v>7.3584499999999997E-2</v>
      </c>
      <c r="C10" s="37">
        <f>IFERROR(ROUND(('DCF Model'!C45/(1+$B10)^('DCF Model'!C19+0)+'DCF Model'!D45/(1+$B10)^('DCF Model'!C19+1)+'DCF Model'!E45/(1+$B10)^('DCF Model'!C19+2)+'DCF Model'!F45/(1+$B10)^('DCF Model'!C19+3)+'DCF Model'!G45/(1+$B10)^('DCF Model'!C19+4)+'DCF Model'!G45*(1+C$6)/($B10-C$6)/(1+$B10)^('DCF Model'!C19+4)-'DCF Model'!C16)*1000000/'DCF Model'!C15,0),"")</f>
        <v>5533</v>
      </c>
      <c r="D10" s="37">
        <f>IFERROR(ROUND(('DCF Model'!C45/(1+$B10)^('DCF Model'!C19+0)+'DCF Model'!D45/(1+$B10)^('DCF Model'!C19+1)+'DCF Model'!E45/(1+$B10)^('DCF Model'!C19+2)+'DCF Model'!F45/(1+$B10)^('DCF Model'!C19+3)+'DCF Model'!G45/(1+$B10)^('DCF Model'!C19+4)+'DCF Model'!G45*(1+D$6)/($B10-D$6)/(1+$B10)^('DCF Model'!C19+4)-'DCF Model'!C16)*1000000/'DCF Model'!C15,0),"")</f>
        <v>5656</v>
      </c>
      <c r="E10" s="37">
        <f>IFERROR(ROUND(('DCF Model'!C45/(1+$B10)^('DCF Model'!C19+0)+'DCF Model'!D45/(1+$B10)^('DCF Model'!C19+1)+'DCF Model'!E45/(1+$B10)^('DCF Model'!C19+2)+'DCF Model'!F45/(1+$B10)^('DCF Model'!C19+3)+'DCF Model'!G45/(1+$B10)^('DCF Model'!C19+4)+'DCF Model'!G45*(1+E$6)/($B10-E$6)/(1+$B10)^('DCF Model'!C19+4)-'DCF Model'!C16)*1000000/'DCF Model'!C15,0),"")</f>
        <v>5788</v>
      </c>
      <c r="F10" s="37">
        <f>IFERROR(ROUND(('DCF Model'!C45/(1+$B10)^('DCF Model'!C19+0)+'DCF Model'!D45/(1+$B10)^('DCF Model'!C19+1)+'DCF Model'!E45/(1+$B10)^('DCF Model'!C19+2)+'DCF Model'!F45/(1+$B10)^('DCF Model'!C19+3)+'DCF Model'!G45/(1+$B10)^('DCF Model'!C19+4)+'DCF Model'!G45*(1+F$6)/($B10-F$6)/(1+$B10)^('DCF Model'!C19+4)-'DCF Model'!C16)*1000000/'DCF Model'!C15,0),"")</f>
        <v>5930</v>
      </c>
      <c r="G10" s="37">
        <f>IFERROR(ROUND(('DCF Model'!C45/(1+$B10)^('DCF Model'!C19+0)+'DCF Model'!D45/(1+$B10)^('DCF Model'!C19+1)+'DCF Model'!E45/(1+$B10)^('DCF Model'!C19+2)+'DCF Model'!F45/(1+$B10)^('DCF Model'!C19+3)+'DCF Model'!G45/(1+$B10)^('DCF Model'!C19+4)+'DCF Model'!G45*(1+G$6)/($B10-G$6)/(1+$B10)^('DCF Model'!C19+4)-'DCF Model'!C16)*1000000/'DCF Model'!C15,0),"")</f>
        <v>6084</v>
      </c>
      <c r="H10" s="37">
        <f>IFERROR(ROUND(('DCF Model'!C45/(1+$B10)^('DCF Model'!C19+0)+'DCF Model'!D45/(1+$B10)^('DCF Model'!C19+1)+'DCF Model'!E45/(1+$B10)^('DCF Model'!C19+2)+'DCF Model'!F45/(1+$B10)^('DCF Model'!C19+3)+'DCF Model'!G45/(1+$B10)^('DCF Model'!C19+4)+'DCF Model'!G45*(1+H$6)/($B10-H$6)/(1+$B10)^('DCF Model'!C19+4)-'DCF Model'!C16)*1000000/'DCF Model'!C15,0),"")</f>
        <v>6251</v>
      </c>
      <c r="I10" s="37">
        <f>IFERROR(ROUND(('DCF Model'!C45/(1+$B10)^('DCF Model'!C19+0)+'DCF Model'!D45/(1+$B10)^('DCF Model'!C19+1)+'DCF Model'!E45/(1+$B10)^('DCF Model'!C19+2)+'DCF Model'!F45/(1+$B10)^('DCF Model'!C19+3)+'DCF Model'!G45/(1+$B10)^('DCF Model'!C19+4)+'DCF Model'!G45*(1+I$6)/($B10-I$6)/(1+$B10)^('DCF Model'!C19+4)-'DCF Model'!C16)*1000000/'DCF Model'!C15,0),"")</f>
        <v>6433</v>
      </c>
    </row>
    <row r="11" spans="2:9" ht="13.5" x14ac:dyDescent="0.25">
      <c r="B11" s="39">
        <f>$C$3+0.005</f>
        <v>7.8584500000000002E-2</v>
      </c>
      <c r="C11" s="37">
        <f>IFERROR(ROUND(('DCF Model'!C45/(1+$B11)^('DCF Model'!C19+0)+'DCF Model'!D45/(1+$B11)^('DCF Model'!C19+1)+'DCF Model'!E45/(1+$B11)^('DCF Model'!C19+2)+'DCF Model'!F45/(1+$B11)^('DCF Model'!C19+3)+'DCF Model'!G45/(1+$B11)^('DCF Model'!C19+4)+'DCF Model'!G45*(1+C$6)/($B11-C$6)/(1+$B11)^('DCF Model'!C19+4)-'DCF Model'!C16)*1000000/'DCF Model'!C15,0),"")</f>
        <v>5243</v>
      </c>
      <c r="D11" s="37">
        <f>IFERROR(ROUND(('DCF Model'!C45/(1+$B11)^('DCF Model'!C19+0)+'DCF Model'!D45/(1+$B11)^('DCF Model'!C19+1)+'DCF Model'!E45/(1+$B11)^('DCF Model'!C19+2)+'DCF Model'!F45/(1+$B11)^('DCF Model'!C19+3)+'DCF Model'!G45/(1+$B11)^('DCF Model'!C19+4)+'DCF Model'!G45*(1+D$6)/($B11-D$6)/(1+$B11)^('DCF Model'!C19+4)-'DCF Model'!C16)*1000000/'DCF Model'!C15,0),"")</f>
        <v>5348</v>
      </c>
      <c r="E11" s="37">
        <f>IFERROR(ROUND(('DCF Model'!C45/(1+$B11)^('DCF Model'!C19+0)+'DCF Model'!D45/(1+$B11)^('DCF Model'!C19+1)+'DCF Model'!E45/(1+$B11)^('DCF Model'!C19+2)+'DCF Model'!F45/(1+$B11)^('DCF Model'!C19+3)+'DCF Model'!G45/(1+$B11)^('DCF Model'!C19+4)+'DCF Model'!G45*(1+E$6)/($B11-E$6)/(1+$B11)^('DCF Model'!C19+4)-'DCF Model'!C16)*1000000/'DCF Model'!C15,0),"")</f>
        <v>5460</v>
      </c>
      <c r="F11" s="37">
        <f>IFERROR(ROUND(('DCF Model'!C45/(1+$B11)^('DCF Model'!C19+0)+'DCF Model'!D45/(1+$B11)^('DCF Model'!C19+1)+'DCF Model'!E45/(1+$B11)^('DCF Model'!C19+2)+'DCF Model'!F45/(1+$B11)^('DCF Model'!C19+3)+'DCF Model'!G45/(1+$B11)^('DCF Model'!C19+4)+'DCF Model'!G45*(1+F$6)/($B11-F$6)/(1+$B11)^('DCF Model'!C19+4)-'DCF Model'!C16)*1000000/'DCF Model'!C15,0),"")</f>
        <v>5581</v>
      </c>
      <c r="G11" s="37">
        <f>IFERROR(ROUND(('DCF Model'!C45/(1+$B11)^('DCF Model'!C19+0)+'DCF Model'!D45/(1+$B11)^('DCF Model'!C19+1)+'DCF Model'!E45/(1+$B11)^('DCF Model'!C19+2)+'DCF Model'!F45/(1+$B11)^('DCF Model'!C19+3)+'DCF Model'!G45/(1+$B11)^('DCF Model'!C19+4)+'DCF Model'!G45*(1+G$6)/($B11-G$6)/(1+$B11)^('DCF Model'!C19+4)-'DCF Model'!C16)*1000000/'DCF Model'!C15,0),"")</f>
        <v>5710</v>
      </c>
      <c r="H11" s="37">
        <f>IFERROR(ROUND(('DCF Model'!C45/(1+$B11)^('DCF Model'!C19+0)+'DCF Model'!D45/(1+$B11)^('DCF Model'!C19+1)+'DCF Model'!E45/(1+$B11)^('DCF Model'!C19+2)+'DCF Model'!F45/(1+$B11)^('DCF Model'!C19+3)+'DCF Model'!G45/(1+$B11)^('DCF Model'!C19+4)+'DCF Model'!G45*(1+H$6)/($B11-H$6)/(1+$B11)^('DCF Model'!C19+4)-'DCF Model'!C16)*1000000/'DCF Model'!C15,0),"")</f>
        <v>5850</v>
      </c>
      <c r="I11" s="37">
        <f>IFERROR(ROUND(('DCF Model'!C45/(1+$B11)^('DCF Model'!C19+0)+'DCF Model'!D45/(1+$B11)^('DCF Model'!C19+1)+'DCF Model'!E45/(1+$B11)^('DCF Model'!C19+2)+'DCF Model'!F45/(1+$B11)^('DCF Model'!C19+3)+'DCF Model'!G45/(1+$B11)^('DCF Model'!C19+4)+'DCF Model'!G45*(1+I$6)/($B11-I$6)/(1+$B11)^('DCF Model'!C19+4)-'DCF Model'!C16)*1000000/'DCF Model'!C15,0),"")</f>
        <v>6001</v>
      </c>
    </row>
    <row r="12" spans="2:9" ht="13.5" x14ac:dyDescent="0.25">
      <c r="B12" s="39">
        <f>$C$3+0.01</f>
        <v>8.3584499999999992E-2</v>
      </c>
      <c r="C12" s="37">
        <f>IFERROR(ROUND(('DCF Model'!C45/(1+$B12)^('DCF Model'!C19+0)+'DCF Model'!D45/(1+$B12)^('DCF Model'!C19+1)+'DCF Model'!E45/(1+$B12)^('DCF Model'!C19+2)+'DCF Model'!F45/(1+$B12)^('DCF Model'!C19+3)+'DCF Model'!G45/(1+$B12)^('DCF Model'!C19+4)+'DCF Model'!G45*(1+C$6)/($B12-C$6)/(1+$B12)^('DCF Model'!C19+4)-'DCF Model'!C16)*1000000/'DCF Model'!C15,0),"")</f>
        <v>4989</v>
      </c>
      <c r="D12" s="37">
        <f>IFERROR(ROUND(('DCF Model'!C45/(1+$B12)^('DCF Model'!C19+0)+'DCF Model'!D45/(1+$B12)^('DCF Model'!C19+1)+'DCF Model'!E45/(1+$B12)^('DCF Model'!C19+2)+'DCF Model'!F45/(1+$B12)^('DCF Model'!C19+3)+'DCF Model'!G45/(1+$B12)^('DCF Model'!C19+4)+'DCF Model'!G45*(1+D$6)/($B12-D$6)/(1+$B12)^('DCF Model'!C19+4)-'DCF Model'!C16)*1000000/'DCF Model'!C15,0),"")</f>
        <v>5080</v>
      </c>
      <c r="E12" s="37">
        <f>IFERROR(ROUND(('DCF Model'!C45/(1+$B12)^('DCF Model'!C19+0)+'DCF Model'!D45/(1+$B12)^('DCF Model'!C19+1)+'DCF Model'!E45/(1+$B12)^('DCF Model'!C19+2)+'DCF Model'!F45/(1+$B12)^('DCF Model'!C19+3)+'DCF Model'!G45/(1+$B12)^('DCF Model'!C19+4)+'DCF Model'!G45*(1+E$6)/($B12-E$6)/(1+$B12)^('DCF Model'!C19+4)-'DCF Model'!C16)*1000000/'DCF Model'!C15,0),"")</f>
        <v>5176</v>
      </c>
      <c r="F12" s="37">
        <f>IFERROR(ROUND(('DCF Model'!C45/(1+$B12)^('DCF Model'!C19+0)+'DCF Model'!D45/(1+$B12)^('DCF Model'!C19+1)+'DCF Model'!E45/(1+$B12)^('DCF Model'!C19+2)+'DCF Model'!F45/(1+$B12)^('DCF Model'!C19+3)+'DCF Model'!G45/(1+$B12)^('DCF Model'!C19+4)+'DCF Model'!G45*(1+F$6)/($B12-F$6)/(1+$B12)^('DCF Model'!C19+4)-'DCF Model'!C16)*1000000/'DCF Model'!C15,0),"")</f>
        <v>5279</v>
      </c>
      <c r="G12" s="37">
        <f>IFERROR(ROUND(('DCF Model'!C45/(1+$B12)^('DCF Model'!C19+0)+'DCF Model'!D45/(1+$B12)^('DCF Model'!C19+1)+'DCF Model'!E45/(1+$B12)^('DCF Model'!C19+2)+'DCF Model'!F45/(1+$B12)^('DCF Model'!C19+3)+'DCF Model'!G45/(1+$B12)^('DCF Model'!C19+4)+'DCF Model'!G45*(1+G$6)/($B12-G$6)/(1+$B12)^('DCF Model'!C19+4)-'DCF Model'!C16)*1000000/'DCF Model'!C15,0),"")</f>
        <v>5389</v>
      </c>
      <c r="H12" s="37">
        <f>IFERROR(ROUND(('DCF Model'!C45/(1+$B12)^('DCF Model'!C19+0)+'DCF Model'!D45/(1+$B12)^('DCF Model'!C19+1)+'DCF Model'!E45/(1+$B12)^('DCF Model'!C19+2)+'DCF Model'!F45/(1+$B12)^('DCF Model'!C19+3)+'DCF Model'!G45/(1+$B12)^('DCF Model'!C19+4)+'DCF Model'!G45*(1+H$6)/($B12-H$6)/(1+$B12)^('DCF Model'!C19+4)-'DCF Model'!C16)*1000000/'DCF Model'!C15,0),"")</f>
        <v>5507</v>
      </c>
      <c r="I12" s="37">
        <f>IFERROR(ROUND(('DCF Model'!C45/(1+$B12)^('DCF Model'!C19+0)+'DCF Model'!D45/(1+$B12)^('DCF Model'!C19+1)+'DCF Model'!E45/(1+$B12)^('DCF Model'!C19+2)+'DCF Model'!F45/(1+$B12)^('DCF Model'!C19+3)+'DCF Model'!G45/(1+$B12)^('DCF Model'!C19+4)+'DCF Model'!G45*(1+I$6)/($B12-I$6)/(1+$B12)^('DCF Model'!C19+4)-'DCF Model'!C16)*1000000/'DCF Model'!C15,0),"")</f>
        <v>5634</v>
      </c>
    </row>
    <row r="13" spans="2:9" ht="13.5" x14ac:dyDescent="0.25">
      <c r="B13" s="39">
        <f>$C$3+0.015</f>
        <v>8.8584499999999997E-2</v>
      </c>
      <c r="C13" s="37">
        <f>IFERROR(ROUND(('DCF Model'!C45/(1+$B13)^('DCF Model'!C19+0)+'DCF Model'!D45/(1+$B13)^('DCF Model'!C19+1)+'DCF Model'!E45/(1+$B13)^('DCF Model'!C19+2)+'DCF Model'!F45/(1+$B13)^('DCF Model'!C19+3)+'DCF Model'!G45/(1+$B13)^('DCF Model'!C19+4)+'DCF Model'!G45*(1+C$6)/($B13-C$6)/(1+$B13)^('DCF Model'!C19+4)-'DCF Model'!C16)*1000000/'DCF Model'!C15,0),"")</f>
        <v>4765</v>
      </c>
      <c r="D13" s="37">
        <f>IFERROR(ROUND(('DCF Model'!C45/(1+$B13)^('DCF Model'!C19+0)+'DCF Model'!D45/(1+$B13)^('DCF Model'!C19+1)+'DCF Model'!E45/(1+$B13)^('DCF Model'!C19+2)+'DCF Model'!F45/(1+$B13)^('DCF Model'!C19+3)+'DCF Model'!G45/(1+$B13)^('DCF Model'!C19+4)+'DCF Model'!G45*(1+D$6)/($B13-D$6)/(1+$B13)^('DCF Model'!C19+4)-'DCF Model'!C16)*1000000/'DCF Model'!C15,0),"")</f>
        <v>4843</v>
      </c>
      <c r="E13" s="37">
        <f>IFERROR(ROUND(('DCF Model'!C45/(1+$B13)^('DCF Model'!C19+0)+'DCF Model'!D45/(1+$B13)^('DCF Model'!C19+1)+'DCF Model'!E45/(1+$B13)^('DCF Model'!C19+2)+'DCF Model'!F45/(1+$B13)^('DCF Model'!C19+3)+'DCF Model'!G45/(1+$B13)^('DCF Model'!C19+4)+'DCF Model'!G45*(1+E$6)/($B13-E$6)/(1+$B13)^('DCF Model'!C19+4)-'DCF Model'!C16)*1000000/'DCF Model'!C15,0),"")</f>
        <v>4927</v>
      </c>
      <c r="F13" s="37">
        <f>IFERROR(ROUND(('DCF Model'!C45/(1+$B13)^('DCF Model'!C19+0)+'DCF Model'!D45/(1+$B13)^('DCF Model'!C19+1)+'DCF Model'!E45/(1+$B13)^('DCF Model'!C19+2)+'DCF Model'!F45/(1+$B13)^('DCF Model'!C19+3)+'DCF Model'!G45/(1+$B13)^('DCF Model'!C19+4)+'DCF Model'!G45*(1+F$6)/($B13-F$6)/(1+$B13)^('DCF Model'!C19+4)-'DCF Model'!C16)*1000000/'DCF Model'!C15,0),"")</f>
        <v>5015</v>
      </c>
      <c r="G13" s="37">
        <f>IFERROR(ROUND(('DCF Model'!C45/(1+$B13)^('DCF Model'!C19+0)+'DCF Model'!D45/(1+$B13)^('DCF Model'!C19+1)+'DCF Model'!E45/(1+$B13)^('DCF Model'!C19+2)+'DCF Model'!F45/(1+$B13)^('DCF Model'!C19+3)+'DCF Model'!G45/(1+$B13)^('DCF Model'!C19+4)+'DCF Model'!G45*(1+G$6)/($B13-G$6)/(1+$B13)^('DCF Model'!C19+4)-'DCF Model'!C16)*1000000/'DCF Model'!C15,0),"")</f>
        <v>5110</v>
      </c>
      <c r="H13" s="37">
        <f>IFERROR(ROUND(('DCF Model'!C45/(1+$B13)^('DCF Model'!C19+0)+'DCF Model'!D45/(1+$B13)^('DCF Model'!C19+1)+'DCF Model'!E45/(1+$B13)^('DCF Model'!C19+2)+'DCF Model'!F45/(1+$B13)^('DCF Model'!C19+3)+'DCF Model'!G45/(1+$B13)^('DCF Model'!C19+4)+'DCF Model'!G45*(1+H$6)/($B13-H$6)/(1+$B13)^('DCF Model'!C19+4)-'DCF Model'!C16)*1000000/'DCF Model'!C15,0),"")</f>
        <v>5211</v>
      </c>
      <c r="I13" s="37">
        <f>IFERROR(ROUND(('DCF Model'!C45/(1+$B13)^('DCF Model'!C19+0)+'DCF Model'!D45/(1+$B13)^('DCF Model'!C19+1)+'DCF Model'!E45/(1+$B13)^('DCF Model'!C19+2)+'DCF Model'!F45/(1+$B13)^('DCF Model'!C19+3)+'DCF Model'!G45/(1+$B13)^('DCF Model'!C19+4)+'DCF Model'!G45*(1+I$6)/($B13-I$6)/(1+$B13)^('DCF Model'!C19+4)-'DCF Model'!C16)*1000000/'DCF Model'!C15,0),"")</f>
        <v>5319</v>
      </c>
    </row>
    <row r="16" spans="2:9" ht="14" x14ac:dyDescent="0.3">
      <c r="B16" s="3" t="s">
        <v>242</v>
      </c>
    </row>
    <row r="17" spans="2:9" ht="14" x14ac:dyDescent="0.3">
      <c r="B17" s="40" t="s">
        <v>243</v>
      </c>
      <c r="C17" s="42">
        <f>$I$3-3</f>
        <v>7.1999999999999993</v>
      </c>
      <c r="D17" s="42">
        <f>$I$3-2</f>
        <v>8.1999999999999993</v>
      </c>
      <c r="E17" s="42">
        <f>$I$3-1</f>
        <v>9.1999999999999993</v>
      </c>
      <c r="F17" s="42">
        <f>$I$3</f>
        <v>10.199999999999999</v>
      </c>
      <c r="G17" s="42">
        <f>$I$3+1</f>
        <v>11.2</v>
      </c>
      <c r="H17" s="42">
        <f>$I$3+2</f>
        <v>12.2</v>
      </c>
      <c r="I17" s="42">
        <f>$I$3+3</f>
        <v>13.2</v>
      </c>
    </row>
    <row r="18" spans="2:9" ht="13.5" x14ac:dyDescent="0.25">
      <c r="B18" s="39">
        <f>$C$3-0.015</f>
        <v>5.8584499999999998E-2</v>
      </c>
      <c r="C18" s="37">
        <f>IFERROR(ROUND(('DCF Model'!C45/(1+$B18)^('DCF Model'!C19+0)+'DCF Model'!D45/(1+$B18)^('DCF Model'!C19+1)+'DCF Model'!E45/(1+$B18)^('DCF Model'!C19+2)+'DCF Model'!F45/(1+$B18)^('DCF Model'!C19+3)+'DCF Model'!G45/(1+$B18)^('DCF Model'!C19+4)+('DCF Model'!G39+'DCF Model'!G42)*C$17/(1+$B18)^('DCF Model'!C19+4)-'DCF Model'!C16)*1000000/'DCF Model'!C15,0),"")</f>
        <v>6141</v>
      </c>
      <c r="D18" s="37">
        <f>IFERROR(ROUND(('DCF Model'!C45/(1+$B18)^('DCF Model'!C19+0)+'DCF Model'!D45/(1+$B18)^('DCF Model'!C19+1)+'DCF Model'!E45/(1+$B18)^('DCF Model'!C19+2)+'DCF Model'!F45/(1+$B18)^('DCF Model'!C19+3)+'DCF Model'!G45/(1+$B18)^('DCF Model'!C19+4)+('DCF Model'!G39+'DCF Model'!G42)*D$17/(1+$B18)^('DCF Model'!C19+4)-'DCF Model'!C16)*1000000/'DCF Model'!C15,0),"")</f>
        <v>6654</v>
      </c>
      <c r="E18" s="37">
        <f>IFERROR(ROUND(('DCF Model'!C45/(1+$B18)^('DCF Model'!C19+0)+'DCF Model'!D45/(1+$B18)^('DCF Model'!C19+1)+'DCF Model'!E45/(1+$B18)^('DCF Model'!C19+2)+'DCF Model'!F45/(1+$B18)^('DCF Model'!C19+3)+'DCF Model'!G45/(1+$B18)^('DCF Model'!C19+4)+('DCF Model'!G39+'DCF Model'!G42)*E$17/(1+$B18)^('DCF Model'!C19+4)-'DCF Model'!C16)*1000000/'DCF Model'!C15,0),"")</f>
        <v>7168</v>
      </c>
      <c r="F18" s="37">
        <f>IFERROR(ROUND(('DCF Model'!C45/(1+$B18)^('DCF Model'!C19+0)+'DCF Model'!D45/(1+$B18)^('DCF Model'!C19+1)+'DCF Model'!E45/(1+$B18)^('DCF Model'!C19+2)+'DCF Model'!F45/(1+$B18)^('DCF Model'!C19+3)+'DCF Model'!G45/(1+$B18)^('DCF Model'!C19+4)+('DCF Model'!G39+'DCF Model'!G42)*F$17/(1+$B18)^('DCF Model'!C19+4)-'DCF Model'!C16)*1000000/'DCF Model'!C15,0),"")</f>
        <v>7681</v>
      </c>
      <c r="G18" s="37">
        <f>IFERROR(ROUND(('DCF Model'!C45/(1+$B18)^('DCF Model'!C19+0)+'DCF Model'!D45/(1+$B18)^('DCF Model'!C19+1)+'DCF Model'!E45/(1+$B18)^('DCF Model'!C19+2)+'DCF Model'!F45/(1+$B18)^('DCF Model'!C19+3)+'DCF Model'!G45/(1+$B18)^('DCF Model'!C19+4)+('DCF Model'!G39+'DCF Model'!G42)*G$17/(1+$B18)^('DCF Model'!C19+4)-'DCF Model'!C16)*1000000/'DCF Model'!C15,0),"")</f>
        <v>8194</v>
      </c>
      <c r="H18" s="37">
        <f>IFERROR(ROUND(('DCF Model'!C45/(1+$B18)^('DCF Model'!C19+0)+'DCF Model'!D45/(1+$B18)^('DCF Model'!C19+1)+'DCF Model'!E45/(1+$B18)^('DCF Model'!C19+2)+'DCF Model'!F45/(1+$B18)^('DCF Model'!C19+3)+'DCF Model'!G45/(1+$B18)^('DCF Model'!C19+4)+('DCF Model'!G39+'DCF Model'!G42)*H$17/(1+$B18)^('DCF Model'!C19+4)-'DCF Model'!C16)*1000000/'DCF Model'!C15,0),"")</f>
        <v>8708</v>
      </c>
      <c r="I18" s="37">
        <f>IFERROR(ROUND(('DCF Model'!C45/(1+$B18)^('DCF Model'!C19+0)+'DCF Model'!D45/(1+$B18)^('DCF Model'!C19+1)+'DCF Model'!E45/(1+$B18)^('DCF Model'!C19+2)+'DCF Model'!F45/(1+$B18)^('DCF Model'!C19+3)+'DCF Model'!G45/(1+$B18)^('DCF Model'!C19+4)+('DCF Model'!G39+'DCF Model'!G42)*I$17/(1+$B18)^('DCF Model'!C19+4)-'DCF Model'!C16)*1000000/'DCF Model'!C15,0),"")</f>
        <v>9221</v>
      </c>
    </row>
    <row r="19" spans="2:9" ht="13.5" x14ac:dyDescent="0.25">
      <c r="B19" s="39">
        <f>$C$3-0.01</f>
        <v>6.3584500000000002E-2</v>
      </c>
      <c r="C19" s="37">
        <f>IFERROR(ROUND(('DCF Model'!C45/(1+$B19)^('DCF Model'!C19+0)+'DCF Model'!D45/(1+$B19)^('DCF Model'!C19+1)+'DCF Model'!E45/(1+$B19)^('DCF Model'!C19+2)+'DCF Model'!F45/(1+$B19)^('DCF Model'!C19+3)+'DCF Model'!G45/(1+$B19)^('DCF Model'!C19+4)+('DCF Model'!G39+'DCF Model'!G42)*C$17/(1+$B19)^('DCF Model'!C19+4)-'DCF Model'!C16)*1000000/'DCF Model'!C15,0),"")</f>
        <v>6038</v>
      </c>
      <c r="D19" s="37">
        <f>IFERROR(ROUND(('DCF Model'!C45/(1+$B19)^('DCF Model'!C19+0)+'DCF Model'!D45/(1+$B19)^('DCF Model'!C19+1)+'DCF Model'!E45/(1+$B19)^('DCF Model'!C19+2)+'DCF Model'!F45/(1+$B19)^('DCF Model'!C19+3)+'DCF Model'!G45/(1+$B19)^('DCF Model'!C19+4)+('DCF Model'!G39+'DCF Model'!G42)*D$17/(1+$B19)^('DCF Model'!C19+4)-'DCF Model'!C16)*1000000/'DCF Model'!C15,0),"")</f>
        <v>6539</v>
      </c>
      <c r="E19" s="37">
        <f>IFERROR(ROUND(('DCF Model'!C45/(1+$B19)^('DCF Model'!C19+0)+'DCF Model'!D45/(1+$B19)^('DCF Model'!C19+1)+'DCF Model'!E45/(1+$B19)^('DCF Model'!C19+2)+'DCF Model'!F45/(1+$B19)^('DCF Model'!C19+3)+'DCF Model'!G45/(1+$B19)^('DCF Model'!C19+4)+('DCF Model'!G39+'DCF Model'!G42)*E$17/(1+$B19)^('DCF Model'!C19+4)-'DCF Model'!C16)*1000000/'DCF Model'!C15,0),"")</f>
        <v>7040</v>
      </c>
      <c r="F19" s="37">
        <f>IFERROR(ROUND(('DCF Model'!C45/(1+$B19)^('DCF Model'!C19+0)+'DCF Model'!D45/(1+$B19)^('DCF Model'!C19+1)+'DCF Model'!E45/(1+$B19)^('DCF Model'!C19+2)+'DCF Model'!F45/(1+$B19)^('DCF Model'!C19+3)+'DCF Model'!G45/(1+$B19)^('DCF Model'!C19+4)+('DCF Model'!G39+'DCF Model'!G42)*F$17/(1+$B19)^('DCF Model'!C19+4)-'DCF Model'!C16)*1000000/'DCF Model'!C15,0),"")</f>
        <v>7542</v>
      </c>
      <c r="G19" s="37">
        <f>IFERROR(ROUND(('DCF Model'!C45/(1+$B19)^('DCF Model'!C19+0)+'DCF Model'!D45/(1+$B19)^('DCF Model'!C19+1)+'DCF Model'!E45/(1+$B19)^('DCF Model'!C19+2)+'DCF Model'!F45/(1+$B19)^('DCF Model'!C19+3)+'DCF Model'!G45/(1+$B19)^('DCF Model'!C19+4)+('DCF Model'!G39+'DCF Model'!G42)*G$17/(1+$B19)^('DCF Model'!C19+4)-'DCF Model'!C16)*1000000/'DCF Model'!C15,0),"")</f>
        <v>8043</v>
      </c>
      <c r="H19" s="37">
        <f>IFERROR(ROUND(('DCF Model'!C45/(1+$B19)^('DCF Model'!C19+0)+'DCF Model'!D45/(1+$B19)^('DCF Model'!C19+1)+'DCF Model'!E45/(1+$B19)^('DCF Model'!C19+2)+'DCF Model'!F45/(1+$B19)^('DCF Model'!C19+3)+'DCF Model'!G45/(1+$B19)^('DCF Model'!C19+4)+('DCF Model'!G39+'DCF Model'!G42)*H$17/(1+$B19)^('DCF Model'!C19+4)-'DCF Model'!C16)*1000000/'DCF Model'!C15,0),"")</f>
        <v>8545</v>
      </c>
      <c r="I19" s="37">
        <f>IFERROR(ROUND(('DCF Model'!C45/(1+$B19)^('DCF Model'!C19+0)+'DCF Model'!D45/(1+$B19)^('DCF Model'!C19+1)+'DCF Model'!E45/(1+$B19)^('DCF Model'!C19+2)+'DCF Model'!F45/(1+$B19)^('DCF Model'!C19+3)+'DCF Model'!G45/(1+$B19)^('DCF Model'!C19+4)+('DCF Model'!G39+'DCF Model'!G42)*I$17/(1+$B19)^('DCF Model'!C19+4)-'DCF Model'!C16)*1000000/'DCF Model'!C15,0),"")</f>
        <v>9046</v>
      </c>
    </row>
    <row r="20" spans="2:9" ht="13.5" x14ac:dyDescent="0.25">
      <c r="B20" s="39">
        <f>$C$3-0.005</f>
        <v>6.8584499999999993E-2</v>
      </c>
      <c r="C20" s="37">
        <f>IFERROR(ROUND(('DCF Model'!C45/(1+$B20)^('DCF Model'!C19+0)+'DCF Model'!D45/(1+$B20)^('DCF Model'!C19+1)+'DCF Model'!E45/(1+$B20)^('DCF Model'!C19+2)+'DCF Model'!F45/(1+$B20)^('DCF Model'!C19+3)+'DCF Model'!G45/(1+$B20)^('DCF Model'!C19+4)+('DCF Model'!G39+'DCF Model'!G42)*C$17/(1+$B20)^('DCF Model'!C19+4)-'DCF Model'!C16)*1000000/'DCF Model'!C15,0),"")</f>
        <v>5937</v>
      </c>
      <c r="D20" s="37">
        <f>IFERROR(ROUND(('DCF Model'!C45/(1+$B20)^('DCF Model'!C19+0)+'DCF Model'!D45/(1+$B20)^('DCF Model'!C19+1)+'DCF Model'!E45/(1+$B20)^('DCF Model'!C19+2)+'DCF Model'!F45/(1+$B20)^('DCF Model'!C19+3)+'DCF Model'!G45/(1+$B20)^('DCF Model'!C19+4)+('DCF Model'!G39+'DCF Model'!G42)*D$17/(1+$B20)^('DCF Model'!C19+4)-'DCF Model'!C16)*1000000/'DCF Model'!C15,0),"")</f>
        <v>6427</v>
      </c>
      <c r="E20" s="37">
        <f>IFERROR(ROUND(('DCF Model'!C45/(1+$B20)^('DCF Model'!C19+0)+'DCF Model'!D45/(1+$B20)^('DCF Model'!C19+1)+'DCF Model'!E45/(1+$B20)^('DCF Model'!C19+2)+'DCF Model'!F45/(1+$B20)^('DCF Model'!C19+3)+'DCF Model'!G45/(1+$B20)^('DCF Model'!C19+4)+('DCF Model'!G39+'DCF Model'!G42)*E$17/(1+$B20)^('DCF Model'!C19+4)-'DCF Model'!C16)*1000000/'DCF Model'!C15,0),"")</f>
        <v>6917</v>
      </c>
      <c r="F20" s="37">
        <f>IFERROR(ROUND(('DCF Model'!C45/(1+$B20)^('DCF Model'!C19+0)+'DCF Model'!D45/(1+$B20)^('DCF Model'!C19+1)+'DCF Model'!E45/(1+$B20)^('DCF Model'!C19+2)+'DCF Model'!F45/(1+$B20)^('DCF Model'!C19+3)+'DCF Model'!G45/(1+$B20)^('DCF Model'!C19+4)+('DCF Model'!G39+'DCF Model'!G42)*F$17/(1+$B20)^('DCF Model'!C19+4)-'DCF Model'!C16)*1000000/'DCF Model'!C15,0),"")</f>
        <v>7406</v>
      </c>
      <c r="G20" s="37">
        <f>IFERROR(ROUND(('DCF Model'!C45/(1+$B20)^('DCF Model'!C19+0)+'DCF Model'!D45/(1+$B20)^('DCF Model'!C19+1)+'DCF Model'!E45/(1+$B20)^('DCF Model'!C19+2)+'DCF Model'!F45/(1+$B20)^('DCF Model'!C19+3)+'DCF Model'!G45/(1+$B20)^('DCF Model'!C19+4)+('DCF Model'!G39+'DCF Model'!G42)*G$17/(1+$B20)^('DCF Model'!C19+4)-'DCF Model'!C16)*1000000/'DCF Model'!C15,0),"")</f>
        <v>7896</v>
      </c>
      <c r="H20" s="37">
        <f>IFERROR(ROUND(('DCF Model'!C45/(1+$B20)^('DCF Model'!C19+0)+'DCF Model'!D45/(1+$B20)^('DCF Model'!C19+1)+'DCF Model'!E45/(1+$B20)^('DCF Model'!C19+2)+'DCF Model'!F45/(1+$B20)^('DCF Model'!C19+3)+'DCF Model'!G45/(1+$B20)^('DCF Model'!C19+4)+('DCF Model'!G39+'DCF Model'!G42)*H$17/(1+$B20)^('DCF Model'!C19+4)-'DCF Model'!C16)*1000000/'DCF Model'!C15,0),"")</f>
        <v>8386</v>
      </c>
      <c r="I20" s="37">
        <f>IFERROR(ROUND(('DCF Model'!C45/(1+$B20)^('DCF Model'!C19+0)+'DCF Model'!D45/(1+$B20)^('DCF Model'!C19+1)+'DCF Model'!E45/(1+$B20)^('DCF Model'!C19+2)+'DCF Model'!F45/(1+$B20)^('DCF Model'!C19+3)+'DCF Model'!G45/(1+$B20)^('DCF Model'!C19+4)+('DCF Model'!G39+'DCF Model'!G42)*I$17/(1+$B20)^('DCF Model'!C19+4)-'DCF Model'!C16)*1000000/'DCF Model'!C15,0),"")</f>
        <v>8876</v>
      </c>
    </row>
    <row r="21" spans="2:9" ht="13.5" x14ac:dyDescent="0.25">
      <c r="B21" s="39">
        <f>$C$3</f>
        <v>7.3584499999999997E-2</v>
      </c>
      <c r="C21" s="37">
        <f>IFERROR(ROUND(('DCF Model'!C45/(1+$B21)^('DCF Model'!C19+0)+'DCF Model'!D45/(1+$B21)^('DCF Model'!C19+1)+'DCF Model'!E45/(1+$B21)^('DCF Model'!C19+2)+'DCF Model'!F45/(1+$B21)^('DCF Model'!C19+3)+'DCF Model'!G45/(1+$B21)^('DCF Model'!C19+4)+('DCF Model'!G39+'DCF Model'!G42)*C$17/(1+$B21)^('DCF Model'!C19+4)-'DCF Model'!C16)*1000000/'DCF Model'!C15,0),"")</f>
        <v>5839</v>
      </c>
      <c r="D21" s="37">
        <f>IFERROR(ROUND(('DCF Model'!C45/(1+$B21)^('DCF Model'!C19+0)+'DCF Model'!D45/(1+$B21)^('DCF Model'!C19+1)+'DCF Model'!E45/(1+$B21)^('DCF Model'!C19+2)+'DCF Model'!F45/(1+$B21)^('DCF Model'!C19+3)+'DCF Model'!G45/(1+$B21)^('DCF Model'!C19+4)+('DCF Model'!G39+'DCF Model'!G42)*D$17/(1+$B21)^('DCF Model'!C19+4)-'DCF Model'!C16)*1000000/'DCF Model'!C15,0),"")</f>
        <v>6317</v>
      </c>
      <c r="E21" s="37">
        <f>IFERROR(ROUND(('DCF Model'!C45/(1+$B21)^('DCF Model'!C19+0)+'DCF Model'!D45/(1+$B21)^('DCF Model'!C19+1)+'DCF Model'!E45/(1+$B21)^('DCF Model'!C19+2)+'DCF Model'!F45/(1+$B21)^('DCF Model'!C19+3)+'DCF Model'!G45/(1+$B21)^('DCF Model'!C19+4)+('DCF Model'!G39+'DCF Model'!G42)*E$17/(1+$B21)^('DCF Model'!C19+4)-'DCF Model'!C16)*1000000/'DCF Model'!C15,0),"")</f>
        <v>6796</v>
      </c>
      <c r="F21" s="37">
        <f>IFERROR(ROUND(('DCF Model'!C45/(1+$B21)^('DCF Model'!C19+0)+'DCF Model'!D45/(1+$B21)^('DCF Model'!C19+1)+'DCF Model'!E45/(1+$B21)^('DCF Model'!C19+2)+'DCF Model'!F45/(1+$B21)^('DCF Model'!C19+3)+'DCF Model'!G45/(1+$B21)^('DCF Model'!C19+4)+('DCF Model'!G39+'DCF Model'!G42)*F$17/(1+$B21)^('DCF Model'!C19+4)-'DCF Model'!C16)*1000000/'DCF Model'!C15,0),"")</f>
        <v>7274</v>
      </c>
      <c r="G21" s="37">
        <f>IFERROR(ROUND(('DCF Model'!C45/(1+$B21)^('DCF Model'!C19+0)+'DCF Model'!D45/(1+$B21)^('DCF Model'!C19+1)+'DCF Model'!E45/(1+$B21)^('DCF Model'!C19+2)+'DCF Model'!F45/(1+$B21)^('DCF Model'!C19+3)+'DCF Model'!G45/(1+$B21)^('DCF Model'!C19+4)+('DCF Model'!G39+'DCF Model'!G42)*G$17/(1+$B21)^('DCF Model'!C19+4)-'DCF Model'!C16)*1000000/'DCF Model'!C15,0),"")</f>
        <v>7753</v>
      </c>
      <c r="H21" s="37">
        <f>IFERROR(ROUND(('DCF Model'!C45/(1+$B21)^('DCF Model'!C19+0)+'DCF Model'!D45/(1+$B21)^('DCF Model'!C19+1)+'DCF Model'!E45/(1+$B21)^('DCF Model'!C19+2)+'DCF Model'!F45/(1+$B21)^('DCF Model'!C19+3)+'DCF Model'!G45/(1+$B21)^('DCF Model'!C19+4)+('DCF Model'!G39+'DCF Model'!G42)*H$17/(1+$B21)^('DCF Model'!C19+4)-'DCF Model'!C16)*1000000/'DCF Model'!C15,0),"")</f>
        <v>8231</v>
      </c>
      <c r="I21" s="37">
        <f>IFERROR(ROUND(('DCF Model'!C45/(1+$B21)^('DCF Model'!C19+0)+'DCF Model'!D45/(1+$B21)^('DCF Model'!C19+1)+'DCF Model'!E45/(1+$B21)^('DCF Model'!C19+2)+'DCF Model'!F45/(1+$B21)^('DCF Model'!C19+3)+'DCF Model'!G45/(1+$B21)^('DCF Model'!C19+4)+('DCF Model'!G39+'DCF Model'!G42)*I$17/(1+$B21)^('DCF Model'!C19+4)-'DCF Model'!C16)*1000000/'DCF Model'!C15,0),"")</f>
        <v>8710</v>
      </c>
    </row>
    <row r="22" spans="2:9" ht="13.5" x14ac:dyDescent="0.25">
      <c r="B22" s="39">
        <f>$C$3+0.005</f>
        <v>7.8584500000000002E-2</v>
      </c>
      <c r="C22" s="37">
        <f>IFERROR(ROUND(('DCF Model'!C45/(1+$B22)^('DCF Model'!C19+0)+'DCF Model'!D45/(1+$B22)^('DCF Model'!C19+1)+'DCF Model'!E45/(1+$B22)^('DCF Model'!C19+2)+'DCF Model'!F45/(1+$B22)^('DCF Model'!C19+3)+'DCF Model'!G45/(1+$B22)^('DCF Model'!C19+4)+('DCF Model'!G39+'DCF Model'!G42)*C$17/(1+$B22)^('DCF Model'!C19+4)-'DCF Model'!C16)*1000000/'DCF Model'!C15,0),"")</f>
        <v>5744</v>
      </c>
      <c r="D22" s="37">
        <f>IFERROR(ROUND(('DCF Model'!C45/(1+$B22)^('DCF Model'!C19+0)+'DCF Model'!D45/(1+$B22)^('DCF Model'!C19+1)+'DCF Model'!E45/(1+$B22)^('DCF Model'!C19+2)+'DCF Model'!F45/(1+$B22)^('DCF Model'!C19+3)+'DCF Model'!G45/(1+$B22)^('DCF Model'!C19+4)+('DCF Model'!G39+'DCF Model'!G42)*D$17/(1+$B22)^('DCF Model'!C19+4)-'DCF Model'!C16)*1000000/'DCF Model'!C15,0),"")</f>
        <v>6211</v>
      </c>
      <c r="E22" s="37">
        <f>IFERROR(ROUND(('DCF Model'!C45/(1+$B22)^('DCF Model'!C19+0)+'DCF Model'!D45/(1+$B22)^('DCF Model'!C19+1)+'DCF Model'!E45/(1+$B22)^('DCF Model'!C19+2)+'DCF Model'!F45/(1+$B22)^('DCF Model'!C19+3)+'DCF Model'!G45/(1+$B22)^('DCF Model'!C19+4)+('DCF Model'!G39+'DCF Model'!G42)*E$17/(1+$B22)^('DCF Model'!C19+4)-'DCF Model'!C16)*1000000/'DCF Model'!C15,0),"")</f>
        <v>6678</v>
      </c>
      <c r="F22" s="37">
        <f>IFERROR(ROUND(('DCF Model'!C45/(1+$B22)^('DCF Model'!C19+0)+'DCF Model'!D45/(1+$B22)^('DCF Model'!C19+1)+'DCF Model'!E45/(1+$B22)^('DCF Model'!C19+2)+'DCF Model'!F45/(1+$B22)^('DCF Model'!C19+3)+'DCF Model'!G45/(1+$B22)^('DCF Model'!C19+4)+('DCF Model'!G39+'DCF Model'!G42)*F$17/(1+$B22)^('DCF Model'!C19+4)-'DCF Model'!C16)*1000000/'DCF Model'!C15,0),"")</f>
        <v>7146</v>
      </c>
      <c r="G22" s="37">
        <f>IFERROR(ROUND(('DCF Model'!C45/(1+$B22)^('DCF Model'!C19+0)+'DCF Model'!D45/(1+$B22)^('DCF Model'!C19+1)+'DCF Model'!E45/(1+$B22)^('DCF Model'!C19+2)+'DCF Model'!F45/(1+$B22)^('DCF Model'!C19+3)+'DCF Model'!G45/(1+$B22)^('DCF Model'!C19+4)+('DCF Model'!G39+'DCF Model'!G42)*G$17/(1+$B22)^('DCF Model'!C19+4)-'DCF Model'!C16)*1000000/'DCF Model'!C15,0),"")</f>
        <v>7613</v>
      </c>
      <c r="H22" s="37">
        <f>IFERROR(ROUND(('DCF Model'!C45/(1+$B22)^('DCF Model'!C19+0)+'DCF Model'!D45/(1+$B22)^('DCF Model'!C19+1)+'DCF Model'!E45/(1+$B22)^('DCF Model'!C19+2)+'DCF Model'!F45/(1+$B22)^('DCF Model'!C19+3)+'DCF Model'!G45/(1+$B22)^('DCF Model'!C19+4)+('DCF Model'!G39+'DCF Model'!G42)*H$17/(1+$B22)^('DCF Model'!C19+4)-'DCF Model'!C16)*1000000/'DCF Model'!C15,0),"")</f>
        <v>8081</v>
      </c>
      <c r="I22" s="37">
        <f>IFERROR(ROUND(('DCF Model'!C45/(1+$B22)^('DCF Model'!C19+0)+'DCF Model'!D45/(1+$B22)^('DCF Model'!C19+1)+'DCF Model'!E45/(1+$B22)^('DCF Model'!C19+2)+'DCF Model'!F45/(1+$B22)^('DCF Model'!C19+3)+'DCF Model'!G45/(1+$B22)^('DCF Model'!C19+4)+('DCF Model'!G39+'DCF Model'!G42)*I$17/(1+$B22)^('DCF Model'!C19+4)-'DCF Model'!C16)*1000000/'DCF Model'!C15,0),"")</f>
        <v>8548</v>
      </c>
    </row>
    <row r="23" spans="2:9" ht="13.5" x14ac:dyDescent="0.25">
      <c r="B23" s="39">
        <f>$C$3+0.01</f>
        <v>8.3584499999999992E-2</v>
      </c>
      <c r="C23" s="37">
        <f>IFERROR(ROUND(('DCF Model'!C45/(1+$B23)^('DCF Model'!C19+0)+'DCF Model'!D45/(1+$B23)^('DCF Model'!C19+1)+'DCF Model'!E45/(1+$B23)^('DCF Model'!C19+2)+'DCF Model'!F45/(1+$B23)^('DCF Model'!C19+3)+'DCF Model'!G45/(1+$B23)^('DCF Model'!C19+4)+('DCF Model'!G39+'DCF Model'!G42)*C$17/(1+$B23)^('DCF Model'!C19+4)-'DCF Model'!C16)*1000000/'DCF Model'!C15,0),"")</f>
        <v>5651</v>
      </c>
      <c r="D23" s="37">
        <f>IFERROR(ROUND(('DCF Model'!C45/(1+$B23)^('DCF Model'!C19+0)+'DCF Model'!D45/(1+$B23)^('DCF Model'!C19+1)+'DCF Model'!E45/(1+$B23)^('DCF Model'!C19+2)+'DCF Model'!F45/(1+$B23)^('DCF Model'!C19+3)+'DCF Model'!G45/(1+$B23)^('DCF Model'!C19+4)+('DCF Model'!G39+'DCF Model'!G42)*D$17/(1+$B23)^('DCF Model'!C19+4)-'DCF Model'!C16)*1000000/'DCF Model'!C15,0),"")</f>
        <v>6107</v>
      </c>
      <c r="E23" s="37">
        <f>IFERROR(ROUND(('DCF Model'!C45/(1+$B23)^('DCF Model'!C19+0)+'DCF Model'!D45/(1+$B23)^('DCF Model'!C19+1)+'DCF Model'!E45/(1+$B23)^('DCF Model'!C19+2)+'DCF Model'!F45/(1+$B23)^('DCF Model'!C19+3)+'DCF Model'!G45/(1+$B23)^('DCF Model'!C19+4)+('DCF Model'!G39+'DCF Model'!G42)*E$17/(1+$B23)^('DCF Model'!C19+4)-'DCF Model'!C16)*1000000/'DCF Model'!C15,0),"")</f>
        <v>6564</v>
      </c>
      <c r="F23" s="37">
        <f>IFERROR(ROUND(('DCF Model'!C45/(1+$B23)^('DCF Model'!C19+0)+'DCF Model'!D45/(1+$B23)^('DCF Model'!C19+1)+'DCF Model'!E45/(1+$B23)^('DCF Model'!C19+2)+'DCF Model'!F45/(1+$B23)^('DCF Model'!C19+3)+'DCF Model'!G45/(1+$B23)^('DCF Model'!C19+4)+('DCF Model'!G39+'DCF Model'!G42)*F$17/(1+$B23)^('DCF Model'!C19+4)-'DCF Model'!C16)*1000000/'DCF Model'!C15,0),"")</f>
        <v>7021</v>
      </c>
      <c r="G23" s="37">
        <f>IFERROR(ROUND(('DCF Model'!C45/(1+$B23)^('DCF Model'!C19+0)+'DCF Model'!D45/(1+$B23)^('DCF Model'!C19+1)+'DCF Model'!E45/(1+$B23)^('DCF Model'!C19+2)+'DCF Model'!F45/(1+$B23)^('DCF Model'!C19+3)+'DCF Model'!G45/(1+$B23)^('DCF Model'!C19+4)+('DCF Model'!G39+'DCF Model'!G42)*G$17/(1+$B23)^('DCF Model'!C19+4)-'DCF Model'!C16)*1000000/'DCF Model'!C15,0),"")</f>
        <v>7478</v>
      </c>
      <c r="H23" s="37">
        <f>IFERROR(ROUND(('DCF Model'!C45/(1+$B23)^('DCF Model'!C19+0)+'DCF Model'!D45/(1+$B23)^('DCF Model'!C19+1)+'DCF Model'!E45/(1+$B23)^('DCF Model'!C19+2)+'DCF Model'!F45/(1+$B23)^('DCF Model'!C19+3)+'DCF Model'!G45/(1+$B23)^('DCF Model'!C19+4)+('DCF Model'!G39+'DCF Model'!G42)*H$17/(1+$B23)^('DCF Model'!C19+4)-'DCF Model'!C16)*1000000/'DCF Model'!C15,0),"")</f>
        <v>7935</v>
      </c>
      <c r="I23" s="37">
        <f>IFERROR(ROUND(('DCF Model'!C45/(1+$B23)^('DCF Model'!C19+0)+'DCF Model'!D45/(1+$B23)^('DCF Model'!C19+1)+'DCF Model'!E45/(1+$B23)^('DCF Model'!C19+2)+'DCF Model'!F45/(1+$B23)^('DCF Model'!C19+3)+'DCF Model'!G45/(1+$B23)^('DCF Model'!C19+4)+('DCF Model'!G39+'DCF Model'!G42)*I$17/(1+$B23)^('DCF Model'!C19+4)-'DCF Model'!C16)*1000000/'DCF Model'!C15,0),"")</f>
        <v>8391</v>
      </c>
    </row>
    <row r="24" spans="2:9" ht="13.5" x14ac:dyDescent="0.25">
      <c r="B24" s="39">
        <f>$C$3+0.015</f>
        <v>8.8584499999999997E-2</v>
      </c>
      <c r="C24" s="37">
        <f>IFERROR(ROUND(('DCF Model'!C45/(1+$B24)^('DCF Model'!C19+0)+'DCF Model'!D45/(1+$B24)^('DCF Model'!C19+1)+'DCF Model'!E45/(1+$B24)^('DCF Model'!C19+2)+'DCF Model'!F45/(1+$B24)^('DCF Model'!C19+3)+'DCF Model'!G45/(1+$B24)^('DCF Model'!C19+4)+('DCF Model'!G39+'DCF Model'!G42)*C$17/(1+$B24)^('DCF Model'!C19+4)-'DCF Model'!C16)*1000000/'DCF Model'!C15,0),"")</f>
        <v>5560</v>
      </c>
      <c r="D24" s="37">
        <f>IFERROR(ROUND(('DCF Model'!C45/(1+$B24)^('DCF Model'!C19+0)+'DCF Model'!D45/(1+$B24)^('DCF Model'!C19+1)+'DCF Model'!E45/(1+$B24)^('DCF Model'!C19+2)+'DCF Model'!F45/(1+$B24)^('DCF Model'!C19+3)+'DCF Model'!G45/(1+$B24)^('DCF Model'!C19+4)+('DCF Model'!G39+'DCF Model'!G42)*D$17/(1+$B24)^('DCF Model'!C19+4)-'DCF Model'!C16)*1000000/'DCF Model'!C15,0),"")</f>
        <v>6007</v>
      </c>
      <c r="E24" s="37">
        <f>IFERROR(ROUND(('DCF Model'!C45/(1+$B24)^('DCF Model'!C19+0)+'DCF Model'!D45/(1+$B24)^('DCF Model'!C19+1)+'DCF Model'!E45/(1+$B24)^('DCF Model'!C19+2)+'DCF Model'!F45/(1+$B24)^('DCF Model'!C19+3)+'DCF Model'!G45/(1+$B24)^('DCF Model'!C19+4)+('DCF Model'!G39+'DCF Model'!G42)*E$17/(1+$B24)^('DCF Model'!C19+4)-'DCF Model'!C16)*1000000/'DCF Model'!C15,0),"")</f>
        <v>6453</v>
      </c>
      <c r="F24" s="37">
        <f>IFERROR(ROUND(('DCF Model'!C45/(1+$B24)^('DCF Model'!C19+0)+'DCF Model'!D45/(1+$B24)^('DCF Model'!C19+1)+'DCF Model'!E45/(1+$B24)^('DCF Model'!C19+2)+'DCF Model'!F45/(1+$B24)^('DCF Model'!C19+3)+'DCF Model'!G45/(1+$B24)^('DCF Model'!C19+4)+('DCF Model'!G39+'DCF Model'!G42)*F$17/(1+$B24)^('DCF Model'!C19+4)-'DCF Model'!C16)*1000000/'DCF Model'!C15,0),"")</f>
        <v>6899</v>
      </c>
      <c r="G24" s="37">
        <f>IFERROR(ROUND(('DCF Model'!C45/(1+$B24)^('DCF Model'!C19+0)+'DCF Model'!D45/(1+$B24)^('DCF Model'!C19+1)+'DCF Model'!E45/(1+$B24)^('DCF Model'!C19+2)+'DCF Model'!F45/(1+$B24)^('DCF Model'!C19+3)+'DCF Model'!G45/(1+$B24)^('DCF Model'!C19+4)+('DCF Model'!G39+'DCF Model'!G42)*G$17/(1+$B24)^('DCF Model'!C19+4)-'DCF Model'!C16)*1000000/'DCF Model'!C15,0),"")</f>
        <v>7346</v>
      </c>
      <c r="H24" s="37">
        <f>IFERROR(ROUND(('DCF Model'!C45/(1+$B24)^('DCF Model'!C19+0)+'DCF Model'!D45/(1+$B24)^('DCF Model'!C19+1)+'DCF Model'!E45/(1+$B24)^('DCF Model'!C19+2)+'DCF Model'!F45/(1+$B24)^('DCF Model'!C19+3)+'DCF Model'!G45/(1+$B24)^('DCF Model'!C19+4)+('DCF Model'!G39+'DCF Model'!G42)*H$17/(1+$B24)^('DCF Model'!C19+4)-'DCF Model'!C16)*1000000/'DCF Model'!C15,0),"")</f>
        <v>7792</v>
      </c>
      <c r="I24" s="37">
        <f>IFERROR(ROUND(('DCF Model'!C45/(1+$B24)^('DCF Model'!C19+0)+'DCF Model'!D45/(1+$B24)^('DCF Model'!C19+1)+'DCF Model'!E45/(1+$B24)^('DCF Model'!C19+2)+'DCF Model'!F45/(1+$B24)^('DCF Model'!C19+3)+'DCF Model'!G45/(1+$B24)^('DCF Model'!C19+4)+('DCF Model'!G39+'DCF Model'!G42)*I$17/(1+$B24)^('DCF Model'!C19+4)-'DCF Model'!C16)*1000000/'DCF Model'!C15,0),"")</f>
        <v>8238</v>
      </c>
    </row>
    <row r="26" spans="2:9" ht="14" x14ac:dyDescent="0.3">
      <c r="B26" s="45" t="s">
        <v>244</v>
      </c>
      <c r="C26" s="44"/>
      <c r="D26" s="44"/>
      <c r="E26" s="44"/>
      <c r="F26" s="44"/>
      <c r="G26" s="44"/>
      <c r="H26" s="44"/>
      <c r="I26" s="44"/>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4"/>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x14ac:dyDescent="0.4">
      <c r="B2" s="2" t="s">
        <v>245</v>
      </c>
    </row>
    <row r="4" spans="2:7" ht="14" x14ac:dyDescent="0.3">
      <c r="B4" s="10" t="s">
        <v>246</v>
      </c>
      <c r="C4" s="10" t="s">
        <v>247</v>
      </c>
      <c r="D4" s="10" t="s">
        <v>248</v>
      </c>
      <c r="E4" s="10" t="s">
        <v>249</v>
      </c>
      <c r="F4" s="10" t="s">
        <v>250</v>
      </c>
      <c r="G4" s="10" t="s">
        <v>251</v>
      </c>
    </row>
    <row r="5" spans="2:7" x14ac:dyDescent="0.2">
      <c r="B5" t="s">
        <v>252</v>
      </c>
      <c r="C5" t="s">
        <v>253</v>
      </c>
      <c r="D5" t="s">
        <v>254</v>
      </c>
      <c r="E5" t="s">
        <v>255</v>
      </c>
      <c r="F5" t="s">
        <v>253</v>
      </c>
      <c r="G5" t="s">
        <v>256</v>
      </c>
    </row>
    <row r="6" spans="2:7" ht="30" customHeight="1" x14ac:dyDescent="0.3">
      <c r="B6" t="s">
        <v>252</v>
      </c>
      <c r="C6" s="4" t="s">
        <v>257</v>
      </c>
      <c r="D6" t="s">
        <v>258</v>
      </c>
      <c r="E6" t="s">
        <v>259</v>
      </c>
      <c r="F6" t="s">
        <v>260</v>
      </c>
      <c r="G6" t="s">
        <v>261</v>
      </c>
    </row>
    <row r="7" spans="2:7" ht="30" customHeight="1" x14ac:dyDescent="0.3">
      <c r="B7" t="s">
        <v>252</v>
      </c>
      <c r="C7" s="4" t="s">
        <v>262</v>
      </c>
      <c r="D7" t="s">
        <v>263</v>
      </c>
      <c r="E7" t="s">
        <v>264</v>
      </c>
      <c r="F7" t="s">
        <v>265</v>
      </c>
      <c r="G7" t="s">
        <v>266</v>
      </c>
    </row>
    <row r="12" spans="2:7" ht="14" x14ac:dyDescent="0.3">
      <c r="B12" s="8" t="s">
        <v>267</v>
      </c>
    </row>
    <row r="13" spans="2:7" ht="14" x14ac:dyDescent="0.3">
      <c r="B13" s="10" t="s">
        <v>268</v>
      </c>
      <c r="C13" s="10" t="s">
        <v>269</v>
      </c>
    </row>
    <row r="14" spans="2:7" ht="14" x14ac:dyDescent="0.3">
      <c r="B14" s="4" t="s">
        <v>270</v>
      </c>
      <c r="C14" t="s">
        <v>271</v>
      </c>
    </row>
    <row r="15" spans="2:7" ht="14" x14ac:dyDescent="0.3">
      <c r="B15" s="4" t="s">
        <v>272</v>
      </c>
      <c r="C15" t="s">
        <v>273</v>
      </c>
    </row>
    <row r="16" spans="2:7" ht="14" x14ac:dyDescent="0.3">
      <c r="B16" s="4" t="s">
        <v>274</v>
      </c>
      <c r="C16" t="s">
        <v>275</v>
      </c>
    </row>
    <row r="17" spans="2:3" ht="14" x14ac:dyDescent="0.3">
      <c r="B17" s="4" t="s">
        <v>276</v>
      </c>
      <c r="C17" t="s">
        <v>273</v>
      </c>
    </row>
    <row r="18" spans="2:3" ht="14" x14ac:dyDescent="0.3">
      <c r="B18" s="4" t="s">
        <v>277</v>
      </c>
      <c r="C18" t="s">
        <v>278</v>
      </c>
    </row>
    <row r="19" spans="2:3" ht="14" x14ac:dyDescent="0.3">
      <c r="B19" s="4" t="s">
        <v>279</v>
      </c>
      <c r="C19" t="s">
        <v>280</v>
      </c>
    </row>
    <row r="20" spans="2:3" ht="14" x14ac:dyDescent="0.3">
      <c r="B20" s="4" t="s">
        <v>281</v>
      </c>
      <c r="C20" t="s">
        <v>282</v>
      </c>
    </row>
    <row r="21" spans="2:3" ht="14" x14ac:dyDescent="0.3">
      <c r="B21" s="4" t="s">
        <v>283</v>
      </c>
      <c r="C21" t="s">
        <v>284</v>
      </c>
    </row>
    <row r="22" spans="2:3" ht="14" x14ac:dyDescent="0.3">
      <c r="B22" s="4" t="s">
        <v>285</v>
      </c>
      <c r="C22" t="s">
        <v>286</v>
      </c>
    </row>
    <row r="23" spans="2:3" ht="14" x14ac:dyDescent="0.3">
      <c r="B23" s="4" t="s">
        <v>287</v>
      </c>
      <c r="C23" t="s">
        <v>4</v>
      </c>
    </row>
    <row r="24" spans="2:3" ht="14" x14ac:dyDescent="0.3">
      <c r="B24" s="4" t="s">
        <v>288</v>
      </c>
      <c r="C24" t="s">
        <v>252</v>
      </c>
    </row>
    <row r="25" spans="2:3" ht="14" x14ac:dyDescent="0.3">
      <c r="B25" s="4" t="s">
        <v>289</v>
      </c>
      <c r="C25" t="s">
        <v>290</v>
      </c>
    </row>
    <row r="26" spans="2:3" ht="14" x14ac:dyDescent="0.3">
      <c r="B26" s="4" t="s">
        <v>291</v>
      </c>
      <c r="C26" t="s">
        <v>278</v>
      </c>
    </row>
    <row r="27" spans="2:3" ht="14" x14ac:dyDescent="0.3">
      <c r="B27" s="4" t="s">
        <v>292</v>
      </c>
      <c r="C27" t="s">
        <v>278</v>
      </c>
    </row>
    <row r="28" spans="2:3" ht="14" x14ac:dyDescent="0.3">
      <c r="B28" s="4" t="s">
        <v>293</v>
      </c>
      <c r="C28" t="s">
        <v>294</v>
      </c>
    </row>
    <row r="29" spans="2:3" ht="14" x14ac:dyDescent="0.3">
      <c r="B29" s="4" t="s">
        <v>295</v>
      </c>
      <c r="C29" t="s">
        <v>296</v>
      </c>
    </row>
    <row r="30" spans="2:3" ht="14" x14ac:dyDescent="0.3">
      <c r="B30" s="4" t="s">
        <v>297</v>
      </c>
      <c r="C30" t="s">
        <v>298</v>
      </c>
    </row>
    <row r="31" spans="2:3" ht="14" x14ac:dyDescent="0.3">
      <c r="B31" s="4" t="s">
        <v>299</v>
      </c>
      <c r="C31" t="s">
        <v>294</v>
      </c>
    </row>
    <row r="32" spans="2:3" ht="14" x14ac:dyDescent="0.3">
      <c r="B32" s="4" t="s">
        <v>300</v>
      </c>
      <c r="C32" t="s">
        <v>278</v>
      </c>
    </row>
    <row r="33" spans="2:3" ht="14" x14ac:dyDescent="0.3">
      <c r="B33" s="4" t="s">
        <v>301</v>
      </c>
      <c r="C33" t="s">
        <v>290</v>
      </c>
    </row>
    <row r="34" spans="2:3" ht="14" x14ac:dyDescent="0.3">
      <c r="B34" s="4" t="s">
        <v>302</v>
      </c>
      <c r="C34" t="s">
        <v>303</v>
      </c>
    </row>
    <row r="35" spans="2:3" ht="14" x14ac:dyDescent="0.3">
      <c r="B35" s="4" t="s">
        <v>304</v>
      </c>
      <c r="C35" t="s">
        <v>305</v>
      </c>
    </row>
    <row r="36" spans="2:3" ht="14" x14ac:dyDescent="0.3">
      <c r="B36" s="4" t="s">
        <v>306</v>
      </c>
      <c r="C36" t="s">
        <v>307</v>
      </c>
    </row>
    <row r="37" spans="2:3" ht="14" x14ac:dyDescent="0.3">
      <c r="B37" s="4" t="s">
        <v>308</v>
      </c>
      <c r="C37" t="s">
        <v>309</v>
      </c>
    </row>
    <row r="38" spans="2:3" ht="14" x14ac:dyDescent="0.3">
      <c r="B38" s="4" t="s">
        <v>310</v>
      </c>
      <c r="C38" t="s">
        <v>311</v>
      </c>
    </row>
    <row r="39" spans="2:3" ht="14" x14ac:dyDescent="0.3">
      <c r="B39" s="4" t="s">
        <v>312</v>
      </c>
      <c r="C39" t="s">
        <v>313</v>
      </c>
    </row>
    <row r="40" spans="2:3" ht="14" x14ac:dyDescent="0.3">
      <c r="B40" s="4" t="s">
        <v>314</v>
      </c>
      <c r="C40" t="s">
        <v>315</v>
      </c>
    </row>
    <row r="41" spans="2:3" ht="14" x14ac:dyDescent="0.3">
      <c r="B41" s="4" t="s">
        <v>316</v>
      </c>
      <c r="C41" t="s">
        <v>317</v>
      </c>
    </row>
    <row r="42" spans="2:3" ht="14" x14ac:dyDescent="0.3">
      <c r="B42" s="4" t="s">
        <v>318</v>
      </c>
      <c r="C42" t="s">
        <v>319</v>
      </c>
    </row>
    <row r="43" spans="2:3" ht="14" x14ac:dyDescent="0.3">
      <c r="B43" s="4" t="s">
        <v>320</v>
      </c>
      <c r="C43" t="s">
        <v>321</v>
      </c>
    </row>
    <row r="44" spans="2:3" ht="14" x14ac:dyDescent="0.3">
      <c r="B44" s="4" t="s">
        <v>322</v>
      </c>
      <c r="C44" t="s">
        <v>282</v>
      </c>
    </row>
    <row r="45" spans="2:3" ht="14" x14ac:dyDescent="0.3">
      <c r="B45" s="4" t="s">
        <v>323</v>
      </c>
      <c r="C45" t="s">
        <v>324</v>
      </c>
    </row>
    <row r="46" spans="2:3" ht="14" x14ac:dyDescent="0.3">
      <c r="B46" s="4" t="s">
        <v>325</v>
      </c>
      <c r="C46" t="s">
        <v>326</v>
      </c>
    </row>
    <row r="47" spans="2:3" ht="14" x14ac:dyDescent="0.3">
      <c r="B47" s="4" t="s">
        <v>327</v>
      </c>
      <c r="C47" t="s">
        <v>328</v>
      </c>
    </row>
    <row r="48" spans="2:3" ht="14" x14ac:dyDescent="0.3">
      <c r="B48" s="4" t="s">
        <v>329</v>
      </c>
      <c r="C48" t="s">
        <v>330</v>
      </c>
    </row>
    <row r="49" spans="2:3" ht="14" x14ac:dyDescent="0.3">
      <c r="B49" s="4" t="s">
        <v>331</v>
      </c>
      <c r="C49" t="s">
        <v>332</v>
      </c>
    </row>
    <row r="50" spans="2:3" ht="14" x14ac:dyDescent="0.3">
      <c r="B50" s="4" t="s">
        <v>333</v>
      </c>
      <c r="C50" t="s">
        <v>334</v>
      </c>
    </row>
    <row r="51" spans="2:3" ht="14" x14ac:dyDescent="0.3">
      <c r="B51" s="4" t="s">
        <v>335</v>
      </c>
      <c r="C51" t="s">
        <v>336</v>
      </c>
    </row>
    <row r="52" spans="2:3" ht="14" x14ac:dyDescent="0.3">
      <c r="B52" s="4" t="s">
        <v>337</v>
      </c>
      <c r="C52" t="s">
        <v>338</v>
      </c>
    </row>
    <row r="53" spans="2:3" ht="14" x14ac:dyDescent="0.3">
      <c r="B53" s="4" t="s">
        <v>339</v>
      </c>
      <c r="C53" t="s">
        <v>340</v>
      </c>
    </row>
    <row r="54" spans="2:3" ht="14" x14ac:dyDescent="0.3">
      <c r="B54" s="4" t="s">
        <v>341</v>
      </c>
      <c r="C54" t="s">
        <v>342</v>
      </c>
    </row>
    <row r="55" spans="2:3" ht="14" x14ac:dyDescent="0.3">
      <c r="B55" s="4" t="s">
        <v>343</v>
      </c>
      <c r="C55" t="s">
        <v>344</v>
      </c>
    </row>
    <row r="56" spans="2:3" ht="14" x14ac:dyDescent="0.3">
      <c r="B56" s="4" t="s">
        <v>345</v>
      </c>
      <c r="C56" t="s">
        <v>346</v>
      </c>
    </row>
    <row r="57" spans="2:3" ht="14" x14ac:dyDescent="0.3">
      <c r="B57" s="4" t="s">
        <v>347</v>
      </c>
      <c r="C57" t="s">
        <v>348</v>
      </c>
    </row>
    <row r="58" spans="2:3" ht="14" x14ac:dyDescent="0.3">
      <c r="B58" s="4" t="s">
        <v>349</v>
      </c>
      <c r="C58" t="s">
        <v>290</v>
      </c>
    </row>
    <row r="59" spans="2:3" ht="14" x14ac:dyDescent="0.3">
      <c r="B59" s="4" t="s">
        <v>350</v>
      </c>
      <c r="C59" t="s">
        <v>351</v>
      </c>
    </row>
    <row r="60" spans="2:3" ht="14" x14ac:dyDescent="0.3">
      <c r="B60" s="4" t="s">
        <v>352</v>
      </c>
      <c r="C60" t="s">
        <v>353</v>
      </c>
    </row>
    <row r="61" spans="2:3" ht="14" x14ac:dyDescent="0.3">
      <c r="B61" s="4" t="s">
        <v>354</v>
      </c>
      <c r="C61" t="s">
        <v>355</v>
      </c>
    </row>
    <row r="62" spans="2:3" ht="14" x14ac:dyDescent="0.3">
      <c r="B62" s="4" t="s">
        <v>356</v>
      </c>
      <c r="C62" t="s">
        <v>357</v>
      </c>
    </row>
    <row r="63" spans="2:3" ht="14" x14ac:dyDescent="0.3">
      <c r="B63" s="4" t="s">
        <v>358</v>
      </c>
      <c r="C63" t="s">
        <v>359</v>
      </c>
    </row>
    <row r="64" spans="2:3" ht="14" x14ac:dyDescent="0.3">
      <c r="B64" s="4" t="s">
        <v>360</v>
      </c>
      <c r="C64" t="s">
        <v>213</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2026-09-06T10:35:36Z</dcterms:created>
  <dcterms:modified xsi:type="dcterms:W3CDTF">2026-09-06T10:35:40Z</dcterms:modified>
</cp:coreProperties>
</file>