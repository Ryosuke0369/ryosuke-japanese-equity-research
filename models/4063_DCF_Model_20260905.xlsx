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304E80B-C6C8-45EF-859B-5DC0DCC66DF8}"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G17" i="7" l="1"/>
  <c r="I3" i="7"/>
  <c r="I17" i="7" s="1"/>
  <c r="F3" i="7"/>
  <c r="H6" i="7" s="1"/>
  <c r="O10" i="6"/>
  <c r="N10" i="6"/>
  <c r="M10" i="6"/>
  <c r="L10" i="6"/>
  <c r="K10" i="6"/>
  <c r="J10" i="6"/>
  <c r="O9" i="6"/>
  <c r="N9" i="6"/>
  <c r="M9" i="6"/>
  <c r="L9" i="6"/>
  <c r="K9" i="6"/>
  <c r="J9" i="6"/>
  <c r="O8" i="6"/>
  <c r="N8" i="6"/>
  <c r="M8" i="6"/>
  <c r="G16" i="6" s="1"/>
  <c r="L8" i="6"/>
  <c r="F16" i="6" s="1"/>
  <c r="C28" i="6" s="1"/>
  <c r="C19" i="1" s="1"/>
  <c r="D19" i="1" s="1"/>
  <c r="K8" i="6"/>
  <c r="J8" i="6"/>
  <c r="O7" i="6"/>
  <c r="N7" i="6"/>
  <c r="M7" i="6"/>
  <c r="L7" i="6"/>
  <c r="K7" i="6"/>
  <c r="E16" i="6" s="1"/>
  <c r="J7" i="6"/>
  <c r="D16" i="6" s="1"/>
  <c r="O6" i="6"/>
  <c r="N6" i="6"/>
  <c r="M6" i="6"/>
  <c r="G17" i="6" s="1"/>
  <c r="L6" i="6"/>
  <c r="K6" i="6"/>
  <c r="J6" i="6"/>
  <c r="O5" i="6"/>
  <c r="N5" i="6"/>
  <c r="D5" i="6"/>
  <c r="E5" i="6" s="1"/>
  <c r="C16" i="5"/>
  <c r="C14" i="5"/>
  <c r="C18" i="5" s="1"/>
  <c r="C7" i="5"/>
  <c r="C6" i="5"/>
  <c r="C5" i="5"/>
  <c r="C13" i="4"/>
  <c r="C12" i="4"/>
  <c r="C9" i="4"/>
  <c r="C7" i="4"/>
  <c r="C6" i="4"/>
  <c r="D27" i="3"/>
  <c r="G5" i="5" s="1"/>
  <c r="C25" i="3"/>
  <c r="C24" i="3"/>
  <c r="C23" i="3"/>
  <c r="F28" i="2"/>
  <c r="E28" i="2"/>
  <c r="D28" i="2"/>
  <c r="C28" i="2"/>
  <c r="F23" i="2"/>
  <c r="E23" i="2"/>
  <c r="D23" i="2"/>
  <c r="C23" i="2"/>
  <c r="F22" i="2"/>
  <c r="F21" i="2"/>
  <c r="E21" i="2"/>
  <c r="E22" i="2" s="1"/>
  <c r="D21" i="2"/>
  <c r="D22" i="2" s="1"/>
  <c r="C21" i="2"/>
  <c r="C22" i="2" s="1"/>
  <c r="F16" i="2"/>
  <c r="E16" i="2"/>
  <c r="D16" i="2"/>
  <c r="F15" i="2"/>
  <c r="E15" i="2"/>
  <c r="D15" i="2"/>
  <c r="F14" i="2"/>
  <c r="E14" i="2"/>
  <c r="D14" i="2"/>
  <c r="C14" i="2"/>
  <c r="F13" i="2"/>
  <c r="E13" i="2"/>
  <c r="D13" i="2"/>
  <c r="C13" i="2"/>
  <c r="F9" i="2"/>
  <c r="E9" i="2"/>
  <c r="F8" i="2"/>
  <c r="E8" i="2"/>
  <c r="D8" i="2"/>
  <c r="D9" i="2" s="1"/>
  <c r="C8" i="2"/>
  <c r="C9" i="2" s="1"/>
  <c r="D17" i="6" l="1"/>
  <c r="F15" i="6"/>
  <c r="C6" i="7"/>
  <c r="F30" i="3"/>
  <c r="G7" i="5"/>
  <c r="E6" i="7"/>
  <c r="G30" i="3"/>
  <c r="F6" i="7"/>
  <c r="F17" i="6"/>
  <c r="G6" i="7"/>
  <c r="E6" i="5"/>
  <c r="D30" i="3"/>
  <c r="H7" i="5"/>
  <c r="G31" i="3"/>
  <c r="D32" i="3"/>
  <c r="H15" i="6"/>
  <c r="D17" i="7"/>
  <c r="D5" i="5"/>
  <c r="E32" i="3"/>
  <c r="F17" i="7"/>
  <c r="C8" i="4"/>
  <c r="C10" i="4" s="1"/>
  <c r="C70" i="4" s="1"/>
  <c r="F6" i="5"/>
  <c r="H17" i="7"/>
  <c r="C71" i="4"/>
  <c r="E17" i="6"/>
  <c r="G15" i="6"/>
  <c r="J5" i="6"/>
  <c r="K5" i="6"/>
  <c r="I16" i="6"/>
  <c r="C26" i="3"/>
  <c r="C27" i="6"/>
  <c r="C18" i="1" s="1"/>
  <c r="D18" i="1" s="1"/>
  <c r="C74" i="4"/>
  <c r="D15" i="6"/>
  <c r="E15" i="6"/>
  <c r="C31" i="3"/>
  <c r="C30" i="3"/>
  <c r="C33" i="3" s="1"/>
  <c r="F31" i="3"/>
  <c r="H5" i="5"/>
  <c r="D7" i="5"/>
  <c r="I15" i="6"/>
  <c r="I6" i="7"/>
  <c r="C17" i="7"/>
  <c r="E7" i="5"/>
  <c r="L5" i="6"/>
  <c r="E30" i="3"/>
  <c r="C32" i="3"/>
  <c r="D6" i="5"/>
  <c r="F7" i="5"/>
  <c r="M5" i="6"/>
  <c r="H17" i="6"/>
  <c r="D6" i="7"/>
  <c r="E17" i="7"/>
  <c r="I17" i="6"/>
  <c r="H16" i="6"/>
  <c r="F32" i="3"/>
  <c r="E5" i="5"/>
  <c r="G6" i="5"/>
  <c r="D31" i="3"/>
  <c r="G32" i="3"/>
  <c r="F5" i="5"/>
  <c r="H6" i="5"/>
  <c r="E31" i="3"/>
  <c r="C3" i="7" l="1"/>
  <c r="G36" i="4"/>
  <c r="C11" i="4"/>
  <c r="C24" i="4" s="1"/>
  <c r="C25" i="4" s="1"/>
  <c r="G46" i="3"/>
  <c r="F36" i="4"/>
  <c r="F46" i="3"/>
  <c r="E46" i="3"/>
  <c r="E36" i="4"/>
  <c r="H36" i="4"/>
  <c r="C46" i="3"/>
  <c r="D36" i="4"/>
  <c r="B31" i="1"/>
  <c r="D46" i="3"/>
  <c r="B24" i="1"/>
  <c r="B29" i="1"/>
  <c r="D9" i="5"/>
  <c r="D12" i="5" s="1"/>
  <c r="D33" i="3"/>
  <c r="C37" i="3"/>
  <c r="C42" i="3"/>
  <c r="C34" i="3"/>
  <c r="D10" i="5" s="1"/>
  <c r="E39" i="4" l="1"/>
  <c r="E49" i="4" s="1"/>
  <c r="E54" i="4" s="1"/>
  <c r="E43" i="4"/>
  <c r="E46" i="4"/>
  <c r="E38" i="4"/>
  <c r="E48" i="4" s="1"/>
  <c r="E53" i="4" s="1"/>
  <c r="E41" i="4"/>
  <c r="E45" i="4"/>
  <c r="E44" i="4"/>
  <c r="E40" i="4"/>
  <c r="D15" i="5"/>
  <c r="D16" i="5" s="1"/>
  <c r="D13" i="5"/>
  <c r="D14" i="5" s="1"/>
  <c r="F43" i="4"/>
  <c r="F46" i="4"/>
  <c r="F40" i="4"/>
  <c r="F50" i="4" s="1"/>
  <c r="F55" i="4" s="1"/>
  <c r="F41" i="4"/>
  <c r="F45" i="4"/>
  <c r="F39" i="4"/>
  <c r="F38" i="4"/>
  <c r="F48" i="4" s="1"/>
  <c r="F53" i="4" s="1"/>
  <c r="F44" i="4"/>
  <c r="C35" i="3"/>
  <c r="D45" i="4"/>
  <c r="D39" i="4"/>
  <c r="D49" i="4" s="1"/>
  <c r="D54" i="4" s="1"/>
  <c r="D43" i="4"/>
  <c r="D44" i="4"/>
  <c r="D38" i="4"/>
  <c r="D41" i="4"/>
  <c r="D51" i="4" s="1"/>
  <c r="D56" i="4" s="1"/>
  <c r="D40" i="4"/>
  <c r="D46" i="4"/>
  <c r="C27" i="4"/>
  <c r="C26" i="4"/>
  <c r="C29" i="4"/>
  <c r="G46" i="4"/>
  <c r="G40" i="4"/>
  <c r="G50" i="4" s="1"/>
  <c r="G55" i="4" s="1"/>
  <c r="G44" i="4"/>
  <c r="G45" i="4"/>
  <c r="G39" i="4"/>
  <c r="G43" i="4"/>
  <c r="G41" i="4"/>
  <c r="G38" i="4"/>
  <c r="G48" i="4" s="1"/>
  <c r="G53" i="4" s="1"/>
  <c r="E9" i="5"/>
  <c r="E12" i="5" s="1"/>
  <c r="D35" i="3"/>
  <c r="D42" i="3"/>
  <c r="D34" i="3"/>
  <c r="E10" i="5" s="1"/>
  <c r="E33" i="3"/>
  <c r="D37" i="3"/>
  <c r="H40" i="4"/>
  <c r="H50" i="4" s="1"/>
  <c r="H55" i="4" s="1"/>
  <c r="H44" i="4"/>
  <c r="H39" i="4"/>
  <c r="H43" i="4"/>
  <c r="H46" i="4"/>
  <c r="H38" i="4"/>
  <c r="H41" i="4"/>
  <c r="H45" i="4"/>
  <c r="B13" i="7"/>
  <c r="B12" i="7"/>
  <c r="B11" i="7"/>
  <c r="B10" i="7"/>
  <c r="B9" i="7"/>
  <c r="B8" i="7"/>
  <c r="B7" i="7"/>
  <c r="B24" i="7"/>
  <c r="B23" i="7"/>
  <c r="B22" i="7"/>
  <c r="B21" i="7"/>
  <c r="B20" i="7"/>
  <c r="B19" i="7"/>
  <c r="B18" i="7"/>
  <c r="D18" i="5" l="1"/>
  <c r="D19" i="5" s="1"/>
  <c r="C44" i="3" s="1"/>
  <c r="G51" i="4"/>
  <c r="G56" i="4" s="1"/>
  <c r="D48" i="4"/>
  <c r="D53" i="4" s="1"/>
  <c r="F49" i="4"/>
  <c r="E50" i="4"/>
  <c r="E55" i="4" s="1"/>
  <c r="H51" i="4"/>
  <c r="H56" i="4" s="1"/>
  <c r="F9" i="5"/>
  <c r="F12" i="5" s="1"/>
  <c r="E42" i="3"/>
  <c r="E34" i="3"/>
  <c r="F10" i="5" s="1"/>
  <c r="F33" i="3"/>
  <c r="E37" i="3"/>
  <c r="E35" i="3"/>
  <c r="G49" i="4"/>
  <c r="G54" i="4" s="1"/>
  <c r="F51" i="4"/>
  <c r="F56" i="4" s="1"/>
  <c r="H48" i="4"/>
  <c r="H53" i="4" s="1"/>
  <c r="E13" i="5"/>
  <c r="E14" i="5" s="1"/>
  <c r="E18" i="5" s="1"/>
  <c r="E19" i="5" s="1"/>
  <c r="D44" i="3" s="1"/>
  <c r="E15" i="5"/>
  <c r="E16" i="5" s="1"/>
  <c r="E51" i="4"/>
  <c r="E56" i="4" s="1"/>
  <c r="D36" i="3"/>
  <c r="D39" i="3"/>
  <c r="D38" i="3"/>
  <c r="C36" i="3"/>
  <c r="C39" i="3"/>
  <c r="C38" i="3"/>
  <c r="H49" i="4"/>
  <c r="H54" i="4" s="1"/>
  <c r="D50" i="4"/>
  <c r="D55" i="4" s="1"/>
  <c r="F42" i="3" l="1"/>
  <c r="F34" i="3"/>
  <c r="G10" i="5" s="1"/>
  <c r="F37" i="3"/>
  <c r="G9" i="5"/>
  <c r="G12" i="5" s="1"/>
  <c r="F35" i="3"/>
  <c r="G33" i="3"/>
  <c r="F13" i="5"/>
  <c r="F14" i="5" s="1"/>
  <c r="F15" i="5"/>
  <c r="F16" i="5" s="1"/>
  <c r="E39" i="3"/>
  <c r="E38" i="3"/>
  <c r="E36" i="3"/>
  <c r="C40" i="3"/>
  <c r="C41" i="3" s="1"/>
  <c r="C45" i="3" s="1"/>
  <c r="D40" i="3"/>
  <c r="D41" i="3" s="1"/>
  <c r="D45" i="3" s="1"/>
  <c r="D47" i="3" s="1"/>
  <c r="C60" i="4"/>
  <c r="F54" i="4"/>
  <c r="B78" i="4" s="1"/>
  <c r="F18" i="5" l="1"/>
  <c r="F19" i="5" s="1"/>
  <c r="E44" i="3" s="1"/>
  <c r="C47" i="3"/>
  <c r="G37" i="3"/>
  <c r="C16" i="4"/>
  <c r="C28" i="4" s="1"/>
  <c r="H9" i="5"/>
  <c r="H12" i="5" s="1"/>
  <c r="G42" i="3"/>
  <c r="C72" i="4" s="1"/>
  <c r="G34" i="3"/>
  <c r="H10" i="5" s="1"/>
  <c r="F36" i="3"/>
  <c r="F39" i="3"/>
  <c r="F38" i="3"/>
  <c r="G13" i="5"/>
  <c r="G14" i="5" s="1"/>
  <c r="G15" i="5"/>
  <c r="G16" i="5" s="1"/>
  <c r="C65" i="4"/>
  <c r="D65" i="4" s="1"/>
  <c r="C67" i="4"/>
  <c r="D67" i="4" s="1"/>
  <c r="C63" i="4"/>
  <c r="D63" i="4" s="1"/>
  <c r="C66" i="4"/>
  <c r="D66" i="4" s="1"/>
  <c r="C64" i="4"/>
  <c r="D64" i="4" s="1"/>
  <c r="C73" i="4"/>
  <c r="E40" i="3"/>
  <c r="E41" i="3" s="1"/>
  <c r="E45" i="3" s="1"/>
  <c r="E47" i="3" s="1"/>
  <c r="G18" i="5" l="1"/>
  <c r="G19" i="5" s="1"/>
  <c r="F44" i="3" s="1"/>
  <c r="H13" i="5"/>
  <c r="H14" i="5" s="1"/>
  <c r="H15" i="5"/>
  <c r="H16" i="5" s="1"/>
  <c r="G35" i="3"/>
  <c r="F40" i="3"/>
  <c r="F41" i="3"/>
  <c r="F45" i="3" s="1"/>
  <c r="F47" i="3" s="1"/>
  <c r="H18" i="5" l="1"/>
  <c r="H19" i="5" s="1"/>
  <c r="G44" i="3" s="1"/>
  <c r="G36" i="3"/>
  <c r="G39" i="3"/>
  <c r="G38" i="3"/>
  <c r="G40" i="3" l="1"/>
  <c r="G41" i="3" s="1"/>
  <c r="G45" i="3" s="1"/>
  <c r="C59" i="3"/>
  <c r="C60" i="3" s="1"/>
  <c r="C61" i="3" s="1"/>
  <c r="C51" i="3" l="1"/>
  <c r="C52" i="3" s="1"/>
  <c r="G47" i="3"/>
  <c r="C50" i="3" s="1"/>
  <c r="F24" i="7"/>
  <c r="F8" i="7"/>
  <c r="I8" i="7"/>
  <c r="D19" i="7"/>
  <c r="C23" i="7"/>
  <c r="C11" i="7"/>
  <c r="D24" i="7"/>
  <c r="H9" i="7"/>
  <c r="G18" i="7"/>
  <c r="E21" i="7"/>
  <c r="G10" i="7"/>
  <c r="D13" i="7"/>
  <c r="C19" i="7"/>
  <c r="D12" i="7"/>
  <c r="E8" i="7"/>
  <c r="D7" i="7"/>
  <c r="E20" i="7"/>
  <c r="C8" i="7"/>
  <c r="G19" i="7"/>
  <c r="H23" i="7"/>
  <c r="I18" i="7"/>
  <c r="C24" i="7"/>
  <c r="I12" i="7"/>
  <c r="E10" i="7"/>
  <c r="H20" i="7"/>
  <c r="H10" i="7"/>
  <c r="F18" i="7"/>
  <c r="I21" i="7"/>
  <c r="G20" i="7"/>
  <c r="G7" i="7"/>
  <c r="H8" i="7"/>
  <c r="F9" i="7"/>
  <c r="G11" i="7"/>
  <c r="I22" i="7"/>
  <c r="E23" i="7"/>
  <c r="I20" i="7"/>
  <c r="E19" i="7"/>
  <c r="I9" i="7"/>
  <c r="I13" i="7"/>
  <c r="I10" i="7"/>
  <c r="D20" i="7"/>
  <c r="D21" i="7"/>
  <c r="D9" i="7"/>
  <c r="H21" i="7"/>
  <c r="H7" i="7"/>
  <c r="F21" i="7"/>
  <c r="I24" i="7"/>
  <c r="E24" i="7"/>
  <c r="D10" i="7"/>
  <c r="F19" i="7"/>
  <c r="G13" i="7"/>
  <c r="G24" i="7"/>
  <c r="F11" i="7"/>
  <c r="F12" i="7"/>
  <c r="E7" i="7"/>
  <c r="D18" i="7"/>
  <c r="H19" i="7"/>
  <c r="C22" i="7"/>
  <c r="F13" i="7"/>
  <c r="C20" i="7"/>
  <c r="E13" i="7"/>
  <c r="H18" i="7"/>
  <c r="H12" i="7"/>
  <c r="I11" i="7"/>
  <c r="E12" i="7"/>
  <c r="I19" i="7"/>
  <c r="G22" i="7"/>
  <c r="D11" i="7"/>
  <c r="C13" i="7"/>
  <c r="H22" i="7"/>
  <c r="G21" i="7"/>
  <c r="C9" i="7"/>
  <c r="I7" i="7"/>
  <c r="F23" i="7"/>
  <c r="H13" i="7"/>
  <c r="G9" i="7"/>
  <c r="E11" i="7"/>
  <c r="I23" i="7"/>
  <c r="E18" i="7"/>
  <c r="G23" i="7"/>
  <c r="C7" i="7"/>
  <c r="H24" i="7"/>
  <c r="F22" i="7"/>
  <c r="G8" i="7"/>
  <c r="C10" i="7"/>
  <c r="D22" i="7"/>
  <c r="G12" i="7"/>
  <c r="E9" i="7"/>
  <c r="C18" i="7"/>
  <c r="C12" i="7"/>
  <c r="F10" i="7"/>
  <c r="F20" i="7"/>
  <c r="D8" i="7"/>
  <c r="D23" i="7"/>
  <c r="C21" i="7"/>
  <c r="E22" i="7"/>
  <c r="F7" i="7"/>
  <c r="H11" i="7"/>
  <c r="C53" i="3" l="1"/>
  <c r="C58" i="3"/>
  <c r="C62" i="3" s="1"/>
  <c r="C63" i="3" l="1"/>
  <c r="C64" i="3" s="1"/>
  <c r="C17" i="1" s="1"/>
  <c r="D17" i="1" s="1"/>
  <c r="C54" i="3"/>
  <c r="C55" i="3" s="1"/>
  <c r="C16" i="1" s="1"/>
  <c r="C17" i="4"/>
  <c r="C21" i="1" l="1"/>
  <c r="D16" i="1"/>
  <c r="C10" i="1"/>
  <c r="C19" i="4"/>
  <c r="C20" i="4" s="1"/>
  <c r="B79" i="4" s="1"/>
  <c r="C12" i="1" l="1"/>
  <c r="C11" i="1" s="1"/>
  <c r="B26" i="1" l="1"/>
</calcChain>
</file>

<file path=xl/sharedStrings.xml><?xml version="1.0" encoding="utf-8"?>
<sst xmlns="http://schemas.openxmlformats.org/spreadsheetml/2006/main" count="525" uniqueCount="403">
  <si>
    <t>DISCLAIMER: This is a sample analysis for demonstration purposes only. It does not constitute investment advice.</t>
  </si>
  <si>
    <t>信越化学工業 (4063.T)</t>
  </si>
  <si>
    <t>Equity Research Report</t>
  </si>
  <si>
    <t>Company</t>
  </si>
  <si>
    <t>信越化学工業</t>
  </si>
  <si>
    <t>Ticker</t>
  </si>
  <si>
    <t>4063.T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</si>
  <si>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</si>
  <si>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</si>
  <si>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</si>
  <si>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</si>
  <si>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</si>
  <si>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</si>
  <si>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</si>
  <si>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</si>
  <si>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</si>
  <si>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</si>
  <si>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</si>
  <si>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</si>
  <si>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</si>
  <si>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</si>
  <si>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</si>
  <si>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</si>
  <si>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</si>
  <si>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balance sheet carries net cash rather than net debt, so enterprise value is funded entirely by equity and the discount rate is the cost of equity with no leverage benefit assumed.</t>
  </si>
  <si>
    <t>Key Risks</t>
  </si>
  <si>
    <t>Semiconductor wafer demand is cyclical: the projected margin recovery assumes a memory and logic capex upturn that customer order books have not yet confirmed.</t>
  </si>
  <si>
    <t>信越化学工業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</si>
  <si>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</si>
  <si>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</si>
  <si>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</si>
  <si>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</si>
  <si>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</si>
  <si>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</si>
  <si>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</si>
  <si>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</si>
  <si>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</si>
  <si>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</si>
  <si>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</si>
  <si>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</si>
  <si>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</si>
  <si>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</si>
  <si>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</si>
  <si>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</si>
  <si>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</si>
  <si>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</si>
  <si>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</si>
  <si>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</si>
  <si>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</si>
  <si>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</si>
  <si>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</si>
  <si>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</si>
  <si>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</si>
  <si>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</si>
  <si>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</si>
  <si>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</si>
  <si>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信越化学工業</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</si>
  <si>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</si>
  <si>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</si>
  <si>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</si>
  <si>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</si>
  <si>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</si>
  <si>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</si>
  <si>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</si>
  <si>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</si>
  <si>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</si>
  <si>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</si>
  <si>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</si>
  <si>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</si>
  <si>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</si>
  <si>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</si>
  <si>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</si>
  <si>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</si>
  <si>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</si>
  <si>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</si>
  <si>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</si>
  <si>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</si>
  <si>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</si>
  <si>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</si>
  <si>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</si>
  <si>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</si>
  <si>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</si>
  <si>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</si>
  <si>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</si>
  <si>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</si>
  <si>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</si>
  <si>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</si>
  <si>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</si>
  <si>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</si>
  <si>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</si>
  <si>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</si>
  <si>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</si>
  <si>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</si>
  <si>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</si>
  <si>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</si>
  <si>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</si>
  <si>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</si>
  <si>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</si>
  <si>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</si>
  <si>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</si>
  <si>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</si>
  <si>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</si>
  <si>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</si>
  <si>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</si>
  <si>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</si>
  <si>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</si>
  <si>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</si>
  <si>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</si>
  <si>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</si>
  <si>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</si>
  <si>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</si>
  <si>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</si>
  <si>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</si>
  <si>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</si>
  <si>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</si>
  <si>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</si>
  <si>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</si>
  <si>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</si>
  <si>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</si>
  <si>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</si>
  <si>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</si>
  <si>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信越化学工業 (4063.T)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</si>
  <si>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</si>
  <si>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</si>
  <si>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</si>
  <si>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</si>
  <si>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</si>
  <si>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</si>
  <si>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</si>
  <si>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</si>
  <si>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</si>
  <si>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</si>
  <si>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</si>
  <si>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</si>
  <si>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</si>
  <si>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</si>
  <si>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</si>
  <si>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</si>
  <si>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</si>
  <si>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</si>
  <si>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</si>
  <si>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</si>
  <si>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</si>
  <si>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</si>
  <si>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</si>
  <si>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</si>
  <si>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</si>
  <si>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</si>
  <si>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</si>
  <si>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</si>
  <si>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</si>
  <si>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</si>
  <si>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</si>
  <si>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</si>
  <si>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</si>
  <si>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</si>
  <si>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</si>
  <si>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</si>
  <si>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</si>
  <si>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</si>
  <si>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</si>
  <si>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</si>
  <si>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</si>
  <si>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</si>
  <si>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</si>
  <si>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</si>
  <si>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</si>
  <si>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</si>
  <si>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</si>
  <si>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</si>
  <si>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</si>
  <si>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</si>
  <si>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</si>
  <si>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信越化学工業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</si>
  <si>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</si>
  <si>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</si>
  <si>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</si>
  <si>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</si>
  <si>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</si>
  <si>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</si>
  <si>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</si>
  <si>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</si>
  <si>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</si>
  <si>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</si>
  <si>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</si>
  <si>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</si>
  <si>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</si>
  <si>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</si>
  <si>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</si>
  <si>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</si>
  <si>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</si>
  <si>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</si>
  <si>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</si>
  <si>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</si>
  <si>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</si>
  <si>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</si>
  <si>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</si>
  <si>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</si>
  <si>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</si>
  <si>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</si>
  <si>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</si>
  <si>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</si>
  <si>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</si>
  <si>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</si>
  <si>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</si>
  <si>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</si>
  <si>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</si>
  <si>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</si>
  <si>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Shin-Etsu Chemical Co., Ltd.</t>
  </si>
  <si>
    <t>4063.T</t>
  </si>
  <si>
    <t>Asahi Kasei Corporation</t>
  </si>
  <si>
    <t>3407.T</t>
  </si>
  <si>
    <t>Mitsubishi Chemical Group Corporation</t>
  </si>
  <si>
    <t>4188.T</t>
  </si>
  <si>
    <t>Mitsui Chemicals, Inc.</t>
  </si>
  <si>
    <t>4183.T</t>
  </si>
  <si>
    <t>Nippon Sanso Holdings Corporation</t>
  </si>
  <si>
    <t>4091.T</t>
  </si>
  <si>
    <t>FUJIFILM Holdings Corporation</t>
  </si>
  <si>
    <t>4901.T</t>
  </si>
  <si>
    <t>Statistics</t>
  </si>
  <si>
    <t>25th Percentile</t>
  </si>
  <si>
    <t>Median (50th)</t>
  </si>
  <si>
    <t>75th Percentile</t>
  </si>
  <si>
    <t>Implied Valuation for 信越化学工業</t>
  </si>
  <si>
    <t>信越化学工業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</si>
  <si>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</si>
  <si>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</si>
  <si>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</si>
  <si>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</si>
  <si>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</si>
  <si>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</si>
  <si>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</si>
  <si>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</si>
  <si>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</si>
  <si>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</si>
  <si>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</si>
  <si>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</si>
  <si>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</si>
  <si>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</si>
  <si>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</si>
  <si>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信越化学工業</t>
  </si>
  <si>
    <t>日付</t>
  </si>
  <si>
    <t>セル</t>
  </si>
  <si>
    <t>変更内容</t>
  </si>
  <si>
    <t>理由</t>
  </si>
  <si>
    <t>元の値</t>
  </si>
  <si>
    <t>状態</t>
  </si>
  <si>
    <t>2026-09-06</t>
  </si>
  <si>
    <t>-</t>
  </si>
  <si>
    <t>Generated by pipeline on 2026-09-06 10:37, template rev c9b5dd9</t>
  </si>
  <si>
    <t>初期生成（手修正なし）</t>
  </si>
  <si>
    <t>generated</t>
  </si>
  <si>
    <t>2026-09-05</t>
  </si>
  <si>
    <t>DCF Model!C7</t>
  </si>
  <si>
    <t>Risk-Free Rate = 2.97%</t>
  </si>
  <si>
    <t>財務省 国債金利情報 jgbcm.csv の10年物 R8.9.3(2026-09-03) 2.966% を四捨五入。バッチ全銘柄で共通の一次ソース。yfinanceは日本国債利回りを返さないため使用しない。</t>
  </si>
  <si>
    <t>テンプレ既定 2.2%</t>
  </si>
  <si>
    <t>確定</t>
  </si>
  <si>
    <t>DCF Model!C9</t>
  </si>
  <si>
    <t>Equity Risk Premium = 6.5%</t>
  </si>
  <si>
    <t>バッチ共通の固定前提(本バッチ仕様 §1-3)。銘柄固有の調整はしていない。</t>
  </si>
  <si>
    <t>テンプレ既定 6.5%(同値)</t>
  </si>
  <si>
    <t>設計判断</t>
  </si>
  <si>
    <t>DCF Model!C10</t>
  </si>
  <si>
    <t>Size Premium = 1.0%</t>
  </si>
  <si>
    <t>時価総額バンドによる機械決定(&gt;3,000億円 -&gt; 1.0%)。当社時価総額 10,501,965百万円。■テンプレートの自動規則(&gt;=1兆円 -&gt; 0.0%)とは異なる値であり、明示指定によりテンプレ自動値を上書きしている。WACCを1.0pt押し上げる方向に働く。</t>
  </si>
  <si>
    <t>テンプレ自動値 0.0%</t>
  </si>
  <si>
    <t>DCF Model!C8</t>
  </si>
  <si>
    <t>Beta = 1.06</t>
  </si>
  <si>
    <t>yfinance実測 1.062。テンプレのクランプ域[0.6, 1.75]の内側のため素通し(クランプ・フォールバック1.0への置換は発生していない)。</t>
  </si>
  <si>
    <t>自動取得値と同一</t>
  </si>
  <si>
    <t>DCF Model!C6</t>
  </si>
  <si>
    <t>Effective Tax Rate = 25%</t>
  </si>
  <si>
    <t>バッチ共通の既定値(本バッチ仕様 §1-3)。当社の実績税負担率を個別に検証したものではない。</t>
  </si>
  <si>
    <t>テンプレ既定 30%</t>
  </si>
  <si>
    <t>推定</t>
  </si>
  <si>
    <t>DCF Model!C11</t>
  </si>
  <si>
    <t>After-tax Cost of Debt = 1.0%(テンプレ既定値のまま)</t>
  </si>
  <si>
    <t>当社はネットキャッシュ(net_debt -1,416,765百万円)でD/E比率が0のため、負債コストはWACCに一切寄与しない(WACC = Ke = 10.86%)。実績Kdの算出(interest_expense指定)は結果に影響しないため行っていない。</t>
  </si>
  <si>
    <t>テンプレ既定</t>
  </si>
  <si>
    <t>DCF Model!C13</t>
  </si>
  <si>
    <t>Terminal Growth = 1.0%</t>
  </si>
  <si>
    <t>バッチ共通の固定前提(§1-3)。銘柄固有の引き上げ・引き下げ根拠なし。</t>
  </si>
  <si>
    <t>テンプレ既定 2.0%</t>
  </si>
  <si>
    <t>DCF Model!C14</t>
  </si>
  <si>
    <t>Exit Multiple (EV/EBITDA) = 9.2x</t>
  </si>
  <si>
    <t>Peer 5社の実測EV/EBITDA中央値。3407 6.5x / 4188 10.0x / 4183 8.7x / 4091 9.6x / 4901 9.2x -&gt; 中央値 9.2x。自社の現状倍率10.35xより保守的。既存銘柄からの流用ではなく当銘柄のPeer実測からの導出。</t>
  </si>
  <si>
    <t>テンプレ既定 10.0x</t>
  </si>
  <si>
    <t>DCF Model!C15</t>
  </si>
  <si>
    <t>Fully Diluted Shares = 1,815,064,711株</t>
  </si>
  <si>
    <t>yfinance sharesOutstanding(自己株控除後)。■EDINET有報(docID S100YE9I)による検算: 発行済株式総数 1,984,995,865株(提出日2026-06-19現在) − 自己株式 128,324,800株(2026-03-31現在) = 1,856,671,065株。yfinance値との乖離 −2.24%(期末以降の自己株取得・消却の進行によるものと解される)。乖離が5%未満のため、時価総額と整合する live 値(yfinance)を採用した。</t>
  </si>
  <si>
    <t>要確認(期末後の自己株異動が未確認)</t>
  </si>
  <si>
    <t>DCF Model!C16</t>
  </si>
  <si>
    <t>Net Debt = −1,416,765百万円(ネットキャッシュ)</t>
  </si>
  <si>
    <t>EDINET有報XBRLからパイプラインが自動算出(型A定義: 有利子負債 − 現金及び現金同等物)。yfinance側の独立計算(Total Debt 243,295 − Cash 1,660,060 = −1,416,765)と完全一致。</t>
  </si>
  <si>
    <t>DCF Model!C5 / C18</t>
  </si>
  <si>
    <t>Capex方式 = direct、D&amp;A方式 = revenue_pct(9.5%)</t>
  </si>
  <si>
    <t>capexは実績13.8%(FY2026)から5年で逓減させる明示パス[340,000 / 325,000 / 313,000 / 302,000 / 293,000]百万円。ターミナル年 293,000 ÷ D&amp;A 279,366 = 1.05x で規定レンジ[0.90, 1.15]内に収束(validate チェック9 PASS)。da_pct 9.5%は直近実績9.44%基準で、4年平均8.93%より高いのは増設投資の稼働開始を反映。C5表示の15.47%はテンプレがhist3年平均で上書きする表示専用値。</t>
  </si>
  <si>
    <t>テンプレ自動値(revenue_pct)</t>
  </si>
  <si>
    <t>DCF Model シナリオ5本</t>
  </si>
  <si>
    <t>**追補8 §AE の rework wave により Base を再設計**</t>
  </si>
  <si>
    <t>【追補8 §AE の rework wave（第8セッション）】追補7 §Y の単調性判定と、追補8 §AE-2 が確定した方向別の定義に従って **Base を再設計**した。■実績OPM: 0.36% → 0.29% → 0.29% → 0.25%。**判定: 単調減少**。■**適用ルール: 単調減少 → (直近 + 中央値)/2（2267先例）** により Base 到達OPM = **26.84%**（旧: 29.00%、差 -2.16pt）。■**平均回帰（§4-4 の中央値収束）は使わない**: トレンドに平均回帰を当てるのは統計的な誤りであり、その理由は符号で変わらない（追補8 §AE-2）。**4063 は単調減少でありながら特則が適用されていなかった適用漏れ**であり、追補8 §AE-1 により是正した。■Upside / Downside 1 / Downside 2 は本 rework の対象外で、従前の設計を維持している。■COGS% は据え置き、SGA% = 100% − COGS% − 目標OPM で逆算した。</t>
  </si>
  <si>
    <t>rework 前の Base 設計</t>
  </si>
  <si>
    <t>設計判断(追補8 §AE)</t>
  </si>
  <si>
    <t>DCF Model Downside 1(設計上の逸脱)</t>
  </si>
  <si>
    <t>Downside 1 の OPM を実績p25(27.90%)ではなく 23.5% に設定</t>
  </si>
  <si>
    <t>本バッチ仕様 §4-3 は Downside 1 の OPM を実績25%分位とする。しかし当社の直近実績OPM 24.68% は p25(27.90%)を下回っており、p25 をそのまま使うと『下方シナリオが現状より良い』という不整合が生じる。したがって min(p25, 直近実績) を起点に緩やかな悪化を置いた。</t>
  </si>
  <si>
    <t>仕様の機械適用値 27.90%</t>
  </si>
  <si>
    <t>DCF Model Downside 2(設計上の選択)</t>
  </si>
  <si>
    <t>Downside 2 に『実績トラフOPM』ではなく『売上−12% + OPM半減』アームを採用</t>
  </si>
  <si>
    <t>§4-3 は Downside 2 を『実績トラフOPM または 売上▲10〜15%+OPM半減』のいずれかとする。当社の観測5期の最低OPM(24.68%)は直近実績そのものでトラフとして機能しない(観測窓が2019-2020年の前回ボトムを含まない)ため、後者のアームを採用した。</t>
  </si>
  <si>
    <t>DCF Model Management シナリオ</t>
  </si>
  <si>
    <t>Management = Base と同一</t>
  </si>
  <si>
    <t>EDINET XBRL・TDnet短信のいずれからも会社業績予想を取得できなかった(生成ログ Step 3: 'No guidance data found')。§7-2 に従い Management=Base で続行し、その旨を記録する。</t>
  </si>
  <si>
    <t>フォールバック使用(会社予想未取得)</t>
  </si>
  <si>
    <t>DCF Model NWC(dso/dih/dpo)</t>
  </si>
  <si>
    <t>Base: DSO 71日 / DIH 170日 / DPO 41日</t>
  </si>
  <si>
    <t>実績4期平均(DSO 61/73/73/76 -&gt; 71、DIH 158/175/178/170 -&gt; 170、DPO 42/39/43/38 -&gt; 41)。Upside は運転資本改善、Downside は在庫滞留を織り込んで増減させた。</t>
  </si>
  <si>
    <t>テンプレ自動値</t>
  </si>
  <si>
    <t>Comps Analysis</t>
  </si>
  <si>
    <t>Peer 5社 = 3407 旭化成 / 4188 三菱ケミカルG / 4183 三井化学 / 4091 日本酸素HD / 4901 富士フイルムHD</t>
  </si>
  <si>
    <t>■選定理由: TSE33業種『化学』の大型株。■時価総額バンドの逸脱: 本バッチ仕様 §5 は時価総額0.3〜3倍を求めるが、当社(10.5兆円)は日本の化学セクターで突出しており、0.3倍(3.15兆円)以上の同業は4901のみ(3.96兆円)。3社以上を確保するためバンドを緩和し、業種同一性と事業比較可能性を優先した。この逸脱により Peer の利益率水準は当社より大幅に低く、倍率統計は保守側に振れる。■除外: 4005 住友化学(直近期に営業赤字を計上しており PER・EV/EBITDA の分母が歪むため。データ誤りではなく実績として除外)。3436 SUMCO(シリコンウェハーの直接競合だが直近赤字で分母が成立しない)。海外Peerは為替・一次ソース検証が必要なためバッチでは使用しない(§5)。■EBITDA = 営業利益 + 減価償却費(CF計算書)で全6社統一。D&amp;A取得不能で除外した社はなし(validate チェック12 PASS)。■Market_Cap は全行記入(2026-09-04終値ベース)で静的値を採用し再現性を確保。</t>
  </si>
  <si>
    <t>Executive Summary!C10 / Target</t>
  </si>
  <si>
    <t>Target Price = 4,273円 = PGM 3,573円 と Exit 4,973円 の2本平均。Comps 2本(EV/EBITDA 5,242円 / PER 4,997円)は [参考・Target不算入]</t>
  </si>
  <si>
    <t>メモ§2 の規約どおり。validate チェック14 PASS(C10 が C16:C17 のみを平均)。EV&lt;net_debt による INVALID 化は発生していない(チェック10・15 とも PASS、当社はネットキャッシュ)。 ■**追補8 §AE の rework 後の値に更新**: Target 4,039円 / SELL / -30.2%（rework 前 4,273円）。</t>
  </si>
  <si>
    <t>Comps Analysis(データ品質)</t>
  </si>
  <si>
    <t>Peer 4183 三井化学の EBITDA は年度混在: 営業利益 FY2026/3 + 減価償却費 FY2025/3(99,768百万円)</t>
  </si>
  <si>
    <t>yfinance が 4183 の FY2026/3 キャッシュフロー計算書をまだ収録しておらず、直近年度のD&amp;Aが取得できない。D&amp;Aは年次変動が小さいため前期値で代用したが、厳密には同一年度の数値ではない。4183 の EV/EBITDA 8.70x はこの近似を含む。■他5社(4063/3407/4188/4091/4901)は全項目が FY2026/3 で揃っている。</t>
  </si>
  <si>
    <t>推定(年度混在・要確認)</t>
  </si>
  <si>
    <t>全体(納品状態)</t>
  </si>
  <si>
    <t>本ファイルは DRAFT。_FINAL は付けない</t>
  </si>
  <si>
    <t>バッチモードでの機械生成物であり、人間の検証を経ていない。FINAL化は手順書v2 §6 に従い検証後に行う。</t>
  </si>
  <si>
    <t>DRAFT</t>
  </si>
  <si>
    <t>全体(未解決)</t>
  </si>
  <si>
    <t>高いWACC(10.86%)がバリュエーションを支配している</t>
  </si>
  <si>
    <t>rf 2.97%(実勢)+ ERP 6.5%(バッチ固定)+ size premium 1.0%(バンド機械決定)で Ke = 10.86%。ネットキャッシュのため D/E=0 で WACC=Ke。size premium をテンプレ自動規則(1兆円超 -&gt; 0.0%)にすると WACC は 9.86% となり Target は上振れる。ERP 6.5% と size premium 1.0% の妥当性は人間の判断を要する。</t>
  </si>
  <si>
    <t>未解決</t>
  </si>
  <si>
    <t>逆算DCF(Block F)が示す価格と本モデルのギャップ</t>
  </si>
  <si>
    <t>現値5,786円は定常営業利益 1,352,106百万円(FY2023サイクルピーク998,202百万の1.35倍)を5年で達成し永続することを織り込んだ水準。実績FY2026は635,204百万。ミッドサイクル前提のBaseではEV 5,068,727百万円しか支えられず、1株2,213円が説明できない。当社をシクリカル(型B)として扱い直すか、プレミアム(半導体材料の希少性)として定量化するかは人間の判断を要する。</t>
  </si>
  <si>
    <t>Pipeline Metadata (do not edit — read by scripts/validate_output.py)</t>
  </si>
  <si>
    <t>key</t>
  </si>
  <si>
    <t>value</t>
  </si>
  <si>
    <t>auto_log_entries</t>
  </si>
  <si>
    <t>0</t>
  </si>
  <si>
    <t>capex_pct_basis</t>
  </si>
  <si>
    <t>hist_3yr_avg</t>
  </si>
  <si>
    <t>capex_pct_c5</t>
  </si>
  <si>
    <t>0.1547</t>
  </si>
  <si>
    <t>capex_pct_hist3yr</t>
  </si>
  <si>
    <t>0.15467</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</si>
  <si>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</si>
  <si>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</si>
  <si>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</si>
  <si>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</si>
  <si>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</si>
  <si>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</si>
  <si>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</si>
  <si>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</si>
  <si>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</si>
  <si>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</si>
  <si>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</si>
  <si>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</si>
  <si>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</si>
  <si>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</si>
  <si>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</si>
  <si>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</si>
  <si>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</si>
  <si>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</si>
  <si>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</si>
  <si>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</si>
  <si>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</si>
  <si>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assumption</t>
  </si>
  <si>
    <t>da_pct_basis</t>
  </si>
  <si>
    <t>da_pct_c18</t>
  </si>
  <si>
    <t>0.095</t>
  </si>
  <si>
    <t>da_pct_hist3yr</t>
  </si>
  <si>
    <t>0.093905</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</si>
  <si>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</si>
  <si>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</si>
  <si>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</si>
  <si>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</si>
  <si>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</si>
  <si>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</si>
  <si>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</si>
  <si>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</si>
  <si>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</si>
  <si>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10:37:45</t>
  </si>
  <si>
    <t>ltm_revenue_c20</t>
  </si>
  <si>
    <t>2573969.0</t>
  </si>
  <si>
    <t>ltm_revenue_source</t>
  </si>
  <si>
    <t>latest FY (no LTM)</t>
  </si>
  <si>
    <t>narrative_tokens_used</t>
  </si>
  <si>
    <t>pb,per,price,target_price,upside_pct,wacc</t>
  </si>
  <si>
    <t>reverse_dcf_sheet</t>
  </si>
  <si>
    <t>op0=635,204(FY2026) peak=998,202(FY2023) peak_opm=0.3554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</si>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</sst>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5786</v>
      </c>
    </row>
    <row r="10" spans="2:5" ht="14" customHeight="1" x14ac:dyDescent="0.3">
      <c r="B10" s="4" t="s">
        <v>10</v>
      </c>
      <c r="C10" s="5">
        <f>IF(COUNT(C16:C17)=0,"N/A",ROUND(AVERAGE(C16:C17),0))</f>
        <v>4039</v>
      </c>
    </row>
    <row r="11" spans="2:5" ht="14" customHeight="1" x14ac:dyDescent="0.3">
      <c r="B11" s="4" t="s">
        <v>11</v>
      </c>
      <c r="C11" s="6" t="str">
        <f>IF(NOT(ISNUMBER(C12)),"N/A",IF(C12&gt;0.15,"BUY",IF(C12&gt;0.05,"HOLD","SELL")))</f>
        <v>SELL</v>
      </c>
    </row>
    <row r="12" spans="2:5" ht="14" customHeight="1" x14ac:dyDescent="0.3">
      <c r="B12" s="4" t="s">
        <v>12</v>
      </c>
      <c r="C12" s="7">
        <f>IF(ISNUMBER(C10),(C10-C9)/C9,"N/A")</f>
        <v>-0.30193570687867266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3355</v>
      </c>
      <c r="D16" s="7">
        <f>IF(ISNUMBER(C16),(C16-C9)/C9,"N/A")</f>
        <v>-0.42015209125475284</v>
      </c>
    </row>
    <row r="17" spans="2:5" ht="13.5" customHeight="1" x14ac:dyDescent="0.25">
      <c r="B17" t="s">
        <v>18</v>
      </c>
      <c r="C17" s="11">
        <f>IF('DCF Model'!C62&lt;'DCF Model'!C16,"INVALID (EV &lt; net debt)",'DCF Model'!C64)</f>
        <v>4723</v>
      </c>
      <c r="D17" s="7">
        <f>IF(ISNUMBER(C17),(C17-C9)/C9,"N/A")</f>
        <v>-0.18371932250259246</v>
      </c>
    </row>
    <row r="18" spans="2:5" ht="13.5" customHeight="1" x14ac:dyDescent="0.25">
      <c r="B18" t="s">
        <v>19</v>
      </c>
      <c r="C18" s="11">
        <f>'Comps Analysis'!C27</f>
        <v>5242</v>
      </c>
      <c r="D18" s="7">
        <f>IF(ISNUMBER(C18),(C18-C9)/C9,"N/A")</f>
        <v>-9.4020048392671973E-2</v>
      </c>
    </row>
    <row r="19" spans="2:5" ht="13.5" customHeight="1" x14ac:dyDescent="0.25">
      <c r="B19" t="s">
        <v>20</v>
      </c>
      <c r="C19" s="11">
        <f>'Comps Analysis'!C28</f>
        <v>4997</v>
      </c>
      <c r="D19" s="7">
        <f>IF(ISNUMBER(C19),(C19-C9)/C9,"N/A")</f>
        <v>-0.13636363636363635</v>
      </c>
    </row>
    <row r="20" spans="2:5" ht="14" customHeight="1" x14ac:dyDescent="0.3">
      <c r="B20" s="46" t="s">
        <v>21</v>
      </c>
      <c r="C20" s="45"/>
      <c r="D20" s="45"/>
      <c r="E20" s="45"/>
    </row>
    <row r="21" spans="2:5" ht="14" customHeight="1" x14ac:dyDescent="0.3">
      <c r="B21" s="4" t="s">
        <v>22</v>
      </c>
      <c r="C21" s="6" t="str">
        <f>IF(COUNT(C16:C17)=0,"N/A",MIN(C16:C17)&amp;" - "&amp;MAX(C16:C17))</f>
        <v>3355 - 4723</v>
      </c>
    </row>
    <row r="23" spans="2:5" ht="14" customHeight="1" x14ac:dyDescent="0.3">
      <c r="B23" s="8" t="s">
        <v>23</v>
      </c>
      <c r="C23" s="9"/>
      <c r="D23" s="9"/>
    </row>
    <row r="24" spans="2:5" x14ac:dyDescent="0.2">
      <c r="B24" t="str">
        <f>"Semiconductor-grade silicon, silicones and PVC give Shin-Etsu a structurally higher operating margin than the Japanese chemical peer group; the shares change hands at "&amp;TEXT('Comps Analysis'!L5,"0.0""x""")&amp;" earnings and "&amp;TEXT('Comps Analysis'!M5,"0.00""x""")&amp;" book against a "&amp;TEXT('DCF Model'!C26,"0.00%")&amp;" cost of capital."</f>
        <v>Semiconductor-grade silicon, silicones and PVC give Shin-Etsu a structurally higher operating margin than the Japanese chemical peer group; the shares change hands at 22.1x earnings and 2.35x book against a 10.86% cost of capital.</v>
      </c>
    </row>
    <row r="25" spans="2:5" x14ac:dyDescent="0.2">
      <c r="B25" t="s">
        <v>24</v>
      </c>
    </row>
    <row r="26" spans="2:5" x14ac:dyDescent="0.2">
      <c r="B26" t="str">
        <f>"At "&amp;TEXT(C9,"#,##0")&amp;" the market is capitalising the current trough operating margin as permanent; normalising toward the five-year median margin supports "&amp;TEXT(C10,"#,##0")&amp;", or "&amp;TEXT(C12,"+0.0%;-0.0%")&amp;" from the current level."</f>
        <v>At 5,786 the market is capitalising the current trough operating margin as permanent; normalising toward the five-year median margin supports 4,039, or -30.2% from the current level.</v>
      </c>
    </row>
    <row r="28" spans="2:5" ht="14" customHeight="1" x14ac:dyDescent="0.3">
      <c r="B28" s="8" t="s">
        <v>25</v>
      </c>
      <c r="C28" s="9"/>
      <c r="D28" s="9"/>
    </row>
    <row r="29" spans="2:5" x14ac:dyDescent="0.2">
      <c r="B29" t="str">
        <f>"PVC and silicones are commodity-linked, and a further leg down in Chinese construction demand would take margins below the level implied by today's "&amp;TEXT(C9,"#,##0")&amp;" and "&amp;TEXT('Comps Analysis'!L5,"0.0""x""")&amp;"."</f>
        <v>PVC and silicones are commodity-linked, and a further leg down in Chinese construction demand would take margins below the level implied by today's 5,786 and 22.1x.</v>
      </c>
    </row>
    <row r="30" spans="2:5" x14ac:dyDescent="0.2">
      <c r="B30" t="s">
        <v>26</v>
      </c>
    </row>
    <row r="31" spans="2:5" x14ac:dyDescent="0.2">
      <c r="B31" t="str">
        <f>"Yen appreciation compresses translated overseas earnings, and the "&amp;TEXT('DCF Model'!C26,"0.00%")&amp;" discount rate carries no explicit FX sensitivity in this model."</f>
        <v>Yen appreciation compresses translated overseas earnings, and the 10.86% discount rate carries no explicit FX sensitivity in this model.</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27</v>
      </c>
    </row>
    <row r="4" spans="2:6" ht="14" customHeight="1" x14ac:dyDescent="0.3">
      <c r="C4" s="10" t="s">
        <v>28</v>
      </c>
      <c r="D4" s="10" t="s">
        <v>29</v>
      </c>
      <c r="E4" s="10" t="s">
        <v>30</v>
      </c>
      <c r="F4" s="10" t="s">
        <v>31</v>
      </c>
    </row>
    <row r="5" spans="2:6" ht="14" customHeight="1" x14ac:dyDescent="0.3">
      <c r="B5" s="3" t="s">
        <v>32</v>
      </c>
    </row>
    <row r="6" spans="2:6" ht="14" customHeight="1" x14ac:dyDescent="0.3">
      <c r="B6" s="4" t="s">
        <v>33</v>
      </c>
      <c r="C6" s="5">
        <v>2808824</v>
      </c>
      <c r="D6" s="5">
        <v>2414937</v>
      </c>
      <c r="E6" s="5">
        <v>2561249</v>
      </c>
      <c r="F6" s="5">
        <v>2573969</v>
      </c>
    </row>
    <row r="7" spans="2:6" ht="14" customHeight="1" x14ac:dyDescent="0.3">
      <c r="B7" s="4" t="s">
        <v>34</v>
      </c>
      <c r="C7" s="5">
        <v>1594717</v>
      </c>
      <c r="D7" s="5">
        <v>1503728</v>
      </c>
      <c r="E7" s="5">
        <v>1577127</v>
      </c>
      <c r="F7" s="5">
        <v>1693175</v>
      </c>
    </row>
    <row r="8" spans="2:6" ht="14" customHeight="1" x14ac:dyDescent="0.3">
      <c r="B8" s="4" t="s">
        <v>35</v>
      </c>
      <c r="C8" s="5">
        <f>C6-C7</f>
        <v>1214107</v>
      </c>
      <c r="D8" s="5">
        <f>D6-D7</f>
        <v>911209</v>
      </c>
      <c r="E8" s="5">
        <f>E6-E7</f>
        <v>984122</v>
      </c>
      <c r="F8" s="5">
        <f>F6-F7</f>
        <v>880794</v>
      </c>
    </row>
    <row r="9" spans="2:6" ht="13.5" customHeight="1" x14ac:dyDescent="0.25">
      <c r="B9" t="s">
        <v>36</v>
      </c>
      <c r="C9" s="7">
        <f>C8/C6</f>
        <v>0.43224744590618708</v>
      </c>
      <c r="D9" s="7">
        <f>D8/D6</f>
        <v>0.37732205850504591</v>
      </c>
      <c r="E9" s="7">
        <f>E8/E6</f>
        <v>0.38423519150227098</v>
      </c>
      <c r="F9" s="7">
        <f>F8/F6</f>
        <v>0.34219293239351367</v>
      </c>
    </row>
    <row r="10" spans="2:6" ht="14" customHeight="1" x14ac:dyDescent="0.3">
      <c r="B10" s="4" t="s">
        <v>37</v>
      </c>
      <c r="C10" s="5">
        <v>215905</v>
      </c>
      <c r="D10" s="5">
        <v>210171</v>
      </c>
      <c r="E10" s="5">
        <v>242016</v>
      </c>
      <c r="F10" s="5">
        <v>245588</v>
      </c>
    </row>
    <row r="11" spans="2:6" ht="14" customHeight="1" x14ac:dyDescent="0.3">
      <c r="B11" s="4" t="s">
        <v>38</v>
      </c>
      <c r="C11" s="5">
        <v>998202</v>
      </c>
      <c r="D11" s="5">
        <v>701038</v>
      </c>
      <c r="E11" s="5">
        <v>742105</v>
      </c>
      <c r="F11" s="5">
        <v>635204</v>
      </c>
    </row>
    <row r="12" spans="2:6" ht="14" customHeight="1" x14ac:dyDescent="0.3">
      <c r="B12" s="4" t="s">
        <v>39</v>
      </c>
      <c r="C12" s="5">
        <v>708238</v>
      </c>
      <c r="D12" s="5">
        <v>520140</v>
      </c>
      <c r="E12" s="5">
        <v>534021</v>
      </c>
      <c r="F12" s="5">
        <v>474459</v>
      </c>
    </row>
    <row r="13" spans="2:6" ht="13.5" customHeight="1" x14ac:dyDescent="0.25">
      <c r="B13" t="s">
        <v>40</v>
      </c>
      <c r="C13" s="7">
        <f>C11/C6</f>
        <v>0.35538075721369511</v>
      </c>
      <c r="D13" s="7">
        <f>D11/D6</f>
        <v>0.29029245897512024</v>
      </c>
      <c r="E13" s="7">
        <f>E11/E6</f>
        <v>0.28974340253524744</v>
      </c>
      <c r="F13" s="7">
        <f>F11/F6</f>
        <v>0.2467799728745762</v>
      </c>
    </row>
    <row r="14" spans="2:6" ht="13.5" customHeight="1" x14ac:dyDescent="0.25">
      <c r="B14" t="s">
        <v>41</v>
      </c>
      <c r="C14" s="7">
        <f>C12/C6</f>
        <v>0.25214751796481372</v>
      </c>
      <c r="D14" s="7">
        <f>D12/D6</f>
        <v>0.2153845007136832</v>
      </c>
      <c r="E14" s="7">
        <f>E12/E6</f>
        <v>0.20850022781853697</v>
      </c>
      <c r="F14" s="7">
        <f>F12/F6</f>
        <v>0.18432972580477852</v>
      </c>
    </row>
    <row r="15" spans="2:6" ht="13.5" customHeight="1" x14ac:dyDescent="0.25">
      <c r="B15" t="s">
        <v>42</v>
      </c>
      <c r="C15" t="s">
        <v>43</v>
      </c>
      <c r="D15" s="7">
        <f>(D6-C6)/C6</f>
        <v>-0.14023199744804232</v>
      </c>
      <c r="E15" s="7">
        <f>(E6-D6)/D6</f>
        <v>6.0586259600146922E-2</v>
      </c>
      <c r="F15" s="7">
        <f>(F6-E6)/E6</f>
        <v>4.9663269756279067E-3</v>
      </c>
    </row>
    <row r="16" spans="2:6" ht="13.5" customHeight="1" x14ac:dyDescent="0.25">
      <c r="B16" t="s">
        <v>44</v>
      </c>
      <c r="C16" t="s">
        <v>43</v>
      </c>
      <c r="D16" s="7">
        <f>(D11-C11)/C11</f>
        <v>-0.29769926327536911</v>
      </c>
      <c r="E16" s="7">
        <f>(E11-D11)/D11</f>
        <v>5.8580276675444125E-2</v>
      </c>
      <c r="F16" s="7">
        <f>(F11-E11)/E11</f>
        <v>-0.14405104398973193</v>
      </c>
    </row>
    <row r="18" spans="2:6" ht="14" customHeight="1" x14ac:dyDescent="0.3">
      <c r="B18" s="3" t="s">
        <v>45</v>
      </c>
    </row>
    <row r="19" spans="2:6" ht="14" customHeight="1" x14ac:dyDescent="0.3">
      <c r="B19" s="4" t="s">
        <v>46</v>
      </c>
      <c r="C19" s="5">
        <v>788013</v>
      </c>
      <c r="D19" s="5">
        <v>755183</v>
      </c>
      <c r="E19" s="5">
        <v>881934</v>
      </c>
      <c r="F19" s="5">
        <v>712651</v>
      </c>
    </row>
    <row r="20" spans="2:6" ht="14" customHeight="1" x14ac:dyDescent="0.3">
      <c r="B20" s="4" t="s">
        <v>47</v>
      </c>
      <c r="C20" s="5">
        <v>295517</v>
      </c>
      <c r="D20" s="5">
        <v>374417</v>
      </c>
      <c r="E20" s="5">
        <v>439473</v>
      </c>
      <c r="F20" s="5">
        <v>353620</v>
      </c>
    </row>
    <row r="21" spans="2:6" ht="14" customHeight="1" x14ac:dyDescent="0.3">
      <c r="B21" s="4" t="s">
        <v>48</v>
      </c>
      <c r="C21" s="5">
        <f>C19-C20</f>
        <v>492496</v>
      </c>
      <c r="D21" s="5">
        <f>D19-D20</f>
        <v>380766</v>
      </c>
      <c r="E21" s="5">
        <f>E19-E20</f>
        <v>442461</v>
      </c>
      <c r="F21" s="5">
        <f>F19-F20</f>
        <v>359031</v>
      </c>
    </row>
    <row r="22" spans="2:6" ht="13.5" customHeight="1" x14ac:dyDescent="0.25">
      <c r="B22" t="s">
        <v>49</v>
      </c>
      <c r="C22" s="7">
        <f>C21/C6</f>
        <v>0.17533886067621182</v>
      </c>
      <c r="D22" s="7">
        <f>D21/D6</f>
        <v>0.1576711939069218</v>
      </c>
      <c r="E22" s="7">
        <f>E21/E6</f>
        <v>0.17275204402227196</v>
      </c>
      <c r="F22" s="7">
        <f>F21/F6</f>
        <v>0.13948536287733068</v>
      </c>
    </row>
    <row r="23" spans="2:6" ht="13.5" customHeight="1" x14ac:dyDescent="0.25">
      <c r="B23" t="s">
        <v>50</v>
      </c>
      <c r="C23" s="7">
        <f>C20/C6</f>
        <v>0.10521022321085266</v>
      </c>
      <c r="D23" s="7">
        <f>D20/D6</f>
        <v>0.15504213981565565</v>
      </c>
      <c r="E23" s="7">
        <f>E20/E6</f>
        <v>0.17158542570441218</v>
      </c>
      <c r="F23" s="7">
        <f>F20/F6</f>
        <v>0.13738316195727299</v>
      </c>
    </row>
    <row r="25" spans="2:6" ht="14" customHeight="1" x14ac:dyDescent="0.3">
      <c r="B25" s="3" t="s">
        <v>51</v>
      </c>
    </row>
    <row r="26" spans="2:6" ht="14" customHeight="1" x14ac:dyDescent="0.3">
      <c r="B26" s="4" t="s">
        <v>52</v>
      </c>
      <c r="C26" s="5">
        <v>1247344</v>
      </c>
      <c r="D26" s="5">
        <v>590135</v>
      </c>
      <c r="E26" s="5">
        <v>1708438</v>
      </c>
      <c r="F26" s="5">
        <v>1660060</v>
      </c>
    </row>
    <row r="27" spans="2:6" ht="14" customHeight="1" x14ac:dyDescent="0.3">
      <c r="B27" s="4" t="s">
        <v>53</v>
      </c>
      <c r="C27" s="5">
        <v>29810</v>
      </c>
      <c r="D27" s="5">
        <v>24299</v>
      </c>
      <c r="E27" s="5">
        <v>16841</v>
      </c>
      <c r="F27" s="5">
        <v>243295</v>
      </c>
    </row>
    <row r="28" spans="2:6" ht="14" customHeight="1" x14ac:dyDescent="0.3">
      <c r="B28" s="4" t="s">
        <v>54</v>
      </c>
      <c r="C28" s="5">
        <f>C27-C26</f>
        <v>-1217534</v>
      </c>
      <c r="D28" s="5">
        <f>D27-D26</f>
        <v>-565836</v>
      </c>
      <c r="E28" s="5">
        <f>E27-E26</f>
        <v>-1691597</v>
      </c>
      <c r="F28" s="5">
        <f>F27-F26</f>
        <v>-1416765</v>
      </c>
    </row>
    <row r="30" spans="2:6" ht="14" customHeight="1"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56</v>
      </c>
    </row>
    <row r="4" spans="2:7" ht="14" customHeight="1" x14ac:dyDescent="0.3">
      <c r="B4" s="8" t="s">
        <v>57</v>
      </c>
      <c r="C4" s="9"/>
      <c r="D4" s="9"/>
      <c r="E4" s="9"/>
      <c r="F4" s="9"/>
      <c r="G4" s="9"/>
    </row>
    <row r="5" spans="2:7" ht="14" customHeight="1" x14ac:dyDescent="0.3">
      <c r="B5" s="4" t="s">
        <v>58</v>
      </c>
      <c r="C5" s="7">
        <v>0.1547</v>
      </c>
    </row>
    <row r="6" spans="2:7" ht="14" customHeight="1" x14ac:dyDescent="0.3">
      <c r="B6" s="4" t="s">
        <v>59</v>
      </c>
      <c r="C6" s="7">
        <v>0.25</v>
      </c>
    </row>
    <row r="7" spans="2:7" ht="14" customHeight="1" x14ac:dyDescent="0.3">
      <c r="B7" s="4" t="s">
        <v>60</v>
      </c>
      <c r="C7" s="7">
        <v>2.9700000000000001E-2</v>
      </c>
    </row>
    <row r="8" spans="2:7" ht="14" customHeight="1" x14ac:dyDescent="0.3">
      <c r="B8" s="4" t="s">
        <v>61</v>
      </c>
      <c r="C8" s="12">
        <v>1.06</v>
      </c>
    </row>
    <row r="9" spans="2:7" ht="14" customHeight="1" x14ac:dyDescent="0.3">
      <c r="B9" s="4" t="s">
        <v>62</v>
      </c>
      <c r="C9" s="7">
        <v>6.5000000000000002E-2</v>
      </c>
    </row>
    <row r="10" spans="2:7" ht="14" customHeight="1" x14ac:dyDescent="0.3">
      <c r="B10" s="4" t="s">
        <v>63</v>
      </c>
      <c r="C10" s="7">
        <v>0.01</v>
      </c>
    </row>
    <row r="11" spans="2:7" ht="14" customHeight="1" x14ac:dyDescent="0.3">
      <c r="B11" s="4" t="s">
        <v>64</v>
      </c>
      <c r="C11" s="7">
        <v>0.01</v>
      </c>
    </row>
    <row r="12" spans="2:7" ht="14" customHeight="1" x14ac:dyDescent="0.3">
      <c r="B12" s="4" t="s">
        <v>65</v>
      </c>
      <c r="C12" s="13">
        <v>0</v>
      </c>
    </row>
    <row r="13" spans="2:7" ht="14" customHeight="1" x14ac:dyDescent="0.3">
      <c r="B13" s="4" t="s">
        <v>66</v>
      </c>
      <c r="C13" s="7">
        <v>0.01</v>
      </c>
    </row>
    <row r="14" spans="2:7" ht="14" customHeight="1" x14ac:dyDescent="0.3">
      <c r="B14" s="4" t="s">
        <v>67</v>
      </c>
      <c r="C14" s="14">
        <v>9.1999999999999993</v>
      </c>
    </row>
    <row r="15" spans="2:7" ht="14" customHeight="1" x14ac:dyDescent="0.3">
      <c r="B15" s="4" t="s">
        <v>68</v>
      </c>
      <c r="C15" s="15">
        <v>1815064711</v>
      </c>
    </row>
    <row r="16" spans="2:7" ht="14" customHeight="1" x14ac:dyDescent="0.3">
      <c r="B16" s="4" t="s">
        <v>69</v>
      </c>
      <c r="C16" s="5">
        <v>-1416765</v>
      </c>
    </row>
    <row r="17" spans="2:7" ht="14" customHeight="1" x14ac:dyDescent="0.3">
      <c r="B17" s="4" t="s">
        <v>70</v>
      </c>
      <c r="C17" s="5">
        <v>2573969</v>
      </c>
    </row>
    <row r="18" spans="2:7" ht="14" customHeight="1" x14ac:dyDescent="0.3">
      <c r="B18" s="4" t="s">
        <v>71</v>
      </c>
      <c r="C18" s="7">
        <v>9.5000000000000001E-2</v>
      </c>
    </row>
    <row r="19" spans="2:7" ht="14" customHeight="1" x14ac:dyDescent="0.3">
      <c r="B19" s="4" t="s">
        <v>72</v>
      </c>
      <c r="C19" s="12">
        <v>1</v>
      </c>
    </row>
    <row r="20" spans="2:7" ht="14" customHeight="1" x14ac:dyDescent="0.3">
      <c r="B20" s="4" t="s">
        <v>73</v>
      </c>
      <c r="C20" s="5">
        <v>2573969</v>
      </c>
    </row>
    <row r="22" spans="2:7" ht="14" customHeight="1" x14ac:dyDescent="0.3">
      <c r="B22" s="8" t="s">
        <v>74</v>
      </c>
      <c r="C22" s="9"/>
      <c r="D22" s="9"/>
      <c r="E22" s="9"/>
      <c r="F22" s="9"/>
      <c r="G22" s="9"/>
    </row>
    <row r="23" spans="2:7" ht="14" customHeight="1" x14ac:dyDescent="0.3">
      <c r="B23" s="4" t="s">
        <v>75</v>
      </c>
      <c r="C23" s="16">
        <f>C7+C8*C9+C10</f>
        <v>0.1086</v>
      </c>
    </row>
    <row r="24" spans="2:7" ht="14" customHeight="1" x14ac:dyDescent="0.3">
      <c r="B24" s="4" t="s">
        <v>76</v>
      </c>
      <c r="C24" s="16">
        <f>1/(1+C12)</f>
        <v>1</v>
      </c>
    </row>
    <row r="25" spans="2:7" ht="14" customHeight="1" x14ac:dyDescent="0.3">
      <c r="B25" s="4" t="s">
        <v>77</v>
      </c>
      <c r="C25" s="16">
        <f>C12/(1+C12)</f>
        <v>0</v>
      </c>
    </row>
    <row r="26" spans="2:7" ht="14" customHeight="1" x14ac:dyDescent="0.3">
      <c r="B26" s="4" t="s">
        <v>78</v>
      </c>
      <c r="C26" s="16">
        <f>C23*C24+C11*C25</f>
        <v>0.1086</v>
      </c>
    </row>
    <row r="27" spans="2:7" ht="14" customHeight="1" x14ac:dyDescent="0.3">
      <c r="B27" s="4" t="s">
        <v>79</v>
      </c>
      <c r="C27" s="17" t="s">
        <v>80</v>
      </c>
      <c r="D27" s="6">
        <f>MATCH(C27,B69:B73,0)</f>
        <v>1</v>
      </c>
    </row>
    <row r="28" spans="2:7" ht="14" customHeight="1" x14ac:dyDescent="0.3">
      <c r="B28" s="8" t="s">
        <v>81</v>
      </c>
      <c r="C28" s="9"/>
      <c r="D28" s="9"/>
      <c r="E28" s="9"/>
      <c r="F28" s="9"/>
      <c r="G28" s="9"/>
    </row>
    <row r="29" spans="2:7" ht="14" customHeight="1" x14ac:dyDescent="0.3">
      <c r="C29" s="10" t="s">
        <v>82</v>
      </c>
      <c r="D29" s="10" t="s">
        <v>83</v>
      </c>
      <c r="E29" s="10" t="s">
        <v>84</v>
      </c>
      <c r="F29" s="10" t="s">
        <v>85</v>
      </c>
      <c r="G29" s="10" t="s">
        <v>86</v>
      </c>
    </row>
    <row r="30" spans="2:7" ht="14" customHeight="1" x14ac:dyDescent="0.3">
      <c r="B30" s="4" t="s">
        <v>42</v>
      </c>
      <c r="C30" s="18">
        <f>CHOOSE($D$27,C69,C70,C71,C72,C73)</f>
        <v>2.5000000000000001E-2</v>
      </c>
      <c r="D30" s="18">
        <f>CHOOSE($D$27,D69,D70,D71,D72,D73)</f>
        <v>0.03</v>
      </c>
      <c r="E30" s="18">
        <f>CHOOSE($D$27,E69,E70,E71,E72,E73)</f>
        <v>0.03</v>
      </c>
      <c r="F30" s="18">
        <f>CHOOSE($D$27,F69,F70,F71,F72,F73)</f>
        <v>2.5000000000000001E-2</v>
      </c>
      <c r="G30" s="18">
        <f>CHOOSE($D$27,G69,G70,G71,G72,G73)</f>
        <v>2.5000000000000001E-2</v>
      </c>
    </row>
    <row r="31" spans="2:7" ht="14" customHeight="1" x14ac:dyDescent="0.3">
      <c r="B31" s="4" t="s">
        <v>87</v>
      </c>
      <c r="C31" s="18">
        <f>CHOOSE($D$27,C76,C77,C78,C79,C80)</f>
        <v>0.65</v>
      </c>
      <c r="D31" s="18">
        <f>CHOOSE($D$27,D76,D77,D78,D79,D80)</f>
        <v>0.64</v>
      </c>
      <c r="E31" s="18">
        <f>CHOOSE($D$27,E76,E77,E78,E79,E80)</f>
        <v>0.63</v>
      </c>
      <c r="F31" s="18">
        <f>CHOOSE($D$27,F76,F77,F78,F79,F80)</f>
        <v>0.62</v>
      </c>
      <c r="G31" s="18">
        <f>CHOOSE($D$27,G76,G77,G78,G79,G80)</f>
        <v>0.61499999999999999</v>
      </c>
    </row>
    <row r="32" spans="2:7" ht="14" customHeight="1" x14ac:dyDescent="0.3">
      <c r="B32" s="4" t="s">
        <v>88</v>
      </c>
      <c r="C32" s="18">
        <f>CHOOSE($D$27,C83,C84,C85,C86,C87)</f>
        <v>9.8895999999999998E-2</v>
      </c>
      <c r="D32" s="18">
        <f>CHOOSE($D$27,D83,D84,D85,D86,D87)</f>
        <v>0.104572</v>
      </c>
      <c r="E32" s="18">
        <f>CHOOSE($D$27,E83,E84,E85,E86,E87)</f>
        <v>0.110248</v>
      </c>
      <c r="F32" s="18">
        <f>CHOOSE($D$27,F83,F84,F85,F86,F87)</f>
        <v>0.115925</v>
      </c>
      <c r="G32" s="18">
        <f>CHOOSE($D$27,G83,G84,G85,G86,G87)</f>
        <v>0.116601</v>
      </c>
    </row>
    <row r="33" spans="2:7" ht="14" customHeight="1" x14ac:dyDescent="0.3">
      <c r="B33" s="4" t="s">
        <v>33</v>
      </c>
      <c r="C33" s="5">
        <f>C17*(1+C30)</f>
        <v>2638318.2249999996</v>
      </c>
      <c r="D33" s="5">
        <f>C33*(1+D30)</f>
        <v>2717467.7717499998</v>
      </c>
      <c r="E33" s="5">
        <f>D33*(1+E30)</f>
        <v>2798991.8049025</v>
      </c>
      <c r="F33" s="5">
        <f>E33*(1+F30)</f>
        <v>2868966.6000250624</v>
      </c>
      <c r="G33" s="5">
        <f>F33*(1+G30)</f>
        <v>2940690.7650256888</v>
      </c>
    </row>
    <row r="34" spans="2:7" ht="14" customHeight="1" x14ac:dyDescent="0.3">
      <c r="B34" s="4" t="s">
        <v>34</v>
      </c>
      <c r="C34" s="5">
        <f>C33*C31</f>
        <v>1714906.8462499997</v>
      </c>
      <c r="D34" s="5">
        <f>D33*D31</f>
        <v>1739179.3739199999</v>
      </c>
      <c r="E34" s="5">
        <f>E33*E31</f>
        <v>1763364.8370885751</v>
      </c>
      <c r="F34" s="5">
        <f>F33*F31</f>
        <v>1778759.2920155388</v>
      </c>
      <c r="G34" s="5">
        <f>G33*G31</f>
        <v>1808524.8204907987</v>
      </c>
    </row>
    <row r="35" spans="2:7" ht="14" customHeight="1" x14ac:dyDescent="0.3">
      <c r="B35" s="4" t="s">
        <v>35</v>
      </c>
      <c r="C35" s="19">
        <f>C33-C34</f>
        <v>923411.37874999992</v>
      </c>
      <c r="D35" s="19">
        <f>D33-D34</f>
        <v>978288.39782999991</v>
      </c>
      <c r="E35" s="19">
        <f>E33-E34</f>
        <v>1035626.9678139249</v>
      </c>
      <c r="F35" s="19">
        <f>F33-F34</f>
        <v>1090207.3080095237</v>
      </c>
      <c r="G35" s="19">
        <f>G33-G34</f>
        <v>1132165.9445348901</v>
      </c>
    </row>
    <row r="36" spans="2:7" ht="14" customHeight="1" x14ac:dyDescent="0.3">
      <c r="B36" s="4" t="s">
        <v>36</v>
      </c>
      <c r="C36" s="7">
        <f>C35/C33</f>
        <v>0.35000000000000003</v>
      </c>
      <c r="D36" s="7">
        <f>D35/D33</f>
        <v>0.36</v>
      </c>
      <c r="E36" s="7">
        <f>E35/E33</f>
        <v>0.36999999999999994</v>
      </c>
      <c r="F36" s="7">
        <f>F35/F33</f>
        <v>0.38</v>
      </c>
      <c r="G36" s="7">
        <f>G35/G33</f>
        <v>0.38499999999999995</v>
      </c>
    </row>
    <row r="37" spans="2:7" ht="14" customHeight="1" x14ac:dyDescent="0.3">
      <c r="B37" s="4" t="s">
        <v>89</v>
      </c>
      <c r="C37" s="5">
        <f>C33*C32</f>
        <v>260919.11917959995</v>
      </c>
      <c r="D37" s="5">
        <f>D33*D32</f>
        <v>284171.03982744098</v>
      </c>
      <c r="E37" s="5">
        <f>E33*E32</f>
        <v>308583.24850689084</v>
      </c>
      <c r="F37" s="5">
        <f>F33*F32</f>
        <v>332584.95310790534</v>
      </c>
      <c r="G37" s="5">
        <f>G33*G32</f>
        <v>342887.48389276036</v>
      </c>
    </row>
    <row r="38" spans="2:7" ht="14" customHeight="1" x14ac:dyDescent="0.3">
      <c r="B38" s="4" t="s">
        <v>90</v>
      </c>
      <c r="C38" s="7">
        <f>(C35-C37)/C33</f>
        <v>0.25110400000000005</v>
      </c>
      <c r="D38" s="7">
        <f>(D35-D37)/D33</f>
        <v>0.25542799999999999</v>
      </c>
      <c r="E38" s="7">
        <f>(E35-E37)/E33</f>
        <v>0.25975199999999993</v>
      </c>
      <c r="F38" s="7">
        <f>(F35-F37)/F33</f>
        <v>0.264075</v>
      </c>
      <c r="G38" s="7">
        <f>(G35-G37)/G33</f>
        <v>0.268399</v>
      </c>
    </row>
    <row r="39" spans="2:7" ht="14" customHeight="1" x14ac:dyDescent="0.3">
      <c r="B39" s="4" t="s">
        <v>91</v>
      </c>
      <c r="C39" s="19">
        <f>C35-C37</f>
        <v>662492.2595704</v>
      </c>
      <c r="D39" s="19">
        <f>D35-D37</f>
        <v>694117.35800255893</v>
      </c>
      <c r="E39" s="19">
        <f>E35-E37</f>
        <v>727043.71930703404</v>
      </c>
      <c r="F39" s="19">
        <f>F35-F37</f>
        <v>757622.35490161832</v>
      </c>
      <c r="G39" s="19">
        <f>G35-G37</f>
        <v>789278.46064212976</v>
      </c>
    </row>
    <row r="40" spans="2:7" ht="14" customHeight="1" x14ac:dyDescent="0.3">
      <c r="B40" s="4" t="s">
        <v>92</v>
      </c>
      <c r="C40" s="5">
        <f>MAX(0,C39*C6)</f>
        <v>165623.0648926</v>
      </c>
      <c r="D40" s="5">
        <f>MAX(0,D39*C6)</f>
        <v>173529.33950063973</v>
      </c>
      <c r="E40" s="5">
        <f>MAX(0,E39*C6)</f>
        <v>181760.92982675851</v>
      </c>
      <c r="F40" s="5">
        <f>MAX(0,F39*C6)</f>
        <v>189405.58872540458</v>
      </c>
      <c r="G40" s="5">
        <f>MAX(0,G39*C6)</f>
        <v>197319.61516053244</v>
      </c>
    </row>
    <row r="41" spans="2:7" ht="14" customHeight="1" x14ac:dyDescent="0.3">
      <c r="B41" s="4" t="s">
        <v>93</v>
      </c>
      <c r="C41" s="19">
        <f>C39-C40</f>
        <v>496869.1946778</v>
      </c>
      <c r="D41" s="19">
        <f>D39-D40</f>
        <v>520588.01850191923</v>
      </c>
      <c r="E41" s="19">
        <f>E39-E40</f>
        <v>545282.78948027547</v>
      </c>
      <c r="F41" s="19">
        <f>F39-F40</f>
        <v>568216.76617621374</v>
      </c>
      <c r="G41" s="19">
        <f>G39-G40</f>
        <v>591958.84548159735</v>
      </c>
    </row>
    <row r="42" spans="2:7" ht="14" customHeight="1" x14ac:dyDescent="0.3">
      <c r="B42" s="4" t="s">
        <v>94</v>
      </c>
      <c r="C42" s="5">
        <f>C33*C18</f>
        <v>250640.23137499997</v>
      </c>
      <c r="D42" s="5">
        <f>D33*C18</f>
        <v>258159.43831624999</v>
      </c>
      <c r="E42" s="5">
        <f>E33*C18</f>
        <v>265904.2214657375</v>
      </c>
      <c r="F42" s="5">
        <f>F33*C18</f>
        <v>272551.82700238092</v>
      </c>
      <c r="G42" s="5">
        <f>G33*C18</f>
        <v>279365.62267744046</v>
      </c>
    </row>
    <row r="43" spans="2:7" ht="14" customHeight="1" x14ac:dyDescent="0.3">
      <c r="B43" s="4" t="s">
        <v>95</v>
      </c>
      <c r="C43" s="5">
        <v>340000</v>
      </c>
      <c r="D43" s="5">
        <v>325000</v>
      </c>
      <c r="E43" s="5">
        <v>313000</v>
      </c>
      <c r="F43" s="5">
        <v>302000</v>
      </c>
      <c r="G43" s="5">
        <v>293000</v>
      </c>
    </row>
    <row r="44" spans="2:7" ht="14" customHeight="1" x14ac:dyDescent="0.3">
      <c r="B44" s="4" t="s">
        <v>96</v>
      </c>
      <c r="C44" s="5">
        <f>'NWC Schedule'!D19</f>
        <v>504786.47161986283</v>
      </c>
      <c r="D44" s="5">
        <f>'NWC Schedule'!E19</f>
        <v>23974.722982684849</v>
      </c>
      <c r="E44" s="5">
        <f>'NWC Schedule'!F19</f>
        <v>24405.838637188543</v>
      </c>
      <c r="F44" s="5">
        <f>'NWC Schedule'!G19</f>
        <v>19052.315450082766</v>
      </c>
      <c r="G44" s="5">
        <f>'NWC Schedule'!H19</f>
        <v>24471.695584528614</v>
      </c>
    </row>
    <row r="45" spans="2:7" ht="14" customHeight="1" x14ac:dyDescent="0.3">
      <c r="B45" s="4" t="s">
        <v>97</v>
      </c>
      <c r="C45" s="20">
        <f>C41+C42-C43-C44</f>
        <v>-97277.045567062916</v>
      </c>
      <c r="D45" s="20">
        <f>D41+D42-D43-D44</f>
        <v>429772.73383548437</v>
      </c>
      <c r="E45" s="20">
        <f>E41+E42-E43-E44</f>
        <v>473781.17230882449</v>
      </c>
      <c r="F45" s="20">
        <f>F41+F42-F43-F44</f>
        <v>519716.27772851195</v>
      </c>
      <c r="G45" s="20">
        <f>G41+G42-G43-G44</f>
        <v>553852.77257450926</v>
      </c>
    </row>
    <row r="46" spans="2:7" ht="14" customHeight="1" x14ac:dyDescent="0.3">
      <c r="B46" s="4" t="s">
        <v>98</v>
      </c>
      <c r="C46" s="21">
        <f>1/(1+C26)^(C19+0)</f>
        <v>0.90203860725239038</v>
      </c>
      <c r="D46" s="21">
        <f>1/(1+C26)^(C19+1)</f>
        <v>0.8136736489738321</v>
      </c>
      <c r="E46" s="21">
        <f>1/(1+C26)^(C19+2)</f>
        <v>0.73396504507832594</v>
      </c>
      <c r="F46" s="21">
        <f>1/(1+C26)^(C19+3)</f>
        <v>0.66206480703439097</v>
      </c>
      <c r="G46" s="21">
        <f>1/(1+C26)^(C19+4)</f>
        <v>0.5972080164481246</v>
      </c>
    </row>
    <row r="47" spans="2:7" ht="14" customHeight="1" x14ac:dyDescent="0.3">
      <c r="B47" s="4" t="s">
        <v>99</v>
      </c>
      <c r="C47" s="19">
        <f>C45*C46</f>
        <v>-87747.650700940751</v>
      </c>
      <c r="D47" s="19">
        <f>D45*D46</f>
        <v>349694.74856937811</v>
      </c>
      <c r="E47" s="19">
        <f>E45*E46</f>
        <v>347738.81949090847</v>
      </c>
      <c r="F47" s="19">
        <f>F45*F46</f>
        <v>344085.85712695919</v>
      </c>
      <c r="G47" s="19">
        <f>G45*G46</f>
        <v>330765.31571351696</v>
      </c>
    </row>
    <row r="49" spans="2:7" ht="14" customHeight="1" x14ac:dyDescent="0.3">
      <c r="B49" s="22" t="s">
        <v>100</v>
      </c>
      <c r="C49" s="23"/>
      <c r="D49" s="23"/>
      <c r="E49" s="23"/>
      <c r="F49" s="23"/>
      <c r="G49" s="23"/>
    </row>
    <row r="50" spans="2:7" ht="14" customHeight="1" x14ac:dyDescent="0.3">
      <c r="B50" s="4" t="s">
        <v>101</v>
      </c>
      <c r="C50" s="5">
        <f>SUM(C47:G47)</f>
        <v>1284537.0901998219</v>
      </c>
    </row>
    <row r="51" spans="2:7" ht="14" customHeight="1" x14ac:dyDescent="0.3">
      <c r="B51" s="4" t="s">
        <v>102</v>
      </c>
      <c r="C51" s="5">
        <f>G45*(1+C13)/(C26-C13)</f>
        <v>5673339.7596374676</v>
      </c>
    </row>
    <row r="52" spans="2:7" ht="14" customHeight="1" x14ac:dyDescent="0.3">
      <c r="B52" s="4" t="s">
        <v>103</v>
      </c>
      <c r="C52" s="5">
        <f>C51*G46</f>
        <v>3388163.984489372</v>
      </c>
    </row>
    <row r="53" spans="2:7" ht="14" customHeight="1" x14ac:dyDescent="0.3">
      <c r="B53" s="4" t="s">
        <v>104</v>
      </c>
      <c r="C53" s="5">
        <f>C50+C52</f>
        <v>4672701.0746891936</v>
      </c>
    </row>
    <row r="54" spans="2:7" ht="14" customHeight="1" x14ac:dyDescent="0.3">
      <c r="B54" s="4" t="s">
        <v>105</v>
      </c>
      <c r="C54" s="5">
        <f>C53-C16</f>
        <v>6089466.0746891936</v>
      </c>
    </row>
    <row r="55" spans="2:7" ht="14" customHeight="1" x14ac:dyDescent="0.3">
      <c r="B55" s="4" t="s">
        <v>106</v>
      </c>
      <c r="C55" s="24">
        <f>ROUND(C54*1000000/C15,0)</f>
        <v>3355</v>
      </c>
    </row>
    <row r="57" spans="2:7" ht="14" customHeight="1" x14ac:dyDescent="0.3">
      <c r="B57" s="22" t="s">
        <v>107</v>
      </c>
      <c r="C57" s="23"/>
      <c r="D57" s="23"/>
      <c r="E57" s="23"/>
      <c r="F57" s="23"/>
      <c r="G57" s="23"/>
    </row>
    <row r="58" spans="2:7" ht="14" customHeight="1" x14ac:dyDescent="0.3">
      <c r="B58" s="4" t="s">
        <v>101</v>
      </c>
      <c r="C58" s="5">
        <f>C50</f>
        <v>1284537.0901998219</v>
      </c>
    </row>
    <row r="59" spans="2:7" ht="14" customHeight="1" x14ac:dyDescent="0.3">
      <c r="B59" s="4" t="s">
        <v>108</v>
      </c>
      <c r="C59" s="5">
        <f>G39+G42</f>
        <v>1068644.0833195702</v>
      </c>
    </row>
    <row r="60" spans="2:7" ht="14" customHeight="1" x14ac:dyDescent="0.3">
      <c r="B60" s="4" t="s">
        <v>109</v>
      </c>
      <c r="C60" s="5">
        <f>C59*C14</f>
        <v>9831525.5665400457</v>
      </c>
    </row>
    <row r="61" spans="2:7" ht="14" customHeight="1" x14ac:dyDescent="0.3">
      <c r="B61" s="4" t="s">
        <v>103</v>
      </c>
      <c r="C61" s="5">
        <f>C60*G46</f>
        <v>5871465.8822524054</v>
      </c>
    </row>
    <row r="62" spans="2:7" ht="14" customHeight="1" x14ac:dyDescent="0.3">
      <c r="B62" s="4" t="s">
        <v>104</v>
      </c>
      <c r="C62" s="5">
        <f>C58+C61</f>
        <v>7156002.972452227</v>
      </c>
    </row>
    <row r="63" spans="2:7" ht="14" customHeight="1" x14ac:dyDescent="0.3">
      <c r="B63" s="4" t="s">
        <v>105</v>
      </c>
      <c r="C63" s="5">
        <f>C62-C16</f>
        <v>8572767.972452227</v>
      </c>
    </row>
    <row r="64" spans="2:7" ht="14" customHeight="1" x14ac:dyDescent="0.3">
      <c r="B64" s="4" t="s">
        <v>110</v>
      </c>
      <c r="C64" s="24">
        <f>ROUND(C63*1000000/C15,0)</f>
        <v>4723</v>
      </c>
    </row>
    <row r="66" spans="2:7" ht="14" customHeight="1" x14ac:dyDescent="0.3">
      <c r="B66" s="22" t="s">
        <v>111</v>
      </c>
      <c r="C66" s="23"/>
      <c r="D66" s="23"/>
      <c r="E66" s="23"/>
      <c r="F66" s="23"/>
      <c r="G66" s="23"/>
    </row>
    <row r="67" spans="2:7" ht="14" customHeight="1" x14ac:dyDescent="0.3">
      <c r="C67" s="25" t="s">
        <v>112</v>
      </c>
      <c r="D67" s="25" t="s">
        <v>113</v>
      </c>
      <c r="E67" s="25" t="s">
        <v>114</v>
      </c>
      <c r="F67" s="25" t="s">
        <v>115</v>
      </c>
      <c r="G67" s="25" t="s">
        <v>116</v>
      </c>
    </row>
    <row r="68" spans="2:7" ht="14" customHeight="1" x14ac:dyDescent="0.3">
      <c r="B68" s="3" t="s">
        <v>42</v>
      </c>
    </row>
    <row r="69" spans="2:7" ht="14" customHeight="1" x14ac:dyDescent="0.3">
      <c r="B69" s="4" t="s">
        <v>80</v>
      </c>
      <c r="C69" s="26">
        <v>2.5000000000000001E-2</v>
      </c>
      <c r="D69" s="26">
        <v>0.03</v>
      </c>
      <c r="E69" s="26">
        <v>0.03</v>
      </c>
      <c r="F69" s="26">
        <v>2.5000000000000001E-2</v>
      </c>
      <c r="G69" s="26">
        <v>2.5000000000000001E-2</v>
      </c>
    </row>
    <row r="70" spans="2:7" ht="14" customHeight="1" x14ac:dyDescent="0.3">
      <c r="B70" s="4" t="s">
        <v>117</v>
      </c>
      <c r="C70" s="26">
        <v>0.04</v>
      </c>
      <c r="D70" s="26">
        <v>4.4999999999999998E-2</v>
      </c>
      <c r="E70" s="26">
        <v>4.4999999999999998E-2</v>
      </c>
      <c r="F70" s="26">
        <v>0.04</v>
      </c>
      <c r="G70" s="26">
        <v>0.04</v>
      </c>
    </row>
    <row r="71" spans="2:7" ht="14" customHeight="1" x14ac:dyDescent="0.3">
      <c r="B71" s="4" t="s">
        <v>118</v>
      </c>
      <c r="C71" s="26">
        <v>2.5000000000000001E-2</v>
      </c>
      <c r="D71" s="26">
        <v>0.03</v>
      </c>
      <c r="E71" s="26">
        <v>0.03</v>
      </c>
      <c r="F71" s="26">
        <v>2.5000000000000001E-2</v>
      </c>
      <c r="G71" s="26">
        <v>2.5000000000000001E-2</v>
      </c>
    </row>
    <row r="72" spans="2:7" ht="14" customHeight="1" x14ac:dyDescent="0.3">
      <c r="B72" s="4" t="s">
        <v>119</v>
      </c>
      <c r="C72" s="26">
        <v>0</v>
      </c>
      <c r="D72" s="26">
        <v>0</v>
      </c>
      <c r="E72" s="26">
        <v>5.0000000000000001E-3</v>
      </c>
      <c r="F72" s="26">
        <v>5.0000000000000001E-3</v>
      </c>
      <c r="G72" s="26">
        <v>5.0000000000000001E-3</v>
      </c>
    </row>
    <row r="73" spans="2:7" ht="14" customHeight="1" x14ac:dyDescent="0.3">
      <c r="B73" s="4" t="s">
        <v>120</v>
      </c>
      <c r="C73" s="26">
        <v>-0.12</v>
      </c>
      <c r="D73" s="26">
        <v>-0.03</v>
      </c>
      <c r="E73" s="26">
        <v>0</v>
      </c>
      <c r="F73" s="26">
        <v>0.01</v>
      </c>
      <c r="G73" s="26">
        <v>1.4999999999999999E-2</v>
      </c>
    </row>
    <row r="75" spans="2:7" ht="14" customHeight="1" x14ac:dyDescent="0.3">
      <c r="B75" s="3" t="s">
        <v>87</v>
      </c>
    </row>
    <row r="76" spans="2:7" ht="14" customHeight="1" x14ac:dyDescent="0.3">
      <c r="B76" s="4" t="s">
        <v>80</v>
      </c>
      <c r="C76" s="26">
        <v>0.65</v>
      </c>
      <c r="D76" s="26">
        <v>0.64</v>
      </c>
      <c r="E76" s="26">
        <v>0.63</v>
      </c>
      <c r="F76" s="26">
        <v>0.62</v>
      </c>
      <c r="G76" s="26">
        <v>0.61499999999999999</v>
      </c>
    </row>
    <row r="77" spans="2:7" ht="14" customHeight="1" x14ac:dyDescent="0.3">
      <c r="B77" s="4" t="s">
        <v>117</v>
      </c>
      <c r="C77" s="26">
        <v>0.64200000000000002</v>
      </c>
      <c r="D77" s="26">
        <v>0.622</v>
      </c>
      <c r="E77" s="26">
        <v>0.60699999999999998</v>
      </c>
      <c r="F77" s="26">
        <v>0.6</v>
      </c>
      <c r="G77" s="26">
        <v>0.6</v>
      </c>
    </row>
    <row r="78" spans="2:7" ht="14" customHeight="1" x14ac:dyDescent="0.3">
      <c r="B78" s="4" t="s">
        <v>118</v>
      </c>
      <c r="C78" s="26">
        <v>0.65</v>
      </c>
      <c r="D78" s="26">
        <v>0.64</v>
      </c>
      <c r="E78" s="26">
        <v>0.63</v>
      </c>
      <c r="F78" s="26">
        <v>0.62</v>
      </c>
      <c r="G78" s="26">
        <v>0.61499999999999999</v>
      </c>
    </row>
    <row r="79" spans="2:7" ht="14" customHeight="1" x14ac:dyDescent="0.3">
      <c r="B79" s="4" t="s">
        <v>119</v>
      </c>
      <c r="C79" s="26">
        <v>0.65700000000000003</v>
      </c>
      <c r="D79" s="26">
        <v>0.66200000000000003</v>
      </c>
      <c r="E79" s="26">
        <v>0.66700000000000004</v>
      </c>
      <c r="F79" s="26">
        <v>0.66700000000000004</v>
      </c>
      <c r="G79" s="26">
        <v>0.66700000000000004</v>
      </c>
    </row>
    <row r="80" spans="2:7" ht="14" customHeight="1" x14ac:dyDescent="0.3">
      <c r="B80" s="4" t="s">
        <v>120</v>
      </c>
      <c r="C80" s="26">
        <v>0.74</v>
      </c>
      <c r="D80" s="26">
        <v>0.75</v>
      </c>
      <c r="E80" s="26">
        <v>0.74</v>
      </c>
      <c r="F80" s="26">
        <v>0.73</v>
      </c>
      <c r="G80" s="26">
        <v>0.72</v>
      </c>
    </row>
    <row r="82" spans="2:7" ht="14" customHeight="1" x14ac:dyDescent="0.3">
      <c r="B82" s="3" t="s">
        <v>88</v>
      </c>
    </row>
    <row r="83" spans="2:7" ht="14" customHeight="1" x14ac:dyDescent="0.3">
      <c r="B83" s="4" t="s">
        <v>80</v>
      </c>
      <c r="C83" s="26">
        <v>9.8895999999999998E-2</v>
      </c>
      <c r="D83" s="26">
        <v>0.104572</v>
      </c>
      <c r="E83" s="26">
        <v>0.110248</v>
      </c>
      <c r="F83" s="26">
        <v>0.115925</v>
      </c>
      <c r="G83" s="26">
        <v>0.116601</v>
      </c>
    </row>
    <row r="84" spans="2:7" ht="14" customHeight="1" x14ac:dyDescent="0.3">
      <c r="B84" s="4" t="s">
        <v>117</v>
      </c>
      <c r="C84" s="26">
        <v>9.2999999999999999E-2</v>
      </c>
      <c r="D84" s="26">
        <v>9.2999999999999999E-2</v>
      </c>
      <c r="E84" s="26">
        <v>9.2999999999999999E-2</v>
      </c>
      <c r="F84" s="26">
        <v>9.2999999999999999E-2</v>
      </c>
      <c r="G84" s="26">
        <v>9.2999999999999999E-2</v>
      </c>
    </row>
    <row r="85" spans="2:7" ht="14" customHeight="1" x14ac:dyDescent="0.3">
      <c r="B85" s="4" t="s">
        <v>118</v>
      </c>
      <c r="C85" s="26">
        <v>9.8895999999999998E-2</v>
      </c>
      <c r="D85" s="26">
        <v>0.104572</v>
      </c>
      <c r="E85" s="26">
        <v>0.110248</v>
      </c>
      <c r="F85" s="26">
        <v>0.115925</v>
      </c>
      <c r="G85" s="26">
        <v>0.116601</v>
      </c>
    </row>
    <row r="86" spans="2:7" ht="14" customHeight="1" x14ac:dyDescent="0.3">
      <c r="B86" s="4" t="s">
        <v>119</v>
      </c>
      <c r="C86" s="26">
        <v>9.8000000000000004E-2</v>
      </c>
      <c r="D86" s="26">
        <v>9.8000000000000004E-2</v>
      </c>
      <c r="E86" s="26">
        <v>9.8000000000000004E-2</v>
      </c>
      <c r="F86" s="26">
        <v>9.8000000000000004E-2</v>
      </c>
      <c r="G86" s="26">
        <v>9.8000000000000004E-2</v>
      </c>
    </row>
    <row r="87" spans="2:7" ht="14" customHeight="1" x14ac:dyDescent="0.3">
      <c r="B87" s="4" t="s">
        <v>120</v>
      </c>
      <c r="C87" s="26">
        <v>0.11</v>
      </c>
      <c r="D87" s="26">
        <v>0.11</v>
      </c>
      <c r="E87" s="26">
        <v>0.11</v>
      </c>
      <c r="F87" s="26">
        <v>0.11</v>
      </c>
      <c r="G87" s="26">
        <v>0.11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121</v>
      </c>
    </row>
    <row r="3" spans="2:9" ht="14" customHeight="1" x14ac:dyDescent="0.3">
      <c r="B3" s="1" t="s">
        <v>122</v>
      </c>
    </row>
    <row r="5" spans="2:9" ht="14" customHeight="1" x14ac:dyDescent="0.3">
      <c r="B5" s="8" t="s">
        <v>123</v>
      </c>
      <c r="C5" s="9"/>
      <c r="D5" s="9"/>
      <c r="E5" s="9"/>
      <c r="F5" s="9"/>
      <c r="G5" s="9"/>
      <c r="H5" s="9"/>
      <c r="I5" s="9"/>
    </row>
    <row r="6" spans="2:9" ht="14" customHeight="1" x14ac:dyDescent="0.3">
      <c r="B6" s="4" t="s">
        <v>124</v>
      </c>
      <c r="C6" s="15">
        <f>'Executive Summary'!C9</f>
        <v>5786</v>
      </c>
    </row>
    <row r="7" spans="2:9" ht="14" customHeight="1" x14ac:dyDescent="0.3">
      <c r="B7" s="4" t="s">
        <v>68</v>
      </c>
      <c r="C7" s="15">
        <f>'DCF Model'!C15</f>
        <v>1815064711</v>
      </c>
    </row>
    <row r="8" spans="2:9" ht="14" customHeight="1" x14ac:dyDescent="0.3">
      <c r="B8" s="4" t="s">
        <v>125</v>
      </c>
      <c r="C8" s="5">
        <f>C6*C7/1000000</f>
        <v>10501964.417846</v>
      </c>
    </row>
    <row r="9" spans="2:9" ht="14" customHeight="1" x14ac:dyDescent="0.3">
      <c r="B9" s="4" t="s">
        <v>69</v>
      </c>
      <c r="C9" s="5">
        <f>'DCF Model'!C16</f>
        <v>-1416765</v>
      </c>
    </row>
    <row r="10" spans="2:9" ht="14" customHeight="1" x14ac:dyDescent="0.3">
      <c r="B10" s="4" t="s">
        <v>126</v>
      </c>
      <c r="C10" s="5">
        <f>C8+C9</f>
        <v>9085199.4178459998</v>
      </c>
    </row>
    <row r="11" spans="2:9" ht="14" customHeight="1" x14ac:dyDescent="0.3">
      <c r="B11" s="4" t="s">
        <v>127</v>
      </c>
      <c r="C11" s="16">
        <f>'DCF Model'!C26</f>
        <v>0.1086</v>
      </c>
    </row>
    <row r="12" spans="2:9" ht="14" customHeight="1" x14ac:dyDescent="0.3">
      <c r="B12" s="4" t="s">
        <v>128</v>
      </c>
      <c r="C12" s="16">
        <f>'DCF Model'!C13</f>
        <v>0.01</v>
      </c>
    </row>
    <row r="13" spans="2:9" ht="14" customHeight="1" x14ac:dyDescent="0.3">
      <c r="B13" s="4" t="s">
        <v>129</v>
      </c>
      <c r="C13" s="16">
        <f>'DCF Model'!C6</f>
        <v>0.25</v>
      </c>
    </row>
    <row r="14" spans="2:9" ht="14" customHeight="1" x14ac:dyDescent="0.3">
      <c r="B14" s="4" t="s">
        <v>130</v>
      </c>
      <c r="C14" s="27">
        <v>635204</v>
      </c>
    </row>
    <row r="15" spans="2:9" ht="14" customHeight="1" x14ac:dyDescent="0.3">
      <c r="B15" s="4" t="s">
        <v>131</v>
      </c>
      <c r="C15" s="27">
        <v>998202</v>
      </c>
    </row>
    <row r="16" spans="2:9" ht="14" customHeight="1" x14ac:dyDescent="0.3">
      <c r="B16" s="4" t="s">
        <v>132</v>
      </c>
      <c r="C16" s="5">
        <f>'DCF Model'!G33</f>
        <v>2940690.7650256888</v>
      </c>
    </row>
    <row r="17" spans="2:9" ht="14" customHeight="1" x14ac:dyDescent="0.3">
      <c r="B17" s="4" t="s">
        <v>133</v>
      </c>
      <c r="C17" s="5">
        <f>'DCF Model'!C53</f>
        <v>4672701.0746891936</v>
      </c>
    </row>
    <row r="18" spans="2:9" ht="14" customHeight="1" x14ac:dyDescent="0.3">
      <c r="B18" s="4" t="s">
        <v>134</v>
      </c>
      <c r="C18" s="26">
        <v>0.35538075721369511</v>
      </c>
    </row>
    <row r="19" spans="2:9" ht="14" customHeight="1" x14ac:dyDescent="0.3">
      <c r="B19" s="4" t="s">
        <v>135</v>
      </c>
      <c r="C19" s="5">
        <f>C10-C17</f>
        <v>4412498.3431568062</v>
      </c>
    </row>
    <row r="20" spans="2:9" ht="14" customHeight="1" x14ac:dyDescent="0.3">
      <c r="B20" s="4" t="s">
        <v>136</v>
      </c>
      <c r="C20" s="15">
        <f>IFERROR(ROUND(C19*1000000/C7,0),"N/A")</f>
        <v>2431</v>
      </c>
    </row>
    <row r="22" spans="2:9" ht="14" customHeight="1" x14ac:dyDescent="0.3">
      <c r="B22" s="8" t="s">
        <v>137</v>
      </c>
      <c r="C22" s="9"/>
      <c r="D22" s="9"/>
      <c r="E22" s="9"/>
      <c r="F22" s="9"/>
      <c r="G22" s="9"/>
      <c r="H22" s="9"/>
      <c r="I22" s="9"/>
    </row>
    <row r="23" spans="2:9" ht="14" customHeight="1" x14ac:dyDescent="0.3">
      <c r="B23" s="1" t="s">
        <v>138</v>
      </c>
    </row>
    <row r="24" spans="2:9" ht="14" customHeight="1" x14ac:dyDescent="0.3">
      <c r="B24" s="4" t="s">
        <v>139</v>
      </c>
      <c r="C24" s="5">
        <f>C10*(C11-C12)</f>
        <v>895800.66259961564</v>
      </c>
    </row>
    <row r="25" spans="2:9" ht="14" customHeight="1" x14ac:dyDescent="0.3">
      <c r="B25" s="4" t="s">
        <v>140</v>
      </c>
      <c r="C25" s="5">
        <f>IFERROR(C24/(1-C13),"N/A")</f>
        <v>1194400.8834661541</v>
      </c>
    </row>
    <row r="26" spans="2:9" ht="13.5" customHeight="1" x14ac:dyDescent="0.25">
      <c r="B26" s="6" t="s">
        <v>141</v>
      </c>
      <c r="C26" s="14">
        <f>IFERROR(C25/C15,"N/A")</f>
        <v>1.1965522844736376</v>
      </c>
    </row>
    <row r="27" spans="2:9" ht="13.5" customHeight="1" x14ac:dyDescent="0.25">
      <c r="B27" s="6" t="s">
        <v>142</v>
      </c>
      <c r="C27" s="14">
        <f>IFERROR(C25/C14,"N/A")</f>
        <v>1.8803421947376813</v>
      </c>
    </row>
    <row r="28" spans="2:9" ht="13.5" customHeight="1" x14ac:dyDescent="0.25">
      <c r="B28" s="6" t="s">
        <v>143</v>
      </c>
      <c r="C28" s="7">
        <f>IFERROR(C25/C16,"N/A")</f>
        <v>0.40616337415393633</v>
      </c>
    </row>
    <row r="29" spans="2:9" ht="13.5" customHeight="1" x14ac:dyDescent="0.25">
      <c r="B29" s="6" t="s">
        <v>144</v>
      </c>
      <c r="C29" s="5">
        <f>IFERROR(C25/C18,"N/A")</f>
        <v>3360904.7738843812</v>
      </c>
    </row>
    <row r="32" spans="2:9" ht="14" customHeight="1" x14ac:dyDescent="0.3">
      <c r="B32" s="8" t="s">
        <v>145</v>
      </c>
      <c r="C32" s="9"/>
      <c r="D32" s="9"/>
      <c r="E32" s="9"/>
      <c r="F32" s="9"/>
      <c r="G32" s="9"/>
      <c r="H32" s="9"/>
      <c r="I32" s="9"/>
    </row>
    <row r="33" spans="2:9" ht="14" customHeight="1" x14ac:dyDescent="0.3">
      <c r="B33" s="1" t="s">
        <v>146</v>
      </c>
    </row>
    <row r="34" spans="2:9" ht="14" customHeight="1" x14ac:dyDescent="0.3">
      <c r="B34" s="1" t="s">
        <v>147</v>
      </c>
    </row>
    <row r="36" spans="2:9" ht="14" customHeight="1" x14ac:dyDescent="0.3">
      <c r="B36" s="28" t="s">
        <v>148</v>
      </c>
      <c r="C36" s="28" t="s">
        <v>149</v>
      </c>
      <c r="D36" s="29">
        <f>'DCF Model'!C26-0.02</f>
        <v>8.8599999999999998E-2</v>
      </c>
      <c r="E36" s="29">
        <f>'DCF Model'!C26-0.01</f>
        <v>9.8600000000000007E-2</v>
      </c>
      <c r="F36" s="29">
        <f>'DCF Model'!C26</f>
        <v>0.1086</v>
      </c>
      <c r="G36" s="29">
        <f>'DCF Model'!C26+0.01</f>
        <v>0.1186</v>
      </c>
      <c r="H36" s="29">
        <f>'DCF Model'!C26+0.02</f>
        <v>0.12859999999999999</v>
      </c>
    </row>
    <row r="37" spans="2:9" ht="14" customHeight="1" x14ac:dyDescent="0.3">
      <c r="B37" s="3" t="s">
        <v>150</v>
      </c>
    </row>
    <row r="38" spans="2:9" ht="14" customHeight="1" x14ac:dyDescent="0.3">
      <c r="B38" s="4" t="s">
        <v>151</v>
      </c>
      <c r="C38" s="30">
        <v>3</v>
      </c>
      <c r="D38" s="13">
        <f t="shared" ref="D38:H41" si="0">IFERROR((1-(1+D$36)^(-$C38))/D$36-(1+D$36)/(D$36^2*$C38)*(1-($C38+1)/(1+D$36)^$C38+$C38/(1+D$36)^($C38+1)),"N/A")</f>
        <v>0.89368946661679161</v>
      </c>
      <c r="E38" s="13">
        <f t="shared" si="0"/>
        <v>0.88301760068507518</v>
      </c>
      <c r="F38" s="13">
        <f t="shared" si="0"/>
        <v>0.87258362115954813</v>
      </c>
      <c r="G38" s="13">
        <f t="shared" si="0"/>
        <v>0.86237994252370487</v>
      </c>
      <c r="H38" s="13">
        <f t="shared" si="0"/>
        <v>0.85239929045793605</v>
      </c>
    </row>
    <row r="39" spans="2:9" ht="14" customHeight="1" x14ac:dyDescent="0.3">
      <c r="B39" s="4" t="s">
        <v>152</v>
      </c>
      <c r="C39" s="30">
        <v>5</v>
      </c>
      <c r="D39" s="13">
        <f t="shared" si="0"/>
        <v>1.6936785348442922</v>
      </c>
      <c r="E39" s="13">
        <f t="shared" si="0"/>
        <v>1.6643085692226922</v>
      </c>
      <c r="F39" s="13">
        <f t="shared" si="0"/>
        <v>1.6358340546244192</v>
      </c>
      <c r="G39" s="13">
        <f t="shared" si="0"/>
        <v>1.6082176210677215</v>
      </c>
      <c r="H39" s="13">
        <f t="shared" si="0"/>
        <v>1.5814238387578234</v>
      </c>
    </row>
    <row r="40" spans="2:9" ht="14" customHeight="1" x14ac:dyDescent="0.3">
      <c r="B40" s="4" t="s">
        <v>153</v>
      </c>
      <c r="C40" s="30">
        <v>7</v>
      </c>
      <c r="D40" s="13">
        <f t="shared" si="0"/>
        <v>2.410988487441533</v>
      </c>
      <c r="E40" s="13">
        <f t="shared" si="0"/>
        <v>2.3570162666539858</v>
      </c>
      <c r="F40" s="13">
        <f t="shared" si="0"/>
        <v>2.3051107442990117</v>
      </c>
      <c r="G40" s="13">
        <f t="shared" si="0"/>
        <v>2.255166109111558</v>
      </c>
      <c r="H40" s="13">
        <f t="shared" si="0"/>
        <v>2.2070831579147829</v>
      </c>
    </row>
    <row r="41" spans="2:9" ht="14" customHeight="1" x14ac:dyDescent="0.3">
      <c r="B41" s="4" t="s">
        <v>154</v>
      </c>
      <c r="C41" s="30">
        <v>10</v>
      </c>
      <c r="D41" s="13">
        <f t="shared" si="0"/>
        <v>3.3526858439384069</v>
      </c>
      <c r="E41" s="13">
        <f t="shared" si="0"/>
        <v>3.2543491456164411</v>
      </c>
      <c r="F41" s="13">
        <f t="shared" si="0"/>
        <v>3.1608586952060151</v>
      </c>
      <c r="G41" s="13">
        <f t="shared" si="0"/>
        <v>3.0719009566672679</v>
      </c>
      <c r="H41" s="13">
        <f t="shared" si="0"/>
        <v>2.987186720404531</v>
      </c>
    </row>
    <row r="42" spans="2:9" ht="14" customHeight="1" x14ac:dyDescent="0.3">
      <c r="B42" s="3" t="s">
        <v>155</v>
      </c>
    </row>
    <row r="43" spans="2:9" ht="14" customHeight="1" x14ac:dyDescent="0.3">
      <c r="B43" s="4" t="s">
        <v>151</v>
      </c>
      <c r="C43" s="30">
        <v>3</v>
      </c>
      <c r="D43" s="13">
        <f t="shared" ref="D43:H46" si="1">IFERROR((1+D$36)/(D$36^2*$C43)*(1-($C43+1)/(1+D$36)^$C43+$C43/(1+D$36)^($C43+1))+(1+$C$12)/((D$36-$C$12)*(1+D$36)^$C43),"N/A")</f>
        <v>11.604725630104168</v>
      </c>
      <c r="E43" s="13">
        <f t="shared" si="1"/>
        <v>10.207410910182039</v>
      </c>
      <c r="F43" s="13">
        <f t="shared" si="1"/>
        <v>9.0953968802373844</v>
      </c>
      <c r="G43" s="13">
        <f t="shared" si="1"/>
        <v>8.1898147889265651</v>
      </c>
      <c r="H43" s="13">
        <f t="shared" si="1"/>
        <v>7.4383979815706205</v>
      </c>
    </row>
    <row r="44" spans="2:9" ht="14" customHeight="1" x14ac:dyDescent="0.3">
      <c r="B44" s="4" t="s">
        <v>152</v>
      </c>
      <c r="C44" s="30">
        <v>5</v>
      </c>
      <c r="D44" s="13">
        <f t="shared" si="1"/>
        <v>10.615519886394386</v>
      </c>
      <c r="E44" s="13">
        <f t="shared" si="1"/>
        <v>9.2635135667396984</v>
      </c>
      <c r="F44" s="13">
        <f t="shared" si="1"/>
        <v>8.1905612690734557</v>
      </c>
      <c r="G44" s="13">
        <f t="shared" si="1"/>
        <v>7.3193765823662718</v>
      </c>
      <c r="H44" s="13">
        <f t="shared" si="1"/>
        <v>6.5987494772895028</v>
      </c>
    </row>
    <row r="45" spans="2:9" ht="14" customHeight="1" x14ac:dyDescent="0.3">
      <c r="B45" s="4" t="s">
        <v>153</v>
      </c>
      <c r="C45" s="30">
        <v>7</v>
      </c>
      <c r="D45" s="13">
        <f t="shared" si="1"/>
        <v>9.7385401461349623</v>
      </c>
      <c r="E45" s="13">
        <f t="shared" si="1"/>
        <v>8.436077709332988</v>
      </c>
      <c r="F45" s="13">
        <f t="shared" si="1"/>
        <v>7.4060804512198626</v>
      </c>
      <c r="G45" s="13">
        <f t="shared" si="1"/>
        <v>6.57284852291279</v>
      </c>
      <c r="H45" s="13">
        <f t="shared" si="1"/>
        <v>5.8862403040375693</v>
      </c>
    </row>
    <row r="46" spans="2:9" ht="14" customHeight="1" x14ac:dyDescent="0.3">
      <c r="B46" s="4" t="s">
        <v>154</v>
      </c>
      <c r="C46" s="30">
        <v>10</v>
      </c>
      <c r="D46" s="13">
        <f t="shared" si="1"/>
        <v>8.6028459191314948</v>
      </c>
      <c r="E46" s="13">
        <f t="shared" si="1"/>
        <v>7.3786969331169461</v>
      </c>
      <c r="F46" s="13">
        <f t="shared" si="1"/>
        <v>6.4164934896817858</v>
      </c>
      <c r="G46" s="13">
        <f t="shared" si="1"/>
        <v>5.6429493688030252</v>
      </c>
      <c r="H46" s="13">
        <f t="shared" si="1"/>
        <v>5.0095689391604123</v>
      </c>
    </row>
    <row r="47" spans="2:9" ht="14" customHeight="1" x14ac:dyDescent="0.3">
      <c r="B47" s="22" t="s">
        <v>156</v>
      </c>
      <c r="C47" s="23"/>
      <c r="D47" s="23"/>
      <c r="E47" s="23"/>
      <c r="F47" s="23"/>
      <c r="G47" s="23"/>
      <c r="H47" s="23"/>
      <c r="I47" s="23"/>
    </row>
    <row r="48" spans="2:9" ht="14" customHeight="1" x14ac:dyDescent="0.3">
      <c r="B48" s="4" t="s">
        <v>151</v>
      </c>
      <c r="C48" s="30">
        <v>3</v>
      </c>
      <c r="D48" s="5">
        <f t="shared" ref="D48:H51" si="2">IFERROR(($C$10/(1-$C$13)-$C$14*D38)/D43,"N/A")</f>
        <v>994932.96678123821</v>
      </c>
      <c r="E48" s="5">
        <f t="shared" si="2"/>
        <v>1131795.6153058477</v>
      </c>
      <c r="F48" s="5">
        <f t="shared" si="2"/>
        <v>1270898.9799462105</v>
      </c>
      <c r="G48" s="5">
        <f t="shared" si="2"/>
        <v>1412218.9979707424</v>
      </c>
      <c r="H48" s="5">
        <f t="shared" si="2"/>
        <v>1555731.7333073323</v>
      </c>
    </row>
    <row r="49" spans="2:9" ht="14" customHeight="1" x14ac:dyDescent="0.3">
      <c r="B49" s="4" t="s">
        <v>152</v>
      </c>
      <c r="C49" s="30">
        <v>5</v>
      </c>
      <c r="D49" s="5">
        <f t="shared" si="2"/>
        <v>1039776.4746212977</v>
      </c>
      <c r="E49" s="5">
        <f t="shared" si="2"/>
        <v>1193545.3738728052</v>
      </c>
      <c r="F49" s="5">
        <f t="shared" si="2"/>
        <v>1352106.4705024548</v>
      </c>
      <c r="G49" s="5">
        <f t="shared" si="2"/>
        <v>1515436.8453653236</v>
      </c>
      <c r="H49" s="5">
        <f t="shared" si="2"/>
        <v>1683511.7796112327</v>
      </c>
    </row>
    <row r="50" spans="2:9" ht="14" customHeight="1" x14ac:dyDescent="0.3">
      <c r="B50" s="4" t="s">
        <v>153</v>
      </c>
      <c r="C50" s="30">
        <v>7</v>
      </c>
      <c r="D50" s="5">
        <f t="shared" si="2"/>
        <v>1086623.8197742295</v>
      </c>
      <c r="E50" s="5">
        <f t="shared" si="2"/>
        <v>1258453.6829723434</v>
      </c>
      <c r="F50" s="5">
        <f t="shared" si="2"/>
        <v>1437924.3823659634</v>
      </c>
      <c r="G50" s="5">
        <f t="shared" si="2"/>
        <v>1625034.9682315793</v>
      </c>
      <c r="H50" s="5">
        <f t="shared" si="2"/>
        <v>1819778.0960806315</v>
      </c>
    </row>
    <row r="51" spans="2:9" ht="14" customHeight="1" x14ac:dyDescent="0.3">
      <c r="B51" s="4" t="s">
        <v>154</v>
      </c>
      <c r="C51" s="30">
        <v>10</v>
      </c>
      <c r="D51" s="5">
        <f t="shared" si="2"/>
        <v>1160541.5067098578</v>
      </c>
      <c r="E51" s="5">
        <f t="shared" si="2"/>
        <v>1361544.4190440087</v>
      </c>
      <c r="F51" s="5">
        <f t="shared" si="2"/>
        <v>1574973.8004746584</v>
      </c>
      <c r="G51" s="5">
        <f t="shared" si="2"/>
        <v>1800887.2283522559</v>
      </c>
      <c r="H51" s="5">
        <f t="shared" si="2"/>
        <v>2039322.423609369</v>
      </c>
    </row>
    <row r="52" spans="2:9" ht="14" customHeight="1" x14ac:dyDescent="0.3">
      <c r="B52" s="22" t="s">
        <v>157</v>
      </c>
      <c r="C52" s="23"/>
      <c r="D52" s="23"/>
      <c r="E52" s="23"/>
      <c r="F52" s="23"/>
      <c r="G52" s="23"/>
      <c r="H52" s="23"/>
      <c r="I52" s="23"/>
    </row>
    <row r="53" spans="2:9" ht="14" customHeight="1" x14ac:dyDescent="0.3">
      <c r="B53" s="4" t="s">
        <v>151</v>
      </c>
      <c r="C53" s="30">
        <v>3</v>
      </c>
      <c r="D53" s="14">
        <f t="shared" ref="D53:H56" si="3">IFERROR(D48/$C$15,"N/A")</f>
        <v>0.99672507847233149</v>
      </c>
      <c r="E53" s="14">
        <f t="shared" si="3"/>
        <v>1.133834249286064</v>
      </c>
      <c r="F53" s="14">
        <f t="shared" si="3"/>
        <v>1.2731881722799698</v>
      </c>
      <c r="G53" s="14">
        <f t="shared" si="3"/>
        <v>1.4147627413797432</v>
      </c>
      <c r="H53" s="14">
        <f t="shared" si="3"/>
        <v>1.558533977398695</v>
      </c>
    </row>
    <row r="54" spans="2:9" ht="14" customHeight="1" x14ac:dyDescent="0.3">
      <c r="B54" s="4" t="s">
        <v>152</v>
      </c>
      <c r="C54" s="30">
        <v>5</v>
      </c>
      <c r="D54" s="14">
        <f t="shared" si="3"/>
        <v>1.0416493601708849</v>
      </c>
      <c r="E54" s="14">
        <f t="shared" si="3"/>
        <v>1.1956952339033633</v>
      </c>
      <c r="F54" s="14">
        <f t="shared" si="3"/>
        <v>1.35454193690501</v>
      </c>
      <c r="G54" s="14">
        <f t="shared" si="3"/>
        <v>1.5181665087480527</v>
      </c>
      <c r="H54" s="14">
        <f t="shared" si="3"/>
        <v>1.6865441860577646</v>
      </c>
    </row>
    <row r="55" spans="2:9" ht="14" customHeight="1" x14ac:dyDescent="0.3">
      <c r="B55" s="4" t="s">
        <v>153</v>
      </c>
      <c r="C55" s="30">
        <v>7</v>
      </c>
      <c r="D55" s="14">
        <f t="shared" si="3"/>
        <v>1.0885810885714811</v>
      </c>
      <c r="E55" s="14">
        <f t="shared" si="3"/>
        <v>1.2607204583564684</v>
      </c>
      <c r="F55" s="14">
        <f t="shared" si="3"/>
        <v>1.44051442730626</v>
      </c>
      <c r="G55" s="14">
        <f t="shared" si="3"/>
        <v>1.6279620439866673</v>
      </c>
      <c r="H55" s="14">
        <f t="shared" si="3"/>
        <v>1.823055950679954</v>
      </c>
    </row>
    <row r="56" spans="2:9" ht="14" customHeight="1" x14ac:dyDescent="0.3">
      <c r="B56" s="4" t="s">
        <v>154</v>
      </c>
      <c r="C56" s="30">
        <v>10</v>
      </c>
      <c r="D56" s="14">
        <f t="shared" si="3"/>
        <v>1.16263191890004</v>
      </c>
      <c r="E56" s="14">
        <f t="shared" si="3"/>
        <v>1.3639968854440372</v>
      </c>
      <c r="F56" s="14">
        <f t="shared" si="3"/>
        <v>1.5778107041206673</v>
      </c>
      <c r="G56" s="14">
        <f t="shared" si="3"/>
        <v>1.8041310559909276</v>
      </c>
      <c r="H56" s="14">
        <f t="shared" si="3"/>
        <v>2.0429957299317865</v>
      </c>
    </row>
    <row r="58" spans="2:9" ht="14" customHeight="1" x14ac:dyDescent="0.3">
      <c r="B58" s="8" t="s">
        <v>158</v>
      </c>
      <c r="C58" s="9"/>
      <c r="D58" s="9"/>
      <c r="E58" s="9"/>
      <c r="F58" s="9"/>
      <c r="G58" s="9"/>
      <c r="H58" s="9"/>
      <c r="I58" s="9"/>
    </row>
    <row r="59" spans="2:9" ht="14" customHeight="1" x14ac:dyDescent="0.3">
      <c r="B59" s="1" t="s">
        <v>159</v>
      </c>
    </row>
    <row r="60" spans="2:9" ht="14" customHeight="1" x14ac:dyDescent="0.3">
      <c r="B60" s="4" t="s">
        <v>160</v>
      </c>
      <c r="C60" s="5">
        <f>F49</f>
        <v>1352106.4705024548</v>
      </c>
    </row>
    <row r="62" spans="2:9" ht="14" customHeight="1" x14ac:dyDescent="0.3">
      <c r="B62" s="28" t="s">
        <v>161</v>
      </c>
      <c r="C62" s="28" t="s">
        <v>162</v>
      </c>
      <c r="D62" s="28" t="s">
        <v>163</v>
      </c>
    </row>
    <row r="63" spans="2:9" ht="14" customHeight="1" x14ac:dyDescent="0.3">
      <c r="B63" s="31">
        <v>0.1777</v>
      </c>
      <c r="C63" s="5">
        <f>IFERROR($C$60/B63,"N/A")</f>
        <v>7608927.8024898972</v>
      </c>
      <c r="D63" s="14">
        <f>IFERROR(C63/'DCF Model'!C17,"N/A")</f>
        <v>2.9561070092491004</v>
      </c>
    </row>
    <row r="64" spans="2:9" ht="14" customHeight="1" x14ac:dyDescent="0.3">
      <c r="B64" s="31">
        <v>0.26650000000000001</v>
      </c>
      <c r="C64" s="5">
        <f>IFERROR($C$60/B64,"N/A")</f>
        <v>5073570.2457878226</v>
      </c>
      <c r="D64" s="14">
        <f>IFERROR(C64/'DCF Model'!C17,"N/A")</f>
        <v>1.9711077506325145</v>
      </c>
    </row>
    <row r="65" spans="2:9" ht="14" customHeight="1" x14ac:dyDescent="0.3">
      <c r="B65" s="4" t="s">
        <v>164</v>
      </c>
      <c r="C65" s="5">
        <f>IFERROR($C$60/$C$18,"N/A")</f>
        <v>3804669.901385278</v>
      </c>
      <c r="D65" s="14">
        <f>IFERROR(C65/'DCF Model'!C17,"N/A")</f>
        <v>1.4781335367229667</v>
      </c>
    </row>
    <row r="66" spans="2:9" ht="14" customHeight="1" x14ac:dyDescent="0.3">
      <c r="B66" s="31">
        <v>0.44419999999999998</v>
      </c>
      <c r="C66" s="5">
        <f>IFERROR($C$60/B66,"N/A")</f>
        <v>3043913.711171668</v>
      </c>
      <c r="D66" s="14">
        <f>IFERROR(C66/'DCF Model'!C17,"N/A")</f>
        <v>1.1825759017189672</v>
      </c>
    </row>
    <row r="67" spans="2:9" ht="14" customHeight="1" x14ac:dyDescent="0.3">
      <c r="B67" s="31">
        <v>0.53310000000000002</v>
      </c>
      <c r="C67" s="5">
        <f>IFERROR($C$60/B67,"N/A")</f>
        <v>2536309.2674966324</v>
      </c>
      <c r="D67" s="14">
        <f>IFERROR(C67/'DCF Model'!C17,"N/A")</f>
        <v>0.98536900308303343</v>
      </c>
    </row>
    <row r="69" spans="2:9" ht="14" customHeight="1" x14ac:dyDescent="0.3">
      <c r="B69" s="8" t="s">
        <v>165</v>
      </c>
      <c r="C69" s="9"/>
      <c r="D69" s="9"/>
      <c r="E69" s="9"/>
      <c r="F69" s="9"/>
      <c r="G69" s="9"/>
      <c r="H69" s="9"/>
      <c r="I69" s="9"/>
    </row>
    <row r="70" spans="2:9" ht="13.5" customHeight="1" x14ac:dyDescent="0.25">
      <c r="B70" s="6" t="s">
        <v>166</v>
      </c>
      <c r="C70" s="14">
        <f>IFERROR(C10/'Comps Analysis'!G5,"N/A")</f>
        <v>10.345510156079975</v>
      </c>
    </row>
    <row r="71" spans="2:9" ht="13.5" customHeight="1" x14ac:dyDescent="0.25">
      <c r="B71" s="6" t="s">
        <v>167</v>
      </c>
      <c r="C71" s="14">
        <f>IFERROR(C10/'Comps Analysis'!F5,"N/A")</f>
        <v>3.5296460127709386</v>
      </c>
    </row>
    <row r="72" spans="2:9" ht="14" customHeight="1" x14ac:dyDescent="0.3">
      <c r="B72" s="4" t="s">
        <v>168</v>
      </c>
      <c r="C72" s="14">
        <f>IFERROR(C10/(C25+'DCF Model'!G42),"N/A")</f>
        <v>6.1646124945662146</v>
      </c>
    </row>
    <row r="73" spans="2:9" ht="14" customHeight="1" x14ac:dyDescent="0.3">
      <c r="B73" s="4" t="s">
        <v>169</v>
      </c>
      <c r="C73" s="14">
        <f>IFERROR(C10/(C60+'DCF Model'!G42),"N/A")</f>
        <v>5.5687127323999004</v>
      </c>
    </row>
    <row r="74" spans="2:9" ht="14" customHeight="1" x14ac:dyDescent="0.3">
      <c r="B74" s="4" t="s">
        <v>170</v>
      </c>
      <c r="C74" s="14">
        <f>IFERROR('Comps Analysis'!D16,"N/A")</f>
        <v>9.2210891708653779</v>
      </c>
    </row>
    <row r="75" spans="2:9" ht="14" customHeight="1" x14ac:dyDescent="0.3">
      <c r="B75" s="1" t="s">
        <v>171</v>
      </c>
    </row>
    <row r="77" spans="2:9" ht="14" customHeight="1" x14ac:dyDescent="0.3">
      <c r="B77" s="22" t="s">
        <v>172</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5,786 yen the market is paying for a steady-state operating profit of 1,352,106 mn JPY - 1.35x the FY2023 cycle peak of 998,202 mn - reached in 5 years and sustained for ever, against 635,204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1,194,401 mn, or 1.20x the peak. The base case supports an EV of only 4,672,701 mn, leaving 2,431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173</v>
      </c>
    </row>
    <row r="4" spans="2:8" ht="14" customHeight="1" x14ac:dyDescent="0.3">
      <c r="B4" s="8" t="s">
        <v>174</v>
      </c>
      <c r="C4" s="32" t="s">
        <v>175</v>
      </c>
      <c r="D4" s="32" t="s">
        <v>82</v>
      </c>
      <c r="E4" s="32" t="s">
        <v>83</v>
      </c>
      <c r="F4" s="32" t="s">
        <v>84</v>
      </c>
      <c r="G4" s="32" t="s">
        <v>85</v>
      </c>
      <c r="H4" s="32" t="s">
        <v>86</v>
      </c>
    </row>
    <row r="5" spans="2:8" ht="14" customHeight="1" x14ac:dyDescent="0.3">
      <c r="B5" s="33" t="s">
        <v>176</v>
      </c>
      <c r="C5" s="34">
        <f>C12/C9*365</f>
        <v>0</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customHeight="1" x14ac:dyDescent="0.3">
      <c r="B6" s="33" t="s">
        <v>177</v>
      </c>
      <c r="C6" s="34">
        <f>C13/C10*365</f>
        <v>170.49752683567854</v>
      </c>
      <c r="D6" s="34">
        <f>CHOOSE('DCF Model'!$D$27,D32,D33,D34,D35,D36)</f>
        <v>170</v>
      </c>
      <c r="E6" s="34">
        <f>CHOOSE('DCF Model'!$D$27,E32,E33,E34,E35,E36)</f>
        <v>170</v>
      </c>
      <c r="F6" s="34">
        <f>CHOOSE('DCF Model'!$D$27,F32,F33,F34,F35,F36)</f>
        <v>170</v>
      </c>
      <c r="G6" s="34">
        <f>CHOOSE('DCF Model'!$D$27,G32,G33,G34,G35,G36)</f>
        <v>170</v>
      </c>
      <c r="H6" s="34">
        <f>CHOOSE('DCF Model'!$D$27,H32,H33,H34,H35,H36)</f>
        <v>170</v>
      </c>
    </row>
    <row r="7" spans="2:8" ht="14" customHeight="1" x14ac:dyDescent="0.3">
      <c r="B7" s="33" t="s">
        <v>178</v>
      </c>
      <c r="C7" s="34">
        <f>C15/C10*365</f>
        <v>38.026568429134613</v>
      </c>
      <c r="D7" s="34">
        <f>CHOOSE('DCF Model'!$D$27,D39,D40,D41,D42,D43)</f>
        <v>41</v>
      </c>
      <c r="E7" s="34">
        <f>CHOOSE('DCF Model'!$D$27,E39,E40,E41,E42,E43)</f>
        <v>41</v>
      </c>
      <c r="F7" s="34">
        <f>CHOOSE('DCF Model'!$D$27,F39,F40,F41,F42,F43)</f>
        <v>41</v>
      </c>
      <c r="G7" s="34">
        <f>CHOOSE('DCF Model'!$D$27,G39,G40,G41,G42,G43)</f>
        <v>41</v>
      </c>
      <c r="H7" s="34">
        <f>CHOOSE('DCF Model'!$D$27,H39,H40,H41,H42,H43)</f>
        <v>41</v>
      </c>
    </row>
    <row r="8" spans="2:8" ht="14" customHeight="1" x14ac:dyDescent="0.3">
      <c r="B8" s="8" t="s">
        <v>179</v>
      </c>
      <c r="C8" s="9"/>
      <c r="D8" s="9"/>
      <c r="E8" s="9"/>
      <c r="F8" s="9"/>
      <c r="G8" s="9"/>
      <c r="H8" s="9"/>
    </row>
    <row r="9" spans="2:8" ht="14" customHeight="1" x14ac:dyDescent="0.3">
      <c r="B9" s="33" t="s">
        <v>33</v>
      </c>
      <c r="C9" s="35">
        <v>2573969</v>
      </c>
      <c r="D9" s="35">
        <f>'DCF Model'!C33</f>
        <v>2638318.2249999996</v>
      </c>
      <c r="E9" s="35">
        <f>'DCF Model'!D33</f>
        <v>2717467.7717499998</v>
      </c>
      <c r="F9" s="35">
        <f>'DCF Model'!E33</f>
        <v>2798991.8049025</v>
      </c>
      <c r="G9" s="35">
        <f>'DCF Model'!F33</f>
        <v>2868966.6000250624</v>
      </c>
      <c r="H9" s="35">
        <f>'DCF Model'!G33</f>
        <v>2940690.7650256888</v>
      </c>
    </row>
    <row r="10" spans="2:8" ht="14" customHeight="1" x14ac:dyDescent="0.3">
      <c r="B10" s="33" t="s">
        <v>34</v>
      </c>
      <c r="C10" s="35">
        <v>1693175</v>
      </c>
      <c r="D10" s="35">
        <f>'DCF Model'!C34</f>
        <v>1714906.8462499997</v>
      </c>
      <c r="E10" s="35">
        <f>'DCF Model'!D34</f>
        <v>1739179.3739199999</v>
      </c>
      <c r="F10" s="35">
        <f>'DCF Model'!E34</f>
        <v>1763364.8370885751</v>
      </c>
      <c r="G10" s="35">
        <f>'DCF Model'!F34</f>
        <v>1778759.2920155388</v>
      </c>
      <c r="H10" s="35">
        <f>'DCF Model'!G34</f>
        <v>1808524.8204907987</v>
      </c>
    </row>
    <row r="11" spans="2:8" ht="14" customHeight="1" x14ac:dyDescent="0.3">
      <c r="B11" s="8" t="s">
        <v>180</v>
      </c>
      <c r="C11" s="9"/>
      <c r="D11" s="9"/>
      <c r="E11" s="9"/>
      <c r="F11" s="9"/>
      <c r="G11" s="9"/>
      <c r="H11" s="9"/>
    </row>
    <row r="12" spans="2:8" ht="14" customHeight="1" x14ac:dyDescent="0.3">
      <c r="B12" s="33" t="s">
        <v>181</v>
      </c>
      <c r="C12" s="35">
        <v>0</v>
      </c>
      <c r="D12" s="35">
        <f t="shared" ref="D12:H13" si="0">D9*D5/365</f>
        <v>513207.10678082181</v>
      </c>
      <c r="E12" s="35">
        <f t="shared" si="0"/>
        <v>528603.31998424651</v>
      </c>
      <c r="F12" s="35">
        <f t="shared" si="0"/>
        <v>544461.41958377394</v>
      </c>
      <c r="G12" s="35">
        <f t="shared" si="0"/>
        <v>558072.95507336827</v>
      </c>
      <c r="H12" s="35">
        <f t="shared" si="0"/>
        <v>572024.77895020251</v>
      </c>
    </row>
    <row r="13" spans="2:8" ht="14" customHeight="1" x14ac:dyDescent="0.3">
      <c r="B13" s="33" t="s">
        <v>182</v>
      </c>
      <c r="C13" s="35">
        <v>790910</v>
      </c>
      <c r="D13" s="35">
        <f t="shared" si="0"/>
        <v>798723.73660958896</v>
      </c>
      <c r="E13" s="35">
        <f t="shared" si="0"/>
        <v>810028.74949698627</v>
      </c>
      <c r="F13" s="35">
        <f t="shared" si="0"/>
        <v>821293.21179467882</v>
      </c>
      <c r="G13" s="35">
        <f t="shared" si="0"/>
        <v>828463.23189764819</v>
      </c>
      <c r="H13" s="35">
        <f t="shared" si="0"/>
        <v>842326.62872174173</v>
      </c>
    </row>
    <row r="14" spans="2:8" ht="14" customHeight="1" x14ac:dyDescent="0.3">
      <c r="B14" s="33" t="s">
        <v>183</v>
      </c>
      <c r="C14" s="35">
        <f t="shared" ref="C14:H14" si="1">C12+C13</f>
        <v>790910</v>
      </c>
      <c r="D14" s="35">
        <f t="shared" si="1"/>
        <v>1311930.8433904108</v>
      </c>
      <c r="E14" s="35">
        <f t="shared" si="1"/>
        <v>1338632.0694812327</v>
      </c>
      <c r="F14" s="35">
        <f t="shared" si="1"/>
        <v>1365754.6313784528</v>
      </c>
      <c r="G14" s="35">
        <f t="shared" si="1"/>
        <v>1386536.1869710165</v>
      </c>
      <c r="H14" s="35">
        <f t="shared" si="1"/>
        <v>1414351.4076719442</v>
      </c>
    </row>
    <row r="15" spans="2:8" ht="14" customHeight="1" x14ac:dyDescent="0.3">
      <c r="B15" s="33" t="s">
        <v>184</v>
      </c>
      <c r="C15" s="35">
        <v>176399</v>
      </c>
      <c r="D15" s="35">
        <f>D10*D7/365</f>
        <v>192633.37177054794</v>
      </c>
      <c r="E15" s="35">
        <f>E10*E7/365</f>
        <v>195359.8748786849</v>
      </c>
      <c r="F15" s="35">
        <f>F10*F7/365</f>
        <v>198076.59813871665</v>
      </c>
      <c r="G15" s="35">
        <f>G10*G7/365</f>
        <v>199805.8382811975</v>
      </c>
      <c r="H15" s="35">
        <f>H10*H7/365</f>
        <v>203149.36339759655</v>
      </c>
    </row>
    <row r="16" spans="2:8" ht="14" customHeight="1" x14ac:dyDescent="0.3">
      <c r="B16" s="33" t="s">
        <v>185</v>
      </c>
      <c r="C16" s="35">
        <f t="shared" ref="C16:H16" si="2">C15</f>
        <v>176399</v>
      </c>
      <c r="D16" s="35">
        <f t="shared" si="2"/>
        <v>192633.37177054794</v>
      </c>
      <c r="E16" s="35">
        <f t="shared" si="2"/>
        <v>195359.8748786849</v>
      </c>
      <c r="F16" s="35">
        <f t="shared" si="2"/>
        <v>198076.59813871665</v>
      </c>
      <c r="G16" s="35">
        <f t="shared" si="2"/>
        <v>199805.8382811975</v>
      </c>
      <c r="H16" s="35">
        <f t="shared" si="2"/>
        <v>203149.36339759655</v>
      </c>
    </row>
    <row r="17" spans="2:8" ht="14" customHeight="1" x14ac:dyDescent="0.3">
      <c r="B17" s="22" t="s">
        <v>186</v>
      </c>
      <c r="C17" s="23"/>
      <c r="D17" s="23"/>
      <c r="E17" s="23"/>
      <c r="F17" s="23"/>
      <c r="G17" s="23"/>
      <c r="H17" s="23"/>
    </row>
    <row r="18" spans="2:8" ht="14" customHeight="1" x14ac:dyDescent="0.3">
      <c r="B18" s="33" t="s">
        <v>187</v>
      </c>
      <c r="C18" s="20">
        <f t="shared" ref="C18:H18" si="3">C14-C16</f>
        <v>614511</v>
      </c>
      <c r="D18" s="20">
        <f t="shared" si="3"/>
        <v>1119297.4716198628</v>
      </c>
      <c r="E18" s="20">
        <f t="shared" si="3"/>
        <v>1143272.1946025477</v>
      </c>
      <c r="F18" s="20">
        <f t="shared" si="3"/>
        <v>1167678.0332397362</v>
      </c>
      <c r="G18" s="20">
        <f t="shared" si="3"/>
        <v>1186730.348689819</v>
      </c>
      <c r="H18" s="20">
        <f t="shared" si="3"/>
        <v>1211202.0442743476</v>
      </c>
    </row>
    <row r="19" spans="2:8" ht="14" customHeight="1" x14ac:dyDescent="0.3">
      <c r="B19" s="33" t="s">
        <v>96</v>
      </c>
      <c r="C19" s="36" t="s">
        <v>43</v>
      </c>
      <c r="D19" s="24">
        <f>D18-C18</f>
        <v>504786.47161986283</v>
      </c>
      <c r="E19" s="24">
        <f>E18-D18</f>
        <v>23974.722982684849</v>
      </c>
      <c r="F19" s="24">
        <f>F18-E18</f>
        <v>24405.838637188543</v>
      </c>
      <c r="G19" s="24">
        <f>G18-F18</f>
        <v>19052.315450082766</v>
      </c>
      <c r="H19" s="24">
        <f>H18-G18</f>
        <v>24471.695584528614</v>
      </c>
    </row>
    <row r="22" spans="2:8" ht="14" customHeight="1" x14ac:dyDescent="0.3">
      <c r="B22" s="22" t="s">
        <v>188</v>
      </c>
      <c r="C22" s="23"/>
      <c r="D22" s="23"/>
      <c r="E22" s="23"/>
      <c r="F22" s="23"/>
      <c r="G22" s="23"/>
      <c r="H22" s="23"/>
    </row>
    <row r="23" spans="2:8" ht="14" customHeight="1" x14ac:dyDescent="0.3">
      <c r="D23" s="25" t="s">
        <v>82</v>
      </c>
      <c r="E23" s="25" t="s">
        <v>83</v>
      </c>
      <c r="F23" s="25" t="s">
        <v>84</v>
      </c>
      <c r="G23" s="25" t="s">
        <v>85</v>
      </c>
      <c r="H23" s="25" t="s">
        <v>86</v>
      </c>
    </row>
    <row r="24" spans="2:8" ht="14" customHeight="1" x14ac:dyDescent="0.3">
      <c r="B24" s="3" t="s">
        <v>189</v>
      </c>
    </row>
    <row r="25" spans="2:8" ht="14" customHeight="1" x14ac:dyDescent="0.3">
      <c r="B25" s="4" t="s">
        <v>80</v>
      </c>
      <c r="D25" s="30">
        <v>71</v>
      </c>
      <c r="E25" s="30">
        <v>71</v>
      </c>
      <c r="F25" s="30">
        <v>71</v>
      </c>
      <c r="G25" s="30">
        <v>71</v>
      </c>
      <c r="H25" s="30">
        <v>71</v>
      </c>
    </row>
    <row r="26" spans="2:8" ht="14" customHeight="1" x14ac:dyDescent="0.3">
      <c r="B26" s="4" t="s">
        <v>117</v>
      </c>
      <c r="D26" s="30">
        <v>68</v>
      </c>
      <c r="E26" s="30">
        <v>68</v>
      </c>
      <c r="F26" s="30">
        <v>68</v>
      </c>
      <c r="G26" s="30">
        <v>68</v>
      </c>
      <c r="H26" s="30">
        <v>68</v>
      </c>
    </row>
    <row r="27" spans="2:8" ht="14" customHeight="1" x14ac:dyDescent="0.3">
      <c r="B27" s="4" t="s">
        <v>118</v>
      </c>
      <c r="D27" s="30">
        <v>71</v>
      </c>
      <c r="E27" s="30">
        <v>71</v>
      </c>
      <c r="F27" s="30">
        <v>71</v>
      </c>
      <c r="G27" s="30">
        <v>71</v>
      </c>
      <c r="H27" s="30">
        <v>71</v>
      </c>
    </row>
    <row r="28" spans="2:8" ht="14" customHeight="1" x14ac:dyDescent="0.3">
      <c r="B28" s="4" t="s">
        <v>119</v>
      </c>
      <c r="D28" s="30">
        <v>75</v>
      </c>
      <c r="E28" s="30">
        <v>75</v>
      </c>
      <c r="F28" s="30">
        <v>75</v>
      </c>
      <c r="G28" s="30">
        <v>75</v>
      </c>
      <c r="H28" s="30">
        <v>75</v>
      </c>
    </row>
    <row r="29" spans="2:8" ht="14" customHeight="1" x14ac:dyDescent="0.3">
      <c r="B29" s="4" t="s">
        <v>120</v>
      </c>
      <c r="D29" s="30">
        <v>78</v>
      </c>
      <c r="E29" s="30">
        <v>78</v>
      </c>
      <c r="F29" s="30">
        <v>78</v>
      </c>
      <c r="G29" s="30">
        <v>78</v>
      </c>
      <c r="H29" s="30">
        <v>78</v>
      </c>
    </row>
    <row r="31" spans="2:8" ht="14" customHeight="1" x14ac:dyDescent="0.3">
      <c r="B31" s="3" t="s">
        <v>190</v>
      </c>
    </row>
    <row r="32" spans="2:8" ht="14" customHeight="1" x14ac:dyDescent="0.3">
      <c r="B32" s="4" t="s">
        <v>80</v>
      </c>
      <c r="D32" s="30">
        <v>170</v>
      </c>
      <c r="E32" s="30">
        <v>170</v>
      </c>
      <c r="F32" s="30">
        <v>170</v>
      </c>
      <c r="G32" s="30">
        <v>170</v>
      </c>
      <c r="H32" s="30">
        <v>170</v>
      </c>
    </row>
    <row r="33" spans="2:8" ht="14" customHeight="1" x14ac:dyDescent="0.3">
      <c r="B33" s="4" t="s">
        <v>117</v>
      </c>
      <c r="D33" s="30">
        <v>160</v>
      </c>
      <c r="E33" s="30">
        <v>158</v>
      </c>
      <c r="F33" s="30">
        <v>155</v>
      </c>
      <c r="G33" s="30">
        <v>155</v>
      </c>
      <c r="H33" s="30">
        <v>155</v>
      </c>
    </row>
    <row r="34" spans="2:8" ht="14" customHeight="1" x14ac:dyDescent="0.3">
      <c r="B34" s="4" t="s">
        <v>118</v>
      </c>
      <c r="D34" s="30">
        <v>170</v>
      </c>
      <c r="E34" s="30">
        <v>170</v>
      </c>
      <c r="F34" s="30">
        <v>170</v>
      </c>
      <c r="G34" s="30">
        <v>170</v>
      </c>
      <c r="H34" s="30">
        <v>170</v>
      </c>
    </row>
    <row r="35" spans="2:8" ht="14" customHeight="1" x14ac:dyDescent="0.3">
      <c r="B35" s="4" t="s">
        <v>119</v>
      </c>
      <c r="D35" s="30">
        <v>180</v>
      </c>
      <c r="E35" s="30">
        <v>182</v>
      </c>
      <c r="F35" s="30">
        <v>185</v>
      </c>
      <c r="G35" s="30">
        <v>185</v>
      </c>
      <c r="H35" s="30">
        <v>185</v>
      </c>
    </row>
    <row r="36" spans="2:8" ht="14" customHeight="1" x14ac:dyDescent="0.3">
      <c r="B36" s="4" t="s">
        <v>120</v>
      </c>
      <c r="D36" s="30">
        <v>200</v>
      </c>
      <c r="E36" s="30">
        <v>205</v>
      </c>
      <c r="F36" s="30">
        <v>200</v>
      </c>
      <c r="G36" s="30">
        <v>195</v>
      </c>
      <c r="H36" s="30">
        <v>190</v>
      </c>
    </row>
    <row r="38" spans="2:8" ht="14" customHeight="1" x14ac:dyDescent="0.3">
      <c r="B38" s="3" t="s">
        <v>191</v>
      </c>
    </row>
    <row r="39" spans="2:8" ht="14" customHeight="1" x14ac:dyDescent="0.3">
      <c r="B39" s="4" t="s">
        <v>80</v>
      </c>
      <c r="D39" s="30">
        <v>41</v>
      </c>
      <c r="E39" s="30">
        <v>41</v>
      </c>
      <c r="F39" s="30">
        <v>41</v>
      </c>
      <c r="G39" s="30">
        <v>41</v>
      </c>
      <c r="H39" s="30">
        <v>41</v>
      </c>
    </row>
    <row r="40" spans="2:8" ht="14" customHeight="1" x14ac:dyDescent="0.3">
      <c r="B40" s="4" t="s">
        <v>117</v>
      </c>
      <c r="D40" s="30">
        <v>43</v>
      </c>
      <c r="E40" s="30">
        <v>43</v>
      </c>
      <c r="F40" s="30">
        <v>43</v>
      </c>
      <c r="G40" s="30">
        <v>43</v>
      </c>
      <c r="H40" s="30">
        <v>43</v>
      </c>
    </row>
    <row r="41" spans="2:8" ht="14" customHeight="1" x14ac:dyDescent="0.3">
      <c r="B41" s="4" t="s">
        <v>118</v>
      </c>
      <c r="D41" s="30">
        <v>41</v>
      </c>
      <c r="E41" s="30">
        <v>41</v>
      </c>
      <c r="F41" s="30">
        <v>41</v>
      </c>
      <c r="G41" s="30">
        <v>41</v>
      </c>
      <c r="H41" s="30">
        <v>41</v>
      </c>
    </row>
    <row r="42" spans="2:8" ht="14" customHeight="1" x14ac:dyDescent="0.3">
      <c r="B42" s="4" t="s">
        <v>119</v>
      </c>
      <c r="D42" s="30">
        <v>39</v>
      </c>
      <c r="E42" s="30">
        <v>39</v>
      </c>
      <c r="F42" s="30">
        <v>39</v>
      </c>
      <c r="G42" s="30">
        <v>39</v>
      </c>
      <c r="H42" s="30">
        <v>39</v>
      </c>
    </row>
    <row r="43" spans="2:8" ht="14" customHeight="1" x14ac:dyDescent="0.3">
      <c r="B43" s="4" t="s">
        <v>120</v>
      </c>
      <c r="D43" s="30">
        <v>36</v>
      </c>
      <c r="E43" s="30">
        <v>36</v>
      </c>
      <c r="F43" s="30">
        <v>36</v>
      </c>
      <c r="G43" s="30">
        <v>36</v>
      </c>
      <c r="H43" s="30">
        <v>36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192</v>
      </c>
    </row>
    <row r="3" spans="2:17" ht="14" customHeight="1" x14ac:dyDescent="0.3">
      <c r="B3" s="1" t="s">
        <v>193</v>
      </c>
    </row>
    <row r="4" spans="2:17" ht="28" customHeight="1"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customHeight="1" x14ac:dyDescent="0.3">
      <c r="B5" s="4" t="s">
        <v>208</v>
      </c>
      <c r="C5" t="s">
        <v>209</v>
      </c>
      <c r="D5" s="37">
        <f>'Executive Summary'!C9*C23/1000000</f>
        <v>10501964.417846</v>
      </c>
      <c r="E5" s="37">
        <f>D5+C24</f>
        <v>9085199.4178459998</v>
      </c>
      <c r="F5" s="37">
        <v>2573969</v>
      </c>
      <c r="G5" s="37">
        <v>878178</v>
      </c>
      <c r="H5" s="37">
        <v>635205</v>
      </c>
      <c r="I5" s="37">
        <v>474459</v>
      </c>
      <c r="J5" s="38">
        <f t="shared" ref="J5:J10" si="0">IFERROR(E5/G5,"")</f>
        <v>10.345510156079975</v>
      </c>
      <c r="K5" s="38">
        <f t="shared" ref="K5:K10" si="1">IFERROR(E5/F5,"")</f>
        <v>3.5296460127709386</v>
      </c>
      <c r="L5" s="38">
        <f t="shared" ref="L5:L10" si="2">IFERROR(D5/I5,"")</f>
        <v>22.134608929003349</v>
      </c>
      <c r="M5" s="38">
        <f t="shared" ref="M5:M10" si="3">IFERROR(D5/P5,"")</f>
        <v>2.3523650550184705</v>
      </c>
      <c r="N5" s="39">
        <f t="shared" ref="N5:N10" si="4">IFERROR(H5/F5,"")</f>
        <v>0.24678036137964365</v>
      </c>
      <c r="O5" s="39">
        <f t="shared" ref="O5:O10" si="5">IFERROR(I5/P5,"")</f>
        <v>0.10627542878953362</v>
      </c>
      <c r="P5" s="37">
        <v>4464428</v>
      </c>
    </row>
    <row r="6" spans="2:17" ht="14" customHeight="1" x14ac:dyDescent="0.3">
      <c r="B6" s="4" t="s">
        <v>210</v>
      </c>
      <c r="C6" t="s">
        <v>211</v>
      </c>
      <c r="D6" s="37">
        <v>2160016</v>
      </c>
      <c r="E6" s="37">
        <v>2794214</v>
      </c>
      <c r="F6" s="37">
        <v>3074505</v>
      </c>
      <c r="G6" s="37">
        <v>427544</v>
      </c>
      <c r="H6" s="37">
        <v>231200</v>
      </c>
      <c r="I6" s="37">
        <v>158794</v>
      </c>
      <c r="J6" s="38">
        <f t="shared" si="0"/>
        <v>6.5355004397208241</v>
      </c>
      <c r="K6" s="38">
        <f t="shared" si="1"/>
        <v>0.90883377974665835</v>
      </c>
      <c r="L6" s="38">
        <f t="shared" si="2"/>
        <v>13.602629822285477</v>
      </c>
      <c r="M6" s="38">
        <f t="shared" si="3"/>
        <v>1.0342630619035376</v>
      </c>
      <c r="N6" s="39">
        <f t="shared" si="4"/>
        <v>7.5199097090425937E-2</v>
      </c>
      <c r="O6" s="39">
        <f t="shared" si="5"/>
        <v>7.6034051901425884E-2</v>
      </c>
      <c r="P6" s="37">
        <v>2088459</v>
      </c>
    </row>
    <row r="7" spans="2:17" ht="14" customHeight="1" x14ac:dyDescent="0.3">
      <c r="B7" s="4" t="s">
        <v>212</v>
      </c>
      <c r="C7" t="s">
        <v>213</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customHeight="1" x14ac:dyDescent="0.3">
      <c r="B8" s="4" t="s">
        <v>214</v>
      </c>
      <c r="C8" t="s">
        <v>215</v>
      </c>
      <c r="D8" s="37">
        <v>804059</v>
      </c>
      <c r="E8" s="37">
        <v>1361137</v>
      </c>
      <c r="F8" s="37">
        <v>1668754</v>
      </c>
      <c r="G8" s="37">
        <v>156370</v>
      </c>
      <c r="H8" s="37">
        <v>56602</v>
      </c>
      <c r="I8" s="37">
        <v>34378</v>
      </c>
      <c r="J8" s="38">
        <f t="shared" si="0"/>
        <v>8.7045916735946793</v>
      </c>
      <c r="K8" s="38">
        <f t="shared" si="1"/>
        <v>0.81566066658117375</v>
      </c>
      <c r="L8" s="38">
        <f t="shared" si="2"/>
        <v>23.388766071324685</v>
      </c>
      <c r="M8" s="38">
        <f t="shared" si="3"/>
        <v>0.92984144128725021</v>
      </c>
      <c r="N8" s="39">
        <f t="shared" si="4"/>
        <v>3.3918720194828E-2</v>
      </c>
      <c r="O8" s="39">
        <f t="shared" si="5"/>
        <v>3.9755899838908697E-2</v>
      </c>
      <c r="P8" s="37">
        <v>864727</v>
      </c>
    </row>
    <row r="9" spans="2:17" ht="14" customHeight="1" x14ac:dyDescent="0.3">
      <c r="B9" s="4" t="s">
        <v>216</v>
      </c>
      <c r="C9" t="s">
        <v>217</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customHeight="1" x14ac:dyDescent="0.3">
      <c r="B10" s="4" t="s">
        <v>218</v>
      </c>
      <c r="C10" t="s">
        <v>219</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customHeight="1" x14ac:dyDescent="0.3">
      <c r="B14" s="3" t="s">
        <v>220</v>
      </c>
    </row>
    <row r="15" spans="2:17" ht="14" customHeight="1" x14ac:dyDescent="0.3">
      <c r="B15" s="4" t="s">
        <v>221</v>
      </c>
      <c r="D15" s="38">
        <f t="shared" ref="D15:I15" si="6">PERCENTILE(J6:J10,0.25)</f>
        <v>8.7045916735946793</v>
      </c>
      <c r="E15" s="38">
        <f t="shared" si="6"/>
        <v>0.8220310108996034</v>
      </c>
      <c r="F15" s="38">
        <f t="shared" si="6"/>
        <v>14.334627281442758</v>
      </c>
      <c r="G15" s="38">
        <f t="shared" si="6"/>
        <v>0.95441894787631087</v>
      </c>
      <c r="H15" s="39">
        <f t="shared" si="6"/>
        <v>3.3918720194828E-2</v>
      </c>
      <c r="I15" s="39">
        <f t="shared" si="6"/>
        <v>3.9755899838908697E-2</v>
      </c>
    </row>
    <row r="16" spans="2:17" ht="14" customHeight="1" x14ac:dyDescent="0.3">
      <c r="B16" s="4" t="s">
        <v>222</v>
      </c>
      <c r="D16" s="38">
        <f t="shared" ref="D16:I16" si="7">MEDIAN(J6:J10)</f>
        <v>9.2210891708653779</v>
      </c>
      <c r="E16" s="38">
        <f t="shared" si="7"/>
        <v>0.90883377974665835</v>
      </c>
      <c r="F16" s="38">
        <f t="shared" si="7"/>
        <v>19.11470566869264</v>
      </c>
      <c r="G16" s="38">
        <f t="shared" si="7"/>
        <v>1.0319714549882149</v>
      </c>
      <c r="H16" s="39">
        <f t="shared" si="7"/>
        <v>7.5199097090425937E-2</v>
      </c>
      <c r="I16" s="39">
        <f t="shared" si="7"/>
        <v>7.1991509421677022E-2</v>
      </c>
    </row>
    <row r="17" spans="2:9" ht="14" customHeight="1" x14ac:dyDescent="0.3">
      <c r="B17" s="4" t="s">
        <v>223</v>
      </c>
      <c r="D17" s="38">
        <f t="shared" ref="D17:I17" si="8">PERCENTILE(J6:J10,0.75)</f>
        <v>9.6331483638475728</v>
      </c>
      <c r="E17" s="38">
        <f t="shared" si="8"/>
        <v>1.4354514444428887</v>
      </c>
      <c r="F17" s="38">
        <f t="shared" si="8"/>
        <v>23.388766071324685</v>
      </c>
      <c r="G17" s="38">
        <f t="shared" si="8"/>
        <v>1.0342630619035376</v>
      </c>
      <c r="H17" s="39">
        <f t="shared" si="8"/>
        <v>0.10432327495428168</v>
      </c>
      <c r="I17" s="39">
        <f t="shared" si="8"/>
        <v>7.6034051901425884E-2</v>
      </c>
    </row>
    <row r="19" spans="2:9" ht="14" customHeight="1" x14ac:dyDescent="0.3">
      <c r="B19" s="22" t="s">
        <v>224</v>
      </c>
      <c r="C19" s="23"/>
      <c r="D19" s="23"/>
      <c r="E19" s="23"/>
      <c r="F19" s="23"/>
      <c r="G19" s="23"/>
      <c r="H19" s="23"/>
      <c r="I19" s="23"/>
    </row>
    <row r="20" spans="2:9" ht="14" customHeight="1" x14ac:dyDescent="0.3">
      <c r="B20" s="3" t="s">
        <v>225</v>
      </c>
    </row>
    <row r="21" spans="2:9" ht="14" customHeight="1" x14ac:dyDescent="0.3">
      <c r="B21" s="4" t="s">
        <v>226</v>
      </c>
      <c r="C21" s="5">
        <v>878177</v>
      </c>
    </row>
    <row r="22" spans="2:9" ht="14" customHeight="1" x14ac:dyDescent="0.3">
      <c r="B22" s="4" t="s">
        <v>227</v>
      </c>
      <c r="C22" s="5">
        <v>474459</v>
      </c>
    </row>
    <row r="23" spans="2:9" ht="14" customHeight="1" x14ac:dyDescent="0.3">
      <c r="B23" s="4" t="s">
        <v>228</v>
      </c>
      <c r="C23" s="15">
        <v>1815064711</v>
      </c>
    </row>
    <row r="24" spans="2:9" ht="14" customHeight="1" x14ac:dyDescent="0.3">
      <c r="B24" s="4" t="s">
        <v>69</v>
      </c>
      <c r="C24" s="5">
        <v>-1416765</v>
      </c>
    </row>
    <row r="26" spans="2:9" ht="14" customHeight="1" x14ac:dyDescent="0.3">
      <c r="B26" s="3" t="s">
        <v>229</v>
      </c>
    </row>
    <row r="27" spans="2:9" ht="14" customHeight="1" x14ac:dyDescent="0.3">
      <c r="B27" s="4" t="s">
        <v>230</v>
      </c>
      <c r="C27" s="24">
        <f>ROUND((C21*D16-C24)*1000000/C23,0)</f>
        <v>5242</v>
      </c>
    </row>
    <row r="28" spans="2:9" ht="14" customHeight="1" x14ac:dyDescent="0.3">
      <c r="B28" s="4" t="s">
        <v>231</v>
      </c>
      <c r="C28" s="24">
        <f>ROUND(C22*F16*1000000/C23,0)</f>
        <v>4997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232</v>
      </c>
    </row>
    <row r="3" spans="2:9" ht="14" customHeight="1" x14ac:dyDescent="0.3">
      <c r="B3" s="4" t="s">
        <v>233</v>
      </c>
      <c r="C3" s="16">
        <f>'DCF Model'!C26</f>
        <v>0.1086</v>
      </c>
      <c r="E3" s="4" t="s">
        <v>234</v>
      </c>
      <c r="F3" s="16">
        <f>'DCF Model'!C13</f>
        <v>0.01</v>
      </c>
      <c r="H3" s="4" t="s">
        <v>235</v>
      </c>
      <c r="I3" s="14">
        <f>'DCF Model'!C14</f>
        <v>9.1999999999999993</v>
      </c>
    </row>
    <row r="5" spans="2:9" ht="14" customHeight="1" x14ac:dyDescent="0.3">
      <c r="B5" s="3" t="s">
        <v>236</v>
      </c>
    </row>
    <row r="6" spans="2:9" ht="14" customHeight="1"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9.3600000000000003E-2</v>
      </c>
      <c r="C7" s="37">
        <f>IFERROR(ROUND(('DCF Model'!C45/(1+$B7)^('DCF Model'!C19+0)+'DCF Model'!D45/(1+$B7)^('DCF Model'!C19+1)+'DCF Model'!E45/(1+$B7)^('DCF Model'!C19+2)+'DCF Model'!F45/(1+$B7)^('DCF Model'!C19+3)+'DCF Model'!G45/(1+$B7)^('DCF Model'!C19+4)+'DCF Model'!G45*(1+C$6)/($B7-C$6)/(1+$B7)^('DCF Model'!C19+4)-'DCF Model'!C16)*1000000/'DCF Model'!C15,0),"")</f>
        <v>3671</v>
      </c>
      <c r="D7" s="37">
        <f>IFERROR(ROUND(('DCF Model'!C45/(1+$B7)^('DCF Model'!C19+0)+'DCF Model'!D45/(1+$B7)^('DCF Model'!C19+1)+'DCF Model'!E45/(1+$B7)^('DCF Model'!C19+2)+'DCF Model'!F45/(1+$B7)^('DCF Model'!C19+3)+'DCF Model'!G45/(1+$B7)^('DCF Model'!C19+4)+'DCF Model'!G45*(1+D$6)/($B7-D$6)/(1+$B7)^('DCF Model'!C19+4)-'DCF Model'!C16)*1000000/'DCF Model'!C15,0),"")</f>
        <v>3737</v>
      </c>
      <c r="E7" s="37">
        <f>IFERROR(ROUND(('DCF Model'!C45/(1+$B7)^('DCF Model'!C19+0)+'DCF Model'!D45/(1+$B7)^('DCF Model'!C19+1)+'DCF Model'!E45/(1+$B7)^('DCF Model'!C19+2)+'DCF Model'!F45/(1+$B7)^('DCF Model'!C19+3)+'DCF Model'!G45/(1+$B7)^('DCF Model'!C19+4)+'DCF Model'!G45*(1+E$6)/($B7-E$6)/(1+$B7)^('DCF Model'!C19+4)-'DCF Model'!C16)*1000000/'DCF Model'!C15,0),"")</f>
        <v>3807</v>
      </c>
      <c r="F7" s="37">
        <f>IFERROR(ROUND(('DCF Model'!C45/(1+$B7)^('DCF Model'!C19+0)+'DCF Model'!D45/(1+$B7)^('DCF Model'!C19+1)+'DCF Model'!E45/(1+$B7)^('DCF Model'!C19+2)+'DCF Model'!F45/(1+$B7)^('DCF Model'!C19+3)+'DCF Model'!G45/(1+$B7)^('DCF Model'!C19+4)+'DCF Model'!G45*(1+F$6)/($B7-F$6)/(1+$B7)^('DCF Model'!C19+4)-'DCF Model'!C16)*1000000/'DCF Model'!C15,0),"")</f>
        <v>3881</v>
      </c>
      <c r="G7" s="37">
        <f>IFERROR(ROUND(('DCF Model'!C45/(1+$B7)^('DCF Model'!C19+0)+'DCF Model'!D45/(1+$B7)^('DCF Model'!C19+1)+'DCF Model'!E45/(1+$B7)^('DCF Model'!C19+2)+'DCF Model'!F45/(1+$B7)^('DCF Model'!C19+3)+'DCF Model'!G45/(1+$B7)^('DCF Model'!C19+4)+'DCF Model'!G45*(1+G$6)/($B7-G$6)/(1+$B7)^('DCF Model'!C19+4)-'DCF Model'!C16)*1000000/'DCF Model'!C15,0),"")</f>
        <v>3960</v>
      </c>
      <c r="H7" s="37">
        <f>IFERROR(ROUND(('DCF Model'!C45/(1+$B7)^('DCF Model'!C19+0)+'DCF Model'!D45/(1+$B7)^('DCF Model'!C19+1)+'DCF Model'!E45/(1+$B7)^('DCF Model'!C19+2)+'DCF Model'!F45/(1+$B7)^('DCF Model'!C19+3)+'DCF Model'!G45/(1+$B7)^('DCF Model'!C19+4)+'DCF Model'!G45*(1+H$6)/($B7-H$6)/(1+$B7)^('DCF Model'!C19+4)-'DCF Model'!C16)*1000000/'DCF Model'!C15,0),"")</f>
        <v>4044</v>
      </c>
      <c r="I7" s="37">
        <f>IFERROR(ROUND(('DCF Model'!C45/(1+$B7)^('DCF Model'!C19+0)+'DCF Model'!D45/(1+$B7)^('DCF Model'!C19+1)+'DCF Model'!E45/(1+$B7)^('DCF Model'!C19+2)+'DCF Model'!F45/(1+$B7)^('DCF Model'!C19+3)+'DCF Model'!G45/(1+$B7)^('DCF Model'!C19+4)+'DCF Model'!G45*(1+I$6)/($B7-I$6)/(1+$B7)^('DCF Model'!C19+4)-'DCF Model'!C16)*1000000/'DCF Model'!C15,0),"")</f>
        <v>4133</v>
      </c>
    </row>
    <row r="8" spans="2:9" ht="13.5" customHeight="1" x14ac:dyDescent="0.25">
      <c r="B8" s="39">
        <f>$C$3-0.01</f>
        <v>9.8600000000000007E-2</v>
      </c>
      <c r="C8" s="37">
        <f>IFERROR(ROUND(('DCF Model'!C45/(1+$B8)^('DCF Model'!C19+0)+'DCF Model'!D45/(1+$B8)^('DCF Model'!C19+1)+'DCF Model'!E45/(1+$B8)^('DCF Model'!C19+2)+'DCF Model'!F45/(1+$B8)^('DCF Model'!C19+3)+'DCF Model'!G45/(1+$B8)^('DCF Model'!C19+4)+'DCF Model'!G45*(1+C$6)/($B8-C$6)/(1+$B8)^('DCF Model'!C19+4)-'DCF Model'!C16)*1000000/'DCF Model'!C15,0),"")</f>
        <v>3501</v>
      </c>
      <c r="D8" s="37">
        <f>IFERROR(ROUND(('DCF Model'!C45/(1+$B8)^('DCF Model'!C19+0)+'DCF Model'!D45/(1+$B8)^('DCF Model'!C19+1)+'DCF Model'!E45/(1+$B8)^('DCF Model'!C19+2)+'DCF Model'!F45/(1+$B8)^('DCF Model'!C19+3)+'DCF Model'!G45/(1+$B8)^('DCF Model'!C19+4)+'DCF Model'!G45*(1+D$6)/($B8-D$6)/(1+$B8)^('DCF Model'!C19+4)-'DCF Model'!C16)*1000000/'DCF Model'!C15,0),"")</f>
        <v>3559</v>
      </c>
      <c r="E8" s="37">
        <f>IFERROR(ROUND(('DCF Model'!C45/(1+$B8)^('DCF Model'!C19+0)+'DCF Model'!D45/(1+$B8)^('DCF Model'!C19+1)+'DCF Model'!E45/(1+$B8)^('DCF Model'!C19+2)+'DCF Model'!F45/(1+$B8)^('DCF Model'!C19+3)+'DCF Model'!G45/(1+$B8)^('DCF Model'!C19+4)+'DCF Model'!G45*(1+E$6)/($B8-E$6)/(1+$B8)^('DCF Model'!C19+4)-'DCF Model'!C16)*1000000/'DCF Model'!C15,0),"")</f>
        <v>3621</v>
      </c>
      <c r="F8" s="37">
        <f>IFERROR(ROUND(('DCF Model'!C45/(1+$B8)^('DCF Model'!C19+0)+'DCF Model'!D45/(1+$B8)^('DCF Model'!C19+1)+'DCF Model'!E45/(1+$B8)^('DCF Model'!C19+2)+'DCF Model'!F45/(1+$B8)^('DCF Model'!C19+3)+'DCF Model'!G45/(1+$B8)^('DCF Model'!C19+4)+'DCF Model'!G45*(1+F$6)/($B8-F$6)/(1+$B8)^('DCF Model'!C19+4)-'DCF Model'!C16)*1000000/'DCF Model'!C15,0),"")</f>
        <v>3686</v>
      </c>
      <c r="G8" s="37">
        <f>IFERROR(ROUND(('DCF Model'!C45/(1+$B8)^('DCF Model'!C19+0)+'DCF Model'!D45/(1+$B8)^('DCF Model'!C19+1)+'DCF Model'!E45/(1+$B8)^('DCF Model'!C19+2)+'DCF Model'!F45/(1+$B8)^('DCF Model'!C19+3)+'DCF Model'!G45/(1+$B8)^('DCF Model'!C19+4)+'DCF Model'!G45*(1+G$6)/($B8-G$6)/(1+$B8)^('DCF Model'!C19+4)-'DCF Model'!C16)*1000000/'DCF Model'!C15,0),"")</f>
        <v>3754</v>
      </c>
      <c r="H8" s="37">
        <f>IFERROR(ROUND(('DCF Model'!C45/(1+$B8)^('DCF Model'!C19+0)+'DCF Model'!D45/(1+$B8)^('DCF Model'!C19+1)+'DCF Model'!E45/(1+$B8)^('DCF Model'!C19+2)+'DCF Model'!F45/(1+$B8)^('DCF Model'!C19+3)+'DCF Model'!G45/(1+$B8)^('DCF Model'!C19+4)+'DCF Model'!G45*(1+H$6)/($B8-H$6)/(1+$B8)^('DCF Model'!C19+4)-'DCF Model'!C16)*1000000/'DCF Model'!C15,0),"")</f>
        <v>3827</v>
      </c>
      <c r="I8" s="37">
        <f>IFERROR(ROUND(('DCF Model'!C45/(1+$B8)^('DCF Model'!C19+0)+'DCF Model'!D45/(1+$B8)^('DCF Model'!C19+1)+'DCF Model'!E45/(1+$B8)^('DCF Model'!C19+2)+'DCF Model'!F45/(1+$B8)^('DCF Model'!C19+3)+'DCF Model'!G45/(1+$B8)^('DCF Model'!C19+4)+'DCF Model'!G45*(1+I$6)/($B8-I$6)/(1+$B8)^('DCF Model'!C19+4)-'DCF Model'!C16)*1000000/'DCF Model'!C15,0),"")</f>
        <v>3904</v>
      </c>
    </row>
    <row r="9" spans="2:9" ht="13.5" customHeight="1" x14ac:dyDescent="0.25">
      <c r="B9" s="39">
        <f>$C$3-0.005</f>
        <v>0.1036</v>
      </c>
      <c r="C9" s="37">
        <f>IFERROR(ROUND(('DCF Model'!C45/(1+$B9)^('DCF Model'!C19+0)+'DCF Model'!D45/(1+$B9)^('DCF Model'!C19+1)+'DCF Model'!E45/(1+$B9)^('DCF Model'!C19+2)+'DCF Model'!F45/(1+$B9)^('DCF Model'!C19+3)+'DCF Model'!G45/(1+$B9)^('DCF Model'!C19+4)+'DCF Model'!G45*(1+C$6)/($B9-C$6)/(1+$B9)^('DCF Model'!C19+4)-'DCF Model'!C16)*1000000/'DCF Model'!C15,0),"")</f>
        <v>3348</v>
      </c>
      <c r="D9" s="37">
        <f>IFERROR(ROUND(('DCF Model'!C45/(1+$B9)^('DCF Model'!C19+0)+'DCF Model'!D45/(1+$B9)^('DCF Model'!C19+1)+'DCF Model'!E45/(1+$B9)^('DCF Model'!C19+2)+'DCF Model'!F45/(1+$B9)^('DCF Model'!C19+3)+'DCF Model'!G45/(1+$B9)^('DCF Model'!C19+4)+'DCF Model'!G45*(1+D$6)/($B9-D$6)/(1+$B9)^('DCF Model'!C19+4)-'DCF Model'!C16)*1000000/'DCF Model'!C15,0),"")</f>
        <v>3400</v>
      </c>
      <c r="E9" s="37">
        <f>IFERROR(ROUND(('DCF Model'!C45/(1+$B9)^('DCF Model'!C19+0)+'DCF Model'!D45/(1+$B9)^('DCF Model'!C19+1)+'DCF Model'!E45/(1+$B9)^('DCF Model'!C19+2)+'DCF Model'!F45/(1+$B9)^('DCF Model'!C19+3)+'DCF Model'!G45/(1+$B9)^('DCF Model'!C19+4)+'DCF Model'!G45*(1+E$6)/($B9-E$6)/(1+$B9)^('DCF Model'!C19+4)-'DCF Model'!C16)*1000000/'DCF Model'!C15,0),"")</f>
        <v>3454</v>
      </c>
      <c r="F9" s="37">
        <f>IFERROR(ROUND(('DCF Model'!C45/(1+$B9)^('DCF Model'!C19+0)+'DCF Model'!D45/(1+$B9)^('DCF Model'!C19+1)+'DCF Model'!E45/(1+$B9)^('DCF Model'!C19+2)+'DCF Model'!F45/(1+$B9)^('DCF Model'!C19+3)+'DCF Model'!G45/(1+$B9)^('DCF Model'!C19+4)+'DCF Model'!G45*(1+F$6)/($B9-F$6)/(1+$B9)^('DCF Model'!C19+4)-'DCF Model'!C16)*1000000/'DCF Model'!C15,0),"")</f>
        <v>3511</v>
      </c>
      <c r="G9" s="37">
        <f>IFERROR(ROUND(('DCF Model'!C45/(1+$B9)^('DCF Model'!C19+0)+'DCF Model'!D45/(1+$B9)^('DCF Model'!C19+1)+'DCF Model'!E45/(1+$B9)^('DCF Model'!C19+2)+'DCF Model'!F45/(1+$B9)^('DCF Model'!C19+3)+'DCF Model'!G45/(1+$B9)^('DCF Model'!C19+4)+'DCF Model'!G45*(1+G$6)/($B9-G$6)/(1+$B9)^('DCF Model'!C19+4)-'DCF Model'!C16)*1000000/'DCF Model'!C15,0),"")</f>
        <v>3572</v>
      </c>
      <c r="H9" s="37">
        <f>IFERROR(ROUND(('DCF Model'!C45/(1+$B9)^('DCF Model'!C19+0)+'DCF Model'!D45/(1+$B9)^('DCF Model'!C19+1)+'DCF Model'!E45/(1+$B9)^('DCF Model'!C19+2)+'DCF Model'!F45/(1+$B9)^('DCF Model'!C19+3)+'DCF Model'!G45/(1+$B9)^('DCF Model'!C19+4)+'DCF Model'!G45*(1+H$6)/($B9-H$6)/(1+$B9)^('DCF Model'!C19+4)-'DCF Model'!C16)*1000000/'DCF Model'!C15,0),"")</f>
        <v>3635</v>
      </c>
      <c r="I9" s="37">
        <f>IFERROR(ROUND(('DCF Model'!C45/(1+$B9)^('DCF Model'!C19+0)+'DCF Model'!D45/(1+$B9)^('DCF Model'!C19+1)+'DCF Model'!E45/(1+$B9)^('DCF Model'!C19+2)+'DCF Model'!F45/(1+$B9)^('DCF Model'!C19+3)+'DCF Model'!G45/(1+$B9)^('DCF Model'!C19+4)+'DCF Model'!G45*(1+I$6)/($B9-I$6)/(1+$B9)^('DCF Model'!C19+4)-'DCF Model'!C16)*1000000/'DCF Model'!C15,0),"")</f>
        <v>3703</v>
      </c>
    </row>
    <row r="10" spans="2:9" ht="13.5" customHeight="1" x14ac:dyDescent="0.25">
      <c r="B10" s="39">
        <f>$C$3</f>
        <v>0.1086</v>
      </c>
      <c r="C10" s="37">
        <f>IFERROR(ROUND(('DCF Model'!C45/(1+$B10)^('DCF Model'!C19+0)+'DCF Model'!D45/(1+$B10)^('DCF Model'!C19+1)+'DCF Model'!E45/(1+$B10)^('DCF Model'!C19+2)+'DCF Model'!F45/(1+$B10)^('DCF Model'!C19+3)+'DCF Model'!G45/(1+$B10)^('DCF Model'!C19+4)+'DCF Model'!G45*(1+C$6)/($B10-C$6)/(1+$B10)^('DCF Model'!C19+4)-'DCF Model'!C16)*1000000/'DCF Model'!C15,0),"")</f>
        <v>3210</v>
      </c>
      <c r="D10" s="37">
        <f>IFERROR(ROUND(('DCF Model'!C45/(1+$B10)^('DCF Model'!C19+0)+'DCF Model'!D45/(1+$B10)^('DCF Model'!C19+1)+'DCF Model'!E45/(1+$B10)^('DCF Model'!C19+2)+'DCF Model'!F45/(1+$B10)^('DCF Model'!C19+3)+'DCF Model'!G45/(1+$B10)^('DCF Model'!C19+4)+'DCF Model'!G45*(1+D$6)/($B10-D$6)/(1+$B10)^('DCF Model'!C19+4)-'DCF Model'!C16)*1000000/'DCF Model'!C15,0),"")</f>
        <v>3256</v>
      </c>
      <c r="E10" s="37">
        <f>IFERROR(ROUND(('DCF Model'!C45/(1+$B10)^('DCF Model'!C19+0)+'DCF Model'!D45/(1+$B10)^('DCF Model'!C19+1)+'DCF Model'!E45/(1+$B10)^('DCF Model'!C19+2)+'DCF Model'!F45/(1+$B10)^('DCF Model'!C19+3)+'DCF Model'!G45/(1+$B10)^('DCF Model'!C19+4)+'DCF Model'!G45*(1+E$6)/($B10-E$6)/(1+$B10)^('DCF Model'!C19+4)-'DCF Model'!C16)*1000000/'DCF Model'!C15,0),"")</f>
        <v>3304</v>
      </c>
      <c r="F10" s="37">
        <f>IFERROR(ROUND(('DCF Model'!C45/(1+$B10)^('DCF Model'!C19+0)+'DCF Model'!D45/(1+$B10)^('DCF Model'!C19+1)+'DCF Model'!E45/(1+$B10)^('DCF Model'!C19+2)+'DCF Model'!F45/(1+$B10)^('DCF Model'!C19+3)+'DCF Model'!G45/(1+$B10)^('DCF Model'!C19+4)+'DCF Model'!G45*(1+F$6)/($B10-F$6)/(1+$B10)^('DCF Model'!C19+4)-'DCF Model'!C16)*1000000/'DCF Model'!C15,0),"")</f>
        <v>3355</v>
      </c>
      <c r="G10" s="37">
        <f>IFERROR(ROUND(('DCF Model'!C45/(1+$B10)^('DCF Model'!C19+0)+'DCF Model'!D45/(1+$B10)^('DCF Model'!C19+1)+'DCF Model'!E45/(1+$B10)^('DCF Model'!C19+2)+'DCF Model'!F45/(1+$B10)^('DCF Model'!C19+3)+'DCF Model'!G45/(1+$B10)^('DCF Model'!C19+4)+'DCF Model'!G45*(1+G$6)/($B10-G$6)/(1+$B10)^('DCF Model'!C19+4)-'DCF Model'!C16)*1000000/'DCF Model'!C15,0),"")</f>
        <v>3408</v>
      </c>
      <c r="H10" s="37">
        <f>IFERROR(ROUND(('DCF Model'!C45/(1+$B10)^('DCF Model'!C19+0)+'DCF Model'!D45/(1+$B10)^('DCF Model'!C19+1)+'DCF Model'!E45/(1+$B10)^('DCF Model'!C19+2)+'DCF Model'!F45/(1+$B10)^('DCF Model'!C19+3)+'DCF Model'!G45/(1+$B10)^('DCF Model'!C19+4)+'DCF Model'!G45*(1+H$6)/($B10-H$6)/(1+$B10)^('DCF Model'!C19+4)-'DCF Model'!C16)*1000000/'DCF Model'!C15,0),"")</f>
        <v>3464</v>
      </c>
      <c r="I10" s="37">
        <f>IFERROR(ROUND(('DCF Model'!C45/(1+$B10)^('DCF Model'!C19+0)+'DCF Model'!D45/(1+$B10)^('DCF Model'!C19+1)+'DCF Model'!E45/(1+$B10)^('DCF Model'!C19+2)+'DCF Model'!F45/(1+$B10)^('DCF Model'!C19+3)+'DCF Model'!G45/(1+$B10)^('DCF Model'!C19+4)+'DCF Model'!G45*(1+I$6)/($B10-I$6)/(1+$B10)^('DCF Model'!C19+4)-'DCF Model'!C16)*1000000/'DCF Model'!C15,0),"")</f>
        <v>3524</v>
      </c>
    </row>
    <row r="11" spans="2:9" ht="13.5" customHeight="1" x14ac:dyDescent="0.25">
      <c r="B11" s="39">
        <f>$C$3+0.005</f>
        <v>0.11360000000000001</v>
      </c>
      <c r="C11" s="37">
        <f>IFERROR(ROUND(('DCF Model'!C45/(1+$B11)^('DCF Model'!C19+0)+'DCF Model'!D45/(1+$B11)^('DCF Model'!C19+1)+'DCF Model'!E45/(1+$B11)^('DCF Model'!C19+2)+'DCF Model'!F45/(1+$B11)^('DCF Model'!C19+3)+'DCF Model'!G45/(1+$B11)^('DCF Model'!C19+4)+'DCF Model'!G45*(1+C$6)/($B11-C$6)/(1+$B11)^('DCF Model'!C19+4)-'DCF Model'!C16)*1000000/'DCF Model'!C15,0),"")</f>
        <v>3085</v>
      </c>
      <c r="D11" s="37">
        <f>IFERROR(ROUND(('DCF Model'!C45/(1+$B11)^('DCF Model'!C19+0)+'DCF Model'!D45/(1+$B11)^('DCF Model'!C19+1)+'DCF Model'!E45/(1+$B11)^('DCF Model'!C19+2)+'DCF Model'!F45/(1+$B11)^('DCF Model'!C19+3)+'DCF Model'!G45/(1+$B11)^('DCF Model'!C19+4)+'DCF Model'!G45*(1+D$6)/($B11-D$6)/(1+$B11)^('DCF Model'!C19+4)-'DCF Model'!C16)*1000000/'DCF Model'!C15,0),"")</f>
        <v>3126</v>
      </c>
      <c r="E11" s="37">
        <f>IFERROR(ROUND(('DCF Model'!C45/(1+$B11)^('DCF Model'!C19+0)+'DCF Model'!D45/(1+$B11)^('DCF Model'!C19+1)+'DCF Model'!E45/(1+$B11)^('DCF Model'!C19+2)+'DCF Model'!F45/(1+$B11)^('DCF Model'!C19+3)+'DCF Model'!G45/(1+$B11)^('DCF Model'!C19+4)+'DCF Model'!G45*(1+E$6)/($B11-E$6)/(1+$B11)^('DCF Model'!C19+4)-'DCF Model'!C16)*1000000/'DCF Model'!C15,0),"")</f>
        <v>3169</v>
      </c>
      <c r="F11" s="37">
        <f>IFERROR(ROUND(('DCF Model'!C45/(1+$B11)^('DCF Model'!C19+0)+'DCF Model'!D45/(1+$B11)^('DCF Model'!C19+1)+'DCF Model'!E45/(1+$B11)^('DCF Model'!C19+2)+'DCF Model'!F45/(1+$B11)^('DCF Model'!C19+3)+'DCF Model'!G45/(1+$B11)^('DCF Model'!C19+4)+'DCF Model'!G45*(1+F$6)/($B11-F$6)/(1+$B11)^('DCF Model'!C19+4)-'DCF Model'!C16)*1000000/'DCF Model'!C15,0),"")</f>
        <v>3214</v>
      </c>
      <c r="G11" s="37">
        <f>IFERROR(ROUND(('DCF Model'!C45/(1+$B11)^('DCF Model'!C19+0)+'DCF Model'!D45/(1+$B11)^('DCF Model'!C19+1)+'DCF Model'!E45/(1+$B11)^('DCF Model'!C19+2)+'DCF Model'!F45/(1+$B11)^('DCF Model'!C19+3)+'DCF Model'!G45/(1+$B11)^('DCF Model'!C19+4)+'DCF Model'!G45*(1+G$6)/($B11-G$6)/(1+$B11)^('DCF Model'!C19+4)-'DCF Model'!C16)*1000000/'DCF Model'!C15,0),"")</f>
        <v>3261</v>
      </c>
      <c r="H11" s="37">
        <f>IFERROR(ROUND(('DCF Model'!C45/(1+$B11)^('DCF Model'!C19+0)+'DCF Model'!D45/(1+$B11)^('DCF Model'!C19+1)+'DCF Model'!E45/(1+$B11)^('DCF Model'!C19+2)+'DCF Model'!F45/(1+$B11)^('DCF Model'!C19+3)+'DCF Model'!G45/(1+$B11)^('DCF Model'!C19+4)+'DCF Model'!G45*(1+H$6)/($B11-H$6)/(1+$B11)^('DCF Model'!C19+4)-'DCF Model'!C16)*1000000/'DCF Model'!C15,0),"")</f>
        <v>3311</v>
      </c>
      <c r="I11" s="37">
        <f>IFERROR(ROUND(('DCF Model'!C45/(1+$B11)^('DCF Model'!C19+0)+'DCF Model'!D45/(1+$B11)^('DCF Model'!C19+1)+'DCF Model'!E45/(1+$B11)^('DCF Model'!C19+2)+'DCF Model'!F45/(1+$B11)^('DCF Model'!C19+3)+'DCF Model'!G45/(1+$B11)^('DCF Model'!C19+4)+'DCF Model'!G45*(1+I$6)/($B11-I$6)/(1+$B11)^('DCF Model'!C19+4)-'DCF Model'!C16)*1000000/'DCF Model'!C15,0),"")</f>
        <v>3363</v>
      </c>
    </row>
    <row r="12" spans="2:9" ht="13.5" customHeight="1" x14ac:dyDescent="0.25">
      <c r="B12" s="39">
        <f>$C$3+0.01</f>
        <v>0.1186</v>
      </c>
      <c r="C12" s="37">
        <f>IFERROR(ROUND(('DCF Model'!C45/(1+$B12)^('DCF Model'!C19+0)+'DCF Model'!D45/(1+$B12)^('DCF Model'!C19+1)+'DCF Model'!E45/(1+$B12)^('DCF Model'!C19+2)+'DCF Model'!F45/(1+$B12)^('DCF Model'!C19+3)+'DCF Model'!G45/(1+$B12)^('DCF Model'!C19+4)+'DCF Model'!G45*(1+C$6)/($B12-C$6)/(1+$B12)^('DCF Model'!C19+4)-'DCF Model'!C16)*1000000/'DCF Model'!C15,0),"")</f>
        <v>2970</v>
      </c>
      <c r="D12" s="37">
        <f>IFERROR(ROUND(('DCF Model'!C45/(1+$B12)^('DCF Model'!C19+0)+'DCF Model'!D45/(1+$B12)^('DCF Model'!C19+1)+'DCF Model'!E45/(1+$B12)^('DCF Model'!C19+2)+'DCF Model'!F45/(1+$B12)^('DCF Model'!C19+3)+'DCF Model'!G45/(1+$B12)^('DCF Model'!C19+4)+'DCF Model'!G45*(1+D$6)/($B12-D$6)/(1+$B12)^('DCF Model'!C19+4)-'DCF Model'!C16)*1000000/'DCF Model'!C15,0),"")</f>
        <v>3007</v>
      </c>
      <c r="E12" s="37">
        <f>IFERROR(ROUND(('DCF Model'!C45/(1+$B12)^('DCF Model'!C19+0)+'DCF Model'!D45/(1+$B12)^('DCF Model'!C19+1)+'DCF Model'!E45/(1+$B12)^('DCF Model'!C19+2)+'DCF Model'!F45/(1+$B12)^('DCF Model'!C19+3)+'DCF Model'!G45/(1+$B12)^('DCF Model'!C19+4)+'DCF Model'!G45*(1+E$6)/($B12-E$6)/(1+$B12)^('DCF Model'!C19+4)-'DCF Model'!C16)*1000000/'DCF Model'!C15,0),"")</f>
        <v>3045</v>
      </c>
      <c r="F12" s="37">
        <f>IFERROR(ROUND(('DCF Model'!C45/(1+$B12)^('DCF Model'!C19+0)+'DCF Model'!D45/(1+$B12)^('DCF Model'!C19+1)+'DCF Model'!E45/(1+$B12)^('DCF Model'!C19+2)+'DCF Model'!F45/(1+$B12)^('DCF Model'!C19+3)+'DCF Model'!G45/(1+$B12)^('DCF Model'!C19+4)+'DCF Model'!G45*(1+F$6)/($B12-F$6)/(1+$B12)^('DCF Model'!C19+4)-'DCF Model'!C16)*1000000/'DCF Model'!C15,0),"")</f>
        <v>3086</v>
      </c>
      <c r="G12" s="37">
        <f>IFERROR(ROUND(('DCF Model'!C45/(1+$B12)^('DCF Model'!C19+0)+'DCF Model'!D45/(1+$B12)^('DCF Model'!C19+1)+'DCF Model'!E45/(1+$B12)^('DCF Model'!C19+2)+'DCF Model'!F45/(1+$B12)^('DCF Model'!C19+3)+'DCF Model'!G45/(1+$B12)^('DCF Model'!C19+4)+'DCF Model'!G45*(1+G$6)/($B12-G$6)/(1+$B12)^('DCF Model'!C19+4)-'DCF Model'!C16)*1000000/'DCF Model'!C15,0),"")</f>
        <v>3128</v>
      </c>
      <c r="H12" s="37">
        <f>IFERROR(ROUND(('DCF Model'!C45/(1+$B12)^('DCF Model'!C19+0)+'DCF Model'!D45/(1+$B12)^('DCF Model'!C19+1)+'DCF Model'!E45/(1+$B12)^('DCF Model'!C19+2)+'DCF Model'!F45/(1+$B12)^('DCF Model'!C19+3)+'DCF Model'!G45/(1+$B12)^('DCF Model'!C19+4)+'DCF Model'!G45*(1+H$6)/($B12-H$6)/(1+$B12)^('DCF Model'!C19+4)-'DCF Model'!C16)*1000000/'DCF Model'!C15,0),"")</f>
        <v>3172</v>
      </c>
      <c r="I12" s="37">
        <f>IFERROR(ROUND(('DCF Model'!C45/(1+$B12)^('DCF Model'!C19+0)+'DCF Model'!D45/(1+$B12)^('DCF Model'!C19+1)+'DCF Model'!E45/(1+$B12)^('DCF Model'!C19+2)+'DCF Model'!F45/(1+$B12)^('DCF Model'!C19+3)+'DCF Model'!G45/(1+$B12)^('DCF Model'!C19+4)+'DCF Model'!G45*(1+I$6)/($B12-I$6)/(1+$B12)^('DCF Model'!C19+4)-'DCF Model'!C16)*1000000/'DCF Model'!C15,0),"")</f>
        <v>3219</v>
      </c>
    </row>
    <row r="13" spans="2:9" ht="13.5" customHeight="1" x14ac:dyDescent="0.25">
      <c r="B13" s="39">
        <f>$C$3+0.015</f>
        <v>0.1236</v>
      </c>
      <c r="C13" s="37">
        <f>IFERROR(ROUND(('DCF Model'!C45/(1+$B13)^('DCF Model'!C19+0)+'DCF Model'!D45/(1+$B13)^('DCF Model'!C19+1)+'DCF Model'!E45/(1+$B13)^('DCF Model'!C19+2)+'DCF Model'!F45/(1+$B13)^('DCF Model'!C19+3)+'DCF Model'!G45/(1+$B13)^('DCF Model'!C19+4)+'DCF Model'!G45*(1+C$6)/($B13-C$6)/(1+$B13)^('DCF Model'!C19+4)-'DCF Model'!C16)*1000000/'DCF Model'!C15,0),"")</f>
        <v>2865</v>
      </c>
      <c r="D13" s="37">
        <f>IFERROR(ROUND(('DCF Model'!C45/(1+$B13)^('DCF Model'!C19+0)+'DCF Model'!D45/(1+$B13)^('DCF Model'!C19+1)+'DCF Model'!E45/(1+$B13)^('DCF Model'!C19+2)+'DCF Model'!F45/(1+$B13)^('DCF Model'!C19+3)+'DCF Model'!G45/(1+$B13)^('DCF Model'!C19+4)+'DCF Model'!G45*(1+D$6)/($B13-D$6)/(1+$B13)^('DCF Model'!C19+4)-'DCF Model'!C16)*1000000/'DCF Model'!C15,0),"")</f>
        <v>2898</v>
      </c>
      <c r="E13" s="37">
        <f>IFERROR(ROUND(('DCF Model'!C45/(1+$B13)^('DCF Model'!C19+0)+'DCF Model'!D45/(1+$B13)^('DCF Model'!C19+1)+'DCF Model'!E45/(1+$B13)^('DCF Model'!C19+2)+'DCF Model'!F45/(1+$B13)^('DCF Model'!C19+3)+'DCF Model'!G45/(1+$B13)^('DCF Model'!C19+4)+'DCF Model'!G45*(1+E$6)/($B13-E$6)/(1+$B13)^('DCF Model'!C19+4)-'DCF Model'!C16)*1000000/'DCF Model'!C15,0),"")</f>
        <v>2933</v>
      </c>
      <c r="F13" s="37">
        <f>IFERROR(ROUND(('DCF Model'!C45/(1+$B13)^('DCF Model'!C19+0)+'DCF Model'!D45/(1+$B13)^('DCF Model'!C19+1)+'DCF Model'!E45/(1+$B13)^('DCF Model'!C19+2)+'DCF Model'!F45/(1+$B13)^('DCF Model'!C19+3)+'DCF Model'!G45/(1+$B13)^('DCF Model'!C19+4)+'DCF Model'!G45*(1+F$6)/($B13-F$6)/(1+$B13)^('DCF Model'!C19+4)-'DCF Model'!C16)*1000000/'DCF Model'!C15,0),"")</f>
        <v>2969</v>
      </c>
      <c r="G13" s="37">
        <f>IFERROR(ROUND(('DCF Model'!C45/(1+$B13)^('DCF Model'!C19+0)+'DCF Model'!D45/(1+$B13)^('DCF Model'!C19+1)+'DCF Model'!E45/(1+$B13)^('DCF Model'!C19+2)+'DCF Model'!F45/(1+$B13)^('DCF Model'!C19+3)+'DCF Model'!G45/(1+$B13)^('DCF Model'!C19+4)+'DCF Model'!G45*(1+G$6)/($B13-G$6)/(1+$B13)^('DCF Model'!C19+4)-'DCF Model'!C16)*1000000/'DCF Model'!C15,0),"")</f>
        <v>3007</v>
      </c>
      <c r="H13" s="37">
        <f>IFERROR(ROUND(('DCF Model'!C45/(1+$B13)^('DCF Model'!C19+0)+'DCF Model'!D45/(1+$B13)^('DCF Model'!C19+1)+'DCF Model'!E45/(1+$B13)^('DCF Model'!C19+2)+'DCF Model'!F45/(1+$B13)^('DCF Model'!C19+3)+'DCF Model'!G45/(1+$B13)^('DCF Model'!C19+4)+'DCF Model'!G45*(1+H$6)/($B13-H$6)/(1+$B13)^('DCF Model'!C19+4)-'DCF Model'!C16)*1000000/'DCF Model'!C15,0),"")</f>
        <v>3047</v>
      </c>
      <c r="I13" s="37">
        <f>IFERROR(ROUND(('DCF Model'!C45/(1+$B13)^('DCF Model'!C19+0)+'DCF Model'!D45/(1+$B13)^('DCF Model'!C19+1)+'DCF Model'!E45/(1+$B13)^('DCF Model'!C19+2)+'DCF Model'!F45/(1+$B13)^('DCF Model'!C19+3)+'DCF Model'!G45/(1+$B13)^('DCF Model'!C19+4)+'DCF Model'!G45*(1+I$6)/($B13-I$6)/(1+$B13)^('DCF Model'!C19+4)-'DCF Model'!C16)*1000000/'DCF Model'!C15,0),"")</f>
        <v>3089</v>
      </c>
    </row>
    <row r="16" spans="2:9" ht="14" customHeight="1" x14ac:dyDescent="0.3">
      <c r="B16" s="3" t="s">
        <v>238</v>
      </c>
    </row>
    <row r="17" spans="2:9" ht="14" customHeight="1" x14ac:dyDescent="0.3">
      <c r="B17" s="40" t="s">
        <v>239</v>
      </c>
      <c r="C17" s="42">
        <f>$I$3-3</f>
        <v>6.1999999999999993</v>
      </c>
      <c r="D17" s="42">
        <f>$I$3-2</f>
        <v>7.1999999999999993</v>
      </c>
      <c r="E17" s="42">
        <f>$I$3-1</f>
        <v>8.1999999999999993</v>
      </c>
      <c r="F17" s="42">
        <f>$I$3</f>
        <v>9.1999999999999993</v>
      </c>
      <c r="G17" s="42">
        <f>$I$3+1</f>
        <v>10.199999999999999</v>
      </c>
      <c r="H17" s="42">
        <f>$I$3+2</f>
        <v>11.2</v>
      </c>
      <c r="I17" s="42">
        <f>$I$3+3</f>
        <v>12.2</v>
      </c>
    </row>
    <row r="18" spans="2:9" ht="13.5" customHeight="1" x14ac:dyDescent="0.25">
      <c r="B18" s="39">
        <f>$C$3-0.015</f>
        <v>9.3600000000000003E-2</v>
      </c>
      <c r="C18" s="37">
        <f>IFERROR(ROUND(('DCF Model'!C45/(1+$B18)^('DCF Model'!C19+0)+'DCF Model'!D45/(1+$B18)^('DCF Model'!C19+1)+'DCF Model'!E45/(1+$B18)^('DCF Model'!C19+2)+'DCF Model'!F45/(1+$B18)^('DCF Model'!C19+3)+'DCF Model'!G45/(1+$B18)^('DCF Model'!C19+4)+('DCF Model'!G39+'DCF Model'!G42)*C$17/(1+$B18)^('DCF Model'!C19+4)-'DCF Model'!C16)*1000000/'DCF Model'!C15,0),"")</f>
        <v>3858</v>
      </c>
      <c r="D18" s="37">
        <f>IFERROR(ROUND(('DCF Model'!C45/(1+$B18)^('DCF Model'!C19+0)+'DCF Model'!D45/(1+$B18)^('DCF Model'!C19+1)+'DCF Model'!E45/(1+$B18)^('DCF Model'!C19+2)+'DCF Model'!F45/(1+$B18)^('DCF Model'!C19+3)+'DCF Model'!G45/(1+$B18)^('DCF Model'!C19+4)+('DCF Model'!G39+'DCF Model'!G42)*D$17/(1+$B18)^('DCF Model'!C19+4)-'DCF Model'!C16)*1000000/'DCF Model'!C15,0),"")</f>
        <v>4234</v>
      </c>
      <c r="E18" s="37">
        <f>IFERROR(ROUND(('DCF Model'!C45/(1+$B18)^('DCF Model'!C19+0)+'DCF Model'!D45/(1+$B18)^('DCF Model'!C19+1)+'DCF Model'!E45/(1+$B18)^('DCF Model'!C19+2)+'DCF Model'!F45/(1+$B18)^('DCF Model'!C19+3)+'DCF Model'!G45/(1+$B18)^('DCF Model'!C19+4)+('DCF Model'!G39+'DCF Model'!G42)*E$17/(1+$B18)^('DCF Model'!C19+4)-'DCF Model'!C16)*1000000/'DCF Model'!C15,0),"")</f>
        <v>4611</v>
      </c>
      <c r="F18" s="37">
        <f>IFERROR(ROUND(('DCF Model'!C45/(1+$B18)^('DCF Model'!C19+0)+'DCF Model'!D45/(1+$B18)^('DCF Model'!C19+1)+'DCF Model'!E45/(1+$B18)^('DCF Model'!C19+2)+'DCF Model'!F45/(1+$B18)^('DCF Model'!C19+3)+'DCF Model'!G45/(1+$B18)^('DCF Model'!C19+4)+('DCF Model'!G39+'DCF Model'!G42)*F$17/(1+$B18)^('DCF Model'!C19+4)-'DCF Model'!C16)*1000000/'DCF Model'!C15,0),"")</f>
        <v>4987</v>
      </c>
      <c r="G18" s="37">
        <f>IFERROR(ROUND(('DCF Model'!C45/(1+$B18)^('DCF Model'!C19+0)+'DCF Model'!D45/(1+$B18)^('DCF Model'!C19+1)+'DCF Model'!E45/(1+$B18)^('DCF Model'!C19+2)+'DCF Model'!F45/(1+$B18)^('DCF Model'!C19+3)+'DCF Model'!G45/(1+$B18)^('DCF Model'!C19+4)+('DCF Model'!G39+'DCF Model'!G42)*G$17/(1+$B18)^('DCF Model'!C19+4)-'DCF Model'!C16)*1000000/'DCF Model'!C15,0),"")</f>
        <v>5364</v>
      </c>
      <c r="H18" s="37">
        <f>IFERROR(ROUND(('DCF Model'!C45/(1+$B18)^('DCF Model'!C19+0)+'DCF Model'!D45/(1+$B18)^('DCF Model'!C19+1)+'DCF Model'!E45/(1+$B18)^('DCF Model'!C19+2)+'DCF Model'!F45/(1+$B18)^('DCF Model'!C19+3)+'DCF Model'!G45/(1+$B18)^('DCF Model'!C19+4)+('DCF Model'!G39+'DCF Model'!G42)*H$17/(1+$B18)^('DCF Model'!C19+4)-'DCF Model'!C16)*1000000/'DCF Model'!C15,0),"")</f>
        <v>5740</v>
      </c>
      <c r="I18" s="37">
        <f>IFERROR(ROUND(('DCF Model'!C45/(1+$B18)^('DCF Model'!C19+0)+'DCF Model'!D45/(1+$B18)^('DCF Model'!C19+1)+'DCF Model'!E45/(1+$B18)^('DCF Model'!C19+2)+'DCF Model'!F45/(1+$B18)^('DCF Model'!C19+3)+'DCF Model'!G45/(1+$B18)^('DCF Model'!C19+4)+('DCF Model'!G39+'DCF Model'!G42)*I$17/(1+$B18)^('DCF Model'!C19+4)-'DCF Model'!C16)*1000000/'DCF Model'!C15,0),"")</f>
        <v>6116</v>
      </c>
    </row>
    <row r="19" spans="2:9" ht="13.5" customHeight="1" x14ac:dyDescent="0.25">
      <c r="B19" s="39">
        <f>$C$3-0.01</f>
        <v>9.8600000000000007E-2</v>
      </c>
      <c r="C19" s="37">
        <f>IFERROR(ROUND(('DCF Model'!C45/(1+$B19)^('DCF Model'!C19+0)+'DCF Model'!D45/(1+$B19)^('DCF Model'!C19+1)+'DCF Model'!E45/(1+$B19)^('DCF Model'!C19+2)+'DCF Model'!F45/(1+$B19)^('DCF Model'!C19+3)+'DCF Model'!G45/(1+$B19)^('DCF Model'!C19+4)+('DCF Model'!G39+'DCF Model'!G42)*C$17/(1+$B19)^('DCF Model'!C19+4)-'DCF Model'!C16)*1000000/'DCF Model'!C15,0),"")</f>
        <v>3793</v>
      </c>
      <c r="D19" s="37">
        <f>IFERROR(ROUND(('DCF Model'!C45/(1+$B19)^('DCF Model'!C19+0)+'DCF Model'!D45/(1+$B19)^('DCF Model'!C19+1)+'DCF Model'!E45/(1+$B19)^('DCF Model'!C19+2)+'DCF Model'!F45/(1+$B19)^('DCF Model'!C19+3)+'DCF Model'!G45/(1+$B19)^('DCF Model'!C19+4)+('DCF Model'!G39+'DCF Model'!G42)*D$17/(1+$B19)^('DCF Model'!C19+4)-'DCF Model'!C16)*1000000/'DCF Model'!C15,0),"")</f>
        <v>4161</v>
      </c>
      <c r="E19" s="37">
        <f>IFERROR(ROUND(('DCF Model'!C45/(1+$B19)^('DCF Model'!C19+0)+'DCF Model'!D45/(1+$B19)^('DCF Model'!C19+1)+'DCF Model'!E45/(1+$B19)^('DCF Model'!C19+2)+'DCF Model'!F45/(1+$B19)^('DCF Model'!C19+3)+'DCF Model'!G45/(1+$B19)^('DCF Model'!C19+4)+('DCF Model'!G39+'DCF Model'!G42)*E$17/(1+$B19)^('DCF Model'!C19+4)-'DCF Model'!C16)*1000000/'DCF Model'!C15,0),"")</f>
        <v>4529</v>
      </c>
      <c r="F19" s="37">
        <f>IFERROR(ROUND(('DCF Model'!C45/(1+$B19)^('DCF Model'!C19+0)+'DCF Model'!D45/(1+$B19)^('DCF Model'!C19+1)+'DCF Model'!E45/(1+$B19)^('DCF Model'!C19+2)+'DCF Model'!F45/(1+$B19)^('DCF Model'!C19+3)+'DCF Model'!G45/(1+$B19)^('DCF Model'!C19+4)+('DCF Model'!G39+'DCF Model'!G42)*F$17/(1+$B19)^('DCF Model'!C19+4)-'DCF Model'!C16)*1000000/'DCF Model'!C15,0),"")</f>
        <v>4897</v>
      </c>
      <c r="G19" s="37">
        <f>IFERROR(ROUND(('DCF Model'!C45/(1+$B19)^('DCF Model'!C19+0)+'DCF Model'!D45/(1+$B19)^('DCF Model'!C19+1)+'DCF Model'!E45/(1+$B19)^('DCF Model'!C19+2)+'DCF Model'!F45/(1+$B19)^('DCF Model'!C19+3)+'DCF Model'!G45/(1+$B19)^('DCF Model'!C19+4)+('DCF Model'!G39+'DCF Model'!G42)*G$17/(1+$B19)^('DCF Model'!C19+4)-'DCF Model'!C16)*1000000/'DCF Model'!C15,0),"")</f>
        <v>5265</v>
      </c>
      <c r="H19" s="37">
        <f>IFERROR(ROUND(('DCF Model'!C45/(1+$B19)^('DCF Model'!C19+0)+'DCF Model'!D45/(1+$B19)^('DCF Model'!C19+1)+'DCF Model'!E45/(1+$B19)^('DCF Model'!C19+2)+'DCF Model'!F45/(1+$B19)^('DCF Model'!C19+3)+'DCF Model'!G45/(1+$B19)^('DCF Model'!C19+4)+('DCF Model'!G39+'DCF Model'!G42)*H$17/(1+$B19)^('DCF Model'!C19+4)-'DCF Model'!C16)*1000000/'DCF Model'!C15,0),"")</f>
        <v>5633</v>
      </c>
      <c r="I19" s="37">
        <f>IFERROR(ROUND(('DCF Model'!C45/(1+$B19)^('DCF Model'!C19+0)+'DCF Model'!D45/(1+$B19)^('DCF Model'!C19+1)+'DCF Model'!E45/(1+$B19)^('DCF Model'!C19+2)+'DCF Model'!F45/(1+$B19)^('DCF Model'!C19+3)+'DCF Model'!G45/(1+$B19)^('DCF Model'!C19+4)+('DCF Model'!G39+'DCF Model'!G42)*I$17/(1+$B19)^('DCF Model'!C19+4)-'DCF Model'!C16)*1000000/'DCF Model'!C15,0),"")</f>
        <v>6001</v>
      </c>
    </row>
    <row r="20" spans="2:9" ht="13.5" customHeight="1" x14ac:dyDescent="0.25">
      <c r="B20" s="39">
        <f>$C$3-0.005</f>
        <v>0.1036</v>
      </c>
      <c r="C20" s="37">
        <f>IFERROR(ROUND(('DCF Model'!C45/(1+$B20)^('DCF Model'!C19+0)+'DCF Model'!D45/(1+$B20)^('DCF Model'!C19+1)+'DCF Model'!E45/(1+$B20)^('DCF Model'!C19+2)+'DCF Model'!F45/(1+$B20)^('DCF Model'!C19+3)+'DCF Model'!G45/(1+$B20)^('DCF Model'!C19+4)+('DCF Model'!G39+'DCF Model'!G42)*C$17/(1+$B20)^('DCF Model'!C19+4)-'DCF Model'!C16)*1000000/'DCF Model'!C15,0),"")</f>
        <v>3730</v>
      </c>
      <c r="D20" s="37">
        <f>IFERROR(ROUND(('DCF Model'!C45/(1+$B20)^('DCF Model'!C19+0)+'DCF Model'!D45/(1+$B20)^('DCF Model'!C19+1)+'DCF Model'!E45/(1+$B20)^('DCF Model'!C19+2)+'DCF Model'!F45/(1+$B20)^('DCF Model'!C19+3)+'DCF Model'!G45/(1+$B20)^('DCF Model'!C19+4)+('DCF Model'!G39+'DCF Model'!G42)*D$17/(1+$B20)^('DCF Model'!C19+4)-'DCF Model'!C16)*1000000/'DCF Model'!C15,0),"")</f>
        <v>4090</v>
      </c>
      <c r="E20" s="37">
        <f>IFERROR(ROUND(('DCF Model'!C45/(1+$B20)^('DCF Model'!C19+0)+'DCF Model'!D45/(1+$B20)^('DCF Model'!C19+1)+'DCF Model'!E45/(1+$B20)^('DCF Model'!C19+2)+'DCF Model'!F45/(1+$B20)^('DCF Model'!C19+3)+'DCF Model'!G45/(1+$B20)^('DCF Model'!C19+4)+('DCF Model'!G39+'DCF Model'!G42)*E$17/(1+$B20)^('DCF Model'!C19+4)-'DCF Model'!C16)*1000000/'DCF Model'!C15,0),"")</f>
        <v>4449</v>
      </c>
      <c r="F20" s="37">
        <f>IFERROR(ROUND(('DCF Model'!C45/(1+$B20)^('DCF Model'!C19+0)+'DCF Model'!D45/(1+$B20)^('DCF Model'!C19+1)+'DCF Model'!E45/(1+$B20)^('DCF Model'!C19+2)+'DCF Model'!F45/(1+$B20)^('DCF Model'!C19+3)+'DCF Model'!G45/(1+$B20)^('DCF Model'!C19+4)+('DCF Model'!G39+'DCF Model'!G42)*F$17/(1+$B20)^('DCF Model'!C19+4)-'DCF Model'!C16)*1000000/'DCF Model'!C15,0),"")</f>
        <v>4809</v>
      </c>
      <c r="G20" s="37">
        <f>IFERROR(ROUND(('DCF Model'!C45/(1+$B20)^('DCF Model'!C19+0)+'DCF Model'!D45/(1+$B20)^('DCF Model'!C19+1)+'DCF Model'!E45/(1+$B20)^('DCF Model'!C19+2)+'DCF Model'!F45/(1+$B20)^('DCF Model'!C19+3)+'DCF Model'!G45/(1+$B20)^('DCF Model'!C19+4)+('DCF Model'!G39+'DCF Model'!G42)*G$17/(1+$B20)^('DCF Model'!C19+4)-'DCF Model'!C16)*1000000/'DCF Model'!C15,0),"")</f>
        <v>5168</v>
      </c>
      <c r="H20" s="37">
        <f>IFERROR(ROUND(('DCF Model'!C45/(1+$B20)^('DCF Model'!C19+0)+'DCF Model'!D45/(1+$B20)^('DCF Model'!C19+1)+'DCF Model'!E45/(1+$B20)^('DCF Model'!C19+2)+'DCF Model'!F45/(1+$B20)^('DCF Model'!C19+3)+'DCF Model'!G45/(1+$B20)^('DCF Model'!C19+4)+('DCF Model'!G39+'DCF Model'!G42)*H$17/(1+$B20)^('DCF Model'!C19+4)-'DCF Model'!C16)*1000000/'DCF Model'!C15,0),"")</f>
        <v>5528</v>
      </c>
      <c r="I20" s="37">
        <f>IFERROR(ROUND(('DCF Model'!C45/(1+$B20)^('DCF Model'!C19+0)+'DCF Model'!D45/(1+$B20)^('DCF Model'!C19+1)+'DCF Model'!E45/(1+$B20)^('DCF Model'!C19+2)+'DCF Model'!F45/(1+$B20)^('DCF Model'!C19+3)+'DCF Model'!G45/(1+$B20)^('DCF Model'!C19+4)+('DCF Model'!G39+'DCF Model'!G42)*I$17/(1+$B20)^('DCF Model'!C19+4)-'DCF Model'!C16)*1000000/'DCF Model'!C15,0),"")</f>
        <v>5888</v>
      </c>
    </row>
    <row r="21" spans="2:9" ht="13.5" customHeight="1" x14ac:dyDescent="0.25">
      <c r="B21" s="39">
        <f>$C$3</f>
        <v>0.1086</v>
      </c>
      <c r="C21" s="37">
        <f>IFERROR(ROUND(('DCF Model'!C45/(1+$B21)^('DCF Model'!C19+0)+'DCF Model'!D45/(1+$B21)^('DCF Model'!C19+1)+'DCF Model'!E45/(1+$B21)^('DCF Model'!C19+2)+'DCF Model'!F45/(1+$B21)^('DCF Model'!C19+3)+'DCF Model'!G45/(1+$B21)^('DCF Model'!C19+4)+('DCF Model'!G39+'DCF Model'!G42)*C$17/(1+$B21)^('DCF Model'!C19+4)-'DCF Model'!C16)*1000000/'DCF Model'!C15,0),"")</f>
        <v>3668</v>
      </c>
      <c r="D21" s="37">
        <f>IFERROR(ROUND(('DCF Model'!C45/(1+$B21)^('DCF Model'!C19+0)+'DCF Model'!D45/(1+$B21)^('DCF Model'!C19+1)+'DCF Model'!E45/(1+$B21)^('DCF Model'!C19+2)+'DCF Model'!F45/(1+$B21)^('DCF Model'!C19+3)+'DCF Model'!G45/(1+$B21)^('DCF Model'!C19+4)+('DCF Model'!G39+'DCF Model'!G42)*D$17/(1+$B21)^('DCF Model'!C19+4)-'DCF Model'!C16)*1000000/'DCF Model'!C15,0),"")</f>
        <v>4020</v>
      </c>
      <c r="E21" s="37">
        <f>IFERROR(ROUND(('DCF Model'!C45/(1+$B21)^('DCF Model'!C19+0)+'DCF Model'!D45/(1+$B21)^('DCF Model'!C19+1)+'DCF Model'!E45/(1+$B21)^('DCF Model'!C19+2)+'DCF Model'!F45/(1+$B21)^('DCF Model'!C19+3)+'DCF Model'!G45/(1+$B21)^('DCF Model'!C19+4)+('DCF Model'!G39+'DCF Model'!G42)*E$17/(1+$B21)^('DCF Model'!C19+4)-'DCF Model'!C16)*1000000/'DCF Model'!C15,0),"")</f>
        <v>4372</v>
      </c>
      <c r="F21" s="37">
        <f>IFERROR(ROUND(('DCF Model'!C45/(1+$B21)^('DCF Model'!C19+0)+'DCF Model'!D45/(1+$B21)^('DCF Model'!C19+1)+'DCF Model'!E45/(1+$B21)^('DCF Model'!C19+2)+'DCF Model'!F45/(1+$B21)^('DCF Model'!C19+3)+'DCF Model'!G45/(1+$B21)^('DCF Model'!C19+4)+('DCF Model'!G39+'DCF Model'!G42)*F$17/(1+$B21)^('DCF Model'!C19+4)-'DCF Model'!C16)*1000000/'DCF Model'!C15,0),"")</f>
        <v>4723</v>
      </c>
      <c r="G21" s="37">
        <f>IFERROR(ROUND(('DCF Model'!C45/(1+$B21)^('DCF Model'!C19+0)+'DCF Model'!D45/(1+$B21)^('DCF Model'!C19+1)+'DCF Model'!E45/(1+$B21)^('DCF Model'!C19+2)+'DCF Model'!F45/(1+$B21)^('DCF Model'!C19+3)+'DCF Model'!G45/(1+$B21)^('DCF Model'!C19+4)+('DCF Model'!G39+'DCF Model'!G42)*G$17/(1+$B21)^('DCF Model'!C19+4)-'DCF Model'!C16)*1000000/'DCF Model'!C15,0),"")</f>
        <v>5075</v>
      </c>
      <c r="H21" s="37">
        <f>IFERROR(ROUND(('DCF Model'!C45/(1+$B21)^('DCF Model'!C19+0)+'DCF Model'!D45/(1+$B21)^('DCF Model'!C19+1)+'DCF Model'!E45/(1+$B21)^('DCF Model'!C19+2)+'DCF Model'!F45/(1+$B21)^('DCF Model'!C19+3)+'DCF Model'!G45/(1+$B21)^('DCF Model'!C19+4)+('DCF Model'!G39+'DCF Model'!G42)*H$17/(1+$B21)^('DCF Model'!C19+4)-'DCF Model'!C16)*1000000/'DCF Model'!C15,0),"")</f>
        <v>5426</v>
      </c>
      <c r="I21" s="37">
        <f>IFERROR(ROUND(('DCF Model'!C45/(1+$B21)^('DCF Model'!C19+0)+'DCF Model'!D45/(1+$B21)^('DCF Model'!C19+1)+'DCF Model'!E45/(1+$B21)^('DCF Model'!C19+2)+'DCF Model'!F45/(1+$B21)^('DCF Model'!C19+3)+'DCF Model'!G45/(1+$B21)^('DCF Model'!C19+4)+('DCF Model'!G39+'DCF Model'!G42)*I$17/(1+$B21)^('DCF Model'!C19+4)-'DCF Model'!C16)*1000000/'DCF Model'!C15,0),"")</f>
        <v>5778</v>
      </c>
    </row>
    <row r="22" spans="2:9" ht="13.5" customHeight="1" x14ac:dyDescent="0.25">
      <c r="B22" s="39">
        <f>$C$3+0.005</f>
        <v>0.11360000000000001</v>
      </c>
      <c r="C22" s="37">
        <f>IFERROR(ROUND(('DCF Model'!C45/(1+$B22)^('DCF Model'!C19+0)+'DCF Model'!D45/(1+$B22)^('DCF Model'!C19+1)+'DCF Model'!E45/(1+$B22)^('DCF Model'!C19+2)+'DCF Model'!F45/(1+$B22)^('DCF Model'!C19+3)+'DCF Model'!G45/(1+$B22)^('DCF Model'!C19+4)+('DCF Model'!G39+'DCF Model'!G42)*C$17/(1+$B22)^('DCF Model'!C19+4)-'DCF Model'!C16)*1000000/'DCF Model'!C15,0),"")</f>
        <v>3608</v>
      </c>
      <c r="D22" s="37">
        <f>IFERROR(ROUND(('DCF Model'!C45/(1+$B22)^('DCF Model'!C19+0)+'DCF Model'!D45/(1+$B22)^('DCF Model'!C19+1)+'DCF Model'!E45/(1+$B22)^('DCF Model'!C19+2)+'DCF Model'!F45/(1+$B22)^('DCF Model'!C19+3)+'DCF Model'!G45/(1+$B22)^('DCF Model'!C19+4)+('DCF Model'!G39+'DCF Model'!G42)*D$17/(1+$B22)^('DCF Model'!C19+4)-'DCF Model'!C16)*1000000/'DCF Model'!C15,0),"")</f>
        <v>3952</v>
      </c>
      <c r="E22" s="37">
        <f>IFERROR(ROUND(('DCF Model'!C45/(1+$B22)^('DCF Model'!C19+0)+'DCF Model'!D45/(1+$B22)^('DCF Model'!C19+1)+'DCF Model'!E45/(1+$B22)^('DCF Model'!C19+2)+'DCF Model'!F45/(1+$B22)^('DCF Model'!C19+3)+'DCF Model'!G45/(1+$B22)^('DCF Model'!C19+4)+('DCF Model'!G39+'DCF Model'!G42)*E$17/(1+$B22)^('DCF Model'!C19+4)-'DCF Model'!C16)*1000000/'DCF Model'!C15,0),"")</f>
        <v>4296</v>
      </c>
      <c r="F22" s="37">
        <f>IFERROR(ROUND(('DCF Model'!C45/(1+$B22)^('DCF Model'!C19+0)+'DCF Model'!D45/(1+$B22)^('DCF Model'!C19+1)+'DCF Model'!E45/(1+$B22)^('DCF Model'!C19+2)+'DCF Model'!F45/(1+$B22)^('DCF Model'!C19+3)+'DCF Model'!G45/(1+$B22)^('DCF Model'!C19+4)+('DCF Model'!G39+'DCF Model'!G42)*F$17/(1+$B22)^('DCF Model'!C19+4)-'DCF Model'!C16)*1000000/'DCF Model'!C15,0),"")</f>
        <v>4640</v>
      </c>
      <c r="G22" s="37">
        <f>IFERROR(ROUND(('DCF Model'!C45/(1+$B22)^('DCF Model'!C19+0)+'DCF Model'!D45/(1+$B22)^('DCF Model'!C19+1)+'DCF Model'!E45/(1+$B22)^('DCF Model'!C19+2)+'DCF Model'!F45/(1+$B22)^('DCF Model'!C19+3)+'DCF Model'!G45/(1+$B22)^('DCF Model'!C19+4)+('DCF Model'!G39+'DCF Model'!G42)*G$17/(1+$B22)^('DCF Model'!C19+4)-'DCF Model'!C16)*1000000/'DCF Model'!C15,0),"")</f>
        <v>4983</v>
      </c>
      <c r="H22" s="37">
        <f>IFERROR(ROUND(('DCF Model'!C45/(1+$B22)^('DCF Model'!C19+0)+'DCF Model'!D45/(1+$B22)^('DCF Model'!C19+1)+'DCF Model'!E45/(1+$B22)^('DCF Model'!C19+2)+'DCF Model'!F45/(1+$B22)^('DCF Model'!C19+3)+'DCF Model'!G45/(1+$B22)^('DCF Model'!C19+4)+('DCF Model'!G39+'DCF Model'!G42)*H$17/(1+$B22)^('DCF Model'!C19+4)-'DCF Model'!C16)*1000000/'DCF Model'!C15,0),"")</f>
        <v>5327</v>
      </c>
      <c r="I22" s="37">
        <f>IFERROR(ROUND(('DCF Model'!C45/(1+$B22)^('DCF Model'!C19+0)+'DCF Model'!D45/(1+$B22)^('DCF Model'!C19+1)+'DCF Model'!E45/(1+$B22)^('DCF Model'!C19+2)+'DCF Model'!F45/(1+$B22)^('DCF Model'!C19+3)+'DCF Model'!G45/(1+$B22)^('DCF Model'!C19+4)+('DCF Model'!G39+'DCF Model'!G42)*I$17/(1+$B22)^('DCF Model'!C19+4)-'DCF Model'!C16)*1000000/'DCF Model'!C15,0),"")</f>
        <v>5671</v>
      </c>
    </row>
    <row r="23" spans="2:9" ht="13.5" customHeight="1" x14ac:dyDescent="0.25">
      <c r="B23" s="39">
        <f>$C$3+0.01</f>
        <v>0.1186</v>
      </c>
      <c r="C23" s="37">
        <f>IFERROR(ROUND(('DCF Model'!C45/(1+$B23)^('DCF Model'!C19+0)+'DCF Model'!D45/(1+$B23)^('DCF Model'!C19+1)+'DCF Model'!E45/(1+$B23)^('DCF Model'!C19+2)+'DCF Model'!F45/(1+$B23)^('DCF Model'!C19+3)+'DCF Model'!G45/(1+$B23)^('DCF Model'!C19+4)+('DCF Model'!G39+'DCF Model'!G42)*C$17/(1+$B23)^('DCF Model'!C19+4)-'DCF Model'!C16)*1000000/'DCF Model'!C15,0),"")</f>
        <v>3550</v>
      </c>
      <c r="D23" s="37">
        <f>IFERROR(ROUND(('DCF Model'!C45/(1+$B23)^('DCF Model'!C19+0)+'DCF Model'!D45/(1+$B23)^('DCF Model'!C19+1)+'DCF Model'!E45/(1+$B23)^('DCF Model'!C19+2)+'DCF Model'!F45/(1+$B23)^('DCF Model'!C19+3)+'DCF Model'!G45/(1+$B23)^('DCF Model'!C19+4)+('DCF Model'!G39+'DCF Model'!G42)*D$17/(1+$B23)^('DCF Model'!C19+4)-'DCF Model'!C16)*1000000/'DCF Model'!C15,0),"")</f>
        <v>3886</v>
      </c>
      <c r="E23" s="37">
        <f>IFERROR(ROUND(('DCF Model'!C45/(1+$B23)^('DCF Model'!C19+0)+'DCF Model'!D45/(1+$B23)^('DCF Model'!C19+1)+'DCF Model'!E45/(1+$B23)^('DCF Model'!C19+2)+'DCF Model'!F45/(1+$B23)^('DCF Model'!C19+3)+'DCF Model'!G45/(1+$B23)^('DCF Model'!C19+4)+('DCF Model'!G39+'DCF Model'!G42)*E$17/(1+$B23)^('DCF Model'!C19+4)-'DCF Model'!C16)*1000000/'DCF Model'!C15,0),"")</f>
        <v>4222</v>
      </c>
      <c r="F23" s="37">
        <f>IFERROR(ROUND(('DCF Model'!C45/(1+$B23)^('DCF Model'!C19+0)+'DCF Model'!D45/(1+$B23)^('DCF Model'!C19+1)+'DCF Model'!E45/(1+$B23)^('DCF Model'!C19+2)+'DCF Model'!F45/(1+$B23)^('DCF Model'!C19+3)+'DCF Model'!G45/(1+$B23)^('DCF Model'!C19+4)+('DCF Model'!G39+'DCF Model'!G42)*F$17/(1+$B23)^('DCF Model'!C19+4)-'DCF Model'!C16)*1000000/'DCF Model'!C15,0),"")</f>
        <v>4558</v>
      </c>
      <c r="G23" s="37">
        <f>IFERROR(ROUND(('DCF Model'!C45/(1+$B23)^('DCF Model'!C19+0)+'DCF Model'!D45/(1+$B23)^('DCF Model'!C19+1)+'DCF Model'!E45/(1+$B23)^('DCF Model'!C19+2)+'DCF Model'!F45/(1+$B23)^('DCF Model'!C19+3)+'DCF Model'!G45/(1+$B23)^('DCF Model'!C19+4)+('DCF Model'!G39+'DCF Model'!G42)*G$17/(1+$B23)^('DCF Model'!C19+4)-'DCF Model'!C16)*1000000/'DCF Model'!C15,0),"")</f>
        <v>4894</v>
      </c>
      <c r="H23" s="37">
        <f>IFERROR(ROUND(('DCF Model'!C45/(1+$B23)^('DCF Model'!C19+0)+'DCF Model'!D45/(1+$B23)^('DCF Model'!C19+1)+'DCF Model'!E45/(1+$B23)^('DCF Model'!C19+2)+'DCF Model'!F45/(1+$B23)^('DCF Model'!C19+3)+'DCF Model'!G45/(1+$B23)^('DCF Model'!C19+4)+('DCF Model'!G39+'DCF Model'!G42)*H$17/(1+$B23)^('DCF Model'!C19+4)-'DCF Model'!C16)*1000000/'DCF Model'!C15,0),"")</f>
        <v>5231</v>
      </c>
      <c r="I23" s="37">
        <f>IFERROR(ROUND(('DCF Model'!C45/(1+$B23)^('DCF Model'!C19+0)+'DCF Model'!D45/(1+$B23)^('DCF Model'!C19+1)+'DCF Model'!E45/(1+$B23)^('DCF Model'!C19+2)+'DCF Model'!F45/(1+$B23)^('DCF Model'!C19+3)+'DCF Model'!G45/(1+$B23)^('DCF Model'!C19+4)+('DCF Model'!G39+'DCF Model'!G42)*I$17/(1+$B23)^('DCF Model'!C19+4)-'DCF Model'!C16)*1000000/'DCF Model'!C15,0),"")</f>
        <v>5567</v>
      </c>
    </row>
    <row r="24" spans="2:9" ht="13.5" customHeight="1" x14ac:dyDescent="0.25">
      <c r="B24" s="39">
        <f>$C$3+0.015</f>
        <v>0.1236</v>
      </c>
      <c r="C24" s="37">
        <f>IFERROR(ROUND(('DCF Model'!C45/(1+$B24)^('DCF Model'!C19+0)+'DCF Model'!D45/(1+$B24)^('DCF Model'!C19+1)+'DCF Model'!E45/(1+$B24)^('DCF Model'!C19+2)+'DCF Model'!F45/(1+$B24)^('DCF Model'!C19+3)+'DCF Model'!G45/(1+$B24)^('DCF Model'!C19+4)+('DCF Model'!G39+'DCF Model'!G42)*C$17/(1+$B24)^('DCF Model'!C19+4)-'DCF Model'!C16)*1000000/'DCF Model'!C15,0),"")</f>
        <v>3493</v>
      </c>
      <c r="D24" s="37">
        <f>IFERROR(ROUND(('DCF Model'!C45/(1+$B24)^('DCF Model'!C19+0)+'DCF Model'!D45/(1+$B24)^('DCF Model'!C19+1)+'DCF Model'!E45/(1+$B24)^('DCF Model'!C19+2)+'DCF Model'!F45/(1+$B24)^('DCF Model'!C19+3)+'DCF Model'!G45/(1+$B24)^('DCF Model'!C19+4)+('DCF Model'!G39+'DCF Model'!G42)*D$17/(1+$B24)^('DCF Model'!C19+4)-'DCF Model'!C16)*1000000/'DCF Model'!C15,0),"")</f>
        <v>3822</v>
      </c>
      <c r="E24" s="37">
        <f>IFERROR(ROUND(('DCF Model'!C45/(1+$B24)^('DCF Model'!C19+0)+'DCF Model'!D45/(1+$B24)^('DCF Model'!C19+1)+'DCF Model'!E45/(1+$B24)^('DCF Model'!C19+2)+'DCF Model'!F45/(1+$B24)^('DCF Model'!C19+3)+'DCF Model'!G45/(1+$B24)^('DCF Model'!C19+4)+('DCF Model'!G39+'DCF Model'!G42)*E$17/(1+$B24)^('DCF Model'!C19+4)-'DCF Model'!C16)*1000000/'DCF Model'!C15,0),"")</f>
        <v>4150</v>
      </c>
      <c r="F24" s="37">
        <f>IFERROR(ROUND(('DCF Model'!C45/(1+$B24)^('DCF Model'!C19+0)+'DCF Model'!D45/(1+$B24)^('DCF Model'!C19+1)+'DCF Model'!E45/(1+$B24)^('DCF Model'!C19+2)+'DCF Model'!F45/(1+$B24)^('DCF Model'!C19+3)+'DCF Model'!G45/(1+$B24)^('DCF Model'!C19+4)+('DCF Model'!G39+'DCF Model'!G42)*F$17/(1+$B24)^('DCF Model'!C19+4)-'DCF Model'!C16)*1000000/'DCF Model'!C15,0),"")</f>
        <v>4479</v>
      </c>
      <c r="G24" s="37">
        <f>IFERROR(ROUND(('DCF Model'!C45/(1+$B24)^('DCF Model'!C19+0)+'DCF Model'!D45/(1+$B24)^('DCF Model'!C19+1)+'DCF Model'!E45/(1+$B24)^('DCF Model'!C19+2)+'DCF Model'!F45/(1+$B24)^('DCF Model'!C19+3)+'DCF Model'!G45/(1+$B24)^('DCF Model'!C19+4)+('DCF Model'!G39+'DCF Model'!G42)*G$17/(1+$B24)^('DCF Model'!C19+4)-'DCF Model'!C16)*1000000/'DCF Model'!C15,0),"")</f>
        <v>4808</v>
      </c>
      <c r="H24" s="37">
        <f>IFERROR(ROUND(('DCF Model'!C45/(1+$B24)^('DCF Model'!C19+0)+'DCF Model'!D45/(1+$B24)^('DCF Model'!C19+1)+'DCF Model'!E45/(1+$B24)^('DCF Model'!C19+2)+'DCF Model'!F45/(1+$B24)^('DCF Model'!C19+3)+'DCF Model'!G45/(1+$B24)^('DCF Model'!C19+4)+('DCF Model'!G39+'DCF Model'!G42)*H$17/(1+$B24)^('DCF Model'!C19+4)-'DCF Model'!C16)*1000000/'DCF Model'!C15,0),"")</f>
        <v>5137</v>
      </c>
      <c r="I24" s="37">
        <f>IFERROR(ROUND(('DCF Model'!C45/(1+$B24)^('DCF Model'!C19+0)+'DCF Model'!D45/(1+$B24)^('DCF Model'!C19+1)+'DCF Model'!E45/(1+$B24)^('DCF Model'!C19+2)+'DCF Model'!F45/(1+$B24)^('DCF Model'!C19+3)+'DCF Model'!G45/(1+$B24)^('DCF Model'!C19+4)+('DCF Model'!G39+'DCF Model'!G42)*I$17/(1+$B24)^('DCF Model'!C19+4)-'DCF Model'!C16)*1000000/'DCF Model'!C15,0),"")</f>
        <v>5465</v>
      </c>
    </row>
    <row r="26" spans="2:9" ht="14" customHeight="1" x14ac:dyDescent="0.3">
      <c r="B26" s="46" t="s">
        <v>240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241</v>
      </c>
    </row>
    <row r="4" spans="2:7" ht="14" customHeight="1"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s="43" t="s">
        <v>253</v>
      </c>
      <c r="C6" s="4" t="s">
        <v>254</v>
      </c>
      <c r="D6" s="43" t="s">
        <v>255</v>
      </c>
      <c r="E6" s="43" t="s">
        <v>256</v>
      </c>
      <c r="F6" s="43" t="s">
        <v>257</v>
      </c>
      <c r="G6" s="43" t="s">
        <v>258</v>
      </c>
    </row>
    <row r="7" spans="2:7" ht="30" customHeight="1" x14ac:dyDescent="0.3">
      <c r="B7" s="43" t="s">
        <v>253</v>
      </c>
      <c r="C7" s="4" t="s">
        <v>259</v>
      </c>
      <c r="D7" s="43" t="s">
        <v>260</v>
      </c>
      <c r="E7" s="43" t="s">
        <v>261</v>
      </c>
      <c r="F7" s="43" t="s">
        <v>262</v>
      </c>
      <c r="G7" s="43" t="s">
        <v>263</v>
      </c>
    </row>
    <row r="8" spans="2:7" ht="30" customHeight="1" x14ac:dyDescent="0.3">
      <c r="B8" s="43" t="s">
        <v>253</v>
      </c>
      <c r="C8" s="4" t="s">
        <v>264</v>
      </c>
      <c r="D8" s="43" t="s">
        <v>265</v>
      </c>
      <c r="E8" s="43" t="s">
        <v>266</v>
      </c>
      <c r="F8" s="43" t="s">
        <v>267</v>
      </c>
      <c r="G8" s="43" t="s">
        <v>263</v>
      </c>
    </row>
    <row r="9" spans="2:7" ht="30" customHeight="1" x14ac:dyDescent="0.3">
      <c r="B9" s="43" t="s">
        <v>253</v>
      </c>
      <c r="C9" s="4" t="s">
        <v>268</v>
      </c>
      <c r="D9" s="43" t="s">
        <v>269</v>
      </c>
      <c r="E9" s="43" t="s">
        <v>270</v>
      </c>
      <c r="F9" s="43" t="s">
        <v>271</v>
      </c>
      <c r="G9" s="43" t="s">
        <v>258</v>
      </c>
    </row>
    <row r="10" spans="2:7" ht="30" customHeight="1" x14ac:dyDescent="0.3">
      <c r="B10" s="43" t="s">
        <v>253</v>
      </c>
      <c r="C10" s="4" t="s">
        <v>272</v>
      </c>
      <c r="D10" s="43" t="s">
        <v>273</v>
      </c>
      <c r="E10" s="43" t="s">
        <v>274</v>
      </c>
      <c r="F10" s="43" t="s">
        <v>275</v>
      </c>
      <c r="G10" s="43" t="s">
        <v>276</v>
      </c>
    </row>
    <row r="11" spans="2:7" ht="30" customHeight="1" x14ac:dyDescent="0.3">
      <c r="B11" s="43" t="s">
        <v>253</v>
      </c>
      <c r="C11" s="4" t="s">
        <v>277</v>
      </c>
      <c r="D11" s="43" t="s">
        <v>278</v>
      </c>
      <c r="E11" s="43" t="s">
        <v>279</v>
      </c>
      <c r="F11" s="43" t="s">
        <v>280</v>
      </c>
      <c r="G11" s="43" t="s">
        <v>263</v>
      </c>
    </row>
    <row r="12" spans="2:7" ht="30" customHeight="1" x14ac:dyDescent="0.3">
      <c r="B12" s="43" t="s">
        <v>253</v>
      </c>
      <c r="C12" s="4" t="s">
        <v>281</v>
      </c>
      <c r="D12" s="43" t="s">
        <v>282</v>
      </c>
      <c r="E12" s="43" t="s">
        <v>283</v>
      </c>
      <c r="F12" s="43" t="s">
        <v>284</v>
      </c>
      <c r="G12" s="43" t="s">
        <v>263</v>
      </c>
    </row>
    <row r="13" spans="2:7" ht="30" customHeight="1" x14ac:dyDescent="0.3">
      <c r="B13" s="43" t="s">
        <v>253</v>
      </c>
      <c r="C13" s="4" t="s">
        <v>285</v>
      </c>
      <c r="D13" s="43" t="s">
        <v>286</v>
      </c>
      <c r="E13" s="43" t="s">
        <v>287</v>
      </c>
      <c r="F13" s="43" t="s">
        <v>288</v>
      </c>
      <c r="G13" s="43" t="s">
        <v>263</v>
      </c>
    </row>
    <row r="14" spans="2:7" ht="30" customHeight="1" x14ac:dyDescent="0.3">
      <c r="B14" s="43" t="s">
        <v>253</v>
      </c>
      <c r="C14" s="4" t="s">
        <v>289</v>
      </c>
      <c r="D14" s="43" t="s">
        <v>290</v>
      </c>
      <c r="E14" s="43" t="s">
        <v>291</v>
      </c>
      <c r="F14" s="43" t="s">
        <v>249</v>
      </c>
      <c r="G14" s="43" t="s">
        <v>292</v>
      </c>
    </row>
    <row r="15" spans="2:7" ht="30" customHeight="1" x14ac:dyDescent="0.3">
      <c r="B15" s="43" t="s">
        <v>253</v>
      </c>
      <c r="C15" s="4" t="s">
        <v>293</v>
      </c>
      <c r="D15" s="43" t="s">
        <v>294</v>
      </c>
      <c r="E15" s="43" t="s">
        <v>295</v>
      </c>
      <c r="F15" s="43" t="s">
        <v>249</v>
      </c>
      <c r="G15" s="43" t="s">
        <v>258</v>
      </c>
    </row>
    <row r="16" spans="2:7" ht="30" customHeight="1" x14ac:dyDescent="0.3">
      <c r="B16" s="43" t="s">
        <v>253</v>
      </c>
      <c r="C16" s="4" t="s">
        <v>296</v>
      </c>
      <c r="D16" s="43" t="s">
        <v>297</v>
      </c>
      <c r="E16" s="43" t="s">
        <v>298</v>
      </c>
      <c r="F16" s="43" t="s">
        <v>299</v>
      </c>
      <c r="G16" s="43" t="s">
        <v>263</v>
      </c>
    </row>
    <row r="17" spans="2:7" ht="30" customHeight="1" x14ac:dyDescent="0.3">
      <c r="B17" s="43" t="s">
        <v>253</v>
      </c>
      <c r="C17" s="4" t="s">
        <v>300</v>
      </c>
      <c r="D17" s="43" t="s">
        <v>301</v>
      </c>
      <c r="E17" s="43" t="s">
        <v>302</v>
      </c>
      <c r="F17" s="43" t="s">
        <v>303</v>
      </c>
      <c r="G17" s="43" t="s">
        <v>304</v>
      </c>
    </row>
    <row r="18" spans="2:7" ht="30" customHeight="1" x14ac:dyDescent="0.3">
      <c r="B18" s="43" t="s">
        <v>253</v>
      </c>
      <c r="C18" s="4" t="s">
        <v>305</v>
      </c>
      <c r="D18" s="43" t="s">
        <v>306</v>
      </c>
      <c r="E18" s="43" t="s">
        <v>307</v>
      </c>
      <c r="F18" s="43" t="s">
        <v>308</v>
      </c>
      <c r="G18" s="43" t="s">
        <v>263</v>
      </c>
    </row>
    <row r="19" spans="2:7" ht="30" customHeight="1" x14ac:dyDescent="0.3">
      <c r="B19" s="43" t="s">
        <v>253</v>
      </c>
      <c r="C19" s="4" t="s">
        <v>309</v>
      </c>
      <c r="D19" s="43" t="s">
        <v>310</v>
      </c>
      <c r="E19" s="43" t="s">
        <v>311</v>
      </c>
      <c r="F19" s="43" t="s">
        <v>249</v>
      </c>
      <c r="G19" s="43" t="s">
        <v>263</v>
      </c>
    </row>
    <row r="20" spans="2:7" ht="30" customHeight="1" x14ac:dyDescent="0.3">
      <c r="B20" s="43" t="s">
        <v>253</v>
      </c>
      <c r="C20" s="4" t="s">
        <v>312</v>
      </c>
      <c r="D20" s="43" t="s">
        <v>313</v>
      </c>
      <c r="E20" s="43" t="s">
        <v>314</v>
      </c>
      <c r="F20" s="43" t="s">
        <v>249</v>
      </c>
      <c r="G20" s="43" t="s">
        <v>315</v>
      </c>
    </row>
    <row r="21" spans="2:7" ht="30" customHeight="1" x14ac:dyDescent="0.3">
      <c r="B21" s="43" t="s">
        <v>253</v>
      </c>
      <c r="C21" s="4" t="s">
        <v>316</v>
      </c>
      <c r="D21" s="43" t="s">
        <v>317</v>
      </c>
      <c r="E21" s="43" t="s">
        <v>318</v>
      </c>
      <c r="F21" s="43" t="s">
        <v>319</v>
      </c>
      <c r="G21" s="43" t="s">
        <v>263</v>
      </c>
    </row>
    <row r="22" spans="2:7" ht="30" customHeight="1" x14ac:dyDescent="0.3">
      <c r="B22" s="43" t="s">
        <v>253</v>
      </c>
      <c r="C22" s="4" t="s">
        <v>320</v>
      </c>
      <c r="D22" s="43" t="s">
        <v>321</v>
      </c>
      <c r="E22" s="43" t="s">
        <v>322</v>
      </c>
      <c r="F22" s="43" t="s">
        <v>249</v>
      </c>
      <c r="G22" s="43" t="s">
        <v>263</v>
      </c>
    </row>
    <row r="23" spans="2:7" ht="30" customHeight="1" x14ac:dyDescent="0.3">
      <c r="B23" s="43" t="s">
        <v>253</v>
      </c>
      <c r="C23" s="4" t="s">
        <v>323</v>
      </c>
      <c r="D23" s="43" t="s">
        <v>324</v>
      </c>
      <c r="E23" s="43" t="s">
        <v>325</v>
      </c>
      <c r="F23" s="43" t="s">
        <v>249</v>
      </c>
      <c r="G23" s="43" t="s">
        <v>258</v>
      </c>
    </row>
    <row r="24" spans="2:7" ht="30" customHeight="1" x14ac:dyDescent="0.3">
      <c r="B24" s="43" t="s">
        <v>253</v>
      </c>
      <c r="C24" s="4" t="s">
        <v>326</v>
      </c>
      <c r="D24" s="43" t="s">
        <v>327</v>
      </c>
      <c r="E24" s="43" t="s">
        <v>328</v>
      </c>
      <c r="F24" s="43" t="s">
        <v>249</v>
      </c>
      <c r="G24" s="43" t="s">
        <v>329</v>
      </c>
    </row>
    <row r="25" spans="2:7" ht="30" customHeight="1" x14ac:dyDescent="0.3">
      <c r="B25" s="43" t="s">
        <v>253</v>
      </c>
      <c r="C25" s="4" t="s">
        <v>330</v>
      </c>
      <c r="D25" s="43" t="s">
        <v>331</v>
      </c>
      <c r="E25" s="43" t="s">
        <v>332</v>
      </c>
      <c r="F25" s="43" t="s">
        <v>249</v>
      </c>
      <c r="G25" s="43" t="s">
        <v>333</v>
      </c>
    </row>
    <row r="26" spans="2:7" ht="30" customHeight="1" x14ac:dyDescent="0.3">
      <c r="B26" s="43" t="s">
        <v>253</v>
      </c>
      <c r="C26" s="4" t="s">
        <v>334</v>
      </c>
      <c r="D26" s="43" t="s">
        <v>335</v>
      </c>
      <c r="E26" s="43" t="s">
        <v>336</v>
      </c>
      <c r="F26" s="43" t="s">
        <v>249</v>
      </c>
      <c r="G26" s="43" t="s">
        <v>337</v>
      </c>
    </row>
    <row r="27" spans="2:7" ht="30" customHeight="1" x14ac:dyDescent="0.3">
      <c r="B27" s="43" t="s">
        <v>253</v>
      </c>
      <c r="C27" s="4" t="s">
        <v>334</v>
      </c>
      <c r="D27" s="43" t="s">
        <v>338</v>
      </c>
      <c r="E27" s="43" t="s">
        <v>339</v>
      </c>
      <c r="F27" s="43" t="s">
        <v>249</v>
      </c>
      <c r="G27" s="43" t="s">
        <v>337</v>
      </c>
    </row>
    <row r="28" spans="2:7" ht="14" customHeight="1" x14ac:dyDescent="0.2"/>
    <row r="29" spans="2:7" ht="14" customHeight="1" x14ac:dyDescent="0.3">
      <c r="B29" s="8" t="s">
        <v>340</v>
      </c>
    </row>
    <row r="30" spans="2:7" ht="14" customHeight="1" x14ac:dyDescent="0.3">
      <c r="B30" s="10" t="s">
        <v>341</v>
      </c>
      <c r="C30" s="10" t="s">
        <v>342</v>
      </c>
    </row>
    <row r="31" spans="2:7" ht="14" customHeight="1" x14ac:dyDescent="0.3">
      <c r="B31" s="4" t="s">
        <v>343</v>
      </c>
      <c r="C31" t="s">
        <v>344</v>
      </c>
    </row>
    <row r="32" spans="2:7" ht="14" customHeight="1" x14ac:dyDescent="0.3">
      <c r="B32" s="4" t="s">
        <v>345</v>
      </c>
      <c r="C32" t="s">
        <v>346</v>
      </c>
    </row>
    <row r="33" spans="2:3" ht="14" customHeight="1" x14ac:dyDescent="0.3">
      <c r="B33" s="4" t="s">
        <v>347</v>
      </c>
      <c r="C33" t="s">
        <v>348</v>
      </c>
    </row>
    <row r="34" spans="2:3" ht="14" customHeight="1" x14ac:dyDescent="0.3">
      <c r="B34" s="4" t="s">
        <v>349</v>
      </c>
      <c r="C34" t="s">
        <v>350</v>
      </c>
    </row>
    <row r="35" spans="2:3" ht="14" customHeight="1" x14ac:dyDescent="0.3">
      <c r="B35" s="4" t="s">
        <v>351</v>
      </c>
      <c r="C35" t="s">
        <v>4</v>
      </c>
    </row>
    <row r="36" spans="2:3" ht="14" customHeight="1" x14ac:dyDescent="0.3">
      <c r="B36" s="4" t="s">
        <v>352</v>
      </c>
      <c r="C36" t="s">
        <v>248</v>
      </c>
    </row>
    <row r="37" spans="2:3" ht="14" customHeight="1" x14ac:dyDescent="0.3">
      <c r="B37" s="4" t="s">
        <v>353</v>
      </c>
      <c r="C37" t="s">
        <v>354</v>
      </c>
    </row>
    <row r="38" spans="2:3" ht="14" customHeight="1" x14ac:dyDescent="0.3">
      <c r="B38" s="4" t="s">
        <v>355</v>
      </c>
      <c r="C38" t="s">
        <v>356</v>
      </c>
    </row>
    <row r="39" spans="2:3" ht="14" customHeight="1" x14ac:dyDescent="0.3">
      <c r="B39" s="4" t="s">
        <v>357</v>
      </c>
      <c r="C39" t="s">
        <v>358</v>
      </c>
    </row>
    <row r="40" spans="2:3" ht="14" customHeight="1" x14ac:dyDescent="0.3">
      <c r="B40" s="4" t="s">
        <v>359</v>
      </c>
      <c r="C40" t="s">
        <v>360</v>
      </c>
    </row>
    <row r="41" spans="2:3" ht="14" customHeight="1" x14ac:dyDescent="0.3">
      <c r="B41" s="4" t="s">
        <v>361</v>
      </c>
      <c r="C41" t="s">
        <v>362</v>
      </c>
    </row>
    <row r="42" spans="2:3" ht="14" customHeight="1" x14ac:dyDescent="0.3">
      <c r="B42" s="4" t="s">
        <v>363</v>
      </c>
      <c r="C42" t="s">
        <v>358</v>
      </c>
    </row>
    <row r="43" spans="2:3" ht="14" customHeight="1" x14ac:dyDescent="0.3">
      <c r="B43" s="4" t="s">
        <v>364</v>
      </c>
      <c r="C43" t="s">
        <v>354</v>
      </c>
    </row>
    <row r="44" spans="2:3" ht="14" customHeight="1" x14ac:dyDescent="0.3">
      <c r="B44" s="4" t="s">
        <v>365</v>
      </c>
      <c r="C44" t="s">
        <v>366</v>
      </c>
    </row>
    <row r="45" spans="2:3" ht="14" customHeight="1" x14ac:dyDescent="0.3">
      <c r="B45" s="4" t="s">
        <v>367</v>
      </c>
      <c r="C45" t="s">
        <v>368</v>
      </c>
    </row>
    <row r="46" spans="2:3" ht="14" customHeight="1" x14ac:dyDescent="0.3">
      <c r="B46" s="4" t="s">
        <v>369</v>
      </c>
      <c r="C46" t="s">
        <v>370</v>
      </c>
    </row>
    <row r="47" spans="2:3" ht="14" x14ac:dyDescent="0.3">
      <c r="B47" s="4" t="s">
        <v>371</v>
      </c>
      <c r="C47" t="s">
        <v>372</v>
      </c>
    </row>
    <row r="48" spans="2:3" ht="14" x14ac:dyDescent="0.3">
      <c r="B48" s="4" t="s">
        <v>373</v>
      </c>
      <c r="C48" t="s">
        <v>372</v>
      </c>
    </row>
    <row r="49" spans="2:3" ht="14" x14ac:dyDescent="0.3">
      <c r="B49" s="4" t="s">
        <v>374</v>
      </c>
      <c r="C49" t="s">
        <v>375</v>
      </c>
    </row>
    <row r="50" spans="2:3" ht="14" x14ac:dyDescent="0.3">
      <c r="B50" s="4" t="s">
        <v>376</v>
      </c>
      <c r="C50" t="s">
        <v>377</v>
      </c>
    </row>
    <row r="51" spans="2:3" ht="14" x14ac:dyDescent="0.3">
      <c r="B51" s="4" t="s">
        <v>378</v>
      </c>
      <c r="C51" t="s">
        <v>379</v>
      </c>
    </row>
    <row r="52" spans="2:3" ht="14" x14ac:dyDescent="0.3">
      <c r="B52" s="4" t="s">
        <v>380</v>
      </c>
      <c r="C52" t="s">
        <v>381</v>
      </c>
    </row>
    <row r="53" spans="2:3" ht="14" x14ac:dyDescent="0.3">
      <c r="B53" s="4" t="s">
        <v>382</v>
      </c>
      <c r="C53" t="s">
        <v>383</v>
      </c>
    </row>
    <row r="54" spans="2:3" ht="14" x14ac:dyDescent="0.3">
      <c r="B54" s="4" t="s">
        <v>384</v>
      </c>
      <c r="C54" t="s">
        <v>385</v>
      </c>
    </row>
    <row r="55" spans="2:3" ht="14" x14ac:dyDescent="0.3">
      <c r="B55" s="4" t="s">
        <v>386</v>
      </c>
      <c r="C55" t="s">
        <v>387</v>
      </c>
    </row>
    <row r="56" spans="2:3" ht="14" x14ac:dyDescent="0.3">
      <c r="B56" s="4" t="s">
        <v>388</v>
      </c>
      <c r="C56" t="s">
        <v>389</v>
      </c>
    </row>
    <row r="57" spans="2:3" ht="14" x14ac:dyDescent="0.3">
      <c r="B57" s="4" t="s">
        <v>390</v>
      </c>
      <c r="C57" t="s">
        <v>391</v>
      </c>
    </row>
    <row r="58" spans="2:3" ht="14" x14ac:dyDescent="0.3">
      <c r="B58" s="4" t="s">
        <v>392</v>
      </c>
      <c r="C58" t="s">
        <v>393</v>
      </c>
    </row>
    <row r="59" spans="2:3" ht="14" x14ac:dyDescent="0.3">
      <c r="B59" s="4" t="s">
        <v>394</v>
      </c>
      <c r="C59" t="s">
        <v>395</v>
      </c>
    </row>
    <row r="60" spans="2:3" ht="14" x14ac:dyDescent="0.3">
      <c r="B60" s="4" t="s">
        <v>396</v>
      </c>
      <c r="C60" t="s">
        <v>397</v>
      </c>
    </row>
    <row r="61" spans="2:3" ht="14" x14ac:dyDescent="0.3">
      <c r="B61" s="4" t="s">
        <v>398</v>
      </c>
      <c r="C61" t="s">
        <v>399</v>
      </c>
    </row>
    <row r="62" spans="2:3" ht="14" x14ac:dyDescent="0.3">
      <c r="B62" s="4" t="s">
        <v>400</v>
      </c>
      <c r="C62" t="s">
        <v>401</v>
      </c>
    </row>
    <row r="63" spans="2:3" ht="14" x14ac:dyDescent="0.3">
      <c r="B63" s="4" t="s">
        <v>402</v>
      </c>
      <c r="C63"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2026-09-06T01:37:45Z</dcterms:created>
  <dcterms:modified xsi:type="dcterms:W3CDTF">2026-09-06T02:32:52Z</dcterms:modified>
</cp:coreProperties>
</file>