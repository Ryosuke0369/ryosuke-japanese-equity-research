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ryosuke0923\ryosuke-japanese-equity-research\models\"/>
    </mc:Choice>
  </mc:AlternateContent>
  <xr:revisionPtr revIDLastSave="0" documentId="13_ncr:1_{27D33E1C-D805-4C51-A56A-D26EC6BEAA25}" xr6:coauthVersionLast="47" xr6:coauthVersionMax="47" xr10:uidLastSave="{00000000-0000-0000-0000-000000000000}"/>
  <bookViews>
    <workbookView xWindow="-110" yWindow="-110" windowWidth="19420" windowHeight="10300" xr2:uid="{00000000-000D-0000-FFFF-FFFF00000000}"/>
  </bookViews>
  <sheets>
    <sheet name="Executive Summary" sheetId="1" r:id="rId1"/>
    <sheet name="Financial Statements" sheetId="2" r:id="rId2"/>
    <sheet name="DCF Model" sheetId="3" r:id="rId3"/>
    <sheet name="Reverse DCF" sheetId="4" r:id="rId4"/>
    <sheet name="NWC Schedule" sheetId="5" r:id="rId5"/>
    <sheet name="Comps Analysis" sheetId="6" r:id="rId6"/>
    <sheet name="Sensitivity Analysis" sheetId="7" r:id="rId7"/>
    <sheet name="Adjustments Log" sheetId="8" r:id="rId8"/>
  </sheets>
  <calcPr calcId="181029"/>
</workbook>
</file>

<file path=xl/calcChain.xml><?xml version="1.0" encoding="utf-8"?>
<calcChain xmlns="http://schemas.openxmlformats.org/spreadsheetml/2006/main">
  <c r="I3" i="7" l="1"/>
  <c r="I17" i="7" s="1"/>
  <c r="F3" i="7"/>
  <c r="H6" i="7" s="1"/>
  <c r="O11" i="6"/>
  <c r="N11" i="6"/>
  <c r="M11" i="6"/>
  <c r="L11" i="6"/>
  <c r="K11" i="6"/>
  <c r="J11" i="6"/>
  <c r="O10" i="6"/>
  <c r="N10" i="6"/>
  <c r="M10" i="6"/>
  <c r="L10" i="6"/>
  <c r="K10" i="6"/>
  <c r="J10" i="6"/>
  <c r="O9" i="6"/>
  <c r="N9" i="6"/>
  <c r="M9" i="6"/>
  <c r="L9" i="6"/>
  <c r="K9" i="6"/>
  <c r="J9" i="6"/>
  <c r="O8" i="6"/>
  <c r="N8" i="6"/>
  <c r="M8" i="6"/>
  <c r="L8" i="6"/>
  <c r="K8" i="6"/>
  <c r="J8" i="6"/>
  <c r="O7" i="6"/>
  <c r="N7" i="6"/>
  <c r="M7" i="6"/>
  <c r="G16" i="6" s="1"/>
  <c r="L7" i="6"/>
  <c r="K7" i="6"/>
  <c r="J7" i="6"/>
  <c r="O6" i="6"/>
  <c r="N6" i="6"/>
  <c r="M6" i="6"/>
  <c r="K6" i="6"/>
  <c r="J6" i="6"/>
  <c r="O5" i="6"/>
  <c r="N5" i="6"/>
  <c r="D5" i="6"/>
  <c r="E5" i="6" s="1"/>
  <c r="C16" i="5"/>
  <c r="C14" i="5"/>
  <c r="C18" i="5" s="1"/>
  <c r="C7" i="5"/>
  <c r="C6" i="5"/>
  <c r="C5" i="5"/>
  <c r="C13" i="4"/>
  <c r="C12" i="4"/>
  <c r="C9" i="4"/>
  <c r="C7" i="4"/>
  <c r="C6" i="4"/>
  <c r="C8" i="4" s="1"/>
  <c r="C10" i="4" s="1"/>
  <c r="C71" i="4" s="1"/>
  <c r="D27" i="3"/>
  <c r="D6" i="5" s="1"/>
  <c r="C26" i="3"/>
  <c r="C25" i="3"/>
  <c r="C24" i="3"/>
  <c r="C23" i="3"/>
  <c r="F28" i="2"/>
  <c r="E28" i="2"/>
  <c r="D28" i="2"/>
  <c r="C28" i="2"/>
  <c r="F23" i="2"/>
  <c r="E23" i="2"/>
  <c r="D23" i="2"/>
  <c r="C23" i="2"/>
  <c r="C22" i="2"/>
  <c r="F21" i="2"/>
  <c r="F22" i="2" s="1"/>
  <c r="E21" i="2"/>
  <c r="E22" i="2" s="1"/>
  <c r="D21" i="2"/>
  <c r="D22" i="2" s="1"/>
  <c r="C21" i="2"/>
  <c r="F16" i="2"/>
  <c r="E16" i="2"/>
  <c r="D16" i="2"/>
  <c r="F15" i="2"/>
  <c r="E15" i="2"/>
  <c r="D15" i="2"/>
  <c r="F14" i="2"/>
  <c r="E14" i="2"/>
  <c r="D14" i="2"/>
  <c r="C14" i="2"/>
  <c r="F13" i="2"/>
  <c r="E13" i="2"/>
  <c r="D13" i="2"/>
  <c r="C13" i="2"/>
  <c r="F8" i="2"/>
  <c r="F9" i="2" s="1"/>
  <c r="B25" i="1"/>
  <c r="L5" i="6" l="1"/>
  <c r="E15" i="6"/>
  <c r="M5" i="6"/>
  <c r="F15" i="6"/>
  <c r="C32" i="3"/>
  <c r="C3" i="7"/>
  <c r="D36" i="4"/>
  <c r="D46" i="3"/>
  <c r="C46" i="3"/>
  <c r="H36" i="4"/>
  <c r="G36" i="4"/>
  <c r="C11" i="4"/>
  <c r="C24" i="4" s="1"/>
  <c r="C25" i="4" s="1"/>
  <c r="G46" i="3"/>
  <c r="F36" i="4"/>
  <c r="F46" i="3"/>
  <c r="F7" i="5"/>
  <c r="C70" i="4"/>
  <c r="D17" i="6"/>
  <c r="D15" i="6"/>
  <c r="D16" i="6"/>
  <c r="E30" i="3"/>
  <c r="E36" i="4"/>
  <c r="E5" i="5"/>
  <c r="E16" i="6"/>
  <c r="G32" i="3"/>
  <c r="F16" i="6"/>
  <c r="C28" i="6" s="1"/>
  <c r="C19" i="1" s="1"/>
  <c r="D19" i="1" s="1"/>
  <c r="E46" i="3"/>
  <c r="F30" i="3"/>
  <c r="G15" i="6"/>
  <c r="K5" i="6"/>
  <c r="J5" i="6"/>
  <c r="H15" i="6"/>
  <c r="H7" i="5"/>
  <c r="F6" i="5"/>
  <c r="D5" i="5"/>
  <c r="G31" i="3"/>
  <c r="D30" i="3"/>
  <c r="G7" i="5"/>
  <c r="E6" i="5"/>
  <c r="F31" i="3"/>
  <c r="C30" i="3"/>
  <c r="C33" i="3" s="1"/>
  <c r="D7" i="5"/>
  <c r="H5" i="5"/>
  <c r="F32" i="3"/>
  <c r="C31" i="3"/>
  <c r="G5" i="5"/>
  <c r="E32" i="3"/>
  <c r="G30" i="3"/>
  <c r="H6" i="5"/>
  <c r="F5" i="5"/>
  <c r="D31" i="3"/>
  <c r="E31" i="3"/>
  <c r="G6" i="5"/>
  <c r="B24" i="1"/>
  <c r="I16" i="6"/>
  <c r="I17" i="6"/>
  <c r="I15" i="6"/>
  <c r="D32" i="3"/>
  <c r="E7" i="5"/>
  <c r="E17" i="6"/>
  <c r="I6" i="7"/>
  <c r="F17" i="6"/>
  <c r="C17" i="7"/>
  <c r="G17" i="6"/>
  <c r="C6" i="7"/>
  <c r="D17" i="7"/>
  <c r="H17" i="6"/>
  <c r="D6" i="7"/>
  <c r="E17" i="7"/>
  <c r="E6" i="7"/>
  <c r="F17" i="7"/>
  <c r="H16" i="6"/>
  <c r="F6" i="7"/>
  <c r="G17" i="7"/>
  <c r="G6" i="7"/>
  <c r="H17" i="7"/>
  <c r="C29" i="4" l="1"/>
  <c r="C26" i="4"/>
  <c r="C27" i="4"/>
  <c r="C43" i="3"/>
  <c r="D33" i="3"/>
  <c r="C42" i="3"/>
  <c r="C34" i="3"/>
  <c r="D10" i="5" s="1"/>
  <c r="C37" i="3"/>
  <c r="D9" i="5"/>
  <c r="D12" i="5" s="1"/>
  <c r="G38" i="4"/>
  <c r="G41" i="4"/>
  <c r="G51" i="4" s="1"/>
  <c r="G56" i="4" s="1"/>
  <c r="G43" i="4"/>
  <c r="G46" i="4"/>
  <c r="G40" i="4"/>
  <c r="G45" i="4"/>
  <c r="G44" i="4"/>
  <c r="G39" i="4"/>
  <c r="H41" i="4"/>
  <c r="H45" i="4"/>
  <c r="H46" i="4"/>
  <c r="H40" i="4"/>
  <c r="H44" i="4"/>
  <c r="H39" i="4"/>
  <c r="H49" i="4" s="1"/>
  <c r="H54" i="4" s="1"/>
  <c r="H38" i="4"/>
  <c r="H43" i="4"/>
  <c r="C27" i="6"/>
  <c r="C18" i="1" s="1"/>
  <c r="D18" i="1" s="1"/>
  <c r="C74" i="4"/>
  <c r="D46" i="4"/>
  <c r="D40" i="4"/>
  <c r="D41" i="4"/>
  <c r="D45" i="4"/>
  <c r="D39" i="4"/>
  <c r="D44" i="4"/>
  <c r="D43" i="4"/>
  <c r="D38" i="4"/>
  <c r="D48" i="4" s="1"/>
  <c r="D53" i="4" s="1"/>
  <c r="E40" i="4"/>
  <c r="E50" i="4" s="1"/>
  <c r="E55" i="4" s="1"/>
  <c r="E44" i="4"/>
  <c r="E45" i="4"/>
  <c r="E39" i="4"/>
  <c r="E49" i="4" s="1"/>
  <c r="E54" i="4" s="1"/>
  <c r="E43" i="4"/>
  <c r="E38" i="4"/>
  <c r="E46" i="4"/>
  <c r="E41" i="4"/>
  <c r="E51" i="4" s="1"/>
  <c r="E56" i="4" s="1"/>
  <c r="F44" i="4"/>
  <c r="F38" i="4"/>
  <c r="F39" i="4"/>
  <c r="F43" i="4"/>
  <c r="F46" i="4"/>
  <c r="F40" i="4"/>
  <c r="F45" i="4"/>
  <c r="F41" i="4"/>
  <c r="F51" i="4" s="1"/>
  <c r="F56" i="4" s="1"/>
  <c r="B13" i="7"/>
  <c r="B12" i="7"/>
  <c r="B11" i="7"/>
  <c r="B10" i="7"/>
  <c r="B9" i="7"/>
  <c r="B8" i="7"/>
  <c r="B7" i="7"/>
  <c r="B24" i="7"/>
  <c r="B23" i="7"/>
  <c r="B22" i="7"/>
  <c r="B21" i="7"/>
  <c r="B20" i="7"/>
  <c r="B19" i="7"/>
  <c r="B18" i="7"/>
  <c r="C35" i="3" l="1"/>
  <c r="C38" i="3" s="1"/>
  <c r="E48" i="4"/>
  <c r="E53" i="4" s="1"/>
  <c r="G49" i="4"/>
  <c r="G54" i="4" s="1"/>
  <c r="H51" i="4"/>
  <c r="H56" i="4" s="1"/>
  <c r="G48" i="4"/>
  <c r="G53" i="4" s="1"/>
  <c r="F50" i="4"/>
  <c r="F55" i="4" s="1"/>
  <c r="D49" i="4"/>
  <c r="D54" i="4" s="1"/>
  <c r="H48" i="4"/>
  <c r="H53" i="4" s="1"/>
  <c r="D13" i="5"/>
  <c r="D14" i="5" s="1"/>
  <c r="D15" i="5"/>
  <c r="D16" i="5" s="1"/>
  <c r="F49" i="4"/>
  <c r="D51" i="4"/>
  <c r="D56" i="4" s="1"/>
  <c r="G50" i="4"/>
  <c r="G55" i="4" s="1"/>
  <c r="F48" i="4"/>
  <c r="F53" i="4" s="1"/>
  <c r="D50" i="4"/>
  <c r="D55" i="4" s="1"/>
  <c r="H50" i="4"/>
  <c r="H55" i="4" s="1"/>
  <c r="E33" i="3"/>
  <c r="D42" i="3"/>
  <c r="D34" i="3"/>
  <c r="E10" i="5" s="1"/>
  <c r="D37" i="3"/>
  <c r="E9" i="5"/>
  <c r="E12" i="5" s="1"/>
  <c r="D43" i="3"/>
  <c r="D35" i="3"/>
  <c r="C36" i="3" l="1"/>
  <c r="C39" i="3"/>
  <c r="C40" i="3" s="1"/>
  <c r="C41" i="3" s="1"/>
  <c r="C45" i="3" s="1"/>
  <c r="D18" i="5"/>
  <c r="D19" i="5" s="1"/>
  <c r="C44" i="3" s="1"/>
  <c r="D38" i="3"/>
  <c r="D36" i="3"/>
  <c r="D39" i="3"/>
  <c r="E14" i="5"/>
  <c r="E18" i="5" s="1"/>
  <c r="E19" i="5" s="1"/>
  <c r="D44" i="3" s="1"/>
  <c r="F54" i="4"/>
  <c r="B78" i="4" s="1"/>
  <c r="C60" i="4"/>
  <c r="E15" i="5"/>
  <c r="E16" i="5" s="1"/>
  <c r="E13" i="5"/>
  <c r="E37" i="3"/>
  <c r="F9" i="5"/>
  <c r="F12" i="5" s="1"/>
  <c r="E34" i="3"/>
  <c r="F10" i="5" s="1"/>
  <c r="E43" i="3"/>
  <c r="E42" i="3"/>
  <c r="F33" i="3"/>
  <c r="C47" i="3" l="1"/>
  <c r="C64" i="4"/>
  <c r="D64" i="4" s="1"/>
  <c r="C66" i="4"/>
  <c r="D66" i="4" s="1"/>
  <c r="C65" i="4"/>
  <c r="D65" i="4" s="1"/>
  <c r="C67" i="4"/>
  <c r="D67" i="4" s="1"/>
  <c r="C63" i="4"/>
  <c r="D63" i="4" s="1"/>
  <c r="E35" i="3"/>
  <c r="F13" i="5"/>
  <c r="F14" i="5" s="1"/>
  <c r="F18" i="5" s="1"/>
  <c r="F19" i="5" s="1"/>
  <c r="E44" i="3" s="1"/>
  <c r="F15" i="5"/>
  <c r="F16" i="5" s="1"/>
  <c r="D40" i="3"/>
  <c r="D41" i="3" s="1"/>
  <c r="D45" i="3" s="1"/>
  <c r="G9" i="5"/>
  <c r="G12" i="5" s="1"/>
  <c r="F43" i="3"/>
  <c r="F34" i="3"/>
  <c r="G10" i="5" s="1"/>
  <c r="F37" i="3"/>
  <c r="F42" i="3"/>
  <c r="G33" i="3"/>
  <c r="D47" i="3" l="1"/>
  <c r="G13" i="5"/>
  <c r="G14" i="5" s="1"/>
  <c r="G18" i="5" s="1"/>
  <c r="G19" i="5" s="1"/>
  <c r="F44" i="3" s="1"/>
  <c r="G15" i="5"/>
  <c r="G16" i="5" s="1"/>
  <c r="G42" i="3"/>
  <c r="G34" i="3"/>
  <c r="H10" i="5" s="1"/>
  <c r="G43" i="3"/>
  <c r="G37" i="3"/>
  <c r="C16" i="4"/>
  <c r="C28" i="4" s="1"/>
  <c r="H9" i="5"/>
  <c r="H12" i="5" s="1"/>
  <c r="F35" i="3"/>
  <c r="E36" i="3"/>
  <c r="E39" i="3"/>
  <c r="E38" i="3"/>
  <c r="H15" i="5" l="1"/>
  <c r="H16" i="5" s="1"/>
  <c r="H13" i="5"/>
  <c r="H14" i="5" s="1"/>
  <c r="H18" i="5" s="1"/>
  <c r="H19" i="5" s="1"/>
  <c r="G44" i="3" s="1"/>
  <c r="G35" i="3"/>
  <c r="E40" i="3"/>
  <c r="E41" i="3" s="1"/>
  <c r="E45" i="3" s="1"/>
  <c r="C72" i="4"/>
  <c r="C73" i="4"/>
  <c r="F36" i="3"/>
  <c r="F39" i="3"/>
  <c r="F38" i="3"/>
  <c r="E47" i="3" l="1"/>
  <c r="G39" i="3"/>
  <c r="G38" i="3"/>
  <c r="G36" i="3"/>
  <c r="F40" i="3"/>
  <c r="F41" i="3" s="1"/>
  <c r="F45" i="3" s="1"/>
  <c r="F47" i="3" s="1"/>
  <c r="C59" i="3" l="1"/>
  <c r="C60" i="3" s="1"/>
  <c r="C61" i="3" s="1"/>
  <c r="G40" i="3"/>
  <c r="G41" i="3" s="1"/>
  <c r="G45" i="3" s="1"/>
  <c r="G47" i="3" l="1"/>
  <c r="C50" i="3" s="1"/>
  <c r="C51" i="3"/>
  <c r="C52" i="3" s="1"/>
  <c r="G22" i="7"/>
  <c r="E9" i="7"/>
  <c r="D11" i="7"/>
  <c r="G24" i="7"/>
  <c r="I12" i="7"/>
  <c r="I24" i="7"/>
  <c r="C13" i="7"/>
  <c r="I22" i="7"/>
  <c r="E10" i="7"/>
  <c r="F20" i="7"/>
  <c r="C18" i="7"/>
  <c r="I19" i="7"/>
  <c r="G10" i="7"/>
  <c r="H19" i="7"/>
  <c r="D8" i="7"/>
  <c r="F7" i="7"/>
  <c r="G18" i="7"/>
  <c r="E12" i="7"/>
  <c r="G7" i="7"/>
  <c r="E22" i="7"/>
  <c r="H20" i="7"/>
  <c r="D12" i="7"/>
  <c r="D23" i="7"/>
  <c r="H23" i="7"/>
  <c r="H13" i="7"/>
  <c r="F8" i="7"/>
  <c r="D19" i="7"/>
  <c r="F23" i="7"/>
  <c r="E23" i="7"/>
  <c r="E18" i="7"/>
  <c r="H12" i="7"/>
  <c r="F22" i="7"/>
  <c r="I13" i="7"/>
  <c r="E8" i="7"/>
  <c r="I7" i="7"/>
  <c r="I21" i="7"/>
  <c r="G12" i="7"/>
  <c r="I23" i="7"/>
  <c r="F21" i="7"/>
  <c r="F19" i="7"/>
  <c r="H21" i="7"/>
  <c r="H11" i="7"/>
  <c r="F24" i="7"/>
  <c r="E13" i="7"/>
  <c r="F18" i="7"/>
  <c r="F11" i="7"/>
  <c r="D18" i="7"/>
  <c r="E21" i="7"/>
  <c r="D10" i="7"/>
  <c r="G20" i="7"/>
  <c r="C7" i="7"/>
  <c r="I18" i="7"/>
  <c r="I10" i="7"/>
  <c r="F13" i="7"/>
  <c r="D9" i="7"/>
  <c r="D7" i="7"/>
  <c r="G19" i="7"/>
  <c r="E19" i="7"/>
  <c r="G21" i="7"/>
  <c r="C20" i="7"/>
  <c r="D20" i="7"/>
  <c r="G8" i="7"/>
  <c r="E11" i="7"/>
  <c r="E7" i="7"/>
  <c r="C12" i="7"/>
  <c r="H18" i="7"/>
  <c r="C10" i="7"/>
  <c r="E20" i="7"/>
  <c r="C21" i="7"/>
  <c r="E24" i="7"/>
  <c r="H9" i="7"/>
  <c r="G23" i="7"/>
  <c r="C22" i="7"/>
  <c r="D21" i="7"/>
  <c r="F9" i="7"/>
  <c r="H24" i="7"/>
  <c r="F12" i="7"/>
  <c r="H22" i="7"/>
  <c r="G13" i="7"/>
  <c r="C24" i="7"/>
  <c r="C11" i="7"/>
  <c r="G11" i="7"/>
  <c r="D24" i="7"/>
  <c r="H10" i="7"/>
  <c r="I11" i="7"/>
  <c r="I8" i="7"/>
  <c r="C8" i="7"/>
  <c r="D22" i="7"/>
  <c r="H8" i="7"/>
  <c r="G9" i="7"/>
  <c r="C19" i="7"/>
  <c r="C9" i="7"/>
  <c r="H7" i="7"/>
  <c r="D13" i="7"/>
  <c r="F10" i="7"/>
  <c r="C23" i="7"/>
  <c r="I20" i="7"/>
  <c r="I9" i="7"/>
  <c r="C58" i="3" l="1"/>
  <c r="C62" i="3" s="1"/>
  <c r="C53" i="3"/>
  <c r="C63" i="3" l="1"/>
  <c r="C64" i="3" s="1"/>
  <c r="C17" i="1" s="1"/>
  <c r="D17" i="1" s="1"/>
  <c r="C17" i="4"/>
  <c r="C54" i="3"/>
  <c r="C55" i="3" s="1"/>
  <c r="C16" i="1" s="1"/>
  <c r="D16" i="1" l="1"/>
  <c r="C21" i="1"/>
  <c r="C10" i="1"/>
  <c r="C12" i="1" s="1"/>
  <c r="C11" i="1" s="1"/>
  <c r="C19" i="4"/>
  <c r="C20" i="4" s="1"/>
  <c r="B79" i="4" s="1"/>
</calcChain>
</file>

<file path=xl/sharedStrings.xml><?xml version="1.0" encoding="utf-8"?>
<sst xmlns="http://schemas.openxmlformats.org/spreadsheetml/2006/main" count="432" uniqueCount="347">
  <si>
    <t>DISCLAIMER: This is a sample analysis for demonstration purposes only. It does not constitute investment advice.</t>
  </si>
  <si>
    <t>Chugai Pharmaceutical Co., Ltd. (4519.T)</t>
  </si>
  <si>
    <t>Equity Research Report</t>
  </si>
  <si>
    <t>Company</t>
  </si>
  <si>
    <t>Chugai Pharmaceutical Co., Ltd.</t>
  </si>
  <si>
    <t>Ticker</t>
  </si>
  <si>
    <t>4519.T (TSE Prime)</t>
  </si>
  <si>
    <t>Sector</t>
  </si>
  <si>
    <t>Pharmaceuticals (Roche group)</t>
  </si>
  <si>
    <t>Current Price</t>
  </si>
  <si>
    <t>Target Price (DCF Mid)</t>
  </si>
  <si>
    <t>Recommendation</t>
  </si>
  <si>
    <t>Upside / Downside</t>
  </si>
  <si>
    <t>Valuation Summary</t>
  </si>
  <si>
    <t>Methodology</t>
  </si>
  <si>
    <t>Implied Value (JPY)</t>
  </si>
  <si>
    <t>vs Current Price</t>
  </si>
  <si>
    <t>DCF - Perpetuity Growth</t>
  </si>
  <si>
    <t>DCF - Exit Multiple</t>
  </si>
  <si>
    <t>Comps - EV/EBITDA Median [参考・Target不算入]</t>
  </si>
  <si>
    <t>Comps - PER Median [参考・Target不算入]</t>
  </si>
  <si>
    <t>Note: Target Mid は DCF 2法（PGM / Exit）の平均のみ。Comps 2法は [参考] で Target 不算入（EV&lt;ネットデットで株式価値が負になる手法は INVALID として平均から除外）</t>
  </si>
  <si>
    <t>DCF Valuation Range (PGM - Exit)</t>
  </si>
  <si>
    <t>Key Investment Thesis</t>
  </si>
  <si>
    <t>3. The half-year just reported grew revenue 14.7% year on year, well ahead of the 6.7% run-rate this model takes as its first projection year - the Base case does not extrapolate the acceleration.</t>
  </si>
  <si>
    <t>Key Risks</t>
  </si>
  <si>
    <t>1. The Roche relationship is the whole thesis and the whole risk: royalty and product economics are set by an agreement this model cannot see, and a change in terms would move the 47.6% margin more than any operational factor.</t>
  </si>
  <si>
    <t>2. Capital expenditure ran at 6.06% of revenue in FY2025 (UT3/UTA capacity build) against the 2.72% steady-state ratio this model assumes from the terminal year onward. If the build continues, free cash flow is overstated here.</t>
  </si>
  <si>
    <t>3. The FY2022 comparison is distorted by a JPY 90.7bn Alexion settlement; on a Core basis the three-year revenue CAGR is about 2.5%, not the flat line the reported figures suggest.</t>
  </si>
  <si>
    <t>Chugai Pharmaceutical Co., Ltd. - Historical Financials (JPY mn)</t>
  </si>
  <si>
    <t>FY2022</t>
  </si>
  <si>
    <t>FY2023</t>
  </si>
  <si>
    <t>FY2024</t>
  </si>
  <si>
    <t>FY2025</t>
  </si>
  <si>
    <t>Income Statement</t>
  </si>
  <si>
    <t>Revenue</t>
  </si>
  <si>
    <t>COGS</t>
  </si>
  <si>
    <t>Gross Profit</t>
  </si>
  <si>
    <t>Gross Margin</t>
  </si>
  <si>
    <t>SGA</t>
  </si>
  <si>
    <t>Operating Income</t>
  </si>
  <si>
    <t>Net Income</t>
  </si>
  <si>
    <t>Operating Margin</t>
  </si>
  <si>
    <t>Net Margin</t>
  </si>
  <si>
    <t>Revenue Growth (YoY)</t>
  </si>
  <si>
    <t>n/a</t>
  </si>
  <si>
    <t>Operating Income Growth (YoY)</t>
  </si>
  <si>
    <t>Cash Flow Statement</t>
  </si>
  <si>
    <t>Operating Cash Flow</t>
  </si>
  <si>
    <t>Capex</t>
  </si>
  <si>
    <t>Free Cash Flow</t>
  </si>
  <si>
    <t>FCF Margin</t>
  </si>
  <si>
    <t>Capex / Revenue</t>
  </si>
  <si>
    <t>Balance Sheet Highlights</t>
  </si>
  <si>
    <t>Cash &amp; Deposits</t>
  </si>
  <si>
    <t>Total Interest-bearing Debt (short + long)</t>
  </si>
  <si>
    <t>Net Debt (Cash)</t>
  </si>
  <si>
    <t>Note: OCF / Cash / Debt coverage OCF 4/4, Cash 4/4, Debt 4/4 — blank cells are years with no year-key match in the source data (verify against 決算短信 or set hist_ocf / hist_cash / hist_debt in overrides).</t>
  </si>
  <si>
    <t>DCF Valuation Model - Chugai Pharmaceutical Co., Ltd.</t>
  </si>
  <si>
    <t>Assumptions</t>
  </si>
  <si>
    <t>Effective Tax Rate</t>
  </si>
  <si>
    <t>Risk-Free Rate</t>
  </si>
  <si>
    <t>Beta</t>
  </si>
  <si>
    <t>Equity Risk Premium</t>
  </si>
  <si>
    <t>Size Premium</t>
  </si>
  <si>
    <t>After-tax Cost of Debt</t>
  </si>
  <si>
    <t>D/E Ratio</t>
  </si>
  <si>
    <t>Terminal Growth Rate</t>
  </si>
  <si>
    <t>Exit Multiple (EV/EBITDA)</t>
  </si>
  <si>
    <t>Fully Diluted Shares</t>
  </si>
  <si>
    <t>Net Debt (JPY mn)</t>
  </si>
  <si>
    <t>Base Year Revenue (JPY mn)</t>
  </si>
  <si>
    <t>D&amp;A / Revenue</t>
  </si>
  <si>
    <t>Stub Fraction (yr remaining)</t>
  </si>
  <si>
    <t>LTM Revenue (JPY mn)</t>
  </si>
  <si>
    <t>WACC Calculation</t>
  </si>
  <si>
    <t>Cost of Equity (Ke)</t>
  </si>
  <si>
    <t>Weight of Equity</t>
  </si>
  <si>
    <t>Weight of Debt</t>
  </si>
  <si>
    <t>WACC</t>
  </si>
  <si>
    <t>Active Scenario</t>
  </si>
  <si>
    <t>Base</t>
  </si>
  <si>
    <t>Projected Free Cash Flow</t>
  </si>
  <si>
    <t>FY2026(E)</t>
  </si>
  <si>
    <t>FY2027(E)</t>
  </si>
  <si>
    <t>FY2028(E)</t>
  </si>
  <si>
    <t>FY2029(E)</t>
  </si>
  <si>
    <t>FY2030(E)</t>
  </si>
  <si>
    <t>COGS % of Revenue</t>
  </si>
  <si>
    <t>SGA % of Revenue</t>
  </si>
  <si>
    <t>SGA Expense</t>
  </si>
  <si>
    <t>Implied Operating Margin</t>
  </si>
  <si>
    <t>Operating Income (EBIT)</t>
  </si>
  <si>
    <t>Less: Tax</t>
  </si>
  <si>
    <t>NOPAT</t>
  </si>
  <si>
    <t>Plus: D&amp;A</t>
  </si>
  <si>
    <t>Less: Capex</t>
  </si>
  <si>
    <t>Change in NWC</t>
  </si>
  <si>
    <t>Unlevered Free Cash Flow</t>
  </si>
  <si>
    <t>Discount Factor</t>
  </si>
  <si>
    <t>PV of FCF</t>
  </si>
  <si>
    <t>Valuation - Perpetuity Growth Method</t>
  </si>
  <si>
    <t>Sum of PV of FCFs</t>
  </si>
  <si>
    <t>Terminal Value (PGM)</t>
  </si>
  <si>
    <t>PV of Terminal Value</t>
  </si>
  <si>
    <t>Enterprise Value</t>
  </si>
  <si>
    <t>Equity Value</t>
  </si>
  <si>
    <t>Implied Share Price (PGM)</t>
  </si>
  <si>
    <t>Valuation - Exit Multiple Method</t>
  </si>
  <si>
    <t>Year 5 EBITDA</t>
  </si>
  <si>
    <t>Terminal Value (Exit Multiple)</t>
  </si>
  <si>
    <t>Implied Share Price (Exit Multiple)</t>
  </si>
  <si>
    <t>Scenario Input Matrix</t>
  </si>
  <si>
    <t>Year 1</t>
  </si>
  <si>
    <t>Year 2</t>
  </si>
  <si>
    <t>Year 3</t>
  </si>
  <si>
    <t>Year 4</t>
  </si>
  <si>
    <t>Year 5</t>
  </si>
  <si>
    <t>Upside</t>
  </si>
  <si>
    <t>Management</t>
  </si>
  <si>
    <t>Downside 1</t>
  </si>
  <si>
    <t>Downside 2</t>
  </si>
  <si>
    <t>Reverse DCF - Chugai Pharmaceutical Co., Ltd. (4519.T)</t>
  </si>
  <si>
    <t>What is the current share price already assuming? Every value below is a live formula off the other sheets.</t>
  </si>
  <si>
    <t>Block 0: Market-implied enterprise value (live)</t>
  </si>
  <si>
    <t>Current Share Price (JPY)</t>
  </si>
  <si>
    <t>Market Capitalisation (JPY mn)</t>
  </si>
  <si>
    <t>Enterprise Value (JPY mn)</t>
  </si>
  <si>
    <t>WACC (w)</t>
  </si>
  <si>
    <t>Terminal Growth (g)</t>
  </si>
  <si>
    <t>Effective Tax Rate (t)</t>
  </si>
  <si>
    <t>Starting Operating Profit OP0 (FY2025 actual)</t>
  </si>
  <si>
    <t>Cycle-peak Operating Profit (FY2025 actual)</t>
  </si>
  <si>
    <t>Terminal-year Revenue, active scenario (JPY mn)</t>
  </si>
  <si>
    <t>Base-case DCF Enterprise Value, PGM (JPY mn)</t>
  </si>
  <si>
    <t>Cycle-peak Operating Margin (FY2025 actual)</t>
  </si>
  <si>
    <t>Gap: market EV less base-case DCF EV (JPY mn)</t>
  </si>
  <si>
    <t>Gap per share (JPY) - the part of the price the base case does not explain</t>
  </si>
  <si>
    <t>Block A: Required steady-state operating profit, reached IMMEDIATELY (no ramp)</t>
  </si>
  <si>
    <t>The lowest bar the price can clear: today's EV read as a perpetuity of one steady-state profit, capex = D&amp;A, no NWC build.</t>
  </si>
  <si>
    <t>Required steady-state NOPAT (JPY mn)</t>
  </si>
  <si>
    <t>Required steady-state Operating Profit (JPY mn)</t>
  </si>
  <si>
    <t>... as a multiple of the FY2025 peak</t>
  </si>
  <si>
    <t>... as a multiple of FY2025 actual</t>
  </si>
  <si>
    <t>... implied OPM on terminal-year revenue</t>
  </si>
  <si>
    <t>... revenue needed if margins only reach the cycle peak</t>
  </si>
  <si>
    <t>Block B: Required steady-state operating profit by YEARS-TO-REACH (linear ramp) x WACC</t>
  </si>
  <si>
    <t>Operating profit ramps linearly from OP0 (C14) to OP* over N years, then grows at g for ever. Column F is the model WACC.</t>
  </si>
  <si>
    <t>OP* = ( EV/(1-t) - OP0*(A-B) ) / ( B + TVF ). A longer ramp needs a HIGHER steady state, because more years are spent below it.</t>
  </si>
  <si>
    <t>Years to steady state (N)   \   WACC</t>
  </si>
  <si>
    <t>N</t>
  </si>
  <si>
    <t>B-1  PV weight on the RAMP from OP0   (A - B)</t>
  </si>
  <si>
    <t>N = 3 years</t>
  </si>
  <si>
    <t>N = 5 years</t>
  </si>
  <si>
    <t>N = 7 years</t>
  </si>
  <si>
    <t>N = 10 years</t>
  </si>
  <si>
    <t>B-2  PV weight on the STEADY STATE OP*   (B + terminal factor)</t>
  </si>
  <si>
    <t>B-3  REQUIRED steady-state Operating Profit (JPY mn)</t>
  </si>
  <si>
    <t>B-4  ... as a multiple of the FY2025 peak operating profit</t>
  </si>
  <si>
    <t>Block C: Decomposing the required profit into revenue x margin (N = 5 years, model WACC)</t>
  </si>
  <si>
    <t>The revenue the company must run at, for a given steady-state operating margin, to earn the Block B-3 profit.</t>
  </si>
  <si>
    <t>Required steady-state Operating Profit (N=5, model WACC)</t>
  </si>
  <si>
    <t>Assumed steady-state OPM</t>
  </si>
  <si>
    <t>Required Revenue</t>
  </si>
  <si>
    <t>x base-year revenue</t>
  </si>
  <si>
    <t>cycle-peak OPM (FY2025)</t>
  </si>
  <si>
    <t>Block D: The same question expressed as multiples</t>
  </si>
  <si>
    <t>Current EV / latest-FY EBITDA (actual)</t>
  </si>
  <si>
    <t>Current EV / latest-FY Revenue (actual)</t>
  </si>
  <si>
    <t>EV / EBITDA if the Block A profit were already earned</t>
  </si>
  <si>
    <t>EV / EBITDA if the Block B-3 (N=5) profit were already earned</t>
  </si>
  <si>
    <t>Peer median EV / EBITDA (statistics rows)</t>
  </si>
  <si>
    <t>Rows 3-4 answer: what multiple would today's EV be paying IF the company already earned the profit the price requires?</t>
  </si>
  <si>
    <t>Block F: The one-line answer</t>
  </si>
  <si>
    <t>NWC Schedule - Chugai Pharmaceutical Co., Ltd.</t>
  </si>
  <si>
    <t>Working Capital Drivers (Days)</t>
  </si>
  <si>
    <t>Base Year</t>
  </si>
  <si>
    <t>DSO (Days Sales Outstanding)</t>
  </si>
  <si>
    <t>DIH (Days Inventory Held)</t>
  </si>
  <si>
    <t>DPO (Days Payable Outstanding)</t>
  </si>
  <si>
    <t>P&amp;L Reference (JPY mn)</t>
  </si>
  <si>
    <t>Working Capital Items (JPY mn)</t>
  </si>
  <si>
    <t>Accounts Receivable</t>
  </si>
  <si>
    <t>Inventory</t>
  </si>
  <si>
    <t>Current Assets (AR + Inv)</t>
  </si>
  <si>
    <t>Accounts Payable</t>
  </si>
  <si>
    <t>Current Liabilities (AP)</t>
  </si>
  <si>
    <t>Net Working Capital (JPY mn)</t>
  </si>
  <si>
    <t>Net Working Capital</t>
  </si>
  <si>
    <t>Scenario Input Matrix (Working Capital Days)</t>
  </si>
  <si>
    <t>DSO (Days)</t>
  </si>
  <si>
    <t>DIH (Days)</t>
  </si>
  <si>
    <t>DPO (Days)</t>
  </si>
  <si>
    <t>Comparable Company Analysis</t>
  </si>
  <si>
    <t>Peer prices as of 2026-09-06 (Mkt Cap / EV of peer rows are static CSV values; the subject row is live-linked to Executive Summary)</t>
  </si>
  <si>
    <t>Mkt Cap
(JPY mn)</t>
  </si>
  <si>
    <t>EV
(JPY mn)</t>
  </si>
  <si>
    <t>Revenue
(JPY mn)</t>
  </si>
  <si>
    <t>EBITDA
(JPY mn)</t>
  </si>
  <si>
    <t>Op Income
(JPY mn)</t>
  </si>
  <si>
    <t>Net Income
(JPY mn)</t>
  </si>
  <si>
    <t>EV/EBITDA</t>
  </si>
  <si>
    <t>EV/Revenue</t>
  </si>
  <si>
    <t>PER</t>
  </si>
  <si>
    <t>PBR</t>
  </si>
  <si>
    <t>Op Margin</t>
  </si>
  <si>
    <t>ROE</t>
  </si>
  <si>
    <t>Book Value
(JPY mn)</t>
  </si>
  <si>
    <t>Note</t>
  </si>
  <si>
    <t>4519.T</t>
  </si>
  <si>
    <t>Takeda Pharmaceutical Company Limited</t>
  </si>
  <si>
    <t>4502.T</t>
  </si>
  <si>
    <t>N/A</t>
  </si>
  <si>
    <t>Astellas Pharma Inc.</t>
  </si>
  <si>
    <t>4503.T</t>
  </si>
  <si>
    <t>Shionogi &amp; Co., Ltd.</t>
  </si>
  <si>
    <t>4507.T</t>
  </si>
  <si>
    <t>Eisai Co., Ltd.</t>
  </si>
  <si>
    <t>4523.T</t>
  </si>
  <si>
    <t>Daiichi Sankyo Company, Limited</t>
  </si>
  <si>
    <t>4568.T</t>
  </si>
  <si>
    <t>Otsuka Holdings Co., Ltd.</t>
  </si>
  <si>
    <t>4578.T</t>
  </si>
  <si>
    <t>Statistics</t>
  </si>
  <si>
    <t>25th Percentile</t>
  </si>
  <si>
    <t>Median (50th)</t>
  </si>
  <si>
    <t>75th Percentile</t>
  </si>
  <si>
    <t>Implied Valuation for Chugai Pharmaceutical Co., Ltd.</t>
  </si>
  <si>
    <t>Chugai Pharmaceutical Co., Ltd. Financials</t>
  </si>
  <si>
    <t>EBITDA (JPY mn)</t>
  </si>
  <si>
    <t>Net Income (JPY mn)</t>
  </si>
  <si>
    <t>Shares Outstanding</t>
  </si>
  <si>
    <t>Implied Share Price (Median Multiples)</t>
  </si>
  <si>
    <t>Via EV/EBITDA (Median)</t>
  </si>
  <si>
    <t>Via PER (Median)</t>
  </si>
  <si>
    <t>Sensitivity Analysis</t>
  </si>
  <si>
    <t>Current WACC:</t>
  </si>
  <si>
    <t>Terminal g:</t>
  </si>
  <si>
    <t>Exit Multiple:</t>
  </si>
  <si>
    <t>Table 1: WACC vs Terminal Growth Rate (PGM - Implied Share Price, JPY)</t>
  </si>
  <si>
    <t>WACC \ Terminal g</t>
  </si>
  <si>
    <t>Table 2: WACC vs Exit Multiple (Exit Multiple - Implied Share Price, JPY)</t>
  </si>
  <si>
    <t>WACC \ Exit Multiple</t>
  </si>
  <si>
    <t>All values dynamically linked to DCF Model. Headers auto-center on current WACC / Terminal g / Exit Multiple.</t>
  </si>
  <si>
    <t>Adjustments Log - Chugai Pharmaceutical Co., Ltd.</t>
  </si>
  <si>
    <t>日付</t>
  </si>
  <si>
    <t>セル</t>
  </si>
  <si>
    <t>変更内容</t>
  </si>
  <si>
    <t>理由</t>
  </si>
  <si>
    <t>元の値</t>
  </si>
  <si>
    <t>状態</t>
  </si>
  <si>
    <t>2026-09-06</t>
  </si>
  <si>
    <t>-</t>
  </si>
  <si>
    <t>Generated by pipeline on 2026-09-06 22:24, template rev 9c83f96</t>
  </si>
  <si>
    <t>初期生成（手修正なし）</t>
  </si>
  <si>
    <t>generated</t>
  </si>
  <si>
    <t>DCF Model!C8</t>
  </si>
  <si>
    <t>Beta = 0.819（採用値）</t>
  </si>
  <si>
    <t>実測β(raw) = 0.730 → Blume調整 0.67×raw + 0.33×1.00 = 0.819 → 採用 0.819。クランプ域 [0.3, 2.0] の内側。置換なし。回帰βは平均回帰するため Blume 調整を既定とする（2026-09-05 バッチで85件中57件が旧下限 0.60 に張り付き、両裾の歪みが実証された）。</t>
  </si>
  <si>
    <t>実測 0.730</t>
  </si>
  <si>
    <t>確定</t>
  </si>
  <si>
    <t>Pipeline Metadata (do not edit — read by scripts/validate_output.py)</t>
  </si>
  <si>
    <t>key</t>
  </si>
  <si>
    <t>value</t>
  </si>
  <si>
    <t>auto_log_entries</t>
  </si>
  <si>
    <t>1</t>
  </si>
  <si>
    <t>beta_adopted_c8</t>
  </si>
  <si>
    <t>0.8191</t>
  </si>
  <si>
    <t>beta_basis</t>
  </si>
  <si>
    <t>Blume: 0.67 x 0.730 + 0.33 x 1.00 = 0.819</t>
  </si>
  <si>
    <t>beta_blume_adjusted</t>
  </si>
  <si>
    <t>beta_clamped</t>
  </si>
  <si>
    <t>no</t>
  </si>
  <si>
    <t>beta_raw</t>
  </si>
  <si>
    <t>0.73</t>
  </si>
  <si>
    <t>capex_pct_basis</t>
  </si>
  <si>
    <t>explicit_override</t>
  </si>
  <si>
    <t>capex_pct_c5</t>
  </si>
  <si>
    <t>0.0272</t>
  </si>
  <si>
    <t>capex_pct_hist3yr</t>
  </si>
  <si>
    <t>0.056146</t>
  </si>
  <si>
    <t>company_name</t>
  </si>
  <si>
    <t>comps_asof</t>
  </si>
  <si>
    <t>comps_da_missing</t>
  </si>
  <si>
    <t>none</t>
  </si>
  <si>
    <t>comps_ebitda_excluded</t>
  </si>
  <si>
    <t>comps_ev_ebitda_invalid</t>
  </si>
  <si>
    <t>comps_ev_ebitda_rows</t>
  </si>
  <si>
    <t>6,7,8,9,10,11</t>
  </si>
  <si>
    <t>comps_impl_mult_row</t>
  </si>
  <si>
    <t>27</t>
  </si>
  <si>
    <t>comps_impl_per_row</t>
  </si>
  <si>
    <t>28</t>
  </si>
  <si>
    <t>comps_peer_rows</t>
  </si>
  <si>
    <t>comps_per_excluded</t>
  </si>
  <si>
    <t>comps_stale_excluded</t>
  </si>
  <si>
    <t>comps_stat_median_row</t>
  </si>
  <si>
    <t>16</t>
  </si>
  <si>
    <t>comps_subject_row</t>
  </si>
  <si>
    <t>5</t>
  </si>
  <si>
    <t>core_ebitda</t>
  </si>
  <si>
    <t>631368.0</t>
  </si>
  <si>
    <t>core_net_income</t>
  </si>
  <si>
    <t>434012.0</t>
  </si>
  <si>
    <t>cost_of_debt_at_c11</t>
  </si>
  <si>
    <t>0.01</t>
  </si>
  <si>
    <t>cost_of_debt_basis</t>
  </si>
  <si>
    <t>assumption</t>
  </si>
  <si>
    <t>da_pct_basis</t>
  </si>
  <si>
    <t>da_pct_c18</t>
  </si>
  <si>
    <t>0.0259</t>
  </si>
  <si>
    <t>da_pct_hist3yr</t>
  </si>
  <si>
    <t>0.027158</t>
  </si>
  <si>
    <t>fs_year_coverage</t>
  </si>
  <si>
    <t>OCF 4/4, Cash 4/4, Debt 4/4</t>
  </si>
  <si>
    <t>fs_year_map</t>
  </si>
  <si>
    <t>FY2022&lt;-FY2022[ocf+cash+debt]; FY2023&lt;-FY2023[ocf+cash+debt]; FY2024&lt;-FY2024[ocf+cash+debt]; FY2025&lt;-FY2025[ocf+cash+debt]</t>
  </si>
  <si>
    <t>fs_year_sources</t>
  </si>
  <si>
    <t>overrides: hist_ocf, hist_cash, hist_debt, hist_capex, hist_depreciation | EDINET year-key match: none</t>
  </si>
  <si>
    <t>fx_sensitivity</t>
  </si>
  <si>
    <t>not enabled</t>
  </si>
  <si>
    <t>generated_at</t>
  </si>
  <si>
    <t>2026-09-06 22:24:50</t>
  </si>
  <si>
    <t>guidance_note</t>
  </si>
  <si>
    <t>screener DB: no guidance row for code=4519 in the TDnet archive | EDINET XBRL: 5 cached EDINET XBRL file(s) for this ticker carry no ForecastMember context | EDINET tanshin: skipped (--tanshin-fallback not given; EDINET does not host 決算短信)</t>
  </si>
  <si>
    <t>guidance_source</t>
  </si>
  <si>
    <t>latest_operating_income</t>
  </si>
  <si>
    <t>598833.0</t>
  </si>
  <si>
    <t>ltm_revenue_c20</t>
  </si>
  <si>
    <t>1342809.0</t>
  </si>
  <si>
    <t>ltm_revenue_source</t>
  </si>
  <si>
    <t>LTM row</t>
  </si>
  <si>
    <t>market_data_source</t>
  </si>
  <si>
    <t>yfinance; from overrides: beta, current_price, shares, shares_outstanding</t>
  </si>
  <si>
    <t>narrative_tokens_used</t>
  </si>
  <si>
    <t>pb,per,price</t>
  </si>
  <si>
    <t>net_debt_source</t>
  </si>
  <si>
    <t>UNAVAILABLE (no net_debt, and total_debt/cash incomplete)</t>
  </si>
  <si>
    <t>reverse_dcf_sheet</t>
  </si>
  <si>
    <t>op0=598,833(FY2025) peak=598,833(FY2025) peak_opm=0.4760 N=3/5/7/10</t>
  </si>
  <si>
    <t>scenario_index_range</t>
  </si>
  <si>
    <t>B69:B73</t>
  </si>
  <si>
    <t>tax_rate_c6</t>
  </si>
  <si>
    <t>0.25</t>
  </si>
  <si>
    <t>template_rev</t>
  </si>
  <si>
    <t>9c83f96</t>
  </si>
  <si>
    <t>ticker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</si>
</sst>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0\)"/>
    <numFmt numFmtId="177" formatCode="0.0%;\(0.0%\)"/>
    <numFmt numFmtId="178" formatCode="0.000"/>
    <numFmt numFmtId="179" formatCode="0.00&quot;x&quot;"/>
    <numFmt numFmtId="180" formatCode="0.00%;\(0.00%\)"/>
    <numFmt numFmtId="181" formatCode="0.0000"/>
  </numFmts>
  <fonts count="9" x14ac:knownFonts="1">
    <font>
      <sz val="11"/>
      <color theme="1"/>
      <name val="ＭＳ Ｐゴシック"/>
      <family val="2"/>
      <scheme val="minor"/>
    </font>
    <font>
      <i/>
      <sz val="9"/>
      <color rgb="FF808080"/>
      <name val="Arial"/>
    </font>
    <font>
      <b/>
      <sz val="14"/>
      <name val="Arial"/>
    </font>
    <font>
      <b/>
      <sz val="11"/>
      <name val="Arial"/>
    </font>
    <font>
      <b/>
      <sz val="10"/>
      <name val="Arial"/>
    </font>
    <font>
      <sz val="10"/>
      <color rgb="FF000000"/>
      <name val="Arial"/>
    </font>
    <font>
      <b/>
      <sz val="11"/>
      <color rgb="FFFFFFFF"/>
      <name val="Arial"/>
    </font>
    <font>
      <sz val="10"/>
      <color rgb="FF006600"/>
      <name val="Arial"/>
    </font>
    <font>
      <sz val="6"/>
      <name val="ＭＳ Ｐゴシック"/>
      <family val="3"/>
      <charset val="128"/>
      <scheme val="minor"/>
    </font>
  </fonts>
  <fills count="6">
    <fill>
      <patternFill patternType="none"/>
    </fill>
    <fill>
      <patternFill patternType="gray125"/>
    </fill>
    <fill>
      <patternFill patternType="solid">
        <fgColor rgb="FFDCE6F1"/>
        <bgColor rgb="FFDCE6F1"/>
      </patternFill>
    </fill>
    <fill>
      <patternFill patternType="solid">
        <fgColor rgb="FF000080"/>
        <bgColor rgb="FF000080"/>
      </patternFill>
    </fill>
    <fill>
      <patternFill patternType="solid">
        <fgColor rgb="FFF2F2F2"/>
        <bgColor rgb="FFF2F2F2"/>
      </patternFill>
    </fill>
    <fill>
      <patternFill patternType="solid">
        <fgColor rgb="FFE2EFDA"/>
        <bgColor rgb="FFE2EFDA"/>
      </patternFill>
    </fill>
  </fills>
  <borders count="7">
    <border>
      <left/>
      <right/>
      <top/>
      <bottom/>
      <diagonal/>
    </border>
    <border>
      <left/>
      <right/>
      <top/>
      <bottom style="thin">
        <color auto="1"/>
      </bottom>
      <diagonal/>
    </border>
    <border>
      <left style="thin">
        <color rgb="FFB0B0B0"/>
      </left>
      <right style="thin">
        <color rgb="FFB0B0B0"/>
      </right>
      <top style="thin">
        <color rgb="FFB0B0B0"/>
      </top>
      <bottom style="thin">
        <color rgb="FFB0B0B0"/>
      </bottom>
      <diagonal/>
    </border>
    <border>
      <left/>
      <right/>
      <top style="thin">
        <color auto="1"/>
      </top>
      <bottom style="thin">
        <color auto="1"/>
      </bottom>
      <diagonal/>
    </border>
    <border>
      <left/>
      <right/>
      <top style="thin">
        <color auto="1"/>
      </top>
      <bottom style="double">
        <color auto="1"/>
      </bottom>
      <diagonal/>
    </border>
    <border>
      <left style="hair">
        <color rgb="FFB0B0B0"/>
      </left>
      <right style="hair">
        <color rgb="FFB0B0B0"/>
      </right>
      <top style="hair">
        <color rgb="FFB0B0B0"/>
      </top>
      <bottom style="hair">
        <color rgb="FFB0B0B0"/>
      </bottom>
      <diagonal/>
    </border>
    <border>
      <left style="thin">
        <color auto="1"/>
      </left>
      <right style="thin">
        <color auto="1"/>
      </right>
      <top style="thin">
        <color auto="1"/>
      </top>
      <bottom style="thin">
        <color auto="1"/>
      </bottom>
      <diagonal/>
    </border>
  </borders>
  <cellStyleXfs count="1">
    <xf numFmtId="0" fontId="0" fillId="0" borderId="0"/>
  </cellStyleXfs>
  <cellXfs count="47">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176" fontId="5" fillId="0" borderId="0" xfId="0" applyNumberFormat="1" applyFont="1"/>
    <xf numFmtId="0" fontId="5" fillId="0" borderId="0" xfId="0" applyFont="1"/>
    <xf numFmtId="177" fontId="5" fillId="0" borderId="0" xfId="0" applyNumberFormat="1" applyFont="1"/>
    <xf numFmtId="0" fontId="3" fillId="2" borderId="0" xfId="0" applyFont="1" applyFill="1"/>
    <xf numFmtId="0" fontId="0" fillId="2" borderId="0" xfId="0" applyFill="1"/>
    <xf numFmtId="0" fontId="6" fillId="3" borderId="1" xfId="0" applyFont="1" applyFill="1" applyBorder="1" applyAlignment="1">
      <alignment horizontal="center" wrapText="1"/>
    </xf>
    <xf numFmtId="176" fontId="7" fillId="0" borderId="0" xfId="0" applyNumberFormat="1" applyFont="1"/>
    <xf numFmtId="2" fontId="5" fillId="0" borderId="0" xfId="0" applyNumberFormat="1" applyFont="1"/>
    <xf numFmtId="178" fontId="5" fillId="0" borderId="0" xfId="0" applyNumberFormat="1" applyFont="1"/>
    <xf numFmtId="179" fontId="5" fillId="0" borderId="0" xfId="0" applyNumberFormat="1" applyFont="1"/>
    <xf numFmtId="3" fontId="5" fillId="0" borderId="0" xfId="0" applyNumberFormat="1" applyFont="1"/>
    <xf numFmtId="180" fontId="5" fillId="0" borderId="0" xfId="0" applyNumberFormat="1" applyFont="1"/>
    <xf numFmtId="0" fontId="5" fillId="0" borderId="2" xfId="0" applyFont="1" applyBorder="1"/>
    <xf numFmtId="177" fontId="5" fillId="2" borderId="0" xfId="0" applyNumberFormat="1" applyFont="1" applyFill="1"/>
    <xf numFmtId="176" fontId="5" fillId="0" borderId="3" xfId="0" applyNumberFormat="1" applyFont="1" applyBorder="1"/>
    <xf numFmtId="176" fontId="5" fillId="4" borderId="3" xfId="0" applyNumberFormat="1" applyFont="1" applyFill="1" applyBorder="1"/>
    <xf numFmtId="181" fontId="5" fillId="0" borderId="0" xfId="0" applyNumberFormat="1" applyFont="1"/>
    <xf numFmtId="0" fontId="3" fillId="5" borderId="0" xfId="0" applyFont="1" applyFill="1"/>
    <xf numFmtId="0" fontId="0" fillId="5" borderId="0" xfId="0" applyFill="1"/>
    <xf numFmtId="176" fontId="5" fillId="0" borderId="4" xfId="0" applyNumberFormat="1" applyFont="1" applyBorder="1"/>
    <xf numFmtId="0" fontId="6" fillId="3" borderId="0" xfId="0" applyFont="1" applyFill="1" applyAlignment="1">
      <alignment horizontal="center"/>
    </xf>
    <xf numFmtId="177" fontId="5" fillId="0" borderId="2" xfId="0" applyNumberFormat="1" applyFont="1" applyBorder="1"/>
    <xf numFmtId="176" fontId="5" fillId="0" borderId="2" xfId="0" applyNumberFormat="1" applyFont="1" applyBorder="1"/>
    <xf numFmtId="0" fontId="6" fillId="3" borderId="0" xfId="0" applyFont="1" applyFill="1"/>
    <xf numFmtId="180" fontId="6" fillId="3" borderId="0" xfId="0" applyNumberFormat="1" applyFont="1" applyFill="1" applyAlignment="1">
      <alignment horizontal="center"/>
    </xf>
    <xf numFmtId="3" fontId="5" fillId="0" borderId="2" xfId="0" applyNumberFormat="1" applyFont="1" applyBorder="1"/>
    <xf numFmtId="177" fontId="4" fillId="0" borderId="2" xfId="0" applyNumberFormat="1" applyFont="1" applyBorder="1"/>
    <xf numFmtId="0" fontId="6" fillId="2" borderId="1" xfId="0" applyFont="1" applyFill="1" applyBorder="1" applyAlignment="1">
      <alignment horizontal="center" wrapText="1"/>
    </xf>
    <xf numFmtId="0" fontId="4" fillId="0" borderId="5" xfId="0" applyFont="1" applyBorder="1"/>
    <xf numFmtId="3" fontId="5" fillId="0" borderId="5" xfId="0" applyNumberFormat="1" applyFont="1" applyBorder="1"/>
    <xf numFmtId="176" fontId="5" fillId="0" borderId="5" xfId="0" applyNumberFormat="1" applyFont="1" applyBorder="1"/>
    <xf numFmtId="0" fontId="5" fillId="0" borderId="5" xfId="0" applyFont="1" applyBorder="1"/>
    <xf numFmtId="176" fontId="5" fillId="0" borderId="6" xfId="0" applyNumberFormat="1" applyFont="1" applyBorder="1"/>
    <xf numFmtId="179" fontId="5" fillId="0" borderId="6" xfId="0" applyNumberFormat="1" applyFont="1" applyBorder="1"/>
    <xf numFmtId="177" fontId="5" fillId="0" borderId="6" xfId="0" applyNumberFormat="1" applyFont="1" applyBorder="1"/>
    <xf numFmtId="0" fontId="5" fillId="0" borderId="6" xfId="0" applyFont="1" applyBorder="1" applyAlignment="1">
      <alignment horizontal="right"/>
    </xf>
    <xf numFmtId="0" fontId="6" fillId="3" borderId="6" xfId="0" applyFont="1" applyFill="1" applyBorder="1" applyAlignment="1">
      <alignment horizontal="center" wrapText="1"/>
    </xf>
    <xf numFmtId="177" fontId="6" fillId="3" borderId="6" xfId="0" applyNumberFormat="1" applyFont="1" applyFill="1" applyBorder="1" applyAlignment="1">
      <alignment horizontal="center"/>
    </xf>
    <xf numFmtId="179" fontId="6" fillId="3" borderId="6" xfId="0" applyNumberFormat="1" applyFont="1" applyFill="1" applyBorder="1" applyAlignment="1">
      <alignment horizontal="center"/>
    </xf>
    <xf numFmtId="0" fontId="2" fillId="0" borderId="0" xfId="0" applyFont="1"/>
    <xf numFmtId="0" fontId="0" fillId="0" borderId="0" xfId="0"/>
    <xf numFmtId="0" fontId="1" fillId="0" borderId="0" xfId="0" applyFont="1"/>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3366"/>
  </sheetPr>
  <dimension ref="B1:E31"/>
  <sheetViews>
    <sheetView tabSelected="1" workbookViewId="0"/>
  </sheetViews>
  <sheetFormatPr defaultRowHeight="13" x14ac:dyDescent="0.2"/>
  <cols>
    <col min="1" max="1" width="3" customWidth="1"/>
    <col min="2" max="2" width="30" customWidth="1"/>
    <col min="3" max="5" width="22" customWidth="1"/>
  </cols>
  <sheetData>
    <row r="1" spans="2:5" ht="14" x14ac:dyDescent="0.3">
      <c r="B1" s="46" t="s">
        <v>0</v>
      </c>
      <c r="C1" s="45"/>
      <c r="D1" s="45"/>
      <c r="E1" s="45"/>
    </row>
    <row r="3" spans="2:5" ht="18" x14ac:dyDescent="0.4">
      <c r="B3" s="44" t="s">
        <v>1</v>
      </c>
      <c r="C3" s="45"/>
      <c r="D3" s="45"/>
    </row>
    <row r="4" spans="2:5" ht="14" x14ac:dyDescent="0.3">
      <c r="B4" s="3" t="s">
        <v>2</v>
      </c>
    </row>
    <row r="6" spans="2:5" ht="14" x14ac:dyDescent="0.3">
      <c r="B6" s="4" t="s">
        <v>3</v>
      </c>
      <c r="C6" t="s">
        <v>4</v>
      </c>
    </row>
    <row r="7" spans="2:5" ht="14" x14ac:dyDescent="0.3">
      <c r="B7" s="4" t="s">
        <v>5</v>
      </c>
      <c r="C7" t="s">
        <v>6</v>
      </c>
    </row>
    <row r="8" spans="2:5" ht="14" x14ac:dyDescent="0.3">
      <c r="B8" s="4" t="s">
        <v>7</v>
      </c>
      <c r="C8" t="s">
        <v>8</v>
      </c>
    </row>
    <row r="9" spans="2:5" ht="14" x14ac:dyDescent="0.3">
      <c r="B9" s="4" t="s">
        <v>9</v>
      </c>
      <c r="C9" s="5">
        <v>6795</v>
      </c>
    </row>
    <row r="10" spans="2:5" ht="14" x14ac:dyDescent="0.3">
      <c r="B10" s="4" t="s">
        <v>10</v>
      </c>
      <c r="C10" s="5">
        <f>IF(COUNT(C16:C17)=0,"N/A",ROUND(AVERAGE(C16:C17),0))</f>
        <v>4920</v>
      </c>
    </row>
    <row r="11" spans="2:5" ht="14" x14ac:dyDescent="0.3">
      <c r="B11" s="4" t="s">
        <v>11</v>
      </c>
      <c r="C11" s="6" t="str">
        <f>IF(NOT(ISNUMBER(C12)),"N/A",IF(C12&gt;0.15,"BUY",IF(C12&gt;0.05,"HOLD","SELL")))</f>
        <v>SELL</v>
      </c>
    </row>
    <row r="12" spans="2:5" ht="14" x14ac:dyDescent="0.3">
      <c r="B12" s="4" t="s">
        <v>12</v>
      </c>
      <c r="C12" s="7">
        <f>IF(ISNUMBER(C10),(C10-C9)/C9,"N/A")</f>
        <v>-0.27593818984547464</v>
      </c>
    </row>
    <row r="14" spans="2:5" ht="14" x14ac:dyDescent="0.3">
      <c r="B14" s="8" t="s">
        <v>13</v>
      </c>
      <c r="C14" s="9"/>
      <c r="D14" s="9"/>
    </row>
    <row r="15" spans="2:5" ht="14" x14ac:dyDescent="0.3">
      <c r="B15" s="10" t="s">
        <v>14</v>
      </c>
      <c r="C15" s="10" t="s">
        <v>15</v>
      </c>
      <c r="D15" s="10" t="s">
        <v>16</v>
      </c>
    </row>
    <row r="16" spans="2:5" ht="13.5" x14ac:dyDescent="0.25">
      <c r="B16" t="s">
        <v>17</v>
      </c>
      <c r="C16" s="11">
        <f>IF('DCF Model'!C53&lt;'DCF Model'!C16,"INVALID (EV &lt; net debt)",'DCF Model'!C55)</f>
        <v>4364</v>
      </c>
      <c r="D16" s="7">
        <f>IF(ISNUMBER(C16),(C16-C9)/C9,"N/A")</f>
        <v>-0.35776306107431938</v>
      </c>
    </row>
    <row r="17" spans="2:5" ht="13.5" x14ac:dyDescent="0.25">
      <c r="B17" t="s">
        <v>18</v>
      </c>
      <c r="C17" s="11">
        <f>IF('DCF Model'!C62&lt;'DCF Model'!C16,"INVALID (EV &lt; net debt)",'DCF Model'!C64)</f>
        <v>5476</v>
      </c>
      <c r="D17" s="7">
        <f>IF(ISNUMBER(C17),(C17-C9)/C9,"N/A")</f>
        <v>-0.19411331861662987</v>
      </c>
    </row>
    <row r="18" spans="2:5" ht="13.5" x14ac:dyDescent="0.25">
      <c r="B18" t="s">
        <v>19</v>
      </c>
      <c r="C18" s="11">
        <f>'Comps Analysis'!C27</f>
        <v>5201</v>
      </c>
      <c r="D18" s="7">
        <f>IF(ISNUMBER(C18),(C18-C9)/C9,"N/A")</f>
        <v>-0.2345842531272995</v>
      </c>
    </row>
    <row r="19" spans="2:5" ht="13.5" x14ac:dyDescent="0.25">
      <c r="B19" t="s">
        <v>20</v>
      </c>
      <c r="C19" s="11">
        <f>'Comps Analysis'!C28</f>
        <v>4590</v>
      </c>
      <c r="D19" s="7">
        <f>IF(ISNUMBER(C19),(C19-C9)/C9,"N/A")</f>
        <v>-0.32450331125827814</v>
      </c>
    </row>
    <row r="20" spans="2:5" ht="14" x14ac:dyDescent="0.3">
      <c r="B20" s="46" t="s">
        <v>21</v>
      </c>
      <c r="C20" s="45"/>
      <c r="D20" s="45"/>
      <c r="E20" s="45"/>
    </row>
    <row r="21" spans="2:5" ht="14" x14ac:dyDescent="0.3">
      <c r="B21" s="4" t="s">
        <v>22</v>
      </c>
      <c r="C21" s="6" t="str">
        <f>IF(COUNT(C16:C17)=0,"N/A",MIN(C16:C17)&amp;" - "&amp;MAX(C16:C17))</f>
        <v>4364 - 5476</v>
      </c>
    </row>
    <row r="23" spans="2:5" ht="14" x14ac:dyDescent="0.3">
      <c r="B23" s="8" t="s">
        <v>23</v>
      </c>
      <c r="C23" s="9"/>
      <c r="D23" s="9"/>
    </row>
    <row r="24" spans="2:5" x14ac:dyDescent="0.2">
      <c r="B24" t="str">
        <f>"1. Chugai earns a "&amp;TEXT('Comps Analysis'!L5,"0.0""x""")&amp;" multiple on "&amp;TEXT('Comps Analysis'!M5,"0.00""x""")&amp;" book because its operating margin is 47.6% on an IFRS basis - a level almost no listed Japanese manufacturer reaches - and that margin has expanded, not decayed, over the observation window (42.3% -&gt; 39.5% -&gt; 46.3% -&gt; 47.6%)."</f>
        <v>1. Chugai earns a 25.8x multiple on 5.52x book because its operating margin is 47.6% on an IFRS basis - a level almost no listed Japanese manufacturer reaches - and that margin has expanded, not decayed, over the observation window (42.3% -&gt; 39.5% -&gt; 46.3% -&gt; 47.6%).</v>
      </c>
    </row>
    <row r="25" spans="2:5" x14ac:dyDescent="0.2">
      <c r="B25" t="str">
        <f>"2. The balance sheet holds JPY 979.7bn of net cash with zero borrowings or bonds; the only interest-bearing liability is JPY 25.7bn of lease obligations. At "&amp;TEXT(C9,"#,##0")&amp;" per share that cash is roughly a quarter of the market capitalisation and it is not working."</f>
        <v>2. The balance sheet holds JPY 979.7bn of net cash with zero borrowings or bonds; the only interest-bearing liability is JPY 25.7bn of lease obligations. At 6,795 per share that cash is roughly a quarter of the market capitalisation and it is not working.</v>
      </c>
    </row>
    <row r="26" spans="2:5" x14ac:dyDescent="0.2">
      <c r="B26" t="s">
        <v>24</v>
      </c>
    </row>
    <row r="28" spans="2:5" ht="14" x14ac:dyDescent="0.3">
      <c r="B28" s="8" t="s">
        <v>25</v>
      </c>
      <c r="C28" s="9"/>
      <c r="D28" s="9"/>
    </row>
    <row r="29" spans="2:5" x14ac:dyDescent="0.2">
      <c r="B29" t="s">
        <v>26</v>
      </c>
    </row>
    <row r="30" spans="2:5" x14ac:dyDescent="0.2">
      <c r="B30" t="s">
        <v>27</v>
      </c>
    </row>
    <row r="31" spans="2:5" x14ac:dyDescent="0.2">
      <c r="B31" t="s">
        <v>28</v>
      </c>
    </row>
  </sheetData>
  <mergeCells count="3">
    <mergeCell ref="B3:D3"/>
    <mergeCell ref="B1:E1"/>
    <mergeCell ref="B20:E20"/>
  </mergeCells>
  <phoneticPr fontId="8"/>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3366"/>
  </sheetPr>
  <dimension ref="B2:F30"/>
  <sheetViews>
    <sheetView workbookViewId="0"/>
  </sheetViews>
  <sheetFormatPr defaultRowHeight="13" x14ac:dyDescent="0.2"/>
  <cols>
    <col min="1" max="1" width="3" customWidth="1"/>
    <col min="2" max="2" width="32" customWidth="1"/>
    <col min="3" max="6" width="18" customWidth="1"/>
  </cols>
  <sheetData>
    <row r="2" spans="2:6" ht="18" x14ac:dyDescent="0.4">
      <c r="B2" s="2" t="s">
        <v>29</v>
      </c>
    </row>
    <row r="4" spans="2:6" ht="14" x14ac:dyDescent="0.3">
      <c r="C4" s="10" t="s">
        <v>30</v>
      </c>
      <c r="D4" s="10" t="s">
        <v>31</v>
      </c>
      <c r="E4" s="10" t="s">
        <v>32</v>
      </c>
      <c r="F4" s="10" t="s">
        <v>33</v>
      </c>
    </row>
    <row r="5" spans="2:6" ht="14" x14ac:dyDescent="0.3">
      <c r="B5" s="3" t="s">
        <v>34</v>
      </c>
    </row>
    <row r="6" spans="2:6" ht="14" x14ac:dyDescent="0.3">
      <c r="B6" s="4" t="s">
        <v>35</v>
      </c>
      <c r="C6" s="5">
        <v>1259726</v>
      </c>
      <c r="D6" s="5">
        <v>1111367</v>
      </c>
      <c r="E6" s="5">
        <v>1170611</v>
      </c>
      <c r="F6" s="5">
        <v>1257941</v>
      </c>
    </row>
    <row r="7" spans="2:6" ht="14" x14ac:dyDescent="0.3">
      <c r="B7" s="4" t="s">
        <v>36</v>
      </c>
      <c r="C7" s="5"/>
      <c r="D7" s="5"/>
      <c r="E7" s="5"/>
      <c r="F7" s="5">
        <v>338147</v>
      </c>
    </row>
    <row r="8" spans="2:6" ht="14" x14ac:dyDescent="0.3">
      <c r="B8" s="4" t="s">
        <v>37</v>
      </c>
      <c r="F8" s="5">
        <f>F6-F7</f>
        <v>919794</v>
      </c>
    </row>
    <row r="9" spans="2:6" ht="13.5" x14ac:dyDescent="0.25">
      <c r="B9" t="s">
        <v>38</v>
      </c>
      <c r="F9" s="7">
        <f>F8/F6</f>
        <v>0.73119009556092063</v>
      </c>
    </row>
    <row r="10" spans="2:6" ht="14" x14ac:dyDescent="0.3">
      <c r="B10" s="4" t="s">
        <v>39</v>
      </c>
      <c r="C10" s="5"/>
      <c r="D10" s="5"/>
      <c r="E10" s="5"/>
      <c r="F10" s="5"/>
    </row>
    <row r="11" spans="2:6" ht="14" x14ac:dyDescent="0.3">
      <c r="B11" s="4" t="s">
        <v>40</v>
      </c>
      <c r="C11" s="5">
        <v>533309</v>
      </c>
      <c r="D11" s="5">
        <v>439174</v>
      </c>
      <c r="E11" s="5">
        <v>542002</v>
      </c>
      <c r="F11" s="5">
        <v>598833</v>
      </c>
    </row>
    <row r="12" spans="2:6" ht="14" x14ac:dyDescent="0.3">
      <c r="B12" s="4" t="s">
        <v>41</v>
      </c>
      <c r="C12" s="5">
        <v>92488</v>
      </c>
      <c r="D12" s="5">
        <v>157560</v>
      </c>
      <c r="E12" s="5">
        <v>214733</v>
      </c>
      <c r="F12" s="5">
        <v>302995</v>
      </c>
    </row>
    <row r="13" spans="2:6" ht="13.5" x14ac:dyDescent="0.25">
      <c r="B13" t="s">
        <v>42</v>
      </c>
      <c r="C13" s="7">
        <f>C11/C6</f>
        <v>0.42335317362664582</v>
      </c>
      <c r="D13" s="7">
        <f>D11/D6</f>
        <v>0.39516559336384832</v>
      </c>
      <c r="E13" s="7">
        <f>E11/E6</f>
        <v>0.46300777969795259</v>
      </c>
      <c r="F13" s="7">
        <f>F11/F6</f>
        <v>0.47604219911744666</v>
      </c>
    </row>
    <row r="14" spans="2:6" ht="13.5" x14ac:dyDescent="0.25">
      <c r="B14" t="s">
        <v>43</v>
      </c>
      <c r="C14" s="7">
        <f>C12/C6</f>
        <v>7.341914035274337E-2</v>
      </c>
      <c r="D14" s="7">
        <f>D12/D6</f>
        <v>0.14177135005808161</v>
      </c>
      <c r="E14" s="7">
        <f>E12/E6</f>
        <v>0.18343668391976498</v>
      </c>
      <c r="F14" s="7">
        <f>F12/F6</f>
        <v>0.24086582757060943</v>
      </c>
    </row>
    <row r="15" spans="2:6" ht="13.5" x14ac:dyDescent="0.25">
      <c r="B15" t="s">
        <v>44</v>
      </c>
      <c r="C15" t="s">
        <v>45</v>
      </c>
      <c r="D15" s="7">
        <f>(D6-C6)/C6</f>
        <v>-0.11777084858135817</v>
      </c>
      <c r="E15" s="7">
        <f>(E6-D6)/D6</f>
        <v>5.3307323323438613E-2</v>
      </c>
      <c r="F15" s="7">
        <f>(F6-E6)/E6</f>
        <v>7.4602066783927362E-2</v>
      </c>
    </row>
    <row r="16" spans="2:6" ht="13.5" x14ac:dyDescent="0.25">
      <c r="B16" t="s">
        <v>46</v>
      </c>
      <c r="C16" t="s">
        <v>45</v>
      </c>
      <c r="D16" s="7">
        <f>(D11-C11)/C11</f>
        <v>-0.17651117832251095</v>
      </c>
      <c r="E16" s="7">
        <f>(E11-D11)/D11</f>
        <v>0.23413954377991411</v>
      </c>
      <c r="F16" s="7">
        <f>(F11-E11)/E11</f>
        <v>0.10485385662783532</v>
      </c>
    </row>
    <row r="18" spans="2:6" ht="14" x14ac:dyDescent="0.3">
      <c r="B18" s="3" t="s">
        <v>47</v>
      </c>
    </row>
    <row r="19" spans="2:6" ht="14" x14ac:dyDescent="0.3">
      <c r="B19" s="4" t="s">
        <v>48</v>
      </c>
      <c r="C19" s="5">
        <v>243582</v>
      </c>
      <c r="D19" s="5">
        <v>409925</v>
      </c>
      <c r="E19" s="5">
        <v>447600</v>
      </c>
      <c r="F19" s="5">
        <v>386280</v>
      </c>
    </row>
    <row r="20" spans="2:6" ht="14" x14ac:dyDescent="0.3">
      <c r="B20" s="4" t="s">
        <v>49</v>
      </c>
      <c r="C20" s="5">
        <v>62625</v>
      </c>
      <c r="D20" s="5">
        <v>71948</v>
      </c>
      <c r="E20" s="5">
        <v>50415</v>
      </c>
      <c r="F20" s="5">
        <v>76273</v>
      </c>
    </row>
    <row r="21" spans="2:6" ht="14" x14ac:dyDescent="0.3">
      <c r="B21" s="4" t="s">
        <v>50</v>
      </c>
      <c r="C21" s="5">
        <f>C19-C20</f>
        <v>180957</v>
      </c>
      <c r="D21" s="5">
        <f>D19-D20</f>
        <v>337977</v>
      </c>
      <c r="E21" s="5">
        <f>E19-E20</f>
        <v>397185</v>
      </c>
      <c r="F21" s="5">
        <f>F19-F20</f>
        <v>310007</v>
      </c>
    </row>
    <row r="22" spans="2:6" ht="13.5" x14ac:dyDescent="0.25">
      <c r="B22" t="s">
        <v>51</v>
      </c>
      <c r="C22" s="7">
        <f>C21/C6</f>
        <v>0.14364790438555686</v>
      </c>
      <c r="D22" s="7">
        <f>D21/D6</f>
        <v>0.30410926363658447</v>
      </c>
      <c r="E22" s="7">
        <f>E21/E6</f>
        <v>0.3392971704520118</v>
      </c>
      <c r="F22" s="7">
        <f>F21/F6</f>
        <v>0.24644001586719885</v>
      </c>
    </row>
    <row r="23" spans="2:6" ht="13.5" x14ac:dyDescent="0.25">
      <c r="B23" t="s">
        <v>52</v>
      </c>
      <c r="C23" s="7">
        <f>C20/C6</f>
        <v>4.9713191598807993E-2</v>
      </c>
      <c r="D23" s="7">
        <f>D20/D6</f>
        <v>6.4738290771635287E-2</v>
      </c>
      <c r="E23" s="7">
        <f>E20/E6</f>
        <v>4.3067252913222241E-2</v>
      </c>
      <c r="F23" s="7">
        <f>F20/F6</f>
        <v>6.063320934765621E-2</v>
      </c>
    </row>
    <row r="25" spans="2:6" ht="14" x14ac:dyDescent="0.3">
      <c r="B25" s="3" t="s">
        <v>53</v>
      </c>
    </row>
    <row r="26" spans="2:6" ht="14" x14ac:dyDescent="0.3">
      <c r="B26" s="4" t="s">
        <v>54</v>
      </c>
      <c r="C26" s="5">
        <v>222169</v>
      </c>
      <c r="D26" s="5">
        <v>458674</v>
      </c>
      <c r="E26" s="5">
        <v>540202</v>
      </c>
      <c r="F26" s="5">
        <v>426602</v>
      </c>
    </row>
    <row r="27" spans="2:6" ht="14" x14ac:dyDescent="0.3">
      <c r="B27" s="4" t="s">
        <v>55</v>
      </c>
      <c r="C27" s="5">
        <v>14109</v>
      </c>
      <c r="D27" s="5">
        <v>13455</v>
      </c>
      <c r="E27" s="5">
        <v>10897</v>
      </c>
      <c r="F27" s="5">
        <v>25711</v>
      </c>
    </row>
    <row r="28" spans="2:6" ht="14" x14ac:dyDescent="0.3">
      <c r="B28" s="4" t="s">
        <v>56</v>
      </c>
      <c r="C28" s="5">
        <f>C27-C26</f>
        <v>-208060</v>
      </c>
      <c r="D28" s="5">
        <f>D27-D26</f>
        <v>-445219</v>
      </c>
      <c r="E28" s="5">
        <f>E27-E26</f>
        <v>-529305</v>
      </c>
      <c r="F28" s="5">
        <f>F27-F26</f>
        <v>-400891</v>
      </c>
    </row>
    <row r="30" spans="2:6" ht="14" x14ac:dyDescent="0.3">
      <c r="B30" s="1" t="s">
        <v>57</v>
      </c>
    </row>
  </sheetData>
  <phoneticPr fontId="8"/>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6600"/>
  </sheetPr>
  <dimension ref="B2:G87"/>
  <sheetViews>
    <sheetView workbookViewId="0"/>
  </sheetViews>
  <sheetFormatPr defaultRowHeight="13" x14ac:dyDescent="0.2"/>
  <cols>
    <col min="1" max="1" width="3" customWidth="1"/>
    <col min="2" max="2" width="32" customWidth="1"/>
    <col min="3" max="7" width="16" customWidth="1"/>
  </cols>
  <sheetData>
    <row r="2" spans="2:7" ht="18" x14ac:dyDescent="0.4">
      <c r="B2" s="2" t="s">
        <v>58</v>
      </c>
    </row>
    <row r="4" spans="2:7" ht="14" x14ac:dyDescent="0.3">
      <c r="B4" s="8" t="s">
        <v>59</v>
      </c>
      <c r="C4" s="9"/>
      <c r="D4" s="9"/>
      <c r="E4" s="9"/>
      <c r="F4" s="9"/>
      <c r="G4" s="9"/>
    </row>
    <row r="5" spans="2:7" ht="14" x14ac:dyDescent="0.3">
      <c r="B5" s="4" t="s">
        <v>52</v>
      </c>
      <c r="C5" s="7">
        <v>2.7199999999999998E-2</v>
      </c>
    </row>
    <row r="6" spans="2:7" ht="14" x14ac:dyDescent="0.3">
      <c r="B6" s="4" t="s">
        <v>60</v>
      </c>
      <c r="C6" s="7">
        <v>0.25</v>
      </c>
    </row>
    <row r="7" spans="2:7" ht="14" x14ac:dyDescent="0.3">
      <c r="B7" s="4" t="s">
        <v>61</v>
      </c>
      <c r="C7" s="7">
        <v>2.9700000000000001E-2</v>
      </c>
    </row>
    <row r="8" spans="2:7" ht="14" x14ac:dyDescent="0.3">
      <c r="B8" s="4" t="s">
        <v>62</v>
      </c>
      <c r="C8" s="12">
        <v>0.81910000000000005</v>
      </c>
    </row>
    <row r="9" spans="2:7" ht="14" x14ac:dyDescent="0.3">
      <c r="B9" s="4" t="s">
        <v>63</v>
      </c>
      <c r="C9" s="7">
        <v>6.5000000000000002E-2</v>
      </c>
    </row>
    <row r="10" spans="2:7" ht="14" x14ac:dyDescent="0.3">
      <c r="B10" s="4" t="s">
        <v>64</v>
      </c>
      <c r="C10" s="7">
        <v>0.01</v>
      </c>
    </row>
    <row r="11" spans="2:7" ht="14" x14ac:dyDescent="0.3">
      <c r="B11" s="4" t="s">
        <v>65</v>
      </c>
      <c r="C11" s="7">
        <v>0.01</v>
      </c>
    </row>
    <row r="12" spans="2:7" ht="14" x14ac:dyDescent="0.3">
      <c r="B12" s="4" t="s">
        <v>66</v>
      </c>
      <c r="C12" s="13">
        <v>0</v>
      </c>
    </row>
    <row r="13" spans="2:7" ht="14" x14ac:dyDescent="0.3">
      <c r="B13" s="4" t="s">
        <v>67</v>
      </c>
      <c r="C13" s="7">
        <v>0.01</v>
      </c>
    </row>
    <row r="14" spans="2:7" ht="14" x14ac:dyDescent="0.3">
      <c r="B14" s="4" t="s">
        <v>68</v>
      </c>
      <c r="C14" s="14">
        <v>12</v>
      </c>
    </row>
    <row r="15" spans="2:7" ht="14" x14ac:dyDescent="0.3">
      <c r="B15" s="4" t="s">
        <v>69</v>
      </c>
      <c r="C15" s="15">
        <v>1645577167</v>
      </c>
    </row>
    <row r="16" spans="2:7" ht="14" x14ac:dyDescent="0.3">
      <c r="B16" s="4" t="s">
        <v>70</v>
      </c>
      <c r="C16" s="5">
        <v>-979700</v>
      </c>
    </row>
    <row r="17" spans="2:7" ht="14" x14ac:dyDescent="0.3">
      <c r="B17" s="4" t="s">
        <v>71</v>
      </c>
      <c r="C17" s="5">
        <v>1257941</v>
      </c>
    </row>
    <row r="18" spans="2:7" ht="14" x14ac:dyDescent="0.3">
      <c r="B18" s="4" t="s">
        <v>72</v>
      </c>
      <c r="C18" s="7">
        <v>2.5899999999999999E-2</v>
      </c>
    </row>
    <row r="19" spans="2:7" ht="14" x14ac:dyDescent="0.3">
      <c r="B19" s="4" t="s">
        <v>73</v>
      </c>
      <c r="C19" s="12">
        <v>0.5</v>
      </c>
    </row>
    <row r="20" spans="2:7" ht="14" x14ac:dyDescent="0.3">
      <c r="B20" s="4" t="s">
        <v>74</v>
      </c>
      <c r="C20" s="5">
        <v>1342809</v>
      </c>
    </row>
    <row r="22" spans="2:7" ht="14" x14ac:dyDescent="0.3">
      <c r="B22" s="8" t="s">
        <v>75</v>
      </c>
      <c r="C22" s="9"/>
      <c r="D22" s="9"/>
      <c r="E22" s="9"/>
      <c r="F22" s="9"/>
      <c r="G22" s="9"/>
    </row>
    <row r="23" spans="2:7" ht="14" x14ac:dyDescent="0.3">
      <c r="B23" s="4" t="s">
        <v>76</v>
      </c>
      <c r="C23" s="16">
        <f>C7+C8*C9+C10</f>
        <v>9.2941499999999996E-2</v>
      </c>
    </row>
    <row r="24" spans="2:7" ht="14" x14ac:dyDescent="0.3">
      <c r="B24" s="4" t="s">
        <v>77</v>
      </c>
      <c r="C24" s="16">
        <f>1/(1+C12)</f>
        <v>1</v>
      </c>
    </row>
    <row r="25" spans="2:7" ht="14" x14ac:dyDescent="0.3">
      <c r="B25" s="4" t="s">
        <v>78</v>
      </c>
      <c r="C25" s="16">
        <f>C12/(1+C12)</f>
        <v>0</v>
      </c>
    </row>
    <row r="26" spans="2:7" ht="14" x14ac:dyDescent="0.3">
      <c r="B26" s="4" t="s">
        <v>79</v>
      </c>
      <c r="C26" s="16">
        <f>C23*C24+C11*C25</f>
        <v>9.2941499999999996E-2</v>
      </c>
    </row>
    <row r="27" spans="2:7" ht="14" x14ac:dyDescent="0.3">
      <c r="B27" s="4" t="s">
        <v>80</v>
      </c>
      <c r="C27" s="17" t="s">
        <v>81</v>
      </c>
      <c r="D27" s="6">
        <f>MATCH(C27,B69:B73,0)</f>
        <v>1</v>
      </c>
    </row>
    <row r="28" spans="2:7" ht="14" x14ac:dyDescent="0.3">
      <c r="B28" s="8" t="s">
        <v>82</v>
      </c>
      <c r="C28" s="9"/>
      <c r="D28" s="9"/>
      <c r="E28" s="9"/>
      <c r="F28" s="9"/>
      <c r="G28" s="9"/>
    </row>
    <row r="29" spans="2:7" ht="14" x14ac:dyDescent="0.3">
      <c r="C29" s="10" t="s">
        <v>83</v>
      </c>
      <c r="D29" s="10" t="s">
        <v>84</v>
      </c>
      <c r="E29" s="10" t="s">
        <v>85</v>
      </c>
      <c r="F29" s="10" t="s">
        <v>86</v>
      </c>
      <c r="G29" s="10" t="s">
        <v>87</v>
      </c>
    </row>
    <row r="30" spans="2:7" ht="14" x14ac:dyDescent="0.3">
      <c r="B30" s="4" t="s">
        <v>44</v>
      </c>
      <c r="C30" s="18">
        <f>CHOOSE($D$27,C69,C70,C71,C72,C73)</f>
        <v>6.7000000000000004E-2</v>
      </c>
      <c r="D30" s="18">
        <f>CHOOSE($D$27,D69,D70,D71,D72,D73)</f>
        <v>0.05</v>
      </c>
      <c r="E30" s="18">
        <f>CHOOSE($D$27,E69,E70,E71,E72,E73)</f>
        <v>3.5000000000000003E-2</v>
      </c>
      <c r="F30" s="18">
        <f>CHOOSE($D$27,F69,F70,F71,F72,F73)</f>
        <v>2.5000000000000001E-2</v>
      </c>
      <c r="G30" s="18">
        <f>CHOOSE($D$27,G69,G70,G71,G72,G73)</f>
        <v>0.02</v>
      </c>
    </row>
    <row r="31" spans="2:7" ht="14" x14ac:dyDescent="0.3">
      <c r="B31" s="4" t="s">
        <v>88</v>
      </c>
      <c r="C31" s="18">
        <f>CHOOSE($D$27,C76,C77,C78,C79,C80)</f>
        <v>0.28910000000000002</v>
      </c>
      <c r="D31" s="18">
        <f>CHOOSE($D$27,D76,D77,D78,D79,D80)</f>
        <v>0.28910000000000002</v>
      </c>
      <c r="E31" s="18">
        <f>CHOOSE($D$27,E76,E77,E78,E79,E80)</f>
        <v>0.28910000000000002</v>
      </c>
      <c r="F31" s="18">
        <f>CHOOSE($D$27,F76,F77,F78,F79,F80)</f>
        <v>0.28910000000000002</v>
      </c>
      <c r="G31" s="18">
        <f>CHOOSE($D$27,G76,G77,G78,G79,G80)</f>
        <v>0.28910000000000002</v>
      </c>
    </row>
    <row r="32" spans="2:7" ht="14" x14ac:dyDescent="0.3">
      <c r="B32" s="4" t="s">
        <v>89</v>
      </c>
      <c r="C32" s="18">
        <f>CHOOSE($D$27,C83,C84,C85,C86,C87)</f>
        <v>0.23980000000000001</v>
      </c>
      <c r="D32" s="18">
        <f>CHOOSE($D$27,D83,D84,D85,D86,D87)</f>
        <v>0.23980000000000001</v>
      </c>
      <c r="E32" s="18">
        <f>CHOOSE($D$27,E83,E84,E85,E86,E87)</f>
        <v>0.23980000000000001</v>
      </c>
      <c r="F32" s="18">
        <f>CHOOSE($D$27,F83,F84,F85,F86,F87)</f>
        <v>0.23980000000000001</v>
      </c>
      <c r="G32" s="18">
        <f>CHOOSE($D$27,G83,G84,G85,G86,G87)</f>
        <v>0.23980000000000001</v>
      </c>
    </row>
    <row r="33" spans="2:7" ht="14" x14ac:dyDescent="0.3">
      <c r="B33" s="4" t="s">
        <v>35</v>
      </c>
      <c r="C33" s="5">
        <f>C17*(1+C30)</f>
        <v>1342223.047</v>
      </c>
      <c r="D33" s="5">
        <f>C33*(1+D30)</f>
        <v>1409334.1993500001</v>
      </c>
      <c r="E33" s="5">
        <f>D33*(1+E30)</f>
        <v>1458660.8963272499</v>
      </c>
      <c r="F33" s="5">
        <f>E33*(1+F30)</f>
        <v>1495127.418735431</v>
      </c>
      <c r="G33" s="5">
        <f>F33*(1+G30)</f>
        <v>1525029.9671101398</v>
      </c>
    </row>
    <row r="34" spans="2:7" ht="14" x14ac:dyDescent="0.3">
      <c r="B34" s="4" t="s">
        <v>36</v>
      </c>
      <c r="C34" s="5">
        <f>C33*C31</f>
        <v>388036.68288770004</v>
      </c>
      <c r="D34" s="5">
        <f>D33*D31</f>
        <v>407438.51703208504</v>
      </c>
      <c r="E34" s="5">
        <f>E33*E31</f>
        <v>421698.86512820801</v>
      </c>
      <c r="F34" s="5">
        <f>F33*F31</f>
        <v>432241.33675641316</v>
      </c>
      <c r="G34" s="5">
        <f>G33*G31</f>
        <v>440886.16349154146</v>
      </c>
    </row>
    <row r="35" spans="2:7" ht="14" x14ac:dyDescent="0.3">
      <c r="B35" s="4" t="s">
        <v>37</v>
      </c>
      <c r="C35" s="19">
        <f>C33-C34</f>
        <v>954186.36411229998</v>
      </c>
      <c r="D35" s="19">
        <f>D33-D34</f>
        <v>1001895.6823179151</v>
      </c>
      <c r="E35" s="19">
        <f>E33-E34</f>
        <v>1036962.031199042</v>
      </c>
      <c r="F35" s="19">
        <f>F33-F34</f>
        <v>1062886.0819790179</v>
      </c>
      <c r="G35" s="19">
        <f>G33-G34</f>
        <v>1084143.8036185983</v>
      </c>
    </row>
    <row r="36" spans="2:7" ht="14" x14ac:dyDescent="0.3">
      <c r="B36" s="4" t="s">
        <v>38</v>
      </c>
      <c r="C36" s="7">
        <f>C35/C33</f>
        <v>0.71089999999999998</v>
      </c>
      <c r="D36" s="7">
        <f>D35/D33</f>
        <v>0.71090000000000009</v>
      </c>
      <c r="E36" s="7">
        <f>E35/E33</f>
        <v>0.71089999999999998</v>
      </c>
      <c r="F36" s="7">
        <f>F35/F33</f>
        <v>0.71089999999999998</v>
      </c>
      <c r="G36" s="7">
        <f>G35/G33</f>
        <v>0.71089999999999998</v>
      </c>
    </row>
    <row r="37" spans="2:7" ht="14" x14ac:dyDescent="0.3">
      <c r="B37" s="4" t="s">
        <v>90</v>
      </c>
      <c r="C37" s="5">
        <f>C33*C32</f>
        <v>321865.08667059999</v>
      </c>
      <c r="D37" s="5">
        <f>D33*D32</f>
        <v>337958.34100413002</v>
      </c>
      <c r="E37" s="5">
        <f>E33*E32</f>
        <v>349786.88293927454</v>
      </c>
      <c r="F37" s="5">
        <f>F33*F32</f>
        <v>358531.55501275638</v>
      </c>
      <c r="G37" s="5">
        <f>G33*G32</f>
        <v>365702.18611301156</v>
      </c>
    </row>
    <row r="38" spans="2:7" ht="14" x14ac:dyDescent="0.3">
      <c r="B38" s="4" t="s">
        <v>91</v>
      </c>
      <c r="C38" s="7">
        <f>(C35-C37)/C33</f>
        <v>0.47109999999999996</v>
      </c>
      <c r="D38" s="7">
        <f>(D35-D37)/D33</f>
        <v>0.47110000000000007</v>
      </c>
      <c r="E38" s="7">
        <f>(E35-E37)/E33</f>
        <v>0.47110000000000002</v>
      </c>
      <c r="F38" s="7">
        <f>(F35-F37)/F33</f>
        <v>0.47110000000000002</v>
      </c>
      <c r="G38" s="7">
        <f>(G35-G37)/G33</f>
        <v>0.47109999999999991</v>
      </c>
    </row>
    <row r="39" spans="2:7" ht="14" x14ac:dyDescent="0.3">
      <c r="B39" s="4" t="s">
        <v>92</v>
      </c>
      <c r="C39" s="19">
        <f>C35-C37</f>
        <v>632321.27744169999</v>
      </c>
      <c r="D39" s="19">
        <f>D35-D37</f>
        <v>663937.34131378517</v>
      </c>
      <c r="E39" s="19">
        <f>E35-E37</f>
        <v>687175.14825976745</v>
      </c>
      <c r="F39" s="19">
        <f>F35-F37</f>
        <v>704354.52696626156</v>
      </c>
      <c r="G39" s="19">
        <f>G35-G37</f>
        <v>718441.61750558671</v>
      </c>
    </row>
    <row r="40" spans="2:7" ht="14" x14ac:dyDescent="0.3">
      <c r="B40" s="4" t="s">
        <v>93</v>
      </c>
      <c r="C40" s="5">
        <f>MAX(0,C39*C6)</f>
        <v>158080.319360425</v>
      </c>
      <c r="D40" s="5">
        <f>MAX(0,D39*C6)</f>
        <v>165984.33532844629</v>
      </c>
      <c r="E40" s="5">
        <f>MAX(0,E39*C6)</f>
        <v>171793.78706494186</v>
      </c>
      <c r="F40" s="5">
        <f>MAX(0,F39*C6)</f>
        <v>176088.63174156539</v>
      </c>
      <c r="G40" s="5">
        <f>MAX(0,G39*C6)</f>
        <v>179610.40437639668</v>
      </c>
    </row>
    <row r="41" spans="2:7" ht="14" x14ac:dyDescent="0.3">
      <c r="B41" s="4" t="s">
        <v>94</v>
      </c>
      <c r="C41" s="19">
        <f>C39-C40</f>
        <v>474240.95808127499</v>
      </c>
      <c r="D41" s="19">
        <f>D39-D40</f>
        <v>497953.00598533888</v>
      </c>
      <c r="E41" s="19">
        <f>E39-E40</f>
        <v>515381.36119482561</v>
      </c>
      <c r="F41" s="19">
        <f>F39-F40</f>
        <v>528265.89522469614</v>
      </c>
      <c r="G41" s="19">
        <f>G39-G40</f>
        <v>538831.21312919003</v>
      </c>
    </row>
    <row r="42" spans="2:7" ht="14" x14ac:dyDescent="0.3">
      <c r="B42" s="4" t="s">
        <v>95</v>
      </c>
      <c r="C42" s="5">
        <f>C33*C18</f>
        <v>34763.576917300001</v>
      </c>
      <c r="D42" s="5">
        <f>D33*C18</f>
        <v>36501.755763165005</v>
      </c>
      <c r="E42" s="5">
        <f>E33*C18</f>
        <v>37779.317214875773</v>
      </c>
      <c r="F42" s="5">
        <f>F33*C18</f>
        <v>38723.80014524766</v>
      </c>
      <c r="G42" s="5">
        <f>G33*C18</f>
        <v>39498.276148152618</v>
      </c>
    </row>
    <row r="43" spans="2:7" ht="14" x14ac:dyDescent="0.3">
      <c r="B43" s="4" t="s">
        <v>96</v>
      </c>
      <c r="C43" s="5">
        <f>C33*C5</f>
        <v>36508.466878399995</v>
      </c>
      <c r="D43" s="5">
        <f>D33*C5</f>
        <v>38333.890222319998</v>
      </c>
      <c r="E43" s="5">
        <f>E33*C5</f>
        <v>39675.576380101193</v>
      </c>
      <c r="F43" s="5">
        <f>F33*C5</f>
        <v>40667.465789603724</v>
      </c>
      <c r="G43" s="5">
        <f>G33*C5</f>
        <v>41480.815105395799</v>
      </c>
    </row>
    <row r="44" spans="2:7" ht="14" x14ac:dyDescent="0.3">
      <c r="B44" s="4" t="s">
        <v>97</v>
      </c>
      <c r="C44" s="5">
        <f>'NWC Schedule'!D19</f>
        <v>41364.850674397312</v>
      </c>
      <c r="D44" s="5">
        <f>'NWC Schedule'!E19</f>
        <v>31692.092533719842</v>
      </c>
      <c r="E44" s="5">
        <f>'NWC Schedule'!F19</f>
        <v>23293.68801228411</v>
      </c>
      <c r="F44" s="5">
        <f>'NWC Schedule'!G19</f>
        <v>17220.690780509962</v>
      </c>
      <c r="G44" s="5">
        <f>'NWC Schedule'!H19</f>
        <v>14120.966440018266</v>
      </c>
    </row>
    <row r="45" spans="2:7" ht="14" x14ac:dyDescent="0.3">
      <c r="B45" s="4" t="s">
        <v>98</v>
      </c>
      <c r="C45" s="20">
        <f>C41+C42-C43-C44</f>
        <v>431131.21744577767</v>
      </c>
      <c r="D45" s="20">
        <f>D41+D42-D43-D44</f>
        <v>464428.77899246407</v>
      </c>
      <c r="E45" s="20">
        <f>E41+E42-E43-E44</f>
        <v>490191.41401731613</v>
      </c>
      <c r="F45" s="20">
        <f>F41+F42-F43-F44</f>
        <v>509101.53879983001</v>
      </c>
      <c r="G45" s="20">
        <f>G41+G42-G43-G44</f>
        <v>522727.70773192868</v>
      </c>
    </row>
    <row r="46" spans="2:7" ht="14" x14ac:dyDescent="0.3">
      <c r="B46" s="4" t="s">
        <v>99</v>
      </c>
      <c r="C46" s="21">
        <f>1/(1+C26)^(C19+0)</f>
        <v>0.95653648871133279</v>
      </c>
      <c r="D46" s="21">
        <f>1/(1+C26)^(C19+1)</f>
        <v>0.87519459066320815</v>
      </c>
      <c r="E46" s="21">
        <f>1/(1+C26)^(C19+2)</f>
        <v>0.80076984052962419</v>
      </c>
      <c r="F46" s="21">
        <f>1/(1+C26)^(C19+3)</f>
        <v>0.73267401826138379</v>
      </c>
      <c r="G46" s="21">
        <f>1/(1+C26)^(C19+4)</f>
        <v>0.67036892483393096</v>
      </c>
    </row>
    <row r="47" spans="2:7" ht="14" x14ac:dyDescent="0.3">
      <c r="B47" s="4" t="s">
        <v>100</v>
      </c>
      <c r="C47" s="19">
        <f>C45*C46</f>
        <v>412392.7409094263</v>
      </c>
      <c r="D47" s="19">
        <f>D45*D46</f>
        <v>406465.55512252316</v>
      </c>
      <c r="E47" s="19">
        <f>E45*E46</f>
        <v>392530.50043163722</v>
      </c>
      <c r="F47" s="19">
        <f>F45*F46</f>
        <v>373005.47013552522</v>
      </c>
      <c r="G47" s="19">
        <f>G45*G46</f>
        <v>350420.41141315835</v>
      </c>
    </row>
    <row r="49" spans="2:7" ht="14" x14ac:dyDescent="0.3">
      <c r="B49" s="22" t="s">
        <v>101</v>
      </c>
      <c r="C49" s="23"/>
      <c r="D49" s="23"/>
      <c r="E49" s="23"/>
      <c r="F49" s="23"/>
      <c r="G49" s="23"/>
    </row>
    <row r="50" spans="2:7" ht="14" x14ac:dyDescent="0.3">
      <c r="B50" s="4" t="s">
        <v>102</v>
      </c>
      <c r="C50" s="5">
        <f>SUM(C47:G47)</f>
        <v>1934814.67801227</v>
      </c>
    </row>
    <row r="51" spans="2:7" ht="14" x14ac:dyDescent="0.3">
      <c r="B51" s="4" t="s">
        <v>103</v>
      </c>
      <c r="C51" s="5">
        <f>G45*(1+C13)/(C26-C13)</f>
        <v>6365389.8809311138</v>
      </c>
    </row>
    <row r="52" spans="2:7" ht="14" x14ac:dyDescent="0.3">
      <c r="B52" s="4" t="s">
        <v>104</v>
      </c>
      <c r="C52" s="5">
        <f>C51*G46</f>
        <v>4267159.5706285741</v>
      </c>
    </row>
    <row r="53" spans="2:7" ht="14" x14ac:dyDescent="0.3">
      <c r="B53" s="4" t="s">
        <v>105</v>
      </c>
      <c r="C53" s="5">
        <f>C50+C52</f>
        <v>6201974.2486408446</v>
      </c>
    </row>
    <row r="54" spans="2:7" ht="14" x14ac:dyDescent="0.3">
      <c r="B54" s="4" t="s">
        <v>106</v>
      </c>
      <c r="C54" s="5">
        <f>C53-C16</f>
        <v>7181674.2486408446</v>
      </c>
    </row>
    <row r="55" spans="2:7" ht="14" x14ac:dyDescent="0.3">
      <c r="B55" s="4" t="s">
        <v>107</v>
      </c>
      <c r="C55" s="24">
        <f>ROUND(C54*1000000/C15,0)</f>
        <v>4364</v>
      </c>
    </row>
    <row r="57" spans="2:7" ht="14" x14ac:dyDescent="0.3">
      <c r="B57" s="22" t="s">
        <v>108</v>
      </c>
      <c r="C57" s="23"/>
      <c r="D57" s="23"/>
      <c r="E57" s="23"/>
      <c r="F57" s="23"/>
      <c r="G57" s="23"/>
    </row>
    <row r="58" spans="2:7" ht="14" x14ac:dyDescent="0.3">
      <c r="B58" s="4" t="s">
        <v>102</v>
      </c>
      <c r="C58" s="5">
        <f>C50</f>
        <v>1934814.67801227</v>
      </c>
    </row>
    <row r="59" spans="2:7" ht="14" x14ac:dyDescent="0.3">
      <c r="B59" s="4" t="s">
        <v>109</v>
      </c>
      <c r="C59" s="5">
        <f>G39+G42</f>
        <v>757939.89365373936</v>
      </c>
    </row>
    <row r="60" spans="2:7" ht="14" x14ac:dyDescent="0.3">
      <c r="B60" s="4" t="s">
        <v>110</v>
      </c>
      <c r="C60" s="5">
        <f>C59*C14</f>
        <v>9095278.7238448728</v>
      </c>
    </row>
    <row r="61" spans="2:7" ht="14" x14ac:dyDescent="0.3">
      <c r="B61" s="4" t="s">
        <v>104</v>
      </c>
      <c r="C61" s="5">
        <f>C60*G46</f>
        <v>6097192.2191688148</v>
      </c>
    </row>
    <row r="62" spans="2:7" ht="14" x14ac:dyDescent="0.3">
      <c r="B62" s="4" t="s">
        <v>105</v>
      </c>
      <c r="C62" s="5">
        <f>C58+C61</f>
        <v>8032006.8971810844</v>
      </c>
    </row>
    <row r="63" spans="2:7" ht="14" x14ac:dyDescent="0.3">
      <c r="B63" s="4" t="s">
        <v>106</v>
      </c>
      <c r="C63" s="5">
        <f>C62-C16</f>
        <v>9011706.8971810844</v>
      </c>
    </row>
    <row r="64" spans="2:7" ht="14" x14ac:dyDescent="0.3">
      <c r="B64" s="4" t="s">
        <v>111</v>
      </c>
      <c r="C64" s="24">
        <f>ROUND(C63*1000000/C15,0)</f>
        <v>5476</v>
      </c>
    </row>
    <row r="66" spans="2:7" ht="14" x14ac:dyDescent="0.3">
      <c r="B66" s="22" t="s">
        <v>112</v>
      </c>
      <c r="C66" s="23"/>
      <c r="D66" s="23"/>
      <c r="E66" s="23"/>
      <c r="F66" s="23"/>
      <c r="G66" s="23"/>
    </row>
    <row r="67" spans="2:7" ht="14" x14ac:dyDescent="0.3">
      <c r="C67" s="25" t="s">
        <v>113</v>
      </c>
      <c r="D67" s="25" t="s">
        <v>114</v>
      </c>
      <c r="E67" s="25" t="s">
        <v>115</v>
      </c>
      <c r="F67" s="25" t="s">
        <v>116</v>
      </c>
      <c r="G67" s="25" t="s">
        <v>117</v>
      </c>
    </row>
    <row r="68" spans="2:7" ht="14" x14ac:dyDescent="0.3">
      <c r="B68" s="3" t="s">
        <v>44</v>
      </c>
    </row>
    <row r="69" spans="2:7" ht="14" x14ac:dyDescent="0.3">
      <c r="B69" s="4" t="s">
        <v>81</v>
      </c>
      <c r="C69" s="26">
        <v>6.7000000000000004E-2</v>
      </c>
      <c r="D69" s="26">
        <v>0.05</v>
      </c>
      <c r="E69" s="26">
        <v>3.5000000000000003E-2</v>
      </c>
      <c r="F69" s="26">
        <v>2.5000000000000001E-2</v>
      </c>
      <c r="G69" s="26">
        <v>0.02</v>
      </c>
    </row>
    <row r="70" spans="2:7" ht="14" x14ac:dyDescent="0.3">
      <c r="B70" s="4" t="s">
        <v>118</v>
      </c>
      <c r="C70" s="26">
        <v>0.1</v>
      </c>
      <c r="D70" s="26">
        <v>7.0000000000000007E-2</v>
      </c>
      <c r="E70" s="26">
        <v>0.05</v>
      </c>
      <c r="F70" s="26">
        <v>3.5000000000000003E-2</v>
      </c>
      <c r="G70" s="26">
        <v>0.03</v>
      </c>
    </row>
    <row r="71" spans="2:7" ht="14" x14ac:dyDescent="0.3">
      <c r="B71" s="4" t="s">
        <v>119</v>
      </c>
      <c r="C71" s="26">
        <v>6.7000000000000004E-2</v>
      </c>
      <c r="D71" s="26">
        <v>0.05</v>
      </c>
      <c r="E71" s="26">
        <v>3.5000000000000003E-2</v>
      </c>
      <c r="F71" s="26">
        <v>2.5000000000000001E-2</v>
      </c>
      <c r="G71" s="26">
        <v>0.02</v>
      </c>
    </row>
    <row r="72" spans="2:7" ht="14" x14ac:dyDescent="0.3">
      <c r="B72" s="4" t="s">
        <v>120</v>
      </c>
      <c r="C72" s="26">
        <v>0.02</v>
      </c>
      <c r="D72" s="26">
        <v>0.02</v>
      </c>
      <c r="E72" s="26">
        <v>1.4999999999999999E-2</v>
      </c>
      <c r="F72" s="26">
        <v>1.4999999999999999E-2</v>
      </c>
      <c r="G72" s="26">
        <v>1.4999999999999999E-2</v>
      </c>
    </row>
    <row r="73" spans="2:7" ht="14" x14ac:dyDescent="0.3">
      <c r="B73" s="4" t="s">
        <v>121</v>
      </c>
      <c r="C73" s="26">
        <v>-0.05</v>
      </c>
      <c r="D73" s="26">
        <v>0</v>
      </c>
      <c r="E73" s="26">
        <v>0.01</v>
      </c>
      <c r="F73" s="26">
        <v>1.4999999999999999E-2</v>
      </c>
      <c r="G73" s="26">
        <v>1.4999999999999999E-2</v>
      </c>
    </row>
    <row r="75" spans="2:7" ht="14" x14ac:dyDescent="0.3">
      <c r="B75" s="3" t="s">
        <v>88</v>
      </c>
    </row>
    <row r="76" spans="2:7" ht="14" x14ac:dyDescent="0.3">
      <c r="B76" s="4" t="s">
        <v>81</v>
      </c>
      <c r="C76" s="26">
        <v>0.28910000000000002</v>
      </c>
      <c r="D76" s="26">
        <v>0.28910000000000002</v>
      </c>
      <c r="E76" s="26">
        <v>0.28910000000000002</v>
      </c>
      <c r="F76" s="26">
        <v>0.28910000000000002</v>
      </c>
      <c r="G76" s="26">
        <v>0.28910000000000002</v>
      </c>
    </row>
    <row r="77" spans="2:7" ht="14" x14ac:dyDescent="0.3">
      <c r="B77" s="4" t="s">
        <v>118</v>
      </c>
      <c r="C77" s="26">
        <v>0.28910000000000002</v>
      </c>
      <c r="D77" s="26">
        <v>0.28910000000000002</v>
      </c>
      <c r="E77" s="26">
        <v>0.28910000000000002</v>
      </c>
      <c r="F77" s="26">
        <v>0.28910000000000002</v>
      </c>
      <c r="G77" s="26">
        <v>0.28910000000000002</v>
      </c>
    </row>
    <row r="78" spans="2:7" ht="14" x14ac:dyDescent="0.3">
      <c r="B78" s="4" t="s">
        <v>119</v>
      </c>
      <c r="C78" s="26">
        <v>0.28910000000000002</v>
      </c>
      <c r="D78" s="26">
        <v>0.28910000000000002</v>
      </c>
      <c r="E78" s="26">
        <v>0.28910000000000002</v>
      </c>
      <c r="F78" s="26">
        <v>0.28910000000000002</v>
      </c>
      <c r="G78" s="26">
        <v>0.28910000000000002</v>
      </c>
    </row>
    <row r="79" spans="2:7" ht="14" x14ac:dyDescent="0.3">
      <c r="B79" s="4" t="s">
        <v>120</v>
      </c>
      <c r="C79" s="26">
        <v>0.28910000000000002</v>
      </c>
      <c r="D79" s="26">
        <v>0.28910000000000002</v>
      </c>
      <c r="E79" s="26">
        <v>0.28910000000000002</v>
      </c>
      <c r="F79" s="26">
        <v>0.28910000000000002</v>
      </c>
      <c r="G79" s="26">
        <v>0.28910000000000002</v>
      </c>
    </row>
    <row r="80" spans="2:7" ht="14" x14ac:dyDescent="0.3">
      <c r="B80" s="4" t="s">
        <v>121</v>
      </c>
      <c r="C80" s="26">
        <v>0.28910000000000002</v>
      </c>
      <c r="D80" s="26">
        <v>0.28910000000000002</v>
      </c>
      <c r="E80" s="26">
        <v>0.28910000000000002</v>
      </c>
      <c r="F80" s="26">
        <v>0.28910000000000002</v>
      </c>
      <c r="G80" s="26">
        <v>0.28910000000000002</v>
      </c>
    </row>
    <row r="82" spans="2:7" ht="14" x14ac:dyDescent="0.3">
      <c r="B82" s="3" t="s">
        <v>89</v>
      </c>
    </row>
    <row r="83" spans="2:7" ht="14" x14ac:dyDescent="0.3">
      <c r="B83" s="4" t="s">
        <v>81</v>
      </c>
      <c r="C83" s="26">
        <v>0.23980000000000001</v>
      </c>
      <c r="D83" s="26">
        <v>0.23980000000000001</v>
      </c>
      <c r="E83" s="26">
        <v>0.23980000000000001</v>
      </c>
      <c r="F83" s="26">
        <v>0.23980000000000001</v>
      </c>
      <c r="G83" s="26">
        <v>0.23980000000000001</v>
      </c>
    </row>
    <row r="84" spans="2:7" ht="14" x14ac:dyDescent="0.3">
      <c r="B84" s="4" t="s">
        <v>118</v>
      </c>
      <c r="C84" s="26">
        <v>0.22489999999999999</v>
      </c>
      <c r="D84" s="26">
        <v>0.22489999999999999</v>
      </c>
      <c r="E84" s="26">
        <v>0.22489999999999999</v>
      </c>
      <c r="F84" s="26">
        <v>0.22489999999999999</v>
      </c>
      <c r="G84" s="26">
        <v>0.22489999999999999</v>
      </c>
    </row>
    <row r="85" spans="2:7" ht="14" x14ac:dyDescent="0.3">
      <c r="B85" s="4" t="s">
        <v>119</v>
      </c>
      <c r="C85" s="26">
        <v>0.23980000000000001</v>
      </c>
      <c r="D85" s="26">
        <v>0.23980000000000001</v>
      </c>
      <c r="E85" s="26">
        <v>0.23980000000000001</v>
      </c>
      <c r="F85" s="26">
        <v>0.23980000000000001</v>
      </c>
      <c r="G85" s="26">
        <v>0.23980000000000001</v>
      </c>
    </row>
    <row r="86" spans="2:7" ht="14" x14ac:dyDescent="0.3">
      <c r="B86" s="4" t="s">
        <v>120</v>
      </c>
      <c r="C86" s="26">
        <v>0.29449999999999998</v>
      </c>
      <c r="D86" s="26">
        <v>0.29449999999999998</v>
      </c>
      <c r="E86" s="26">
        <v>0.29449999999999998</v>
      </c>
      <c r="F86" s="26">
        <v>0.29449999999999998</v>
      </c>
      <c r="G86" s="26">
        <v>0.29449999999999998</v>
      </c>
    </row>
    <row r="87" spans="2:7" ht="14" x14ac:dyDescent="0.3">
      <c r="B87" s="4" t="s">
        <v>121</v>
      </c>
      <c r="C87" s="26">
        <v>0.4753</v>
      </c>
      <c r="D87" s="26">
        <v>0.4753</v>
      </c>
      <c r="E87" s="26">
        <v>0.4753</v>
      </c>
      <c r="F87" s="26">
        <v>0.4753</v>
      </c>
      <c r="G87" s="26">
        <v>0.4753</v>
      </c>
    </row>
  </sheetData>
  <phoneticPr fontId="8"/>
  <dataValidations count="1">
    <dataValidation type="list" sqref="C27" xr:uid="{00000000-0002-0000-0200-000000000000}">
      <formula1>"Base,Upside,Management,Downside 1,Downside 2"</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00000"/>
  </sheetPr>
  <dimension ref="B2:I79"/>
  <sheetViews>
    <sheetView workbookViewId="0"/>
  </sheetViews>
  <sheetFormatPr defaultRowHeight="13" x14ac:dyDescent="0.2"/>
  <cols>
    <col min="1" max="1" width="3" customWidth="1"/>
    <col min="2" max="2" width="52" customWidth="1"/>
    <col min="3" max="9" width="15" customWidth="1"/>
  </cols>
  <sheetData>
    <row r="2" spans="2:9" ht="18" x14ac:dyDescent="0.4">
      <c r="B2" s="2" t="s">
        <v>122</v>
      </c>
    </row>
    <row r="3" spans="2:9" ht="14" x14ac:dyDescent="0.3">
      <c r="B3" s="1" t="s">
        <v>123</v>
      </c>
    </row>
    <row r="5" spans="2:9" ht="14" x14ac:dyDescent="0.3">
      <c r="B5" s="8" t="s">
        <v>124</v>
      </c>
      <c r="C5" s="9"/>
      <c r="D5" s="9"/>
      <c r="E5" s="9"/>
      <c r="F5" s="9"/>
      <c r="G5" s="9"/>
      <c r="H5" s="9"/>
      <c r="I5" s="9"/>
    </row>
    <row r="6" spans="2:9" ht="14" x14ac:dyDescent="0.3">
      <c r="B6" s="4" t="s">
        <v>125</v>
      </c>
      <c r="C6" s="15">
        <f>'Executive Summary'!C9</f>
        <v>6795</v>
      </c>
    </row>
    <row r="7" spans="2:9" ht="14" x14ac:dyDescent="0.3">
      <c r="B7" s="4" t="s">
        <v>69</v>
      </c>
      <c r="C7" s="15">
        <f>'DCF Model'!C15</f>
        <v>1645577167</v>
      </c>
    </row>
    <row r="8" spans="2:9" ht="14" x14ac:dyDescent="0.3">
      <c r="B8" s="4" t="s">
        <v>126</v>
      </c>
      <c r="C8" s="5">
        <f>C6*C7/1000000</f>
        <v>11181696.849765001</v>
      </c>
    </row>
    <row r="9" spans="2:9" ht="14" x14ac:dyDescent="0.3">
      <c r="B9" s="4" t="s">
        <v>70</v>
      </c>
      <c r="C9" s="5">
        <f>'DCF Model'!C16</f>
        <v>-979700</v>
      </c>
    </row>
    <row r="10" spans="2:9" ht="14" x14ac:dyDescent="0.3">
      <c r="B10" s="4" t="s">
        <v>127</v>
      </c>
      <c r="C10" s="5">
        <f>C8+C9</f>
        <v>10201996.849765001</v>
      </c>
    </row>
    <row r="11" spans="2:9" ht="14" x14ac:dyDescent="0.3">
      <c r="B11" s="4" t="s">
        <v>128</v>
      </c>
      <c r="C11" s="16">
        <f>'DCF Model'!C26</f>
        <v>9.2941499999999996E-2</v>
      </c>
    </row>
    <row r="12" spans="2:9" ht="14" x14ac:dyDescent="0.3">
      <c r="B12" s="4" t="s">
        <v>129</v>
      </c>
      <c r="C12" s="16">
        <f>'DCF Model'!C13</f>
        <v>0.01</v>
      </c>
    </row>
    <row r="13" spans="2:9" ht="14" x14ac:dyDescent="0.3">
      <c r="B13" s="4" t="s">
        <v>130</v>
      </c>
      <c r="C13" s="16">
        <f>'DCF Model'!C6</f>
        <v>0.25</v>
      </c>
    </row>
    <row r="14" spans="2:9" ht="14" x14ac:dyDescent="0.3">
      <c r="B14" s="4" t="s">
        <v>131</v>
      </c>
      <c r="C14" s="27">
        <v>598833</v>
      </c>
    </row>
    <row r="15" spans="2:9" ht="14" x14ac:dyDescent="0.3">
      <c r="B15" s="4" t="s">
        <v>132</v>
      </c>
      <c r="C15" s="27">
        <v>598833</v>
      </c>
    </row>
    <row r="16" spans="2:9" ht="14" x14ac:dyDescent="0.3">
      <c r="B16" s="4" t="s">
        <v>133</v>
      </c>
      <c r="C16" s="5">
        <f>'DCF Model'!G33</f>
        <v>1525029.9671101398</v>
      </c>
    </row>
    <row r="17" spans="2:9" ht="14" x14ac:dyDescent="0.3">
      <c r="B17" s="4" t="s">
        <v>134</v>
      </c>
      <c r="C17" s="5">
        <f>'DCF Model'!C53</f>
        <v>6201974.2486408446</v>
      </c>
    </row>
    <row r="18" spans="2:9" ht="14" x14ac:dyDescent="0.3">
      <c r="B18" s="4" t="s">
        <v>135</v>
      </c>
      <c r="C18" s="26">
        <v>0.47604219911744672</v>
      </c>
    </row>
    <row r="19" spans="2:9" ht="14" x14ac:dyDescent="0.3">
      <c r="B19" s="4" t="s">
        <v>136</v>
      </c>
      <c r="C19" s="5">
        <f>C10-C17</f>
        <v>4000022.6011241563</v>
      </c>
    </row>
    <row r="20" spans="2:9" ht="14" x14ac:dyDescent="0.3">
      <c r="B20" s="4" t="s">
        <v>137</v>
      </c>
      <c r="C20" s="15">
        <f>IFERROR(ROUND(C19*1000000/C7,0),"N/A")</f>
        <v>2431</v>
      </c>
    </row>
    <row r="22" spans="2:9" ht="14" x14ac:dyDescent="0.3">
      <c r="B22" s="8" t="s">
        <v>138</v>
      </c>
      <c r="C22" s="9"/>
      <c r="D22" s="9"/>
      <c r="E22" s="9"/>
      <c r="F22" s="9"/>
      <c r="G22" s="9"/>
      <c r="H22" s="9"/>
      <c r="I22" s="9"/>
    </row>
    <row r="23" spans="2:9" ht="14" x14ac:dyDescent="0.3">
      <c r="B23" s="1" t="s">
        <v>139</v>
      </c>
    </row>
    <row r="24" spans="2:9" ht="14" x14ac:dyDescent="0.3">
      <c r="B24" s="4" t="s">
        <v>140</v>
      </c>
      <c r="C24" s="5">
        <f>C10*(C11-C12)</f>
        <v>846168.92171478388</v>
      </c>
    </row>
    <row r="25" spans="2:9" ht="14" x14ac:dyDescent="0.3">
      <c r="B25" s="4" t="s">
        <v>141</v>
      </c>
      <c r="C25" s="5">
        <f>IFERROR(C24/(1-C13),"N/A")</f>
        <v>1128225.2289530451</v>
      </c>
    </row>
    <row r="26" spans="2:9" ht="13.5" x14ac:dyDescent="0.25">
      <c r="B26" s="6" t="s">
        <v>142</v>
      </c>
      <c r="C26" s="14">
        <f>IFERROR(C25/C15,"N/A")</f>
        <v>1.8840398390754101</v>
      </c>
    </row>
    <row r="27" spans="2:9" ht="13.5" x14ac:dyDescent="0.25">
      <c r="B27" s="6" t="s">
        <v>143</v>
      </c>
      <c r="C27" s="14">
        <f>IFERROR(C25/C14,"N/A")</f>
        <v>1.8840398390754101</v>
      </c>
    </row>
    <row r="28" spans="2:9" ht="13.5" x14ac:dyDescent="0.25">
      <c r="B28" s="6" t="s">
        <v>144</v>
      </c>
      <c r="C28" s="7">
        <f>IFERROR(C25/C16,"N/A")</f>
        <v>0.73980528467317852</v>
      </c>
    </row>
    <row r="29" spans="2:9" ht="13.5" x14ac:dyDescent="0.25">
      <c r="B29" s="6" t="s">
        <v>145</v>
      </c>
      <c r="C29" s="5">
        <f>IFERROR(C25/C18,"N/A")</f>
        <v>2370010.9592063604</v>
      </c>
    </row>
    <row r="32" spans="2:9" ht="14" x14ac:dyDescent="0.3">
      <c r="B32" s="8" t="s">
        <v>146</v>
      </c>
      <c r="C32" s="9"/>
      <c r="D32" s="9"/>
      <c r="E32" s="9"/>
      <c r="F32" s="9"/>
      <c r="G32" s="9"/>
      <c r="H32" s="9"/>
      <c r="I32" s="9"/>
    </row>
    <row r="33" spans="2:9" ht="14" x14ac:dyDescent="0.3">
      <c r="B33" s="1" t="s">
        <v>147</v>
      </c>
    </row>
    <row r="34" spans="2:9" ht="14" x14ac:dyDescent="0.3">
      <c r="B34" s="1" t="s">
        <v>148</v>
      </c>
    </row>
    <row r="36" spans="2:9" ht="14" x14ac:dyDescent="0.3">
      <c r="B36" s="28" t="s">
        <v>149</v>
      </c>
      <c r="C36" s="28" t="s">
        <v>150</v>
      </c>
      <c r="D36" s="29">
        <f>'DCF Model'!C26-0.02</f>
        <v>7.2941499999999992E-2</v>
      </c>
      <c r="E36" s="29">
        <f>'DCF Model'!C26-0.01</f>
        <v>8.2941500000000001E-2</v>
      </c>
      <c r="F36" s="29">
        <f>'DCF Model'!C26</f>
        <v>9.2941499999999996E-2</v>
      </c>
      <c r="G36" s="29">
        <f>'DCF Model'!C26+0.01</f>
        <v>0.10294149999999999</v>
      </c>
      <c r="H36" s="29">
        <f>'DCF Model'!C26+0.02</f>
        <v>0.1129415</v>
      </c>
    </row>
    <row r="37" spans="2:9" ht="14" x14ac:dyDescent="0.3">
      <c r="B37" s="3" t="s">
        <v>151</v>
      </c>
    </row>
    <row r="38" spans="2:9" ht="14" x14ac:dyDescent="0.3">
      <c r="B38" s="4" t="s">
        <v>152</v>
      </c>
      <c r="C38" s="30">
        <v>3</v>
      </c>
      <c r="D38" s="13">
        <f t="shared" ref="D38:H41" si="0">IFERROR((1-(1+D$36)^(-$C38))/D$36-(1+D$36)/(D$36^2*$C38)*(1-($C38+1)/(1+D$36)^$C38+$C38/(1+D$36)^($C38+1)),"N/A")</f>
        <v>0.91089690128300416</v>
      </c>
      <c r="E38" s="13">
        <f t="shared" si="0"/>
        <v>0.89983651431504219</v>
      </c>
      <c r="F38" s="13">
        <f t="shared" si="0"/>
        <v>0.8890265563881703</v>
      </c>
      <c r="G38" s="13">
        <f t="shared" si="0"/>
        <v>0.87845892120030267</v>
      </c>
      <c r="H38" s="13">
        <f t="shared" si="0"/>
        <v>0.8681258399083176</v>
      </c>
    </row>
    <row r="39" spans="2:9" ht="14" x14ac:dyDescent="0.3">
      <c r="B39" s="4" t="s">
        <v>153</v>
      </c>
      <c r="C39" s="30">
        <v>5</v>
      </c>
      <c r="D39" s="13">
        <f t="shared" si="0"/>
        <v>1.7415612497822979</v>
      </c>
      <c r="E39" s="13">
        <f t="shared" si="0"/>
        <v>1.7107090853383569</v>
      </c>
      <c r="F39" s="13">
        <f t="shared" si="0"/>
        <v>1.6808150949742586</v>
      </c>
      <c r="G39" s="13">
        <f t="shared" si="0"/>
        <v>1.6518386091928803</v>
      </c>
      <c r="H39" s="13">
        <f t="shared" si="0"/>
        <v>1.6237411039333796</v>
      </c>
    </row>
    <row r="40" spans="2:9" ht="14" x14ac:dyDescent="0.3">
      <c r="B40" s="4" t="s">
        <v>154</v>
      </c>
      <c r="C40" s="30">
        <v>7</v>
      </c>
      <c r="D40" s="13">
        <f t="shared" si="0"/>
        <v>2.4999248806640191</v>
      </c>
      <c r="E40" s="13">
        <f t="shared" si="0"/>
        <v>2.4424867385137046</v>
      </c>
      <c r="F40" s="13">
        <f t="shared" si="0"/>
        <v>2.3872955207346971</v>
      </c>
      <c r="G40" s="13">
        <f t="shared" si="0"/>
        <v>2.3342339987232084</v>
      </c>
      <c r="H40" s="13">
        <f t="shared" si="0"/>
        <v>2.2831923929720954</v>
      </c>
    </row>
    <row r="41" spans="2:9" ht="14" x14ac:dyDescent="0.3">
      <c r="B41" s="4" t="s">
        <v>155</v>
      </c>
      <c r="C41" s="30">
        <v>10</v>
      </c>
      <c r="D41" s="13">
        <f t="shared" si="0"/>
        <v>3.5172241635166754</v>
      </c>
      <c r="E41" s="13">
        <f t="shared" si="0"/>
        <v>3.41060439364009</v>
      </c>
      <c r="F41" s="13">
        <f t="shared" si="0"/>
        <v>3.3093765219935301</v>
      </c>
      <c r="G41" s="13">
        <f t="shared" si="0"/>
        <v>3.2131839898740102</v>
      </c>
      <c r="H41" s="13">
        <f t="shared" si="0"/>
        <v>3.1216984476718985</v>
      </c>
    </row>
    <row r="42" spans="2:9" ht="14" x14ac:dyDescent="0.3">
      <c r="B42" s="3" t="s">
        <v>156</v>
      </c>
    </row>
    <row r="43" spans="2:9" ht="14" x14ac:dyDescent="0.3">
      <c r="B43" s="4" t="s">
        <v>152</v>
      </c>
      <c r="C43" s="30">
        <v>3</v>
      </c>
      <c r="D43" s="13">
        <f t="shared" ref="D43:H46" si="1">IFERROR((1+D$36)/(D$36^2*$C43)*(1-($C43+1)/(1+D$36)^$C43+$C43/(1+D$36)^($C43+1))+(1+$C$12)/((D$36-$C$12)*(1+D$36)^$C43),"N/A")</f>
        <v>14.690785066730916</v>
      </c>
      <c r="E43" s="13">
        <f t="shared" si="1"/>
        <v>12.566283783561499</v>
      </c>
      <c r="F43" s="13">
        <f t="shared" si="1"/>
        <v>10.956416603558498</v>
      </c>
      <c r="G43" s="13">
        <f t="shared" si="1"/>
        <v>9.6949974612671888</v>
      </c>
      <c r="H43" s="13">
        <f t="shared" si="1"/>
        <v>8.6804179741651133</v>
      </c>
    </row>
    <row r="44" spans="2:9" ht="14" x14ac:dyDescent="0.3">
      <c r="B44" s="4" t="s">
        <v>153</v>
      </c>
      <c r="C44" s="30">
        <v>5</v>
      </c>
      <c r="D44" s="13">
        <f t="shared" si="1"/>
        <v>13.611609623092512</v>
      </c>
      <c r="E44" s="13">
        <f t="shared" si="1"/>
        <v>11.547784897923293</v>
      </c>
      <c r="F44" s="13">
        <f t="shared" si="1"/>
        <v>9.9877811301660806</v>
      </c>
      <c r="G44" s="13">
        <f t="shared" si="1"/>
        <v>8.7687177322628891</v>
      </c>
      <c r="H44" s="13">
        <f t="shared" si="1"/>
        <v>7.7910176453999274</v>
      </c>
    </row>
    <row r="45" spans="2:9" ht="14" x14ac:dyDescent="0.3">
      <c r="B45" s="4" t="s">
        <v>154</v>
      </c>
      <c r="C45" s="30">
        <v>7</v>
      </c>
      <c r="D45" s="13">
        <f t="shared" si="1"/>
        <v>12.637375294066592</v>
      </c>
      <c r="E45" s="13">
        <f t="shared" si="1"/>
        <v>10.63896683685245</v>
      </c>
      <c r="F45" s="13">
        <f t="shared" si="1"/>
        <v>9.1332523095411648</v>
      </c>
      <c r="G45" s="13">
        <f t="shared" si="1"/>
        <v>7.9606317872020194</v>
      </c>
      <c r="H45" s="13">
        <f t="shared" si="1"/>
        <v>7.0235566067564887</v>
      </c>
    </row>
    <row r="46" spans="2:9" ht="14" x14ac:dyDescent="0.3">
      <c r="B46" s="4" t="s">
        <v>155</v>
      </c>
      <c r="C46" s="30">
        <v>10</v>
      </c>
      <c r="D46" s="13">
        <f t="shared" si="1"/>
        <v>11.34824870624835</v>
      </c>
      <c r="E46" s="13">
        <f t="shared" si="1"/>
        <v>9.4529652399911068</v>
      </c>
      <c r="F46" s="13">
        <f t="shared" si="1"/>
        <v>8.0330496675724437</v>
      </c>
      <c r="G46" s="13">
        <f t="shared" si="1"/>
        <v>6.9338116791152098</v>
      </c>
      <c r="H46" s="13">
        <f t="shared" si="1"/>
        <v>6.0607685896529269</v>
      </c>
    </row>
    <row r="47" spans="2:9" ht="14" x14ac:dyDescent="0.3">
      <c r="B47" s="22" t="s">
        <v>157</v>
      </c>
      <c r="C47" s="23"/>
      <c r="D47" s="23"/>
      <c r="E47" s="23"/>
      <c r="F47" s="23"/>
      <c r="G47" s="23"/>
      <c r="H47" s="23"/>
      <c r="I47" s="23"/>
    </row>
    <row r="48" spans="2:9" ht="14" x14ac:dyDescent="0.3">
      <c r="B48" s="4" t="s">
        <v>152</v>
      </c>
      <c r="C48" s="30">
        <v>3</v>
      </c>
      <c r="D48" s="5">
        <f t="shared" ref="D48:H51" si="2">IFERROR(($C$10/(1-$C$13)-$C$14*D38)/D43,"N/A")</f>
        <v>888801.1963252346</v>
      </c>
      <c r="E48" s="5">
        <f t="shared" si="2"/>
        <v>1039592.2049815438</v>
      </c>
      <c r="F48" s="5">
        <f t="shared" si="2"/>
        <v>1192934.1954984337</v>
      </c>
      <c r="G48" s="5">
        <f t="shared" si="2"/>
        <v>1348799.9689981362</v>
      </c>
      <c r="H48" s="5">
        <f t="shared" si="2"/>
        <v>1507162.4551030709</v>
      </c>
    </row>
    <row r="49" spans="2:9" ht="14" x14ac:dyDescent="0.3">
      <c r="B49" s="4" t="s">
        <v>153</v>
      </c>
      <c r="C49" s="30">
        <v>5</v>
      </c>
      <c r="D49" s="5">
        <f t="shared" si="2"/>
        <v>922723.94420968671</v>
      </c>
      <c r="E49" s="5">
        <f t="shared" si="2"/>
        <v>1089233.4351426072</v>
      </c>
      <c r="F49" s="5">
        <f t="shared" si="2"/>
        <v>1261154.4803019888</v>
      </c>
      <c r="G49" s="5">
        <f t="shared" si="2"/>
        <v>1438464.2523142833</v>
      </c>
      <c r="H49" s="5">
        <f t="shared" si="2"/>
        <v>1621137.7363930049</v>
      </c>
    </row>
    <row r="50" spans="2:9" ht="14" x14ac:dyDescent="0.3">
      <c r="B50" s="4" t="s">
        <v>154</v>
      </c>
      <c r="C50" s="30">
        <v>7</v>
      </c>
      <c r="D50" s="5">
        <f t="shared" si="2"/>
        <v>957922.40624320158</v>
      </c>
      <c r="E50" s="5">
        <f t="shared" si="2"/>
        <v>1141090.2009034362</v>
      </c>
      <c r="F50" s="5">
        <f t="shared" si="2"/>
        <v>1332829.8305159558</v>
      </c>
      <c r="G50" s="5">
        <f t="shared" si="2"/>
        <v>1533150.438865562</v>
      </c>
      <c r="H50" s="5">
        <f t="shared" si="2"/>
        <v>1742053.5209074148</v>
      </c>
    </row>
    <row r="51" spans="2:9" ht="14" x14ac:dyDescent="0.3">
      <c r="B51" s="4" t="s">
        <v>155</v>
      </c>
      <c r="C51" s="30">
        <v>10</v>
      </c>
      <c r="D51" s="5">
        <f t="shared" si="2"/>
        <v>1013057.8617396897</v>
      </c>
      <c r="E51" s="5">
        <f t="shared" si="2"/>
        <v>1222926.321212997</v>
      </c>
      <c r="F51" s="5">
        <f t="shared" si="2"/>
        <v>1446635.9697076506</v>
      </c>
      <c r="G51" s="5">
        <f t="shared" si="2"/>
        <v>1684283.1041000162</v>
      </c>
      <c r="H51" s="5">
        <f t="shared" si="2"/>
        <v>1935940.3425944927</v>
      </c>
    </row>
    <row r="52" spans="2:9" ht="14" x14ac:dyDescent="0.3">
      <c r="B52" s="22" t="s">
        <v>158</v>
      </c>
      <c r="C52" s="23"/>
      <c r="D52" s="23"/>
      <c r="E52" s="23"/>
      <c r="F52" s="23"/>
      <c r="G52" s="23"/>
      <c r="H52" s="23"/>
      <c r="I52" s="23"/>
    </row>
    <row r="53" spans="2:9" ht="14" x14ac:dyDescent="0.3">
      <c r="B53" s="4" t="s">
        <v>152</v>
      </c>
      <c r="C53" s="30">
        <v>3</v>
      </c>
      <c r="D53" s="14">
        <f t="shared" ref="D53:H56" si="3">IFERROR(D48/$C$15,"N/A")</f>
        <v>1.4842221392696038</v>
      </c>
      <c r="E53" s="14">
        <f t="shared" si="3"/>
        <v>1.7360302538129058</v>
      </c>
      <c r="F53" s="14">
        <f t="shared" si="3"/>
        <v>1.992098290338765</v>
      </c>
      <c r="G53" s="14">
        <f t="shared" si="3"/>
        <v>2.252380829042715</v>
      </c>
      <c r="H53" s="14">
        <f t="shared" si="3"/>
        <v>2.5168326647046353</v>
      </c>
    </row>
    <row r="54" spans="2:9" ht="14" x14ac:dyDescent="0.3">
      <c r="B54" s="4" t="s">
        <v>153</v>
      </c>
      <c r="C54" s="30">
        <v>5</v>
      </c>
      <c r="D54" s="14">
        <f t="shared" si="3"/>
        <v>1.5408702329525705</v>
      </c>
      <c r="E54" s="14">
        <f t="shared" si="3"/>
        <v>1.81892687133576</v>
      </c>
      <c r="F54" s="14">
        <f t="shared" si="3"/>
        <v>2.1060203434045697</v>
      </c>
      <c r="G54" s="14">
        <f t="shared" si="3"/>
        <v>2.402112529393476</v>
      </c>
      <c r="H54" s="14">
        <f t="shared" si="3"/>
        <v>2.707161656744042</v>
      </c>
    </row>
    <row r="55" spans="2:9" ht="14" x14ac:dyDescent="0.3">
      <c r="B55" s="4" t="s">
        <v>154</v>
      </c>
      <c r="C55" s="30">
        <v>7</v>
      </c>
      <c r="D55" s="14">
        <f t="shared" si="3"/>
        <v>1.5996486603831144</v>
      </c>
      <c r="E55" s="14">
        <f t="shared" si="3"/>
        <v>1.9055232442157266</v>
      </c>
      <c r="F55" s="14">
        <f t="shared" si="3"/>
        <v>2.2257120608182177</v>
      </c>
      <c r="G55" s="14">
        <f t="shared" si="3"/>
        <v>2.5602303795307906</v>
      </c>
      <c r="H55" s="14">
        <f t="shared" si="3"/>
        <v>2.9090806968009693</v>
      </c>
    </row>
    <row r="56" spans="2:9" ht="14" x14ac:dyDescent="0.3">
      <c r="B56" s="4" t="s">
        <v>155</v>
      </c>
      <c r="C56" s="30">
        <v>10</v>
      </c>
      <c r="D56" s="14">
        <f t="shared" si="3"/>
        <v>1.6917201652876339</v>
      </c>
      <c r="E56" s="14">
        <f t="shared" si="3"/>
        <v>2.0421825804740168</v>
      </c>
      <c r="F56" s="14">
        <f t="shared" si="3"/>
        <v>2.4157585999897311</v>
      </c>
      <c r="G56" s="14">
        <f t="shared" si="3"/>
        <v>2.8126090313994321</v>
      </c>
      <c r="H56" s="14">
        <f t="shared" si="3"/>
        <v>3.2328551409065511</v>
      </c>
    </row>
    <row r="58" spans="2:9" ht="14" x14ac:dyDescent="0.3">
      <c r="B58" s="8" t="s">
        <v>159</v>
      </c>
      <c r="C58" s="9"/>
      <c r="D58" s="9"/>
      <c r="E58" s="9"/>
      <c r="F58" s="9"/>
      <c r="G58" s="9"/>
      <c r="H58" s="9"/>
      <c r="I58" s="9"/>
    </row>
    <row r="59" spans="2:9" ht="14" x14ac:dyDescent="0.3">
      <c r="B59" s="1" t="s">
        <v>160</v>
      </c>
    </row>
    <row r="60" spans="2:9" ht="14" x14ac:dyDescent="0.3">
      <c r="B60" s="4" t="s">
        <v>161</v>
      </c>
      <c r="C60" s="5">
        <f>F49</f>
        <v>1261154.4803019888</v>
      </c>
    </row>
    <row r="62" spans="2:9" ht="14" x14ac:dyDescent="0.3">
      <c r="B62" s="28" t="s">
        <v>162</v>
      </c>
      <c r="C62" s="28" t="s">
        <v>163</v>
      </c>
      <c r="D62" s="28" t="s">
        <v>164</v>
      </c>
    </row>
    <row r="63" spans="2:9" ht="14" x14ac:dyDescent="0.3">
      <c r="B63" s="31">
        <v>0.23799999999999999</v>
      </c>
      <c r="C63" s="5">
        <f>IFERROR($C$60/B63,"N/A")</f>
        <v>5298968.4046302056</v>
      </c>
      <c r="D63" s="14">
        <f>IFERROR(C63/'DCF Model'!C17,"N/A")</f>
        <v>4.2124140994134107</v>
      </c>
    </row>
    <row r="64" spans="2:9" ht="14" x14ac:dyDescent="0.3">
      <c r="B64" s="31">
        <v>0.35699999999999998</v>
      </c>
      <c r="C64" s="5">
        <f>IFERROR($C$60/B64,"N/A")</f>
        <v>3532645.6030868036</v>
      </c>
      <c r="D64" s="14">
        <f>IFERROR(C64/'DCF Model'!C17,"N/A")</f>
        <v>2.808276066275607</v>
      </c>
    </row>
    <row r="65" spans="2:9" ht="14" x14ac:dyDescent="0.3">
      <c r="B65" s="4" t="s">
        <v>165</v>
      </c>
      <c r="C65" s="5">
        <f>IFERROR($C$60/$C$18,"N/A")</f>
        <v>2649249.336802688</v>
      </c>
      <c r="D65" s="14">
        <f>IFERROR(C65/'DCF Model'!C17,"N/A")</f>
        <v>2.1060203434045697</v>
      </c>
    </row>
    <row r="66" spans="2:9" ht="14" x14ac:dyDescent="0.3">
      <c r="B66" s="31">
        <v>0.59509999999999996</v>
      </c>
      <c r="C66" s="5">
        <f>IFERROR($C$60/B66,"N/A")</f>
        <v>2119231.1885430831</v>
      </c>
      <c r="D66" s="14">
        <f>IFERROR(C66/'DCF Model'!C17,"N/A")</f>
        <v>1.6846824998494232</v>
      </c>
    </row>
    <row r="67" spans="2:9" ht="14" x14ac:dyDescent="0.3">
      <c r="B67" s="31">
        <v>0.71409999999999996</v>
      </c>
      <c r="C67" s="5">
        <f>IFERROR($C$60/B67,"N/A")</f>
        <v>1766075.4520403149</v>
      </c>
      <c r="D67" s="14">
        <f>IFERROR(C67/'DCF Model'!C17,"N/A")</f>
        <v>1.4039414026892476</v>
      </c>
    </row>
    <row r="69" spans="2:9" ht="14" x14ac:dyDescent="0.3">
      <c r="B69" s="8" t="s">
        <v>166</v>
      </c>
      <c r="C69" s="9"/>
      <c r="D69" s="9"/>
      <c r="E69" s="9"/>
      <c r="F69" s="9"/>
      <c r="G69" s="9"/>
      <c r="H69" s="9"/>
      <c r="I69" s="9"/>
    </row>
    <row r="70" spans="2:9" ht="13.5" x14ac:dyDescent="0.25">
      <c r="B70" s="6" t="s">
        <v>167</v>
      </c>
      <c r="C70" s="14">
        <f>IFERROR(C10/'Comps Analysis'!G5,"N/A")</f>
        <v>16.158558637379471</v>
      </c>
    </row>
    <row r="71" spans="2:9" ht="13.5" x14ac:dyDescent="0.25">
      <c r="B71" s="6" t="s">
        <v>168</v>
      </c>
      <c r="C71" s="14">
        <f>IFERROR(C10/'Comps Analysis'!F5,"N/A")</f>
        <v>8.1100757903311855</v>
      </c>
    </row>
    <row r="72" spans="2:9" ht="14" x14ac:dyDescent="0.3">
      <c r="B72" s="4" t="s">
        <v>169</v>
      </c>
      <c r="C72" s="14">
        <f>IFERROR(C10/(C25+'DCF Model'!G42),"N/A")</f>
        <v>8.7366545292593667</v>
      </c>
    </row>
    <row r="73" spans="2:9" ht="14" x14ac:dyDescent="0.3">
      <c r="B73" s="4" t="s">
        <v>170</v>
      </c>
      <c r="C73" s="14">
        <f>IFERROR(C10/(C60+'DCF Model'!G42),"N/A")</f>
        <v>7.8437513772770604</v>
      </c>
    </row>
    <row r="74" spans="2:9" ht="14" x14ac:dyDescent="0.3">
      <c r="B74" s="4" t="s">
        <v>171</v>
      </c>
      <c r="C74" s="14">
        <f>IFERROR('Comps Analysis'!D16,"N/A")</f>
        <v>12.004034900825278</v>
      </c>
    </row>
    <row r="75" spans="2:9" ht="14" x14ac:dyDescent="0.3">
      <c r="B75" s="1" t="s">
        <v>172</v>
      </c>
    </row>
    <row r="77" spans="2:9" ht="14" x14ac:dyDescent="0.3">
      <c r="B77" s="22" t="s">
        <v>173</v>
      </c>
      <c r="C77" s="23"/>
      <c r="D77" s="23"/>
      <c r="E77" s="23"/>
      <c r="F77" s="23"/>
      <c r="G77" s="23"/>
      <c r="H77" s="23"/>
      <c r="I77" s="23"/>
    </row>
    <row r="78" spans="2:9" ht="14" x14ac:dyDescent="0.3">
      <c r="B78" s="4" t="str">
        <f>"At "&amp;TEXT(C6,"#,##0")&amp;" yen the market is paying for a steady-state operating profit of "&amp;TEXT(F49,"#,##0")&amp;" mn JPY - "&amp;TEXT(F54,"0.00")&amp;"x the FY2025 cycle peak of "&amp;TEXT(C15,"#,##0")&amp;" mn - reached in 5 years and sustained for ever, against "&amp;TEXT(C14,"#,##0")&amp;" mn actually earned in FY2025."</f>
        <v>At 6,795 yen the market is paying for a steady-state operating profit of 1,261,154 mn JPY - 2.11x the FY2025 cycle peak of 598,833 mn - reached in 5 years and sustained for ever, against 598,833 mn actually earned in FY2025.</v>
      </c>
    </row>
    <row r="79" spans="2:9" ht="14" x14ac:dyDescent="0.3">
      <c r="B79" s="4" t="str">
        <f>"Even with no ramp at all (Block A) the price needs "&amp;TEXT(C25,"#,##0")&amp;" mn, or "&amp;TEXT(C26,"0.00")&amp;"x the peak. The base case supports an EV of only "&amp;TEXT(C17,"#,##0")&amp;" mn, leaving "&amp;TEXT(C20,"#,##0")&amp;" yen per share of the current price unexplained by mid-cycle economics."</f>
        <v>Even with no ramp at all (Block A) the price needs 1,128,225 mn, or 1.88x the peak. The base case supports an EV of only 6,201,974 mn, leaving 2,431 yen per share of the current price unexplained by mid-cycle economics.</v>
      </c>
    </row>
  </sheetData>
  <phoneticPr fontId="8"/>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C6600"/>
  </sheetPr>
  <dimension ref="B2:H43"/>
  <sheetViews>
    <sheetView workbookViewId="0"/>
  </sheetViews>
  <sheetFormatPr defaultRowHeight="13" x14ac:dyDescent="0.2"/>
  <cols>
    <col min="1" max="1" width="3" customWidth="1"/>
    <col min="2" max="2" width="28" customWidth="1"/>
    <col min="3" max="8" width="16" customWidth="1"/>
  </cols>
  <sheetData>
    <row r="2" spans="2:8" ht="18" x14ac:dyDescent="0.4">
      <c r="B2" s="2" t="s">
        <v>174</v>
      </c>
    </row>
    <row r="4" spans="2:8" ht="14" x14ac:dyDescent="0.3">
      <c r="B4" s="8" t="s">
        <v>175</v>
      </c>
      <c r="C4" s="32" t="s">
        <v>176</v>
      </c>
      <c r="D4" s="32" t="s">
        <v>83</v>
      </c>
      <c r="E4" s="32" t="s">
        <v>84</v>
      </c>
      <c r="F4" s="32" t="s">
        <v>85</v>
      </c>
      <c r="G4" s="32" t="s">
        <v>86</v>
      </c>
      <c r="H4" s="32" t="s">
        <v>87</v>
      </c>
    </row>
    <row r="5" spans="2:8" ht="14" x14ac:dyDescent="0.3">
      <c r="B5" s="33" t="s">
        <v>177</v>
      </c>
      <c r="C5" s="34">
        <f>C12/C9*365</f>
        <v>128.50343537574497</v>
      </c>
      <c r="D5" s="34">
        <f>CHOOSE('DCF Model'!$D$27,D25,D26,D27,D28,D29)</f>
        <v>129</v>
      </c>
      <c r="E5" s="34">
        <f>CHOOSE('DCF Model'!$D$27,E25,E26,E27,E28,E29)</f>
        <v>129</v>
      </c>
      <c r="F5" s="34">
        <f>CHOOSE('DCF Model'!$D$27,F25,F26,F27,F28,F29)</f>
        <v>129</v>
      </c>
      <c r="G5" s="34">
        <f>CHOOSE('DCF Model'!$D$27,G25,G26,G27,G28,G29)</f>
        <v>129</v>
      </c>
      <c r="H5" s="34">
        <f>CHOOSE('DCF Model'!$D$27,H25,H26,H27,H28,H29)</f>
        <v>129</v>
      </c>
    </row>
    <row r="6" spans="2:8" ht="14" x14ac:dyDescent="0.3">
      <c r="B6" s="33" t="s">
        <v>178</v>
      </c>
      <c r="C6" s="34">
        <f>C13/C10*365</f>
        <v>277.84519783331962</v>
      </c>
      <c r="D6" s="34">
        <f>CHOOSE('DCF Model'!$D$27,D32,D33,D34,D35,D36)</f>
        <v>278</v>
      </c>
      <c r="E6" s="34">
        <f>CHOOSE('DCF Model'!$D$27,E32,E33,E34,E35,E36)</f>
        <v>278</v>
      </c>
      <c r="F6" s="34">
        <f>CHOOSE('DCF Model'!$D$27,F32,F33,F34,F35,F36)</f>
        <v>278</v>
      </c>
      <c r="G6" s="34">
        <f>CHOOSE('DCF Model'!$D$27,G32,G33,G34,G35,G36)</f>
        <v>278</v>
      </c>
      <c r="H6" s="34">
        <f>CHOOSE('DCF Model'!$D$27,H32,H33,H34,H35,H36)</f>
        <v>278</v>
      </c>
    </row>
    <row r="7" spans="2:8" ht="14" x14ac:dyDescent="0.3">
      <c r="B7" s="33" t="s">
        <v>179</v>
      </c>
      <c r="C7" s="34">
        <f>C15/C10*365</f>
        <v>127.70533971239242</v>
      </c>
      <c r="D7" s="34">
        <f>CHOOSE('DCF Model'!$D$27,D39,D40,D41,D42,D43)</f>
        <v>128</v>
      </c>
      <c r="E7" s="34">
        <f>CHOOSE('DCF Model'!$D$27,E39,E40,E41,E42,E43)</f>
        <v>128</v>
      </c>
      <c r="F7" s="34">
        <f>CHOOSE('DCF Model'!$D$27,F39,F40,F41,F42,F43)</f>
        <v>128</v>
      </c>
      <c r="G7" s="34">
        <f>CHOOSE('DCF Model'!$D$27,G39,G40,G41,G42,G43)</f>
        <v>128</v>
      </c>
      <c r="H7" s="34">
        <f>CHOOSE('DCF Model'!$D$27,H39,H40,H41,H42,H43)</f>
        <v>128</v>
      </c>
    </row>
    <row r="8" spans="2:8" ht="14" x14ac:dyDescent="0.3">
      <c r="B8" s="8" t="s">
        <v>180</v>
      </c>
      <c r="C8" s="9"/>
      <c r="D8" s="9"/>
      <c r="E8" s="9"/>
      <c r="F8" s="9"/>
      <c r="G8" s="9"/>
      <c r="H8" s="9"/>
    </row>
    <row r="9" spans="2:8" ht="14" x14ac:dyDescent="0.3">
      <c r="B9" s="33" t="s">
        <v>35</v>
      </c>
      <c r="C9" s="35">
        <v>1257941</v>
      </c>
      <c r="D9" s="35">
        <f>'DCF Model'!C33</f>
        <v>1342223.047</v>
      </c>
      <c r="E9" s="35">
        <f>'DCF Model'!D33</f>
        <v>1409334.1993500001</v>
      </c>
      <c r="F9" s="35">
        <f>'DCF Model'!E33</f>
        <v>1458660.8963272499</v>
      </c>
      <c r="G9" s="35">
        <f>'DCF Model'!F33</f>
        <v>1495127.418735431</v>
      </c>
      <c r="H9" s="35">
        <f>'DCF Model'!G33</f>
        <v>1525029.9671101398</v>
      </c>
    </row>
    <row r="10" spans="2:8" ht="14" x14ac:dyDescent="0.3">
      <c r="B10" s="33" t="s">
        <v>36</v>
      </c>
      <c r="C10" s="35">
        <v>363690</v>
      </c>
      <c r="D10" s="35">
        <f>'DCF Model'!C34</f>
        <v>388036.68288770004</v>
      </c>
      <c r="E10" s="35">
        <f>'DCF Model'!D34</f>
        <v>407438.51703208504</v>
      </c>
      <c r="F10" s="35">
        <f>'DCF Model'!E34</f>
        <v>421698.86512820801</v>
      </c>
      <c r="G10" s="35">
        <f>'DCF Model'!F34</f>
        <v>432241.33675641316</v>
      </c>
      <c r="H10" s="35">
        <f>'DCF Model'!G34</f>
        <v>440886.16349154146</v>
      </c>
    </row>
    <row r="11" spans="2:8" ht="14" x14ac:dyDescent="0.3">
      <c r="B11" s="8" t="s">
        <v>181</v>
      </c>
      <c r="C11" s="9"/>
      <c r="D11" s="9"/>
      <c r="E11" s="9"/>
      <c r="F11" s="9"/>
      <c r="G11" s="9"/>
      <c r="H11" s="9"/>
    </row>
    <row r="12" spans="2:8" ht="14" x14ac:dyDescent="0.3">
      <c r="B12" s="33" t="s">
        <v>182</v>
      </c>
      <c r="C12" s="35">
        <v>442876</v>
      </c>
      <c r="D12" s="35">
        <f t="shared" ref="D12:H13" si="0">D9*D5/365</f>
        <v>474374.72072054795</v>
      </c>
      <c r="E12" s="35">
        <f t="shared" si="0"/>
        <v>498093.45675657538</v>
      </c>
      <c r="F12" s="35">
        <f t="shared" si="0"/>
        <v>515526.7277430555</v>
      </c>
      <c r="G12" s="35">
        <f t="shared" si="0"/>
        <v>528414.89593663183</v>
      </c>
      <c r="H12" s="35">
        <f t="shared" si="0"/>
        <v>538983.19385536446</v>
      </c>
    </row>
    <row r="13" spans="2:8" ht="14" x14ac:dyDescent="0.3">
      <c r="B13" s="33" t="s">
        <v>183</v>
      </c>
      <c r="C13" s="35">
        <v>276848</v>
      </c>
      <c r="D13" s="35">
        <f t="shared" si="0"/>
        <v>295545.7475144674</v>
      </c>
      <c r="E13" s="35">
        <f t="shared" si="0"/>
        <v>310323.03489019081</v>
      </c>
      <c r="F13" s="35">
        <f t="shared" si="0"/>
        <v>321184.34111134749</v>
      </c>
      <c r="G13" s="35">
        <f t="shared" si="0"/>
        <v>329213.94963913108</v>
      </c>
      <c r="H13" s="35">
        <f t="shared" si="0"/>
        <v>335798.22863191378</v>
      </c>
    </row>
    <row r="14" spans="2:8" ht="14" x14ac:dyDescent="0.3">
      <c r="B14" s="33" t="s">
        <v>184</v>
      </c>
      <c r="C14" s="35">
        <f t="shared" ref="C14:H14" si="1">C12+C13</f>
        <v>719724</v>
      </c>
      <c r="D14" s="35">
        <f t="shared" si="1"/>
        <v>769920.4682350154</v>
      </c>
      <c r="E14" s="35">
        <f t="shared" si="1"/>
        <v>808416.4916467662</v>
      </c>
      <c r="F14" s="35">
        <f t="shared" si="1"/>
        <v>836711.06885440298</v>
      </c>
      <c r="G14" s="35">
        <f t="shared" si="1"/>
        <v>857628.84557576291</v>
      </c>
      <c r="H14" s="35">
        <f t="shared" si="1"/>
        <v>874781.42248727824</v>
      </c>
    </row>
    <row r="15" spans="2:8" ht="14" x14ac:dyDescent="0.3">
      <c r="B15" s="33" t="s">
        <v>185</v>
      </c>
      <c r="C15" s="35">
        <v>127247</v>
      </c>
      <c r="D15" s="35">
        <f>D10*D7/365</f>
        <v>136078.61756061809</v>
      </c>
      <c r="E15" s="35">
        <f>E10*E7/365</f>
        <v>142882.54843864901</v>
      </c>
      <c r="F15" s="35">
        <f>F10*F7/365</f>
        <v>147883.43763400172</v>
      </c>
      <c r="G15" s="35">
        <f>G10*G7/365</f>
        <v>151580.52357485174</v>
      </c>
      <c r="H15" s="35">
        <f>H10*H7/365</f>
        <v>154612.13404634877</v>
      </c>
    </row>
    <row r="16" spans="2:8" ht="14" x14ac:dyDescent="0.3">
      <c r="B16" s="33" t="s">
        <v>186</v>
      </c>
      <c r="C16" s="35">
        <f t="shared" ref="C16:H16" si="2">C15</f>
        <v>127247</v>
      </c>
      <c r="D16" s="35">
        <f t="shared" si="2"/>
        <v>136078.61756061809</v>
      </c>
      <c r="E16" s="35">
        <f t="shared" si="2"/>
        <v>142882.54843864901</v>
      </c>
      <c r="F16" s="35">
        <f t="shared" si="2"/>
        <v>147883.43763400172</v>
      </c>
      <c r="G16" s="35">
        <f t="shared" si="2"/>
        <v>151580.52357485174</v>
      </c>
      <c r="H16" s="35">
        <f t="shared" si="2"/>
        <v>154612.13404634877</v>
      </c>
    </row>
    <row r="17" spans="2:8" ht="14" x14ac:dyDescent="0.3">
      <c r="B17" s="22" t="s">
        <v>187</v>
      </c>
      <c r="C17" s="23"/>
      <c r="D17" s="23"/>
      <c r="E17" s="23"/>
      <c r="F17" s="23"/>
      <c r="G17" s="23"/>
      <c r="H17" s="23"/>
    </row>
    <row r="18" spans="2:8" ht="14" x14ac:dyDescent="0.3">
      <c r="B18" s="33" t="s">
        <v>188</v>
      </c>
      <c r="C18" s="20">
        <f t="shared" ref="C18:H18" si="3">C14-C16</f>
        <v>592477</v>
      </c>
      <c r="D18" s="20">
        <f t="shared" si="3"/>
        <v>633841.85067439731</v>
      </c>
      <c r="E18" s="20">
        <f t="shared" si="3"/>
        <v>665533.94320811715</v>
      </c>
      <c r="F18" s="20">
        <f t="shared" si="3"/>
        <v>688827.63122040126</v>
      </c>
      <c r="G18" s="20">
        <f t="shared" si="3"/>
        <v>706048.32200091123</v>
      </c>
      <c r="H18" s="20">
        <f t="shared" si="3"/>
        <v>720169.28844092949</v>
      </c>
    </row>
    <row r="19" spans="2:8" ht="14" x14ac:dyDescent="0.3">
      <c r="B19" s="33" t="s">
        <v>97</v>
      </c>
      <c r="C19" s="36" t="s">
        <v>45</v>
      </c>
      <c r="D19" s="24">
        <f>D18-C18</f>
        <v>41364.850674397312</v>
      </c>
      <c r="E19" s="24">
        <f>E18-D18</f>
        <v>31692.092533719842</v>
      </c>
      <c r="F19" s="24">
        <f>F18-E18</f>
        <v>23293.68801228411</v>
      </c>
      <c r="G19" s="24">
        <f>G18-F18</f>
        <v>17220.690780509962</v>
      </c>
      <c r="H19" s="24">
        <f>H18-G18</f>
        <v>14120.966440018266</v>
      </c>
    </row>
    <row r="22" spans="2:8" ht="14" x14ac:dyDescent="0.3">
      <c r="B22" s="22" t="s">
        <v>189</v>
      </c>
      <c r="C22" s="23"/>
      <c r="D22" s="23"/>
      <c r="E22" s="23"/>
      <c r="F22" s="23"/>
      <c r="G22" s="23"/>
      <c r="H22" s="23"/>
    </row>
    <row r="23" spans="2:8" ht="14" x14ac:dyDescent="0.3">
      <c r="D23" s="25" t="s">
        <v>83</v>
      </c>
      <c r="E23" s="25" t="s">
        <v>84</v>
      </c>
      <c r="F23" s="25" t="s">
        <v>85</v>
      </c>
      <c r="G23" s="25" t="s">
        <v>86</v>
      </c>
      <c r="H23" s="25" t="s">
        <v>87</v>
      </c>
    </row>
    <row r="24" spans="2:8" ht="14" x14ac:dyDescent="0.3">
      <c r="B24" s="3" t="s">
        <v>190</v>
      </c>
    </row>
    <row r="25" spans="2:8" ht="14" x14ac:dyDescent="0.3">
      <c r="B25" s="4" t="s">
        <v>81</v>
      </c>
      <c r="D25" s="30">
        <v>129</v>
      </c>
      <c r="E25" s="30">
        <v>129</v>
      </c>
      <c r="F25" s="30">
        <v>129</v>
      </c>
      <c r="G25" s="30">
        <v>129</v>
      </c>
      <c r="H25" s="30">
        <v>129</v>
      </c>
    </row>
    <row r="26" spans="2:8" ht="14" x14ac:dyDescent="0.3">
      <c r="B26" s="4" t="s">
        <v>118</v>
      </c>
      <c r="D26" s="30">
        <v>119</v>
      </c>
      <c r="E26" s="30">
        <v>119</v>
      </c>
      <c r="F26" s="30">
        <v>119</v>
      </c>
      <c r="G26" s="30">
        <v>119</v>
      </c>
      <c r="H26" s="30">
        <v>119</v>
      </c>
    </row>
    <row r="27" spans="2:8" ht="14" x14ac:dyDescent="0.3">
      <c r="B27" s="4" t="s">
        <v>119</v>
      </c>
      <c r="D27" s="30">
        <v>129</v>
      </c>
      <c r="E27" s="30">
        <v>129</v>
      </c>
      <c r="F27" s="30">
        <v>129</v>
      </c>
      <c r="G27" s="30">
        <v>129</v>
      </c>
      <c r="H27" s="30">
        <v>129</v>
      </c>
    </row>
    <row r="28" spans="2:8" ht="14" x14ac:dyDescent="0.3">
      <c r="B28" s="4" t="s">
        <v>120</v>
      </c>
      <c r="D28" s="30">
        <v>139</v>
      </c>
      <c r="E28" s="30">
        <v>139</v>
      </c>
      <c r="F28" s="30">
        <v>139</v>
      </c>
      <c r="G28" s="30">
        <v>139</v>
      </c>
      <c r="H28" s="30">
        <v>139</v>
      </c>
    </row>
    <row r="29" spans="2:8" ht="14" x14ac:dyDescent="0.3">
      <c r="B29" s="4" t="s">
        <v>121</v>
      </c>
      <c r="D29" s="30">
        <v>149</v>
      </c>
      <c r="E29" s="30">
        <v>149</v>
      </c>
      <c r="F29" s="30">
        <v>149</v>
      </c>
      <c r="G29" s="30">
        <v>149</v>
      </c>
      <c r="H29" s="30">
        <v>149</v>
      </c>
    </row>
    <row r="31" spans="2:8" ht="14" x14ac:dyDescent="0.3">
      <c r="B31" s="3" t="s">
        <v>191</v>
      </c>
    </row>
    <row r="32" spans="2:8" ht="14" x14ac:dyDescent="0.3">
      <c r="B32" s="4" t="s">
        <v>81</v>
      </c>
      <c r="D32" s="30">
        <v>278</v>
      </c>
      <c r="E32" s="30">
        <v>278</v>
      </c>
      <c r="F32" s="30">
        <v>278</v>
      </c>
      <c r="G32" s="30">
        <v>278</v>
      </c>
      <c r="H32" s="30">
        <v>278</v>
      </c>
    </row>
    <row r="33" spans="2:8" ht="14" x14ac:dyDescent="0.3">
      <c r="B33" s="4" t="s">
        <v>118</v>
      </c>
      <c r="D33" s="30">
        <v>258</v>
      </c>
      <c r="E33" s="30">
        <v>258</v>
      </c>
      <c r="F33" s="30">
        <v>258</v>
      </c>
      <c r="G33" s="30">
        <v>258</v>
      </c>
      <c r="H33" s="30">
        <v>258</v>
      </c>
    </row>
    <row r="34" spans="2:8" ht="14" x14ac:dyDescent="0.3">
      <c r="B34" s="4" t="s">
        <v>119</v>
      </c>
      <c r="D34" s="30">
        <v>278</v>
      </c>
      <c r="E34" s="30">
        <v>278</v>
      </c>
      <c r="F34" s="30">
        <v>278</v>
      </c>
      <c r="G34" s="30">
        <v>278</v>
      </c>
      <c r="H34" s="30">
        <v>278</v>
      </c>
    </row>
    <row r="35" spans="2:8" ht="14" x14ac:dyDescent="0.3">
      <c r="B35" s="4" t="s">
        <v>120</v>
      </c>
      <c r="D35" s="30">
        <v>298</v>
      </c>
      <c r="E35" s="30">
        <v>298</v>
      </c>
      <c r="F35" s="30">
        <v>298</v>
      </c>
      <c r="G35" s="30">
        <v>298</v>
      </c>
      <c r="H35" s="30">
        <v>298</v>
      </c>
    </row>
    <row r="36" spans="2:8" ht="14" x14ac:dyDescent="0.3">
      <c r="B36" s="4" t="s">
        <v>121</v>
      </c>
      <c r="D36" s="30">
        <v>318</v>
      </c>
      <c r="E36" s="30">
        <v>318</v>
      </c>
      <c r="F36" s="30">
        <v>318</v>
      </c>
      <c r="G36" s="30">
        <v>318</v>
      </c>
      <c r="H36" s="30">
        <v>318</v>
      </c>
    </row>
    <row r="38" spans="2:8" ht="14" x14ac:dyDescent="0.3">
      <c r="B38" s="3" t="s">
        <v>192</v>
      </c>
    </row>
    <row r="39" spans="2:8" ht="14" x14ac:dyDescent="0.3">
      <c r="B39" s="4" t="s">
        <v>81</v>
      </c>
      <c r="D39" s="30">
        <v>128</v>
      </c>
      <c r="E39" s="30">
        <v>128</v>
      </c>
      <c r="F39" s="30">
        <v>128</v>
      </c>
      <c r="G39" s="30">
        <v>128</v>
      </c>
      <c r="H39" s="30">
        <v>128</v>
      </c>
    </row>
    <row r="40" spans="2:8" ht="14" x14ac:dyDescent="0.3">
      <c r="B40" s="4" t="s">
        <v>118</v>
      </c>
      <c r="D40" s="30">
        <v>136</v>
      </c>
      <c r="E40" s="30">
        <v>136</v>
      </c>
      <c r="F40" s="30">
        <v>136</v>
      </c>
      <c r="G40" s="30">
        <v>136</v>
      </c>
      <c r="H40" s="30">
        <v>136</v>
      </c>
    </row>
    <row r="41" spans="2:8" ht="14" x14ac:dyDescent="0.3">
      <c r="B41" s="4" t="s">
        <v>119</v>
      </c>
      <c r="D41" s="30">
        <v>128</v>
      </c>
      <c r="E41" s="30">
        <v>128</v>
      </c>
      <c r="F41" s="30">
        <v>128</v>
      </c>
      <c r="G41" s="30">
        <v>128</v>
      </c>
      <c r="H41" s="30">
        <v>128</v>
      </c>
    </row>
    <row r="42" spans="2:8" ht="14" x14ac:dyDescent="0.3">
      <c r="B42" s="4" t="s">
        <v>120</v>
      </c>
      <c r="D42" s="30">
        <v>120</v>
      </c>
      <c r="E42" s="30">
        <v>120</v>
      </c>
      <c r="F42" s="30">
        <v>120</v>
      </c>
      <c r="G42" s="30">
        <v>120</v>
      </c>
      <c r="H42" s="30">
        <v>120</v>
      </c>
    </row>
    <row r="43" spans="2:8" ht="14" x14ac:dyDescent="0.3">
      <c r="B43" s="4" t="s">
        <v>121</v>
      </c>
      <c r="D43" s="30">
        <v>113</v>
      </c>
      <c r="E43" s="30">
        <v>113</v>
      </c>
      <c r="F43" s="30">
        <v>113</v>
      </c>
      <c r="G43" s="30">
        <v>113</v>
      </c>
      <c r="H43" s="30">
        <v>113</v>
      </c>
    </row>
  </sheetData>
  <phoneticPr fontId="8"/>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6600"/>
  </sheetPr>
  <dimension ref="B2:Q28"/>
  <sheetViews>
    <sheetView workbookViewId="0"/>
  </sheetViews>
  <sheetFormatPr defaultRowHeight="13" x14ac:dyDescent="0.2"/>
  <cols>
    <col min="1" max="1" width="3" customWidth="1"/>
    <col min="2" max="2" width="16" customWidth="1"/>
    <col min="3" max="3" width="10" customWidth="1"/>
    <col min="4" max="16" width="12" customWidth="1"/>
    <col min="17" max="17" width="26" customWidth="1"/>
  </cols>
  <sheetData>
    <row r="2" spans="2:17" ht="18" x14ac:dyDescent="0.4">
      <c r="B2" s="2" t="s">
        <v>193</v>
      </c>
    </row>
    <row r="3" spans="2:17" ht="14" x14ac:dyDescent="0.3">
      <c r="B3" s="1" t="s">
        <v>194</v>
      </c>
    </row>
    <row r="4" spans="2:17" ht="28" x14ac:dyDescent="0.3">
      <c r="B4" s="10" t="s">
        <v>3</v>
      </c>
      <c r="C4" s="10" t="s">
        <v>5</v>
      </c>
      <c r="D4" s="10" t="s">
        <v>195</v>
      </c>
      <c r="E4" s="10" t="s">
        <v>196</v>
      </c>
      <c r="F4" s="10" t="s">
        <v>197</v>
      </c>
      <c r="G4" s="10" t="s">
        <v>198</v>
      </c>
      <c r="H4" s="10" t="s">
        <v>199</v>
      </c>
      <c r="I4" s="10" t="s">
        <v>200</v>
      </c>
      <c r="J4" s="10" t="s">
        <v>201</v>
      </c>
      <c r="K4" s="10" t="s">
        <v>202</v>
      </c>
      <c r="L4" s="10" t="s">
        <v>203</v>
      </c>
      <c r="M4" s="10" t="s">
        <v>204</v>
      </c>
      <c r="N4" s="10" t="s">
        <v>205</v>
      </c>
      <c r="O4" s="10" t="s">
        <v>206</v>
      </c>
      <c r="P4" s="10" t="s">
        <v>207</v>
      </c>
      <c r="Q4" s="10" t="s">
        <v>208</v>
      </c>
    </row>
    <row r="5" spans="2:17" ht="14" x14ac:dyDescent="0.3">
      <c r="B5" s="4" t="s">
        <v>4</v>
      </c>
      <c r="C5" t="s">
        <v>209</v>
      </c>
      <c r="D5" s="37">
        <f>'Executive Summary'!C9*C23/1000000</f>
        <v>11181696.849765001</v>
      </c>
      <c r="E5" s="37">
        <f>D5+C24</f>
        <v>10201996.849765001</v>
      </c>
      <c r="F5" s="37">
        <v>1257941</v>
      </c>
      <c r="G5" s="37">
        <v>631368</v>
      </c>
      <c r="H5" s="37">
        <v>598833</v>
      </c>
      <c r="I5" s="37">
        <v>434012</v>
      </c>
      <c r="J5" s="38">
        <f t="shared" ref="J5:J11" si="0">IFERROR(E5/G5,"")</f>
        <v>16.158558637379471</v>
      </c>
      <c r="K5" s="38">
        <f t="shared" ref="K5:K11" si="1">IFERROR(E5/F5,"")</f>
        <v>8.1100757903311855</v>
      </c>
      <c r="L5" s="38">
        <f>IFERROR(D5/I5,"")</f>
        <v>25.763566099013392</v>
      </c>
      <c r="M5" s="38">
        <f t="shared" ref="M5:M11" si="2">IFERROR(D5/P5,"")</f>
        <v>5.5198302883920487</v>
      </c>
      <c r="N5" s="39">
        <f t="shared" ref="N5:N11" si="3">IFERROR(H5/F5,"")</f>
        <v>0.47604219911744666</v>
      </c>
      <c r="O5" s="39">
        <f t="shared" ref="O5:O11" si="4">IFERROR(I5/P5,"")</f>
        <v>0.21424946636573841</v>
      </c>
      <c r="P5" s="37">
        <v>2025732</v>
      </c>
    </row>
    <row r="6" spans="2:17" ht="14" x14ac:dyDescent="0.3">
      <c r="B6" s="4" t="s">
        <v>210</v>
      </c>
      <c r="C6" t="s">
        <v>211</v>
      </c>
      <c r="D6" s="37">
        <v>9186111</v>
      </c>
      <c r="E6" s="37">
        <v>13472895</v>
      </c>
      <c r="F6" s="37">
        <v>4505720</v>
      </c>
      <c r="G6" s="37">
        <v>1185578</v>
      </c>
      <c r="H6" s="37">
        <v>464451</v>
      </c>
      <c r="I6" s="37">
        <v>-152390</v>
      </c>
      <c r="J6" s="38">
        <f t="shared" si="0"/>
        <v>11.363988704243837</v>
      </c>
      <c r="K6" s="38">
        <f t="shared" si="1"/>
        <v>2.9901758209564733</v>
      </c>
      <c r="L6" s="40" t="s">
        <v>212</v>
      </c>
      <c r="M6" s="38">
        <f t="shared" si="2"/>
        <v>1.2364471297369479</v>
      </c>
      <c r="N6" s="39">
        <f t="shared" si="3"/>
        <v>0.10308030681001039</v>
      </c>
      <c r="O6" s="39">
        <f t="shared" si="4"/>
        <v>-2.0511637416597023E-2</v>
      </c>
      <c r="P6" s="37">
        <v>7429441</v>
      </c>
    </row>
    <row r="7" spans="2:17" ht="14" x14ac:dyDescent="0.3">
      <c r="B7" s="4" t="s">
        <v>213</v>
      </c>
      <c r="C7" t="s">
        <v>214</v>
      </c>
      <c r="D7" s="37">
        <v>4223444</v>
      </c>
      <c r="E7" s="37">
        <v>4507791</v>
      </c>
      <c r="F7" s="37">
        <v>2139245</v>
      </c>
      <c r="G7" s="37">
        <v>574653</v>
      </c>
      <c r="H7" s="37">
        <v>380059</v>
      </c>
      <c r="I7" s="37">
        <v>291535</v>
      </c>
      <c r="J7" s="38">
        <f t="shared" si="0"/>
        <v>7.8443704287630966</v>
      </c>
      <c r="K7" s="38">
        <f t="shared" si="1"/>
        <v>2.1071878162622792</v>
      </c>
      <c r="L7" s="38">
        <f>IFERROR(D7/I7,"")</f>
        <v>14.486919237827362</v>
      </c>
      <c r="M7" s="38">
        <f t="shared" si="2"/>
        <v>2.3090991796807514</v>
      </c>
      <c r="N7" s="39">
        <f t="shared" si="3"/>
        <v>0.17766034278448706</v>
      </c>
      <c r="O7" s="39">
        <f t="shared" si="4"/>
        <v>0.15939201025235042</v>
      </c>
      <c r="P7" s="37">
        <v>1829044</v>
      </c>
    </row>
    <row r="8" spans="2:17" ht="14" x14ac:dyDescent="0.3">
      <c r="B8" s="4" t="s">
        <v>215</v>
      </c>
      <c r="C8" t="s">
        <v>216</v>
      </c>
      <c r="D8" s="37">
        <v>2476073</v>
      </c>
      <c r="E8" s="37">
        <v>2449070</v>
      </c>
      <c r="F8" s="37">
        <v>499677</v>
      </c>
      <c r="G8" s="37">
        <v>193693</v>
      </c>
      <c r="H8" s="37">
        <v>166725</v>
      </c>
      <c r="I8" s="37">
        <v>205159</v>
      </c>
      <c r="J8" s="38">
        <f t="shared" si="0"/>
        <v>12.644081097406721</v>
      </c>
      <c r="K8" s="38">
        <f t="shared" si="1"/>
        <v>4.9013062438335169</v>
      </c>
      <c r="L8" s="38">
        <f>IFERROR(D8/I8,"")</f>
        <v>12.069044009768033</v>
      </c>
      <c r="M8" s="38">
        <f t="shared" si="2"/>
        <v>1.4692920487890269</v>
      </c>
      <c r="N8" s="39">
        <f t="shared" si="3"/>
        <v>0.3336655479439718</v>
      </c>
      <c r="O8" s="39">
        <f t="shared" si="4"/>
        <v>0.12174054942544422</v>
      </c>
      <c r="P8" s="37">
        <v>1685215</v>
      </c>
    </row>
    <row r="9" spans="2:17" ht="14" x14ac:dyDescent="0.3">
      <c r="B9" s="4" t="s">
        <v>217</v>
      </c>
      <c r="C9" t="s">
        <v>218</v>
      </c>
      <c r="D9" s="37">
        <v>1324816</v>
      </c>
      <c r="E9" s="37">
        <v>1265474</v>
      </c>
      <c r="F9" s="37">
        <v>825378</v>
      </c>
      <c r="G9" s="37">
        <v>83689</v>
      </c>
      <c r="H9" s="37">
        <v>44139</v>
      </c>
      <c r="I9" s="37">
        <v>38558</v>
      </c>
      <c r="J9" s="38">
        <f t="shared" si="0"/>
        <v>15.121150927839979</v>
      </c>
      <c r="K9" s="38">
        <f t="shared" si="1"/>
        <v>1.5332053919537472</v>
      </c>
      <c r="L9" s="38">
        <f>IFERROR(D9/I9,"")</f>
        <v>34.359043518854712</v>
      </c>
      <c r="M9" s="38">
        <f t="shared" si="2"/>
        <v>1.4736682862583872</v>
      </c>
      <c r="N9" s="39">
        <f t="shared" si="3"/>
        <v>5.3477315848011457E-2</v>
      </c>
      <c r="O9" s="39">
        <f t="shared" si="4"/>
        <v>4.289025931265239E-2</v>
      </c>
      <c r="P9" s="37">
        <v>898992</v>
      </c>
    </row>
    <row r="10" spans="2:17" ht="14" x14ac:dyDescent="0.3">
      <c r="B10" s="4" t="s">
        <v>219</v>
      </c>
      <c r="C10" t="s">
        <v>220</v>
      </c>
      <c r="D10" s="37">
        <v>5084111</v>
      </c>
      <c r="E10" s="37">
        <v>4934785</v>
      </c>
      <c r="F10" s="37">
        <v>2123045</v>
      </c>
      <c r="G10" s="37">
        <v>306549</v>
      </c>
      <c r="H10" s="37">
        <v>229089</v>
      </c>
      <c r="I10" s="37">
        <v>259874</v>
      </c>
      <c r="J10" s="38">
        <f t="shared" si="0"/>
        <v>16.097866898929698</v>
      </c>
      <c r="K10" s="38">
        <f t="shared" si="1"/>
        <v>2.3243902036932802</v>
      </c>
      <c r="L10" s="38">
        <f>IFERROR(D10/I10,"")</f>
        <v>19.563753973079262</v>
      </c>
      <c r="M10" s="38">
        <f t="shared" si="2"/>
        <v>3.0550265326025627</v>
      </c>
      <c r="N10" s="39">
        <f t="shared" si="3"/>
        <v>0.10790586162799187</v>
      </c>
      <c r="O10" s="39">
        <f t="shared" si="4"/>
        <v>0.1561574806556266</v>
      </c>
      <c r="P10" s="37">
        <v>1664179</v>
      </c>
    </row>
    <row r="11" spans="2:17" ht="14" x14ac:dyDescent="0.3">
      <c r="B11" s="4" t="s">
        <v>221</v>
      </c>
      <c r="C11" t="s">
        <v>222</v>
      </c>
      <c r="D11" s="37">
        <v>6320483</v>
      </c>
      <c r="E11" s="37">
        <v>6013813</v>
      </c>
      <c r="F11" s="37">
        <v>2468892</v>
      </c>
      <c r="G11" s="37">
        <v>588273</v>
      </c>
      <c r="H11" s="37">
        <v>472106</v>
      </c>
      <c r="I11" s="37">
        <v>363150</v>
      </c>
      <c r="J11" s="38">
        <f t="shared" si="0"/>
        <v>10.222826816801042</v>
      </c>
      <c r="K11" s="38">
        <f t="shared" si="1"/>
        <v>2.4358347793261106</v>
      </c>
      <c r="L11" s="38">
        <f>IFERROR(D11/I11,"")</f>
        <v>17.404606911744459</v>
      </c>
      <c r="M11" s="38">
        <f t="shared" si="2"/>
        <v>2.0835996972418149</v>
      </c>
      <c r="N11" s="39">
        <f t="shared" si="3"/>
        <v>0.191221811241642</v>
      </c>
      <c r="O11" s="39">
        <f t="shared" si="4"/>
        <v>0.119715412580552</v>
      </c>
      <c r="P11" s="37">
        <v>3033444</v>
      </c>
    </row>
    <row r="14" spans="2:17" ht="14" x14ac:dyDescent="0.3">
      <c r="B14" s="3" t="s">
        <v>223</v>
      </c>
    </row>
    <row r="15" spans="2:17" ht="14" x14ac:dyDescent="0.3">
      <c r="B15" s="4" t="s">
        <v>224</v>
      </c>
      <c r="D15" s="38">
        <f t="shared" ref="D15:I15" si="5">PERCENTILE(J6:J11,0.25)</f>
        <v>10.50811728866174</v>
      </c>
      <c r="E15" s="38">
        <f t="shared" si="5"/>
        <v>2.1614884131200296</v>
      </c>
      <c r="F15" s="38">
        <f t="shared" si="5"/>
        <v>14.486919237827362</v>
      </c>
      <c r="G15" s="38">
        <f t="shared" si="5"/>
        <v>1.4703861081563669</v>
      </c>
      <c r="H15" s="39">
        <f t="shared" si="5"/>
        <v>0.10428669551450576</v>
      </c>
      <c r="I15" s="39">
        <f t="shared" si="5"/>
        <v>6.2096547629627297E-2</v>
      </c>
    </row>
    <row r="16" spans="2:17" ht="14" x14ac:dyDescent="0.3">
      <c r="B16" s="4" t="s">
        <v>225</v>
      </c>
      <c r="D16" s="38">
        <f t="shared" ref="D16:I16" si="6">MEDIAN(J6:J11)</f>
        <v>12.004034900825278</v>
      </c>
      <c r="E16" s="38">
        <f t="shared" si="6"/>
        <v>2.3801124915096956</v>
      </c>
      <c r="F16" s="38">
        <f t="shared" si="6"/>
        <v>17.404606911744459</v>
      </c>
      <c r="G16" s="38">
        <f t="shared" si="6"/>
        <v>1.7786339917501011</v>
      </c>
      <c r="H16" s="39">
        <f t="shared" si="6"/>
        <v>0.14278310220623947</v>
      </c>
      <c r="I16" s="39">
        <f t="shared" si="6"/>
        <v>0.12072798100299811</v>
      </c>
    </row>
    <row r="17" spans="2:9" ht="14" x14ac:dyDescent="0.3">
      <c r="B17" s="4" t="s">
        <v>226</v>
      </c>
      <c r="D17" s="38">
        <f t="shared" ref="D17:I17" si="7">PERCENTILE(J6:J11,0.75)</f>
        <v>14.501883470231665</v>
      </c>
      <c r="E17" s="38">
        <f t="shared" si="7"/>
        <v>2.8515905605488827</v>
      </c>
      <c r="F17" s="38">
        <f t="shared" si="7"/>
        <v>19.563753973079262</v>
      </c>
      <c r="G17" s="38">
        <f t="shared" si="7"/>
        <v>2.2527243090710174</v>
      </c>
      <c r="H17" s="39">
        <f t="shared" si="7"/>
        <v>0.18783144412735325</v>
      </c>
      <c r="I17" s="39">
        <f t="shared" si="7"/>
        <v>0.14755324784808099</v>
      </c>
    </row>
    <row r="19" spans="2:9" ht="14" x14ac:dyDescent="0.3">
      <c r="B19" s="22" t="s">
        <v>227</v>
      </c>
      <c r="C19" s="23"/>
      <c r="D19" s="23"/>
      <c r="E19" s="23"/>
      <c r="F19" s="23"/>
      <c r="G19" s="23"/>
      <c r="H19" s="23"/>
      <c r="I19" s="23"/>
    </row>
    <row r="20" spans="2:9" ht="14" x14ac:dyDescent="0.3">
      <c r="B20" s="3" t="s">
        <v>228</v>
      </c>
    </row>
    <row r="21" spans="2:9" ht="14" x14ac:dyDescent="0.3">
      <c r="B21" s="4" t="s">
        <v>229</v>
      </c>
      <c r="C21" s="5">
        <v>631368</v>
      </c>
    </row>
    <row r="22" spans="2:9" ht="14" x14ac:dyDescent="0.3">
      <c r="B22" s="4" t="s">
        <v>230</v>
      </c>
      <c r="C22" s="5">
        <v>434012</v>
      </c>
    </row>
    <row r="23" spans="2:9" ht="14" x14ac:dyDescent="0.3">
      <c r="B23" s="4" t="s">
        <v>231</v>
      </c>
      <c r="C23" s="15">
        <v>1645577167</v>
      </c>
    </row>
    <row r="24" spans="2:9" ht="14" x14ac:dyDescent="0.3">
      <c r="B24" s="4" t="s">
        <v>70</v>
      </c>
      <c r="C24" s="5">
        <v>-979700</v>
      </c>
    </row>
    <row r="26" spans="2:9" ht="14" x14ac:dyDescent="0.3">
      <c r="B26" s="3" t="s">
        <v>232</v>
      </c>
    </row>
    <row r="27" spans="2:9" ht="14" x14ac:dyDescent="0.3">
      <c r="B27" s="4" t="s">
        <v>233</v>
      </c>
      <c r="C27" s="24">
        <f>ROUND((C21*D16-C24)*1000000/C23,0)</f>
        <v>5201</v>
      </c>
    </row>
    <row r="28" spans="2:9" ht="14" x14ac:dyDescent="0.3">
      <c r="B28" s="4" t="s">
        <v>234</v>
      </c>
      <c r="C28" s="24">
        <f>ROUND(C22*F16*1000000/C23,0)</f>
        <v>4590</v>
      </c>
    </row>
  </sheetData>
  <phoneticPr fontId="8"/>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96600"/>
  </sheetPr>
  <dimension ref="B2:I26"/>
  <sheetViews>
    <sheetView workbookViewId="0"/>
  </sheetViews>
  <sheetFormatPr defaultRowHeight="13" x14ac:dyDescent="0.2"/>
  <cols>
    <col min="1" max="1" width="3" customWidth="1"/>
    <col min="2" max="2" width="24" customWidth="1"/>
    <col min="3" max="9" width="14" customWidth="1"/>
  </cols>
  <sheetData>
    <row r="2" spans="2:9" ht="18" x14ac:dyDescent="0.4">
      <c r="B2" s="2" t="s">
        <v>235</v>
      </c>
    </row>
    <row r="3" spans="2:9" ht="14" x14ac:dyDescent="0.3">
      <c r="B3" s="4" t="s">
        <v>236</v>
      </c>
      <c r="C3" s="16">
        <f>'DCF Model'!C26</f>
        <v>9.2941499999999996E-2</v>
      </c>
      <c r="E3" s="4" t="s">
        <v>237</v>
      </c>
      <c r="F3" s="16">
        <f>'DCF Model'!C13</f>
        <v>0.01</v>
      </c>
      <c r="H3" s="4" t="s">
        <v>238</v>
      </c>
      <c r="I3" s="14">
        <f>'DCF Model'!C14</f>
        <v>12</v>
      </c>
    </row>
    <row r="5" spans="2:9" ht="14" x14ac:dyDescent="0.3">
      <c r="B5" s="3" t="s">
        <v>239</v>
      </c>
    </row>
    <row r="6" spans="2:9" ht="14" x14ac:dyDescent="0.3">
      <c r="B6" s="41" t="s">
        <v>240</v>
      </c>
      <c r="C6" s="42">
        <f>$F$3-0.0075</f>
        <v>2.5000000000000005E-3</v>
      </c>
      <c r="D6" s="42">
        <f>$F$3-0.005</f>
        <v>5.0000000000000001E-3</v>
      </c>
      <c r="E6" s="42">
        <f>$F$3-0.0025</f>
        <v>7.4999999999999997E-3</v>
      </c>
      <c r="F6" s="42">
        <f>$F$3</f>
        <v>0.01</v>
      </c>
      <c r="G6" s="42">
        <f>$F$3+0.0025</f>
        <v>1.2500000000000001E-2</v>
      </c>
      <c r="H6" s="42">
        <f>$F$3+0.005</f>
        <v>1.4999999999999999E-2</v>
      </c>
      <c r="I6" s="42">
        <f>$F$3+0.0075</f>
        <v>1.7500000000000002E-2</v>
      </c>
    </row>
    <row r="7" spans="2:9" ht="13.5" x14ac:dyDescent="0.25">
      <c r="B7" s="39">
        <f>$C$3-0.015</f>
        <v>7.7941499999999997E-2</v>
      </c>
      <c r="C7" s="37">
        <f>IFERROR(ROUND(('DCF Model'!C45/(1+$B7)^('DCF Model'!C19+0)+'DCF Model'!D45/(1+$B7)^('DCF Model'!C19+1)+'DCF Model'!E45/(1+$B7)^('DCF Model'!C19+2)+'DCF Model'!F45/(1+$B7)^('DCF Model'!C19+3)+'DCF Model'!G45/(1+$B7)^('DCF Model'!C19+4)+'DCF Model'!G45*(1+C$6)/($B7-C$6)/(1+$B7)^('DCF Model'!C19+4)-'DCF Model'!C16)*1000000/'DCF Model'!C15,0),"")</f>
        <v>4823</v>
      </c>
      <c r="D7" s="37">
        <f>IFERROR(ROUND(('DCF Model'!C45/(1+$B7)^('DCF Model'!C19+0)+'DCF Model'!D45/(1+$B7)^('DCF Model'!C19+1)+'DCF Model'!E45/(1+$B7)^('DCF Model'!C19+2)+'DCF Model'!F45/(1+$B7)^('DCF Model'!C19+3)+'DCF Model'!G45/(1+$B7)^('DCF Model'!C19+4)+'DCF Model'!G45*(1+D$6)/($B7-D$6)/(1+$B7)^('DCF Model'!C19+4)-'DCF Model'!C16)*1000000/'DCF Model'!C15,0),"")</f>
        <v>4934</v>
      </c>
      <c r="E7" s="37">
        <f>IFERROR(ROUND(('DCF Model'!C45/(1+$B7)^('DCF Model'!C19+0)+'DCF Model'!D45/(1+$B7)^('DCF Model'!C19+1)+'DCF Model'!E45/(1+$B7)^('DCF Model'!C19+2)+'DCF Model'!F45/(1+$B7)^('DCF Model'!C19+3)+'DCF Model'!G45/(1+$B7)^('DCF Model'!C19+4)+'DCF Model'!G45*(1+E$6)/($B7-E$6)/(1+$B7)^('DCF Model'!C19+4)-'DCF Model'!C16)*1000000/'DCF Model'!C15,0),"")</f>
        <v>5052</v>
      </c>
      <c r="F7" s="37">
        <f>IFERROR(ROUND(('DCF Model'!C45/(1+$B7)^('DCF Model'!C19+0)+'DCF Model'!D45/(1+$B7)^('DCF Model'!C19+1)+'DCF Model'!E45/(1+$B7)^('DCF Model'!C19+2)+'DCF Model'!F45/(1+$B7)^('DCF Model'!C19+3)+'DCF Model'!G45/(1+$B7)^('DCF Model'!C19+4)+'DCF Model'!G45*(1+F$6)/($B7-F$6)/(1+$B7)^('DCF Model'!C19+4)-'DCF Model'!C16)*1000000/'DCF Model'!C15,0),"")</f>
        <v>5180</v>
      </c>
      <c r="G7" s="37">
        <f>IFERROR(ROUND(('DCF Model'!C45/(1+$B7)^('DCF Model'!C19+0)+'DCF Model'!D45/(1+$B7)^('DCF Model'!C19+1)+'DCF Model'!E45/(1+$B7)^('DCF Model'!C19+2)+'DCF Model'!F45/(1+$B7)^('DCF Model'!C19+3)+'DCF Model'!G45/(1+$B7)^('DCF Model'!C19+4)+'DCF Model'!G45*(1+G$6)/($B7-G$6)/(1+$B7)^('DCF Model'!C19+4)-'DCF Model'!C16)*1000000/'DCF Model'!C15,0),"")</f>
        <v>5317</v>
      </c>
      <c r="H7" s="37">
        <f>IFERROR(ROUND(('DCF Model'!C45/(1+$B7)^('DCF Model'!C19+0)+'DCF Model'!D45/(1+$B7)^('DCF Model'!C19+1)+'DCF Model'!E45/(1+$B7)^('DCF Model'!C19+2)+'DCF Model'!F45/(1+$B7)^('DCF Model'!C19+3)+'DCF Model'!G45/(1+$B7)^('DCF Model'!C19+4)+'DCF Model'!G45*(1+H$6)/($B7-H$6)/(1+$B7)^('DCF Model'!C19+4)-'DCF Model'!C16)*1000000/'DCF Model'!C15,0),"")</f>
        <v>5466</v>
      </c>
      <c r="I7" s="37">
        <f>IFERROR(ROUND(('DCF Model'!C45/(1+$B7)^('DCF Model'!C19+0)+'DCF Model'!D45/(1+$B7)^('DCF Model'!C19+1)+'DCF Model'!E45/(1+$B7)^('DCF Model'!C19+2)+'DCF Model'!F45/(1+$B7)^('DCF Model'!C19+3)+'DCF Model'!G45/(1+$B7)^('DCF Model'!C19+4)+'DCF Model'!G45*(1+I$6)/($B7-I$6)/(1+$B7)^('DCF Model'!C19+4)-'DCF Model'!C16)*1000000/'DCF Model'!C15,0),"")</f>
        <v>5626</v>
      </c>
    </row>
    <row r="8" spans="2:9" ht="13.5" x14ac:dyDescent="0.25">
      <c r="B8" s="39">
        <f>$C$3-0.01</f>
        <v>8.2941500000000001E-2</v>
      </c>
      <c r="C8" s="37">
        <f>IFERROR(ROUND(('DCF Model'!C45/(1+$B8)^('DCF Model'!C19+0)+'DCF Model'!D45/(1+$B8)^('DCF Model'!C19+1)+'DCF Model'!E45/(1+$B8)^('DCF Model'!C19+2)+'DCF Model'!F45/(1+$B8)^('DCF Model'!C19+3)+'DCF Model'!G45/(1+$B8)^('DCF Model'!C19+4)+'DCF Model'!G45*(1+C$6)/($B8-C$6)/(1+$B8)^('DCF Model'!C19+4)-'DCF Model'!C16)*1000000/'DCF Model'!C15,0),"")</f>
        <v>4564</v>
      </c>
      <c r="D8" s="37">
        <f>IFERROR(ROUND(('DCF Model'!C45/(1+$B8)^('DCF Model'!C19+0)+'DCF Model'!D45/(1+$B8)^('DCF Model'!C19+1)+'DCF Model'!E45/(1+$B8)^('DCF Model'!C19+2)+'DCF Model'!F45/(1+$B8)^('DCF Model'!C19+3)+'DCF Model'!G45/(1+$B8)^('DCF Model'!C19+4)+'DCF Model'!G45*(1+D$6)/($B8-D$6)/(1+$B8)^('DCF Model'!C19+4)-'DCF Model'!C16)*1000000/'DCF Model'!C15,0),"")</f>
        <v>4659</v>
      </c>
      <c r="E8" s="37">
        <f>IFERROR(ROUND(('DCF Model'!C45/(1+$B8)^('DCF Model'!C19+0)+'DCF Model'!D45/(1+$B8)^('DCF Model'!C19+1)+'DCF Model'!E45/(1+$B8)^('DCF Model'!C19+2)+'DCF Model'!F45/(1+$B8)^('DCF Model'!C19+3)+'DCF Model'!G45/(1+$B8)^('DCF Model'!C19+4)+'DCF Model'!G45*(1+E$6)/($B8-E$6)/(1+$B8)^('DCF Model'!C19+4)-'DCF Model'!C16)*1000000/'DCF Model'!C15,0),"")</f>
        <v>4762</v>
      </c>
      <c r="F8" s="37">
        <f>IFERROR(ROUND(('DCF Model'!C45/(1+$B8)^('DCF Model'!C19+0)+'DCF Model'!D45/(1+$B8)^('DCF Model'!C19+1)+'DCF Model'!E45/(1+$B8)^('DCF Model'!C19+2)+'DCF Model'!F45/(1+$B8)^('DCF Model'!C19+3)+'DCF Model'!G45/(1+$B8)^('DCF Model'!C19+4)+'DCF Model'!G45*(1+F$6)/($B8-F$6)/(1+$B8)^('DCF Model'!C19+4)-'DCF Model'!C16)*1000000/'DCF Model'!C15,0),"")</f>
        <v>4871</v>
      </c>
      <c r="G8" s="37">
        <f>IFERROR(ROUND(('DCF Model'!C45/(1+$B8)^('DCF Model'!C19+0)+'DCF Model'!D45/(1+$B8)^('DCF Model'!C19+1)+'DCF Model'!E45/(1+$B8)^('DCF Model'!C19+2)+'DCF Model'!F45/(1+$B8)^('DCF Model'!C19+3)+'DCF Model'!G45/(1+$B8)^('DCF Model'!C19+4)+'DCF Model'!G45*(1+G$6)/($B8-G$6)/(1+$B8)^('DCF Model'!C19+4)-'DCF Model'!C16)*1000000/'DCF Model'!C15,0),"")</f>
        <v>4988</v>
      </c>
      <c r="H8" s="37">
        <f>IFERROR(ROUND(('DCF Model'!C45/(1+$B8)^('DCF Model'!C19+0)+'DCF Model'!D45/(1+$B8)^('DCF Model'!C19+1)+'DCF Model'!E45/(1+$B8)^('DCF Model'!C19+2)+'DCF Model'!F45/(1+$B8)^('DCF Model'!C19+3)+'DCF Model'!G45/(1+$B8)^('DCF Model'!C19+4)+'DCF Model'!G45*(1+H$6)/($B8-H$6)/(1+$B8)^('DCF Model'!C19+4)-'DCF Model'!C16)*1000000/'DCF Model'!C15,0),"")</f>
        <v>5113</v>
      </c>
      <c r="I8" s="37">
        <f>IFERROR(ROUND(('DCF Model'!C45/(1+$B8)^('DCF Model'!C19+0)+'DCF Model'!D45/(1+$B8)^('DCF Model'!C19+1)+'DCF Model'!E45/(1+$B8)^('DCF Model'!C19+2)+'DCF Model'!F45/(1+$B8)^('DCF Model'!C19+3)+'DCF Model'!G45/(1+$B8)^('DCF Model'!C19+4)+'DCF Model'!G45*(1+I$6)/($B8-I$6)/(1+$B8)^('DCF Model'!C19+4)-'DCF Model'!C16)*1000000/'DCF Model'!C15,0),"")</f>
        <v>5248</v>
      </c>
    </row>
    <row r="9" spans="2:9" ht="13.5" x14ac:dyDescent="0.25">
      <c r="B9" s="39">
        <f>$C$3-0.005</f>
        <v>8.7941499999999992E-2</v>
      </c>
      <c r="C9" s="37">
        <f>IFERROR(ROUND(('DCF Model'!C45/(1+$B9)^('DCF Model'!C19+0)+'DCF Model'!D45/(1+$B9)^('DCF Model'!C19+1)+'DCF Model'!E45/(1+$B9)^('DCF Model'!C19+2)+'DCF Model'!F45/(1+$B9)^('DCF Model'!C19+3)+'DCF Model'!G45/(1+$B9)^('DCF Model'!C19+4)+'DCF Model'!G45*(1+C$6)/($B9-C$6)/(1+$B9)^('DCF Model'!C19+4)-'DCF Model'!C16)*1000000/'DCF Model'!C15,0),"")</f>
        <v>4335</v>
      </c>
      <c r="D9" s="37">
        <f>IFERROR(ROUND(('DCF Model'!C45/(1+$B9)^('DCF Model'!C19+0)+'DCF Model'!D45/(1+$B9)^('DCF Model'!C19+1)+'DCF Model'!E45/(1+$B9)^('DCF Model'!C19+2)+'DCF Model'!F45/(1+$B9)^('DCF Model'!C19+3)+'DCF Model'!G45/(1+$B9)^('DCF Model'!C19+4)+'DCF Model'!G45*(1+D$6)/($B9-D$6)/(1+$B9)^('DCF Model'!C19+4)-'DCF Model'!C16)*1000000/'DCF Model'!C15,0),"")</f>
        <v>4418</v>
      </c>
      <c r="E9" s="37">
        <f>IFERROR(ROUND(('DCF Model'!C45/(1+$B9)^('DCF Model'!C19+0)+'DCF Model'!D45/(1+$B9)^('DCF Model'!C19+1)+'DCF Model'!E45/(1+$B9)^('DCF Model'!C19+2)+'DCF Model'!F45/(1+$B9)^('DCF Model'!C19+3)+'DCF Model'!G45/(1+$B9)^('DCF Model'!C19+4)+'DCF Model'!G45*(1+E$6)/($B9-E$6)/(1+$B9)^('DCF Model'!C19+4)-'DCF Model'!C16)*1000000/'DCF Model'!C15,0),"")</f>
        <v>4507</v>
      </c>
      <c r="F9" s="37">
        <f>IFERROR(ROUND(('DCF Model'!C45/(1+$B9)^('DCF Model'!C19+0)+'DCF Model'!D45/(1+$B9)^('DCF Model'!C19+1)+'DCF Model'!E45/(1+$B9)^('DCF Model'!C19+2)+'DCF Model'!F45/(1+$B9)^('DCF Model'!C19+3)+'DCF Model'!G45/(1+$B9)^('DCF Model'!C19+4)+'DCF Model'!G45*(1+F$6)/($B9-F$6)/(1+$B9)^('DCF Model'!C19+4)-'DCF Model'!C16)*1000000/'DCF Model'!C15,0),"")</f>
        <v>4601</v>
      </c>
      <c r="G9" s="37">
        <f>IFERROR(ROUND(('DCF Model'!C45/(1+$B9)^('DCF Model'!C19+0)+'DCF Model'!D45/(1+$B9)^('DCF Model'!C19+1)+'DCF Model'!E45/(1+$B9)^('DCF Model'!C19+2)+'DCF Model'!F45/(1+$B9)^('DCF Model'!C19+3)+'DCF Model'!G45/(1+$B9)^('DCF Model'!C19+4)+'DCF Model'!G45*(1+G$6)/($B9-G$6)/(1+$B9)^('DCF Model'!C19+4)-'DCF Model'!C16)*1000000/'DCF Model'!C15,0),"")</f>
        <v>4702</v>
      </c>
      <c r="H9" s="37">
        <f>IFERROR(ROUND(('DCF Model'!C45/(1+$B9)^('DCF Model'!C19+0)+'DCF Model'!D45/(1+$B9)^('DCF Model'!C19+1)+'DCF Model'!E45/(1+$B9)^('DCF Model'!C19+2)+'DCF Model'!F45/(1+$B9)^('DCF Model'!C19+3)+'DCF Model'!G45/(1+$B9)^('DCF Model'!C19+4)+'DCF Model'!G45*(1+H$6)/($B9-H$6)/(1+$B9)^('DCF Model'!C19+4)-'DCF Model'!C16)*1000000/'DCF Model'!C15,0),"")</f>
        <v>4809</v>
      </c>
      <c r="I9" s="37">
        <f>IFERROR(ROUND(('DCF Model'!C45/(1+$B9)^('DCF Model'!C19+0)+'DCF Model'!D45/(1+$B9)^('DCF Model'!C19+1)+'DCF Model'!E45/(1+$B9)^('DCF Model'!C19+2)+'DCF Model'!F45/(1+$B9)^('DCF Model'!C19+3)+'DCF Model'!G45/(1+$B9)^('DCF Model'!C19+4)+'DCF Model'!G45*(1+I$6)/($B9-I$6)/(1+$B9)^('DCF Model'!C19+4)-'DCF Model'!C16)*1000000/'DCF Model'!C15,0),"")</f>
        <v>4924</v>
      </c>
    </row>
    <row r="10" spans="2:9" ht="13.5" x14ac:dyDescent="0.25">
      <c r="B10" s="39">
        <f>$C$3</f>
        <v>9.2941499999999996E-2</v>
      </c>
      <c r="C10" s="37">
        <f>IFERROR(ROUND(('DCF Model'!C45/(1+$B10)^('DCF Model'!C19+0)+'DCF Model'!D45/(1+$B10)^('DCF Model'!C19+1)+'DCF Model'!E45/(1+$B10)^('DCF Model'!C19+2)+'DCF Model'!F45/(1+$B10)^('DCF Model'!C19+3)+'DCF Model'!G45/(1+$B10)^('DCF Model'!C19+4)+'DCF Model'!G45*(1+C$6)/($B10-C$6)/(1+$B10)^('DCF Model'!C19+4)-'DCF Model'!C16)*1000000/'DCF Model'!C15,0),"")</f>
        <v>4132</v>
      </c>
      <c r="D10" s="37">
        <f>IFERROR(ROUND(('DCF Model'!C45/(1+$B10)^('DCF Model'!C19+0)+'DCF Model'!D45/(1+$B10)^('DCF Model'!C19+1)+'DCF Model'!E45/(1+$B10)^('DCF Model'!C19+2)+'DCF Model'!F45/(1+$B10)^('DCF Model'!C19+3)+'DCF Model'!G45/(1+$B10)^('DCF Model'!C19+4)+'DCF Model'!G45*(1+D$6)/($B10-D$6)/(1+$B10)^('DCF Model'!C19+4)-'DCF Model'!C16)*1000000/'DCF Model'!C15,0),"")</f>
        <v>4205</v>
      </c>
      <c r="E10" s="37">
        <f>IFERROR(ROUND(('DCF Model'!C45/(1+$B10)^('DCF Model'!C19+0)+'DCF Model'!D45/(1+$B10)^('DCF Model'!C19+1)+'DCF Model'!E45/(1+$B10)^('DCF Model'!C19+2)+'DCF Model'!F45/(1+$B10)^('DCF Model'!C19+3)+'DCF Model'!G45/(1+$B10)^('DCF Model'!C19+4)+'DCF Model'!G45*(1+E$6)/($B10-E$6)/(1+$B10)^('DCF Model'!C19+4)-'DCF Model'!C16)*1000000/'DCF Model'!C15,0),"")</f>
        <v>4282</v>
      </c>
      <c r="F10" s="37">
        <f>IFERROR(ROUND(('DCF Model'!C45/(1+$B10)^('DCF Model'!C19+0)+'DCF Model'!D45/(1+$B10)^('DCF Model'!C19+1)+'DCF Model'!E45/(1+$B10)^('DCF Model'!C19+2)+'DCF Model'!F45/(1+$B10)^('DCF Model'!C19+3)+'DCF Model'!G45/(1+$B10)^('DCF Model'!C19+4)+'DCF Model'!G45*(1+F$6)/($B10-F$6)/(1+$B10)^('DCF Model'!C19+4)-'DCF Model'!C16)*1000000/'DCF Model'!C15,0),"")</f>
        <v>4364</v>
      </c>
      <c r="G10" s="37">
        <f>IFERROR(ROUND(('DCF Model'!C45/(1+$B10)^('DCF Model'!C19+0)+'DCF Model'!D45/(1+$B10)^('DCF Model'!C19+1)+'DCF Model'!E45/(1+$B10)^('DCF Model'!C19+2)+'DCF Model'!F45/(1+$B10)^('DCF Model'!C19+3)+'DCF Model'!G45/(1+$B10)^('DCF Model'!C19+4)+'DCF Model'!G45*(1+G$6)/($B10-G$6)/(1+$B10)^('DCF Model'!C19+4)-'DCF Model'!C16)*1000000/'DCF Model'!C15,0),"")</f>
        <v>4451</v>
      </c>
      <c r="H10" s="37">
        <f>IFERROR(ROUND(('DCF Model'!C45/(1+$B10)^('DCF Model'!C19+0)+'DCF Model'!D45/(1+$B10)^('DCF Model'!C19+1)+'DCF Model'!E45/(1+$B10)^('DCF Model'!C19+2)+'DCF Model'!F45/(1+$B10)^('DCF Model'!C19+3)+'DCF Model'!G45/(1+$B10)^('DCF Model'!C19+4)+'DCF Model'!G45*(1+H$6)/($B10-H$6)/(1+$B10)^('DCF Model'!C19+4)-'DCF Model'!C16)*1000000/'DCF Model'!C15,0),"")</f>
        <v>4544</v>
      </c>
      <c r="I10" s="37">
        <f>IFERROR(ROUND(('DCF Model'!C45/(1+$B10)^('DCF Model'!C19+0)+'DCF Model'!D45/(1+$B10)^('DCF Model'!C19+1)+'DCF Model'!E45/(1+$B10)^('DCF Model'!C19+2)+'DCF Model'!F45/(1+$B10)^('DCF Model'!C19+3)+'DCF Model'!G45/(1+$B10)^('DCF Model'!C19+4)+'DCF Model'!G45*(1+I$6)/($B10-I$6)/(1+$B10)^('DCF Model'!C19+4)-'DCF Model'!C16)*1000000/'DCF Model'!C15,0),"")</f>
        <v>4643</v>
      </c>
    </row>
    <row r="11" spans="2:9" ht="13.5" x14ac:dyDescent="0.25">
      <c r="B11" s="39">
        <f>$C$3+0.005</f>
        <v>9.7941500000000001E-2</v>
      </c>
      <c r="C11" s="37">
        <f>IFERROR(ROUND(('DCF Model'!C45/(1+$B11)^('DCF Model'!C19+0)+'DCF Model'!D45/(1+$B11)^('DCF Model'!C19+1)+'DCF Model'!E45/(1+$B11)^('DCF Model'!C19+2)+'DCF Model'!F45/(1+$B11)^('DCF Model'!C19+3)+'DCF Model'!G45/(1+$B11)^('DCF Model'!C19+4)+'DCF Model'!G45*(1+C$6)/($B11-C$6)/(1+$B11)^('DCF Model'!C19+4)-'DCF Model'!C16)*1000000/'DCF Model'!C15,0),"")</f>
        <v>3950</v>
      </c>
      <c r="D11" s="37">
        <f>IFERROR(ROUND(('DCF Model'!C45/(1+$B11)^('DCF Model'!C19+0)+'DCF Model'!D45/(1+$B11)^('DCF Model'!C19+1)+'DCF Model'!E45/(1+$B11)^('DCF Model'!C19+2)+'DCF Model'!F45/(1+$B11)^('DCF Model'!C19+3)+'DCF Model'!G45/(1+$B11)^('DCF Model'!C19+4)+'DCF Model'!G45*(1+D$6)/($B11-D$6)/(1+$B11)^('DCF Model'!C19+4)-'DCF Model'!C16)*1000000/'DCF Model'!C15,0),"")</f>
        <v>4014</v>
      </c>
      <c r="E11" s="37">
        <f>IFERROR(ROUND(('DCF Model'!C45/(1+$B11)^('DCF Model'!C19+0)+'DCF Model'!D45/(1+$B11)^('DCF Model'!C19+1)+'DCF Model'!E45/(1+$B11)^('DCF Model'!C19+2)+'DCF Model'!F45/(1+$B11)^('DCF Model'!C19+3)+'DCF Model'!G45/(1+$B11)^('DCF Model'!C19+4)+'DCF Model'!G45*(1+E$6)/($B11-E$6)/(1+$B11)^('DCF Model'!C19+4)-'DCF Model'!C16)*1000000/'DCF Model'!C15,0),"")</f>
        <v>4082</v>
      </c>
      <c r="F11" s="37">
        <f>IFERROR(ROUND(('DCF Model'!C45/(1+$B11)^('DCF Model'!C19+0)+'DCF Model'!D45/(1+$B11)^('DCF Model'!C19+1)+'DCF Model'!E45/(1+$B11)^('DCF Model'!C19+2)+'DCF Model'!F45/(1+$B11)^('DCF Model'!C19+3)+'DCF Model'!G45/(1+$B11)^('DCF Model'!C19+4)+'DCF Model'!G45*(1+F$6)/($B11-F$6)/(1+$B11)^('DCF Model'!C19+4)-'DCF Model'!C16)*1000000/'DCF Model'!C15,0),"")</f>
        <v>4154</v>
      </c>
      <c r="G11" s="37">
        <f>IFERROR(ROUND(('DCF Model'!C45/(1+$B11)^('DCF Model'!C19+0)+'DCF Model'!D45/(1+$B11)^('DCF Model'!C19+1)+'DCF Model'!E45/(1+$B11)^('DCF Model'!C19+2)+'DCF Model'!F45/(1+$B11)^('DCF Model'!C19+3)+'DCF Model'!G45/(1+$B11)^('DCF Model'!C19+4)+'DCF Model'!G45*(1+G$6)/($B11-G$6)/(1+$B11)^('DCF Model'!C19+4)-'DCF Model'!C16)*1000000/'DCF Model'!C15,0),"")</f>
        <v>4230</v>
      </c>
      <c r="H11" s="37">
        <f>IFERROR(ROUND(('DCF Model'!C45/(1+$B11)^('DCF Model'!C19+0)+'DCF Model'!D45/(1+$B11)^('DCF Model'!C19+1)+'DCF Model'!E45/(1+$B11)^('DCF Model'!C19+2)+'DCF Model'!F45/(1+$B11)^('DCF Model'!C19+3)+'DCF Model'!G45/(1+$B11)^('DCF Model'!C19+4)+'DCF Model'!G45*(1+H$6)/($B11-H$6)/(1+$B11)^('DCF Model'!C19+4)-'DCF Model'!C16)*1000000/'DCF Model'!C15,0),"")</f>
        <v>4311</v>
      </c>
      <c r="I11" s="37">
        <f>IFERROR(ROUND(('DCF Model'!C45/(1+$B11)^('DCF Model'!C19+0)+'DCF Model'!D45/(1+$B11)^('DCF Model'!C19+1)+'DCF Model'!E45/(1+$B11)^('DCF Model'!C19+2)+'DCF Model'!F45/(1+$B11)^('DCF Model'!C19+3)+'DCF Model'!G45/(1+$B11)^('DCF Model'!C19+4)+'DCF Model'!G45*(1+I$6)/($B11-I$6)/(1+$B11)^('DCF Model'!C19+4)-'DCF Model'!C16)*1000000/'DCF Model'!C15,0),"")</f>
        <v>4397</v>
      </c>
    </row>
    <row r="12" spans="2:9" ht="13.5" x14ac:dyDescent="0.25">
      <c r="B12" s="39">
        <f>$C$3+0.01</f>
        <v>0.10294149999999999</v>
      </c>
      <c r="C12" s="37">
        <f>IFERROR(ROUND(('DCF Model'!C45/(1+$B12)^('DCF Model'!C19+0)+'DCF Model'!D45/(1+$B12)^('DCF Model'!C19+1)+'DCF Model'!E45/(1+$B12)^('DCF Model'!C19+2)+'DCF Model'!F45/(1+$B12)^('DCF Model'!C19+3)+'DCF Model'!G45/(1+$B12)^('DCF Model'!C19+4)+'DCF Model'!G45*(1+C$6)/($B12-C$6)/(1+$B12)^('DCF Model'!C19+4)-'DCF Model'!C16)*1000000/'DCF Model'!C15,0),"")</f>
        <v>3786</v>
      </c>
      <c r="D12" s="37">
        <f>IFERROR(ROUND(('DCF Model'!C45/(1+$B12)^('DCF Model'!C19+0)+'DCF Model'!D45/(1+$B12)^('DCF Model'!C19+1)+'DCF Model'!E45/(1+$B12)^('DCF Model'!C19+2)+'DCF Model'!F45/(1+$B12)^('DCF Model'!C19+3)+'DCF Model'!G45/(1+$B12)^('DCF Model'!C19+4)+'DCF Model'!G45*(1+D$6)/($B12-D$6)/(1+$B12)^('DCF Model'!C19+4)-'DCF Model'!C16)*1000000/'DCF Model'!C15,0),"")</f>
        <v>3843</v>
      </c>
      <c r="E12" s="37">
        <f>IFERROR(ROUND(('DCF Model'!C45/(1+$B12)^('DCF Model'!C19+0)+'DCF Model'!D45/(1+$B12)^('DCF Model'!C19+1)+'DCF Model'!E45/(1+$B12)^('DCF Model'!C19+2)+'DCF Model'!F45/(1+$B12)^('DCF Model'!C19+3)+'DCF Model'!G45/(1+$B12)^('DCF Model'!C19+4)+'DCF Model'!G45*(1+E$6)/($B12-E$6)/(1+$B12)^('DCF Model'!C19+4)-'DCF Model'!C16)*1000000/'DCF Model'!C15,0),"")</f>
        <v>3903</v>
      </c>
      <c r="F12" s="37">
        <f>IFERROR(ROUND(('DCF Model'!C45/(1+$B12)^('DCF Model'!C19+0)+'DCF Model'!D45/(1+$B12)^('DCF Model'!C19+1)+'DCF Model'!E45/(1+$B12)^('DCF Model'!C19+2)+'DCF Model'!F45/(1+$B12)^('DCF Model'!C19+3)+'DCF Model'!G45/(1+$B12)^('DCF Model'!C19+4)+'DCF Model'!G45*(1+F$6)/($B12-F$6)/(1+$B12)^('DCF Model'!C19+4)-'DCF Model'!C16)*1000000/'DCF Model'!C15,0),"")</f>
        <v>3967</v>
      </c>
      <c r="G12" s="37">
        <f>IFERROR(ROUND(('DCF Model'!C45/(1+$B12)^('DCF Model'!C19+0)+'DCF Model'!D45/(1+$B12)^('DCF Model'!C19+1)+'DCF Model'!E45/(1+$B12)^('DCF Model'!C19+2)+'DCF Model'!F45/(1+$B12)^('DCF Model'!C19+3)+'DCF Model'!G45/(1+$B12)^('DCF Model'!C19+4)+'DCF Model'!G45*(1+G$6)/($B12-G$6)/(1+$B12)^('DCF Model'!C19+4)-'DCF Model'!C16)*1000000/'DCF Model'!C15,0),"")</f>
        <v>4034</v>
      </c>
      <c r="H12" s="37">
        <f>IFERROR(ROUND(('DCF Model'!C45/(1+$B12)^('DCF Model'!C19+0)+'DCF Model'!D45/(1+$B12)^('DCF Model'!C19+1)+'DCF Model'!E45/(1+$B12)^('DCF Model'!C19+2)+'DCF Model'!F45/(1+$B12)^('DCF Model'!C19+3)+'DCF Model'!G45/(1+$B12)^('DCF Model'!C19+4)+'DCF Model'!G45*(1+H$6)/($B12-H$6)/(1+$B12)^('DCF Model'!C19+4)-'DCF Model'!C16)*1000000/'DCF Model'!C15,0),"")</f>
        <v>4105</v>
      </c>
      <c r="I12" s="37">
        <f>IFERROR(ROUND(('DCF Model'!C45/(1+$B12)^('DCF Model'!C19+0)+'DCF Model'!D45/(1+$B12)^('DCF Model'!C19+1)+'DCF Model'!E45/(1+$B12)^('DCF Model'!C19+2)+'DCF Model'!F45/(1+$B12)^('DCF Model'!C19+3)+'DCF Model'!G45/(1+$B12)^('DCF Model'!C19+4)+'DCF Model'!G45*(1+I$6)/($B12-I$6)/(1+$B12)^('DCF Model'!C19+4)-'DCF Model'!C16)*1000000/'DCF Model'!C15,0),"")</f>
        <v>4180</v>
      </c>
    </row>
    <row r="13" spans="2:9" ht="13.5" x14ac:dyDescent="0.25">
      <c r="B13" s="39">
        <f>$C$3+0.015</f>
        <v>0.1079415</v>
      </c>
      <c r="C13" s="37">
        <f>IFERROR(ROUND(('DCF Model'!C45/(1+$B13)^('DCF Model'!C19+0)+'DCF Model'!D45/(1+$B13)^('DCF Model'!C19+1)+'DCF Model'!E45/(1+$B13)^('DCF Model'!C19+2)+'DCF Model'!F45/(1+$B13)^('DCF Model'!C19+3)+'DCF Model'!G45/(1+$B13)^('DCF Model'!C19+4)+'DCF Model'!G45*(1+C$6)/($B13-C$6)/(1+$B13)^('DCF Model'!C19+4)-'DCF Model'!C16)*1000000/'DCF Model'!C15,0),"")</f>
        <v>3637</v>
      </c>
      <c r="D13" s="37">
        <f>IFERROR(ROUND(('DCF Model'!C45/(1+$B13)^('DCF Model'!C19+0)+'DCF Model'!D45/(1+$B13)^('DCF Model'!C19+1)+'DCF Model'!E45/(1+$B13)^('DCF Model'!C19+2)+'DCF Model'!F45/(1+$B13)^('DCF Model'!C19+3)+'DCF Model'!G45/(1+$B13)^('DCF Model'!C19+4)+'DCF Model'!G45*(1+D$6)/($B13-D$6)/(1+$B13)^('DCF Model'!C19+4)-'DCF Model'!C16)*1000000/'DCF Model'!C15,0),"")</f>
        <v>3688</v>
      </c>
      <c r="E13" s="37">
        <f>IFERROR(ROUND(('DCF Model'!C45/(1+$B13)^('DCF Model'!C19+0)+'DCF Model'!D45/(1+$B13)^('DCF Model'!C19+1)+'DCF Model'!E45/(1+$B13)^('DCF Model'!C19+2)+'DCF Model'!F45/(1+$B13)^('DCF Model'!C19+3)+'DCF Model'!G45/(1+$B13)^('DCF Model'!C19+4)+'DCF Model'!G45*(1+E$6)/($B13-E$6)/(1+$B13)^('DCF Model'!C19+4)-'DCF Model'!C16)*1000000/'DCF Model'!C15,0),"")</f>
        <v>3742</v>
      </c>
      <c r="F13" s="37">
        <f>IFERROR(ROUND(('DCF Model'!C45/(1+$B13)^('DCF Model'!C19+0)+'DCF Model'!D45/(1+$B13)^('DCF Model'!C19+1)+'DCF Model'!E45/(1+$B13)^('DCF Model'!C19+2)+'DCF Model'!F45/(1+$B13)^('DCF Model'!C19+3)+'DCF Model'!G45/(1+$B13)^('DCF Model'!C19+4)+'DCF Model'!G45*(1+F$6)/($B13-F$6)/(1+$B13)^('DCF Model'!C19+4)-'DCF Model'!C16)*1000000/'DCF Model'!C15,0),"")</f>
        <v>3799</v>
      </c>
      <c r="G13" s="37">
        <f>IFERROR(ROUND(('DCF Model'!C45/(1+$B13)^('DCF Model'!C19+0)+'DCF Model'!D45/(1+$B13)^('DCF Model'!C19+1)+'DCF Model'!E45/(1+$B13)^('DCF Model'!C19+2)+'DCF Model'!F45/(1+$B13)^('DCF Model'!C19+3)+'DCF Model'!G45/(1+$B13)^('DCF Model'!C19+4)+'DCF Model'!G45*(1+G$6)/($B13-G$6)/(1+$B13)^('DCF Model'!C19+4)-'DCF Model'!C16)*1000000/'DCF Model'!C15,0),"")</f>
        <v>3858</v>
      </c>
      <c r="H13" s="37">
        <f>IFERROR(ROUND(('DCF Model'!C45/(1+$B13)^('DCF Model'!C19+0)+'DCF Model'!D45/(1+$B13)^('DCF Model'!C19+1)+'DCF Model'!E45/(1+$B13)^('DCF Model'!C19+2)+'DCF Model'!F45/(1+$B13)^('DCF Model'!C19+3)+'DCF Model'!G45/(1+$B13)^('DCF Model'!C19+4)+'DCF Model'!G45*(1+H$6)/($B13-H$6)/(1+$B13)^('DCF Model'!C19+4)-'DCF Model'!C16)*1000000/'DCF Model'!C15,0),"")</f>
        <v>3920</v>
      </c>
      <c r="I13" s="37">
        <f>IFERROR(ROUND(('DCF Model'!C45/(1+$B13)^('DCF Model'!C19+0)+'DCF Model'!D45/(1+$B13)^('DCF Model'!C19+1)+'DCF Model'!E45/(1+$B13)^('DCF Model'!C19+2)+'DCF Model'!F45/(1+$B13)^('DCF Model'!C19+3)+'DCF Model'!G45/(1+$B13)^('DCF Model'!C19+4)+'DCF Model'!G45*(1+I$6)/($B13-I$6)/(1+$B13)^('DCF Model'!C19+4)-'DCF Model'!C16)*1000000/'DCF Model'!C15,0),"")</f>
        <v>3986</v>
      </c>
    </row>
    <row r="16" spans="2:9" ht="14" x14ac:dyDescent="0.3">
      <c r="B16" s="3" t="s">
        <v>241</v>
      </c>
    </row>
    <row r="17" spans="2:9" ht="14" x14ac:dyDescent="0.3">
      <c r="B17" s="41" t="s">
        <v>242</v>
      </c>
      <c r="C17" s="43">
        <f>$I$3-3</f>
        <v>9</v>
      </c>
      <c r="D17" s="43">
        <f>$I$3-2</f>
        <v>10</v>
      </c>
      <c r="E17" s="43">
        <f>$I$3-1</f>
        <v>11</v>
      </c>
      <c r="F17" s="43">
        <f>$I$3</f>
        <v>12</v>
      </c>
      <c r="G17" s="43">
        <f>$I$3+1</f>
        <v>13</v>
      </c>
      <c r="H17" s="43">
        <f>$I$3+2</f>
        <v>14</v>
      </c>
      <c r="I17" s="43">
        <f>$I$3+3</f>
        <v>15</v>
      </c>
    </row>
    <row r="18" spans="2:9" ht="13.5" x14ac:dyDescent="0.25">
      <c r="B18" s="39">
        <f>$C$3-0.015</f>
        <v>7.7941499999999997E-2</v>
      </c>
      <c r="C18" s="37">
        <f>IFERROR(ROUND(('DCF Model'!C45/(1+$B18)^('DCF Model'!C19+0)+'DCF Model'!D45/(1+$B18)^('DCF Model'!C19+1)+'DCF Model'!E45/(1+$B18)^('DCF Model'!C19+2)+'DCF Model'!F45/(1+$B18)^('DCF Model'!C19+3)+'DCF Model'!G45/(1+$B18)^('DCF Model'!C19+4)+('DCF Model'!G39+'DCF Model'!G42)*C$17/(1+$B18)^('DCF Model'!C19+4)-'DCF Model'!C16)*1000000/'DCF Model'!C15,0),"")</f>
        <v>4769</v>
      </c>
      <c r="D18" s="37">
        <f>IFERROR(ROUND(('DCF Model'!C45/(1+$B18)^('DCF Model'!C19+0)+'DCF Model'!D45/(1+$B18)^('DCF Model'!C19+1)+'DCF Model'!E45/(1+$B18)^('DCF Model'!C19+2)+'DCF Model'!F45/(1+$B18)^('DCF Model'!C19+3)+'DCF Model'!G45/(1+$B18)^('DCF Model'!C19+4)+('DCF Model'!G39+'DCF Model'!G42)*D$17/(1+$B18)^('DCF Model'!C19+4)-'DCF Model'!C16)*1000000/'DCF Model'!C15,0),"")</f>
        <v>5097</v>
      </c>
      <c r="E18" s="37">
        <f>IFERROR(ROUND(('DCF Model'!C45/(1+$B18)^('DCF Model'!C19+0)+'DCF Model'!D45/(1+$B18)^('DCF Model'!C19+1)+'DCF Model'!E45/(1+$B18)^('DCF Model'!C19+2)+'DCF Model'!F45/(1+$B18)^('DCF Model'!C19+3)+'DCF Model'!G45/(1+$B18)^('DCF Model'!C19+4)+('DCF Model'!G39+'DCF Model'!G42)*E$17/(1+$B18)^('DCF Model'!C19+4)-'DCF Model'!C16)*1000000/'DCF Model'!C15,0),"")</f>
        <v>5426</v>
      </c>
      <c r="F18" s="37">
        <f>IFERROR(ROUND(('DCF Model'!C45/(1+$B18)^('DCF Model'!C19+0)+'DCF Model'!D45/(1+$B18)^('DCF Model'!C19+1)+'DCF Model'!E45/(1+$B18)^('DCF Model'!C19+2)+'DCF Model'!F45/(1+$B18)^('DCF Model'!C19+3)+'DCF Model'!G45/(1+$B18)^('DCF Model'!C19+4)+('DCF Model'!G39+'DCF Model'!G42)*F$17/(1+$B18)^('DCF Model'!C19+4)-'DCF Model'!C16)*1000000/'DCF Model'!C15,0),"")</f>
        <v>5754</v>
      </c>
      <c r="G18" s="37">
        <f>IFERROR(ROUND(('DCF Model'!C45/(1+$B18)^('DCF Model'!C19+0)+'DCF Model'!D45/(1+$B18)^('DCF Model'!C19+1)+'DCF Model'!E45/(1+$B18)^('DCF Model'!C19+2)+'DCF Model'!F45/(1+$B18)^('DCF Model'!C19+3)+'DCF Model'!G45/(1+$B18)^('DCF Model'!C19+4)+('DCF Model'!G39+'DCF Model'!G42)*G$17/(1+$B18)^('DCF Model'!C19+4)-'DCF Model'!C16)*1000000/'DCF Model'!C15,0),"")</f>
        <v>6083</v>
      </c>
      <c r="H18" s="37">
        <f>IFERROR(ROUND(('DCF Model'!C45/(1+$B18)^('DCF Model'!C19+0)+'DCF Model'!D45/(1+$B18)^('DCF Model'!C19+1)+'DCF Model'!E45/(1+$B18)^('DCF Model'!C19+2)+'DCF Model'!F45/(1+$B18)^('DCF Model'!C19+3)+'DCF Model'!G45/(1+$B18)^('DCF Model'!C19+4)+('DCF Model'!G39+'DCF Model'!G42)*H$17/(1+$B18)^('DCF Model'!C19+4)-'DCF Model'!C16)*1000000/'DCF Model'!C15,0),"")</f>
        <v>6411</v>
      </c>
      <c r="I18" s="37">
        <f>IFERROR(ROUND(('DCF Model'!C45/(1+$B18)^('DCF Model'!C19+0)+'DCF Model'!D45/(1+$B18)^('DCF Model'!C19+1)+'DCF Model'!E45/(1+$B18)^('DCF Model'!C19+2)+'DCF Model'!F45/(1+$B18)^('DCF Model'!C19+3)+'DCF Model'!G45/(1+$B18)^('DCF Model'!C19+4)+('DCF Model'!G39+'DCF Model'!G42)*I$17/(1+$B18)^('DCF Model'!C19+4)-'DCF Model'!C16)*1000000/'DCF Model'!C15,0),"")</f>
        <v>6740</v>
      </c>
    </row>
    <row r="19" spans="2:9" ht="13.5" x14ac:dyDescent="0.25">
      <c r="B19" s="39">
        <f>$C$3-0.01</f>
        <v>8.2941500000000001E-2</v>
      </c>
      <c r="C19" s="37">
        <f>IFERROR(ROUND(('DCF Model'!C45/(1+$B19)^('DCF Model'!C19+0)+'DCF Model'!D45/(1+$B19)^('DCF Model'!C19+1)+'DCF Model'!E45/(1+$B19)^('DCF Model'!C19+2)+'DCF Model'!F45/(1+$B19)^('DCF Model'!C19+3)+'DCF Model'!G45/(1+$B19)^('DCF Model'!C19+4)+('DCF Model'!G39+'DCF Model'!G42)*C$17/(1+$B19)^('DCF Model'!C19+4)-'DCF Model'!C16)*1000000/'DCF Model'!C15,0),"")</f>
        <v>4694</v>
      </c>
      <c r="D19" s="37">
        <f>IFERROR(ROUND(('DCF Model'!C45/(1+$B19)^('DCF Model'!C19+0)+'DCF Model'!D45/(1+$B19)^('DCF Model'!C19+1)+'DCF Model'!E45/(1+$B19)^('DCF Model'!C19+2)+'DCF Model'!F45/(1+$B19)^('DCF Model'!C19+3)+'DCF Model'!G45/(1+$B19)^('DCF Model'!C19+4)+('DCF Model'!G39+'DCF Model'!G42)*D$17/(1+$B19)^('DCF Model'!C19+4)-'DCF Model'!C16)*1000000/'DCF Model'!C15,0),"")</f>
        <v>5016</v>
      </c>
      <c r="E19" s="37">
        <f>IFERROR(ROUND(('DCF Model'!C45/(1+$B19)^('DCF Model'!C19+0)+'DCF Model'!D45/(1+$B19)^('DCF Model'!C19+1)+'DCF Model'!E45/(1+$B19)^('DCF Model'!C19+2)+'DCF Model'!F45/(1+$B19)^('DCF Model'!C19+3)+'DCF Model'!G45/(1+$B19)^('DCF Model'!C19+4)+('DCF Model'!G39+'DCF Model'!G42)*E$17/(1+$B19)^('DCF Model'!C19+4)-'DCF Model'!C16)*1000000/'DCF Model'!C15,0),"")</f>
        <v>5338</v>
      </c>
      <c r="F19" s="37">
        <f>IFERROR(ROUND(('DCF Model'!C45/(1+$B19)^('DCF Model'!C19+0)+'DCF Model'!D45/(1+$B19)^('DCF Model'!C19+1)+'DCF Model'!E45/(1+$B19)^('DCF Model'!C19+2)+'DCF Model'!F45/(1+$B19)^('DCF Model'!C19+3)+'DCF Model'!G45/(1+$B19)^('DCF Model'!C19+4)+('DCF Model'!G39+'DCF Model'!G42)*F$17/(1+$B19)^('DCF Model'!C19+4)-'DCF Model'!C16)*1000000/'DCF Model'!C15,0),"")</f>
        <v>5659</v>
      </c>
      <c r="G19" s="37">
        <f>IFERROR(ROUND(('DCF Model'!C45/(1+$B19)^('DCF Model'!C19+0)+'DCF Model'!D45/(1+$B19)^('DCF Model'!C19+1)+'DCF Model'!E45/(1+$B19)^('DCF Model'!C19+2)+'DCF Model'!F45/(1+$B19)^('DCF Model'!C19+3)+'DCF Model'!G45/(1+$B19)^('DCF Model'!C19+4)+('DCF Model'!G39+'DCF Model'!G42)*G$17/(1+$B19)^('DCF Model'!C19+4)-'DCF Model'!C16)*1000000/'DCF Model'!C15,0),"")</f>
        <v>5981</v>
      </c>
      <c r="H19" s="37">
        <f>IFERROR(ROUND(('DCF Model'!C45/(1+$B19)^('DCF Model'!C19+0)+'DCF Model'!D45/(1+$B19)^('DCF Model'!C19+1)+'DCF Model'!E45/(1+$B19)^('DCF Model'!C19+2)+'DCF Model'!F45/(1+$B19)^('DCF Model'!C19+3)+'DCF Model'!G45/(1+$B19)^('DCF Model'!C19+4)+('DCF Model'!G39+'DCF Model'!G42)*H$17/(1+$B19)^('DCF Model'!C19+4)-'DCF Model'!C16)*1000000/'DCF Model'!C15,0),"")</f>
        <v>6303</v>
      </c>
      <c r="I19" s="37">
        <f>IFERROR(ROUND(('DCF Model'!C45/(1+$B19)^('DCF Model'!C19+0)+'DCF Model'!D45/(1+$B19)^('DCF Model'!C19+1)+'DCF Model'!E45/(1+$B19)^('DCF Model'!C19+2)+'DCF Model'!F45/(1+$B19)^('DCF Model'!C19+3)+'DCF Model'!G45/(1+$B19)^('DCF Model'!C19+4)+('DCF Model'!G39+'DCF Model'!G42)*I$17/(1+$B19)^('DCF Model'!C19+4)-'DCF Model'!C16)*1000000/'DCF Model'!C15,0),"")</f>
        <v>6625</v>
      </c>
    </row>
    <row r="20" spans="2:9" ht="13.5" x14ac:dyDescent="0.25">
      <c r="B20" s="39">
        <f>$C$3-0.005</f>
        <v>8.7941499999999992E-2</v>
      </c>
      <c r="C20" s="37">
        <f>IFERROR(ROUND(('DCF Model'!C45/(1+$B20)^('DCF Model'!C19+0)+'DCF Model'!D45/(1+$B20)^('DCF Model'!C19+1)+'DCF Model'!E45/(1+$B20)^('DCF Model'!C19+2)+'DCF Model'!F45/(1+$B20)^('DCF Model'!C19+3)+'DCF Model'!G45/(1+$B20)^('DCF Model'!C19+4)+('DCF Model'!G39+'DCF Model'!G42)*C$17/(1+$B20)^('DCF Model'!C19+4)-'DCF Model'!C16)*1000000/'DCF Model'!C15,0),"")</f>
        <v>4621</v>
      </c>
      <c r="D20" s="37">
        <f>IFERROR(ROUND(('DCF Model'!C45/(1+$B20)^('DCF Model'!C19+0)+'DCF Model'!D45/(1+$B20)^('DCF Model'!C19+1)+'DCF Model'!E45/(1+$B20)^('DCF Model'!C19+2)+'DCF Model'!F45/(1+$B20)^('DCF Model'!C19+3)+'DCF Model'!G45/(1+$B20)^('DCF Model'!C19+4)+('DCF Model'!G39+'DCF Model'!G42)*D$17/(1+$B20)^('DCF Model'!C19+4)-'DCF Model'!C16)*1000000/'DCF Model'!C15,0),"")</f>
        <v>4936</v>
      </c>
      <c r="E20" s="37">
        <f>IFERROR(ROUND(('DCF Model'!C45/(1+$B20)^('DCF Model'!C19+0)+'DCF Model'!D45/(1+$B20)^('DCF Model'!C19+1)+'DCF Model'!E45/(1+$B20)^('DCF Model'!C19+2)+'DCF Model'!F45/(1+$B20)^('DCF Model'!C19+3)+'DCF Model'!G45/(1+$B20)^('DCF Model'!C19+4)+('DCF Model'!G39+'DCF Model'!G42)*E$17/(1+$B20)^('DCF Model'!C19+4)-'DCF Model'!C16)*1000000/'DCF Model'!C15,0),"")</f>
        <v>5251</v>
      </c>
      <c r="F20" s="37">
        <f>IFERROR(ROUND(('DCF Model'!C45/(1+$B20)^('DCF Model'!C19+0)+'DCF Model'!D45/(1+$B20)^('DCF Model'!C19+1)+'DCF Model'!E45/(1+$B20)^('DCF Model'!C19+2)+'DCF Model'!F45/(1+$B20)^('DCF Model'!C19+3)+'DCF Model'!G45/(1+$B20)^('DCF Model'!C19+4)+('DCF Model'!G39+'DCF Model'!G42)*F$17/(1+$B20)^('DCF Model'!C19+4)-'DCF Model'!C16)*1000000/'DCF Model'!C15,0),"")</f>
        <v>5567</v>
      </c>
      <c r="G20" s="37">
        <f>IFERROR(ROUND(('DCF Model'!C45/(1+$B20)^('DCF Model'!C19+0)+'DCF Model'!D45/(1+$B20)^('DCF Model'!C19+1)+'DCF Model'!E45/(1+$B20)^('DCF Model'!C19+2)+'DCF Model'!F45/(1+$B20)^('DCF Model'!C19+3)+'DCF Model'!G45/(1+$B20)^('DCF Model'!C19+4)+('DCF Model'!G39+'DCF Model'!G42)*G$17/(1+$B20)^('DCF Model'!C19+4)-'DCF Model'!C16)*1000000/'DCF Model'!C15,0),"")</f>
        <v>5882</v>
      </c>
      <c r="H20" s="37">
        <f>IFERROR(ROUND(('DCF Model'!C45/(1+$B20)^('DCF Model'!C19+0)+'DCF Model'!D45/(1+$B20)^('DCF Model'!C19+1)+'DCF Model'!E45/(1+$B20)^('DCF Model'!C19+2)+'DCF Model'!F45/(1+$B20)^('DCF Model'!C19+3)+'DCF Model'!G45/(1+$B20)^('DCF Model'!C19+4)+('DCF Model'!G39+'DCF Model'!G42)*H$17/(1+$B20)^('DCF Model'!C19+4)-'DCF Model'!C16)*1000000/'DCF Model'!C15,0),"")</f>
        <v>6197</v>
      </c>
      <c r="I20" s="37">
        <f>IFERROR(ROUND(('DCF Model'!C45/(1+$B20)^('DCF Model'!C19+0)+'DCF Model'!D45/(1+$B20)^('DCF Model'!C19+1)+'DCF Model'!E45/(1+$B20)^('DCF Model'!C19+2)+'DCF Model'!F45/(1+$B20)^('DCF Model'!C19+3)+'DCF Model'!G45/(1+$B20)^('DCF Model'!C19+4)+('DCF Model'!G39+'DCF Model'!G42)*I$17/(1+$B20)^('DCF Model'!C19+4)-'DCF Model'!C16)*1000000/'DCF Model'!C15,0),"")</f>
        <v>6512</v>
      </c>
    </row>
    <row r="21" spans="2:9" ht="13.5" x14ac:dyDescent="0.25">
      <c r="B21" s="39">
        <f>$C$3</f>
        <v>9.2941499999999996E-2</v>
      </c>
      <c r="C21" s="37">
        <f>IFERROR(ROUND(('DCF Model'!C45/(1+$B21)^('DCF Model'!C19+0)+'DCF Model'!D45/(1+$B21)^('DCF Model'!C19+1)+'DCF Model'!E45/(1+$B21)^('DCF Model'!C19+2)+'DCF Model'!F45/(1+$B21)^('DCF Model'!C19+3)+'DCF Model'!G45/(1+$B21)^('DCF Model'!C19+4)+('DCF Model'!G39+'DCF Model'!G42)*C$17/(1+$B21)^('DCF Model'!C19+4)-'DCF Model'!C16)*1000000/'DCF Model'!C15,0),"")</f>
        <v>4550</v>
      </c>
      <c r="D21" s="37">
        <f>IFERROR(ROUND(('DCF Model'!C45/(1+$B21)^('DCF Model'!C19+0)+'DCF Model'!D45/(1+$B21)^('DCF Model'!C19+1)+'DCF Model'!E45/(1+$B21)^('DCF Model'!C19+2)+'DCF Model'!F45/(1+$B21)^('DCF Model'!C19+3)+'DCF Model'!G45/(1+$B21)^('DCF Model'!C19+4)+('DCF Model'!G39+'DCF Model'!G42)*D$17/(1+$B21)^('DCF Model'!C19+4)-'DCF Model'!C16)*1000000/'DCF Model'!C15,0),"")</f>
        <v>4859</v>
      </c>
      <c r="E21" s="37">
        <f>IFERROR(ROUND(('DCF Model'!C45/(1+$B21)^('DCF Model'!C19+0)+'DCF Model'!D45/(1+$B21)^('DCF Model'!C19+1)+'DCF Model'!E45/(1+$B21)^('DCF Model'!C19+2)+'DCF Model'!F45/(1+$B21)^('DCF Model'!C19+3)+'DCF Model'!G45/(1+$B21)^('DCF Model'!C19+4)+('DCF Model'!G39+'DCF Model'!G42)*E$17/(1+$B21)^('DCF Model'!C19+4)-'DCF Model'!C16)*1000000/'DCF Model'!C15,0),"")</f>
        <v>5168</v>
      </c>
      <c r="F21" s="37">
        <f>IFERROR(ROUND(('DCF Model'!C45/(1+$B21)^('DCF Model'!C19+0)+'DCF Model'!D45/(1+$B21)^('DCF Model'!C19+1)+'DCF Model'!E45/(1+$B21)^('DCF Model'!C19+2)+'DCF Model'!F45/(1+$B21)^('DCF Model'!C19+3)+'DCF Model'!G45/(1+$B21)^('DCF Model'!C19+4)+('DCF Model'!G39+'DCF Model'!G42)*F$17/(1+$B21)^('DCF Model'!C19+4)-'DCF Model'!C16)*1000000/'DCF Model'!C15,0),"")</f>
        <v>5476</v>
      </c>
      <c r="G21" s="37">
        <f>IFERROR(ROUND(('DCF Model'!C45/(1+$B21)^('DCF Model'!C19+0)+'DCF Model'!D45/(1+$B21)^('DCF Model'!C19+1)+'DCF Model'!E45/(1+$B21)^('DCF Model'!C19+2)+'DCF Model'!F45/(1+$B21)^('DCF Model'!C19+3)+'DCF Model'!G45/(1+$B21)^('DCF Model'!C19+4)+('DCF Model'!G39+'DCF Model'!G42)*G$17/(1+$B21)^('DCF Model'!C19+4)-'DCF Model'!C16)*1000000/'DCF Model'!C15,0),"")</f>
        <v>5785</v>
      </c>
      <c r="H21" s="37">
        <f>IFERROR(ROUND(('DCF Model'!C45/(1+$B21)^('DCF Model'!C19+0)+'DCF Model'!D45/(1+$B21)^('DCF Model'!C19+1)+'DCF Model'!E45/(1+$B21)^('DCF Model'!C19+2)+'DCF Model'!F45/(1+$B21)^('DCF Model'!C19+3)+'DCF Model'!G45/(1+$B21)^('DCF Model'!C19+4)+('DCF Model'!G39+'DCF Model'!G42)*H$17/(1+$B21)^('DCF Model'!C19+4)-'DCF Model'!C16)*1000000/'DCF Model'!C15,0),"")</f>
        <v>6094</v>
      </c>
      <c r="I21" s="37">
        <f>IFERROR(ROUND(('DCF Model'!C45/(1+$B21)^('DCF Model'!C19+0)+'DCF Model'!D45/(1+$B21)^('DCF Model'!C19+1)+'DCF Model'!E45/(1+$B21)^('DCF Model'!C19+2)+'DCF Model'!F45/(1+$B21)^('DCF Model'!C19+3)+'DCF Model'!G45/(1+$B21)^('DCF Model'!C19+4)+('DCF Model'!G39+'DCF Model'!G42)*I$17/(1+$B21)^('DCF Model'!C19+4)-'DCF Model'!C16)*1000000/'DCF Model'!C15,0),"")</f>
        <v>6403</v>
      </c>
    </row>
    <row r="22" spans="2:9" ht="13.5" x14ac:dyDescent="0.25">
      <c r="B22" s="39">
        <f>$C$3+0.005</f>
        <v>9.7941500000000001E-2</v>
      </c>
      <c r="C22" s="37">
        <f>IFERROR(ROUND(('DCF Model'!C45/(1+$B22)^('DCF Model'!C19+0)+'DCF Model'!D45/(1+$B22)^('DCF Model'!C19+1)+'DCF Model'!E45/(1+$B22)^('DCF Model'!C19+2)+'DCF Model'!F45/(1+$B22)^('DCF Model'!C19+3)+'DCF Model'!G45/(1+$B22)^('DCF Model'!C19+4)+('DCF Model'!G39+'DCF Model'!G42)*C$17/(1+$B22)^('DCF Model'!C19+4)-'DCF Model'!C16)*1000000/'DCF Model'!C15,0),"")</f>
        <v>4481</v>
      </c>
      <c r="D22" s="37">
        <f>IFERROR(ROUND(('DCF Model'!C45/(1+$B22)^('DCF Model'!C19+0)+'DCF Model'!D45/(1+$B22)^('DCF Model'!C19+1)+'DCF Model'!E45/(1+$B22)^('DCF Model'!C19+2)+'DCF Model'!F45/(1+$B22)^('DCF Model'!C19+3)+'DCF Model'!G45/(1+$B22)^('DCF Model'!C19+4)+('DCF Model'!G39+'DCF Model'!G42)*D$17/(1+$B22)^('DCF Model'!C19+4)-'DCF Model'!C16)*1000000/'DCF Model'!C15,0),"")</f>
        <v>4783</v>
      </c>
      <c r="E22" s="37">
        <f>IFERROR(ROUND(('DCF Model'!C45/(1+$B22)^('DCF Model'!C19+0)+'DCF Model'!D45/(1+$B22)^('DCF Model'!C19+1)+'DCF Model'!E45/(1+$B22)^('DCF Model'!C19+2)+'DCF Model'!F45/(1+$B22)^('DCF Model'!C19+3)+'DCF Model'!G45/(1+$B22)^('DCF Model'!C19+4)+('DCF Model'!G39+'DCF Model'!G42)*E$17/(1+$B22)^('DCF Model'!C19+4)-'DCF Model'!C16)*1000000/'DCF Model'!C15,0),"")</f>
        <v>5086</v>
      </c>
      <c r="F22" s="37">
        <f>IFERROR(ROUND(('DCF Model'!C45/(1+$B22)^('DCF Model'!C19+0)+'DCF Model'!D45/(1+$B22)^('DCF Model'!C19+1)+'DCF Model'!E45/(1+$B22)^('DCF Model'!C19+2)+'DCF Model'!F45/(1+$B22)^('DCF Model'!C19+3)+'DCF Model'!G45/(1+$B22)^('DCF Model'!C19+4)+('DCF Model'!G39+'DCF Model'!G42)*F$17/(1+$B22)^('DCF Model'!C19+4)-'DCF Model'!C16)*1000000/'DCF Model'!C15,0),"")</f>
        <v>5388</v>
      </c>
      <c r="G22" s="37">
        <f>IFERROR(ROUND(('DCF Model'!C45/(1+$B22)^('DCF Model'!C19+0)+'DCF Model'!D45/(1+$B22)^('DCF Model'!C19+1)+'DCF Model'!E45/(1+$B22)^('DCF Model'!C19+2)+'DCF Model'!F45/(1+$B22)^('DCF Model'!C19+3)+'DCF Model'!G45/(1+$B22)^('DCF Model'!C19+4)+('DCF Model'!G39+'DCF Model'!G42)*G$17/(1+$B22)^('DCF Model'!C19+4)-'DCF Model'!C16)*1000000/'DCF Model'!C15,0),"")</f>
        <v>5691</v>
      </c>
      <c r="H22" s="37">
        <f>IFERROR(ROUND(('DCF Model'!C45/(1+$B22)^('DCF Model'!C19+0)+'DCF Model'!D45/(1+$B22)^('DCF Model'!C19+1)+'DCF Model'!E45/(1+$B22)^('DCF Model'!C19+2)+'DCF Model'!F45/(1+$B22)^('DCF Model'!C19+3)+'DCF Model'!G45/(1+$B22)^('DCF Model'!C19+4)+('DCF Model'!G39+'DCF Model'!G42)*H$17/(1+$B22)^('DCF Model'!C19+4)-'DCF Model'!C16)*1000000/'DCF Model'!C15,0),"")</f>
        <v>5993</v>
      </c>
      <c r="I22" s="37">
        <f>IFERROR(ROUND(('DCF Model'!C45/(1+$B22)^('DCF Model'!C19+0)+'DCF Model'!D45/(1+$B22)^('DCF Model'!C19+1)+'DCF Model'!E45/(1+$B22)^('DCF Model'!C19+2)+'DCF Model'!F45/(1+$B22)^('DCF Model'!C19+3)+'DCF Model'!G45/(1+$B22)^('DCF Model'!C19+4)+('DCF Model'!G39+'DCF Model'!G42)*I$17/(1+$B22)^('DCF Model'!C19+4)-'DCF Model'!C16)*1000000/'DCF Model'!C15,0),"")</f>
        <v>6296</v>
      </c>
    </row>
    <row r="23" spans="2:9" ht="13.5" x14ac:dyDescent="0.25">
      <c r="B23" s="39">
        <f>$C$3+0.01</f>
        <v>0.10294149999999999</v>
      </c>
      <c r="C23" s="37">
        <f>IFERROR(ROUND(('DCF Model'!C45/(1+$B23)^('DCF Model'!C19+0)+'DCF Model'!D45/(1+$B23)^('DCF Model'!C19+1)+'DCF Model'!E45/(1+$B23)^('DCF Model'!C19+2)+'DCF Model'!F45/(1+$B23)^('DCF Model'!C19+3)+'DCF Model'!G45/(1+$B23)^('DCF Model'!C19+4)+('DCF Model'!G39+'DCF Model'!G42)*C$17/(1+$B23)^('DCF Model'!C19+4)-'DCF Model'!C16)*1000000/'DCF Model'!C15,0),"")</f>
        <v>4413</v>
      </c>
      <c r="D23" s="37">
        <f>IFERROR(ROUND(('DCF Model'!C45/(1+$B23)^('DCF Model'!C19+0)+'DCF Model'!D45/(1+$B23)^('DCF Model'!C19+1)+'DCF Model'!E45/(1+$B23)^('DCF Model'!C19+2)+'DCF Model'!F45/(1+$B23)^('DCF Model'!C19+3)+'DCF Model'!G45/(1+$B23)^('DCF Model'!C19+4)+('DCF Model'!G39+'DCF Model'!G42)*D$17/(1+$B23)^('DCF Model'!C19+4)-'DCF Model'!C16)*1000000/'DCF Model'!C15,0),"")</f>
        <v>4709</v>
      </c>
      <c r="E23" s="37">
        <f>IFERROR(ROUND(('DCF Model'!C45/(1+$B23)^('DCF Model'!C19+0)+'DCF Model'!D45/(1+$B23)^('DCF Model'!C19+1)+'DCF Model'!E45/(1+$B23)^('DCF Model'!C19+2)+'DCF Model'!F45/(1+$B23)^('DCF Model'!C19+3)+'DCF Model'!G45/(1+$B23)^('DCF Model'!C19+4)+('DCF Model'!G39+'DCF Model'!G42)*E$17/(1+$B23)^('DCF Model'!C19+4)-'DCF Model'!C16)*1000000/'DCF Model'!C15,0),"")</f>
        <v>5006</v>
      </c>
      <c r="F23" s="37">
        <f>IFERROR(ROUND(('DCF Model'!C45/(1+$B23)^('DCF Model'!C19+0)+'DCF Model'!D45/(1+$B23)^('DCF Model'!C19+1)+'DCF Model'!E45/(1+$B23)^('DCF Model'!C19+2)+'DCF Model'!F45/(1+$B23)^('DCF Model'!C19+3)+'DCF Model'!G45/(1+$B23)^('DCF Model'!C19+4)+('DCF Model'!G39+'DCF Model'!G42)*F$17/(1+$B23)^('DCF Model'!C19+4)-'DCF Model'!C16)*1000000/'DCF Model'!C15,0),"")</f>
        <v>5302</v>
      </c>
      <c r="G23" s="37">
        <f>IFERROR(ROUND(('DCF Model'!C45/(1+$B23)^('DCF Model'!C19+0)+'DCF Model'!D45/(1+$B23)^('DCF Model'!C19+1)+'DCF Model'!E45/(1+$B23)^('DCF Model'!C19+2)+'DCF Model'!F45/(1+$B23)^('DCF Model'!C19+3)+'DCF Model'!G45/(1+$B23)^('DCF Model'!C19+4)+('DCF Model'!G39+'DCF Model'!G42)*G$17/(1+$B23)^('DCF Model'!C19+4)-'DCF Model'!C16)*1000000/'DCF Model'!C15,0),"")</f>
        <v>5598</v>
      </c>
      <c r="H23" s="37">
        <f>IFERROR(ROUND(('DCF Model'!C45/(1+$B23)^('DCF Model'!C19+0)+'DCF Model'!D45/(1+$B23)^('DCF Model'!C19+1)+'DCF Model'!E45/(1+$B23)^('DCF Model'!C19+2)+'DCF Model'!F45/(1+$B23)^('DCF Model'!C19+3)+'DCF Model'!G45/(1+$B23)^('DCF Model'!C19+4)+('DCF Model'!G39+'DCF Model'!G42)*H$17/(1+$B23)^('DCF Model'!C19+4)-'DCF Model'!C16)*1000000/'DCF Model'!C15,0),"")</f>
        <v>5895</v>
      </c>
      <c r="I23" s="37">
        <f>IFERROR(ROUND(('DCF Model'!C45/(1+$B23)^('DCF Model'!C19+0)+'DCF Model'!D45/(1+$B23)^('DCF Model'!C19+1)+'DCF Model'!E45/(1+$B23)^('DCF Model'!C19+2)+'DCF Model'!F45/(1+$B23)^('DCF Model'!C19+3)+'DCF Model'!G45/(1+$B23)^('DCF Model'!C19+4)+('DCF Model'!G39+'DCF Model'!G42)*I$17/(1+$B23)^('DCF Model'!C19+4)-'DCF Model'!C16)*1000000/'DCF Model'!C15,0),"")</f>
        <v>6191</v>
      </c>
    </row>
    <row r="24" spans="2:9" ht="13.5" x14ac:dyDescent="0.25">
      <c r="B24" s="39">
        <f>$C$3+0.015</f>
        <v>0.1079415</v>
      </c>
      <c r="C24" s="37">
        <f>IFERROR(ROUND(('DCF Model'!C45/(1+$B24)^('DCF Model'!C19+0)+'DCF Model'!D45/(1+$B24)^('DCF Model'!C19+1)+'DCF Model'!E45/(1+$B24)^('DCF Model'!C19+2)+'DCF Model'!F45/(1+$B24)^('DCF Model'!C19+3)+'DCF Model'!G45/(1+$B24)^('DCF Model'!C19+4)+('DCF Model'!G39+'DCF Model'!G42)*C$17/(1+$B24)^('DCF Model'!C19+4)-'DCF Model'!C16)*1000000/'DCF Model'!C15,0),"")</f>
        <v>4347</v>
      </c>
      <c r="D24" s="37">
        <f>IFERROR(ROUND(('DCF Model'!C45/(1+$B24)^('DCF Model'!C19+0)+'DCF Model'!D45/(1+$B24)^('DCF Model'!C19+1)+'DCF Model'!E45/(1+$B24)^('DCF Model'!C19+2)+'DCF Model'!F45/(1+$B24)^('DCF Model'!C19+3)+'DCF Model'!G45/(1+$B24)^('DCF Model'!C19+4)+('DCF Model'!G39+'DCF Model'!G42)*D$17/(1+$B24)^('DCF Model'!C19+4)-'DCF Model'!C16)*1000000/'DCF Model'!C15,0),"")</f>
        <v>4637</v>
      </c>
      <c r="E24" s="37">
        <f>IFERROR(ROUND(('DCF Model'!C45/(1+$B24)^('DCF Model'!C19+0)+'DCF Model'!D45/(1+$B24)^('DCF Model'!C19+1)+'DCF Model'!E45/(1+$B24)^('DCF Model'!C19+2)+'DCF Model'!F45/(1+$B24)^('DCF Model'!C19+3)+'DCF Model'!G45/(1+$B24)^('DCF Model'!C19+4)+('DCF Model'!G39+'DCF Model'!G42)*E$17/(1+$B24)^('DCF Model'!C19+4)-'DCF Model'!C16)*1000000/'DCF Model'!C15,0),"")</f>
        <v>4928</v>
      </c>
      <c r="F24" s="37">
        <f>IFERROR(ROUND(('DCF Model'!C45/(1+$B24)^('DCF Model'!C19+0)+'DCF Model'!D45/(1+$B24)^('DCF Model'!C19+1)+'DCF Model'!E45/(1+$B24)^('DCF Model'!C19+2)+'DCF Model'!F45/(1+$B24)^('DCF Model'!C19+3)+'DCF Model'!G45/(1+$B24)^('DCF Model'!C19+4)+('DCF Model'!G39+'DCF Model'!G42)*F$17/(1+$B24)^('DCF Model'!C19+4)-'DCF Model'!C16)*1000000/'DCF Model'!C15,0),"")</f>
        <v>5218</v>
      </c>
      <c r="G24" s="37">
        <f>IFERROR(ROUND(('DCF Model'!C45/(1+$B24)^('DCF Model'!C19+0)+'DCF Model'!D45/(1+$B24)^('DCF Model'!C19+1)+'DCF Model'!E45/(1+$B24)^('DCF Model'!C19+2)+'DCF Model'!F45/(1+$B24)^('DCF Model'!C19+3)+'DCF Model'!G45/(1+$B24)^('DCF Model'!C19+4)+('DCF Model'!G39+'DCF Model'!G42)*G$17/(1+$B24)^('DCF Model'!C19+4)-'DCF Model'!C16)*1000000/'DCF Model'!C15,0),"")</f>
        <v>5508</v>
      </c>
      <c r="H24" s="37">
        <f>IFERROR(ROUND(('DCF Model'!C45/(1+$B24)^('DCF Model'!C19+0)+'DCF Model'!D45/(1+$B24)^('DCF Model'!C19+1)+'DCF Model'!E45/(1+$B24)^('DCF Model'!C19+2)+'DCF Model'!F45/(1+$B24)^('DCF Model'!C19+3)+'DCF Model'!G45/(1+$B24)^('DCF Model'!C19+4)+('DCF Model'!G39+'DCF Model'!G42)*H$17/(1+$B24)^('DCF Model'!C19+4)-'DCF Model'!C16)*1000000/'DCF Model'!C15,0),"")</f>
        <v>5799</v>
      </c>
      <c r="I24" s="37">
        <f>IFERROR(ROUND(('DCF Model'!C45/(1+$B24)^('DCF Model'!C19+0)+'DCF Model'!D45/(1+$B24)^('DCF Model'!C19+1)+'DCF Model'!E45/(1+$B24)^('DCF Model'!C19+2)+'DCF Model'!F45/(1+$B24)^('DCF Model'!C19+3)+'DCF Model'!G45/(1+$B24)^('DCF Model'!C19+4)+('DCF Model'!G39+'DCF Model'!G42)*I$17/(1+$B24)^('DCF Model'!C19+4)-'DCF Model'!C16)*1000000/'DCF Model'!C15,0),"")</f>
        <v>6089</v>
      </c>
    </row>
    <row r="26" spans="2:9" ht="14" x14ac:dyDescent="0.3">
      <c r="B26" s="46" t="s">
        <v>243</v>
      </c>
      <c r="C26" s="45"/>
      <c r="D26" s="45"/>
      <c r="E26" s="45"/>
      <c r="F26" s="45"/>
      <c r="G26" s="45"/>
      <c r="H26" s="45"/>
      <c r="I26" s="45"/>
    </row>
  </sheetData>
  <mergeCells count="1">
    <mergeCell ref="B26:I26"/>
  </mergeCells>
  <phoneticPr fontId="8"/>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808080"/>
  </sheetPr>
  <dimension ref="B2:G60"/>
  <sheetViews>
    <sheetView workbookViewId="0"/>
  </sheetViews>
  <sheetFormatPr defaultRowHeight="13" x14ac:dyDescent="0.2"/>
  <cols>
    <col min="1" max="1" width="3" customWidth="1"/>
    <col min="2" max="2" width="14" customWidth="1"/>
    <col min="3" max="3" width="16" customWidth="1"/>
    <col min="4" max="5" width="46" customWidth="1"/>
    <col min="6" max="6" width="20" customWidth="1"/>
    <col min="7" max="7" width="12" customWidth="1"/>
  </cols>
  <sheetData>
    <row r="2" spans="2:7" ht="18" x14ac:dyDescent="0.4">
      <c r="B2" s="2" t="s">
        <v>244</v>
      </c>
    </row>
    <row r="4" spans="2:7" ht="14" x14ac:dyDescent="0.3">
      <c r="B4" s="10" t="s">
        <v>245</v>
      </c>
      <c r="C4" s="10" t="s">
        <v>246</v>
      </c>
      <c r="D4" s="10" t="s">
        <v>247</v>
      </c>
      <c r="E4" s="10" t="s">
        <v>248</v>
      </c>
      <c r="F4" s="10" t="s">
        <v>249</v>
      </c>
      <c r="G4" s="10" t="s">
        <v>250</v>
      </c>
    </row>
    <row r="5" spans="2:7" x14ac:dyDescent="0.2">
      <c r="B5" t="s">
        <v>251</v>
      </c>
      <c r="C5" t="s">
        <v>252</v>
      </c>
      <c r="D5" t="s">
        <v>253</v>
      </c>
      <c r="E5" t="s">
        <v>254</v>
      </c>
      <c r="F5" t="s">
        <v>252</v>
      </c>
      <c r="G5" t="s">
        <v>255</v>
      </c>
    </row>
    <row r="6" spans="2:7" ht="30" customHeight="1" x14ac:dyDescent="0.3">
      <c r="B6" t="s">
        <v>251</v>
      </c>
      <c r="C6" s="4" t="s">
        <v>256</v>
      </c>
      <c r="D6" t="s">
        <v>257</v>
      </c>
      <c r="E6" t="s">
        <v>258</v>
      </c>
      <c r="F6" t="s">
        <v>259</v>
      </c>
      <c r="G6" t="s">
        <v>260</v>
      </c>
    </row>
    <row r="12" spans="2:7" ht="14" x14ac:dyDescent="0.3">
      <c r="B12" s="8" t="s">
        <v>261</v>
      </c>
    </row>
    <row r="13" spans="2:7" ht="14" x14ac:dyDescent="0.3">
      <c r="B13" s="10" t="s">
        <v>262</v>
      </c>
      <c r="C13" s="10" t="s">
        <v>263</v>
      </c>
    </row>
    <row r="14" spans="2:7" ht="14" x14ac:dyDescent="0.3">
      <c r="B14" s="4" t="s">
        <v>264</v>
      </c>
      <c r="C14" t="s">
        <v>265</v>
      </c>
    </row>
    <row r="15" spans="2:7" ht="14" x14ac:dyDescent="0.3">
      <c r="B15" s="4" t="s">
        <v>266</v>
      </c>
      <c r="C15" t="s">
        <v>267</v>
      </c>
    </row>
    <row r="16" spans="2:7" ht="14" x14ac:dyDescent="0.3">
      <c r="B16" s="4" t="s">
        <v>268</v>
      </c>
      <c r="C16" t="s">
        <v>269</v>
      </c>
    </row>
    <row r="17" spans="2:3" ht="14" x14ac:dyDescent="0.3">
      <c r="B17" s="4" t="s">
        <v>270</v>
      </c>
      <c r="C17" t="s">
        <v>267</v>
      </c>
    </row>
    <row r="18" spans="2:3" ht="14" x14ac:dyDescent="0.3">
      <c r="B18" s="4" t="s">
        <v>271</v>
      </c>
      <c r="C18" t="s">
        <v>272</v>
      </c>
    </row>
    <row r="19" spans="2:3" ht="14" x14ac:dyDescent="0.3">
      <c r="B19" s="4" t="s">
        <v>273</v>
      </c>
      <c r="C19" t="s">
        <v>274</v>
      </c>
    </row>
    <row r="20" spans="2:3" ht="14" x14ac:dyDescent="0.3">
      <c r="B20" s="4" t="s">
        <v>275</v>
      </c>
      <c r="C20" t="s">
        <v>276</v>
      </c>
    </row>
    <row r="21" spans="2:3" ht="14" x14ac:dyDescent="0.3">
      <c r="B21" s="4" t="s">
        <v>277</v>
      </c>
      <c r="C21" t="s">
        <v>278</v>
      </c>
    </row>
    <row r="22" spans="2:3" ht="14" x14ac:dyDescent="0.3">
      <c r="B22" s="4" t="s">
        <v>279</v>
      </c>
      <c r="C22" t="s">
        <v>280</v>
      </c>
    </row>
    <row r="23" spans="2:3" ht="14" x14ac:dyDescent="0.3">
      <c r="B23" s="4" t="s">
        <v>281</v>
      </c>
      <c r="C23" t="s">
        <v>4</v>
      </c>
    </row>
    <row r="24" spans="2:3" ht="14" x14ac:dyDescent="0.3">
      <c r="B24" s="4" t="s">
        <v>282</v>
      </c>
      <c r="C24" t="s">
        <v>251</v>
      </c>
    </row>
    <row r="25" spans="2:3" ht="14" x14ac:dyDescent="0.3">
      <c r="B25" s="4" t="s">
        <v>283</v>
      </c>
      <c r="C25" t="s">
        <v>284</v>
      </c>
    </row>
    <row r="26" spans="2:3" ht="14" x14ac:dyDescent="0.3">
      <c r="B26" s="4" t="s">
        <v>285</v>
      </c>
      <c r="C26" t="s">
        <v>272</v>
      </c>
    </row>
    <row r="27" spans="2:3" ht="14" x14ac:dyDescent="0.3">
      <c r="B27" s="4" t="s">
        <v>286</v>
      </c>
      <c r="C27" t="s">
        <v>272</v>
      </c>
    </row>
    <row r="28" spans="2:3" ht="14" x14ac:dyDescent="0.3">
      <c r="B28" s="4" t="s">
        <v>287</v>
      </c>
      <c r="C28" t="s">
        <v>288</v>
      </c>
    </row>
    <row r="29" spans="2:3" ht="14" x14ac:dyDescent="0.3">
      <c r="B29" s="4" t="s">
        <v>289</v>
      </c>
      <c r="C29" t="s">
        <v>290</v>
      </c>
    </row>
    <row r="30" spans="2:3" ht="14" x14ac:dyDescent="0.3">
      <c r="B30" s="4" t="s">
        <v>291</v>
      </c>
      <c r="C30" t="s">
        <v>292</v>
      </c>
    </row>
    <row r="31" spans="2:3" ht="14" x14ac:dyDescent="0.3">
      <c r="B31" s="4" t="s">
        <v>293</v>
      </c>
      <c r="C31" t="s">
        <v>288</v>
      </c>
    </row>
    <row r="32" spans="2:3" ht="14" x14ac:dyDescent="0.3">
      <c r="B32" s="4" t="s">
        <v>294</v>
      </c>
      <c r="C32" t="s">
        <v>272</v>
      </c>
    </row>
    <row r="33" spans="2:3" ht="14" x14ac:dyDescent="0.3">
      <c r="B33" s="4" t="s">
        <v>295</v>
      </c>
      <c r="C33" t="s">
        <v>284</v>
      </c>
    </row>
    <row r="34" spans="2:3" ht="14" x14ac:dyDescent="0.3">
      <c r="B34" s="4" t="s">
        <v>296</v>
      </c>
      <c r="C34" t="s">
        <v>297</v>
      </c>
    </row>
    <row r="35" spans="2:3" ht="14" x14ac:dyDescent="0.3">
      <c r="B35" s="4" t="s">
        <v>298</v>
      </c>
      <c r="C35" t="s">
        <v>299</v>
      </c>
    </row>
    <row r="36" spans="2:3" ht="14" x14ac:dyDescent="0.3">
      <c r="B36" s="4" t="s">
        <v>300</v>
      </c>
      <c r="C36" t="s">
        <v>301</v>
      </c>
    </row>
    <row r="37" spans="2:3" ht="14" x14ac:dyDescent="0.3">
      <c r="B37" s="4" t="s">
        <v>302</v>
      </c>
      <c r="C37" t="s">
        <v>303</v>
      </c>
    </row>
    <row r="38" spans="2:3" ht="14" x14ac:dyDescent="0.3">
      <c r="B38" s="4" t="s">
        <v>304</v>
      </c>
      <c r="C38" t="s">
        <v>305</v>
      </c>
    </row>
    <row r="39" spans="2:3" ht="14" x14ac:dyDescent="0.3">
      <c r="B39" s="4" t="s">
        <v>306</v>
      </c>
      <c r="C39" t="s">
        <v>307</v>
      </c>
    </row>
    <row r="40" spans="2:3" ht="14" x14ac:dyDescent="0.3">
      <c r="B40" s="4" t="s">
        <v>308</v>
      </c>
      <c r="C40" t="s">
        <v>276</v>
      </c>
    </row>
    <row r="41" spans="2:3" ht="14" x14ac:dyDescent="0.3">
      <c r="B41" s="4" t="s">
        <v>309</v>
      </c>
      <c r="C41" t="s">
        <v>310</v>
      </c>
    </row>
    <row r="42" spans="2:3" ht="14" x14ac:dyDescent="0.3">
      <c r="B42" s="4" t="s">
        <v>311</v>
      </c>
      <c r="C42" t="s">
        <v>312</v>
      </c>
    </row>
    <row r="43" spans="2:3" ht="14" x14ac:dyDescent="0.3">
      <c r="B43" s="4" t="s">
        <v>313</v>
      </c>
      <c r="C43" t="s">
        <v>314</v>
      </c>
    </row>
    <row r="44" spans="2:3" ht="14" x14ac:dyDescent="0.3">
      <c r="B44" s="4" t="s">
        <v>315</v>
      </c>
      <c r="C44" t="s">
        <v>316</v>
      </c>
    </row>
    <row r="45" spans="2:3" ht="14" x14ac:dyDescent="0.3">
      <c r="B45" s="4" t="s">
        <v>317</v>
      </c>
      <c r="C45" t="s">
        <v>318</v>
      </c>
    </row>
    <row r="46" spans="2:3" ht="14" x14ac:dyDescent="0.3">
      <c r="B46" s="4" t="s">
        <v>319</v>
      </c>
      <c r="C46" t="s">
        <v>320</v>
      </c>
    </row>
    <row r="47" spans="2:3" ht="14" x14ac:dyDescent="0.3">
      <c r="B47" s="4" t="s">
        <v>321</v>
      </c>
      <c r="C47" t="s">
        <v>322</v>
      </c>
    </row>
    <row r="48" spans="2:3" ht="14" x14ac:dyDescent="0.3">
      <c r="B48" s="4" t="s">
        <v>323</v>
      </c>
      <c r="C48" t="s">
        <v>324</v>
      </c>
    </row>
    <row r="49" spans="2:3" ht="14" x14ac:dyDescent="0.3">
      <c r="B49" s="4" t="s">
        <v>325</v>
      </c>
      <c r="C49" t="s">
        <v>284</v>
      </c>
    </row>
    <row r="50" spans="2:3" ht="14" x14ac:dyDescent="0.3">
      <c r="B50" s="4" t="s">
        <v>326</v>
      </c>
      <c r="C50" t="s">
        <v>327</v>
      </c>
    </row>
    <row r="51" spans="2:3" ht="14" x14ac:dyDescent="0.3">
      <c r="B51" s="4" t="s">
        <v>328</v>
      </c>
      <c r="C51" t="s">
        <v>329</v>
      </c>
    </row>
    <row r="52" spans="2:3" ht="14" x14ac:dyDescent="0.3">
      <c r="B52" s="4" t="s">
        <v>330</v>
      </c>
      <c r="C52" t="s">
        <v>331</v>
      </c>
    </row>
    <row r="53" spans="2:3" ht="14" x14ac:dyDescent="0.3">
      <c r="B53" s="4" t="s">
        <v>332</v>
      </c>
      <c r="C53" t="s">
        <v>333</v>
      </c>
    </row>
    <row r="54" spans="2:3" ht="14" x14ac:dyDescent="0.3">
      <c r="B54" s="4" t="s">
        <v>334</v>
      </c>
      <c r="C54" t="s">
        <v>335</v>
      </c>
    </row>
    <row r="55" spans="2:3" ht="14" x14ac:dyDescent="0.3">
      <c r="B55" s="4" t="s">
        <v>336</v>
      </c>
      <c r="C55" t="s">
        <v>337</v>
      </c>
    </row>
    <row r="56" spans="2:3" ht="14" x14ac:dyDescent="0.3">
      <c r="B56" s="4" t="s">
        <v>338</v>
      </c>
      <c r="C56" t="s">
        <v>339</v>
      </c>
    </row>
    <row r="57" spans="2:3" ht="14" x14ac:dyDescent="0.3">
      <c r="B57" s="4" t="s">
        <v>340</v>
      </c>
      <c r="C57" t="s">
        <v>341</v>
      </c>
    </row>
    <row r="58" spans="2:3" ht="14" x14ac:dyDescent="0.3">
      <c r="B58" s="4" t="s">
        <v>342</v>
      </c>
      <c r="C58" t="s">
        <v>343</v>
      </c>
    </row>
    <row r="59" spans="2:3" ht="14" x14ac:dyDescent="0.3">
      <c r="B59" s="4" t="s">
        <v>344</v>
      </c>
      <c r="C59" t="s">
        <v>345</v>
      </c>
    </row>
    <row r="60" spans="2:3" ht="14" x14ac:dyDescent="0.3">
      <c r="B60" s="4" t="s">
        <v>346</v>
      </c>
      <c r="C60" t="s">
        <v>209</v>
      </c>
    </row>
  </sheetData>
  <phoneticPr fontId="8"/>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Executive Summary</vt:lpstr>
      <vt:lpstr>Financial Statements</vt:lpstr>
      <vt:lpstr>DCF Model</vt:lpstr>
      <vt:lpstr>Reverse DCF</vt:lpstr>
      <vt:lpstr>NWC Schedule</vt:lpstr>
      <vt:lpstr>Comps Analysis</vt:lpstr>
      <vt:lpstr>Sensitivity Analysis</vt:lpstr>
      <vt:lpstr>Adjustments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良亮 佐藤</cp:lastModifiedBy>
  <dcterms:created xsi:type="dcterms:W3CDTF">2026-09-06T13:24:50Z</dcterms:created>
  <dcterms:modified xsi:type="dcterms:W3CDTF">2026-09-06T13:24:54Z</dcterms:modified>
</cp:coreProperties>
</file>