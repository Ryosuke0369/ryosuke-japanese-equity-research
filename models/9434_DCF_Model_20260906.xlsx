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55A0B320-6283-4D33-A92B-8A0FFC4019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  <sheet name="Equity Method Value" sheetId="9" r:id="rId9"/>
  </sheets>
  <calcPr calcId="181029"/>
</workbook>
</file>

<file path=xl/calcChain.xml><?xml version="1.0" encoding="utf-8"?>
<calcChain xmlns="http://schemas.openxmlformats.org/spreadsheetml/2006/main">
  <c r="C16" i="9" l="1"/>
  <c r="F7" i="9"/>
  <c r="F8" i="9" s="1"/>
  <c r="C11" i="9" s="1"/>
  <c r="C13" i="9" s="1"/>
  <c r="C17" i="9" s="1"/>
  <c r="C19" i="1" s="1"/>
  <c r="D21" i="1" s="1"/>
  <c r="I3" i="7"/>
  <c r="G17" i="7" s="1"/>
  <c r="F3" i="7"/>
  <c r="F6" i="7" s="1"/>
  <c r="O8" i="6"/>
  <c r="N8" i="6"/>
  <c r="M8" i="6"/>
  <c r="L8" i="6"/>
  <c r="K8" i="6"/>
  <c r="J8" i="6"/>
  <c r="O7" i="6"/>
  <c r="N7" i="6"/>
  <c r="M7" i="6"/>
  <c r="L7" i="6"/>
  <c r="F17" i="6" s="1"/>
  <c r="K7" i="6"/>
  <c r="J7" i="6"/>
  <c r="O6" i="6"/>
  <c r="N6" i="6"/>
  <c r="M6" i="6"/>
  <c r="L6" i="6"/>
  <c r="K6" i="6"/>
  <c r="E15" i="6" s="1"/>
  <c r="J6" i="6"/>
  <c r="D16" i="6" s="1"/>
  <c r="O5" i="6"/>
  <c r="N5" i="6"/>
  <c r="D5" i="6"/>
  <c r="E5" i="6" s="1"/>
  <c r="C5" i="5"/>
  <c r="C13" i="4"/>
  <c r="C12" i="4"/>
  <c r="C9" i="4"/>
  <c r="C7" i="4"/>
  <c r="C8" i="4" s="1"/>
  <c r="C10" i="4" s="1"/>
  <c r="C6" i="4"/>
  <c r="D27" i="3"/>
  <c r="F31" i="3" s="1"/>
  <c r="C25" i="3"/>
  <c r="C24" i="3"/>
  <c r="C23" i="3"/>
  <c r="D16" i="2"/>
  <c r="D15" i="2"/>
  <c r="D14" i="2"/>
  <c r="C14" i="2"/>
  <c r="D13" i="2"/>
  <c r="C13" i="2"/>
  <c r="D8" i="2"/>
  <c r="D9" i="2" s="1"/>
  <c r="C8" i="2"/>
  <c r="C9" i="2" s="1"/>
  <c r="C26" i="3" l="1"/>
  <c r="F16" i="6"/>
  <c r="C28" i="6" s="1"/>
  <c r="C21" i="1" s="1"/>
  <c r="G16" i="6"/>
  <c r="H16" i="6"/>
  <c r="I17" i="6"/>
  <c r="K5" i="6"/>
  <c r="J5" i="6"/>
  <c r="C27" i="6"/>
  <c r="C74" i="4"/>
  <c r="C71" i="4"/>
  <c r="C70" i="4"/>
  <c r="D36" i="4"/>
  <c r="C46" i="3"/>
  <c r="G36" i="4"/>
  <c r="C11" i="4"/>
  <c r="C24" i="4" s="1"/>
  <c r="C25" i="4" s="1"/>
  <c r="G46" i="3"/>
  <c r="D46" i="3"/>
  <c r="H36" i="4"/>
  <c r="C3" i="7"/>
  <c r="F36" i="4"/>
  <c r="F46" i="3"/>
  <c r="E46" i="3"/>
  <c r="E36" i="4"/>
  <c r="D30" i="3"/>
  <c r="D5" i="5"/>
  <c r="L5" i="6"/>
  <c r="E5" i="5"/>
  <c r="M5" i="6"/>
  <c r="G15" i="6"/>
  <c r="I16" i="6"/>
  <c r="G6" i="7"/>
  <c r="H17" i="7"/>
  <c r="F15" i="6"/>
  <c r="E30" i="3"/>
  <c r="C32" i="3"/>
  <c r="F30" i="3"/>
  <c r="D32" i="3"/>
  <c r="F5" i="5"/>
  <c r="H15" i="6"/>
  <c r="D17" i="6"/>
  <c r="H6" i="7"/>
  <c r="I17" i="7"/>
  <c r="C31" i="3"/>
  <c r="H5" i="5"/>
  <c r="G31" i="3"/>
  <c r="G30" i="3"/>
  <c r="E32" i="3"/>
  <c r="G5" i="5"/>
  <c r="I15" i="6"/>
  <c r="E17" i="6"/>
  <c r="I6" i="7"/>
  <c r="F32" i="3"/>
  <c r="C17" i="7"/>
  <c r="D31" i="3"/>
  <c r="G32" i="3"/>
  <c r="E16" i="6"/>
  <c r="G17" i="6"/>
  <c r="C6" i="7"/>
  <c r="D17" i="7"/>
  <c r="E31" i="3"/>
  <c r="D15" i="6"/>
  <c r="H17" i="6"/>
  <c r="D6" i="7"/>
  <c r="E17" i="7"/>
  <c r="C30" i="3"/>
  <c r="C33" i="3" s="1"/>
  <c r="E6" i="7"/>
  <c r="F17" i="7"/>
  <c r="E40" i="4" l="1"/>
  <c r="E44" i="4"/>
  <c r="E38" i="4"/>
  <c r="E41" i="4"/>
  <c r="E39" i="4"/>
  <c r="E49" i="4" s="1"/>
  <c r="E54" i="4" s="1"/>
  <c r="E43" i="4"/>
  <c r="E45" i="4"/>
  <c r="E46" i="4"/>
  <c r="G41" i="4"/>
  <c r="G45" i="4"/>
  <c r="G39" i="4"/>
  <c r="G46" i="4"/>
  <c r="G40" i="4"/>
  <c r="G50" i="4" s="1"/>
  <c r="G55" i="4" s="1"/>
  <c r="G44" i="4"/>
  <c r="G38" i="4"/>
  <c r="G43" i="4"/>
  <c r="F38" i="4"/>
  <c r="F41" i="4"/>
  <c r="F45" i="4"/>
  <c r="F39" i="4"/>
  <c r="F43" i="4"/>
  <c r="F46" i="4"/>
  <c r="F40" i="4"/>
  <c r="F50" i="4" s="1"/>
  <c r="F55" i="4" s="1"/>
  <c r="F44" i="4"/>
  <c r="D46" i="4"/>
  <c r="D41" i="4"/>
  <c r="D51" i="4" s="1"/>
  <c r="D56" i="4" s="1"/>
  <c r="D40" i="4"/>
  <c r="D44" i="4"/>
  <c r="D38" i="4"/>
  <c r="D45" i="4"/>
  <c r="D39" i="4"/>
  <c r="D49" i="4" s="1"/>
  <c r="D54" i="4" s="1"/>
  <c r="D43" i="4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C29" i="4"/>
  <c r="C26" i="4"/>
  <c r="C27" i="4"/>
  <c r="H45" i="4"/>
  <c r="H39" i="4"/>
  <c r="H43" i="4"/>
  <c r="H40" i="4"/>
  <c r="H50" i="4" s="1"/>
  <c r="H55" i="4" s="1"/>
  <c r="H46" i="4"/>
  <c r="H44" i="4"/>
  <c r="H38" i="4"/>
  <c r="H41" i="4"/>
  <c r="D33" i="3"/>
  <c r="D9" i="5"/>
  <c r="D18" i="5" s="1"/>
  <c r="D19" i="5" s="1"/>
  <c r="C44" i="3" s="1"/>
  <c r="C42" i="3"/>
  <c r="C34" i="3"/>
  <c r="C35" i="3" s="1"/>
  <c r="C37" i="3"/>
  <c r="C43" i="3"/>
  <c r="G48" i="4" l="1"/>
  <c r="G53" i="4" s="1"/>
  <c r="D48" i="4"/>
  <c r="D53" i="4" s="1"/>
  <c r="F49" i="4"/>
  <c r="F54" i="4" s="1"/>
  <c r="B78" i="4" s="1"/>
  <c r="H49" i="4"/>
  <c r="H54" i="4" s="1"/>
  <c r="C39" i="3"/>
  <c r="C38" i="3"/>
  <c r="C36" i="3"/>
  <c r="C60" i="4"/>
  <c r="E51" i="4"/>
  <c r="E56" i="4" s="1"/>
  <c r="E33" i="3"/>
  <c r="E9" i="5"/>
  <c r="E18" i="5" s="1"/>
  <c r="E19" i="5" s="1"/>
  <c r="D44" i="3" s="1"/>
  <c r="D37" i="3"/>
  <c r="D43" i="3"/>
  <c r="D42" i="3"/>
  <c r="D34" i="3"/>
  <c r="D35" i="3" s="1"/>
  <c r="H51" i="4"/>
  <c r="H56" i="4" s="1"/>
  <c r="D50" i="4"/>
  <c r="D55" i="4" s="1"/>
  <c r="G49" i="4"/>
  <c r="G54" i="4" s="1"/>
  <c r="E48" i="4"/>
  <c r="E53" i="4" s="1"/>
  <c r="H48" i="4"/>
  <c r="H53" i="4" s="1"/>
  <c r="F51" i="4"/>
  <c r="F56" i="4" s="1"/>
  <c r="F48" i="4"/>
  <c r="F53" i="4" s="1"/>
  <c r="G51" i="4"/>
  <c r="G56" i="4" s="1"/>
  <c r="E50" i="4"/>
  <c r="E55" i="4" s="1"/>
  <c r="D36" i="3" l="1"/>
  <c r="D39" i="3"/>
  <c r="D38" i="3"/>
  <c r="C64" i="4"/>
  <c r="D64" i="4" s="1"/>
  <c r="C67" i="4"/>
  <c r="D67" i="4" s="1"/>
  <c r="C63" i="4"/>
  <c r="D63" i="4" s="1"/>
  <c r="C65" i="4"/>
  <c r="D65" i="4" s="1"/>
  <c r="C66" i="4"/>
  <c r="D66" i="4" s="1"/>
  <c r="C40" i="3"/>
  <c r="C41" i="3" s="1"/>
  <c r="C45" i="3" s="1"/>
  <c r="F9" i="5"/>
  <c r="F18" i="5" s="1"/>
  <c r="F19" i="5" s="1"/>
  <c r="E44" i="3" s="1"/>
  <c r="E42" i="3"/>
  <c r="E34" i="3"/>
  <c r="E35" i="3" s="1"/>
  <c r="E43" i="3"/>
  <c r="E37" i="3"/>
  <c r="F33" i="3"/>
  <c r="C47" i="3" l="1"/>
  <c r="E36" i="3"/>
  <c r="E39" i="3"/>
  <c r="E38" i="3"/>
  <c r="F42" i="3"/>
  <c r="F34" i="3"/>
  <c r="F35" i="3" s="1"/>
  <c r="F37" i="3"/>
  <c r="F43" i="3"/>
  <c r="G33" i="3"/>
  <c r="G9" i="5"/>
  <c r="G18" i="5" s="1"/>
  <c r="G19" i="5" s="1"/>
  <c r="F44" i="3" s="1"/>
  <c r="D40" i="3"/>
  <c r="D41" i="3" s="1"/>
  <c r="D45" i="3" s="1"/>
  <c r="D47" i="3" l="1"/>
  <c r="F39" i="3"/>
  <c r="F36" i="3"/>
  <c r="F38" i="3"/>
  <c r="E40" i="3"/>
  <c r="E41" i="3"/>
  <c r="E45" i="3" s="1"/>
  <c r="E47" i="3" s="1"/>
  <c r="G42" i="3"/>
  <c r="G34" i="3"/>
  <c r="G35" i="3"/>
  <c r="C16" i="4"/>
  <c r="C28" i="4" s="1"/>
  <c r="G37" i="3"/>
  <c r="G43" i="3"/>
  <c r="H9" i="5"/>
  <c r="H18" i="5" s="1"/>
  <c r="H19" i="5" s="1"/>
  <c r="G44" i="3" s="1"/>
  <c r="G39" i="3" l="1"/>
  <c r="G38" i="3"/>
  <c r="G36" i="3"/>
  <c r="C72" i="4"/>
  <c r="C73" i="4"/>
  <c r="F40" i="3"/>
  <c r="F41" i="3"/>
  <c r="F45" i="3" s="1"/>
  <c r="F47" i="3" l="1"/>
  <c r="C59" i="3"/>
  <c r="C60" i="3" s="1"/>
  <c r="C61" i="3" s="1"/>
  <c r="G40" i="3"/>
  <c r="G41" i="3" s="1"/>
  <c r="G45" i="3" s="1"/>
  <c r="G47" i="3" l="1"/>
  <c r="C51" i="3"/>
  <c r="C52" i="3" s="1"/>
  <c r="I21" i="7"/>
  <c r="I8" i="7"/>
  <c r="F9" i="7"/>
  <c r="F23" i="7"/>
  <c r="F24" i="7"/>
  <c r="F20" i="7"/>
  <c r="G24" i="7"/>
  <c r="C24" i="7"/>
  <c r="D18" i="7"/>
  <c r="G23" i="7"/>
  <c r="H10" i="7"/>
  <c r="F19" i="7"/>
  <c r="I11" i="7"/>
  <c r="G10" i="7"/>
  <c r="H18" i="7"/>
  <c r="G13" i="7"/>
  <c r="F22" i="7"/>
  <c r="I13" i="7"/>
  <c r="G19" i="7"/>
  <c r="E23" i="7"/>
  <c r="D13" i="7"/>
  <c r="D20" i="7"/>
  <c r="H23" i="7"/>
  <c r="G22" i="7"/>
  <c r="C9" i="7"/>
  <c r="C19" i="7"/>
  <c r="H11" i="7"/>
  <c r="C10" i="7"/>
  <c r="H7" i="7"/>
  <c r="D21" i="7"/>
  <c r="F18" i="7"/>
  <c r="F7" i="7"/>
  <c r="F8" i="7"/>
  <c r="C20" i="7"/>
  <c r="H24" i="7"/>
  <c r="E22" i="7"/>
  <c r="I7" i="7"/>
  <c r="H12" i="7"/>
  <c r="C18" i="7"/>
  <c r="C11" i="7"/>
  <c r="D7" i="7"/>
  <c r="E20" i="7"/>
  <c r="D9" i="7"/>
  <c r="C8" i="7"/>
  <c r="D10" i="7"/>
  <c r="I22" i="7"/>
  <c r="F10" i="7"/>
  <c r="D8" i="7"/>
  <c r="H8" i="7"/>
  <c r="G12" i="7"/>
  <c r="C7" i="7"/>
  <c r="D24" i="7"/>
  <c r="G9" i="7"/>
  <c r="I23" i="7"/>
  <c r="C13" i="7"/>
  <c r="D11" i="7"/>
  <c r="H21" i="7"/>
  <c r="E11" i="7"/>
  <c r="I19" i="7"/>
  <c r="H9" i="7"/>
  <c r="C12" i="7"/>
  <c r="I18" i="7"/>
  <c r="D12" i="7"/>
  <c r="I9" i="7"/>
  <c r="E18" i="7"/>
  <c r="C21" i="7"/>
  <c r="E19" i="7"/>
  <c r="H22" i="7"/>
  <c r="I10" i="7"/>
  <c r="C23" i="7"/>
  <c r="D22" i="7"/>
  <c r="H13" i="7"/>
  <c r="I12" i="7"/>
  <c r="D23" i="7"/>
  <c r="G18" i="7"/>
  <c r="G8" i="7"/>
  <c r="C22" i="7"/>
  <c r="I20" i="7"/>
  <c r="E21" i="7"/>
  <c r="F21" i="7"/>
  <c r="F13" i="7"/>
  <c r="G11" i="7"/>
  <c r="G21" i="7"/>
  <c r="H20" i="7"/>
  <c r="E24" i="7"/>
  <c r="E9" i="7"/>
  <c r="G7" i="7"/>
  <c r="E7" i="7"/>
  <c r="F11" i="7"/>
  <c r="G20" i="7"/>
  <c r="F12" i="7"/>
  <c r="I24" i="7"/>
  <c r="E10" i="7"/>
  <c r="H19" i="7"/>
  <c r="D19" i="7"/>
  <c r="E8" i="7"/>
  <c r="E13" i="7"/>
  <c r="E12" i="7"/>
  <c r="C50" i="3"/>
  <c r="C53" i="3" l="1"/>
  <c r="C58" i="3"/>
  <c r="C62" i="3" s="1"/>
  <c r="C17" i="4" l="1"/>
  <c r="C54" i="3"/>
  <c r="C55" i="3" s="1"/>
  <c r="C16" i="1" s="1"/>
  <c r="C63" i="3"/>
  <c r="C64" i="3" s="1"/>
  <c r="C17" i="1" s="1"/>
  <c r="D17" i="1" s="1"/>
  <c r="D16" i="1" l="1"/>
  <c r="C23" i="1"/>
  <c r="C18" i="1"/>
  <c r="C10" i="1" s="1"/>
  <c r="C12" i="1" s="1"/>
  <c r="C11" i="1" s="1"/>
  <c r="C19" i="4"/>
  <c r="C20" i="4" s="1"/>
  <c r="B79" i="4" s="1"/>
</calcChain>
</file>

<file path=xl/sharedStrings.xml><?xml version="1.0" encoding="utf-8"?>
<sst xmlns="http://schemas.openxmlformats.org/spreadsheetml/2006/main" count="493" uniqueCount="360">
  <si>
    <t>DISCLAIMER: This is a sample analysis for demonstration purposes only. It does not constitute investment advice.</t>
  </si>
  <si>
    <t>SoftBank (ex-Finance segment) (9434.T)</t>
  </si>
  <si>
    <t>Equity Research Report</t>
  </si>
  <si>
    <t>Company</t>
  </si>
  <si>
    <t>SoftBank (ex-Finance segment)</t>
  </si>
  <si>
    <t>Ticker</t>
  </si>
  <si>
    <t>9434.T (TSE Prime)</t>
  </si>
  <si>
    <t>Sector</t>
  </si>
  <si>
    <t>情報・通信業</t>
  </si>
  <si>
    <t>Current Price</t>
  </si>
  <si>
    <t>Target Price (コアDCF + 金融事業価値)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</si>
  <si>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</si>
  <si>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</si>
  <si>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</si>
  <si>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</si>
  <si>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</si>
  <si>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</si>
  <si>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</si>
  <si>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</si>
  <si>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コアDCF 1株値（フロア規則: 負または不成立なら 0）</t>
  </si>
  <si>
    <t>金融事業価値 [1株・別途加算]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</si>
  <si>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</si>
  <si>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</si>
  <si>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 ■【型F: 持分法主導】コア営業利益 = 売上総利益 − 販売費及び一般管理費 で定義し、持分法投資損益・受取配当金・金融損益・投資損益をコアから除外している。除外した持分法投資の価値は上の別途加算行で加算する（二重計上なし）。持分法投資価値の算定方式は 'market_stakes'、詳細は Equity Method Value シート。Comps は EV 倍率が持分法混在で歪むため PER/PBR を参照とする。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</si>
  <si>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</si>
  <si>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</si>
  <si>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</si>
  <si>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</si>
  <si>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</si>
  <si>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</si>
  <si>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</si>
  <si>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</si>
  <si>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</si>
  <si>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SoftBank (ex-Finance segment) - Historical Financials (JPY mn)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</si>
  <si>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</si>
  <si>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</si>
  <si>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</si>
  <si>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</si>
  <si>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</si>
  <si>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</si>
  <si>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</si>
  <si>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</si>
  <si>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</si>
  <si>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</si>
  <si>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</si>
  <si>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</si>
  <si>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</si>
  <si>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</si>
  <si>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</si>
  <si>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</si>
  <si>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</si>
  <si>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</si>
  <si>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</si>
  <si>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</si>
  <si>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</si>
  <si>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</si>
  <si>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</si>
  <si>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</si>
  <si>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</si>
  <si>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2/2, Cash 2/2, Debt 0/2 — blank cells are years with no year-key match in the source data (verify against 決算短信 or set hist_ocf / hist_cash / hist_debt in overrides).</t>
  </si>
  <si>
    <t>DCF Valuation Model - SoftBank (ex-Finance segment)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</si>
  <si>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</si>
  <si>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</si>
  <si>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</si>
  <si>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</si>
  <si>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</si>
  <si>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</si>
  <si>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</si>
  <si>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</si>
  <si>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</si>
  <si>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</si>
  <si>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</si>
  <si>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</si>
  <si>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</si>
  <si>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</si>
  <si>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</si>
  <si>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</si>
  <si>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</si>
  <si>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</si>
  <si>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</si>
  <si>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</si>
  <si>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</si>
  <si>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</si>
  <si>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</si>
  <si>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</si>
  <si>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</si>
  <si>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</si>
  <si>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</si>
  <si>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</si>
  <si>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</si>
  <si>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</si>
  <si>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</si>
  <si>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</si>
  <si>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</si>
  <si>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</si>
  <si>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</si>
  <si>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</si>
  <si>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</si>
  <si>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</si>
  <si>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</si>
  <si>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</si>
  <si>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</si>
  <si>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</si>
  <si>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</si>
  <si>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</si>
  <si>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</si>
  <si>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</si>
  <si>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</si>
  <si>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</si>
  <si>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</si>
  <si>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</si>
  <si>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</si>
  <si>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</si>
  <si>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</si>
  <si>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</si>
  <si>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</si>
  <si>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</si>
  <si>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</si>
  <si>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</si>
  <si>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</si>
  <si>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</si>
  <si>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</si>
  <si>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</si>
  <si>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</si>
  <si>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SoftBank (ex-Finance segment) (9434.T)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</si>
  <si>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</si>
  <si>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</si>
  <si>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</si>
  <si>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</si>
  <si>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</si>
  <si>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</si>
  <si>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</si>
  <si>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</si>
  <si>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</si>
  <si>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</si>
  <si>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</si>
  <si>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</si>
  <si>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</si>
  <si>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</si>
  <si>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</si>
  <si>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</si>
  <si>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</si>
  <si>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</si>
  <si>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</si>
  <si>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</si>
  <si>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</si>
  <si>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</si>
  <si>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</si>
  <si>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</si>
  <si>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</si>
  <si>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</si>
  <si>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</si>
  <si>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</si>
  <si>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</si>
  <si>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</si>
  <si>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</si>
  <si>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</si>
  <si>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</si>
  <si>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</si>
  <si>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</si>
  <si>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</si>
  <si>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</si>
  <si>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</si>
  <si>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</si>
  <si>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</si>
  <si>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</si>
  <si>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</si>
  <si>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</si>
  <si>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</si>
  <si>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</si>
  <si>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</si>
  <si>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</si>
  <si>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</si>
  <si>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</si>
  <si>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</si>
  <si>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</si>
  <si>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SoftBank (ex-Finance segment)</t>
  </si>
  <si>
    <t>Working Capital Drivers (% of Revenue)</t>
  </si>
  <si>
    <t>Base Year</t>
  </si>
  <si>
    <t>NWC % of Revenue</t>
  </si>
  <si>
    <t>—</t>
  </si>
  <si>
    <t>P&amp;L Reference (JPY mn)</t>
  </si>
  <si>
    <t>Working Capital Items (JPY mn)</t>
  </si>
  <si>
    <t>Net Working Capital (JPY mn)</t>
  </si>
  <si>
    <t>Net Working Capital</t>
  </si>
  <si>
    <t>Scenario Input Matrix (NWC % of Revenue)</t>
  </si>
  <si>
    <t>Comparable Company Analysis</t>
  </si>
  <si>
    <t>Peer prices as of 2026-09-07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</si>
  <si>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</si>
  <si>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</si>
  <si>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</si>
  <si>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</si>
  <si>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</si>
  <si>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</si>
  <si>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</si>
  <si>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</si>
  <si>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</si>
  <si>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</si>
  <si>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</si>
  <si>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</si>
  <si>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</si>
  <si>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</si>
  <si>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SoftBank Corp. (ex-Finance segment)</t>
  </si>
  <si>
    <t>9434.T</t>
  </si>
  <si>
    <t>NTT, Inc.</t>
  </si>
  <si>
    <t>9432.T</t>
  </si>
  <si>
    <t>KDDI Corporation</t>
  </si>
  <si>
    <t>9433.T</t>
  </si>
  <si>
    <t>Okinawa Cellular Telephone Company</t>
  </si>
  <si>
    <t>9436.T</t>
  </si>
  <si>
    <t>Statistics</t>
  </si>
  <si>
    <t>25th Percentile</t>
  </si>
  <si>
    <t>Median (50th)</t>
  </si>
  <si>
    <t>75th Percentile</t>
  </si>
  <si>
    <t>Implied Valuation for SoftBank (ex-Finance segment)</t>
  </si>
  <si>
    <t>SoftBank (ex-Finance segment)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</si>
  <si>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</si>
  <si>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</si>
  <si>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</si>
  <si>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</si>
  <si>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</si>
  <si>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</si>
  <si>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</si>
  <si>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</si>
  <si>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</si>
  <si>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</si>
  <si>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</si>
  <si>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</si>
  <si>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</si>
  <si>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</si>
  <si>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</si>
  <si>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SoftBank (ex-Finance segment)</t>
  </si>
  <si>
    <t>日付</t>
  </si>
  <si>
    <t>セル</t>
  </si>
  <si>
    <t>変更内容</t>
  </si>
  <si>
    <t>理由</t>
  </si>
  <si>
    <t>元の値</t>
  </si>
  <si>
    <t>状態</t>
  </si>
  <si>
    <t>2026-09-07</t>
  </si>
  <si>
    <t>-</t>
  </si>
  <si>
    <t>Generated by pipeline on 2026-09-07 12:13, template rev 42941f3</t>
  </si>
  <si>
    <t>初期生成（手修正なし）</t>
  </si>
  <si>
    <t>generated</t>
  </si>
  <si>
    <t>DCF Model!C8</t>
  </si>
  <si>
    <t>Beta = 0.487（採用値）</t>
  </si>
  <si>
    <t>実測β(raw) = 0.234 → Blume調整 0.67×raw + 0.33×1.00 = 0.487 → 採用 0.487。クランプ域 [0.3, 2.0] の内側。置換なし。回帰βは平均回帰するため Blume 調整を既定とする（2026-09-05 バッチで85件中57件が旧下限 0.60 に張り付き、両裾の歪みが実証された）。</t>
  </si>
  <si>
    <t>実測 0.234</t>
  </si>
  <si>
    <t>確定</t>
  </si>
  <si>
    <t>Pipeline Metadata (do not edit — read by scripts/validate_output.py)</t>
  </si>
  <si>
    <t>key</t>
  </si>
  <si>
    <t>value</t>
  </si>
  <si>
    <t>annual_doc_ids</t>
  </si>
  <si>
    <t>2026-03-31=S100YE76 (有価証券報告書, 2026-06-19 提出)</t>
  </si>
  <si>
    <t>auto_log_entries</t>
  </si>
  <si>
    <t>1</t>
  </si>
  <si>
    <t>beta_adopted_c8</t>
  </si>
  <si>
    <t>0.487</t>
  </si>
  <si>
    <t>beta_basis</t>
  </si>
  <si>
    <t>Blume: 0.67 x 0.234 + 0.33 x 1.00 = 0.487</t>
  </si>
  <si>
    <t>beta_blume_adjusted</t>
  </si>
  <si>
    <t>beta_clamped</t>
  </si>
  <si>
    <t>no</t>
  </si>
  <si>
    <t>beta_raw</t>
  </si>
  <si>
    <t>0.2343</t>
  </si>
  <si>
    <t>capex_pct_basis</t>
  </si>
  <si>
    <t>explicit_override</t>
  </si>
  <si>
    <t>capex_pct_c5</t>
  </si>
  <si>
    <t>0.11307</t>
  </si>
  <si>
    <t>capex_pct_hist3yr</t>
  </si>
  <si>
    <t>company_name</t>
  </si>
  <si>
    <t>comps_asof</t>
  </si>
  <si>
    <t>comps_da_missing</t>
  </si>
  <si>
    <t>none</t>
  </si>
  <si>
    <t>comps_ebitda_excluded</t>
  </si>
  <si>
    <t>comps_ev_ebitda_invalid</t>
  </si>
  <si>
    <t>comps_ev_ebitda_rows</t>
  </si>
  <si>
    <t>6,7,8</t>
  </si>
  <si>
    <t>comps_impl_mult_row</t>
  </si>
  <si>
    <t>27</t>
  </si>
  <si>
    <t>comps_impl_per_row</t>
  </si>
  <si>
    <t>28</t>
  </si>
  <si>
    <t>comps_peer_rows</t>
  </si>
  <si>
    <t>comps_per_excluded</t>
  </si>
  <si>
    <t>comps_stale_excluded</t>
  </si>
  <si>
    <t>comps_stat_median_row</t>
  </si>
  <si>
    <t>16</t>
  </si>
  <si>
    <t>comps_subject_row</t>
  </si>
  <si>
    <t>5</t>
  </si>
  <si>
    <t>core_ebitda</t>
  </si>
  <si>
    <t>1709261</t>
  </si>
  <si>
    <t>core_net_income</t>
  </si>
  <si>
    <t>550759.0</t>
  </si>
  <si>
    <t>cost_of_debt_at_c11</t>
  </si>
  <si>
    <t>0.01</t>
  </si>
  <si>
    <t>cost_of_debt_basis</t>
  </si>
  <si>
    <t>assumption</t>
  </si>
  <si>
    <t>da_pct_basis</t>
  </si>
  <si>
    <t>da_pct_c18</t>
  </si>
  <si>
    <t>da_pct_hist3yr</t>
  </si>
  <si>
    <t>0.118885</t>
  </si>
  <si>
    <t>disclosure_basis_date</t>
  </si>
  <si>
    <t>2026-03-31</t>
  </si>
  <si>
    <t>fs_year_coverage</t>
  </si>
  <si>
    <t>OCF 2/2, Cash 2/2, Debt 0/2</t>
  </si>
  <si>
    <t>fs_year_map</t>
  </si>
  <si>
    <t>FY2025&lt;-FY2025[ocf+cash]; FY2026&lt;-FY2026[ocf+cash]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</si>
  <si>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</si>
  <si>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</si>
  <si>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</si>
  <si>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</si>
  <si>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</si>
  <si>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2026-09-07 12:13:12</t>
  </si>
  <si>
    <t>guidance_note</t>
  </si>
  <si>
    <t>TDnet 決算短信 via screener guidance table: FY2027 disclosed 2026-08-04 (net_income=560,000mn, operating_income=1,100,000mn, revenue=7,500,000mn)</t>
  </si>
  <si>
    <t>guidance_source</t>
  </si>
  <si>
    <t>tdnet_screener_db</t>
  </si>
  <si>
    <t>latest_operating_income</t>
  </si>
  <si>
    <t>956286</t>
  </si>
  <si>
    <t>ltm_revenue_c20</t>
  </si>
  <si>
    <t>7038680.0</t>
  </si>
  <si>
    <t>ltm_revenue_source</t>
  </si>
  <si>
    <t>latest FY (no LTM)</t>
  </si>
  <si>
    <t>market_data_source</t>
  </si>
  <si>
    <t>yfinance; from overrides: beta, current_price, shares_outstanding</t>
  </si>
  <si>
    <t>narrative_tokens_used</t>
  </si>
  <si>
    <t>net_debt_source</t>
  </si>
  <si>
    <t>UNAVAILABLE (no net_debt, and total_debt/cash incomplete)</t>
  </si>
  <si>
    <t>reverse_dcf_sheet</t>
  </si>
  <si>
    <t>op0=956,286(FY2026) peak=956,286(FY2026) peak_opm=0.1436 N=3/5/7/10</t>
  </si>
  <si>
    <t>scenario_index_range</t>
  </si>
  <si>
    <t>B69:B73</t>
  </si>
  <si>
    <t>tax_rate_c6</t>
  </si>
  <si>
    <t>0.25</t>
  </si>
  <si>
    <t>template_rev</t>
  </si>
  <si>
    <t>42941f3</t>
  </si>
  <si>
    <t>ticker</t>
  </si>
  <si>
    <t>equity_method_method</t>
  </si>
  <si>
    <t>market_stakes</t>
  </si>
  <si>
    <t>equity_method_balance_mn</t>
  </si>
  <si>
    <t>equity_method_multiple</t>
  </si>
  <si>
    <t>equity_method_basis</t>
  </si>
  <si>
    <t>上場子会社 1社を【時価 × 経済的持分】で評価し、非上場の金融事業は簿価 44,705 を加算。経済的持分は議決権比率とは別物であり、評価に使うのは経済的持分。 USDJPY 155.660（2026-09-04 終値）。</t>
  </si>
  <si>
    <t>Equity Method Value（型F: 1株あたり別途加算）</t>
  </si>
  <si>
    <t>連結利益の相当部分が持分法投資損益であり、対応するキャッシュは受取配当のみである。コア DCF は売上総利益 − 販管費で測ったコア営業利益に基づくため持分法損益を含まず、その分の価値をこのシートで別途加算する。二重計上を避けるため、コア側には持分法損益も受取配当も入っていない。</t>
  </si>
  <si>
    <t>上場持分先</t>
  </si>
  <si>
    <t>Market Cap (JPY mn)</t>
  </si>
  <si>
    <t>経済的持分</t>
  </si>
  <si>
    <t>持分時価 (JPY mn)</t>
  </si>
  <si>
    <t>PayPay Corporation</t>
  </si>
  <si>
    <t>PAYP (Nasdaq ADS)</t>
  </si>
  <si>
    <t>上場持分の時価合計</t>
  </si>
  <si>
    <t>持分法投資価値の算定</t>
  </si>
  <si>
    <t>上場持分の時価合計（時価総額 × 経済的持分）</t>
  </si>
  <si>
    <t>非上場の金融事業（簿価、JPY mn）</t>
  </si>
  <si>
    <t>金融事業価値（JPY mn）</t>
  </si>
  <si>
    <t>方式: 上場子会社は【時価 × 経済的持分】、非上場分は簿価。経済的持分は議決権比率とは別物であり、評価に使うのは経済的持分のほうである。入れ子連結（親も子も同じ上場子会社を連結する構造）では、各モデルが自社の経済的持分のみを評価する。 USDJPY 155.660（2026-09-04 終値）。</t>
  </si>
  <si>
    <t>希薄化後株式数</t>
  </si>
  <si>
    <t>1株あたり持分法投資価値（JPY）</t>
  </si>
  <si>
    <t>上場分は PayPay のみ。非上場分 44,705 は SBペイメントサービスの簿価。PayPayカード・PayPay銀行・PayPay証券は PayPay 連結の内側にあり、PayPay の時価に織り込まれているため個別に足さない（二重計上の防止）。</t>
  </si>
  <si>
    <t>基準日: 2026-09-04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</si>
</sst>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4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i/>
      <sz val="9"/>
      <color rgb="FF808080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177" fontId="5" fillId="0" borderId="5" xfId="0" applyNumberFormat="1" applyFont="1" applyBorder="1"/>
    <xf numFmtId="0" fontId="1" fillId="0" borderId="5" xfId="0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176" fontId="0" fillId="0" borderId="0" xfId="0" applyNumberFormat="1"/>
    <xf numFmtId="176" fontId="4" fillId="0" borderId="0" xfId="0" applyNumberFormat="1" applyFont="1"/>
    <xf numFmtId="0" fontId="9" fillId="0" borderId="0" xfId="0" applyFont="1"/>
    <xf numFmtId="0" fontId="10" fillId="6" borderId="0" xfId="0" applyFont="1" applyFill="1" applyAlignment="1">
      <alignment horizontal="center" wrapText="1"/>
    </xf>
    <xf numFmtId="0" fontId="11" fillId="0" borderId="7" xfId="0" applyFont="1" applyBorder="1"/>
    <xf numFmtId="176" fontId="12" fillId="0" borderId="8" xfId="0" applyNumberFormat="1" applyFont="1" applyBorder="1"/>
    <xf numFmtId="177" fontId="12" fillId="0" borderId="8" xfId="0" applyNumberFormat="1" applyFont="1" applyBorder="1"/>
    <xf numFmtId="176" fontId="11" fillId="0" borderId="7" xfId="0" applyNumberFormat="1" applyFont="1" applyBorder="1"/>
    <xf numFmtId="0" fontId="4" fillId="7" borderId="9" xfId="0" applyFont="1" applyFill="1" applyBorder="1"/>
    <xf numFmtId="176" fontId="4" fillId="7" borderId="9" xfId="0" applyNumberFormat="1" applyFont="1" applyFill="1" applyBorder="1"/>
    <xf numFmtId="176" fontId="13" fillId="0" borderId="7" xfId="0" applyNumberFormat="1" applyFont="1" applyBorder="1"/>
    <xf numFmtId="0" fontId="9" fillId="8" borderId="0" xfId="0" applyFont="1" applyFill="1"/>
    <xf numFmtId="3" fontId="13" fillId="0" borderId="7" xfId="0" applyNumberFormat="1" applyFont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3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59" t="s">
        <v>0</v>
      </c>
      <c r="C1" s="58"/>
      <c r="D1" s="58"/>
      <c r="E1" s="58"/>
    </row>
    <row r="3" spans="2:5" ht="18" customHeight="1" x14ac:dyDescent="0.4">
      <c r="B3" s="57" t="s">
        <v>1</v>
      </c>
      <c r="C3" s="58"/>
      <c r="D3" s="58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239.2</v>
      </c>
    </row>
    <row r="10" spans="2:5" ht="14" customHeight="1" x14ac:dyDescent="0.3">
      <c r="B10" s="4" t="s">
        <v>10</v>
      </c>
      <c r="C10" s="5">
        <f>C18+C19</f>
        <v>240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SELL</v>
      </c>
    </row>
    <row r="12" spans="2:5" ht="14" customHeight="1" x14ac:dyDescent="0.3">
      <c r="B12" s="4" t="s">
        <v>12</v>
      </c>
      <c r="C12" s="7">
        <f>IF(ISNUMBER(C10),(C10-C9)/C9,"N/A")</f>
        <v>3.3444816053512182E-3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268</v>
      </c>
      <c r="D16" s="7">
        <f>IF(ISNUMBER(C16),(C16-C9)/C9,"N/A")</f>
        <v>0.1204013377926422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179</v>
      </c>
      <c r="D17" s="7">
        <f>IF(ISNUMBER(C17),(C17-C9)/C9,"N/A")</f>
        <v>-0.25167224080267553</v>
      </c>
    </row>
    <row r="18" spans="2:5" ht="13.5" customHeight="1" x14ac:dyDescent="0.2">
      <c r="B18" t="s">
        <v>19</v>
      </c>
      <c r="C18" s="44">
        <f>MAX(0,IFERROR((IF(COUNT(C16:C17)=0,"N/A",ROUND(AVERAGE(C16:C17),0)))*1,0))</f>
        <v>224</v>
      </c>
    </row>
    <row r="19" spans="2:5" ht="13.5" customHeight="1" x14ac:dyDescent="0.3">
      <c r="B19" s="4" t="s">
        <v>20</v>
      </c>
      <c r="C19" s="45">
        <f>'Equity Method Value'!C17</f>
        <v>16</v>
      </c>
    </row>
    <row r="20" spans="2:5" ht="14" customHeight="1" x14ac:dyDescent="0.2">
      <c r="B20" s="58" t="s">
        <v>21</v>
      </c>
      <c r="C20" s="58"/>
      <c r="D20" s="58"/>
      <c r="E20" s="58"/>
    </row>
    <row r="21" spans="2:5" ht="14" customHeight="1" x14ac:dyDescent="0.25">
      <c r="B21" t="s">
        <v>22</v>
      </c>
      <c r="C21" s="11">
        <f>'Comps Analysis'!C28</f>
        <v>179</v>
      </c>
      <c r="D21" s="7">
        <f>IF(ISNUMBER(C19),(C19-C9)/C9,"N/A")</f>
        <v>-0.93311036789297663</v>
      </c>
    </row>
    <row r="22" spans="2:5" ht="14" x14ac:dyDescent="0.3">
      <c r="B22" s="1" t="s">
        <v>23</v>
      </c>
    </row>
    <row r="23" spans="2:5" ht="14" customHeight="1" x14ac:dyDescent="0.3">
      <c r="B23" s="4" t="s">
        <v>24</v>
      </c>
      <c r="C23" s="6" t="str">
        <f>IF(COUNT(C16:C17)=0,"N/A",MIN(C16:C17)&amp;" - "&amp;MAX(C16:C17))</f>
        <v>179 - 268</v>
      </c>
    </row>
    <row r="25" spans="2:5" ht="14" x14ac:dyDescent="0.3">
      <c r="B25" s="8" t="s">
        <v>25</v>
      </c>
      <c r="C25" s="9"/>
      <c r="D25" s="9"/>
    </row>
    <row r="26" spans="2:5" x14ac:dyDescent="0.2">
      <c r="B26" t="s">
        <v>26</v>
      </c>
    </row>
    <row r="27" spans="2:5" x14ac:dyDescent="0.2">
      <c r="B27" t="s">
        <v>27</v>
      </c>
    </row>
    <row r="28" spans="2:5" ht="14" customHeight="1" x14ac:dyDescent="0.2">
      <c r="B28" t="s">
        <v>28</v>
      </c>
    </row>
    <row r="30" spans="2:5" ht="14" x14ac:dyDescent="0.3">
      <c r="B30" s="8" t="s">
        <v>29</v>
      </c>
      <c r="C30" s="9"/>
      <c r="D30" s="9"/>
    </row>
    <row r="31" spans="2:5" x14ac:dyDescent="0.2">
      <c r="B31" t="s">
        <v>30</v>
      </c>
    </row>
    <row r="32" spans="2:5" x14ac:dyDescent="0.2">
      <c r="B32" t="s">
        <v>31</v>
      </c>
    </row>
    <row r="33" spans="2:2" x14ac:dyDescent="0.2">
      <c r="B33" t="s">
        <v>32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D30"/>
  <sheetViews>
    <sheetView workbookViewId="0"/>
  </sheetViews>
  <sheetFormatPr defaultRowHeight="13" x14ac:dyDescent="0.2"/>
  <cols>
    <col min="1" max="1" width="3" customWidth="1"/>
    <col min="2" max="2" width="32" customWidth="1"/>
    <col min="3" max="4" width="18" customWidth="1"/>
  </cols>
  <sheetData>
    <row r="2" spans="2:4" ht="18" customHeight="1" x14ac:dyDescent="0.4">
      <c r="B2" s="2" t="s">
        <v>33</v>
      </c>
    </row>
    <row r="4" spans="2:4" ht="14" customHeight="1" x14ac:dyDescent="0.3">
      <c r="C4" s="10" t="s">
        <v>34</v>
      </c>
      <c r="D4" s="10" t="s">
        <v>35</v>
      </c>
    </row>
    <row r="5" spans="2:4" ht="14" customHeight="1" x14ac:dyDescent="0.3">
      <c r="B5" s="3" t="s">
        <v>36</v>
      </c>
    </row>
    <row r="6" spans="2:4" ht="14" customHeight="1" x14ac:dyDescent="0.3">
      <c r="B6" s="4" t="s">
        <v>37</v>
      </c>
      <c r="C6" s="5">
        <v>6241290</v>
      </c>
      <c r="D6" s="5">
        <v>6659368</v>
      </c>
    </row>
    <row r="7" spans="2:4" ht="14" customHeight="1" x14ac:dyDescent="0.3">
      <c r="B7" s="4" t="s">
        <v>38</v>
      </c>
      <c r="C7" s="5">
        <v>2889116</v>
      </c>
      <c r="D7" s="5">
        <v>3194085</v>
      </c>
    </row>
    <row r="8" spans="2:4" ht="14" customHeight="1" x14ac:dyDescent="0.3">
      <c r="B8" s="4" t="s">
        <v>39</v>
      </c>
      <c r="C8" s="5">
        <f>C6-C7</f>
        <v>3352174</v>
      </c>
      <c r="D8" s="5">
        <f>D6-D7</f>
        <v>3465283</v>
      </c>
    </row>
    <row r="9" spans="2:4" ht="13.5" customHeight="1" x14ac:dyDescent="0.25">
      <c r="B9" t="s">
        <v>40</v>
      </c>
      <c r="C9" s="7">
        <f>C8/C6</f>
        <v>0.53709633745587848</v>
      </c>
      <c r="D9" s="7">
        <f>D8/D6</f>
        <v>0.52036214247358004</v>
      </c>
    </row>
    <row r="10" spans="2:4" ht="14" customHeight="1" x14ac:dyDescent="0.3">
      <c r="B10" s="4" t="s">
        <v>41</v>
      </c>
      <c r="C10" s="5">
        <v>1858709</v>
      </c>
      <c r="D10" s="5">
        <v>1964580</v>
      </c>
    </row>
    <row r="11" spans="2:4" ht="14" customHeight="1" x14ac:dyDescent="0.3">
      <c r="B11" s="4" t="s">
        <v>42</v>
      </c>
      <c r="C11" s="5">
        <v>947351</v>
      </c>
      <c r="D11" s="5">
        <v>956286</v>
      </c>
    </row>
    <row r="12" spans="2:4" ht="14" customHeight="1" x14ac:dyDescent="0.3">
      <c r="B12" s="4" t="s">
        <v>43</v>
      </c>
      <c r="C12" s="5">
        <v>526133</v>
      </c>
      <c r="D12" s="5">
        <v>550759</v>
      </c>
    </row>
    <row r="13" spans="2:4" ht="13.5" customHeight="1" x14ac:dyDescent="0.25">
      <c r="B13" t="s">
        <v>44</v>
      </c>
      <c r="C13" s="7">
        <f>C11/C6</f>
        <v>0.15178769132663281</v>
      </c>
      <c r="D13" s="7">
        <f>D11/D6</f>
        <v>0.14360011340415488</v>
      </c>
    </row>
    <row r="14" spans="2:4" ht="13.5" customHeight="1" x14ac:dyDescent="0.25">
      <c r="B14" t="s">
        <v>45</v>
      </c>
      <c r="C14" s="7">
        <f>C12/C6</f>
        <v>8.4298758750194269E-2</v>
      </c>
      <c r="D14" s="7">
        <f>D12/D6</f>
        <v>8.2704394771395726E-2</v>
      </c>
    </row>
    <row r="15" spans="2:4" ht="13.5" customHeight="1" x14ac:dyDescent="0.25">
      <c r="B15" t="s">
        <v>46</v>
      </c>
      <c r="C15" t="s">
        <v>47</v>
      </c>
      <c r="D15" s="7">
        <f>(D6-C6)/C6</f>
        <v>6.6985831454715289E-2</v>
      </c>
    </row>
    <row r="16" spans="2:4" ht="13.5" customHeight="1" x14ac:dyDescent="0.25">
      <c r="B16" t="s">
        <v>48</v>
      </c>
      <c r="C16" t="s">
        <v>47</v>
      </c>
      <c r="D16" s="7">
        <f>(D11-C11)/C11</f>
        <v>9.4315623248405287E-3</v>
      </c>
    </row>
    <row r="18" spans="2:4" ht="14" customHeight="1" x14ac:dyDescent="0.3">
      <c r="B18" s="3" t="s">
        <v>49</v>
      </c>
    </row>
    <row r="19" spans="2:4" ht="14" customHeight="1" x14ac:dyDescent="0.3">
      <c r="B19" s="4" t="s">
        <v>50</v>
      </c>
      <c r="C19" s="5">
        <v>1367871</v>
      </c>
      <c r="D19" s="5">
        <v>1393760</v>
      </c>
    </row>
    <row r="20" spans="2:4" ht="14" customHeight="1" x14ac:dyDescent="0.3">
      <c r="B20" s="4" t="s">
        <v>51</v>
      </c>
      <c r="C20" s="5"/>
      <c r="D20" s="5"/>
    </row>
    <row r="21" spans="2:4" ht="14" customHeight="1" x14ac:dyDescent="0.3">
      <c r="B21" s="4" t="s">
        <v>52</v>
      </c>
    </row>
    <row r="22" spans="2:4" x14ac:dyDescent="0.2">
      <c r="B22" t="s">
        <v>53</v>
      </c>
    </row>
    <row r="23" spans="2:4" x14ac:dyDescent="0.2">
      <c r="B23" t="s">
        <v>54</v>
      </c>
    </row>
    <row r="25" spans="2:4" ht="14" customHeight="1" x14ac:dyDescent="0.3">
      <c r="B25" s="3" t="s">
        <v>55</v>
      </c>
    </row>
    <row r="26" spans="2:4" ht="14" customHeight="1" x14ac:dyDescent="0.3">
      <c r="B26" s="4" t="s">
        <v>56</v>
      </c>
      <c r="C26" s="5">
        <v>1435525</v>
      </c>
      <c r="D26" s="5">
        <v>1438799</v>
      </c>
    </row>
    <row r="27" spans="2:4" ht="14" customHeight="1" x14ac:dyDescent="0.3">
      <c r="B27" s="4" t="s">
        <v>57</v>
      </c>
      <c r="C27" s="5"/>
      <c r="D27" s="5"/>
    </row>
    <row r="28" spans="2:4" ht="14" customHeight="1" x14ac:dyDescent="0.3">
      <c r="B28" s="4" t="s">
        <v>58</v>
      </c>
    </row>
    <row r="30" spans="2:4" ht="14" customHeight="1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60</v>
      </c>
    </row>
    <row r="4" spans="2:7" ht="14" customHeight="1" x14ac:dyDescent="0.3">
      <c r="B4" s="8" t="s">
        <v>61</v>
      </c>
      <c r="C4" s="9"/>
      <c r="D4" s="9"/>
      <c r="E4" s="9"/>
      <c r="F4" s="9"/>
      <c r="G4" s="9"/>
    </row>
    <row r="5" spans="2:7" ht="14" customHeight="1" x14ac:dyDescent="0.3">
      <c r="B5" s="4" t="s">
        <v>54</v>
      </c>
      <c r="C5" s="7">
        <v>0.11307</v>
      </c>
    </row>
    <row r="6" spans="2:7" ht="14" customHeight="1" x14ac:dyDescent="0.3">
      <c r="B6" s="4" t="s">
        <v>62</v>
      </c>
      <c r="C6" s="7">
        <v>0.25</v>
      </c>
    </row>
    <row r="7" spans="2:7" ht="14" customHeight="1" x14ac:dyDescent="0.3">
      <c r="B7" s="4" t="s">
        <v>63</v>
      </c>
      <c r="C7" s="7">
        <v>2.9700000000000001E-2</v>
      </c>
    </row>
    <row r="8" spans="2:7" ht="14" customHeight="1" x14ac:dyDescent="0.3">
      <c r="B8" s="4" t="s">
        <v>64</v>
      </c>
      <c r="C8" s="12">
        <v>0.48699999999999999</v>
      </c>
    </row>
    <row r="9" spans="2:7" ht="14" customHeight="1" x14ac:dyDescent="0.3">
      <c r="B9" s="4" t="s">
        <v>65</v>
      </c>
      <c r="C9" s="7">
        <v>6.5000000000000002E-2</v>
      </c>
    </row>
    <row r="10" spans="2:7" ht="14" customHeight="1" x14ac:dyDescent="0.3">
      <c r="B10" s="4" t="s">
        <v>66</v>
      </c>
      <c r="C10" s="7">
        <v>0.01</v>
      </c>
    </row>
    <row r="11" spans="2:7" ht="14" customHeight="1" x14ac:dyDescent="0.3">
      <c r="B11" s="4" t="s">
        <v>67</v>
      </c>
      <c r="C11" s="7">
        <v>0.01</v>
      </c>
    </row>
    <row r="12" spans="2:7" ht="14" customHeight="1" x14ac:dyDescent="0.3">
      <c r="B12" s="4" t="s">
        <v>68</v>
      </c>
      <c r="C12" s="13">
        <v>0.58579999999999999</v>
      </c>
    </row>
    <row r="13" spans="2:7" ht="14" customHeight="1" x14ac:dyDescent="0.3">
      <c r="B13" s="4" t="s">
        <v>69</v>
      </c>
      <c r="C13" s="7">
        <v>0.01</v>
      </c>
    </row>
    <row r="14" spans="2:7" ht="14" customHeight="1" x14ac:dyDescent="0.3">
      <c r="B14" s="4" t="s">
        <v>70</v>
      </c>
      <c r="C14" s="14">
        <v>8.1</v>
      </c>
    </row>
    <row r="15" spans="2:7" ht="14" customHeight="1" x14ac:dyDescent="0.3">
      <c r="B15" s="4" t="s">
        <v>71</v>
      </c>
      <c r="C15" s="15">
        <v>47833719783</v>
      </c>
    </row>
    <row r="16" spans="2:7" ht="14" customHeight="1" x14ac:dyDescent="0.3">
      <c r="B16" s="4" t="s">
        <v>72</v>
      </c>
      <c r="C16" s="5">
        <v>6702096</v>
      </c>
    </row>
    <row r="17" spans="2:7" ht="14" customHeight="1" x14ac:dyDescent="0.3">
      <c r="B17" s="4" t="s">
        <v>73</v>
      </c>
      <c r="C17" s="5">
        <v>6659368</v>
      </c>
    </row>
    <row r="18" spans="2:7" ht="14" customHeight="1" x14ac:dyDescent="0.3">
      <c r="B18" s="4" t="s">
        <v>74</v>
      </c>
      <c r="C18" s="7">
        <v>0.11307</v>
      </c>
    </row>
    <row r="19" spans="2:7" ht="14" customHeight="1" x14ac:dyDescent="0.3">
      <c r="B19" s="4" t="s">
        <v>75</v>
      </c>
      <c r="C19" s="12">
        <v>1</v>
      </c>
    </row>
    <row r="20" spans="2:7" ht="14" customHeight="1" x14ac:dyDescent="0.3">
      <c r="B20" s="4" t="s">
        <v>76</v>
      </c>
      <c r="C20" s="5">
        <v>7038680</v>
      </c>
    </row>
    <row r="22" spans="2:7" ht="14" customHeight="1" x14ac:dyDescent="0.3">
      <c r="B22" s="8" t="s">
        <v>77</v>
      </c>
      <c r="C22" s="9"/>
      <c r="D22" s="9"/>
      <c r="E22" s="9"/>
      <c r="F22" s="9"/>
      <c r="G22" s="9"/>
    </row>
    <row r="23" spans="2:7" ht="14" customHeight="1" x14ac:dyDescent="0.3">
      <c r="B23" s="4" t="s">
        <v>78</v>
      </c>
      <c r="C23" s="16">
        <f>C7+C8*C9+C10</f>
        <v>7.1355000000000002E-2</v>
      </c>
    </row>
    <row r="24" spans="2:7" ht="14" customHeight="1" x14ac:dyDescent="0.3">
      <c r="B24" s="4" t="s">
        <v>79</v>
      </c>
      <c r="C24" s="16">
        <f>1/(1+C12)</f>
        <v>0.63059654433093715</v>
      </c>
    </row>
    <row r="25" spans="2:7" ht="14" customHeight="1" x14ac:dyDescent="0.3">
      <c r="B25" s="4" t="s">
        <v>80</v>
      </c>
      <c r="C25" s="16">
        <f>C12/(1+C12)</f>
        <v>0.36940345566906296</v>
      </c>
    </row>
    <row r="26" spans="2:7" ht="14" customHeight="1" x14ac:dyDescent="0.3">
      <c r="B26" s="4" t="s">
        <v>81</v>
      </c>
      <c r="C26" s="16">
        <f>C23*C24+C11*C25</f>
        <v>4.8690250977424653E-2</v>
      </c>
    </row>
    <row r="27" spans="2:7" ht="14" customHeight="1" x14ac:dyDescent="0.3">
      <c r="B27" s="4" t="s">
        <v>82</v>
      </c>
      <c r="C27" s="17" t="s">
        <v>83</v>
      </c>
      <c r="D27" s="6">
        <f>MATCH(C27,B69:B73,0)</f>
        <v>1</v>
      </c>
    </row>
    <row r="28" spans="2:7" ht="14" customHeight="1" x14ac:dyDescent="0.3">
      <c r="B28" s="8" t="s">
        <v>84</v>
      </c>
      <c r="C28" s="9"/>
      <c r="D28" s="9"/>
      <c r="E28" s="9"/>
      <c r="F28" s="9"/>
      <c r="G28" s="9"/>
    </row>
    <row r="29" spans="2:7" ht="14" customHeight="1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customHeight="1" x14ac:dyDescent="0.3">
      <c r="B30" s="4" t="s">
        <v>46</v>
      </c>
      <c r="C30" s="18">
        <f>CHOOSE($D$27,C69,C70,C71,C72,C73)</f>
        <v>2.5000000000000001E-2</v>
      </c>
      <c r="D30" s="18">
        <f>CHOOSE($D$27,D69,D70,D71,D72,D73)</f>
        <v>0.02</v>
      </c>
      <c r="E30" s="18">
        <f>CHOOSE($D$27,E69,E70,E71,E72,E73)</f>
        <v>0.02</v>
      </c>
      <c r="F30" s="18">
        <f>CHOOSE($D$27,F69,F70,F71,F72,F73)</f>
        <v>1.4999999999999999E-2</v>
      </c>
      <c r="G30" s="18">
        <f>CHOOSE($D$27,G69,G70,G71,G72,G73)</f>
        <v>1.4999999999999999E-2</v>
      </c>
    </row>
    <row r="31" spans="2:7" ht="14" customHeight="1" x14ac:dyDescent="0.3">
      <c r="B31" s="4" t="s">
        <v>90</v>
      </c>
      <c r="C31" s="18">
        <f>CHOOSE($D$27,C76,C77,C78,C79,C80)</f>
        <v>0.51919999999999999</v>
      </c>
      <c r="D31" s="18">
        <f>CHOOSE($D$27,D76,D77,D78,D79,D80)</f>
        <v>0.51919999999999999</v>
      </c>
      <c r="E31" s="18">
        <f>CHOOSE($D$27,E76,E77,E78,E79,E80)</f>
        <v>0.51919999999999999</v>
      </c>
      <c r="F31" s="18">
        <f>CHOOSE($D$27,F76,F77,F78,F79,F80)</f>
        <v>0.51919999999999999</v>
      </c>
      <c r="G31" s="18">
        <f>CHOOSE($D$27,G76,G77,G78,G79,G80)</f>
        <v>0.51919999999999999</v>
      </c>
    </row>
    <row r="32" spans="2:7" ht="14" customHeight="1" x14ac:dyDescent="0.3">
      <c r="B32" s="4" t="s">
        <v>91</v>
      </c>
      <c r="C32" s="18">
        <f>CHOOSE($D$27,C83,C84,C85,C86,C87)</f>
        <v>0.3372</v>
      </c>
      <c r="D32" s="18">
        <f>CHOOSE($D$27,D83,D84,D85,D86,D87)</f>
        <v>0.3372</v>
      </c>
      <c r="E32" s="18">
        <f>CHOOSE($D$27,E83,E84,E85,E86,E87)</f>
        <v>0.3372</v>
      </c>
      <c r="F32" s="18">
        <f>CHOOSE($D$27,F83,F84,F85,F86,F87)</f>
        <v>0.3372</v>
      </c>
      <c r="G32" s="18">
        <f>CHOOSE($D$27,G83,G84,G85,G86,G87)</f>
        <v>0.3372</v>
      </c>
    </row>
    <row r="33" spans="2:7" ht="14" customHeight="1" x14ac:dyDescent="0.3">
      <c r="B33" s="4" t="s">
        <v>37</v>
      </c>
      <c r="C33" s="5">
        <f>C17*(1+C30)</f>
        <v>6825852.1999999993</v>
      </c>
      <c r="D33" s="5">
        <f>C33*(1+D30)</f>
        <v>6962369.243999999</v>
      </c>
      <c r="E33" s="5">
        <f>D33*(1+E30)</f>
        <v>7101616.6288799988</v>
      </c>
      <c r="F33" s="5">
        <f>E33*(1+F30)</f>
        <v>7208140.8783131978</v>
      </c>
      <c r="G33" s="5">
        <f>F33*(1+G30)</f>
        <v>7316262.9914878951</v>
      </c>
    </row>
    <row r="34" spans="2:7" ht="14" customHeight="1" x14ac:dyDescent="0.3">
      <c r="B34" s="4" t="s">
        <v>38</v>
      </c>
      <c r="C34" s="5">
        <f>C33*C31</f>
        <v>3543982.4622399998</v>
      </c>
      <c r="D34" s="5">
        <f>D33*D31</f>
        <v>3614862.1114847995</v>
      </c>
      <c r="E34" s="5">
        <f>E33*E31</f>
        <v>3687159.3537144954</v>
      </c>
      <c r="F34" s="5">
        <f>F33*F31</f>
        <v>3742466.7440202124</v>
      </c>
      <c r="G34" s="5">
        <f>G33*G31</f>
        <v>3798603.7451805151</v>
      </c>
    </row>
    <row r="35" spans="2:7" ht="14" customHeight="1" x14ac:dyDescent="0.3">
      <c r="B35" s="4" t="s">
        <v>39</v>
      </c>
      <c r="C35" s="19">
        <f>C33-C34</f>
        <v>3281869.7377599995</v>
      </c>
      <c r="D35" s="19">
        <f>D33-D34</f>
        <v>3347507.1325151995</v>
      </c>
      <c r="E35" s="19">
        <f>E33-E34</f>
        <v>3414457.2751655034</v>
      </c>
      <c r="F35" s="19">
        <f>F33-F34</f>
        <v>3465674.1342929853</v>
      </c>
      <c r="G35" s="19">
        <f>G33-G34</f>
        <v>3517659.24630738</v>
      </c>
    </row>
    <row r="36" spans="2:7" ht="14" customHeight="1" x14ac:dyDescent="0.3">
      <c r="B36" s="4" t="s">
        <v>40</v>
      </c>
      <c r="C36" s="7">
        <f>C35/C33</f>
        <v>0.48079999999999995</v>
      </c>
      <c r="D36" s="7">
        <f>D35/D33</f>
        <v>0.48080000000000001</v>
      </c>
      <c r="E36" s="7">
        <f>E35/E33</f>
        <v>0.48080000000000001</v>
      </c>
      <c r="F36" s="7">
        <f>F35/F33</f>
        <v>0.48079999999999995</v>
      </c>
      <c r="G36" s="7">
        <f>G35/G33</f>
        <v>0.48080000000000001</v>
      </c>
    </row>
    <row r="37" spans="2:7" ht="14" customHeight="1" x14ac:dyDescent="0.3">
      <c r="B37" s="4" t="s">
        <v>92</v>
      </c>
      <c r="C37" s="5">
        <f>C33*C32</f>
        <v>2301677.3618399999</v>
      </c>
      <c r="D37" s="5">
        <f>D33*D32</f>
        <v>2347710.9090767996</v>
      </c>
      <c r="E37" s="5">
        <f>E33*E32</f>
        <v>2394665.1272583357</v>
      </c>
      <c r="F37" s="5">
        <f>F33*F32</f>
        <v>2430585.1041672104</v>
      </c>
      <c r="G37" s="5">
        <f>G33*G32</f>
        <v>2467043.8807297181</v>
      </c>
    </row>
    <row r="38" spans="2:7" ht="14" customHeight="1" x14ac:dyDescent="0.3">
      <c r="B38" s="4" t="s">
        <v>93</v>
      </c>
      <c r="C38" s="7">
        <f>(C35-C37)/C33</f>
        <v>0.14359999999999995</v>
      </c>
      <c r="D38" s="7">
        <f>(D35-D37)/D33</f>
        <v>0.14360000000000001</v>
      </c>
      <c r="E38" s="7">
        <f>(E35-E37)/E33</f>
        <v>0.14359999999999998</v>
      </c>
      <c r="F38" s="7">
        <f>(F35-F37)/F33</f>
        <v>0.14359999999999995</v>
      </c>
      <c r="G38" s="7">
        <f>(G35-G37)/G33</f>
        <v>0.14360000000000003</v>
      </c>
    </row>
    <row r="39" spans="2:7" ht="14" customHeight="1" x14ac:dyDescent="0.3">
      <c r="B39" s="4" t="s">
        <v>94</v>
      </c>
      <c r="C39" s="19">
        <f>C35-C37</f>
        <v>980192.37591999955</v>
      </c>
      <c r="D39" s="19">
        <f>D35-D37</f>
        <v>999796.22343839984</v>
      </c>
      <c r="E39" s="19">
        <f>E35-E37</f>
        <v>1019792.1479071677</v>
      </c>
      <c r="F39" s="19">
        <f>F35-F37</f>
        <v>1035089.0301257749</v>
      </c>
      <c r="G39" s="19">
        <f>G35-G37</f>
        <v>1050615.3655776619</v>
      </c>
    </row>
    <row r="40" spans="2:7" ht="14" customHeight="1" x14ac:dyDescent="0.3">
      <c r="B40" s="4" t="s">
        <v>95</v>
      </c>
      <c r="C40" s="5">
        <f>MAX(0,C39*C6)</f>
        <v>245048.09397999989</v>
      </c>
      <c r="D40" s="5">
        <f>MAX(0,D39*C6)</f>
        <v>249949.05585959996</v>
      </c>
      <c r="E40" s="5">
        <f>MAX(0,E39*C6)</f>
        <v>254948.03697679192</v>
      </c>
      <c r="F40" s="5">
        <f>MAX(0,F39*C6)</f>
        <v>258772.25753144373</v>
      </c>
      <c r="G40" s="5">
        <f>MAX(0,G39*C6)</f>
        <v>262653.84139441547</v>
      </c>
    </row>
    <row r="41" spans="2:7" ht="14" customHeight="1" x14ac:dyDescent="0.3">
      <c r="B41" s="4" t="s">
        <v>96</v>
      </c>
      <c r="C41" s="19">
        <f>C39-C40</f>
        <v>735144.28193999967</v>
      </c>
      <c r="D41" s="19">
        <f>D39-D40</f>
        <v>749847.16757879988</v>
      </c>
      <c r="E41" s="19">
        <f>E39-E40</f>
        <v>764844.11093037575</v>
      </c>
      <c r="F41" s="19">
        <f>F39-F40</f>
        <v>776316.77259433118</v>
      </c>
      <c r="G41" s="19">
        <f>G39-G40</f>
        <v>787961.52418324642</v>
      </c>
    </row>
    <row r="42" spans="2:7" ht="14" customHeight="1" x14ac:dyDescent="0.3">
      <c r="B42" s="4" t="s">
        <v>97</v>
      </c>
      <c r="C42" s="5">
        <f>C33*C18</f>
        <v>771799.10825399996</v>
      </c>
      <c r="D42" s="5">
        <f>D33*C18</f>
        <v>787235.09041907988</v>
      </c>
      <c r="E42" s="5">
        <f>E33*C18</f>
        <v>802979.79222746147</v>
      </c>
      <c r="F42" s="5">
        <f>F33*C18</f>
        <v>815024.48911087331</v>
      </c>
      <c r="G42" s="5">
        <f>G33*C18</f>
        <v>827249.85644753638</v>
      </c>
    </row>
    <row r="43" spans="2:7" ht="14" customHeight="1" x14ac:dyDescent="0.3">
      <c r="B43" s="4" t="s">
        <v>98</v>
      </c>
      <c r="C43" s="5">
        <f>C33*C5</f>
        <v>771799.10825399996</v>
      </c>
      <c r="D43" s="5">
        <f>D33*C5</f>
        <v>787235.09041907988</v>
      </c>
      <c r="E43" s="5">
        <f>E33*C5</f>
        <v>802979.79222746147</v>
      </c>
      <c r="F43" s="5">
        <f>F33*C5</f>
        <v>815024.48911087331</v>
      </c>
      <c r="G43" s="5">
        <f>G33*C5</f>
        <v>827249.85644753638</v>
      </c>
    </row>
    <row r="44" spans="2:7" ht="14" customHeight="1" x14ac:dyDescent="0.3">
      <c r="B44" s="4" t="s">
        <v>99</v>
      </c>
      <c r="C44" s="5">
        <f>'NWC Schedule'!D19</f>
        <v>27189</v>
      </c>
      <c r="D44" s="5">
        <f>'NWC Schedule'!E19</f>
        <v>0</v>
      </c>
      <c r="E44" s="5">
        <f>'NWC Schedule'!F19</f>
        <v>0</v>
      </c>
      <c r="F44" s="5">
        <f>'NWC Schedule'!G19</f>
        <v>0</v>
      </c>
      <c r="G44" s="5">
        <f>'NWC Schedule'!H19</f>
        <v>0</v>
      </c>
    </row>
    <row r="45" spans="2:7" ht="14" customHeight="1" x14ac:dyDescent="0.3">
      <c r="B45" s="4" t="s">
        <v>100</v>
      </c>
      <c r="C45" s="20">
        <f>C41+C42-C43-C44</f>
        <v>707955.28193999978</v>
      </c>
      <c r="D45" s="20">
        <f>D41+D42-D43-D44</f>
        <v>749847.16757879988</v>
      </c>
      <c r="E45" s="20">
        <f>E41+E42-E43-E44</f>
        <v>764844.11093037575</v>
      </c>
      <c r="F45" s="20">
        <f>F41+F42-F43-F44</f>
        <v>776316.77259433107</v>
      </c>
      <c r="G45" s="20">
        <f>G41+G42-G43-G44</f>
        <v>787961.52418324642</v>
      </c>
    </row>
    <row r="46" spans="2:7" ht="14" customHeight="1" x14ac:dyDescent="0.3">
      <c r="B46" s="4" t="s">
        <v>101</v>
      </c>
      <c r="C46" s="21">
        <f>1/(1+C26)^(C19+0)</f>
        <v>0.95357041706829704</v>
      </c>
      <c r="D46" s="21">
        <f>1/(1+C26)^(C19+1)</f>
        <v>0.90929654030780593</v>
      </c>
      <c r="E46" s="21">
        <f>1/(1+C26)^(C19+2)</f>
        <v>0.86707828118007402</v>
      </c>
      <c r="F46" s="21">
        <f>1/(1+C26)^(C19+3)</f>
        <v>0.82682019821574526</v>
      </c>
      <c r="G46" s="21">
        <f>1/(1+C26)^(C19+4)</f>
        <v>0.78843128125308026</v>
      </c>
    </row>
    <row r="47" spans="2:7" ht="14" customHeight="1" x14ac:dyDescent="0.3">
      <c r="B47" s="4" t="s">
        <v>102</v>
      </c>
      <c r="C47" s="19">
        <f>C45*C46</f>
        <v>675085.21346522938</v>
      </c>
      <c r="D47" s="19">
        <f>D45*D46</f>
        <v>681833.43523901037</v>
      </c>
      <c r="E47" s="19">
        <f>E45*E46</f>
        <v>663179.71707621205</v>
      </c>
      <c r="F47" s="19">
        <f>F45*F46</f>
        <v>641874.38779465249</v>
      </c>
      <c r="G47" s="19">
        <f>G45*G46</f>
        <v>621253.51408992696</v>
      </c>
    </row>
    <row r="49" spans="2:7" ht="14" customHeight="1" x14ac:dyDescent="0.3">
      <c r="B49" s="22" t="s">
        <v>103</v>
      </c>
      <c r="C49" s="23"/>
      <c r="D49" s="23"/>
      <c r="E49" s="23"/>
      <c r="F49" s="23"/>
      <c r="G49" s="23"/>
    </row>
    <row r="50" spans="2:7" ht="14" customHeight="1" x14ac:dyDescent="0.3">
      <c r="B50" s="4" t="s">
        <v>104</v>
      </c>
      <c r="C50" s="5">
        <f>SUM(C47:G47)</f>
        <v>3283226.2676650314</v>
      </c>
    </row>
    <row r="51" spans="2:7" ht="14" customHeight="1" x14ac:dyDescent="0.3">
      <c r="B51" s="4" t="s">
        <v>105</v>
      </c>
      <c r="C51" s="5">
        <f>G45*(1+C13)/(C26-C13)</f>
        <v>20569552.259804253</v>
      </c>
    </row>
    <row r="52" spans="2:7" ht="14" customHeight="1" x14ac:dyDescent="0.3">
      <c r="B52" s="4" t="s">
        <v>106</v>
      </c>
      <c r="C52" s="5">
        <f>C51*G46</f>
        <v>16217678.442999659</v>
      </c>
    </row>
    <row r="53" spans="2:7" ht="14" customHeight="1" x14ac:dyDescent="0.3">
      <c r="B53" s="4" t="s">
        <v>107</v>
      </c>
      <c r="C53" s="5">
        <f>C50+C52</f>
        <v>19500904.71066469</v>
      </c>
    </row>
    <row r="54" spans="2:7" ht="14" customHeight="1" x14ac:dyDescent="0.3">
      <c r="B54" s="4" t="s">
        <v>108</v>
      </c>
      <c r="C54" s="5">
        <f>C53-C16</f>
        <v>12798808.71066469</v>
      </c>
    </row>
    <row r="55" spans="2:7" ht="14" customHeight="1" x14ac:dyDescent="0.3">
      <c r="B55" s="4" t="s">
        <v>109</v>
      </c>
      <c r="C55" s="24">
        <f>ROUND(C54*1000000/C15,0)</f>
        <v>268</v>
      </c>
    </row>
    <row r="57" spans="2:7" ht="14" customHeight="1" x14ac:dyDescent="0.3">
      <c r="B57" s="22" t="s">
        <v>110</v>
      </c>
      <c r="C57" s="23"/>
      <c r="D57" s="23"/>
      <c r="E57" s="23"/>
      <c r="F57" s="23"/>
      <c r="G57" s="23"/>
    </row>
    <row r="58" spans="2:7" ht="14" customHeight="1" x14ac:dyDescent="0.3">
      <c r="B58" s="4" t="s">
        <v>104</v>
      </c>
      <c r="C58" s="5">
        <f>C50</f>
        <v>3283226.2676650314</v>
      </c>
    </row>
    <row r="59" spans="2:7" ht="14" customHeight="1" x14ac:dyDescent="0.3">
      <c r="B59" s="4" t="s">
        <v>111</v>
      </c>
      <c r="C59" s="5">
        <f>G39+G42</f>
        <v>1877865.2220251984</v>
      </c>
    </row>
    <row r="60" spans="2:7" ht="14" customHeight="1" x14ac:dyDescent="0.3">
      <c r="B60" s="4" t="s">
        <v>112</v>
      </c>
      <c r="C60" s="5">
        <f>C59*C14</f>
        <v>15210708.298404107</v>
      </c>
    </row>
    <row r="61" spans="2:7" ht="14" customHeight="1" x14ac:dyDescent="0.3">
      <c r="B61" s="4" t="s">
        <v>106</v>
      </c>
      <c r="C61" s="5">
        <f>C60*G46</f>
        <v>11992598.232477611</v>
      </c>
    </row>
    <row r="62" spans="2:7" ht="14" customHeight="1" x14ac:dyDescent="0.3">
      <c r="B62" s="4" t="s">
        <v>107</v>
      </c>
      <c r="C62" s="5">
        <f>C58+C61</f>
        <v>15275824.500142641</v>
      </c>
    </row>
    <row r="63" spans="2:7" ht="14" customHeight="1" x14ac:dyDescent="0.3">
      <c r="B63" s="4" t="s">
        <v>108</v>
      </c>
      <c r="C63" s="5">
        <f>C62-C16</f>
        <v>8573728.5001426414</v>
      </c>
    </row>
    <row r="64" spans="2:7" ht="14" customHeight="1" x14ac:dyDescent="0.3">
      <c r="B64" s="4" t="s">
        <v>113</v>
      </c>
      <c r="C64" s="24">
        <f>ROUND(C63*1000000/C15,0)</f>
        <v>179</v>
      </c>
    </row>
    <row r="66" spans="2:7" ht="14" customHeight="1" x14ac:dyDescent="0.3">
      <c r="B66" s="22" t="s">
        <v>114</v>
      </c>
      <c r="C66" s="23"/>
      <c r="D66" s="23"/>
      <c r="E66" s="23"/>
      <c r="F66" s="23"/>
      <c r="G66" s="23"/>
    </row>
    <row r="67" spans="2:7" ht="14" customHeight="1" x14ac:dyDescent="0.3">
      <c r="C67" s="25" t="s">
        <v>115</v>
      </c>
      <c r="D67" s="25" t="s">
        <v>116</v>
      </c>
      <c r="E67" s="25" t="s">
        <v>117</v>
      </c>
      <c r="F67" s="25" t="s">
        <v>118</v>
      </c>
      <c r="G67" s="25" t="s">
        <v>119</v>
      </c>
    </row>
    <row r="68" spans="2:7" ht="14" customHeight="1" x14ac:dyDescent="0.3">
      <c r="B68" s="3" t="s">
        <v>46</v>
      </c>
    </row>
    <row r="69" spans="2:7" ht="14" customHeight="1" x14ac:dyDescent="0.3">
      <c r="B69" s="4" t="s">
        <v>83</v>
      </c>
      <c r="C69" s="26">
        <v>2.5000000000000001E-2</v>
      </c>
      <c r="D69" s="26">
        <v>0.02</v>
      </c>
      <c r="E69" s="26">
        <v>0.02</v>
      </c>
      <c r="F69" s="26">
        <v>1.4999999999999999E-2</v>
      </c>
      <c r="G69" s="26">
        <v>1.4999999999999999E-2</v>
      </c>
    </row>
    <row r="70" spans="2:7" ht="14" customHeight="1" x14ac:dyDescent="0.3">
      <c r="B70" s="4" t="s">
        <v>120</v>
      </c>
      <c r="C70" s="26">
        <v>0.04</v>
      </c>
      <c r="D70" s="26">
        <v>3.5000000000000003E-2</v>
      </c>
      <c r="E70" s="26">
        <v>0.03</v>
      </c>
      <c r="F70" s="26">
        <v>2.5000000000000001E-2</v>
      </c>
      <c r="G70" s="26">
        <v>0.02</v>
      </c>
    </row>
    <row r="71" spans="2:7" ht="14" customHeight="1" x14ac:dyDescent="0.3">
      <c r="B71" s="4" t="s">
        <v>121</v>
      </c>
      <c r="C71" s="26">
        <v>2.5000000000000001E-2</v>
      </c>
      <c r="D71" s="26">
        <v>0.02</v>
      </c>
      <c r="E71" s="26">
        <v>0.02</v>
      </c>
      <c r="F71" s="26">
        <v>1.4999999999999999E-2</v>
      </c>
      <c r="G71" s="26">
        <v>1.4999999999999999E-2</v>
      </c>
    </row>
    <row r="72" spans="2:7" ht="14" customHeight="1" x14ac:dyDescent="0.3">
      <c r="B72" s="4" t="s">
        <v>122</v>
      </c>
      <c r="C72" s="26">
        <v>0.01</v>
      </c>
      <c r="D72" s="26">
        <v>0.01</v>
      </c>
      <c r="E72" s="26">
        <v>0.01</v>
      </c>
      <c r="F72" s="26">
        <v>0.01</v>
      </c>
      <c r="G72" s="26">
        <v>0.01</v>
      </c>
    </row>
    <row r="73" spans="2:7" ht="14" customHeight="1" x14ac:dyDescent="0.3">
      <c r="B73" s="4" t="s">
        <v>123</v>
      </c>
      <c r="C73" s="26">
        <v>-0.01</v>
      </c>
      <c r="D73" s="26">
        <v>0</v>
      </c>
      <c r="E73" s="26">
        <v>5.0000000000000001E-3</v>
      </c>
      <c r="F73" s="26">
        <v>0.01</v>
      </c>
      <c r="G73" s="26">
        <v>0.01</v>
      </c>
    </row>
    <row r="75" spans="2:7" ht="14" customHeight="1" x14ac:dyDescent="0.3">
      <c r="B75" s="3" t="s">
        <v>90</v>
      </c>
    </row>
    <row r="76" spans="2:7" ht="14" customHeight="1" x14ac:dyDescent="0.3">
      <c r="B76" s="4" t="s">
        <v>83</v>
      </c>
      <c r="C76" s="26">
        <v>0.51919999999999999</v>
      </c>
      <c r="D76" s="26">
        <v>0.51919999999999999</v>
      </c>
      <c r="E76" s="26">
        <v>0.51919999999999999</v>
      </c>
      <c r="F76" s="26">
        <v>0.51919999999999999</v>
      </c>
      <c r="G76" s="26">
        <v>0.51919999999999999</v>
      </c>
    </row>
    <row r="77" spans="2:7" ht="14" customHeight="1" x14ac:dyDescent="0.3">
      <c r="B77" s="4" t="s">
        <v>120</v>
      </c>
      <c r="C77" s="26">
        <v>0.51919999999999999</v>
      </c>
      <c r="D77" s="26">
        <v>0.51919999999999999</v>
      </c>
      <c r="E77" s="26">
        <v>0.51919999999999999</v>
      </c>
      <c r="F77" s="26">
        <v>0.51919999999999999</v>
      </c>
      <c r="G77" s="26">
        <v>0.51919999999999999</v>
      </c>
    </row>
    <row r="78" spans="2:7" ht="14" customHeight="1" x14ac:dyDescent="0.3">
      <c r="B78" s="4" t="s">
        <v>121</v>
      </c>
      <c r="C78" s="26">
        <v>0.51919999999999999</v>
      </c>
      <c r="D78" s="26">
        <v>0.51919999999999999</v>
      </c>
      <c r="E78" s="26">
        <v>0.51919999999999999</v>
      </c>
      <c r="F78" s="26">
        <v>0.51919999999999999</v>
      </c>
      <c r="G78" s="26">
        <v>0.51919999999999999</v>
      </c>
    </row>
    <row r="79" spans="2:7" ht="14" customHeight="1" x14ac:dyDescent="0.3">
      <c r="B79" s="4" t="s">
        <v>122</v>
      </c>
      <c r="C79" s="26">
        <v>0.51919999999999999</v>
      </c>
      <c r="D79" s="26">
        <v>0.51919999999999999</v>
      </c>
      <c r="E79" s="26">
        <v>0.51919999999999999</v>
      </c>
      <c r="F79" s="26">
        <v>0.51919999999999999</v>
      </c>
      <c r="G79" s="26">
        <v>0.51919999999999999</v>
      </c>
    </row>
    <row r="80" spans="2:7" ht="14" customHeight="1" x14ac:dyDescent="0.3">
      <c r="B80" s="4" t="s">
        <v>123</v>
      </c>
      <c r="C80" s="26">
        <v>0.51919999999999999</v>
      </c>
      <c r="D80" s="26">
        <v>0.51919999999999999</v>
      </c>
      <c r="E80" s="26">
        <v>0.51919999999999999</v>
      </c>
      <c r="F80" s="26">
        <v>0.51919999999999999</v>
      </c>
      <c r="G80" s="26">
        <v>0.51919999999999999</v>
      </c>
    </row>
    <row r="82" spans="2:7" ht="14" customHeight="1" x14ac:dyDescent="0.3">
      <c r="B82" s="3" t="s">
        <v>91</v>
      </c>
    </row>
    <row r="83" spans="2:7" ht="14" customHeight="1" x14ac:dyDescent="0.3">
      <c r="B83" s="4" t="s">
        <v>83</v>
      </c>
      <c r="C83" s="26">
        <v>0.3372</v>
      </c>
      <c r="D83" s="26">
        <v>0.3372</v>
      </c>
      <c r="E83" s="26">
        <v>0.3372</v>
      </c>
      <c r="F83" s="26">
        <v>0.3372</v>
      </c>
      <c r="G83" s="26">
        <v>0.3372</v>
      </c>
    </row>
    <row r="84" spans="2:7" ht="14" customHeight="1" x14ac:dyDescent="0.3">
      <c r="B84" s="4" t="s">
        <v>120</v>
      </c>
      <c r="C84" s="26">
        <v>0.3286</v>
      </c>
      <c r="D84" s="26">
        <v>0.3286</v>
      </c>
      <c r="E84" s="26">
        <v>0.3286</v>
      </c>
      <c r="F84" s="26">
        <v>0.3286</v>
      </c>
      <c r="G84" s="26">
        <v>0.3286</v>
      </c>
    </row>
    <row r="85" spans="2:7" ht="14" customHeight="1" x14ac:dyDescent="0.3">
      <c r="B85" s="4" t="s">
        <v>121</v>
      </c>
      <c r="C85" s="26">
        <v>0.3372</v>
      </c>
      <c r="D85" s="26">
        <v>0.3372</v>
      </c>
      <c r="E85" s="26">
        <v>0.3372</v>
      </c>
      <c r="F85" s="26">
        <v>0.3372</v>
      </c>
      <c r="G85" s="26">
        <v>0.3372</v>
      </c>
    </row>
    <row r="86" spans="2:7" ht="14" customHeight="1" x14ac:dyDescent="0.3">
      <c r="B86" s="4" t="s">
        <v>122</v>
      </c>
      <c r="C86" s="26">
        <v>0.3473</v>
      </c>
      <c r="D86" s="26">
        <v>0.3473</v>
      </c>
      <c r="E86" s="26">
        <v>0.3473</v>
      </c>
      <c r="F86" s="26">
        <v>0.3473</v>
      </c>
      <c r="G86" s="26">
        <v>0.3473</v>
      </c>
    </row>
    <row r="87" spans="2:7" ht="14" customHeight="1" x14ac:dyDescent="0.3">
      <c r="B87" s="4" t="s">
        <v>123</v>
      </c>
      <c r="C87" s="26">
        <v>0.35730000000000001</v>
      </c>
      <c r="D87" s="26">
        <v>0.35730000000000001</v>
      </c>
      <c r="E87" s="26">
        <v>0.35730000000000001</v>
      </c>
      <c r="F87" s="26">
        <v>0.35730000000000001</v>
      </c>
      <c r="G87" s="26">
        <v>0.35730000000000001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124</v>
      </c>
    </row>
    <row r="3" spans="2:9" ht="14" customHeight="1" x14ac:dyDescent="0.3">
      <c r="B3" s="1" t="s">
        <v>125</v>
      </c>
    </row>
    <row r="5" spans="2:9" ht="14" customHeight="1" x14ac:dyDescent="0.3">
      <c r="B5" s="8" t="s">
        <v>126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127</v>
      </c>
      <c r="C6" s="15">
        <f>'Executive Summary'!C9</f>
        <v>239.2</v>
      </c>
    </row>
    <row r="7" spans="2:9" ht="14" customHeight="1" x14ac:dyDescent="0.3">
      <c r="B7" s="4" t="s">
        <v>71</v>
      </c>
      <c r="C7" s="15">
        <f>'DCF Model'!C15</f>
        <v>47833719783</v>
      </c>
    </row>
    <row r="8" spans="2:9" ht="14" customHeight="1" x14ac:dyDescent="0.3">
      <c r="B8" s="4" t="s">
        <v>128</v>
      </c>
      <c r="C8" s="5">
        <f>C6*C7/1000000</f>
        <v>11441825.7720936</v>
      </c>
    </row>
    <row r="9" spans="2:9" ht="14" customHeight="1" x14ac:dyDescent="0.3">
      <c r="B9" s="4" t="s">
        <v>72</v>
      </c>
      <c r="C9" s="5">
        <f>'DCF Model'!C16</f>
        <v>6702096</v>
      </c>
    </row>
    <row r="10" spans="2:9" ht="14" customHeight="1" x14ac:dyDescent="0.3">
      <c r="B10" s="4" t="s">
        <v>129</v>
      </c>
      <c r="C10" s="5">
        <f>C8+C9</f>
        <v>18143921.772093602</v>
      </c>
    </row>
    <row r="11" spans="2:9" ht="14" customHeight="1" x14ac:dyDescent="0.3">
      <c r="B11" s="4" t="s">
        <v>130</v>
      </c>
      <c r="C11" s="16">
        <f>'DCF Model'!C26</f>
        <v>4.8690250977424653E-2</v>
      </c>
    </row>
    <row r="12" spans="2:9" ht="14" customHeight="1" x14ac:dyDescent="0.3">
      <c r="B12" s="4" t="s">
        <v>131</v>
      </c>
      <c r="C12" s="16">
        <f>'DCF Model'!C13</f>
        <v>0.01</v>
      </c>
    </row>
    <row r="13" spans="2:9" ht="14" customHeight="1" x14ac:dyDescent="0.3">
      <c r="B13" s="4" t="s">
        <v>132</v>
      </c>
      <c r="C13" s="16">
        <f>'DCF Model'!C6</f>
        <v>0.25</v>
      </c>
    </row>
    <row r="14" spans="2:9" ht="14" customHeight="1" x14ac:dyDescent="0.3">
      <c r="B14" s="4" t="s">
        <v>133</v>
      </c>
      <c r="C14" s="27">
        <v>956286</v>
      </c>
    </row>
    <row r="15" spans="2:9" ht="14" customHeight="1" x14ac:dyDescent="0.3">
      <c r="B15" s="4" t="s">
        <v>134</v>
      </c>
      <c r="C15" s="27">
        <v>956286</v>
      </c>
    </row>
    <row r="16" spans="2:9" ht="14" customHeight="1" x14ac:dyDescent="0.3">
      <c r="B16" s="4" t="s">
        <v>135</v>
      </c>
      <c r="C16" s="5">
        <f>'DCF Model'!G33</f>
        <v>7316262.9914878951</v>
      </c>
    </row>
    <row r="17" spans="2:9" ht="14" customHeight="1" x14ac:dyDescent="0.3">
      <c r="B17" s="4" t="s">
        <v>136</v>
      </c>
      <c r="C17" s="5">
        <f>'DCF Model'!C53</f>
        <v>19500904.71066469</v>
      </c>
    </row>
    <row r="18" spans="2:9" ht="14" customHeight="1" x14ac:dyDescent="0.3">
      <c r="B18" s="4" t="s">
        <v>137</v>
      </c>
      <c r="C18" s="26">
        <v>0.14360011340415491</v>
      </c>
    </row>
    <row r="19" spans="2:9" ht="14" customHeight="1" x14ac:dyDescent="0.3">
      <c r="B19" s="4" t="s">
        <v>138</v>
      </c>
      <c r="C19" s="5">
        <f>C10-C17</f>
        <v>-1356982.938571088</v>
      </c>
    </row>
    <row r="20" spans="2:9" ht="14" customHeight="1" x14ac:dyDescent="0.3">
      <c r="B20" s="4" t="s">
        <v>139</v>
      </c>
      <c r="C20" s="15">
        <f>IFERROR(ROUND(C19*1000000/C7,0),"N/A")</f>
        <v>-28</v>
      </c>
    </row>
    <row r="22" spans="2:9" ht="14" customHeight="1" x14ac:dyDescent="0.3">
      <c r="B22" s="8" t="s">
        <v>140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141</v>
      </c>
    </row>
    <row r="24" spans="2:9" ht="14" customHeight="1" x14ac:dyDescent="0.3">
      <c r="B24" s="4" t="s">
        <v>142</v>
      </c>
      <c r="C24" s="5">
        <f>C10*(C11-C12)</f>
        <v>701992.88707706088</v>
      </c>
    </row>
    <row r="25" spans="2:9" ht="14" customHeight="1" x14ac:dyDescent="0.3">
      <c r="B25" s="4" t="s">
        <v>143</v>
      </c>
      <c r="C25" s="5">
        <f>IFERROR(C24/(1-C13),"N/A")</f>
        <v>935990.51610274788</v>
      </c>
    </row>
    <row r="26" spans="2:9" ht="13.5" customHeight="1" x14ac:dyDescent="0.25">
      <c r="B26" s="6" t="s">
        <v>144</v>
      </c>
      <c r="C26" s="14">
        <f>IFERROR(C25/C15,"N/A")</f>
        <v>0.97877676354432452</v>
      </c>
    </row>
    <row r="27" spans="2:9" ht="13.5" customHeight="1" x14ac:dyDescent="0.25">
      <c r="B27" s="6" t="s">
        <v>145</v>
      </c>
      <c r="C27" s="14">
        <f>IFERROR(C25/C14,"N/A")</f>
        <v>0.97877676354432452</v>
      </c>
    </row>
    <row r="28" spans="2:9" ht="13.5" customHeight="1" x14ac:dyDescent="0.25">
      <c r="B28" s="6" t="s">
        <v>146</v>
      </c>
      <c r="C28" s="7">
        <f>IFERROR(C25/C16,"N/A")</f>
        <v>0.12793286916991992</v>
      </c>
    </row>
    <row r="29" spans="2:9" ht="13.5" customHeight="1" x14ac:dyDescent="0.25">
      <c r="B29" s="6" t="s">
        <v>147</v>
      </c>
      <c r="C29" s="5">
        <f>IFERROR(C25/C18,"N/A")</f>
        <v>6518034.6582906395</v>
      </c>
    </row>
    <row r="32" spans="2:9" ht="14" customHeight="1" x14ac:dyDescent="0.3">
      <c r="B32" s="8" t="s">
        <v>148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149</v>
      </c>
    </row>
    <row r="34" spans="2:9" ht="14" customHeight="1" x14ac:dyDescent="0.3">
      <c r="B34" s="1" t="s">
        <v>150</v>
      </c>
    </row>
    <row r="36" spans="2:9" ht="14" customHeight="1" x14ac:dyDescent="0.3">
      <c r="B36" s="28" t="s">
        <v>151</v>
      </c>
      <c r="C36" s="28" t="s">
        <v>152</v>
      </c>
      <c r="D36" s="29">
        <f>'DCF Model'!C26-0.02</f>
        <v>2.8690250977424652E-2</v>
      </c>
      <c r="E36" s="29">
        <f>'DCF Model'!C26-0.01</f>
        <v>3.8690250977424651E-2</v>
      </c>
      <c r="F36" s="29">
        <f>'DCF Model'!C26</f>
        <v>4.8690250977424653E-2</v>
      </c>
      <c r="G36" s="29">
        <f>'DCF Model'!C26+0.01</f>
        <v>5.8690250977424654E-2</v>
      </c>
      <c r="H36" s="29">
        <f>'DCF Model'!C26+0.02</f>
        <v>6.8690250977424649E-2</v>
      </c>
    </row>
    <row r="37" spans="2:9" ht="14" customHeight="1" x14ac:dyDescent="0.3">
      <c r="B37" s="3" t="s">
        <v>153</v>
      </c>
    </row>
    <row r="38" spans="2:9" ht="14" customHeight="1" x14ac:dyDescent="0.3">
      <c r="B38" s="4" t="s">
        <v>154</v>
      </c>
      <c r="C38" s="30">
        <v>3</v>
      </c>
      <c r="D38" s="13">
        <f t="shared" ref="D38:H41" si="0">IFERROR((1-(1+D$36)^(-$C38))/D$36-(1+D$36)/(D$36^2*$C38)*(1-($C38+1)/(1+D$36)^$C38+$C38/(1+D$36)^($C38+1)),"N/A")</f>
        <v>0.9630725152771682</v>
      </c>
      <c r="E38" s="13">
        <f t="shared" si="0"/>
        <v>0.95079706463403624</v>
      </c>
      <c r="F38" s="13">
        <f t="shared" si="0"/>
        <v>0.93881245814814251</v>
      </c>
      <c r="G38" s="13">
        <f t="shared" si="0"/>
        <v>0.92710886171679041</v>
      </c>
      <c r="H38" s="13">
        <f t="shared" si="0"/>
        <v>0.91567686836485884</v>
      </c>
    </row>
    <row r="39" spans="2:9" ht="14" customHeight="1" x14ac:dyDescent="0.3">
      <c r="B39" s="4" t="s">
        <v>155</v>
      </c>
      <c r="C39" s="30">
        <v>5</v>
      </c>
      <c r="D39" s="13">
        <f t="shared" si="0"/>
        <v>1.8907473463351394</v>
      </c>
      <c r="E39" s="13">
        <f t="shared" si="0"/>
        <v>1.855104546671785</v>
      </c>
      <c r="F39" s="13">
        <f t="shared" si="0"/>
        <v>1.820629609954469</v>
      </c>
      <c r="G39" s="13">
        <f t="shared" si="0"/>
        <v>1.7872704774523096</v>
      </c>
      <c r="H39" s="13">
        <f t="shared" si="0"/>
        <v>1.7549779665336502</v>
      </c>
    </row>
    <row r="40" spans="2:9" ht="14" customHeight="1" x14ac:dyDescent="0.3">
      <c r="B40" s="4" t="s">
        <v>156</v>
      </c>
      <c r="C40" s="30">
        <v>7</v>
      </c>
      <c r="D40" s="13">
        <f t="shared" si="0"/>
        <v>2.7844867883276576</v>
      </c>
      <c r="E40" s="13">
        <f t="shared" si="0"/>
        <v>2.7154764926256507</v>
      </c>
      <c r="F40" s="13">
        <f t="shared" si="0"/>
        <v>2.6493380330737608</v>
      </c>
      <c r="G40" s="13">
        <f t="shared" si="0"/>
        <v>2.5859131867846248</v>
      </c>
      <c r="H40" s="13">
        <f t="shared" si="0"/>
        <v>2.5250543010278261</v>
      </c>
    </row>
    <row r="41" spans="2:9" ht="14" customHeight="1" x14ac:dyDescent="0.3">
      <c r="B41" s="4" t="s">
        <v>157</v>
      </c>
      <c r="C41" s="30">
        <v>10</v>
      </c>
      <c r="D41" s="13">
        <f t="shared" si="0"/>
        <v>4.0645081008208059</v>
      </c>
      <c r="E41" s="13">
        <f t="shared" si="0"/>
        <v>3.9288764227654136</v>
      </c>
      <c r="F41" s="13">
        <f t="shared" si="0"/>
        <v>3.8006338320216297</v>
      </c>
      <c r="G41" s="13">
        <f t="shared" si="0"/>
        <v>3.6792599629155252</v>
      </c>
      <c r="H41" s="13">
        <f t="shared" si="0"/>
        <v>3.5642779909576272</v>
      </c>
    </row>
    <row r="42" spans="2:9" ht="14" customHeight="1" x14ac:dyDescent="0.3">
      <c r="B42" s="3" t="s">
        <v>158</v>
      </c>
    </row>
    <row r="43" spans="2:9" ht="14" customHeight="1" x14ac:dyDescent="0.3">
      <c r="B43" s="4" t="s">
        <v>154</v>
      </c>
      <c r="C43" s="30">
        <v>3</v>
      </c>
      <c r="D43" s="13">
        <f t="shared" ref="D43:H46" si="1">IFERROR((1+D$36)/(D$36^2*$C43)*(1-($C43+1)/(1+D$36)^$C43+$C43/(1+D$36)^($C43+1))+(1+$C$12)/((D$36-$C$12)*(1+D$36)^$C43),"N/A")</f>
        <v>51.51503090612119</v>
      </c>
      <c r="E43" s="13">
        <f t="shared" si="1"/>
        <v>33.245613349613457</v>
      </c>
      <c r="F43" s="13">
        <f t="shared" si="1"/>
        <v>24.426009574121917</v>
      </c>
      <c r="G43" s="13">
        <f t="shared" si="1"/>
        <v>19.233649151390651</v>
      </c>
      <c r="H43" s="13">
        <f t="shared" si="1"/>
        <v>15.814306831905078</v>
      </c>
    </row>
    <row r="44" spans="2:9" ht="14" customHeight="1" x14ac:dyDescent="0.3">
      <c r="B44" s="4" t="s">
        <v>155</v>
      </c>
      <c r="C44" s="30">
        <v>5</v>
      </c>
      <c r="D44" s="13">
        <f t="shared" si="1"/>
        <v>49.618047370113096</v>
      </c>
      <c r="E44" s="13">
        <f t="shared" si="1"/>
        <v>31.730824129351941</v>
      </c>
      <c r="F44" s="13">
        <f t="shared" si="1"/>
        <v>23.106382266888009</v>
      </c>
      <c r="G44" s="13">
        <f t="shared" si="1"/>
        <v>18.036919134793656</v>
      </c>
      <c r="H44" s="13">
        <f t="shared" si="1"/>
        <v>14.704782858490546</v>
      </c>
    </row>
    <row r="45" spans="2:9" ht="14" customHeight="1" x14ac:dyDescent="0.3">
      <c r="B45" s="4" t="s">
        <v>156</v>
      </c>
      <c r="C45" s="30">
        <v>7</v>
      </c>
      <c r="D45" s="13">
        <f t="shared" si="1"/>
        <v>47.808313430255886</v>
      </c>
      <c r="E45" s="13">
        <f t="shared" si="1"/>
        <v>30.30460316568924</v>
      </c>
      <c r="F45" s="13">
        <f t="shared" si="1"/>
        <v>21.879574584126804</v>
      </c>
      <c r="G45" s="13">
        <f t="shared" si="1"/>
        <v>16.937990130461248</v>
      </c>
      <c r="H45" s="13">
        <f t="shared" si="1"/>
        <v>13.698104521773756</v>
      </c>
    </row>
    <row r="46" spans="2:9" ht="14" customHeight="1" x14ac:dyDescent="0.3">
      <c r="B46" s="4" t="s">
        <v>157</v>
      </c>
      <c r="C46" s="30">
        <v>10</v>
      </c>
      <c r="D46" s="13">
        <f t="shared" si="1"/>
        <v>45.247894224031668</v>
      </c>
      <c r="E46" s="13">
        <f t="shared" si="1"/>
        <v>28.319043688272163</v>
      </c>
      <c r="F46" s="13">
        <f t="shared" si="1"/>
        <v>20.197798797873048</v>
      </c>
      <c r="G46" s="13">
        <f t="shared" si="1"/>
        <v>15.45380364555521</v>
      </c>
      <c r="H46" s="13">
        <f t="shared" si="1"/>
        <v>12.358010624483295</v>
      </c>
    </row>
    <row r="47" spans="2:9" ht="14" customHeight="1" x14ac:dyDescent="0.3">
      <c r="B47" s="22" t="s">
        <v>159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154</v>
      </c>
      <c r="C48" s="30">
        <v>3</v>
      </c>
      <c r="D48" s="5">
        <f t="shared" ref="D48:H51" si="2">IFERROR(($C$10/(1-$C$13)-$C$14*D38)/D43,"N/A")</f>
        <v>451730.73806727212</v>
      </c>
      <c r="E48" s="5">
        <f t="shared" si="2"/>
        <v>700322.82242868841</v>
      </c>
      <c r="F48" s="5">
        <f t="shared" si="2"/>
        <v>953660.58115571423</v>
      </c>
      <c r="G48" s="5">
        <f t="shared" si="2"/>
        <v>1211694.8940759925</v>
      </c>
      <c r="H48" s="5">
        <f t="shared" si="2"/>
        <v>1474376.7763088762</v>
      </c>
    </row>
    <row r="49" spans="2:9" ht="14" customHeight="1" x14ac:dyDescent="0.3">
      <c r="B49" s="4" t="s">
        <v>155</v>
      </c>
      <c r="C49" s="30">
        <v>5</v>
      </c>
      <c r="D49" s="5">
        <f t="shared" si="2"/>
        <v>451122.1554593058</v>
      </c>
      <c r="E49" s="5">
        <f t="shared" si="2"/>
        <v>706501.82605465408</v>
      </c>
      <c r="F49" s="5">
        <f t="shared" si="2"/>
        <v>971629.95182991005</v>
      </c>
      <c r="G49" s="5">
        <f t="shared" si="2"/>
        <v>1246485.2668188806</v>
      </c>
      <c r="H49" s="5">
        <f t="shared" si="2"/>
        <v>1531041.638157943</v>
      </c>
    </row>
    <row r="50" spans="2:9" ht="14" customHeight="1" x14ac:dyDescent="0.3">
      <c r="B50" s="4" t="s">
        <v>156</v>
      </c>
      <c r="C50" s="30">
        <v>7</v>
      </c>
      <c r="D50" s="5">
        <f t="shared" si="2"/>
        <v>450321.8879425521</v>
      </c>
      <c r="E50" s="5">
        <f t="shared" si="2"/>
        <v>712602.0896834482</v>
      </c>
      <c r="F50" s="5">
        <f t="shared" si="2"/>
        <v>989889.94244620937</v>
      </c>
      <c r="G50" s="5">
        <f t="shared" si="2"/>
        <v>1282266.842234595</v>
      </c>
      <c r="H50" s="5">
        <f t="shared" si="2"/>
        <v>1589798.1785871345</v>
      </c>
    </row>
    <row r="51" spans="2:9" ht="14" customHeight="1" x14ac:dyDescent="0.3">
      <c r="B51" s="4" t="s">
        <v>157</v>
      </c>
      <c r="C51" s="30">
        <v>10</v>
      </c>
      <c r="D51" s="5">
        <f t="shared" si="2"/>
        <v>448751.5684572793</v>
      </c>
      <c r="E51" s="5">
        <f t="shared" si="2"/>
        <v>721590.9690399206</v>
      </c>
      <c r="F51" s="5">
        <f t="shared" si="2"/>
        <v>1017804.1170308611</v>
      </c>
      <c r="G51" s="5">
        <f t="shared" si="2"/>
        <v>1337759.3877462153</v>
      </c>
      <c r="H51" s="5">
        <f t="shared" si="2"/>
        <v>1681777.6893708473</v>
      </c>
    </row>
    <row r="52" spans="2:9" ht="14" customHeight="1" x14ac:dyDescent="0.3">
      <c r="B52" s="22" t="s">
        <v>160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154</v>
      </c>
      <c r="C53" s="30">
        <v>3</v>
      </c>
      <c r="D53" s="14">
        <f t="shared" ref="D53:H56" si="3">IFERROR(D48/$C$15,"N/A")</f>
        <v>0.47238037372425418</v>
      </c>
      <c r="E53" s="14">
        <f t="shared" si="3"/>
        <v>0.73233616557043435</v>
      </c>
      <c r="F53" s="14">
        <f t="shared" si="3"/>
        <v>0.99725456731115403</v>
      </c>
      <c r="G53" s="14">
        <f t="shared" si="3"/>
        <v>1.2670842133796716</v>
      </c>
      <c r="H53" s="14">
        <f t="shared" si="3"/>
        <v>1.5417738796854459</v>
      </c>
    </row>
    <row r="54" spans="2:9" ht="14" customHeight="1" x14ac:dyDescent="0.3">
      <c r="B54" s="4" t="s">
        <v>155</v>
      </c>
      <c r="C54" s="30">
        <v>5</v>
      </c>
      <c r="D54" s="14">
        <f t="shared" si="3"/>
        <v>0.47174397142623209</v>
      </c>
      <c r="E54" s="14">
        <f t="shared" si="3"/>
        <v>0.73879762545373884</v>
      </c>
      <c r="F54" s="14">
        <f t="shared" si="3"/>
        <v>1.0160453586373848</v>
      </c>
      <c r="G54" s="14">
        <f t="shared" si="3"/>
        <v>1.3034649328954733</v>
      </c>
      <c r="H54" s="14">
        <f t="shared" si="3"/>
        <v>1.6010290207719688</v>
      </c>
    </row>
    <row r="55" spans="2:9" ht="14" customHeight="1" x14ac:dyDescent="0.3">
      <c r="B55" s="4" t="s">
        <v>156</v>
      </c>
      <c r="C55" s="30">
        <v>7</v>
      </c>
      <c r="D55" s="14">
        <f t="shared" si="3"/>
        <v>0.4709071218678848</v>
      </c>
      <c r="E55" s="14">
        <f t="shared" si="3"/>
        <v>0.74517674595617645</v>
      </c>
      <c r="F55" s="14">
        <f t="shared" si="3"/>
        <v>1.0351400548018159</v>
      </c>
      <c r="G55" s="14">
        <f t="shared" si="3"/>
        <v>1.3408821652043375</v>
      </c>
      <c r="H55" s="14">
        <f t="shared" si="3"/>
        <v>1.6624714558062488</v>
      </c>
    </row>
    <row r="56" spans="2:9" ht="14" customHeight="1" x14ac:dyDescent="0.3">
      <c r="B56" s="4" t="s">
        <v>157</v>
      </c>
      <c r="C56" s="30">
        <v>10</v>
      </c>
      <c r="D56" s="14">
        <f t="shared" si="3"/>
        <v>0.46926501952060296</v>
      </c>
      <c r="E56" s="14">
        <f t="shared" si="3"/>
        <v>0.75457652735679559</v>
      </c>
      <c r="F56" s="14">
        <f t="shared" si="3"/>
        <v>1.0643302495601328</v>
      </c>
      <c r="G56" s="14">
        <f t="shared" si="3"/>
        <v>1.3989114007171655</v>
      </c>
      <c r="H56" s="14">
        <f t="shared" si="3"/>
        <v>1.7586555584530645</v>
      </c>
    </row>
    <row r="58" spans="2:9" ht="14" customHeight="1" x14ac:dyDescent="0.3">
      <c r="B58" s="8" t="s">
        <v>161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162</v>
      </c>
    </row>
    <row r="60" spans="2:9" ht="14" customHeight="1" x14ac:dyDescent="0.3">
      <c r="B60" s="4" t="s">
        <v>163</v>
      </c>
      <c r="C60" s="5">
        <f>F49</f>
        <v>971629.95182991005</v>
      </c>
    </row>
    <row r="62" spans="2:9" ht="14" customHeight="1" x14ac:dyDescent="0.3">
      <c r="B62" s="28" t="s">
        <v>164</v>
      </c>
      <c r="C62" s="28" t="s">
        <v>165</v>
      </c>
      <c r="D62" s="28" t="s">
        <v>166</v>
      </c>
    </row>
    <row r="63" spans="2:9" ht="14" customHeight="1" x14ac:dyDescent="0.3">
      <c r="B63" s="31">
        <v>7.1800000000000003E-2</v>
      </c>
      <c r="C63" s="5">
        <f>IFERROR($C$60/B63,"N/A")</f>
        <v>13532450.582589276</v>
      </c>
      <c r="D63" s="14">
        <f>IFERROR(C63/'DCF Model'!C17,"N/A")</f>
        <v>2.0320923220625855</v>
      </c>
    </row>
    <row r="64" spans="2:9" ht="14" customHeight="1" x14ac:dyDescent="0.3">
      <c r="B64" s="31">
        <v>0.1077</v>
      </c>
      <c r="C64" s="5">
        <f>IFERROR($C$60/B64,"N/A")</f>
        <v>9021633.7217261847</v>
      </c>
      <c r="D64" s="14">
        <f>IFERROR(C64/'DCF Model'!C17,"N/A")</f>
        <v>1.3547282147083906</v>
      </c>
    </row>
    <row r="65" spans="2:9" ht="14" customHeight="1" x14ac:dyDescent="0.3">
      <c r="B65" s="4" t="s">
        <v>167</v>
      </c>
      <c r="C65" s="5">
        <f>IFERROR($C$60/$C$18,"N/A")</f>
        <v>6766219.9478583215</v>
      </c>
      <c r="D65" s="14">
        <f>IFERROR(C65/'DCF Model'!C17,"N/A")</f>
        <v>1.0160453586373843</v>
      </c>
    </row>
    <row r="66" spans="2:9" ht="14" customHeight="1" x14ac:dyDescent="0.3">
      <c r="B66" s="31">
        <v>0.17949999999999999</v>
      </c>
      <c r="C66" s="5">
        <f>IFERROR($C$60/B66,"N/A")</f>
        <v>5412980.2330357106</v>
      </c>
      <c r="D66" s="14">
        <f>IFERROR(C66/'DCF Model'!C17,"N/A")</f>
        <v>0.81283692882503422</v>
      </c>
    </row>
    <row r="67" spans="2:9" ht="14" customHeight="1" x14ac:dyDescent="0.3">
      <c r="B67" s="31">
        <v>0.21540000000000001</v>
      </c>
      <c r="C67" s="5">
        <f>IFERROR($C$60/B67,"N/A")</f>
        <v>4510816.8608630924</v>
      </c>
      <c r="D67" s="14">
        <f>IFERROR(C67/'DCF Model'!C17,"N/A")</f>
        <v>0.67736410735419528</v>
      </c>
    </row>
    <row r="69" spans="2:9" ht="14" customHeight="1" x14ac:dyDescent="0.3">
      <c r="B69" s="8" t="s">
        <v>168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169</v>
      </c>
      <c r="C70" s="14">
        <f>IFERROR(C10/'Comps Analysis'!G5,"N/A")</f>
        <v>10.615068015998494</v>
      </c>
    </row>
    <row r="71" spans="2:9" ht="13.5" customHeight="1" x14ac:dyDescent="0.25">
      <c r="B71" s="6" t="s">
        <v>170</v>
      </c>
      <c r="C71" s="14">
        <f>IFERROR(C10/'Comps Analysis'!F5,"N/A")</f>
        <v>2.7245711262830952</v>
      </c>
    </row>
    <row r="72" spans="2:9" ht="14" customHeight="1" x14ac:dyDescent="0.3">
      <c r="B72" s="4" t="s">
        <v>171</v>
      </c>
      <c r="C72" s="14">
        <f>IFERROR(C10/(C25+'DCF Model'!G42),"N/A")</f>
        <v>10.290101142506689</v>
      </c>
    </row>
    <row r="73" spans="2:9" ht="14" customHeight="1" x14ac:dyDescent="0.3">
      <c r="B73" s="4" t="s">
        <v>172</v>
      </c>
      <c r="C73" s="14">
        <f>IFERROR(C10/(C60+'DCF Model'!G42),"N/A")</f>
        <v>10.086233492980101</v>
      </c>
    </row>
    <row r="74" spans="2:9" ht="14" customHeight="1" x14ac:dyDescent="0.3">
      <c r="B74" s="4" t="s">
        <v>173</v>
      </c>
      <c r="C74" s="14">
        <f>IFERROR('Comps Analysis'!D16,"N/A")</f>
        <v>9.0096995430628244</v>
      </c>
    </row>
    <row r="75" spans="2:9" ht="14" customHeight="1" x14ac:dyDescent="0.3">
      <c r="B75" s="1" t="s">
        <v>174</v>
      </c>
    </row>
    <row r="77" spans="2:9" ht="14" customHeight="1" x14ac:dyDescent="0.3">
      <c r="B77" s="22" t="s">
        <v>175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239 yen the market is paying for a steady-state operating profit of 971,630 mn JPY - 1.02x the FY2026 cycle peak of 956,286 mn - reached in 5 years and sustained for ever, against 956,286 mn actually earned in FY2026.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935,991 mn, or 0.98x the peak. The base case supports an EV of only 19,500,905 mn, leaving -28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29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176</v>
      </c>
    </row>
    <row r="4" spans="2:8" ht="14" customHeight="1" x14ac:dyDescent="0.3">
      <c r="B4" s="8" t="s">
        <v>177</v>
      </c>
      <c r="C4" s="32" t="s">
        <v>178</v>
      </c>
      <c r="D4" s="32" t="s">
        <v>85</v>
      </c>
      <c r="E4" s="32" t="s">
        <v>86</v>
      </c>
      <c r="F4" s="32" t="s">
        <v>87</v>
      </c>
      <c r="G4" s="32" t="s">
        <v>88</v>
      </c>
      <c r="H4" s="32" t="s">
        <v>89</v>
      </c>
    </row>
    <row r="5" spans="2:8" ht="14" customHeight="1" x14ac:dyDescent="0.3">
      <c r="B5" s="33" t="s">
        <v>179</v>
      </c>
      <c r="C5" s="34">
        <f>C18/C9</f>
        <v>-4.0828198711949839E-3</v>
      </c>
      <c r="D5" s="34">
        <f>CHOOSE('DCF Model'!$D$27,D25,D26,D27,D28,D29)</f>
        <v>0</v>
      </c>
      <c r="E5" s="34">
        <f>CHOOSE('DCF Model'!$D$27,E25,E26,E27,E28,E29)</f>
        <v>0</v>
      </c>
      <c r="F5" s="34">
        <f>CHOOSE('DCF Model'!$D$27,F25,F26,F27,F28,F29)</f>
        <v>0</v>
      </c>
      <c r="G5" s="34">
        <f>CHOOSE('DCF Model'!$D$27,G25,G26,G27,G28,G29)</f>
        <v>0</v>
      </c>
      <c r="H5" s="34">
        <f>CHOOSE('DCF Model'!$D$27,H25,H26,H27,H28,H29)</f>
        <v>0</v>
      </c>
    </row>
    <row r="6" spans="2:8" ht="14" customHeight="1" x14ac:dyDescent="0.3">
      <c r="B6" s="35" t="s">
        <v>180</v>
      </c>
      <c r="C6" s="35" t="s">
        <v>180</v>
      </c>
      <c r="D6" s="35" t="s">
        <v>180</v>
      </c>
      <c r="E6" s="35" t="s">
        <v>180</v>
      </c>
      <c r="F6" s="35" t="s">
        <v>180</v>
      </c>
      <c r="G6" s="35" t="s">
        <v>180</v>
      </c>
      <c r="H6" s="35" t="s">
        <v>180</v>
      </c>
    </row>
    <row r="7" spans="2:8" ht="14" customHeight="1" x14ac:dyDescent="0.3">
      <c r="B7" s="35" t="s">
        <v>180</v>
      </c>
      <c r="C7" s="35" t="s">
        <v>180</v>
      </c>
      <c r="D7" s="35" t="s">
        <v>180</v>
      </c>
      <c r="E7" s="35" t="s">
        <v>180</v>
      </c>
      <c r="F7" s="35" t="s">
        <v>180</v>
      </c>
      <c r="G7" s="35" t="s">
        <v>180</v>
      </c>
      <c r="H7" s="35" t="s">
        <v>180</v>
      </c>
    </row>
    <row r="8" spans="2:8" ht="14" customHeight="1" x14ac:dyDescent="0.3">
      <c r="B8" s="8" t="s">
        <v>181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37</v>
      </c>
      <c r="C9" s="36">
        <v>6659368</v>
      </c>
      <c r="D9" s="36">
        <f>'DCF Model'!C33</f>
        <v>6825852.1999999993</v>
      </c>
      <c r="E9" s="36">
        <f>'DCF Model'!D33</f>
        <v>6962369.243999999</v>
      </c>
      <c r="F9" s="36">
        <f>'DCF Model'!E33</f>
        <v>7101616.6288799988</v>
      </c>
      <c r="G9" s="36">
        <f>'DCF Model'!F33</f>
        <v>7208140.8783131978</v>
      </c>
      <c r="H9" s="36">
        <f>'DCF Model'!G33</f>
        <v>7316262.9914878951</v>
      </c>
    </row>
    <row r="10" spans="2:8" ht="14" customHeight="1" x14ac:dyDescent="0.3">
      <c r="B10" s="35" t="s">
        <v>180</v>
      </c>
      <c r="C10" s="35" t="s">
        <v>180</v>
      </c>
      <c r="D10" s="35" t="s">
        <v>180</v>
      </c>
      <c r="E10" s="35" t="s">
        <v>180</v>
      </c>
      <c r="F10" s="35" t="s">
        <v>180</v>
      </c>
      <c r="G10" s="35" t="s">
        <v>180</v>
      </c>
      <c r="H10" s="35" t="s">
        <v>180</v>
      </c>
    </row>
    <row r="11" spans="2:8" ht="14" customHeight="1" x14ac:dyDescent="0.3">
      <c r="B11" s="8" t="s">
        <v>182</v>
      </c>
      <c r="C11" s="9"/>
      <c r="D11" s="9"/>
      <c r="E11" s="9"/>
      <c r="F11" s="9"/>
      <c r="G11" s="9"/>
      <c r="H11" s="9"/>
    </row>
    <row r="12" spans="2:8" ht="14" customHeight="1" x14ac:dyDescent="0.3">
      <c r="B12" s="35" t="s">
        <v>180</v>
      </c>
      <c r="C12" s="35" t="s">
        <v>180</v>
      </c>
      <c r="D12" s="35" t="s">
        <v>180</v>
      </c>
      <c r="E12" s="35" t="s">
        <v>180</v>
      </c>
      <c r="F12" s="35" t="s">
        <v>180</v>
      </c>
      <c r="G12" s="35" t="s">
        <v>180</v>
      </c>
      <c r="H12" s="35" t="s">
        <v>180</v>
      </c>
    </row>
    <row r="13" spans="2:8" ht="14" customHeight="1" x14ac:dyDescent="0.3">
      <c r="B13" s="35" t="s">
        <v>180</v>
      </c>
      <c r="C13" s="35" t="s">
        <v>180</v>
      </c>
      <c r="D13" s="35" t="s">
        <v>180</v>
      </c>
      <c r="E13" s="35" t="s">
        <v>180</v>
      </c>
      <c r="F13" s="35" t="s">
        <v>180</v>
      </c>
      <c r="G13" s="35" t="s">
        <v>180</v>
      </c>
      <c r="H13" s="35" t="s">
        <v>180</v>
      </c>
    </row>
    <row r="14" spans="2:8" ht="14" customHeight="1" x14ac:dyDescent="0.3">
      <c r="B14" s="35" t="s">
        <v>180</v>
      </c>
      <c r="C14" s="35" t="s">
        <v>180</v>
      </c>
      <c r="D14" s="35" t="s">
        <v>180</v>
      </c>
      <c r="E14" s="35" t="s">
        <v>180</v>
      </c>
      <c r="F14" s="35" t="s">
        <v>180</v>
      </c>
      <c r="G14" s="35" t="s">
        <v>180</v>
      </c>
      <c r="H14" s="35" t="s">
        <v>180</v>
      </c>
    </row>
    <row r="15" spans="2:8" ht="14" customHeight="1" x14ac:dyDescent="0.3">
      <c r="B15" s="35" t="s">
        <v>180</v>
      </c>
      <c r="C15" s="35" t="s">
        <v>180</v>
      </c>
      <c r="D15" s="35" t="s">
        <v>180</v>
      </c>
      <c r="E15" s="35" t="s">
        <v>180</v>
      </c>
      <c r="F15" s="35" t="s">
        <v>180</v>
      </c>
      <c r="G15" s="35" t="s">
        <v>180</v>
      </c>
      <c r="H15" s="35" t="s">
        <v>180</v>
      </c>
    </row>
    <row r="16" spans="2:8" ht="14" customHeight="1" x14ac:dyDescent="0.3">
      <c r="B16" s="35" t="s">
        <v>180</v>
      </c>
      <c r="C16" s="35" t="s">
        <v>180</v>
      </c>
      <c r="D16" s="35" t="s">
        <v>180</v>
      </c>
      <c r="E16" s="35" t="s">
        <v>180</v>
      </c>
      <c r="F16" s="35" t="s">
        <v>180</v>
      </c>
      <c r="G16" s="35" t="s">
        <v>180</v>
      </c>
      <c r="H16" s="35" t="s">
        <v>180</v>
      </c>
    </row>
    <row r="17" spans="2:8" ht="14" customHeight="1" x14ac:dyDescent="0.3">
      <c r="B17" s="22" t="s">
        <v>183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184</v>
      </c>
      <c r="C18" s="20">
        <v>-27189</v>
      </c>
      <c r="D18" s="20">
        <f>D9*D5</f>
        <v>0</v>
      </c>
      <c r="E18" s="20">
        <f>E9*E5</f>
        <v>0</v>
      </c>
      <c r="F18" s="20">
        <f>F9*F5</f>
        <v>0</v>
      </c>
      <c r="G18" s="20">
        <f>G9*G5</f>
        <v>0</v>
      </c>
      <c r="H18" s="20">
        <f>H9*H5</f>
        <v>0</v>
      </c>
    </row>
    <row r="19" spans="2:8" ht="14" customHeight="1" x14ac:dyDescent="0.3">
      <c r="B19" s="33" t="s">
        <v>99</v>
      </c>
      <c r="C19" s="37" t="s">
        <v>47</v>
      </c>
      <c r="D19" s="24">
        <f>D18-C18</f>
        <v>27189</v>
      </c>
      <c r="E19" s="24">
        <f>E18-D18</f>
        <v>0</v>
      </c>
      <c r="F19" s="24">
        <f>F18-E18</f>
        <v>0</v>
      </c>
      <c r="G19" s="24">
        <f>G18-F18</f>
        <v>0</v>
      </c>
      <c r="H19" s="24">
        <f>H18-G18</f>
        <v>0</v>
      </c>
    </row>
    <row r="22" spans="2:8" ht="14" customHeight="1" x14ac:dyDescent="0.3">
      <c r="B22" s="22" t="s">
        <v>185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85</v>
      </c>
      <c r="E23" s="25" t="s">
        <v>86</v>
      </c>
      <c r="F23" s="25" t="s">
        <v>87</v>
      </c>
      <c r="G23" s="25" t="s">
        <v>88</v>
      </c>
      <c r="H23" s="25" t="s">
        <v>89</v>
      </c>
    </row>
    <row r="24" spans="2:8" ht="14" customHeight="1" x14ac:dyDescent="0.3">
      <c r="B24" s="3" t="s">
        <v>179</v>
      </c>
    </row>
    <row r="25" spans="2:8" ht="14" customHeight="1" x14ac:dyDescent="0.3">
      <c r="B25" s="4" t="s">
        <v>83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</row>
    <row r="26" spans="2:8" ht="14" customHeight="1" x14ac:dyDescent="0.3">
      <c r="B26" s="4" t="s">
        <v>120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</row>
    <row r="27" spans="2:8" ht="14" customHeight="1" x14ac:dyDescent="0.3">
      <c r="B27" s="4" t="s">
        <v>121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</row>
    <row r="28" spans="2:8" ht="14" customHeight="1" x14ac:dyDescent="0.3">
      <c r="B28" s="4" t="s">
        <v>122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</row>
    <row r="29" spans="2:8" ht="14" customHeight="1" x14ac:dyDescent="0.3">
      <c r="B29" s="4" t="s">
        <v>123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186</v>
      </c>
    </row>
    <row r="3" spans="2:17" ht="14" customHeight="1" x14ac:dyDescent="0.3">
      <c r="B3" s="1" t="s">
        <v>187</v>
      </c>
    </row>
    <row r="4" spans="2:17" ht="28" customHeight="1" x14ac:dyDescent="0.3">
      <c r="B4" s="10" t="s">
        <v>3</v>
      </c>
      <c r="C4" s="10" t="s">
        <v>5</v>
      </c>
      <c r="D4" s="10" t="s">
        <v>188</v>
      </c>
      <c r="E4" s="10" t="s">
        <v>189</v>
      </c>
      <c r="F4" s="10" t="s">
        <v>190</v>
      </c>
      <c r="G4" s="10" t="s">
        <v>191</v>
      </c>
      <c r="H4" s="10" t="s">
        <v>192</v>
      </c>
      <c r="I4" s="10" t="s">
        <v>193</v>
      </c>
      <c r="J4" s="10" t="s">
        <v>194</v>
      </c>
      <c r="K4" s="10" t="s">
        <v>195</v>
      </c>
      <c r="L4" s="10" t="s">
        <v>196</v>
      </c>
      <c r="M4" s="10" t="s">
        <v>197</v>
      </c>
      <c r="N4" s="10" t="s">
        <v>198</v>
      </c>
      <c r="O4" s="10" t="s">
        <v>199</v>
      </c>
      <c r="P4" s="10" t="s">
        <v>200</v>
      </c>
      <c r="Q4" s="10" t="s">
        <v>201</v>
      </c>
    </row>
    <row r="5" spans="2:17" ht="14" customHeight="1" x14ac:dyDescent="0.3">
      <c r="B5" s="4" t="s">
        <v>202</v>
      </c>
      <c r="C5" t="s">
        <v>203</v>
      </c>
      <c r="D5" s="38">
        <f>'Executive Summary'!C9*C23/1000000</f>
        <v>11441825.7720936</v>
      </c>
      <c r="E5" s="38">
        <f>D5+C24</f>
        <v>18143921.772093602</v>
      </c>
      <c r="F5" s="38">
        <v>6659368</v>
      </c>
      <c r="G5" s="38">
        <v>1709261</v>
      </c>
      <c r="H5" s="38">
        <v>956286</v>
      </c>
      <c r="I5" s="38">
        <v>550759</v>
      </c>
      <c r="J5" s="39">
        <f>IFERROR(E5/G5,"")</f>
        <v>10.615068015998494</v>
      </c>
      <c r="K5" s="39">
        <f>IFERROR(E5/F5,"")</f>
        <v>2.7245711262830952</v>
      </c>
      <c r="L5" s="39">
        <f>IFERROR(D5/I5,"")</f>
        <v>20.774650567841107</v>
      </c>
      <c r="M5" s="39">
        <f>IFERROR(D5/P5,"")</f>
        <v>3.8682796482501702</v>
      </c>
      <c r="N5" s="40">
        <f>IFERROR(H5/F5,"")</f>
        <v>0.14360011340415488</v>
      </c>
      <c r="O5" s="40">
        <f>IFERROR(I5/P5,"")</f>
        <v>0.18620191158537308</v>
      </c>
      <c r="P5" s="38">
        <v>2957859</v>
      </c>
    </row>
    <row r="6" spans="2:17" ht="14" customHeight="1" x14ac:dyDescent="0.3">
      <c r="B6" s="4" t="s">
        <v>204</v>
      </c>
      <c r="C6" t="s">
        <v>205</v>
      </c>
      <c r="D6" s="38">
        <v>13985423</v>
      </c>
      <c r="E6" s="38">
        <v>28983081</v>
      </c>
      <c r="F6" s="38">
        <v>14409121</v>
      </c>
      <c r="G6" s="38">
        <v>3577393</v>
      </c>
      <c r="H6" s="38">
        <v>1786410</v>
      </c>
      <c r="I6" s="38">
        <v>1037032</v>
      </c>
      <c r="J6" s="39">
        <f>IFERROR(E6/G6,"")</f>
        <v>8.1017324627179619</v>
      </c>
      <c r="K6" s="39">
        <f>IFERROR(E6/F6,"")</f>
        <v>2.0114399067090907</v>
      </c>
      <c r="L6" s="39">
        <f>IFERROR(D6/I6,"")</f>
        <v>13.486009110615679</v>
      </c>
      <c r="M6" s="39">
        <f>IFERROR(D6/P6,"")</f>
        <v>1.4377019956468295</v>
      </c>
      <c r="N6" s="40">
        <f>IFERROR(H6/F6,"")</f>
        <v>0.12397772216639724</v>
      </c>
      <c r="O6" s="40">
        <f>IFERROR(I6/P6,"")</f>
        <v>0.10660692750942342</v>
      </c>
      <c r="P6" s="38">
        <v>9727623</v>
      </c>
    </row>
    <row r="7" spans="2:17" ht="14" customHeight="1" x14ac:dyDescent="0.3">
      <c r="B7" s="4" t="s">
        <v>206</v>
      </c>
      <c r="C7" t="s">
        <v>207</v>
      </c>
      <c r="D7" s="38">
        <v>11017665</v>
      </c>
      <c r="E7" s="38">
        <v>15744495</v>
      </c>
      <c r="F7" s="38">
        <v>6071915</v>
      </c>
      <c r="G7" s="38">
        <v>1747505</v>
      </c>
      <c r="H7" s="38">
        <v>1059234</v>
      </c>
      <c r="I7" s="38">
        <v>707112</v>
      </c>
      <c r="J7" s="39">
        <f>IFERROR(E7/G7,"")</f>
        <v>9.0096995430628244</v>
      </c>
      <c r="K7" s="39">
        <f>IFERROR(E7/F7,"")</f>
        <v>2.593003195861602</v>
      </c>
      <c r="L7" s="39">
        <f>IFERROR(D7/I7,"")</f>
        <v>15.581216271255473</v>
      </c>
      <c r="M7" s="39">
        <f>IFERROR(D7/P7,"")</f>
        <v>2.1702252509386932</v>
      </c>
      <c r="N7" s="40">
        <f>IFERROR(H7/F7,"")</f>
        <v>0.17444809421739271</v>
      </c>
      <c r="O7" s="40">
        <f>IFERROR(I7/P7,"")</f>
        <v>0.13928471392457126</v>
      </c>
      <c r="P7" s="38">
        <v>5076738</v>
      </c>
    </row>
    <row r="8" spans="2:17" ht="14" customHeight="1" x14ac:dyDescent="0.3">
      <c r="B8" s="4" t="s">
        <v>208</v>
      </c>
      <c r="C8" t="s">
        <v>209</v>
      </c>
      <c r="D8" s="38">
        <v>382283</v>
      </c>
      <c r="E8" s="38">
        <v>378881</v>
      </c>
      <c r="F8" s="38">
        <v>86348</v>
      </c>
      <c r="G8" s="38">
        <v>25048</v>
      </c>
      <c r="H8" s="38">
        <v>18697</v>
      </c>
      <c r="I8" s="38">
        <v>13217</v>
      </c>
      <c r="J8" s="39">
        <f>IFERROR(E8/G8,"")</f>
        <v>15.126197700415203</v>
      </c>
      <c r="K8" s="39">
        <f>IFERROR(E8/F8,"")</f>
        <v>4.3878375874368833</v>
      </c>
      <c r="L8" s="39">
        <f>IFERROR(D8/I8,"")</f>
        <v>28.923583263978209</v>
      </c>
      <c r="M8" s="39">
        <f>IFERROR(D8/P8,"")</f>
        <v>3.8628100843732631</v>
      </c>
      <c r="N8" s="40">
        <f>IFERROR(H8/F8,"")</f>
        <v>0.21653078241534257</v>
      </c>
      <c r="O8" s="40">
        <f>IFERROR(I8/P8,"")</f>
        <v>0.13355226595260949</v>
      </c>
      <c r="P8" s="38">
        <v>98965</v>
      </c>
    </row>
    <row r="14" spans="2:17" ht="14" customHeight="1" x14ac:dyDescent="0.3">
      <c r="B14" s="3" t="s">
        <v>210</v>
      </c>
    </row>
    <row r="15" spans="2:17" ht="14" customHeight="1" x14ac:dyDescent="0.3">
      <c r="B15" s="4" t="s">
        <v>211</v>
      </c>
      <c r="D15" s="39">
        <f t="shared" ref="D15:I15" si="0">PERCENTILE(J6:J8,0.25)</f>
        <v>8.5557160028903922</v>
      </c>
      <c r="E15" s="39">
        <f t="shared" si="0"/>
        <v>2.3022215512853466</v>
      </c>
      <c r="F15" s="39">
        <f t="shared" si="0"/>
        <v>14.533612690935577</v>
      </c>
      <c r="G15" s="39">
        <f t="shared" si="0"/>
        <v>1.8039636232927614</v>
      </c>
      <c r="H15" s="40">
        <f t="shared" si="0"/>
        <v>0.14921290819189498</v>
      </c>
      <c r="I15" s="40">
        <f t="shared" si="0"/>
        <v>0.12007959673101645</v>
      </c>
    </row>
    <row r="16" spans="2:17" ht="14" customHeight="1" x14ac:dyDescent="0.3">
      <c r="B16" s="4" t="s">
        <v>212</v>
      </c>
      <c r="D16" s="39">
        <f t="shared" ref="D16:I16" si="1">MEDIAN(J6:J8)</f>
        <v>9.0096995430628244</v>
      </c>
      <c r="E16" s="39">
        <f t="shared" si="1"/>
        <v>2.593003195861602</v>
      </c>
      <c r="F16" s="39">
        <f t="shared" si="1"/>
        <v>15.581216271255473</v>
      </c>
      <c r="G16" s="39">
        <f t="shared" si="1"/>
        <v>2.1702252509386932</v>
      </c>
      <c r="H16" s="40">
        <f t="shared" si="1"/>
        <v>0.17444809421739271</v>
      </c>
      <c r="I16" s="40">
        <f t="shared" si="1"/>
        <v>0.13355226595260949</v>
      </c>
    </row>
    <row r="17" spans="2:9" ht="14" customHeight="1" x14ac:dyDescent="0.3">
      <c r="B17" s="4" t="s">
        <v>213</v>
      </c>
      <c r="D17" s="39">
        <f t="shared" ref="D17:I17" si="2">PERCENTILE(J6:J8,0.75)</f>
        <v>12.067948621739014</v>
      </c>
      <c r="E17" s="39">
        <f t="shared" si="2"/>
        <v>3.4904203916492427</v>
      </c>
      <c r="F17" s="39">
        <f t="shared" si="2"/>
        <v>22.25239976761684</v>
      </c>
      <c r="G17" s="39">
        <f t="shared" si="2"/>
        <v>3.016517667655978</v>
      </c>
      <c r="H17" s="40">
        <f t="shared" si="2"/>
        <v>0.19548943831636764</v>
      </c>
      <c r="I17" s="40">
        <f t="shared" si="2"/>
        <v>0.13641848993859038</v>
      </c>
    </row>
    <row r="19" spans="2:9" ht="14" customHeight="1" x14ac:dyDescent="0.3">
      <c r="B19" s="22" t="s">
        <v>214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215</v>
      </c>
    </row>
    <row r="21" spans="2:9" ht="14" customHeight="1" x14ac:dyDescent="0.3">
      <c r="B21" s="4" t="s">
        <v>216</v>
      </c>
      <c r="C21" s="5">
        <v>1709261</v>
      </c>
    </row>
    <row r="22" spans="2:9" ht="14" customHeight="1" x14ac:dyDescent="0.3">
      <c r="B22" s="4" t="s">
        <v>217</v>
      </c>
      <c r="C22" s="5">
        <v>550759</v>
      </c>
    </row>
    <row r="23" spans="2:9" ht="14" customHeight="1" x14ac:dyDescent="0.3">
      <c r="B23" s="4" t="s">
        <v>218</v>
      </c>
      <c r="C23" s="15">
        <v>47833719783</v>
      </c>
    </row>
    <row r="24" spans="2:9" ht="14" customHeight="1" x14ac:dyDescent="0.3">
      <c r="B24" s="4" t="s">
        <v>72</v>
      </c>
      <c r="C24" s="5">
        <v>6702096</v>
      </c>
    </row>
    <row r="26" spans="2:9" ht="14" customHeight="1" x14ac:dyDescent="0.3">
      <c r="B26" s="3" t="s">
        <v>219</v>
      </c>
    </row>
    <row r="27" spans="2:9" ht="14" customHeight="1" x14ac:dyDescent="0.3">
      <c r="B27" s="4" t="s">
        <v>220</v>
      </c>
      <c r="C27" s="24">
        <f>ROUND((C21*D16-C24)*1000000/C23,0)</f>
        <v>182</v>
      </c>
    </row>
    <row r="28" spans="2:9" ht="14" customHeight="1" x14ac:dyDescent="0.3">
      <c r="B28" s="4" t="s">
        <v>221</v>
      </c>
      <c r="C28" s="24">
        <f>ROUND(C22*F16*1000000/C23,0)</f>
        <v>179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222</v>
      </c>
    </row>
    <row r="3" spans="2:9" ht="14" customHeight="1" x14ac:dyDescent="0.3">
      <c r="B3" s="4" t="s">
        <v>223</v>
      </c>
      <c r="C3" s="16">
        <f>'DCF Model'!C26</f>
        <v>4.8690250977424653E-2</v>
      </c>
      <c r="E3" s="4" t="s">
        <v>224</v>
      </c>
      <c r="F3" s="16">
        <f>'DCF Model'!C13</f>
        <v>0.01</v>
      </c>
      <c r="H3" s="4" t="s">
        <v>225</v>
      </c>
      <c r="I3" s="14">
        <f>'DCF Model'!C14</f>
        <v>8.1</v>
      </c>
    </row>
    <row r="5" spans="2:9" ht="14" customHeight="1" x14ac:dyDescent="0.3">
      <c r="B5" s="3" t="s">
        <v>226</v>
      </c>
    </row>
    <row r="6" spans="2:9" ht="14" customHeight="1" x14ac:dyDescent="0.3">
      <c r="B6" s="41" t="s">
        <v>227</v>
      </c>
      <c r="C6" s="42">
        <f>$F$3-0.0075</f>
        <v>2.5000000000000005E-3</v>
      </c>
      <c r="D6" s="42">
        <f>$F$3-0.005</f>
        <v>5.0000000000000001E-3</v>
      </c>
      <c r="E6" s="42">
        <f>$F$3-0.0025</f>
        <v>7.4999999999999997E-3</v>
      </c>
      <c r="F6" s="42">
        <f>$F$3</f>
        <v>0.01</v>
      </c>
      <c r="G6" s="42">
        <f>$F$3+0.0025</f>
        <v>1.2500000000000001E-2</v>
      </c>
      <c r="H6" s="42">
        <f>$F$3+0.005</f>
        <v>1.4999999999999999E-2</v>
      </c>
      <c r="I6" s="42">
        <f>$F$3+0.0075</f>
        <v>1.7500000000000002E-2</v>
      </c>
    </row>
    <row r="7" spans="2:9" ht="13.5" customHeight="1" x14ac:dyDescent="0.25">
      <c r="B7" s="40">
        <f>$C$3-0.015</f>
        <v>3.3690250977424653E-2</v>
      </c>
      <c r="C7" s="38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380</v>
      </c>
      <c r="D7" s="38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420</v>
      </c>
      <c r="E7" s="38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468</v>
      </c>
      <c r="F7" s="38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527</v>
      </c>
      <c r="G7" s="38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598</v>
      </c>
      <c r="H7" s="38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690</v>
      </c>
      <c r="I7" s="38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809</v>
      </c>
    </row>
    <row r="8" spans="2:9" ht="13.5" customHeight="1" x14ac:dyDescent="0.25">
      <c r="B8" s="40">
        <f>$C$3-0.01</f>
        <v>3.8690250977424651E-2</v>
      </c>
      <c r="C8" s="38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308</v>
      </c>
      <c r="D8" s="38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337</v>
      </c>
      <c r="E8" s="38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371</v>
      </c>
      <c r="F8" s="38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410</v>
      </c>
      <c r="G8" s="38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457</v>
      </c>
      <c r="H8" s="38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514</v>
      </c>
      <c r="I8" s="38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585</v>
      </c>
    </row>
    <row r="9" spans="2:9" ht="13.5" customHeight="1" x14ac:dyDescent="0.25">
      <c r="B9" s="40">
        <f>$C$3-0.005</f>
        <v>4.3690250977424655E-2</v>
      </c>
      <c r="C9" s="38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253</v>
      </c>
      <c r="D9" s="38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275</v>
      </c>
      <c r="E9" s="38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300</v>
      </c>
      <c r="F9" s="38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328</v>
      </c>
      <c r="G9" s="38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361</v>
      </c>
      <c r="H9" s="38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400</v>
      </c>
      <c r="I9" s="38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446</v>
      </c>
    </row>
    <row r="10" spans="2:9" ht="13.5" customHeight="1" x14ac:dyDescent="0.25">
      <c r="B10" s="40">
        <f>$C$3</f>
        <v>4.8690250977424653E-2</v>
      </c>
      <c r="C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210</v>
      </c>
      <c r="D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227</v>
      </c>
      <c r="E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246</v>
      </c>
      <c r="F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268</v>
      </c>
      <c r="G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292</v>
      </c>
      <c r="H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320</v>
      </c>
      <c r="I10" s="38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352</v>
      </c>
    </row>
    <row r="11" spans="2:9" ht="13.5" customHeight="1" x14ac:dyDescent="0.25">
      <c r="B11" s="40">
        <f>$C$3+0.005</f>
        <v>5.369025097742465E-2</v>
      </c>
      <c r="C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176</v>
      </c>
      <c r="D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189</v>
      </c>
      <c r="E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204</v>
      </c>
      <c r="F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221</v>
      </c>
      <c r="G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239</v>
      </c>
      <c r="H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260</v>
      </c>
      <c r="I11" s="38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284</v>
      </c>
    </row>
    <row r="12" spans="2:9" ht="13.5" customHeight="1" x14ac:dyDescent="0.25">
      <c r="B12" s="40">
        <f>$C$3+0.01</f>
        <v>5.8690250977424654E-2</v>
      </c>
      <c r="C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148</v>
      </c>
      <c r="D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158</v>
      </c>
      <c r="E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170</v>
      </c>
      <c r="F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184</v>
      </c>
      <c r="G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198</v>
      </c>
      <c r="H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214</v>
      </c>
      <c r="I12" s="38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233</v>
      </c>
    </row>
    <row r="13" spans="2:9" ht="13.5" customHeight="1" x14ac:dyDescent="0.25">
      <c r="B13" s="40">
        <f>$C$3+0.015</f>
        <v>6.3690250977424645E-2</v>
      </c>
      <c r="C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124</v>
      </c>
      <c r="D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133</v>
      </c>
      <c r="E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143</v>
      </c>
      <c r="F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153</v>
      </c>
      <c r="G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165</v>
      </c>
      <c r="H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178</v>
      </c>
      <c r="I13" s="38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192</v>
      </c>
    </row>
    <row r="16" spans="2:9" ht="14" customHeight="1" x14ac:dyDescent="0.3">
      <c r="B16" s="3" t="s">
        <v>228</v>
      </c>
    </row>
    <row r="17" spans="2:9" ht="14" customHeight="1" x14ac:dyDescent="0.3">
      <c r="B17" s="41" t="s">
        <v>229</v>
      </c>
      <c r="C17" s="43">
        <f>$I$3-3</f>
        <v>5.0999999999999996</v>
      </c>
      <c r="D17" s="43">
        <f>$I$3-2</f>
        <v>6.1</v>
      </c>
      <c r="E17" s="43">
        <f>$I$3-1</f>
        <v>7.1</v>
      </c>
      <c r="F17" s="43">
        <f>$I$3</f>
        <v>8.1</v>
      </c>
      <c r="G17" s="43">
        <f>$I$3+1</f>
        <v>9.1</v>
      </c>
      <c r="H17" s="43">
        <f>$I$3+2</f>
        <v>10.1</v>
      </c>
      <c r="I17" s="43">
        <f>$I$3+3</f>
        <v>11.1</v>
      </c>
    </row>
    <row r="18" spans="2:9" ht="13.5" customHeight="1" x14ac:dyDescent="0.25">
      <c r="B18" s="40">
        <f>$C$3-0.015</f>
        <v>3.3690250977424653E-2</v>
      </c>
      <c r="C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101</v>
      </c>
      <c r="D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134</v>
      </c>
      <c r="E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168</v>
      </c>
      <c r="F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201</v>
      </c>
      <c r="G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234</v>
      </c>
      <c r="H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267</v>
      </c>
      <c r="I18" s="38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301</v>
      </c>
    </row>
    <row r="19" spans="2:9" ht="13.5" customHeight="1" x14ac:dyDescent="0.25">
      <c r="B19" s="40">
        <f>$C$3-0.01</f>
        <v>3.8690250977424651E-2</v>
      </c>
      <c r="C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96</v>
      </c>
      <c r="D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129</v>
      </c>
      <c r="E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161</v>
      </c>
      <c r="F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194</v>
      </c>
      <c r="G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226</v>
      </c>
      <c r="H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258</v>
      </c>
      <c r="I19" s="38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291</v>
      </c>
    </row>
    <row r="20" spans="2:9" ht="13.5" customHeight="1" x14ac:dyDescent="0.25">
      <c r="B20" s="40">
        <f>$C$3-0.005</f>
        <v>4.3690250977424655E-2</v>
      </c>
      <c r="C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91</v>
      </c>
      <c r="D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123</v>
      </c>
      <c r="E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155</v>
      </c>
      <c r="F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186</v>
      </c>
      <c r="G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218</v>
      </c>
      <c r="H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250</v>
      </c>
      <c r="I20" s="38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281</v>
      </c>
    </row>
    <row r="21" spans="2:9" ht="13.5" customHeight="1" x14ac:dyDescent="0.25">
      <c r="B21" s="40">
        <f>$C$3</f>
        <v>4.8690250977424653E-2</v>
      </c>
      <c r="C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86</v>
      </c>
      <c r="D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117</v>
      </c>
      <c r="E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148</v>
      </c>
      <c r="F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179</v>
      </c>
      <c r="G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210</v>
      </c>
      <c r="H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241</v>
      </c>
      <c r="I21" s="38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272</v>
      </c>
    </row>
    <row r="22" spans="2:9" ht="13.5" customHeight="1" x14ac:dyDescent="0.25">
      <c r="B22" s="40">
        <f>$C$3+0.005</f>
        <v>5.369025097742465E-2</v>
      </c>
      <c r="C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82</v>
      </c>
      <c r="D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112</v>
      </c>
      <c r="E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142</v>
      </c>
      <c r="F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172</v>
      </c>
      <c r="G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203</v>
      </c>
      <c r="H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233</v>
      </c>
      <c r="I22" s="38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263</v>
      </c>
    </row>
    <row r="23" spans="2:9" ht="13.5" customHeight="1" x14ac:dyDescent="0.25">
      <c r="B23" s="40">
        <f>$C$3+0.01</f>
        <v>5.8690250977424654E-2</v>
      </c>
      <c r="C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77</v>
      </c>
      <c r="D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107</v>
      </c>
      <c r="E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136</v>
      </c>
      <c r="F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166</v>
      </c>
      <c r="G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195</v>
      </c>
      <c r="H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225</v>
      </c>
      <c r="I23" s="38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254</v>
      </c>
    </row>
    <row r="24" spans="2:9" ht="13.5" customHeight="1" x14ac:dyDescent="0.25">
      <c r="B24" s="40">
        <f>$C$3+0.015</f>
        <v>6.3690250977424645E-2</v>
      </c>
      <c r="C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73</v>
      </c>
      <c r="D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102</v>
      </c>
      <c r="E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130</v>
      </c>
      <c r="F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159</v>
      </c>
      <c r="G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188</v>
      </c>
      <c r="H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217</v>
      </c>
      <c r="I24" s="38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246</v>
      </c>
    </row>
    <row r="26" spans="2:9" ht="14" customHeight="1" x14ac:dyDescent="0.3">
      <c r="B26" s="59" t="s">
        <v>230</v>
      </c>
      <c r="C26" s="58"/>
      <c r="D26" s="58"/>
      <c r="E26" s="58"/>
      <c r="F26" s="58"/>
      <c r="G26" s="58"/>
      <c r="H26" s="58"/>
      <c r="I26" s="58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6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231</v>
      </c>
    </row>
    <row r="4" spans="2:7" ht="14" customHeight="1" x14ac:dyDescent="0.3">
      <c r="B4" s="10" t="s">
        <v>232</v>
      </c>
      <c r="C4" s="10" t="s">
        <v>233</v>
      </c>
      <c r="D4" s="10" t="s">
        <v>234</v>
      </c>
      <c r="E4" s="10" t="s">
        <v>235</v>
      </c>
      <c r="F4" s="10" t="s">
        <v>236</v>
      </c>
      <c r="G4" s="10" t="s">
        <v>237</v>
      </c>
    </row>
    <row r="5" spans="2:7" x14ac:dyDescent="0.2">
      <c r="B5" t="s">
        <v>238</v>
      </c>
      <c r="C5" t="s">
        <v>239</v>
      </c>
      <c r="D5" t="s">
        <v>240</v>
      </c>
      <c r="E5" t="s">
        <v>241</v>
      </c>
      <c r="F5" t="s">
        <v>239</v>
      </c>
      <c r="G5" t="s">
        <v>242</v>
      </c>
    </row>
    <row r="6" spans="2:7" ht="30" customHeight="1" x14ac:dyDescent="0.3">
      <c r="B6" t="s">
        <v>238</v>
      </c>
      <c r="C6" s="4" t="s">
        <v>243</v>
      </c>
      <c r="D6" t="s">
        <v>244</v>
      </c>
      <c r="E6" t="s">
        <v>245</v>
      </c>
      <c r="F6" t="s">
        <v>246</v>
      </c>
      <c r="G6" t="s">
        <v>247</v>
      </c>
    </row>
    <row r="12" spans="2:7" ht="14" customHeight="1" x14ac:dyDescent="0.3">
      <c r="B12" s="8" t="s">
        <v>248</v>
      </c>
    </row>
    <row r="13" spans="2:7" ht="14" customHeight="1" x14ac:dyDescent="0.3">
      <c r="B13" s="10" t="s">
        <v>249</v>
      </c>
      <c r="C13" s="10" t="s">
        <v>250</v>
      </c>
    </row>
    <row r="14" spans="2:7" ht="14" customHeight="1" x14ac:dyDescent="0.3">
      <c r="B14" s="4" t="s">
        <v>251</v>
      </c>
      <c r="C14" t="s">
        <v>252</v>
      </c>
    </row>
    <row r="15" spans="2:7" ht="14" customHeight="1" x14ac:dyDescent="0.3">
      <c r="B15" s="4" t="s">
        <v>253</v>
      </c>
      <c r="C15" t="s">
        <v>254</v>
      </c>
    </row>
    <row r="16" spans="2:7" ht="14" customHeight="1" x14ac:dyDescent="0.3">
      <c r="B16" s="4" t="s">
        <v>255</v>
      </c>
      <c r="C16" t="s">
        <v>256</v>
      </c>
    </row>
    <row r="17" spans="2:3" ht="14" customHeight="1" x14ac:dyDescent="0.3">
      <c r="B17" s="4" t="s">
        <v>257</v>
      </c>
      <c r="C17" t="s">
        <v>258</v>
      </c>
    </row>
    <row r="18" spans="2:3" ht="14" customHeight="1" x14ac:dyDescent="0.3">
      <c r="B18" s="4" t="s">
        <v>259</v>
      </c>
      <c r="C18" t="s">
        <v>256</v>
      </c>
    </row>
    <row r="19" spans="2:3" ht="14" customHeight="1" x14ac:dyDescent="0.3">
      <c r="B19" s="4" t="s">
        <v>260</v>
      </c>
      <c r="C19" t="s">
        <v>261</v>
      </c>
    </row>
    <row r="20" spans="2:3" ht="14" customHeight="1" x14ac:dyDescent="0.3">
      <c r="B20" s="4" t="s">
        <v>262</v>
      </c>
      <c r="C20" t="s">
        <v>263</v>
      </c>
    </row>
    <row r="21" spans="2:3" ht="14" customHeight="1" x14ac:dyDescent="0.3">
      <c r="B21" s="4" t="s">
        <v>264</v>
      </c>
      <c r="C21" t="s">
        <v>265</v>
      </c>
    </row>
    <row r="22" spans="2:3" ht="14" customHeight="1" x14ac:dyDescent="0.3">
      <c r="B22" s="4" t="s">
        <v>266</v>
      </c>
      <c r="C22" t="s">
        <v>267</v>
      </c>
    </row>
    <row r="23" spans="2:3" ht="14" customHeight="1" x14ac:dyDescent="0.3">
      <c r="B23" s="4" t="s">
        <v>268</v>
      </c>
      <c r="C23" t="s">
        <v>47</v>
      </c>
    </row>
    <row r="24" spans="2:3" ht="14" customHeight="1" x14ac:dyDescent="0.3">
      <c r="B24" s="4" t="s">
        <v>269</v>
      </c>
      <c r="C24" t="s">
        <v>4</v>
      </c>
    </row>
    <row r="25" spans="2:3" ht="14" customHeight="1" x14ac:dyDescent="0.3">
      <c r="B25" s="4" t="s">
        <v>270</v>
      </c>
      <c r="C25" t="s">
        <v>238</v>
      </c>
    </row>
    <row r="26" spans="2:3" ht="14" customHeight="1" x14ac:dyDescent="0.3">
      <c r="B26" s="4" t="s">
        <v>271</v>
      </c>
      <c r="C26" t="s">
        <v>272</v>
      </c>
    </row>
    <row r="27" spans="2:3" ht="14" customHeight="1" x14ac:dyDescent="0.3">
      <c r="B27" s="4" t="s">
        <v>273</v>
      </c>
      <c r="C27" t="s">
        <v>261</v>
      </c>
    </row>
    <row r="28" spans="2:3" ht="14" customHeight="1" x14ac:dyDescent="0.3">
      <c r="B28" s="4" t="s">
        <v>274</v>
      </c>
      <c r="C28" t="s">
        <v>261</v>
      </c>
    </row>
    <row r="29" spans="2:3" ht="14" customHeight="1" x14ac:dyDescent="0.3">
      <c r="B29" s="4" t="s">
        <v>275</v>
      </c>
      <c r="C29" t="s">
        <v>276</v>
      </c>
    </row>
    <row r="30" spans="2:3" ht="14" customHeight="1" x14ac:dyDescent="0.3">
      <c r="B30" s="4" t="s">
        <v>277</v>
      </c>
      <c r="C30" t="s">
        <v>278</v>
      </c>
    </row>
    <row r="31" spans="2:3" ht="14" customHeight="1" x14ac:dyDescent="0.3">
      <c r="B31" s="4" t="s">
        <v>279</v>
      </c>
      <c r="C31" t="s">
        <v>280</v>
      </c>
    </row>
    <row r="32" spans="2:3" ht="14" customHeight="1" x14ac:dyDescent="0.3">
      <c r="B32" s="4" t="s">
        <v>281</v>
      </c>
      <c r="C32" t="s">
        <v>276</v>
      </c>
    </row>
    <row r="33" spans="2:3" ht="14" customHeight="1" x14ac:dyDescent="0.3">
      <c r="B33" s="4" t="s">
        <v>282</v>
      </c>
      <c r="C33" t="s">
        <v>261</v>
      </c>
    </row>
    <row r="34" spans="2:3" ht="14" customHeight="1" x14ac:dyDescent="0.3">
      <c r="B34" s="4" t="s">
        <v>283</v>
      </c>
      <c r="C34" t="s">
        <v>272</v>
      </c>
    </row>
    <row r="35" spans="2:3" ht="14" customHeight="1" x14ac:dyDescent="0.3">
      <c r="B35" s="4" t="s">
        <v>284</v>
      </c>
      <c r="C35" t="s">
        <v>285</v>
      </c>
    </row>
    <row r="36" spans="2:3" ht="14" customHeight="1" x14ac:dyDescent="0.3">
      <c r="B36" s="4" t="s">
        <v>286</v>
      </c>
      <c r="C36" t="s">
        <v>287</v>
      </c>
    </row>
    <row r="37" spans="2:3" ht="14" customHeight="1" x14ac:dyDescent="0.3">
      <c r="B37" s="4" t="s">
        <v>288</v>
      </c>
      <c r="C37" t="s">
        <v>289</v>
      </c>
    </row>
    <row r="38" spans="2:3" ht="14" customHeight="1" x14ac:dyDescent="0.3">
      <c r="B38" s="4" t="s">
        <v>290</v>
      </c>
      <c r="C38" t="s">
        <v>291</v>
      </c>
    </row>
    <row r="39" spans="2:3" ht="14" customHeight="1" x14ac:dyDescent="0.3">
      <c r="B39" s="4" t="s">
        <v>292</v>
      </c>
      <c r="C39" t="s">
        <v>293</v>
      </c>
    </row>
    <row r="40" spans="2:3" ht="14" customHeight="1" x14ac:dyDescent="0.3">
      <c r="B40" s="4" t="s">
        <v>294</v>
      </c>
      <c r="C40" t="s">
        <v>295</v>
      </c>
    </row>
    <row r="41" spans="2:3" ht="14" customHeight="1" x14ac:dyDescent="0.3">
      <c r="B41" s="4" t="s">
        <v>296</v>
      </c>
      <c r="C41" t="s">
        <v>265</v>
      </c>
    </row>
    <row r="42" spans="2:3" ht="14" customHeight="1" x14ac:dyDescent="0.3">
      <c r="B42" s="4" t="s">
        <v>297</v>
      </c>
      <c r="C42" t="s">
        <v>267</v>
      </c>
    </row>
    <row r="43" spans="2:3" ht="14" customHeight="1" x14ac:dyDescent="0.3">
      <c r="B43" s="4" t="s">
        <v>298</v>
      </c>
      <c r="C43" t="s">
        <v>299</v>
      </c>
    </row>
    <row r="44" spans="2:3" ht="14" customHeight="1" x14ac:dyDescent="0.3">
      <c r="B44" s="4" t="s">
        <v>300</v>
      </c>
      <c r="C44" t="s">
        <v>301</v>
      </c>
    </row>
    <row r="45" spans="2:3" ht="14" customHeight="1" x14ac:dyDescent="0.3">
      <c r="B45" s="4" t="s">
        <v>302</v>
      </c>
      <c r="C45" t="s">
        <v>303</v>
      </c>
    </row>
    <row r="46" spans="2:3" ht="14" customHeight="1" x14ac:dyDescent="0.3">
      <c r="B46" s="4" t="s">
        <v>304</v>
      </c>
      <c r="C46" t="s">
        <v>305</v>
      </c>
    </row>
    <row r="47" spans="2:3" ht="14" customHeight="1" x14ac:dyDescent="0.3">
      <c r="B47" s="4" t="s">
        <v>306</v>
      </c>
      <c r="C47" t="s">
        <v>307</v>
      </c>
    </row>
    <row r="48" spans="2:3" ht="14" customHeight="1" x14ac:dyDescent="0.3">
      <c r="B48" s="4" t="s">
        <v>308</v>
      </c>
      <c r="C48" t="s">
        <v>309</v>
      </c>
    </row>
    <row r="49" spans="2:3" ht="14" customHeight="1" x14ac:dyDescent="0.3">
      <c r="B49" s="4" t="s">
        <v>310</v>
      </c>
      <c r="C49" t="s">
        <v>311</v>
      </c>
    </row>
    <row r="50" spans="2:3" ht="14" customHeight="1" x14ac:dyDescent="0.3">
      <c r="B50" s="4" t="s">
        <v>312</v>
      </c>
      <c r="C50" t="s">
        <v>313</v>
      </c>
    </row>
    <row r="51" spans="2:3" ht="14" customHeight="1" x14ac:dyDescent="0.3">
      <c r="B51" s="4" t="s">
        <v>314</v>
      </c>
      <c r="C51" t="s">
        <v>315</v>
      </c>
    </row>
    <row r="52" spans="2:3" ht="14" customHeight="1" x14ac:dyDescent="0.3">
      <c r="B52" s="4" t="s">
        <v>316</v>
      </c>
      <c r="C52" t="s">
        <v>317</v>
      </c>
    </row>
    <row r="53" spans="2:3" ht="14" customHeight="1" x14ac:dyDescent="0.3">
      <c r="B53" s="4" t="s">
        <v>318</v>
      </c>
      <c r="C53" t="s">
        <v>319</v>
      </c>
    </row>
    <row r="54" spans="2:3" ht="14" customHeight="1" x14ac:dyDescent="0.3">
      <c r="B54" s="4" t="s">
        <v>320</v>
      </c>
      <c r="C54" t="s">
        <v>321</v>
      </c>
    </row>
    <row r="55" spans="2:3" ht="14" customHeight="1" x14ac:dyDescent="0.3">
      <c r="B55" s="4" t="s">
        <v>322</v>
      </c>
      <c r="C55" t="s">
        <v>323</v>
      </c>
    </row>
    <row r="56" spans="2:3" ht="14" customHeight="1" x14ac:dyDescent="0.3">
      <c r="B56" s="4" t="s">
        <v>324</v>
      </c>
      <c r="C56" t="s">
        <v>272</v>
      </c>
    </row>
    <row r="57" spans="2:3" ht="14" customHeight="1" x14ac:dyDescent="0.3">
      <c r="B57" s="4" t="s">
        <v>325</v>
      </c>
      <c r="C57" t="s">
        <v>326</v>
      </c>
    </row>
    <row r="58" spans="2:3" ht="14" customHeight="1" x14ac:dyDescent="0.3">
      <c r="B58" s="4" t="s">
        <v>327</v>
      </c>
      <c r="C58" t="s">
        <v>328</v>
      </c>
    </row>
    <row r="59" spans="2:3" ht="14" customHeight="1" x14ac:dyDescent="0.3">
      <c r="B59" s="4" t="s">
        <v>329</v>
      </c>
      <c r="C59" t="s">
        <v>330</v>
      </c>
    </row>
    <row r="60" spans="2:3" ht="14" customHeight="1" x14ac:dyDescent="0.3">
      <c r="B60" s="4" t="s">
        <v>331</v>
      </c>
      <c r="C60" t="s">
        <v>332</v>
      </c>
    </row>
    <row r="61" spans="2:3" ht="14" customHeight="1" x14ac:dyDescent="0.3">
      <c r="B61" s="4" t="s">
        <v>333</v>
      </c>
      <c r="C61" t="s">
        <v>334</v>
      </c>
    </row>
    <row r="62" spans="2:3" ht="14" customHeight="1" x14ac:dyDescent="0.3">
      <c r="B62" s="4" t="s">
        <v>335</v>
      </c>
      <c r="C62" t="s">
        <v>203</v>
      </c>
    </row>
    <row r="63" spans="2:3" x14ac:dyDescent="0.2">
      <c r="B63" t="s">
        <v>336</v>
      </c>
      <c r="C63" t="s">
        <v>337</v>
      </c>
    </row>
    <row r="64" spans="2:3" x14ac:dyDescent="0.2">
      <c r="B64" t="s">
        <v>338</v>
      </c>
    </row>
    <row r="65" spans="2:3" x14ac:dyDescent="0.2">
      <c r="B65" t="s">
        <v>339</v>
      </c>
      <c r="C65">
        <v>1</v>
      </c>
    </row>
    <row r="66" spans="2:3" x14ac:dyDescent="0.2">
      <c r="B66" t="s">
        <v>340</v>
      </c>
      <c r="C66" t="s">
        <v>341</v>
      </c>
    </row>
  </sheetData>
  <phoneticPr fontId="8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B2:F20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3" x14ac:dyDescent="0.2"/>
  <cols>
    <col min="1" max="1" width="3" customWidth="1"/>
    <col min="2" max="2" width="42" customWidth="1"/>
    <col min="3" max="7" width="18" customWidth="1"/>
  </cols>
  <sheetData>
    <row r="2" spans="2:6" ht="18" x14ac:dyDescent="0.4">
      <c r="B2" s="2" t="s">
        <v>342</v>
      </c>
    </row>
    <row r="3" spans="2:6" ht="30" customHeight="1" x14ac:dyDescent="0.3">
      <c r="B3" s="46" t="s">
        <v>343</v>
      </c>
    </row>
    <row r="5" spans="2:6" ht="14" x14ac:dyDescent="0.3">
      <c r="B5" s="3" t="s">
        <v>344</v>
      </c>
    </row>
    <row r="6" spans="2:6" ht="28" x14ac:dyDescent="0.3">
      <c r="B6" s="47" t="s">
        <v>3</v>
      </c>
      <c r="C6" s="47" t="s">
        <v>5</v>
      </c>
      <c r="D6" s="47" t="s">
        <v>345</v>
      </c>
      <c r="E6" s="47" t="s">
        <v>346</v>
      </c>
      <c r="F6" s="47" t="s">
        <v>347</v>
      </c>
    </row>
    <row r="7" spans="2:6" ht="13.5" x14ac:dyDescent="0.25">
      <c r="B7" s="48" t="s">
        <v>348</v>
      </c>
      <c r="C7" s="48" t="s">
        <v>349</v>
      </c>
      <c r="D7" s="49">
        <v>1796086</v>
      </c>
      <c r="E7" s="50">
        <v>0.40799999999999997</v>
      </c>
      <c r="F7" s="51">
        <f>D7*E7</f>
        <v>732803.08799999999</v>
      </c>
    </row>
    <row r="8" spans="2:6" ht="14" x14ac:dyDescent="0.3">
      <c r="B8" s="52" t="s">
        <v>350</v>
      </c>
      <c r="F8" s="53">
        <f>SUM(F7:F7)</f>
        <v>732803.08799999999</v>
      </c>
    </row>
    <row r="10" spans="2:6" ht="14" x14ac:dyDescent="0.3">
      <c r="B10" s="3" t="s">
        <v>351</v>
      </c>
    </row>
    <row r="11" spans="2:6" ht="13.5" x14ac:dyDescent="0.25">
      <c r="B11" s="48" t="s">
        <v>352</v>
      </c>
      <c r="C11" s="54">
        <f>F8</f>
        <v>732803.08799999999</v>
      </c>
    </row>
    <row r="12" spans="2:6" ht="13.5" x14ac:dyDescent="0.25">
      <c r="B12" s="48" t="s">
        <v>353</v>
      </c>
      <c r="C12" s="49">
        <v>44705</v>
      </c>
    </row>
    <row r="13" spans="2:6" ht="14" x14ac:dyDescent="0.3">
      <c r="B13" s="52" t="s">
        <v>354</v>
      </c>
      <c r="C13" s="53">
        <f>C11+C12</f>
        <v>777508.08799999999</v>
      </c>
    </row>
    <row r="14" spans="2:6" ht="34" customHeight="1" x14ac:dyDescent="0.3">
      <c r="B14" s="55" t="s">
        <v>355</v>
      </c>
    </row>
    <row r="16" spans="2:6" ht="13.5" x14ac:dyDescent="0.25">
      <c r="B16" s="48" t="s">
        <v>356</v>
      </c>
      <c r="C16" s="56">
        <f>'DCF Model'!C15</f>
        <v>47833719783</v>
      </c>
    </row>
    <row r="17" spans="2:3" ht="14" x14ac:dyDescent="0.3">
      <c r="B17" s="52" t="s">
        <v>357</v>
      </c>
      <c r="C17" s="53">
        <f>ROUND(C13/C16*1000000,0)</f>
        <v>16</v>
      </c>
    </row>
    <row r="19" spans="2:3" ht="30" customHeight="1" x14ac:dyDescent="0.3">
      <c r="B19" s="46" t="s">
        <v>358</v>
      </c>
    </row>
    <row r="20" spans="2:3" ht="14" x14ac:dyDescent="0.3">
      <c r="B20" s="46" t="s">
        <v>359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  <vt:lpstr>Equity Method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2026-09-07T03:13:12Z</dcterms:created>
  <dcterms:modified xsi:type="dcterms:W3CDTF">2026-09-07T03:13:21Z</dcterms:modified>
</cp:coreProperties>
</file>