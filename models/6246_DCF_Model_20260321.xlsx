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output\"/>
    </mc:Choice>
  </mc:AlternateContent>
  <xr:revisionPtr revIDLastSave="0" documentId="13_ncr:1_{A11B629D-586F-41CE-AD03-07CA6FEC2A9F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J32" i="8" l="1"/>
  <c r="I32" i="8"/>
  <c r="H32" i="8"/>
  <c r="G32" i="8"/>
  <c r="F32" i="8"/>
  <c r="E32" i="8"/>
  <c r="D32" i="8"/>
  <c r="J28" i="8"/>
  <c r="I28" i="8"/>
  <c r="H28" i="8"/>
  <c r="G28" i="8"/>
  <c r="F28" i="8"/>
  <c r="E28" i="8"/>
  <c r="D28" i="8"/>
  <c r="J24" i="8"/>
  <c r="I24" i="8"/>
  <c r="H24" i="8"/>
  <c r="G24" i="8"/>
  <c r="F24" i="8"/>
  <c r="E24" i="8"/>
  <c r="D24" i="8"/>
  <c r="C24" i="8"/>
  <c r="F23" i="8"/>
  <c r="G20" i="8"/>
  <c r="G23" i="8" s="1"/>
  <c r="H20" i="8" s="1"/>
  <c r="H23" i="8" s="1"/>
  <c r="I20" i="8" s="1"/>
  <c r="I23" i="8" s="1"/>
  <c r="J20" i="8" s="1"/>
  <c r="J23" i="8" s="1"/>
  <c r="J17" i="8"/>
  <c r="I17" i="8"/>
  <c r="H17" i="8"/>
  <c r="G17" i="8"/>
  <c r="F17" i="8"/>
  <c r="E17" i="8"/>
  <c r="D17" i="8"/>
  <c r="C17" i="8"/>
  <c r="F16" i="8"/>
  <c r="G13" i="8"/>
  <c r="G16" i="8" s="1"/>
  <c r="H13" i="8" s="1"/>
  <c r="H16" i="8" s="1"/>
  <c r="I13" i="8" s="1"/>
  <c r="I16" i="8" s="1"/>
  <c r="J13" i="8" s="1"/>
  <c r="J16" i="8" s="1"/>
  <c r="J10" i="8"/>
  <c r="I10" i="8"/>
  <c r="H10" i="8"/>
  <c r="G10" i="8"/>
  <c r="F10" i="8"/>
  <c r="E10" i="8"/>
  <c r="D10" i="8"/>
  <c r="C10" i="8"/>
  <c r="F9" i="8"/>
  <c r="G6" i="8"/>
  <c r="G9" i="8" s="1"/>
  <c r="H6" i="8" s="1"/>
  <c r="H9" i="8" s="1"/>
  <c r="I6" i="8" s="1"/>
  <c r="I9" i="8" s="1"/>
  <c r="J6" i="8" s="1"/>
  <c r="J9" i="8" s="1"/>
  <c r="I37" i="7"/>
  <c r="H37" i="7"/>
  <c r="J32" i="7"/>
  <c r="J33" i="7" s="1"/>
  <c r="E32" i="7"/>
  <c r="E33" i="7" s="1"/>
  <c r="D32" i="7"/>
  <c r="D33" i="7" s="1"/>
  <c r="C32" i="7"/>
  <c r="C33" i="7" s="1"/>
  <c r="J31" i="7"/>
  <c r="J37" i="7" s="1"/>
  <c r="I31" i="7"/>
  <c r="H31" i="7"/>
  <c r="G31" i="7"/>
  <c r="G37" i="7" s="1"/>
  <c r="F31" i="7"/>
  <c r="F37" i="7" s="1"/>
  <c r="E31" i="7"/>
  <c r="D31" i="7"/>
  <c r="C31" i="7"/>
  <c r="J28" i="7"/>
  <c r="I27" i="7"/>
  <c r="I28" i="7" s="1"/>
  <c r="H27" i="7"/>
  <c r="H28" i="7" s="1"/>
  <c r="G27" i="7"/>
  <c r="G28" i="7" s="1"/>
  <c r="F27" i="7"/>
  <c r="F28" i="7" s="1"/>
  <c r="J23" i="7"/>
  <c r="F23" i="7"/>
  <c r="I22" i="7"/>
  <c r="I23" i="7" s="1"/>
  <c r="H22" i="7"/>
  <c r="H23" i="7" s="1"/>
  <c r="G22" i="7"/>
  <c r="G23" i="7" s="1"/>
  <c r="F22" i="7"/>
  <c r="J18" i="7"/>
  <c r="G18" i="7"/>
  <c r="F18" i="7"/>
  <c r="I17" i="7"/>
  <c r="I18" i="7" s="1"/>
  <c r="H17" i="7"/>
  <c r="H18" i="7" s="1"/>
  <c r="G17" i="7"/>
  <c r="F17" i="7"/>
  <c r="J13" i="7"/>
  <c r="H13" i="7"/>
  <c r="G13" i="7"/>
  <c r="F13" i="7"/>
  <c r="I12" i="7"/>
  <c r="I13" i="7" s="1"/>
  <c r="H12" i="7"/>
  <c r="G12" i="7"/>
  <c r="F12" i="7"/>
  <c r="J8" i="7"/>
  <c r="I8" i="7"/>
  <c r="H8" i="7"/>
  <c r="G8" i="7"/>
  <c r="I7" i="7"/>
  <c r="I32" i="7" s="1"/>
  <c r="I33" i="7" s="1"/>
  <c r="H7" i="7"/>
  <c r="H32" i="7" s="1"/>
  <c r="H33" i="7" s="1"/>
  <c r="G7" i="7"/>
  <c r="G32" i="7" s="1"/>
  <c r="G33" i="7" s="1"/>
  <c r="F7" i="7"/>
  <c r="F8" i="7" s="1"/>
  <c r="I17" i="6"/>
  <c r="G17" i="6"/>
  <c r="F17" i="6"/>
  <c r="H6" i="6"/>
  <c r="F6" i="6"/>
  <c r="I3" i="6"/>
  <c r="E17" i="6" s="1"/>
  <c r="F3" i="6"/>
  <c r="E6" i="6" s="1"/>
  <c r="I17" i="5"/>
  <c r="G17" i="5"/>
  <c r="I16" i="5"/>
  <c r="H16" i="5"/>
  <c r="G16" i="5"/>
  <c r="D16" i="5"/>
  <c r="C27" i="5" s="1"/>
  <c r="C18" i="1" s="1"/>
  <c r="D18" i="1" s="1"/>
  <c r="I15" i="5"/>
  <c r="G15" i="5"/>
  <c r="N8" i="5"/>
  <c r="L8" i="5"/>
  <c r="K8" i="5"/>
  <c r="J8" i="5"/>
  <c r="N7" i="5"/>
  <c r="L7" i="5"/>
  <c r="K7" i="5"/>
  <c r="J7" i="5"/>
  <c r="N6" i="5"/>
  <c r="L6" i="5"/>
  <c r="K6" i="5"/>
  <c r="J6" i="5"/>
  <c r="D17" i="5" s="1"/>
  <c r="N5" i="5"/>
  <c r="H17" i="5" s="1"/>
  <c r="L5" i="5"/>
  <c r="F16" i="5" s="1"/>
  <c r="C28" i="5" s="1"/>
  <c r="C19" i="1" s="1"/>
  <c r="D19" i="1" s="1"/>
  <c r="K5" i="5"/>
  <c r="E16" i="5" s="1"/>
  <c r="J5" i="5"/>
  <c r="D15" i="5" s="1"/>
  <c r="C5" i="4"/>
  <c r="D27" i="3"/>
  <c r="H5" i="4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H22" i="2"/>
  <c r="G22" i="2"/>
  <c r="D22" i="2"/>
  <c r="H21" i="2"/>
  <c r="G21" i="2"/>
  <c r="F21" i="2"/>
  <c r="F22" i="2" s="1"/>
  <c r="E21" i="2"/>
  <c r="E22" i="2" s="1"/>
  <c r="D21" i="2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F9" i="2"/>
  <c r="C9" i="2"/>
  <c r="H8" i="2"/>
  <c r="H9" i="2" s="1"/>
  <c r="G8" i="2"/>
  <c r="G9" i="2" s="1"/>
  <c r="F8" i="2"/>
  <c r="E8" i="2"/>
  <c r="E9" i="2" s="1"/>
  <c r="D8" i="2"/>
  <c r="D9" i="2" s="1"/>
  <c r="C8" i="2"/>
  <c r="C26" i="3" l="1"/>
  <c r="G46" i="3" s="1"/>
  <c r="E31" i="3"/>
  <c r="G6" i="6"/>
  <c r="H17" i="6"/>
  <c r="F32" i="3"/>
  <c r="E15" i="5"/>
  <c r="G32" i="3"/>
  <c r="F15" i="5"/>
  <c r="D5" i="4"/>
  <c r="C30" i="3"/>
  <c r="C33" i="3" s="1"/>
  <c r="F31" i="3"/>
  <c r="H15" i="5"/>
  <c r="D30" i="3"/>
  <c r="G31" i="3"/>
  <c r="E5" i="4"/>
  <c r="E17" i="5"/>
  <c r="I6" i="6"/>
  <c r="F32" i="7"/>
  <c r="F33" i="7" s="1"/>
  <c r="F17" i="5"/>
  <c r="C17" i="6"/>
  <c r="C31" i="3"/>
  <c r="D31" i="3"/>
  <c r="E30" i="3"/>
  <c r="C32" i="3"/>
  <c r="C6" i="6"/>
  <c r="D17" i="6"/>
  <c r="F5" i="4"/>
  <c r="F30" i="3"/>
  <c r="D32" i="3"/>
  <c r="G5" i="4"/>
  <c r="G30" i="3"/>
  <c r="E32" i="3"/>
  <c r="D6" i="6"/>
  <c r="C46" i="3" l="1"/>
  <c r="C3" i="6"/>
  <c r="B8" i="6" s="1"/>
  <c r="D46" i="3"/>
  <c r="E46" i="3"/>
  <c r="F46" i="3"/>
  <c r="B9" i="6"/>
  <c r="B19" i="6"/>
  <c r="C42" i="3"/>
  <c r="C34" i="3"/>
  <c r="C35" i="3" s="1"/>
  <c r="C37" i="3"/>
  <c r="C43" i="3"/>
  <c r="D33" i="3"/>
  <c r="F36" i="7"/>
  <c r="F38" i="7" s="1"/>
  <c r="D9" i="4"/>
  <c r="D18" i="4" s="1"/>
  <c r="D19" i="4" s="1"/>
  <c r="C44" i="3" s="1"/>
  <c r="B10" i="6" l="1"/>
  <c r="B20" i="6"/>
  <c r="B21" i="6"/>
  <c r="B11" i="6"/>
  <c r="B22" i="6"/>
  <c r="B12" i="6"/>
  <c r="B23" i="6"/>
  <c r="B13" i="6"/>
  <c r="B24" i="6"/>
  <c r="B7" i="6"/>
  <c r="B18" i="6"/>
  <c r="C36" i="3"/>
  <c r="C39" i="3"/>
  <c r="C38" i="3"/>
  <c r="D37" i="3"/>
  <c r="D43" i="3"/>
  <c r="E33" i="3"/>
  <c r="D34" i="3"/>
  <c r="D35" i="3" s="1"/>
  <c r="E9" i="4"/>
  <c r="E18" i="4" s="1"/>
  <c r="E19" i="4" s="1"/>
  <c r="D44" i="3" s="1"/>
  <c r="D42" i="3"/>
  <c r="G36" i="7"/>
  <c r="G38" i="7" s="1"/>
  <c r="D39" i="3" l="1"/>
  <c r="D38" i="3"/>
  <c r="D36" i="3"/>
  <c r="E43" i="3"/>
  <c r="F33" i="3"/>
  <c r="E42" i="3"/>
  <c r="E34" i="3"/>
  <c r="E35" i="3" s="1"/>
  <c r="H36" i="7"/>
  <c r="H38" i="7" s="1"/>
  <c r="E37" i="3"/>
  <c r="F9" i="4"/>
  <c r="F18" i="4" s="1"/>
  <c r="F19" i="4" s="1"/>
  <c r="E44" i="3" s="1"/>
  <c r="C40" i="3"/>
  <c r="C41" i="3" s="1"/>
  <c r="C45" i="3" s="1"/>
  <c r="C47" i="3" l="1"/>
  <c r="E38" i="3"/>
  <c r="E36" i="3"/>
  <c r="E39" i="3"/>
  <c r="F43" i="3"/>
  <c r="G33" i="3"/>
  <c r="I36" i="7"/>
  <c r="I38" i="7" s="1"/>
  <c r="G9" i="4"/>
  <c r="G18" i="4" s="1"/>
  <c r="G19" i="4" s="1"/>
  <c r="F44" i="3" s="1"/>
  <c r="F37" i="3"/>
  <c r="F42" i="3"/>
  <c r="F34" i="3"/>
  <c r="F35" i="3" s="1"/>
  <c r="D40" i="3"/>
  <c r="D41" i="3" s="1"/>
  <c r="D45" i="3" s="1"/>
  <c r="D47" i="3" s="1"/>
  <c r="E40" i="3" l="1"/>
  <c r="E41" i="3" s="1"/>
  <c r="E45" i="3" s="1"/>
  <c r="E47" i="3" s="1"/>
  <c r="F38" i="3"/>
  <c r="F36" i="3"/>
  <c r="F39" i="3"/>
  <c r="G43" i="3"/>
  <c r="G35" i="3"/>
  <c r="J36" i="7"/>
  <c r="J38" i="7" s="1"/>
  <c r="H9" i="4"/>
  <c r="H18" i="4" s="1"/>
  <c r="H19" i="4" s="1"/>
  <c r="G44" i="3" s="1"/>
  <c r="G42" i="3"/>
  <c r="G34" i="3"/>
  <c r="G37" i="3"/>
  <c r="G38" i="3" l="1"/>
  <c r="G36" i="3"/>
  <c r="G39" i="3"/>
  <c r="F40" i="3"/>
  <c r="F41" i="3" s="1"/>
  <c r="F45" i="3" s="1"/>
  <c r="F47" i="3" l="1"/>
  <c r="C59" i="3"/>
  <c r="C60" i="3" s="1"/>
  <c r="C61" i="3" s="1"/>
  <c r="G40" i="3"/>
  <c r="G41" i="3" s="1"/>
  <c r="G45" i="3" s="1"/>
  <c r="C51" i="3" l="1"/>
  <c r="C52" i="3" s="1"/>
  <c r="G47" i="3"/>
  <c r="C50" i="3" s="1"/>
  <c r="I10" i="6"/>
  <c r="I23" i="6"/>
  <c r="H11" i="6"/>
  <c r="I18" i="6"/>
  <c r="H10" i="6"/>
  <c r="G19" i="6"/>
  <c r="D21" i="6"/>
  <c r="F11" i="6"/>
  <c r="I24" i="6"/>
  <c r="C12" i="6"/>
  <c r="G20" i="6"/>
  <c r="E23" i="6"/>
  <c r="C13" i="6"/>
  <c r="F8" i="6"/>
  <c r="G21" i="6"/>
  <c r="D24" i="6"/>
  <c r="H18" i="6"/>
  <c r="G8" i="6"/>
  <c r="I20" i="6"/>
  <c r="D11" i="6"/>
  <c r="I13" i="6"/>
  <c r="H8" i="6"/>
  <c r="D7" i="6"/>
  <c r="F13" i="6"/>
  <c r="E8" i="6"/>
  <c r="H9" i="6"/>
  <c r="C8" i="6"/>
  <c r="C21" i="6"/>
  <c r="G9" i="6"/>
  <c r="E21" i="6"/>
  <c r="C24" i="6"/>
  <c r="F10" i="6"/>
  <c r="G22" i="6"/>
  <c r="D9" i="6"/>
  <c r="F22" i="6"/>
  <c r="C7" i="6"/>
  <c r="I9" i="6"/>
  <c r="I8" i="6"/>
  <c r="D12" i="6"/>
  <c r="E18" i="6"/>
  <c r="D19" i="6"/>
  <c r="H12" i="6"/>
  <c r="C23" i="6"/>
  <c r="H21" i="6"/>
  <c r="F24" i="6"/>
  <c r="F19" i="6"/>
  <c r="E19" i="6"/>
  <c r="G12" i="6"/>
  <c r="F21" i="6"/>
  <c r="F9" i="6"/>
  <c r="C20" i="6"/>
  <c r="G10" i="6"/>
  <c r="F23" i="6"/>
  <c r="E11" i="6"/>
  <c r="G23" i="6"/>
  <c r="E9" i="6"/>
  <c r="I12" i="6"/>
  <c r="F7" i="6"/>
  <c r="D20" i="6"/>
  <c r="H22" i="6"/>
  <c r="E24" i="6"/>
  <c r="I19" i="6"/>
  <c r="H24" i="6"/>
  <c r="E22" i="6"/>
  <c r="D10" i="6"/>
  <c r="H20" i="6"/>
  <c r="G11" i="6"/>
  <c r="D13" i="6"/>
  <c r="E20" i="6"/>
  <c r="H7" i="6"/>
  <c r="D22" i="6"/>
  <c r="C18" i="6"/>
  <c r="I7" i="6"/>
  <c r="C22" i="6"/>
  <c r="G24" i="6"/>
  <c r="I11" i="6"/>
  <c r="E12" i="6"/>
  <c r="D18" i="6"/>
  <c r="G13" i="6"/>
  <c r="H13" i="6"/>
  <c r="F18" i="6"/>
  <c r="D23" i="6"/>
  <c r="C9" i="6"/>
  <c r="D8" i="6"/>
  <c r="H19" i="6"/>
  <c r="I21" i="6"/>
  <c r="F20" i="6"/>
  <c r="E10" i="6"/>
  <c r="C19" i="6"/>
  <c r="E7" i="6"/>
  <c r="I22" i="6"/>
  <c r="G7" i="6"/>
  <c r="E13" i="6"/>
  <c r="F12" i="6"/>
  <c r="H23" i="6"/>
  <c r="C11" i="6"/>
  <c r="G18" i="6"/>
  <c r="C10" i="6"/>
  <c r="C53" i="3" l="1"/>
  <c r="C54" i="3" s="1"/>
  <c r="C55" i="3" s="1"/>
  <c r="C16" i="1" s="1"/>
  <c r="C58" i="3"/>
  <c r="C62" i="3" s="1"/>
  <c r="C63" i="3" s="1"/>
  <c r="C64" i="3" s="1"/>
  <c r="C17" i="1" s="1"/>
  <c r="D17" i="1" s="1"/>
  <c r="C10" i="1" l="1"/>
  <c r="C12" i="1" s="1"/>
  <c r="C11" i="1" s="1"/>
  <c r="D16" i="1"/>
  <c r="C21" i="1"/>
</calcChain>
</file>

<file path=xl/sharedStrings.xml><?xml version="1.0" encoding="utf-8"?>
<sst xmlns="http://schemas.openxmlformats.org/spreadsheetml/2006/main" count="420" uniqueCount="208">
  <si>
    <t>DISCLAIMER: This is a sample analysis for demonstration purposes only. It does not constitute investment advice.</t>
  </si>
  <si>
    <t>TechnoSmart Corporation (6246.T)</t>
  </si>
  <si>
    <t>Equity Research Report</t>
  </si>
  <si>
    <t>Company</t>
  </si>
  <si>
    <t>TechnoSmart Corporation</t>
  </si>
  <si>
    <t>Ticker</t>
  </si>
  <si>
    <t>6246.T (TSE Standard)</t>
  </si>
  <si>
    <t>Sector</t>
  </si>
  <si>
    <t>Machinery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</si>
  <si>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</si>
  <si>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</si>
  <si>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</si>
  <si>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</si>
  <si>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</si>
  <si>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</si>
  <si>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</si>
  <si>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</si>
  <si>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</si>
  <si>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</si>
  <si>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</si>
  <si>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</si>
  <si>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</si>
  <si>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</si>
  <si>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LiB electrode coating equipment with ~20% global market share (duopoly with Hirano Tecseed)</t>
  </si>
  <si>
    <t>2. Dual revenue pillars (optical display + battery) provide counter-cyclical stability, sustaining ~15% OPM</t>
  </si>
  <si>
    <t>3. Structural tailwind: electricity demand acceleration (AI/DC + EV + grid storage) drives battery capex cycle</t>
  </si>
  <si>
    <t>4. Effissimo Capital (activist) as major shareholder - catalyst for capital efficiency improvement and enhanced returns</t>
  </si>
  <si>
    <t>Key Risks</t>
  </si>
  <si>
    <t>1. EV market capex delay directly reduces battery coating equipment orders</t>
  </si>
  <si>
    <t>2. Order-driven business model creates significant quarterly earnings volatility</t>
  </si>
  <si>
    <t>3. Competitive pressure from Hirano Tecseed (6245) in core LiB coating market</t>
  </si>
  <si>
    <t>4. Low daily trading volume (JPY 5-10mn) creates liquidity risk for institutional investors</t>
  </si>
  <si>
    <t>TechnoSmart Corporation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</si>
  <si>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</si>
  <si>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</si>
  <si>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</si>
  <si>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</si>
  <si>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</si>
  <si>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</si>
  <si>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</si>
  <si>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</si>
  <si>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</si>
  <si>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</si>
  <si>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</si>
  <si>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</si>
  <si>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</si>
  <si>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</si>
  <si>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</si>
  <si>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</si>
  <si>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</si>
  <si>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</si>
  <si>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</si>
  <si>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</si>
  <si>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</si>
  <si>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</si>
  <si>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</si>
  <si>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</si>
  <si>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</si>
  <si>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</si>
  <si>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</si>
  <si>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</si>
  <si>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</si>
  <si>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TechnoSmart Corporation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</si>
  <si>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</si>
  <si>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</si>
  <si>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</si>
  <si>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</si>
  <si>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</si>
  <si>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</si>
  <si>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</si>
  <si>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</si>
  <si>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</si>
  <si>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</si>
  <si>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</si>
  <si>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</si>
  <si>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</si>
  <si>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</si>
  <si>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</si>
  <si>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</si>
  <si>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</si>
  <si>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</si>
  <si>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</si>
  <si>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</si>
  <si>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</si>
  <si>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</si>
  <si>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</si>
  <si>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</si>
  <si>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</si>
  <si>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</si>
  <si>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</si>
  <si>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</si>
  <si>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</si>
  <si>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</si>
  <si>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</si>
  <si>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</si>
  <si>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</si>
  <si>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</si>
  <si>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</si>
  <si>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</si>
  <si>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</si>
  <si>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</si>
  <si>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</si>
  <si>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</si>
  <si>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</si>
  <si>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</si>
  <si>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</si>
  <si>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</si>
  <si>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</si>
  <si>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</si>
  <si>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</si>
  <si>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</si>
  <si>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</si>
  <si>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</si>
  <si>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</si>
  <si>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</si>
  <si>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</si>
  <si>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</si>
  <si>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</si>
  <si>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</si>
  <si>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</si>
  <si>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</si>
  <si>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</si>
  <si>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</si>
  <si>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</si>
  <si>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</si>
  <si>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</si>
  <si>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TechnoSmart Corporation</t>
  </si>
  <si>
    <t>Working Capital Drivers (% of Revenue)</t>
  </si>
  <si>
    <t>Base Year</t>
  </si>
  <si>
    <t>NWC % of Revenue</t>
  </si>
  <si>
    <t>—</t>
  </si>
  <si>
    <t>P&amp;L Reference (JPY mn)</t>
  </si>
  <si>
    <t>Working Capital Items (JPY mn)</t>
  </si>
  <si>
    <t>Net Working Capital (JPY mn)</t>
  </si>
  <si>
    <t>Net Working Capital</t>
  </si>
  <si>
    <t>Scenario Input Matrix (NWC % of Revenue)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</si>
  <si>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</si>
  <si>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</si>
  <si>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</si>
  <si>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</si>
  <si>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</si>
  <si>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</si>
  <si>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</si>
  <si>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</si>
  <si>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</si>
  <si>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</si>
  <si>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</si>
  <si>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</si>
  <si>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</si>
  <si>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Hirano Techseed</t>
  </si>
  <si>
    <t>6245.T</t>
  </si>
  <si>
    <t>Takatori</t>
  </si>
  <si>
    <t>6338.T</t>
  </si>
  <si>
    <t>Stech</t>
  </si>
  <si>
    <t>6161.T</t>
  </si>
  <si>
    <t>Keiwa</t>
  </si>
  <si>
    <t>4251.T</t>
  </si>
  <si>
    <t>Statistics</t>
  </si>
  <si>
    <t>25th Percentile</t>
  </si>
  <si>
    <t>Median (50th)</t>
  </si>
  <si>
    <t>75th Percentile</t>
  </si>
  <si>
    <t>Implied Valuation for TechnoSmart Corporation</t>
  </si>
  <si>
    <t>TechnoSmart Corporation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</si>
  <si>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</si>
  <si>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</si>
  <si>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</si>
  <si>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</si>
  <si>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</si>
  <si>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</si>
  <si>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</si>
  <si>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</si>
  <si>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</si>
  <si>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</si>
  <si>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</si>
  <si>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</si>
  <si>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</si>
  <si>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</si>
  <si>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</si>
  <si>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TechnoSmart Corporation</t>
  </si>
  <si>
    <t>FY2026</t>
  </si>
  <si>
    <t>Display Components (ディスプレイ部品関連)</t>
  </si>
  <si>
    <t>Operating Profit</t>
  </si>
  <si>
    <t>OP Margin</t>
  </si>
  <si>
    <t>Functional Film (MLCC) (機能性フィルム関連)</t>
  </si>
  <si>
    <t>Energy (LiB) (エネルギー関連)</t>
  </si>
  <si>
    <t>Electronic Components (電子部品関連)</t>
  </si>
  <si>
    <t>Other (その他・化工)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</si>
  <si>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</si>
  <si>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</si>
  <si>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</si>
  <si>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</si>
  <si>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</si>
  <si>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</si>
  <si>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</si>
  <si>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</si>
  <si>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Driver Analysis - TechnoSmart Corporation</t>
  </si>
  <si>
    <t>Display Components (ディスプレイ部品関連) [backlog]</t>
  </si>
  <si>
    <t>Beginning Backlog</t>
  </si>
  <si>
    <t>+ New Orders</t>
  </si>
  <si>
    <t>- Revenue (Recognized)</t>
  </si>
  <si>
    <t>Ending Backlog</t>
  </si>
  <si>
    <t>Book-to-Bill</t>
  </si>
  <si>
    <t>Functional Film (MLCC) (機能性フィルム関連) [backlog]</t>
  </si>
  <si>
    <t>Energy (LiB) (エネルギー関連) [backlog]</t>
  </si>
  <si>
    <t>Electronic Components (電子部品関連) [manual]</t>
  </si>
  <si>
    <t>Revenue (Direct Input)</t>
  </si>
  <si>
    <t>YoY Growth</t>
  </si>
  <si>
    <t>Other (その他・化工) [manual]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</si>
</sst>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177" fontId="5" fillId="0" borderId="5" xfId="0" applyNumberFormat="1" applyFont="1" applyBorder="1"/>
    <xf numFmtId="0" fontId="1" fillId="0" borderId="5" xfId="0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176" fontId="5" fillId="0" borderId="2" xfId="0" applyNumberFormat="1" applyFont="1" applyBorder="1"/>
    <xf numFmtId="0" fontId="8" fillId="0" borderId="0" xfId="0" applyFont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179" fontId="5" fillId="0" borderId="5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2"/>
  <sheetViews>
    <sheetView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6" t="s">
        <v>0</v>
      </c>
      <c r="C1" s="45"/>
      <c r="D1" s="45"/>
      <c r="E1" s="45"/>
    </row>
    <row r="3" spans="2:5" ht="18" x14ac:dyDescent="0.4">
      <c r="B3" s="44" t="s">
        <v>1</v>
      </c>
      <c r="C3" s="45"/>
      <c r="D3" s="45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1970</v>
      </c>
    </row>
    <row r="10" spans="2:5" ht="14" x14ac:dyDescent="0.3">
      <c r="B10" s="3" t="s">
        <v>10</v>
      </c>
      <c r="C10" s="4">
        <f>ROUND(AVERAGE(C16:C19),0)</f>
        <v>2419</v>
      </c>
    </row>
    <row r="11" spans="2:5" ht="14" x14ac:dyDescent="0.3">
      <c r="B11" s="3" t="s">
        <v>11</v>
      </c>
      <c r="C11" s="5" t="str">
        <f>IF(C12&gt;0.15,"BUY",IF(C12&gt;0.05,"HOLD","SELL"))</f>
        <v>BUY</v>
      </c>
    </row>
    <row r="12" spans="2:5" ht="14" x14ac:dyDescent="0.3">
      <c r="B12" s="3" t="s">
        <v>12</v>
      </c>
      <c r="C12" s="6">
        <f>(C10-C9)/C9</f>
        <v>0.22791878172588834</v>
      </c>
    </row>
    <row r="14" spans="2:5" ht="14" x14ac:dyDescent="0.3">
      <c r="B14" s="7" t="s">
        <v>13</v>
      </c>
      <c r="C14" s="8"/>
      <c r="D14" s="8"/>
    </row>
    <row r="15" spans="2:5" ht="14" x14ac:dyDescent="0.3">
      <c r="B15" s="9" t="s">
        <v>14</v>
      </c>
      <c r="C15" s="9" t="s">
        <v>15</v>
      </c>
      <c r="D15" s="9" t="s">
        <v>16</v>
      </c>
    </row>
    <row r="16" spans="2:5" ht="13.5" x14ac:dyDescent="0.25">
      <c r="B16" t="s">
        <v>17</v>
      </c>
      <c r="C16" s="10">
        <f>'DCF Model'!C55</f>
        <v>1811</v>
      </c>
      <c r="D16" s="6">
        <f>(C16-C9)/C9</f>
        <v>-8.0710659898477158E-2</v>
      </c>
    </row>
    <row r="17" spans="2:4" ht="13.5" x14ac:dyDescent="0.25">
      <c r="B17" t="s">
        <v>18</v>
      </c>
      <c r="C17" s="10">
        <f>'DCF Model'!C64</f>
        <v>2486</v>
      </c>
      <c r="D17" s="6">
        <f>(C17-C9)/C9</f>
        <v>0.26192893401015227</v>
      </c>
    </row>
    <row r="18" spans="2:4" ht="13.5" x14ac:dyDescent="0.25">
      <c r="B18" t="s">
        <v>19</v>
      </c>
      <c r="C18" s="10">
        <f>'Comps Analysis'!C27</f>
        <v>2747</v>
      </c>
      <c r="D18" s="6">
        <f>(C18-C9)/C9</f>
        <v>0.39441624365482236</v>
      </c>
    </row>
    <row r="19" spans="2:4" ht="13.5" x14ac:dyDescent="0.25">
      <c r="B19" t="s">
        <v>20</v>
      </c>
      <c r="C19" s="10">
        <f>'Comps Analysis'!C28</f>
        <v>2631</v>
      </c>
      <c r="D19" s="6">
        <f>(C19-C9)/C9</f>
        <v>0.33553299492385785</v>
      </c>
    </row>
    <row r="21" spans="2:4" ht="14" x14ac:dyDescent="0.3">
      <c r="B21" s="3" t="s">
        <v>21</v>
      </c>
      <c r="C21" s="5" t="str">
        <f>MIN(C16:C19)&amp;" - "&amp;MAX(C16:C19)</f>
        <v>1811 - 2747</v>
      </c>
    </row>
    <row r="23" spans="2:4" ht="14" x14ac:dyDescent="0.3">
      <c r="B23" s="7" t="s">
        <v>22</v>
      </c>
      <c r="C23" s="8"/>
      <c r="D23" s="8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7" spans="2:4" x14ac:dyDescent="0.2">
      <c r="B27" t="s">
        <v>26</v>
      </c>
    </row>
    <row r="28" spans="2:4" ht="14" x14ac:dyDescent="0.3">
      <c r="B28" s="7" t="s">
        <v>27</v>
      </c>
      <c r="C28" s="8"/>
      <c r="D28" s="8"/>
    </row>
    <row r="29" spans="2:4" x14ac:dyDescent="0.2">
      <c r="B29" t="s">
        <v>28</v>
      </c>
    </row>
    <row r="30" spans="2:4" x14ac:dyDescent="0.2">
      <c r="B30" t="s">
        <v>29</v>
      </c>
    </row>
    <row r="31" spans="2:4" x14ac:dyDescent="0.2">
      <c r="B31" t="s">
        <v>30</v>
      </c>
    </row>
    <row r="32" spans="2:4" x14ac:dyDescent="0.2">
      <c r="B32" t="s">
        <v>31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1" t="s">
        <v>32</v>
      </c>
    </row>
    <row r="4" spans="2:8" ht="14" x14ac:dyDescent="0.3"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</row>
    <row r="5" spans="2:8" ht="14" x14ac:dyDescent="0.3">
      <c r="B5" s="2" t="s">
        <v>39</v>
      </c>
    </row>
    <row r="6" spans="2:8" ht="14" x14ac:dyDescent="0.3">
      <c r="B6" s="3" t="s">
        <v>40</v>
      </c>
      <c r="C6" s="4">
        <v>16785.163</v>
      </c>
      <c r="D6" s="4">
        <v>8089.0609999999997</v>
      </c>
      <c r="E6" s="4">
        <v>16939.241999999998</v>
      </c>
      <c r="F6" s="4">
        <v>19677.405999999999</v>
      </c>
      <c r="G6" s="4">
        <v>19242.405999999999</v>
      </c>
      <c r="H6" s="4">
        <v>21578.662</v>
      </c>
    </row>
    <row r="7" spans="2:8" ht="14" x14ac:dyDescent="0.3">
      <c r="B7" s="3" t="s">
        <v>41</v>
      </c>
      <c r="C7" s="4">
        <v>12632.109</v>
      </c>
      <c r="D7" s="4">
        <v>6663.5039999999999</v>
      </c>
      <c r="E7" s="4">
        <v>14472.721</v>
      </c>
      <c r="F7" s="4">
        <v>16502.946</v>
      </c>
      <c r="G7" s="4">
        <v>15603.552</v>
      </c>
      <c r="H7" s="4">
        <v>16762.406999999999</v>
      </c>
    </row>
    <row r="8" spans="2:8" ht="14" x14ac:dyDescent="0.3">
      <c r="B8" s="3" t="s">
        <v>42</v>
      </c>
      <c r="C8" s="4">
        <f t="shared" ref="C8:H8" si="0">C6-C7</f>
        <v>4153.0540000000001</v>
      </c>
      <c r="D8" s="4">
        <f t="shared" si="0"/>
        <v>1425.5569999999998</v>
      </c>
      <c r="E8" s="4">
        <f t="shared" si="0"/>
        <v>2466.5209999999988</v>
      </c>
      <c r="F8" s="4">
        <f t="shared" si="0"/>
        <v>3174.4599999999991</v>
      </c>
      <c r="G8" s="4">
        <f t="shared" si="0"/>
        <v>3638.8539999999994</v>
      </c>
      <c r="H8" s="4">
        <f t="shared" si="0"/>
        <v>4816.255000000001</v>
      </c>
    </row>
    <row r="9" spans="2:8" ht="13.5" x14ac:dyDescent="0.25">
      <c r="B9" t="s">
        <v>43</v>
      </c>
      <c r="C9" s="6">
        <f t="shared" ref="C9:H9" si="1">C8/C6</f>
        <v>0.24742410901818468</v>
      </c>
      <c r="D9" s="6">
        <f t="shared" si="1"/>
        <v>0.17623269252141871</v>
      </c>
      <c r="E9" s="6">
        <f t="shared" si="1"/>
        <v>0.14560988030042898</v>
      </c>
      <c r="F9" s="6">
        <f t="shared" si="1"/>
        <v>0.16132512588295425</v>
      </c>
      <c r="G9" s="6">
        <f t="shared" si="1"/>
        <v>0.18910597770361978</v>
      </c>
      <c r="H9" s="6">
        <f t="shared" si="1"/>
        <v>0.22319525649922137</v>
      </c>
    </row>
    <row r="10" spans="2:8" ht="14" x14ac:dyDescent="0.3">
      <c r="B10" s="3" t="s">
        <v>44</v>
      </c>
      <c r="C10" s="4">
        <v>1049.9090000000001</v>
      </c>
      <c r="D10" s="4">
        <v>585.07500000000005</v>
      </c>
      <c r="E10" s="4">
        <v>823.74300000000005</v>
      </c>
      <c r="F10" s="4">
        <v>941.67399999999998</v>
      </c>
      <c r="G10" s="4">
        <v>1050.605</v>
      </c>
      <c r="H10" s="4">
        <v>1303.7660000000001</v>
      </c>
    </row>
    <row r="11" spans="2:8" ht="14" x14ac:dyDescent="0.3">
      <c r="B11" s="3" t="s">
        <v>45</v>
      </c>
      <c r="C11" s="4">
        <v>3103.143</v>
      </c>
      <c r="D11" s="4">
        <v>840.48099999999999</v>
      </c>
      <c r="E11" s="4">
        <v>1642.777</v>
      </c>
      <c r="F11" s="4">
        <v>2232.7849999999999</v>
      </c>
      <c r="G11" s="4">
        <v>2588.248</v>
      </c>
      <c r="H11" s="4">
        <v>3512.4879999999998</v>
      </c>
    </row>
    <row r="12" spans="2:8" ht="14" x14ac:dyDescent="0.3">
      <c r="B12" s="3" t="s">
        <v>46</v>
      </c>
      <c r="C12" s="4">
        <v>2033.549</v>
      </c>
      <c r="D12" s="4">
        <v>579.87199999999996</v>
      </c>
      <c r="E12" s="4">
        <v>1164.22</v>
      </c>
      <c r="F12" s="4">
        <v>1607.193</v>
      </c>
      <c r="G12" s="4">
        <v>1804.357</v>
      </c>
      <c r="H12" s="4">
        <v>2390.8879999999999</v>
      </c>
    </row>
    <row r="13" spans="2:8" ht="13.5" x14ac:dyDescent="0.25">
      <c r="B13" t="s">
        <v>47</v>
      </c>
      <c r="C13" s="6">
        <f t="shared" ref="C13:H13" si="2">C11/C6</f>
        <v>0.18487416535663073</v>
      </c>
      <c r="D13" s="6">
        <f t="shared" si="2"/>
        <v>0.10390340732997316</v>
      </c>
      <c r="E13" s="6">
        <f t="shared" si="2"/>
        <v>9.698054966095887E-2</v>
      </c>
      <c r="F13" s="6">
        <f t="shared" si="2"/>
        <v>0.11346947864977731</v>
      </c>
      <c r="G13" s="6">
        <f t="shared" si="2"/>
        <v>0.13450750389530292</v>
      </c>
      <c r="H13" s="6">
        <f t="shared" si="2"/>
        <v>0.16277598675951269</v>
      </c>
    </row>
    <row r="14" spans="2:8" ht="13.5" x14ac:dyDescent="0.25">
      <c r="B14" t="s">
        <v>48</v>
      </c>
      <c r="C14" s="6">
        <f t="shared" ref="C14:H14" si="3">C12/C6</f>
        <v>0.12115157892717514</v>
      </c>
      <c r="D14" s="6">
        <f t="shared" si="3"/>
        <v>7.1685947231699701E-2</v>
      </c>
      <c r="E14" s="6">
        <f t="shared" si="3"/>
        <v>6.8729167456253362E-2</v>
      </c>
      <c r="F14" s="6">
        <f t="shared" si="3"/>
        <v>8.1677076744770122E-2</v>
      </c>
      <c r="G14" s="6">
        <f t="shared" si="3"/>
        <v>9.3769822755013069E-2</v>
      </c>
      <c r="H14" s="6">
        <f t="shared" si="3"/>
        <v>0.11079871402592061</v>
      </c>
    </row>
    <row r="15" spans="2:8" ht="13.5" x14ac:dyDescent="0.25">
      <c r="B15" t="s">
        <v>49</v>
      </c>
      <c r="C15" t="s">
        <v>50</v>
      </c>
      <c r="D15" s="6">
        <f>(D6-C6)/C6</f>
        <v>-0.51808266622135279</v>
      </c>
      <c r="E15" s="6">
        <f>(E6-D6)/D6</f>
        <v>1.0940925034438482</v>
      </c>
      <c r="F15" s="6">
        <f>(F6-E6)/E6</f>
        <v>0.16164619408589834</v>
      </c>
      <c r="G15" s="6">
        <f>(G6-F6)/F6</f>
        <v>-2.2106572380526174E-2</v>
      </c>
      <c r="H15" s="6">
        <f>(H6-G6)/G6</f>
        <v>0.12141184423611066</v>
      </c>
    </row>
    <row r="16" spans="2:8" ht="13.5" x14ac:dyDescent="0.25">
      <c r="B16" t="s">
        <v>51</v>
      </c>
      <c r="C16" t="s">
        <v>50</v>
      </c>
      <c r="D16" s="6">
        <f>(D11-C11)/C11</f>
        <v>-0.72915170200019797</v>
      </c>
      <c r="E16" s="6">
        <f>(E11-D11)/D11</f>
        <v>0.95456768207728682</v>
      </c>
      <c r="F16" s="6">
        <f>(F11-E11)/E11</f>
        <v>0.35915282475953814</v>
      </c>
      <c r="G16" s="6">
        <f>(G11-F11)/F11</f>
        <v>0.15920162487655562</v>
      </c>
      <c r="H16" s="6">
        <f>(H11-G11)/G11</f>
        <v>0.3570909742806716</v>
      </c>
    </row>
    <row r="18" spans="2:8" ht="14" x14ac:dyDescent="0.3">
      <c r="B18" s="2" t="s">
        <v>52</v>
      </c>
    </row>
    <row r="19" spans="2:8" ht="14" x14ac:dyDescent="0.3">
      <c r="B19" s="3" t="s">
        <v>53</v>
      </c>
      <c r="C19" s="4">
        <v>1543.5440000000001</v>
      </c>
      <c r="D19" s="4">
        <v>5161.1019999999999</v>
      </c>
      <c r="E19" s="4">
        <v>1372.809</v>
      </c>
      <c r="F19" s="4">
        <v>-459.19900000000001</v>
      </c>
      <c r="G19" s="4">
        <v>1520.8389999999999</v>
      </c>
      <c r="H19" s="4">
        <v>-1532.6590000000001</v>
      </c>
    </row>
    <row r="20" spans="2:8" ht="14" x14ac:dyDescent="0.3">
      <c r="B20" s="3" t="s">
        <v>54</v>
      </c>
      <c r="C20" s="4">
        <v>722.78300000000002</v>
      </c>
      <c r="D20" s="4">
        <v>431.142</v>
      </c>
      <c r="E20" s="4">
        <v>741.71799999999996</v>
      </c>
      <c r="F20" s="4">
        <v>22.898</v>
      </c>
      <c r="G20" s="4">
        <v>282.47800000000001</v>
      </c>
      <c r="H20" s="4">
        <v>906.33399999999995</v>
      </c>
    </row>
    <row r="21" spans="2:8" ht="14" x14ac:dyDescent="0.3">
      <c r="B21" s="3" t="s">
        <v>55</v>
      </c>
      <c r="C21" s="4">
        <f t="shared" ref="C21:H21" si="4">C19-C20</f>
        <v>820.76100000000008</v>
      </c>
      <c r="D21" s="4">
        <f t="shared" si="4"/>
        <v>4729.96</v>
      </c>
      <c r="E21" s="4">
        <f t="shared" si="4"/>
        <v>631.09100000000001</v>
      </c>
      <c r="F21" s="4">
        <f t="shared" si="4"/>
        <v>-482.09700000000004</v>
      </c>
      <c r="G21" s="4">
        <f t="shared" si="4"/>
        <v>1238.3609999999999</v>
      </c>
      <c r="H21" s="4">
        <f t="shared" si="4"/>
        <v>-2438.9929999999999</v>
      </c>
    </row>
    <row r="22" spans="2:8" ht="13.5" x14ac:dyDescent="0.25">
      <c r="B22" t="s">
        <v>56</v>
      </c>
      <c r="C22" s="6">
        <f t="shared" ref="C22:H22" si="5">C21/C6</f>
        <v>4.8898005935360894E-2</v>
      </c>
      <c r="D22" s="6">
        <f t="shared" si="5"/>
        <v>0.58473536050723318</v>
      </c>
      <c r="E22" s="6">
        <f t="shared" si="5"/>
        <v>3.7256153492582496E-2</v>
      </c>
      <c r="F22" s="6">
        <f t="shared" si="5"/>
        <v>-2.4500028103297766E-2</v>
      </c>
      <c r="G22" s="6">
        <f t="shared" si="5"/>
        <v>6.4355829515290341E-2</v>
      </c>
      <c r="H22" s="6">
        <f t="shared" si="5"/>
        <v>-0.11302799960442403</v>
      </c>
    </row>
    <row r="23" spans="2:8" ht="13.5" x14ac:dyDescent="0.25">
      <c r="B23" t="s">
        <v>57</v>
      </c>
      <c r="C23" s="6">
        <f t="shared" ref="C23:H23" si="6">C20/C6</f>
        <v>4.3060826993458451E-2</v>
      </c>
      <c r="D23" s="6">
        <f t="shared" si="6"/>
        <v>5.329938790176017E-2</v>
      </c>
      <c r="E23" s="6">
        <f t="shared" si="6"/>
        <v>4.378696520186677E-2</v>
      </c>
      <c r="F23" s="6">
        <f t="shared" si="6"/>
        <v>1.1636696422282491E-3</v>
      </c>
      <c r="G23" s="6">
        <f t="shared" si="6"/>
        <v>1.467997297219485E-2</v>
      </c>
      <c r="H23" s="6">
        <f t="shared" si="6"/>
        <v>4.2001399345334756E-2</v>
      </c>
    </row>
    <row r="25" spans="2:8" ht="14" x14ac:dyDescent="0.3">
      <c r="B25" s="2" t="s">
        <v>58</v>
      </c>
    </row>
    <row r="26" spans="2:8" ht="14" x14ac:dyDescent="0.3">
      <c r="B26" s="3" t="s">
        <v>59</v>
      </c>
      <c r="C26" s="4">
        <v>6088.51</v>
      </c>
      <c r="D26" s="4">
        <v>10361.183000000001</v>
      </c>
      <c r="E26" s="4">
        <v>10538.638000000001</v>
      </c>
      <c r="F26" s="4">
        <v>9483.0509999999995</v>
      </c>
      <c r="G26" s="4">
        <v>9711.4419999999991</v>
      </c>
      <c r="H26" s="4">
        <v>6896.07</v>
      </c>
    </row>
    <row r="27" spans="2:8" ht="14" x14ac:dyDescent="0.3">
      <c r="B27" s="3" t="s">
        <v>60</v>
      </c>
      <c r="C27" s="4">
        <v>82.4</v>
      </c>
      <c r="D27" s="4">
        <v>3</v>
      </c>
      <c r="E27" s="4">
        <v>0</v>
      </c>
      <c r="F27" s="4">
        <v>0</v>
      </c>
      <c r="G27" s="4">
        <v>0</v>
      </c>
      <c r="H27" s="4">
        <v>2000</v>
      </c>
    </row>
    <row r="28" spans="2:8" ht="14" x14ac:dyDescent="0.3">
      <c r="B28" s="3" t="s">
        <v>61</v>
      </c>
      <c r="C28" s="4">
        <f t="shared" ref="C28:H28" si="7">C27-C26</f>
        <v>-6006.1100000000006</v>
      </c>
      <c r="D28" s="4">
        <f t="shared" si="7"/>
        <v>-10358.183000000001</v>
      </c>
      <c r="E28" s="4">
        <f t="shared" si="7"/>
        <v>-10538.638000000001</v>
      </c>
      <c r="F28" s="4">
        <f t="shared" si="7"/>
        <v>-9483.0509999999995</v>
      </c>
      <c r="G28" s="4">
        <f t="shared" si="7"/>
        <v>-9711.4419999999991</v>
      </c>
      <c r="H28" s="4">
        <f t="shared" si="7"/>
        <v>-4896.07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abSelected="1" topLeftCell="A2" zoomScale="82" workbookViewId="0">
      <selection activeCell="J71" sqref="J71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62</v>
      </c>
    </row>
    <row r="4" spans="2:7" ht="14" x14ac:dyDescent="0.3">
      <c r="B4" s="7" t="s">
        <v>63</v>
      </c>
      <c r="C4" s="8"/>
      <c r="D4" s="8"/>
      <c r="E4" s="8"/>
      <c r="F4" s="8"/>
      <c r="G4" s="8"/>
    </row>
    <row r="5" spans="2:7" ht="14" x14ac:dyDescent="0.3">
      <c r="B5" s="3" t="s">
        <v>57</v>
      </c>
      <c r="C5" s="6">
        <v>3.3000000000000002E-2</v>
      </c>
    </row>
    <row r="6" spans="2:7" ht="14" x14ac:dyDescent="0.3">
      <c r="B6" s="3" t="s">
        <v>64</v>
      </c>
      <c r="C6" s="6">
        <v>0.3</v>
      </c>
    </row>
    <row r="7" spans="2:7" ht="14" x14ac:dyDescent="0.3">
      <c r="B7" s="3" t="s">
        <v>65</v>
      </c>
      <c r="C7" s="6">
        <v>2.1999999999999999E-2</v>
      </c>
    </row>
    <row r="8" spans="2:7" ht="14" x14ac:dyDescent="0.3">
      <c r="B8" s="3" t="s">
        <v>66</v>
      </c>
      <c r="C8" s="11">
        <v>1</v>
      </c>
    </row>
    <row r="9" spans="2:7" ht="14" x14ac:dyDescent="0.3">
      <c r="B9" s="3" t="s">
        <v>67</v>
      </c>
      <c r="C9" s="6">
        <v>6.5000000000000002E-2</v>
      </c>
    </row>
    <row r="10" spans="2:7" ht="14" x14ac:dyDescent="0.3">
      <c r="B10" s="3" t="s">
        <v>68</v>
      </c>
      <c r="C10" s="6">
        <v>0.04</v>
      </c>
    </row>
    <row r="11" spans="2:7" ht="14" x14ac:dyDescent="0.3">
      <c r="B11" s="3" t="s">
        <v>69</v>
      </c>
      <c r="C11" s="6">
        <v>5.0000000000000001E-3</v>
      </c>
    </row>
    <row r="12" spans="2:7" ht="14" x14ac:dyDescent="0.3">
      <c r="B12" s="3" t="s">
        <v>70</v>
      </c>
      <c r="C12" s="12">
        <v>1.9099999999999999E-2</v>
      </c>
    </row>
    <row r="13" spans="2:7" ht="14" x14ac:dyDescent="0.3">
      <c r="B13" s="3" t="s">
        <v>71</v>
      </c>
      <c r="C13" s="6">
        <v>1.4999999999999999E-2</v>
      </c>
    </row>
    <row r="14" spans="2:7" ht="14" x14ac:dyDescent="0.3">
      <c r="B14" s="3" t="s">
        <v>72</v>
      </c>
      <c r="C14" s="13">
        <v>8</v>
      </c>
    </row>
    <row r="15" spans="2:7" ht="14" x14ac:dyDescent="0.3">
      <c r="B15" s="3" t="s">
        <v>73</v>
      </c>
      <c r="C15" s="14">
        <v>11490655</v>
      </c>
    </row>
    <row r="16" spans="2:7" ht="14" x14ac:dyDescent="0.3">
      <c r="B16" s="3" t="s">
        <v>74</v>
      </c>
      <c r="C16" s="4">
        <v>432.4</v>
      </c>
    </row>
    <row r="17" spans="2:7" ht="14" x14ac:dyDescent="0.3">
      <c r="B17" s="3" t="s">
        <v>75</v>
      </c>
      <c r="C17" s="4">
        <v>21578.662</v>
      </c>
    </row>
    <row r="18" spans="2:7" ht="14" x14ac:dyDescent="0.3">
      <c r="B18" s="3" t="s">
        <v>76</v>
      </c>
      <c r="C18" s="6">
        <v>1.0699999999999999E-2</v>
      </c>
    </row>
    <row r="19" spans="2:7" ht="14" x14ac:dyDescent="0.3">
      <c r="B19" s="3" t="s">
        <v>77</v>
      </c>
      <c r="C19" s="11">
        <v>0.5</v>
      </c>
    </row>
    <row r="20" spans="2:7" ht="14" x14ac:dyDescent="0.3">
      <c r="B20" s="3" t="s">
        <v>78</v>
      </c>
      <c r="C20" s="4">
        <v>26592.9</v>
      </c>
    </row>
    <row r="22" spans="2:7" ht="14" x14ac:dyDescent="0.3">
      <c r="B22" s="7" t="s">
        <v>79</v>
      </c>
      <c r="C22" s="8"/>
      <c r="D22" s="8"/>
      <c r="E22" s="8"/>
      <c r="F22" s="8"/>
      <c r="G22" s="8"/>
    </row>
    <row r="23" spans="2:7" ht="14" x14ac:dyDescent="0.3">
      <c r="B23" s="3" t="s">
        <v>80</v>
      </c>
      <c r="C23" s="15">
        <f>C7+C8*C9+C10</f>
        <v>0.127</v>
      </c>
    </row>
    <row r="24" spans="2:7" ht="14" x14ac:dyDescent="0.3">
      <c r="B24" s="3" t="s">
        <v>81</v>
      </c>
      <c r="C24" s="15">
        <f>1/(1+C12)</f>
        <v>0.98125797272102844</v>
      </c>
    </row>
    <row r="25" spans="2:7" ht="14" x14ac:dyDescent="0.3">
      <c r="B25" s="3" t="s">
        <v>82</v>
      </c>
      <c r="C25" s="15">
        <f>C12/(1+C12)</f>
        <v>1.8742027278971642E-2</v>
      </c>
    </row>
    <row r="26" spans="2:7" ht="14" x14ac:dyDescent="0.3">
      <c r="B26" s="3" t="s">
        <v>83</v>
      </c>
      <c r="C26" s="15">
        <f>C23*C24+C11*C25</f>
        <v>0.12471347267196548</v>
      </c>
    </row>
    <row r="27" spans="2:7" ht="14" x14ac:dyDescent="0.3">
      <c r="B27" s="3" t="s">
        <v>84</v>
      </c>
      <c r="C27" s="16" t="s">
        <v>85</v>
      </c>
      <c r="D27" s="5">
        <f>MATCH(C27,B69:B73,0)</f>
        <v>1</v>
      </c>
    </row>
    <row r="28" spans="2:7" ht="14" x14ac:dyDescent="0.3">
      <c r="B28" s="7" t="s">
        <v>86</v>
      </c>
      <c r="C28" s="8"/>
      <c r="D28" s="8"/>
      <c r="E28" s="8"/>
      <c r="F28" s="8"/>
      <c r="G28" s="8"/>
    </row>
    <row r="29" spans="2:7" ht="14" x14ac:dyDescent="0.3">
      <c r="C29" s="9" t="s">
        <v>87</v>
      </c>
      <c r="D29" s="9" t="s">
        <v>88</v>
      </c>
      <c r="E29" s="9" t="s">
        <v>89</v>
      </c>
      <c r="F29" s="9" t="s">
        <v>90</v>
      </c>
      <c r="G29" s="9" t="s">
        <v>91</v>
      </c>
    </row>
    <row r="30" spans="2:7" ht="14" x14ac:dyDescent="0.3">
      <c r="B30" s="3" t="s">
        <v>49</v>
      </c>
      <c r="C30" s="17">
        <f>CHOOSE($D$27,C69,C70,C71,C72,C73)</f>
        <v>-7.2999999999999995E-2</v>
      </c>
      <c r="D30" s="17">
        <f>CHOOSE($D$27,D69,D70,D71,D72,D73)</f>
        <v>0.08</v>
      </c>
      <c r="E30" s="17">
        <f>CHOOSE($D$27,E69,E70,E71,E72,E73)</f>
        <v>0.06</v>
      </c>
      <c r="F30" s="17">
        <f>CHOOSE($D$27,F69,F70,F71,F72,F73)</f>
        <v>0.05</v>
      </c>
      <c r="G30" s="17">
        <f>CHOOSE($D$27,G69,G70,G71,G72,G73)</f>
        <v>0.04</v>
      </c>
    </row>
    <row r="31" spans="2:7" ht="14" x14ac:dyDescent="0.3">
      <c r="B31" s="3" t="s">
        <v>92</v>
      </c>
      <c r="C31" s="17">
        <f>CHOOSE($D$27,C76,C77,C78,C79,C80)</f>
        <v>0.79</v>
      </c>
      <c r="D31" s="17">
        <f>CHOOSE($D$27,D76,D77,D78,D79,D80)</f>
        <v>0.78500000000000003</v>
      </c>
      <c r="E31" s="17">
        <f>CHOOSE($D$27,E76,E77,E78,E79,E80)</f>
        <v>0.78</v>
      </c>
      <c r="F31" s="17">
        <f>CHOOSE($D$27,F76,F77,F78,F79,F80)</f>
        <v>0.77500000000000002</v>
      </c>
      <c r="G31" s="17">
        <f>CHOOSE($D$27,G76,G77,G78,G79,G80)</f>
        <v>0.77</v>
      </c>
    </row>
    <row r="32" spans="2:7" ht="14" x14ac:dyDescent="0.3">
      <c r="B32" s="3" t="s">
        <v>93</v>
      </c>
      <c r="C32" s="17">
        <f>CHOOSE($D$27,C83,C84,C85,C86,C87)</f>
        <v>0.06</v>
      </c>
      <c r="D32" s="17">
        <f>CHOOSE($D$27,D83,D84,D85,D86,D87)</f>
        <v>0.06</v>
      </c>
      <c r="E32" s="17">
        <f>CHOOSE($D$27,E83,E84,E85,E86,E87)</f>
        <v>0.06</v>
      </c>
      <c r="F32" s="17">
        <f>CHOOSE($D$27,F83,F84,F85,F86,F87)</f>
        <v>0.06</v>
      </c>
      <c r="G32" s="17">
        <f>CHOOSE($D$27,G83,G84,G85,G86,G87)</f>
        <v>0.06</v>
      </c>
    </row>
    <row r="33" spans="2:7" ht="14" x14ac:dyDescent="0.3">
      <c r="B33" s="3" t="s">
        <v>40</v>
      </c>
      <c r="C33" s="4">
        <f>C17*(1+C30)</f>
        <v>20003.419674000001</v>
      </c>
      <c r="D33" s="4">
        <f>C33*(1+D30)</f>
        <v>21603.69324792</v>
      </c>
      <c r="E33" s="4">
        <f>D33*(1+E30)</f>
        <v>22899.914842795202</v>
      </c>
      <c r="F33" s="4">
        <f>E33*(1+F30)</f>
        <v>24044.910584934962</v>
      </c>
      <c r="G33" s="4">
        <f>F33*(1+G30)</f>
        <v>25006.70700833236</v>
      </c>
    </row>
    <row r="34" spans="2:7" ht="14" x14ac:dyDescent="0.3">
      <c r="B34" s="3" t="s">
        <v>41</v>
      </c>
      <c r="C34" s="4">
        <f>C33*C31</f>
        <v>15802.701542460001</v>
      </c>
      <c r="D34" s="4">
        <f>D33*D31</f>
        <v>16958.899199617201</v>
      </c>
      <c r="E34" s="4">
        <f>E33*E31</f>
        <v>17861.93357738026</v>
      </c>
      <c r="F34" s="4">
        <f>F33*F31</f>
        <v>18634.805703324597</v>
      </c>
      <c r="G34" s="4">
        <f>G33*G31</f>
        <v>19255.164396415916</v>
      </c>
    </row>
    <row r="35" spans="2:7" ht="14" x14ac:dyDescent="0.3">
      <c r="B35" s="3" t="s">
        <v>42</v>
      </c>
      <c r="C35" s="18">
        <f>C33-C34</f>
        <v>4200.7181315399994</v>
      </c>
      <c r="D35" s="18">
        <f>D33-D34</f>
        <v>4644.7940483027996</v>
      </c>
      <c r="E35" s="18">
        <f>E33-E34</f>
        <v>5037.9812654149428</v>
      </c>
      <c r="F35" s="18">
        <f>F33-F34</f>
        <v>5410.1048816103648</v>
      </c>
      <c r="G35" s="18">
        <f>G33-G34</f>
        <v>5751.542611916444</v>
      </c>
    </row>
    <row r="36" spans="2:7" ht="14" x14ac:dyDescent="0.3">
      <c r="B36" s="3" t="s">
        <v>43</v>
      </c>
      <c r="C36" s="6">
        <f>C35/C33</f>
        <v>0.20999999999999996</v>
      </c>
      <c r="D36" s="6">
        <f>D35/D33</f>
        <v>0.21499999999999997</v>
      </c>
      <c r="E36" s="6">
        <f>E35/E33</f>
        <v>0.21999999999999992</v>
      </c>
      <c r="F36" s="6">
        <f>F35/F33</f>
        <v>0.22499999999999992</v>
      </c>
      <c r="G36" s="6">
        <f>G35/G33</f>
        <v>0.23000000000000004</v>
      </c>
    </row>
    <row r="37" spans="2:7" ht="14" x14ac:dyDescent="0.3">
      <c r="B37" s="3" t="s">
        <v>94</v>
      </c>
      <c r="C37" s="4">
        <f>C33*C32</f>
        <v>1200.20518044</v>
      </c>
      <c r="D37" s="4">
        <f>D33*D32</f>
        <v>1296.2215948752</v>
      </c>
      <c r="E37" s="4">
        <f>E33*E32</f>
        <v>1373.994890567712</v>
      </c>
      <c r="F37" s="4">
        <f>F33*F32</f>
        <v>1442.6946350960977</v>
      </c>
      <c r="G37" s="4">
        <f>G33*G32</f>
        <v>1500.4024204999416</v>
      </c>
    </row>
    <row r="38" spans="2:7" ht="14" x14ac:dyDescent="0.3">
      <c r="B38" s="3" t="s">
        <v>95</v>
      </c>
      <c r="C38" s="6">
        <f>(C35-C37)/C33</f>
        <v>0.14999999999999997</v>
      </c>
      <c r="D38" s="6">
        <f>(D35-D37)/D33</f>
        <v>0.15499999999999997</v>
      </c>
      <c r="E38" s="6">
        <f>(E35-E37)/E33</f>
        <v>0.15999999999999992</v>
      </c>
      <c r="F38" s="6">
        <f>(F35-F37)/F33</f>
        <v>0.16499999999999992</v>
      </c>
      <c r="G38" s="6">
        <f>(G35-G37)/G33</f>
        <v>0.17000000000000007</v>
      </c>
    </row>
    <row r="39" spans="2:7" ht="14" x14ac:dyDescent="0.3">
      <c r="B39" s="3" t="s">
        <v>96</v>
      </c>
      <c r="C39" s="18">
        <f>C35-C37</f>
        <v>3000.5129510999996</v>
      </c>
      <c r="D39" s="18">
        <f>D35-D37</f>
        <v>3348.5724534275996</v>
      </c>
      <c r="E39" s="18">
        <f>E35-E37</f>
        <v>3663.9863748472308</v>
      </c>
      <c r="F39" s="18">
        <f>F35-F37</f>
        <v>3967.4102465142669</v>
      </c>
      <c r="G39" s="18">
        <f>G35-G37</f>
        <v>4251.1401914165026</v>
      </c>
    </row>
    <row r="40" spans="2:7" ht="14" x14ac:dyDescent="0.3">
      <c r="B40" s="3" t="s">
        <v>97</v>
      </c>
      <c r="C40" s="4">
        <f>MAX(0,C39*C6)</f>
        <v>900.15388532999987</v>
      </c>
      <c r="D40" s="4">
        <f>MAX(0,D39*C6)</f>
        <v>1004.5717360282798</v>
      </c>
      <c r="E40" s="4">
        <f>MAX(0,E39*C6)</f>
        <v>1099.1959124541693</v>
      </c>
      <c r="F40" s="4">
        <f>MAX(0,F39*C6)</f>
        <v>1190.2230739542799</v>
      </c>
      <c r="G40" s="4">
        <f>MAX(0,G39*C6)</f>
        <v>1275.3420574249508</v>
      </c>
    </row>
    <row r="41" spans="2:7" ht="14" x14ac:dyDescent="0.3">
      <c r="B41" s="3" t="s">
        <v>98</v>
      </c>
      <c r="C41" s="18">
        <f>C39-C40</f>
        <v>2100.3590657699997</v>
      </c>
      <c r="D41" s="18">
        <f>D39-D40</f>
        <v>2344.0007173993199</v>
      </c>
      <c r="E41" s="18">
        <f>E39-E40</f>
        <v>2564.7904623930617</v>
      </c>
      <c r="F41" s="18">
        <f>F39-F40</f>
        <v>2777.1871725599867</v>
      </c>
      <c r="G41" s="18">
        <f>G39-G40</f>
        <v>2975.7981339915518</v>
      </c>
    </row>
    <row r="42" spans="2:7" ht="14" x14ac:dyDescent="0.3">
      <c r="B42" s="3" t="s">
        <v>99</v>
      </c>
      <c r="C42" s="4">
        <f>C33*C18</f>
        <v>214.0365905118</v>
      </c>
      <c r="D42" s="4">
        <f>D33*C18</f>
        <v>231.15951775274399</v>
      </c>
      <c r="E42" s="4">
        <f>E33*C18</f>
        <v>245.02908881790864</v>
      </c>
      <c r="F42" s="4">
        <f>F33*C18</f>
        <v>257.28054325880407</v>
      </c>
      <c r="G42" s="4">
        <f>G33*C18</f>
        <v>267.57176498915624</v>
      </c>
    </row>
    <row r="43" spans="2:7" ht="14" x14ac:dyDescent="0.3">
      <c r="B43" s="3" t="s">
        <v>100</v>
      </c>
      <c r="C43" s="4">
        <f>C33*C5</f>
        <v>660.11284924200004</v>
      </c>
      <c r="D43" s="4">
        <f>D33*C5</f>
        <v>712.92187718136006</v>
      </c>
      <c r="E43" s="4">
        <f>E33*C5</f>
        <v>755.69718981224173</v>
      </c>
      <c r="F43" s="4">
        <f>F33*C5</f>
        <v>793.48204930285374</v>
      </c>
      <c r="G43" s="4">
        <f>G33*C5</f>
        <v>825.22133127496795</v>
      </c>
    </row>
    <row r="44" spans="2:7" ht="14" x14ac:dyDescent="0.3">
      <c r="B44" s="3" t="s">
        <v>101</v>
      </c>
      <c r="C44" s="4">
        <f>'NWC Schedule'!D19</f>
        <v>130.76062281999975</v>
      </c>
      <c r="D44" s="4">
        <f>'NWC Schedule'!E19</f>
        <v>-112.01915017440001</v>
      </c>
      <c r="E44" s="4">
        <f>'NWC Schedule'!F19</f>
        <v>-90.735511641264111</v>
      </c>
      <c r="F44" s="4">
        <f>'NWC Schedule'!G19</f>
        <v>-80.149701949783093</v>
      </c>
      <c r="G44" s="4">
        <f>'NWC Schedule'!H19</f>
        <v>-67.325749637817808</v>
      </c>
    </row>
    <row r="45" spans="2:7" ht="14" x14ac:dyDescent="0.3">
      <c r="B45" s="3" t="s">
        <v>102</v>
      </c>
      <c r="C45" s="19">
        <f>C41+C42-C43-C44</f>
        <v>1523.5221842198</v>
      </c>
      <c r="D45" s="19">
        <f>D41+D42-D43-D44</f>
        <v>1974.2575081451037</v>
      </c>
      <c r="E45" s="19">
        <f>E41+E42-E43-E44</f>
        <v>2144.8578730399927</v>
      </c>
      <c r="F45" s="19">
        <f>F41+F42-F43-F44</f>
        <v>2321.1353684657197</v>
      </c>
      <c r="G45" s="19">
        <f>G41+G42-G43-G44</f>
        <v>2485.4743173435577</v>
      </c>
    </row>
    <row r="46" spans="2:7" ht="14" x14ac:dyDescent="0.3">
      <c r="B46" s="3" t="s">
        <v>103</v>
      </c>
      <c r="C46" s="20">
        <f>1/(1+C26)^(C19+0)</f>
        <v>0.94292912699017617</v>
      </c>
      <c r="D46" s="20">
        <f>1/(1+C26)^(C19+1)</f>
        <v>0.83837274995032562</v>
      </c>
      <c r="E46" s="20">
        <f>1/(1+C26)^(C19+2)</f>
        <v>0.74541007138343929</v>
      </c>
      <c r="F46" s="20">
        <f>1/(1+C26)^(C19+3)</f>
        <v>0.66275552795911608</v>
      </c>
      <c r="G46" s="20">
        <f>1/(1+C26)^(C19+4)</f>
        <v>0.58926610560164927</v>
      </c>
    </row>
    <row r="47" spans="2:7" ht="14" x14ac:dyDescent="0.3">
      <c r="B47" s="3" t="s">
        <v>104</v>
      </c>
      <c r="C47" s="18">
        <f>C45*C46</f>
        <v>1436.5734431165424</v>
      </c>
      <c r="D47" s="18">
        <f>D45*D46</f>
        <v>1655.1636962136879</v>
      </c>
      <c r="E47" s="18">
        <f>E45*E46</f>
        <v>1598.7986602500728</v>
      </c>
      <c r="F47" s="18">
        <f>F45*F46</f>
        <v>1538.3452965920756</v>
      </c>
      <c r="G47" s="18">
        <f>G45*G46</f>
        <v>1464.6057715539559</v>
      </c>
    </row>
    <row r="49" spans="2:7" ht="14" x14ac:dyDescent="0.3">
      <c r="B49" s="21" t="s">
        <v>105</v>
      </c>
      <c r="C49" s="22"/>
      <c r="D49" s="22"/>
      <c r="E49" s="22"/>
      <c r="F49" s="22"/>
      <c r="G49" s="22"/>
    </row>
    <row r="50" spans="2:7" ht="14" x14ac:dyDescent="0.3">
      <c r="B50" s="3" t="s">
        <v>106</v>
      </c>
      <c r="C50" s="4">
        <f>SUM(C47:G47)</f>
        <v>7693.486867726333</v>
      </c>
    </row>
    <row r="51" spans="2:7" ht="14" x14ac:dyDescent="0.3">
      <c r="B51" s="3" t="s">
        <v>107</v>
      </c>
      <c r="C51" s="4">
        <f>G45*(1+C13)/(C26-C13)</f>
        <v>22994.044128441281</v>
      </c>
    </row>
    <row r="52" spans="2:7" ht="14" x14ac:dyDescent="0.3">
      <c r="B52" s="3" t="s">
        <v>108</v>
      </c>
      <c r="C52" s="4">
        <f>C51*G46</f>
        <v>13549.610835599064</v>
      </c>
    </row>
    <row r="53" spans="2:7" ht="14" x14ac:dyDescent="0.3">
      <c r="B53" s="3" t="s">
        <v>109</v>
      </c>
      <c r="C53" s="4">
        <f>C50+C52</f>
        <v>21243.097703325395</v>
      </c>
    </row>
    <row r="54" spans="2:7" ht="14" x14ac:dyDescent="0.3">
      <c r="B54" s="3" t="s">
        <v>110</v>
      </c>
      <c r="C54" s="4">
        <f>C53-C16</f>
        <v>20810.697703325393</v>
      </c>
    </row>
    <row r="55" spans="2:7" ht="14" x14ac:dyDescent="0.3">
      <c r="B55" s="3" t="s">
        <v>111</v>
      </c>
      <c r="C55" s="23">
        <f>ROUND(C54*1000000/C15,0)</f>
        <v>1811</v>
      </c>
    </row>
    <row r="57" spans="2:7" ht="14" x14ac:dyDescent="0.3">
      <c r="B57" s="21" t="s">
        <v>112</v>
      </c>
      <c r="C57" s="22"/>
      <c r="D57" s="22"/>
      <c r="E57" s="22"/>
      <c r="F57" s="22"/>
      <c r="G57" s="22"/>
    </row>
    <row r="58" spans="2:7" ht="14" x14ac:dyDescent="0.3">
      <c r="B58" s="3" t="s">
        <v>106</v>
      </c>
      <c r="C58" s="4">
        <f>C50</f>
        <v>7693.486867726333</v>
      </c>
    </row>
    <row r="59" spans="2:7" ht="14" x14ac:dyDescent="0.3">
      <c r="B59" s="3" t="s">
        <v>113</v>
      </c>
      <c r="C59" s="4">
        <f>G39+G42</f>
        <v>4518.7119564056593</v>
      </c>
    </row>
    <row r="60" spans="2:7" ht="14" x14ac:dyDescent="0.3">
      <c r="B60" s="3" t="s">
        <v>114</v>
      </c>
      <c r="C60" s="4">
        <f>C59*C14</f>
        <v>36149.695651245274</v>
      </c>
    </row>
    <row r="61" spans="2:7" ht="14" x14ac:dyDescent="0.3">
      <c r="B61" s="3" t="s">
        <v>108</v>
      </c>
      <c r="C61" s="4">
        <f>C60*G46</f>
        <v>21301.79037509418</v>
      </c>
    </row>
    <row r="62" spans="2:7" ht="14" x14ac:dyDescent="0.3">
      <c r="B62" s="3" t="s">
        <v>109</v>
      </c>
      <c r="C62" s="4">
        <f>C58+C61</f>
        <v>28995.277242820513</v>
      </c>
    </row>
    <row r="63" spans="2:7" ht="14" x14ac:dyDescent="0.3">
      <c r="B63" s="3" t="s">
        <v>110</v>
      </c>
      <c r="C63" s="4">
        <f>C62-C16</f>
        <v>28562.877242820512</v>
      </c>
    </row>
    <row r="64" spans="2:7" ht="14" x14ac:dyDescent="0.3">
      <c r="B64" s="3" t="s">
        <v>115</v>
      </c>
      <c r="C64" s="23">
        <f>ROUND(C63*1000000/C15,0)</f>
        <v>2486</v>
      </c>
    </row>
    <row r="66" spans="2:7" ht="14" x14ac:dyDescent="0.3">
      <c r="B66" s="21" t="s">
        <v>116</v>
      </c>
      <c r="C66" s="22"/>
      <c r="D66" s="22"/>
      <c r="E66" s="22"/>
      <c r="F66" s="22"/>
      <c r="G66" s="22"/>
    </row>
    <row r="67" spans="2:7" ht="14" x14ac:dyDescent="0.3">
      <c r="C67" s="24" t="s">
        <v>117</v>
      </c>
      <c r="D67" s="24" t="s">
        <v>118</v>
      </c>
      <c r="E67" s="24" t="s">
        <v>119</v>
      </c>
      <c r="F67" s="24" t="s">
        <v>120</v>
      </c>
      <c r="G67" s="24" t="s">
        <v>121</v>
      </c>
    </row>
    <row r="68" spans="2:7" ht="14" x14ac:dyDescent="0.3">
      <c r="B68" s="2" t="s">
        <v>49</v>
      </c>
    </row>
    <row r="69" spans="2:7" ht="14" x14ac:dyDescent="0.3">
      <c r="B69" s="3" t="s">
        <v>85</v>
      </c>
      <c r="C69" s="25">
        <v>-7.2999999999999995E-2</v>
      </c>
      <c r="D69" s="25">
        <v>0.08</v>
      </c>
      <c r="E69" s="25">
        <v>0.06</v>
      </c>
      <c r="F69" s="25">
        <v>0.05</v>
      </c>
      <c r="G69" s="25">
        <v>0.04</v>
      </c>
    </row>
    <row r="70" spans="2:7" ht="14" x14ac:dyDescent="0.3">
      <c r="B70" s="3" t="s">
        <v>122</v>
      </c>
      <c r="C70" s="25">
        <v>-7.2999999999999995E-2</v>
      </c>
      <c r="D70" s="25">
        <v>0.18</v>
      </c>
      <c r="E70" s="25">
        <v>0.15</v>
      </c>
      <c r="F70" s="25">
        <v>0.12</v>
      </c>
      <c r="G70" s="25">
        <v>0.1</v>
      </c>
    </row>
    <row r="71" spans="2:7" ht="14" x14ac:dyDescent="0.3">
      <c r="B71" s="3" t="s">
        <v>123</v>
      </c>
      <c r="C71" s="25">
        <v>-7.2999999999999995E-2</v>
      </c>
      <c r="D71" s="25">
        <v>0.08</v>
      </c>
      <c r="E71" s="25">
        <v>0.06</v>
      </c>
      <c r="F71" s="25">
        <v>0.05</v>
      </c>
      <c r="G71" s="25">
        <v>0.04</v>
      </c>
    </row>
    <row r="72" spans="2:7" ht="14" x14ac:dyDescent="0.3">
      <c r="B72" s="3" t="s">
        <v>124</v>
      </c>
      <c r="C72" s="25">
        <v>-7.2999999999999995E-2</v>
      </c>
      <c r="D72" s="25">
        <v>0.02</v>
      </c>
      <c r="E72" s="25">
        <v>0.02</v>
      </c>
      <c r="F72" s="25">
        <v>0.02</v>
      </c>
      <c r="G72" s="25">
        <v>0.02</v>
      </c>
    </row>
    <row r="73" spans="2:7" ht="14" x14ac:dyDescent="0.3">
      <c r="B73" s="3" t="s">
        <v>125</v>
      </c>
      <c r="C73" s="25">
        <v>-7.2999999999999995E-2</v>
      </c>
      <c r="D73" s="25">
        <v>-0.03</v>
      </c>
      <c r="E73" s="25">
        <v>0</v>
      </c>
      <c r="F73" s="25">
        <v>0.02</v>
      </c>
      <c r="G73" s="25">
        <v>0.02</v>
      </c>
    </row>
    <row r="75" spans="2:7" ht="14" x14ac:dyDescent="0.3">
      <c r="B75" s="2" t="s">
        <v>92</v>
      </c>
    </row>
    <row r="76" spans="2:7" ht="14" x14ac:dyDescent="0.3">
      <c r="B76" s="3" t="s">
        <v>85</v>
      </c>
      <c r="C76" s="25">
        <v>0.79</v>
      </c>
      <c r="D76" s="25">
        <v>0.78500000000000003</v>
      </c>
      <c r="E76" s="25">
        <v>0.78</v>
      </c>
      <c r="F76" s="25">
        <v>0.77500000000000002</v>
      </c>
      <c r="G76" s="25">
        <v>0.77</v>
      </c>
    </row>
    <row r="77" spans="2:7" ht="14" x14ac:dyDescent="0.3">
      <c r="B77" s="3" t="s">
        <v>122</v>
      </c>
      <c r="C77" s="25">
        <v>0.77</v>
      </c>
      <c r="D77" s="25">
        <v>0.77</v>
      </c>
      <c r="E77" s="25">
        <v>0.76500000000000001</v>
      </c>
      <c r="F77" s="25">
        <v>0.76</v>
      </c>
      <c r="G77" s="25">
        <v>0.755</v>
      </c>
    </row>
    <row r="78" spans="2:7" ht="14" x14ac:dyDescent="0.3">
      <c r="B78" s="3" t="s">
        <v>123</v>
      </c>
      <c r="C78" s="25">
        <v>0.79</v>
      </c>
      <c r="D78" s="25">
        <v>0.79</v>
      </c>
      <c r="E78" s="25">
        <v>0.79</v>
      </c>
      <c r="F78" s="25">
        <v>0.79</v>
      </c>
      <c r="G78" s="25">
        <v>0.79</v>
      </c>
    </row>
    <row r="79" spans="2:7" ht="14" x14ac:dyDescent="0.3">
      <c r="B79" s="3" t="s">
        <v>124</v>
      </c>
      <c r="C79" s="25">
        <v>0.8</v>
      </c>
      <c r="D79" s="25">
        <v>0.8</v>
      </c>
      <c r="E79" s="25">
        <v>0.8</v>
      </c>
      <c r="F79" s="25">
        <v>0.8</v>
      </c>
      <c r="G79" s="25">
        <v>0.8</v>
      </c>
    </row>
    <row r="80" spans="2:7" ht="14" x14ac:dyDescent="0.3">
      <c r="B80" s="3" t="s">
        <v>125</v>
      </c>
      <c r="C80" s="25">
        <v>0.81</v>
      </c>
      <c r="D80" s="25">
        <v>0.81</v>
      </c>
      <c r="E80" s="25">
        <v>0.81</v>
      </c>
      <c r="F80" s="25">
        <v>0.81</v>
      </c>
      <c r="G80" s="25">
        <v>0.81</v>
      </c>
    </row>
    <row r="82" spans="2:7" ht="14" x14ac:dyDescent="0.3">
      <c r="B82" s="2" t="s">
        <v>93</v>
      </c>
    </row>
    <row r="83" spans="2:7" ht="14" x14ac:dyDescent="0.3">
      <c r="B83" s="3" t="s">
        <v>85</v>
      </c>
      <c r="C83" s="25">
        <v>0.06</v>
      </c>
      <c r="D83" s="25">
        <v>0.06</v>
      </c>
      <c r="E83" s="25">
        <v>0.06</v>
      </c>
      <c r="F83" s="25">
        <v>0.06</v>
      </c>
      <c r="G83" s="25">
        <v>0.06</v>
      </c>
    </row>
    <row r="84" spans="2:7" ht="14" x14ac:dyDescent="0.3">
      <c r="B84" s="3" t="s">
        <v>122</v>
      </c>
      <c r="C84" s="25">
        <v>0.05</v>
      </c>
      <c r="D84" s="25">
        <v>0.05</v>
      </c>
      <c r="E84" s="25">
        <v>0.05</v>
      </c>
      <c r="F84" s="25">
        <v>0.05</v>
      </c>
      <c r="G84" s="25">
        <v>0.05</v>
      </c>
    </row>
    <row r="85" spans="2:7" ht="14" x14ac:dyDescent="0.3">
      <c r="B85" s="3" t="s">
        <v>123</v>
      </c>
      <c r="C85" s="25">
        <v>0.06</v>
      </c>
      <c r="D85" s="25">
        <v>0.06</v>
      </c>
      <c r="E85" s="25">
        <v>0.06</v>
      </c>
      <c r="F85" s="25">
        <v>0.06</v>
      </c>
      <c r="G85" s="25">
        <v>0.06</v>
      </c>
    </row>
    <row r="86" spans="2:7" ht="14" x14ac:dyDescent="0.3">
      <c r="B86" s="3" t="s">
        <v>124</v>
      </c>
      <c r="C86" s="25">
        <v>7.0000000000000007E-2</v>
      </c>
      <c r="D86" s="25">
        <v>7.0000000000000007E-2</v>
      </c>
      <c r="E86" s="25">
        <v>7.0000000000000007E-2</v>
      </c>
      <c r="F86" s="25">
        <v>7.0000000000000007E-2</v>
      </c>
      <c r="G86" s="25">
        <v>7.0000000000000007E-2</v>
      </c>
    </row>
    <row r="87" spans="2:7" ht="14" x14ac:dyDescent="0.3">
      <c r="B87" s="3" t="s">
        <v>125</v>
      </c>
      <c r="C87" s="25">
        <v>0.08</v>
      </c>
      <c r="D87" s="25">
        <v>0.08</v>
      </c>
      <c r="E87" s="25">
        <v>0.08</v>
      </c>
      <c r="F87" s="25">
        <v>0.08</v>
      </c>
      <c r="G87" s="25">
        <v>0.08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29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126</v>
      </c>
    </row>
    <row r="4" spans="2:8" ht="14" x14ac:dyDescent="0.3">
      <c r="B4" s="7" t="s">
        <v>127</v>
      </c>
      <c r="C4" s="26" t="s">
        <v>128</v>
      </c>
      <c r="D4" s="26" t="s">
        <v>87</v>
      </c>
      <c r="E4" s="26" t="s">
        <v>88</v>
      </c>
      <c r="F4" s="26" t="s">
        <v>89</v>
      </c>
      <c r="G4" s="26" t="s">
        <v>90</v>
      </c>
      <c r="H4" s="26" t="s">
        <v>91</v>
      </c>
    </row>
    <row r="5" spans="2:8" ht="14" x14ac:dyDescent="0.3">
      <c r="B5" s="27" t="s">
        <v>129</v>
      </c>
      <c r="C5" s="28">
        <f>C18/C9</f>
        <v>-7.0949718754573385E-2</v>
      </c>
      <c r="D5" s="28">
        <f>CHOOSE('DCF Model'!$D$27,D25,D26,D27,D28,D29)</f>
        <v>-7.0000000000000007E-2</v>
      </c>
      <c r="E5" s="28">
        <f>CHOOSE('DCF Model'!$D$27,E25,E26,E27,E28,E29)</f>
        <v>-7.0000000000000007E-2</v>
      </c>
      <c r="F5" s="28">
        <f>CHOOSE('DCF Model'!$D$27,F25,F26,F27,F28,F29)</f>
        <v>-7.0000000000000007E-2</v>
      </c>
      <c r="G5" s="28">
        <f>CHOOSE('DCF Model'!$D$27,G25,G26,G27,G28,G29)</f>
        <v>-7.0000000000000007E-2</v>
      </c>
      <c r="H5" s="28">
        <f>CHOOSE('DCF Model'!$D$27,H25,H26,H27,H28,H29)</f>
        <v>-7.0000000000000007E-2</v>
      </c>
    </row>
    <row r="6" spans="2:8" ht="14" x14ac:dyDescent="0.3">
      <c r="B6" s="29" t="s">
        <v>130</v>
      </c>
      <c r="C6" s="29" t="s">
        <v>130</v>
      </c>
      <c r="D6" s="29" t="s">
        <v>130</v>
      </c>
      <c r="E6" s="29" t="s">
        <v>130</v>
      </c>
      <c r="F6" s="29" t="s">
        <v>130</v>
      </c>
      <c r="G6" s="29" t="s">
        <v>130</v>
      </c>
      <c r="H6" s="29" t="s">
        <v>130</v>
      </c>
    </row>
    <row r="7" spans="2:8" ht="14" x14ac:dyDescent="0.3">
      <c r="B7" s="29" t="s">
        <v>130</v>
      </c>
      <c r="C7" s="29" t="s">
        <v>130</v>
      </c>
      <c r="D7" s="29" t="s">
        <v>130</v>
      </c>
      <c r="E7" s="29" t="s">
        <v>130</v>
      </c>
      <c r="F7" s="29" t="s">
        <v>130</v>
      </c>
      <c r="G7" s="29" t="s">
        <v>130</v>
      </c>
      <c r="H7" s="29" t="s">
        <v>130</v>
      </c>
    </row>
    <row r="8" spans="2:8" ht="14" x14ac:dyDescent="0.3">
      <c r="B8" s="7" t="s">
        <v>131</v>
      </c>
      <c r="C8" s="8"/>
      <c r="D8" s="8"/>
      <c r="E8" s="8"/>
      <c r="F8" s="8"/>
      <c r="G8" s="8"/>
      <c r="H8" s="8"/>
    </row>
    <row r="9" spans="2:8" ht="14" x14ac:dyDescent="0.3">
      <c r="B9" s="27" t="s">
        <v>40</v>
      </c>
      <c r="C9" s="30">
        <v>21578.662</v>
      </c>
      <c r="D9" s="30">
        <f>'DCF Model'!C33</f>
        <v>20003.419674000001</v>
      </c>
      <c r="E9" s="30">
        <f>'DCF Model'!D33</f>
        <v>21603.69324792</v>
      </c>
      <c r="F9" s="30">
        <f>'DCF Model'!E33</f>
        <v>22899.914842795202</v>
      </c>
      <c r="G9" s="30">
        <f>'DCF Model'!F33</f>
        <v>24044.910584934962</v>
      </c>
      <c r="H9" s="30">
        <f>'DCF Model'!G33</f>
        <v>25006.70700833236</v>
      </c>
    </row>
    <row r="10" spans="2:8" ht="14" x14ac:dyDescent="0.3">
      <c r="B10" s="29" t="s">
        <v>130</v>
      </c>
      <c r="C10" s="29" t="s">
        <v>130</v>
      </c>
      <c r="D10" s="29" t="s">
        <v>130</v>
      </c>
      <c r="E10" s="29" t="s">
        <v>130</v>
      </c>
      <c r="F10" s="29" t="s">
        <v>130</v>
      </c>
      <c r="G10" s="29" t="s">
        <v>130</v>
      </c>
      <c r="H10" s="29" t="s">
        <v>130</v>
      </c>
    </row>
    <row r="11" spans="2:8" ht="14" x14ac:dyDescent="0.3">
      <c r="B11" s="7" t="s">
        <v>132</v>
      </c>
      <c r="C11" s="8"/>
      <c r="D11" s="8"/>
      <c r="E11" s="8"/>
      <c r="F11" s="8"/>
      <c r="G11" s="8"/>
      <c r="H11" s="8"/>
    </row>
    <row r="12" spans="2:8" ht="14" x14ac:dyDescent="0.3">
      <c r="B12" s="29" t="s">
        <v>130</v>
      </c>
      <c r="C12" s="29" t="s">
        <v>130</v>
      </c>
      <c r="D12" s="29" t="s">
        <v>130</v>
      </c>
      <c r="E12" s="29" t="s">
        <v>130</v>
      </c>
      <c r="F12" s="29" t="s">
        <v>130</v>
      </c>
      <c r="G12" s="29" t="s">
        <v>130</v>
      </c>
      <c r="H12" s="29" t="s">
        <v>130</v>
      </c>
    </row>
    <row r="13" spans="2:8" ht="14" x14ac:dyDescent="0.3">
      <c r="B13" s="29" t="s">
        <v>130</v>
      </c>
      <c r="C13" s="29" t="s">
        <v>130</v>
      </c>
      <c r="D13" s="29" t="s">
        <v>130</v>
      </c>
      <c r="E13" s="29" t="s">
        <v>130</v>
      </c>
      <c r="F13" s="29" t="s">
        <v>130</v>
      </c>
      <c r="G13" s="29" t="s">
        <v>130</v>
      </c>
      <c r="H13" s="29" t="s">
        <v>130</v>
      </c>
    </row>
    <row r="14" spans="2:8" ht="14" x14ac:dyDescent="0.3">
      <c r="B14" s="29" t="s">
        <v>130</v>
      </c>
      <c r="C14" s="29" t="s">
        <v>130</v>
      </c>
      <c r="D14" s="29" t="s">
        <v>130</v>
      </c>
      <c r="E14" s="29" t="s">
        <v>130</v>
      </c>
      <c r="F14" s="29" t="s">
        <v>130</v>
      </c>
      <c r="G14" s="29" t="s">
        <v>130</v>
      </c>
      <c r="H14" s="29" t="s">
        <v>130</v>
      </c>
    </row>
    <row r="15" spans="2:8" ht="14" x14ac:dyDescent="0.3">
      <c r="B15" s="29" t="s">
        <v>130</v>
      </c>
      <c r="C15" s="29" t="s">
        <v>130</v>
      </c>
      <c r="D15" s="29" t="s">
        <v>130</v>
      </c>
      <c r="E15" s="29" t="s">
        <v>130</v>
      </c>
      <c r="F15" s="29" t="s">
        <v>130</v>
      </c>
      <c r="G15" s="29" t="s">
        <v>130</v>
      </c>
      <c r="H15" s="29" t="s">
        <v>130</v>
      </c>
    </row>
    <row r="16" spans="2:8" ht="14" x14ac:dyDescent="0.3">
      <c r="B16" s="29" t="s">
        <v>130</v>
      </c>
      <c r="C16" s="29" t="s">
        <v>130</v>
      </c>
      <c r="D16" s="29" t="s">
        <v>130</v>
      </c>
      <c r="E16" s="29" t="s">
        <v>130</v>
      </c>
      <c r="F16" s="29" t="s">
        <v>130</v>
      </c>
      <c r="G16" s="29" t="s">
        <v>130</v>
      </c>
      <c r="H16" s="29" t="s">
        <v>130</v>
      </c>
    </row>
    <row r="17" spans="2:8" ht="14" x14ac:dyDescent="0.3">
      <c r="B17" s="21" t="s">
        <v>133</v>
      </c>
      <c r="C17" s="22"/>
      <c r="D17" s="22"/>
      <c r="E17" s="22"/>
      <c r="F17" s="22"/>
      <c r="G17" s="22"/>
      <c r="H17" s="22"/>
    </row>
    <row r="18" spans="2:8" ht="14" x14ac:dyDescent="0.3">
      <c r="B18" s="27" t="s">
        <v>134</v>
      </c>
      <c r="C18" s="19">
        <v>-1531</v>
      </c>
      <c r="D18" s="19">
        <f>D9*D5</f>
        <v>-1400.2393771800002</v>
      </c>
      <c r="E18" s="19">
        <f>E9*E5</f>
        <v>-1512.2585273544003</v>
      </c>
      <c r="F18" s="19">
        <f>F9*F5</f>
        <v>-1602.9940389956644</v>
      </c>
      <c r="G18" s="19">
        <f>G9*G5</f>
        <v>-1683.1437409454475</v>
      </c>
      <c r="H18" s="19">
        <f>H9*H5</f>
        <v>-1750.4694905832653</v>
      </c>
    </row>
    <row r="19" spans="2:8" ht="14" x14ac:dyDescent="0.3">
      <c r="B19" s="27" t="s">
        <v>101</v>
      </c>
      <c r="C19" s="31" t="s">
        <v>50</v>
      </c>
      <c r="D19" s="23">
        <f>D18-C18</f>
        <v>130.76062281999975</v>
      </c>
      <c r="E19" s="23">
        <f>E18-D18</f>
        <v>-112.01915017440001</v>
      </c>
      <c r="F19" s="23">
        <f>F18-E18</f>
        <v>-90.735511641264111</v>
      </c>
      <c r="G19" s="23">
        <f>G18-F18</f>
        <v>-80.149701949783093</v>
      </c>
      <c r="H19" s="23">
        <f>H18-G18</f>
        <v>-67.325749637817808</v>
      </c>
    </row>
    <row r="22" spans="2:8" ht="14" x14ac:dyDescent="0.3">
      <c r="B22" s="21" t="s">
        <v>135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87</v>
      </c>
      <c r="E23" s="24" t="s">
        <v>88</v>
      </c>
      <c r="F23" s="24" t="s">
        <v>89</v>
      </c>
      <c r="G23" s="24" t="s">
        <v>90</v>
      </c>
      <c r="H23" s="24" t="s">
        <v>91</v>
      </c>
    </row>
    <row r="24" spans="2:8" ht="14" x14ac:dyDescent="0.3">
      <c r="B24" s="2" t="s">
        <v>129</v>
      </c>
    </row>
    <row r="25" spans="2:8" ht="14" x14ac:dyDescent="0.3">
      <c r="B25" s="3" t="s">
        <v>85</v>
      </c>
      <c r="D25" s="25">
        <v>-7.0000000000000007E-2</v>
      </c>
      <c r="E25" s="25">
        <v>-7.0000000000000007E-2</v>
      </c>
      <c r="F25" s="25">
        <v>-7.0000000000000007E-2</v>
      </c>
      <c r="G25" s="25">
        <v>-7.0000000000000007E-2</v>
      </c>
      <c r="H25" s="25">
        <v>-7.0000000000000007E-2</v>
      </c>
    </row>
    <row r="26" spans="2:8" ht="14" x14ac:dyDescent="0.3">
      <c r="B26" s="3" t="s">
        <v>122</v>
      </c>
      <c r="D26" s="25">
        <v>-7.0000000000000007E-2</v>
      </c>
      <c r="E26" s="25">
        <v>-7.0000000000000007E-2</v>
      </c>
      <c r="F26" s="25">
        <v>-7.0000000000000007E-2</v>
      </c>
      <c r="G26" s="25">
        <v>-7.0000000000000007E-2</v>
      </c>
      <c r="H26" s="25">
        <v>-7.0000000000000007E-2</v>
      </c>
    </row>
    <row r="27" spans="2:8" ht="14" x14ac:dyDescent="0.3">
      <c r="B27" s="3" t="s">
        <v>123</v>
      </c>
      <c r="D27" s="25">
        <v>-7.0000000000000007E-2</v>
      </c>
      <c r="E27" s="25">
        <v>-7.0000000000000007E-2</v>
      </c>
      <c r="F27" s="25">
        <v>-7.0000000000000007E-2</v>
      </c>
      <c r="G27" s="25">
        <v>-7.0000000000000007E-2</v>
      </c>
      <c r="H27" s="25">
        <v>-7.0000000000000007E-2</v>
      </c>
    </row>
    <row r="28" spans="2:8" ht="14" x14ac:dyDescent="0.3">
      <c r="B28" s="3" t="s">
        <v>124</v>
      </c>
      <c r="D28" s="25">
        <v>-7.0000000000000007E-2</v>
      </c>
      <c r="E28" s="25">
        <v>-7.0000000000000007E-2</v>
      </c>
      <c r="F28" s="25">
        <v>-7.0000000000000007E-2</v>
      </c>
      <c r="G28" s="25">
        <v>-7.0000000000000007E-2</v>
      </c>
      <c r="H28" s="25">
        <v>-7.0000000000000007E-2</v>
      </c>
    </row>
    <row r="29" spans="2:8" ht="14" x14ac:dyDescent="0.3">
      <c r="B29" s="3" t="s">
        <v>125</v>
      </c>
      <c r="D29" s="25">
        <v>-7.0000000000000007E-2</v>
      </c>
      <c r="E29" s="25">
        <v>-7.0000000000000007E-2</v>
      </c>
      <c r="F29" s="25">
        <v>-7.0000000000000007E-2</v>
      </c>
      <c r="G29" s="25">
        <v>-7.0000000000000007E-2</v>
      </c>
      <c r="H29" s="25">
        <v>-7.0000000000000007E-2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136</v>
      </c>
    </row>
    <row r="4" spans="2:15" ht="28" x14ac:dyDescent="0.3">
      <c r="B4" s="9" t="s">
        <v>3</v>
      </c>
      <c r="C4" s="9" t="s">
        <v>5</v>
      </c>
      <c r="D4" s="9" t="s">
        <v>137</v>
      </c>
      <c r="E4" s="9" t="s">
        <v>138</v>
      </c>
      <c r="F4" s="9" t="s">
        <v>139</v>
      </c>
      <c r="G4" s="9" t="s">
        <v>140</v>
      </c>
      <c r="H4" s="9" t="s">
        <v>141</v>
      </c>
      <c r="I4" s="9" t="s">
        <v>142</v>
      </c>
      <c r="J4" s="9" t="s">
        <v>143</v>
      </c>
      <c r="K4" s="9" t="s">
        <v>144</v>
      </c>
      <c r="L4" s="9" t="s">
        <v>145</v>
      </c>
      <c r="M4" s="9" t="s">
        <v>146</v>
      </c>
      <c r="N4" s="9" t="s">
        <v>147</v>
      </c>
      <c r="O4" s="9" t="s">
        <v>148</v>
      </c>
    </row>
    <row r="5" spans="2:15" ht="14" x14ac:dyDescent="0.3">
      <c r="B5" s="3" t="s">
        <v>149</v>
      </c>
      <c r="C5" t="s">
        <v>150</v>
      </c>
      <c r="D5" s="32">
        <v>26567.58784</v>
      </c>
      <c r="E5" s="32">
        <v>33404.58784</v>
      </c>
      <c r="F5" s="32">
        <v>31000</v>
      </c>
      <c r="G5" s="32">
        <v>2922</v>
      </c>
      <c r="H5" s="32">
        <v>2100</v>
      </c>
      <c r="I5" s="32">
        <v>1600</v>
      </c>
      <c r="J5" s="33">
        <f>E5/G5</f>
        <v>11.432097138945927</v>
      </c>
      <c r="K5" s="33">
        <f>E5/F5</f>
        <v>1.0775673496774194</v>
      </c>
      <c r="L5" s="33">
        <f>D5/I5</f>
        <v>16.604742399999999</v>
      </c>
      <c r="M5" s="33">
        <v>0.69474092832300416</v>
      </c>
      <c r="N5" s="34">
        <f>H5/F5</f>
        <v>6.7741935483870974E-2</v>
      </c>
      <c r="O5" s="34">
        <v>4.1839910044193407E-2</v>
      </c>
    </row>
    <row r="6" spans="2:15" ht="14" x14ac:dyDescent="0.3">
      <c r="B6" s="3" t="s">
        <v>151</v>
      </c>
      <c r="C6" t="s">
        <v>152</v>
      </c>
      <c r="D6" s="32">
        <v>8058.6567679999998</v>
      </c>
      <c r="E6" s="32">
        <v>12193.656768000001</v>
      </c>
      <c r="F6" s="32">
        <v>7000</v>
      </c>
      <c r="G6" s="32">
        <v>573</v>
      </c>
      <c r="H6" s="32">
        <v>430</v>
      </c>
      <c r="I6" s="32">
        <v>330</v>
      </c>
      <c r="J6" s="33">
        <f>E6/G6</f>
        <v>21.280378303664921</v>
      </c>
      <c r="K6" s="33">
        <f>E6/F6</f>
        <v>1.7419509668571429</v>
      </c>
      <c r="L6" s="33">
        <f>D6/I6</f>
        <v>24.420172024242422</v>
      </c>
      <c r="M6" s="33">
        <v>0.78490861673322299</v>
      </c>
      <c r="N6" s="34">
        <f>H6/F6</f>
        <v>6.142857142857143E-2</v>
      </c>
      <c r="O6" s="34">
        <v>3.2141813577481249E-2</v>
      </c>
    </row>
    <row r="7" spans="2:15" ht="14" x14ac:dyDescent="0.3">
      <c r="B7" s="3" t="s">
        <v>153</v>
      </c>
      <c r="C7" t="s">
        <v>154</v>
      </c>
      <c r="D7" s="32">
        <v>10346.643456</v>
      </c>
      <c r="E7" s="32">
        <v>10381.643456</v>
      </c>
      <c r="F7" s="32">
        <v>8320</v>
      </c>
      <c r="G7" s="32">
        <v>1885</v>
      </c>
      <c r="H7" s="32">
        <v>1698</v>
      </c>
      <c r="I7" s="32">
        <v>1192</v>
      </c>
      <c r="J7" s="33">
        <f>E7/G7</f>
        <v>5.5075031596816979</v>
      </c>
      <c r="K7" s="33">
        <f>E7/F7</f>
        <v>1.2477936846153845</v>
      </c>
      <c r="L7" s="33">
        <f>D7/I7</f>
        <v>8.680070013422819</v>
      </c>
      <c r="M7" s="33">
        <v>0.97877622325229396</v>
      </c>
      <c r="N7" s="34">
        <f>H7/F7</f>
        <v>0.20408653846153846</v>
      </c>
      <c r="O7" s="34">
        <v>0.1127613281619525</v>
      </c>
    </row>
    <row r="8" spans="2:15" ht="14" x14ac:dyDescent="0.3">
      <c r="B8" s="3" t="s">
        <v>155</v>
      </c>
      <c r="C8" t="s">
        <v>156</v>
      </c>
      <c r="D8" s="32">
        <v>23867.400192000001</v>
      </c>
      <c r="E8" s="32">
        <v>25938.400192000001</v>
      </c>
      <c r="F8" s="32">
        <v>22300</v>
      </c>
      <c r="G8" s="32">
        <v>6602</v>
      </c>
      <c r="H8" s="32">
        <v>4500</v>
      </c>
      <c r="I8" s="32">
        <v>3100</v>
      </c>
      <c r="J8" s="33">
        <f>E8/G8</f>
        <v>3.9288700684641018</v>
      </c>
      <c r="K8" s="33">
        <f>E8/F8</f>
        <v>1.1631569592825113</v>
      </c>
      <c r="L8" s="33">
        <f>D8/I8</f>
        <v>7.6991613522580646</v>
      </c>
      <c r="M8" s="33">
        <v>1.0001424820650351</v>
      </c>
      <c r="N8" s="34">
        <f>H8/F8</f>
        <v>0.20179372197309417</v>
      </c>
      <c r="O8" s="34">
        <v>0.1299027824337915</v>
      </c>
    </row>
    <row r="14" spans="2:15" ht="14" x14ac:dyDescent="0.3">
      <c r="B14" s="2" t="s">
        <v>157</v>
      </c>
    </row>
    <row r="15" spans="2:15" ht="14" x14ac:dyDescent="0.3">
      <c r="B15" s="3" t="s">
        <v>158</v>
      </c>
      <c r="D15" s="33">
        <f t="shared" ref="D15:I15" si="0">PERCENTILE(J5:J8,0.25)</f>
        <v>5.1128448868772987</v>
      </c>
      <c r="E15" s="33">
        <f t="shared" si="0"/>
        <v>1.1417595568812384</v>
      </c>
      <c r="F15" s="33">
        <f t="shared" si="0"/>
        <v>8.4348428481316304</v>
      </c>
      <c r="G15" s="33">
        <f t="shared" si="0"/>
        <v>0.76236669463066831</v>
      </c>
      <c r="H15" s="34">
        <f t="shared" si="0"/>
        <v>6.6163594470046092E-2</v>
      </c>
      <c r="I15" s="34">
        <f t="shared" si="0"/>
        <v>3.9415385927515367E-2</v>
      </c>
    </row>
    <row r="16" spans="2:15" ht="14" x14ac:dyDescent="0.3">
      <c r="B16" s="3" t="s">
        <v>159</v>
      </c>
      <c r="D16" s="33">
        <f t="shared" ref="D16:I16" si="1">MEDIAN(J5:J8)</f>
        <v>8.4698001493138122</v>
      </c>
      <c r="E16" s="33">
        <f t="shared" si="1"/>
        <v>1.2054753219489478</v>
      </c>
      <c r="F16" s="33">
        <f t="shared" si="1"/>
        <v>12.64240620671141</v>
      </c>
      <c r="G16" s="33">
        <f t="shared" si="1"/>
        <v>0.88184241999275848</v>
      </c>
      <c r="H16" s="34">
        <f t="shared" si="1"/>
        <v>0.13476782872848259</v>
      </c>
      <c r="I16" s="34">
        <f t="shared" si="1"/>
        <v>7.7300619103072954E-2</v>
      </c>
    </row>
    <row r="17" spans="2:9" ht="14" x14ac:dyDescent="0.3">
      <c r="B17" s="3" t="s">
        <v>160</v>
      </c>
      <c r="D17" s="33">
        <f t="shared" ref="D17:I17" si="2">PERCENTILE(J5:J8,0.75)</f>
        <v>13.894167430125677</v>
      </c>
      <c r="E17" s="33">
        <f t="shared" si="2"/>
        <v>1.3713330051758241</v>
      </c>
      <c r="F17" s="33">
        <f t="shared" si="2"/>
        <v>18.558599806060606</v>
      </c>
      <c r="G17" s="33">
        <f t="shared" si="2"/>
        <v>0.98411778795547922</v>
      </c>
      <c r="H17" s="34">
        <f t="shared" si="2"/>
        <v>0.20236692609520524</v>
      </c>
      <c r="I17" s="34">
        <f t="shared" si="2"/>
        <v>0.11704669172991225</v>
      </c>
    </row>
    <row r="19" spans="2:9" ht="14" x14ac:dyDescent="0.3">
      <c r="B19" s="21" t="s">
        <v>161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162</v>
      </c>
    </row>
    <row r="21" spans="2:9" ht="14" x14ac:dyDescent="0.3">
      <c r="B21" s="3" t="s">
        <v>163</v>
      </c>
      <c r="C21" s="4">
        <v>3777.8560000000002</v>
      </c>
    </row>
    <row r="22" spans="2:9" ht="14" x14ac:dyDescent="0.3">
      <c r="B22" s="3" t="s">
        <v>164</v>
      </c>
      <c r="C22" s="4">
        <v>2390.8879999999999</v>
      </c>
    </row>
    <row r="23" spans="2:9" ht="14" x14ac:dyDescent="0.3">
      <c r="B23" s="3" t="s">
        <v>165</v>
      </c>
      <c r="C23" s="14">
        <v>11490655</v>
      </c>
    </row>
    <row r="24" spans="2:9" ht="14" x14ac:dyDescent="0.3">
      <c r="B24" s="3" t="s">
        <v>74</v>
      </c>
      <c r="C24" s="4">
        <v>432.4</v>
      </c>
    </row>
    <row r="26" spans="2:9" ht="14" x14ac:dyDescent="0.3">
      <c r="B26" s="2" t="s">
        <v>166</v>
      </c>
    </row>
    <row r="27" spans="2:9" ht="14" x14ac:dyDescent="0.3">
      <c r="B27" s="3" t="s">
        <v>167</v>
      </c>
      <c r="C27" s="23">
        <f>ROUND((C21*D16-C24)*1000000/C23,0)</f>
        <v>2747</v>
      </c>
    </row>
    <row r="28" spans="2:9" ht="14" x14ac:dyDescent="0.3">
      <c r="B28" s="3" t="s">
        <v>168</v>
      </c>
      <c r="C28" s="23">
        <f>ROUND(C22*F16*1000000/C23,0)</f>
        <v>2631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zoomScale="59"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169</v>
      </c>
    </row>
    <row r="3" spans="2:9" ht="14" x14ac:dyDescent="0.3">
      <c r="B3" s="3" t="s">
        <v>170</v>
      </c>
      <c r="C3" s="15">
        <f>'DCF Model'!C26</f>
        <v>0.12471347267196548</v>
      </c>
      <c r="E3" s="3" t="s">
        <v>171</v>
      </c>
      <c r="F3" s="15">
        <f>'DCF Model'!C13</f>
        <v>1.4999999999999999E-2</v>
      </c>
      <c r="H3" s="3" t="s">
        <v>172</v>
      </c>
      <c r="I3" s="13">
        <f>'DCF Model'!C14</f>
        <v>8</v>
      </c>
    </row>
    <row r="5" spans="2:9" ht="14" x14ac:dyDescent="0.3">
      <c r="B5" s="2" t="s">
        <v>173</v>
      </c>
    </row>
    <row r="6" spans="2:9" ht="14" x14ac:dyDescent="0.3">
      <c r="B6" s="35" t="s">
        <v>174</v>
      </c>
      <c r="C6" s="36">
        <f>$F$3-0.0075</f>
        <v>7.4999999999999997E-3</v>
      </c>
      <c r="D6" s="36">
        <f>$F$3-0.005</f>
        <v>9.9999999999999985E-3</v>
      </c>
      <c r="E6" s="36">
        <f>$F$3-0.0025</f>
        <v>1.2499999999999999E-2</v>
      </c>
      <c r="F6" s="36">
        <f>$F$3</f>
        <v>1.4999999999999999E-2</v>
      </c>
      <c r="G6" s="36">
        <f>$F$3+0.0025</f>
        <v>1.7499999999999998E-2</v>
      </c>
      <c r="H6" s="36">
        <f>$F$3+0.005</f>
        <v>0.02</v>
      </c>
      <c r="I6" s="36">
        <f>$F$3+0.0075</f>
        <v>2.2499999999999999E-2</v>
      </c>
    </row>
    <row r="7" spans="2:9" ht="13.5" x14ac:dyDescent="0.25">
      <c r="B7" s="34">
        <f>$C$3-0.015</f>
        <v>0.10971347267196548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1989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2026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2065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2106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2149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2194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2242</v>
      </c>
    </row>
    <row r="8" spans="2:9" ht="13.5" x14ac:dyDescent="0.25">
      <c r="B8" s="34">
        <f>$C$3-0.01</f>
        <v>0.11471347267196548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1894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1927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1961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1998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2036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2076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2118</v>
      </c>
    </row>
    <row r="9" spans="2:9" ht="13.5" x14ac:dyDescent="0.25">
      <c r="B9" s="34">
        <f>$C$3-0.005</f>
        <v>0.11971347267196547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1807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1837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1867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1900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1934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1970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2007</v>
      </c>
    </row>
    <row r="10" spans="2:9" ht="13.5" x14ac:dyDescent="0.25">
      <c r="B10" s="34">
        <f>$C$3</f>
        <v>0.12471347267196548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1727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1754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1782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1811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1842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1873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1907</v>
      </c>
    </row>
    <row r="11" spans="2:9" ht="13.5" x14ac:dyDescent="0.25">
      <c r="B11" s="34">
        <f>$C$3+0.005</f>
        <v>0.12971347267196548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1655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1679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1704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1730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1757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1786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1816</v>
      </c>
    </row>
    <row r="12" spans="2:9" ht="13.5" x14ac:dyDescent="0.25">
      <c r="B12" s="34">
        <f>$C$3+0.01</f>
        <v>0.13471347267196548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1587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1609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1632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1656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1681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1706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1733</v>
      </c>
    </row>
    <row r="13" spans="2:9" ht="13.5" x14ac:dyDescent="0.25">
      <c r="B13" s="34">
        <f>$C$3+0.015</f>
        <v>0.13971347267196549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1525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1545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1566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1588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1610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1633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1658</v>
      </c>
    </row>
    <row r="16" spans="2:9" ht="14" x14ac:dyDescent="0.3">
      <c r="B16" s="2" t="s">
        <v>175</v>
      </c>
    </row>
    <row r="17" spans="2:9" ht="14" x14ac:dyDescent="0.3">
      <c r="B17" s="35" t="s">
        <v>176</v>
      </c>
      <c r="C17" s="37">
        <f>$I$3-3</f>
        <v>5</v>
      </c>
      <c r="D17" s="37">
        <f>$I$3-2</f>
        <v>6</v>
      </c>
      <c r="E17" s="37">
        <f>$I$3-1</f>
        <v>7</v>
      </c>
      <c r="F17" s="37">
        <f>$I$3</f>
        <v>8</v>
      </c>
      <c r="G17" s="37">
        <f>$I$3+1</f>
        <v>9</v>
      </c>
      <c r="H17" s="37">
        <f>$I$3+2</f>
        <v>10</v>
      </c>
      <c r="I17" s="37">
        <f>$I$3+3</f>
        <v>11</v>
      </c>
    </row>
    <row r="18" spans="2:9" ht="13.5" x14ac:dyDescent="0.25">
      <c r="B18" s="34">
        <f>$C$3-0.015</f>
        <v>0.10971347267196548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1886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2132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2378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2624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2870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3116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3363</v>
      </c>
    </row>
    <row r="19" spans="2:9" ht="13.5" x14ac:dyDescent="0.25">
      <c r="B19" s="34">
        <f>$C$3-0.01</f>
        <v>0.11471347267196548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1853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2094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2336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2577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2818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3059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3301</v>
      </c>
    </row>
    <row r="20" spans="2:9" ht="13.5" x14ac:dyDescent="0.25">
      <c r="B20" s="34">
        <f>$C$3-0.005</f>
        <v>0.11971347267196547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1822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2058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2294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2531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2767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3004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3240</v>
      </c>
    </row>
    <row r="21" spans="2:9" ht="13.5" x14ac:dyDescent="0.25">
      <c r="B21" s="34">
        <f>$C$3</f>
        <v>0.12471347267196548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1791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2022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2254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2486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2717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2949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3181</v>
      </c>
    </row>
    <row r="22" spans="2:9" ht="13.5" x14ac:dyDescent="0.25">
      <c r="B22" s="34">
        <f>$C$3+0.005</f>
        <v>0.12971347267196548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1760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1987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2215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2442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2669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2896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3123</v>
      </c>
    </row>
    <row r="23" spans="2:9" ht="13.5" x14ac:dyDescent="0.25">
      <c r="B23" s="34">
        <f>$C$3+0.01</f>
        <v>0.13471347267196548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1731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1953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2176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2399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2621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2844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3067</v>
      </c>
    </row>
    <row r="24" spans="2:9" ht="13.5" x14ac:dyDescent="0.25">
      <c r="B24" s="34">
        <f>$C$3+0.015</f>
        <v>0.13971347267196549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1702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1920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2139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2357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2575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2793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3012</v>
      </c>
    </row>
    <row r="26" spans="2:9" ht="14" x14ac:dyDescent="0.3">
      <c r="B26" s="46" t="s">
        <v>177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J38"/>
  <sheetViews>
    <sheetView zoomScale="81" workbookViewId="0">
      <pane xSplit="2" ySplit="4" topLeftCell="C26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1" t="s">
        <v>178</v>
      </c>
    </row>
    <row r="4" spans="2:10" ht="14" x14ac:dyDescent="0.3">
      <c r="C4" s="9" t="s">
        <v>37</v>
      </c>
      <c r="D4" s="9" t="s">
        <v>38</v>
      </c>
      <c r="E4" s="9" t="s">
        <v>179</v>
      </c>
      <c r="F4" s="9" t="s">
        <v>87</v>
      </c>
      <c r="G4" s="9" t="s">
        <v>88</v>
      </c>
      <c r="H4" s="9" t="s">
        <v>89</v>
      </c>
      <c r="I4" s="9" t="s">
        <v>90</v>
      </c>
      <c r="J4" s="9" t="s">
        <v>91</v>
      </c>
    </row>
    <row r="5" spans="2:10" ht="14" x14ac:dyDescent="0.3">
      <c r="B5" s="7" t="s">
        <v>180</v>
      </c>
      <c r="C5" s="8"/>
      <c r="D5" s="8"/>
      <c r="E5" s="8"/>
      <c r="F5" s="8"/>
      <c r="G5" s="8"/>
      <c r="H5" s="8"/>
      <c r="I5" s="8"/>
      <c r="J5" s="8"/>
    </row>
    <row r="6" spans="2:10" ht="14" x14ac:dyDescent="0.3">
      <c r="B6" s="3" t="s">
        <v>40</v>
      </c>
      <c r="C6" s="30">
        <v>7464</v>
      </c>
      <c r="D6" s="30">
        <v>6349</v>
      </c>
      <c r="E6" s="30">
        <v>9843</v>
      </c>
      <c r="F6" s="38">
        <v>11000</v>
      </c>
      <c r="G6" s="38">
        <v>12500</v>
      </c>
      <c r="H6" s="38">
        <v>13500</v>
      </c>
      <c r="I6" s="38">
        <v>14000</v>
      </c>
      <c r="J6" s="29" t="s">
        <v>130</v>
      </c>
    </row>
    <row r="7" spans="2:10" ht="14" x14ac:dyDescent="0.3">
      <c r="B7" s="3" t="s">
        <v>181</v>
      </c>
      <c r="C7" s="29" t="s">
        <v>130</v>
      </c>
      <c r="D7" s="29" t="s">
        <v>130</v>
      </c>
      <c r="E7" s="29" t="s">
        <v>130</v>
      </c>
      <c r="F7" s="30">
        <f>F6*0.16</f>
        <v>1760</v>
      </c>
      <c r="G7" s="30">
        <f>G6*0.17</f>
        <v>2125</v>
      </c>
      <c r="H7" s="30">
        <f>H6*0.18</f>
        <v>2430</v>
      </c>
      <c r="I7" s="30">
        <f>I6*0.19</f>
        <v>2660</v>
      </c>
      <c r="J7" s="29" t="s">
        <v>130</v>
      </c>
    </row>
    <row r="8" spans="2:10" ht="14" x14ac:dyDescent="0.3">
      <c r="B8" s="39" t="s">
        <v>182</v>
      </c>
      <c r="C8" s="29" t="s">
        <v>130</v>
      </c>
      <c r="D8" s="29" t="s">
        <v>130</v>
      </c>
      <c r="E8" s="29" t="s">
        <v>130</v>
      </c>
      <c r="F8" s="28">
        <f>IFERROR(F7/F6,"—")</f>
        <v>0.16</v>
      </c>
      <c r="G8" s="28">
        <f>IFERROR(G7/G6,"—")</f>
        <v>0.17</v>
      </c>
      <c r="H8" s="28">
        <f>IFERROR(H7/H6,"—")</f>
        <v>0.18</v>
      </c>
      <c r="I8" s="28">
        <f>IFERROR(I7/I6,"—")</f>
        <v>0.19</v>
      </c>
      <c r="J8" s="28" t="str">
        <f>IFERROR(J7/J6,"—")</f>
        <v>—</v>
      </c>
    </row>
    <row r="10" spans="2:10" ht="14" x14ac:dyDescent="0.3">
      <c r="B10" s="7" t="s">
        <v>183</v>
      </c>
      <c r="C10" s="8"/>
      <c r="D10" s="8"/>
      <c r="E10" s="8"/>
      <c r="F10" s="8"/>
      <c r="G10" s="8"/>
      <c r="H10" s="8"/>
      <c r="I10" s="8"/>
      <c r="J10" s="8"/>
    </row>
    <row r="11" spans="2:10" ht="14" x14ac:dyDescent="0.3">
      <c r="B11" s="3" t="s">
        <v>40</v>
      </c>
      <c r="C11" s="29" t="s">
        <v>130</v>
      </c>
      <c r="D11" s="30">
        <v>4388</v>
      </c>
      <c r="E11" s="30">
        <v>5164</v>
      </c>
      <c r="F11" s="38">
        <v>6500</v>
      </c>
      <c r="G11" s="38">
        <v>7500</v>
      </c>
      <c r="H11" s="38">
        <v>8500</v>
      </c>
      <c r="I11" s="38">
        <v>9500</v>
      </c>
      <c r="J11" s="29" t="s">
        <v>130</v>
      </c>
    </row>
    <row r="12" spans="2:10" ht="14" x14ac:dyDescent="0.3">
      <c r="B12" s="3" t="s">
        <v>181</v>
      </c>
      <c r="C12" s="29" t="s">
        <v>130</v>
      </c>
      <c r="D12" s="29" t="s">
        <v>130</v>
      </c>
      <c r="E12" s="29" t="s">
        <v>130</v>
      </c>
      <c r="F12" s="30">
        <f>F11*0.15</f>
        <v>975</v>
      </c>
      <c r="G12" s="30">
        <f>G11*0.16</f>
        <v>1200</v>
      </c>
      <c r="H12" s="30">
        <f>H11*0.17</f>
        <v>1445</v>
      </c>
      <c r="I12" s="30">
        <f>I11*0.18</f>
        <v>1710</v>
      </c>
      <c r="J12" s="29" t="s">
        <v>130</v>
      </c>
    </row>
    <row r="13" spans="2:10" ht="14" x14ac:dyDescent="0.3">
      <c r="B13" s="39" t="s">
        <v>182</v>
      </c>
      <c r="C13" s="29" t="s">
        <v>130</v>
      </c>
      <c r="D13" s="29" t="s">
        <v>130</v>
      </c>
      <c r="E13" s="29" t="s">
        <v>130</v>
      </c>
      <c r="F13" s="28">
        <f>IFERROR(F12/F11,"—")</f>
        <v>0.15</v>
      </c>
      <c r="G13" s="28">
        <f>IFERROR(G12/G11,"—")</f>
        <v>0.16</v>
      </c>
      <c r="H13" s="28">
        <f>IFERROR(H12/H11,"—")</f>
        <v>0.17</v>
      </c>
      <c r="I13" s="28">
        <f>IFERROR(I12/I11,"—")</f>
        <v>0.18</v>
      </c>
      <c r="J13" s="28" t="str">
        <f>IFERROR(J12/J11,"—")</f>
        <v>—</v>
      </c>
    </row>
    <row r="15" spans="2:10" ht="14" x14ac:dyDescent="0.3">
      <c r="B15" s="7" t="s">
        <v>184</v>
      </c>
      <c r="C15" s="8"/>
      <c r="D15" s="8"/>
      <c r="E15" s="8"/>
      <c r="F15" s="8"/>
      <c r="G15" s="8"/>
      <c r="H15" s="8"/>
      <c r="I15" s="8"/>
      <c r="J15" s="8"/>
    </row>
    <row r="16" spans="2:10" ht="14" x14ac:dyDescent="0.3">
      <c r="B16" s="3" t="s">
        <v>40</v>
      </c>
      <c r="C16" s="29" t="s">
        <v>130</v>
      </c>
      <c r="D16" s="30">
        <v>5206</v>
      </c>
      <c r="E16" s="30">
        <v>5193</v>
      </c>
      <c r="F16" s="38">
        <v>3800</v>
      </c>
      <c r="G16" s="38">
        <v>3500</v>
      </c>
      <c r="H16" s="38">
        <v>3500</v>
      </c>
      <c r="I16" s="38">
        <v>4000</v>
      </c>
      <c r="J16" s="29" t="s">
        <v>130</v>
      </c>
    </row>
    <row r="17" spans="2:10" ht="14" x14ac:dyDescent="0.3">
      <c r="B17" s="3" t="s">
        <v>181</v>
      </c>
      <c r="C17" s="29" t="s">
        <v>130</v>
      </c>
      <c r="D17" s="29" t="s">
        <v>130</v>
      </c>
      <c r="E17" s="29" t="s">
        <v>130</v>
      </c>
      <c r="F17" s="30">
        <f>F16*0.1</f>
        <v>380</v>
      </c>
      <c r="G17" s="30">
        <f>G16*0.1</f>
        <v>350</v>
      </c>
      <c r="H17" s="30">
        <f>H16*0.11</f>
        <v>385</v>
      </c>
      <c r="I17" s="30">
        <f>I16*0.12</f>
        <v>480</v>
      </c>
      <c r="J17" s="29" t="s">
        <v>130</v>
      </c>
    </row>
    <row r="18" spans="2:10" ht="14" x14ac:dyDescent="0.3">
      <c r="B18" s="39" t="s">
        <v>182</v>
      </c>
      <c r="C18" s="29" t="s">
        <v>130</v>
      </c>
      <c r="D18" s="29" t="s">
        <v>130</v>
      </c>
      <c r="E18" s="29" t="s">
        <v>130</v>
      </c>
      <c r="F18" s="28">
        <f>IFERROR(F17/F16,"—")</f>
        <v>0.1</v>
      </c>
      <c r="G18" s="28">
        <f>IFERROR(G17/G16,"—")</f>
        <v>0.1</v>
      </c>
      <c r="H18" s="28">
        <f>IFERROR(H17/H16,"—")</f>
        <v>0.11</v>
      </c>
      <c r="I18" s="28">
        <f>IFERROR(I17/I16,"—")</f>
        <v>0.12</v>
      </c>
      <c r="J18" s="28" t="str">
        <f>IFERROR(J17/J16,"—")</f>
        <v>—</v>
      </c>
    </row>
    <row r="20" spans="2:10" ht="14" x14ac:dyDescent="0.3">
      <c r="B20" s="7" t="s">
        <v>185</v>
      </c>
      <c r="C20" s="8"/>
      <c r="D20" s="8"/>
      <c r="E20" s="8"/>
      <c r="F20" s="8"/>
      <c r="G20" s="8"/>
      <c r="H20" s="8"/>
      <c r="I20" s="8"/>
      <c r="J20" s="8"/>
    </row>
    <row r="21" spans="2:10" ht="14" x14ac:dyDescent="0.3">
      <c r="B21" s="3" t="s">
        <v>40</v>
      </c>
      <c r="C21" s="29" t="s">
        <v>130</v>
      </c>
      <c r="D21" s="30">
        <v>1999</v>
      </c>
      <c r="E21" s="30">
        <v>389</v>
      </c>
      <c r="F21" s="38">
        <v>500</v>
      </c>
      <c r="G21" s="38">
        <v>600</v>
      </c>
      <c r="H21" s="38">
        <v>700</v>
      </c>
      <c r="I21" s="38">
        <v>800</v>
      </c>
      <c r="J21" s="29" t="s">
        <v>130</v>
      </c>
    </row>
    <row r="22" spans="2:10" ht="14" x14ac:dyDescent="0.3">
      <c r="B22" s="3" t="s">
        <v>181</v>
      </c>
      <c r="C22" s="29" t="s">
        <v>130</v>
      </c>
      <c r="D22" s="29" t="s">
        <v>130</v>
      </c>
      <c r="E22" s="29" t="s">
        <v>130</v>
      </c>
      <c r="F22" s="30">
        <f>F21*0.08</f>
        <v>40</v>
      </c>
      <c r="G22" s="30">
        <f>G21*0.09</f>
        <v>54</v>
      </c>
      <c r="H22" s="30">
        <f>H21*0.09</f>
        <v>63</v>
      </c>
      <c r="I22" s="30">
        <f>I21*0.1</f>
        <v>80</v>
      </c>
      <c r="J22" s="29" t="s">
        <v>130</v>
      </c>
    </row>
    <row r="23" spans="2:10" ht="14" x14ac:dyDescent="0.3">
      <c r="B23" s="39" t="s">
        <v>182</v>
      </c>
      <c r="C23" s="29" t="s">
        <v>130</v>
      </c>
      <c r="D23" s="29" t="s">
        <v>130</v>
      </c>
      <c r="E23" s="29" t="s">
        <v>130</v>
      </c>
      <c r="F23" s="28">
        <f>IFERROR(F22/F21,"—")</f>
        <v>0.08</v>
      </c>
      <c r="G23" s="28">
        <f>IFERROR(G22/G21,"—")</f>
        <v>0.09</v>
      </c>
      <c r="H23" s="28">
        <f>IFERROR(H22/H21,"—")</f>
        <v>0.09</v>
      </c>
      <c r="I23" s="28">
        <f>IFERROR(I22/I21,"—")</f>
        <v>0.1</v>
      </c>
      <c r="J23" s="28" t="str">
        <f>IFERROR(J22/J21,"—")</f>
        <v>—</v>
      </c>
    </row>
    <row r="25" spans="2:10" ht="14" x14ac:dyDescent="0.3">
      <c r="B25" s="7" t="s">
        <v>186</v>
      </c>
      <c r="C25" s="8"/>
      <c r="D25" s="8"/>
      <c r="E25" s="8"/>
      <c r="F25" s="8"/>
      <c r="G25" s="8"/>
      <c r="H25" s="8"/>
      <c r="I25" s="8"/>
      <c r="J25" s="8"/>
    </row>
    <row r="26" spans="2:10" ht="14" x14ac:dyDescent="0.3">
      <c r="B26" s="3" t="s">
        <v>40</v>
      </c>
      <c r="C26" s="29" t="s">
        <v>130</v>
      </c>
      <c r="D26" s="30">
        <v>1301</v>
      </c>
      <c r="E26" s="30">
        <v>990</v>
      </c>
      <c r="F26" s="38">
        <v>700</v>
      </c>
      <c r="G26" s="38">
        <v>700</v>
      </c>
      <c r="H26" s="38">
        <v>700</v>
      </c>
      <c r="I26" s="38">
        <v>700</v>
      </c>
      <c r="J26" s="29" t="s">
        <v>130</v>
      </c>
    </row>
    <row r="27" spans="2:10" ht="14" x14ac:dyDescent="0.3">
      <c r="B27" s="3" t="s">
        <v>181</v>
      </c>
      <c r="C27" s="29" t="s">
        <v>130</v>
      </c>
      <c r="D27" s="29" t="s">
        <v>130</v>
      </c>
      <c r="E27" s="29" t="s">
        <v>130</v>
      </c>
      <c r="F27" s="30">
        <f>F26*0.05</f>
        <v>35</v>
      </c>
      <c r="G27" s="30">
        <f>G26*0.05</f>
        <v>35</v>
      </c>
      <c r="H27" s="30">
        <f>H26*0.05</f>
        <v>35</v>
      </c>
      <c r="I27" s="30">
        <f>I26*0.05</f>
        <v>35</v>
      </c>
      <c r="J27" s="29" t="s">
        <v>130</v>
      </c>
    </row>
    <row r="28" spans="2:10" ht="14" x14ac:dyDescent="0.3">
      <c r="B28" s="39" t="s">
        <v>182</v>
      </c>
      <c r="C28" s="29" t="s">
        <v>130</v>
      </c>
      <c r="D28" s="29" t="s">
        <v>130</v>
      </c>
      <c r="E28" s="29" t="s">
        <v>130</v>
      </c>
      <c r="F28" s="28">
        <f>IFERROR(F27/F26,"—")</f>
        <v>0.05</v>
      </c>
      <c r="G28" s="28">
        <f>IFERROR(G27/G26,"—")</f>
        <v>0.05</v>
      </c>
      <c r="H28" s="28">
        <f>IFERROR(H27/H26,"—")</f>
        <v>0.05</v>
      </c>
      <c r="I28" s="28">
        <f>IFERROR(I27/I26,"—")</f>
        <v>0.05</v>
      </c>
      <c r="J28" s="28" t="str">
        <f>IFERROR(J27/J26,"—")</f>
        <v>—</v>
      </c>
    </row>
    <row r="30" spans="2:10" ht="14" x14ac:dyDescent="0.3">
      <c r="B30" s="21" t="s">
        <v>187</v>
      </c>
      <c r="C30" s="22"/>
      <c r="D30" s="22"/>
      <c r="E30" s="22"/>
      <c r="F30" s="22"/>
      <c r="G30" s="22"/>
      <c r="H30" s="22"/>
      <c r="I30" s="22"/>
      <c r="J30" s="22"/>
    </row>
    <row r="31" spans="2:10" ht="14" x14ac:dyDescent="0.3">
      <c r="B31" s="3" t="s">
        <v>188</v>
      </c>
      <c r="C31" s="19" t="e">
        <f t="shared" ref="C31:J32" si="0">C6+C11+C16+C21+C26</f>
        <v>#VALUE!</v>
      </c>
      <c r="D31" s="19">
        <f t="shared" si="0"/>
        <v>19243</v>
      </c>
      <c r="E31" s="19">
        <f t="shared" si="0"/>
        <v>21579</v>
      </c>
      <c r="F31" s="19">
        <f t="shared" si="0"/>
        <v>22500</v>
      </c>
      <c r="G31" s="19">
        <f t="shared" si="0"/>
        <v>24800</v>
      </c>
      <c r="H31" s="19">
        <f t="shared" si="0"/>
        <v>26900</v>
      </c>
      <c r="I31" s="19">
        <f t="shared" si="0"/>
        <v>29000</v>
      </c>
      <c r="J31" s="19" t="e">
        <f t="shared" si="0"/>
        <v>#VALUE!</v>
      </c>
    </row>
    <row r="32" spans="2:10" ht="14" x14ac:dyDescent="0.3">
      <c r="B32" s="3" t="s">
        <v>189</v>
      </c>
      <c r="C32" s="19" t="e">
        <f t="shared" si="0"/>
        <v>#VALUE!</v>
      </c>
      <c r="D32" s="19" t="e">
        <f t="shared" si="0"/>
        <v>#VALUE!</v>
      </c>
      <c r="E32" s="19" t="e">
        <f t="shared" si="0"/>
        <v>#VALUE!</v>
      </c>
      <c r="F32" s="19">
        <f t="shared" si="0"/>
        <v>3190</v>
      </c>
      <c r="G32" s="19">
        <f t="shared" si="0"/>
        <v>3764</v>
      </c>
      <c r="H32" s="19">
        <f t="shared" si="0"/>
        <v>4358</v>
      </c>
      <c r="I32" s="19">
        <f t="shared" si="0"/>
        <v>4965</v>
      </c>
      <c r="J32" s="19" t="e">
        <f t="shared" si="0"/>
        <v>#VALUE!</v>
      </c>
    </row>
    <row r="33" spans="2:10" ht="14" x14ac:dyDescent="0.3">
      <c r="B33" s="39" t="s">
        <v>190</v>
      </c>
      <c r="C33" s="28" t="str">
        <f t="shared" ref="C33:J33" si="1">IFERROR(C32/C31,"—")</f>
        <v>—</v>
      </c>
      <c r="D33" s="28" t="str">
        <f t="shared" si="1"/>
        <v>—</v>
      </c>
      <c r="E33" s="28" t="str">
        <f t="shared" si="1"/>
        <v>—</v>
      </c>
      <c r="F33" s="28">
        <f t="shared" si="1"/>
        <v>0.14177777777777778</v>
      </c>
      <c r="G33" s="28">
        <f t="shared" si="1"/>
        <v>0.15177419354838709</v>
      </c>
      <c r="H33" s="28">
        <f t="shared" si="1"/>
        <v>0.16200743494423792</v>
      </c>
      <c r="I33" s="28">
        <f t="shared" si="1"/>
        <v>0.17120689655172414</v>
      </c>
      <c r="J33" s="28" t="str">
        <f t="shared" si="1"/>
        <v>—</v>
      </c>
    </row>
    <row r="35" spans="2:10" ht="14" x14ac:dyDescent="0.3">
      <c r="B35" s="40" t="s">
        <v>191</v>
      </c>
      <c r="C35" s="41"/>
      <c r="D35" s="41"/>
      <c r="E35" s="41"/>
      <c r="F35" s="41"/>
      <c r="G35" s="41"/>
      <c r="H35" s="41"/>
      <c r="I35" s="41"/>
      <c r="J35" s="41"/>
    </row>
    <row r="36" spans="2:10" ht="14" x14ac:dyDescent="0.3">
      <c r="B36" s="3" t="s">
        <v>192</v>
      </c>
      <c r="F36" s="42">
        <f>'DCF Model'!C33</f>
        <v>20003.419674000001</v>
      </c>
      <c r="G36" s="42">
        <f>'DCF Model'!D33</f>
        <v>21603.69324792</v>
      </c>
      <c r="H36" s="42">
        <f>'DCF Model'!E33</f>
        <v>22899.914842795202</v>
      </c>
      <c r="I36" s="42">
        <f>'DCF Model'!F33</f>
        <v>24044.910584934962</v>
      </c>
      <c r="J36" s="42">
        <f>'DCF Model'!G33</f>
        <v>25006.70700833236</v>
      </c>
    </row>
    <row r="37" spans="2:10" ht="14" x14ac:dyDescent="0.3">
      <c r="B37" s="3" t="s">
        <v>193</v>
      </c>
      <c r="F37" s="30">
        <f>F31</f>
        <v>22500</v>
      </c>
      <c r="G37" s="30">
        <f>G31</f>
        <v>24800</v>
      </c>
      <c r="H37" s="30">
        <f>H31</f>
        <v>26900</v>
      </c>
      <c r="I37" s="30">
        <f>I31</f>
        <v>29000</v>
      </c>
      <c r="J37" s="30" t="e">
        <f>J31</f>
        <v>#VALUE!</v>
      </c>
    </row>
    <row r="38" spans="2:10" ht="14" x14ac:dyDescent="0.3">
      <c r="B38" s="3" t="s">
        <v>194</v>
      </c>
      <c r="F38" s="23">
        <f>F37-F36</f>
        <v>2496.5803259999993</v>
      </c>
      <c r="G38" s="23">
        <f>G37-G36</f>
        <v>3196.3067520799996</v>
      </c>
      <c r="H38" s="23">
        <f>H37-H36</f>
        <v>4000.0851572047977</v>
      </c>
      <c r="I38" s="23">
        <f>I37-I36</f>
        <v>4955.0894150650383</v>
      </c>
      <c r="J38" s="23" t="e">
        <f>J37-J36</f>
        <v>#VALUE!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J32"/>
  <sheetViews>
    <sheetView zoomScale="79" workbookViewId="0">
      <pane xSplit="2" ySplit="4" topLeftCell="C19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1" t="s">
        <v>195</v>
      </c>
    </row>
    <row r="4" spans="2:10" ht="14" x14ac:dyDescent="0.3">
      <c r="C4" s="9" t="s">
        <v>37</v>
      </c>
      <c r="D4" s="9" t="s">
        <v>38</v>
      </c>
      <c r="E4" s="9" t="s">
        <v>179</v>
      </c>
      <c r="F4" s="9" t="s">
        <v>87</v>
      </c>
      <c r="G4" s="9" t="s">
        <v>88</v>
      </c>
      <c r="H4" s="9" t="s">
        <v>89</v>
      </c>
      <c r="I4" s="9" t="s">
        <v>90</v>
      </c>
      <c r="J4" s="9" t="s">
        <v>91</v>
      </c>
    </row>
    <row r="5" spans="2:10" ht="14" x14ac:dyDescent="0.3">
      <c r="B5" s="7" t="s">
        <v>196</v>
      </c>
      <c r="C5" s="8"/>
      <c r="D5" s="8"/>
      <c r="E5" s="8"/>
      <c r="F5" s="8"/>
      <c r="G5" s="8"/>
      <c r="H5" s="8"/>
      <c r="I5" s="8"/>
      <c r="J5" s="8"/>
    </row>
    <row r="6" spans="2:10" ht="14" x14ac:dyDescent="0.3">
      <c r="B6" s="3" t="s">
        <v>197</v>
      </c>
      <c r="C6" s="29" t="s">
        <v>130</v>
      </c>
      <c r="D6" s="29" t="s">
        <v>130</v>
      </c>
      <c r="E6" s="30">
        <v>15343</v>
      </c>
      <c r="F6" s="30">
        <v>12094</v>
      </c>
      <c r="G6" s="30">
        <f>F9</f>
        <v>11094</v>
      </c>
      <c r="H6" s="30">
        <f>G9</f>
        <v>10094</v>
      </c>
      <c r="I6" s="30">
        <f>H9</f>
        <v>9094</v>
      </c>
      <c r="J6" s="30">
        <f>I9</f>
        <v>8094</v>
      </c>
    </row>
    <row r="7" spans="2:10" ht="14" x14ac:dyDescent="0.3">
      <c r="B7" s="3" t="s">
        <v>198</v>
      </c>
      <c r="C7" s="29" t="s">
        <v>130</v>
      </c>
      <c r="D7" s="30">
        <v>14662</v>
      </c>
      <c r="E7" s="30">
        <v>6594</v>
      </c>
      <c r="F7" s="38">
        <v>10000</v>
      </c>
      <c r="G7" s="38">
        <v>11500</v>
      </c>
      <c r="H7" s="38">
        <v>12500</v>
      </c>
      <c r="I7" s="38">
        <v>13000</v>
      </c>
      <c r="J7" s="29" t="s">
        <v>130</v>
      </c>
    </row>
    <row r="8" spans="2:10" ht="14" x14ac:dyDescent="0.3">
      <c r="B8" s="3" t="s">
        <v>199</v>
      </c>
      <c r="C8" s="30">
        <v>7464</v>
      </c>
      <c r="D8" s="30">
        <v>6349</v>
      </c>
      <c r="E8" s="30">
        <v>9843</v>
      </c>
      <c r="F8" s="38">
        <v>11000</v>
      </c>
      <c r="G8" s="38">
        <v>12500</v>
      </c>
      <c r="H8" s="38">
        <v>13500</v>
      </c>
      <c r="I8" s="38">
        <v>14000</v>
      </c>
      <c r="J8" s="29" t="s">
        <v>130</v>
      </c>
    </row>
    <row r="9" spans="2:10" ht="14" x14ac:dyDescent="0.3">
      <c r="B9" s="3" t="s">
        <v>200</v>
      </c>
      <c r="C9" s="29" t="s">
        <v>130</v>
      </c>
      <c r="D9" s="19">
        <v>15343</v>
      </c>
      <c r="E9" s="19">
        <v>12094</v>
      </c>
      <c r="F9" s="19">
        <f>F6+F7-F8</f>
        <v>11094</v>
      </c>
      <c r="G9" s="19">
        <f>G6+G7-G8</f>
        <v>10094</v>
      </c>
      <c r="H9" s="19">
        <f>H6+H7-H8</f>
        <v>9094</v>
      </c>
      <c r="I9" s="19">
        <f>I6+I7-I8</f>
        <v>8094</v>
      </c>
      <c r="J9" s="19" t="e">
        <f>J6+J7-J8</f>
        <v>#VALUE!</v>
      </c>
    </row>
    <row r="10" spans="2:10" ht="14" x14ac:dyDescent="0.3">
      <c r="B10" s="39" t="s">
        <v>201</v>
      </c>
      <c r="C10" s="43" t="str">
        <f t="shared" ref="C10:J10" si="0">IFERROR(C7/C8,"—")</f>
        <v>—</v>
      </c>
      <c r="D10" s="43">
        <f t="shared" si="0"/>
        <v>2.3093400535517405</v>
      </c>
      <c r="E10" s="43">
        <f t="shared" si="0"/>
        <v>0.66991770801584882</v>
      </c>
      <c r="F10" s="43">
        <f t="shared" si="0"/>
        <v>0.90909090909090906</v>
      </c>
      <c r="G10" s="43">
        <f t="shared" si="0"/>
        <v>0.92</v>
      </c>
      <c r="H10" s="43">
        <f t="shared" si="0"/>
        <v>0.92592592592592593</v>
      </c>
      <c r="I10" s="43">
        <f t="shared" si="0"/>
        <v>0.9285714285714286</v>
      </c>
      <c r="J10" s="43" t="str">
        <f t="shared" si="0"/>
        <v>—</v>
      </c>
    </row>
    <row r="12" spans="2:10" ht="14" x14ac:dyDescent="0.3">
      <c r="B12" s="7" t="s">
        <v>202</v>
      </c>
      <c r="C12" s="8"/>
      <c r="D12" s="8"/>
      <c r="E12" s="8"/>
      <c r="F12" s="8"/>
      <c r="G12" s="8"/>
      <c r="H12" s="8"/>
      <c r="I12" s="8"/>
      <c r="J12" s="8"/>
    </row>
    <row r="13" spans="2:10" ht="14" x14ac:dyDescent="0.3">
      <c r="B13" s="3" t="s">
        <v>197</v>
      </c>
      <c r="C13" s="29" t="s">
        <v>130</v>
      </c>
      <c r="D13" s="29" t="s">
        <v>130</v>
      </c>
      <c r="E13" s="30">
        <v>7093</v>
      </c>
      <c r="F13" s="30">
        <v>5279</v>
      </c>
      <c r="G13" s="30">
        <f>F16</f>
        <v>5779</v>
      </c>
      <c r="H13" s="30">
        <f>G16</f>
        <v>6279</v>
      </c>
      <c r="I13" s="30">
        <f>H16</f>
        <v>6779</v>
      </c>
      <c r="J13" s="30">
        <f>I16</f>
        <v>6779</v>
      </c>
    </row>
    <row r="14" spans="2:10" ht="14" x14ac:dyDescent="0.3">
      <c r="B14" s="3" t="s">
        <v>198</v>
      </c>
      <c r="C14" s="29" t="s">
        <v>130</v>
      </c>
      <c r="D14" s="30">
        <v>1835</v>
      </c>
      <c r="E14" s="30">
        <v>3349</v>
      </c>
      <c r="F14" s="38">
        <v>7000</v>
      </c>
      <c r="G14" s="38">
        <v>8000</v>
      </c>
      <c r="H14" s="38">
        <v>9000</v>
      </c>
      <c r="I14" s="38">
        <v>9500</v>
      </c>
      <c r="J14" s="29" t="s">
        <v>130</v>
      </c>
    </row>
    <row r="15" spans="2:10" ht="14" x14ac:dyDescent="0.3">
      <c r="B15" s="3" t="s">
        <v>199</v>
      </c>
      <c r="C15" s="29" t="s">
        <v>130</v>
      </c>
      <c r="D15" s="30">
        <v>4388</v>
      </c>
      <c r="E15" s="30">
        <v>5164</v>
      </c>
      <c r="F15" s="38">
        <v>6500</v>
      </c>
      <c r="G15" s="38">
        <v>7500</v>
      </c>
      <c r="H15" s="38">
        <v>8500</v>
      </c>
      <c r="I15" s="38">
        <v>9500</v>
      </c>
      <c r="J15" s="29" t="s">
        <v>130</v>
      </c>
    </row>
    <row r="16" spans="2:10" ht="14" x14ac:dyDescent="0.3">
      <c r="B16" s="3" t="s">
        <v>200</v>
      </c>
      <c r="C16" s="29" t="s">
        <v>130</v>
      </c>
      <c r="D16" s="19">
        <v>7093</v>
      </c>
      <c r="E16" s="19">
        <v>5279</v>
      </c>
      <c r="F16" s="19">
        <f>F13+F14-F15</f>
        <v>5779</v>
      </c>
      <c r="G16" s="19">
        <f>G13+G14-G15</f>
        <v>6279</v>
      </c>
      <c r="H16" s="19">
        <f>H13+H14-H15</f>
        <v>6779</v>
      </c>
      <c r="I16" s="19">
        <f>I13+I14-I15</f>
        <v>6779</v>
      </c>
      <c r="J16" s="19" t="e">
        <f>J13+J14-J15</f>
        <v>#VALUE!</v>
      </c>
    </row>
    <row r="17" spans="2:10" ht="14" x14ac:dyDescent="0.3">
      <c r="B17" s="39" t="s">
        <v>201</v>
      </c>
      <c r="C17" s="43" t="str">
        <f t="shared" ref="C17:J17" si="1">IFERROR(C14/C15,"—")</f>
        <v>—</v>
      </c>
      <c r="D17" s="43">
        <f t="shared" si="1"/>
        <v>0.41818596171376482</v>
      </c>
      <c r="E17" s="43">
        <f t="shared" si="1"/>
        <v>0.6485282726568552</v>
      </c>
      <c r="F17" s="43">
        <f t="shared" si="1"/>
        <v>1.0769230769230769</v>
      </c>
      <c r="G17" s="43">
        <f t="shared" si="1"/>
        <v>1.0666666666666667</v>
      </c>
      <c r="H17" s="43">
        <f t="shared" si="1"/>
        <v>1.0588235294117647</v>
      </c>
      <c r="I17" s="43">
        <f t="shared" si="1"/>
        <v>1</v>
      </c>
      <c r="J17" s="43" t="str">
        <f t="shared" si="1"/>
        <v>—</v>
      </c>
    </row>
    <row r="19" spans="2:10" ht="14" x14ac:dyDescent="0.3">
      <c r="B19" s="7" t="s">
        <v>203</v>
      </c>
      <c r="C19" s="8"/>
      <c r="D19" s="8"/>
      <c r="E19" s="8"/>
      <c r="F19" s="8"/>
      <c r="G19" s="8"/>
      <c r="H19" s="8"/>
      <c r="I19" s="8"/>
      <c r="J19" s="8"/>
    </row>
    <row r="20" spans="2:10" ht="14" x14ac:dyDescent="0.3">
      <c r="B20" s="3" t="s">
        <v>197</v>
      </c>
      <c r="C20" s="29" t="s">
        <v>130</v>
      </c>
      <c r="D20" s="29" t="s">
        <v>130</v>
      </c>
      <c r="E20" s="30">
        <v>7883</v>
      </c>
      <c r="F20" s="30">
        <v>5715</v>
      </c>
      <c r="G20" s="30">
        <f>F23</f>
        <v>3415</v>
      </c>
      <c r="H20" s="30">
        <f>G23</f>
        <v>2415</v>
      </c>
      <c r="I20" s="30">
        <f>H23</f>
        <v>2415</v>
      </c>
      <c r="J20" s="30">
        <f>I23</f>
        <v>2915</v>
      </c>
    </row>
    <row r="21" spans="2:10" ht="14" x14ac:dyDescent="0.3">
      <c r="B21" s="3" t="s">
        <v>198</v>
      </c>
      <c r="C21" s="29" t="s">
        <v>130</v>
      </c>
      <c r="D21" s="30">
        <v>5963</v>
      </c>
      <c r="E21" s="30">
        <v>3025</v>
      </c>
      <c r="F21" s="38">
        <v>1500</v>
      </c>
      <c r="G21" s="38">
        <v>2500</v>
      </c>
      <c r="H21" s="38">
        <v>3500</v>
      </c>
      <c r="I21" s="38">
        <v>4500</v>
      </c>
      <c r="J21" s="29" t="s">
        <v>130</v>
      </c>
    </row>
    <row r="22" spans="2:10" ht="14" x14ac:dyDescent="0.3">
      <c r="B22" s="3" t="s">
        <v>199</v>
      </c>
      <c r="C22" s="29" t="s">
        <v>130</v>
      </c>
      <c r="D22" s="30">
        <v>5206</v>
      </c>
      <c r="E22" s="30">
        <v>5193</v>
      </c>
      <c r="F22" s="38">
        <v>3800</v>
      </c>
      <c r="G22" s="38">
        <v>3500</v>
      </c>
      <c r="H22" s="38">
        <v>3500</v>
      </c>
      <c r="I22" s="38">
        <v>4000</v>
      </c>
      <c r="J22" s="29" t="s">
        <v>130</v>
      </c>
    </row>
    <row r="23" spans="2:10" ht="14" x14ac:dyDescent="0.3">
      <c r="B23" s="3" t="s">
        <v>200</v>
      </c>
      <c r="C23" s="29" t="s">
        <v>130</v>
      </c>
      <c r="D23" s="19">
        <v>7883</v>
      </c>
      <c r="E23" s="19">
        <v>5715</v>
      </c>
      <c r="F23" s="19">
        <f>F20+F21-F22</f>
        <v>3415</v>
      </c>
      <c r="G23" s="19">
        <f>G20+G21-G22</f>
        <v>2415</v>
      </c>
      <c r="H23" s="19">
        <f>H20+H21-H22</f>
        <v>2415</v>
      </c>
      <c r="I23" s="19">
        <f>I20+I21-I22</f>
        <v>2915</v>
      </c>
      <c r="J23" s="19" t="e">
        <f>J20+J21-J22</f>
        <v>#VALUE!</v>
      </c>
    </row>
    <row r="24" spans="2:10" ht="14" x14ac:dyDescent="0.3">
      <c r="B24" s="39" t="s">
        <v>201</v>
      </c>
      <c r="C24" s="43" t="str">
        <f t="shared" ref="C24:J24" si="2">IFERROR(C21/C22,"—")</f>
        <v>—</v>
      </c>
      <c r="D24" s="43">
        <f t="shared" si="2"/>
        <v>1.1454091432961966</v>
      </c>
      <c r="E24" s="43">
        <f t="shared" si="2"/>
        <v>0.58251492393606774</v>
      </c>
      <c r="F24" s="43">
        <f t="shared" si="2"/>
        <v>0.39473684210526316</v>
      </c>
      <c r="G24" s="43">
        <f t="shared" si="2"/>
        <v>0.7142857142857143</v>
      </c>
      <c r="H24" s="43">
        <f t="shared" si="2"/>
        <v>1</v>
      </c>
      <c r="I24" s="43">
        <f t="shared" si="2"/>
        <v>1.125</v>
      </c>
      <c r="J24" s="43" t="str">
        <f t="shared" si="2"/>
        <v>—</v>
      </c>
    </row>
    <row r="26" spans="2:10" ht="14" x14ac:dyDescent="0.3">
      <c r="B26" s="7" t="s">
        <v>204</v>
      </c>
      <c r="C26" s="8"/>
      <c r="D26" s="8"/>
      <c r="E26" s="8"/>
      <c r="F26" s="8"/>
      <c r="G26" s="8"/>
      <c r="H26" s="8"/>
      <c r="I26" s="8"/>
      <c r="J26" s="8"/>
    </row>
    <row r="27" spans="2:10" ht="14" x14ac:dyDescent="0.3">
      <c r="B27" s="3" t="s">
        <v>205</v>
      </c>
      <c r="C27" s="29" t="s">
        <v>130</v>
      </c>
      <c r="D27" s="30">
        <v>1999</v>
      </c>
      <c r="E27" s="30">
        <v>389</v>
      </c>
      <c r="F27" s="38">
        <v>500</v>
      </c>
      <c r="G27" s="38">
        <v>600</v>
      </c>
      <c r="H27" s="38">
        <v>700</v>
      </c>
      <c r="I27" s="38">
        <v>800</v>
      </c>
      <c r="J27" s="29" t="s">
        <v>130</v>
      </c>
    </row>
    <row r="28" spans="2:10" ht="14" x14ac:dyDescent="0.3">
      <c r="B28" s="39" t="s">
        <v>206</v>
      </c>
      <c r="C28" s="29" t="s">
        <v>130</v>
      </c>
      <c r="D28" s="28" t="str">
        <f t="shared" ref="D28:J28" si="3">IFERROR((D27-C27)/C27,"—")</f>
        <v>—</v>
      </c>
      <c r="E28" s="28">
        <f t="shared" si="3"/>
        <v>-0.80540270135067538</v>
      </c>
      <c r="F28" s="28">
        <f t="shared" si="3"/>
        <v>0.28534704370179947</v>
      </c>
      <c r="G28" s="28">
        <f t="shared" si="3"/>
        <v>0.2</v>
      </c>
      <c r="H28" s="28">
        <f t="shared" si="3"/>
        <v>0.16666666666666666</v>
      </c>
      <c r="I28" s="28">
        <f t="shared" si="3"/>
        <v>0.14285714285714285</v>
      </c>
      <c r="J28" s="28" t="str">
        <f t="shared" si="3"/>
        <v>—</v>
      </c>
    </row>
    <row r="30" spans="2:10" ht="14" x14ac:dyDescent="0.3">
      <c r="B30" s="7" t="s">
        <v>207</v>
      </c>
      <c r="C30" s="8"/>
      <c r="D30" s="8"/>
      <c r="E30" s="8"/>
      <c r="F30" s="8"/>
      <c r="G30" s="8"/>
      <c r="H30" s="8"/>
      <c r="I30" s="8"/>
      <c r="J30" s="8"/>
    </row>
    <row r="31" spans="2:10" ht="14" x14ac:dyDescent="0.3">
      <c r="B31" s="3" t="s">
        <v>205</v>
      </c>
      <c r="C31" s="29" t="s">
        <v>130</v>
      </c>
      <c r="D31" s="30">
        <v>1301</v>
      </c>
      <c r="E31" s="30">
        <v>990</v>
      </c>
      <c r="F31" s="38">
        <v>700</v>
      </c>
      <c r="G31" s="38">
        <v>700</v>
      </c>
      <c r="H31" s="38">
        <v>700</v>
      </c>
      <c r="I31" s="38">
        <v>700</v>
      </c>
      <c r="J31" s="29" t="s">
        <v>130</v>
      </c>
    </row>
    <row r="32" spans="2:10" ht="14" x14ac:dyDescent="0.3">
      <c r="B32" s="39" t="s">
        <v>206</v>
      </c>
      <c r="C32" s="29" t="s">
        <v>130</v>
      </c>
      <c r="D32" s="28" t="str">
        <f t="shared" ref="D32:J32" si="4">IFERROR((D31-C31)/C31,"—")</f>
        <v>—</v>
      </c>
      <c r="E32" s="28">
        <f t="shared" si="4"/>
        <v>-0.23904688700999233</v>
      </c>
      <c r="F32" s="28">
        <f t="shared" si="4"/>
        <v>-0.29292929292929293</v>
      </c>
      <c r="G32" s="28">
        <f t="shared" si="4"/>
        <v>0</v>
      </c>
      <c r="H32" s="28">
        <f t="shared" si="4"/>
        <v>0</v>
      </c>
      <c r="I32" s="28">
        <f t="shared" si="4"/>
        <v>0</v>
      </c>
      <c r="J32" s="28" t="str">
        <f t="shared" si="4"/>
        <v>—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2026-03-21T03:52:20Z</dcterms:created>
  <dcterms:modified xsi:type="dcterms:W3CDTF">2026-03-21T13:58:40Z</dcterms:modified>
</cp:coreProperties>
</file>